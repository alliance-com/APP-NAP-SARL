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4ae468a7ae29cc/Desktop/DATA/"/>
    </mc:Choice>
  </mc:AlternateContent>
  <xr:revisionPtr revIDLastSave="1" documentId="13_ncr:1_{0DD477D3-9ACE-40AE-B742-D7C6B3ABF239}" xr6:coauthVersionLast="47" xr6:coauthVersionMax="47" xr10:uidLastSave="{62EFBBCF-00A5-4152-BFA8-3D9D53FFF969}"/>
  <bookViews>
    <workbookView xWindow="-110" yWindow="-110" windowWidth="19420" windowHeight="11500" firstSheet="3" activeTab="3" xr2:uid="{00000000-000D-0000-FFFF-FFFF00000000}"/>
  </bookViews>
  <sheets>
    <sheet name="Tableau_de_bord" sheetId="1" r:id="rId1"/>
    <sheet name="Suivi_par_BL" sheetId="2" r:id="rId2"/>
    <sheet name="Contrats" sheetId="3" r:id="rId3"/>
    <sheet name="Bookings" sheetId="4" r:id="rId4"/>
    <sheet name="Connaissements" sheetId="5" r:id="rId5"/>
    <sheet name="Conteneurs" sheetId="6" r:id="rId6"/>
    <sheet name="Documents" sheetId="7" r:id="rId7"/>
    <sheet name="Etapes" sheetId="8" r:id="rId8"/>
    <sheet name="Couts_Transitaire" sheetId="9" r:id="rId9"/>
    <sheet name="Listes" sheetId="10" r:id="rId10"/>
  </sheets>
  <definedNames>
    <definedName name="_xlnm._FilterDatabase" localSheetId="3" hidden="1">Bookings!$A$2:$N$202</definedName>
    <definedName name="_xlnm._FilterDatabase" localSheetId="4" hidden="1">Connaissements!$A$2:$L$202</definedName>
    <definedName name="_xlnm._FilterDatabase" localSheetId="5" hidden="1">Conteneurs!$A$2:$Q$13628</definedName>
    <definedName name="_xlnm._FilterDatabase" localSheetId="2" hidden="1">Contrats!$A$4:$M$204</definedName>
    <definedName name="_xlnm._FilterDatabase" localSheetId="8" hidden="1">Couts_Transitaire!$A$2:$N$602</definedName>
    <definedName name="_xlnm._FilterDatabase" localSheetId="6" hidden="1">Documents!$A$2:$M$1002</definedName>
    <definedName name="_xlnm._FilterDatabase" localSheetId="7" hidden="1">Etapes!$A$4:$I$1504</definedName>
    <definedName name="_xlnm._FilterDatabase" localSheetId="0" hidden="1">Tableau_de_bord!$A$11:$B$18</definedName>
    <definedName name="_xlnm.Print_Titles" localSheetId="3">Bookings!$2:$2</definedName>
    <definedName name="_xlnm.Print_Titles" localSheetId="4">Connaissements!$2:$2</definedName>
    <definedName name="_xlnm.Print_Titles" localSheetId="5">Conteneurs!$2:$2</definedName>
    <definedName name="_xlnm.Print_Titles" localSheetId="2">Contrats!$4:$4</definedName>
    <definedName name="_xlnm.Print_Titles" localSheetId="8">Couts_Transitaire!$2:$2</definedName>
    <definedName name="_xlnm.Print_Titles" localSheetId="6">Documents!$2:$2</definedName>
    <definedName name="_xlnm.Print_Titles" localSheetId="7">Etapes!$4:$4</definedName>
    <definedName name="L_BL">OFFSET(Connaissements!$A$3,0,0,MAX(1,COUNTA(Connaissements!$A$3:$A$202)),1)</definedName>
    <definedName name="L_Bookings">OFFSET(Bookings!$A$3,0,0,MAX(1,COUNTA(Bookings!$A$3:$A$202)),1)</definedName>
    <definedName name="L_Clients">OFFSET(Listes!$A$2,0,0,MAX(1,COUNTA(Listes!$A$2:$A$100)),1)</definedName>
    <definedName name="L_Conteneurs">OFFSET(Conteneurs!$A$3,0,0,MAX(1,COUNTA(Conteneurs!$A$3:$A$1002)),1)</definedName>
    <definedName name="L_Contrats">OFFSET(Contrats!$A$5,0,0,MAX(1,COUNTA(Contrats!$A$5:$A$204)),1)</definedName>
    <definedName name="L_Etapes">OFFSET(Listes!$H$2,0,0,MAX(1,COUNTA(Listes!$H$2:$H$100)),1)</definedName>
    <definedName name="L_Incoterms">OFFSET(Listes!$E$2,0,0,MAX(1,COUNTA(Listes!$E$2:$E$100)),1)</definedName>
    <definedName name="L_Produits">OFFSET(Listes!$C$2,0,0,MAX(1,COUNTA(Listes!$C$2:$C$100)),1)</definedName>
    <definedName name="L_Responsables">OFFSET(Listes!$I$2,0,0,MAX(1,COUNTA(Listes!$I$2:$I$100)),1)</definedName>
    <definedName name="L_Transitaires">OFFSET(Listes!$D$2,0,0,MAX(1,COUNTA(Listes!$D$2:$D$100)),1)</definedName>
    <definedName name="L_Types_Conteneur">OFFSET(Listes!$F$2,0,0,MAX(1,COUNTA(Listes!$F$2:$F$100)),1)</definedName>
    <definedName name="L_Types_Cout">OFFSET(Listes!$J$2,0,0,MAX(1,COUNTA(Listes!$J$2:$J$100)),1)</definedName>
    <definedName name="L_Types_Document">OFFSET(Listes!$G$2,0,0,MAX(1,COUNTA(Listes!$G$2:$G$100)),1)</definedName>
    <definedName name="LINERS">Listes!$B$2:$B$3</definedName>
    <definedName name="P_AlerteDoc">Listes!$M$3</definedName>
    <definedName name="P_AlerteETD">Listes!$M$2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9" l="1"/>
  <c r="I4" i="9"/>
  <c r="I5" i="9"/>
  <c r="I6" i="9"/>
  <c r="I7" i="9"/>
  <c r="I3" i="7" l="1"/>
  <c r="J3" i="7"/>
  <c r="K3" i="7" s="1"/>
  <c r="I4" i="7"/>
  <c r="J4" i="7"/>
  <c r="K4" i="7" s="1"/>
  <c r="I5" i="7"/>
  <c r="J5" i="7"/>
  <c r="K5" i="7" s="1"/>
  <c r="I6" i="7"/>
  <c r="J6" i="7"/>
  <c r="K6" i="7" s="1"/>
  <c r="I7" i="7"/>
  <c r="J7" i="7"/>
  <c r="K7" i="7" s="1"/>
  <c r="I8" i="7"/>
  <c r="J8" i="7"/>
  <c r="K8" i="7" s="1"/>
  <c r="I9" i="7"/>
  <c r="J9" i="7"/>
  <c r="K9" i="7" s="1"/>
  <c r="I10" i="7"/>
  <c r="J10" i="7"/>
  <c r="K10" i="7" s="1"/>
  <c r="I11" i="7"/>
  <c r="J11" i="7"/>
  <c r="K11" i="7" s="1"/>
  <c r="I12" i="7"/>
  <c r="J12" i="7"/>
  <c r="K12" i="7" s="1"/>
  <c r="I13" i="7"/>
  <c r="J13" i="7"/>
  <c r="K13" i="7"/>
  <c r="I14" i="7"/>
  <c r="J14" i="7"/>
  <c r="K14" i="7"/>
  <c r="I15" i="7"/>
  <c r="J15" i="7"/>
  <c r="K15" i="7"/>
  <c r="I16" i="7"/>
  <c r="J16" i="7"/>
  <c r="K16" i="7"/>
  <c r="I17" i="7"/>
  <c r="J17" i="7"/>
  <c r="K17" i="7"/>
  <c r="I18" i="7"/>
  <c r="J18" i="7"/>
  <c r="K18" i="7"/>
  <c r="H31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H1752" i="6"/>
  <c r="H1753" i="6"/>
  <c r="H1754" i="6"/>
  <c r="H1755" i="6"/>
  <c r="H1756" i="6"/>
  <c r="H1757" i="6"/>
  <c r="H1758" i="6"/>
  <c r="H1759" i="6"/>
  <c r="H1760" i="6"/>
  <c r="H1761" i="6"/>
  <c r="H1762" i="6"/>
  <c r="H1763" i="6"/>
  <c r="H1764" i="6"/>
  <c r="H1765" i="6"/>
  <c r="H1766" i="6"/>
  <c r="H1767" i="6"/>
  <c r="H1768" i="6"/>
  <c r="H1769" i="6"/>
  <c r="H1770" i="6"/>
  <c r="H1771" i="6"/>
  <c r="H1772" i="6"/>
  <c r="H1773" i="6"/>
  <c r="H1774" i="6"/>
  <c r="H1775" i="6"/>
  <c r="H1776" i="6"/>
  <c r="H1777" i="6"/>
  <c r="H1778" i="6"/>
  <c r="H1779" i="6"/>
  <c r="H1780" i="6"/>
  <c r="H1781" i="6"/>
  <c r="H1782" i="6"/>
  <c r="H1783" i="6"/>
  <c r="H1784" i="6"/>
  <c r="H1785" i="6"/>
  <c r="H1786" i="6"/>
  <c r="H1787" i="6"/>
  <c r="H1788" i="6"/>
  <c r="H1789" i="6"/>
  <c r="H1790" i="6"/>
  <c r="H1791" i="6"/>
  <c r="H1792" i="6"/>
  <c r="H1793" i="6"/>
  <c r="H1794" i="6"/>
  <c r="H1795" i="6"/>
  <c r="H1796" i="6"/>
  <c r="H1797" i="6"/>
  <c r="H1798" i="6"/>
  <c r="H1799" i="6"/>
  <c r="H1800" i="6"/>
  <c r="H1801" i="6"/>
  <c r="H1802" i="6"/>
  <c r="H1803" i="6"/>
  <c r="H1804" i="6"/>
  <c r="H1805" i="6"/>
  <c r="H1806" i="6"/>
  <c r="H1807" i="6"/>
  <c r="H1808" i="6"/>
  <c r="H1809" i="6"/>
  <c r="H1810" i="6"/>
  <c r="H1811" i="6"/>
  <c r="H1812" i="6"/>
  <c r="H1813" i="6"/>
  <c r="H1814" i="6"/>
  <c r="H1815" i="6"/>
  <c r="H1816" i="6"/>
  <c r="H1817" i="6"/>
  <c r="H1818" i="6"/>
  <c r="H1819" i="6"/>
  <c r="H1820" i="6"/>
  <c r="H1821" i="6"/>
  <c r="H1822" i="6"/>
  <c r="H1823" i="6"/>
  <c r="H1824" i="6"/>
  <c r="H1825" i="6"/>
  <c r="H1826" i="6"/>
  <c r="H1827" i="6"/>
  <c r="H1828" i="6"/>
  <c r="H1829" i="6"/>
  <c r="H1830" i="6"/>
  <c r="H1831" i="6"/>
  <c r="H1832" i="6"/>
  <c r="H1833" i="6"/>
  <c r="H1834" i="6"/>
  <c r="H1835" i="6"/>
  <c r="H1836" i="6"/>
  <c r="H1837" i="6"/>
  <c r="H1838" i="6"/>
  <c r="H1839" i="6"/>
  <c r="H1840" i="6"/>
  <c r="H1841" i="6"/>
  <c r="H1842" i="6"/>
  <c r="H1843" i="6"/>
  <c r="H1844" i="6"/>
  <c r="H1845" i="6"/>
  <c r="H1846" i="6"/>
  <c r="H1847" i="6"/>
  <c r="H1848" i="6"/>
  <c r="H1849" i="6"/>
  <c r="H1850" i="6"/>
  <c r="H1851" i="6"/>
  <c r="H1852" i="6"/>
  <c r="H1853" i="6"/>
  <c r="H1854" i="6"/>
  <c r="H1855" i="6"/>
  <c r="H1856" i="6"/>
  <c r="H1857" i="6"/>
  <c r="H1858" i="6"/>
  <c r="H1859" i="6"/>
  <c r="H1860" i="6"/>
  <c r="H1861" i="6"/>
  <c r="H1862" i="6"/>
  <c r="H1863" i="6"/>
  <c r="H1864" i="6"/>
  <c r="H1865" i="6"/>
  <c r="H1866" i="6"/>
  <c r="H1867" i="6"/>
  <c r="H1868" i="6"/>
  <c r="H1869" i="6"/>
  <c r="H1870" i="6"/>
  <c r="H1871" i="6"/>
  <c r="H1872" i="6"/>
  <c r="H1873" i="6"/>
  <c r="H1874" i="6"/>
  <c r="H1875" i="6"/>
  <c r="H1876" i="6"/>
  <c r="H1877" i="6"/>
  <c r="H1878" i="6"/>
  <c r="H1879" i="6"/>
  <c r="H1880" i="6"/>
  <c r="H1881" i="6"/>
  <c r="H1882" i="6"/>
  <c r="H1883" i="6"/>
  <c r="H1884" i="6"/>
  <c r="H1885" i="6"/>
  <c r="H1886" i="6"/>
  <c r="H1887" i="6"/>
  <c r="H1888" i="6"/>
  <c r="H1889" i="6"/>
  <c r="H1890" i="6"/>
  <c r="H1891" i="6"/>
  <c r="H1892" i="6"/>
  <c r="H1893" i="6"/>
  <c r="H1894" i="6"/>
  <c r="H1895" i="6"/>
  <c r="H1896" i="6"/>
  <c r="H1897" i="6"/>
  <c r="H1898" i="6"/>
  <c r="H1899" i="6"/>
  <c r="H1900" i="6"/>
  <c r="H1901" i="6"/>
  <c r="H1902" i="6"/>
  <c r="H1903" i="6"/>
  <c r="H1904" i="6"/>
  <c r="H1905" i="6"/>
  <c r="H1906" i="6"/>
  <c r="H1907" i="6"/>
  <c r="H1908" i="6"/>
  <c r="H1909" i="6"/>
  <c r="H1910" i="6"/>
  <c r="H1911" i="6"/>
  <c r="H1912" i="6"/>
  <c r="H1913" i="6"/>
  <c r="H1914" i="6"/>
  <c r="H1915" i="6"/>
  <c r="H1916" i="6"/>
  <c r="H1917" i="6"/>
  <c r="H1918" i="6"/>
  <c r="H1919" i="6"/>
  <c r="H1920" i="6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2430" i="6"/>
  <c r="H2431" i="6"/>
  <c r="H2432" i="6"/>
  <c r="H2433" i="6"/>
  <c r="H2434" i="6"/>
  <c r="H2435" i="6"/>
  <c r="H2436" i="6"/>
  <c r="H2437" i="6"/>
  <c r="H2438" i="6"/>
  <c r="H2439" i="6"/>
  <c r="H2440" i="6"/>
  <c r="H2441" i="6"/>
  <c r="H2442" i="6"/>
  <c r="H2443" i="6"/>
  <c r="H2444" i="6"/>
  <c r="H2445" i="6"/>
  <c r="H2446" i="6"/>
  <c r="H2447" i="6"/>
  <c r="H2448" i="6"/>
  <c r="H2449" i="6"/>
  <c r="H2450" i="6"/>
  <c r="H2451" i="6"/>
  <c r="H2452" i="6"/>
  <c r="H2453" i="6"/>
  <c r="H2454" i="6"/>
  <c r="H2455" i="6"/>
  <c r="H2456" i="6"/>
  <c r="H2457" i="6"/>
  <c r="H2458" i="6"/>
  <c r="H2459" i="6"/>
  <c r="H2460" i="6"/>
  <c r="H2461" i="6"/>
  <c r="H2462" i="6"/>
  <c r="H2463" i="6"/>
  <c r="H2464" i="6"/>
  <c r="H2465" i="6"/>
  <c r="H2466" i="6"/>
  <c r="H2467" i="6"/>
  <c r="H2468" i="6"/>
  <c r="H2469" i="6"/>
  <c r="H2470" i="6"/>
  <c r="H2471" i="6"/>
  <c r="H2472" i="6"/>
  <c r="H2473" i="6"/>
  <c r="H2474" i="6"/>
  <c r="H2475" i="6"/>
  <c r="H2476" i="6"/>
  <c r="H2477" i="6"/>
  <c r="H2478" i="6"/>
  <c r="H2479" i="6"/>
  <c r="H2480" i="6"/>
  <c r="H2481" i="6"/>
  <c r="H2482" i="6"/>
  <c r="H2483" i="6"/>
  <c r="H2484" i="6"/>
  <c r="H2485" i="6"/>
  <c r="H2486" i="6"/>
  <c r="H2487" i="6"/>
  <c r="H2488" i="6"/>
  <c r="H2489" i="6"/>
  <c r="H2490" i="6"/>
  <c r="H2491" i="6"/>
  <c r="H2492" i="6"/>
  <c r="H2493" i="6"/>
  <c r="H2494" i="6"/>
  <c r="H2495" i="6"/>
  <c r="H2496" i="6"/>
  <c r="H2497" i="6"/>
  <c r="H2498" i="6"/>
  <c r="H2499" i="6"/>
  <c r="H2500" i="6"/>
  <c r="H2501" i="6"/>
  <c r="H2502" i="6"/>
  <c r="H2503" i="6"/>
  <c r="H2504" i="6"/>
  <c r="H2505" i="6"/>
  <c r="H2506" i="6"/>
  <c r="H2507" i="6"/>
  <c r="H2508" i="6"/>
  <c r="H2509" i="6"/>
  <c r="H2510" i="6"/>
  <c r="H2511" i="6"/>
  <c r="H2512" i="6"/>
  <c r="H2513" i="6"/>
  <c r="H2514" i="6"/>
  <c r="H2515" i="6"/>
  <c r="H2516" i="6"/>
  <c r="H2517" i="6"/>
  <c r="H2518" i="6"/>
  <c r="H2519" i="6"/>
  <c r="H2520" i="6"/>
  <c r="H2521" i="6"/>
  <c r="H2522" i="6"/>
  <c r="H2523" i="6"/>
  <c r="H2524" i="6"/>
  <c r="H2525" i="6"/>
  <c r="H2526" i="6"/>
  <c r="H2527" i="6"/>
  <c r="H2528" i="6"/>
  <c r="H2529" i="6"/>
  <c r="H2530" i="6"/>
  <c r="H2531" i="6"/>
  <c r="H2532" i="6"/>
  <c r="H2533" i="6"/>
  <c r="H2534" i="6"/>
  <c r="H2535" i="6"/>
  <c r="H2536" i="6"/>
  <c r="H2537" i="6"/>
  <c r="H2538" i="6"/>
  <c r="H2539" i="6"/>
  <c r="H2540" i="6"/>
  <c r="H2541" i="6"/>
  <c r="H2542" i="6"/>
  <c r="H2543" i="6"/>
  <c r="H2544" i="6"/>
  <c r="H2545" i="6"/>
  <c r="H2546" i="6"/>
  <c r="H2547" i="6"/>
  <c r="H2548" i="6"/>
  <c r="H2549" i="6"/>
  <c r="H2550" i="6"/>
  <c r="H2551" i="6"/>
  <c r="H2552" i="6"/>
  <c r="H2553" i="6"/>
  <c r="H2554" i="6"/>
  <c r="H2555" i="6"/>
  <c r="H2556" i="6"/>
  <c r="H2557" i="6"/>
  <c r="H2558" i="6"/>
  <c r="H2559" i="6"/>
  <c r="H2560" i="6"/>
  <c r="H2561" i="6"/>
  <c r="H2562" i="6"/>
  <c r="H2563" i="6"/>
  <c r="H2564" i="6"/>
  <c r="H2565" i="6"/>
  <c r="H2566" i="6"/>
  <c r="H2567" i="6"/>
  <c r="H2568" i="6"/>
  <c r="H2569" i="6"/>
  <c r="H2570" i="6"/>
  <c r="H2571" i="6"/>
  <c r="H2572" i="6"/>
  <c r="H2573" i="6"/>
  <c r="H2574" i="6"/>
  <c r="H2575" i="6"/>
  <c r="H2576" i="6"/>
  <c r="H2577" i="6"/>
  <c r="H2578" i="6"/>
  <c r="H2579" i="6"/>
  <c r="H2580" i="6"/>
  <c r="H2581" i="6"/>
  <c r="H2582" i="6"/>
  <c r="H2583" i="6"/>
  <c r="H2584" i="6"/>
  <c r="H2585" i="6"/>
  <c r="H2586" i="6"/>
  <c r="H2587" i="6"/>
  <c r="H2588" i="6"/>
  <c r="H2589" i="6"/>
  <c r="H2590" i="6"/>
  <c r="H2591" i="6"/>
  <c r="H2592" i="6"/>
  <c r="H2593" i="6"/>
  <c r="H2594" i="6"/>
  <c r="H2595" i="6"/>
  <c r="H2596" i="6"/>
  <c r="H2597" i="6"/>
  <c r="H2598" i="6"/>
  <c r="H2599" i="6"/>
  <c r="H2600" i="6"/>
  <c r="H2601" i="6"/>
  <c r="H2602" i="6"/>
  <c r="H2603" i="6"/>
  <c r="H2604" i="6"/>
  <c r="H2605" i="6"/>
  <c r="H2606" i="6"/>
  <c r="H2607" i="6"/>
  <c r="H2608" i="6"/>
  <c r="H2609" i="6"/>
  <c r="H2610" i="6"/>
  <c r="H2611" i="6"/>
  <c r="H2612" i="6"/>
  <c r="H2613" i="6"/>
  <c r="H2614" i="6"/>
  <c r="H2615" i="6"/>
  <c r="H2616" i="6"/>
  <c r="H2617" i="6"/>
  <c r="H2618" i="6"/>
  <c r="H2619" i="6"/>
  <c r="H2620" i="6"/>
  <c r="H2621" i="6"/>
  <c r="H2622" i="6"/>
  <c r="H2623" i="6"/>
  <c r="H2624" i="6"/>
  <c r="H2625" i="6"/>
  <c r="H2626" i="6"/>
  <c r="H2627" i="6"/>
  <c r="H2628" i="6"/>
  <c r="H2629" i="6"/>
  <c r="H2630" i="6"/>
  <c r="H2631" i="6"/>
  <c r="H2632" i="6"/>
  <c r="H2633" i="6"/>
  <c r="H2634" i="6"/>
  <c r="H2635" i="6"/>
  <c r="H2636" i="6"/>
  <c r="H2637" i="6"/>
  <c r="H2638" i="6"/>
  <c r="H2639" i="6"/>
  <c r="H2640" i="6"/>
  <c r="H2641" i="6"/>
  <c r="H2642" i="6"/>
  <c r="H2643" i="6"/>
  <c r="H2644" i="6"/>
  <c r="H2645" i="6"/>
  <c r="H2646" i="6"/>
  <c r="H2647" i="6"/>
  <c r="H2648" i="6"/>
  <c r="H2649" i="6"/>
  <c r="H2650" i="6"/>
  <c r="H2651" i="6"/>
  <c r="H2652" i="6"/>
  <c r="H2653" i="6"/>
  <c r="H2654" i="6"/>
  <c r="H2655" i="6"/>
  <c r="H2656" i="6"/>
  <c r="H2657" i="6"/>
  <c r="H2658" i="6"/>
  <c r="H2659" i="6"/>
  <c r="H2660" i="6"/>
  <c r="H2661" i="6"/>
  <c r="H2662" i="6"/>
  <c r="H2663" i="6"/>
  <c r="H2664" i="6"/>
  <c r="H2665" i="6"/>
  <c r="H2666" i="6"/>
  <c r="H2667" i="6"/>
  <c r="H2668" i="6"/>
  <c r="H2669" i="6"/>
  <c r="H2670" i="6"/>
  <c r="H2671" i="6"/>
  <c r="H2672" i="6"/>
  <c r="H2673" i="6"/>
  <c r="H2674" i="6"/>
  <c r="H2675" i="6"/>
  <c r="H2676" i="6"/>
  <c r="H2677" i="6"/>
  <c r="H2678" i="6"/>
  <c r="H2679" i="6"/>
  <c r="H2680" i="6"/>
  <c r="H2681" i="6"/>
  <c r="H2682" i="6"/>
  <c r="H2683" i="6"/>
  <c r="H2684" i="6"/>
  <c r="H2685" i="6"/>
  <c r="H2686" i="6"/>
  <c r="H2687" i="6"/>
  <c r="H2688" i="6"/>
  <c r="H2689" i="6"/>
  <c r="H2690" i="6"/>
  <c r="H2691" i="6"/>
  <c r="H2692" i="6"/>
  <c r="H2693" i="6"/>
  <c r="H2694" i="6"/>
  <c r="H2695" i="6"/>
  <c r="H2696" i="6"/>
  <c r="H2697" i="6"/>
  <c r="H2698" i="6"/>
  <c r="H2699" i="6"/>
  <c r="H2700" i="6"/>
  <c r="H2701" i="6"/>
  <c r="H2702" i="6"/>
  <c r="H2703" i="6"/>
  <c r="H2704" i="6"/>
  <c r="H2705" i="6"/>
  <c r="H2706" i="6"/>
  <c r="H2707" i="6"/>
  <c r="H2708" i="6"/>
  <c r="H2709" i="6"/>
  <c r="H2710" i="6"/>
  <c r="H2711" i="6"/>
  <c r="H2712" i="6"/>
  <c r="H2713" i="6"/>
  <c r="H2714" i="6"/>
  <c r="H2715" i="6"/>
  <c r="H2716" i="6"/>
  <c r="H2717" i="6"/>
  <c r="H2718" i="6"/>
  <c r="H2719" i="6"/>
  <c r="H2720" i="6"/>
  <c r="H2721" i="6"/>
  <c r="H2722" i="6"/>
  <c r="H2723" i="6"/>
  <c r="H2724" i="6"/>
  <c r="H2725" i="6"/>
  <c r="H2726" i="6"/>
  <c r="H2727" i="6"/>
  <c r="H2728" i="6"/>
  <c r="H2729" i="6"/>
  <c r="H2730" i="6"/>
  <c r="H2731" i="6"/>
  <c r="H2732" i="6"/>
  <c r="H2733" i="6"/>
  <c r="H2734" i="6"/>
  <c r="H2735" i="6"/>
  <c r="H2736" i="6"/>
  <c r="H2737" i="6"/>
  <c r="H2738" i="6"/>
  <c r="H2739" i="6"/>
  <c r="H2740" i="6"/>
  <c r="H2741" i="6"/>
  <c r="H2742" i="6"/>
  <c r="H2743" i="6"/>
  <c r="H2744" i="6"/>
  <c r="H2745" i="6"/>
  <c r="H2746" i="6"/>
  <c r="H2747" i="6"/>
  <c r="H2748" i="6"/>
  <c r="H2749" i="6"/>
  <c r="H2750" i="6"/>
  <c r="H2751" i="6"/>
  <c r="H2752" i="6"/>
  <c r="H2753" i="6"/>
  <c r="H2754" i="6"/>
  <c r="H2755" i="6"/>
  <c r="H2756" i="6"/>
  <c r="H2757" i="6"/>
  <c r="H2758" i="6"/>
  <c r="H2759" i="6"/>
  <c r="H2760" i="6"/>
  <c r="H2761" i="6"/>
  <c r="H2762" i="6"/>
  <c r="H2763" i="6"/>
  <c r="H2764" i="6"/>
  <c r="H2765" i="6"/>
  <c r="H2766" i="6"/>
  <c r="H2767" i="6"/>
  <c r="H2768" i="6"/>
  <c r="H2769" i="6"/>
  <c r="H2770" i="6"/>
  <c r="H2771" i="6"/>
  <c r="H2772" i="6"/>
  <c r="H2773" i="6"/>
  <c r="H2774" i="6"/>
  <c r="H2775" i="6"/>
  <c r="H2776" i="6"/>
  <c r="H2777" i="6"/>
  <c r="H2778" i="6"/>
  <c r="H2779" i="6"/>
  <c r="H2780" i="6"/>
  <c r="H2781" i="6"/>
  <c r="H2782" i="6"/>
  <c r="H2783" i="6"/>
  <c r="H2784" i="6"/>
  <c r="H2785" i="6"/>
  <c r="H2786" i="6"/>
  <c r="H2787" i="6"/>
  <c r="H2788" i="6"/>
  <c r="H2789" i="6"/>
  <c r="H2790" i="6"/>
  <c r="H2791" i="6"/>
  <c r="H2792" i="6"/>
  <c r="H2793" i="6"/>
  <c r="H2794" i="6"/>
  <c r="H2795" i="6"/>
  <c r="H2796" i="6"/>
  <c r="H2797" i="6"/>
  <c r="H2798" i="6"/>
  <c r="H2799" i="6"/>
  <c r="H2800" i="6"/>
  <c r="H2801" i="6"/>
  <c r="H2802" i="6"/>
  <c r="H2803" i="6"/>
  <c r="H2804" i="6"/>
  <c r="H2805" i="6"/>
  <c r="H2806" i="6"/>
  <c r="H2807" i="6"/>
  <c r="H2808" i="6"/>
  <c r="H2809" i="6"/>
  <c r="H2810" i="6"/>
  <c r="H2811" i="6"/>
  <c r="H2812" i="6"/>
  <c r="H2813" i="6"/>
  <c r="H2814" i="6"/>
  <c r="H2815" i="6"/>
  <c r="H2816" i="6"/>
  <c r="H2817" i="6"/>
  <c r="H2818" i="6"/>
  <c r="H2819" i="6"/>
  <c r="H2820" i="6"/>
  <c r="H2821" i="6"/>
  <c r="H2822" i="6"/>
  <c r="H2823" i="6"/>
  <c r="H2824" i="6"/>
  <c r="H2825" i="6"/>
  <c r="H2826" i="6"/>
  <c r="H2827" i="6"/>
  <c r="H2828" i="6"/>
  <c r="H2829" i="6"/>
  <c r="H2830" i="6"/>
  <c r="H2831" i="6"/>
  <c r="H2832" i="6"/>
  <c r="H2833" i="6"/>
  <c r="H2834" i="6"/>
  <c r="H2835" i="6"/>
  <c r="H2836" i="6"/>
  <c r="H2837" i="6"/>
  <c r="H2838" i="6"/>
  <c r="H2839" i="6"/>
  <c r="H2840" i="6"/>
  <c r="H2841" i="6"/>
  <c r="H2842" i="6"/>
  <c r="H2843" i="6"/>
  <c r="H2844" i="6"/>
  <c r="H2845" i="6"/>
  <c r="H2846" i="6"/>
  <c r="H2847" i="6"/>
  <c r="H2848" i="6"/>
  <c r="H2849" i="6"/>
  <c r="H2850" i="6"/>
  <c r="H2851" i="6"/>
  <c r="H2852" i="6"/>
  <c r="H2853" i="6"/>
  <c r="H2854" i="6"/>
  <c r="H2855" i="6"/>
  <c r="H2856" i="6"/>
  <c r="H2857" i="6"/>
  <c r="H2858" i="6"/>
  <c r="H2859" i="6"/>
  <c r="H2860" i="6"/>
  <c r="H2861" i="6"/>
  <c r="H2862" i="6"/>
  <c r="H2863" i="6"/>
  <c r="H2864" i="6"/>
  <c r="H2865" i="6"/>
  <c r="H2866" i="6"/>
  <c r="H2867" i="6"/>
  <c r="H2868" i="6"/>
  <c r="H2869" i="6"/>
  <c r="H2870" i="6"/>
  <c r="H2871" i="6"/>
  <c r="H2872" i="6"/>
  <c r="H2873" i="6"/>
  <c r="H2874" i="6"/>
  <c r="H2875" i="6"/>
  <c r="H2876" i="6"/>
  <c r="H2877" i="6"/>
  <c r="H2878" i="6"/>
  <c r="H2879" i="6"/>
  <c r="H2880" i="6"/>
  <c r="H2881" i="6"/>
  <c r="H2882" i="6"/>
  <c r="H2883" i="6"/>
  <c r="H2884" i="6"/>
  <c r="H2885" i="6"/>
  <c r="H2886" i="6"/>
  <c r="H2887" i="6"/>
  <c r="H2888" i="6"/>
  <c r="H2889" i="6"/>
  <c r="H2890" i="6"/>
  <c r="H2891" i="6"/>
  <c r="H2892" i="6"/>
  <c r="H2893" i="6"/>
  <c r="H2894" i="6"/>
  <c r="H2895" i="6"/>
  <c r="H2896" i="6"/>
  <c r="H2897" i="6"/>
  <c r="H2898" i="6"/>
  <c r="H2899" i="6"/>
  <c r="H2900" i="6"/>
  <c r="H2901" i="6"/>
  <c r="H2902" i="6"/>
  <c r="H2903" i="6"/>
  <c r="H2904" i="6"/>
  <c r="H2905" i="6"/>
  <c r="H2906" i="6"/>
  <c r="H2907" i="6"/>
  <c r="H2908" i="6"/>
  <c r="H2909" i="6"/>
  <c r="H2910" i="6"/>
  <c r="H2911" i="6"/>
  <c r="H2912" i="6"/>
  <c r="H2913" i="6"/>
  <c r="H2914" i="6"/>
  <c r="H2915" i="6"/>
  <c r="H2916" i="6"/>
  <c r="H2917" i="6"/>
  <c r="H2918" i="6"/>
  <c r="H2919" i="6"/>
  <c r="H2920" i="6"/>
  <c r="H2921" i="6"/>
  <c r="H2922" i="6"/>
  <c r="H2923" i="6"/>
  <c r="H2924" i="6"/>
  <c r="H2925" i="6"/>
  <c r="H2926" i="6"/>
  <c r="H2927" i="6"/>
  <c r="H2928" i="6"/>
  <c r="H2929" i="6"/>
  <c r="H2930" i="6"/>
  <c r="H2931" i="6"/>
  <c r="H2932" i="6"/>
  <c r="H2933" i="6"/>
  <c r="H2934" i="6"/>
  <c r="H2935" i="6"/>
  <c r="H2936" i="6"/>
  <c r="H2937" i="6"/>
  <c r="H2938" i="6"/>
  <c r="H2939" i="6"/>
  <c r="H2940" i="6"/>
  <c r="H2941" i="6"/>
  <c r="H2942" i="6"/>
  <c r="H2943" i="6"/>
  <c r="H2944" i="6"/>
  <c r="H2945" i="6"/>
  <c r="H2946" i="6"/>
  <c r="H2947" i="6"/>
  <c r="H2948" i="6"/>
  <c r="H2949" i="6"/>
  <c r="H2950" i="6"/>
  <c r="H2951" i="6"/>
  <c r="H2952" i="6"/>
  <c r="H2953" i="6"/>
  <c r="H2954" i="6"/>
  <c r="H2955" i="6"/>
  <c r="H2956" i="6"/>
  <c r="H2957" i="6"/>
  <c r="H2958" i="6"/>
  <c r="H2959" i="6"/>
  <c r="H2960" i="6"/>
  <c r="H2961" i="6"/>
  <c r="H2962" i="6"/>
  <c r="H2963" i="6"/>
  <c r="H2964" i="6"/>
  <c r="H2965" i="6"/>
  <c r="H2966" i="6"/>
  <c r="H2967" i="6"/>
  <c r="H2968" i="6"/>
  <c r="H2969" i="6"/>
  <c r="H2970" i="6"/>
  <c r="H2971" i="6"/>
  <c r="H2972" i="6"/>
  <c r="H2973" i="6"/>
  <c r="H2974" i="6"/>
  <c r="H2975" i="6"/>
  <c r="H2976" i="6"/>
  <c r="H2977" i="6"/>
  <c r="H2978" i="6"/>
  <c r="H2979" i="6"/>
  <c r="H2980" i="6"/>
  <c r="H2981" i="6"/>
  <c r="H2982" i="6"/>
  <c r="H2983" i="6"/>
  <c r="H2984" i="6"/>
  <c r="H2985" i="6"/>
  <c r="H2986" i="6"/>
  <c r="H2987" i="6"/>
  <c r="H2988" i="6"/>
  <c r="H2989" i="6"/>
  <c r="H2990" i="6"/>
  <c r="H2991" i="6"/>
  <c r="H2992" i="6"/>
  <c r="H2993" i="6"/>
  <c r="H2994" i="6"/>
  <c r="H2995" i="6"/>
  <c r="H2996" i="6"/>
  <c r="H2997" i="6"/>
  <c r="H2998" i="6"/>
  <c r="H2999" i="6"/>
  <c r="H3000" i="6"/>
  <c r="H3001" i="6"/>
  <c r="H3002" i="6"/>
  <c r="H3003" i="6"/>
  <c r="H3004" i="6"/>
  <c r="H3005" i="6"/>
  <c r="H3006" i="6"/>
  <c r="H3007" i="6"/>
  <c r="H3008" i="6"/>
  <c r="H3009" i="6"/>
  <c r="H3010" i="6"/>
  <c r="H3011" i="6"/>
  <c r="H3012" i="6"/>
  <c r="H3013" i="6"/>
  <c r="H3014" i="6"/>
  <c r="H3015" i="6"/>
  <c r="H3016" i="6"/>
  <c r="H3017" i="6"/>
  <c r="H3018" i="6"/>
  <c r="H3019" i="6"/>
  <c r="H3020" i="6"/>
  <c r="H3021" i="6"/>
  <c r="H3022" i="6"/>
  <c r="H3023" i="6"/>
  <c r="H3024" i="6"/>
  <c r="H3025" i="6"/>
  <c r="H3026" i="6"/>
  <c r="H3027" i="6"/>
  <c r="H3028" i="6"/>
  <c r="H3029" i="6"/>
  <c r="H3030" i="6"/>
  <c r="H3031" i="6"/>
  <c r="H3032" i="6"/>
  <c r="H3033" i="6"/>
  <c r="H3034" i="6"/>
  <c r="H3035" i="6"/>
  <c r="H3036" i="6"/>
  <c r="H3037" i="6"/>
  <c r="H3038" i="6"/>
  <c r="H3039" i="6"/>
  <c r="H3040" i="6"/>
  <c r="H3041" i="6"/>
  <c r="H3042" i="6"/>
  <c r="H3043" i="6"/>
  <c r="H3044" i="6"/>
  <c r="H3045" i="6"/>
  <c r="H3046" i="6"/>
  <c r="H3047" i="6"/>
  <c r="H3048" i="6"/>
  <c r="H3049" i="6"/>
  <c r="H3050" i="6"/>
  <c r="H3051" i="6"/>
  <c r="H3052" i="6"/>
  <c r="H3053" i="6"/>
  <c r="H3054" i="6"/>
  <c r="H3055" i="6"/>
  <c r="H3056" i="6"/>
  <c r="H3057" i="6"/>
  <c r="H3058" i="6"/>
  <c r="H3059" i="6"/>
  <c r="H3060" i="6"/>
  <c r="H3061" i="6"/>
  <c r="H3062" i="6"/>
  <c r="H3063" i="6"/>
  <c r="H3064" i="6"/>
  <c r="H3065" i="6"/>
  <c r="H3066" i="6"/>
  <c r="H3067" i="6"/>
  <c r="H3068" i="6"/>
  <c r="H3069" i="6"/>
  <c r="H3070" i="6"/>
  <c r="H3071" i="6"/>
  <c r="H3072" i="6"/>
  <c r="H3073" i="6"/>
  <c r="H3074" i="6"/>
  <c r="H3075" i="6"/>
  <c r="H3076" i="6"/>
  <c r="H3077" i="6"/>
  <c r="H3078" i="6"/>
  <c r="H3079" i="6"/>
  <c r="H3080" i="6"/>
  <c r="H3081" i="6"/>
  <c r="H3082" i="6"/>
  <c r="H3083" i="6"/>
  <c r="H3084" i="6"/>
  <c r="H3085" i="6"/>
  <c r="H3086" i="6"/>
  <c r="H3087" i="6"/>
  <c r="H3088" i="6"/>
  <c r="H3089" i="6"/>
  <c r="H3090" i="6"/>
  <c r="H3091" i="6"/>
  <c r="H3092" i="6"/>
  <c r="H3093" i="6"/>
  <c r="H3094" i="6"/>
  <c r="H3095" i="6"/>
  <c r="H3096" i="6"/>
  <c r="H3097" i="6"/>
  <c r="H3098" i="6"/>
  <c r="H3099" i="6"/>
  <c r="H3100" i="6"/>
  <c r="H3101" i="6"/>
  <c r="H3102" i="6"/>
  <c r="H3103" i="6"/>
  <c r="H3104" i="6"/>
  <c r="H3105" i="6"/>
  <c r="H3106" i="6"/>
  <c r="H3107" i="6"/>
  <c r="H3108" i="6"/>
  <c r="H3109" i="6"/>
  <c r="H3110" i="6"/>
  <c r="H3111" i="6"/>
  <c r="H3112" i="6"/>
  <c r="H3113" i="6"/>
  <c r="H3114" i="6"/>
  <c r="H3115" i="6"/>
  <c r="H3116" i="6"/>
  <c r="H3117" i="6"/>
  <c r="H3118" i="6"/>
  <c r="H3119" i="6"/>
  <c r="H3120" i="6"/>
  <c r="H3121" i="6"/>
  <c r="H3122" i="6"/>
  <c r="H3123" i="6"/>
  <c r="H3124" i="6"/>
  <c r="H3125" i="6"/>
  <c r="H3126" i="6"/>
  <c r="H3127" i="6"/>
  <c r="H3128" i="6"/>
  <c r="H3129" i="6"/>
  <c r="H3130" i="6"/>
  <c r="H3131" i="6"/>
  <c r="H3132" i="6"/>
  <c r="H3133" i="6"/>
  <c r="H3134" i="6"/>
  <c r="H3135" i="6"/>
  <c r="H3136" i="6"/>
  <c r="H3137" i="6"/>
  <c r="H3138" i="6"/>
  <c r="H3139" i="6"/>
  <c r="H3140" i="6"/>
  <c r="H3141" i="6"/>
  <c r="H3142" i="6"/>
  <c r="H3143" i="6"/>
  <c r="H3144" i="6"/>
  <c r="H3145" i="6"/>
  <c r="H3146" i="6"/>
  <c r="H3147" i="6"/>
  <c r="H3148" i="6"/>
  <c r="H3149" i="6"/>
  <c r="H3150" i="6"/>
  <c r="H3151" i="6"/>
  <c r="H3152" i="6"/>
  <c r="H3153" i="6"/>
  <c r="H3154" i="6"/>
  <c r="H3155" i="6"/>
  <c r="H3156" i="6"/>
  <c r="H3157" i="6"/>
  <c r="H3158" i="6"/>
  <c r="H3159" i="6"/>
  <c r="H3160" i="6"/>
  <c r="H3161" i="6"/>
  <c r="H3162" i="6"/>
  <c r="H3163" i="6"/>
  <c r="H3164" i="6"/>
  <c r="H3165" i="6"/>
  <c r="H3166" i="6"/>
  <c r="H3167" i="6"/>
  <c r="H3168" i="6"/>
  <c r="H3169" i="6"/>
  <c r="H3170" i="6"/>
  <c r="H3171" i="6"/>
  <c r="H3172" i="6"/>
  <c r="H3173" i="6"/>
  <c r="H3174" i="6"/>
  <c r="H3175" i="6"/>
  <c r="H3176" i="6"/>
  <c r="H3177" i="6"/>
  <c r="H3178" i="6"/>
  <c r="H3179" i="6"/>
  <c r="H3180" i="6"/>
  <c r="H3181" i="6"/>
  <c r="H3182" i="6"/>
  <c r="H3183" i="6"/>
  <c r="H3184" i="6"/>
  <c r="H3185" i="6"/>
  <c r="H3186" i="6"/>
  <c r="H3187" i="6"/>
  <c r="H3188" i="6"/>
  <c r="H3189" i="6"/>
  <c r="H3190" i="6"/>
  <c r="H3191" i="6"/>
  <c r="H3192" i="6"/>
  <c r="H3193" i="6"/>
  <c r="H3194" i="6"/>
  <c r="H3195" i="6"/>
  <c r="H3196" i="6"/>
  <c r="H3197" i="6"/>
  <c r="H3198" i="6"/>
  <c r="H3199" i="6"/>
  <c r="H3200" i="6"/>
  <c r="H3201" i="6"/>
  <c r="H3202" i="6"/>
  <c r="H3203" i="6"/>
  <c r="H3204" i="6"/>
  <c r="H3205" i="6"/>
  <c r="H3206" i="6"/>
  <c r="H3207" i="6"/>
  <c r="H3208" i="6"/>
  <c r="H3209" i="6"/>
  <c r="H3210" i="6"/>
  <c r="H3211" i="6"/>
  <c r="H3212" i="6"/>
  <c r="H3213" i="6"/>
  <c r="H3214" i="6"/>
  <c r="H3215" i="6"/>
  <c r="H3216" i="6"/>
  <c r="H3217" i="6"/>
  <c r="H3218" i="6"/>
  <c r="H3219" i="6"/>
  <c r="H3220" i="6"/>
  <c r="H3221" i="6"/>
  <c r="H3222" i="6"/>
  <c r="H3223" i="6"/>
  <c r="H3224" i="6"/>
  <c r="H3225" i="6"/>
  <c r="H3226" i="6"/>
  <c r="H3227" i="6"/>
  <c r="H3228" i="6"/>
  <c r="H3229" i="6"/>
  <c r="H3230" i="6"/>
  <c r="H3231" i="6"/>
  <c r="H3232" i="6"/>
  <c r="H3233" i="6"/>
  <c r="H3234" i="6"/>
  <c r="H3235" i="6"/>
  <c r="H3236" i="6"/>
  <c r="H3237" i="6"/>
  <c r="H3238" i="6"/>
  <c r="H3239" i="6"/>
  <c r="H3240" i="6"/>
  <c r="H3241" i="6"/>
  <c r="H3242" i="6"/>
  <c r="H3243" i="6"/>
  <c r="H3244" i="6"/>
  <c r="H3245" i="6"/>
  <c r="H3246" i="6"/>
  <c r="H3247" i="6"/>
  <c r="H3248" i="6"/>
  <c r="H3249" i="6"/>
  <c r="H3250" i="6"/>
  <c r="H3251" i="6"/>
  <c r="H3252" i="6"/>
  <c r="H3253" i="6"/>
  <c r="H3254" i="6"/>
  <c r="H3255" i="6"/>
  <c r="H3256" i="6"/>
  <c r="H3257" i="6"/>
  <c r="H3258" i="6"/>
  <c r="H3259" i="6"/>
  <c r="H3260" i="6"/>
  <c r="H3261" i="6"/>
  <c r="H3262" i="6"/>
  <c r="H3263" i="6"/>
  <c r="H3264" i="6"/>
  <c r="H3265" i="6"/>
  <c r="H3266" i="6"/>
  <c r="H3267" i="6"/>
  <c r="H3268" i="6"/>
  <c r="H3269" i="6"/>
  <c r="H3270" i="6"/>
  <c r="H3271" i="6"/>
  <c r="H3272" i="6"/>
  <c r="H3273" i="6"/>
  <c r="H3274" i="6"/>
  <c r="H3275" i="6"/>
  <c r="H3276" i="6"/>
  <c r="H3277" i="6"/>
  <c r="H3278" i="6"/>
  <c r="H3279" i="6"/>
  <c r="H3280" i="6"/>
  <c r="H3281" i="6"/>
  <c r="H3282" i="6"/>
  <c r="H3283" i="6"/>
  <c r="H3284" i="6"/>
  <c r="H3285" i="6"/>
  <c r="H3286" i="6"/>
  <c r="H3287" i="6"/>
  <c r="H3288" i="6"/>
  <c r="H3289" i="6"/>
  <c r="H3290" i="6"/>
  <c r="H3291" i="6"/>
  <c r="H3292" i="6"/>
  <c r="H3293" i="6"/>
  <c r="H3294" i="6"/>
  <c r="H3295" i="6"/>
  <c r="H3296" i="6"/>
  <c r="H3297" i="6"/>
  <c r="H3298" i="6"/>
  <c r="H3299" i="6"/>
  <c r="H3300" i="6"/>
  <c r="H3301" i="6"/>
  <c r="H3302" i="6"/>
  <c r="H3303" i="6"/>
  <c r="H3304" i="6"/>
  <c r="H3305" i="6"/>
  <c r="H3306" i="6"/>
  <c r="H3307" i="6"/>
  <c r="H3308" i="6"/>
  <c r="H3309" i="6"/>
  <c r="H3310" i="6"/>
  <c r="H3311" i="6"/>
  <c r="H3312" i="6"/>
  <c r="H3313" i="6"/>
  <c r="H3314" i="6"/>
  <c r="H3315" i="6"/>
  <c r="H3316" i="6"/>
  <c r="H3317" i="6"/>
  <c r="H3318" i="6"/>
  <c r="H3319" i="6"/>
  <c r="H3320" i="6"/>
  <c r="H3321" i="6"/>
  <c r="H3322" i="6"/>
  <c r="H3323" i="6"/>
  <c r="H3324" i="6"/>
  <c r="H3325" i="6"/>
  <c r="H3326" i="6"/>
  <c r="H3327" i="6"/>
  <c r="H3328" i="6"/>
  <c r="H3329" i="6"/>
  <c r="H3330" i="6"/>
  <c r="H3331" i="6"/>
  <c r="H3332" i="6"/>
  <c r="H3333" i="6"/>
  <c r="H3334" i="6"/>
  <c r="H3335" i="6"/>
  <c r="H3336" i="6"/>
  <c r="H3337" i="6"/>
  <c r="H3338" i="6"/>
  <c r="H3339" i="6"/>
  <c r="H3340" i="6"/>
  <c r="H3341" i="6"/>
  <c r="H3342" i="6"/>
  <c r="H3343" i="6"/>
  <c r="H3344" i="6"/>
  <c r="H3345" i="6"/>
  <c r="H3346" i="6"/>
  <c r="H3347" i="6"/>
  <c r="H3348" i="6"/>
  <c r="H3349" i="6"/>
  <c r="H3350" i="6"/>
  <c r="H3351" i="6"/>
  <c r="H3352" i="6"/>
  <c r="H3353" i="6"/>
  <c r="H3354" i="6"/>
  <c r="H3355" i="6"/>
  <c r="H3356" i="6"/>
  <c r="H3357" i="6"/>
  <c r="H3358" i="6"/>
  <c r="H3359" i="6"/>
  <c r="H3360" i="6"/>
  <c r="H3361" i="6"/>
  <c r="H3362" i="6"/>
  <c r="H3363" i="6"/>
  <c r="H3364" i="6"/>
  <c r="H3365" i="6"/>
  <c r="H3366" i="6"/>
  <c r="H3367" i="6"/>
  <c r="H3368" i="6"/>
  <c r="H3369" i="6"/>
  <c r="H3370" i="6"/>
  <c r="H3371" i="6"/>
  <c r="H3372" i="6"/>
  <c r="H3373" i="6"/>
  <c r="H3374" i="6"/>
  <c r="H3375" i="6"/>
  <c r="H3376" i="6"/>
  <c r="H3377" i="6"/>
  <c r="H3378" i="6"/>
  <c r="H3379" i="6"/>
  <c r="H3380" i="6"/>
  <c r="H3381" i="6"/>
  <c r="H3382" i="6"/>
  <c r="H3383" i="6"/>
  <c r="H3384" i="6"/>
  <c r="H3385" i="6"/>
  <c r="H3386" i="6"/>
  <c r="H3387" i="6"/>
  <c r="H3388" i="6"/>
  <c r="H3389" i="6"/>
  <c r="H3390" i="6"/>
  <c r="H3391" i="6"/>
  <c r="H3392" i="6"/>
  <c r="H3393" i="6"/>
  <c r="H3394" i="6"/>
  <c r="H3395" i="6"/>
  <c r="H3396" i="6"/>
  <c r="H3397" i="6"/>
  <c r="H3398" i="6"/>
  <c r="H3399" i="6"/>
  <c r="H3400" i="6"/>
  <c r="H3401" i="6"/>
  <c r="H3402" i="6"/>
  <c r="H3403" i="6"/>
  <c r="H3404" i="6"/>
  <c r="H3405" i="6"/>
  <c r="H3406" i="6"/>
  <c r="H3407" i="6"/>
  <c r="H3408" i="6"/>
  <c r="H3409" i="6"/>
  <c r="H3410" i="6"/>
  <c r="H3411" i="6"/>
  <c r="H3412" i="6"/>
  <c r="H3413" i="6"/>
  <c r="H3414" i="6"/>
  <c r="H3415" i="6"/>
  <c r="H3416" i="6"/>
  <c r="H3417" i="6"/>
  <c r="H3418" i="6"/>
  <c r="H3419" i="6"/>
  <c r="H3420" i="6"/>
  <c r="H3421" i="6"/>
  <c r="H3422" i="6"/>
  <c r="H3423" i="6"/>
  <c r="H3424" i="6"/>
  <c r="H3425" i="6"/>
  <c r="H3426" i="6"/>
  <c r="H3427" i="6"/>
  <c r="H3428" i="6"/>
  <c r="H3429" i="6"/>
  <c r="H3430" i="6"/>
  <c r="H3431" i="6"/>
  <c r="H3432" i="6"/>
  <c r="H3433" i="6"/>
  <c r="H3434" i="6"/>
  <c r="H3435" i="6"/>
  <c r="H3436" i="6"/>
  <c r="H3437" i="6"/>
  <c r="H3438" i="6"/>
  <c r="H3439" i="6"/>
  <c r="H3440" i="6"/>
  <c r="H3441" i="6"/>
  <c r="H3442" i="6"/>
  <c r="H3443" i="6"/>
  <c r="H3444" i="6"/>
  <c r="H3445" i="6"/>
  <c r="H3446" i="6"/>
  <c r="H3447" i="6"/>
  <c r="H3448" i="6"/>
  <c r="H3449" i="6"/>
  <c r="H3450" i="6"/>
  <c r="H3451" i="6"/>
  <c r="H3452" i="6"/>
  <c r="H3453" i="6"/>
  <c r="H3454" i="6"/>
  <c r="H3455" i="6"/>
  <c r="H3456" i="6"/>
  <c r="H3457" i="6"/>
  <c r="H3458" i="6"/>
  <c r="H3459" i="6"/>
  <c r="H3460" i="6"/>
  <c r="H3461" i="6"/>
  <c r="H3462" i="6"/>
  <c r="H3463" i="6"/>
  <c r="H3464" i="6"/>
  <c r="H3465" i="6"/>
  <c r="H3466" i="6"/>
  <c r="H3467" i="6"/>
  <c r="H3468" i="6"/>
  <c r="H3469" i="6"/>
  <c r="H3470" i="6"/>
  <c r="H3471" i="6"/>
  <c r="H3472" i="6"/>
  <c r="H3473" i="6"/>
  <c r="H3474" i="6"/>
  <c r="H3475" i="6"/>
  <c r="H3476" i="6"/>
  <c r="H3477" i="6"/>
  <c r="H3478" i="6"/>
  <c r="H3479" i="6"/>
  <c r="H3480" i="6"/>
  <c r="H3481" i="6"/>
  <c r="H3482" i="6"/>
  <c r="H3483" i="6"/>
  <c r="H3484" i="6"/>
  <c r="H3485" i="6"/>
  <c r="H3486" i="6"/>
  <c r="H3487" i="6"/>
  <c r="H3488" i="6"/>
  <c r="H3489" i="6"/>
  <c r="H3490" i="6"/>
  <c r="H3491" i="6"/>
  <c r="H3492" i="6"/>
  <c r="H3493" i="6"/>
  <c r="H3494" i="6"/>
  <c r="H3495" i="6"/>
  <c r="H3496" i="6"/>
  <c r="H3497" i="6"/>
  <c r="H3498" i="6"/>
  <c r="H3499" i="6"/>
  <c r="H3500" i="6"/>
  <c r="H3501" i="6"/>
  <c r="H3502" i="6"/>
  <c r="H3503" i="6"/>
  <c r="H3504" i="6"/>
  <c r="H3505" i="6"/>
  <c r="H3506" i="6"/>
  <c r="H3507" i="6"/>
  <c r="H3508" i="6"/>
  <c r="H3509" i="6"/>
  <c r="H3510" i="6"/>
  <c r="H3511" i="6"/>
  <c r="H3512" i="6"/>
  <c r="H3513" i="6"/>
  <c r="H3514" i="6"/>
  <c r="H3515" i="6"/>
  <c r="H3516" i="6"/>
  <c r="H3517" i="6"/>
  <c r="H3518" i="6"/>
  <c r="H3519" i="6"/>
  <c r="H3520" i="6"/>
  <c r="H3521" i="6"/>
  <c r="H3522" i="6"/>
  <c r="H3523" i="6"/>
  <c r="H3524" i="6"/>
  <c r="H3525" i="6"/>
  <c r="H3526" i="6"/>
  <c r="H3527" i="6"/>
  <c r="H3528" i="6"/>
  <c r="H3529" i="6"/>
  <c r="H3530" i="6"/>
  <c r="H3531" i="6"/>
  <c r="H3532" i="6"/>
  <c r="H3533" i="6"/>
  <c r="H3534" i="6"/>
  <c r="H3535" i="6"/>
  <c r="H3536" i="6"/>
  <c r="H3537" i="6"/>
  <c r="H3538" i="6"/>
  <c r="H3539" i="6"/>
  <c r="H3540" i="6"/>
  <c r="H3541" i="6"/>
  <c r="H3542" i="6"/>
  <c r="H3543" i="6"/>
  <c r="H3544" i="6"/>
  <c r="H3545" i="6"/>
  <c r="H3546" i="6"/>
  <c r="H3547" i="6"/>
  <c r="H3548" i="6"/>
  <c r="H3549" i="6"/>
  <c r="H3550" i="6"/>
  <c r="H3551" i="6"/>
  <c r="H3552" i="6"/>
  <c r="H3553" i="6"/>
  <c r="H3554" i="6"/>
  <c r="H3555" i="6"/>
  <c r="H3556" i="6"/>
  <c r="H3557" i="6"/>
  <c r="H3558" i="6"/>
  <c r="H3559" i="6"/>
  <c r="H3560" i="6"/>
  <c r="H3561" i="6"/>
  <c r="H3562" i="6"/>
  <c r="H3563" i="6"/>
  <c r="H3564" i="6"/>
  <c r="H3565" i="6"/>
  <c r="H3566" i="6"/>
  <c r="H3567" i="6"/>
  <c r="H3568" i="6"/>
  <c r="H3569" i="6"/>
  <c r="H3570" i="6"/>
  <c r="H3571" i="6"/>
  <c r="H3572" i="6"/>
  <c r="H3573" i="6"/>
  <c r="H3574" i="6"/>
  <c r="H3575" i="6"/>
  <c r="H3576" i="6"/>
  <c r="H3577" i="6"/>
  <c r="H3578" i="6"/>
  <c r="H3579" i="6"/>
  <c r="H3580" i="6"/>
  <c r="H3581" i="6"/>
  <c r="H3582" i="6"/>
  <c r="H3583" i="6"/>
  <c r="H3584" i="6"/>
  <c r="H3585" i="6"/>
  <c r="H3586" i="6"/>
  <c r="H3587" i="6"/>
  <c r="H3588" i="6"/>
  <c r="H3589" i="6"/>
  <c r="H3590" i="6"/>
  <c r="H3591" i="6"/>
  <c r="H3592" i="6"/>
  <c r="H3593" i="6"/>
  <c r="H3594" i="6"/>
  <c r="H3595" i="6"/>
  <c r="H3596" i="6"/>
  <c r="H3597" i="6"/>
  <c r="H3598" i="6"/>
  <c r="H3599" i="6"/>
  <c r="H3600" i="6"/>
  <c r="H3601" i="6"/>
  <c r="H3602" i="6"/>
  <c r="H3603" i="6"/>
  <c r="H3604" i="6"/>
  <c r="H3605" i="6"/>
  <c r="H3606" i="6"/>
  <c r="H3607" i="6"/>
  <c r="H3608" i="6"/>
  <c r="H3609" i="6"/>
  <c r="H3610" i="6"/>
  <c r="H3611" i="6"/>
  <c r="H3612" i="6"/>
  <c r="H3613" i="6"/>
  <c r="H3614" i="6"/>
  <c r="H3615" i="6"/>
  <c r="H3616" i="6"/>
  <c r="H3617" i="6"/>
  <c r="H3618" i="6"/>
  <c r="H3619" i="6"/>
  <c r="H3620" i="6"/>
  <c r="H3621" i="6"/>
  <c r="H3622" i="6"/>
  <c r="H3623" i="6"/>
  <c r="H3624" i="6"/>
  <c r="H3625" i="6"/>
  <c r="H3626" i="6"/>
  <c r="H3627" i="6"/>
  <c r="H3628" i="6"/>
  <c r="H3629" i="6"/>
  <c r="H3630" i="6"/>
  <c r="H3631" i="6"/>
  <c r="H3632" i="6"/>
  <c r="H3633" i="6"/>
  <c r="H3634" i="6"/>
  <c r="H3635" i="6"/>
  <c r="H3636" i="6"/>
  <c r="H3637" i="6"/>
  <c r="H3638" i="6"/>
  <c r="H3639" i="6"/>
  <c r="H3640" i="6"/>
  <c r="H3641" i="6"/>
  <c r="H3642" i="6"/>
  <c r="H3643" i="6"/>
  <c r="H3644" i="6"/>
  <c r="H3645" i="6"/>
  <c r="H3646" i="6"/>
  <c r="H3647" i="6"/>
  <c r="H3648" i="6"/>
  <c r="H3649" i="6"/>
  <c r="H3650" i="6"/>
  <c r="H3651" i="6"/>
  <c r="H3652" i="6"/>
  <c r="H3653" i="6"/>
  <c r="H3654" i="6"/>
  <c r="H3655" i="6"/>
  <c r="H3656" i="6"/>
  <c r="H3657" i="6"/>
  <c r="H3658" i="6"/>
  <c r="H3659" i="6"/>
  <c r="H3660" i="6"/>
  <c r="H3661" i="6"/>
  <c r="H3662" i="6"/>
  <c r="H3663" i="6"/>
  <c r="H3664" i="6"/>
  <c r="H3665" i="6"/>
  <c r="H3666" i="6"/>
  <c r="H3667" i="6"/>
  <c r="H3668" i="6"/>
  <c r="H3669" i="6"/>
  <c r="H3670" i="6"/>
  <c r="H3671" i="6"/>
  <c r="H3672" i="6"/>
  <c r="H3673" i="6"/>
  <c r="H3674" i="6"/>
  <c r="H3675" i="6"/>
  <c r="H3676" i="6"/>
  <c r="H3677" i="6"/>
  <c r="H3678" i="6"/>
  <c r="H3679" i="6"/>
  <c r="H3680" i="6"/>
  <c r="H3681" i="6"/>
  <c r="H3682" i="6"/>
  <c r="H3683" i="6"/>
  <c r="H3684" i="6"/>
  <c r="H3685" i="6"/>
  <c r="H3686" i="6"/>
  <c r="H3687" i="6"/>
  <c r="H3688" i="6"/>
  <c r="H3689" i="6"/>
  <c r="H3690" i="6"/>
  <c r="H3691" i="6"/>
  <c r="H3692" i="6"/>
  <c r="H3693" i="6"/>
  <c r="H3694" i="6"/>
  <c r="H3695" i="6"/>
  <c r="H3696" i="6"/>
  <c r="H3697" i="6"/>
  <c r="H3698" i="6"/>
  <c r="H3699" i="6"/>
  <c r="H3700" i="6"/>
  <c r="H3701" i="6"/>
  <c r="H3702" i="6"/>
  <c r="H3703" i="6"/>
  <c r="H3704" i="6"/>
  <c r="H3705" i="6"/>
  <c r="H3706" i="6"/>
  <c r="H3707" i="6"/>
  <c r="H3708" i="6"/>
  <c r="H3709" i="6"/>
  <c r="H3710" i="6"/>
  <c r="H3711" i="6"/>
  <c r="H3712" i="6"/>
  <c r="H3713" i="6"/>
  <c r="H3714" i="6"/>
  <c r="H3715" i="6"/>
  <c r="H3716" i="6"/>
  <c r="H3717" i="6"/>
  <c r="H3718" i="6"/>
  <c r="H3719" i="6"/>
  <c r="H3720" i="6"/>
  <c r="H3721" i="6"/>
  <c r="H3722" i="6"/>
  <c r="H3723" i="6"/>
  <c r="H3724" i="6"/>
  <c r="H3725" i="6"/>
  <c r="H3726" i="6"/>
  <c r="H3727" i="6"/>
  <c r="H3728" i="6"/>
  <c r="H3729" i="6"/>
  <c r="H3730" i="6"/>
  <c r="H3731" i="6"/>
  <c r="H3732" i="6"/>
  <c r="H3733" i="6"/>
  <c r="H3734" i="6"/>
  <c r="H3735" i="6"/>
  <c r="H3736" i="6"/>
  <c r="H3737" i="6"/>
  <c r="H3738" i="6"/>
  <c r="H3739" i="6"/>
  <c r="H3740" i="6"/>
  <c r="H3741" i="6"/>
  <c r="H3742" i="6"/>
  <c r="H3743" i="6"/>
  <c r="H3744" i="6"/>
  <c r="H3745" i="6"/>
  <c r="H3746" i="6"/>
  <c r="H3747" i="6"/>
  <c r="H3748" i="6"/>
  <c r="H3749" i="6"/>
  <c r="H3750" i="6"/>
  <c r="H3751" i="6"/>
  <c r="H3752" i="6"/>
  <c r="H3753" i="6"/>
  <c r="H3754" i="6"/>
  <c r="H3755" i="6"/>
  <c r="H3756" i="6"/>
  <c r="H3757" i="6"/>
  <c r="H3758" i="6"/>
  <c r="H3759" i="6"/>
  <c r="H3760" i="6"/>
  <c r="H3761" i="6"/>
  <c r="H3762" i="6"/>
  <c r="H3763" i="6"/>
  <c r="H3764" i="6"/>
  <c r="H3765" i="6"/>
  <c r="H3766" i="6"/>
  <c r="H3767" i="6"/>
  <c r="H3768" i="6"/>
  <c r="H3769" i="6"/>
  <c r="H3770" i="6"/>
  <c r="H3771" i="6"/>
  <c r="H3772" i="6"/>
  <c r="H3773" i="6"/>
  <c r="H3774" i="6"/>
  <c r="H3775" i="6"/>
  <c r="H3776" i="6"/>
  <c r="H3777" i="6"/>
  <c r="H3778" i="6"/>
  <c r="H3779" i="6"/>
  <c r="H3780" i="6"/>
  <c r="H3781" i="6"/>
  <c r="H3782" i="6"/>
  <c r="H3783" i="6"/>
  <c r="H3784" i="6"/>
  <c r="H3785" i="6"/>
  <c r="H3786" i="6"/>
  <c r="H3787" i="6"/>
  <c r="H3788" i="6"/>
  <c r="H3789" i="6"/>
  <c r="H3790" i="6"/>
  <c r="H3791" i="6"/>
  <c r="H3792" i="6"/>
  <c r="H3793" i="6"/>
  <c r="H3794" i="6"/>
  <c r="H3795" i="6"/>
  <c r="H3796" i="6"/>
  <c r="H3797" i="6"/>
  <c r="H3798" i="6"/>
  <c r="H3799" i="6"/>
  <c r="H3800" i="6"/>
  <c r="H3801" i="6"/>
  <c r="H3802" i="6"/>
  <c r="H3803" i="6"/>
  <c r="H3804" i="6"/>
  <c r="H3805" i="6"/>
  <c r="H3806" i="6"/>
  <c r="H3807" i="6"/>
  <c r="H3808" i="6"/>
  <c r="H3809" i="6"/>
  <c r="H3810" i="6"/>
  <c r="H3811" i="6"/>
  <c r="H3812" i="6"/>
  <c r="H3813" i="6"/>
  <c r="H3814" i="6"/>
  <c r="H3815" i="6"/>
  <c r="H3816" i="6"/>
  <c r="H3817" i="6"/>
  <c r="H3818" i="6"/>
  <c r="H3819" i="6"/>
  <c r="H3820" i="6"/>
  <c r="H3821" i="6"/>
  <c r="H3822" i="6"/>
  <c r="H3823" i="6"/>
  <c r="H3824" i="6"/>
  <c r="H3825" i="6"/>
  <c r="H3826" i="6"/>
  <c r="H3827" i="6"/>
  <c r="H3828" i="6"/>
  <c r="H3829" i="6"/>
  <c r="H3830" i="6"/>
  <c r="H3831" i="6"/>
  <c r="H3832" i="6"/>
  <c r="H3833" i="6"/>
  <c r="H3834" i="6"/>
  <c r="H3835" i="6"/>
  <c r="H3836" i="6"/>
  <c r="H3837" i="6"/>
  <c r="H3838" i="6"/>
  <c r="H3839" i="6"/>
  <c r="H3840" i="6"/>
  <c r="H3841" i="6"/>
  <c r="H3842" i="6"/>
  <c r="H3843" i="6"/>
  <c r="H3844" i="6"/>
  <c r="H3845" i="6"/>
  <c r="H3846" i="6"/>
  <c r="H3847" i="6"/>
  <c r="H3848" i="6"/>
  <c r="H3849" i="6"/>
  <c r="H3850" i="6"/>
  <c r="H3851" i="6"/>
  <c r="H3852" i="6"/>
  <c r="H3853" i="6"/>
  <c r="H3854" i="6"/>
  <c r="H3855" i="6"/>
  <c r="H3856" i="6"/>
  <c r="H3857" i="6"/>
  <c r="H3858" i="6"/>
  <c r="H3859" i="6"/>
  <c r="H3860" i="6"/>
  <c r="H3861" i="6"/>
  <c r="H3862" i="6"/>
  <c r="H3863" i="6"/>
  <c r="H3864" i="6"/>
  <c r="H3865" i="6"/>
  <c r="H3866" i="6"/>
  <c r="H3867" i="6"/>
  <c r="H3868" i="6"/>
  <c r="H3869" i="6"/>
  <c r="H3870" i="6"/>
  <c r="H3871" i="6"/>
  <c r="H3872" i="6"/>
  <c r="H3873" i="6"/>
  <c r="H3874" i="6"/>
  <c r="H3875" i="6"/>
  <c r="H3876" i="6"/>
  <c r="H3877" i="6"/>
  <c r="H3878" i="6"/>
  <c r="H3879" i="6"/>
  <c r="H3880" i="6"/>
  <c r="H3881" i="6"/>
  <c r="H3882" i="6"/>
  <c r="H3883" i="6"/>
  <c r="H3884" i="6"/>
  <c r="H3885" i="6"/>
  <c r="H3886" i="6"/>
  <c r="H3887" i="6"/>
  <c r="H3888" i="6"/>
  <c r="H3889" i="6"/>
  <c r="H3890" i="6"/>
  <c r="H3891" i="6"/>
  <c r="H3892" i="6"/>
  <c r="H3893" i="6"/>
  <c r="H3894" i="6"/>
  <c r="H3895" i="6"/>
  <c r="H3896" i="6"/>
  <c r="H3897" i="6"/>
  <c r="H3898" i="6"/>
  <c r="H3899" i="6"/>
  <c r="H3900" i="6"/>
  <c r="H3901" i="6"/>
  <c r="H3902" i="6"/>
  <c r="H3903" i="6"/>
  <c r="H3904" i="6"/>
  <c r="H3905" i="6"/>
  <c r="H3906" i="6"/>
  <c r="H3907" i="6"/>
  <c r="H3908" i="6"/>
  <c r="H3909" i="6"/>
  <c r="H3910" i="6"/>
  <c r="H3911" i="6"/>
  <c r="H3912" i="6"/>
  <c r="H3913" i="6"/>
  <c r="H3914" i="6"/>
  <c r="H3915" i="6"/>
  <c r="H3916" i="6"/>
  <c r="H3917" i="6"/>
  <c r="H3918" i="6"/>
  <c r="H3919" i="6"/>
  <c r="H3920" i="6"/>
  <c r="H3921" i="6"/>
  <c r="H3922" i="6"/>
  <c r="H3923" i="6"/>
  <c r="H3924" i="6"/>
  <c r="H3925" i="6"/>
  <c r="H3926" i="6"/>
  <c r="H3927" i="6"/>
  <c r="H3928" i="6"/>
  <c r="H3929" i="6"/>
  <c r="H3930" i="6"/>
  <c r="H3931" i="6"/>
  <c r="H3932" i="6"/>
  <c r="H3933" i="6"/>
  <c r="H3934" i="6"/>
  <c r="H3935" i="6"/>
  <c r="H3936" i="6"/>
  <c r="H3937" i="6"/>
  <c r="H3938" i="6"/>
  <c r="H3939" i="6"/>
  <c r="H3940" i="6"/>
  <c r="H3941" i="6"/>
  <c r="H3942" i="6"/>
  <c r="H3943" i="6"/>
  <c r="H3944" i="6"/>
  <c r="H3945" i="6"/>
  <c r="H3946" i="6"/>
  <c r="H3947" i="6"/>
  <c r="H3948" i="6"/>
  <c r="H3949" i="6"/>
  <c r="H3950" i="6"/>
  <c r="H3951" i="6"/>
  <c r="H3952" i="6"/>
  <c r="H3953" i="6"/>
  <c r="H3954" i="6"/>
  <c r="H3955" i="6"/>
  <c r="H3956" i="6"/>
  <c r="H3957" i="6"/>
  <c r="H3958" i="6"/>
  <c r="H3959" i="6"/>
  <c r="H3960" i="6"/>
  <c r="H3961" i="6"/>
  <c r="H3962" i="6"/>
  <c r="H3963" i="6"/>
  <c r="H3964" i="6"/>
  <c r="H3965" i="6"/>
  <c r="H3966" i="6"/>
  <c r="H3967" i="6"/>
  <c r="H3968" i="6"/>
  <c r="H3969" i="6"/>
  <c r="H3970" i="6"/>
  <c r="H3971" i="6"/>
  <c r="H3972" i="6"/>
  <c r="H3973" i="6"/>
  <c r="H3974" i="6"/>
  <c r="H3975" i="6"/>
  <c r="H3976" i="6"/>
  <c r="H3977" i="6"/>
  <c r="H3978" i="6"/>
  <c r="H3979" i="6"/>
  <c r="H3980" i="6"/>
  <c r="H3981" i="6"/>
  <c r="H3982" i="6"/>
  <c r="H3983" i="6"/>
  <c r="H3984" i="6"/>
  <c r="H3985" i="6"/>
  <c r="H3986" i="6"/>
  <c r="H3987" i="6"/>
  <c r="H3988" i="6"/>
  <c r="H3989" i="6"/>
  <c r="H3990" i="6"/>
  <c r="H3991" i="6"/>
  <c r="H3992" i="6"/>
  <c r="H3993" i="6"/>
  <c r="H3994" i="6"/>
  <c r="H3995" i="6"/>
  <c r="H3996" i="6"/>
  <c r="H3997" i="6"/>
  <c r="H3998" i="6"/>
  <c r="H3999" i="6"/>
  <c r="H4000" i="6"/>
  <c r="H4001" i="6"/>
  <c r="H4002" i="6"/>
  <c r="H4003" i="6"/>
  <c r="H4004" i="6"/>
  <c r="H4005" i="6"/>
  <c r="H4006" i="6"/>
  <c r="H4007" i="6"/>
  <c r="H4008" i="6"/>
  <c r="H4009" i="6"/>
  <c r="H4010" i="6"/>
  <c r="H4011" i="6"/>
  <c r="H4012" i="6"/>
  <c r="H4013" i="6"/>
  <c r="H4014" i="6"/>
  <c r="H4015" i="6"/>
  <c r="H4016" i="6"/>
  <c r="H4017" i="6"/>
  <c r="H4018" i="6"/>
  <c r="H4019" i="6"/>
  <c r="H4020" i="6"/>
  <c r="H4021" i="6"/>
  <c r="H4022" i="6"/>
  <c r="H4023" i="6"/>
  <c r="H4024" i="6"/>
  <c r="H4025" i="6"/>
  <c r="H4026" i="6"/>
  <c r="H4027" i="6"/>
  <c r="H4028" i="6"/>
  <c r="H4029" i="6"/>
  <c r="H4030" i="6"/>
  <c r="H4031" i="6"/>
  <c r="H4032" i="6"/>
  <c r="H4033" i="6"/>
  <c r="H4034" i="6"/>
  <c r="H4035" i="6"/>
  <c r="H4036" i="6"/>
  <c r="H4037" i="6"/>
  <c r="H4038" i="6"/>
  <c r="H4039" i="6"/>
  <c r="H4040" i="6"/>
  <c r="H4041" i="6"/>
  <c r="H4042" i="6"/>
  <c r="H4043" i="6"/>
  <c r="H4044" i="6"/>
  <c r="H4045" i="6"/>
  <c r="H4046" i="6"/>
  <c r="H4047" i="6"/>
  <c r="H4048" i="6"/>
  <c r="H4049" i="6"/>
  <c r="H4050" i="6"/>
  <c r="H4051" i="6"/>
  <c r="H4052" i="6"/>
  <c r="H4053" i="6"/>
  <c r="H4054" i="6"/>
  <c r="H4055" i="6"/>
  <c r="H4056" i="6"/>
  <c r="H4057" i="6"/>
  <c r="H4058" i="6"/>
  <c r="H4059" i="6"/>
  <c r="H4060" i="6"/>
  <c r="H4061" i="6"/>
  <c r="H4062" i="6"/>
  <c r="H4063" i="6"/>
  <c r="H4064" i="6"/>
  <c r="H4065" i="6"/>
  <c r="H4066" i="6"/>
  <c r="H4067" i="6"/>
  <c r="H4068" i="6"/>
  <c r="H4069" i="6"/>
  <c r="H4070" i="6"/>
  <c r="H4071" i="6"/>
  <c r="H4072" i="6"/>
  <c r="H4073" i="6"/>
  <c r="H4074" i="6"/>
  <c r="H4075" i="6"/>
  <c r="H4076" i="6"/>
  <c r="H4077" i="6"/>
  <c r="H4078" i="6"/>
  <c r="H4079" i="6"/>
  <c r="H4080" i="6"/>
  <c r="H4081" i="6"/>
  <c r="H4082" i="6"/>
  <c r="H4083" i="6"/>
  <c r="H4084" i="6"/>
  <c r="H4085" i="6"/>
  <c r="H4086" i="6"/>
  <c r="H4087" i="6"/>
  <c r="H4088" i="6"/>
  <c r="H4089" i="6"/>
  <c r="H4090" i="6"/>
  <c r="H4091" i="6"/>
  <c r="H4092" i="6"/>
  <c r="H4093" i="6"/>
  <c r="H4094" i="6"/>
  <c r="H4095" i="6"/>
  <c r="H4096" i="6"/>
  <c r="H4097" i="6"/>
  <c r="H4098" i="6"/>
  <c r="H4099" i="6"/>
  <c r="H4100" i="6"/>
  <c r="H4101" i="6"/>
  <c r="H4102" i="6"/>
  <c r="H4103" i="6"/>
  <c r="H4104" i="6"/>
  <c r="H4105" i="6"/>
  <c r="H4106" i="6"/>
  <c r="H4107" i="6"/>
  <c r="H4108" i="6"/>
  <c r="H4109" i="6"/>
  <c r="H4110" i="6"/>
  <c r="H4111" i="6"/>
  <c r="H4112" i="6"/>
  <c r="H4113" i="6"/>
  <c r="H4114" i="6"/>
  <c r="H4115" i="6"/>
  <c r="H4116" i="6"/>
  <c r="H4117" i="6"/>
  <c r="H4118" i="6"/>
  <c r="H4119" i="6"/>
  <c r="H4120" i="6"/>
  <c r="H4121" i="6"/>
  <c r="H4122" i="6"/>
  <c r="H4123" i="6"/>
  <c r="H4124" i="6"/>
  <c r="H4125" i="6"/>
  <c r="H4126" i="6"/>
  <c r="H4127" i="6"/>
  <c r="H4128" i="6"/>
  <c r="H4129" i="6"/>
  <c r="H4130" i="6"/>
  <c r="H4131" i="6"/>
  <c r="H4132" i="6"/>
  <c r="H4133" i="6"/>
  <c r="H4134" i="6"/>
  <c r="H4135" i="6"/>
  <c r="H4136" i="6"/>
  <c r="H4137" i="6"/>
  <c r="H4138" i="6"/>
  <c r="H4139" i="6"/>
  <c r="H4140" i="6"/>
  <c r="H4141" i="6"/>
  <c r="H4142" i="6"/>
  <c r="H4143" i="6"/>
  <c r="H4144" i="6"/>
  <c r="H4145" i="6"/>
  <c r="H4146" i="6"/>
  <c r="H4147" i="6"/>
  <c r="H4148" i="6"/>
  <c r="H4149" i="6"/>
  <c r="H4150" i="6"/>
  <c r="H4151" i="6"/>
  <c r="H4152" i="6"/>
  <c r="H4153" i="6"/>
  <c r="H4154" i="6"/>
  <c r="H4155" i="6"/>
  <c r="H4156" i="6"/>
  <c r="H4157" i="6"/>
  <c r="H4158" i="6"/>
  <c r="H4159" i="6"/>
  <c r="H4160" i="6"/>
  <c r="H4161" i="6"/>
  <c r="H4162" i="6"/>
  <c r="H4163" i="6"/>
  <c r="H4164" i="6"/>
  <c r="H4165" i="6"/>
  <c r="H4166" i="6"/>
  <c r="H4167" i="6"/>
  <c r="H4168" i="6"/>
  <c r="H4169" i="6"/>
  <c r="H4170" i="6"/>
  <c r="H4171" i="6"/>
  <c r="H4172" i="6"/>
  <c r="H4173" i="6"/>
  <c r="H4174" i="6"/>
  <c r="H4175" i="6"/>
  <c r="H4176" i="6"/>
  <c r="H4177" i="6"/>
  <c r="H4178" i="6"/>
  <c r="H4179" i="6"/>
  <c r="H4180" i="6"/>
  <c r="H4181" i="6"/>
  <c r="H4182" i="6"/>
  <c r="H4183" i="6"/>
  <c r="H4184" i="6"/>
  <c r="H4185" i="6"/>
  <c r="H4186" i="6"/>
  <c r="H4187" i="6"/>
  <c r="H4188" i="6"/>
  <c r="H4189" i="6"/>
  <c r="H4190" i="6"/>
  <c r="H4191" i="6"/>
  <c r="H4192" i="6"/>
  <c r="H4193" i="6"/>
  <c r="H4194" i="6"/>
  <c r="H4195" i="6"/>
  <c r="H4196" i="6"/>
  <c r="H4197" i="6"/>
  <c r="H4198" i="6"/>
  <c r="H4199" i="6"/>
  <c r="H4200" i="6"/>
  <c r="H4201" i="6"/>
  <c r="H4202" i="6"/>
  <c r="H4203" i="6"/>
  <c r="H4204" i="6"/>
  <c r="H4205" i="6"/>
  <c r="H4206" i="6"/>
  <c r="H4207" i="6"/>
  <c r="H4208" i="6"/>
  <c r="H4209" i="6"/>
  <c r="H4210" i="6"/>
  <c r="H4211" i="6"/>
  <c r="H4212" i="6"/>
  <c r="H4213" i="6"/>
  <c r="H4214" i="6"/>
  <c r="H4215" i="6"/>
  <c r="H4216" i="6"/>
  <c r="H4217" i="6"/>
  <c r="H4218" i="6"/>
  <c r="H4219" i="6"/>
  <c r="H4220" i="6"/>
  <c r="H4221" i="6"/>
  <c r="H4222" i="6"/>
  <c r="H4223" i="6"/>
  <c r="H4224" i="6"/>
  <c r="H4225" i="6"/>
  <c r="H4226" i="6"/>
  <c r="H4227" i="6"/>
  <c r="H4228" i="6"/>
  <c r="H4229" i="6"/>
  <c r="H4230" i="6"/>
  <c r="H4231" i="6"/>
  <c r="H4232" i="6"/>
  <c r="H4233" i="6"/>
  <c r="H4234" i="6"/>
  <c r="H4235" i="6"/>
  <c r="H4236" i="6"/>
  <c r="H4237" i="6"/>
  <c r="H4238" i="6"/>
  <c r="H4239" i="6"/>
  <c r="H4240" i="6"/>
  <c r="H4241" i="6"/>
  <c r="H4242" i="6"/>
  <c r="H4243" i="6"/>
  <c r="H4244" i="6"/>
  <c r="H4245" i="6"/>
  <c r="H4246" i="6"/>
  <c r="H4247" i="6"/>
  <c r="H4248" i="6"/>
  <c r="H4249" i="6"/>
  <c r="H4250" i="6"/>
  <c r="H4251" i="6"/>
  <c r="H4252" i="6"/>
  <c r="H4253" i="6"/>
  <c r="H4254" i="6"/>
  <c r="H4255" i="6"/>
  <c r="H4256" i="6"/>
  <c r="H4257" i="6"/>
  <c r="H4258" i="6"/>
  <c r="H4259" i="6"/>
  <c r="H4260" i="6"/>
  <c r="H4261" i="6"/>
  <c r="H4262" i="6"/>
  <c r="H4263" i="6"/>
  <c r="H4264" i="6"/>
  <c r="H4265" i="6"/>
  <c r="H4266" i="6"/>
  <c r="H4267" i="6"/>
  <c r="H4268" i="6"/>
  <c r="H4269" i="6"/>
  <c r="H4270" i="6"/>
  <c r="H4271" i="6"/>
  <c r="H4272" i="6"/>
  <c r="H4273" i="6"/>
  <c r="H4274" i="6"/>
  <c r="H4275" i="6"/>
  <c r="H4276" i="6"/>
  <c r="H4277" i="6"/>
  <c r="H4278" i="6"/>
  <c r="H4279" i="6"/>
  <c r="H4280" i="6"/>
  <c r="H4281" i="6"/>
  <c r="H4282" i="6"/>
  <c r="H4283" i="6"/>
  <c r="H4284" i="6"/>
  <c r="H4285" i="6"/>
  <c r="H4286" i="6"/>
  <c r="H4287" i="6"/>
  <c r="H4288" i="6"/>
  <c r="H4289" i="6"/>
  <c r="H4290" i="6"/>
  <c r="H4291" i="6"/>
  <c r="H4292" i="6"/>
  <c r="H4293" i="6"/>
  <c r="H4294" i="6"/>
  <c r="H4295" i="6"/>
  <c r="H4296" i="6"/>
  <c r="H4297" i="6"/>
  <c r="H4298" i="6"/>
  <c r="H4299" i="6"/>
  <c r="H4300" i="6"/>
  <c r="H4301" i="6"/>
  <c r="H4302" i="6"/>
  <c r="H4303" i="6"/>
  <c r="H4304" i="6"/>
  <c r="H4305" i="6"/>
  <c r="H4306" i="6"/>
  <c r="H4307" i="6"/>
  <c r="H4308" i="6"/>
  <c r="H4309" i="6"/>
  <c r="H4310" i="6"/>
  <c r="H4311" i="6"/>
  <c r="H4312" i="6"/>
  <c r="H4313" i="6"/>
  <c r="H4314" i="6"/>
  <c r="H4315" i="6"/>
  <c r="H4316" i="6"/>
  <c r="H4317" i="6"/>
  <c r="H4318" i="6"/>
  <c r="H4319" i="6"/>
  <c r="H4320" i="6"/>
  <c r="H4321" i="6"/>
  <c r="H4322" i="6"/>
  <c r="H4323" i="6"/>
  <c r="H4324" i="6"/>
  <c r="H4325" i="6"/>
  <c r="H4326" i="6"/>
  <c r="H4327" i="6"/>
  <c r="H4328" i="6"/>
  <c r="H4329" i="6"/>
  <c r="H4330" i="6"/>
  <c r="H4331" i="6"/>
  <c r="H4332" i="6"/>
  <c r="H4333" i="6"/>
  <c r="H4334" i="6"/>
  <c r="H4335" i="6"/>
  <c r="H4336" i="6"/>
  <c r="H4337" i="6"/>
  <c r="H4338" i="6"/>
  <c r="H4339" i="6"/>
  <c r="H4340" i="6"/>
  <c r="H4341" i="6"/>
  <c r="H4342" i="6"/>
  <c r="H4343" i="6"/>
  <c r="H4344" i="6"/>
  <c r="H4345" i="6"/>
  <c r="H4346" i="6"/>
  <c r="H4347" i="6"/>
  <c r="H4348" i="6"/>
  <c r="H4349" i="6"/>
  <c r="H4350" i="6"/>
  <c r="H4351" i="6"/>
  <c r="H4352" i="6"/>
  <c r="H4353" i="6"/>
  <c r="H4354" i="6"/>
  <c r="H4355" i="6"/>
  <c r="H4356" i="6"/>
  <c r="H4357" i="6"/>
  <c r="H4358" i="6"/>
  <c r="H4359" i="6"/>
  <c r="H4360" i="6"/>
  <c r="H4361" i="6"/>
  <c r="H4362" i="6"/>
  <c r="H4363" i="6"/>
  <c r="H4364" i="6"/>
  <c r="H4365" i="6"/>
  <c r="H4366" i="6"/>
  <c r="H4367" i="6"/>
  <c r="H4368" i="6"/>
  <c r="H4369" i="6"/>
  <c r="H4370" i="6"/>
  <c r="H4371" i="6"/>
  <c r="H4372" i="6"/>
  <c r="H4373" i="6"/>
  <c r="H4374" i="6"/>
  <c r="H4375" i="6"/>
  <c r="H4376" i="6"/>
  <c r="H4377" i="6"/>
  <c r="H4378" i="6"/>
  <c r="H4379" i="6"/>
  <c r="H4380" i="6"/>
  <c r="H4381" i="6"/>
  <c r="H4382" i="6"/>
  <c r="H4383" i="6"/>
  <c r="H4384" i="6"/>
  <c r="H4385" i="6"/>
  <c r="H4386" i="6"/>
  <c r="H4387" i="6"/>
  <c r="H4388" i="6"/>
  <c r="H4389" i="6"/>
  <c r="H4390" i="6"/>
  <c r="H4391" i="6"/>
  <c r="H4392" i="6"/>
  <c r="H4393" i="6"/>
  <c r="H4394" i="6"/>
  <c r="H4395" i="6"/>
  <c r="H4396" i="6"/>
  <c r="H4397" i="6"/>
  <c r="H4398" i="6"/>
  <c r="H4399" i="6"/>
  <c r="H4400" i="6"/>
  <c r="H4401" i="6"/>
  <c r="H4402" i="6"/>
  <c r="H4403" i="6"/>
  <c r="H4404" i="6"/>
  <c r="H4405" i="6"/>
  <c r="H4406" i="6"/>
  <c r="H4407" i="6"/>
  <c r="H4408" i="6"/>
  <c r="H4409" i="6"/>
  <c r="H4410" i="6"/>
  <c r="H4411" i="6"/>
  <c r="H4412" i="6"/>
  <c r="H4413" i="6"/>
  <c r="H4414" i="6"/>
  <c r="H4415" i="6"/>
  <c r="H4416" i="6"/>
  <c r="H4417" i="6"/>
  <c r="H4418" i="6"/>
  <c r="H4419" i="6"/>
  <c r="H4420" i="6"/>
  <c r="H4421" i="6"/>
  <c r="H4422" i="6"/>
  <c r="H4423" i="6"/>
  <c r="H4424" i="6"/>
  <c r="H4425" i="6"/>
  <c r="H4426" i="6"/>
  <c r="H4427" i="6"/>
  <c r="H4428" i="6"/>
  <c r="H4429" i="6"/>
  <c r="H4430" i="6"/>
  <c r="H4431" i="6"/>
  <c r="H4432" i="6"/>
  <c r="H4433" i="6"/>
  <c r="H4434" i="6"/>
  <c r="H4435" i="6"/>
  <c r="H4436" i="6"/>
  <c r="H4437" i="6"/>
  <c r="H4438" i="6"/>
  <c r="H4439" i="6"/>
  <c r="H4440" i="6"/>
  <c r="H4441" i="6"/>
  <c r="H4442" i="6"/>
  <c r="H4443" i="6"/>
  <c r="H4444" i="6"/>
  <c r="H4445" i="6"/>
  <c r="H4446" i="6"/>
  <c r="H4447" i="6"/>
  <c r="H4448" i="6"/>
  <c r="H4449" i="6"/>
  <c r="H4450" i="6"/>
  <c r="H4451" i="6"/>
  <c r="H4452" i="6"/>
  <c r="H4453" i="6"/>
  <c r="H4454" i="6"/>
  <c r="H4455" i="6"/>
  <c r="H4456" i="6"/>
  <c r="H4457" i="6"/>
  <c r="H4458" i="6"/>
  <c r="H4459" i="6"/>
  <c r="H4460" i="6"/>
  <c r="H4461" i="6"/>
  <c r="H4462" i="6"/>
  <c r="H4463" i="6"/>
  <c r="H4464" i="6"/>
  <c r="H4465" i="6"/>
  <c r="H4466" i="6"/>
  <c r="H4467" i="6"/>
  <c r="H4468" i="6"/>
  <c r="H4469" i="6"/>
  <c r="H4470" i="6"/>
  <c r="H4471" i="6"/>
  <c r="H4472" i="6"/>
  <c r="H4473" i="6"/>
  <c r="H4474" i="6"/>
  <c r="H4475" i="6"/>
  <c r="H4476" i="6"/>
  <c r="H4477" i="6"/>
  <c r="H4478" i="6"/>
  <c r="H4479" i="6"/>
  <c r="H4480" i="6"/>
  <c r="H4481" i="6"/>
  <c r="H4482" i="6"/>
  <c r="H4483" i="6"/>
  <c r="H4484" i="6"/>
  <c r="H4485" i="6"/>
  <c r="H4486" i="6"/>
  <c r="H4487" i="6"/>
  <c r="H4488" i="6"/>
  <c r="H4489" i="6"/>
  <c r="H4490" i="6"/>
  <c r="H4491" i="6"/>
  <c r="H4492" i="6"/>
  <c r="H4493" i="6"/>
  <c r="H4494" i="6"/>
  <c r="H4495" i="6"/>
  <c r="H4496" i="6"/>
  <c r="H4497" i="6"/>
  <c r="H4498" i="6"/>
  <c r="H4499" i="6"/>
  <c r="H4500" i="6"/>
  <c r="H4501" i="6"/>
  <c r="H4502" i="6"/>
  <c r="H4503" i="6"/>
  <c r="H4504" i="6"/>
  <c r="H4505" i="6"/>
  <c r="H4506" i="6"/>
  <c r="H4507" i="6"/>
  <c r="H4508" i="6"/>
  <c r="H4509" i="6"/>
  <c r="H4510" i="6"/>
  <c r="H4511" i="6"/>
  <c r="H4512" i="6"/>
  <c r="H4513" i="6"/>
  <c r="H4514" i="6"/>
  <c r="H4515" i="6"/>
  <c r="H4516" i="6"/>
  <c r="H4517" i="6"/>
  <c r="H4518" i="6"/>
  <c r="H4519" i="6"/>
  <c r="H4520" i="6"/>
  <c r="H4521" i="6"/>
  <c r="H4522" i="6"/>
  <c r="H4523" i="6"/>
  <c r="H4524" i="6"/>
  <c r="H4525" i="6"/>
  <c r="H4526" i="6"/>
  <c r="H4527" i="6"/>
  <c r="H4528" i="6"/>
  <c r="H4529" i="6"/>
  <c r="H4530" i="6"/>
  <c r="H4531" i="6"/>
  <c r="H4532" i="6"/>
  <c r="H4533" i="6"/>
  <c r="H4534" i="6"/>
  <c r="H4535" i="6"/>
  <c r="H4536" i="6"/>
  <c r="H4537" i="6"/>
  <c r="H4538" i="6"/>
  <c r="H4539" i="6"/>
  <c r="H4540" i="6"/>
  <c r="H4541" i="6"/>
  <c r="H4542" i="6"/>
  <c r="H4543" i="6"/>
  <c r="H4544" i="6"/>
  <c r="H4545" i="6"/>
  <c r="H4546" i="6"/>
  <c r="H4547" i="6"/>
  <c r="H4548" i="6"/>
  <c r="H4549" i="6"/>
  <c r="H4550" i="6"/>
  <c r="H4551" i="6"/>
  <c r="H4552" i="6"/>
  <c r="H4553" i="6"/>
  <c r="H4554" i="6"/>
  <c r="H4555" i="6"/>
  <c r="H4556" i="6"/>
  <c r="H4557" i="6"/>
  <c r="H4558" i="6"/>
  <c r="H4559" i="6"/>
  <c r="H4560" i="6"/>
  <c r="H4561" i="6"/>
  <c r="H4562" i="6"/>
  <c r="H4563" i="6"/>
  <c r="H4564" i="6"/>
  <c r="H4565" i="6"/>
  <c r="H4566" i="6"/>
  <c r="H4567" i="6"/>
  <c r="H4568" i="6"/>
  <c r="H4569" i="6"/>
  <c r="H4570" i="6"/>
  <c r="H4571" i="6"/>
  <c r="H4572" i="6"/>
  <c r="H4573" i="6"/>
  <c r="H4574" i="6"/>
  <c r="H4575" i="6"/>
  <c r="H4576" i="6"/>
  <c r="H4577" i="6"/>
  <c r="H4578" i="6"/>
  <c r="H4579" i="6"/>
  <c r="H4580" i="6"/>
  <c r="H4581" i="6"/>
  <c r="H4582" i="6"/>
  <c r="H4583" i="6"/>
  <c r="H4584" i="6"/>
  <c r="H4585" i="6"/>
  <c r="H4586" i="6"/>
  <c r="H4587" i="6"/>
  <c r="H4588" i="6"/>
  <c r="H4589" i="6"/>
  <c r="H4590" i="6"/>
  <c r="H4591" i="6"/>
  <c r="H4592" i="6"/>
  <c r="H4593" i="6"/>
  <c r="H4594" i="6"/>
  <c r="H4595" i="6"/>
  <c r="H4596" i="6"/>
  <c r="H4597" i="6"/>
  <c r="H4598" i="6"/>
  <c r="H4599" i="6"/>
  <c r="H4600" i="6"/>
  <c r="H4601" i="6"/>
  <c r="H4602" i="6"/>
  <c r="H4603" i="6"/>
  <c r="H4604" i="6"/>
  <c r="H4605" i="6"/>
  <c r="H4606" i="6"/>
  <c r="H4607" i="6"/>
  <c r="H4608" i="6"/>
  <c r="H4609" i="6"/>
  <c r="H4610" i="6"/>
  <c r="H4611" i="6"/>
  <c r="H4612" i="6"/>
  <c r="H4613" i="6"/>
  <c r="H4614" i="6"/>
  <c r="H4615" i="6"/>
  <c r="H4616" i="6"/>
  <c r="H4617" i="6"/>
  <c r="H4618" i="6"/>
  <c r="H4619" i="6"/>
  <c r="H4620" i="6"/>
  <c r="H4621" i="6"/>
  <c r="H4622" i="6"/>
  <c r="H4623" i="6"/>
  <c r="H4624" i="6"/>
  <c r="H4625" i="6"/>
  <c r="H4626" i="6"/>
  <c r="H4627" i="6"/>
  <c r="H4628" i="6"/>
  <c r="H4629" i="6"/>
  <c r="H4630" i="6"/>
  <c r="H4631" i="6"/>
  <c r="H4632" i="6"/>
  <c r="H4633" i="6"/>
  <c r="H4634" i="6"/>
  <c r="H4635" i="6"/>
  <c r="H4636" i="6"/>
  <c r="H4637" i="6"/>
  <c r="H4638" i="6"/>
  <c r="H4639" i="6"/>
  <c r="H4640" i="6"/>
  <c r="H4641" i="6"/>
  <c r="H4642" i="6"/>
  <c r="H4643" i="6"/>
  <c r="H4644" i="6"/>
  <c r="H4645" i="6"/>
  <c r="H4646" i="6"/>
  <c r="H4647" i="6"/>
  <c r="H4648" i="6"/>
  <c r="H4649" i="6"/>
  <c r="H4650" i="6"/>
  <c r="H4651" i="6"/>
  <c r="H4652" i="6"/>
  <c r="H4653" i="6"/>
  <c r="H4654" i="6"/>
  <c r="H4655" i="6"/>
  <c r="H4656" i="6"/>
  <c r="H4657" i="6"/>
  <c r="H4658" i="6"/>
  <c r="H4659" i="6"/>
  <c r="H4660" i="6"/>
  <c r="H4661" i="6"/>
  <c r="H4662" i="6"/>
  <c r="H4663" i="6"/>
  <c r="H4664" i="6"/>
  <c r="H4665" i="6"/>
  <c r="H4666" i="6"/>
  <c r="H4667" i="6"/>
  <c r="H4668" i="6"/>
  <c r="H4669" i="6"/>
  <c r="H4670" i="6"/>
  <c r="H4671" i="6"/>
  <c r="H4672" i="6"/>
  <c r="H4673" i="6"/>
  <c r="H4674" i="6"/>
  <c r="H4675" i="6"/>
  <c r="H4676" i="6"/>
  <c r="H4677" i="6"/>
  <c r="H4678" i="6"/>
  <c r="H4679" i="6"/>
  <c r="H4680" i="6"/>
  <c r="H4681" i="6"/>
  <c r="H4682" i="6"/>
  <c r="H4683" i="6"/>
  <c r="H4684" i="6"/>
  <c r="H4685" i="6"/>
  <c r="H4686" i="6"/>
  <c r="H4687" i="6"/>
  <c r="H4688" i="6"/>
  <c r="H4689" i="6"/>
  <c r="H4690" i="6"/>
  <c r="H4691" i="6"/>
  <c r="H4692" i="6"/>
  <c r="H4693" i="6"/>
  <c r="H4694" i="6"/>
  <c r="H4695" i="6"/>
  <c r="H4696" i="6"/>
  <c r="H4697" i="6"/>
  <c r="H4698" i="6"/>
  <c r="H4699" i="6"/>
  <c r="H4700" i="6"/>
  <c r="H4701" i="6"/>
  <c r="H4702" i="6"/>
  <c r="H4703" i="6"/>
  <c r="H4704" i="6"/>
  <c r="H4705" i="6"/>
  <c r="H4706" i="6"/>
  <c r="H4707" i="6"/>
  <c r="H4708" i="6"/>
  <c r="H4709" i="6"/>
  <c r="H4710" i="6"/>
  <c r="H4711" i="6"/>
  <c r="H4712" i="6"/>
  <c r="H4713" i="6"/>
  <c r="H4714" i="6"/>
  <c r="H4715" i="6"/>
  <c r="H4716" i="6"/>
  <c r="H4717" i="6"/>
  <c r="H4718" i="6"/>
  <c r="H4719" i="6"/>
  <c r="H4720" i="6"/>
  <c r="H4721" i="6"/>
  <c r="H4722" i="6"/>
  <c r="H4723" i="6"/>
  <c r="H4724" i="6"/>
  <c r="H4725" i="6"/>
  <c r="H4726" i="6"/>
  <c r="H4727" i="6"/>
  <c r="H4728" i="6"/>
  <c r="H4729" i="6"/>
  <c r="H4730" i="6"/>
  <c r="H4731" i="6"/>
  <c r="H4732" i="6"/>
  <c r="H4733" i="6"/>
  <c r="H4734" i="6"/>
  <c r="H4735" i="6"/>
  <c r="H4736" i="6"/>
  <c r="H4737" i="6"/>
  <c r="H4738" i="6"/>
  <c r="H4739" i="6"/>
  <c r="H4740" i="6"/>
  <c r="H4741" i="6"/>
  <c r="H4742" i="6"/>
  <c r="H4743" i="6"/>
  <c r="H4744" i="6"/>
  <c r="H4745" i="6"/>
  <c r="H4746" i="6"/>
  <c r="H4747" i="6"/>
  <c r="H4748" i="6"/>
  <c r="H4749" i="6"/>
  <c r="H4750" i="6"/>
  <c r="H4751" i="6"/>
  <c r="H4752" i="6"/>
  <c r="H4753" i="6"/>
  <c r="H4754" i="6"/>
  <c r="H4755" i="6"/>
  <c r="H4756" i="6"/>
  <c r="H4757" i="6"/>
  <c r="H4758" i="6"/>
  <c r="H4759" i="6"/>
  <c r="H4760" i="6"/>
  <c r="H4761" i="6"/>
  <c r="H4762" i="6"/>
  <c r="H4763" i="6"/>
  <c r="H4764" i="6"/>
  <c r="H4765" i="6"/>
  <c r="H4766" i="6"/>
  <c r="H4767" i="6"/>
  <c r="H4768" i="6"/>
  <c r="H4769" i="6"/>
  <c r="H4770" i="6"/>
  <c r="H4771" i="6"/>
  <c r="H4772" i="6"/>
  <c r="H4773" i="6"/>
  <c r="H4774" i="6"/>
  <c r="H4775" i="6"/>
  <c r="H4776" i="6"/>
  <c r="H4777" i="6"/>
  <c r="H4778" i="6"/>
  <c r="H4779" i="6"/>
  <c r="H4780" i="6"/>
  <c r="H4781" i="6"/>
  <c r="H4782" i="6"/>
  <c r="H4783" i="6"/>
  <c r="H4784" i="6"/>
  <c r="H4785" i="6"/>
  <c r="H4786" i="6"/>
  <c r="H4787" i="6"/>
  <c r="H4788" i="6"/>
  <c r="H4789" i="6"/>
  <c r="H4790" i="6"/>
  <c r="H4791" i="6"/>
  <c r="H4792" i="6"/>
  <c r="H4793" i="6"/>
  <c r="H4794" i="6"/>
  <c r="H4795" i="6"/>
  <c r="H4796" i="6"/>
  <c r="H4797" i="6"/>
  <c r="H4798" i="6"/>
  <c r="H4799" i="6"/>
  <c r="H4800" i="6"/>
  <c r="H4801" i="6"/>
  <c r="H4802" i="6"/>
  <c r="H4803" i="6"/>
  <c r="H4804" i="6"/>
  <c r="H4805" i="6"/>
  <c r="H4806" i="6"/>
  <c r="H4807" i="6"/>
  <c r="H4808" i="6"/>
  <c r="H4809" i="6"/>
  <c r="H4810" i="6"/>
  <c r="H4811" i="6"/>
  <c r="H4812" i="6"/>
  <c r="H4813" i="6"/>
  <c r="H4814" i="6"/>
  <c r="H4815" i="6"/>
  <c r="H4816" i="6"/>
  <c r="H4817" i="6"/>
  <c r="H4818" i="6"/>
  <c r="H4819" i="6"/>
  <c r="H4820" i="6"/>
  <c r="H4821" i="6"/>
  <c r="H4822" i="6"/>
  <c r="H4823" i="6"/>
  <c r="H4824" i="6"/>
  <c r="H4825" i="6"/>
  <c r="H4826" i="6"/>
  <c r="H4827" i="6"/>
  <c r="H4828" i="6"/>
  <c r="H4829" i="6"/>
  <c r="H4830" i="6"/>
  <c r="H4831" i="6"/>
  <c r="H4832" i="6"/>
  <c r="H4833" i="6"/>
  <c r="H4834" i="6"/>
  <c r="H4835" i="6"/>
  <c r="H4836" i="6"/>
  <c r="H4837" i="6"/>
  <c r="H4838" i="6"/>
  <c r="H4839" i="6"/>
  <c r="H4840" i="6"/>
  <c r="H4841" i="6"/>
  <c r="H4842" i="6"/>
  <c r="H4843" i="6"/>
  <c r="H4844" i="6"/>
  <c r="H4845" i="6"/>
  <c r="H4846" i="6"/>
  <c r="H4847" i="6"/>
  <c r="H4848" i="6"/>
  <c r="H4849" i="6"/>
  <c r="H4850" i="6"/>
  <c r="H4851" i="6"/>
  <c r="H4852" i="6"/>
  <c r="H4853" i="6"/>
  <c r="H4854" i="6"/>
  <c r="H4855" i="6"/>
  <c r="H4856" i="6"/>
  <c r="H4857" i="6"/>
  <c r="H4858" i="6"/>
  <c r="H4859" i="6"/>
  <c r="H4860" i="6"/>
  <c r="H4861" i="6"/>
  <c r="H4862" i="6"/>
  <c r="H4863" i="6"/>
  <c r="H4864" i="6"/>
  <c r="H4865" i="6"/>
  <c r="H4866" i="6"/>
  <c r="H4867" i="6"/>
  <c r="H4868" i="6"/>
  <c r="H4869" i="6"/>
  <c r="H4870" i="6"/>
  <c r="H4871" i="6"/>
  <c r="H4872" i="6"/>
  <c r="H4873" i="6"/>
  <c r="H4874" i="6"/>
  <c r="H4875" i="6"/>
  <c r="H4876" i="6"/>
  <c r="H4877" i="6"/>
  <c r="H4878" i="6"/>
  <c r="H4879" i="6"/>
  <c r="H4880" i="6"/>
  <c r="H4881" i="6"/>
  <c r="H4882" i="6"/>
  <c r="H4883" i="6"/>
  <c r="H4884" i="6"/>
  <c r="H4885" i="6"/>
  <c r="H4886" i="6"/>
  <c r="H4887" i="6"/>
  <c r="H4888" i="6"/>
  <c r="H4889" i="6"/>
  <c r="H4890" i="6"/>
  <c r="H4891" i="6"/>
  <c r="H4892" i="6"/>
  <c r="H4893" i="6"/>
  <c r="H4894" i="6"/>
  <c r="H4895" i="6"/>
  <c r="H4896" i="6"/>
  <c r="H4897" i="6"/>
  <c r="H4898" i="6"/>
  <c r="H4899" i="6"/>
  <c r="H4900" i="6"/>
  <c r="H4901" i="6"/>
  <c r="H4902" i="6"/>
  <c r="H4903" i="6"/>
  <c r="H4904" i="6"/>
  <c r="H4905" i="6"/>
  <c r="H4906" i="6"/>
  <c r="H4907" i="6"/>
  <c r="H4908" i="6"/>
  <c r="H4909" i="6"/>
  <c r="H4910" i="6"/>
  <c r="H4911" i="6"/>
  <c r="H4912" i="6"/>
  <c r="H4913" i="6"/>
  <c r="H4914" i="6"/>
  <c r="H4915" i="6"/>
  <c r="H4916" i="6"/>
  <c r="H4917" i="6"/>
  <c r="H4918" i="6"/>
  <c r="H4919" i="6"/>
  <c r="H4920" i="6"/>
  <c r="H4921" i="6"/>
  <c r="H4922" i="6"/>
  <c r="H4923" i="6"/>
  <c r="H4924" i="6"/>
  <c r="H4925" i="6"/>
  <c r="H4926" i="6"/>
  <c r="H4927" i="6"/>
  <c r="H4928" i="6"/>
  <c r="H4929" i="6"/>
  <c r="H4930" i="6"/>
  <c r="H4931" i="6"/>
  <c r="H4932" i="6"/>
  <c r="H4933" i="6"/>
  <c r="H4934" i="6"/>
  <c r="H4935" i="6"/>
  <c r="H4936" i="6"/>
  <c r="H4937" i="6"/>
  <c r="H4938" i="6"/>
  <c r="H4939" i="6"/>
  <c r="H4940" i="6"/>
  <c r="H4941" i="6"/>
  <c r="H4942" i="6"/>
  <c r="H4943" i="6"/>
  <c r="H4944" i="6"/>
  <c r="H4945" i="6"/>
  <c r="H4946" i="6"/>
  <c r="H4947" i="6"/>
  <c r="H4948" i="6"/>
  <c r="H4949" i="6"/>
  <c r="H4950" i="6"/>
  <c r="H4951" i="6"/>
  <c r="H4952" i="6"/>
  <c r="H4953" i="6"/>
  <c r="H4954" i="6"/>
  <c r="H4955" i="6"/>
  <c r="H4956" i="6"/>
  <c r="H4957" i="6"/>
  <c r="H4958" i="6"/>
  <c r="H4959" i="6"/>
  <c r="H4960" i="6"/>
  <c r="H4961" i="6"/>
  <c r="H4962" i="6"/>
  <c r="H4963" i="6"/>
  <c r="H4964" i="6"/>
  <c r="H4965" i="6"/>
  <c r="H4966" i="6"/>
  <c r="H4967" i="6"/>
  <c r="H4968" i="6"/>
  <c r="H4969" i="6"/>
  <c r="H4970" i="6"/>
  <c r="H4971" i="6"/>
  <c r="H4972" i="6"/>
  <c r="H4973" i="6"/>
  <c r="H4974" i="6"/>
  <c r="H4975" i="6"/>
  <c r="H4976" i="6"/>
  <c r="H4977" i="6"/>
  <c r="H4978" i="6"/>
  <c r="H4979" i="6"/>
  <c r="H4980" i="6"/>
  <c r="H4981" i="6"/>
  <c r="H4982" i="6"/>
  <c r="H4983" i="6"/>
  <c r="H4984" i="6"/>
  <c r="H4985" i="6"/>
  <c r="H4986" i="6"/>
  <c r="H4987" i="6"/>
  <c r="H4988" i="6"/>
  <c r="H4989" i="6"/>
  <c r="H4990" i="6"/>
  <c r="H4991" i="6"/>
  <c r="H4992" i="6"/>
  <c r="H4993" i="6"/>
  <c r="H4994" i="6"/>
  <c r="H4995" i="6"/>
  <c r="H4996" i="6"/>
  <c r="H4997" i="6"/>
  <c r="H4998" i="6"/>
  <c r="H4999" i="6"/>
  <c r="H5000" i="6"/>
  <c r="H5001" i="6"/>
  <c r="H5002" i="6"/>
  <c r="H5003" i="6"/>
  <c r="H5004" i="6"/>
  <c r="H5005" i="6"/>
  <c r="H5006" i="6"/>
  <c r="H5007" i="6"/>
  <c r="H5008" i="6"/>
  <c r="H5009" i="6"/>
  <c r="H5010" i="6"/>
  <c r="H5011" i="6"/>
  <c r="H5012" i="6"/>
  <c r="H5013" i="6"/>
  <c r="H5014" i="6"/>
  <c r="H5015" i="6"/>
  <c r="H5016" i="6"/>
  <c r="H5017" i="6"/>
  <c r="H5018" i="6"/>
  <c r="H5019" i="6"/>
  <c r="H5020" i="6"/>
  <c r="H5021" i="6"/>
  <c r="H5022" i="6"/>
  <c r="H5023" i="6"/>
  <c r="H5024" i="6"/>
  <c r="H5025" i="6"/>
  <c r="H5026" i="6"/>
  <c r="H5027" i="6"/>
  <c r="H5028" i="6"/>
  <c r="H5029" i="6"/>
  <c r="H5030" i="6"/>
  <c r="H5031" i="6"/>
  <c r="H5032" i="6"/>
  <c r="H5033" i="6"/>
  <c r="H5034" i="6"/>
  <c r="H5035" i="6"/>
  <c r="H5036" i="6"/>
  <c r="H5037" i="6"/>
  <c r="H5038" i="6"/>
  <c r="H5039" i="6"/>
  <c r="H5040" i="6"/>
  <c r="H5041" i="6"/>
  <c r="H5042" i="6"/>
  <c r="H5043" i="6"/>
  <c r="H5044" i="6"/>
  <c r="H5045" i="6"/>
  <c r="H5046" i="6"/>
  <c r="H5047" i="6"/>
  <c r="H5048" i="6"/>
  <c r="H5049" i="6"/>
  <c r="H5050" i="6"/>
  <c r="H5051" i="6"/>
  <c r="H5052" i="6"/>
  <c r="H5053" i="6"/>
  <c r="H5054" i="6"/>
  <c r="H5055" i="6"/>
  <c r="H5056" i="6"/>
  <c r="H5057" i="6"/>
  <c r="H5058" i="6"/>
  <c r="H5059" i="6"/>
  <c r="H5060" i="6"/>
  <c r="H5061" i="6"/>
  <c r="H5062" i="6"/>
  <c r="H5063" i="6"/>
  <c r="H5064" i="6"/>
  <c r="H5065" i="6"/>
  <c r="H5066" i="6"/>
  <c r="H5067" i="6"/>
  <c r="H5068" i="6"/>
  <c r="H5069" i="6"/>
  <c r="H5070" i="6"/>
  <c r="H5071" i="6"/>
  <c r="H5072" i="6"/>
  <c r="H5073" i="6"/>
  <c r="H5074" i="6"/>
  <c r="H5075" i="6"/>
  <c r="H5076" i="6"/>
  <c r="H5077" i="6"/>
  <c r="H5078" i="6"/>
  <c r="H5079" i="6"/>
  <c r="H5080" i="6"/>
  <c r="H5081" i="6"/>
  <c r="H5082" i="6"/>
  <c r="H5083" i="6"/>
  <c r="H5084" i="6"/>
  <c r="H5085" i="6"/>
  <c r="H5086" i="6"/>
  <c r="H5087" i="6"/>
  <c r="H5088" i="6"/>
  <c r="H5089" i="6"/>
  <c r="H5090" i="6"/>
  <c r="H5091" i="6"/>
  <c r="H5092" i="6"/>
  <c r="H5093" i="6"/>
  <c r="H5094" i="6"/>
  <c r="H5095" i="6"/>
  <c r="H5096" i="6"/>
  <c r="H5097" i="6"/>
  <c r="H5098" i="6"/>
  <c r="H5099" i="6"/>
  <c r="H5100" i="6"/>
  <c r="H5101" i="6"/>
  <c r="H5102" i="6"/>
  <c r="H5103" i="6"/>
  <c r="H5104" i="6"/>
  <c r="H5105" i="6"/>
  <c r="H5106" i="6"/>
  <c r="H5107" i="6"/>
  <c r="H5108" i="6"/>
  <c r="H5109" i="6"/>
  <c r="H5110" i="6"/>
  <c r="H5111" i="6"/>
  <c r="H5112" i="6"/>
  <c r="H5113" i="6"/>
  <c r="H5114" i="6"/>
  <c r="H5115" i="6"/>
  <c r="H5116" i="6"/>
  <c r="H5117" i="6"/>
  <c r="H5118" i="6"/>
  <c r="H5119" i="6"/>
  <c r="H5120" i="6"/>
  <c r="H5121" i="6"/>
  <c r="H5122" i="6"/>
  <c r="H5123" i="6"/>
  <c r="H5124" i="6"/>
  <c r="H5125" i="6"/>
  <c r="H5126" i="6"/>
  <c r="H5127" i="6"/>
  <c r="H5128" i="6"/>
  <c r="H5129" i="6"/>
  <c r="H5130" i="6"/>
  <c r="H5131" i="6"/>
  <c r="H5132" i="6"/>
  <c r="H5133" i="6"/>
  <c r="H5134" i="6"/>
  <c r="H5135" i="6"/>
  <c r="H5136" i="6"/>
  <c r="H5137" i="6"/>
  <c r="H5138" i="6"/>
  <c r="H5139" i="6"/>
  <c r="H5140" i="6"/>
  <c r="H5141" i="6"/>
  <c r="H5142" i="6"/>
  <c r="H5143" i="6"/>
  <c r="H5144" i="6"/>
  <c r="H5145" i="6"/>
  <c r="H5146" i="6"/>
  <c r="H5147" i="6"/>
  <c r="H5148" i="6"/>
  <c r="H5149" i="6"/>
  <c r="H5150" i="6"/>
  <c r="H5151" i="6"/>
  <c r="H5152" i="6"/>
  <c r="H5153" i="6"/>
  <c r="H5154" i="6"/>
  <c r="H5155" i="6"/>
  <c r="H5156" i="6"/>
  <c r="H5157" i="6"/>
  <c r="H5158" i="6"/>
  <c r="H5159" i="6"/>
  <c r="H5160" i="6"/>
  <c r="H5161" i="6"/>
  <c r="H5162" i="6"/>
  <c r="H5163" i="6"/>
  <c r="H5164" i="6"/>
  <c r="H5165" i="6"/>
  <c r="H5166" i="6"/>
  <c r="H5167" i="6"/>
  <c r="H5168" i="6"/>
  <c r="H5169" i="6"/>
  <c r="H5170" i="6"/>
  <c r="H5171" i="6"/>
  <c r="H5172" i="6"/>
  <c r="H5173" i="6"/>
  <c r="H5174" i="6"/>
  <c r="H5175" i="6"/>
  <c r="H5176" i="6"/>
  <c r="H5177" i="6"/>
  <c r="H5178" i="6"/>
  <c r="H5179" i="6"/>
  <c r="H5180" i="6"/>
  <c r="H5181" i="6"/>
  <c r="H5182" i="6"/>
  <c r="H5183" i="6"/>
  <c r="H5184" i="6"/>
  <c r="H5185" i="6"/>
  <c r="H5186" i="6"/>
  <c r="H5187" i="6"/>
  <c r="H5188" i="6"/>
  <c r="H5189" i="6"/>
  <c r="H5190" i="6"/>
  <c r="H5191" i="6"/>
  <c r="H5192" i="6"/>
  <c r="H5193" i="6"/>
  <c r="H5194" i="6"/>
  <c r="H5195" i="6"/>
  <c r="H5196" i="6"/>
  <c r="H5197" i="6"/>
  <c r="H5198" i="6"/>
  <c r="H5199" i="6"/>
  <c r="H5200" i="6"/>
  <c r="H5201" i="6"/>
  <c r="H5202" i="6"/>
  <c r="H5203" i="6"/>
  <c r="H5204" i="6"/>
  <c r="H5205" i="6"/>
  <c r="H5206" i="6"/>
  <c r="H5207" i="6"/>
  <c r="H5208" i="6"/>
  <c r="H5209" i="6"/>
  <c r="H5210" i="6"/>
  <c r="H5211" i="6"/>
  <c r="H5212" i="6"/>
  <c r="H5213" i="6"/>
  <c r="H5214" i="6"/>
  <c r="H5215" i="6"/>
  <c r="H5216" i="6"/>
  <c r="H5217" i="6"/>
  <c r="H5218" i="6"/>
  <c r="H5219" i="6"/>
  <c r="H5220" i="6"/>
  <c r="H5221" i="6"/>
  <c r="H5222" i="6"/>
  <c r="H5223" i="6"/>
  <c r="H5224" i="6"/>
  <c r="H5225" i="6"/>
  <c r="H5226" i="6"/>
  <c r="H5227" i="6"/>
  <c r="H5228" i="6"/>
  <c r="H5229" i="6"/>
  <c r="H5230" i="6"/>
  <c r="H5231" i="6"/>
  <c r="H5232" i="6"/>
  <c r="H5233" i="6"/>
  <c r="H5234" i="6"/>
  <c r="H5235" i="6"/>
  <c r="H5236" i="6"/>
  <c r="H5237" i="6"/>
  <c r="H5238" i="6"/>
  <c r="H5239" i="6"/>
  <c r="H5240" i="6"/>
  <c r="H5241" i="6"/>
  <c r="H5242" i="6"/>
  <c r="H5243" i="6"/>
  <c r="H5244" i="6"/>
  <c r="H5245" i="6"/>
  <c r="H5246" i="6"/>
  <c r="H5247" i="6"/>
  <c r="H5248" i="6"/>
  <c r="H5249" i="6"/>
  <c r="H5250" i="6"/>
  <c r="H5251" i="6"/>
  <c r="H5252" i="6"/>
  <c r="H5253" i="6"/>
  <c r="H5254" i="6"/>
  <c r="H5255" i="6"/>
  <c r="H5256" i="6"/>
  <c r="H5257" i="6"/>
  <c r="H5258" i="6"/>
  <c r="H5259" i="6"/>
  <c r="H5260" i="6"/>
  <c r="H5261" i="6"/>
  <c r="H5262" i="6"/>
  <c r="H5263" i="6"/>
  <c r="H5264" i="6"/>
  <c r="H5265" i="6"/>
  <c r="H5266" i="6"/>
  <c r="H5267" i="6"/>
  <c r="H5268" i="6"/>
  <c r="H5269" i="6"/>
  <c r="H5270" i="6"/>
  <c r="H5271" i="6"/>
  <c r="H5272" i="6"/>
  <c r="H5273" i="6"/>
  <c r="H5274" i="6"/>
  <c r="H5275" i="6"/>
  <c r="H5276" i="6"/>
  <c r="H5277" i="6"/>
  <c r="H5278" i="6"/>
  <c r="H5279" i="6"/>
  <c r="H5280" i="6"/>
  <c r="H5281" i="6"/>
  <c r="H5282" i="6"/>
  <c r="H5283" i="6"/>
  <c r="H5284" i="6"/>
  <c r="H5285" i="6"/>
  <c r="H5286" i="6"/>
  <c r="H5287" i="6"/>
  <c r="H5288" i="6"/>
  <c r="H5289" i="6"/>
  <c r="H5290" i="6"/>
  <c r="H5291" i="6"/>
  <c r="H5292" i="6"/>
  <c r="H5293" i="6"/>
  <c r="H5294" i="6"/>
  <c r="H5295" i="6"/>
  <c r="H5296" i="6"/>
  <c r="H5297" i="6"/>
  <c r="H5298" i="6"/>
  <c r="H5299" i="6"/>
  <c r="H5300" i="6"/>
  <c r="H5301" i="6"/>
  <c r="H5302" i="6"/>
  <c r="H5303" i="6"/>
  <c r="H5304" i="6"/>
  <c r="H5305" i="6"/>
  <c r="H5306" i="6"/>
  <c r="H5307" i="6"/>
  <c r="H5308" i="6"/>
  <c r="H5309" i="6"/>
  <c r="H5310" i="6"/>
  <c r="H5311" i="6"/>
  <c r="H5312" i="6"/>
  <c r="H5313" i="6"/>
  <c r="H5314" i="6"/>
  <c r="H5315" i="6"/>
  <c r="H5316" i="6"/>
  <c r="H5317" i="6"/>
  <c r="H5318" i="6"/>
  <c r="H5319" i="6"/>
  <c r="H5320" i="6"/>
  <c r="H5321" i="6"/>
  <c r="H5322" i="6"/>
  <c r="H5323" i="6"/>
  <c r="H5324" i="6"/>
  <c r="H5325" i="6"/>
  <c r="H5326" i="6"/>
  <c r="H5327" i="6"/>
  <c r="H5328" i="6"/>
  <c r="H5329" i="6"/>
  <c r="H5330" i="6"/>
  <c r="H5331" i="6"/>
  <c r="H5332" i="6"/>
  <c r="H5333" i="6"/>
  <c r="H5334" i="6"/>
  <c r="H5335" i="6"/>
  <c r="H5336" i="6"/>
  <c r="H5337" i="6"/>
  <c r="H5338" i="6"/>
  <c r="H5339" i="6"/>
  <c r="H5340" i="6"/>
  <c r="H5341" i="6"/>
  <c r="H5342" i="6"/>
  <c r="H5343" i="6"/>
  <c r="H5344" i="6"/>
  <c r="H5345" i="6"/>
  <c r="H5346" i="6"/>
  <c r="H5347" i="6"/>
  <c r="H5348" i="6"/>
  <c r="H5349" i="6"/>
  <c r="H5350" i="6"/>
  <c r="H5351" i="6"/>
  <c r="H5352" i="6"/>
  <c r="H5353" i="6"/>
  <c r="H5354" i="6"/>
  <c r="H5355" i="6"/>
  <c r="H5356" i="6"/>
  <c r="H5357" i="6"/>
  <c r="H5358" i="6"/>
  <c r="H5359" i="6"/>
  <c r="H5360" i="6"/>
  <c r="H5361" i="6"/>
  <c r="H5362" i="6"/>
  <c r="H5363" i="6"/>
  <c r="H5364" i="6"/>
  <c r="H5365" i="6"/>
  <c r="H5366" i="6"/>
  <c r="H5367" i="6"/>
  <c r="H5368" i="6"/>
  <c r="H5369" i="6"/>
  <c r="H5370" i="6"/>
  <c r="H5371" i="6"/>
  <c r="H5372" i="6"/>
  <c r="H5373" i="6"/>
  <c r="H5374" i="6"/>
  <c r="H5375" i="6"/>
  <c r="H5376" i="6"/>
  <c r="H5377" i="6"/>
  <c r="H5378" i="6"/>
  <c r="H5379" i="6"/>
  <c r="H5380" i="6"/>
  <c r="H5381" i="6"/>
  <c r="H5382" i="6"/>
  <c r="H5383" i="6"/>
  <c r="H5384" i="6"/>
  <c r="H5385" i="6"/>
  <c r="H5386" i="6"/>
  <c r="H5387" i="6"/>
  <c r="H5388" i="6"/>
  <c r="H5389" i="6"/>
  <c r="H5390" i="6"/>
  <c r="H5391" i="6"/>
  <c r="H5392" i="6"/>
  <c r="H5393" i="6"/>
  <c r="H5394" i="6"/>
  <c r="H5395" i="6"/>
  <c r="H5396" i="6"/>
  <c r="H5397" i="6"/>
  <c r="H5398" i="6"/>
  <c r="H5399" i="6"/>
  <c r="H5400" i="6"/>
  <c r="H5401" i="6"/>
  <c r="H5402" i="6"/>
  <c r="H5403" i="6"/>
  <c r="H5404" i="6"/>
  <c r="H5405" i="6"/>
  <c r="H5406" i="6"/>
  <c r="H5407" i="6"/>
  <c r="H5408" i="6"/>
  <c r="H5409" i="6"/>
  <c r="H5410" i="6"/>
  <c r="H5411" i="6"/>
  <c r="H5412" i="6"/>
  <c r="H5413" i="6"/>
  <c r="H5414" i="6"/>
  <c r="H5415" i="6"/>
  <c r="H5416" i="6"/>
  <c r="H5417" i="6"/>
  <c r="H5418" i="6"/>
  <c r="H5419" i="6"/>
  <c r="H5420" i="6"/>
  <c r="H5421" i="6"/>
  <c r="H5422" i="6"/>
  <c r="H5423" i="6"/>
  <c r="H5424" i="6"/>
  <c r="H5425" i="6"/>
  <c r="H5426" i="6"/>
  <c r="H5427" i="6"/>
  <c r="H5428" i="6"/>
  <c r="H5429" i="6"/>
  <c r="H5430" i="6"/>
  <c r="H5431" i="6"/>
  <c r="H5432" i="6"/>
  <c r="H5433" i="6"/>
  <c r="H5434" i="6"/>
  <c r="H5435" i="6"/>
  <c r="H5436" i="6"/>
  <c r="H5437" i="6"/>
  <c r="H5438" i="6"/>
  <c r="H5439" i="6"/>
  <c r="H5440" i="6"/>
  <c r="H5441" i="6"/>
  <c r="H5442" i="6"/>
  <c r="H5443" i="6"/>
  <c r="H5444" i="6"/>
  <c r="H5445" i="6"/>
  <c r="H5446" i="6"/>
  <c r="H5447" i="6"/>
  <c r="H5448" i="6"/>
  <c r="H5449" i="6"/>
  <c r="H5450" i="6"/>
  <c r="H5451" i="6"/>
  <c r="H5452" i="6"/>
  <c r="H5453" i="6"/>
  <c r="H5454" i="6"/>
  <c r="H5455" i="6"/>
  <c r="H5456" i="6"/>
  <c r="H5457" i="6"/>
  <c r="H5458" i="6"/>
  <c r="H5459" i="6"/>
  <c r="H5460" i="6"/>
  <c r="H5461" i="6"/>
  <c r="H5462" i="6"/>
  <c r="H5463" i="6"/>
  <c r="H5464" i="6"/>
  <c r="H5465" i="6"/>
  <c r="H5466" i="6"/>
  <c r="H5467" i="6"/>
  <c r="H5468" i="6"/>
  <c r="H5469" i="6"/>
  <c r="H5470" i="6"/>
  <c r="H5471" i="6"/>
  <c r="H5472" i="6"/>
  <c r="H5473" i="6"/>
  <c r="H5474" i="6"/>
  <c r="H5475" i="6"/>
  <c r="H5476" i="6"/>
  <c r="H5477" i="6"/>
  <c r="H5478" i="6"/>
  <c r="H5479" i="6"/>
  <c r="H5480" i="6"/>
  <c r="H5481" i="6"/>
  <c r="H5482" i="6"/>
  <c r="H5483" i="6"/>
  <c r="H5484" i="6"/>
  <c r="H5485" i="6"/>
  <c r="H5486" i="6"/>
  <c r="H5487" i="6"/>
  <c r="H5488" i="6"/>
  <c r="H5489" i="6"/>
  <c r="H5490" i="6"/>
  <c r="H5491" i="6"/>
  <c r="H5492" i="6"/>
  <c r="H5493" i="6"/>
  <c r="H5494" i="6"/>
  <c r="H5495" i="6"/>
  <c r="H5496" i="6"/>
  <c r="H5497" i="6"/>
  <c r="H5498" i="6"/>
  <c r="H5499" i="6"/>
  <c r="H5500" i="6"/>
  <c r="H5501" i="6"/>
  <c r="H5502" i="6"/>
  <c r="H5503" i="6"/>
  <c r="H5504" i="6"/>
  <c r="H5505" i="6"/>
  <c r="H5506" i="6"/>
  <c r="H5507" i="6"/>
  <c r="H5508" i="6"/>
  <c r="H5509" i="6"/>
  <c r="H5510" i="6"/>
  <c r="H5511" i="6"/>
  <c r="H5512" i="6"/>
  <c r="H5513" i="6"/>
  <c r="H5514" i="6"/>
  <c r="H5515" i="6"/>
  <c r="H5516" i="6"/>
  <c r="H5517" i="6"/>
  <c r="H5518" i="6"/>
  <c r="H5519" i="6"/>
  <c r="H5520" i="6"/>
  <c r="H5521" i="6"/>
  <c r="H5522" i="6"/>
  <c r="H5523" i="6"/>
  <c r="H5524" i="6"/>
  <c r="H5525" i="6"/>
  <c r="H5526" i="6"/>
  <c r="H5527" i="6"/>
  <c r="H5528" i="6"/>
  <c r="H5529" i="6"/>
  <c r="H5530" i="6"/>
  <c r="H5531" i="6"/>
  <c r="H5532" i="6"/>
  <c r="H5533" i="6"/>
  <c r="H5534" i="6"/>
  <c r="H5535" i="6"/>
  <c r="H5536" i="6"/>
  <c r="H5537" i="6"/>
  <c r="H5538" i="6"/>
  <c r="H5539" i="6"/>
  <c r="H5540" i="6"/>
  <c r="H5541" i="6"/>
  <c r="H5542" i="6"/>
  <c r="H5543" i="6"/>
  <c r="H5544" i="6"/>
  <c r="H5545" i="6"/>
  <c r="H5546" i="6"/>
  <c r="H5547" i="6"/>
  <c r="H5548" i="6"/>
  <c r="H5549" i="6"/>
  <c r="H5550" i="6"/>
  <c r="H5551" i="6"/>
  <c r="H5552" i="6"/>
  <c r="H5553" i="6"/>
  <c r="H5554" i="6"/>
  <c r="H5555" i="6"/>
  <c r="H5556" i="6"/>
  <c r="H5557" i="6"/>
  <c r="H5558" i="6"/>
  <c r="H5559" i="6"/>
  <c r="H5560" i="6"/>
  <c r="H5561" i="6"/>
  <c r="H5562" i="6"/>
  <c r="H5563" i="6"/>
  <c r="H5564" i="6"/>
  <c r="H5565" i="6"/>
  <c r="H5566" i="6"/>
  <c r="H5567" i="6"/>
  <c r="H5568" i="6"/>
  <c r="H5569" i="6"/>
  <c r="H5570" i="6"/>
  <c r="H5571" i="6"/>
  <c r="H5572" i="6"/>
  <c r="H5573" i="6"/>
  <c r="H5574" i="6"/>
  <c r="H5575" i="6"/>
  <c r="H5576" i="6"/>
  <c r="H5577" i="6"/>
  <c r="H5578" i="6"/>
  <c r="H5579" i="6"/>
  <c r="H5580" i="6"/>
  <c r="H5581" i="6"/>
  <c r="H5582" i="6"/>
  <c r="H5583" i="6"/>
  <c r="H5584" i="6"/>
  <c r="H5585" i="6"/>
  <c r="H5586" i="6"/>
  <c r="H5587" i="6"/>
  <c r="H5588" i="6"/>
  <c r="H5589" i="6"/>
  <c r="H5590" i="6"/>
  <c r="H5591" i="6"/>
  <c r="H5592" i="6"/>
  <c r="H5593" i="6"/>
  <c r="H5594" i="6"/>
  <c r="H5595" i="6"/>
  <c r="H5596" i="6"/>
  <c r="H5597" i="6"/>
  <c r="H5598" i="6"/>
  <c r="H5599" i="6"/>
  <c r="H5600" i="6"/>
  <c r="H5601" i="6"/>
  <c r="H5602" i="6"/>
  <c r="H5603" i="6"/>
  <c r="H5604" i="6"/>
  <c r="H5605" i="6"/>
  <c r="H5606" i="6"/>
  <c r="H5607" i="6"/>
  <c r="H5608" i="6"/>
  <c r="H5609" i="6"/>
  <c r="H5610" i="6"/>
  <c r="H5611" i="6"/>
  <c r="H5612" i="6"/>
  <c r="H5613" i="6"/>
  <c r="H5614" i="6"/>
  <c r="H5615" i="6"/>
  <c r="H5616" i="6"/>
  <c r="H5617" i="6"/>
  <c r="H5618" i="6"/>
  <c r="H5619" i="6"/>
  <c r="H5620" i="6"/>
  <c r="H5621" i="6"/>
  <c r="H5622" i="6"/>
  <c r="H5623" i="6"/>
  <c r="H5624" i="6"/>
  <c r="H5625" i="6"/>
  <c r="H5626" i="6"/>
  <c r="H5627" i="6"/>
  <c r="H5628" i="6"/>
  <c r="H5629" i="6"/>
  <c r="H5630" i="6"/>
  <c r="H5631" i="6"/>
  <c r="H5632" i="6"/>
  <c r="H5633" i="6"/>
  <c r="H5634" i="6"/>
  <c r="H5635" i="6"/>
  <c r="H5636" i="6"/>
  <c r="H5637" i="6"/>
  <c r="H5638" i="6"/>
  <c r="H5639" i="6"/>
  <c r="H5640" i="6"/>
  <c r="H5641" i="6"/>
  <c r="H5642" i="6"/>
  <c r="H5643" i="6"/>
  <c r="H5644" i="6"/>
  <c r="H5645" i="6"/>
  <c r="H5646" i="6"/>
  <c r="H5647" i="6"/>
  <c r="H5648" i="6"/>
  <c r="H5649" i="6"/>
  <c r="H5650" i="6"/>
  <c r="H5651" i="6"/>
  <c r="H5652" i="6"/>
  <c r="H5653" i="6"/>
  <c r="H5654" i="6"/>
  <c r="H5655" i="6"/>
  <c r="H5656" i="6"/>
  <c r="H5657" i="6"/>
  <c r="H5658" i="6"/>
  <c r="H5659" i="6"/>
  <c r="H5660" i="6"/>
  <c r="H5661" i="6"/>
  <c r="H5662" i="6"/>
  <c r="H5663" i="6"/>
  <c r="H5664" i="6"/>
  <c r="H5665" i="6"/>
  <c r="H5666" i="6"/>
  <c r="H5667" i="6"/>
  <c r="H5668" i="6"/>
  <c r="H5669" i="6"/>
  <c r="H5670" i="6"/>
  <c r="H5671" i="6"/>
  <c r="H5672" i="6"/>
  <c r="H5673" i="6"/>
  <c r="H5674" i="6"/>
  <c r="H5675" i="6"/>
  <c r="H5676" i="6"/>
  <c r="H5677" i="6"/>
  <c r="H5678" i="6"/>
  <c r="H5679" i="6"/>
  <c r="H5680" i="6"/>
  <c r="H5681" i="6"/>
  <c r="H5682" i="6"/>
  <c r="H5683" i="6"/>
  <c r="H5684" i="6"/>
  <c r="H5685" i="6"/>
  <c r="H5686" i="6"/>
  <c r="H5687" i="6"/>
  <c r="H5688" i="6"/>
  <c r="H5689" i="6"/>
  <c r="H5690" i="6"/>
  <c r="H5691" i="6"/>
  <c r="H5692" i="6"/>
  <c r="H5693" i="6"/>
  <c r="H5694" i="6"/>
  <c r="H5695" i="6"/>
  <c r="H5696" i="6"/>
  <c r="H5697" i="6"/>
  <c r="H5698" i="6"/>
  <c r="H5699" i="6"/>
  <c r="H5700" i="6"/>
  <c r="H5701" i="6"/>
  <c r="H5702" i="6"/>
  <c r="H5703" i="6"/>
  <c r="H5704" i="6"/>
  <c r="H5705" i="6"/>
  <c r="H5706" i="6"/>
  <c r="H5707" i="6"/>
  <c r="H5708" i="6"/>
  <c r="H5709" i="6"/>
  <c r="H5710" i="6"/>
  <c r="H5711" i="6"/>
  <c r="H5712" i="6"/>
  <c r="H5713" i="6"/>
  <c r="H5714" i="6"/>
  <c r="H5715" i="6"/>
  <c r="H5716" i="6"/>
  <c r="H5717" i="6"/>
  <c r="H5718" i="6"/>
  <c r="H5719" i="6"/>
  <c r="H5720" i="6"/>
  <c r="H5721" i="6"/>
  <c r="H5722" i="6"/>
  <c r="H5723" i="6"/>
  <c r="H5724" i="6"/>
  <c r="H5725" i="6"/>
  <c r="H5726" i="6"/>
  <c r="H5727" i="6"/>
  <c r="H5728" i="6"/>
  <c r="H5729" i="6"/>
  <c r="H5730" i="6"/>
  <c r="H5731" i="6"/>
  <c r="H5732" i="6"/>
  <c r="H5733" i="6"/>
  <c r="H5734" i="6"/>
  <c r="H5735" i="6"/>
  <c r="H5736" i="6"/>
  <c r="H5737" i="6"/>
  <c r="H5738" i="6"/>
  <c r="H5739" i="6"/>
  <c r="H5740" i="6"/>
  <c r="H5741" i="6"/>
  <c r="H5742" i="6"/>
  <c r="H5743" i="6"/>
  <c r="H5744" i="6"/>
  <c r="H5745" i="6"/>
  <c r="H5746" i="6"/>
  <c r="H5747" i="6"/>
  <c r="H5748" i="6"/>
  <c r="H5749" i="6"/>
  <c r="H5750" i="6"/>
  <c r="H5751" i="6"/>
  <c r="H5752" i="6"/>
  <c r="H5753" i="6"/>
  <c r="H5754" i="6"/>
  <c r="H5755" i="6"/>
  <c r="H5756" i="6"/>
  <c r="H5757" i="6"/>
  <c r="H5758" i="6"/>
  <c r="H5759" i="6"/>
  <c r="H5760" i="6"/>
  <c r="H5761" i="6"/>
  <c r="H5762" i="6"/>
  <c r="H5763" i="6"/>
  <c r="H5764" i="6"/>
  <c r="H5765" i="6"/>
  <c r="H5766" i="6"/>
  <c r="H5767" i="6"/>
  <c r="H5768" i="6"/>
  <c r="H5769" i="6"/>
  <c r="H5770" i="6"/>
  <c r="H5771" i="6"/>
  <c r="H5772" i="6"/>
  <c r="H5773" i="6"/>
  <c r="H5774" i="6"/>
  <c r="H5775" i="6"/>
  <c r="H5776" i="6"/>
  <c r="H5777" i="6"/>
  <c r="H5778" i="6"/>
  <c r="H5779" i="6"/>
  <c r="H5780" i="6"/>
  <c r="H5781" i="6"/>
  <c r="H5782" i="6"/>
  <c r="H5783" i="6"/>
  <c r="H5784" i="6"/>
  <c r="H5785" i="6"/>
  <c r="H5786" i="6"/>
  <c r="H5787" i="6"/>
  <c r="H5788" i="6"/>
  <c r="H5789" i="6"/>
  <c r="H5790" i="6"/>
  <c r="H5791" i="6"/>
  <c r="H5792" i="6"/>
  <c r="H5793" i="6"/>
  <c r="H5794" i="6"/>
  <c r="H5795" i="6"/>
  <c r="H5796" i="6"/>
  <c r="H5797" i="6"/>
  <c r="H5798" i="6"/>
  <c r="H5799" i="6"/>
  <c r="H5800" i="6"/>
  <c r="H5801" i="6"/>
  <c r="H5802" i="6"/>
  <c r="H5803" i="6"/>
  <c r="H5804" i="6"/>
  <c r="H5805" i="6"/>
  <c r="H5806" i="6"/>
  <c r="H5807" i="6"/>
  <c r="H5808" i="6"/>
  <c r="H5809" i="6"/>
  <c r="H5810" i="6"/>
  <c r="H5811" i="6"/>
  <c r="H5812" i="6"/>
  <c r="H5813" i="6"/>
  <c r="H5814" i="6"/>
  <c r="H5815" i="6"/>
  <c r="H5816" i="6"/>
  <c r="H5817" i="6"/>
  <c r="H5818" i="6"/>
  <c r="H5819" i="6"/>
  <c r="H5820" i="6"/>
  <c r="H5821" i="6"/>
  <c r="H5822" i="6"/>
  <c r="H5823" i="6"/>
  <c r="H5824" i="6"/>
  <c r="H5825" i="6"/>
  <c r="H5826" i="6"/>
  <c r="H5827" i="6"/>
  <c r="H5828" i="6"/>
  <c r="H5829" i="6"/>
  <c r="H5830" i="6"/>
  <c r="H5831" i="6"/>
  <c r="H5832" i="6"/>
  <c r="H5833" i="6"/>
  <c r="H5834" i="6"/>
  <c r="H5835" i="6"/>
  <c r="H5836" i="6"/>
  <c r="H5837" i="6"/>
  <c r="H5838" i="6"/>
  <c r="H5839" i="6"/>
  <c r="H5840" i="6"/>
  <c r="H5841" i="6"/>
  <c r="H5842" i="6"/>
  <c r="H5843" i="6"/>
  <c r="H5844" i="6"/>
  <c r="H5845" i="6"/>
  <c r="H5846" i="6"/>
  <c r="H5847" i="6"/>
  <c r="H5848" i="6"/>
  <c r="H5849" i="6"/>
  <c r="H5850" i="6"/>
  <c r="H5851" i="6"/>
  <c r="H5852" i="6"/>
  <c r="H5853" i="6"/>
  <c r="H5854" i="6"/>
  <c r="H5855" i="6"/>
  <c r="H5856" i="6"/>
  <c r="H5857" i="6"/>
  <c r="H5858" i="6"/>
  <c r="H5859" i="6"/>
  <c r="H5860" i="6"/>
  <c r="H5861" i="6"/>
  <c r="H5862" i="6"/>
  <c r="H5863" i="6"/>
  <c r="H5864" i="6"/>
  <c r="H5865" i="6"/>
  <c r="H5866" i="6"/>
  <c r="H5867" i="6"/>
  <c r="H5868" i="6"/>
  <c r="H5869" i="6"/>
  <c r="H5870" i="6"/>
  <c r="H5871" i="6"/>
  <c r="H5872" i="6"/>
  <c r="H5873" i="6"/>
  <c r="H5874" i="6"/>
  <c r="H5875" i="6"/>
  <c r="H5876" i="6"/>
  <c r="H5877" i="6"/>
  <c r="H5878" i="6"/>
  <c r="H5879" i="6"/>
  <c r="H5880" i="6"/>
  <c r="H5881" i="6"/>
  <c r="H5882" i="6"/>
  <c r="H5883" i="6"/>
  <c r="H5884" i="6"/>
  <c r="H5885" i="6"/>
  <c r="H5886" i="6"/>
  <c r="H5887" i="6"/>
  <c r="H5888" i="6"/>
  <c r="H5889" i="6"/>
  <c r="H5890" i="6"/>
  <c r="H5891" i="6"/>
  <c r="H5892" i="6"/>
  <c r="H5893" i="6"/>
  <c r="H5894" i="6"/>
  <c r="H5895" i="6"/>
  <c r="H5896" i="6"/>
  <c r="H5897" i="6"/>
  <c r="H5898" i="6"/>
  <c r="H5899" i="6"/>
  <c r="H5900" i="6"/>
  <c r="H5901" i="6"/>
  <c r="H5902" i="6"/>
  <c r="H5903" i="6"/>
  <c r="H5904" i="6"/>
  <c r="H5905" i="6"/>
  <c r="H5906" i="6"/>
  <c r="H5907" i="6"/>
  <c r="H5908" i="6"/>
  <c r="H5909" i="6"/>
  <c r="H5910" i="6"/>
  <c r="H5911" i="6"/>
  <c r="H5912" i="6"/>
  <c r="H5913" i="6"/>
  <c r="H5914" i="6"/>
  <c r="H5915" i="6"/>
  <c r="H5916" i="6"/>
  <c r="H5917" i="6"/>
  <c r="H5918" i="6"/>
  <c r="H5919" i="6"/>
  <c r="H5920" i="6"/>
  <c r="H5921" i="6"/>
  <c r="H5922" i="6"/>
  <c r="H5923" i="6"/>
  <c r="H5924" i="6"/>
  <c r="H5925" i="6"/>
  <c r="H5926" i="6"/>
  <c r="H5927" i="6"/>
  <c r="H5928" i="6"/>
  <c r="H5929" i="6"/>
  <c r="H5930" i="6"/>
  <c r="H5931" i="6"/>
  <c r="H5932" i="6"/>
  <c r="H5933" i="6"/>
  <c r="H5934" i="6"/>
  <c r="H5935" i="6"/>
  <c r="H5936" i="6"/>
  <c r="H5937" i="6"/>
  <c r="H5938" i="6"/>
  <c r="H5939" i="6"/>
  <c r="H5940" i="6"/>
  <c r="H5941" i="6"/>
  <c r="H5942" i="6"/>
  <c r="H5943" i="6"/>
  <c r="H5944" i="6"/>
  <c r="H5945" i="6"/>
  <c r="H5946" i="6"/>
  <c r="H5947" i="6"/>
  <c r="H5948" i="6"/>
  <c r="H5949" i="6"/>
  <c r="H5950" i="6"/>
  <c r="H5951" i="6"/>
  <c r="H5952" i="6"/>
  <c r="H5953" i="6"/>
  <c r="H5954" i="6"/>
  <c r="H5955" i="6"/>
  <c r="H5956" i="6"/>
  <c r="H5957" i="6"/>
  <c r="H5958" i="6"/>
  <c r="H5959" i="6"/>
  <c r="H5960" i="6"/>
  <c r="H5961" i="6"/>
  <c r="H5962" i="6"/>
  <c r="H5963" i="6"/>
  <c r="H5964" i="6"/>
  <c r="H5965" i="6"/>
  <c r="H5966" i="6"/>
  <c r="H5967" i="6"/>
  <c r="H5968" i="6"/>
  <c r="H5969" i="6"/>
  <c r="H5970" i="6"/>
  <c r="H5971" i="6"/>
  <c r="H5972" i="6"/>
  <c r="H5973" i="6"/>
  <c r="H5974" i="6"/>
  <c r="H5975" i="6"/>
  <c r="H5976" i="6"/>
  <c r="H5977" i="6"/>
  <c r="H5978" i="6"/>
  <c r="H5979" i="6"/>
  <c r="H5980" i="6"/>
  <c r="H5981" i="6"/>
  <c r="H5982" i="6"/>
  <c r="H5983" i="6"/>
  <c r="H5984" i="6"/>
  <c r="H5985" i="6"/>
  <c r="H5986" i="6"/>
  <c r="H5987" i="6"/>
  <c r="H5988" i="6"/>
  <c r="H5989" i="6"/>
  <c r="H5990" i="6"/>
  <c r="H5991" i="6"/>
  <c r="H5992" i="6"/>
  <c r="H5993" i="6"/>
  <c r="H5994" i="6"/>
  <c r="H5995" i="6"/>
  <c r="H5996" i="6"/>
  <c r="H5997" i="6"/>
  <c r="H5998" i="6"/>
  <c r="H5999" i="6"/>
  <c r="H6000" i="6"/>
  <c r="H6001" i="6"/>
  <c r="H6002" i="6"/>
  <c r="H6003" i="6"/>
  <c r="H6004" i="6"/>
  <c r="H6005" i="6"/>
  <c r="H6006" i="6"/>
  <c r="H6007" i="6"/>
  <c r="H6008" i="6"/>
  <c r="H6009" i="6"/>
  <c r="H6010" i="6"/>
  <c r="H6011" i="6"/>
  <c r="H6012" i="6"/>
  <c r="H6013" i="6"/>
  <c r="H6014" i="6"/>
  <c r="H6015" i="6"/>
  <c r="H6016" i="6"/>
  <c r="H6017" i="6"/>
  <c r="H6018" i="6"/>
  <c r="H6019" i="6"/>
  <c r="H6020" i="6"/>
  <c r="H6021" i="6"/>
  <c r="H6022" i="6"/>
  <c r="H6023" i="6"/>
  <c r="H6024" i="6"/>
  <c r="H6025" i="6"/>
  <c r="H6026" i="6"/>
  <c r="H6027" i="6"/>
  <c r="H6028" i="6"/>
  <c r="H6029" i="6"/>
  <c r="H6030" i="6"/>
  <c r="H6031" i="6"/>
  <c r="H6032" i="6"/>
  <c r="H6033" i="6"/>
  <c r="H6034" i="6"/>
  <c r="H6035" i="6"/>
  <c r="H6036" i="6"/>
  <c r="H6037" i="6"/>
  <c r="H6038" i="6"/>
  <c r="H6039" i="6"/>
  <c r="H6040" i="6"/>
  <c r="H6041" i="6"/>
  <c r="H6042" i="6"/>
  <c r="H6043" i="6"/>
  <c r="H6044" i="6"/>
  <c r="H6045" i="6"/>
  <c r="H6046" i="6"/>
  <c r="H6047" i="6"/>
  <c r="H6048" i="6"/>
  <c r="H6049" i="6"/>
  <c r="H6050" i="6"/>
  <c r="H6051" i="6"/>
  <c r="H6052" i="6"/>
  <c r="H6053" i="6"/>
  <c r="H6054" i="6"/>
  <c r="H6055" i="6"/>
  <c r="H6056" i="6"/>
  <c r="H6057" i="6"/>
  <c r="H6058" i="6"/>
  <c r="H6059" i="6"/>
  <c r="H6060" i="6"/>
  <c r="H6061" i="6"/>
  <c r="H6062" i="6"/>
  <c r="H6063" i="6"/>
  <c r="H6064" i="6"/>
  <c r="H6065" i="6"/>
  <c r="H6066" i="6"/>
  <c r="H6067" i="6"/>
  <c r="H6068" i="6"/>
  <c r="H6069" i="6"/>
  <c r="H6070" i="6"/>
  <c r="H6071" i="6"/>
  <c r="H6072" i="6"/>
  <c r="H6073" i="6"/>
  <c r="H6074" i="6"/>
  <c r="H6075" i="6"/>
  <c r="H6076" i="6"/>
  <c r="H6077" i="6"/>
  <c r="H6078" i="6"/>
  <c r="H6079" i="6"/>
  <c r="H6080" i="6"/>
  <c r="H6081" i="6"/>
  <c r="H6082" i="6"/>
  <c r="H6083" i="6"/>
  <c r="H6084" i="6"/>
  <c r="H6085" i="6"/>
  <c r="H6086" i="6"/>
  <c r="H6087" i="6"/>
  <c r="H6088" i="6"/>
  <c r="H6089" i="6"/>
  <c r="H6090" i="6"/>
  <c r="H6091" i="6"/>
  <c r="H6092" i="6"/>
  <c r="H6093" i="6"/>
  <c r="H6094" i="6"/>
  <c r="H6095" i="6"/>
  <c r="H6096" i="6"/>
  <c r="H6097" i="6"/>
  <c r="H6098" i="6"/>
  <c r="H6099" i="6"/>
  <c r="H6100" i="6"/>
  <c r="H6101" i="6"/>
  <c r="H6102" i="6"/>
  <c r="H6103" i="6"/>
  <c r="H6104" i="6"/>
  <c r="H6105" i="6"/>
  <c r="H6106" i="6"/>
  <c r="H6107" i="6"/>
  <c r="H6108" i="6"/>
  <c r="H6109" i="6"/>
  <c r="H6110" i="6"/>
  <c r="H6111" i="6"/>
  <c r="H6112" i="6"/>
  <c r="H6113" i="6"/>
  <c r="H6114" i="6"/>
  <c r="H6115" i="6"/>
  <c r="H6116" i="6"/>
  <c r="H6117" i="6"/>
  <c r="H6118" i="6"/>
  <c r="H6119" i="6"/>
  <c r="H6120" i="6"/>
  <c r="H6121" i="6"/>
  <c r="H6122" i="6"/>
  <c r="H6123" i="6"/>
  <c r="H6124" i="6"/>
  <c r="H6125" i="6"/>
  <c r="H6126" i="6"/>
  <c r="H6127" i="6"/>
  <c r="H6128" i="6"/>
  <c r="H6129" i="6"/>
  <c r="H6130" i="6"/>
  <c r="H6131" i="6"/>
  <c r="H6132" i="6"/>
  <c r="H6133" i="6"/>
  <c r="H6134" i="6"/>
  <c r="H6135" i="6"/>
  <c r="H6136" i="6"/>
  <c r="H6137" i="6"/>
  <c r="H6138" i="6"/>
  <c r="H6139" i="6"/>
  <c r="H6140" i="6"/>
  <c r="H6141" i="6"/>
  <c r="H6142" i="6"/>
  <c r="H6143" i="6"/>
  <c r="H6144" i="6"/>
  <c r="H6145" i="6"/>
  <c r="H6146" i="6"/>
  <c r="H6147" i="6"/>
  <c r="H6148" i="6"/>
  <c r="H6149" i="6"/>
  <c r="H6150" i="6"/>
  <c r="H6151" i="6"/>
  <c r="H6152" i="6"/>
  <c r="H6153" i="6"/>
  <c r="H6154" i="6"/>
  <c r="H6155" i="6"/>
  <c r="H6156" i="6"/>
  <c r="H6157" i="6"/>
  <c r="H6158" i="6"/>
  <c r="H6159" i="6"/>
  <c r="H6160" i="6"/>
  <c r="H6161" i="6"/>
  <c r="H6162" i="6"/>
  <c r="H6163" i="6"/>
  <c r="H6164" i="6"/>
  <c r="H6165" i="6"/>
  <c r="H6166" i="6"/>
  <c r="H6167" i="6"/>
  <c r="H6168" i="6"/>
  <c r="H6169" i="6"/>
  <c r="H6170" i="6"/>
  <c r="H6171" i="6"/>
  <c r="H6172" i="6"/>
  <c r="H6173" i="6"/>
  <c r="H6174" i="6"/>
  <c r="H6175" i="6"/>
  <c r="H6176" i="6"/>
  <c r="H6177" i="6"/>
  <c r="H6178" i="6"/>
  <c r="H6179" i="6"/>
  <c r="H6180" i="6"/>
  <c r="H6181" i="6"/>
  <c r="H6182" i="6"/>
  <c r="H6183" i="6"/>
  <c r="H6184" i="6"/>
  <c r="H6185" i="6"/>
  <c r="H6186" i="6"/>
  <c r="H6187" i="6"/>
  <c r="H6188" i="6"/>
  <c r="H6189" i="6"/>
  <c r="H6190" i="6"/>
  <c r="H6191" i="6"/>
  <c r="H6192" i="6"/>
  <c r="H6193" i="6"/>
  <c r="H6194" i="6"/>
  <c r="H6195" i="6"/>
  <c r="H6196" i="6"/>
  <c r="H6197" i="6"/>
  <c r="H6198" i="6"/>
  <c r="H6199" i="6"/>
  <c r="H6200" i="6"/>
  <c r="H6201" i="6"/>
  <c r="H6202" i="6"/>
  <c r="H6203" i="6"/>
  <c r="H6204" i="6"/>
  <c r="H6205" i="6"/>
  <c r="H6206" i="6"/>
  <c r="H6207" i="6"/>
  <c r="H6208" i="6"/>
  <c r="H6209" i="6"/>
  <c r="H6210" i="6"/>
  <c r="H6211" i="6"/>
  <c r="H6212" i="6"/>
  <c r="H6213" i="6"/>
  <c r="H6214" i="6"/>
  <c r="H6215" i="6"/>
  <c r="H6216" i="6"/>
  <c r="H6217" i="6"/>
  <c r="H6218" i="6"/>
  <c r="H6219" i="6"/>
  <c r="H6220" i="6"/>
  <c r="H6221" i="6"/>
  <c r="H6222" i="6"/>
  <c r="H6223" i="6"/>
  <c r="H6224" i="6"/>
  <c r="H6225" i="6"/>
  <c r="H6226" i="6"/>
  <c r="H6227" i="6"/>
  <c r="H6228" i="6"/>
  <c r="H6229" i="6"/>
  <c r="H6230" i="6"/>
  <c r="H6231" i="6"/>
  <c r="H6232" i="6"/>
  <c r="H6233" i="6"/>
  <c r="H6234" i="6"/>
  <c r="H6235" i="6"/>
  <c r="H6236" i="6"/>
  <c r="H6237" i="6"/>
  <c r="H6238" i="6"/>
  <c r="H6239" i="6"/>
  <c r="H6240" i="6"/>
  <c r="H6241" i="6"/>
  <c r="H6242" i="6"/>
  <c r="H6243" i="6"/>
  <c r="H6244" i="6"/>
  <c r="H6245" i="6"/>
  <c r="H6246" i="6"/>
  <c r="H6247" i="6"/>
  <c r="H6248" i="6"/>
  <c r="H6249" i="6"/>
  <c r="H6250" i="6"/>
  <c r="H6251" i="6"/>
  <c r="H6252" i="6"/>
  <c r="H6253" i="6"/>
  <c r="H6254" i="6"/>
  <c r="H6255" i="6"/>
  <c r="H6256" i="6"/>
  <c r="H6257" i="6"/>
  <c r="H6258" i="6"/>
  <c r="H6259" i="6"/>
  <c r="H6260" i="6"/>
  <c r="H6261" i="6"/>
  <c r="H6262" i="6"/>
  <c r="H6263" i="6"/>
  <c r="H6264" i="6"/>
  <c r="H6265" i="6"/>
  <c r="H6266" i="6"/>
  <c r="H6267" i="6"/>
  <c r="H6268" i="6"/>
  <c r="H6269" i="6"/>
  <c r="H6270" i="6"/>
  <c r="H6271" i="6"/>
  <c r="H6272" i="6"/>
  <c r="H6273" i="6"/>
  <c r="H6274" i="6"/>
  <c r="H6275" i="6"/>
  <c r="H6276" i="6"/>
  <c r="H6277" i="6"/>
  <c r="H6278" i="6"/>
  <c r="H6279" i="6"/>
  <c r="H6280" i="6"/>
  <c r="H6281" i="6"/>
  <c r="H6282" i="6"/>
  <c r="H6283" i="6"/>
  <c r="H6284" i="6"/>
  <c r="H6285" i="6"/>
  <c r="H6286" i="6"/>
  <c r="H6287" i="6"/>
  <c r="H6288" i="6"/>
  <c r="H6289" i="6"/>
  <c r="H6290" i="6"/>
  <c r="H6291" i="6"/>
  <c r="H6292" i="6"/>
  <c r="H6293" i="6"/>
  <c r="H6294" i="6"/>
  <c r="H6295" i="6"/>
  <c r="H6296" i="6"/>
  <c r="H6297" i="6"/>
  <c r="H6298" i="6"/>
  <c r="H6299" i="6"/>
  <c r="H6300" i="6"/>
  <c r="H6301" i="6"/>
  <c r="H6302" i="6"/>
  <c r="H6303" i="6"/>
  <c r="H6304" i="6"/>
  <c r="H6305" i="6"/>
  <c r="H6306" i="6"/>
  <c r="H6307" i="6"/>
  <c r="H6308" i="6"/>
  <c r="H6309" i="6"/>
  <c r="H6310" i="6"/>
  <c r="H6311" i="6"/>
  <c r="H6312" i="6"/>
  <c r="H6313" i="6"/>
  <c r="H6314" i="6"/>
  <c r="H6315" i="6"/>
  <c r="H6316" i="6"/>
  <c r="H6317" i="6"/>
  <c r="H6318" i="6"/>
  <c r="H6319" i="6"/>
  <c r="H6320" i="6"/>
  <c r="H6321" i="6"/>
  <c r="H6322" i="6"/>
  <c r="H6323" i="6"/>
  <c r="H6324" i="6"/>
  <c r="H6325" i="6"/>
  <c r="H6326" i="6"/>
  <c r="H6327" i="6"/>
  <c r="H6328" i="6"/>
  <c r="H6329" i="6"/>
  <c r="H6330" i="6"/>
  <c r="H6331" i="6"/>
  <c r="H6332" i="6"/>
  <c r="H6333" i="6"/>
  <c r="H6334" i="6"/>
  <c r="H6335" i="6"/>
  <c r="H6336" i="6"/>
  <c r="H6337" i="6"/>
  <c r="H6338" i="6"/>
  <c r="H6339" i="6"/>
  <c r="H6340" i="6"/>
  <c r="H6341" i="6"/>
  <c r="H6342" i="6"/>
  <c r="H6343" i="6"/>
  <c r="H6344" i="6"/>
  <c r="H6345" i="6"/>
  <c r="H6346" i="6"/>
  <c r="H6347" i="6"/>
  <c r="H6348" i="6"/>
  <c r="H6349" i="6"/>
  <c r="H6350" i="6"/>
  <c r="H6351" i="6"/>
  <c r="H6352" i="6"/>
  <c r="H6353" i="6"/>
  <c r="H6354" i="6"/>
  <c r="H6355" i="6"/>
  <c r="H6356" i="6"/>
  <c r="H6357" i="6"/>
  <c r="H6358" i="6"/>
  <c r="H6359" i="6"/>
  <c r="H6360" i="6"/>
  <c r="H6361" i="6"/>
  <c r="H6362" i="6"/>
  <c r="H6363" i="6"/>
  <c r="H6364" i="6"/>
  <c r="H6365" i="6"/>
  <c r="H6366" i="6"/>
  <c r="H6367" i="6"/>
  <c r="H6368" i="6"/>
  <c r="H6369" i="6"/>
  <c r="H6370" i="6"/>
  <c r="H6371" i="6"/>
  <c r="H6372" i="6"/>
  <c r="H6373" i="6"/>
  <c r="H6374" i="6"/>
  <c r="H6375" i="6"/>
  <c r="H6376" i="6"/>
  <c r="H6377" i="6"/>
  <c r="H6378" i="6"/>
  <c r="H6379" i="6"/>
  <c r="H6380" i="6"/>
  <c r="H6381" i="6"/>
  <c r="H6382" i="6"/>
  <c r="H6383" i="6"/>
  <c r="H6384" i="6"/>
  <c r="H6385" i="6"/>
  <c r="H6386" i="6"/>
  <c r="H6387" i="6"/>
  <c r="H6388" i="6"/>
  <c r="H6389" i="6"/>
  <c r="H6390" i="6"/>
  <c r="H6391" i="6"/>
  <c r="H6392" i="6"/>
  <c r="H6393" i="6"/>
  <c r="H6394" i="6"/>
  <c r="H6395" i="6"/>
  <c r="H6396" i="6"/>
  <c r="H6397" i="6"/>
  <c r="H6398" i="6"/>
  <c r="H6399" i="6"/>
  <c r="H6400" i="6"/>
  <c r="H6401" i="6"/>
  <c r="H6402" i="6"/>
  <c r="H6403" i="6"/>
  <c r="H6404" i="6"/>
  <c r="H6405" i="6"/>
  <c r="H6406" i="6"/>
  <c r="H6407" i="6"/>
  <c r="H6408" i="6"/>
  <c r="H6409" i="6"/>
  <c r="H6410" i="6"/>
  <c r="H6411" i="6"/>
  <c r="H6412" i="6"/>
  <c r="H6413" i="6"/>
  <c r="H6414" i="6"/>
  <c r="H6415" i="6"/>
  <c r="H6416" i="6"/>
  <c r="H6417" i="6"/>
  <c r="H6418" i="6"/>
  <c r="H6419" i="6"/>
  <c r="H6420" i="6"/>
  <c r="H6421" i="6"/>
  <c r="H6422" i="6"/>
  <c r="H6423" i="6"/>
  <c r="H6424" i="6"/>
  <c r="H6425" i="6"/>
  <c r="H6426" i="6"/>
  <c r="H6427" i="6"/>
  <c r="H6428" i="6"/>
  <c r="H6429" i="6"/>
  <c r="H6430" i="6"/>
  <c r="H6431" i="6"/>
  <c r="H6432" i="6"/>
  <c r="H6433" i="6"/>
  <c r="H6434" i="6"/>
  <c r="H6435" i="6"/>
  <c r="H6436" i="6"/>
  <c r="H6437" i="6"/>
  <c r="H6438" i="6"/>
  <c r="H6439" i="6"/>
  <c r="H6440" i="6"/>
  <c r="H6441" i="6"/>
  <c r="H6442" i="6"/>
  <c r="H6443" i="6"/>
  <c r="H6444" i="6"/>
  <c r="H6445" i="6"/>
  <c r="H6446" i="6"/>
  <c r="H6447" i="6"/>
  <c r="H6448" i="6"/>
  <c r="H6449" i="6"/>
  <c r="H6450" i="6"/>
  <c r="H6451" i="6"/>
  <c r="H6452" i="6"/>
  <c r="H6453" i="6"/>
  <c r="H6454" i="6"/>
  <c r="H6455" i="6"/>
  <c r="H6456" i="6"/>
  <c r="H6457" i="6"/>
  <c r="H6458" i="6"/>
  <c r="H6459" i="6"/>
  <c r="H6460" i="6"/>
  <c r="H6461" i="6"/>
  <c r="H6462" i="6"/>
  <c r="H6463" i="6"/>
  <c r="H6464" i="6"/>
  <c r="H6465" i="6"/>
  <c r="H6466" i="6"/>
  <c r="H6467" i="6"/>
  <c r="H6468" i="6"/>
  <c r="H6469" i="6"/>
  <c r="H6470" i="6"/>
  <c r="H6471" i="6"/>
  <c r="H6472" i="6"/>
  <c r="H6473" i="6"/>
  <c r="H6474" i="6"/>
  <c r="H6475" i="6"/>
  <c r="H6476" i="6"/>
  <c r="H6477" i="6"/>
  <c r="H6478" i="6"/>
  <c r="H6479" i="6"/>
  <c r="H6480" i="6"/>
  <c r="H6481" i="6"/>
  <c r="H6482" i="6"/>
  <c r="H6483" i="6"/>
  <c r="H6484" i="6"/>
  <c r="H6485" i="6"/>
  <c r="H6486" i="6"/>
  <c r="H6487" i="6"/>
  <c r="H6488" i="6"/>
  <c r="H6489" i="6"/>
  <c r="H6490" i="6"/>
  <c r="H6491" i="6"/>
  <c r="H6492" i="6"/>
  <c r="H6493" i="6"/>
  <c r="H6494" i="6"/>
  <c r="H6495" i="6"/>
  <c r="H6496" i="6"/>
  <c r="H6497" i="6"/>
  <c r="H6498" i="6"/>
  <c r="H6499" i="6"/>
  <c r="H6500" i="6"/>
  <c r="H6501" i="6"/>
  <c r="H6502" i="6"/>
  <c r="H6503" i="6"/>
  <c r="H6504" i="6"/>
  <c r="H6505" i="6"/>
  <c r="H6506" i="6"/>
  <c r="H6507" i="6"/>
  <c r="H6508" i="6"/>
  <c r="H6509" i="6"/>
  <c r="H6510" i="6"/>
  <c r="H6511" i="6"/>
  <c r="H6512" i="6"/>
  <c r="H6513" i="6"/>
  <c r="H6514" i="6"/>
  <c r="H6515" i="6"/>
  <c r="H6516" i="6"/>
  <c r="H6517" i="6"/>
  <c r="H6518" i="6"/>
  <c r="H6519" i="6"/>
  <c r="H6520" i="6"/>
  <c r="H6521" i="6"/>
  <c r="H6522" i="6"/>
  <c r="H6523" i="6"/>
  <c r="H6524" i="6"/>
  <c r="H6525" i="6"/>
  <c r="H6526" i="6"/>
  <c r="H6527" i="6"/>
  <c r="H6528" i="6"/>
  <c r="H6529" i="6"/>
  <c r="H6530" i="6"/>
  <c r="H6531" i="6"/>
  <c r="H6532" i="6"/>
  <c r="H6533" i="6"/>
  <c r="H6534" i="6"/>
  <c r="H6535" i="6"/>
  <c r="H6536" i="6"/>
  <c r="H6537" i="6"/>
  <c r="H6538" i="6"/>
  <c r="H6539" i="6"/>
  <c r="H6540" i="6"/>
  <c r="H6541" i="6"/>
  <c r="H6542" i="6"/>
  <c r="H6543" i="6"/>
  <c r="H6544" i="6"/>
  <c r="H6545" i="6"/>
  <c r="H6546" i="6"/>
  <c r="H6547" i="6"/>
  <c r="H6548" i="6"/>
  <c r="H6549" i="6"/>
  <c r="H6550" i="6"/>
  <c r="H6551" i="6"/>
  <c r="H6552" i="6"/>
  <c r="H6553" i="6"/>
  <c r="H6554" i="6"/>
  <c r="H6555" i="6"/>
  <c r="H6556" i="6"/>
  <c r="H6557" i="6"/>
  <c r="H6558" i="6"/>
  <c r="H6559" i="6"/>
  <c r="H6560" i="6"/>
  <c r="H6561" i="6"/>
  <c r="H6562" i="6"/>
  <c r="H6563" i="6"/>
  <c r="H6564" i="6"/>
  <c r="H6565" i="6"/>
  <c r="H6566" i="6"/>
  <c r="H6567" i="6"/>
  <c r="H6568" i="6"/>
  <c r="H6569" i="6"/>
  <c r="H6570" i="6"/>
  <c r="H6571" i="6"/>
  <c r="H6572" i="6"/>
  <c r="H6573" i="6"/>
  <c r="H6574" i="6"/>
  <c r="H6575" i="6"/>
  <c r="H6576" i="6"/>
  <c r="H6577" i="6"/>
  <c r="H6578" i="6"/>
  <c r="H6579" i="6"/>
  <c r="H6580" i="6"/>
  <c r="H6581" i="6"/>
  <c r="H6582" i="6"/>
  <c r="H6583" i="6"/>
  <c r="H6584" i="6"/>
  <c r="H6585" i="6"/>
  <c r="H6586" i="6"/>
  <c r="H6587" i="6"/>
  <c r="H6588" i="6"/>
  <c r="H6589" i="6"/>
  <c r="H6590" i="6"/>
  <c r="H6591" i="6"/>
  <c r="H6592" i="6"/>
  <c r="H6593" i="6"/>
  <c r="H6594" i="6"/>
  <c r="H6595" i="6"/>
  <c r="H6596" i="6"/>
  <c r="H6597" i="6"/>
  <c r="H6598" i="6"/>
  <c r="H6599" i="6"/>
  <c r="H6600" i="6"/>
  <c r="H6601" i="6"/>
  <c r="H6602" i="6"/>
  <c r="H6603" i="6"/>
  <c r="H6604" i="6"/>
  <c r="H6605" i="6"/>
  <c r="H6606" i="6"/>
  <c r="H6607" i="6"/>
  <c r="H6608" i="6"/>
  <c r="H6609" i="6"/>
  <c r="H6610" i="6"/>
  <c r="H6611" i="6"/>
  <c r="H6612" i="6"/>
  <c r="H6613" i="6"/>
  <c r="H6614" i="6"/>
  <c r="H6615" i="6"/>
  <c r="H6616" i="6"/>
  <c r="H6617" i="6"/>
  <c r="H6618" i="6"/>
  <c r="H6619" i="6"/>
  <c r="H6620" i="6"/>
  <c r="H6621" i="6"/>
  <c r="H6622" i="6"/>
  <c r="H6623" i="6"/>
  <c r="H6624" i="6"/>
  <c r="H6625" i="6"/>
  <c r="H6626" i="6"/>
  <c r="H6627" i="6"/>
  <c r="H6628" i="6"/>
  <c r="H6629" i="6"/>
  <c r="H6630" i="6"/>
  <c r="H6631" i="6"/>
  <c r="H6632" i="6"/>
  <c r="H6633" i="6"/>
  <c r="H6634" i="6"/>
  <c r="H6635" i="6"/>
  <c r="H6636" i="6"/>
  <c r="H6637" i="6"/>
  <c r="H6638" i="6"/>
  <c r="H6639" i="6"/>
  <c r="H6640" i="6"/>
  <c r="H6641" i="6"/>
  <c r="H6642" i="6"/>
  <c r="H6643" i="6"/>
  <c r="H6644" i="6"/>
  <c r="H6645" i="6"/>
  <c r="H6646" i="6"/>
  <c r="H6647" i="6"/>
  <c r="H6648" i="6"/>
  <c r="H6649" i="6"/>
  <c r="H6650" i="6"/>
  <c r="H6651" i="6"/>
  <c r="H6652" i="6"/>
  <c r="H6653" i="6"/>
  <c r="H6654" i="6"/>
  <c r="H6655" i="6"/>
  <c r="H6656" i="6"/>
  <c r="H6657" i="6"/>
  <c r="H6658" i="6"/>
  <c r="H6659" i="6"/>
  <c r="H6660" i="6"/>
  <c r="H6661" i="6"/>
  <c r="H6662" i="6"/>
  <c r="H6663" i="6"/>
  <c r="H6664" i="6"/>
  <c r="H6665" i="6"/>
  <c r="H6666" i="6"/>
  <c r="H6667" i="6"/>
  <c r="H6668" i="6"/>
  <c r="H6669" i="6"/>
  <c r="H6670" i="6"/>
  <c r="H6671" i="6"/>
  <c r="H6672" i="6"/>
  <c r="H6673" i="6"/>
  <c r="H6674" i="6"/>
  <c r="H6675" i="6"/>
  <c r="H6676" i="6"/>
  <c r="H6677" i="6"/>
  <c r="H6678" i="6"/>
  <c r="H6679" i="6"/>
  <c r="H6680" i="6"/>
  <c r="H6681" i="6"/>
  <c r="H6682" i="6"/>
  <c r="H6683" i="6"/>
  <c r="H6684" i="6"/>
  <c r="H6685" i="6"/>
  <c r="H6686" i="6"/>
  <c r="H6687" i="6"/>
  <c r="H6688" i="6"/>
  <c r="H6689" i="6"/>
  <c r="H6690" i="6"/>
  <c r="H6691" i="6"/>
  <c r="H6692" i="6"/>
  <c r="H6693" i="6"/>
  <c r="H6694" i="6"/>
  <c r="H6695" i="6"/>
  <c r="H6696" i="6"/>
  <c r="H6697" i="6"/>
  <c r="H6698" i="6"/>
  <c r="H6699" i="6"/>
  <c r="H6700" i="6"/>
  <c r="H6701" i="6"/>
  <c r="H6702" i="6"/>
  <c r="H6703" i="6"/>
  <c r="H6704" i="6"/>
  <c r="H6705" i="6"/>
  <c r="H6706" i="6"/>
  <c r="H6707" i="6"/>
  <c r="H6708" i="6"/>
  <c r="H6709" i="6"/>
  <c r="H6710" i="6"/>
  <c r="H6711" i="6"/>
  <c r="H6712" i="6"/>
  <c r="H6713" i="6"/>
  <c r="H6714" i="6"/>
  <c r="H6715" i="6"/>
  <c r="H6716" i="6"/>
  <c r="H6717" i="6"/>
  <c r="H6718" i="6"/>
  <c r="H6719" i="6"/>
  <c r="H6720" i="6"/>
  <c r="H6721" i="6"/>
  <c r="H6722" i="6"/>
  <c r="H6723" i="6"/>
  <c r="H6724" i="6"/>
  <c r="H6725" i="6"/>
  <c r="H6726" i="6"/>
  <c r="H6727" i="6"/>
  <c r="H6728" i="6"/>
  <c r="H6729" i="6"/>
  <c r="H6730" i="6"/>
  <c r="H6731" i="6"/>
  <c r="H6732" i="6"/>
  <c r="H6733" i="6"/>
  <c r="H6734" i="6"/>
  <c r="H6735" i="6"/>
  <c r="H6736" i="6"/>
  <c r="H6737" i="6"/>
  <c r="H6738" i="6"/>
  <c r="H6739" i="6"/>
  <c r="H6740" i="6"/>
  <c r="H6741" i="6"/>
  <c r="H6742" i="6"/>
  <c r="H6743" i="6"/>
  <c r="H6744" i="6"/>
  <c r="H6745" i="6"/>
  <c r="H6746" i="6"/>
  <c r="H6747" i="6"/>
  <c r="H6748" i="6"/>
  <c r="H6749" i="6"/>
  <c r="H6750" i="6"/>
  <c r="H6751" i="6"/>
  <c r="H6752" i="6"/>
  <c r="H6753" i="6"/>
  <c r="H6754" i="6"/>
  <c r="H6755" i="6"/>
  <c r="H6756" i="6"/>
  <c r="H6757" i="6"/>
  <c r="H6758" i="6"/>
  <c r="H6759" i="6"/>
  <c r="H6760" i="6"/>
  <c r="H6761" i="6"/>
  <c r="H6762" i="6"/>
  <c r="H6763" i="6"/>
  <c r="H6764" i="6"/>
  <c r="H6765" i="6"/>
  <c r="H6766" i="6"/>
  <c r="H6767" i="6"/>
  <c r="H6768" i="6"/>
  <c r="H6769" i="6"/>
  <c r="H6770" i="6"/>
  <c r="H6771" i="6"/>
  <c r="H6772" i="6"/>
  <c r="H6773" i="6"/>
  <c r="H6774" i="6"/>
  <c r="H6775" i="6"/>
  <c r="H6776" i="6"/>
  <c r="H6777" i="6"/>
  <c r="H6778" i="6"/>
  <c r="H6779" i="6"/>
  <c r="H6780" i="6"/>
  <c r="H6781" i="6"/>
  <c r="H6782" i="6"/>
  <c r="H6783" i="6"/>
  <c r="H6784" i="6"/>
  <c r="H6785" i="6"/>
  <c r="H6786" i="6"/>
  <c r="H6787" i="6"/>
  <c r="H6788" i="6"/>
  <c r="H6789" i="6"/>
  <c r="H6790" i="6"/>
  <c r="H6791" i="6"/>
  <c r="H6792" i="6"/>
  <c r="H6793" i="6"/>
  <c r="H6794" i="6"/>
  <c r="H6795" i="6"/>
  <c r="H6796" i="6"/>
  <c r="H6797" i="6"/>
  <c r="H6798" i="6"/>
  <c r="H6799" i="6"/>
  <c r="H6800" i="6"/>
  <c r="H6801" i="6"/>
  <c r="H6802" i="6"/>
  <c r="H6803" i="6"/>
  <c r="H6804" i="6"/>
  <c r="H6805" i="6"/>
  <c r="H6806" i="6"/>
  <c r="H6807" i="6"/>
  <c r="H6808" i="6"/>
  <c r="H6809" i="6"/>
  <c r="H6810" i="6"/>
  <c r="H6811" i="6"/>
  <c r="H6812" i="6"/>
  <c r="H6813" i="6"/>
  <c r="H6814" i="6"/>
  <c r="H6815" i="6"/>
  <c r="H6816" i="6"/>
  <c r="H6817" i="6"/>
  <c r="H6818" i="6"/>
  <c r="H6819" i="6"/>
  <c r="H6820" i="6"/>
  <c r="H6821" i="6"/>
  <c r="H6822" i="6"/>
  <c r="H6823" i="6"/>
  <c r="H6824" i="6"/>
  <c r="H6825" i="6"/>
  <c r="H6826" i="6"/>
  <c r="H6827" i="6"/>
  <c r="H6828" i="6"/>
  <c r="H6829" i="6"/>
  <c r="H6830" i="6"/>
  <c r="H6831" i="6"/>
  <c r="H6832" i="6"/>
  <c r="H6833" i="6"/>
  <c r="H6834" i="6"/>
  <c r="H6835" i="6"/>
  <c r="H6836" i="6"/>
  <c r="H6837" i="6"/>
  <c r="H6838" i="6"/>
  <c r="H6839" i="6"/>
  <c r="H6840" i="6"/>
  <c r="H6841" i="6"/>
  <c r="H6842" i="6"/>
  <c r="H6843" i="6"/>
  <c r="H6844" i="6"/>
  <c r="H6845" i="6"/>
  <c r="H6846" i="6"/>
  <c r="H6847" i="6"/>
  <c r="H6848" i="6"/>
  <c r="H6849" i="6"/>
  <c r="H6850" i="6"/>
  <c r="H6851" i="6"/>
  <c r="H6852" i="6"/>
  <c r="H6853" i="6"/>
  <c r="H6854" i="6"/>
  <c r="H6855" i="6"/>
  <c r="H6856" i="6"/>
  <c r="H6857" i="6"/>
  <c r="H6858" i="6"/>
  <c r="H6859" i="6"/>
  <c r="H6860" i="6"/>
  <c r="H6861" i="6"/>
  <c r="H6862" i="6"/>
  <c r="H6863" i="6"/>
  <c r="H6864" i="6"/>
  <c r="H6865" i="6"/>
  <c r="H6866" i="6"/>
  <c r="H6867" i="6"/>
  <c r="H6868" i="6"/>
  <c r="H6869" i="6"/>
  <c r="H6870" i="6"/>
  <c r="H6871" i="6"/>
  <c r="H6872" i="6"/>
  <c r="H6873" i="6"/>
  <c r="H6874" i="6"/>
  <c r="H6875" i="6"/>
  <c r="H6876" i="6"/>
  <c r="H6877" i="6"/>
  <c r="H6878" i="6"/>
  <c r="H6879" i="6"/>
  <c r="H6880" i="6"/>
  <c r="H6881" i="6"/>
  <c r="H6882" i="6"/>
  <c r="H6883" i="6"/>
  <c r="H6884" i="6"/>
  <c r="H6885" i="6"/>
  <c r="H6886" i="6"/>
  <c r="H6887" i="6"/>
  <c r="H6888" i="6"/>
  <c r="H6889" i="6"/>
  <c r="H6890" i="6"/>
  <c r="H6891" i="6"/>
  <c r="H6892" i="6"/>
  <c r="H6893" i="6"/>
  <c r="H6894" i="6"/>
  <c r="H6895" i="6"/>
  <c r="H6896" i="6"/>
  <c r="H6897" i="6"/>
  <c r="H6898" i="6"/>
  <c r="H6899" i="6"/>
  <c r="H6900" i="6"/>
  <c r="H6901" i="6"/>
  <c r="H6902" i="6"/>
  <c r="H6903" i="6"/>
  <c r="H6904" i="6"/>
  <c r="H6905" i="6"/>
  <c r="H6906" i="6"/>
  <c r="H6907" i="6"/>
  <c r="H6908" i="6"/>
  <c r="H6909" i="6"/>
  <c r="H6910" i="6"/>
  <c r="H6911" i="6"/>
  <c r="H6912" i="6"/>
  <c r="H6913" i="6"/>
  <c r="H6914" i="6"/>
  <c r="H6915" i="6"/>
  <c r="H6916" i="6"/>
  <c r="H6917" i="6"/>
  <c r="H6918" i="6"/>
  <c r="H6919" i="6"/>
  <c r="H6920" i="6"/>
  <c r="H6921" i="6"/>
  <c r="H6922" i="6"/>
  <c r="H6923" i="6"/>
  <c r="H6924" i="6"/>
  <c r="H6925" i="6"/>
  <c r="H6926" i="6"/>
  <c r="H6927" i="6"/>
  <c r="H6928" i="6"/>
  <c r="H6929" i="6"/>
  <c r="H6930" i="6"/>
  <c r="H6931" i="6"/>
  <c r="H6932" i="6"/>
  <c r="H6933" i="6"/>
  <c r="H6934" i="6"/>
  <c r="H6935" i="6"/>
  <c r="H6936" i="6"/>
  <c r="H6937" i="6"/>
  <c r="H6938" i="6"/>
  <c r="H6939" i="6"/>
  <c r="H6940" i="6"/>
  <c r="H6941" i="6"/>
  <c r="H6942" i="6"/>
  <c r="H6943" i="6"/>
  <c r="H6944" i="6"/>
  <c r="H6945" i="6"/>
  <c r="H6946" i="6"/>
  <c r="H6947" i="6"/>
  <c r="H6948" i="6"/>
  <c r="H6949" i="6"/>
  <c r="H6950" i="6"/>
  <c r="H6951" i="6"/>
  <c r="H6952" i="6"/>
  <c r="H6953" i="6"/>
  <c r="H6954" i="6"/>
  <c r="H6955" i="6"/>
  <c r="H6956" i="6"/>
  <c r="H6957" i="6"/>
  <c r="H6958" i="6"/>
  <c r="H6959" i="6"/>
  <c r="H6960" i="6"/>
  <c r="H6961" i="6"/>
  <c r="H6962" i="6"/>
  <c r="H6963" i="6"/>
  <c r="H6964" i="6"/>
  <c r="H6965" i="6"/>
  <c r="H6966" i="6"/>
  <c r="H6967" i="6"/>
  <c r="H6968" i="6"/>
  <c r="H6969" i="6"/>
  <c r="H6970" i="6"/>
  <c r="H6971" i="6"/>
  <c r="H6972" i="6"/>
  <c r="H6973" i="6"/>
  <c r="H6974" i="6"/>
  <c r="H6975" i="6"/>
  <c r="H6976" i="6"/>
  <c r="H6977" i="6"/>
  <c r="H6978" i="6"/>
  <c r="H6979" i="6"/>
  <c r="H6980" i="6"/>
  <c r="H6981" i="6"/>
  <c r="H6982" i="6"/>
  <c r="H6983" i="6"/>
  <c r="H6984" i="6"/>
  <c r="H6985" i="6"/>
  <c r="H6986" i="6"/>
  <c r="H6987" i="6"/>
  <c r="H6988" i="6"/>
  <c r="H6989" i="6"/>
  <c r="H6990" i="6"/>
  <c r="H6991" i="6"/>
  <c r="H6992" i="6"/>
  <c r="H6993" i="6"/>
  <c r="H6994" i="6"/>
  <c r="H6995" i="6"/>
  <c r="H6996" i="6"/>
  <c r="H6997" i="6"/>
  <c r="H6998" i="6"/>
  <c r="H6999" i="6"/>
  <c r="H7000" i="6"/>
  <c r="H7001" i="6"/>
  <c r="H7002" i="6"/>
  <c r="H7003" i="6"/>
  <c r="H7004" i="6"/>
  <c r="H7005" i="6"/>
  <c r="H7006" i="6"/>
  <c r="H7007" i="6"/>
  <c r="H7008" i="6"/>
  <c r="H7009" i="6"/>
  <c r="H7010" i="6"/>
  <c r="H7011" i="6"/>
  <c r="H7012" i="6"/>
  <c r="H7013" i="6"/>
  <c r="H7014" i="6"/>
  <c r="H7015" i="6"/>
  <c r="H7016" i="6"/>
  <c r="H7017" i="6"/>
  <c r="H7018" i="6"/>
  <c r="H7019" i="6"/>
  <c r="H7020" i="6"/>
  <c r="H7021" i="6"/>
  <c r="H7022" i="6"/>
  <c r="H7023" i="6"/>
  <c r="H7024" i="6"/>
  <c r="H7025" i="6"/>
  <c r="H7026" i="6"/>
  <c r="H7027" i="6"/>
  <c r="H7028" i="6"/>
  <c r="H7029" i="6"/>
  <c r="H7030" i="6"/>
  <c r="H7031" i="6"/>
  <c r="H7032" i="6"/>
  <c r="H7033" i="6"/>
  <c r="H7034" i="6"/>
  <c r="H7035" i="6"/>
  <c r="H7036" i="6"/>
  <c r="H7037" i="6"/>
  <c r="H7038" i="6"/>
  <c r="H7039" i="6"/>
  <c r="H7040" i="6"/>
  <c r="H7041" i="6"/>
  <c r="H7042" i="6"/>
  <c r="H7043" i="6"/>
  <c r="H7044" i="6"/>
  <c r="H7045" i="6"/>
  <c r="H7046" i="6"/>
  <c r="H7047" i="6"/>
  <c r="H7048" i="6"/>
  <c r="H7049" i="6"/>
  <c r="H7050" i="6"/>
  <c r="H7051" i="6"/>
  <c r="H7052" i="6"/>
  <c r="H7053" i="6"/>
  <c r="H7054" i="6"/>
  <c r="H7055" i="6"/>
  <c r="H7056" i="6"/>
  <c r="H7057" i="6"/>
  <c r="H7058" i="6"/>
  <c r="H7059" i="6"/>
  <c r="H7060" i="6"/>
  <c r="H7061" i="6"/>
  <c r="H7062" i="6"/>
  <c r="H7063" i="6"/>
  <c r="H7064" i="6"/>
  <c r="H7065" i="6"/>
  <c r="H7066" i="6"/>
  <c r="H7067" i="6"/>
  <c r="H7068" i="6"/>
  <c r="H7069" i="6"/>
  <c r="H7070" i="6"/>
  <c r="H7071" i="6"/>
  <c r="H7072" i="6"/>
  <c r="H7073" i="6"/>
  <c r="H7074" i="6"/>
  <c r="H7075" i="6"/>
  <c r="H7076" i="6"/>
  <c r="H7077" i="6"/>
  <c r="H7078" i="6"/>
  <c r="H7079" i="6"/>
  <c r="H7080" i="6"/>
  <c r="H7081" i="6"/>
  <c r="H7082" i="6"/>
  <c r="H7083" i="6"/>
  <c r="H7084" i="6"/>
  <c r="H7085" i="6"/>
  <c r="H7086" i="6"/>
  <c r="H7087" i="6"/>
  <c r="H7088" i="6"/>
  <c r="H7089" i="6"/>
  <c r="H7090" i="6"/>
  <c r="H7091" i="6"/>
  <c r="H7092" i="6"/>
  <c r="H7093" i="6"/>
  <c r="H7094" i="6"/>
  <c r="H7095" i="6"/>
  <c r="H7096" i="6"/>
  <c r="H7097" i="6"/>
  <c r="H7098" i="6"/>
  <c r="H7099" i="6"/>
  <c r="H7100" i="6"/>
  <c r="H7101" i="6"/>
  <c r="H7102" i="6"/>
  <c r="H7103" i="6"/>
  <c r="H7104" i="6"/>
  <c r="H7105" i="6"/>
  <c r="H7106" i="6"/>
  <c r="H7107" i="6"/>
  <c r="H7108" i="6"/>
  <c r="H7109" i="6"/>
  <c r="H7110" i="6"/>
  <c r="H7111" i="6"/>
  <c r="H7112" i="6"/>
  <c r="H7113" i="6"/>
  <c r="H7114" i="6"/>
  <c r="H7115" i="6"/>
  <c r="H7116" i="6"/>
  <c r="H7117" i="6"/>
  <c r="H7118" i="6"/>
  <c r="H7119" i="6"/>
  <c r="H7120" i="6"/>
  <c r="H7121" i="6"/>
  <c r="H7122" i="6"/>
  <c r="H7123" i="6"/>
  <c r="H7124" i="6"/>
  <c r="H7125" i="6"/>
  <c r="H7126" i="6"/>
  <c r="H7127" i="6"/>
  <c r="H7128" i="6"/>
  <c r="H7129" i="6"/>
  <c r="H7130" i="6"/>
  <c r="H7131" i="6"/>
  <c r="H7132" i="6"/>
  <c r="H7133" i="6"/>
  <c r="H7134" i="6"/>
  <c r="H7135" i="6"/>
  <c r="H7136" i="6"/>
  <c r="H7137" i="6"/>
  <c r="H7138" i="6"/>
  <c r="H7139" i="6"/>
  <c r="H7140" i="6"/>
  <c r="H7141" i="6"/>
  <c r="H7142" i="6"/>
  <c r="H7143" i="6"/>
  <c r="H7144" i="6"/>
  <c r="H7145" i="6"/>
  <c r="H7146" i="6"/>
  <c r="H7147" i="6"/>
  <c r="H7148" i="6"/>
  <c r="H7149" i="6"/>
  <c r="H7150" i="6"/>
  <c r="H7151" i="6"/>
  <c r="H7152" i="6"/>
  <c r="H7153" i="6"/>
  <c r="H7154" i="6"/>
  <c r="H7155" i="6"/>
  <c r="H7156" i="6"/>
  <c r="H7157" i="6"/>
  <c r="H7158" i="6"/>
  <c r="H7159" i="6"/>
  <c r="H7160" i="6"/>
  <c r="H7161" i="6"/>
  <c r="H7162" i="6"/>
  <c r="H7163" i="6"/>
  <c r="H7164" i="6"/>
  <c r="H7165" i="6"/>
  <c r="H7166" i="6"/>
  <c r="H7167" i="6"/>
  <c r="H7168" i="6"/>
  <c r="H7169" i="6"/>
  <c r="H7170" i="6"/>
  <c r="H7171" i="6"/>
  <c r="H7172" i="6"/>
  <c r="H7173" i="6"/>
  <c r="H7174" i="6"/>
  <c r="H7175" i="6"/>
  <c r="H7176" i="6"/>
  <c r="H7177" i="6"/>
  <c r="H7178" i="6"/>
  <c r="H7179" i="6"/>
  <c r="H7180" i="6"/>
  <c r="H7181" i="6"/>
  <c r="H7182" i="6"/>
  <c r="H7183" i="6"/>
  <c r="H7184" i="6"/>
  <c r="H7185" i="6"/>
  <c r="H7186" i="6"/>
  <c r="H7187" i="6"/>
  <c r="H7188" i="6"/>
  <c r="H7189" i="6"/>
  <c r="H7190" i="6"/>
  <c r="H7191" i="6"/>
  <c r="H7192" i="6"/>
  <c r="H7193" i="6"/>
  <c r="H7194" i="6"/>
  <c r="H7195" i="6"/>
  <c r="H7196" i="6"/>
  <c r="H7197" i="6"/>
  <c r="H7198" i="6"/>
  <c r="H7199" i="6"/>
  <c r="H7200" i="6"/>
  <c r="H7201" i="6"/>
  <c r="H7202" i="6"/>
  <c r="H7203" i="6"/>
  <c r="H7204" i="6"/>
  <c r="H7205" i="6"/>
  <c r="H7206" i="6"/>
  <c r="H7207" i="6"/>
  <c r="H7208" i="6"/>
  <c r="H7209" i="6"/>
  <c r="H7210" i="6"/>
  <c r="H7211" i="6"/>
  <c r="H7212" i="6"/>
  <c r="H7213" i="6"/>
  <c r="H7214" i="6"/>
  <c r="H7215" i="6"/>
  <c r="H7216" i="6"/>
  <c r="H7217" i="6"/>
  <c r="H7218" i="6"/>
  <c r="H7219" i="6"/>
  <c r="H7220" i="6"/>
  <c r="H7221" i="6"/>
  <c r="H7222" i="6"/>
  <c r="H7223" i="6"/>
  <c r="H7224" i="6"/>
  <c r="H7225" i="6"/>
  <c r="H7226" i="6"/>
  <c r="H7227" i="6"/>
  <c r="H7228" i="6"/>
  <c r="H7229" i="6"/>
  <c r="H7230" i="6"/>
  <c r="H7231" i="6"/>
  <c r="H7232" i="6"/>
  <c r="H7233" i="6"/>
  <c r="H7234" i="6"/>
  <c r="H7235" i="6"/>
  <c r="H7236" i="6"/>
  <c r="H7237" i="6"/>
  <c r="H7238" i="6"/>
  <c r="H7239" i="6"/>
  <c r="H7240" i="6"/>
  <c r="H7241" i="6"/>
  <c r="H7242" i="6"/>
  <c r="H7243" i="6"/>
  <c r="H7244" i="6"/>
  <c r="H7245" i="6"/>
  <c r="H7246" i="6"/>
  <c r="H7247" i="6"/>
  <c r="H7248" i="6"/>
  <c r="H7249" i="6"/>
  <c r="H7250" i="6"/>
  <c r="H7251" i="6"/>
  <c r="H7252" i="6"/>
  <c r="H7253" i="6"/>
  <c r="H7254" i="6"/>
  <c r="H7255" i="6"/>
  <c r="H7256" i="6"/>
  <c r="H7257" i="6"/>
  <c r="H7258" i="6"/>
  <c r="H7259" i="6"/>
  <c r="H7260" i="6"/>
  <c r="H7261" i="6"/>
  <c r="H7262" i="6"/>
  <c r="H7263" i="6"/>
  <c r="H7264" i="6"/>
  <c r="H7265" i="6"/>
  <c r="H7266" i="6"/>
  <c r="H7267" i="6"/>
  <c r="H7268" i="6"/>
  <c r="H7269" i="6"/>
  <c r="H7270" i="6"/>
  <c r="H7271" i="6"/>
  <c r="H7272" i="6"/>
  <c r="H7273" i="6"/>
  <c r="H7274" i="6"/>
  <c r="H7275" i="6"/>
  <c r="H7276" i="6"/>
  <c r="H7277" i="6"/>
  <c r="H7278" i="6"/>
  <c r="H7279" i="6"/>
  <c r="H7280" i="6"/>
  <c r="H7281" i="6"/>
  <c r="H7282" i="6"/>
  <c r="H7283" i="6"/>
  <c r="H7284" i="6"/>
  <c r="H7285" i="6"/>
  <c r="H7286" i="6"/>
  <c r="H7287" i="6"/>
  <c r="H7288" i="6"/>
  <c r="H7289" i="6"/>
  <c r="H7290" i="6"/>
  <c r="H7291" i="6"/>
  <c r="H7292" i="6"/>
  <c r="H7293" i="6"/>
  <c r="H7294" i="6"/>
  <c r="H7295" i="6"/>
  <c r="H7296" i="6"/>
  <c r="H7297" i="6"/>
  <c r="H7298" i="6"/>
  <c r="H7299" i="6"/>
  <c r="H7300" i="6"/>
  <c r="H7301" i="6"/>
  <c r="H7302" i="6"/>
  <c r="H7303" i="6"/>
  <c r="H7304" i="6"/>
  <c r="H7305" i="6"/>
  <c r="H7306" i="6"/>
  <c r="H7307" i="6"/>
  <c r="H7308" i="6"/>
  <c r="H7309" i="6"/>
  <c r="H7310" i="6"/>
  <c r="H7311" i="6"/>
  <c r="H7312" i="6"/>
  <c r="H7313" i="6"/>
  <c r="H7314" i="6"/>
  <c r="H7315" i="6"/>
  <c r="H7316" i="6"/>
  <c r="H7317" i="6"/>
  <c r="H7318" i="6"/>
  <c r="H7319" i="6"/>
  <c r="H7320" i="6"/>
  <c r="H7321" i="6"/>
  <c r="H7322" i="6"/>
  <c r="H7323" i="6"/>
  <c r="H7324" i="6"/>
  <c r="H7325" i="6"/>
  <c r="H7326" i="6"/>
  <c r="H7327" i="6"/>
  <c r="H7328" i="6"/>
  <c r="H7329" i="6"/>
  <c r="H7330" i="6"/>
  <c r="H7331" i="6"/>
  <c r="H7332" i="6"/>
  <c r="H7333" i="6"/>
  <c r="H7334" i="6"/>
  <c r="H7335" i="6"/>
  <c r="H7336" i="6"/>
  <c r="H7337" i="6"/>
  <c r="H7338" i="6"/>
  <c r="H7339" i="6"/>
  <c r="H7340" i="6"/>
  <c r="H7341" i="6"/>
  <c r="H7342" i="6"/>
  <c r="H7343" i="6"/>
  <c r="H7344" i="6"/>
  <c r="H7345" i="6"/>
  <c r="H7346" i="6"/>
  <c r="H7347" i="6"/>
  <c r="H7348" i="6"/>
  <c r="H7349" i="6"/>
  <c r="H7350" i="6"/>
  <c r="H7351" i="6"/>
  <c r="H7352" i="6"/>
  <c r="H7353" i="6"/>
  <c r="H7354" i="6"/>
  <c r="H7355" i="6"/>
  <c r="H7356" i="6"/>
  <c r="H7357" i="6"/>
  <c r="H7358" i="6"/>
  <c r="H7359" i="6"/>
  <c r="H7360" i="6"/>
  <c r="H7361" i="6"/>
  <c r="H7362" i="6"/>
  <c r="H7363" i="6"/>
  <c r="H7364" i="6"/>
  <c r="H7365" i="6"/>
  <c r="H7366" i="6"/>
  <c r="H7367" i="6"/>
  <c r="H7368" i="6"/>
  <c r="H7369" i="6"/>
  <c r="H7370" i="6"/>
  <c r="H7371" i="6"/>
  <c r="H7372" i="6"/>
  <c r="H7373" i="6"/>
  <c r="H7374" i="6"/>
  <c r="H7375" i="6"/>
  <c r="H7376" i="6"/>
  <c r="H7377" i="6"/>
  <c r="H7378" i="6"/>
  <c r="H7379" i="6"/>
  <c r="H7380" i="6"/>
  <c r="H7381" i="6"/>
  <c r="H7382" i="6"/>
  <c r="H7383" i="6"/>
  <c r="H7384" i="6"/>
  <c r="H7385" i="6"/>
  <c r="H7386" i="6"/>
  <c r="H7387" i="6"/>
  <c r="H7388" i="6"/>
  <c r="H7389" i="6"/>
  <c r="H7390" i="6"/>
  <c r="H7391" i="6"/>
  <c r="H7392" i="6"/>
  <c r="H7393" i="6"/>
  <c r="H7394" i="6"/>
  <c r="H7395" i="6"/>
  <c r="H7396" i="6"/>
  <c r="H7397" i="6"/>
  <c r="H7398" i="6"/>
  <c r="H7399" i="6"/>
  <c r="H7400" i="6"/>
  <c r="H7401" i="6"/>
  <c r="H7402" i="6"/>
  <c r="H7403" i="6"/>
  <c r="H7404" i="6"/>
  <c r="H7405" i="6"/>
  <c r="H7406" i="6"/>
  <c r="H7407" i="6"/>
  <c r="H7408" i="6"/>
  <c r="H7409" i="6"/>
  <c r="H7410" i="6"/>
  <c r="H7411" i="6"/>
  <c r="H7412" i="6"/>
  <c r="H7413" i="6"/>
  <c r="H7414" i="6"/>
  <c r="H7415" i="6"/>
  <c r="H7416" i="6"/>
  <c r="H7417" i="6"/>
  <c r="H7418" i="6"/>
  <c r="H7419" i="6"/>
  <c r="H7420" i="6"/>
  <c r="H7421" i="6"/>
  <c r="H7422" i="6"/>
  <c r="H7423" i="6"/>
  <c r="H7424" i="6"/>
  <c r="H7425" i="6"/>
  <c r="H7426" i="6"/>
  <c r="H7427" i="6"/>
  <c r="H7428" i="6"/>
  <c r="H7429" i="6"/>
  <c r="H7430" i="6"/>
  <c r="H7431" i="6"/>
  <c r="H7432" i="6"/>
  <c r="H7433" i="6"/>
  <c r="H7434" i="6"/>
  <c r="H7435" i="6"/>
  <c r="H7436" i="6"/>
  <c r="H7437" i="6"/>
  <c r="H7438" i="6"/>
  <c r="H7439" i="6"/>
  <c r="H7440" i="6"/>
  <c r="H7441" i="6"/>
  <c r="H7442" i="6"/>
  <c r="H7443" i="6"/>
  <c r="H7444" i="6"/>
  <c r="H7445" i="6"/>
  <c r="H7446" i="6"/>
  <c r="H7447" i="6"/>
  <c r="H7448" i="6"/>
  <c r="H7449" i="6"/>
  <c r="H7450" i="6"/>
  <c r="H7451" i="6"/>
  <c r="H7452" i="6"/>
  <c r="H7453" i="6"/>
  <c r="H7454" i="6"/>
  <c r="H7455" i="6"/>
  <c r="H7456" i="6"/>
  <c r="H7457" i="6"/>
  <c r="H7458" i="6"/>
  <c r="H7459" i="6"/>
  <c r="H7460" i="6"/>
  <c r="H7461" i="6"/>
  <c r="H7462" i="6"/>
  <c r="H7463" i="6"/>
  <c r="H7464" i="6"/>
  <c r="H7465" i="6"/>
  <c r="H7466" i="6"/>
  <c r="H7467" i="6"/>
  <c r="H7468" i="6"/>
  <c r="H7469" i="6"/>
  <c r="H7470" i="6"/>
  <c r="H7471" i="6"/>
  <c r="H7472" i="6"/>
  <c r="H7473" i="6"/>
  <c r="H7474" i="6"/>
  <c r="H7475" i="6"/>
  <c r="H7476" i="6"/>
  <c r="H7477" i="6"/>
  <c r="H7478" i="6"/>
  <c r="H7479" i="6"/>
  <c r="H7480" i="6"/>
  <c r="H7481" i="6"/>
  <c r="H7482" i="6"/>
  <c r="H7483" i="6"/>
  <c r="H7484" i="6"/>
  <c r="H7485" i="6"/>
  <c r="H7486" i="6"/>
  <c r="H7487" i="6"/>
  <c r="H7488" i="6"/>
  <c r="H7489" i="6"/>
  <c r="H7490" i="6"/>
  <c r="H7491" i="6"/>
  <c r="H7492" i="6"/>
  <c r="H7493" i="6"/>
  <c r="H7494" i="6"/>
  <c r="H7495" i="6"/>
  <c r="H7496" i="6"/>
  <c r="H7497" i="6"/>
  <c r="H7498" i="6"/>
  <c r="H7499" i="6"/>
  <c r="H7500" i="6"/>
  <c r="H7501" i="6"/>
  <c r="H7502" i="6"/>
  <c r="H7503" i="6"/>
  <c r="H7504" i="6"/>
  <c r="H7505" i="6"/>
  <c r="H7506" i="6"/>
  <c r="H7507" i="6"/>
  <c r="H7508" i="6"/>
  <c r="H7509" i="6"/>
  <c r="H7510" i="6"/>
  <c r="H7511" i="6"/>
  <c r="H7512" i="6"/>
  <c r="H7513" i="6"/>
  <c r="H7514" i="6"/>
  <c r="H7515" i="6"/>
  <c r="H7516" i="6"/>
  <c r="H7517" i="6"/>
  <c r="H7518" i="6"/>
  <c r="H7519" i="6"/>
  <c r="H7520" i="6"/>
  <c r="H7521" i="6"/>
  <c r="H7522" i="6"/>
  <c r="H7523" i="6"/>
  <c r="H7524" i="6"/>
  <c r="H7525" i="6"/>
  <c r="H7526" i="6"/>
  <c r="H7527" i="6"/>
  <c r="H7528" i="6"/>
  <c r="H7529" i="6"/>
  <c r="H7530" i="6"/>
  <c r="H7531" i="6"/>
  <c r="H7532" i="6"/>
  <c r="H7533" i="6"/>
  <c r="H7534" i="6"/>
  <c r="H7535" i="6"/>
  <c r="H7536" i="6"/>
  <c r="H7537" i="6"/>
  <c r="H7538" i="6"/>
  <c r="H7539" i="6"/>
  <c r="H7540" i="6"/>
  <c r="H7541" i="6"/>
  <c r="H7542" i="6"/>
  <c r="H7543" i="6"/>
  <c r="H7544" i="6"/>
  <c r="H7545" i="6"/>
  <c r="H7546" i="6"/>
  <c r="H7547" i="6"/>
  <c r="H7548" i="6"/>
  <c r="H7549" i="6"/>
  <c r="H7550" i="6"/>
  <c r="H7551" i="6"/>
  <c r="H7552" i="6"/>
  <c r="H7553" i="6"/>
  <c r="H7554" i="6"/>
  <c r="H7555" i="6"/>
  <c r="H7556" i="6"/>
  <c r="H7557" i="6"/>
  <c r="H7558" i="6"/>
  <c r="H7559" i="6"/>
  <c r="H7560" i="6"/>
  <c r="H7561" i="6"/>
  <c r="H7562" i="6"/>
  <c r="H7563" i="6"/>
  <c r="H7564" i="6"/>
  <c r="H7565" i="6"/>
  <c r="H7566" i="6"/>
  <c r="H7567" i="6"/>
  <c r="H7568" i="6"/>
  <c r="H7569" i="6"/>
  <c r="H7570" i="6"/>
  <c r="H7571" i="6"/>
  <c r="H7572" i="6"/>
  <c r="H7573" i="6"/>
  <c r="H7574" i="6"/>
  <c r="H7575" i="6"/>
  <c r="H7576" i="6"/>
  <c r="H7577" i="6"/>
  <c r="H7578" i="6"/>
  <c r="H7579" i="6"/>
  <c r="H7580" i="6"/>
  <c r="H7581" i="6"/>
  <c r="H7582" i="6"/>
  <c r="H7583" i="6"/>
  <c r="H7584" i="6"/>
  <c r="H7585" i="6"/>
  <c r="H7586" i="6"/>
  <c r="H7587" i="6"/>
  <c r="H7588" i="6"/>
  <c r="H7589" i="6"/>
  <c r="H7590" i="6"/>
  <c r="H7591" i="6"/>
  <c r="H7592" i="6"/>
  <c r="H7593" i="6"/>
  <c r="H7594" i="6"/>
  <c r="H7595" i="6"/>
  <c r="H7596" i="6"/>
  <c r="H7597" i="6"/>
  <c r="H7598" i="6"/>
  <c r="H7599" i="6"/>
  <c r="H7600" i="6"/>
  <c r="H7601" i="6"/>
  <c r="H7602" i="6"/>
  <c r="H7603" i="6"/>
  <c r="H7604" i="6"/>
  <c r="H7605" i="6"/>
  <c r="H7606" i="6"/>
  <c r="H7607" i="6"/>
  <c r="H7608" i="6"/>
  <c r="H7609" i="6"/>
  <c r="H7610" i="6"/>
  <c r="H7611" i="6"/>
  <c r="H7612" i="6"/>
  <c r="H7613" i="6"/>
  <c r="H7614" i="6"/>
  <c r="H7615" i="6"/>
  <c r="H7616" i="6"/>
  <c r="H7617" i="6"/>
  <c r="H7618" i="6"/>
  <c r="H7619" i="6"/>
  <c r="H7620" i="6"/>
  <c r="H7621" i="6"/>
  <c r="H7622" i="6"/>
  <c r="H7623" i="6"/>
  <c r="H7624" i="6"/>
  <c r="H7625" i="6"/>
  <c r="H7626" i="6"/>
  <c r="H7627" i="6"/>
  <c r="H7628" i="6"/>
  <c r="H7629" i="6"/>
  <c r="H7630" i="6"/>
  <c r="H7631" i="6"/>
  <c r="H7632" i="6"/>
  <c r="H7633" i="6"/>
  <c r="H7634" i="6"/>
  <c r="H7635" i="6"/>
  <c r="H7636" i="6"/>
  <c r="H7637" i="6"/>
  <c r="H7638" i="6"/>
  <c r="H7639" i="6"/>
  <c r="H7640" i="6"/>
  <c r="H7641" i="6"/>
  <c r="H7642" i="6"/>
  <c r="H7643" i="6"/>
  <c r="H7644" i="6"/>
  <c r="H7645" i="6"/>
  <c r="H7646" i="6"/>
  <c r="H7647" i="6"/>
  <c r="H7648" i="6"/>
  <c r="H7649" i="6"/>
  <c r="H7650" i="6"/>
  <c r="H7651" i="6"/>
  <c r="H7652" i="6"/>
  <c r="H7653" i="6"/>
  <c r="H7654" i="6"/>
  <c r="H7655" i="6"/>
  <c r="H7656" i="6"/>
  <c r="H7657" i="6"/>
  <c r="H7658" i="6"/>
  <c r="H7659" i="6"/>
  <c r="H7660" i="6"/>
  <c r="H7661" i="6"/>
  <c r="H7662" i="6"/>
  <c r="H7663" i="6"/>
  <c r="H7664" i="6"/>
  <c r="H7665" i="6"/>
  <c r="H7666" i="6"/>
  <c r="H7667" i="6"/>
  <c r="H7668" i="6"/>
  <c r="H7669" i="6"/>
  <c r="H7670" i="6"/>
  <c r="H7671" i="6"/>
  <c r="H7672" i="6"/>
  <c r="H7673" i="6"/>
  <c r="H7674" i="6"/>
  <c r="H7675" i="6"/>
  <c r="H7676" i="6"/>
  <c r="H7677" i="6"/>
  <c r="H7678" i="6"/>
  <c r="H7679" i="6"/>
  <c r="H7680" i="6"/>
  <c r="H7681" i="6"/>
  <c r="H7682" i="6"/>
  <c r="H7683" i="6"/>
  <c r="H7684" i="6"/>
  <c r="H7685" i="6"/>
  <c r="H7686" i="6"/>
  <c r="H7687" i="6"/>
  <c r="H7688" i="6"/>
  <c r="H7689" i="6"/>
  <c r="H7690" i="6"/>
  <c r="H7691" i="6"/>
  <c r="H7692" i="6"/>
  <c r="H7693" i="6"/>
  <c r="H7694" i="6"/>
  <c r="H7695" i="6"/>
  <c r="H7696" i="6"/>
  <c r="H7697" i="6"/>
  <c r="H7698" i="6"/>
  <c r="H7699" i="6"/>
  <c r="H7700" i="6"/>
  <c r="H7701" i="6"/>
  <c r="H7702" i="6"/>
  <c r="H7703" i="6"/>
  <c r="H7704" i="6"/>
  <c r="H7705" i="6"/>
  <c r="H7706" i="6"/>
  <c r="H7707" i="6"/>
  <c r="H7708" i="6"/>
  <c r="H7709" i="6"/>
  <c r="H7710" i="6"/>
  <c r="H7711" i="6"/>
  <c r="H7712" i="6"/>
  <c r="H7713" i="6"/>
  <c r="H7714" i="6"/>
  <c r="H7715" i="6"/>
  <c r="H7716" i="6"/>
  <c r="H7717" i="6"/>
  <c r="H7718" i="6"/>
  <c r="H7719" i="6"/>
  <c r="H7720" i="6"/>
  <c r="H7721" i="6"/>
  <c r="H7722" i="6"/>
  <c r="H7723" i="6"/>
  <c r="H7724" i="6"/>
  <c r="H7725" i="6"/>
  <c r="H7726" i="6"/>
  <c r="H7727" i="6"/>
  <c r="H7728" i="6"/>
  <c r="H7729" i="6"/>
  <c r="H7730" i="6"/>
  <c r="H7731" i="6"/>
  <c r="H7732" i="6"/>
  <c r="H7733" i="6"/>
  <c r="H7734" i="6"/>
  <c r="H7735" i="6"/>
  <c r="H7736" i="6"/>
  <c r="H7737" i="6"/>
  <c r="H7738" i="6"/>
  <c r="H7739" i="6"/>
  <c r="H7740" i="6"/>
  <c r="H7741" i="6"/>
  <c r="H7742" i="6"/>
  <c r="H7743" i="6"/>
  <c r="H7744" i="6"/>
  <c r="H7745" i="6"/>
  <c r="H7746" i="6"/>
  <c r="H7747" i="6"/>
  <c r="H7748" i="6"/>
  <c r="H7749" i="6"/>
  <c r="H7750" i="6"/>
  <c r="H7751" i="6"/>
  <c r="H7752" i="6"/>
  <c r="H7753" i="6"/>
  <c r="H7754" i="6"/>
  <c r="H7755" i="6"/>
  <c r="H7756" i="6"/>
  <c r="H7757" i="6"/>
  <c r="H7758" i="6"/>
  <c r="H7759" i="6"/>
  <c r="H7760" i="6"/>
  <c r="H7761" i="6"/>
  <c r="H7762" i="6"/>
  <c r="H7763" i="6"/>
  <c r="H7764" i="6"/>
  <c r="H7765" i="6"/>
  <c r="H7766" i="6"/>
  <c r="H7767" i="6"/>
  <c r="H7768" i="6"/>
  <c r="H7769" i="6"/>
  <c r="H7770" i="6"/>
  <c r="H7771" i="6"/>
  <c r="H7772" i="6"/>
  <c r="H7773" i="6"/>
  <c r="H7774" i="6"/>
  <c r="H7775" i="6"/>
  <c r="H7776" i="6"/>
  <c r="H7777" i="6"/>
  <c r="H7778" i="6"/>
  <c r="H7779" i="6"/>
  <c r="H7780" i="6"/>
  <c r="H7781" i="6"/>
  <c r="H7782" i="6"/>
  <c r="H7783" i="6"/>
  <c r="H7784" i="6"/>
  <c r="H7785" i="6"/>
  <c r="H7786" i="6"/>
  <c r="H7787" i="6"/>
  <c r="H7788" i="6"/>
  <c r="H7789" i="6"/>
  <c r="H7790" i="6"/>
  <c r="H7791" i="6"/>
  <c r="H7792" i="6"/>
  <c r="H7793" i="6"/>
  <c r="H7794" i="6"/>
  <c r="H7795" i="6"/>
  <c r="H7796" i="6"/>
  <c r="H7797" i="6"/>
  <c r="H7798" i="6"/>
  <c r="H7799" i="6"/>
  <c r="H7800" i="6"/>
  <c r="H7801" i="6"/>
  <c r="H7802" i="6"/>
  <c r="H7803" i="6"/>
  <c r="H7804" i="6"/>
  <c r="H7805" i="6"/>
  <c r="H7806" i="6"/>
  <c r="H7807" i="6"/>
  <c r="H7808" i="6"/>
  <c r="H7809" i="6"/>
  <c r="H7810" i="6"/>
  <c r="H7811" i="6"/>
  <c r="H7812" i="6"/>
  <c r="H7813" i="6"/>
  <c r="H7814" i="6"/>
  <c r="H7815" i="6"/>
  <c r="H7816" i="6"/>
  <c r="H7817" i="6"/>
  <c r="H7818" i="6"/>
  <c r="H7819" i="6"/>
  <c r="H7820" i="6"/>
  <c r="H7821" i="6"/>
  <c r="H7822" i="6"/>
  <c r="H7823" i="6"/>
  <c r="H7824" i="6"/>
  <c r="H7825" i="6"/>
  <c r="H7826" i="6"/>
  <c r="H7827" i="6"/>
  <c r="H7828" i="6"/>
  <c r="H7829" i="6"/>
  <c r="H7830" i="6"/>
  <c r="H7831" i="6"/>
  <c r="H7832" i="6"/>
  <c r="H7833" i="6"/>
  <c r="H7834" i="6"/>
  <c r="H7835" i="6"/>
  <c r="H7836" i="6"/>
  <c r="H7837" i="6"/>
  <c r="H7838" i="6"/>
  <c r="H7839" i="6"/>
  <c r="H7840" i="6"/>
  <c r="H7841" i="6"/>
  <c r="H7842" i="6"/>
  <c r="H7843" i="6"/>
  <c r="H7844" i="6"/>
  <c r="H7845" i="6"/>
  <c r="H7846" i="6"/>
  <c r="H7847" i="6"/>
  <c r="H7848" i="6"/>
  <c r="H7849" i="6"/>
  <c r="H7850" i="6"/>
  <c r="H7851" i="6"/>
  <c r="H7852" i="6"/>
  <c r="H7853" i="6"/>
  <c r="H7854" i="6"/>
  <c r="H7855" i="6"/>
  <c r="H7856" i="6"/>
  <c r="H7857" i="6"/>
  <c r="H7858" i="6"/>
  <c r="H7859" i="6"/>
  <c r="H7860" i="6"/>
  <c r="H7861" i="6"/>
  <c r="H7862" i="6"/>
  <c r="H7863" i="6"/>
  <c r="H7864" i="6"/>
  <c r="H7865" i="6"/>
  <c r="H7866" i="6"/>
  <c r="H7867" i="6"/>
  <c r="H7868" i="6"/>
  <c r="H7869" i="6"/>
  <c r="H7870" i="6"/>
  <c r="H7871" i="6"/>
  <c r="H7872" i="6"/>
  <c r="H7873" i="6"/>
  <c r="H7874" i="6"/>
  <c r="H7875" i="6"/>
  <c r="H7876" i="6"/>
  <c r="H7877" i="6"/>
  <c r="H7878" i="6"/>
  <c r="H7879" i="6"/>
  <c r="H7880" i="6"/>
  <c r="H7881" i="6"/>
  <c r="H7882" i="6"/>
  <c r="H7883" i="6"/>
  <c r="H7884" i="6"/>
  <c r="H7885" i="6"/>
  <c r="H7886" i="6"/>
  <c r="H7887" i="6"/>
  <c r="H7888" i="6"/>
  <c r="H7889" i="6"/>
  <c r="H7890" i="6"/>
  <c r="H7891" i="6"/>
  <c r="H7892" i="6"/>
  <c r="H7893" i="6"/>
  <c r="H7894" i="6"/>
  <c r="H7895" i="6"/>
  <c r="H7896" i="6"/>
  <c r="H7897" i="6"/>
  <c r="H7898" i="6"/>
  <c r="H7899" i="6"/>
  <c r="H7900" i="6"/>
  <c r="H7901" i="6"/>
  <c r="H7902" i="6"/>
  <c r="H7903" i="6"/>
  <c r="H7904" i="6"/>
  <c r="H7905" i="6"/>
  <c r="H7906" i="6"/>
  <c r="H7907" i="6"/>
  <c r="H7908" i="6"/>
  <c r="H7909" i="6"/>
  <c r="H7910" i="6"/>
  <c r="H7911" i="6"/>
  <c r="H7912" i="6"/>
  <c r="H7913" i="6"/>
  <c r="H7914" i="6"/>
  <c r="H7915" i="6"/>
  <c r="H7916" i="6"/>
  <c r="H7917" i="6"/>
  <c r="H7918" i="6"/>
  <c r="H7919" i="6"/>
  <c r="H7920" i="6"/>
  <c r="H7921" i="6"/>
  <c r="H7922" i="6"/>
  <c r="H7923" i="6"/>
  <c r="H7924" i="6"/>
  <c r="H7925" i="6"/>
  <c r="H7926" i="6"/>
  <c r="H7927" i="6"/>
  <c r="H7928" i="6"/>
  <c r="H7929" i="6"/>
  <c r="H7930" i="6"/>
  <c r="H7931" i="6"/>
  <c r="H7932" i="6"/>
  <c r="H7933" i="6"/>
  <c r="H7934" i="6"/>
  <c r="H7935" i="6"/>
  <c r="H7936" i="6"/>
  <c r="H7937" i="6"/>
  <c r="H7938" i="6"/>
  <c r="H7939" i="6"/>
  <c r="H7940" i="6"/>
  <c r="H7941" i="6"/>
  <c r="H7942" i="6"/>
  <c r="H7943" i="6"/>
  <c r="H7944" i="6"/>
  <c r="H7945" i="6"/>
  <c r="H7946" i="6"/>
  <c r="H7947" i="6"/>
  <c r="H7948" i="6"/>
  <c r="H7949" i="6"/>
  <c r="H7950" i="6"/>
  <c r="H7951" i="6"/>
  <c r="H7952" i="6"/>
  <c r="H7953" i="6"/>
  <c r="H7954" i="6"/>
  <c r="H7955" i="6"/>
  <c r="H7956" i="6"/>
  <c r="H7957" i="6"/>
  <c r="H7958" i="6"/>
  <c r="H7959" i="6"/>
  <c r="H7960" i="6"/>
  <c r="H7961" i="6"/>
  <c r="H7962" i="6"/>
  <c r="H7963" i="6"/>
  <c r="H7964" i="6"/>
  <c r="H7965" i="6"/>
  <c r="H7966" i="6"/>
  <c r="H7967" i="6"/>
  <c r="H7968" i="6"/>
  <c r="H7969" i="6"/>
  <c r="H7970" i="6"/>
  <c r="H7971" i="6"/>
  <c r="H7972" i="6"/>
  <c r="H7973" i="6"/>
  <c r="H7974" i="6"/>
  <c r="H7975" i="6"/>
  <c r="H7976" i="6"/>
  <c r="H7977" i="6"/>
  <c r="H7978" i="6"/>
  <c r="H7979" i="6"/>
  <c r="H7980" i="6"/>
  <c r="H7981" i="6"/>
  <c r="H7982" i="6"/>
  <c r="H7983" i="6"/>
  <c r="H7984" i="6"/>
  <c r="H7985" i="6"/>
  <c r="H7986" i="6"/>
  <c r="H7987" i="6"/>
  <c r="H7988" i="6"/>
  <c r="H7989" i="6"/>
  <c r="H7990" i="6"/>
  <c r="H7991" i="6"/>
  <c r="H7992" i="6"/>
  <c r="H7993" i="6"/>
  <c r="H7994" i="6"/>
  <c r="H7995" i="6"/>
  <c r="H7996" i="6"/>
  <c r="H7997" i="6"/>
  <c r="H7998" i="6"/>
  <c r="H7999" i="6"/>
  <c r="H8000" i="6"/>
  <c r="H8001" i="6"/>
  <c r="H8002" i="6"/>
  <c r="H8003" i="6"/>
  <c r="H8004" i="6"/>
  <c r="H8005" i="6"/>
  <c r="H8006" i="6"/>
  <c r="H8007" i="6"/>
  <c r="H8008" i="6"/>
  <c r="H8009" i="6"/>
  <c r="H8010" i="6"/>
  <c r="H8011" i="6"/>
  <c r="H8012" i="6"/>
  <c r="H8013" i="6"/>
  <c r="H8014" i="6"/>
  <c r="H8015" i="6"/>
  <c r="H8016" i="6"/>
  <c r="H8017" i="6"/>
  <c r="H8018" i="6"/>
  <c r="H8019" i="6"/>
  <c r="H8020" i="6"/>
  <c r="H8021" i="6"/>
  <c r="H8022" i="6"/>
  <c r="H8023" i="6"/>
  <c r="H8024" i="6"/>
  <c r="H8025" i="6"/>
  <c r="H8026" i="6"/>
  <c r="H8027" i="6"/>
  <c r="H8028" i="6"/>
  <c r="H8029" i="6"/>
  <c r="H8030" i="6"/>
  <c r="H8031" i="6"/>
  <c r="H8032" i="6"/>
  <c r="H8033" i="6"/>
  <c r="H8034" i="6"/>
  <c r="H8035" i="6"/>
  <c r="H8036" i="6"/>
  <c r="H8037" i="6"/>
  <c r="H8038" i="6"/>
  <c r="H8039" i="6"/>
  <c r="H8040" i="6"/>
  <c r="H8041" i="6"/>
  <c r="H8042" i="6"/>
  <c r="H8043" i="6"/>
  <c r="H8044" i="6"/>
  <c r="H8045" i="6"/>
  <c r="H8046" i="6"/>
  <c r="H8047" i="6"/>
  <c r="H8048" i="6"/>
  <c r="H8049" i="6"/>
  <c r="H8050" i="6"/>
  <c r="H8051" i="6"/>
  <c r="H8052" i="6"/>
  <c r="H8053" i="6"/>
  <c r="H8054" i="6"/>
  <c r="H8055" i="6"/>
  <c r="H8056" i="6"/>
  <c r="H8057" i="6"/>
  <c r="H8058" i="6"/>
  <c r="H8059" i="6"/>
  <c r="H8060" i="6"/>
  <c r="H8061" i="6"/>
  <c r="H8062" i="6"/>
  <c r="H8063" i="6"/>
  <c r="H8064" i="6"/>
  <c r="H8065" i="6"/>
  <c r="H8066" i="6"/>
  <c r="H8067" i="6"/>
  <c r="H8068" i="6"/>
  <c r="H8069" i="6"/>
  <c r="H8070" i="6"/>
  <c r="H8071" i="6"/>
  <c r="H8072" i="6"/>
  <c r="H8073" i="6"/>
  <c r="H8074" i="6"/>
  <c r="H8075" i="6"/>
  <c r="H8076" i="6"/>
  <c r="H8077" i="6"/>
  <c r="H8078" i="6"/>
  <c r="H8079" i="6"/>
  <c r="H8080" i="6"/>
  <c r="H8081" i="6"/>
  <c r="H8082" i="6"/>
  <c r="H8083" i="6"/>
  <c r="H8084" i="6"/>
  <c r="H8085" i="6"/>
  <c r="H8086" i="6"/>
  <c r="H8087" i="6"/>
  <c r="H8088" i="6"/>
  <c r="H8089" i="6"/>
  <c r="H8090" i="6"/>
  <c r="H8091" i="6"/>
  <c r="H8092" i="6"/>
  <c r="H8093" i="6"/>
  <c r="H8094" i="6"/>
  <c r="H8095" i="6"/>
  <c r="H8096" i="6"/>
  <c r="H8097" i="6"/>
  <c r="H8098" i="6"/>
  <c r="H8099" i="6"/>
  <c r="H8100" i="6"/>
  <c r="H8101" i="6"/>
  <c r="H8102" i="6"/>
  <c r="H8103" i="6"/>
  <c r="H8104" i="6"/>
  <c r="H8105" i="6"/>
  <c r="H8106" i="6"/>
  <c r="H8107" i="6"/>
  <c r="H8108" i="6"/>
  <c r="H8109" i="6"/>
  <c r="H8110" i="6"/>
  <c r="H8111" i="6"/>
  <c r="H8112" i="6"/>
  <c r="H8113" i="6"/>
  <c r="H8114" i="6"/>
  <c r="H8115" i="6"/>
  <c r="H8116" i="6"/>
  <c r="H8117" i="6"/>
  <c r="H8118" i="6"/>
  <c r="H8119" i="6"/>
  <c r="H8120" i="6"/>
  <c r="H8121" i="6"/>
  <c r="H8122" i="6"/>
  <c r="H8123" i="6"/>
  <c r="H8124" i="6"/>
  <c r="H8125" i="6"/>
  <c r="H8126" i="6"/>
  <c r="H8127" i="6"/>
  <c r="H8128" i="6"/>
  <c r="H8129" i="6"/>
  <c r="H8130" i="6"/>
  <c r="H8131" i="6"/>
  <c r="H8132" i="6"/>
  <c r="H8133" i="6"/>
  <c r="H8134" i="6"/>
  <c r="H8135" i="6"/>
  <c r="H8136" i="6"/>
  <c r="H8137" i="6"/>
  <c r="H8138" i="6"/>
  <c r="H8139" i="6"/>
  <c r="H8140" i="6"/>
  <c r="H8141" i="6"/>
  <c r="H8142" i="6"/>
  <c r="H8143" i="6"/>
  <c r="H8144" i="6"/>
  <c r="H8145" i="6"/>
  <c r="H8146" i="6"/>
  <c r="H8147" i="6"/>
  <c r="H8148" i="6"/>
  <c r="H8149" i="6"/>
  <c r="H8150" i="6"/>
  <c r="H8151" i="6"/>
  <c r="H8152" i="6"/>
  <c r="H8153" i="6"/>
  <c r="H8154" i="6"/>
  <c r="H8155" i="6"/>
  <c r="H8156" i="6"/>
  <c r="H8157" i="6"/>
  <c r="H8158" i="6"/>
  <c r="H8159" i="6"/>
  <c r="H8160" i="6"/>
  <c r="H8161" i="6"/>
  <c r="H8162" i="6"/>
  <c r="H8163" i="6"/>
  <c r="H8164" i="6"/>
  <c r="H8165" i="6"/>
  <c r="H8166" i="6"/>
  <c r="H8167" i="6"/>
  <c r="H8168" i="6"/>
  <c r="H8169" i="6"/>
  <c r="H8170" i="6"/>
  <c r="H8171" i="6"/>
  <c r="H8172" i="6"/>
  <c r="H8173" i="6"/>
  <c r="H8174" i="6"/>
  <c r="H8175" i="6"/>
  <c r="H8176" i="6"/>
  <c r="H8177" i="6"/>
  <c r="H8178" i="6"/>
  <c r="H8179" i="6"/>
  <c r="H8180" i="6"/>
  <c r="H8181" i="6"/>
  <c r="H8182" i="6"/>
  <c r="H8183" i="6"/>
  <c r="H8184" i="6"/>
  <c r="H8185" i="6"/>
  <c r="H8186" i="6"/>
  <c r="H8187" i="6"/>
  <c r="H8188" i="6"/>
  <c r="H8189" i="6"/>
  <c r="H8190" i="6"/>
  <c r="H8191" i="6"/>
  <c r="H8192" i="6"/>
  <c r="H8193" i="6"/>
  <c r="H8194" i="6"/>
  <c r="H8195" i="6"/>
  <c r="H8196" i="6"/>
  <c r="H8197" i="6"/>
  <c r="H8198" i="6"/>
  <c r="H8199" i="6"/>
  <c r="H8200" i="6"/>
  <c r="H8201" i="6"/>
  <c r="H8202" i="6"/>
  <c r="H8203" i="6"/>
  <c r="H8204" i="6"/>
  <c r="H8205" i="6"/>
  <c r="H8206" i="6"/>
  <c r="H8207" i="6"/>
  <c r="H8208" i="6"/>
  <c r="H8209" i="6"/>
  <c r="H8210" i="6"/>
  <c r="H8211" i="6"/>
  <c r="H8212" i="6"/>
  <c r="H8213" i="6"/>
  <c r="H8214" i="6"/>
  <c r="H8215" i="6"/>
  <c r="H8216" i="6"/>
  <c r="H8217" i="6"/>
  <c r="H8218" i="6"/>
  <c r="H8219" i="6"/>
  <c r="H8220" i="6"/>
  <c r="H8221" i="6"/>
  <c r="H8222" i="6"/>
  <c r="H8223" i="6"/>
  <c r="H8224" i="6"/>
  <c r="H8225" i="6"/>
  <c r="H8226" i="6"/>
  <c r="H8227" i="6"/>
  <c r="H8228" i="6"/>
  <c r="H8229" i="6"/>
  <c r="H8230" i="6"/>
  <c r="H8231" i="6"/>
  <c r="H8232" i="6"/>
  <c r="H8233" i="6"/>
  <c r="H8234" i="6"/>
  <c r="H8235" i="6"/>
  <c r="H8236" i="6"/>
  <c r="H8237" i="6"/>
  <c r="H8238" i="6"/>
  <c r="H8239" i="6"/>
  <c r="H8240" i="6"/>
  <c r="H8241" i="6"/>
  <c r="H8242" i="6"/>
  <c r="H8243" i="6"/>
  <c r="H8244" i="6"/>
  <c r="H8245" i="6"/>
  <c r="H8246" i="6"/>
  <c r="H8247" i="6"/>
  <c r="H8248" i="6"/>
  <c r="H8249" i="6"/>
  <c r="H8250" i="6"/>
  <c r="H8251" i="6"/>
  <c r="H8252" i="6"/>
  <c r="H8253" i="6"/>
  <c r="H8254" i="6"/>
  <c r="H8255" i="6"/>
  <c r="H8256" i="6"/>
  <c r="H8257" i="6"/>
  <c r="H8258" i="6"/>
  <c r="H8259" i="6"/>
  <c r="H8260" i="6"/>
  <c r="H8261" i="6"/>
  <c r="H8262" i="6"/>
  <c r="H8263" i="6"/>
  <c r="H8264" i="6"/>
  <c r="H8265" i="6"/>
  <c r="H8266" i="6"/>
  <c r="H8267" i="6"/>
  <c r="H8268" i="6"/>
  <c r="H8269" i="6"/>
  <c r="H8270" i="6"/>
  <c r="H8271" i="6"/>
  <c r="H8272" i="6"/>
  <c r="H8273" i="6"/>
  <c r="H8274" i="6"/>
  <c r="H8275" i="6"/>
  <c r="H8276" i="6"/>
  <c r="H8277" i="6"/>
  <c r="H8278" i="6"/>
  <c r="H8279" i="6"/>
  <c r="H8280" i="6"/>
  <c r="H8281" i="6"/>
  <c r="H8282" i="6"/>
  <c r="H8283" i="6"/>
  <c r="H8284" i="6"/>
  <c r="H8285" i="6"/>
  <c r="H8286" i="6"/>
  <c r="H8287" i="6"/>
  <c r="H8288" i="6"/>
  <c r="H8289" i="6"/>
  <c r="H8290" i="6"/>
  <c r="H8291" i="6"/>
  <c r="H8292" i="6"/>
  <c r="H8293" i="6"/>
  <c r="H8294" i="6"/>
  <c r="H8295" i="6"/>
  <c r="H8296" i="6"/>
  <c r="H8297" i="6"/>
  <c r="H8298" i="6"/>
  <c r="H8299" i="6"/>
  <c r="H8300" i="6"/>
  <c r="H8301" i="6"/>
  <c r="H8302" i="6"/>
  <c r="H8303" i="6"/>
  <c r="H8304" i="6"/>
  <c r="H8305" i="6"/>
  <c r="H8306" i="6"/>
  <c r="H8307" i="6"/>
  <c r="H8308" i="6"/>
  <c r="H8309" i="6"/>
  <c r="H8310" i="6"/>
  <c r="H8311" i="6"/>
  <c r="H8312" i="6"/>
  <c r="H8313" i="6"/>
  <c r="H8314" i="6"/>
  <c r="H8315" i="6"/>
  <c r="H8316" i="6"/>
  <c r="H8317" i="6"/>
  <c r="H8318" i="6"/>
  <c r="H8319" i="6"/>
  <c r="H8320" i="6"/>
  <c r="H8321" i="6"/>
  <c r="H8322" i="6"/>
  <c r="H8323" i="6"/>
  <c r="H8324" i="6"/>
  <c r="H8325" i="6"/>
  <c r="H8326" i="6"/>
  <c r="H8327" i="6"/>
  <c r="H8328" i="6"/>
  <c r="H8329" i="6"/>
  <c r="H8330" i="6"/>
  <c r="H8331" i="6"/>
  <c r="H8332" i="6"/>
  <c r="H8333" i="6"/>
  <c r="H8334" i="6"/>
  <c r="H8335" i="6"/>
  <c r="H8336" i="6"/>
  <c r="H8337" i="6"/>
  <c r="H8338" i="6"/>
  <c r="H8339" i="6"/>
  <c r="H8340" i="6"/>
  <c r="H8341" i="6"/>
  <c r="H8342" i="6"/>
  <c r="H8343" i="6"/>
  <c r="H8344" i="6"/>
  <c r="H8345" i="6"/>
  <c r="H8346" i="6"/>
  <c r="H8347" i="6"/>
  <c r="H8348" i="6"/>
  <c r="H8349" i="6"/>
  <c r="H8350" i="6"/>
  <c r="H8351" i="6"/>
  <c r="H8352" i="6"/>
  <c r="H8353" i="6"/>
  <c r="H8354" i="6"/>
  <c r="H8355" i="6"/>
  <c r="H8356" i="6"/>
  <c r="H8357" i="6"/>
  <c r="H8358" i="6"/>
  <c r="H8359" i="6"/>
  <c r="H8360" i="6"/>
  <c r="H8361" i="6"/>
  <c r="H8362" i="6"/>
  <c r="H8363" i="6"/>
  <c r="H8364" i="6"/>
  <c r="H8365" i="6"/>
  <c r="H8366" i="6"/>
  <c r="H8367" i="6"/>
  <c r="H8368" i="6"/>
  <c r="H8369" i="6"/>
  <c r="H8370" i="6"/>
  <c r="H8371" i="6"/>
  <c r="H8372" i="6"/>
  <c r="H8373" i="6"/>
  <c r="H8374" i="6"/>
  <c r="H8375" i="6"/>
  <c r="H8376" i="6"/>
  <c r="H8377" i="6"/>
  <c r="H8378" i="6"/>
  <c r="H8379" i="6"/>
  <c r="H8380" i="6"/>
  <c r="H8381" i="6"/>
  <c r="H8382" i="6"/>
  <c r="H8383" i="6"/>
  <c r="H8384" i="6"/>
  <c r="H8385" i="6"/>
  <c r="H8386" i="6"/>
  <c r="H8387" i="6"/>
  <c r="H8388" i="6"/>
  <c r="H8389" i="6"/>
  <c r="H8390" i="6"/>
  <c r="H8391" i="6"/>
  <c r="H8392" i="6"/>
  <c r="H8393" i="6"/>
  <c r="H8394" i="6"/>
  <c r="H8395" i="6"/>
  <c r="H8396" i="6"/>
  <c r="H8397" i="6"/>
  <c r="H8398" i="6"/>
  <c r="H8399" i="6"/>
  <c r="H8400" i="6"/>
  <c r="H8401" i="6"/>
  <c r="H8402" i="6"/>
  <c r="H8403" i="6"/>
  <c r="H8404" i="6"/>
  <c r="H8405" i="6"/>
  <c r="H8406" i="6"/>
  <c r="H8407" i="6"/>
  <c r="H8408" i="6"/>
  <c r="H8409" i="6"/>
  <c r="H8410" i="6"/>
  <c r="H8411" i="6"/>
  <c r="H8412" i="6"/>
  <c r="H8413" i="6"/>
  <c r="H8414" i="6"/>
  <c r="H8415" i="6"/>
  <c r="H8416" i="6"/>
  <c r="H8417" i="6"/>
  <c r="H8418" i="6"/>
  <c r="H8419" i="6"/>
  <c r="H8420" i="6"/>
  <c r="H8421" i="6"/>
  <c r="H8422" i="6"/>
  <c r="H8423" i="6"/>
  <c r="H8424" i="6"/>
  <c r="H8425" i="6"/>
  <c r="H8426" i="6"/>
  <c r="H8427" i="6"/>
  <c r="H8428" i="6"/>
  <c r="H8429" i="6"/>
  <c r="H8430" i="6"/>
  <c r="H8431" i="6"/>
  <c r="H8432" i="6"/>
  <c r="H8433" i="6"/>
  <c r="H8434" i="6"/>
  <c r="H8435" i="6"/>
  <c r="H8436" i="6"/>
  <c r="H8437" i="6"/>
  <c r="H8438" i="6"/>
  <c r="H8439" i="6"/>
  <c r="H8440" i="6"/>
  <c r="H8441" i="6"/>
  <c r="H8442" i="6"/>
  <c r="H8443" i="6"/>
  <c r="H8444" i="6"/>
  <c r="H8445" i="6"/>
  <c r="H8446" i="6"/>
  <c r="H8447" i="6"/>
  <c r="H8448" i="6"/>
  <c r="H8449" i="6"/>
  <c r="H8450" i="6"/>
  <c r="H8451" i="6"/>
  <c r="H8452" i="6"/>
  <c r="H8453" i="6"/>
  <c r="H8454" i="6"/>
  <c r="H8455" i="6"/>
  <c r="H8456" i="6"/>
  <c r="H8457" i="6"/>
  <c r="H8458" i="6"/>
  <c r="H8459" i="6"/>
  <c r="H8460" i="6"/>
  <c r="H8461" i="6"/>
  <c r="H8462" i="6"/>
  <c r="H8463" i="6"/>
  <c r="H8464" i="6"/>
  <c r="H8465" i="6"/>
  <c r="H8466" i="6"/>
  <c r="H8467" i="6"/>
  <c r="H8468" i="6"/>
  <c r="H8469" i="6"/>
  <c r="H8470" i="6"/>
  <c r="H8471" i="6"/>
  <c r="H8472" i="6"/>
  <c r="H8473" i="6"/>
  <c r="H8474" i="6"/>
  <c r="H8475" i="6"/>
  <c r="H8476" i="6"/>
  <c r="H8477" i="6"/>
  <c r="H8478" i="6"/>
  <c r="H8479" i="6"/>
  <c r="H8480" i="6"/>
  <c r="H8481" i="6"/>
  <c r="H8482" i="6"/>
  <c r="H8483" i="6"/>
  <c r="H8484" i="6"/>
  <c r="H8485" i="6"/>
  <c r="H8486" i="6"/>
  <c r="H8487" i="6"/>
  <c r="H8488" i="6"/>
  <c r="H8489" i="6"/>
  <c r="H8490" i="6"/>
  <c r="H8491" i="6"/>
  <c r="H8492" i="6"/>
  <c r="H8493" i="6"/>
  <c r="H8494" i="6"/>
  <c r="H8495" i="6"/>
  <c r="H8496" i="6"/>
  <c r="H8497" i="6"/>
  <c r="H8498" i="6"/>
  <c r="H8499" i="6"/>
  <c r="H8500" i="6"/>
  <c r="H8501" i="6"/>
  <c r="H8502" i="6"/>
  <c r="H8503" i="6"/>
  <c r="H8504" i="6"/>
  <c r="H8505" i="6"/>
  <c r="H8506" i="6"/>
  <c r="H8507" i="6"/>
  <c r="H8508" i="6"/>
  <c r="H8509" i="6"/>
  <c r="H8510" i="6"/>
  <c r="H8511" i="6"/>
  <c r="H8512" i="6"/>
  <c r="H8513" i="6"/>
  <c r="H8514" i="6"/>
  <c r="H8515" i="6"/>
  <c r="H8516" i="6"/>
  <c r="H8517" i="6"/>
  <c r="H8518" i="6"/>
  <c r="H8519" i="6"/>
  <c r="H8520" i="6"/>
  <c r="H8521" i="6"/>
  <c r="H8522" i="6"/>
  <c r="H8523" i="6"/>
  <c r="H8524" i="6"/>
  <c r="H8525" i="6"/>
  <c r="H8526" i="6"/>
  <c r="H8527" i="6"/>
  <c r="H8528" i="6"/>
  <c r="H8529" i="6"/>
  <c r="H8530" i="6"/>
  <c r="H8531" i="6"/>
  <c r="H8532" i="6"/>
  <c r="H8533" i="6"/>
  <c r="H8534" i="6"/>
  <c r="H8535" i="6"/>
  <c r="H8536" i="6"/>
  <c r="H8537" i="6"/>
  <c r="H8538" i="6"/>
  <c r="H8539" i="6"/>
  <c r="H8540" i="6"/>
  <c r="H8541" i="6"/>
  <c r="H8542" i="6"/>
  <c r="H8543" i="6"/>
  <c r="H8544" i="6"/>
  <c r="H8545" i="6"/>
  <c r="H8546" i="6"/>
  <c r="H8547" i="6"/>
  <c r="H8548" i="6"/>
  <c r="H8549" i="6"/>
  <c r="H8550" i="6"/>
  <c r="H8551" i="6"/>
  <c r="H8552" i="6"/>
  <c r="H8553" i="6"/>
  <c r="H8554" i="6"/>
  <c r="H8555" i="6"/>
  <c r="H8556" i="6"/>
  <c r="H8557" i="6"/>
  <c r="H8558" i="6"/>
  <c r="H8559" i="6"/>
  <c r="H8560" i="6"/>
  <c r="H8561" i="6"/>
  <c r="H8562" i="6"/>
  <c r="H8563" i="6"/>
  <c r="H8564" i="6"/>
  <c r="H8565" i="6"/>
  <c r="H8566" i="6"/>
  <c r="H8567" i="6"/>
  <c r="H8568" i="6"/>
  <c r="H8569" i="6"/>
  <c r="H8570" i="6"/>
  <c r="H8571" i="6"/>
  <c r="H8572" i="6"/>
  <c r="H8573" i="6"/>
  <c r="H8574" i="6"/>
  <c r="H8575" i="6"/>
  <c r="H8576" i="6"/>
  <c r="H8577" i="6"/>
  <c r="H8578" i="6"/>
  <c r="H8579" i="6"/>
  <c r="H8580" i="6"/>
  <c r="H8581" i="6"/>
  <c r="H8582" i="6"/>
  <c r="H8583" i="6"/>
  <c r="H8584" i="6"/>
  <c r="H8585" i="6"/>
  <c r="H8586" i="6"/>
  <c r="H8587" i="6"/>
  <c r="H8588" i="6"/>
  <c r="H8589" i="6"/>
  <c r="H8590" i="6"/>
  <c r="H8591" i="6"/>
  <c r="H8592" i="6"/>
  <c r="H8593" i="6"/>
  <c r="H8594" i="6"/>
  <c r="H8595" i="6"/>
  <c r="H8596" i="6"/>
  <c r="H8597" i="6"/>
  <c r="H8598" i="6"/>
  <c r="H8599" i="6"/>
  <c r="H8600" i="6"/>
  <c r="H8601" i="6"/>
  <c r="H8602" i="6"/>
  <c r="H8603" i="6"/>
  <c r="H8604" i="6"/>
  <c r="H8605" i="6"/>
  <c r="H8606" i="6"/>
  <c r="H8607" i="6"/>
  <c r="H8608" i="6"/>
  <c r="H8609" i="6"/>
  <c r="H8610" i="6"/>
  <c r="H8611" i="6"/>
  <c r="H8612" i="6"/>
  <c r="H8613" i="6"/>
  <c r="H8614" i="6"/>
  <c r="H8615" i="6"/>
  <c r="H8616" i="6"/>
  <c r="H8617" i="6"/>
  <c r="H8618" i="6"/>
  <c r="H8619" i="6"/>
  <c r="H8620" i="6"/>
  <c r="H8621" i="6"/>
  <c r="H8622" i="6"/>
  <c r="H8623" i="6"/>
  <c r="H8624" i="6"/>
  <c r="H8625" i="6"/>
  <c r="H8626" i="6"/>
  <c r="H8627" i="6"/>
  <c r="H8628" i="6"/>
  <c r="H8629" i="6"/>
  <c r="H8630" i="6"/>
  <c r="H8631" i="6"/>
  <c r="H8632" i="6"/>
  <c r="H8633" i="6"/>
  <c r="H8634" i="6"/>
  <c r="H8635" i="6"/>
  <c r="H8636" i="6"/>
  <c r="H8637" i="6"/>
  <c r="H8638" i="6"/>
  <c r="H8639" i="6"/>
  <c r="H8640" i="6"/>
  <c r="H8641" i="6"/>
  <c r="H8642" i="6"/>
  <c r="H8643" i="6"/>
  <c r="H8644" i="6"/>
  <c r="H8645" i="6"/>
  <c r="H8646" i="6"/>
  <c r="H8647" i="6"/>
  <c r="H8648" i="6"/>
  <c r="H8649" i="6"/>
  <c r="H8650" i="6"/>
  <c r="H8651" i="6"/>
  <c r="H8652" i="6"/>
  <c r="H8653" i="6"/>
  <c r="H8654" i="6"/>
  <c r="H8655" i="6"/>
  <c r="H8656" i="6"/>
  <c r="H8657" i="6"/>
  <c r="H8658" i="6"/>
  <c r="H8659" i="6"/>
  <c r="H8660" i="6"/>
  <c r="H8661" i="6"/>
  <c r="H8662" i="6"/>
  <c r="H8663" i="6"/>
  <c r="H8664" i="6"/>
  <c r="H8665" i="6"/>
  <c r="H8666" i="6"/>
  <c r="H8667" i="6"/>
  <c r="H8668" i="6"/>
  <c r="H8669" i="6"/>
  <c r="H8670" i="6"/>
  <c r="H8671" i="6"/>
  <c r="H8672" i="6"/>
  <c r="H8673" i="6"/>
  <c r="H8674" i="6"/>
  <c r="H8675" i="6"/>
  <c r="H8676" i="6"/>
  <c r="H8677" i="6"/>
  <c r="H8678" i="6"/>
  <c r="H8679" i="6"/>
  <c r="H8680" i="6"/>
  <c r="H8681" i="6"/>
  <c r="H8682" i="6"/>
  <c r="H8683" i="6"/>
  <c r="H8684" i="6"/>
  <c r="H8685" i="6"/>
  <c r="H8686" i="6"/>
  <c r="H8687" i="6"/>
  <c r="H8688" i="6"/>
  <c r="H8689" i="6"/>
  <c r="H8690" i="6"/>
  <c r="H8691" i="6"/>
  <c r="H8692" i="6"/>
  <c r="H8693" i="6"/>
  <c r="H8694" i="6"/>
  <c r="H8695" i="6"/>
  <c r="H8696" i="6"/>
  <c r="H8697" i="6"/>
  <c r="H8698" i="6"/>
  <c r="H8699" i="6"/>
  <c r="H8700" i="6"/>
  <c r="H8701" i="6"/>
  <c r="H8702" i="6"/>
  <c r="H8703" i="6"/>
  <c r="H8704" i="6"/>
  <c r="H8705" i="6"/>
  <c r="H8706" i="6"/>
  <c r="H8707" i="6"/>
  <c r="H8708" i="6"/>
  <c r="H8709" i="6"/>
  <c r="H8710" i="6"/>
  <c r="H8711" i="6"/>
  <c r="H8712" i="6"/>
  <c r="H8713" i="6"/>
  <c r="H8714" i="6"/>
  <c r="H8715" i="6"/>
  <c r="H8716" i="6"/>
  <c r="H8717" i="6"/>
  <c r="H8718" i="6"/>
  <c r="H8719" i="6"/>
  <c r="H8720" i="6"/>
  <c r="H8721" i="6"/>
  <c r="H8722" i="6"/>
  <c r="H8723" i="6"/>
  <c r="H8724" i="6"/>
  <c r="H8725" i="6"/>
  <c r="H8726" i="6"/>
  <c r="H8727" i="6"/>
  <c r="H8728" i="6"/>
  <c r="H8729" i="6"/>
  <c r="H8730" i="6"/>
  <c r="H8731" i="6"/>
  <c r="H8732" i="6"/>
  <c r="H8733" i="6"/>
  <c r="H8734" i="6"/>
  <c r="H8735" i="6"/>
  <c r="H8736" i="6"/>
  <c r="H8737" i="6"/>
  <c r="H8738" i="6"/>
  <c r="H8739" i="6"/>
  <c r="H8740" i="6"/>
  <c r="H8741" i="6"/>
  <c r="H8742" i="6"/>
  <c r="H8743" i="6"/>
  <c r="H8744" i="6"/>
  <c r="H8745" i="6"/>
  <c r="H8746" i="6"/>
  <c r="H8747" i="6"/>
  <c r="H8748" i="6"/>
  <c r="H8749" i="6"/>
  <c r="H8750" i="6"/>
  <c r="H8751" i="6"/>
  <c r="H8752" i="6"/>
  <c r="H8753" i="6"/>
  <c r="H8754" i="6"/>
  <c r="H8755" i="6"/>
  <c r="H8756" i="6"/>
  <c r="H8757" i="6"/>
  <c r="H8758" i="6"/>
  <c r="H8759" i="6"/>
  <c r="H8760" i="6"/>
  <c r="H8761" i="6"/>
  <c r="H8762" i="6"/>
  <c r="H8763" i="6"/>
  <c r="H8764" i="6"/>
  <c r="H8765" i="6"/>
  <c r="H8766" i="6"/>
  <c r="H8767" i="6"/>
  <c r="H8768" i="6"/>
  <c r="H8769" i="6"/>
  <c r="H8770" i="6"/>
  <c r="H8771" i="6"/>
  <c r="H8772" i="6"/>
  <c r="H8773" i="6"/>
  <c r="H8774" i="6"/>
  <c r="H8775" i="6"/>
  <c r="H8776" i="6"/>
  <c r="H8777" i="6"/>
  <c r="H8778" i="6"/>
  <c r="H8779" i="6"/>
  <c r="H8780" i="6"/>
  <c r="H8781" i="6"/>
  <c r="H8782" i="6"/>
  <c r="H8783" i="6"/>
  <c r="H8784" i="6"/>
  <c r="H8785" i="6"/>
  <c r="H8786" i="6"/>
  <c r="H8787" i="6"/>
  <c r="H8788" i="6"/>
  <c r="H8789" i="6"/>
  <c r="H8790" i="6"/>
  <c r="H8791" i="6"/>
  <c r="H8792" i="6"/>
  <c r="H8793" i="6"/>
  <c r="H8794" i="6"/>
  <c r="H8795" i="6"/>
  <c r="H8796" i="6"/>
  <c r="H8797" i="6"/>
  <c r="H8798" i="6"/>
  <c r="H8799" i="6"/>
  <c r="H8800" i="6"/>
  <c r="H8801" i="6"/>
  <c r="H8802" i="6"/>
  <c r="H8803" i="6"/>
  <c r="H8804" i="6"/>
  <c r="H8805" i="6"/>
  <c r="H8806" i="6"/>
  <c r="H8807" i="6"/>
  <c r="H8808" i="6"/>
  <c r="H8809" i="6"/>
  <c r="H8810" i="6"/>
  <c r="H8811" i="6"/>
  <c r="H8812" i="6"/>
  <c r="H8813" i="6"/>
  <c r="H8814" i="6"/>
  <c r="H8815" i="6"/>
  <c r="H8816" i="6"/>
  <c r="H8817" i="6"/>
  <c r="H8818" i="6"/>
  <c r="H8819" i="6"/>
  <c r="H8820" i="6"/>
  <c r="H8821" i="6"/>
  <c r="H8822" i="6"/>
  <c r="H8823" i="6"/>
  <c r="H8824" i="6"/>
  <c r="H8825" i="6"/>
  <c r="H8826" i="6"/>
  <c r="H8827" i="6"/>
  <c r="H8828" i="6"/>
  <c r="H8829" i="6"/>
  <c r="H8830" i="6"/>
  <c r="H8831" i="6"/>
  <c r="H8832" i="6"/>
  <c r="H8833" i="6"/>
  <c r="H8834" i="6"/>
  <c r="H8835" i="6"/>
  <c r="H8836" i="6"/>
  <c r="H8837" i="6"/>
  <c r="H8838" i="6"/>
  <c r="H8839" i="6"/>
  <c r="H8840" i="6"/>
  <c r="H8841" i="6"/>
  <c r="H8842" i="6"/>
  <c r="H8843" i="6"/>
  <c r="H8844" i="6"/>
  <c r="H8845" i="6"/>
  <c r="H8846" i="6"/>
  <c r="H8847" i="6"/>
  <c r="H8848" i="6"/>
  <c r="H8849" i="6"/>
  <c r="H8850" i="6"/>
  <c r="H8851" i="6"/>
  <c r="H8852" i="6"/>
  <c r="H8853" i="6"/>
  <c r="H8854" i="6"/>
  <c r="H8855" i="6"/>
  <c r="H8856" i="6"/>
  <c r="H8857" i="6"/>
  <c r="H8858" i="6"/>
  <c r="H8859" i="6"/>
  <c r="H8860" i="6"/>
  <c r="H8861" i="6"/>
  <c r="H8862" i="6"/>
  <c r="H8863" i="6"/>
  <c r="H8864" i="6"/>
  <c r="H8865" i="6"/>
  <c r="H8866" i="6"/>
  <c r="H8867" i="6"/>
  <c r="H8868" i="6"/>
  <c r="H8869" i="6"/>
  <c r="H8870" i="6"/>
  <c r="H8871" i="6"/>
  <c r="H8872" i="6"/>
  <c r="H8873" i="6"/>
  <c r="H8874" i="6"/>
  <c r="H8875" i="6"/>
  <c r="H8876" i="6"/>
  <c r="H8877" i="6"/>
  <c r="H8878" i="6"/>
  <c r="H8879" i="6"/>
  <c r="H8880" i="6"/>
  <c r="H8881" i="6"/>
  <c r="H8882" i="6"/>
  <c r="H8883" i="6"/>
  <c r="H8884" i="6"/>
  <c r="H8885" i="6"/>
  <c r="H8886" i="6"/>
  <c r="H8887" i="6"/>
  <c r="H8888" i="6"/>
  <c r="H8889" i="6"/>
  <c r="H8890" i="6"/>
  <c r="H8891" i="6"/>
  <c r="H8892" i="6"/>
  <c r="H8893" i="6"/>
  <c r="H8894" i="6"/>
  <c r="H8895" i="6"/>
  <c r="H8896" i="6"/>
  <c r="H8897" i="6"/>
  <c r="H8898" i="6"/>
  <c r="H8899" i="6"/>
  <c r="H8900" i="6"/>
  <c r="H8901" i="6"/>
  <c r="H8902" i="6"/>
  <c r="H8903" i="6"/>
  <c r="H8904" i="6"/>
  <c r="H8905" i="6"/>
  <c r="H8906" i="6"/>
  <c r="H8907" i="6"/>
  <c r="H8908" i="6"/>
  <c r="H8909" i="6"/>
  <c r="H8910" i="6"/>
  <c r="H8911" i="6"/>
  <c r="H8912" i="6"/>
  <c r="H8913" i="6"/>
  <c r="H8914" i="6"/>
  <c r="H8915" i="6"/>
  <c r="H8916" i="6"/>
  <c r="H8917" i="6"/>
  <c r="H8918" i="6"/>
  <c r="H8919" i="6"/>
  <c r="H8920" i="6"/>
  <c r="H8921" i="6"/>
  <c r="H8922" i="6"/>
  <c r="H8923" i="6"/>
  <c r="H8924" i="6"/>
  <c r="H8925" i="6"/>
  <c r="H8926" i="6"/>
  <c r="H8927" i="6"/>
  <c r="H8928" i="6"/>
  <c r="H8929" i="6"/>
  <c r="H8930" i="6"/>
  <c r="H8931" i="6"/>
  <c r="H8932" i="6"/>
  <c r="H8933" i="6"/>
  <c r="H8934" i="6"/>
  <c r="H8935" i="6"/>
  <c r="H8936" i="6"/>
  <c r="H8937" i="6"/>
  <c r="H8938" i="6"/>
  <c r="H8939" i="6"/>
  <c r="H8940" i="6"/>
  <c r="H8941" i="6"/>
  <c r="H8942" i="6"/>
  <c r="H8943" i="6"/>
  <c r="H8944" i="6"/>
  <c r="H8945" i="6"/>
  <c r="H8946" i="6"/>
  <c r="H8947" i="6"/>
  <c r="H8948" i="6"/>
  <c r="H8949" i="6"/>
  <c r="H8950" i="6"/>
  <c r="H8951" i="6"/>
  <c r="H8952" i="6"/>
  <c r="H8953" i="6"/>
  <c r="H8954" i="6"/>
  <c r="H8955" i="6"/>
  <c r="H8956" i="6"/>
  <c r="H8957" i="6"/>
  <c r="H8958" i="6"/>
  <c r="H8959" i="6"/>
  <c r="H8960" i="6"/>
  <c r="H8961" i="6"/>
  <c r="H8962" i="6"/>
  <c r="H8963" i="6"/>
  <c r="H8964" i="6"/>
  <c r="H8965" i="6"/>
  <c r="H8966" i="6"/>
  <c r="H8967" i="6"/>
  <c r="H8968" i="6"/>
  <c r="H8969" i="6"/>
  <c r="H8970" i="6"/>
  <c r="H8971" i="6"/>
  <c r="H8972" i="6"/>
  <c r="H8973" i="6"/>
  <c r="H8974" i="6"/>
  <c r="H8975" i="6"/>
  <c r="H8976" i="6"/>
  <c r="H8977" i="6"/>
  <c r="H8978" i="6"/>
  <c r="H8979" i="6"/>
  <c r="H8980" i="6"/>
  <c r="H8981" i="6"/>
  <c r="H8982" i="6"/>
  <c r="H8983" i="6"/>
  <c r="H8984" i="6"/>
  <c r="H8985" i="6"/>
  <c r="H8986" i="6"/>
  <c r="H8987" i="6"/>
  <c r="H8988" i="6"/>
  <c r="H8989" i="6"/>
  <c r="H8990" i="6"/>
  <c r="H8991" i="6"/>
  <c r="H8992" i="6"/>
  <c r="H8993" i="6"/>
  <c r="H8994" i="6"/>
  <c r="H8995" i="6"/>
  <c r="H8996" i="6"/>
  <c r="H8997" i="6"/>
  <c r="H8998" i="6"/>
  <c r="H8999" i="6"/>
  <c r="H9000" i="6"/>
  <c r="H9001" i="6"/>
  <c r="H9002" i="6"/>
  <c r="H9003" i="6"/>
  <c r="H9004" i="6"/>
  <c r="H9005" i="6"/>
  <c r="H9006" i="6"/>
  <c r="H9007" i="6"/>
  <c r="H9008" i="6"/>
  <c r="H9009" i="6"/>
  <c r="H9010" i="6"/>
  <c r="H9011" i="6"/>
  <c r="H9012" i="6"/>
  <c r="H9013" i="6"/>
  <c r="H9014" i="6"/>
  <c r="H9015" i="6"/>
  <c r="H9016" i="6"/>
  <c r="H9017" i="6"/>
  <c r="H9018" i="6"/>
  <c r="H9019" i="6"/>
  <c r="H9020" i="6"/>
  <c r="H9021" i="6"/>
  <c r="H9022" i="6"/>
  <c r="H9023" i="6"/>
  <c r="H9024" i="6"/>
  <c r="H9025" i="6"/>
  <c r="H9026" i="6"/>
  <c r="H9027" i="6"/>
  <c r="H9028" i="6"/>
  <c r="H9029" i="6"/>
  <c r="H9030" i="6"/>
  <c r="H9031" i="6"/>
  <c r="H9032" i="6"/>
  <c r="H9033" i="6"/>
  <c r="H9034" i="6"/>
  <c r="H9035" i="6"/>
  <c r="H9036" i="6"/>
  <c r="H9037" i="6"/>
  <c r="H9038" i="6"/>
  <c r="H9039" i="6"/>
  <c r="H9040" i="6"/>
  <c r="H9041" i="6"/>
  <c r="H9042" i="6"/>
  <c r="H9043" i="6"/>
  <c r="H9044" i="6"/>
  <c r="H9045" i="6"/>
  <c r="H9046" i="6"/>
  <c r="H9047" i="6"/>
  <c r="H9048" i="6"/>
  <c r="H9049" i="6"/>
  <c r="H9050" i="6"/>
  <c r="H9051" i="6"/>
  <c r="H9052" i="6"/>
  <c r="H9053" i="6"/>
  <c r="H9054" i="6"/>
  <c r="H9055" i="6"/>
  <c r="H9056" i="6"/>
  <c r="H9057" i="6"/>
  <c r="H9058" i="6"/>
  <c r="H9059" i="6"/>
  <c r="H9060" i="6"/>
  <c r="H9061" i="6"/>
  <c r="H9062" i="6"/>
  <c r="H9063" i="6"/>
  <c r="H9064" i="6"/>
  <c r="H9065" i="6"/>
  <c r="H9066" i="6"/>
  <c r="H9067" i="6"/>
  <c r="H9068" i="6"/>
  <c r="H9069" i="6"/>
  <c r="H9070" i="6"/>
  <c r="H9071" i="6"/>
  <c r="H9072" i="6"/>
  <c r="H9073" i="6"/>
  <c r="H9074" i="6"/>
  <c r="H9075" i="6"/>
  <c r="H9076" i="6"/>
  <c r="H9077" i="6"/>
  <c r="H9078" i="6"/>
  <c r="H9079" i="6"/>
  <c r="H9080" i="6"/>
  <c r="H9081" i="6"/>
  <c r="H9082" i="6"/>
  <c r="H9083" i="6"/>
  <c r="H9084" i="6"/>
  <c r="H9085" i="6"/>
  <c r="H9086" i="6"/>
  <c r="H9087" i="6"/>
  <c r="H9088" i="6"/>
  <c r="H9089" i="6"/>
  <c r="H9090" i="6"/>
  <c r="H9091" i="6"/>
  <c r="H9092" i="6"/>
  <c r="H9093" i="6"/>
  <c r="H9094" i="6"/>
  <c r="H9095" i="6"/>
  <c r="H9096" i="6"/>
  <c r="H9097" i="6"/>
  <c r="H9098" i="6"/>
  <c r="H9099" i="6"/>
  <c r="H9100" i="6"/>
  <c r="H9101" i="6"/>
  <c r="H9102" i="6"/>
  <c r="H9103" i="6"/>
  <c r="H9104" i="6"/>
  <c r="H9105" i="6"/>
  <c r="H9106" i="6"/>
  <c r="H9107" i="6"/>
  <c r="H9108" i="6"/>
  <c r="H9109" i="6"/>
  <c r="H9110" i="6"/>
  <c r="H9111" i="6"/>
  <c r="H9112" i="6"/>
  <c r="H9113" i="6"/>
  <c r="H9114" i="6"/>
  <c r="H9115" i="6"/>
  <c r="H9116" i="6"/>
  <c r="H9117" i="6"/>
  <c r="H9118" i="6"/>
  <c r="H9119" i="6"/>
  <c r="H9120" i="6"/>
  <c r="H9121" i="6"/>
  <c r="H9122" i="6"/>
  <c r="H9123" i="6"/>
  <c r="H9124" i="6"/>
  <c r="H9125" i="6"/>
  <c r="H9126" i="6"/>
  <c r="H9127" i="6"/>
  <c r="H9128" i="6"/>
  <c r="H9129" i="6"/>
  <c r="H9130" i="6"/>
  <c r="H9131" i="6"/>
  <c r="H9132" i="6"/>
  <c r="H9133" i="6"/>
  <c r="H9134" i="6"/>
  <c r="H9135" i="6"/>
  <c r="H9136" i="6"/>
  <c r="H9137" i="6"/>
  <c r="H9138" i="6"/>
  <c r="H9139" i="6"/>
  <c r="H9140" i="6"/>
  <c r="H9141" i="6"/>
  <c r="H9142" i="6"/>
  <c r="H9143" i="6"/>
  <c r="H9144" i="6"/>
  <c r="H9145" i="6"/>
  <c r="H9146" i="6"/>
  <c r="H9147" i="6"/>
  <c r="H9148" i="6"/>
  <c r="H9149" i="6"/>
  <c r="H9150" i="6"/>
  <c r="H9151" i="6"/>
  <c r="H9152" i="6"/>
  <c r="H9153" i="6"/>
  <c r="H9154" i="6"/>
  <c r="H9155" i="6"/>
  <c r="H9156" i="6"/>
  <c r="H9157" i="6"/>
  <c r="H9158" i="6"/>
  <c r="H9159" i="6"/>
  <c r="H9160" i="6"/>
  <c r="H9161" i="6"/>
  <c r="H9162" i="6"/>
  <c r="H9163" i="6"/>
  <c r="H9164" i="6"/>
  <c r="H9165" i="6"/>
  <c r="H9166" i="6"/>
  <c r="H9167" i="6"/>
  <c r="H9168" i="6"/>
  <c r="H9169" i="6"/>
  <c r="H9170" i="6"/>
  <c r="H9171" i="6"/>
  <c r="H9172" i="6"/>
  <c r="H9173" i="6"/>
  <c r="H9174" i="6"/>
  <c r="H9175" i="6"/>
  <c r="H9176" i="6"/>
  <c r="H9177" i="6"/>
  <c r="H9178" i="6"/>
  <c r="H9179" i="6"/>
  <c r="H9180" i="6"/>
  <c r="H9181" i="6"/>
  <c r="H9182" i="6"/>
  <c r="H9183" i="6"/>
  <c r="H9184" i="6"/>
  <c r="H9185" i="6"/>
  <c r="H9186" i="6"/>
  <c r="H9187" i="6"/>
  <c r="H9188" i="6"/>
  <c r="H9189" i="6"/>
  <c r="H9190" i="6"/>
  <c r="H9191" i="6"/>
  <c r="H9192" i="6"/>
  <c r="H9193" i="6"/>
  <c r="H9194" i="6"/>
  <c r="H9195" i="6"/>
  <c r="H9196" i="6"/>
  <c r="H9197" i="6"/>
  <c r="H9198" i="6"/>
  <c r="H9199" i="6"/>
  <c r="H9200" i="6"/>
  <c r="H9201" i="6"/>
  <c r="H9202" i="6"/>
  <c r="H9203" i="6"/>
  <c r="H9204" i="6"/>
  <c r="H9205" i="6"/>
  <c r="H9206" i="6"/>
  <c r="H9207" i="6"/>
  <c r="H9208" i="6"/>
  <c r="H9209" i="6"/>
  <c r="H9210" i="6"/>
  <c r="H9211" i="6"/>
  <c r="H9212" i="6"/>
  <c r="H9213" i="6"/>
  <c r="H9214" i="6"/>
  <c r="H9215" i="6"/>
  <c r="H9216" i="6"/>
  <c r="H9217" i="6"/>
  <c r="H9218" i="6"/>
  <c r="H9219" i="6"/>
  <c r="H9220" i="6"/>
  <c r="H9221" i="6"/>
  <c r="H9222" i="6"/>
  <c r="H9223" i="6"/>
  <c r="H9224" i="6"/>
  <c r="H9225" i="6"/>
  <c r="H9226" i="6"/>
  <c r="H9227" i="6"/>
  <c r="H9228" i="6"/>
  <c r="H9229" i="6"/>
  <c r="H9230" i="6"/>
  <c r="H9231" i="6"/>
  <c r="H9232" i="6"/>
  <c r="H9233" i="6"/>
  <c r="H9234" i="6"/>
  <c r="H9235" i="6"/>
  <c r="H9236" i="6"/>
  <c r="H9237" i="6"/>
  <c r="H9238" i="6"/>
  <c r="H9239" i="6"/>
  <c r="H9240" i="6"/>
  <c r="H9241" i="6"/>
  <c r="H9242" i="6"/>
  <c r="H9243" i="6"/>
  <c r="H9244" i="6"/>
  <c r="H9245" i="6"/>
  <c r="H9246" i="6"/>
  <c r="H9247" i="6"/>
  <c r="H9248" i="6"/>
  <c r="H9249" i="6"/>
  <c r="H9250" i="6"/>
  <c r="H9251" i="6"/>
  <c r="H9252" i="6"/>
  <c r="H9253" i="6"/>
  <c r="H9254" i="6"/>
  <c r="H9255" i="6"/>
  <c r="H9256" i="6"/>
  <c r="H9257" i="6"/>
  <c r="H9258" i="6"/>
  <c r="H9259" i="6"/>
  <c r="H9260" i="6"/>
  <c r="H9261" i="6"/>
  <c r="H9262" i="6"/>
  <c r="H9263" i="6"/>
  <c r="H9264" i="6"/>
  <c r="H9265" i="6"/>
  <c r="H9266" i="6"/>
  <c r="H9267" i="6"/>
  <c r="H9268" i="6"/>
  <c r="H9269" i="6"/>
  <c r="H9270" i="6"/>
  <c r="H9271" i="6"/>
  <c r="H9272" i="6"/>
  <c r="H9273" i="6"/>
  <c r="H9274" i="6"/>
  <c r="H9275" i="6"/>
  <c r="H9276" i="6"/>
  <c r="H9277" i="6"/>
  <c r="H9278" i="6"/>
  <c r="H9279" i="6"/>
  <c r="H9280" i="6"/>
  <c r="H9281" i="6"/>
  <c r="H9282" i="6"/>
  <c r="H9283" i="6"/>
  <c r="H9284" i="6"/>
  <c r="H9285" i="6"/>
  <c r="H9286" i="6"/>
  <c r="H9287" i="6"/>
  <c r="H9288" i="6"/>
  <c r="H9289" i="6"/>
  <c r="H9290" i="6"/>
  <c r="H9291" i="6"/>
  <c r="H9292" i="6"/>
  <c r="H9293" i="6"/>
  <c r="H9294" i="6"/>
  <c r="H9295" i="6"/>
  <c r="H9296" i="6"/>
  <c r="H9297" i="6"/>
  <c r="H9298" i="6"/>
  <c r="H9299" i="6"/>
  <c r="H9300" i="6"/>
  <c r="H9301" i="6"/>
  <c r="H9302" i="6"/>
  <c r="H9303" i="6"/>
  <c r="H9304" i="6"/>
  <c r="H9305" i="6"/>
  <c r="H9306" i="6"/>
  <c r="H9307" i="6"/>
  <c r="H9308" i="6"/>
  <c r="H9309" i="6"/>
  <c r="H9310" i="6"/>
  <c r="H9311" i="6"/>
  <c r="H9312" i="6"/>
  <c r="H9313" i="6"/>
  <c r="H9314" i="6"/>
  <c r="H9315" i="6"/>
  <c r="H9316" i="6"/>
  <c r="H9317" i="6"/>
  <c r="H9318" i="6"/>
  <c r="H9319" i="6"/>
  <c r="H9320" i="6"/>
  <c r="H9321" i="6"/>
  <c r="H9322" i="6"/>
  <c r="H9323" i="6"/>
  <c r="H9324" i="6"/>
  <c r="H9325" i="6"/>
  <c r="H9326" i="6"/>
  <c r="H9327" i="6"/>
  <c r="H9328" i="6"/>
  <c r="H9329" i="6"/>
  <c r="H9330" i="6"/>
  <c r="H9331" i="6"/>
  <c r="H9332" i="6"/>
  <c r="H9333" i="6"/>
  <c r="H9334" i="6"/>
  <c r="H9335" i="6"/>
  <c r="H9336" i="6"/>
  <c r="H9337" i="6"/>
  <c r="H9338" i="6"/>
  <c r="H9339" i="6"/>
  <c r="H9340" i="6"/>
  <c r="H9341" i="6"/>
  <c r="H9342" i="6"/>
  <c r="H9343" i="6"/>
  <c r="H9344" i="6"/>
  <c r="H9345" i="6"/>
  <c r="H9346" i="6"/>
  <c r="H9347" i="6"/>
  <c r="H9348" i="6"/>
  <c r="H9349" i="6"/>
  <c r="H9350" i="6"/>
  <c r="H9351" i="6"/>
  <c r="H9352" i="6"/>
  <c r="H9353" i="6"/>
  <c r="H9354" i="6"/>
  <c r="H9355" i="6"/>
  <c r="H9356" i="6"/>
  <c r="H9357" i="6"/>
  <c r="H9358" i="6"/>
  <c r="H9359" i="6"/>
  <c r="H9360" i="6"/>
  <c r="H9361" i="6"/>
  <c r="H9362" i="6"/>
  <c r="H9363" i="6"/>
  <c r="H9364" i="6"/>
  <c r="H9365" i="6"/>
  <c r="H9366" i="6"/>
  <c r="H9367" i="6"/>
  <c r="H9368" i="6"/>
  <c r="H9369" i="6"/>
  <c r="H9370" i="6"/>
  <c r="H9371" i="6"/>
  <c r="H9372" i="6"/>
  <c r="H9373" i="6"/>
  <c r="H9374" i="6"/>
  <c r="H9375" i="6"/>
  <c r="H9376" i="6"/>
  <c r="H9377" i="6"/>
  <c r="H9378" i="6"/>
  <c r="H9379" i="6"/>
  <c r="H9380" i="6"/>
  <c r="H9381" i="6"/>
  <c r="H9382" i="6"/>
  <c r="H9383" i="6"/>
  <c r="H9384" i="6"/>
  <c r="H9385" i="6"/>
  <c r="H9386" i="6"/>
  <c r="H9387" i="6"/>
  <c r="H9388" i="6"/>
  <c r="H9389" i="6"/>
  <c r="H9390" i="6"/>
  <c r="H9391" i="6"/>
  <c r="H9392" i="6"/>
  <c r="H9393" i="6"/>
  <c r="H9394" i="6"/>
  <c r="H9395" i="6"/>
  <c r="H9396" i="6"/>
  <c r="H9397" i="6"/>
  <c r="H9398" i="6"/>
  <c r="H9399" i="6"/>
  <c r="H9400" i="6"/>
  <c r="H9401" i="6"/>
  <c r="H9402" i="6"/>
  <c r="H9403" i="6"/>
  <c r="H9404" i="6"/>
  <c r="H9405" i="6"/>
  <c r="H9406" i="6"/>
  <c r="H9407" i="6"/>
  <c r="H9408" i="6"/>
  <c r="H9409" i="6"/>
  <c r="H9410" i="6"/>
  <c r="H9411" i="6"/>
  <c r="H9412" i="6"/>
  <c r="H9413" i="6"/>
  <c r="H9414" i="6"/>
  <c r="H9415" i="6"/>
  <c r="H9416" i="6"/>
  <c r="H9417" i="6"/>
  <c r="H9418" i="6"/>
  <c r="H9419" i="6"/>
  <c r="H9420" i="6"/>
  <c r="H9421" i="6"/>
  <c r="H9422" i="6"/>
  <c r="H9423" i="6"/>
  <c r="H9424" i="6"/>
  <c r="H9425" i="6"/>
  <c r="H9426" i="6"/>
  <c r="H9427" i="6"/>
  <c r="H9428" i="6"/>
  <c r="H9429" i="6"/>
  <c r="H9430" i="6"/>
  <c r="H9431" i="6"/>
  <c r="H9432" i="6"/>
  <c r="H9433" i="6"/>
  <c r="H9434" i="6"/>
  <c r="H9435" i="6"/>
  <c r="H9436" i="6"/>
  <c r="H9437" i="6"/>
  <c r="H9438" i="6"/>
  <c r="H9439" i="6"/>
  <c r="H9440" i="6"/>
  <c r="H9441" i="6"/>
  <c r="H9442" i="6"/>
  <c r="H9443" i="6"/>
  <c r="H9444" i="6"/>
  <c r="H9445" i="6"/>
  <c r="H9446" i="6"/>
  <c r="H9447" i="6"/>
  <c r="H9448" i="6"/>
  <c r="H9449" i="6"/>
  <c r="H9450" i="6"/>
  <c r="H9451" i="6"/>
  <c r="H9452" i="6"/>
  <c r="H9453" i="6"/>
  <c r="H9454" i="6"/>
  <c r="H9455" i="6"/>
  <c r="H9456" i="6"/>
  <c r="H9457" i="6"/>
  <c r="H9458" i="6"/>
  <c r="H9459" i="6"/>
  <c r="H9460" i="6"/>
  <c r="H9461" i="6"/>
  <c r="H9462" i="6"/>
  <c r="H9463" i="6"/>
  <c r="H9464" i="6"/>
  <c r="H9465" i="6"/>
  <c r="H9466" i="6"/>
  <c r="H9467" i="6"/>
  <c r="H9468" i="6"/>
  <c r="H9469" i="6"/>
  <c r="H9470" i="6"/>
  <c r="H9471" i="6"/>
  <c r="H9472" i="6"/>
  <c r="H9473" i="6"/>
  <c r="H9474" i="6"/>
  <c r="H9475" i="6"/>
  <c r="H9476" i="6"/>
  <c r="H9477" i="6"/>
  <c r="H9478" i="6"/>
  <c r="H9479" i="6"/>
  <c r="H9480" i="6"/>
  <c r="H9481" i="6"/>
  <c r="H9482" i="6"/>
  <c r="H9483" i="6"/>
  <c r="H9484" i="6"/>
  <c r="H9485" i="6"/>
  <c r="H9486" i="6"/>
  <c r="H9487" i="6"/>
  <c r="H9488" i="6"/>
  <c r="H9489" i="6"/>
  <c r="H9490" i="6"/>
  <c r="H9491" i="6"/>
  <c r="H9492" i="6"/>
  <c r="H9493" i="6"/>
  <c r="H9494" i="6"/>
  <c r="H9495" i="6"/>
  <c r="H9496" i="6"/>
  <c r="H9497" i="6"/>
  <c r="H9498" i="6"/>
  <c r="H9499" i="6"/>
  <c r="H9500" i="6"/>
  <c r="H9501" i="6"/>
  <c r="H9502" i="6"/>
  <c r="H9503" i="6"/>
  <c r="H9504" i="6"/>
  <c r="H9505" i="6"/>
  <c r="H9506" i="6"/>
  <c r="H9507" i="6"/>
  <c r="H9508" i="6"/>
  <c r="H9509" i="6"/>
  <c r="H9510" i="6"/>
  <c r="H9511" i="6"/>
  <c r="H9512" i="6"/>
  <c r="H9513" i="6"/>
  <c r="H9514" i="6"/>
  <c r="H9515" i="6"/>
  <c r="H9516" i="6"/>
  <c r="H9517" i="6"/>
  <c r="H9518" i="6"/>
  <c r="H9519" i="6"/>
  <c r="H9520" i="6"/>
  <c r="H9521" i="6"/>
  <c r="H9522" i="6"/>
  <c r="H9523" i="6"/>
  <c r="H9524" i="6"/>
  <c r="H9525" i="6"/>
  <c r="H9526" i="6"/>
  <c r="H9527" i="6"/>
  <c r="H9528" i="6"/>
  <c r="H9529" i="6"/>
  <c r="H9530" i="6"/>
  <c r="H9531" i="6"/>
  <c r="H9532" i="6"/>
  <c r="H9533" i="6"/>
  <c r="H9534" i="6"/>
  <c r="H9535" i="6"/>
  <c r="H9536" i="6"/>
  <c r="H9537" i="6"/>
  <c r="H9538" i="6"/>
  <c r="H9539" i="6"/>
  <c r="H9540" i="6"/>
  <c r="H9541" i="6"/>
  <c r="H9542" i="6"/>
  <c r="H9543" i="6"/>
  <c r="H9544" i="6"/>
  <c r="H9545" i="6"/>
  <c r="H9546" i="6"/>
  <c r="H9547" i="6"/>
  <c r="H9548" i="6"/>
  <c r="H9549" i="6"/>
  <c r="H9550" i="6"/>
  <c r="H9551" i="6"/>
  <c r="H9552" i="6"/>
  <c r="H9553" i="6"/>
  <c r="H9554" i="6"/>
  <c r="H9555" i="6"/>
  <c r="H9556" i="6"/>
  <c r="H9557" i="6"/>
  <c r="H9558" i="6"/>
  <c r="H9559" i="6"/>
  <c r="H9560" i="6"/>
  <c r="H9561" i="6"/>
  <c r="H9562" i="6"/>
  <c r="H9563" i="6"/>
  <c r="H9564" i="6"/>
  <c r="H9565" i="6"/>
  <c r="H9566" i="6"/>
  <c r="H9567" i="6"/>
  <c r="H9568" i="6"/>
  <c r="H9569" i="6"/>
  <c r="H9570" i="6"/>
  <c r="H9571" i="6"/>
  <c r="H9572" i="6"/>
  <c r="H9573" i="6"/>
  <c r="H9574" i="6"/>
  <c r="H9575" i="6"/>
  <c r="H9576" i="6"/>
  <c r="H9577" i="6"/>
  <c r="H9578" i="6"/>
  <c r="H9579" i="6"/>
  <c r="H9580" i="6"/>
  <c r="H9581" i="6"/>
  <c r="H9582" i="6"/>
  <c r="H9583" i="6"/>
  <c r="H9584" i="6"/>
  <c r="H9585" i="6"/>
  <c r="H9586" i="6"/>
  <c r="H9587" i="6"/>
  <c r="H9588" i="6"/>
  <c r="H9589" i="6"/>
  <c r="H9590" i="6"/>
  <c r="H9591" i="6"/>
  <c r="H9592" i="6"/>
  <c r="H9593" i="6"/>
  <c r="H9594" i="6"/>
  <c r="H9595" i="6"/>
  <c r="H9596" i="6"/>
  <c r="H9597" i="6"/>
  <c r="H9598" i="6"/>
  <c r="H9599" i="6"/>
  <c r="H9600" i="6"/>
  <c r="H9601" i="6"/>
  <c r="H9602" i="6"/>
  <c r="H9603" i="6"/>
  <c r="H9604" i="6"/>
  <c r="H9605" i="6"/>
  <c r="H9606" i="6"/>
  <c r="H9607" i="6"/>
  <c r="H9608" i="6"/>
  <c r="H9609" i="6"/>
  <c r="H9610" i="6"/>
  <c r="H9611" i="6"/>
  <c r="H9612" i="6"/>
  <c r="H9613" i="6"/>
  <c r="H9614" i="6"/>
  <c r="H9615" i="6"/>
  <c r="H9616" i="6"/>
  <c r="H9617" i="6"/>
  <c r="H9618" i="6"/>
  <c r="H9619" i="6"/>
  <c r="H9620" i="6"/>
  <c r="H9621" i="6"/>
  <c r="H9622" i="6"/>
  <c r="H9623" i="6"/>
  <c r="H9624" i="6"/>
  <c r="H9625" i="6"/>
  <c r="H9626" i="6"/>
  <c r="H9627" i="6"/>
  <c r="H9628" i="6"/>
  <c r="H9629" i="6"/>
  <c r="H9630" i="6"/>
  <c r="H9631" i="6"/>
  <c r="H9632" i="6"/>
  <c r="H9633" i="6"/>
  <c r="H9634" i="6"/>
  <c r="H9635" i="6"/>
  <c r="H9636" i="6"/>
  <c r="H9637" i="6"/>
  <c r="H9638" i="6"/>
  <c r="H9639" i="6"/>
  <c r="H9640" i="6"/>
  <c r="H9641" i="6"/>
  <c r="H9642" i="6"/>
  <c r="H9643" i="6"/>
  <c r="H9644" i="6"/>
  <c r="H9645" i="6"/>
  <c r="H9646" i="6"/>
  <c r="H9647" i="6"/>
  <c r="H9648" i="6"/>
  <c r="H9649" i="6"/>
  <c r="H9650" i="6"/>
  <c r="H9651" i="6"/>
  <c r="H9652" i="6"/>
  <c r="H9653" i="6"/>
  <c r="H9654" i="6"/>
  <c r="H9655" i="6"/>
  <c r="H9656" i="6"/>
  <c r="H9657" i="6"/>
  <c r="H9658" i="6"/>
  <c r="H9659" i="6"/>
  <c r="H9660" i="6"/>
  <c r="H9661" i="6"/>
  <c r="H9662" i="6"/>
  <c r="H9663" i="6"/>
  <c r="H9664" i="6"/>
  <c r="H9665" i="6"/>
  <c r="H9666" i="6"/>
  <c r="H9667" i="6"/>
  <c r="H9668" i="6"/>
  <c r="H9669" i="6"/>
  <c r="H9670" i="6"/>
  <c r="H9671" i="6"/>
  <c r="H9672" i="6"/>
  <c r="H9673" i="6"/>
  <c r="H9674" i="6"/>
  <c r="H9675" i="6"/>
  <c r="H9676" i="6"/>
  <c r="H9677" i="6"/>
  <c r="H9678" i="6"/>
  <c r="H9679" i="6"/>
  <c r="H9680" i="6"/>
  <c r="H9681" i="6"/>
  <c r="H9682" i="6"/>
  <c r="H9683" i="6"/>
  <c r="H9684" i="6"/>
  <c r="H9685" i="6"/>
  <c r="H9686" i="6"/>
  <c r="H9687" i="6"/>
  <c r="H9688" i="6"/>
  <c r="H9689" i="6"/>
  <c r="H9690" i="6"/>
  <c r="H9691" i="6"/>
  <c r="H9692" i="6"/>
  <c r="H9693" i="6"/>
  <c r="H9694" i="6"/>
  <c r="H9695" i="6"/>
  <c r="H9696" i="6"/>
  <c r="H9697" i="6"/>
  <c r="H9698" i="6"/>
  <c r="H9699" i="6"/>
  <c r="H9700" i="6"/>
  <c r="H9701" i="6"/>
  <c r="H9702" i="6"/>
  <c r="H9703" i="6"/>
  <c r="H9704" i="6"/>
  <c r="H9705" i="6"/>
  <c r="H9706" i="6"/>
  <c r="H9707" i="6"/>
  <c r="H9708" i="6"/>
  <c r="H9709" i="6"/>
  <c r="H9710" i="6"/>
  <c r="H9711" i="6"/>
  <c r="H9712" i="6"/>
  <c r="H9713" i="6"/>
  <c r="H9714" i="6"/>
  <c r="H9715" i="6"/>
  <c r="H9716" i="6"/>
  <c r="H9717" i="6"/>
  <c r="H9718" i="6"/>
  <c r="H9719" i="6"/>
  <c r="H9720" i="6"/>
  <c r="H9721" i="6"/>
  <c r="H9722" i="6"/>
  <c r="H9723" i="6"/>
  <c r="H9724" i="6"/>
  <c r="H9725" i="6"/>
  <c r="H9726" i="6"/>
  <c r="H9727" i="6"/>
  <c r="H9728" i="6"/>
  <c r="H9729" i="6"/>
  <c r="H9730" i="6"/>
  <c r="H9731" i="6"/>
  <c r="H9732" i="6"/>
  <c r="H9733" i="6"/>
  <c r="H9734" i="6"/>
  <c r="H9735" i="6"/>
  <c r="H9736" i="6"/>
  <c r="H9737" i="6"/>
  <c r="H9738" i="6"/>
  <c r="H9739" i="6"/>
  <c r="H9740" i="6"/>
  <c r="H9741" i="6"/>
  <c r="H9742" i="6"/>
  <c r="H9743" i="6"/>
  <c r="H9744" i="6"/>
  <c r="H9745" i="6"/>
  <c r="H9746" i="6"/>
  <c r="H9747" i="6"/>
  <c r="H9748" i="6"/>
  <c r="H9749" i="6"/>
  <c r="H9750" i="6"/>
  <c r="H9751" i="6"/>
  <c r="H9752" i="6"/>
  <c r="H9753" i="6"/>
  <c r="H9754" i="6"/>
  <c r="H9755" i="6"/>
  <c r="H9756" i="6"/>
  <c r="H9757" i="6"/>
  <c r="H9758" i="6"/>
  <c r="H9759" i="6"/>
  <c r="H9760" i="6"/>
  <c r="H9761" i="6"/>
  <c r="H9762" i="6"/>
  <c r="H9763" i="6"/>
  <c r="H9764" i="6"/>
  <c r="H9765" i="6"/>
  <c r="H9766" i="6"/>
  <c r="H9767" i="6"/>
  <c r="H9768" i="6"/>
  <c r="H9769" i="6"/>
  <c r="H9770" i="6"/>
  <c r="H9771" i="6"/>
  <c r="H9772" i="6"/>
  <c r="H9773" i="6"/>
  <c r="H9774" i="6"/>
  <c r="H9775" i="6"/>
  <c r="H9776" i="6"/>
  <c r="H9777" i="6"/>
  <c r="H9778" i="6"/>
  <c r="H9779" i="6"/>
  <c r="H9780" i="6"/>
  <c r="H9781" i="6"/>
  <c r="H9782" i="6"/>
  <c r="H9783" i="6"/>
  <c r="H9784" i="6"/>
  <c r="H9785" i="6"/>
  <c r="H9786" i="6"/>
  <c r="H9787" i="6"/>
  <c r="H9788" i="6"/>
  <c r="H9789" i="6"/>
  <c r="H9790" i="6"/>
  <c r="H9791" i="6"/>
  <c r="H9792" i="6"/>
  <c r="H9793" i="6"/>
  <c r="H9794" i="6"/>
  <c r="H9795" i="6"/>
  <c r="H9796" i="6"/>
  <c r="H9797" i="6"/>
  <c r="H9798" i="6"/>
  <c r="H9799" i="6"/>
  <c r="H9800" i="6"/>
  <c r="H9801" i="6"/>
  <c r="H9802" i="6"/>
  <c r="H9803" i="6"/>
  <c r="H9804" i="6"/>
  <c r="H9805" i="6"/>
  <c r="H9806" i="6"/>
  <c r="H9807" i="6"/>
  <c r="H9808" i="6"/>
  <c r="H9809" i="6"/>
  <c r="H9810" i="6"/>
  <c r="H9811" i="6"/>
  <c r="H9812" i="6"/>
  <c r="H9813" i="6"/>
  <c r="H9814" i="6"/>
  <c r="H9815" i="6"/>
  <c r="H9816" i="6"/>
  <c r="H9817" i="6"/>
  <c r="H9818" i="6"/>
  <c r="H9819" i="6"/>
  <c r="H9820" i="6"/>
  <c r="H9821" i="6"/>
  <c r="H9822" i="6"/>
  <c r="H9823" i="6"/>
  <c r="H9824" i="6"/>
  <c r="H9825" i="6"/>
  <c r="H9826" i="6"/>
  <c r="H9827" i="6"/>
  <c r="H9828" i="6"/>
  <c r="H9829" i="6"/>
  <c r="H9830" i="6"/>
  <c r="H9831" i="6"/>
  <c r="H9832" i="6"/>
  <c r="H9833" i="6"/>
  <c r="H9834" i="6"/>
  <c r="H9835" i="6"/>
  <c r="H9836" i="6"/>
  <c r="H9837" i="6"/>
  <c r="H9838" i="6"/>
  <c r="H9839" i="6"/>
  <c r="H9840" i="6"/>
  <c r="H9841" i="6"/>
  <c r="H9842" i="6"/>
  <c r="H9843" i="6"/>
  <c r="H9844" i="6"/>
  <c r="H9845" i="6"/>
  <c r="H9846" i="6"/>
  <c r="H9847" i="6"/>
  <c r="H9848" i="6"/>
  <c r="H9849" i="6"/>
  <c r="H9850" i="6"/>
  <c r="H9851" i="6"/>
  <c r="H9852" i="6"/>
  <c r="H9853" i="6"/>
  <c r="H9854" i="6"/>
  <c r="H9855" i="6"/>
  <c r="H9856" i="6"/>
  <c r="H9857" i="6"/>
  <c r="H9858" i="6"/>
  <c r="H9859" i="6"/>
  <c r="H9860" i="6"/>
  <c r="H9861" i="6"/>
  <c r="H9862" i="6"/>
  <c r="H9863" i="6"/>
  <c r="H9864" i="6"/>
  <c r="H9865" i="6"/>
  <c r="H9866" i="6"/>
  <c r="H9867" i="6"/>
  <c r="H9868" i="6"/>
  <c r="H9869" i="6"/>
  <c r="H9870" i="6"/>
  <c r="H9871" i="6"/>
  <c r="H9872" i="6"/>
  <c r="H9873" i="6"/>
  <c r="H9874" i="6"/>
  <c r="H9875" i="6"/>
  <c r="H9876" i="6"/>
  <c r="H9877" i="6"/>
  <c r="H9878" i="6"/>
  <c r="H9879" i="6"/>
  <c r="H9880" i="6"/>
  <c r="H9881" i="6"/>
  <c r="H9882" i="6"/>
  <c r="H9883" i="6"/>
  <c r="H9884" i="6"/>
  <c r="H9885" i="6"/>
  <c r="H9886" i="6"/>
  <c r="H9887" i="6"/>
  <c r="H9888" i="6"/>
  <c r="H9889" i="6"/>
  <c r="H9890" i="6"/>
  <c r="H9891" i="6"/>
  <c r="H9892" i="6"/>
  <c r="H9893" i="6"/>
  <c r="H9894" i="6"/>
  <c r="H9895" i="6"/>
  <c r="H9896" i="6"/>
  <c r="H9897" i="6"/>
  <c r="H9898" i="6"/>
  <c r="H9899" i="6"/>
  <c r="H9900" i="6"/>
  <c r="H9901" i="6"/>
  <c r="H9902" i="6"/>
  <c r="H9903" i="6"/>
  <c r="H9904" i="6"/>
  <c r="H9905" i="6"/>
  <c r="H9906" i="6"/>
  <c r="H9907" i="6"/>
  <c r="H9908" i="6"/>
  <c r="H9909" i="6"/>
  <c r="H9910" i="6"/>
  <c r="H9911" i="6"/>
  <c r="H9912" i="6"/>
  <c r="H9913" i="6"/>
  <c r="H9914" i="6"/>
  <c r="H9915" i="6"/>
  <c r="H9916" i="6"/>
  <c r="H9917" i="6"/>
  <c r="H9918" i="6"/>
  <c r="H9919" i="6"/>
  <c r="H9920" i="6"/>
  <c r="H9921" i="6"/>
  <c r="H9922" i="6"/>
  <c r="H9923" i="6"/>
  <c r="H9924" i="6"/>
  <c r="H9925" i="6"/>
  <c r="H9926" i="6"/>
  <c r="H9927" i="6"/>
  <c r="H9928" i="6"/>
  <c r="H9929" i="6"/>
  <c r="H9930" i="6"/>
  <c r="H9931" i="6"/>
  <c r="H9932" i="6"/>
  <c r="H9933" i="6"/>
  <c r="H9934" i="6"/>
  <c r="H9935" i="6"/>
  <c r="H9936" i="6"/>
  <c r="H9937" i="6"/>
  <c r="H9938" i="6"/>
  <c r="H9939" i="6"/>
  <c r="H9940" i="6"/>
  <c r="H9941" i="6"/>
  <c r="H9942" i="6"/>
  <c r="H9943" i="6"/>
  <c r="H9944" i="6"/>
  <c r="H9945" i="6"/>
  <c r="H9946" i="6"/>
  <c r="H9947" i="6"/>
  <c r="H9948" i="6"/>
  <c r="H9949" i="6"/>
  <c r="H9950" i="6"/>
  <c r="H9951" i="6"/>
  <c r="H9952" i="6"/>
  <c r="H9953" i="6"/>
  <c r="H9954" i="6"/>
  <c r="H9955" i="6"/>
  <c r="H9956" i="6"/>
  <c r="H9957" i="6"/>
  <c r="H9958" i="6"/>
  <c r="H9959" i="6"/>
  <c r="H9960" i="6"/>
  <c r="H9961" i="6"/>
  <c r="H9962" i="6"/>
  <c r="H9963" i="6"/>
  <c r="H9964" i="6"/>
  <c r="H9965" i="6"/>
  <c r="H9966" i="6"/>
  <c r="H9967" i="6"/>
  <c r="H9968" i="6"/>
  <c r="H9969" i="6"/>
  <c r="H9970" i="6"/>
  <c r="H9971" i="6"/>
  <c r="H9972" i="6"/>
  <c r="H9973" i="6"/>
  <c r="H9974" i="6"/>
  <c r="H9975" i="6"/>
  <c r="H9976" i="6"/>
  <c r="H9977" i="6"/>
  <c r="H9978" i="6"/>
  <c r="H9979" i="6"/>
  <c r="H9980" i="6"/>
  <c r="H9981" i="6"/>
  <c r="H9982" i="6"/>
  <c r="H9983" i="6"/>
  <c r="H9984" i="6"/>
  <c r="H9985" i="6"/>
  <c r="H9986" i="6"/>
  <c r="H9987" i="6"/>
  <c r="H9988" i="6"/>
  <c r="H9989" i="6"/>
  <c r="H9990" i="6"/>
  <c r="H9991" i="6"/>
  <c r="H9992" i="6"/>
  <c r="H9993" i="6"/>
  <c r="H9994" i="6"/>
  <c r="H9995" i="6"/>
  <c r="H9996" i="6"/>
  <c r="H9997" i="6"/>
  <c r="H9998" i="6"/>
  <c r="H9999" i="6"/>
  <c r="H10000" i="6"/>
  <c r="H10001" i="6"/>
  <c r="H10002" i="6"/>
  <c r="H10003" i="6"/>
  <c r="H10004" i="6"/>
  <c r="H10005" i="6"/>
  <c r="H10006" i="6"/>
  <c r="H10007" i="6"/>
  <c r="H10008" i="6"/>
  <c r="H10009" i="6"/>
  <c r="H10010" i="6"/>
  <c r="H10011" i="6"/>
  <c r="H10012" i="6"/>
  <c r="H10013" i="6"/>
  <c r="H10014" i="6"/>
  <c r="H10015" i="6"/>
  <c r="H10016" i="6"/>
  <c r="H10017" i="6"/>
  <c r="H10018" i="6"/>
  <c r="H10019" i="6"/>
  <c r="H10020" i="6"/>
  <c r="H10021" i="6"/>
  <c r="H10022" i="6"/>
  <c r="H10023" i="6"/>
  <c r="H10024" i="6"/>
  <c r="H10025" i="6"/>
  <c r="H10026" i="6"/>
  <c r="H10027" i="6"/>
  <c r="H10028" i="6"/>
  <c r="H10029" i="6"/>
  <c r="H10030" i="6"/>
  <c r="H10031" i="6"/>
  <c r="H10032" i="6"/>
  <c r="H10033" i="6"/>
  <c r="H10034" i="6"/>
  <c r="H10035" i="6"/>
  <c r="H10036" i="6"/>
  <c r="H10037" i="6"/>
  <c r="H10038" i="6"/>
  <c r="H10039" i="6"/>
  <c r="H10040" i="6"/>
  <c r="H10041" i="6"/>
  <c r="H10042" i="6"/>
  <c r="H10043" i="6"/>
  <c r="H10044" i="6"/>
  <c r="H10045" i="6"/>
  <c r="H10046" i="6"/>
  <c r="H10047" i="6"/>
  <c r="H10048" i="6"/>
  <c r="H10049" i="6"/>
  <c r="H10050" i="6"/>
  <c r="H10051" i="6"/>
  <c r="H10052" i="6"/>
  <c r="H10053" i="6"/>
  <c r="H10054" i="6"/>
  <c r="H10055" i="6"/>
  <c r="H10056" i="6"/>
  <c r="H10057" i="6"/>
  <c r="H10058" i="6"/>
  <c r="H10059" i="6"/>
  <c r="H10060" i="6"/>
  <c r="H10061" i="6"/>
  <c r="H10062" i="6"/>
  <c r="H10063" i="6"/>
  <c r="H10064" i="6"/>
  <c r="H10065" i="6"/>
  <c r="H10066" i="6"/>
  <c r="H10067" i="6"/>
  <c r="H10068" i="6"/>
  <c r="H10069" i="6"/>
  <c r="H10070" i="6"/>
  <c r="H10071" i="6"/>
  <c r="H10072" i="6"/>
  <c r="H10073" i="6"/>
  <c r="H10074" i="6"/>
  <c r="H10075" i="6"/>
  <c r="H10076" i="6"/>
  <c r="H10077" i="6"/>
  <c r="H10078" i="6"/>
  <c r="H10079" i="6"/>
  <c r="H10080" i="6"/>
  <c r="H10081" i="6"/>
  <c r="H10082" i="6"/>
  <c r="H10083" i="6"/>
  <c r="H10084" i="6"/>
  <c r="H10085" i="6"/>
  <c r="H10086" i="6"/>
  <c r="H10087" i="6"/>
  <c r="H10088" i="6"/>
  <c r="H10089" i="6"/>
  <c r="H10090" i="6"/>
  <c r="H10091" i="6"/>
  <c r="H10092" i="6"/>
  <c r="H10093" i="6"/>
  <c r="H10094" i="6"/>
  <c r="H10095" i="6"/>
  <c r="H10096" i="6"/>
  <c r="H10097" i="6"/>
  <c r="H10098" i="6"/>
  <c r="H10099" i="6"/>
  <c r="H10100" i="6"/>
  <c r="H10101" i="6"/>
  <c r="H10102" i="6"/>
  <c r="H10103" i="6"/>
  <c r="H10104" i="6"/>
  <c r="H10105" i="6"/>
  <c r="H10106" i="6"/>
  <c r="H10107" i="6"/>
  <c r="H10108" i="6"/>
  <c r="H10109" i="6"/>
  <c r="H10110" i="6"/>
  <c r="H10111" i="6"/>
  <c r="H10112" i="6"/>
  <c r="H10113" i="6"/>
  <c r="H10114" i="6"/>
  <c r="H10115" i="6"/>
  <c r="H10116" i="6"/>
  <c r="H10117" i="6"/>
  <c r="H10118" i="6"/>
  <c r="H10119" i="6"/>
  <c r="H10120" i="6"/>
  <c r="H10121" i="6"/>
  <c r="H10122" i="6"/>
  <c r="H10123" i="6"/>
  <c r="H10124" i="6"/>
  <c r="H10125" i="6"/>
  <c r="H10126" i="6"/>
  <c r="H10127" i="6"/>
  <c r="H10128" i="6"/>
  <c r="H10129" i="6"/>
  <c r="H10130" i="6"/>
  <c r="H10131" i="6"/>
  <c r="H10132" i="6"/>
  <c r="H10133" i="6"/>
  <c r="H10134" i="6"/>
  <c r="H10135" i="6"/>
  <c r="H10136" i="6"/>
  <c r="H10137" i="6"/>
  <c r="H10138" i="6"/>
  <c r="H10139" i="6"/>
  <c r="H10140" i="6"/>
  <c r="H10141" i="6"/>
  <c r="H10142" i="6"/>
  <c r="H10143" i="6"/>
  <c r="H10144" i="6"/>
  <c r="H10145" i="6"/>
  <c r="H10146" i="6"/>
  <c r="H10147" i="6"/>
  <c r="H10148" i="6"/>
  <c r="H10149" i="6"/>
  <c r="H10150" i="6"/>
  <c r="H10151" i="6"/>
  <c r="H10152" i="6"/>
  <c r="H10153" i="6"/>
  <c r="H10154" i="6"/>
  <c r="H10155" i="6"/>
  <c r="H10156" i="6"/>
  <c r="H10157" i="6"/>
  <c r="H10158" i="6"/>
  <c r="H10159" i="6"/>
  <c r="H10160" i="6"/>
  <c r="H10161" i="6"/>
  <c r="H10162" i="6"/>
  <c r="H10163" i="6"/>
  <c r="H10164" i="6"/>
  <c r="H10165" i="6"/>
  <c r="H10166" i="6"/>
  <c r="H10167" i="6"/>
  <c r="H10168" i="6"/>
  <c r="H10169" i="6"/>
  <c r="H10170" i="6"/>
  <c r="H10171" i="6"/>
  <c r="H10172" i="6"/>
  <c r="H10173" i="6"/>
  <c r="H10174" i="6"/>
  <c r="H10175" i="6"/>
  <c r="H10176" i="6"/>
  <c r="H10177" i="6"/>
  <c r="H10178" i="6"/>
  <c r="H10179" i="6"/>
  <c r="H10180" i="6"/>
  <c r="H10181" i="6"/>
  <c r="H10182" i="6"/>
  <c r="H10183" i="6"/>
  <c r="H10184" i="6"/>
  <c r="H10185" i="6"/>
  <c r="H10186" i="6"/>
  <c r="H10187" i="6"/>
  <c r="H10188" i="6"/>
  <c r="H10189" i="6"/>
  <c r="H10190" i="6"/>
  <c r="H10191" i="6"/>
  <c r="H10192" i="6"/>
  <c r="H10193" i="6"/>
  <c r="H10194" i="6"/>
  <c r="H10195" i="6"/>
  <c r="H10196" i="6"/>
  <c r="H10197" i="6"/>
  <c r="H10198" i="6"/>
  <c r="H10199" i="6"/>
  <c r="H10200" i="6"/>
  <c r="H10201" i="6"/>
  <c r="H10202" i="6"/>
  <c r="H10203" i="6"/>
  <c r="H10204" i="6"/>
  <c r="H10205" i="6"/>
  <c r="H10206" i="6"/>
  <c r="H10207" i="6"/>
  <c r="H10208" i="6"/>
  <c r="H10209" i="6"/>
  <c r="H10210" i="6"/>
  <c r="H10211" i="6"/>
  <c r="H10212" i="6"/>
  <c r="H10213" i="6"/>
  <c r="H10214" i="6"/>
  <c r="H10215" i="6"/>
  <c r="H10216" i="6"/>
  <c r="H10217" i="6"/>
  <c r="H10218" i="6"/>
  <c r="H10219" i="6"/>
  <c r="H10220" i="6"/>
  <c r="H10221" i="6"/>
  <c r="H10222" i="6"/>
  <c r="H10223" i="6"/>
  <c r="H10224" i="6"/>
  <c r="H10225" i="6"/>
  <c r="H10226" i="6"/>
  <c r="H10227" i="6"/>
  <c r="H10228" i="6"/>
  <c r="H10229" i="6"/>
  <c r="H10230" i="6"/>
  <c r="H10231" i="6"/>
  <c r="H10232" i="6"/>
  <c r="H10233" i="6"/>
  <c r="H10234" i="6"/>
  <c r="H10235" i="6"/>
  <c r="H10236" i="6"/>
  <c r="H10237" i="6"/>
  <c r="H10238" i="6"/>
  <c r="H10239" i="6"/>
  <c r="H10240" i="6"/>
  <c r="H10241" i="6"/>
  <c r="H10242" i="6"/>
  <c r="H10243" i="6"/>
  <c r="H10244" i="6"/>
  <c r="H10245" i="6"/>
  <c r="H10246" i="6"/>
  <c r="H10247" i="6"/>
  <c r="H10248" i="6"/>
  <c r="H10249" i="6"/>
  <c r="H10250" i="6"/>
  <c r="H10251" i="6"/>
  <c r="H10252" i="6"/>
  <c r="H10253" i="6"/>
  <c r="H10254" i="6"/>
  <c r="H10255" i="6"/>
  <c r="H10256" i="6"/>
  <c r="H10257" i="6"/>
  <c r="H10258" i="6"/>
  <c r="H10259" i="6"/>
  <c r="H10260" i="6"/>
  <c r="H10261" i="6"/>
  <c r="H10262" i="6"/>
  <c r="H10263" i="6"/>
  <c r="H10264" i="6"/>
  <c r="H10265" i="6"/>
  <c r="H10266" i="6"/>
  <c r="H10267" i="6"/>
  <c r="H10268" i="6"/>
  <c r="H10269" i="6"/>
  <c r="H10270" i="6"/>
  <c r="H10271" i="6"/>
  <c r="H10272" i="6"/>
  <c r="H10273" i="6"/>
  <c r="H10274" i="6"/>
  <c r="H10275" i="6"/>
  <c r="H10276" i="6"/>
  <c r="H10277" i="6"/>
  <c r="H10278" i="6"/>
  <c r="H10279" i="6"/>
  <c r="H10280" i="6"/>
  <c r="H10281" i="6"/>
  <c r="H10282" i="6"/>
  <c r="H10283" i="6"/>
  <c r="H10284" i="6"/>
  <c r="H10285" i="6"/>
  <c r="H10286" i="6"/>
  <c r="H10287" i="6"/>
  <c r="H10288" i="6"/>
  <c r="H10289" i="6"/>
  <c r="H10290" i="6"/>
  <c r="H10291" i="6"/>
  <c r="H10292" i="6"/>
  <c r="H10293" i="6"/>
  <c r="H10294" i="6"/>
  <c r="H10295" i="6"/>
  <c r="H10296" i="6"/>
  <c r="H10297" i="6"/>
  <c r="H10298" i="6"/>
  <c r="H10299" i="6"/>
  <c r="H10300" i="6"/>
  <c r="H10301" i="6"/>
  <c r="H10302" i="6"/>
  <c r="H10303" i="6"/>
  <c r="H10304" i="6"/>
  <c r="H10305" i="6"/>
  <c r="H10306" i="6"/>
  <c r="H10307" i="6"/>
  <c r="H10308" i="6"/>
  <c r="H10309" i="6"/>
  <c r="H10310" i="6"/>
  <c r="H10311" i="6"/>
  <c r="H10312" i="6"/>
  <c r="H10313" i="6"/>
  <c r="H10314" i="6"/>
  <c r="H10315" i="6"/>
  <c r="H10316" i="6"/>
  <c r="H10317" i="6"/>
  <c r="H10318" i="6"/>
  <c r="H10319" i="6"/>
  <c r="H10320" i="6"/>
  <c r="H10321" i="6"/>
  <c r="H10322" i="6"/>
  <c r="H10323" i="6"/>
  <c r="H10324" i="6"/>
  <c r="H10325" i="6"/>
  <c r="H10326" i="6"/>
  <c r="H10327" i="6"/>
  <c r="H10328" i="6"/>
  <c r="H10329" i="6"/>
  <c r="H10330" i="6"/>
  <c r="H10331" i="6"/>
  <c r="H10332" i="6"/>
  <c r="H10333" i="6"/>
  <c r="H10334" i="6"/>
  <c r="H10335" i="6"/>
  <c r="H10336" i="6"/>
  <c r="H10337" i="6"/>
  <c r="H10338" i="6"/>
  <c r="H10339" i="6"/>
  <c r="H10340" i="6"/>
  <c r="H10341" i="6"/>
  <c r="H10342" i="6"/>
  <c r="H10343" i="6"/>
  <c r="H10344" i="6"/>
  <c r="H10345" i="6"/>
  <c r="H10346" i="6"/>
  <c r="H10347" i="6"/>
  <c r="H10348" i="6"/>
  <c r="H10349" i="6"/>
  <c r="H10350" i="6"/>
  <c r="H10351" i="6"/>
  <c r="H10352" i="6"/>
  <c r="H10353" i="6"/>
  <c r="H10354" i="6"/>
  <c r="H10355" i="6"/>
  <c r="H10356" i="6"/>
  <c r="H10357" i="6"/>
  <c r="H10358" i="6"/>
  <c r="H10359" i="6"/>
  <c r="H10360" i="6"/>
  <c r="H10361" i="6"/>
  <c r="H10362" i="6"/>
  <c r="H10363" i="6"/>
  <c r="H10364" i="6"/>
  <c r="H10365" i="6"/>
  <c r="H10366" i="6"/>
  <c r="H10367" i="6"/>
  <c r="H10368" i="6"/>
  <c r="H10369" i="6"/>
  <c r="H10370" i="6"/>
  <c r="H10371" i="6"/>
  <c r="H10372" i="6"/>
  <c r="H10373" i="6"/>
  <c r="H10374" i="6"/>
  <c r="H10375" i="6"/>
  <c r="H10376" i="6"/>
  <c r="H10377" i="6"/>
  <c r="H10378" i="6"/>
  <c r="H10379" i="6"/>
  <c r="H10380" i="6"/>
  <c r="H10381" i="6"/>
  <c r="H10382" i="6"/>
  <c r="H10383" i="6"/>
  <c r="H10384" i="6"/>
  <c r="H10385" i="6"/>
  <c r="H10386" i="6"/>
  <c r="H10387" i="6"/>
  <c r="H10388" i="6"/>
  <c r="H10389" i="6"/>
  <c r="H10390" i="6"/>
  <c r="H10391" i="6"/>
  <c r="H10392" i="6"/>
  <c r="H10393" i="6"/>
  <c r="H10394" i="6"/>
  <c r="H10395" i="6"/>
  <c r="H10396" i="6"/>
  <c r="H10397" i="6"/>
  <c r="H10398" i="6"/>
  <c r="H10399" i="6"/>
  <c r="H10400" i="6"/>
  <c r="H10401" i="6"/>
  <c r="H10402" i="6"/>
  <c r="H10403" i="6"/>
  <c r="H10404" i="6"/>
  <c r="H10405" i="6"/>
  <c r="H10406" i="6"/>
  <c r="H10407" i="6"/>
  <c r="H10408" i="6"/>
  <c r="H10409" i="6"/>
  <c r="H10410" i="6"/>
  <c r="H10411" i="6"/>
  <c r="H10412" i="6"/>
  <c r="H10413" i="6"/>
  <c r="H10414" i="6"/>
  <c r="H10415" i="6"/>
  <c r="H10416" i="6"/>
  <c r="H10417" i="6"/>
  <c r="H10418" i="6"/>
  <c r="H10419" i="6"/>
  <c r="H10420" i="6"/>
  <c r="H10421" i="6"/>
  <c r="H10422" i="6"/>
  <c r="H10423" i="6"/>
  <c r="H10424" i="6"/>
  <c r="H10425" i="6"/>
  <c r="H10426" i="6"/>
  <c r="H10427" i="6"/>
  <c r="H10428" i="6"/>
  <c r="H10429" i="6"/>
  <c r="H10430" i="6"/>
  <c r="H10431" i="6"/>
  <c r="H10432" i="6"/>
  <c r="H10433" i="6"/>
  <c r="H10434" i="6"/>
  <c r="H10435" i="6"/>
  <c r="H10436" i="6"/>
  <c r="H10437" i="6"/>
  <c r="H10438" i="6"/>
  <c r="H10439" i="6"/>
  <c r="H10440" i="6"/>
  <c r="H10441" i="6"/>
  <c r="H10442" i="6"/>
  <c r="H10443" i="6"/>
  <c r="H10444" i="6"/>
  <c r="H10445" i="6"/>
  <c r="H10446" i="6"/>
  <c r="H10447" i="6"/>
  <c r="H10448" i="6"/>
  <c r="H10449" i="6"/>
  <c r="H10450" i="6"/>
  <c r="H10451" i="6"/>
  <c r="H10452" i="6"/>
  <c r="H10453" i="6"/>
  <c r="H10454" i="6"/>
  <c r="H10455" i="6"/>
  <c r="H10456" i="6"/>
  <c r="H10457" i="6"/>
  <c r="H10458" i="6"/>
  <c r="H10459" i="6"/>
  <c r="H10460" i="6"/>
  <c r="H10461" i="6"/>
  <c r="H10462" i="6"/>
  <c r="H10463" i="6"/>
  <c r="H10464" i="6"/>
  <c r="H10465" i="6"/>
  <c r="H10466" i="6"/>
  <c r="H10467" i="6"/>
  <c r="H10468" i="6"/>
  <c r="H10469" i="6"/>
  <c r="H10470" i="6"/>
  <c r="H10471" i="6"/>
  <c r="H10472" i="6"/>
  <c r="H10473" i="6"/>
  <c r="H10474" i="6"/>
  <c r="H10475" i="6"/>
  <c r="H10476" i="6"/>
  <c r="H10477" i="6"/>
  <c r="H10478" i="6"/>
  <c r="H10479" i="6"/>
  <c r="H10480" i="6"/>
  <c r="H10481" i="6"/>
  <c r="H10482" i="6"/>
  <c r="H10483" i="6"/>
  <c r="H10484" i="6"/>
  <c r="H10485" i="6"/>
  <c r="H10486" i="6"/>
  <c r="H10487" i="6"/>
  <c r="H10488" i="6"/>
  <c r="H10489" i="6"/>
  <c r="H10490" i="6"/>
  <c r="H10491" i="6"/>
  <c r="H10492" i="6"/>
  <c r="H10493" i="6"/>
  <c r="H10494" i="6"/>
  <c r="H10495" i="6"/>
  <c r="H10496" i="6"/>
  <c r="H10497" i="6"/>
  <c r="H10498" i="6"/>
  <c r="H10499" i="6"/>
  <c r="H10500" i="6"/>
  <c r="H10501" i="6"/>
  <c r="H10502" i="6"/>
  <c r="H10503" i="6"/>
  <c r="H10504" i="6"/>
  <c r="H10505" i="6"/>
  <c r="H10506" i="6"/>
  <c r="H10507" i="6"/>
  <c r="H10508" i="6"/>
  <c r="H10509" i="6"/>
  <c r="H10510" i="6"/>
  <c r="H10511" i="6"/>
  <c r="H10512" i="6"/>
  <c r="H10513" i="6"/>
  <c r="H10514" i="6"/>
  <c r="H10515" i="6"/>
  <c r="H10516" i="6"/>
  <c r="H10517" i="6"/>
  <c r="H10518" i="6"/>
  <c r="H10519" i="6"/>
  <c r="H10520" i="6"/>
  <c r="H10521" i="6"/>
  <c r="H10522" i="6"/>
  <c r="H10523" i="6"/>
  <c r="H10524" i="6"/>
  <c r="H10525" i="6"/>
  <c r="H10526" i="6"/>
  <c r="H10527" i="6"/>
  <c r="H10528" i="6"/>
  <c r="H10529" i="6"/>
  <c r="H10530" i="6"/>
  <c r="H10531" i="6"/>
  <c r="H10532" i="6"/>
  <c r="H10533" i="6"/>
  <c r="H10534" i="6"/>
  <c r="H10535" i="6"/>
  <c r="H10536" i="6"/>
  <c r="H10537" i="6"/>
  <c r="H10538" i="6"/>
  <c r="H10539" i="6"/>
  <c r="H10540" i="6"/>
  <c r="H10541" i="6"/>
  <c r="H10542" i="6"/>
  <c r="H10543" i="6"/>
  <c r="H10544" i="6"/>
  <c r="H10545" i="6"/>
  <c r="H10546" i="6"/>
  <c r="H10547" i="6"/>
  <c r="H10548" i="6"/>
  <c r="H10549" i="6"/>
  <c r="H10550" i="6"/>
  <c r="H10551" i="6"/>
  <c r="H10552" i="6"/>
  <c r="H10553" i="6"/>
  <c r="H10554" i="6"/>
  <c r="H10555" i="6"/>
  <c r="H10556" i="6"/>
  <c r="H10557" i="6"/>
  <c r="H10558" i="6"/>
  <c r="H10559" i="6"/>
  <c r="H10560" i="6"/>
  <c r="H10561" i="6"/>
  <c r="H10562" i="6"/>
  <c r="H10563" i="6"/>
  <c r="H10564" i="6"/>
  <c r="H10565" i="6"/>
  <c r="H10566" i="6"/>
  <c r="H10567" i="6"/>
  <c r="H10568" i="6"/>
  <c r="H10569" i="6"/>
  <c r="H10570" i="6"/>
  <c r="H10571" i="6"/>
  <c r="H10572" i="6"/>
  <c r="H10573" i="6"/>
  <c r="H10574" i="6"/>
  <c r="H10575" i="6"/>
  <c r="H10576" i="6"/>
  <c r="H10577" i="6"/>
  <c r="H10578" i="6"/>
  <c r="H10579" i="6"/>
  <c r="H10580" i="6"/>
  <c r="H10581" i="6"/>
  <c r="H10582" i="6"/>
  <c r="H10583" i="6"/>
  <c r="H10584" i="6"/>
  <c r="H10585" i="6"/>
  <c r="H10586" i="6"/>
  <c r="H10587" i="6"/>
  <c r="H10588" i="6"/>
  <c r="H10589" i="6"/>
  <c r="H10590" i="6"/>
  <c r="H10591" i="6"/>
  <c r="H10592" i="6"/>
  <c r="H10593" i="6"/>
  <c r="H10594" i="6"/>
  <c r="H10595" i="6"/>
  <c r="H10596" i="6"/>
  <c r="H10597" i="6"/>
  <c r="H10598" i="6"/>
  <c r="H10599" i="6"/>
  <c r="H10600" i="6"/>
  <c r="H10601" i="6"/>
  <c r="H10602" i="6"/>
  <c r="H10603" i="6"/>
  <c r="H10604" i="6"/>
  <c r="H10605" i="6"/>
  <c r="H10606" i="6"/>
  <c r="H10607" i="6"/>
  <c r="H10608" i="6"/>
  <c r="H10609" i="6"/>
  <c r="H10610" i="6"/>
  <c r="H10611" i="6"/>
  <c r="H10612" i="6"/>
  <c r="H10613" i="6"/>
  <c r="H10614" i="6"/>
  <c r="H10615" i="6"/>
  <c r="H10616" i="6"/>
  <c r="H10617" i="6"/>
  <c r="H10618" i="6"/>
  <c r="H10619" i="6"/>
  <c r="H10620" i="6"/>
  <c r="H10621" i="6"/>
  <c r="H10622" i="6"/>
  <c r="H10623" i="6"/>
  <c r="H10624" i="6"/>
  <c r="H10625" i="6"/>
  <c r="H10626" i="6"/>
  <c r="H10627" i="6"/>
  <c r="H10628" i="6"/>
  <c r="H10629" i="6"/>
  <c r="H10630" i="6"/>
  <c r="H10631" i="6"/>
  <c r="H10632" i="6"/>
  <c r="H10633" i="6"/>
  <c r="H10634" i="6"/>
  <c r="H10635" i="6"/>
  <c r="H10636" i="6"/>
  <c r="H10637" i="6"/>
  <c r="H10638" i="6"/>
  <c r="H10639" i="6"/>
  <c r="H10640" i="6"/>
  <c r="H10641" i="6"/>
  <c r="H10642" i="6"/>
  <c r="H10643" i="6"/>
  <c r="H10644" i="6"/>
  <c r="H10645" i="6"/>
  <c r="H10646" i="6"/>
  <c r="H10647" i="6"/>
  <c r="H10648" i="6"/>
  <c r="H10649" i="6"/>
  <c r="H10650" i="6"/>
  <c r="H10651" i="6"/>
  <c r="H10652" i="6"/>
  <c r="H10653" i="6"/>
  <c r="H10654" i="6"/>
  <c r="H10655" i="6"/>
  <c r="H10656" i="6"/>
  <c r="H10657" i="6"/>
  <c r="H10658" i="6"/>
  <c r="H10659" i="6"/>
  <c r="H10660" i="6"/>
  <c r="H10661" i="6"/>
  <c r="H10662" i="6"/>
  <c r="H10663" i="6"/>
  <c r="H10664" i="6"/>
  <c r="H10665" i="6"/>
  <c r="H10666" i="6"/>
  <c r="H10667" i="6"/>
  <c r="H10668" i="6"/>
  <c r="H10669" i="6"/>
  <c r="H10670" i="6"/>
  <c r="H10671" i="6"/>
  <c r="H10672" i="6"/>
  <c r="H10673" i="6"/>
  <c r="H10674" i="6"/>
  <c r="H10675" i="6"/>
  <c r="H10676" i="6"/>
  <c r="H10677" i="6"/>
  <c r="H10678" i="6"/>
  <c r="H10679" i="6"/>
  <c r="H10680" i="6"/>
  <c r="H10681" i="6"/>
  <c r="H10682" i="6"/>
  <c r="H10683" i="6"/>
  <c r="H10684" i="6"/>
  <c r="H10685" i="6"/>
  <c r="H10686" i="6"/>
  <c r="H10687" i="6"/>
  <c r="H10688" i="6"/>
  <c r="H10689" i="6"/>
  <c r="H10690" i="6"/>
  <c r="H10691" i="6"/>
  <c r="H10692" i="6"/>
  <c r="H10693" i="6"/>
  <c r="H10694" i="6"/>
  <c r="H10695" i="6"/>
  <c r="H10696" i="6"/>
  <c r="H10697" i="6"/>
  <c r="H10698" i="6"/>
  <c r="H10699" i="6"/>
  <c r="H10700" i="6"/>
  <c r="H10701" i="6"/>
  <c r="H10702" i="6"/>
  <c r="H10703" i="6"/>
  <c r="H10704" i="6"/>
  <c r="H10705" i="6"/>
  <c r="H10706" i="6"/>
  <c r="H10707" i="6"/>
  <c r="H10708" i="6"/>
  <c r="H10709" i="6"/>
  <c r="H10710" i="6"/>
  <c r="H10711" i="6"/>
  <c r="H10712" i="6"/>
  <c r="H10713" i="6"/>
  <c r="H10714" i="6"/>
  <c r="H10715" i="6"/>
  <c r="H10716" i="6"/>
  <c r="H10717" i="6"/>
  <c r="H10718" i="6"/>
  <c r="H10719" i="6"/>
  <c r="H10720" i="6"/>
  <c r="H10721" i="6"/>
  <c r="H10722" i="6"/>
  <c r="H10723" i="6"/>
  <c r="H10724" i="6"/>
  <c r="H10725" i="6"/>
  <c r="H10726" i="6"/>
  <c r="H10727" i="6"/>
  <c r="H10728" i="6"/>
  <c r="H10729" i="6"/>
  <c r="H10730" i="6"/>
  <c r="H10731" i="6"/>
  <c r="H10732" i="6"/>
  <c r="H10733" i="6"/>
  <c r="H10734" i="6"/>
  <c r="H10735" i="6"/>
  <c r="H10736" i="6"/>
  <c r="H10737" i="6"/>
  <c r="H10738" i="6"/>
  <c r="H10739" i="6"/>
  <c r="H10740" i="6"/>
  <c r="H10741" i="6"/>
  <c r="H10742" i="6"/>
  <c r="H10743" i="6"/>
  <c r="H10744" i="6"/>
  <c r="H10745" i="6"/>
  <c r="H10746" i="6"/>
  <c r="H10747" i="6"/>
  <c r="H10748" i="6"/>
  <c r="H10749" i="6"/>
  <c r="H10750" i="6"/>
  <c r="H10751" i="6"/>
  <c r="H10752" i="6"/>
  <c r="H10753" i="6"/>
  <c r="H10754" i="6"/>
  <c r="H10755" i="6"/>
  <c r="H10756" i="6"/>
  <c r="H10757" i="6"/>
  <c r="H10758" i="6"/>
  <c r="H10759" i="6"/>
  <c r="H10760" i="6"/>
  <c r="H10761" i="6"/>
  <c r="H10762" i="6"/>
  <c r="H10763" i="6"/>
  <c r="H10764" i="6"/>
  <c r="H10765" i="6"/>
  <c r="H10766" i="6"/>
  <c r="H10767" i="6"/>
  <c r="H10768" i="6"/>
  <c r="H10769" i="6"/>
  <c r="H10770" i="6"/>
  <c r="H10771" i="6"/>
  <c r="H10772" i="6"/>
  <c r="H10773" i="6"/>
  <c r="H10774" i="6"/>
  <c r="H10775" i="6"/>
  <c r="H10776" i="6"/>
  <c r="H10777" i="6"/>
  <c r="H10778" i="6"/>
  <c r="H10779" i="6"/>
  <c r="H10780" i="6"/>
  <c r="H10781" i="6"/>
  <c r="H10782" i="6"/>
  <c r="H10783" i="6"/>
  <c r="H10784" i="6"/>
  <c r="H10785" i="6"/>
  <c r="H10786" i="6"/>
  <c r="H10787" i="6"/>
  <c r="H10788" i="6"/>
  <c r="H10789" i="6"/>
  <c r="H10790" i="6"/>
  <c r="H10791" i="6"/>
  <c r="H10792" i="6"/>
  <c r="H10793" i="6"/>
  <c r="H10794" i="6"/>
  <c r="H10795" i="6"/>
  <c r="H10796" i="6"/>
  <c r="H10797" i="6"/>
  <c r="H10798" i="6"/>
  <c r="H10799" i="6"/>
  <c r="H10800" i="6"/>
  <c r="H10801" i="6"/>
  <c r="H10802" i="6"/>
  <c r="H10803" i="6"/>
  <c r="H10804" i="6"/>
  <c r="H10805" i="6"/>
  <c r="H10806" i="6"/>
  <c r="H10807" i="6"/>
  <c r="H10808" i="6"/>
  <c r="H10809" i="6"/>
  <c r="H10810" i="6"/>
  <c r="H10811" i="6"/>
  <c r="H10812" i="6"/>
  <c r="H10813" i="6"/>
  <c r="H10814" i="6"/>
  <c r="H10815" i="6"/>
  <c r="H10816" i="6"/>
  <c r="H10817" i="6"/>
  <c r="H10818" i="6"/>
  <c r="H10819" i="6"/>
  <c r="H10820" i="6"/>
  <c r="H10821" i="6"/>
  <c r="H10822" i="6"/>
  <c r="H10823" i="6"/>
  <c r="H10824" i="6"/>
  <c r="H10825" i="6"/>
  <c r="H10826" i="6"/>
  <c r="H10827" i="6"/>
  <c r="H10828" i="6"/>
  <c r="H10829" i="6"/>
  <c r="H10830" i="6"/>
  <c r="H10831" i="6"/>
  <c r="H10832" i="6"/>
  <c r="H10833" i="6"/>
  <c r="H10834" i="6"/>
  <c r="H10835" i="6"/>
  <c r="H10836" i="6"/>
  <c r="H10837" i="6"/>
  <c r="H10838" i="6"/>
  <c r="H10839" i="6"/>
  <c r="H10840" i="6"/>
  <c r="H10841" i="6"/>
  <c r="H10842" i="6"/>
  <c r="H10843" i="6"/>
  <c r="H10844" i="6"/>
  <c r="H10845" i="6"/>
  <c r="H10846" i="6"/>
  <c r="H10847" i="6"/>
  <c r="H10848" i="6"/>
  <c r="H10849" i="6"/>
  <c r="H10850" i="6"/>
  <c r="H10851" i="6"/>
  <c r="H10852" i="6"/>
  <c r="H10853" i="6"/>
  <c r="H10854" i="6"/>
  <c r="H10855" i="6"/>
  <c r="H10856" i="6"/>
  <c r="H10857" i="6"/>
  <c r="H10858" i="6"/>
  <c r="H10859" i="6"/>
  <c r="H10860" i="6"/>
  <c r="H10861" i="6"/>
  <c r="H10862" i="6"/>
  <c r="H10863" i="6"/>
  <c r="H10864" i="6"/>
  <c r="H10865" i="6"/>
  <c r="H10866" i="6"/>
  <c r="H10867" i="6"/>
  <c r="H10868" i="6"/>
  <c r="H10869" i="6"/>
  <c r="H10870" i="6"/>
  <c r="H10871" i="6"/>
  <c r="H10872" i="6"/>
  <c r="H10873" i="6"/>
  <c r="H10874" i="6"/>
  <c r="H10875" i="6"/>
  <c r="H10876" i="6"/>
  <c r="H10877" i="6"/>
  <c r="H10878" i="6"/>
  <c r="H10879" i="6"/>
  <c r="H10880" i="6"/>
  <c r="H10881" i="6"/>
  <c r="H10882" i="6"/>
  <c r="H10883" i="6"/>
  <c r="H10884" i="6"/>
  <c r="H10885" i="6"/>
  <c r="H10886" i="6"/>
  <c r="H10887" i="6"/>
  <c r="H10888" i="6"/>
  <c r="H10889" i="6"/>
  <c r="H10890" i="6"/>
  <c r="H10891" i="6"/>
  <c r="H10892" i="6"/>
  <c r="H10893" i="6"/>
  <c r="H10894" i="6"/>
  <c r="H10895" i="6"/>
  <c r="H10896" i="6"/>
  <c r="H10897" i="6"/>
  <c r="H10898" i="6"/>
  <c r="H10899" i="6"/>
  <c r="H10900" i="6"/>
  <c r="H10901" i="6"/>
  <c r="H10902" i="6"/>
  <c r="H10903" i="6"/>
  <c r="H10904" i="6"/>
  <c r="H10905" i="6"/>
  <c r="H10906" i="6"/>
  <c r="H10907" i="6"/>
  <c r="H10908" i="6"/>
  <c r="H10909" i="6"/>
  <c r="H10910" i="6"/>
  <c r="H10911" i="6"/>
  <c r="H10912" i="6"/>
  <c r="H10913" i="6"/>
  <c r="H10914" i="6"/>
  <c r="H10915" i="6"/>
  <c r="H10916" i="6"/>
  <c r="H10917" i="6"/>
  <c r="H10918" i="6"/>
  <c r="H10919" i="6"/>
  <c r="H10920" i="6"/>
  <c r="H10921" i="6"/>
  <c r="H10922" i="6"/>
  <c r="H10923" i="6"/>
  <c r="H10924" i="6"/>
  <c r="H10925" i="6"/>
  <c r="H10926" i="6"/>
  <c r="H10927" i="6"/>
  <c r="H10928" i="6"/>
  <c r="H10929" i="6"/>
  <c r="H10930" i="6"/>
  <c r="H10931" i="6"/>
  <c r="H10932" i="6"/>
  <c r="H10933" i="6"/>
  <c r="H10934" i="6"/>
  <c r="H10935" i="6"/>
  <c r="H10936" i="6"/>
  <c r="H10937" i="6"/>
  <c r="H10938" i="6"/>
  <c r="H10939" i="6"/>
  <c r="H10940" i="6"/>
  <c r="H10941" i="6"/>
  <c r="H10942" i="6"/>
  <c r="H10943" i="6"/>
  <c r="H10944" i="6"/>
  <c r="H10945" i="6"/>
  <c r="H10946" i="6"/>
  <c r="H10947" i="6"/>
  <c r="H10948" i="6"/>
  <c r="H10949" i="6"/>
  <c r="H10950" i="6"/>
  <c r="H10951" i="6"/>
  <c r="H10952" i="6"/>
  <c r="H10953" i="6"/>
  <c r="H10954" i="6"/>
  <c r="H10955" i="6"/>
  <c r="H10956" i="6"/>
  <c r="H10957" i="6"/>
  <c r="H10958" i="6"/>
  <c r="H10959" i="6"/>
  <c r="H10960" i="6"/>
  <c r="H10961" i="6"/>
  <c r="H10962" i="6"/>
  <c r="H10963" i="6"/>
  <c r="H10964" i="6"/>
  <c r="H10965" i="6"/>
  <c r="H10966" i="6"/>
  <c r="H10967" i="6"/>
  <c r="H10968" i="6"/>
  <c r="H10969" i="6"/>
  <c r="H10970" i="6"/>
  <c r="H10971" i="6"/>
  <c r="H10972" i="6"/>
  <c r="H10973" i="6"/>
  <c r="H10974" i="6"/>
  <c r="H10975" i="6"/>
  <c r="H10976" i="6"/>
  <c r="H10977" i="6"/>
  <c r="H10978" i="6"/>
  <c r="H10979" i="6"/>
  <c r="H10980" i="6"/>
  <c r="H10981" i="6"/>
  <c r="H10982" i="6"/>
  <c r="H10983" i="6"/>
  <c r="H10984" i="6"/>
  <c r="H10985" i="6"/>
  <c r="H10986" i="6"/>
  <c r="H10987" i="6"/>
  <c r="H10988" i="6"/>
  <c r="H10989" i="6"/>
  <c r="H10990" i="6"/>
  <c r="H10991" i="6"/>
  <c r="H10992" i="6"/>
  <c r="H10993" i="6"/>
  <c r="H10994" i="6"/>
  <c r="H10995" i="6"/>
  <c r="H10996" i="6"/>
  <c r="H10997" i="6"/>
  <c r="H10998" i="6"/>
  <c r="H10999" i="6"/>
  <c r="H11000" i="6"/>
  <c r="H11001" i="6"/>
  <c r="H11002" i="6"/>
  <c r="H11003" i="6"/>
  <c r="H11004" i="6"/>
  <c r="H11005" i="6"/>
  <c r="H11006" i="6"/>
  <c r="H11007" i="6"/>
  <c r="H11008" i="6"/>
  <c r="H11009" i="6"/>
  <c r="H11010" i="6"/>
  <c r="H11011" i="6"/>
  <c r="H11012" i="6"/>
  <c r="H11013" i="6"/>
  <c r="H11014" i="6"/>
  <c r="H11015" i="6"/>
  <c r="H11016" i="6"/>
  <c r="H11017" i="6"/>
  <c r="H11018" i="6"/>
  <c r="H11019" i="6"/>
  <c r="H11020" i="6"/>
  <c r="H11021" i="6"/>
  <c r="H11022" i="6"/>
  <c r="H11023" i="6"/>
  <c r="H11024" i="6"/>
  <c r="H11025" i="6"/>
  <c r="H11026" i="6"/>
  <c r="H11027" i="6"/>
  <c r="H11028" i="6"/>
  <c r="H11029" i="6"/>
  <c r="H11030" i="6"/>
  <c r="H11031" i="6"/>
  <c r="H11032" i="6"/>
  <c r="H11033" i="6"/>
  <c r="H11034" i="6"/>
  <c r="H11035" i="6"/>
  <c r="H11036" i="6"/>
  <c r="H11037" i="6"/>
  <c r="H11038" i="6"/>
  <c r="H11039" i="6"/>
  <c r="H11040" i="6"/>
  <c r="H11041" i="6"/>
  <c r="H11042" i="6"/>
  <c r="H11043" i="6"/>
  <c r="H11044" i="6"/>
  <c r="H11045" i="6"/>
  <c r="H11046" i="6"/>
  <c r="H11047" i="6"/>
  <c r="H11048" i="6"/>
  <c r="H11049" i="6"/>
  <c r="H11050" i="6"/>
  <c r="H11051" i="6"/>
  <c r="H11052" i="6"/>
  <c r="H11053" i="6"/>
  <c r="H11054" i="6"/>
  <c r="H11055" i="6"/>
  <c r="H11056" i="6"/>
  <c r="H11057" i="6"/>
  <c r="H11058" i="6"/>
  <c r="H11059" i="6"/>
  <c r="H11060" i="6"/>
  <c r="H11061" i="6"/>
  <c r="H11062" i="6"/>
  <c r="H11063" i="6"/>
  <c r="H11064" i="6"/>
  <c r="H11065" i="6"/>
  <c r="H11066" i="6"/>
  <c r="H11067" i="6"/>
  <c r="H11068" i="6"/>
  <c r="H11069" i="6"/>
  <c r="H11070" i="6"/>
  <c r="H11071" i="6"/>
  <c r="H11072" i="6"/>
  <c r="H11073" i="6"/>
  <c r="H11074" i="6"/>
  <c r="H11075" i="6"/>
  <c r="H11076" i="6"/>
  <c r="H11077" i="6"/>
  <c r="H11078" i="6"/>
  <c r="H11079" i="6"/>
  <c r="H11080" i="6"/>
  <c r="H11081" i="6"/>
  <c r="H11082" i="6"/>
  <c r="H11083" i="6"/>
  <c r="H11084" i="6"/>
  <c r="H11085" i="6"/>
  <c r="H11086" i="6"/>
  <c r="H11087" i="6"/>
  <c r="H11088" i="6"/>
  <c r="H11089" i="6"/>
  <c r="H11090" i="6"/>
  <c r="H11091" i="6"/>
  <c r="H11092" i="6"/>
  <c r="H11093" i="6"/>
  <c r="H11094" i="6"/>
  <c r="H11095" i="6"/>
  <c r="H11096" i="6"/>
  <c r="H11097" i="6"/>
  <c r="H11098" i="6"/>
  <c r="H11099" i="6"/>
  <c r="H11100" i="6"/>
  <c r="H11101" i="6"/>
  <c r="H11102" i="6"/>
  <c r="H11103" i="6"/>
  <c r="H11104" i="6"/>
  <c r="H11105" i="6"/>
  <c r="H11106" i="6"/>
  <c r="H11107" i="6"/>
  <c r="H11108" i="6"/>
  <c r="H11109" i="6"/>
  <c r="H11110" i="6"/>
  <c r="H11111" i="6"/>
  <c r="H11112" i="6"/>
  <c r="H11113" i="6"/>
  <c r="H11114" i="6"/>
  <c r="H11115" i="6"/>
  <c r="H11116" i="6"/>
  <c r="H11117" i="6"/>
  <c r="H11118" i="6"/>
  <c r="H11119" i="6"/>
  <c r="H11120" i="6"/>
  <c r="H11121" i="6"/>
  <c r="H11122" i="6"/>
  <c r="H11123" i="6"/>
  <c r="H11124" i="6"/>
  <c r="H11125" i="6"/>
  <c r="H11126" i="6"/>
  <c r="H11127" i="6"/>
  <c r="H11128" i="6"/>
  <c r="H11129" i="6"/>
  <c r="H11130" i="6"/>
  <c r="H11131" i="6"/>
  <c r="H11132" i="6"/>
  <c r="H11133" i="6"/>
  <c r="H11134" i="6"/>
  <c r="H11135" i="6"/>
  <c r="H11136" i="6"/>
  <c r="H11137" i="6"/>
  <c r="H11138" i="6"/>
  <c r="H11139" i="6"/>
  <c r="H11140" i="6"/>
  <c r="H11141" i="6"/>
  <c r="H11142" i="6"/>
  <c r="H11143" i="6"/>
  <c r="H11144" i="6"/>
  <c r="H11145" i="6"/>
  <c r="H11146" i="6"/>
  <c r="H11147" i="6"/>
  <c r="H11148" i="6"/>
  <c r="H11149" i="6"/>
  <c r="H11150" i="6"/>
  <c r="H11151" i="6"/>
  <c r="H11152" i="6"/>
  <c r="H11153" i="6"/>
  <c r="H11154" i="6"/>
  <c r="H11155" i="6"/>
  <c r="H11156" i="6"/>
  <c r="H11157" i="6"/>
  <c r="H11158" i="6"/>
  <c r="H11159" i="6"/>
  <c r="H11160" i="6"/>
  <c r="H11161" i="6"/>
  <c r="H11162" i="6"/>
  <c r="H11163" i="6"/>
  <c r="H11164" i="6"/>
  <c r="H11165" i="6"/>
  <c r="H11166" i="6"/>
  <c r="H11167" i="6"/>
  <c r="H11168" i="6"/>
  <c r="H11169" i="6"/>
  <c r="H11170" i="6"/>
  <c r="H11171" i="6"/>
  <c r="H11172" i="6"/>
  <c r="H11173" i="6"/>
  <c r="H11174" i="6"/>
  <c r="H11175" i="6"/>
  <c r="H11176" i="6"/>
  <c r="H11177" i="6"/>
  <c r="H11178" i="6"/>
  <c r="H11179" i="6"/>
  <c r="H11180" i="6"/>
  <c r="H11181" i="6"/>
  <c r="H11182" i="6"/>
  <c r="H11183" i="6"/>
  <c r="H11184" i="6"/>
  <c r="H11185" i="6"/>
  <c r="H11186" i="6"/>
  <c r="H11187" i="6"/>
  <c r="H11188" i="6"/>
  <c r="H11189" i="6"/>
  <c r="H11190" i="6"/>
  <c r="H11191" i="6"/>
  <c r="H11192" i="6"/>
  <c r="H11193" i="6"/>
  <c r="H11194" i="6"/>
  <c r="H11195" i="6"/>
  <c r="H11196" i="6"/>
  <c r="H11197" i="6"/>
  <c r="H11198" i="6"/>
  <c r="H11199" i="6"/>
  <c r="H11200" i="6"/>
  <c r="H11201" i="6"/>
  <c r="H11202" i="6"/>
  <c r="H11203" i="6"/>
  <c r="H11204" i="6"/>
  <c r="H11205" i="6"/>
  <c r="H11206" i="6"/>
  <c r="H11207" i="6"/>
  <c r="H11208" i="6"/>
  <c r="H11209" i="6"/>
  <c r="H11210" i="6"/>
  <c r="H11211" i="6"/>
  <c r="H11212" i="6"/>
  <c r="H11213" i="6"/>
  <c r="H11214" i="6"/>
  <c r="H11215" i="6"/>
  <c r="H11216" i="6"/>
  <c r="H11217" i="6"/>
  <c r="H11218" i="6"/>
  <c r="H11219" i="6"/>
  <c r="H11220" i="6"/>
  <c r="H11221" i="6"/>
  <c r="H11222" i="6"/>
  <c r="H11223" i="6"/>
  <c r="H11224" i="6"/>
  <c r="H11225" i="6"/>
  <c r="H11226" i="6"/>
  <c r="H11227" i="6"/>
  <c r="H11228" i="6"/>
  <c r="H11229" i="6"/>
  <c r="H11230" i="6"/>
  <c r="H11231" i="6"/>
  <c r="H11232" i="6"/>
  <c r="H11233" i="6"/>
  <c r="H11234" i="6"/>
  <c r="H11235" i="6"/>
  <c r="H11236" i="6"/>
  <c r="H11237" i="6"/>
  <c r="H11238" i="6"/>
  <c r="H11239" i="6"/>
  <c r="H11240" i="6"/>
  <c r="H11241" i="6"/>
  <c r="H11242" i="6"/>
  <c r="H11243" i="6"/>
  <c r="H11244" i="6"/>
  <c r="H11245" i="6"/>
  <c r="H11246" i="6"/>
  <c r="H11247" i="6"/>
  <c r="H11248" i="6"/>
  <c r="H11249" i="6"/>
  <c r="H11250" i="6"/>
  <c r="H11251" i="6"/>
  <c r="H11252" i="6"/>
  <c r="H11253" i="6"/>
  <c r="H11254" i="6"/>
  <c r="H11255" i="6"/>
  <c r="H11256" i="6"/>
  <c r="H11257" i="6"/>
  <c r="H11258" i="6"/>
  <c r="H11259" i="6"/>
  <c r="H11260" i="6"/>
  <c r="H11261" i="6"/>
  <c r="H11262" i="6"/>
  <c r="H11263" i="6"/>
  <c r="H11264" i="6"/>
  <c r="H11265" i="6"/>
  <c r="H11266" i="6"/>
  <c r="H11267" i="6"/>
  <c r="H11268" i="6"/>
  <c r="H11269" i="6"/>
  <c r="H11270" i="6"/>
  <c r="H11271" i="6"/>
  <c r="H11272" i="6"/>
  <c r="H11273" i="6"/>
  <c r="H11274" i="6"/>
  <c r="H11275" i="6"/>
  <c r="H11276" i="6"/>
  <c r="H11277" i="6"/>
  <c r="H11278" i="6"/>
  <c r="H11279" i="6"/>
  <c r="H11280" i="6"/>
  <c r="H11281" i="6"/>
  <c r="H11282" i="6"/>
  <c r="H11283" i="6"/>
  <c r="H11284" i="6"/>
  <c r="H11285" i="6"/>
  <c r="H11286" i="6"/>
  <c r="H11287" i="6"/>
  <c r="H11288" i="6"/>
  <c r="H11289" i="6"/>
  <c r="H11290" i="6"/>
  <c r="H11291" i="6"/>
  <c r="H11292" i="6"/>
  <c r="H11293" i="6"/>
  <c r="H11294" i="6"/>
  <c r="H11295" i="6"/>
  <c r="H11296" i="6"/>
  <c r="H11297" i="6"/>
  <c r="H11298" i="6"/>
  <c r="H11299" i="6"/>
  <c r="H11300" i="6"/>
  <c r="H11301" i="6"/>
  <c r="H11302" i="6"/>
  <c r="H11303" i="6"/>
  <c r="H11304" i="6"/>
  <c r="H11305" i="6"/>
  <c r="H11306" i="6"/>
  <c r="H11307" i="6"/>
  <c r="H11308" i="6"/>
  <c r="H11309" i="6"/>
  <c r="H11310" i="6"/>
  <c r="H11311" i="6"/>
  <c r="H11312" i="6"/>
  <c r="H11313" i="6"/>
  <c r="H11314" i="6"/>
  <c r="H11315" i="6"/>
  <c r="H11316" i="6"/>
  <c r="H11317" i="6"/>
  <c r="H11318" i="6"/>
  <c r="H11319" i="6"/>
  <c r="H11320" i="6"/>
  <c r="H11321" i="6"/>
  <c r="H11322" i="6"/>
  <c r="H11323" i="6"/>
  <c r="H11324" i="6"/>
  <c r="H11325" i="6"/>
  <c r="H11326" i="6"/>
  <c r="H11327" i="6"/>
  <c r="H11328" i="6"/>
  <c r="H11329" i="6"/>
  <c r="H11330" i="6"/>
  <c r="H11331" i="6"/>
  <c r="H11332" i="6"/>
  <c r="H11333" i="6"/>
  <c r="H11334" i="6"/>
  <c r="H11335" i="6"/>
  <c r="H11336" i="6"/>
  <c r="H11337" i="6"/>
  <c r="H11338" i="6"/>
  <c r="H11339" i="6"/>
  <c r="H11340" i="6"/>
  <c r="H11341" i="6"/>
  <c r="H11342" i="6"/>
  <c r="H11343" i="6"/>
  <c r="H11344" i="6"/>
  <c r="H11345" i="6"/>
  <c r="H11346" i="6"/>
  <c r="H11347" i="6"/>
  <c r="H11348" i="6"/>
  <c r="H11349" i="6"/>
  <c r="H11350" i="6"/>
  <c r="H11351" i="6"/>
  <c r="H11352" i="6"/>
  <c r="H11353" i="6"/>
  <c r="H11354" i="6"/>
  <c r="H11355" i="6"/>
  <c r="H11356" i="6"/>
  <c r="H11357" i="6"/>
  <c r="H11358" i="6"/>
  <c r="H11359" i="6"/>
  <c r="H11360" i="6"/>
  <c r="H11361" i="6"/>
  <c r="H11362" i="6"/>
  <c r="H11363" i="6"/>
  <c r="H11364" i="6"/>
  <c r="H11365" i="6"/>
  <c r="H11366" i="6"/>
  <c r="H11367" i="6"/>
  <c r="H11368" i="6"/>
  <c r="H11369" i="6"/>
  <c r="H11370" i="6"/>
  <c r="H11371" i="6"/>
  <c r="H11372" i="6"/>
  <c r="H11373" i="6"/>
  <c r="H11374" i="6"/>
  <c r="H11375" i="6"/>
  <c r="H11376" i="6"/>
  <c r="H11377" i="6"/>
  <c r="H11378" i="6"/>
  <c r="H11379" i="6"/>
  <c r="H11380" i="6"/>
  <c r="H11381" i="6"/>
  <c r="H11382" i="6"/>
  <c r="H11383" i="6"/>
  <c r="H11384" i="6"/>
  <c r="H11385" i="6"/>
  <c r="H11386" i="6"/>
  <c r="H11387" i="6"/>
  <c r="H11388" i="6"/>
  <c r="H11389" i="6"/>
  <c r="H11390" i="6"/>
  <c r="H11391" i="6"/>
  <c r="H11392" i="6"/>
  <c r="H11393" i="6"/>
  <c r="H11394" i="6"/>
  <c r="H11395" i="6"/>
  <c r="H11396" i="6"/>
  <c r="H11397" i="6"/>
  <c r="H11398" i="6"/>
  <c r="H11399" i="6"/>
  <c r="H11400" i="6"/>
  <c r="H11401" i="6"/>
  <c r="H11402" i="6"/>
  <c r="H11403" i="6"/>
  <c r="H11404" i="6"/>
  <c r="H11405" i="6"/>
  <c r="H11406" i="6"/>
  <c r="H11407" i="6"/>
  <c r="H11408" i="6"/>
  <c r="H11409" i="6"/>
  <c r="H11410" i="6"/>
  <c r="H11411" i="6"/>
  <c r="H11412" i="6"/>
  <c r="H11413" i="6"/>
  <c r="H11414" i="6"/>
  <c r="H11415" i="6"/>
  <c r="H11416" i="6"/>
  <c r="H11417" i="6"/>
  <c r="H11418" i="6"/>
  <c r="H11419" i="6"/>
  <c r="H11420" i="6"/>
  <c r="H11421" i="6"/>
  <c r="H11422" i="6"/>
  <c r="H11423" i="6"/>
  <c r="H11424" i="6"/>
  <c r="H11425" i="6"/>
  <c r="H11426" i="6"/>
  <c r="H11427" i="6"/>
  <c r="H11428" i="6"/>
  <c r="H11429" i="6"/>
  <c r="H11430" i="6"/>
  <c r="H11431" i="6"/>
  <c r="H11432" i="6"/>
  <c r="H11433" i="6"/>
  <c r="H11434" i="6"/>
  <c r="H11435" i="6"/>
  <c r="H11436" i="6"/>
  <c r="H11437" i="6"/>
  <c r="H11438" i="6"/>
  <c r="H11439" i="6"/>
  <c r="H11440" i="6"/>
  <c r="H11441" i="6"/>
  <c r="H11442" i="6"/>
  <c r="H11443" i="6"/>
  <c r="H11444" i="6"/>
  <c r="H11445" i="6"/>
  <c r="H11446" i="6"/>
  <c r="H11447" i="6"/>
  <c r="H11448" i="6"/>
  <c r="H11449" i="6"/>
  <c r="H11450" i="6"/>
  <c r="H11451" i="6"/>
  <c r="H11452" i="6"/>
  <c r="H11453" i="6"/>
  <c r="H11454" i="6"/>
  <c r="H11455" i="6"/>
  <c r="H11456" i="6"/>
  <c r="H11457" i="6"/>
  <c r="H11458" i="6"/>
  <c r="H11459" i="6"/>
  <c r="H11460" i="6"/>
  <c r="H11461" i="6"/>
  <c r="H11462" i="6"/>
  <c r="H11463" i="6"/>
  <c r="H11464" i="6"/>
  <c r="H11465" i="6"/>
  <c r="H11466" i="6"/>
  <c r="H11467" i="6"/>
  <c r="H11468" i="6"/>
  <c r="H11469" i="6"/>
  <c r="H11470" i="6"/>
  <c r="H11471" i="6"/>
  <c r="H11472" i="6"/>
  <c r="H11473" i="6"/>
  <c r="H11474" i="6"/>
  <c r="H11475" i="6"/>
  <c r="H11476" i="6"/>
  <c r="H11477" i="6"/>
  <c r="H11478" i="6"/>
  <c r="H11479" i="6"/>
  <c r="H11480" i="6"/>
  <c r="H11481" i="6"/>
  <c r="H11482" i="6"/>
  <c r="H11483" i="6"/>
  <c r="H11484" i="6"/>
  <c r="H11485" i="6"/>
  <c r="H11486" i="6"/>
  <c r="H11487" i="6"/>
  <c r="H11488" i="6"/>
  <c r="H11489" i="6"/>
  <c r="H11490" i="6"/>
  <c r="H11491" i="6"/>
  <c r="H11492" i="6"/>
  <c r="H11493" i="6"/>
  <c r="H11494" i="6"/>
  <c r="H11495" i="6"/>
  <c r="H11496" i="6"/>
  <c r="H11497" i="6"/>
  <c r="H11498" i="6"/>
  <c r="H11499" i="6"/>
  <c r="H11500" i="6"/>
  <c r="H11501" i="6"/>
  <c r="H11502" i="6"/>
  <c r="H11503" i="6"/>
  <c r="H11504" i="6"/>
  <c r="H11505" i="6"/>
  <c r="H11506" i="6"/>
  <c r="H11507" i="6"/>
  <c r="H11508" i="6"/>
  <c r="H11509" i="6"/>
  <c r="H11510" i="6"/>
  <c r="H11511" i="6"/>
  <c r="H11512" i="6"/>
  <c r="H11513" i="6"/>
  <c r="H11514" i="6"/>
  <c r="H11515" i="6"/>
  <c r="H11516" i="6"/>
  <c r="H11517" i="6"/>
  <c r="H11518" i="6"/>
  <c r="H11519" i="6"/>
  <c r="H11520" i="6"/>
  <c r="H11521" i="6"/>
  <c r="H11522" i="6"/>
  <c r="H11523" i="6"/>
  <c r="H11524" i="6"/>
  <c r="H11525" i="6"/>
  <c r="H11526" i="6"/>
  <c r="H11527" i="6"/>
  <c r="H11528" i="6"/>
  <c r="H11529" i="6"/>
  <c r="H11530" i="6"/>
  <c r="H11531" i="6"/>
  <c r="H11532" i="6"/>
  <c r="H11533" i="6"/>
  <c r="H11534" i="6"/>
  <c r="H11535" i="6"/>
  <c r="H11536" i="6"/>
  <c r="H11537" i="6"/>
  <c r="H11538" i="6"/>
  <c r="H11539" i="6"/>
  <c r="H11540" i="6"/>
  <c r="H11541" i="6"/>
  <c r="H11542" i="6"/>
  <c r="H11543" i="6"/>
  <c r="H11544" i="6"/>
  <c r="H11545" i="6"/>
  <c r="H11546" i="6"/>
  <c r="H11547" i="6"/>
  <c r="H11548" i="6"/>
  <c r="H11549" i="6"/>
  <c r="H11550" i="6"/>
  <c r="H11551" i="6"/>
  <c r="H11552" i="6"/>
  <c r="H11553" i="6"/>
  <c r="H11554" i="6"/>
  <c r="H11555" i="6"/>
  <c r="H11556" i="6"/>
  <c r="H11557" i="6"/>
  <c r="H11558" i="6"/>
  <c r="H11559" i="6"/>
  <c r="H11560" i="6"/>
  <c r="H11561" i="6"/>
  <c r="H11562" i="6"/>
  <c r="H11563" i="6"/>
  <c r="H11564" i="6"/>
  <c r="H11565" i="6"/>
  <c r="H11566" i="6"/>
  <c r="H11567" i="6"/>
  <c r="H11568" i="6"/>
  <c r="H11569" i="6"/>
  <c r="H11570" i="6"/>
  <c r="H11571" i="6"/>
  <c r="H11572" i="6"/>
  <c r="H11573" i="6"/>
  <c r="H11574" i="6"/>
  <c r="H11575" i="6"/>
  <c r="H11576" i="6"/>
  <c r="H11577" i="6"/>
  <c r="H11578" i="6"/>
  <c r="H11579" i="6"/>
  <c r="H11580" i="6"/>
  <c r="H11581" i="6"/>
  <c r="H11582" i="6"/>
  <c r="H11583" i="6"/>
  <c r="H11584" i="6"/>
  <c r="H11585" i="6"/>
  <c r="H11586" i="6"/>
  <c r="H11587" i="6"/>
  <c r="H11588" i="6"/>
  <c r="H11589" i="6"/>
  <c r="H11590" i="6"/>
  <c r="H11591" i="6"/>
  <c r="H11592" i="6"/>
  <c r="H11593" i="6"/>
  <c r="H11594" i="6"/>
  <c r="H11595" i="6"/>
  <c r="H11596" i="6"/>
  <c r="H11597" i="6"/>
  <c r="H11598" i="6"/>
  <c r="H11599" i="6"/>
  <c r="H11600" i="6"/>
  <c r="H11601" i="6"/>
  <c r="H11602" i="6"/>
  <c r="H11603" i="6"/>
  <c r="H11604" i="6"/>
  <c r="H11605" i="6"/>
  <c r="H11606" i="6"/>
  <c r="H11607" i="6"/>
  <c r="H11608" i="6"/>
  <c r="H11609" i="6"/>
  <c r="H11610" i="6"/>
  <c r="H11611" i="6"/>
  <c r="H11612" i="6"/>
  <c r="H11613" i="6"/>
  <c r="H11614" i="6"/>
  <c r="H11615" i="6"/>
  <c r="H11616" i="6"/>
  <c r="H11617" i="6"/>
  <c r="H11618" i="6"/>
  <c r="H11619" i="6"/>
  <c r="H11620" i="6"/>
  <c r="H11621" i="6"/>
  <c r="H11622" i="6"/>
  <c r="H11623" i="6"/>
  <c r="H11624" i="6"/>
  <c r="H11625" i="6"/>
  <c r="H11626" i="6"/>
  <c r="H11627" i="6"/>
  <c r="H11628" i="6"/>
  <c r="H11629" i="6"/>
  <c r="H11630" i="6"/>
  <c r="H11631" i="6"/>
  <c r="H11632" i="6"/>
  <c r="H11633" i="6"/>
  <c r="H11634" i="6"/>
  <c r="H11635" i="6"/>
  <c r="H11636" i="6"/>
  <c r="H11637" i="6"/>
  <c r="H11638" i="6"/>
  <c r="H11639" i="6"/>
  <c r="H11640" i="6"/>
  <c r="H11641" i="6"/>
  <c r="H11642" i="6"/>
  <c r="H11643" i="6"/>
  <c r="H11644" i="6"/>
  <c r="H11645" i="6"/>
  <c r="H11646" i="6"/>
  <c r="H11647" i="6"/>
  <c r="H11648" i="6"/>
  <c r="H11649" i="6"/>
  <c r="H11650" i="6"/>
  <c r="H11651" i="6"/>
  <c r="H11652" i="6"/>
  <c r="H11653" i="6"/>
  <c r="H11654" i="6"/>
  <c r="H11655" i="6"/>
  <c r="H11656" i="6"/>
  <c r="H11657" i="6"/>
  <c r="H11658" i="6"/>
  <c r="H11659" i="6"/>
  <c r="H11660" i="6"/>
  <c r="H11661" i="6"/>
  <c r="H11662" i="6"/>
  <c r="H11663" i="6"/>
  <c r="H11664" i="6"/>
  <c r="H11665" i="6"/>
  <c r="H11666" i="6"/>
  <c r="H11667" i="6"/>
  <c r="H11668" i="6"/>
  <c r="H11669" i="6"/>
  <c r="H11670" i="6"/>
  <c r="H11671" i="6"/>
  <c r="H11672" i="6"/>
  <c r="H11673" i="6"/>
  <c r="H11674" i="6"/>
  <c r="H11675" i="6"/>
  <c r="H11676" i="6"/>
  <c r="H11677" i="6"/>
  <c r="H11678" i="6"/>
  <c r="H11679" i="6"/>
  <c r="H11680" i="6"/>
  <c r="H11681" i="6"/>
  <c r="H11682" i="6"/>
  <c r="H11683" i="6"/>
  <c r="H11684" i="6"/>
  <c r="H11685" i="6"/>
  <c r="H11686" i="6"/>
  <c r="H11687" i="6"/>
  <c r="H11688" i="6"/>
  <c r="H11689" i="6"/>
  <c r="H11690" i="6"/>
  <c r="H11691" i="6"/>
  <c r="H11692" i="6"/>
  <c r="H11693" i="6"/>
  <c r="H11694" i="6"/>
  <c r="H11695" i="6"/>
  <c r="H11696" i="6"/>
  <c r="H11697" i="6"/>
  <c r="H11698" i="6"/>
  <c r="H11699" i="6"/>
  <c r="H11700" i="6"/>
  <c r="H11701" i="6"/>
  <c r="H11702" i="6"/>
  <c r="H11703" i="6"/>
  <c r="H11704" i="6"/>
  <c r="H11705" i="6"/>
  <c r="H11706" i="6"/>
  <c r="H11707" i="6"/>
  <c r="H11708" i="6"/>
  <c r="H11709" i="6"/>
  <c r="H11710" i="6"/>
  <c r="H11711" i="6"/>
  <c r="H11712" i="6"/>
  <c r="H11713" i="6"/>
  <c r="H11714" i="6"/>
  <c r="H11715" i="6"/>
  <c r="H11716" i="6"/>
  <c r="H11717" i="6"/>
  <c r="H11718" i="6"/>
  <c r="H11719" i="6"/>
  <c r="H11720" i="6"/>
  <c r="H11721" i="6"/>
  <c r="H11722" i="6"/>
  <c r="H11723" i="6"/>
  <c r="H11724" i="6"/>
  <c r="H11725" i="6"/>
  <c r="H11726" i="6"/>
  <c r="H11727" i="6"/>
  <c r="H11728" i="6"/>
  <c r="H11729" i="6"/>
  <c r="H11730" i="6"/>
  <c r="H11731" i="6"/>
  <c r="H11732" i="6"/>
  <c r="H11733" i="6"/>
  <c r="H11734" i="6"/>
  <c r="H11735" i="6"/>
  <c r="H11736" i="6"/>
  <c r="H11737" i="6"/>
  <c r="H11738" i="6"/>
  <c r="H11739" i="6"/>
  <c r="H11740" i="6"/>
  <c r="H11741" i="6"/>
  <c r="H11742" i="6"/>
  <c r="H11743" i="6"/>
  <c r="H11744" i="6"/>
  <c r="H11745" i="6"/>
  <c r="H11746" i="6"/>
  <c r="H11747" i="6"/>
  <c r="H11748" i="6"/>
  <c r="H11749" i="6"/>
  <c r="H11750" i="6"/>
  <c r="H11751" i="6"/>
  <c r="H11752" i="6"/>
  <c r="H11753" i="6"/>
  <c r="H11754" i="6"/>
  <c r="H11755" i="6"/>
  <c r="H11756" i="6"/>
  <c r="H11757" i="6"/>
  <c r="H11758" i="6"/>
  <c r="H11759" i="6"/>
  <c r="H11760" i="6"/>
  <c r="H11761" i="6"/>
  <c r="H11762" i="6"/>
  <c r="H11763" i="6"/>
  <c r="H11764" i="6"/>
  <c r="H11765" i="6"/>
  <c r="H11766" i="6"/>
  <c r="H11767" i="6"/>
  <c r="H11768" i="6"/>
  <c r="H11769" i="6"/>
  <c r="H11770" i="6"/>
  <c r="H11771" i="6"/>
  <c r="H11772" i="6"/>
  <c r="H11773" i="6"/>
  <c r="H11774" i="6"/>
  <c r="H11775" i="6"/>
  <c r="H11776" i="6"/>
  <c r="H11777" i="6"/>
  <c r="H11778" i="6"/>
  <c r="H11779" i="6"/>
  <c r="H11780" i="6"/>
  <c r="H11781" i="6"/>
  <c r="H11782" i="6"/>
  <c r="H11783" i="6"/>
  <c r="H11784" i="6"/>
  <c r="H11785" i="6"/>
  <c r="H11786" i="6"/>
  <c r="H11787" i="6"/>
  <c r="H11788" i="6"/>
  <c r="H11789" i="6"/>
  <c r="H11790" i="6"/>
  <c r="H11791" i="6"/>
  <c r="H11792" i="6"/>
  <c r="H11793" i="6"/>
  <c r="H11794" i="6"/>
  <c r="H11795" i="6"/>
  <c r="H11796" i="6"/>
  <c r="H11797" i="6"/>
  <c r="H11798" i="6"/>
  <c r="H11799" i="6"/>
  <c r="H11800" i="6"/>
  <c r="H11801" i="6"/>
  <c r="H11802" i="6"/>
  <c r="H11803" i="6"/>
  <c r="H11804" i="6"/>
  <c r="H11805" i="6"/>
  <c r="H11806" i="6"/>
  <c r="H11807" i="6"/>
  <c r="H11808" i="6"/>
  <c r="H11809" i="6"/>
  <c r="H11810" i="6"/>
  <c r="H11811" i="6"/>
  <c r="H11812" i="6"/>
  <c r="H11813" i="6"/>
  <c r="H11814" i="6"/>
  <c r="H11815" i="6"/>
  <c r="H11816" i="6"/>
  <c r="H11817" i="6"/>
  <c r="H11818" i="6"/>
  <c r="H11819" i="6"/>
  <c r="H11820" i="6"/>
  <c r="H11821" i="6"/>
  <c r="H11822" i="6"/>
  <c r="H11823" i="6"/>
  <c r="H11824" i="6"/>
  <c r="H11825" i="6"/>
  <c r="H11826" i="6"/>
  <c r="H11827" i="6"/>
  <c r="H11828" i="6"/>
  <c r="H11829" i="6"/>
  <c r="H11830" i="6"/>
  <c r="H11831" i="6"/>
  <c r="H11832" i="6"/>
  <c r="H11833" i="6"/>
  <c r="H11834" i="6"/>
  <c r="H11835" i="6"/>
  <c r="H11836" i="6"/>
  <c r="H11837" i="6"/>
  <c r="H11838" i="6"/>
  <c r="H11839" i="6"/>
  <c r="H11840" i="6"/>
  <c r="H11841" i="6"/>
  <c r="H11842" i="6"/>
  <c r="H11843" i="6"/>
  <c r="H11844" i="6"/>
  <c r="H11845" i="6"/>
  <c r="H11846" i="6"/>
  <c r="H11847" i="6"/>
  <c r="H11848" i="6"/>
  <c r="H11849" i="6"/>
  <c r="H11850" i="6"/>
  <c r="H11851" i="6"/>
  <c r="H11852" i="6"/>
  <c r="H11853" i="6"/>
  <c r="H11854" i="6"/>
  <c r="H11855" i="6"/>
  <c r="H11856" i="6"/>
  <c r="H11857" i="6"/>
  <c r="H11858" i="6"/>
  <c r="H11859" i="6"/>
  <c r="H11860" i="6"/>
  <c r="H11861" i="6"/>
  <c r="H11862" i="6"/>
  <c r="H11863" i="6"/>
  <c r="H11864" i="6"/>
  <c r="H11865" i="6"/>
  <c r="H11866" i="6"/>
  <c r="H11867" i="6"/>
  <c r="H11868" i="6"/>
  <c r="H11869" i="6"/>
  <c r="H11870" i="6"/>
  <c r="H11871" i="6"/>
  <c r="H11872" i="6"/>
  <c r="H11873" i="6"/>
  <c r="H11874" i="6"/>
  <c r="H11875" i="6"/>
  <c r="H11876" i="6"/>
  <c r="H11877" i="6"/>
  <c r="H11878" i="6"/>
  <c r="H11879" i="6"/>
  <c r="H11880" i="6"/>
  <c r="H11881" i="6"/>
  <c r="H11882" i="6"/>
  <c r="H11883" i="6"/>
  <c r="H11884" i="6"/>
  <c r="H11885" i="6"/>
  <c r="H11886" i="6"/>
  <c r="H11887" i="6"/>
  <c r="H11888" i="6"/>
  <c r="H11889" i="6"/>
  <c r="H11890" i="6"/>
  <c r="H11891" i="6"/>
  <c r="H11892" i="6"/>
  <c r="H11893" i="6"/>
  <c r="H11894" i="6"/>
  <c r="H11895" i="6"/>
  <c r="H11896" i="6"/>
  <c r="H11897" i="6"/>
  <c r="H11898" i="6"/>
  <c r="H11899" i="6"/>
  <c r="H11900" i="6"/>
  <c r="H11901" i="6"/>
  <c r="H11902" i="6"/>
  <c r="H11903" i="6"/>
  <c r="H11904" i="6"/>
  <c r="H11905" i="6"/>
  <c r="H11906" i="6"/>
  <c r="H11907" i="6"/>
  <c r="H11908" i="6"/>
  <c r="H11909" i="6"/>
  <c r="H11910" i="6"/>
  <c r="H11911" i="6"/>
  <c r="H11912" i="6"/>
  <c r="H11913" i="6"/>
  <c r="H11914" i="6"/>
  <c r="H11915" i="6"/>
  <c r="H11916" i="6"/>
  <c r="H11917" i="6"/>
  <c r="H11918" i="6"/>
  <c r="H11919" i="6"/>
  <c r="H11920" i="6"/>
  <c r="H11921" i="6"/>
  <c r="H11922" i="6"/>
  <c r="H11923" i="6"/>
  <c r="H11924" i="6"/>
  <c r="H11925" i="6"/>
  <c r="H11926" i="6"/>
  <c r="H11927" i="6"/>
  <c r="H11928" i="6"/>
  <c r="H11929" i="6"/>
  <c r="H11930" i="6"/>
  <c r="H11931" i="6"/>
  <c r="H11932" i="6"/>
  <c r="H11933" i="6"/>
  <c r="H11934" i="6"/>
  <c r="H11935" i="6"/>
  <c r="H11936" i="6"/>
  <c r="H11937" i="6"/>
  <c r="H11938" i="6"/>
  <c r="H11939" i="6"/>
  <c r="H11940" i="6"/>
  <c r="H11941" i="6"/>
  <c r="H11942" i="6"/>
  <c r="H11943" i="6"/>
  <c r="H11944" i="6"/>
  <c r="H11945" i="6"/>
  <c r="H11946" i="6"/>
  <c r="H11947" i="6"/>
  <c r="H11948" i="6"/>
  <c r="H11949" i="6"/>
  <c r="H11950" i="6"/>
  <c r="H11951" i="6"/>
  <c r="H11952" i="6"/>
  <c r="H11953" i="6"/>
  <c r="H11954" i="6"/>
  <c r="H11955" i="6"/>
  <c r="H11956" i="6"/>
  <c r="H11957" i="6"/>
  <c r="H11958" i="6"/>
  <c r="H11959" i="6"/>
  <c r="H11960" i="6"/>
  <c r="H11961" i="6"/>
  <c r="H11962" i="6"/>
  <c r="H11963" i="6"/>
  <c r="H11964" i="6"/>
  <c r="H11965" i="6"/>
  <c r="H11966" i="6"/>
  <c r="H11967" i="6"/>
  <c r="H11968" i="6"/>
  <c r="H11969" i="6"/>
  <c r="H11970" i="6"/>
  <c r="H11971" i="6"/>
  <c r="H11972" i="6"/>
  <c r="H11973" i="6"/>
  <c r="H11974" i="6"/>
  <c r="H11975" i="6"/>
  <c r="H11976" i="6"/>
  <c r="H11977" i="6"/>
  <c r="H11978" i="6"/>
  <c r="H11979" i="6"/>
  <c r="H11980" i="6"/>
  <c r="H11981" i="6"/>
  <c r="H11982" i="6"/>
  <c r="H11983" i="6"/>
  <c r="H11984" i="6"/>
  <c r="H11985" i="6"/>
  <c r="H11986" i="6"/>
  <c r="H11987" i="6"/>
  <c r="H11988" i="6"/>
  <c r="H11989" i="6"/>
  <c r="H11990" i="6"/>
  <c r="H11991" i="6"/>
  <c r="H11992" i="6"/>
  <c r="H11993" i="6"/>
  <c r="H11994" i="6"/>
  <c r="H11995" i="6"/>
  <c r="H11996" i="6"/>
  <c r="H11997" i="6"/>
  <c r="H11998" i="6"/>
  <c r="H11999" i="6"/>
  <c r="H12000" i="6"/>
  <c r="H12001" i="6"/>
  <c r="H12002" i="6"/>
  <c r="H12003" i="6"/>
  <c r="H12004" i="6"/>
  <c r="H12005" i="6"/>
  <c r="H12006" i="6"/>
  <c r="H12007" i="6"/>
  <c r="H12008" i="6"/>
  <c r="H12009" i="6"/>
  <c r="H12010" i="6"/>
  <c r="H12011" i="6"/>
  <c r="H12012" i="6"/>
  <c r="H12013" i="6"/>
  <c r="H12014" i="6"/>
  <c r="H12015" i="6"/>
  <c r="H12016" i="6"/>
  <c r="H12017" i="6"/>
  <c r="H12018" i="6"/>
  <c r="H12019" i="6"/>
  <c r="H12020" i="6"/>
  <c r="H12021" i="6"/>
  <c r="H12022" i="6"/>
  <c r="H12023" i="6"/>
  <c r="H12024" i="6"/>
  <c r="H12025" i="6"/>
  <c r="H12026" i="6"/>
  <c r="H12027" i="6"/>
  <c r="H12028" i="6"/>
  <c r="H12029" i="6"/>
  <c r="H12030" i="6"/>
  <c r="H12031" i="6"/>
  <c r="H12032" i="6"/>
  <c r="H12033" i="6"/>
  <c r="H12034" i="6"/>
  <c r="H12035" i="6"/>
  <c r="H12036" i="6"/>
  <c r="H12037" i="6"/>
  <c r="H12038" i="6"/>
  <c r="H12039" i="6"/>
  <c r="H12040" i="6"/>
  <c r="H12041" i="6"/>
  <c r="H12042" i="6"/>
  <c r="H12043" i="6"/>
  <c r="H12044" i="6"/>
  <c r="H12045" i="6"/>
  <c r="H12046" i="6"/>
  <c r="H12047" i="6"/>
  <c r="H12048" i="6"/>
  <c r="H12049" i="6"/>
  <c r="H12050" i="6"/>
  <c r="H12051" i="6"/>
  <c r="H12052" i="6"/>
  <c r="H12053" i="6"/>
  <c r="H12054" i="6"/>
  <c r="H12055" i="6"/>
  <c r="H12056" i="6"/>
  <c r="H12057" i="6"/>
  <c r="H12058" i="6"/>
  <c r="H12059" i="6"/>
  <c r="H12060" i="6"/>
  <c r="H12061" i="6"/>
  <c r="H12062" i="6"/>
  <c r="H12063" i="6"/>
  <c r="H12064" i="6"/>
  <c r="H12065" i="6"/>
  <c r="H12066" i="6"/>
  <c r="H12067" i="6"/>
  <c r="H12068" i="6"/>
  <c r="H12069" i="6"/>
  <c r="H12070" i="6"/>
  <c r="H12071" i="6"/>
  <c r="H12072" i="6"/>
  <c r="H12073" i="6"/>
  <c r="H12074" i="6"/>
  <c r="H12075" i="6"/>
  <c r="H12076" i="6"/>
  <c r="H12077" i="6"/>
  <c r="H12078" i="6"/>
  <c r="H12079" i="6"/>
  <c r="H12080" i="6"/>
  <c r="H12081" i="6"/>
  <c r="H12082" i="6"/>
  <c r="H12083" i="6"/>
  <c r="H12084" i="6"/>
  <c r="H12085" i="6"/>
  <c r="H12086" i="6"/>
  <c r="H12087" i="6"/>
  <c r="H12088" i="6"/>
  <c r="H12089" i="6"/>
  <c r="H12090" i="6"/>
  <c r="H12091" i="6"/>
  <c r="H12092" i="6"/>
  <c r="H12093" i="6"/>
  <c r="H12094" i="6"/>
  <c r="H12095" i="6"/>
  <c r="H12096" i="6"/>
  <c r="H12097" i="6"/>
  <c r="H12098" i="6"/>
  <c r="H12099" i="6"/>
  <c r="H12100" i="6"/>
  <c r="H12101" i="6"/>
  <c r="H12102" i="6"/>
  <c r="H12103" i="6"/>
  <c r="H12104" i="6"/>
  <c r="H12105" i="6"/>
  <c r="H12106" i="6"/>
  <c r="H12107" i="6"/>
  <c r="H12108" i="6"/>
  <c r="H12109" i="6"/>
  <c r="H12110" i="6"/>
  <c r="H12111" i="6"/>
  <c r="H12112" i="6"/>
  <c r="H12113" i="6"/>
  <c r="H12114" i="6"/>
  <c r="H12115" i="6"/>
  <c r="H12116" i="6"/>
  <c r="H12117" i="6"/>
  <c r="H12118" i="6"/>
  <c r="H12119" i="6"/>
  <c r="H12120" i="6"/>
  <c r="H12121" i="6"/>
  <c r="H12122" i="6"/>
  <c r="H12123" i="6"/>
  <c r="H12124" i="6"/>
  <c r="H12125" i="6"/>
  <c r="H12126" i="6"/>
  <c r="H12127" i="6"/>
  <c r="H12128" i="6"/>
  <c r="H12129" i="6"/>
  <c r="H12130" i="6"/>
  <c r="H12131" i="6"/>
  <c r="H12132" i="6"/>
  <c r="H12133" i="6"/>
  <c r="H12134" i="6"/>
  <c r="H12135" i="6"/>
  <c r="H12136" i="6"/>
  <c r="H12137" i="6"/>
  <c r="H12138" i="6"/>
  <c r="H12139" i="6"/>
  <c r="H12140" i="6"/>
  <c r="H12141" i="6"/>
  <c r="H12142" i="6"/>
  <c r="H12143" i="6"/>
  <c r="H12144" i="6"/>
  <c r="H12145" i="6"/>
  <c r="H12146" i="6"/>
  <c r="H12147" i="6"/>
  <c r="H12148" i="6"/>
  <c r="H12149" i="6"/>
  <c r="H12150" i="6"/>
  <c r="H12151" i="6"/>
  <c r="H12152" i="6"/>
  <c r="H12153" i="6"/>
  <c r="H12154" i="6"/>
  <c r="H12155" i="6"/>
  <c r="H12156" i="6"/>
  <c r="H12157" i="6"/>
  <c r="H12158" i="6"/>
  <c r="H12159" i="6"/>
  <c r="H12160" i="6"/>
  <c r="H12161" i="6"/>
  <c r="H12162" i="6"/>
  <c r="H12163" i="6"/>
  <c r="H12164" i="6"/>
  <c r="H12165" i="6"/>
  <c r="H12166" i="6"/>
  <c r="H12167" i="6"/>
  <c r="H12168" i="6"/>
  <c r="H12169" i="6"/>
  <c r="H12170" i="6"/>
  <c r="H12171" i="6"/>
  <c r="H12172" i="6"/>
  <c r="H12173" i="6"/>
  <c r="H12174" i="6"/>
  <c r="H12175" i="6"/>
  <c r="H12176" i="6"/>
  <c r="H12177" i="6"/>
  <c r="H12178" i="6"/>
  <c r="H12179" i="6"/>
  <c r="H12180" i="6"/>
  <c r="H12181" i="6"/>
  <c r="H12182" i="6"/>
  <c r="H12183" i="6"/>
  <c r="H12184" i="6"/>
  <c r="H12185" i="6"/>
  <c r="H12186" i="6"/>
  <c r="H12187" i="6"/>
  <c r="H12188" i="6"/>
  <c r="H12189" i="6"/>
  <c r="H12190" i="6"/>
  <c r="H12191" i="6"/>
  <c r="H12192" i="6"/>
  <c r="H12193" i="6"/>
  <c r="H12194" i="6"/>
  <c r="H12195" i="6"/>
  <c r="H12196" i="6"/>
  <c r="H12197" i="6"/>
  <c r="H12198" i="6"/>
  <c r="H12199" i="6"/>
  <c r="H12200" i="6"/>
  <c r="H12201" i="6"/>
  <c r="H12202" i="6"/>
  <c r="H12203" i="6"/>
  <c r="H12204" i="6"/>
  <c r="H12205" i="6"/>
  <c r="H12206" i="6"/>
  <c r="H12207" i="6"/>
  <c r="H12208" i="6"/>
  <c r="H12209" i="6"/>
  <c r="H12210" i="6"/>
  <c r="H12211" i="6"/>
  <c r="H12212" i="6"/>
  <c r="H12213" i="6"/>
  <c r="H12214" i="6"/>
  <c r="H12215" i="6"/>
  <c r="H12216" i="6"/>
  <c r="H12217" i="6"/>
  <c r="H12218" i="6"/>
  <c r="H12219" i="6"/>
  <c r="H12220" i="6"/>
  <c r="H12221" i="6"/>
  <c r="H12222" i="6"/>
  <c r="H12223" i="6"/>
  <c r="H12224" i="6"/>
  <c r="H12225" i="6"/>
  <c r="H12226" i="6"/>
  <c r="H12227" i="6"/>
  <c r="H12228" i="6"/>
  <c r="H12229" i="6"/>
  <c r="H12230" i="6"/>
  <c r="H12231" i="6"/>
  <c r="H12232" i="6"/>
  <c r="H12233" i="6"/>
  <c r="H12234" i="6"/>
  <c r="H12235" i="6"/>
  <c r="H12236" i="6"/>
  <c r="H12237" i="6"/>
  <c r="H12238" i="6"/>
  <c r="H12239" i="6"/>
  <c r="H12240" i="6"/>
  <c r="H12241" i="6"/>
  <c r="H12242" i="6"/>
  <c r="H12243" i="6"/>
  <c r="H12244" i="6"/>
  <c r="H12245" i="6"/>
  <c r="H12246" i="6"/>
  <c r="H12247" i="6"/>
  <c r="H12248" i="6"/>
  <c r="H12249" i="6"/>
  <c r="H12250" i="6"/>
  <c r="H12251" i="6"/>
  <c r="H12252" i="6"/>
  <c r="H12253" i="6"/>
  <c r="H12254" i="6"/>
  <c r="H12255" i="6"/>
  <c r="H12256" i="6"/>
  <c r="H12257" i="6"/>
  <c r="H12258" i="6"/>
  <c r="H12259" i="6"/>
  <c r="H12260" i="6"/>
  <c r="H12261" i="6"/>
  <c r="H12262" i="6"/>
  <c r="H12263" i="6"/>
  <c r="H12264" i="6"/>
  <c r="H12265" i="6"/>
  <c r="H12266" i="6"/>
  <c r="H12267" i="6"/>
  <c r="H12268" i="6"/>
  <c r="H12269" i="6"/>
  <c r="H12270" i="6"/>
  <c r="H12271" i="6"/>
  <c r="H12272" i="6"/>
  <c r="H12273" i="6"/>
  <c r="H12274" i="6"/>
  <c r="H12275" i="6"/>
  <c r="H12276" i="6"/>
  <c r="H12277" i="6"/>
  <c r="H12278" i="6"/>
  <c r="H12279" i="6"/>
  <c r="H12280" i="6"/>
  <c r="H12281" i="6"/>
  <c r="H12282" i="6"/>
  <c r="H12283" i="6"/>
  <c r="H12284" i="6"/>
  <c r="H12285" i="6"/>
  <c r="H12286" i="6"/>
  <c r="H12287" i="6"/>
  <c r="H12288" i="6"/>
  <c r="H12289" i="6"/>
  <c r="H12290" i="6"/>
  <c r="H12291" i="6"/>
  <c r="H12292" i="6"/>
  <c r="H12293" i="6"/>
  <c r="H12294" i="6"/>
  <c r="H12295" i="6"/>
  <c r="H12296" i="6"/>
  <c r="H12297" i="6"/>
  <c r="H12298" i="6"/>
  <c r="H12299" i="6"/>
  <c r="H12300" i="6"/>
  <c r="H12301" i="6"/>
  <c r="H12302" i="6"/>
  <c r="H12303" i="6"/>
  <c r="H12304" i="6"/>
  <c r="H12305" i="6"/>
  <c r="H12306" i="6"/>
  <c r="H12307" i="6"/>
  <c r="H12308" i="6"/>
  <c r="H12309" i="6"/>
  <c r="H12310" i="6"/>
  <c r="H12311" i="6"/>
  <c r="H12312" i="6"/>
  <c r="H12313" i="6"/>
  <c r="H12314" i="6"/>
  <c r="H12315" i="6"/>
  <c r="H12316" i="6"/>
  <c r="H12317" i="6"/>
  <c r="H12318" i="6"/>
  <c r="H12319" i="6"/>
  <c r="H12320" i="6"/>
  <c r="H12321" i="6"/>
  <c r="H12322" i="6"/>
  <c r="H12323" i="6"/>
  <c r="H12324" i="6"/>
  <c r="H12325" i="6"/>
  <c r="H12326" i="6"/>
  <c r="H12327" i="6"/>
  <c r="H12328" i="6"/>
  <c r="H12329" i="6"/>
  <c r="H12330" i="6"/>
  <c r="H12331" i="6"/>
  <c r="H12332" i="6"/>
  <c r="H12333" i="6"/>
  <c r="H12334" i="6"/>
  <c r="H12335" i="6"/>
  <c r="H12336" i="6"/>
  <c r="H12337" i="6"/>
  <c r="H12338" i="6"/>
  <c r="H12339" i="6"/>
  <c r="H12340" i="6"/>
  <c r="H12341" i="6"/>
  <c r="H12342" i="6"/>
  <c r="H12343" i="6"/>
  <c r="H12344" i="6"/>
  <c r="H12345" i="6"/>
  <c r="H12346" i="6"/>
  <c r="H12347" i="6"/>
  <c r="H12348" i="6"/>
  <c r="H12349" i="6"/>
  <c r="H12350" i="6"/>
  <c r="H12351" i="6"/>
  <c r="H12352" i="6"/>
  <c r="H12353" i="6"/>
  <c r="H12354" i="6"/>
  <c r="H12355" i="6"/>
  <c r="H12356" i="6"/>
  <c r="H12357" i="6"/>
  <c r="H12358" i="6"/>
  <c r="H12359" i="6"/>
  <c r="H12360" i="6"/>
  <c r="H12361" i="6"/>
  <c r="H12362" i="6"/>
  <c r="H12363" i="6"/>
  <c r="H12364" i="6"/>
  <c r="H12365" i="6"/>
  <c r="H12366" i="6"/>
  <c r="H12367" i="6"/>
  <c r="H12368" i="6"/>
  <c r="H12369" i="6"/>
  <c r="H12370" i="6"/>
  <c r="H12371" i="6"/>
  <c r="H12372" i="6"/>
  <c r="H12373" i="6"/>
  <c r="H12374" i="6"/>
  <c r="H12375" i="6"/>
  <c r="H12376" i="6"/>
  <c r="H12377" i="6"/>
  <c r="H12378" i="6"/>
  <c r="H12379" i="6"/>
  <c r="H12380" i="6"/>
  <c r="H12381" i="6"/>
  <c r="H12382" i="6"/>
  <c r="H12383" i="6"/>
  <c r="H12384" i="6"/>
  <c r="H12385" i="6"/>
  <c r="H12386" i="6"/>
  <c r="H12387" i="6"/>
  <c r="H12388" i="6"/>
  <c r="H12389" i="6"/>
  <c r="H12390" i="6"/>
  <c r="H12391" i="6"/>
  <c r="H12392" i="6"/>
  <c r="H12393" i="6"/>
  <c r="H12394" i="6"/>
  <c r="H12395" i="6"/>
  <c r="H12396" i="6"/>
  <c r="H12397" i="6"/>
  <c r="H12398" i="6"/>
  <c r="H12399" i="6"/>
  <c r="H12400" i="6"/>
  <c r="H12401" i="6"/>
  <c r="H12402" i="6"/>
  <c r="H12403" i="6"/>
  <c r="H12404" i="6"/>
  <c r="H12405" i="6"/>
  <c r="H12406" i="6"/>
  <c r="H12407" i="6"/>
  <c r="H12408" i="6"/>
  <c r="H12409" i="6"/>
  <c r="H12410" i="6"/>
  <c r="H12411" i="6"/>
  <c r="H12412" i="6"/>
  <c r="H12413" i="6"/>
  <c r="H12414" i="6"/>
  <c r="H12415" i="6"/>
  <c r="H12416" i="6"/>
  <c r="H12417" i="6"/>
  <c r="H12418" i="6"/>
  <c r="H12419" i="6"/>
  <c r="H12420" i="6"/>
  <c r="H12421" i="6"/>
  <c r="H12422" i="6"/>
  <c r="H12423" i="6"/>
  <c r="H12424" i="6"/>
  <c r="H12425" i="6"/>
  <c r="H12426" i="6"/>
  <c r="H12427" i="6"/>
  <c r="H12428" i="6"/>
  <c r="H12429" i="6"/>
  <c r="H12430" i="6"/>
  <c r="H12431" i="6"/>
  <c r="H12432" i="6"/>
  <c r="H12433" i="6"/>
  <c r="H12434" i="6"/>
  <c r="H12435" i="6"/>
  <c r="H12436" i="6"/>
  <c r="H12437" i="6"/>
  <c r="H12438" i="6"/>
  <c r="H12439" i="6"/>
  <c r="H12440" i="6"/>
  <c r="H12441" i="6"/>
  <c r="H12442" i="6"/>
  <c r="H12443" i="6"/>
  <c r="H12444" i="6"/>
  <c r="H12445" i="6"/>
  <c r="H12446" i="6"/>
  <c r="H12447" i="6"/>
  <c r="H12448" i="6"/>
  <c r="H12449" i="6"/>
  <c r="H12450" i="6"/>
  <c r="H12451" i="6"/>
  <c r="H12452" i="6"/>
  <c r="H12453" i="6"/>
  <c r="H12454" i="6"/>
  <c r="H12455" i="6"/>
  <c r="H12456" i="6"/>
  <c r="H12457" i="6"/>
  <c r="H12458" i="6"/>
  <c r="H12459" i="6"/>
  <c r="H12460" i="6"/>
  <c r="H12461" i="6"/>
  <c r="H12462" i="6"/>
  <c r="H12463" i="6"/>
  <c r="H12464" i="6"/>
  <c r="H12465" i="6"/>
  <c r="H12466" i="6"/>
  <c r="H12467" i="6"/>
  <c r="H12468" i="6"/>
  <c r="H12469" i="6"/>
  <c r="H12470" i="6"/>
  <c r="H12471" i="6"/>
  <c r="H12472" i="6"/>
  <c r="H12473" i="6"/>
  <c r="H12474" i="6"/>
  <c r="H12475" i="6"/>
  <c r="H12476" i="6"/>
  <c r="H12477" i="6"/>
  <c r="H12478" i="6"/>
  <c r="H12479" i="6"/>
  <c r="H12480" i="6"/>
  <c r="H12481" i="6"/>
  <c r="H12482" i="6"/>
  <c r="H12483" i="6"/>
  <c r="H12484" i="6"/>
  <c r="H12485" i="6"/>
  <c r="H12486" i="6"/>
  <c r="H12487" i="6"/>
  <c r="H12488" i="6"/>
  <c r="H12489" i="6"/>
  <c r="H12490" i="6"/>
  <c r="H12491" i="6"/>
  <c r="H12492" i="6"/>
  <c r="H12493" i="6"/>
  <c r="H12494" i="6"/>
  <c r="H12495" i="6"/>
  <c r="H12496" i="6"/>
  <c r="H12497" i="6"/>
  <c r="H12498" i="6"/>
  <c r="H12499" i="6"/>
  <c r="H12500" i="6"/>
  <c r="H12501" i="6"/>
  <c r="H12502" i="6"/>
  <c r="H12503" i="6"/>
  <c r="H12504" i="6"/>
  <c r="H12505" i="6"/>
  <c r="H12506" i="6"/>
  <c r="H12507" i="6"/>
  <c r="H12508" i="6"/>
  <c r="H12509" i="6"/>
  <c r="H12510" i="6"/>
  <c r="H12511" i="6"/>
  <c r="H12512" i="6"/>
  <c r="H12513" i="6"/>
  <c r="H12514" i="6"/>
  <c r="H12515" i="6"/>
  <c r="H12516" i="6"/>
  <c r="H12517" i="6"/>
  <c r="H12518" i="6"/>
  <c r="H12519" i="6"/>
  <c r="H12520" i="6"/>
  <c r="H12521" i="6"/>
  <c r="H12522" i="6"/>
  <c r="H12523" i="6"/>
  <c r="H12524" i="6"/>
  <c r="H12525" i="6"/>
  <c r="H12526" i="6"/>
  <c r="H12527" i="6"/>
  <c r="H12528" i="6"/>
  <c r="H12529" i="6"/>
  <c r="H12530" i="6"/>
  <c r="H12531" i="6"/>
  <c r="H12532" i="6"/>
  <c r="H12533" i="6"/>
  <c r="H12534" i="6"/>
  <c r="H12535" i="6"/>
  <c r="H12536" i="6"/>
  <c r="H12537" i="6"/>
  <c r="H12538" i="6"/>
  <c r="H12539" i="6"/>
  <c r="H12540" i="6"/>
  <c r="H12541" i="6"/>
  <c r="H12542" i="6"/>
  <c r="H12543" i="6"/>
  <c r="H12544" i="6"/>
  <c r="H12545" i="6"/>
  <c r="H12546" i="6"/>
  <c r="H12547" i="6"/>
  <c r="H12548" i="6"/>
  <c r="H12549" i="6"/>
  <c r="H12550" i="6"/>
  <c r="H12551" i="6"/>
  <c r="H12552" i="6"/>
  <c r="H12553" i="6"/>
  <c r="H12554" i="6"/>
  <c r="H12555" i="6"/>
  <c r="H12556" i="6"/>
  <c r="H12557" i="6"/>
  <c r="H12558" i="6"/>
  <c r="H12559" i="6"/>
  <c r="H12560" i="6"/>
  <c r="H12561" i="6"/>
  <c r="H12562" i="6"/>
  <c r="H12563" i="6"/>
  <c r="H12564" i="6"/>
  <c r="H12565" i="6"/>
  <c r="H12566" i="6"/>
  <c r="H12567" i="6"/>
  <c r="H12568" i="6"/>
  <c r="H12569" i="6"/>
  <c r="H12570" i="6"/>
  <c r="H12571" i="6"/>
  <c r="H12572" i="6"/>
  <c r="H12573" i="6"/>
  <c r="H12574" i="6"/>
  <c r="H12575" i="6"/>
  <c r="H12576" i="6"/>
  <c r="H12577" i="6"/>
  <c r="H12578" i="6"/>
  <c r="H12579" i="6"/>
  <c r="H12580" i="6"/>
  <c r="H12581" i="6"/>
  <c r="H12582" i="6"/>
  <c r="H12583" i="6"/>
  <c r="H12584" i="6"/>
  <c r="H12585" i="6"/>
  <c r="H12586" i="6"/>
  <c r="H12587" i="6"/>
  <c r="H12588" i="6"/>
  <c r="H12589" i="6"/>
  <c r="H12590" i="6"/>
  <c r="H12591" i="6"/>
  <c r="H12592" i="6"/>
  <c r="H12593" i="6"/>
  <c r="H12594" i="6"/>
  <c r="H12595" i="6"/>
  <c r="H12596" i="6"/>
  <c r="H12597" i="6"/>
  <c r="H12598" i="6"/>
  <c r="H12599" i="6"/>
  <c r="H12600" i="6"/>
  <c r="H12601" i="6"/>
  <c r="H12602" i="6"/>
  <c r="H12603" i="6"/>
  <c r="H12604" i="6"/>
  <c r="H12605" i="6"/>
  <c r="H12606" i="6"/>
  <c r="H12607" i="6"/>
  <c r="H12608" i="6"/>
  <c r="H12609" i="6"/>
  <c r="H12610" i="6"/>
  <c r="H12611" i="6"/>
  <c r="H12612" i="6"/>
  <c r="H12613" i="6"/>
  <c r="H12614" i="6"/>
  <c r="H12615" i="6"/>
  <c r="H12616" i="6"/>
  <c r="H12617" i="6"/>
  <c r="H12618" i="6"/>
  <c r="H12619" i="6"/>
  <c r="H12620" i="6"/>
  <c r="H12621" i="6"/>
  <c r="H12622" i="6"/>
  <c r="H12623" i="6"/>
  <c r="H12624" i="6"/>
  <c r="H12625" i="6"/>
  <c r="H12626" i="6"/>
  <c r="H12627" i="6"/>
  <c r="H12628" i="6"/>
  <c r="H12629" i="6"/>
  <c r="H12630" i="6"/>
  <c r="H12631" i="6"/>
  <c r="H12632" i="6"/>
  <c r="H12633" i="6"/>
  <c r="H12634" i="6"/>
  <c r="H12635" i="6"/>
  <c r="H12636" i="6"/>
  <c r="H12637" i="6"/>
  <c r="H12638" i="6"/>
  <c r="H12639" i="6"/>
  <c r="H12640" i="6"/>
  <c r="H12641" i="6"/>
  <c r="H12642" i="6"/>
  <c r="H12643" i="6"/>
  <c r="H12644" i="6"/>
  <c r="H12645" i="6"/>
  <c r="H12646" i="6"/>
  <c r="H12647" i="6"/>
  <c r="H12648" i="6"/>
  <c r="H12649" i="6"/>
  <c r="H12650" i="6"/>
  <c r="H12651" i="6"/>
  <c r="H12652" i="6"/>
  <c r="H12653" i="6"/>
  <c r="H12654" i="6"/>
  <c r="H12655" i="6"/>
  <c r="H12656" i="6"/>
  <c r="H12657" i="6"/>
  <c r="H12658" i="6"/>
  <c r="H12659" i="6"/>
  <c r="H12660" i="6"/>
  <c r="H12661" i="6"/>
  <c r="H12662" i="6"/>
  <c r="H12663" i="6"/>
  <c r="H12664" i="6"/>
  <c r="H12665" i="6"/>
  <c r="H12666" i="6"/>
  <c r="H12667" i="6"/>
  <c r="H12668" i="6"/>
  <c r="H12669" i="6"/>
  <c r="H12670" i="6"/>
  <c r="H12671" i="6"/>
  <c r="H12672" i="6"/>
  <c r="H12673" i="6"/>
  <c r="H12674" i="6"/>
  <c r="H12675" i="6"/>
  <c r="H12676" i="6"/>
  <c r="H12677" i="6"/>
  <c r="H12678" i="6"/>
  <c r="H12679" i="6"/>
  <c r="H12680" i="6"/>
  <c r="H12681" i="6"/>
  <c r="H12682" i="6"/>
  <c r="H12683" i="6"/>
  <c r="H12684" i="6"/>
  <c r="H12685" i="6"/>
  <c r="H12686" i="6"/>
  <c r="H12687" i="6"/>
  <c r="H12688" i="6"/>
  <c r="H12689" i="6"/>
  <c r="H12690" i="6"/>
  <c r="H12691" i="6"/>
  <c r="H12692" i="6"/>
  <c r="H12693" i="6"/>
  <c r="H12694" i="6"/>
  <c r="H12695" i="6"/>
  <c r="H12696" i="6"/>
  <c r="H12697" i="6"/>
  <c r="H12698" i="6"/>
  <c r="H12699" i="6"/>
  <c r="H12700" i="6"/>
  <c r="H12701" i="6"/>
  <c r="H12702" i="6"/>
  <c r="H12703" i="6"/>
  <c r="H12704" i="6"/>
  <c r="H12705" i="6"/>
  <c r="H12706" i="6"/>
  <c r="H12707" i="6"/>
  <c r="H12708" i="6"/>
  <c r="H12709" i="6"/>
  <c r="H12710" i="6"/>
  <c r="H12711" i="6"/>
  <c r="H12712" i="6"/>
  <c r="H12713" i="6"/>
  <c r="H12714" i="6"/>
  <c r="H12715" i="6"/>
  <c r="H12716" i="6"/>
  <c r="H12717" i="6"/>
  <c r="H12718" i="6"/>
  <c r="H12719" i="6"/>
  <c r="H12720" i="6"/>
  <c r="H12721" i="6"/>
  <c r="H12722" i="6"/>
  <c r="H12723" i="6"/>
  <c r="H12724" i="6"/>
  <c r="H12725" i="6"/>
  <c r="H12726" i="6"/>
  <c r="H12727" i="6"/>
  <c r="H12728" i="6"/>
  <c r="H12729" i="6"/>
  <c r="H12730" i="6"/>
  <c r="H12731" i="6"/>
  <c r="H12732" i="6"/>
  <c r="H12733" i="6"/>
  <c r="H12734" i="6"/>
  <c r="H12735" i="6"/>
  <c r="H12736" i="6"/>
  <c r="H12737" i="6"/>
  <c r="H12738" i="6"/>
  <c r="H12739" i="6"/>
  <c r="H12740" i="6"/>
  <c r="H12741" i="6"/>
  <c r="H12742" i="6"/>
  <c r="H12743" i="6"/>
  <c r="H12744" i="6"/>
  <c r="H12745" i="6"/>
  <c r="H12746" i="6"/>
  <c r="H12747" i="6"/>
  <c r="H12748" i="6"/>
  <c r="H12749" i="6"/>
  <c r="H12750" i="6"/>
  <c r="H12751" i="6"/>
  <c r="H12752" i="6"/>
  <c r="H12753" i="6"/>
  <c r="H12754" i="6"/>
  <c r="H12755" i="6"/>
  <c r="H12756" i="6"/>
  <c r="H12757" i="6"/>
  <c r="H12758" i="6"/>
  <c r="H12759" i="6"/>
  <c r="H12760" i="6"/>
  <c r="H12761" i="6"/>
  <c r="H12762" i="6"/>
  <c r="H12763" i="6"/>
  <c r="H12764" i="6"/>
  <c r="H12765" i="6"/>
  <c r="H12766" i="6"/>
  <c r="H12767" i="6"/>
  <c r="H12768" i="6"/>
  <c r="H12769" i="6"/>
  <c r="H12770" i="6"/>
  <c r="H12771" i="6"/>
  <c r="H12772" i="6"/>
  <c r="H12773" i="6"/>
  <c r="H12774" i="6"/>
  <c r="H12775" i="6"/>
  <c r="H12776" i="6"/>
  <c r="H12777" i="6"/>
  <c r="H12778" i="6"/>
  <c r="H12779" i="6"/>
  <c r="H12780" i="6"/>
  <c r="H12781" i="6"/>
  <c r="H12782" i="6"/>
  <c r="H12783" i="6"/>
  <c r="H12784" i="6"/>
  <c r="H12785" i="6"/>
  <c r="H12786" i="6"/>
  <c r="H12787" i="6"/>
  <c r="H12788" i="6"/>
  <c r="H12789" i="6"/>
  <c r="H12790" i="6"/>
  <c r="H12791" i="6"/>
  <c r="H12792" i="6"/>
  <c r="H12793" i="6"/>
  <c r="H12794" i="6"/>
  <c r="H12795" i="6"/>
  <c r="H12796" i="6"/>
  <c r="H12797" i="6"/>
  <c r="H12798" i="6"/>
  <c r="H12799" i="6"/>
  <c r="H12800" i="6"/>
  <c r="H12801" i="6"/>
  <c r="H12802" i="6"/>
  <c r="H12803" i="6"/>
  <c r="H12804" i="6"/>
  <c r="H12805" i="6"/>
  <c r="H12806" i="6"/>
  <c r="H12807" i="6"/>
  <c r="H12808" i="6"/>
  <c r="H12809" i="6"/>
  <c r="H12810" i="6"/>
  <c r="H12811" i="6"/>
  <c r="H12812" i="6"/>
  <c r="H12813" i="6"/>
  <c r="H12814" i="6"/>
  <c r="H12815" i="6"/>
  <c r="H12816" i="6"/>
  <c r="H12817" i="6"/>
  <c r="H12818" i="6"/>
  <c r="H12819" i="6"/>
  <c r="H12820" i="6"/>
  <c r="H12821" i="6"/>
  <c r="H12822" i="6"/>
  <c r="H12823" i="6"/>
  <c r="H12824" i="6"/>
  <c r="H12825" i="6"/>
  <c r="H12826" i="6"/>
  <c r="H12827" i="6"/>
  <c r="H12828" i="6"/>
  <c r="H12829" i="6"/>
  <c r="H12830" i="6"/>
  <c r="H12831" i="6"/>
  <c r="H12832" i="6"/>
  <c r="H12833" i="6"/>
  <c r="H12834" i="6"/>
  <c r="H12835" i="6"/>
  <c r="H12836" i="6"/>
  <c r="H12837" i="6"/>
  <c r="H12838" i="6"/>
  <c r="H12839" i="6"/>
  <c r="H12840" i="6"/>
  <c r="H12841" i="6"/>
  <c r="H12842" i="6"/>
  <c r="H12843" i="6"/>
  <c r="H12844" i="6"/>
  <c r="H12845" i="6"/>
  <c r="H12846" i="6"/>
  <c r="H12847" i="6"/>
  <c r="H12848" i="6"/>
  <c r="H12849" i="6"/>
  <c r="H12850" i="6"/>
  <c r="H12851" i="6"/>
  <c r="H12852" i="6"/>
  <c r="H12853" i="6"/>
  <c r="H12854" i="6"/>
  <c r="H12855" i="6"/>
  <c r="H12856" i="6"/>
  <c r="H12857" i="6"/>
  <c r="H12858" i="6"/>
  <c r="H12859" i="6"/>
  <c r="H12860" i="6"/>
  <c r="H12861" i="6"/>
  <c r="H12862" i="6"/>
  <c r="H12863" i="6"/>
  <c r="H12864" i="6"/>
  <c r="H12865" i="6"/>
  <c r="H12866" i="6"/>
  <c r="H12867" i="6"/>
  <c r="H12868" i="6"/>
  <c r="H12869" i="6"/>
  <c r="H12870" i="6"/>
  <c r="H12871" i="6"/>
  <c r="H12872" i="6"/>
  <c r="H12873" i="6"/>
  <c r="H12874" i="6"/>
  <c r="H12875" i="6"/>
  <c r="H12876" i="6"/>
  <c r="H12877" i="6"/>
  <c r="H12878" i="6"/>
  <c r="H12879" i="6"/>
  <c r="H12880" i="6"/>
  <c r="H12881" i="6"/>
  <c r="H12882" i="6"/>
  <c r="H12883" i="6"/>
  <c r="H12884" i="6"/>
  <c r="H12885" i="6"/>
  <c r="H12886" i="6"/>
  <c r="H12887" i="6"/>
  <c r="H12888" i="6"/>
  <c r="H12889" i="6"/>
  <c r="H12890" i="6"/>
  <c r="H12891" i="6"/>
  <c r="H12892" i="6"/>
  <c r="H12893" i="6"/>
  <c r="H12894" i="6"/>
  <c r="H12895" i="6"/>
  <c r="H12896" i="6"/>
  <c r="H12897" i="6"/>
  <c r="H12898" i="6"/>
  <c r="H12899" i="6"/>
  <c r="H12900" i="6"/>
  <c r="H12901" i="6"/>
  <c r="H12902" i="6"/>
  <c r="H12903" i="6"/>
  <c r="H12904" i="6"/>
  <c r="H12905" i="6"/>
  <c r="H12906" i="6"/>
  <c r="H12907" i="6"/>
  <c r="H12908" i="6"/>
  <c r="H12909" i="6"/>
  <c r="H12910" i="6"/>
  <c r="H12911" i="6"/>
  <c r="H12912" i="6"/>
  <c r="H12913" i="6"/>
  <c r="H12914" i="6"/>
  <c r="H12915" i="6"/>
  <c r="H12916" i="6"/>
  <c r="H12917" i="6"/>
  <c r="H12918" i="6"/>
  <c r="H12919" i="6"/>
  <c r="H12920" i="6"/>
  <c r="H12921" i="6"/>
  <c r="H12922" i="6"/>
  <c r="H12923" i="6"/>
  <c r="H12924" i="6"/>
  <c r="H12925" i="6"/>
  <c r="H12926" i="6"/>
  <c r="H12927" i="6"/>
  <c r="H12928" i="6"/>
  <c r="H12929" i="6"/>
  <c r="H12930" i="6"/>
  <c r="H12931" i="6"/>
  <c r="H12932" i="6"/>
  <c r="H12933" i="6"/>
  <c r="H12934" i="6"/>
  <c r="H12935" i="6"/>
  <c r="H12936" i="6"/>
  <c r="H12937" i="6"/>
  <c r="H12938" i="6"/>
  <c r="H12939" i="6"/>
  <c r="H12940" i="6"/>
  <c r="H12941" i="6"/>
  <c r="H12942" i="6"/>
  <c r="H12943" i="6"/>
  <c r="H12944" i="6"/>
  <c r="H12945" i="6"/>
  <c r="H12946" i="6"/>
  <c r="H12947" i="6"/>
  <c r="H12948" i="6"/>
  <c r="H12949" i="6"/>
  <c r="H12950" i="6"/>
  <c r="H12951" i="6"/>
  <c r="H12952" i="6"/>
  <c r="H12953" i="6"/>
  <c r="H12954" i="6"/>
  <c r="H12955" i="6"/>
  <c r="H12956" i="6"/>
  <c r="H12957" i="6"/>
  <c r="H12958" i="6"/>
  <c r="H12959" i="6"/>
  <c r="H12960" i="6"/>
  <c r="H12961" i="6"/>
  <c r="H12962" i="6"/>
  <c r="H12963" i="6"/>
  <c r="H12964" i="6"/>
  <c r="H12965" i="6"/>
  <c r="H12966" i="6"/>
  <c r="H12967" i="6"/>
  <c r="H12968" i="6"/>
  <c r="H12969" i="6"/>
  <c r="H12970" i="6"/>
  <c r="H12971" i="6"/>
  <c r="H12972" i="6"/>
  <c r="H12973" i="6"/>
  <c r="H12974" i="6"/>
  <c r="H12975" i="6"/>
  <c r="H12976" i="6"/>
  <c r="H12977" i="6"/>
  <c r="H12978" i="6"/>
  <c r="H12979" i="6"/>
  <c r="H12980" i="6"/>
  <c r="H12981" i="6"/>
  <c r="H12982" i="6"/>
  <c r="H12983" i="6"/>
  <c r="H12984" i="6"/>
  <c r="H12985" i="6"/>
  <c r="H12986" i="6"/>
  <c r="H12987" i="6"/>
  <c r="H12988" i="6"/>
  <c r="H12989" i="6"/>
  <c r="H12990" i="6"/>
  <c r="H12991" i="6"/>
  <c r="H12992" i="6"/>
  <c r="H12993" i="6"/>
  <c r="H12994" i="6"/>
  <c r="H12995" i="6"/>
  <c r="H12996" i="6"/>
  <c r="H12997" i="6"/>
  <c r="H12998" i="6"/>
  <c r="H12999" i="6"/>
  <c r="H13000" i="6"/>
  <c r="H13001" i="6"/>
  <c r="H13002" i="6"/>
  <c r="H13003" i="6"/>
  <c r="H13004" i="6"/>
  <c r="H13005" i="6"/>
  <c r="H13006" i="6"/>
  <c r="H13007" i="6"/>
  <c r="H13008" i="6"/>
  <c r="H13009" i="6"/>
  <c r="H13010" i="6"/>
  <c r="H13011" i="6"/>
  <c r="H13012" i="6"/>
  <c r="H13013" i="6"/>
  <c r="H13014" i="6"/>
  <c r="H13015" i="6"/>
  <c r="H13016" i="6"/>
  <c r="H13017" i="6"/>
  <c r="H13018" i="6"/>
  <c r="H13019" i="6"/>
  <c r="H13020" i="6"/>
  <c r="H13021" i="6"/>
  <c r="H13022" i="6"/>
  <c r="H13023" i="6"/>
  <c r="H13024" i="6"/>
  <c r="H13025" i="6"/>
  <c r="H13026" i="6"/>
  <c r="H13027" i="6"/>
  <c r="H13028" i="6"/>
  <c r="H13029" i="6"/>
  <c r="H13030" i="6"/>
  <c r="H13031" i="6"/>
  <c r="H13032" i="6"/>
  <c r="H13033" i="6"/>
  <c r="H13034" i="6"/>
  <c r="H13035" i="6"/>
  <c r="H13036" i="6"/>
  <c r="H13037" i="6"/>
  <c r="H13038" i="6"/>
  <c r="H13039" i="6"/>
  <c r="H13040" i="6"/>
  <c r="H13041" i="6"/>
  <c r="H13042" i="6"/>
  <c r="H13043" i="6"/>
  <c r="H13044" i="6"/>
  <c r="H13045" i="6"/>
  <c r="H13046" i="6"/>
  <c r="H13047" i="6"/>
  <c r="H13048" i="6"/>
  <c r="H13049" i="6"/>
  <c r="H13050" i="6"/>
  <c r="H13051" i="6"/>
  <c r="H13052" i="6"/>
  <c r="H13053" i="6"/>
  <c r="H13054" i="6"/>
  <c r="H13055" i="6"/>
  <c r="H13056" i="6"/>
  <c r="H13057" i="6"/>
  <c r="H13058" i="6"/>
  <c r="H13059" i="6"/>
  <c r="H13060" i="6"/>
  <c r="H13061" i="6"/>
  <c r="H13062" i="6"/>
  <c r="H13063" i="6"/>
  <c r="H13064" i="6"/>
  <c r="H13065" i="6"/>
  <c r="H13066" i="6"/>
  <c r="H13067" i="6"/>
  <c r="H13068" i="6"/>
  <c r="H13069" i="6"/>
  <c r="H13070" i="6"/>
  <c r="H13071" i="6"/>
  <c r="H13072" i="6"/>
  <c r="H13073" i="6"/>
  <c r="H13074" i="6"/>
  <c r="H13075" i="6"/>
  <c r="H13076" i="6"/>
  <c r="H13077" i="6"/>
  <c r="H13078" i="6"/>
  <c r="H13079" i="6"/>
  <c r="H13080" i="6"/>
  <c r="H13081" i="6"/>
  <c r="H13082" i="6"/>
  <c r="H13083" i="6"/>
  <c r="H13084" i="6"/>
  <c r="H13085" i="6"/>
  <c r="H13086" i="6"/>
  <c r="H13087" i="6"/>
  <c r="H13088" i="6"/>
  <c r="H13089" i="6"/>
  <c r="H13090" i="6"/>
  <c r="H13091" i="6"/>
  <c r="H13092" i="6"/>
  <c r="H13093" i="6"/>
  <c r="H13094" i="6"/>
  <c r="H13095" i="6"/>
  <c r="H13096" i="6"/>
  <c r="H13097" i="6"/>
  <c r="H13098" i="6"/>
  <c r="H13099" i="6"/>
  <c r="H13100" i="6"/>
  <c r="H13101" i="6"/>
  <c r="H13102" i="6"/>
  <c r="H13103" i="6"/>
  <c r="H13104" i="6"/>
  <c r="H13105" i="6"/>
  <c r="H13106" i="6"/>
  <c r="H13107" i="6"/>
  <c r="H13108" i="6"/>
  <c r="H13109" i="6"/>
  <c r="H13110" i="6"/>
  <c r="H13111" i="6"/>
  <c r="H13112" i="6"/>
  <c r="H13113" i="6"/>
  <c r="H13114" i="6"/>
  <c r="H13115" i="6"/>
  <c r="H13116" i="6"/>
  <c r="H13117" i="6"/>
  <c r="H13118" i="6"/>
  <c r="H13119" i="6"/>
  <c r="H13120" i="6"/>
  <c r="H13121" i="6"/>
  <c r="H13122" i="6"/>
  <c r="H13123" i="6"/>
  <c r="H13124" i="6"/>
  <c r="H13125" i="6"/>
  <c r="H13126" i="6"/>
  <c r="H13127" i="6"/>
  <c r="H13128" i="6"/>
  <c r="H13129" i="6"/>
  <c r="H13130" i="6"/>
  <c r="H13131" i="6"/>
  <c r="H13132" i="6"/>
  <c r="H13133" i="6"/>
  <c r="H13134" i="6"/>
  <c r="H13135" i="6"/>
  <c r="H13136" i="6"/>
  <c r="H13137" i="6"/>
  <c r="H13138" i="6"/>
  <c r="H13139" i="6"/>
  <c r="H13140" i="6"/>
  <c r="H13141" i="6"/>
  <c r="H13142" i="6"/>
  <c r="H13143" i="6"/>
  <c r="H13144" i="6"/>
  <c r="H13145" i="6"/>
  <c r="H13146" i="6"/>
  <c r="H13147" i="6"/>
  <c r="H13148" i="6"/>
  <c r="H13149" i="6"/>
  <c r="H13150" i="6"/>
  <c r="H13151" i="6"/>
  <c r="H13152" i="6"/>
  <c r="H13153" i="6"/>
  <c r="H13154" i="6"/>
  <c r="H13155" i="6"/>
  <c r="H13156" i="6"/>
  <c r="H13157" i="6"/>
  <c r="H13158" i="6"/>
  <c r="H13159" i="6"/>
  <c r="H13160" i="6"/>
  <c r="H13161" i="6"/>
  <c r="H13162" i="6"/>
  <c r="H13163" i="6"/>
  <c r="H13164" i="6"/>
  <c r="H13165" i="6"/>
  <c r="H13166" i="6"/>
  <c r="H13167" i="6"/>
  <c r="H13168" i="6"/>
  <c r="H13169" i="6"/>
  <c r="H13170" i="6"/>
  <c r="H13171" i="6"/>
  <c r="H13172" i="6"/>
  <c r="H13173" i="6"/>
  <c r="H13174" i="6"/>
  <c r="H13175" i="6"/>
  <c r="H13176" i="6"/>
  <c r="H13177" i="6"/>
  <c r="H13178" i="6"/>
  <c r="H13179" i="6"/>
  <c r="H13180" i="6"/>
  <c r="H13181" i="6"/>
  <c r="H13182" i="6"/>
  <c r="H13183" i="6"/>
  <c r="H13184" i="6"/>
  <c r="H13185" i="6"/>
  <c r="H13186" i="6"/>
  <c r="H13187" i="6"/>
  <c r="H13188" i="6"/>
  <c r="H13189" i="6"/>
  <c r="H13190" i="6"/>
  <c r="H13191" i="6"/>
  <c r="H13192" i="6"/>
  <c r="H13193" i="6"/>
  <c r="H13194" i="6"/>
  <c r="H13195" i="6"/>
  <c r="H13196" i="6"/>
  <c r="H13197" i="6"/>
  <c r="H13198" i="6"/>
  <c r="H13199" i="6"/>
  <c r="H13200" i="6"/>
  <c r="H13201" i="6"/>
  <c r="H13202" i="6"/>
  <c r="H13203" i="6"/>
  <c r="H13204" i="6"/>
  <c r="H13205" i="6"/>
  <c r="H13206" i="6"/>
  <c r="H13207" i="6"/>
  <c r="H13208" i="6"/>
  <c r="H13209" i="6"/>
  <c r="H13210" i="6"/>
  <c r="H13211" i="6"/>
  <c r="H13212" i="6"/>
  <c r="H13213" i="6"/>
  <c r="H13214" i="6"/>
  <c r="H13215" i="6"/>
  <c r="H13216" i="6"/>
  <c r="H13217" i="6"/>
  <c r="H13218" i="6"/>
  <c r="H13219" i="6"/>
  <c r="H13220" i="6"/>
  <c r="H13221" i="6"/>
  <c r="H13222" i="6"/>
  <c r="H13223" i="6"/>
  <c r="H13224" i="6"/>
  <c r="H13225" i="6"/>
  <c r="H13226" i="6"/>
  <c r="H13227" i="6"/>
  <c r="H13228" i="6"/>
  <c r="H13229" i="6"/>
  <c r="H13230" i="6"/>
  <c r="H13231" i="6"/>
  <c r="H13232" i="6"/>
  <c r="H13233" i="6"/>
  <c r="H13234" i="6"/>
  <c r="H13235" i="6"/>
  <c r="H13236" i="6"/>
  <c r="H13237" i="6"/>
  <c r="H13238" i="6"/>
  <c r="H13239" i="6"/>
  <c r="H13240" i="6"/>
  <c r="H13241" i="6"/>
  <c r="H13242" i="6"/>
  <c r="H13243" i="6"/>
  <c r="H13244" i="6"/>
  <c r="H13245" i="6"/>
  <c r="H13246" i="6"/>
  <c r="H13247" i="6"/>
  <c r="H13248" i="6"/>
  <c r="H13249" i="6"/>
  <c r="H13250" i="6"/>
  <c r="H13251" i="6"/>
  <c r="H13252" i="6"/>
  <c r="H13253" i="6"/>
  <c r="H13254" i="6"/>
  <c r="H13255" i="6"/>
  <c r="H13256" i="6"/>
  <c r="H13257" i="6"/>
  <c r="H13258" i="6"/>
  <c r="H13259" i="6"/>
  <c r="H13260" i="6"/>
  <c r="H13261" i="6"/>
  <c r="H13262" i="6"/>
  <c r="H13263" i="6"/>
  <c r="H13264" i="6"/>
  <c r="H13265" i="6"/>
  <c r="H13266" i="6"/>
  <c r="H13267" i="6"/>
  <c r="H13268" i="6"/>
  <c r="H13269" i="6"/>
  <c r="H13270" i="6"/>
  <c r="H13271" i="6"/>
  <c r="H13272" i="6"/>
  <c r="H13273" i="6"/>
  <c r="H13274" i="6"/>
  <c r="H13275" i="6"/>
  <c r="H13276" i="6"/>
  <c r="H13277" i="6"/>
  <c r="H13278" i="6"/>
  <c r="H13279" i="6"/>
  <c r="H13280" i="6"/>
  <c r="H13281" i="6"/>
  <c r="H13282" i="6"/>
  <c r="H13283" i="6"/>
  <c r="H13284" i="6"/>
  <c r="H13285" i="6"/>
  <c r="H13286" i="6"/>
  <c r="H13287" i="6"/>
  <c r="H13288" i="6"/>
  <c r="H13289" i="6"/>
  <c r="H13290" i="6"/>
  <c r="H13291" i="6"/>
  <c r="H13292" i="6"/>
  <c r="H13293" i="6"/>
  <c r="H13294" i="6"/>
  <c r="H13295" i="6"/>
  <c r="H13296" i="6"/>
  <c r="H13297" i="6"/>
  <c r="H13298" i="6"/>
  <c r="H13299" i="6"/>
  <c r="H13300" i="6"/>
  <c r="H13301" i="6"/>
  <c r="H13302" i="6"/>
  <c r="H13303" i="6"/>
  <c r="H13304" i="6"/>
  <c r="H13305" i="6"/>
  <c r="H13306" i="6"/>
  <c r="H13307" i="6"/>
  <c r="H13308" i="6"/>
  <c r="H13309" i="6"/>
  <c r="H13310" i="6"/>
  <c r="H13311" i="6"/>
  <c r="H13312" i="6"/>
  <c r="H13313" i="6"/>
  <c r="H13314" i="6"/>
  <c r="H13315" i="6"/>
  <c r="H13316" i="6"/>
  <c r="H13317" i="6"/>
  <c r="H13318" i="6"/>
  <c r="H13319" i="6"/>
  <c r="H13320" i="6"/>
  <c r="H13321" i="6"/>
  <c r="H13322" i="6"/>
  <c r="H13323" i="6"/>
  <c r="H13324" i="6"/>
  <c r="H13325" i="6"/>
  <c r="H13326" i="6"/>
  <c r="H13327" i="6"/>
  <c r="H13328" i="6"/>
  <c r="H13329" i="6"/>
  <c r="H13330" i="6"/>
  <c r="H13331" i="6"/>
  <c r="H13332" i="6"/>
  <c r="H13333" i="6"/>
  <c r="H13334" i="6"/>
  <c r="H13335" i="6"/>
  <c r="H13336" i="6"/>
  <c r="H13337" i="6"/>
  <c r="H13338" i="6"/>
  <c r="H13339" i="6"/>
  <c r="H13340" i="6"/>
  <c r="H13341" i="6"/>
  <c r="H13342" i="6"/>
  <c r="H13343" i="6"/>
  <c r="H13344" i="6"/>
  <c r="H13345" i="6"/>
  <c r="H13346" i="6"/>
  <c r="H13347" i="6"/>
  <c r="H13348" i="6"/>
  <c r="H13349" i="6"/>
  <c r="H13350" i="6"/>
  <c r="H13351" i="6"/>
  <c r="H13352" i="6"/>
  <c r="H13353" i="6"/>
  <c r="H13354" i="6"/>
  <c r="H13355" i="6"/>
  <c r="H13356" i="6"/>
  <c r="H13357" i="6"/>
  <c r="H13358" i="6"/>
  <c r="H13359" i="6"/>
  <c r="H13360" i="6"/>
  <c r="H13361" i="6"/>
  <c r="H13362" i="6"/>
  <c r="H13363" i="6"/>
  <c r="H13364" i="6"/>
  <c r="H13365" i="6"/>
  <c r="H13366" i="6"/>
  <c r="H13367" i="6"/>
  <c r="H13368" i="6"/>
  <c r="H13369" i="6"/>
  <c r="H13370" i="6"/>
  <c r="H13371" i="6"/>
  <c r="H13372" i="6"/>
  <c r="H13373" i="6"/>
  <c r="H13374" i="6"/>
  <c r="H13375" i="6"/>
  <c r="H13376" i="6"/>
  <c r="H13377" i="6"/>
  <c r="H13378" i="6"/>
  <c r="H13379" i="6"/>
  <c r="H13380" i="6"/>
  <c r="H13381" i="6"/>
  <c r="H13382" i="6"/>
  <c r="H13383" i="6"/>
  <c r="H13384" i="6"/>
  <c r="H13385" i="6"/>
  <c r="H13386" i="6"/>
  <c r="H13387" i="6"/>
  <c r="H13388" i="6"/>
  <c r="H13389" i="6"/>
  <c r="H13390" i="6"/>
  <c r="H13391" i="6"/>
  <c r="H13392" i="6"/>
  <c r="H13393" i="6"/>
  <c r="H13394" i="6"/>
  <c r="H13395" i="6"/>
  <c r="H13396" i="6"/>
  <c r="H13397" i="6"/>
  <c r="H13398" i="6"/>
  <c r="H13399" i="6"/>
  <c r="H13400" i="6"/>
  <c r="H13401" i="6"/>
  <c r="H13402" i="6"/>
  <c r="H13403" i="6"/>
  <c r="H13404" i="6"/>
  <c r="H13405" i="6"/>
  <c r="H13406" i="6"/>
  <c r="H13407" i="6"/>
  <c r="H13408" i="6"/>
  <c r="H13409" i="6"/>
  <c r="H13410" i="6"/>
  <c r="H13411" i="6"/>
  <c r="H13412" i="6"/>
  <c r="H13413" i="6"/>
  <c r="H13414" i="6"/>
  <c r="H13415" i="6"/>
  <c r="H13416" i="6"/>
  <c r="H13417" i="6"/>
  <c r="H13418" i="6"/>
  <c r="H13419" i="6"/>
  <c r="H13420" i="6"/>
  <c r="H13421" i="6"/>
  <c r="H13422" i="6"/>
  <c r="H13423" i="6"/>
  <c r="H13424" i="6"/>
  <c r="H13425" i="6"/>
  <c r="H13426" i="6"/>
  <c r="H13427" i="6"/>
  <c r="H13428" i="6"/>
  <c r="H13429" i="6"/>
  <c r="H13430" i="6"/>
  <c r="H13431" i="6"/>
  <c r="H13432" i="6"/>
  <c r="H13433" i="6"/>
  <c r="H13434" i="6"/>
  <c r="H13435" i="6"/>
  <c r="H13436" i="6"/>
  <c r="H13437" i="6"/>
  <c r="H13438" i="6"/>
  <c r="H13439" i="6"/>
  <c r="H13440" i="6"/>
  <c r="H13441" i="6"/>
  <c r="H13442" i="6"/>
  <c r="H13443" i="6"/>
  <c r="H13444" i="6"/>
  <c r="H13445" i="6"/>
  <c r="H13446" i="6"/>
  <c r="H13447" i="6"/>
  <c r="H13448" i="6"/>
  <c r="H13449" i="6"/>
  <c r="H13450" i="6"/>
  <c r="H13451" i="6"/>
  <c r="H13452" i="6"/>
  <c r="H13453" i="6"/>
  <c r="H13454" i="6"/>
  <c r="H13455" i="6"/>
  <c r="H13456" i="6"/>
  <c r="H13457" i="6"/>
  <c r="H13458" i="6"/>
  <c r="H13459" i="6"/>
  <c r="H13460" i="6"/>
  <c r="H13461" i="6"/>
  <c r="H13462" i="6"/>
  <c r="H13463" i="6"/>
  <c r="H13464" i="6"/>
  <c r="H13465" i="6"/>
  <c r="H13466" i="6"/>
  <c r="H13467" i="6"/>
  <c r="H13468" i="6"/>
  <c r="H13469" i="6"/>
  <c r="H13470" i="6"/>
  <c r="H13471" i="6"/>
  <c r="H13472" i="6"/>
  <c r="H13473" i="6"/>
  <c r="H13474" i="6"/>
  <c r="H13475" i="6"/>
  <c r="H13476" i="6"/>
  <c r="H13477" i="6"/>
  <c r="H13478" i="6"/>
  <c r="H13479" i="6"/>
  <c r="H13480" i="6"/>
  <c r="H13481" i="6"/>
  <c r="H13482" i="6"/>
  <c r="H13483" i="6"/>
  <c r="H13484" i="6"/>
  <c r="H13485" i="6"/>
  <c r="H13486" i="6"/>
  <c r="H13487" i="6"/>
  <c r="H13488" i="6"/>
  <c r="H13489" i="6"/>
  <c r="H13490" i="6"/>
  <c r="H13491" i="6"/>
  <c r="H13492" i="6"/>
  <c r="H13493" i="6"/>
  <c r="H13494" i="6"/>
  <c r="H13495" i="6"/>
  <c r="H13496" i="6"/>
  <c r="H13497" i="6"/>
  <c r="H13498" i="6"/>
  <c r="H13499" i="6"/>
  <c r="H13500" i="6"/>
  <c r="H13501" i="6"/>
  <c r="H13502" i="6"/>
  <c r="H13503" i="6"/>
  <c r="H13504" i="6"/>
  <c r="H13505" i="6"/>
  <c r="H13506" i="6"/>
  <c r="H13507" i="6"/>
  <c r="H13508" i="6"/>
  <c r="H13509" i="6"/>
  <c r="H13510" i="6"/>
  <c r="H13511" i="6"/>
  <c r="H13512" i="6"/>
  <c r="H13513" i="6"/>
  <c r="H13514" i="6"/>
  <c r="H13515" i="6"/>
  <c r="H13516" i="6"/>
  <c r="H13517" i="6"/>
  <c r="H13518" i="6"/>
  <c r="H13519" i="6"/>
  <c r="H13520" i="6"/>
  <c r="H13521" i="6"/>
  <c r="H13522" i="6"/>
  <c r="H13523" i="6"/>
  <c r="H13524" i="6"/>
  <c r="H13525" i="6"/>
  <c r="H13526" i="6"/>
  <c r="H13527" i="6"/>
  <c r="H13528" i="6"/>
  <c r="H13529" i="6"/>
  <c r="H13530" i="6"/>
  <c r="H13531" i="6"/>
  <c r="H13532" i="6"/>
  <c r="H13533" i="6"/>
  <c r="H13534" i="6"/>
  <c r="H13535" i="6"/>
  <c r="H13536" i="6"/>
  <c r="H13537" i="6"/>
  <c r="H13538" i="6"/>
  <c r="H13539" i="6"/>
  <c r="H13540" i="6"/>
  <c r="H13541" i="6"/>
  <c r="H13542" i="6"/>
  <c r="H13543" i="6"/>
  <c r="H13544" i="6"/>
  <c r="H13545" i="6"/>
  <c r="H13546" i="6"/>
  <c r="H13547" i="6"/>
  <c r="H13548" i="6"/>
  <c r="H13549" i="6"/>
  <c r="H13550" i="6"/>
  <c r="H13551" i="6"/>
  <c r="H13552" i="6"/>
  <c r="H13553" i="6"/>
  <c r="H13554" i="6"/>
  <c r="H13555" i="6"/>
  <c r="H13556" i="6"/>
  <c r="H13557" i="6"/>
  <c r="H13558" i="6"/>
  <c r="H13559" i="6"/>
  <c r="H13560" i="6"/>
  <c r="H13561" i="6"/>
  <c r="H13562" i="6"/>
  <c r="H13563" i="6"/>
  <c r="H13564" i="6"/>
  <c r="H13565" i="6"/>
  <c r="H13566" i="6"/>
  <c r="H13567" i="6"/>
  <c r="H13568" i="6"/>
  <c r="H13569" i="6"/>
  <c r="H13570" i="6"/>
  <c r="H13571" i="6"/>
  <c r="H13572" i="6"/>
  <c r="H13573" i="6"/>
  <c r="H13574" i="6"/>
  <c r="H13575" i="6"/>
  <c r="H13576" i="6"/>
  <c r="H13577" i="6"/>
  <c r="H13578" i="6"/>
  <c r="H13579" i="6"/>
  <c r="H13580" i="6"/>
  <c r="H13581" i="6"/>
  <c r="H13582" i="6"/>
  <c r="H13583" i="6"/>
  <c r="H13584" i="6"/>
  <c r="H13585" i="6"/>
  <c r="H13586" i="6"/>
  <c r="H13587" i="6"/>
  <c r="H13588" i="6"/>
  <c r="H13589" i="6"/>
  <c r="H13590" i="6"/>
  <c r="H13591" i="6"/>
  <c r="H13592" i="6"/>
  <c r="H13593" i="6"/>
  <c r="H13594" i="6"/>
  <c r="H13595" i="6"/>
  <c r="H13596" i="6"/>
  <c r="H13597" i="6"/>
  <c r="H13598" i="6"/>
  <c r="H13599" i="6"/>
  <c r="H13600" i="6"/>
  <c r="H13601" i="6"/>
  <c r="H13602" i="6"/>
  <c r="H13603" i="6"/>
  <c r="H13604" i="6"/>
  <c r="H13605" i="6"/>
  <c r="H13606" i="6"/>
  <c r="H13607" i="6"/>
  <c r="H13608" i="6"/>
  <c r="H13609" i="6"/>
  <c r="H13610" i="6"/>
  <c r="H13611" i="6"/>
  <c r="H13612" i="6"/>
  <c r="H13613" i="6"/>
  <c r="H13614" i="6"/>
  <c r="H13615" i="6"/>
  <c r="H13616" i="6"/>
  <c r="H13617" i="6"/>
  <c r="H13618" i="6"/>
  <c r="H13619" i="6"/>
  <c r="H13620" i="6"/>
  <c r="H13621" i="6"/>
  <c r="H13622" i="6"/>
  <c r="H13623" i="6"/>
  <c r="H13624" i="6"/>
  <c r="H13625" i="6"/>
  <c r="H13626" i="6"/>
  <c r="H13627" i="6"/>
  <c r="H13628" i="6"/>
  <c r="H3" i="6"/>
  <c r="I3" i="5" s="1"/>
  <c r="J3" i="5" s="1"/>
  <c r="N4" i="6"/>
  <c r="K3" i="6"/>
  <c r="M3" i="6"/>
  <c r="K4" i="6"/>
  <c r="M4" i="6"/>
  <c r="H3" i="5"/>
  <c r="G3" i="5"/>
  <c r="L4" i="6" s="1"/>
  <c r="L3" i="6" l="1"/>
  <c r="N3" i="6"/>
  <c r="K3" i="5"/>
  <c r="L3" i="4"/>
  <c r="B3" i="1"/>
  <c r="N602" i="9" l="1"/>
  <c r="I602" i="9"/>
  <c r="N601" i="9"/>
  <c r="I601" i="9"/>
  <c r="N600" i="9"/>
  <c r="I600" i="9"/>
  <c r="N599" i="9"/>
  <c r="I599" i="9"/>
  <c r="N598" i="9"/>
  <c r="I598" i="9"/>
  <c r="N597" i="9"/>
  <c r="I597" i="9"/>
  <c r="N596" i="9"/>
  <c r="I596" i="9"/>
  <c r="N595" i="9"/>
  <c r="I595" i="9"/>
  <c r="N594" i="9"/>
  <c r="I594" i="9"/>
  <c r="N593" i="9"/>
  <c r="I593" i="9"/>
  <c r="N592" i="9"/>
  <c r="I592" i="9"/>
  <c r="N591" i="9"/>
  <c r="I591" i="9"/>
  <c r="N590" i="9"/>
  <c r="I590" i="9"/>
  <c r="N589" i="9"/>
  <c r="I589" i="9"/>
  <c r="N588" i="9"/>
  <c r="I588" i="9"/>
  <c r="N587" i="9"/>
  <c r="I587" i="9"/>
  <c r="N586" i="9"/>
  <c r="I586" i="9"/>
  <c r="N585" i="9"/>
  <c r="I585" i="9"/>
  <c r="N584" i="9"/>
  <c r="I584" i="9"/>
  <c r="N583" i="9"/>
  <c r="I583" i="9"/>
  <c r="N582" i="9"/>
  <c r="I582" i="9"/>
  <c r="N581" i="9"/>
  <c r="I581" i="9"/>
  <c r="N580" i="9"/>
  <c r="I580" i="9"/>
  <c r="N579" i="9"/>
  <c r="I579" i="9"/>
  <c r="N578" i="9"/>
  <c r="I578" i="9"/>
  <c r="N577" i="9"/>
  <c r="I577" i="9"/>
  <c r="N576" i="9"/>
  <c r="I576" i="9"/>
  <c r="N575" i="9"/>
  <c r="I575" i="9"/>
  <c r="N574" i="9"/>
  <c r="I574" i="9"/>
  <c r="N573" i="9"/>
  <c r="I573" i="9"/>
  <c r="N572" i="9"/>
  <c r="I572" i="9"/>
  <c r="N571" i="9"/>
  <c r="I571" i="9"/>
  <c r="N570" i="9"/>
  <c r="I570" i="9"/>
  <c r="N569" i="9"/>
  <c r="I569" i="9"/>
  <c r="N568" i="9"/>
  <c r="I568" i="9"/>
  <c r="N567" i="9"/>
  <c r="I567" i="9"/>
  <c r="N566" i="9"/>
  <c r="I566" i="9"/>
  <c r="N565" i="9"/>
  <c r="I565" i="9"/>
  <c r="N564" i="9"/>
  <c r="I564" i="9"/>
  <c r="N563" i="9"/>
  <c r="I563" i="9"/>
  <c r="N562" i="9"/>
  <c r="I562" i="9"/>
  <c r="N561" i="9"/>
  <c r="I561" i="9"/>
  <c r="N560" i="9"/>
  <c r="I560" i="9"/>
  <c r="N559" i="9"/>
  <c r="I559" i="9"/>
  <c r="N558" i="9"/>
  <c r="I558" i="9"/>
  <c r="N557" i="9"/>
  <c r="I557" i="9"/>
  <c r="N556" i="9"/>
  <c r="I556" i="9"/>
  <c r="N555" i="9"/>
  <c r="I555" i="9"/>
  <c r="N554" i="9"/>
  <c r="I554" i="9"/>
  <c r="N553" i="9"/>
  <c r="I553" i="9"/>
  <c r="N552" i="9"/>
  <c r="I552" i="9"/>
  <c r="N551" i="9"/>
  <c r="I551" i="9"/>
  <c r="N550" i="9"/>
  <c r="I550" i="9"/>
  <c r="N549" i="9"/>
  <c r="I549" i="9"/>
  <c r="N548" i="9"/>
  <c r="I548" i="9"/>
  <c r="N547" i="9"/>
  <c r="I547" i="9"/>
  <c r="N546" i="9"/>
  <c r="I546" i="9"/>
  <c r="N545" i="9"/>
  <c r="I545" i="9"/>
  <c r="N544" i="9"/>
  <c r="I544" i="9"/>
  <c r="N543" i="9"/>
  <c r="I543" i="9"/>
  <c r="N542" i="9"/>
  <c r="I542" i="9"/>
  <c r="N541" i="9"/>
  <c r="I541" i="9"/>
  <c r="N540" i="9"/>
  <c r="I540" i="9"/>
  <c r="N539" i="9"/>
  <c r="I539" i="9"/>
  <c r="N538" i="9"/>
  <c r="I538" i="9"/>
  <c r="N537" i="9"/>
  <c r="I537" i="9"/>
  <c r="N536" i="9"/>
  <c r="I536" i="9"/>
  <c r="N535" i="9"/>
  <c r="I535" i="9"/>
  <c r="N534" i="9"/>
  <c r="I534" i="9"/>
  <c r="N533" i="9"/>
  <c r="I533" i="9"/>
  <c r="N532" i="9"/>
  <c r="I532" i="9"/>
  <c r="N531" i="9"/>
  <c r="I531" i="9"/>
  <c r="N530" i="9"/>
  <c r="I530" i="9"/>
  <c r="N529" i="9"/>
  <c r="I529" i="9"/>
  <c r="N528" i="9"/>
  <c r="I528" i="9"/>
  <c r="N527" i="9"/>
  <c r="I527" i="9"/>
  <c r="N526" i="9"/>
  <c r="I526" i="9"/>
  <c r="N525" i="9"/>
  <c r="I525" i="9"/>
  <c r="N524" i="9"/>
  <c r="I524" i="9"/>
  <c r="N523" i="9"/>
  <c r="I523" i="9"/>
  <c r="N522" i="9"/>
  <c r="I522" i="9"/>
  <c r="N521" i="9"/>
  <c r="I521" i="9"/>
  <c r="N520" i="9"/>
  <c r="I520" i="9"/>
  <c r="N519" i="9"/>
  <c r="I519" i="9"/>
  <c r="N518" i="9"/>
  <c r="I518" i="9"/>
  <c r="N517" i="9"/>
  <c r="I517" i="9"/>
  <c r="N516" i="9"/>
  <c r="I516" i="9"/>
  <c r="N515" i="9"/>
  <c r="I515" i="9"/>
  <c r="N514" i="9"/>
  <c r="I514" i="9"/>
  <c r="N513" i="9"/>
  <c r="I513" i="9"/>
  <c r="N512" i="9"/>
  <c r="I512" i="9"/>
  <c r="N511" i="9"/>
  <c r="I511" i="9"/>
  <c r="N510" i="9"/>
  <c r="I510" i="9"/>
  <c r="N509" i="9"/>
  <c r="I509" i="9"/>
  <c r="N508" i="9"/>
  <c r="I508" i="9"/>
  <c r="N507" i="9"/>
  <c r="I507" i="9"/>
  <c r="N506" i="9"/>
  <c r="I506" i="9"/>
  <c r="N505" i="9"/>
  <c r="I505" i="9"/>
  <c r="N504" i="9"/>
  <c r="I504" i="9"/>
  <c r="N503" i="9"/>
  <c r="I503" i="9"/>
  <c r="N502" i="9"/>
  <c r="I502" i="9"/>
  <c r="N501" i="9"/>
  <c r="I501" i="9"/>
  <c r="N500" i="9"/>
  <c r="I500" i="9"/>
  <c r="N499" i="9"/>
  <c r="I499" i="9"/>
  <c r="N498" i="9"/>
  <c r="I498" i="9"/>
  <c r="N497" i="9"/>
  <c r="I497" i="9"/>
  <c r="N496" i="9"/>
  <c r="I496" i="9"/>
  <c r="N495" i="9"/>
  <c r="I495" i="9"/>
  <c r="N494" i="9"/>
  <c r="I494" i="9"/>
  <c r="N493" i="9"/>
  <c r="I493" i="9"/>
  <c r="N492" i="9"/>
  <c r="I492" i="9"/>
  <c r="N491" i="9"/>
  <c r="I491" i="9"/>
  <c r="N490" i="9"/>
  <c r="I490" i="9"/>
  <c r="N489" i="9"/>
  <c r="I489" i="9"/>
  <c r="N488" i="9"/>
  <c r="I488" i="9"/>
  <c r="N487" i="9"/>
  <c r="I487" i="9"/>
  <c r="N486" i="9"/>
  <c r="I486" i="9"/>
  <c r="N485" i="9"/>
  <c r="I485" i="9"/>
  <c r="N484" i="9"/>
  <c r="I484" i="9"/>
  <c r="N483" i="9"/>
  <c r="I483" i="9"/>
  <c r="N482" i="9"/>
  <c r="I482" i="9"/>
  <c r="N481" i="9"/>
  <c r="I481" i="9"/>
  <c r="N480" i="9"/>
  <c r="I480" i="9"/>
  <c r="N479" i="9"/>
  <c r="I479" i="9"/>
  <c r="N478" i="9"/>
  <c r="I478" i="9"/>
  <c r="N477" i="9"/>
  <c r="I477" i="9"/>
  <c r="N476" i="9"/>
  <c r="I476" i="9"/>
  <c r="N475" i="9"/>
  <c r="I475" i="9"/>
  <c r="N474" i="9"/>
  <c r="I474" i="9"/>
  <c r="N473" i="9"/>
  <c r="I473" i="9"/>
  <c r="N472" i="9"/>
  <c r="I472" i="9"/>
  <c r="N471" i="9"/>
  <c r="I471" i="9"/>
  <c r="N470" i="9"/>
  <c r="I470" i="9"/>
  <c r="N469" i="9"/>
  <c r="I469" i="9"/>
  <c r="N468" i="9"/>
  <c r="I468" i="9"/>
  <c r="N467" i="9"/>
  <c r="I467" i="9"/>
  <c r="N466" i="9"/>
  <c r="I466" i="9"/>
  <c r="N465" i="9"/>
  <c r="I465" i="9"/>
  <c r="N464" i="9"/>
  <c r="I464" i="9"/>
  <c r="N463" i="9"/>
  <c r="I463" i="9"/>
  <c r="N462" i="9"/>
  <c r="I462" i="9"/>
  <c r="N461" i="9"/>
  <c r="I461" i="9"/>
  <c r="N460" i="9"/>
  <c r="I460" i="9"/>
  <c r="N459" i="9"/>
  <c r="I459" i="9"/>
  <c r="N458" i="9"/>
  <c r="I458" i="9"/>
  <c r="N457" i="9"/>
  <c r="I457" i="9"/>
  <c r="N456" i="9"/>
  <c r="I456" i="9"/>
  <c r="N455" i="9"/>
  <c r="I455" i="9"/>
  <c r="N454" i="9"/>
  <c r="I454" i="9"/>
  <c r="N453" i="9"/>
  <c r="I453" i="9"/>
  <c r="N452" i="9"/>
  <c r="I452" i="9"/>
  <c r="N451" i="9"/>
  <c r="I451" i="9"/>
  <c r="N450" i="9"/>
  <c r="I450" i="9"/>
  <c r="N449" i="9"/>
  <c r="I449" i="9"/>
  <c r="N448" i="9"/>
  <c r="I448" i="9"/>
  <c r="N447" i="9"/>
  <c r="I447" i="9"/>
  <c r="N446" i="9"/>
  <c r="I446" i="9"/>
  <c r="N445" i="9"/>
  <c r="I445" i="9"/>
  <c r="N444" i="9"/>
  <c r="I444" i="9"/>
  <c r="N443" i="9"/>
  <c r="I443" i="9"/>
  <c r="N442" i="9"/>
  <c r="I442" i="9"/>
  <c r="N441" i="9"/>
  <c r="I441" i="9"/>
  <c r="N440" i="9"/>
  <c r="I440" i="9"/>
  <c r="N439" i="9"/>
  <c r="I439" i="9"/>
  <c r="N438" i="9"/>
  <c r="I438" i="9"/>
  <c r="N437" i="9"/>
  <c r="I437" i="9"/>
  <c r="N436" i="9"/>
  <c r="I436" i="9"/>
  <c r="N435" i="9"/>
  <c r="I435" i="9"/>
  <c r="N434" i="9"/>
  <c r="I434" i="9"/>
  <c r="N433" i="9"/>
  <c r="I433" i="9"/>
  <c r="N432" i="9"/>
  <c r="I432" i="9"/>
  <c r="N431" i="9"/>
  <c r="I431" i="9"/>
  <c r="N430" i="9"/>
  <c r="I430" i="9"/>
  <c r="N429" i="9"/>
  <c r="I429" i="9"/>
  <c r="N428" i="9"/>
  <c r="I428" i="9"/>
  <c r="N427" i="9"/>
  <c r="I427" i="9"/>
  <c r="N426" i="9"/>
  <c r="I426" i="9"/>
  <c r="N425" i="9"/>
  <c r="I425" i="9"/>
  <c r="N424" i="9"/>
  <c r="I424" i="9"/>
  <c r="N423" i="9"/>
  <c r="I423" i="9"/>
  <c r="N422" i="9"/>
  <c r="I422" i="9"/>
  <c r="N421" i="9"/>
  <c r="I421" i="9"/>
  <c r="N420" i="9"/>
  <c r="I420" i="9"/>
  <c r="N419" i="9"/>
  <c r="I419" i="9"/>
  <c r="N418" i="9"/>
  <c r="I418" i="9"/>
  <c r="N417" i="9"/>
  <c r="I417" i="9"/>
  <c r="N416" i="9"/>
  <c r="I416" i="9"/>
  <c r="N415" i="9"/>
  <c r="I415" i="9"/>
  <c r="N414" i="9"/>
  <c r="I414" i="9"/>
  <c r="N413" i="9"/>
  <c r="I413" i="9"/>
  <c r="N412" i="9"/>
  <c r="I412" i="9"/>
  <c r="N411" i="9"/>
  <c r="I411" i="9"/>
  <c r="N410" i="9"/>
  <c r="I410" i="9"/>
  <c r="N409" i="9"/>
  <c r="I409" i="9"/>
  <c r="N408" i="9"/>
  <c r="I408" i="9"/>
  <c r="N407" i="9"/>
  <c r="I407" i="9"/>
  <c r="N406" i="9"/>
  <c r="I406" i="9"/>
  <c r="N405" i="9"/>
  <c r="I405" i="9"/>
  <c r="N404" i="9"/>
  <c r="I404" i="9"/>
  <c r="N403" i="9"/>
  <c r="I403" i="9"/>
  <c r="N402" i="9"/>
  <c r="I402" i="9"/>
  <c r="N401" i="9"/>
  <c r="I401" i="9"/>
  <c r="N400" i="9"/>
  <c r="I400" i="9"/>
  <c r="N399" i="9"/>
  <c r="I399" i="9"/>
  <c r="N398" i="9"/>
  <c r="I398" i="9"/>
  <c r="N397" i="9"/>
  <c r="I397" i="9"/>
  <c r="N396" i="9"/>
  <c r="I396" i="9"/>
  <c r="N395" i="9"/>
  <c r="I395" i="9"/>
  <c r="N394" i="9"/>
  <c r="I394" i="9"/>
  <c r="N393" i="9"/>
  <c r="I393" i="9"/>
  <c r="N392" i="9"/>
  <c r="I392" i="9"/>
  <c r="N391" i="9"/>
  <c r="I391" i="9"/>
  <c r="N390" i="9"/>
  <c r="I390" i="9"/>
  <c r="N389" i="9"/>
  <c r="I389" i="9"/>
  <c r="N388" i="9"/>
  <c r="I388" i="9"/>
  <c r="N387" i="9"/>
  <c r="I387" i="9"/>
  <c r="N386" i="9"/>
  <c r="I386" i="9"/>
  <c r="N385" i="9"/>
  <c r="I385" i="9"/>
  <c r="N384" i="9"/>
  <c r="I384" i="9"/>
  <c r="N383" i="9"/>
  <c r="I383" i="9"/>
  <c r="N382" i="9"/>
  <c r="I382" i="9"/>
  <c r="N381" i="9"/>
  <c r="I381" i="9"/>
  <c r="N380" i="9"/>
  <c r="I380" i="9"/>
  <c r="N379" i="9"/>
  <c r="I379" i="9"/>
  <c r="N378" i="9"/>
  <c r="I378" i="9"/>
  <c r="N377" i="9"/>
  <c r="I377" i="9"/>
  <c r="N376" i="9"/>
  <c r="I376" i="9"/>
  <c r="N375" i="9"/>
  <c r="I375" i="9"/>
  <c r="N374" i="9"/>
  <c r="I374" i="9"/>
  <c r="N373" i="9"/>
  <c r="I373" i="9"/>
  <c r="N372" i="9"/>
  <c r="I372" i="9"/>
  <c r="N371" i="9"/>
  <c r="I371" i="9"/>
  <c r="N370" i="9"/>
  <c r="I370" i="9"/>
  <c r="N369" i="9"/>
  <c r="I369" i="9"/>
  <c r="N368" i="9"/>
  <c r="I368" i="9"/>
  <c r="N367" i="9"/>
  <c r="I367" i="9"/>
  <c r="N366" i="9"/>
  <c r="I366" i="9"/>
  <c r="N365" i="9"/>
  <c r="I365" i="9"/>
  <c r="N364" i="9"/>
  <c r="I364" i="9"/>
  <c r="N363" i="9"/>
  <c r="I363" i="9"/>
  <c r="N362" i="9"/>
  <c r="I362" i="9"/>
  <c r="N361" i="9"/>
  <c r="I361" i="9"/>
  <c r="N360" i="9"/>
  <c r="I360" i="9"/>
  <c r="N359" i="9"/>
  <c r="I359" i="9"/>
  <c r="N358" i="9"/>
  <c r="I358" i="9"/>
  <c r="N357" i="9"/>
  <c r="I357" i="9"/>
  <c r="N356" i="9"/>
  <c r="I356" i="9"/>
  <c r="N355" i="9"/>
  <c r="I355" i="9"/>
  <c r="N354" i="9"/>
  <c r="I354" i="9"/>
  <c r="N353" i="9"/>
  <c r="I353" i="9"/>
  <c r="N352" i="9"/>
  <c r="I352" i="9"/>
  <c r="N351" i="9"/>
  <c r="I351" i="9"/>
  <c r="N350" i="9"/>
  <c r="I350" i="9"/>
  <c r="N349" i="9"/>
  <c r="I349" i="9"/>
  <c r="N348" i="9"/>
  <c r="I348" i="9"/>
  <c r="N347" i="9"/>
  <c r="I347" i="9"/>
  <c r="N346" i="9"/>
  <c r="I346" i="9"/>
  <c r="N345" i="9"/>
  <c r="I345" i="9"/>
  <c r="N344" i="9"/>
  <c r="I344" i="9"/>
  <c r="N343" i="9"/>
  <c r="I343" i="9"/>
  <c r="N342" i="9"/>
  <c r="I342" i="9"/>
  <c r="N341" i="9"/>
  <c r="I341" i="9"/>
  <c r="N340" i="9"/>
  <c r="I340" i="9"/>
  <c r="N339" i="9"/>
  <c r="I339" i="9"/>
  <c r="N338" i="9"/>
  <c r="I338" i="9"/>
  <c r="N337" i="9"/>
  <c r="I337" i="9"/>
  <c r="N336" i="9"/>
  <c r="I336" i="9"/>
  <c r="N335" i="9"/>
  <c r="I335" i="9"/>
  <c r="N334" i="9"/>
  <c r="I334" i="9"/>
  <c r="N333" i="9"/>
  <c r="I333" i="9"/>
  <c r="N332" i="9"/>
  <c r="I332" i="9"/>
  <c r="N331" i="9"/>
  <c r="I331" i="9"/>
  <c r="N330" i="9"/>
  <c r="I330" i="9"/>
  <c r="N329" i="9"/>
  <c r="I329" i="9"/>
  <c r="N328" i="9"/>
  <c r="I328" i="9"/>
  <c r="N327" i="9"/>
  <c r="I327" i="9"/>
  <c r="N326" i="9"/>
  <c r="I326" i="9"/>
  <c r="N325" i="9"/>
  <c r="I325" i="9"/>
  <c r="N324" i="9"/>
  <c r="I324" i="9"/>
  <c r="N323" i="9"/>
  <c r="I323" i="9"/>
  <c r="N322" i="9"/>
  <c r="I322" i="9"/>
  <c r="N321" i="9"/>
  <c r="I321" i="9"/>
  <c r="N320" i="9"/>
  <c r="I320" i="9"/>
  <c r="N319" i="9"/>
  <c r="I319" i="9"/>
  <c r="N318" i="9"/>
  <c r="I318" i="9"/>
  <c r="N317" i="9"/>
  <c r="I317" i="9"/>
  <c r="N316" i="9"/>
  <c r="I316" i="9"/>
  <c r="N315" i="9"/>
  <c r="I315" i="9"/>
  <c r="N314" i="9"/>
  <c r="I314" i="9"/>
  <c r="N313" i="9"/>
  <c r="I313" i="9"/>
  <c r="N312" i="9"/>
  <c r="I312" i="9"/>
  <c r="N311" i="9"/>
  <c r="I311" i="9"/>
  <c r="N310" i="9"/>
  <c r="I310" i="9"/>
  <c r="N309" i="9"/>
  <c r="I309" i="9"/>
  <c r="N308" i="9"/>
  <c r="I308" i="9"/>
  <c r="N307" i="9"/>
  <c r="I307" i="9"/>
  <c r="N306" i="9"/>
  <c r="I306" i="9"/>
  <c r="N305" i="9"/>
  <c r="I305" i="9"/>
  <c r="N304" i="9"/>
  <c r="I304" i="9"/>
  <c r="N303" i="9"/>
  <c r="I303" i="9"/>
  <c r="N302" i="9"/>
  <c r="I302" i="9"/>
  <c r="N301" i="9"/>
  <c r="I301" i="9"/>
  <c r="N300" i="9"/>
  <c r="I300" i="9"/>
  <c r="N299" i="9"/>
  <c r="I299" i="9"/>
  <c r="N298" i="9"/>
  <c r="I298" i="9"/>
  <c r="N297" i="9"/>
  <c r="I297" i="9"/>
  <c r="N296" i="9"/>
  <c r="I296" i="9"/>
  <c r="N295" i="9"/>
  <c r="I295" i="9"/>
  <c r="N294" i="9"/>
  <c r="I294" i="9"/>
  <c r="N293" i="9"/>
  <c r="I293" i="9"/>
  <c r="N292" i="9"/>
  <c r="I292" i="9"/>
  <c r="N291" i="9"/>
  <c r="I291" i="9"/>
  <c r="N290" i="9"/>
  <c r="I290" i="9"/>
  <c r="N289" i="9"/>
  <c r="I289" i="9"/>
  <c r="N288" i="9"/>
  <c r="I288" i="9"/>
  <c r="N287" i="9"/>
  <c r="I287" i="9"/>
  <c r="N286" i="9"/>
  <c r="I286" i="9"/>
  <c r="N285" i="9"/>
  <c r="I285" i="9"/>
  <c r="N284" i="9"/>
  <c r="I284" i="9"/>
  <c r="N283" i="9"/>
  <c r="I283" i="9"/>
  <c r="N282" i="9"/>
  <c r="I282" i="9"/>
  <c r="N281" i="9"/>
  <c r="I281" i="9"/>
  <c r="N280" i="9"/>
  <c r="I280" i="9"/>
  <c r="N279" i="9"/>
  <c r="I279" i="9"/>
  <c r="N278" i="9"/>
  <c r="I278" i="9"/>
  <c r="N277" i="9"/>
  <c r="I277" i="9"/>
  <c r="N276" i="9"/>
  <c r="I276" i="9"/>
  <c r="N275" i="9"/>
  <c r="I275" i="9"/>
  <c r="N274" i="9"/>
  <c r="I274" i="9"/>
  <c r="N273" i="9"/>
  <c r="I273" i="9"/>
  <c r="N272" i="9"/>
  <c r="I272" i="9"/>
  <c r="N271" i="9"/>
  <c r="I271" i="9"/>
  <c r="N270" i="9"/>
  <c r="I270" i="9"/>
  <c r="N269" i="9"/>
  <c r="I269" i="9"/>
  <c r="N268" i="9"/>
  <c r="I268" i="9"/>
  <c r="N267" i="9"/>
  <c r="I267" i="9"/>
  <c r="N266" i="9"/>
  <c r="I266" i="9"/>
  <c r="N265" i="9"/>
  <c r="I265" i="9"/>
  <c r="N264" i="9"/>
  <c r="I264" i="9"/>
  <c r="N263" i="9"/>
  <c r="I263" i="9"/>
  <c r="N262" i="9"/>
  <c r="I262" i="9"/>
  <c r="N261" i="9"/>
  <c r="I261" i="9"/>
  <c r="N260" i="9"/>
  <c r="I260" i="9"/>
  <c r="N259" i="9"/>
  <c r="I259" i="9"/>
  <c r="N258" i="9"/>
  <c r="I258" i="9"/>
  <c r="N257" i="9"/>
  <c r="I257" i="9"/>
  <c r="N256" i="9"/>
  <c r="I256" i="9"/>
  <c r="N255" i="9"/>
  <c r="I255" i="9"/>
  <c r="N254" i="9"/>
  <c r="I254" i="9"/>
  <c r="N253" i="9"/>
  <c r="I253" i="9"/>
  <c r="N252" i="9"/>
  <c r="I252" i="9"/>
  <c r="N251" i="9"/>
  <c r="I251" i="9"/>
  <c r="N250" i="9"/>
  <c r="I250" i="9"/>
  <c r="N249" i="9"/>
  <c r="I249" i="9"/>
  <c r="N248" i="9"/>
  <c r="I248" i="9"/>
  <c r="N247" i="9"/>
  <c r="I247" i="9"/>
  <c r="N246" i="9"/>
  <c r="I246" i="9"/>
  <c r="N245" i="9"/>
  <c r="I245" i="9"/>
  <c r="N244" i="9"/>
  <c r="I244" i="9"/>
  <c r="N243" i="9"/>
  <c r="I243" i="9"/>
  <c r="N242" i="9"/>
  <c r="I242" i="9"/>
  <c r="N241" i="9"/>
  <c r="I241" i="9"/>
  <c r="N240" i="9"/>
  <c r="I240" i="9"/>
  <c r="N239" i="9"/>
  <c r="I239" i="9"/>
  <c r="N238" i="9"/>
  <c r="I238" i="9"/>
  <c r="N237" i="9"/>
  <c r="I237" i="9"/>
  <c r="N236" i="9"/>
  <c r="I236" i="9"/>
  <c r="N235" i="9"/>
  <c r="I235" i="9"/>
  <c r="N234" i="9"/>
  <c r="I234" i="9"/>
  <c r="N233" i="9"/>
  <c r="I233" i="9"/>
  <c r="N232" i="9"/>
  <c r="I232" i="9"/>
  <c r="N231" i="9"/>
  <c r="I231" i="9"/>
  <c r="N230" i="9"/>
  <c r="I230" i="9"/>
  <c r="N229" i="9"/>
  <c r="I229" i="9"/>
  <c r="N228" i="9"/>
  <c r="I228" i="9"/>
  <c r="N227" i="9"/>
  <c r="I227" i="9"/>
  <c r="N226" i="9"/>
  <c r="I226" i="9"/>
  <c r="N225" i="9"/>
  <c r="I225" i="9"/>
  <c r="N224" i="9"/>
  <c r="I224" i="9"/>
  <c r="N223" i="9"/>
  <c r="I223" i="9"/>
  <c r="N222" i="9"/>
  <c r="I222" i="9"/>
  <c r="N221" i="9"/>
  <c r="I221" i="9"/>
  <c r="N220" i="9"/>
  <c r="I220" i="9"/>
  <c r="N219" i="9"/>
  <c r="I219" i="9"/>
  <c r="N218" i="9"/>
  <c r="I218" i="9"/>
  <c r="N217" i="9"/>
  <c r="I217" i="9"/>
  <c r="N216" i="9"/>
  <c r="I216" i="9"/>
  <c r="N215" i="9"/>
  <c r="I215" i="9"/>
  <c r="N214" i="9"/>
  <c r="I214" i="9"/>
  <c r="N213" i="9"/>
  <c r="I213" i="9"/>
  <c r="N212" i="9"/>
  <c r="I212" i="9"/>
  <c r="N211" i="9"/>
  <c r="I211" i="9"/>
  <c r="N210" i="9"/>
  <c r="I210" i="9"/>
  <c r="N209" i="9"/>
  <c r="I209" i="9"/>
  <c r="N208" i="9"/>
  <c r="I208" i="9"/>
  <c r="N207" i="9"/>
  <c r="I207" i="9"/>
  <c r="N206" i="9"/>
  <c r="I206" i="9"/>
  <c r="N205" i="9"/>
  <c r="I205" i="9"/>
  <c r="N204" i="9"/>
  <c r="I204" i="9"/>
  <c r="N203" i="9"/>
  <c r="I203" i="9"/>
  <c r="N202" i="9"/>
  <c r="I202" i="9"/>
  <c r="N201" i="9"/>
  <c r="I201" i="9"/>
  <c r="N200" i="9"/>
  <c r="I200" i="9"/>
  <c r="N199" i="9"/>
  <c r="I199" i="9"/>
  <c r="N198" i="9"/>
  <c r="I198" i="9"/>
  <c r="N197" i="9"/>
  <c r="I197" i="9"/>
  <c r="N196" i="9"/>
  <c r="I196" i="9"/>
  <c r="N195" i="9"/>
  <c r="I195" i="9"/>
  <c r="N194" i="9"/>
  <c r="I194" i="9"/>
  <c r="N193" i="9"/>
  <c r="I193" i="9"/>
  <c r="N192" i="9"/>
  <c r="I192" i="9"/>
  <c r="N191" i="9"/>
  <c r="I191" i="9"/>
  <c r="N190" i="9"/>
  <c r="I190" i="9"/>
  <c r="N189" i="9"/>
  <c r="I189" i="9"/>
  <c r="N188" i="9"/>
  <c r="I188" i="9"/>
  <c r="N187" i="9"/>
  <c r="I187" i="9"/>
  <c r="N186" i="9"/>
  <c r="I186" i="9"/>
  <c r="N185" i="9"/>
  <c r="I185" i="9"/>
  <c r="N184" i="9"/>
  <c r="I184" i="9"/>
  <c r="N183" i="9"/>
  <c r="I183" i="9"/>
  <c r="N182" i="9"/>
  <c r="I182" i="9"/>
  <c r="N181" i="9"/>
  <c r="I181" i="9"/>
  <c r="N180" i="9"/>
  <c r="I180" i="9"/>
  <c r="N179" i="9"/>
  <c r="I179" i="9"/>
  <c r="N178" i="9"/>
  <c r="I178" i="9"/>
  <c r="N177" i="9"/>
  <c r="I177" i="9"/>
  <c r="N176" i="9"/>
  <c r="I176" i="9"/>
  <c r="N175" i="9"/>
  <c r="I175" i="9"/>
  <c r="N174" i="9"/>
  <c r="I174" i="9"/>
  <c r="N173" i="9"/>
  <c r="I173" i="9"/>
  <c r="N172" i="9"/>
  <c r="I172" i="9"/>
  <c r="N171" i="9"/>
  <c r="I171" i="9"/>
  <c r="N170" i="9"/>
  <c r="I170" i="9"/>
  <c r="N169" i="9"/>
  <c r="I169" i="9"/>
  <c r="N168" i="9"/>
  <c r="I168" i="9"/>
  <c r="N167" i="9"/>
  <c r="I167" i="9"/>
  <c r="N166" i="9"/>
  <c r="I166" i="9"/>
  <c r="N165" i="9"/>
  <c r="I165" i="9"/>
  <c r="N164" i="9"/>
  <c r="I164" i="9"/>
  <c r="N163" i="9"/>
  <c r="I163" i="9"/>
  <c r="N162" i="9"/>
  <c r="I162" i="9"/>
  <c r="N161" i="9"/>
  <c r="I161" i="9"/>
  <c r="N160" i="9"/>
  <c r="I160" i="9"/>
  <c r="N159" i="9"/>
  <c r="I159" i="9"/>
  <c r="N158" i="9"/>
  <c r="I158" i="9"/>
  <c r="N157" i="9"/>
  <c r="I157" i="9"/>
  <c r="N156" i="9"/>
  <c r="I156" i="9"/>
  <c r="N155" i="9"/>
  <c r="I155" i="9"/>
  <c r="N154" i="9"/>
  <c r="I154" i="9"/>
  <c r="N153" i="9"/>
  <c r="I153" i="9"/>
  <c r="N152" i="9"/>
  <c r="I152" i="9"/>
  <c r="N151" i="9"/>
  <c r="I151" i="9"/>
  <c r="N150" i="9"/>
  <c r="I150" i="9"/>
  <c r="N149" i="9"/>
  <c r="I149" i="9"/>
  <c r="N148" i="9"/>
  <c r="I148" i="9"/>
  <c r="N147" i="9"/>
  <c r="I147" i="9"/>
  <c r="N146" i="9"/>
  <c r="I146" i="9"/>
  <c r="N145" i="9"/>
  <c r="I145" i="9"/>
  <c r="N144" i="9"/>
  <c r="I144" i="9"/>
  <c r="N143" i="9"/>
  <c r="I143" i="9"/>
  <c r="N142" i="9"/>
  <c r="I142" i="9"/>
  <c r="N141" i="9"/>
  <c r="I141" i="9"/>
  <c r="N140" i="9"/>
  <c r="I140" i="9"/>
  <c r="N139" i="9"/>
  <c r="I139" i="9"/>
  <c r="N138" i="9"/>
  <c r="I138" i="9"/>
  <c r="N137" i="9"/>
  <c r="I137" i="9"/>
  <c r="N136" i="9"/>
  <c r="I136" i="9"/>
  <c r="N135" i="9"/>
  <c r="I135" i="9"/>
  <c r="N134" i="9"/>
  <c r="I134" i="9"/>
  <c r="N133" i="9"/>
  <c r="I133" i="9"/>
  <c r="N132" i="9"/>
  <c r="I132" i="9"/>
  <c r="N131" i="9"/>
  <c r="I131" i="9"/>
  <c r="N130" i="9"/>
  <c r="I130" i="9"/>
  <c r="N129" i="9"/>
  <c r="I129" i="9"/>
  <c r="N128" i="9"/>
  <c r="I128" i="9"/>
  <c r="N127" i="9"/>
  <c r="I127" i="9"/>
  <c r="N126" i="9"/>
  <c r="I126" i="9"/>
  <c r="N125" i="9"/>
  <c r="I125" i="9"/>
  <c r="N124" i="9"/>
  <c r="I124" i="9"/>
  <c r="N123" i="9"/>
  <c r="I123" i="9"/>
  <c r="N122" i="9"/>
  <c r="I122" i="9"/>
  <c r="N121" i="9"/>
  <c r="I121" i="9"/>
  <c r="N120" i="9"/>
  <c r="I120" i="9"/>
  <c r="N119" i="9"/>
  <c r="I119" i="9"/>
  <c r="N118" i="9"/>
  <c r="I118" i="9"/>
  <c r="N117" i="9"/>
  <c r="I117" i="9"/>
  <c r="N116" i="9"/>
  <c r="I116" i="9"/>
  <c r="N115" i="9"/>
  <c r="I115" i="9"/>
  <c r="N114" i="9"/>
  <c r="I114" i="9"/>
  <c r="N113" i="9"/>
  <c r="I113" i="9"/>
  <c r="N112" i="9"/>
  <c r="I112" i="9"/>
  <c r="N111" i="9"/>
  <c r="I111" i="9"/>
  <c r="N110" i="9"/>
  <c r="I110" i="9"/>
  <c r="N109" i="9"/>
  <c r="I109" i="9"/>
  <c r="N108" i="9"/>
  <c r="I108" i="9"/>
  <c r="N107" i="9"/>
  <c r="I107" i="9"/>
  <c r="N106" i="9"/>
  <c r="I106" i="9"/>
  <c r="N105" i="9"/>
  <c r="I105" i="9"/>
  <c r="N104" i="9"/>
  <c r="I104" i="9"/>
  <c r="N103" i="9"/>
  <c r="I103" i="9"/>
  <c r="N102" i="9"/>
  <c r="I102" i="9"/>
  <c r="N101" i="9"/>
  <c r="I101" i="9"/>
  <c r="N100" i="9"/>
  <c r="I100" i="9"/>
  <c r="N99" i="9"/>
  <c r="I99" i="9"/>
  <c r="N98" i="9"/>
  <c r="I98" i="9"/>
  <c r="N97" i="9"/>
  <c r="I97" i="9"/>
  <c r="N96" i="9"/>
  <c r="I96" i="9"/>
  <c r="N95" i="9"/>
  <c r="I95" i="9"/>
  <c r="N94" i="9"/>
  <c r="I94" i="9"/>
  <c r="N93" i="9"/>
  <c r="I93" i="9"/>
  <c r="N92" i="9"/>
  <c r="I92" i="9"/>
  <c r="N91" i="9"/>
  <c r="I91" i="9"/>
  <c r="N90" i="9"/>
  <c r="I90" i="9"/>
  <c r="N89" i="9"/>
  <c r="I89" i="9"/>
  <c r="N88" i="9"/>
  <c r="I88" i="9"/>
  <c r="N87" i="9"/>
  <c r="I87" i="9"/>
  <c r="N86" i="9"/>
  <c r="I86" i="9"/>
  <c r="N85" i="9"/>
  <c r="I85" i="9"/>
  <c r="N84" i="9"/>
  <c r="I84" i="9"/>
  <c r="N83" i="9"/>
  <c r="I83" i="9"/>
  <c r="N82" i="9"/>
  <c r="I82" i="9"/>
  <c r="N81" i="9"/>
  <c r="I81" i="9"/>
  <c r="N80" i="9"/>
  <c r="I80" i="9"/>
  <c r="N79" i="9"/>
  <c r="I79" i="9"/>
  <c r="N78" i="9"/>
  <c r="I78" i="9"/>
  <c r="N77" i="9"/>
  <c r="I77" i="9"/>
  <c r="N76" i="9"/>
  <c r="I76" i="9"/>
  <c r="N75" i="9"/>
  <c r="I75" i="9"/>
  <c r="N74" i="9"/>
  <c r="I74" i="9"/>
  <c r="N73" i="9"/>
  <c r="I73" i="9"/>
  <c r="N72" i="9"/>
  <c r="I72" i="9"/>
  <c r="N71" i="9"/>
  <c r="I71" i="9"/>
  <c r="N70" i="9"/>
  <c r="I70" i="9"/>
  <c r="N69" i="9"/>
  <c r="I69" i="9"/>
  <c r="N68" i="9"/>
  <c r="I68" i="9"/>
  <c r="N67" i="9"/>
  <c r="I67" i="9"/>
  <c r="N66" i="9"/>
  <c r="I66" i="9"/>
  <c r="N65" i="9"/>
  <c r="I65" i="9"/>
  <c r="N64" i="9"/>
  <c r="I64" i="9"/>
  <c r="N63" i="9"/>
  <c r="I63" i="9"/>
  <c r="N62" i="9"/>
  <c r="I62" i="9"/>
  <c r="N61" i="9"/>
  <c r="I61" i="9"/>
  <c r="N60" i="9"/>
  <c r="I60" i="9"/>
  <c r="N59" i="9"/>
  <c r="I59" i="9"/>
  <c r="N58" i="9"/>
  <c r="I58" i="9"/>
  <c r="N57" i="9"/>
  <c r="I57" i="9"/>
  <c r="N56" i="9"/>
  <c r="I56" i="9"/>
  <c r="N55" i="9"/>
  <c r="I55" i="9"/>
  <c r="N54" i="9"/>
  <c r="I54" i="9"/>
  <c r="N53" i="9"/>
  <c r="I53" i="9"/>
  <c r="N52" i="9"/>
  <c r="I52" i="9"/>
  <c r="N51" i="9"/>
  <c r="I51" i="9"/>
  <c r="N50" i="9"/>
  <c r="I50" i="9"/>
  <c r="N49" i="9"/>
  <c r="I49" i="9"/>
  <c r="N48" i="9"/>
  <c r="I48" i="9"/>
  <c r="N47" i="9"/>
  <c r="I47" i="9"/>
  <c r="N46" i="9"/>
  <c r="I46" i="9"/>
  <c r="N45" i="9"/>
  <c r="I45" i="9"/>
  <c r="N44" i="9"/>
  <c r="I44" i="9"/>
  <c r="N43" i="9"/>
  <c r="I43" i="9"/>
  <c r="N42" i="9"/>
  <c r="I42" i="9"/>
  <c r="N41" i="9"/>
  <c r="I41" i="9"/>
  <c r="N40" i="9"/>
  <c r="I40" i="9"/>
  <c r="N39" i="9"/>
  <c r="I39" i="9"/>
  <c r="N38" i="9"/>
  <c r="I38" i="9"/>
  <c r="N37" i="9"/>
  <c r="I37" i="9"/>
  <c r="N36" i="9"/>
  <c r="I36" i="9"/>
  <c r="N35" i="9"/>
  <c r="I35" i="9"/>
  <c r="N34" i="9"/>
  <c r="I34" i="9"/>
  <c r="N33" i="9"/>
  <c r="I33" i="9"/>
  <c r="N32" i="9"/>
  <c r="I32" i="9"/>
  <c r="N31" i="9"/>
  <c r="I31" i="9"/>
  <c r="N30" i="9"/>
  <c r="I30" i="9"/>
  <c r="N29" i="9"/>
  <c r="I29" i="9"/>
  <c r="N28" i="9"/>
  <c r="I28" i="9"/>
  <c r="N27" i="9"/>
  <c r="I27" i="9"/>
  <c r="N26" i="9"/>
  <c r="I26" i="9"/>
  <c r="N25" i="9"/>
  <c r="I25" i="9"/>
  <c r="N24" i="9"/>
  <c r="I24" i="9"/>
  <c r="N23" i="9"/>
  <c r="I23" i="9"/>
  <c r="N22" i="9"/>
  <c r="I22" i="9"/>
  <c r="N21" i="9"/>
  <c r="I21" i="9"/>
  <c r="N20" i="9"/>
  <c r="I20" i="9"/>
  <c r="N19" i="9"/>
  <c r="I19" i="9"/>
  <c r="N18" i="9"/>
  <c r="I18" i="9"/>
  <c r="N17" i="9"/>
  <c r="I17" i="9"/>
  <c r="N16" i="9"/>
  <c r="I16" i="9"/>
  <c r="N15" i="9"/>
  <c r="I15" i="9"/>
  <c r="N14" i="9"/>
  <c r="I14" i="9"/>
  <c r="N13" i="9"/>
  <c r="I13" i="9"/>
  <c r="N12" i="9"/>
  <c r="I12" i="9"/>
  <c r="N11" i="9"/>
  <c r="I11" i="9"/>
  <c r="N10" i="9"/>
  <c r="I10" i="9"/>
  <c r="N9" i="9"/>
  <c r="I9" i="9"/>
  <c r="N8" i="9"/>
  <c r="I8" i="9"/>
  <c r="N7" i="9"/>
  <c r="N6" i="9"/>
  <c r="N5" i="9"/>
  <c r="N4" i="9"/>
  <c r="G1504" i="8"/>
  <c r="F1504" i="8"/>
  <c r="I1504" i="8" s="1"/>
  <c r="G1503" i="8"/>
  <c r="F1503" i="8"/>
  <c r="I1503" i="8" s="1"/>
  <c r="G1502" i="8"/>
  <c r="F1502" i="8"/>
  <c r="I1502" i="8" s="1"/>
  <c r="G1501" i="8"/>
  <c r="F1501" i="8"/>
  <c r="I1501" i="8" s="1"/>
  <c r="G1500" i="8"/>
  <c r="F1500" i="8"/>
  <c r="I1500" i="8" s="1"/>
  <c r="G1499" i="8"/>
  <c r="F1499" i="8"/>
  <c r="I1499" i="8" s="1"/>
  <c r="G1498" i="8"/>
  <c r="F1498" i="8"/>
  <c r="I1498" i="8" s="1"/>
  <c r="G1497" i="8"/>
  <c r="F1497" i="8"/>
  <c r="I1497" i="8" s="1"/>
  <c r="G1496" i="8"/>
  <c r="F1496" i="8"/>
  <c r="I1496" i="8" s="1"/>
  <c r="G1495" i="8"/>
  <c r="F1495" i="8"/>
  <c r="I1495" i="8" s="1"/>
  <c r="G1494" i="8"/>
  <c r="F1494" i="8"/>
  <c r="I1494" i="8" s="1"/>
  <c r="G1493" i="8"/>
  <c r="F1493" i="8"/>
  <c r="I1493" i="8" s="1"/>
  <c r="G1492" i="8"/>
  <c r="F1492" i="8"/>
  <c r="I1492" i="8" s="1"/>
  <c r="G1491" i="8"/>
  <c r="F1491" i="8"/>
  <c r="I1491" i="8" s="1"/>
  <c r="G1490" i="8"/>
  <c r="F1490" i="8"/>
  <c r="I1490" i="8" s="1"/>
  <c r="G1489" i="8"/>
  <c r="F1489" i="8"/>
  <c r="I1489" i="8" s="1"/>
  <c r="G1488" i="8"/>
  <c r="F1488" i="8"/>
  <c r="I1488" i="8" s="1"/>
  <c r="G1487" i="8"/>
  <c r="F1487" i="8"/>
  <c r="I1487" i="8" s="1"/>
  <c r="G1486" i="8"/>
  <c r="F1486" i="8"/>
  <c r="I1486" i="8" s="1"/>
  <c r="G1485" i="8"/>
  <c r="F1485" i="8"/>
  <c r="I1485" i="8" s="1"/>
  <c r="G1484" i="8"/>
  <c r="F1484" i="8"/>
  <c r="I1484" i="8" s="1"/>
  <c r="G1483" i="8"/>
  <c r="F1483" i="8"/>
  <c r="I1483" i="8" s="1"/>
  <c r="G1482" i="8"/>
  <c r="F1482" i="8"/>
  <c r="I1482" i="8" s="1"/>
  <c r="G1481" i="8"/>
  <c r="F1481" i="8"/>
  <c r="I1481" i="8" s="1"/>
  <c r="G1480" i="8"/>
  <c r="F1480" i="8"/>
  <c r="I1480" i="8" s="1"/>
  <c r="G1479" i="8"/>
  <c r="F1479" i="8"/>
  <c r="I1479" i="8" s="1"/>
  <c r="G1478" i="8"/>
  <c r="F1478" i="8"/>
  <c r="I1478" i="8" s="1"/>
  <c r="G1477" i="8"/>
  <c r="F1477" i="8"/>
  <c r="I1477" i="8" s="1"/>
  <c r="G1476" i="8"/>
  <c r="F1476" i="8"/>
  <c r="I1476" i="8" s="1"/>
  <c r="G1475" i="8"/>
  <c r="F1475" i="8"/>
  <c r="I1475" i="8" s="1"/>
  <c r="G1474" i="8"/>
  <c r="F1474" i="8"/>
  <c r="I1474" i="8" s="1"/>
  <c r="G1473" i="8"/>
  <c r="F1473" i="8"/>
  <c r="I1473" i="8" s="1"/>
  <c r="G1472" i="8"/>
  <c r="F1472" i="8"/>
  <c r="I1472" i="8" s="1"/>
  <c r="G1471" i="8"/>
  <c r="F1471" i="8"/>
  <c r="I1471" i="8" s="1"/>
  <c r="G1470" i="8"/>
  <c r="F1470" i="8"/>
  <c r="I1470" i="8" s="1"/>
  <c r="G1469" i="8"/>
  <c r="F1469" i="8"/>
  <c r="I1469" i="8" s="1"/>
  <c r="G1468" i="8"/>
  <c r="F1468" i="8"/>
  <c r="I1468" i="8" s="1"/>
  <c r="G1467" i="8"/>
  <c r="F1467" i="8"/>
  <c r="I1467" i="8" s="1"/>
  <c r="G1466" i="8"/>
  <c r="F1466" i="8"/>
  <c r="I1466" i="8" s="1"/>
  <c r="G1465" i="8"/>
  <c r="F1465" i="8"/>
  <c r="I1465" i="8" s="1"/>
  <c r="G1464" i="8"/>
  <c r="F1464" i="8"/>
  <c r="I1464" i="8" s="1"/>
  <c r="G1463" i="8"/>
  <c r="F1463" i="8"/>
  <c r="I1463" i="8" s="1"/>
  <c r="G1462" i="8"/>
  <c r="F1462" i="8"/>
  <c r="I1462" i="8" s="1"/>
  <c r="G1461" i="8"/>
  <c r="F1461" i="8"/>
  <c r="I1461" i="8" s="1"/>
  <c r="G1460" i="8"/>
  <c r="F1460" i="8"/>
  <c r="I1460" i="8" s="1"/>
  <c r="G1459" i="8"/>
  <c r="F1459" i="8"/>
  <c r="I1459" i="8" s="1"/>
  <c r="G1458" i="8"/>
  <c r="F1458" i="8"/>
  <c r="I1458" i="8" s="1"/>
  <c r="G1457" i="8"/>
  <c r="F1457" i="8"/>
  <c r="I1457" i="8" s="1"/>
  <c r="G1456" i="8"/>
  <c r="F1456" i="8"/>
  <c r="I1456" i="8" s="1"/>
  <c r="G1455" i="8"/>
  <c r="F1455" i="8"/>
  <c r="I1455" i="8" s="1"/>
  <c r="G1454" i="8"/>
  <c r="F1454" i="8"/>
  <c r="I1454" i="8" s="1"/>
  <c r="G1453" i="8"/>
  <c r="F1453" i="8"/>
  <c r="I1453" i="8" s="1"/>
  <c r="G1452" i="8"/>
  <c r="F1452" i="8"/>
  <c r="I1452" i="8" s="1"/>
  <c r="G1451" i="8"/>
  <c r="F1451" i="8"/>
  <c r="I1451" i="8" s="1"/>
  <c r="G1450" i="8"/>
  <c r="F1450" i="8"/>
  <c r="I1450" i="8" s="1"/>
  <c r="G1449" i="8"/>
  <c r="F1449" i="8"/>
  <c r="I1449" i="8" s="1"/>
  <c r="G1448" i="8"/>
  <c r="F1448" i="8"/>
  <c r="I1448" i="8" s="1"/>
  <c r="G1447" i="8"/>
  <c r="F1447" i="8"/>
  <c r="I1447" i="8" s="1"/>
  <c r="G1446" i="8"/>
  <c r="F1446" i="8"/>
  <c r="I1446" i="8" s="1"/>
  <c r="G1445" i="8"/>
  <c r="F1445" i="8"/>
  <c r="I1445" i="8" s="1"/>
  <c r="G1444" i="8"/>
  <c r="F1444" i="8"/>
  <c r="I1444" i="8" s="1"/>
  <c r="G1443" i="8"/>
  <c r="F1443" i="8"/>
  <c r="I1443" i="8" s="1"/>
  <c r="G1442" i="8"/>
  <c r="F1442" i="8"/>
  <c r="I1442" i="8" s="1"/>
  <c r="G1441" i="8"/>
  <c r="F1441" i="8"/>
  <c r="I1441" i="8" s="1"/>
  <c r="G1440" i="8"/>
  <c r="F1440" i="8"/>
  <c r="I1440" i="8" s="1"/>
  <c r="G1439" i="8"/>
  <c r="F1439" i="8"/>
  <c r="I1439" i="8" s="1"/>
  <c r="G1438" i="8"/>
  <c r="F1438" i="8"/>
  <c r="I1438" i="8" s="1"/>
  <c r="G1437" i="8"/>
  <c r="F1437" i="8"/>
  <c r="I1437" i="8" s="1"/>
  <c r="G1436" i="8"/>
  <c r="F1436" i="8"/>
  <c r="I1436" i="8" s="1"/>
  <c r="G1435" i="8"/>
  <c r="F1435" i="8"/>
  <c r="I1435" i="8" s="1"/>
  <c r="G1434" i="8"/>
  <c r="F1434" i="8"/>
  <c r="I1434" i="8" s="1"/>
  <c r="G1433" i="8"/>
  <c r="F1433" i="8"/>
  <c r="I1433" i="8" s="1"/>
  <c r="G1432" i="8"/>
  <c r="F1432" i="8"/>
  <c r="I1432" i="8" s="1"/>
  <c r="G1431" i="8"/>
  <c r="F1431" i="8"/>
  <c r="I1431" i="8" s="1"/>
  <c r="G1430" i="8"/>
  <c r="F1430" i="8"/>
  <c r="I1430" i="8" s="1"/>
  <c r="G1429" i="8"/>
  <c r="F1429" i="8"/>
  <c r="I1429" i="8" s="1"/>
  <c r="G1428" i="8"/>
  <c r="F1428" i="8"/>
  <c r="I1428" i="8" s="1"/>
  <c r="G1427" i="8"/>
  <c r="F1427" i="8"/>
  <c r="I1427" i="8" s="1"/>
  <c r="G1426" i="8"/>
  <c r="F1426" i="8"/>
  <c r="I1426" i="8" s="1"/>
  <c r="G1425" i="8"/>
  <c r="F1425" i="8"/>
  <c r="I1425" i="8" s="1"/>
  <c r="G1424" i="8"/>
  <c r="F1424" i="8"/>
  <c r="I1424" i="8" s="1"/>
  <c r="G1423" i="8"/>
  <c r="F1423" i="8"/>
  <c r="I1423" i="8" s="1"/>
  <c r="G1422" i="8"/>
  <c r="F1422" i="8"/>
  <c r="I1422" i="8" s="1"/>
  <c r="G1421" i="8"/>
  <c r="F1421" i="8"/>
  <c r="I1421" i="8" s="1"/>
  <c r="G1420" i="8"/>
  <c r="F1420" i="8"/>
  <c r="I1420" i="8" s="1"/>
  <c r="G1419" i="8"/>
  <c r="F1419" i="8"/>
  <c r="I1419" i="8" s="1"/>
  <c r="G1418" i="8"/>
  <c r="F1418" i="8"/>
  <c r="I1418" i="8" s="1"/>
  <c r="G1417" i="8"/>
  <c r="F1417" i="8"/>
  <c r="I1417" i="8" s="1"/>
  <c r="G1416" i="8"/>
  <c r="F1416" i="8"/>
  <c r="I1416" i="8" s="1"/>
  <c r="G1415" i="8"/>
  <c r="F1415" i="8"/>
  <c r="I1415" i="8" s="1"/>
  <c r="G1414" i="8"/>
  <c r="F1414" i="8"/>
  <c r="I1414" i="8" s="1"/>
  <c r="G1413" i="8"/>
  <c r="F1413" i="8"/>
  <c r="I1413" i="8" s="1"/>
  <c r="G1412" i="8"/>
  <c r="F1412" i="8"/>
  <c r="I1412" i="8" s="1"/>
  <c r="G1411" i="8"/>
  <c r="F1411" i="8"/>
  <c r="I1411" i="8" s="1"/>
  <c r="G1410" i="8"/>
  <c r="F1410" i="8"/>
  <c r="I1410" i="8" s="1"/>
  <c r="G1409" i="8"/>
  <c r="F1409" i="8"/>
  <c r="I1409" i="8" s="1"/>
  <c r="G1408" i="8"/>
  <c r="F1408" i="8"/>
  <c r="I1408" i="8" s="1"/>
  <c r="G1407" i="8"/>
  <c r="F1407" i="8"/>
  <c r="I1407" i="8" s="1"/>
  <c r="G1406" i="8"/>
  <c r="F1406" i="8"/>
  <c r="I1406" i="8" s="1"/>
  <c r="G1405" i="8"/>
  <c r="F1405" i="8"/>
  <c r="I1405" i="8" s="1"/>
  <c r="G1404" i="8"/>
  <c r="F1404" i="8"/>
  <c r="I1404" i="8" s="1"/>
  <c r="G1403" i="8"/>
  <c r="F1403" i="8"/>
  <c r="I1403" i="8" s="1"/>
  <c r="G1402" i="8"/>
  <c r="F1402" i="8"/>
  <c r="I1402" i="8" s="1"/>
  <c r="G1401" i="8"/>
  <c r="F1401" i="8"/>
  <c r="I1401" i="8" s="1"/>
  <c r="G1400" i="8"/>
  <c r="F1400" i="8"/>
  <c r="I1400" i="8" s="1"/>
  <c r="G1399" i="8"/>
  <c r="F1399" i="8"/>
  <c r="I1399" i="8" s="1"/>
  <c r="G1398" i="8"/>
  <c r="F1398" i="8"/>
  <c r="I1398" i="8" s="1"/>
  <c r="G1397" i="8"/>
  <c r="F1397" i="8"/>
  <c r="I1397" i="8" s="1"/>
  <c r="G1396" i="8"/>
  <c r="F1396" i="8"/>
  <c r="I1396" i="8" s="1"/>
  <c r="G1395" i="8"/>
  <c r="F1395" i="8"/>
  <c r="I1395" i="8" s="1"/>
  <c r="G1394" i="8"/>
  <c r="F1394" i="8"/>
  <c r="I1394" i="8" s="1"/>
  <c r="G1393" i="8"/>
  <c r="F1393" i="8"/>
  <c r="I1393" i="8" s="1"/>
  <c r="G1392" i="8"/>
  <c r="F1392" i="8"/>
  <c r="I1392" i="8" s="1"/>
  <c r="G1391" i="8"/>
  <c r="F1391" i="8"/>
  <c r="I1391" i="8" s="1"/>
  <c r="G1390" i="8"/>
  <c r="F1390" i="8"/>
  <c r="I1390" i="8" s="1"/>
  <c r="G1389" i="8"/>
  <c r="F1389" i="8"/>
  <c r="I1389" i="8" s="1"/>
  <c r="G1388" i="8"/>
  <c r="F1388" i="8"/>
  <c r="I1388" i="8" s="1"/>
  <c r="G1387" i="8"/>
  <c r="F1387" i="8"/>
  <c r="I1387" i="8" s="1"/>
  <c r="G1386" i="8"/>
  <c r="F1386" i="8"/>
  <c r="I1386" i="8" s="1"/>
  <c r="G1385" i="8"/>
  <c r="F1385" i="8"/>
  <c r="I1385" i="8" s="1"/>
  <c r="G1384" i="8"/>
  <c r="F1384" i="8"/>
  <c r="I1384" i="8" s="1"/>
  <c r="G1383" i="8"/>
  <c r="F1383" i="8"/>
  <c r="I1383" i="8" s="1"/>
  <c r="G1382" i="8"/>
  <c r="F1382" i="8"/>
  <c r="I1382" i="8" s="1"/>
  <c r="G1381" i="8"/>
  <c r="F1381" i="8"/>
  <c r="I1381" i="8" s="1"/>
  <c r="G1380" i="8"/>
  <c r="F1380" i="8"/>
  <c r="I1380" i="8" s="1"/>
  <c r="G1379" i="8"/>
  <c r="F1379" i="8"/>
  <c r="I1379" i="8" s="1"/>
  <c r="G1378" i="8"/>
  <c r="F1378" i="8"/>
  <c r="I1378" i="8" s="1"/>
  <c r="G1377" i="8"/>
  <c r="F1377" i="8"/>
  <c r="I1377" i="8" s="1"/>
  <c r="G1376" i="8"/>
  <c r="F1376" i="8"/>
  <c r="I1376" i="8" s="1"/>
  <c r="G1375" i="8"/>
  <c r="F1375" i="8"/>
  <c r="I1375" i="8" s="1"/>
  <c r="G1374" i="8"/>
  <c r="F1374" i="8"/>
  <c r="I1374" i="8" s="1"/>
  <c r="G1373" i="8"/>
  <c r="F1373" i="8"/>
  <c r="I1373" i="8" s="1"/>
  <c r="G1372" i="8"/>
  <c r="F1372" i="8"/>
  <c r="I1372" i="8" s="1"/>
  <c r="G1371" i="8"/>
  <c r="F1371" i="8"/>
  <c r="I1371" i="8" s="1"/>
  <c r="G1370" i="8"/>
  <c r="F1370" i="8"/>
  <c r="I1370" i="8" s="1"/>
  <c r="G1369" i="8"/>
  <c r="F1369" i="8"/>
  <c r="I1369" i="8" s="1"/>
  <c r="G1368" i="8"/>
  <c r="F1368" i="8"/>
  <c r="I1368" i="8" s="1"/>
  <c r="G1367" i="8"/>
  <c r="F1367" i="8"/>
  <c r="I1367" i="8" s="1"/>
  <c r="G1366" i="8"/>
  <c r="F1366" i="8"/>
  <c r="I1366" i="8" s="1"/>
  <c r="G1365" i="8"/>
  <c r="F1365" i="8"/>
  <c r="I1365" i="8" s="1"/>
  <c r="G1364" i="8"/>
  <c r="F1364" i="8"/>
  <c r="I1364" i="8" s="1"/>
  <c r="G1363" i="8"/>
  <c r="F1363" i="8"/>
  <c r="I1363" i="8" s="1"/>
  <c r="G1362" i="8"/>
  <c r="F1362" i="8"/>
  <c r="I1362" i="8" s="1"/>
  <c r="G1361" i="8"/>
  <c r="F1361" i="8"/>
  <c r="I1361" i="8" s="1"/>
  <c r="G1360" i="8"/>
  <c r="F1360" i="8"/>
  <c r="I1360" i="8" s="1"/>
  <c r="G1359" i="8"/>
  <c r="F1359" i="8"/>
  <c r="I1359" i="8" s="1"/>
  <c r="G1358" i="8"/>
  <c r="F1358" i="8"/>
  <c r="I1358" i="8" s="1"/>
  <c r="G1357" i="8"/>
  <c r="F1357" i="8"/>
  <c r="I1357" i="8" s="1"/>
  <c r="G1356" i="8"/>
  <c r="F1356" i="8"/>
  <c r="I1356" i="8" s="1"/>
  <c r="G1355" i="8"/>
  <c r="F1355" i="8"/>
  <c r="I1355" i="8" s="1"/>
  <c r="G1354" i="8"/>
  <c r="F1354" i="8"/>
  <c r="I1354" i="8" s="1"/>
  <c r="G1353" i="8"/>
  <c r="F1353" i="8"/>
  <c r="I1353" i="8" s="1"/>
  <c r="G1352" i="8"/>
  <c r="F1352" i="8"/>
  <c r="I1352" i="8" s="1"/>
  <c r="G1351" i="8"/>
  <c r="F1351" i="8"/>
  <c r="I1351" i="8" s="1"/>
  <c r="G1350" i="8"/>
  <c r="F1350" i="8"/>
  <c r="I1350" i="8" s="1"/>
  <c r="G1349" i="8"/>
  <c r="F1349" i="8"/>
  <c r="I1349" i="8" s="1"/>
  <c r="G1348" i="8"/>
  <c r="F1348" i="8"/>
  <c r="I1348" i="8" s="1"/>
  <c r="G1347" i="8"/>
  <c r="F1347" i="8"/>
  <c r="I1347" i="8" s="1"/>
  <c r="G1346" i="8"/>
  <c r="F1346" i="8"/>
  <c r="I1346" i="8" s="1"/>
  <c r="G1345" i="8"/>
  <c r="F1345" i="8"/>
  <c r="I1345" i="8" s="1"/>
  <c r="G1344" i="8"/>
  <c r="F1344" i="8"/>
  <c r="I1344" i="8" s="1"/>
  <c r="G1343" i="8"/>
  <c r="F1343" i="8"/>
  <c r="I1343" i="8" s="1"/>
  <c r="G1342" i="8"/>
  <c r="F1342" i="8"/>
  <c r="I1342" i="8" s="1"/>
  <c r="G1341" i="8"/>
  <c r="F1341" i="8"/>
  <c r="I1341" i="8" s="1"/>
  <c r="G1340" i="8"/>
  <c r="F1340" i="8"/>
  <c r="I1340" i="8" s="1"/>
  <c r="G1339" i="8"/>
  <c r="F1339" i="8"/>
  <c r="I1339" i="8" s="1"/>
  <c r="G1338" i="8"/>
  <c r="F1338" i="8"/>
  <c r="I1338" i="8" s="1"/>
  <c r="G1337" i="8"/>
  <c r="F1337" i="8"/>
  <c r="I1337" i="8" s="1"/>
  <c r="G1336" i="8"/>
  <c r="F1336" i="8"/>
  <c r="I1336" i="8" s="1"/>
  <c r="G1335" i="8"/>
  <c r="F1335" i="8"/>
  <c r="I1335" i="8" s="1"/>
  <c r="G1334" i="8"/>
  <c r="F1334" i="8"/>
  <c r="I1334" i="8" s="1"/>
  <c r="G1333" i="8"/>
  <c r="F1333" i="8"/>
  <c r="I1333" i="8" s="1"/>
  <c r="G1332" i="8"/>
  <c r="F1332" i="8"/>
  <c r="I1332" i="8" s="1"/>
  <c r="G1331" i="8"/>
  <c r="F1331" i="8"/>
  <c r="I1331" i="8" s="1"/>
  <c r="G1330" i="8"/>
  <c r="F1330" i="8"/>
  <c r="I1330" i="8" s="1"/>
  <c r="G1329" i="8"/>
  <c r="F1329" i="8"/>
  <c r="I1329" i="8" s="1"/>
  <c r="G1328" i="8"/>
  <c r="F1328" i="8"/>
  <c r="I1328" i="8" s="1"/>
  <c r="G1327" i="8"/>
  <c r="F1327" i="8"/>
  <c r="I1327" i="8" s="1"/>
  <c r="G1326" i="8"/>
  <c r="F1326" i="8"/>
  <c r="I1326" i="8" s="1"/>
  <c r="G1325" i="8"/>
  <c r="F1325" i="8"/>
  <c r="I1325" i="8" s="1"/>
  <c r="G1324" i="8"/>
  <c r="F1324" i="8"/>
  <c r="I1324" i="8" s="1"/>
  <c r="G1323" i="8"/>
  <c r="F1323" i="8"/>
  <c r="I1323" i="8" s="1"/>
  <c r="G1322" i="8"/>
  <c r="F1322" i="8"/>
  <c r="I1322" i="8" s="1"/>
  <c r="G1321" i="8"/>
  <c r="F1321" i="8"/>
  <c r="I1321" i="8" s="1"/>
  <c r="G1320" i="8"/>
  <c r="F1320" i="8"/>
  <c r="I1320" i="8" s="1"/>
  <c r="G1319" i="8"/>
  <c r="F1319" i="8"/>
  <c r="I1319" i="8" s="1"/>
  <c r="G1318" i="8"/>
  <c r="F1318" i="8"/>
  <c r="I1318" i="8" s="1"/>
  <c r="G1317" i="8"/>
  <c r="F1317" i="8"/>
  <c r="I1317" i="8" s="1"/>
  <c r="G1316" i="8"/>
  <c r="F1316" i="8"/>
  <c r="I1316" i="8" s="1"/>
  <c r="G1315" i="8"/>
  <c r="F1315" i="8"/>
  <c r="I1315" i="8" s="1"/>
  <c r="G1314" i="8"/>
  <c r="F1314" i="8"/>
  <c r="I1314" i="8" s="1"/>
  <c r="G1313" i="8"/>
  <c r="F1313" i="8"/>
  <c r="I1313" i="8" s="1"/>
  <c r="G1312" i="8"/>
  <c r="F1312" i="8"/>
  <c r="I1312" i="8" s="1"/>
  <c r="G1311" i="8"/>
  <c r="F1311" i="8"/>
  <c r="I1311" i="8" s="1"/>
  <c r="G1310" i="8"/>
  <c r="F1310" i="8"/>
  <c r="I1310" i="8" s="1"/>
  <c r="G1309" i="8"/>
  <c r="F1309" i="8"/>
  <c r="I1309" i="8" s="1"/>
  <c r="G1308" i="8"/>
  <c r="F1308" i="8"/>
  <c r="I1308" i="8" s="1"/>
  <c r="G1307" i="8"/>
  <c r="F1307" i="8"/>
  <c r="I1307" i="8" s="1"/>
  <c r="G1306" i="8"/>
  <c r="F1306" i="8"/>
  <c r="I1306" i="8" s="1"/>
  <c r="G1305" i="8"/>
  <c r="F1305" i="8"/>
  <c r="I1305" i="8" s="1"/>
  <c r="G1304" i="8"/>
  <c r="F1304" i="8"/>
  <c r="I1304" i="8" s="1"/>
  <c r="G1303" i="8"/>
  <c r="F1303" i="8"/>
  <c r="I1303" i="8" s="1"/>
  <c r="G1302" i="8"/>
  <c r="F1302" i="8"/>
  <c r="I1302" i="8" s="1"/>
  <c r="G1301" i="8"/>
  <c r="F1301" i="8"/>
  <c r="I1301" i="8" s="1"/>
  <c r="G1300" i="8"/>
  <c r="F1300" i="8"/>
  <c r="I1300" i="8" s="1"/>
  <c r="G1299" i="8"/>
  <c r="F1299" i="8"/>
  <c r="I1299" i="8" s="1"/>
  <c r="G1298" i="8"/>
  <c r="F1298" i="8"/>
  <c r="I1298" i="8" s="1"/>
  <c r="G1297" i="8"/>
  <c r="F1297" i="8"/>
  <c r="I1297" i="8" s="1"/>
  <c r="G1296" i="8"/>
  <c r="F1296" i="8"/>
  <c r="I1296" i="8" s="1"/>
  <c r="G1295" i="8"/>
  <c r="F1295" i="8"/>
  <c r="I1295" i="8" s="1"/>
  <c r="G1294" i="8"/>
  <c r="F1294" i="8"/>
  <c r="I1294" i="8" s="1"/>
  <c r="G1293" i="8"/>
  <c r="F1293" i="8"/>
  <c r="I1293" i="8" s="1"/>
  <c r="G1292" i="8"/>
  <c r="F1292" i="8"/>
  <c r="I1292" i="8" s="1"/>
  <c r="G1291" i="8"/>
  <c r="F1291" i="8"/>
  <c r="I1291" i="8" s="1"/>
  <c r="G1290" i="8"/>
  <c r="F1290" i="8"/>
  <c r="I1290" i="8" s="1"/>
  <c r="G1289" i="8"/>
  <c r="F1289" i="8"/>
  <c r="I1289" i="8" s="1"/>
  <c r="G1288" i="8"/>
  <c r="F1288" i="8"/>
  <c r="I1288" i="8" s="1"/>
  <c r="G1287" i="8"/>
  <c r="F1287" i="8"/>
  <c r="I1287" i="8" s="1"/>
  <c r="G1286" i="8"/>
  <c r="F1286" i="8"/>
  <c r="I1286" i="8" s="1"/>
  <c r="G1285" i="8"/>
  <c r="F1285" i="8"/>
  <c r="I1285" i="8" s="1"/>
  <c r="G1284" i="8"/>
  <c r="F1284" i="8"/>
  <c r="I1284" i="8" s="1"/>
  <c r="G1283" i="8"/>
  <c r="F1283" i="8"/>
  <c r="I1283" i="8" s="1"/>
  <c r="G1282" i="8"/>
  <c r="F1282" i="8"/>
  <c r="I1282" i="8" s="1"/>
  <c r="G1281" i="8"/>
  <c r="F1281" i="8"/>
  <c r="I1281" i="8" s="1"/>
  <c r="G1280" i="8"/>
  <c r="F1280" i="8"/>
  <c r="I1280" i="8" s="1"/>
  <c r="G1279" i="8"/>
  <c r="F1279" i="8"/>
  <c r="I1279" i="8" s="1"/>
  <c r="G1278" i="8"/>
  <c r="F1278" i="8"/>
  <c r="I1278" i="8" s="1"/>
  <c r="G1277" i="8"/>
  <c r="F1277" i="8"/>
  <c r="I1277" i="8" s="1"/>
  <c r="G1276" i="8"/>
  <c r="F1276" i="8"/>
  <c r="I1276" i="8" s="1"/>
  <c r="G1275" i="8"/>
  <c r="F1275" i="8"/>
  <c r="I1275" i="8" s="1"/>
  <c r="G1274" i="8"/>
  <c r="F1274" i="8"/>
  <c r="I1274" i="8" s="1"/>
  <c r="G1273" i="8"/>
  <c r="F1273" i="8"/>
  <c r="I1273" i="8" s="1"/>
  <c r="G1272" i="8"/>
  <c r="F1272" i="8"/>
  <c r="I1272" i="8" s="1"/>
  <c r="G1271" i="8"/>
  <c r="F1271" i="8"/>
  <c r="I1271" i="8" s="1"/>
  <c r="G1270" i="8"/>
  <c r="F1270" i="8"/>
  <c r="I1270" i="8" s="1"/>
  <c r="G1269" i="8"/>
  <c r="F1269" i="8"/>
  <c r="I1269" i="8" s="1"/>
  <c r="G1268" i="8"/>
  <c r="F1268" i="8"/>
  <c r="I1268" i="8" s="1"/>
  <c r="G1267" i="8"/>
  <c r="F1267" i="8"/>
  <c r="I1267" i="8" s="1"/>
  <c r="G1266" i="8"/>
  <c r="F1266" i="8"/>
  <c r="I1266" i="8" s="1"/>
  <c r="G1265" i="8"/>
  <c r="F1265" i="8"/>
  <c r="I1265" i="8" s="1"/>
  <c r="G1264" i="8"/>
  <c r="F1264" i="8"/>
  <c r="I1264" i="8" s="1"/>
  <c r="G1263" i="8"/>
  <c r="F1263" i="8"/>
  <c r="I1263" i="8" s="1"/>
  <c r="G1262" i="8"/>
  <c r="F1262" i="8"/>
  <c r="I1262" i="8" s="1"/>
  <c r="G1261" i="8"/>
  <c r="F1261" i="8"/>
  <c r="I1261" i="8" s="1"/>
  <c r="G1260" i="8"/>
  <c r="F1260" i="8"/>
  <c r="I1260" i="8" s="1"/>
  <c r="G1259" i="8"/>
  <c r="F1259" i="8"/>
  <c r="I1259" i="8" s="1"/>
  <c r="G1258" i="8"/>
  <c r="F1258" i="8"/>
  <c r="I1258" i="8" s="1"/>
  <c r="G1257" i="8"/>
  <c r="F1257" i="8"/>
  <c r="I1257" i="8" s="1"/>
  <c r="G1256" i="8"/>
  <c r="F1256" i="8"/>
  <c r="I1256" i="8" s="1"/>
  <c r="G1255" i="8"/>
  <c r="F1255" i="8"/>
  <c r="I1255" i="8" s="1"/>
  <c r="G1254" i="8"/>
  <c r="F1254" i="8"/>
  <c r="I1254" i="8" s="1"/>
  <c r="G1253" i="8"/>
  <c r="F1253" i="8"/>
  <c r="I1253" i="8" s="1"/>
  <c r="G1252" i="8"/>
  <c r="F1252" i="8"/>
  <c r="I1252" i="8" s="1"/>
  <c r="G1251" i="8"/>
  <c r="F1251" i="8"/>
  <c r="I1251" i="8" s="1"/>
  <c r="G1250" i="8"/>
  <c r="F1250" i="8"/>
  <c r="I1250" i="8" s="1"/>
  <c r="G1249" i="8"/>
  <c r="F1249" i="8"/>
  <c r="I1249" i="8" s="1"/>
  <c r="G1248" i="8"/>
  <c r="F1248" i="8"/>
  <c r="I1248" i="8" s="1"/>
  <c r="G1247" i="8"/>
  <c r="F1247" i="8"/>
  <c r="I1247" i="8" s="1"/>
  <c r="G1246" i="8"/>
  <c r="F1246" i="8"/>
  <c r="I1246" i="8" s="1"/>
  <c r="G1245" i="8"/>
  <c r="F1245" i="8"/>
  <c r="I1245" i="8" s="1"/>
  <c r="G1244" i="8"/>
  <c r="F1244" i="8"/>
  <c r="I1244" i="8" s="1"/>
  <c r="G1243" i="8"/>
  <c r="F1243" i="8"/>
  <c r="I1243" i="8" s="1"/>
  <c r="G1242" i="8"/>
  <c r="F1242" i="8"/>
  <c r="I1242" i="8" s="1"/>
  <c r="G1241" i="8"/>
  <c r="F1241" i="8"/>
  <c r="I1241" i="8" s="1"/>
  <c r="G1240" i="8"/>
  <c r="F1240" i="8"/>
  <c r="I1240" i="8" s="1"/>
  <c r="G1239" i="8"/>
  <c r="F1239" i="8"/>
  <c r="I1239" i="8" s="1"/>
  <c r="G1238" i="8"/>
  <c r="F1238" i="8"/>
  <c r="I1238" i="8" s="1"/>
  <c r="G1237" i="8"/>
  <c r="F1237" i="8"/>
  <c r="I1237" i="8" s="1"/>
  <c r="G1236" i="8"/>
  <c r="F1236" i="8"/>
  <c r="I1236" i="8" s="1"/>
  <c r="G1235" i="8"/>
  <c r="F1235" i="8"/>
  <c r="I1235" i="8" s="1"/>
  <c r="G1234" i="8"/>
  <c r="F1234" i="8"/>
  <c r="I1234" i="8" s="1"/>
  <c r="G1233" i="8"/>
  <c r="F1233" i="8"/>
  <c r="I1233" i="8" s="1"/>
  <c r="G1232" i="8"/>
  <c r="F1232" i="8"/>
  <c r="I1232" i="8" s="1"/>
  <c r="G1231" i="8"/>
  <c r="F1231" i="8"/>
  <c r="I1231" i="8" s="1"/>
  <c r="G1230" i="8"/>
  <c r="F1230" i="8"/>
  <c r="I1230" i="8" s="1"/>
  <c r="G1229" i="8"/>
  <c r="F1229" i="8"/>
  <c r="I1229" i="8" s="1"/>
  <c r="G1228" i="8"/>
  <c r="F1228" i="8"/>
  <c r="I1228" i="8" s="1"/>
  <c r="G1227" i="8"/>
  <c r="F1227" i="8"/>
  <c r="I1227" i="8" s="1"/>
  <c r="G1226" i="8"/>
  <c r="F1226" i="8"/>
  <c r="I1226" i="8" s="1"/>
  <c r="G1225" i="8"/>
  <c r="F1225" i="8"/>
  <c r="I1225" i="8" s="1"/>
  <c r="G1224" i="8"/>
  <c r="F1224" i="8"/>
  <c r="I1224" i="8" s="1"/>
  <c r="G1223" i="8"/>
  <c r="F1223" i="8"/>
  <c r="I1223" i="8" s="1"/>
  <c r="G1222" i="8"/>
  <c r="F1222" i="8"/>
  <c r="I1222" i="8" s="1"/>
  <c r="G1221" i="8"/>
  <c r="F1221" i="8"/>
  <c r="I1221" i="8" s="1"/>
  <c r="G1220" i="8"/>
  <c r="F1220" i="8"/>
  <c r="I1220" i="8" s="1"/>
  <c r="G1219" i="8"/>
  <c r="F1219" i="8"/>
  <c r="I1219" i="8" s="1"/>
  <c r="G1218" i="8"/>
  <c r="F1218" i="8"/>
  <c r="I1218" i="8" s="1"/>
  <c r="G1217" i="8"/>
  <c r="F1217" i="8"/>
  <c r="I1217" i="8" s="1"/>
  <c r="G1216" i="8"/>
  <c r="F1216" i="8"/>
  <c r="I1216" i="8" s="1"/>
  <c r="G1215" i="8"/>
  <c r="F1215" i="8"/>
  <c r="I1215" i="8" s="1"/>
  <c r="G1214" i="8"/>
  <c r="F1214" i="8"/>
  <c r="I1214" i="8" s="1"/>
  <c r="G1213" i="8"/>
  <c r="F1213" i="8"/>
  <c r="I1213" i="8" s="1"/>
  <c r="G1212" i="8"/>
  <c r="F1212" i="8"/>
  <c r="I1212" i="8" s="1"/>
  <c r="G1211" i="8"/>
  <c r="F1211" i="8"/>
  <c r="I1211" i="8" s="1"/>
  <c r="G1210" i="8"/>
  <c r="F1210" i="8"/>
  <c r="I1210" i="8" s="1"/>
  <c r="G1209" i="8"/>
  <c r="F1209" i="8"/>
  <c r="I1209" i="8" s="1"/>
  <c r="G1208" i="8"/>
  <c r="F1208" i="8"/>
  <c r="I1208" i="8" s="1"/>
  <c r="G1207" i="8"/>
  <c r="F1207" i="8"/>
  <c r="I1207" i="8" s="1"/>
  <c r="G1206" i="8"/>
  <c r="F1206" i="8"/>
  <c r="I1206" i="8" s="1"/>
  <c r="G1205" i="8"/>
  <c r="F1205" i="8"/>
  <c r="I1205" i="8" s="1"/>
  <c r="G1204" i="8"/>
  <c r="F1204" i="8"/>
  <c r="I1204" i="8" s="1"/>
  <c r="G1203" i="8"/>
  <c r="F1203" i="8"/>
  <c r="I1203" i="8" s="1"/>
  <c r="G1202" i="8"/>
  <c r="F1202" i="8"/>
  <c r="I1202" i="8" s="1"/>
  <c r="G1201" i="8"/>
  <c r="F1201" i="8"/>
  <c r="I1201" i="8" s="1"/>
  <c r="G1200" i="8"/>
  <c r="F1200" i="8"/>
  <c r="I1200" i="8" s="1"/>
  <c r="G1199" i="8"/>
  <c r="F1199" i="8"/>
  <c r="I1199" i="8" s="1"/>
  <c r="G1198" i="8"/>
  <c r="F1198" i="8"/>
  <c r="I1198" i="8" s="1"/>
  <c r="G1197" i="8"/>
  <c r="F1197" i="8"/>
  <c r="I1197" i="8" s="1"/>
  <c r="G1196" i="8"/>
  <c r="F1196" i="8"/>
  <c r="I1196" i="8" s="1"/>
  <c r="G1195" i="8"/>
  <c r="F1195" i="8"/>
  <c r="I1195" i="8" s="1"/>
  <c r="G1194" i="8"/>
  <c r="F1194" i="8"/>
  <c r="I1194" i="8" s="1"/>
  <c r="G1193" i="8"/>
  <c r="F1193" i="8"/>
  <c r="I1193" i="8" s="1"/>
  <c r="G1192" i="8"/>
  <c r="F1192" i="8"/>
  <c r="I1192" i="8" s="1"/>
  <c r="G1191" i="8"/>
  <c r="F1191" i="8"/>
  <c r="I1191" i="8" s="1"/>
  <c r="G1190" i="8"/>
  <c r="F1190" i="8"/>
  <c r="I1190" i="8" s="1"/>
  <c r="G1189" i="8"/>
  <c r="F1189" i="8"/>
  <c r="I1189" i="8" s="1"/>
  <c r="G1188" i="8"/>
  <c r="F1188" i="8"/>
  <c r="I1188" i="8" s="1"/>
  <c r="G1187" i="8"/>
  <c r="F1187" i="8"/>
  <c r="I1187" i="8" s="1"/>
  <c r="G1186" i="8"/>
  <c r="F1186" i="8"/>
  <c r="I1186" i="8" s="1"/>
  <c r="G1185" i="8"/>
  <c r="F1185" i="8"/>
  <c r="I1185" i="8" s="1"/>
  <c r="G1184" i="8"/>
  <c r="F1184" i="8"/>
  <c r="I1184" i="8" s="1"/>
  <c r="G1183" i="8"/>
  <c r="F1183" i="8"/>
  <c r="I1183" i="8" s="1"/>
  <c r="G1182" i="8"/>
  <c r="F1182" i="8"/>
  <c r="I1182" i="8" s="1"/>
  <c r="G1181" i="8"/>
  <c r="F1181" i="8"/>
  <c r="I1181" i="8" s="1"/>
  <c r="G1180" i="8"/>
  <c r="F1180" i="8"/>
  <c r="I1180" i="8" s="1"/>
  <c r="G1179" i="8"/>
  <c r="F1179" i="8"/>
  <c r="I1179" i="8" s="1"/>
  <c r="G1178" i="8"/>
  <c r="F1178" i="8"/>
  <c r="I1178" i="8" s="1"/>
  <c r="G1177" i="8"/>
  <c r="F1177" i="8"/>
  <c r="I1177" i="8" s="1"/>
  <c r="G1176" i="8"/>
  <c r="F1176" i="8"/>
  <c r="I1176" i="8" s="1"/>
  <c r="G1175" i="8"/>
  <c r="F1175" i="8"/>
  <c r="I1175" i="8" s="1"/>
  <c r="G1174" i="8"/>
  <c r="F1174" i="8"/>
  <c r="I1174" i="8" s="1"/>
  <c r="G1173" i="8"/>
  <c r="F1173" i="8"/>
  <c r="I1173" i="8" s="1"/>
  <c r="G1172" i="8"/>
  <c r="F1172" i="8"/>
  <c r="I1172" i="8" s="1"/>
  <c r="G1171" i="8"/>
  <c r="F1171" i="8"/>
  <c r="I1171" i="8" s="1"/>
  <c r="G1170" i="8"/>
  <c r="F1170" i="8"/>
  <c r="I1170" i="8" s="1"/>
  <c r="G1169" i="8"/>
  <c r="F1169" i="8"/>
  <c r="I1169" i="8" s="1"/>
  <c r="G1168" i="8"/>
  <c r="F1168" i="8"/>
  <c r="I1168" i="8" s="1"/>
  <c r="G1167" i="8"/>
  <c r="F1167" i="8"/>
  <c r="I1167" i="8" s="1"/>
  <c r="G1166" i="8"/>
  <c r="F1166" i="8"/>
  <c r="I1166" i="8" s="1"/>
  <c r="G1165" i="8"/>
  <c r="F1165" i="8"/>
  <c r="I1165" i="8" s="1"/>
  <c r="G1164" i="8"/>
  <c r="F1164" i="8"/>
  <c r="I1164" i="8" s="1"/>
  <c r="G1163" i="8"/>
  <c r="F1163" i="8"/>
  <c r="I1163" i="8" s="1"/>
  <c r="G1162" i="8"/>
  <c r="F1162" i="8"/>
  <c r="I1162" i="8" s="1"/>
  <c r="G1161" i="8"/>
  <c r="F1161" i="8"/>
  <c r="I1161" i="8" s="1"/>
  <c r="G1160" i="8"/>
  <c r="F1160" i="8"/>
  <c r="I1160" i="8" s="1"/>
  <c r="G1159" i="8"/>
  <c r="F1159" i="8"/>
  <c r="I1159" i="8" s="1"/>
  <c r="G1158" i="8"/>
  <c r="F1158" i="8"/>
  <c r="I1158" i="8" s="1"/>
  <c r="G1157" i="8"/>
  <c r="F1157" i="8"/>
  <c r="I1157" i="8" s="1"/>
  <c r="G1156" i="8"/>
  <c r="F1156" i="8"/>
  <c r="I1156" i="8" s="1"/>
  <c r="G1155" i="8"/>
  <c r="F1155" i="8"/>
  <c r="I1155" i="8" s="1"/>
  <c r="G1154" i="8"/>
  <c r="F1154" i="8"/>
  <c r="I1154" i="8" s="1"/>
  <c r="G1153" i="8"/>
  <c r="F1153" i="8"/>
  <c r="I1153" i="8" s="1"/>
  <c r="G1152" i="8"/>
  <c r="F1152" i="8"/>
  <c r="I1152" i="8" s="1"/>
  <c r="G1151" i="8"/>
  <c r="F1151" i="8"/>
  <c r="I1151" i="8" s="1"/>
  <c r="G1150" i="8"/>
  <c r="F1150" i="8"/>
  <c r="I1150" i="8" s="1"/>
  <c r="G1149" i="8"/>
  <c r="F1149" i="8"/>
  <c r="I1149" i="8" s="1"/>
  <c r="G1148" i="8"/>
  <c r="F1148" i="8"/>
  <c r="I1148" i="8" s="1"/>
  <c r="G1147" i="8"/>
  <c r="F1147" i="8"/>
  <c r="I1147" i="8" s="1"/>
  <c r="G1146" i="8"/>
  <c r="F1146" i="8"/>
  <c r="I1146" i="8" s="1"/>
  <c r="G1145" i="8"/>
  <c r="F1145" i="8"/>
  <c r="I1145" i="8" s="1"/>
  <c r="G1144" i="8"/>
  <c r="F1144" i="8"/>
  <c r="I1144" i="8" s="1"/>
  <c r="G1143" i="8"/>
  <c r="F1143" i="8"/>
  <c r="I1143" i="8" s="1"/>
  <c r="G1142" i="8"/>
  <c r="F1142" i="8"/>
  <c r="I1142" i="8" s="1"/>
  <c r="G1141" i="8"/>
  <c r="F1141" i="8"/>
  <c r="I1141" i="8" s="1"/>
  <c r="G1140" i="8"/>
  <c r="F1140" i="8"/>
  <c r="I1140" i="8" s="1"/>
  <c r="G1139" i="8"/>
  <c r="F1139" i="8"/>
  <c r="I1139" i="8" s="1"/>
  <c r="G1138" i="8"/>
  <c r="F1138" i="8"/>
  <c r="I1138" i="8" s="1"/>
  <c r="G1137" i="8"/>
  <c r="F1137" i="8"/>
  <c r="I1137" i="8" s="1"/>
  <c r="G1136" i="8"/>
  <c r="F1136" i="8"/>
  <c r="I1136" i="8" s="1"/>
  <c r="G1135" i="8"/>
  <c r="F1135" i="8"/>
  <c r="I1135" i="8" s="1"/>
  <c r="G1134" i="8"/>
  <c r="F1134" i="8"/>
  <c r="I1134" i="8" s="1"/>
  <c r="G1133" i="8"/>
  <c r="F1133" i="8"/>
  <c r="I1133" i="8" s="1"/>
  <c r="G1132" i="8"/>
  <c r="F1132" i="8"/>
  <c r="I1132" i="8" s="1"/>
  <c r="G1131" i="8"/>
  <c r="F1131" i="8"/>
  <c r="I1131" i="8" s="1"/>
  <c r="G1130" i="8"/>
  <c r="F1130" i="8"/>
  <c r="I1130" i="8" s="1"/>
  <c r="G1129" i="8"/>
  <c r="F1129" i="8"/>
  <c r="I1129" i="8" s="1"/>
  <c r="G1128" i="8"/>
  <c r="F1128" i="8"/>
  <c r="I1128" i="8" s="1"/>
  <c r="G1127" i="8"/>
  <c r="F1127" i="8"/>
  <c r="I1127" i="8" s="1"/>
  <c r="G1126" i="8"/>
  <c r="F1126" i="8"/>
  <c r="I1126" i="8" s="1"/>
  <c r="G1125" i="8"/>
  <c r="F1125" i="8"/>
  <c r="I1125" i="8" s="1"/>
  <c r="G1124" i="8"/>
  <c r="F1124" i="8"/>
  <c r="I1124" i="8" s="1"/>
  <c r="G1123" i="8"/>
  <c r="F1123" i="8"/>
  <c r="I1123" i="8" s="1"/>
  <c r="G1122" i="8"/>
  <c r="F1122" i="8"/>
  <c r="I1122" i="8" s="1"/>
  <c r="G1121" i="8"/>
  <c r="F1121" i="8"/>
  <c r="I1121" i="8" s="1"/>
  <c r="G1120" i="8"/>
  <c r="F1120" i="8"/>
  <c r="I1120" i="8" s="1"/>
  <c r="G1119" i="8"/>
  <c r="F1119" i="8"/>
  <c r="I1119" i="8" s="1"/>
  <c r="G1118" i="8"/>
  <c r="F1118" i="8"/>
  <c r="I1118" i="8" s="1"/>
  <c r="G1117" i="8"/>
  <c r="F1117" i="8"/>
  <c r="I1117" i="8" s="1"/>
  <c r="G1116" i="8"/>
  <c r="F1116" i="8"/>
  <c r="I1116" i="8" s="1"/>
  <c r="G1115" i="8"/>
  <c r="F1115" i="8"/>
  <c r="I1115" i="8" s="1"/>
  <c r="G1114" i="8"/>
  <c r="F1114" i="8"/>
  <c r="I1114" i="8" s="1"/>
  <c r="G1113" i="8"/>
  <c r="F1113" i="8"/>
  <c r="I1113" i="8" s="1"/>
  <c r="G1112" i="8"/>
  <c r="F1112" i="8"/>
  <c r="I1112" i="8" s="1"/>
  <c r="G1111" i="8"/>
  <c r="F1111" i="8"/>
  <c r="I1111" i="8" s="1"/>
  <c r="G1110" i="8"/>
  <c r="F1110" i="8"/>
  <c r="I1110" i="8" s="1"/>
  <c r="G1109" i="8"/>
  <c r="F1109" i="8"/>
  <c r="I1109" i="8" s="1"/>
  <c r="G1108" i="8"/>
  <c r="F1108" i="8"/>
  <c r="I1108" i="8" s="1"/>
  <c r="G1107" i="8"/>
  <c r="F1107" i="8"/>
  <c r="I1107" i="8" s="1"/>
  <c r="G1106" i="8"/>
  <c r="F1106" i="8"/>
  <c r="I1106" i="8" s="1"/>
  <c r="G1105" i="8"/>
  <c r="F1105" i="8"/>
  <c r="I1105" i="8" s="1"/>
  <c r="G1104" i="8"/>
  <c r="F1104" i="8"/>
  <c r="I1104" i="8" s="1"/>
  <c r="G1103" i="8"/>
  <c r="F1103" i="8"/>
  <c r="I1103" i="8" s="1"/>
  <c r="G1102" i="8"/>
  <c r="F1102" i="8"/>
  <c r="I1102" i="8" s="1"/>
  <c r="G1101" i="8"/>
  <c r="F1101" i="8"/>
  <c r="I1101" i="8" s="1"/>
  <c r="G1100" i="8"/>
  <c r="F1100" i="8"/>
  <c r="I1100" i="8" s="1"/>
  <c r="G1099" i="8"/>
  <c r="F1099" i="8"/>
  <c r="I1099" i="8" s="1"/>
  <c r="G1098" i="8"/>
  <c r="F1098" i="8"/>
  <c r="I1098" i="8" s="1"/>
  <c r="G1097" i="8"/>
  <c r="F1097" i="8"/>
  <c r="I1097" i="8" s="1"/>
  <c r="G1096" i="8"/>
  <c r="F1096" i="8"/>
  <c r="I1096" i="8" s="1"/>
  <c r="G1095" i="8"/>
  <c r="F1095" i="8"/>
  <c r="I1095" i="8" s="1"/>
  <c r="G1094" i="8"/>
  <c r="F1094" i="8"/>
  <c r="I1094" i="8" s="1"/>
  <c r="G1093" i="8"/>
  <c r="F1093" i="8"/>
  <c r="I1093" i="8" s="1"/>
  <c r="G1092" i="8"/>
  <c r="F1092" i="8"/>
  <c r="I1092" i="8" s="1"/>
  <c r="G1091" i="8"/>
  <c r="F1091" i="8"/>
  <c r="I1091" i="8" s="1"/>
  <c r="G1090" i="8"/>
  <c r="F1090" i="8"/>
  <c r="I1090" i="8" s="1"/>
  <c r="G1089" i="8"/>
  <c r="F1089" i="8"/>
  <c r="I1089" i="8" s="1"/>
  <c r="G1088" i="8"/>
  <c r="F1088" i="8"/>
  <c r="I1088" i="8" s="1"/>
  <c r="G1087" i="8"/>
  <c r="F1087" i="8"/>
  <c r="I1087" i="8" s="1"/>
  <c r="G1086" i="8"/>
  <c r="F1086" i="8"/>
  <c r="I1086" i="8" s="1"/>
  <c r="G1085" i="8"/>
  <c r="F1085" i="8"/>
  <c r="I1085" i="8" s="1"/>
  <c r="G1084" i="8"/>
  <c r="F1084" i="8"/>
  <c r="I1084" i="8" s="1"/>
  <c r="G1083" i="8"/>
  <c r="F1083" i="8"/>
  <c r="I1083" i="8" s="1"/>
  <c r="G1082" i="8"/>
  <c r="F1082" i="8"/>
  <c r="I1082" i="8" s="1"/>
  <c r="G1081" i="8"/>
  <c r="F1081" i="8"/>
  <c r="I1081" i="8" s="1"/>
  <c r="G1080" i="8"/>
  <c r="F1080" i="8"/>
  <c r="I1080" i="8" s="1"/>
  <c r="G1079" i="8"/>
  <c r="F1079" i="8"/>
  <c r="I1079" i="8" s="1"/>
  <c r="G1078" i="8"/>
  <c r="F1078" i="8"/>
  <c r="I1078" i="8" s="1"/>
  <c r="G1077" i="8"/>
  <c r="F1077" i="8"/>
  <c r="I1077" i="8" s="1"/>
  <c r="G1076" i="8"/>
  <c r="F1076" i="8"/>
  <c r="I1076" i="8" s="1"/>
  <c r="G1075" i="8"/>
  <c r="F1075" i="8"/>
  <c r="I1075" i="8" s="1"/>
  <c r="G1074" i="8"/>
  <c r="F1074" i="8"/>
  <c r="I1074" i="8" s="1"/>
  <c r="G1073" i="8"/>
  <c r="F1073" i="8"/>
  <c r="I1073" i="8" s="1"/>
  <c r="G1072" i="8"/>
  <c r="F1072" i="8"/>
  <c r="I1072" i="8" s="1"/>
  <c r="G1071" i="8"/>
  <c r="F1071" i="8"/>
  <c r="I1071" i="8" s="1"/>
  <c r="G1070" i="8"/>
  <c r="F1070" i="8"/>
  <c r="I1070" i="8" s="1"/>
  <c r="G1069" i="8"/>
  <c r="F1069" i="8"/>
  <c r="I1069" i="8" s="1"/>
  <c r="G1068" i="8"/>
  <c r="F1068" i="8"/>
  <c r="I1068" i="8" s="1"/>
  <c r="G1067" i="8"/>
  <c r="F1067" i="8"/>
  <c r="I1067" i="8" s="1"/>
  <c r="G1066" i="8"/>
  <c r="F1066" i="8"/>
  <c r="I1066" i="8" s="1"/>
  <c r="G1065" i="8"/>
  <c r="F1065" i="8"/>
  <c r="I1065" i="8" s="1"/>
  <c r="G1064" i="8"/>
  <c r="F1064" i="8"/>
  <c r="I1064" i="8" s="1"/>
  <c r="G1063" i="8"/>
  <c r="F1063" i="8"/>
  <c r="I1063" i="8" s="1"/>
  <c r="G1062" i="8"/>
  <c r="F1062" i="8"/>
  <c r="I1062" i="8" s="1"/>
  <c r="G1061" i="8"/>
  <c r="F1061" i="8"/>
  <c r="I1061" i="8" s="1"/>
  <c r="G1060" i="8"/>
  <c r="F1060" i="8"/>
  <c r="I1060" i="8" s="1"/>
  <c r="G1059" i="8"/>
  <c r="F1059" i="8"/>
  <c r="I1059" i="8" s="1"/>
  <c r="G1058" i="8"/>
  <c r="F1058" i="8"/>
  <c r="I1058" i="8" s="1"/>
  <c r="G1057" i="8"/>
  <c r="F1057" i="8"/>
  <c r="I1057" i="8" s="1"/>
  <c r="G1056" i="8"/>
  <c r="F1056" i="8"/>
  <c r="I1056" i="8" s="1"/>
  <c r="G1055" i="8"/>
  <c r="F1055" i="8"/>
  <c r="I1055" i="8" s="1"/>
  <c r="G1054" i="8"/>
  <c r="F1054" i="8"/>
  <c r="I1054" i="8" s="1"/>
  <c r="G1053" i="8"/>
  <c r="F1053" i="8"/>
  <c r="I1053" i="8" s="1"/>
  <c r="G1052" i="8"/>
  <c r="F1052" i="8"/>
  <c r="I1052" i="8" s="1"/>
  <c r="G1051" i="8"/>
  <c r="F1051" i="8"/>
  <c r="I1051" i="8" s="1"/>
  <c r="G1050" i="8"/>
  <c r="F1050" i="8"/>
  <c r="I1050" i="8" s="1"/>
  <c r="G1049" i="8"/>
  <c r="F1049" i="8"/>
  <c r="I1049" i="8" s="1"/>
  <c r="G1048" i="8"/>
  <c r="F1048" i="8"/>
  <c r="I1048" i="8" s="1"/>
  <c r="G1047" i="8"/>
  <c r="F1047" i="8"/>
  <c r="I1047" i="8" s="1"/>
  <c r="G1046" i="8"/>
  <c r="F1046" i="8"/>
  <c r="I1046" i="8" s="1"/>
  <c r="G1045" i="8"/>
  <c r="F1045" i="8"/>
  <c r="I1045" i="8" s="1"/>
  <c r="G1044" i="8"/>
  <c r="F1044" i="8"/>
  <c r="I1044" i="8" s="1"/>
  <c r="G1043" i="8"/>
  <c r="F1043" i="8"/>
  <c r="I1043" i="8" s="1"/>
  <c r="G1042" i="8"/>
  <c r="F1042" i="8"/>
  <c r="I1042" i="8" s="1"/>
  <c r="G1041" i="8"/>
  <c r="F1041" i="8"/>
  <c r="I1041" i="8" s="1"/>
  <c r="G1040" i="8"/>
  <c r="F1040" i="8"/>
  <c r="I1040" i="8" s="1"/>
  <c r="G1039" i="8"/>
  <c r="F1039" i="8"/>
  <c r="I1039" i="8" s="1"/>
  <c r="G1038" i="8"/>
  <c r="F1038" i="8"/>
  <c r="I1038" i="8" s="1"/>
  <c r="G1037" i="8"/>
  <c r="F1037" i="8"/>
  <c r="I1037" i="8" s="1"/>
  <c r="G1036" i="8"/>
  <c r="F1036" i="8"/>
  <c r="I1036" i="8" s="1"/>
  <c r="G1035" i="8"/>
  <c r="F1035" i="8"/>
  <c r="I1035" i="8" s="1"/>
  <c r="G1034" i="8"/>
  <c r="F1034" i="8"/>
  <c r="I1034" i="8" s="1"/>
  <c r="G1033" i="8"/>
  <c r="F1033" i="8"/>
  <c r="I1033" i="8" s="1"/>
  <c r="G1032" i="8"/>
  <c r="F1032" i="8"/>
  <c r="I1032" i="8" s="1"/>
  <c r="G1031" i="8"/>
  <c r="F1031" i="8"/>
  <c r="I1031" i="8" s="1"/>
  <c r="G1030" i="8"/>
  <c r="F1030" i="8"/>
  <c r="I1030" i="8" s="1"/>
  <c r="G1029" i="8"/>
  <c r="F1029" i="8"/>
  <c r="I1029" i="8" s="1"/>
  <c r="G1028" i="8"/>
  <c r="F1028" i="8"/>
  <c r="I1028" i="8" s="1"/>
  <c r="G1027" i="8"/>
  <c r="F1027" i="8"/>
  <c r="I1027" i="8" s="1"/>
  <c r="G1026" i="8"/>
  <c r="F1026" i="8"/>
  <c r="I1026" i="8" s="1"/>
  <c r="G1025" i="8"/>
  <c r="F1025" i="8"/>
  <c r="I1025" i="8" s="1"/>
  <c r="G1024" i="8"/>
  <c r="F1024" i="8"/>
  <c r="I1024" i="8" s="1"/>
  <c r="G1023" i="8"/>
  <c r="F1023" i="8"/>
  <c r="I1023" i="8" s="1"/>
  <c r="G1022" i="8"/>
  <c r="F1022" i="8"/>
  <c r="I1022" i="8" s="1"/>
  <c r="G1021" i="8"/>
  <c r="F1021" i="8"/>
  <c r="I1021" i="8" s="1"/>
  <c r="G1020" i="8"/>
  <c r="F1020" i="8"/>
  <c r="I1020" i="8" s="1"/>
  <c r="G1019" i="8"/>
  <c r="F1019" i="8"/>
  <c r="I1019" i="8" s="1"/>
  <c r="G1018" i="8"/>
  <c r="F1018" i="8"/>
  <c r="I1018" i="8" s="1"/>
  <c r="G1017" i="8"/>
  <c r="F1017" i="8"/>
  <c r="I1017" i="8" s="1"/>
  <c r="G1016" i="8"/>
  <c r="F1016" i="8"/>
  <c r="I1016" i="8" s="1"/>
  <c r="G1015" i="8"/>
  <c r="F1015" i="8"/>
  <c r="I1015" i="8" s="1"/>
  <c r="G1014" i="8"/>
  <c r="F1014" i="8"/>
  <c r="I1014" i="8" s="1"/>
  <c r="G1013" i="8"/>
  <c r="F1013" i="8"/>
  <c r="I1013" i="8" s="1"/>
  <c r="G1012" i="8"/>
  <c r="F1012" i="8"/>
  <c r="I1012" i="8" s="1"/>
  <c r="G1011" i="8"/>
  <c r="F1011" i="8"/>
  <c r="I1011" i="8" s="1"/>
  <c r="G1010" i="8"/>
  <c r="F1010" i="8"/>
  <c r="I1010" i="8" s="1"/>
  <c r="G1009" i="8"/>
  <c r="F1009" i="8"/>
  <c r="I1009" i="8" s="1"/>
  <c r="G1008" i="8"/>
  <c r="F1008" i="8"/>
  <c r="I1008" i="8" s="1"/>
  <c r="G1007" i="8"/>
  <c r="F1007" i="8"/>
  <c r="I1007" i="8" s="1"/>
  <c r="G1006" i="8"/>
  <c r="F1006" i="8"/>
  <c r="I1006" i="8" s="1"/>
  <c r="G1005" i="8"/>
  <c r="F1005" i="8"/>
  <c r="I1005" i="8" s="1"/>
  <c r="G1004" i="8"/>
  <c r="F1004" i="8"/>
  <c r="I1004" i="8" s="1"/>
  <c r="G1003" i="8"/>
  <c r="F1003" i="8"/>
  <c r="I1003" i="8" s="1"/>
  <c r="G1002" i="8"/>
  <c r="F1002" i="8"/>
  <c r="I1002" i="8" s="1"/>
  <c r="G1001" i="8"/>
  <c r="F1001" i="8"/>
  <c r="I1001" i="8" s="1"/>
  <c r="G1000" i="8"/>
  <c r="F1000" i="8"/>
  <c r="I1000" i="8" s="1"/>
  <c r="G999" i="8"/>
  <c r="F999" i="8"/>
  <c r="I999" i="8" s="1"/>
  <c r="G998" i="8"/>
  <c r="F998" i="8"/>
  <c r="I998" i="8" s="1"/>
  <c r="G997" i="8"/>
  <c r="F997" i="8"/>
  <c r="I997" i="8" s="1"/>
  <c r="G996" i="8"/>
  <c r="F996" i="8"/>
  <c r="I996" i="8" s="1"/>
  <c r="G995" i="8"/>
  <c r="F995" i="8"/>
  <c r="I995" i="8" s="1"/>
  <c r="G994" i="8"/>
  <c r="F994" i="8"/>
  <c r="I994" i="8" s="1"/>
  <c r="G993" i="8"/>
  <c r="F993" i="8"/>
  <c r="I993" i="8" s="1"/>
  <c r="G992" i="8"/>
  <c r="F992" i="8"/>
  <c r="I992" i="8" s="1"/>
  <c r="G991" i="8"/>
  <c r="F991" i="8"/>
  <c r="I991" i="8" s="1"/>
  <c r="G990" i="8"/>
  <c r="F990" i="8"/>
  <c r="I990" i="8" s="1"/>
  <c r="G989" i="8"/>
  <c r="F989" i="8"/>
  <c r="I989" i="8" s="1"/>
  <c r="G988" i="8"/>
  <c r="F988" i="8"/>
  <c r="I988" i="8" s="1"/>
  <c r="G987" i="8"/>
  <c r="F987" i="8"/>
  <c r="I987" i="8" s="1"/>
  <c r="G986" i="8"/>
  <c r="F986" i="8"/>
  <c r="I986" i="8" s="1"/>
  <c r="G985" i="8"/>
  <c r="F985" i="8"/>
  <c r="I985" i="8" s="1"/>
  <c r="G984" i="8"/>
  <c r="F984" i="8"/>
  <c r="I984" i="8" s="1"/>
  <c r="G983" i="8"/>
  <c r="F983" i="8"/>
  <c r="I983" i="8" s="1"/>
  <c r="G982" i="8"/>
  <c r="F982" i="8"/>
  <c r="I982" i="8" s="1"/>
  <c r="G981" i="8"/>
  <c r="F981" i="8"/>
  <c r="I981" i="8" s="1"/>
  <c r="G980" i="8"/>
  <c r="F980" i="8"/>
  <c r="I980" i="8" s="1"/>
  <c r="G979" i="8"/>
  <c r="F979" i="8"/>
  <c r="I979" i="8" s="1"/>
  <c r="G978" i="8"/>
  <c r="F978" i="8"/>
  <c r="I978" i="8" s="1"/>
  <c r="G977" i="8"/>
  <c r="F977" i="8"/>
  <c r="I977" i="8" s="1"/>
  <c r="G976" i="8"/>
  <c r="F976" i="8"/>
  <c r="I976" i="8" s="1"/>
  <c r="G975" i="8"/>
  <c r="F975" i="8"/>
  <c r="I975" i="8" s="1"/>
  <c r="G974" i="8"/>
  <c r="F974" i="8"/>
  <c r="I974" i="8" s="1"/>
  <c r="G973" i="8"/>
  <c r="F973" i="8"/>
  <c r="I973" i="8" s="1"/>
  <c r="G972" i="8"/>
  <c r="F972" i="8"/>
  <c r="I972" i="8" s="1"/>
  <c r="G971" i="8"/>
  <c r="F971" i="8"/>
  <c r="I971" i="8" s="1"/>
  <c r="G970" i="8"/>
  <c r="F970" i="8"/>
  <c r="I970" i="8" s="1"/>
  <c r="G969" i="8"/>
  <c r="F969" i="8"/>
  <c r="I969" i="8" s="1"/>
  <c r="G968" i="8"/>
  <c r="F968" i="8"/>
  <c r="I968" i="8" s="1"/>
  <c r="G967" i="8"/>
  <c r="F967" i="8"/>
  <c r="I967" i="8" s="1"/>
  <c r="G966" i="8"/>
  <c r="F966" i="8"/>
  <c r="I966" i="8" s="1"/>
  <c r="G965" i="8"/>
  <c r="F965" i="8"/>
  <c r="I965" i="8" s="1"/>
  <c r="G964" i="8"/>
  <c r="F964" i="8"/>
  <c r="I964" i="8" s="1"/>
  <c r="G963" i="8"/>
  <c r="F963" i="8"/>
  <c r="I963" i="8" s="1"/>
  <c r="G962" i="8"/>
  <c r="F962" i="8"/>
  <c r="I962" i="8" s="1"/>
  <c r="G961" i="8"/>
  <c r="F961" i="8"/>
  <c r="I961" i="8" s="1"/>
  <c r="G960" i="8"/>
  <c r="F960" i="8"/>
  <c r="I960" i="8" s="1"/>
  <c r="G959" i="8"/>
  <c r="F959" i="8"/>
  <c r="I959" i="8" s="1"/>
  <c r="G958" i="8"/>
  <c r="F958" i="8"/>
  <c r="I958" i="8" s="1"/>
  <c r="G957" i="8"/>
  <c r="F957" i="8"/>
  <c r="I957" i="8" s="1"/>
  <c r="G956" i="8"/>
  <c r="F956" i="8"/>
  <c r="I956" i="8" s="1"/>
  <c r="G955" i="8"/>
  <c r="F955" i="8"/>
  <c r="I955" i="8" s="1"/>
  <c r="G954" i="8"/>
  <c r="F954" i="8"/>
  <c r="I954" i="8" s="1"/>
  <c r="G953" i="8"/>
  <c r="F953" i="8"/>
  <c r="I953" i="8" s="1"/>
  <c r="G952" i="8"/>
  <c r="F952" i="8"/>
  <c r="I952" i="8" s="1"/>
  <c r="G951" i="8"/>
  <c r="F951" i="8"/>
  <c r="I951" i="8" s="1"/>
  <c r="G950" i="8"/>
  <c r="F950" i="8"/>
  <c r="I950" i="8" s="1"/>
  <c r="G949" i="8"/>
  <c r="F949" i="8"/>
  <c r="I949" i="8" s="1"/>
  <c r="G948" i="8"/>
  <c r="F948" i="8"/>
  <c r="I948" i="8" s="1"/>
  <c r="G947" i="8"/>
  <c r="F947" i="8"/>
  <c r="I947" i="8" s="1"/>
  <c r="G946" i="8"/>
  <c r="F946" i="8"/>
  <c r="I946" i="8" s="1"/>
  <c r="G945" i="8"/>
  <c r="F945" i="8"/>
  <c r="I945" i="8" s="1"/>
  <c r="G944" i="8"/>
  <c r="F944" i="8"/>
  <c r="I944" i="8" s="1"/>
  <c r="G943" i="8"/>
  <c r="F943" i="8"/>
  <c r="I943" i="8" s="1"/>
  <c r="G942" i="8"/>
  <c r="F942" i="8"/>
  <c r="I942" i="8" s="1"/>
  <c r="G941" i="8"/>
  <c r="F941" i="8"/>
  <c r="I941" i="8" s="1"/>
  <c r="G940" i="8"/>
  <c r="F940" i="8"/>
  <c r="I940" i="8" s="1"/>
  <c r="G939" i="8"/>
  <c r="F939" i="8"/>
  <c r="I939" i="8" s="1"/>
  <c r="G938" i="8"/>
  <c r="F938" i="8"/>
  <c r="I938" i="8" s="1"/>
  <c r="G937" i="8"/>
  <c r="F937" i="8"/>
  <c r="I937" i="8" s="1"/>
  <c r="G936" i="8"/>
  <c r="F936" i="8"/>
  <c r="I936" i="8" s="1"/>
  <c r="G935" i="8"/>
  <c r="F935" i="8"/>
  <c r="I935" i="8" s="1"/>
  <c r="G934" i="8"/>
  <c r="F934" i="8"/>
  <c r="I934" i="8" s="1"/>
  <c r="G933" i="8"/>
  <c r="F933" i="8"/>
  <c r="I933" i="8" s="1"/>
  <c r="G932" i="8"/>
  <c r="F932" i="8"/>
  <c r="I932" i="8" s="1"/>
  <c r="G931" i="8"/>
  <c r="F931" i="8"/>
  <c r="I931" i="8" s="1"/>
  <c r="G930" i="8"/>
  <c r="F930" i="8"/>
  <c r="I930" i="8" s="1"/>
  <c r="G929" i="8"/>
  <c r="F929" i="8"/>
  <c r="I929" i="8" s="1"/>
  <c r="G928" i="8"/>
  <c r="F928" i="8"/>
  <c r="I928" i="8" s="1"/>
  <c r="G927" i="8"/>
  <c r="F927" i="8"/>
  <c r="I927" i="8" s="1"/>
  <c r="G926" i="8"/>
  <c r="F926" i="8"/>
  <c r="I926" i="8" s="1"/>
  <c r="G925" i="8"/>
  <c r="F925" i="8"/>
  <c r="I925" i="8" s="1"/>
  <c r="G924" i="8"/>
  <c r="F924" i="8"/>
  <c r="I924" i="8" s="1"/>
  <c r="G923" i="8"/>
  <c r="F923" i="8"/>
  <c r="I923" i="8" s="1"/>
  <c r="G922" i="8"/>
  <c r="F922" i="8"/>
  <c r="I922" i="8" s="1"/>
  <c r="G921" i="8"/>
  <c r="F921" i="8"/>
  <c r="I921" i="8" s="1"/>
  <c r="G920" i="8"/>
  <c r="F920" i="8"/>
  <c r="I920" i="8" s="1"/>
  <c r="G919" i="8"/>
  <c r="F919" i="8"/>
  <c r="I919" i="8" s="1"/>
  <c r="G918" i="8"/>
  <c r="F918" i="8"/>
  <c r="I918" i="8" s="1"/>
  <c r="G917" i="8"/>
  <c r="F917" i="8"/>
  <c r="I917" i="8" s="1"/>
  <c r="G916" i="8"/>
  <c r="F916" i="8"/>
  <c r="I916" i="8" s="1"/>
  <c r="G915" i="8"/>
  <c r="F915" i="8"/>
  <c r="I915" i="8" s="1"/>
  <c r="G914" i="8"/>
  <c r="F914" i="8"/>
  <c r="I914" i="8" s="1"/>
  <c r="G913" i="8"/>
  <c r="F913" i="8"/>
  <c r="I913" i="8" s="1"/>
  <c r="G912" i="8"/>
  <c r="F912" i="8"/>
  <c r="I912" i="8" s="1"/>
  <c r="G911" i="8"/>
  <c r="F911" i="8"/>
  <c r="I911" i="8" s="1"/>
  <c r="G910" i="8"/>
  <c r="F910" i="8"/>
  <c r="I910" i="8" s="1"/>
  <c r="G909" i="8"/>
  <c r="F909" i="8"/>
  <c r="I909" i="8" s="1"/>
  <c r="G908" i="8"/>
  <c r="F908" i="8"/>
  <c r="I908" i="8" s="1"/>
  <c r="G907" i="8"/>
  <c r="F907" i="8"/>
  <c r="I907" i="8" s="1"/>
  <c r="G906" i="8"/>
  <c r="F906" i="8"/>
  <c r="I906" i="8" s="1"/>
  <c r="G905" i="8"/>
  <c r="F905" i="8"/>
  <c r="I905" i="8" s="1"/>
  <c r="G904" i="8"/>
  <c r="F904" i="8"/>
  <c r="I904" i="8" s="1"/>
  <c r="G903" i="8"/>
  <c r="F903" i="8"/>
  <c r="I903" i="8" s="1"/>
  <c r="G902" i="8"/>
  <c r="F902" i="8"/>
  <c r="I902" i="8" s="1"/>
  <c r="G901" i="8"/>
  <c r="F901" i="8"/>
  <c r="I901" i="8" s="1"/>
  <c r="G900" i="8"/>
  <c r="F900" i="8"/>
  <c r="I900" i="8" s="1"/>
  <c r="G899" i="8"/>
  <c r="F899" i="8"/>
  <c r="I899" i="8" s="1"/>
  <c r="G898" i="8"/>
  <c r="F898" i="8"/>
  <c r="I898" i="8" s="1"/>
  <c r="G897" i="8"/>
  <c r="F897" i="8"/>
  <c r="I897" i="8" s="1"/>
  <c r="G896" i="8"/>
  <c r="F896" i="8"/>
  <c r="I896" i="8" s="1"/>
  <c r="G895" i="8"/>
  <c r="F895" i="8"/>
  <c r="I895" i="8" s="1"/>
  <c r="G894" i="8"/>
  <c r="F894" i="8"/>
  <c r="I894" i="8" s="1"/>
  <c r="G893" i="8"/>
  <c r="F893" i="8"/>
  <c r="I893" i="8" s="1"/>
  <c r="G892" i="8"/>
  <c r="F892" i="8"/>
  <c r="I892" i="8" s="1"/>
  <c r="G891" i="8"/>
  <c r="F891" i="8"/>
  <c r="I891" i="8" s="1"/>
  <c r="G890" i="8"/>
  <c r="F890" i="8"/>
  <c r="I890" i="8" s="1"/>
  <c r="G889" i="8"/>
  <c r="F889" i="8"/>
  <c r="I889" i="8" s="1"/>
  <c r="G888" i="8"/>
  <c r="F888" i="8"/>
  <c r="I888" i="8" s="1"/>
  <c r="G887" i="8"/>
  <c r="F887" i="8"/>
  <c r="I887" i="8" s="1"/>
  <c r="G886" i="8"/>
  <c r="F886" i="8"/>
  <c r="I886" i="8" s="1"/>
  <c r="G885" i="8"/>
  <c r="F885" i="8"/>
  <c r="I885" i="8" s="1"/>
  <c r="G884" i="8"/>
  <c r="F884" i="8"/>
  <c r="I884" i="8" s="1"/>
  <c r="G883" i="8"/>
  <c r="F883" i="8"/>
  <c r="I883" i="8" s="1"/>
  <c r="G882" i="8"/>
  <c r="F882" i="8"/>
  <c r="I882" i="8" s="1"/>
  <c r="G881" i="8"/>
  <c r="F881" i="8"/>
  <c r="I881" i="8" s="1"/>
  <c r="G880" i="8"/>
  <c r="F880" i="8"/>
  <c r="I880" i="8" s="1"/>
  <c r="G879" i="8"/>
  <c r="F879" i="8"/>
  <c r="I879" i="8" s="1"/>
  <c r="G878" i="8"/>
  <c r="F878" i="8"/>
  <c r="I878" i="8" s="1"/>
  <c r="G877" i="8"/>
  <c r="F877" i="8"/>
  <c r="I877" i="8" s="1"/>
  <c r="G876" i="8"/>
  <c r="F876" i="8"/>
  <c r="I876" i="8" s="1"/>
  <c r="G875" i="8"/>
  <c r="F875" i="8"/>
  <c r="I875" i="8" s="1"/>
  <c r="G874" i="8"/>
  <c r="F874" i="8"/>
  <c r="I874" i="8" s="1"/>
  <c r="G873" i="8"/>
  <c r="F873" i="8"/>
  <c r="I873" i="8" s="1"/>
  <c r="G872" i="8"/>
  <c r="F872" i="8"/>
  <c r="I872" i="8" s="1"/>
  <c r="G871" i="8"/>
  <c r="F871" i="8"/>
  <c r="I871" i="8" s="1"/>
  <c r="G870" i="8"/>
  <c r="F870" i="8"/>
  <c r="I870" i="8" s="1"/>
  <c r="G869" i="8"/>
  <c r="F869" i="8"/>
  <c r="I869" i="8" s="1"/>
  <c r="G868" i="8"/>
  <c r="F868" i="8"/>
  <c r="I868" i="8" s="1"/>
  <c r="G867" i="8"/>
  <c r="F867" i="8"/>
  <c r="I867" i="8" s="1"/>
  <c r="G866" i="8"/>
  <c r="F866" i="8"/>
  <c r="I866" i="8" s="1"/>
  <c r="G865" i="8"/>
  <c r="F865" i="8"/>
  <c r="I865" i="8" s="1"/>
  <c r="G864" i="8"/>
  <c r="F864" i="8"/>
  <c r="I864" i="8" s="1"/>
  <c r="G863" i="8"/>
  <c r="F863" i="8"/>
  <c r="I863" i="8" s="1"/>
  <c r="G862" i="8"/>
  <c r="F862" i="8"/>
  <c r="I862" i="8" s="1"/>
  <c r="G861" i="8"/>
  <c r="F861" i="8"/>
  <c r="I861" i="8" s="1"/>
  <c r="G860" i="8"/>
  <c r="F860" i="8"/>
  <c r="I860" i="8" s="1"/>
  <c r="G859" i="8"/>
  <c r="F859" i="8"/>
  <c r="I859" i="8" s="1"/>
  <c r="G858" i="8"/>
  <c r="F858" i="8"/>
  <c r="I858" i="8" s="1"/>
  <c r="G857" i="8"/>
  <c r="F857" i="8"/>
  <c r="I857" i="8" s="1"/>
  <c r="G856" i="8"/>
  <c r="F856" i="8"/>
  <c r="I856" i="8" s="1"/>
  <c r="G855" i="8"/>
  <c r="F855" i="8"/>
  <c r="I855" i="8" s="1"/>
  <c r="G854" i="8"/>
  <c r="F854" i="8"/>
  <c r="I854" i="8" s="1"/>
  <c r="G853" i="8"/>
  <c r="F853" i="8"/>
  <c r="I853" i="8" s="1"/>
  <c r="G852" i="8"/>
  <c r="F852" i="8"/>
  <c r="I852" i="8" s="1"/>
  <c r="G851" i="8"/>
  <c r="F851" i="8"/>
  <c r="I851" i="8" s="1"/>
  <c r="G850" i="8"/>
  <c r="F850" i="8"/>
  <c r="I850" i="8" s="1"/>
  <c r="G849" i="8"/>
  <c r="F849" i="8"/>
  <c r="I849" i="8" s="1"/>
  <c r="G848" i="8"/>
  <c r="F848" i="8"/>
  <c r="I848" i="8" s="1"/>
  <c r="G847" i="8"/>
  <c r="F847" i="8"/>
  <c r="I847" i="8" s="1"/>
  <c r="G846" i="8"/>
  <c r="F846" i="8"/>
  <c r="I846" i="8" s="1"/>
  <c r="G845" i="8"/>
  <c r="F845" i="8"/>
  <c r="I845" i="8" s="1"/>
  <c r="G844" i="8"/>
  <c r="F844" i="8"/>
  <c r="I844" i="8" s="1"/>
  <c r="G843" i="8"/>
  <c r="F843" i="8"/>
  <c r="I843" i="8" s="1"/>
  <c r="G842" i="8"/>
  <c r="F842" i="8"/>
  <c r="I842" i="8" s="1"/>
  <c r="G841" i="8"/>
  <c r="F841" i="8"/>
  <c r="I841" i="8" s="1"/>
  <c r="G840" i="8"/>
  <c r="F840" i="8"/>
  <c r="I840" i="8" s="1"/>
  <c r="G839" i="8"/>
  <c r="F839" i="8"/>
  <c r="I839" i="8" s="1"/>
  <c r="G838" i="8"/>
  <c r="F838" i="8"/>
  <c r="I838" i="8" s="1"/>
  <c r="G837" i="8"/>
  <c r="F837" i="8"/>
  <c r="I837" i="8" s="1"/>
  <c r="G836" i="8"/>
  <c r="F836" i="8"/>
  <c r="I836" i="8" s="1"/>
  <c r="G835" i="8"/>
  <c r="F835" i="8"/>
  <c r="I835" i="8" s="1"/>
  <c r="G834" i="8"/>
  <c r="F834" i="8"/>
  <c r="I834" i="8" s="1"/>
  <c r="G833" i="8"/>
  <c r="F833" i="8"/>
  <c r="I833" i="8" s="1"/>
  <c r="G832" i="8"/>
  <c r="F832" i="8"/>
  <c r="I832" i="8" s="1"/>
  <c r="G831" i="8"/>
  <c r="F831" i="8"/>
  <c r="I831" i="8" s="1"/>
  <c r="G830" i="8"/>
  <c r="F830" i="8"/>
  <c r="I830" i="8" s="1"/>
  <c r="G829" i="8"/>
  <c r="F829" i="8"/>
  <c r="I829" i="8" s="1"/>
  <c r="G828" i="8"/>
  <c r="F828" i="8"/>
  <c r="I828" i="8" s="1"/>
  <c r="G827" i="8"/>
  <c r="F827" i="8"/>
  <c r="I827" i="8" s="1"/>
  <c r="G826" i="8"/>
  <c r="F826" i="8"/>
  <c r="I826" i="8" s="1"/>
  <c r="G825" i="8"/>
  <c r="F825" i="8"/>
  <c r="I825" i="8" s="1"/>
  <c r="G824" i="8"/>
  <c r="F824" i="8"/>
  <c r="I824" i="8" s="1"/>
  <c r="G823" i="8"/>
  <c r="F823" i="8"/>
  <c r="I823" i="8" s="1"/>
  <c r="G822" i="8"/>
  <c r="F822" i="8"/>
  <c r="I822" i="8" s="1"/>
  <c r="G821" i="8"/>
  <c r="F821" i="8"/>
  <c r="I821" i="8" s="1"/>
  <c r="G820" i="8"/>
  <c r="F820" i="8"/>
  <c r="I820" i="8" s="1"/>
  <c r="G819" i="8"/>
  <c r="F819" i="8"/>
  <c r="I819" i="8" s="1"/>
  <c r="G818" i="8"/>
  <c r="F818" i="8"/>
  <c r="I818" i="8" s="1"/>
  <c r="G817" i="8"/>
  <c r="F817" i="8"/>
  <c r="I817" i="8" s="1"/>
  <c r="G816" i="8"/>
  <c r="F816" i="8"/>
  <c r="I816" i="8" s="1"/>
  <c r="G815" i="8"/>
  <c r="F815" i="8"/>
  <c r="I815" i="8" s="1"/>
  <c r="G814" i="8"/>
  <c r="F814" i="8"/>
  <c r="I814" i="8" s="1"/>
  <c r="G813" i="8"/>
  <c r="F813" i="8"/>
  <c r="I813" i="8" s="1"/>
  <c r="G812" i="8"/>
  <c r="F812" i="8"/>
  <c r="I812" i="8" s="1"/>
  <c r="G811" i="8"/>
  <c r="F811" i="8"/>
  <c r="I811" i="8" s="1"/>
  <c r="G810" i="8"/>
  <c r="F810" i="8"/>
  <c r="I810" i="8" s="1"/>
  <c r="G809" i="8"/>
  <c r="F809" i="8"/>
  <c r="I809" i="8" s="1"/>
  <c r="G808" i="8"/>
  <c r="F808" i="8"/>
  <c r="I808" i="8" s="1"/>
  <c r="G807" i="8"/>
  <c r="F807" i="8"/>
  <c r="I807" i="8" s="1"/>
  <c r="G806" i="8"/>
  <c r="F806" i="8"/>
  <c r="I806" i="8" s="1"/>
  <c r="G805" i="8"/>
  <c r="F805" i="8"/>
  <c r="I805" i="8" s="1"/>
  <c r="G804" i="8"/>
  <c r="F804" i="8"/>
  <c r="I804" i="8" s="1"/>
  <c r="G803" i="8"/>
  <c r="F803" i="8"/>
  <c r="I803" i="8" s="1"/>
  <c r="G802" i="8"/>
  <c r="F802" i="8"/>
  <c r="I802" i="8" s="1"/>
  <c r="G801" i="8"/>
  <c r="F801" i="8"/>
  <c r="I801" i="8" s="1"/>
  <c r="G800" i="8"/>
  <c r="F800" i="8"/>
  <c r="I800" i="8" s="1"/>
  <c r="G799" i="8"/>
  <c r="F799" i="8"/>
  <c r="I799" i="8" s="1"/>
  <c r="G798" i="8"/>
  <c r="F798" i="8"/>
  <c r="I798" i="8" s="1"/>
  <c r="G797" i="8"/>
  <c r="F797" i="8"/>
  <c r="I797" i="8" s="1"/>
  <c r="G796" i="8"/>
  <c r="F796" i="8"/>
  <c r="I796" i="8" s="1"/>
  <c r="G795" i="8"/>
  <c r="F795" i="8"/>
  <c r="I795" i="8" s="1"/>
  <c r="G794" i="8"/>
  <c r="F794" i="8"/>
  <c r="I794" i="8" s="1"/>
  <c r="G793" i="8"/>
  <c r="F793" i="8"/>
  <c r="I793" i="8" s="1"/>
  <c r="G792" i="8"/>
  <c r="F792" i="8"/>
  <c r="I792" i="8" s="1"/>
  <c r="G791" i="8"/>
  <c r="F791" i="8"/>
  <c r="I791" i="8" s="1"/>
  <c r="G790" i="8"/>
  <c r="F790" i="8"/>
  <c r="I790" i="8" s="1"/>
  <c r="G789" i="8"/>
  <c r="F789" i="8"/>
  <c r="I789" i="8" s="1"/>
  <c r="G788" i="8"/>
  <c r="F788" i="8"/>
  <c r="I788" i="8" s="1"/>
  <c r="G787" i="8"/>
  <c r="F787" i="8"/>
  <c r="I787" i="8" s="1"/>
  <c r="G786" i="8"/>
  <c r="F786" i="8"/>
  <c r="I786" i="8" s="1"/>
  <c r="G785" i="8"/>
  <c r="F785" i="8"/>
  <c r="I785" i="8" s="1"/>
  <c r="G784" i="8"/>
  <c r="F784" i="8"/>
  <c r="I784" i="8" s="1"/>
  <c r="G783" i="8"/>
  <c r="F783" i="8"/>
  <c r="I783" i="8" s="1"/>
  <c r="G782" i="8"/>
  <c r="F782" i="8"/>
  <c r="I782" i="8" s="1"/>
  <c r="G781" i="8"/>
  <c r="F781" i="8"/>
  <c r="I781" i="8" s="1"/>
  <c r="G780" i="8"/>
  <c r="F780" i="8"/>
  <c r="I780" i="8" s="1"/>
  <c r="G779" i="8"/>
  <c r="F779" i="8"/>
  <c r="I779" i="8" s="1"/>
  <c r="G778" i="8"/>
  <c r="F778" i="8"/>
  <c r="I778" i="8" s="1"/>
  <c r="G777" i="8"/>
  <c r="F777" i="8"/>
  <c r="I777" i="8" s="1"/>
  <c r="G776" i="8"/>
  <c r="F776" i="8"/>
  <c r="I776" i="8" s="1"/>
  <c r="G775" i="8"/>
  <c r="F775" i="8"/>
  <c r="I775" i="8" s="1"/>
  <c r="G774" i="8"/>
  <c r="F774" i="8"/>
  <c r="I774" i="8" s="1"/>
  <c r="G773" i="8"/>
  <c r="F773" i="8"/>
  <c r="I773" i="8" s="1"/>
  <c r="G772" i="8"/>
  <c r="F772" i="8"/>
  <c r="I772" i="8" s="1"/>
  <c r="G771" i="8"/>
  <c r="F771" i="8"/>
  <c r="I771" i="8" s="1"/>
  <c r="G770" i="8"/>
  <c r="F770" i="8"/>
  <c r="I770" i="8" s="1"/>
  <c r="G769" i="8"/>
  <c r="F769" i="8"/>
  <c r="I769" i="8" s="1"/>
  <c r="G768" i="8"/>
  <c r="F768" i="8"/>
  <c r="I768" i="8" s="1"/>
  <c r="G767" i="8"/>
  <c r="F767" i="8"/>
  <c r="I767" i="8" s="1"/>
  <c r="G766" i="8"/>
  <c r="F766" i="8"/>
  <c r="I766" i="8" s="1"/>
  <c r="G765" i="8"/>
  <c r="F765" i="8"/>
  <c r="I765" i="8" s="1"/>
  <c r="G764" i="8"/>
  <c r="F764" i="8"/>
  <c r="I764" i="8" s="1"/>
  <c r="G763" i="8"/>
  <c r="F763" i="8"/>
  <c r="I763" i="8" s="1"/>
  <c r="G762" i="8"/>
  <c r="F762" i="8"/>
  <c r="I762" i="8" s="1"/>
  <c r="G761" i="8"/>
  <c r="F761" i="8"/>
  <c r="I761" i="8" s="1"/>
  <c r="G760" i="8"/>
  <c r="F760" i="8"/>
  <c r="I760" i="8" s="1"/>
  <c r="G759" i="8"/>
  <c r="F759" i="8"/>
  <c r="I759" i="8" s="1"/>
  <c r="G758" i="8"/>
  <c r="F758" i="8"/>
  <c r="I758" i="8" s="1"/>
  <c r="G757" i="8"/>
  <c r="F757" i="8"/>
  <c r="I757" i="8" s="1"/>
  <c r="G756" i="8"/>
  <c r="F756" i="8"/>
  <c r="I756" i="8" s="1"/>
  <c r="G755" i="8"/>
  <c r="F755" i="8"/>
  <c r="I755" i="8" s="1"/>
  <c r="G754" i="8"/>
  <c r="F754" i="8"/>
  <c r="I754" i="8" s="1"/>
  <c r="G753" i="8"/>
  <c r="F753" i="8"/>
  <c r="I753" i="8" s="1"/>
  <c r="G752" i="8"/>
  <c r="F752" i="8"/>
  <c r="I752" i="8" s="1"/>
  <c r="G751" i="8"/>
  <c r="F751" i="8"/>
  <c r="I751" i="8" s="1"/>
  <c r="G750" i="8"/>
  <c r="F750" i="8"/>
  <c r="I750" i="8" s="1"/>
  <c r="G749" i="8"/>
  <c r="F749" i="8"/>
  <c r="I749" i="8" s="1"/>
  <c r="G748" i="8"/>
  <c r="F748" i="8"/>
  <c r="I748" i="8" s="1"/>
  <c r="G747" i="8"/>
  <c r="F747" i="8"/>
  <c r="I747" i="8" s="1"/>
  <c r="G746" i="8"/>
  <c r="F746" i="8"/>
  <c r="I746" i="8" s="1"/>
  <c r="G745" i="8"/>
  <c r="F745" i="8"/>
  <c r="I745" i="8" s="1"/>
  <c r="G744" i="8"/>
  <c r="F744" i="8"/>
  <c r="I744" i="8" s="1"/>
  <c r="G743" i="8"/>
  <c r="F743" i="8"/>
  <c r="I743" i="8" s="1"/>
  <c r="G742" i="8"/>
  <c r="F742" i="8"/>
  <c r="I742" i="8" s="1"/>
  <c r="G741" i="8"/>
  <c r="F741" i="8"/>
  <c r="I741" i="8" s="1"/>
  <c r="G740" i="8"/>
  <c r="F740" i="8"/>
  <c r="I740" i="8" s="1"/>
  <c r="G739" i="8"/>
  <c r="F739" i="8"/>
  <c r="I739" i="8" s="1"/>
  <c r="G738" i="8"/>
  <c r="F738" i="8"/>
  <c r="I738" i="8" s="1"/>
  <c r="G737" i="8"/>
  <c r="F737" i="8"/>
  <c r="I737" i="8" s="1"/>
  <c r="G736" i="8"/>
  <c r="F736" i="8"/>
  <c r="I736" i="8" s="1"/>
  <c r="G735" i="8"/>
  <c r="F735" i="8"/>
  <c r="I735" i="8" s="1"/>
  <c r="G734" i="8"/>
  <c r="F734" i="8"/>
  <c r="I734" i="8" s="1"/>
  <c r="G733" i="8"/>
  <c r="F733" i="8"/>
  <c r="I733" i="8" s="1"/>
  <c r="G732" i="8"/>
  <c r="F732" i="8"/>
  <c r="I732" i="8" s="1"/>
  <c r="G731" i="8"/>
  <c r="F731" i="8"/>
  <c r="I731" i="8" s="1"/>
  <c r="G730" i="8"/>
  <c r="F730" i="8"/>
  <c r="I730" i="8" s="1"/>
  <c r="G729" i="8"/>
  <c r="F729" i="8"/>
  <c r="I729" i="8" s="1"/>
  <c r="G728" i="8"/>
  <c r="F728" i="8"/>
  <c r="I728" i="8" s="1"/>
  <c r="G727" i="8"/>
  <c r="F727" i="8"/>
  <c r="I727" i="8" s="1"/>
  <c r="G726" i="8"/>
  <c r="F726" i="8"/>
  <c r="I726" i="8" s="1"/>
  <c r="G725" i="8"/>
  <c r="F725" i="8"/>
  <c r="I725" i="8" s="1"/>
  <c r="G724" i="8"/>
  <c r="F724" i="8"/>
  <c r="I724" i="8" s="1"/>
  <c r="G723" i="8"/>
  <c r="F723" i="8"/>
  <c r="I723" i="8" s="1"/>
  <c r="G722" i="8"/>
  <c r="F722" i="8"/>
  <c r="I722" i="8" s="1"/>
  <c r="G721" i="8"/>
  <c r="F721" i="8"/>
  <c r="I721" i="8" s="1"/>
  <c r="G720" i="8"/>
  <c r="F720" i="8"/>
  <c r="I720" i="8" s="1"/>
  <c r="G719" i="8"/>
  <c r="F719" i="8"/>
  <c r="I719" i="8" s="1"/>
  <c r="G718" i="8"/>
  <c r="F718" i="8"/>
  <c r="I718" i="8" s="1"/>
  <c r="G717" i="8"/>
  <c r="F717" i="8"/>
  <c r="I717" i="8" s="1"/>
  <c r="G716" i="8"/>
  <c r="F716" i="8"/>
  <c r="I716" i="8" s="1"/>
  <c r="G715" i="8"/>
  <c r="F715" i="8"/>
  <c r="I715" i="8" s="1"/>
  <c r="G714" i="8"/>
  <c r="F714" i="8"/>
  <c r="I714" i="8" s="1"/>
  <c r="G713" i="8"/>
  <c r="F713" i="8"/>
  <c r="I713" i="8" s="1"/>
  <c r="G712" i="8"/>
  <c r="F712" i="8"/>
  <c r="I712" i="8" s="1"/>
  <c r="G711" i="8"/>
  <c r="F711" i="8"/>
  <c r="I711" i="8" s="1"/>
  <c r="G710" i="8"/>
  <c r="F710" i="8"/>
  <c r="I710" i="8" s="1"/>
  <c r="G709" i="8"/>
  <c r="F709" i="8"/>
  <c r="I709" i="8" s="1"/>
  <c r="G708" i="8"/>
  <c r="F708" i="8"/>
  <c r="I708" i="8" s="1"/>
  <c r="G707" i="8"/>
  <c r="F707" i="8"/>
  <c r="I707" i="8" s="1"/>
  <c r="G706" i="8"/>
  <c r="F706" i="8"/>
  <c r="I706" i="8" s="1"/>
  <c r="G705" i="8"/>
  <c r="F705" i="8"/>
  <c r="I705" i="8" s="1"/>
  <c r="G704" i="8"/>
  <c r="F704" i="8"/>
  <c r="I704" i="8" s="1"/>
  <c r="G703" i="8"/>
  <c r="F703" i="8"/>
  <c r="I703" i="8" s="1"/>
  <c r="G702" i="8"/>
  <c r="F702" i="8"/>
  <c r="I702" i="8" s="1"/>
  <c r="G701" i="8"/>
  <c r="F701" i="8"/>
  <c r="I701" i="8" s="1"/>
  <c r="G700" i="8"/>
  <c r="F700" i="8"/>
  <c r="I700" i="8" s="1"/>
  <c r="G699" i="8"/>
  <c r="F699" i="8"/>
  <c r="I699" i="8" s="1"/>
  <c r="G698" i="8"/>
  <c r="F698" i="8"/>
  <c r="I698" i="8" s="1"/>
  <c r="G697" i="8"/>
  <c r="F697" i="8"/>
  <c r="I697" i="8" s="1"/>
  <c r="G696" i="8"/>
  <c r="F696" i="8"/>
  <c r="I696" i="8" s="1"/>
  <c r="G695" i="8"/>
  <c r="F695" i="8"/>
  <c r="I695" i="8" s="1"/>
  <c r="G694" i="8"/>
  <c r="F694" i="8"/>
  <c r="I694" i="8" s="1"/>
  <c r="G693" i="8"/>
  <c r="F693" i="8"/>
  <c r="I693" i="8" s="1"/>
  <c r="G692" i="8"/>
  <c r="F692" i="8"/>
  <c r="I692" i="8" s="1"/>
  <c r="G691" i="8"/>
  <c r="F691" i="8"/>
  <c r="I691" i="8" s="1"/>
  <c r="G690" i="8"/>
  <c r="F690" i="8"/>
  <c r="I690" i="8" s="1"/>
  <c r="G689" i="8"/>
  <c r="F689" i="8"/>
  <c r="I689" i="8" s="1"/>
  <c r="G688" i="8"/>
  <c r="F688" i="8"/>
  <c r="I688" i="8" s="1"/>
  <c r="G687" i="8"/>
  <c r="F687" i="8"/>
  <c r="I687" i="8" s="1"/>
  <c r="G686" i="8"/>
  <c r="F686" i="8"/>
  <c r="I686" i="8" s="1"/>
  <c r="G685" i="8"/>
  <c r="F685" i="8"/>
  <c r="I685" i="8" s="1"/>
  <c r="G684" i="8"/>
  <c r="F684" i="8"/>
  <c r="I684" i="8" s="1"/>
  <c r="G683" i="8"/>
  <c r="F683" i="8"/>
  <c r="I683" i="8" s="1"/>
  <c r="G682" i="8"/>
  <c r="F682" i="8"/>
  <c r="I682" i="8" s="1"/>
  <c r="G681" i="8"/>
  <c r="F681" i="8"/>
  <c r="I681" i="8" s="1"/>
  <c r="G680" i="8"/>
  <c r="F680" i="8"/>
  <c r="I680" i="8" s="1"/>
  <c r="G679" i="8"/>
  <c r="F679" i="8"/>
  <c r="I679" i="8" s="1"/>
  <c r="G678" i="8"/>
  <c r="F678" i="8"/>
  <c r="I678" i="8" s="1"/>
  <c r="G677" i="8"/>
  <c r="F677" i="8"/>
  <c r="I677" i="8" s="1"/>
  <c r="G676" i="8"/>
  <c r="F676" i="8"/>
  <c r="I676" i="8" s="1"/>
  <c r="G675" i="8"/>
  <c r="F675" i="8"/>
  <c r="I675" i="8" s="1"/>
  <c r="G674" i="8"/>
  <c r="F674" i="8"/>
  <c r="I674" i="8" s="1"/>
  <c r="G673" i="8"/>
  <c r="F673" i="8"/>
  <c r="I673" i="8" s="1"/>
  <c r="G672" i="8"/>
  <c r="F672" i="8"/>
  <c r="I672" i="8" s="1"/>
  <c r="G671" i="8"/>
  <c r="F671" i="8"/>
  <c r="I671" i="8" s="1"/>
  <c r="G670" i="8"/>
  <c r="F670" i="8"/>
  <c r="I670" i="8" s="1"/>
  <c r="G669" i="8"/>
  <c r="F669" i="8"/>
  <c r="I669" i="8" s="1"/>
  <c r="G668" i="8"/>
  <c r="F668" i="8"/>
  <c r="I668" i="8" s="1"/>
  <c r="G667" i="8"/>
  <c r="F667" i="8"/>
  <c r="I667" i="8" s="1"/>
  <c r="G666" i="8"/>
  <c r="F666" i="8"/>
  <c r="I666" i="8" s="1"/>
  <c r="G665" i="8"/>
  <c r="F665" i="8"/>
  <c r="I665" i="8" s="1"/>
  <c r="G664" i="8"/>
  <c r="F664" i="8"/>
  <c r="I664" i="8" s="1"/>
  <c r="G663" i="8"/>
  <c r="F663" i="8"/>
  <c r="I663" i="8" s="1"/>
  <c r="G662" i="8"/>
  <c r="F662" i="8"/>
  <c r="I662" i="8" s="1"/>
  <c r="G661" i="8"/>
  <c r="F661" i="8"/>
  <c r="I661" i="8" s="1"/>
  <c r="G660" i="8"/>
  <c r="F660" i="8"/>
  <c r="I660" i="8" s="1"/>
  <c r="G659" i="8"/>
  <c r="F659" i="8"/>
  <c r="I659" i="8" s="1"/>
  <c r="G658" i="8"/>
  <c r="F658" i="8"/>
  <c r="I658" i="8" s="1"/>
  <c r="G657" i="8"/>
  <c r="F657" i="8"/>
  <c r="I657" i="8" s="1"/>
  <c r="G656" i="8"/>
  <c r="F656" i="8"/>
  <c r="I656" i="8" s="1"/>
  <c r="G655" i="8"/>
  <c r="F655" i="8"/>
  <c r="I655" i="8" s="1"/>
  <c r="G654" i="8"/>
  <c r="F654" i="8"/>
  <c r="I654" i="8" s="1"/>
  <c r="G653" i="8"/>
  <c r="F653" i="8"/>
  <c r="I653" i="8" s="1"/>
  <c r="G652" i="8"/>
  <c r="F652" i="8"/>
  <c r="I652" i="8" s="1"/>
  <c r="G651" i="8"/>
  <c r="F651" i="8"/>
  <c r="I651" i="8" s="1"/>
  <c r="G650" i="8"/>
  <c r="F650" i="8"/>
  <c r="I650" i="8" s="1"/>
  <c r="G649" i="8"/>
  <c r="F649" i="8"/>
  <c r="I649" i="8" s="1"/>
  <c r="G648" i="8"/>
  <c r="F648" i="8"/>
  <c r="I648" i="8" s="1"/>
  <c r="G647" i="8"/>
  <c r="F647" i="8"/>
  <c r="I647" i="8" s="1"/>
  <c r="G646" i="8"/>
  <c r="F646" i="8"/>
  <c r="I646" i="8" s="1"/>
  <c r="G645" i="8"/>
  <c r="F645" i="8"/>
  <c r="I645" i="8" s="1"/>
  <c r="G644" i="8"/>
  <c r="F644" i="8"/>
  <c r="I644" i="8" s="1"/>
  <c r="G643" i="8"/>
  <c r="F643" i="8"/>
  <c r="I643" i="8" s="1"/>
  <c r="G642" i="8"/>
  <c r="F642" i="8"/>
  <c r="I642" i="8" s="1"/>
  <c r="G641" i="8"/>
  <c r="F641" i="8"/>
  <c r="I641" i="8" s="1"/>
  <c r="G640" i="8"/>
  <c r="F640" i="8"/>
  <c r="I640" i="8" s="1"/>
  <c r="G639" i="8"/>
  <c r="F639" i="8"/>
  <c r="I639" i="8" s="1"/>
  <c r="G638" i="8"/>
  <c r="F638" i="8"/>
  <c r="I638" i="8" s="1"/>
  <c r="G637" i="8"/>
  <c r="F637" i="8"/>
  <c r="I637" i="8" s="1"/>
  <c r="G636" i="8"/>
  <c r="F636" i="8"/>
  <c r="I636" i="8" s="1"/>
  <c r="G635" i="8"/>
  <c r="F635" i="8"/>
  <c r="I635" i="8" s="1"/>
  <c r="G634" i="8"/>
  <c r="F634" i="8"/>
  <c r="I634" i="8" s="1"/>
  <c r="G633" i="8"/>
  <c r="F633" i="8"/>
  <c r="I633" i="8" s="1"/>
  <c r="G632" i="8"/>
  <c r="F632" i="8"/>
  <c r="I632" i="8" s="1"/>
  <c r="G631" i="8"/>
  <c r="F631" i="8"/>
  <c r="I631" i="8" s="1"/>
  <c r="G630" i="8"/>
  <c r="F630" i="8"/>
  <c r="I630" i="8" s="1"/>
  <c r="G629" i="8"/>
  <c r="F629" i="8"/>
  <c r="I629" i="8" s="1"/>
  <c r="G628" i="8"/>
  <c r="F628" i="8"/>
  <c r="I628" i="8" s="1"/>
  <c r="G627" i="8"/>
  <c r="F627" i="8"/>
  <c r="I627" i="8" s="1"/>
  <c r="G626" i="8"/>
  <c r="F626" i="8"/>
  <c r="I626" i="8" s="1"/>
  <c r="G625" i="8"/>
  <c r="F625" i="8"/>
  <c r="I625" i="8" s="1"/>
  <c r="G624" i="8"/>
  <c r="F624" i="8"/>
  <c r="I624" i="8" s="1"/>
  <c r="G623" i="8"/>
  <c r="F623" i="8"/>
  <c r="I623" i="8" s="1"/>
  <c r="G622" i="8"/>
  <c r="F622" i="8"/>
  <c r="I622" i="8" s="1"/>
  <c r="G621" i="8"/>
  <c r="F621" i="8"/>
  <c r="I621" i="8" s="1"/>
  <c r="G620" i="8"/>
  <c r="F620" i="8"/>
  <c r="I620" i="8" s="1"/>
  <c r="G619" i="8"/>
  <c r="F619" i="8"/>
  <c r="I619" i="8" s="1"/>
  <c r="G618" i="8"/>
  <c r="F618" i="8"/>
  <c r="I618" i="8" s="1"/>
  <c r="G617" i="8"/>
  <c r="F617" i="8"/>
  <c r="I617" i="8" s="1"/>
  <c r="G616" i="8"/>
  <c r="F616" i="8"/>
  <c r="I616" i="8" s="1"/>
  <c r="G615" i="8"/>
  <c r="F615" i="8"/>
  <c r="I615" i="8" s="1"/>
  <c r="G614" i="8"/>
  <c r="F614" i="8"/>
  <c r="I614" i="8" s="1"/>
  <c r="G613" i="8"/>
  <c r="F613" i="8"/>
  <c r="I613" i="8" s="1"/>
  <c r="G612" i="8"/>
  <c r="F612" i="8"/>
  <c r="I612" i="8" s="1"/>
  <c r="G611" i="8"/>
  <c r="F611" i="8"/>
  <c r="I611" i="8" s="1"/>
  <c r="G610" i="8"/>
  <c r="F610" i="8"/>
  <c r="I610" i="8" s="1"/>
  <c r="G609" i="8"/>
  <c r="F609" i="8"/>
  <c r="I609" i="8" s="1"/>
  <c r="G608" i="8"/>
  <c r="F608" i="8"/>
  <c r="I608" i="8" s="1"/>
  <c r="G607" i="8"/>
  <c r="F607" i="8"/>
  <c r="I607" i="8" s="1"/>
  <c r="G606" i="8"/>
  <c r="F606" i="8"/>
  <c r="I606" i="8" s="1"/>
  <c r="G605" i="8"/>
  <c r="F605" i="8"/>
  <c r="I605" i="8" s="1"/>
  <c r="G604" i="8"/>
  <c r="F604" i="8"/>
  <c r="I604" i="8" s="1"/>
  <c r="G603" i="8"/>
  <c r="F603" i="8"/>
  <c r="I603" i="8" s="1"/>
  <c r="G602" i="8"/>
  <c r="F602" i="8"/>
  <c r="I602" i="8" s="1"/>
  <c r="G601" i="8"/>
  <c r="F601" i="8"/>
  <c r="I601" i="8" s="1"/>
  <c r="G600" i="8"/>
  <c r="F600" i="8"/>
  <c r="I600" i="8" s="1"/>
  <c r="G599" i="8"/>
  <c r="F599" i="8"/>
  <c r="I599" i="8" s="1"/>
  <c r="G598" i="8"/>
  <c r="F598" i="8"/>
  <c r="I598" i="8" s="1"/>
  <c r="G597" i="8"/>
  <c r="F597" i="8"/>
  <c r="I597" i="8" s="1"/>
  <c r="G596" i="8"/>
  <c r="F596" i="8"/>
  <c r="I596" i="8" s="1"/>
  <c r="G595" i="8"/>
  <c r="F595" i="8"/>
  <c r="I595" i="8" s="1"/>
  <c r="G594" i="8"/>
  <c r="F594" i="8"/>
  <c r="I594" i="8" s="1"/>
  <c r="G593" i="8"/>
  <c r="F593" i="8"/>
  <c r="I593" i="8" s="1"/>
  <c r="G592" i="8"/>
  <c r="F592" i="8"/>
  <c r="I592" i="8" s="1"/>
  <c r="G591" i="8"/>
  <c r="F591" i="8"/>
  <c r="I591" i="8" s="1"/>
  <c r="G590" i="8"/>
  <c r="F590" i="8"/>
  <c r="I590" i="8" s="1"/>
  <c r="G589" i="8"/>
  <c r="F589" i="8"/>
  <c r="I589" i="8" s="1"/>
  <c r="G588" i="8"/>
  <c r="F588" i="8"/>
  <c r="I588" i="8" s="1"/>
  <c r="G587" i="8"/>
  <c r="F587" i="8"/>
  <c r="I587" i="8" s="1"/>
  <c r="G586" i="8"/>
  <c r="F586" i="8"/>
  <c r="I586" i="8" s="1"/>
  <c r="G585" i="8"/>
  <c r="F585" i="8"/>
  <c r="I585" i="8" s="1"/>
  <c r="G584" i="8"/>
  <c r="F584" i="8"/>
  <c r="I584" i="8" s="1"/>
  <c r="G583" i="8"/>
  <c r="F583" i="8"/>
  <c r="I583" i="8" s="1"/>
  <c r="G582" i="8"/>
  <c r="F582" i="8"/>
  <c r="I582" i="8" s="1"/>
  <c r="G581" i="8"/>
  <c r="F581" i="8"/>
  <c r="I581" i="8" s="1"/>
  <c r="G580" i="8"/>
  <c r="F580" i="8"/>
  <c r="I580" i="8" s="1"/>
  <c r="G579" i="8"/>
  <c r="F579" i="8"/>
  <c r="I579" i="8" s="1"/>
  <c r="G578" i="8"/>
  <c r="F578" i="8"/>
  <c r="I578" i="8" s="1"/>
  <c r="G577" i="8"/>
  <c r="F577" i="8"/>
  <c r="I577" i="8" s="1"/>
  <c r="G576" i="8"/>
  <c r="F576" i="8"/>
  <c r="I576" i="8" s="1"/>
  <c r="G575" i="8"/>
  <c r="F575" i="8"/>
  <c r="I575" i="8" s="1"/>
  <c r="G574" i="8"/>
  <c r="F574" i="8"/>
  <c r="I574" i="8" s="1"/>
  <c r="G573" i="8"/>
  <c r="F573" i="8"/>
  <c r="I573" i="8" s="1"/>
  <c r="G572" i="8"/>
  <c r="F572" i="8"/>
  <c r="I572" i="8" s="1"/>
  <c r="G571" i="8"/>
  <c r="F571" i="8"/>
  <c r="I571" i="8" s="1"/>
  <c r="G570" i="8"/>
  <c r="F570" i="8"/>
  <c r="I570" i="8" s="1"/>
  <c r="G569" i="8"/>
  <c r="F569" i="8"/>
  <c r="I569" i="8" s="1"/>
  <c r="G568" i="8"/>
  <c r="F568" i="8"/>
  <c r="I568" i="8" s="1"/>
  <c r="G567" i="8"/>
  <c r="F567" i="8"/>
  <c r="I567" i="8" s="1"/>
  <c r="G566" i="8"/>
  <c r="F566" i="8"/>
  <c r="I566" i="8" s="1"/>
  <c r="G565" i="8"/>
  <c r="F565" i="8"/>
  <c r="I565" i="8" s="1"/>
  <c r="G564" i="8"/>
  <c r="F564" i="8"/>
  <c r="I564" i="8" s="1"/>
  <c r="G563" i="8"/>
  <c r="F563" i="8"/>
  <c r="I563" i="8" s="1"/>
  <c r="G562" i="8"/>
  <c r="F562" i="8"/>
  <c r="I562" i="8" s="1"/>
  <c r="G561" i="8"/>
  <c r="F561" i="8"/>
  <c r="I561" i="8" s="1"/>
  <c r="G560" i="8"/>
  <c r="F560" i="8"/>
  <c r="I560" i="8" s="1"/>
  <c r="G559" i="8"/>
  <c r="F559" i="8"/>
  <c r="I559" i="8" s="1"/>
  <c r="G558" i="8"/>
  <c r="F558" i="8"/>
  <c r="I558" i="8" s="1"/>
  <c r="G557" i="8"/>
  <c r="F557" i="8"/>
  <c r="I557" i="8" s="1"/>
  <c r="G556" i="8"/>
  <c r="F556" i="8"/>
  <c r="I556" i="8" s="1"/>
  <c r="G555" i="8"/>
  <c r="F555" i="8"/>
  <c r="I555" i="8" s="1"/>
  <c r="G554" i="8"/>
  <c r="F554" i="8"/>
  <c r="I554" i="8" s="1"/>
  <c r="G553" i="8"/>
  <c r="F553" i="8"/>
  <c r="I553" i="8" s="1"/>
  <c r="G552" i="8"/>
  <c r="F552" i="8"/>
  <c r="I552" i="8" s="1"/>
  <c r="G551" i="8"/>
  <c r="F551" i="8"/>
  <c r="I551" i="8" s="1"/>
  <c r="G550" i="8"/>
  <c r="F550" i="8"/>
  <c r="I550" i="8" s="1"/>
  <c r="G549" i="8"/>
  <c r="F549" i="8"/>
  <c r="I549" i="8" s="1"/>
  <c r="G548" i="8"/>
  <c r="F548" i="8"/>
  <c r="I548" i="8" s="1"/>
  <c r="G547" i="8"/>
  <c r="F547" i="8"/>
  <c r="I547" i="8" s="1"/>
  <c r="G546" i="8"/>
  <c r="F546" i="8"/>
  <c r="I546" i="8" s="1"/>
  <c r="G545" i="8"/>
  <c r="F545" i="8"/>
  <c r="I545" i="8" s="1"/>
  <c r="G544" i="8"/>
  <c r="F544" i="8"/>
  <c r="I544" i="8" s="1"/>
  <c r="G543" i="8"/>
  <c r="F543" i="8"/>
  <c r="I543" i="8" s="1"/>
  <c r="G542" i="8"/>
  <c r="F542" i="8"/>
  <c r="I542" i="8" s="1"/>
  <c r="G541" i="8"/>
  <c r="F541" i="8"/>
  <c r="I541" i="8" s="1"/>
  <c r="G540" i="8"/>
  <c r="F540" i="8"/>
  <c r="I540" i="8" s="1"/>
  <c r="G539" i="8"/>
  <c r="F539" i="8"/>
  <c r="I539" i="8" s="1"/>
  <c r="G538" i="8"/>
  <c r="F538" i="8"/>
  <c r="I538" i="8" s="1"/>
  <c r="G537" i="8"/>
  <c r="F537" i="8"/>
  <c r="I537" i="8" s="1"/>
  <c r="G536" i="8"/>
  <c r="F536" i="8"/>
  <c r="I536" i="8" s="1"/>
  <c r="G535" i="8"/>
  <c r="F535" i="8"/>
  <c r="I535" i="8" s="1"/>
  <c r="G534" i="8"/>
  <c r="F534" i="8"/>
  <c r="I534" i="8" s="1"/>
  <c r="G533" i="8"/>
  <c r="F533" i="8"/>
  <c r="I533" i="8" s="1"/>
  <c r="G532" i="8"/>
  <c r="F532" i="8"/>
  <c r="I532" i="8" s="1"/>
  <c r="G531" i="8"/>
  <c r="F531" i="8"/>
  <c r="I531" i="8" s="1"/>
  <c r="G530" i="8"/>
  <c r="F530" i="8"/>
  <c r="I530" i="8" s="1"/>
  <c r="G529" i="8"/>
  <c r="F529" i="8"/>
  <c r="I529" i="8" s="1"/>
  <c r="G528" i="8"/>
  <c r="F528" i="8"/>
  <c r="I528" i="8" s="1"/>
  <c r="G527" i="8"/>
  <c r="F527" i="8"/>
  <c r="I527" i="8" s="1"/>
  <c r="G526" i="8"/>
  <c r="F526" i="8"/>
  <c r="I526" i="8" s="1"/>
  <c r="G525" i="8"/>
  <c r="F525" i="8"/>
  <c r="I525" i="8" s="1"/>
  <c r="G524" i="8"/>
  <c r="F524" i="8"/>
  <c r="I524" i="8" s="1"/>
  <c r="G523" i="8"/>
  <c r="F523" i="8"/>
  <c r="I523" i="8" s="1"/>
  <c r="G522" i="8"/>
  <c r="F522" i="8"/>
  <c r="I522" i="8" s="1"/>
  <c r="G521" i="8"/>
  <c r="F521" i="8"/>
  <c r="I521" i="8" s="1"/>
  <c r="G520" i="8"/>
  <c r="F520" i="8"/>
  <c r="I520" i="8" s="1"/>
  <c r="G519" i="8"/>
  <c r="F519" i="8"/>
  <c r="I519" i="8" s="1"/>
  <c r="G518" i="8"/>
  <c r="F518" i="8"/>
  <c r="I518" i="8" s="1"/>
  <c r="G517" i="8"/>
  <c r="F517" i="8"/>
  <c r="I517" i="8" s="1"/>
  <c r="G516" i="8"/>
  <c r="F516" i="8"/>
  <c r="I516" i="8" s="1"/>
  <c r="G515" i="8"/>
  <c r="F515" i="8"/>
  <c r="I515" i="8" s="1"/>
  <c r="G514" i="8"/>
  <c r="F514" i="8"/>
  <c r="I514" i="8" s="1"/>
  <c r="G513" i="8"/>
  <c r="F513" i="8"/>
  <c r="I513" i="8" s="1"/>
  <c r="G512" i="8"/>
  <c r="F512" i="8"/>
  <c r="I512" i="8" s="1"/>
  <c r="G511" i="8"/>
  <c r="F511" i="8"/>
  <c r="I511" i="8" s="1"/>
  <c r="G510" i="8"/>
  <c r="F510" i="8"/>
  <c r="I510" i="8" s="1"/>
  <c r="G509" i="8"/>
  <c r="F509" i="8"/>
  <c r="I509" i="8" s="1"/>
  <c r="G508" i="8"/>
  <c r="F508" i="8"/>
  <c r="I508" i="8" s="1"/>
  <c r="G507" i="8"/>
  <c r="F507" i="8"/>
  <c r="I507" i="8" s="1"/>
  <c r="G506" i="8"/>
  <c r="F506" i="8"/>
  <c r="I506" i="8" s="1"/>
  <c r="G505" i="8"/>
  <c r="F505" i="8"/>
  <c r="I505" i="8" s="1"/>
  <c r="G504" i="8"/>
  <c r="F504" i="8"/>
  <c r="I504" i="8" s="1"/>
  <c r="G503" i="8"/>
  <c r="F503" i="8"/>
  <c r="I503" i="8" s="1"/>
  <c r="G502" i="8"/>
  <c r="F502" i="8"/>
  <c r="I502" i="8" s="1"/>
  <c r="G501" i="8"/>
  <c r="F501" i="8"/>
  <c r="I501" i="8" s="1"/>
  <c r="G500" i="8"/>
  <c r="F500" i="8"/>
  <c r="I500" i="8" s="1"/>
  <c r="G499" i="8"/>
  <c r="F499" i="8"/>
  <c r="I499" i="8" s="1"/>
  <c r="G498" i="8"/>
  <c r="F498" i="8"/>
  <c r="I498" i="8" s="1"/>
  <c r="G497" i="8"/>
  <c r="F497" i="8"/>
  <c r="I497" i="8" s="1"/>
  <c r="G496" i="8"/>
  <c r="F496" i="8"/>
  <c r="I496" i="8" s="1"/>
  <c r="G495" i="8"/>
  <c r="F495" i="8"/>
  <c r="I495" i="8" s="1"/>
  <c r="G494" i="8"/>
  <c r="F494" i="8"/>
  <c r="I494" i="8" s="1"/>
  <c r="G493" i="8"/>
  <c r="F493" i="8"/>
  <c r="I493" i="8" s="1"/>
  <c r="G492" i="8"/>
  <c r="F492" i="8"/>
  <c r="I492" i="8" s="1"/>
  <c r="G491" i="8"/>
  <c r="F491" i="8"/>
  <c r="I491" i="8" s="1"/>
  <c r="G490" i="8"/>
  <c r="F490" i="8"/>
  <c r="I490" i="8" s="1"/>
  <c r="G489" i="8"/>
  <c r="F489" i="8"/>
  <c r="I489" i="8" s="1"/>
  <c r="G488" i="8"/>
  <c r="F488" i="8"/>
  <c r="I488" i="8" s="1"/>
  <c r="G487" i="8"/>
  <c r="F487" i="8"/>
  <c r="I487" i="8" s="1"/>
  <c r="G486" i="8"/>
  <c r="F486" i="8"/>
  <c r="I486" i="8" s="1"/>
  <c r="G485" i="8"/>
  <c r="F485" i="8"/>
  <c r="I485" i="8" s="1"/>
  <c r="G484" i="8"/>
  <c r="F484" i="8"/>
  <c r="I484" i="8" s="1"/>
  <c r="G483" i="8"/>
  <c r="F483" i="8"/>
  <c r="I483" i="8" s="1"/>
  <c r="G482" i="8"/>
  <c r="F482" i="8"/>
  <c r="I482" i="8" s="1"/>
  <c r="G481" i="8"/>
  <c r="F481" i="8"/>
  <c r="I481" i="8" s="1"/>
  <c r="G480" i="8"/>
  <c r="F480" i="8"/>
  <c r="I480" i="8" s="1"/>
  <c r="G479" i="8"/>
  <c r="F479" i="8"/>
  <c r="I479" i="8" s="1"/>
  <c r="G478" i="8"/>
  <c r="F478" i="8"/>
  <c r="I478" i="8" s="1"/>
  <c r="G477" i="8"/>
  <c r="F477" i="8"/>
  <c r="I477" i="8" s="1"/>
  <c r="G476" i="8"/>
  <c r="F476" i="8"/>
  <c r="I476" i="8" s="1"/>
  <c r="G475" i="8"/>
  <c r="F475" i="8"/>
  <c r="I475" i="8" s="1"/>
  <c r="G474" i="8"/>
  <c r="F474" i="8"/>
  <c r="I474" i="8" s="1"/>
  <c r="G473" i="8"/>
  <c r="F473" i="8"/>
  <c r="I473" i="8" s="1"/>
  <c r="G472" i="8"/>
  <c r="F472" i="8"/>
  <c r="I472" i="8" s="1"/>
  <c r="G471" i="8"/>
  <c r="F471" i="8"/>
  <c r="I471" i="8" s="1"/>
  <c r="G470" i="8"/>
  <c r="F470" i="8"/>
  <c r="I470" i="8" s="1"/>
  <c r="G469" i="8"/>
  <c r="F469" i="8"/>
  <c r="I469" i="8" s="1"/>
  <c r="G468" i="8"/>
  <c r="F468" i="8"/>
  <c r="I468" i="8" s="1"/>
  <c r="G467" i="8"/>
  <c r="F467" i="8"/>
  <c r="I467" i="8" s="1"/>
  <c r="G466" i="8"/>
  <c r="F466" i="8"/>
  <c r="I466" i="8" s="1"/>
  <c r="G465" i="8"/>
  <c r="F465" i="8"/>
  <c r="I465" i="8" s="1"/>
  <c r="G464" i="8"/>
  <c r="F464" i="8"/>
  <c r="I464" i="8" s="1"/>
  <c r="G463" i="8"/>
  <c r="F463" i="8"/>
  <c r="I463" i="8" s="1"/>
  <c r="G462" i="8"/>
  <c r="F462" i="8"/>
  <c r="I462" i="8" s="1"/>
  <c r="G461" i="8"/>
  <c r="F461" i="8"/>
  <c r="I461" i="8" s="1"/>
  <c r="G460" i="8"/>
  <c r="F460" i="8"/>
  <c r="I460" i="8" s="1"/>
  <c r="G459" i="8"/>
  <c r="F459" i="8"/>
  <c r="I459" i="8" s="1"/>
  <c r="G458" i="8"/>
  <c r="F458" i="8"/>
  <c r="I458" i="8" s="1"/>
  <c r="G457" i="8"/>
  <c r="F457" i="8"/>
  <c r="I457" i="8" s="1"/>
  <c r="G456" i="8"/>
  <c r="F456" i="8"/>
  <c r="I456" i="8" s="1"/>
  <c r="G455" i="8"/>
  <c r="F455" i="8"/>
  <c r="I455" i="8" s="1"/>
  <c r="G454" i="8"/>
  <c r="F454" i="8"/>
  <c r="I454" i="8" s="1"/>
  <c r="G453" i="8"/>
  <c r="F453" i="8"/>
  <c r="I453" i="8" s="1"/>
  <c r="G452" i="8"/>
  <c r="F452" i="8"/>
  <c r="I452" i="8" s="1"/>
  <c r="G451" i="8"/>
  <c r="F451" i="8"/>
  <c r="I451" i="8" s="1"/>
  <c r="G450" i="8"/>
  <c r="F450" i="8"/>
  <c r="I450" i="8" s="1"/>
  <c r="G449" i="8"/>
  <c r="F449" i="8"/>
  <c r="I449" i="8" s="1"/>
  <c r="G448" i="8"/>
  <c r="F448" i="8"/>
  <c r="I448" i="8" s="1"/>
  <c r="G447" i="8"/>
  <c r="F447" i="8"/>
  <c r="I447" i="8" s="1"/>
  <c r="G446" i="8"/>
  <c r="F446" i="8"/>
  <c r="I446" i="8" s="1"/>
  <c r="G445" i="8"/>
  <c r="F445" i="8"/>
  <c r="I445" i="8" s="1"/>
  <c r="G444" i="8"/>
  <c r="F444" i="8"/>
  <c r="I444" i="8" s="1"/>
  <c r="G443" i="8"/>
  <c r="F443" i="8"/>
  <c r="I443" i="8" s="1"/>
  <c r="G442" i="8"/>
  <c r="F442" i="8"/>
  <c r="I442" i="8" s="1"/>
  <c r="G441" i="8"/>
  <c r="F441" i="8"/>
  <c r="I441" i="8" s="1"/>
  <c r="G440" i="8"/>
  <c r="F440" i="8"/>
  <c r="I440" i="8" s="1"/>
  <c r="G439" i="8"/>
  <c r="F439" i="8"/>
  <c r="I439" i="8" s="1"/>
  <c r="G438" i="8"/>
  <c r="F438" i="8"/>
  <c r="I438" i="8" s="1"/>
  <c r="G437" i="8"/>
  <c r="F437" i="8"/>
  <c r="I437" i="8" s="1"/>
  <c r="G436" i="8"/>
  <c r="F436" i="8"/>
  <c r="I436" i="8" s="1"/>
  <c r="G435" i="8"/>
  <c r="F435" i="8"/>
  <c r="I435" i="8" s="1"/>
  <c r="G434" i="8"/>
  <c r="F434" i="8"/>
  <c r="I434" i="8" s="1"/>
  <c r="G433" i="8"/>
  <c r="F433" i="8"/>
  <c r="I433" i="8" s="1"/>
  <c r="G432" i="8"/>
  <c r="F432" i="8"/>
  <c r="I432" i="8" s="1"/>
  <c r="G431" i="8"/>
  <c r="F431" i="8"/>
  <c r="I431" i="8" s="1"/>
  <c r="G430" i="8"/>
  <c r="F430" i="8"/>
  <c r="I430" i="8" s="1"/>
  <c r="G429" i="8"/>
  <c r="F429" i="8"/>
  <c r="I429" i="8" s="1"/>
  <c r="G428" i="8"/>
  <c r="F428" i="8"/>
  <c r="I428" i="8" s="1"/>
  <c r="G427" i="8"/>
  <c r="F427" i="8"/>
  <c r="I427" i="8" s="1"/>
  <c r="G426" i="8"/>
  <c r="F426" i="8"/>
  <c r="I426" i="8" s="1"/>
  <c r="G425" i="8"/>
  <c r="F425" i="8"/>
  <c r="I425" i="8" s="1"/>
  <c r="G424" i="8"/>
  <c r="F424" i="8"/>
  <c r="I424" i="8" s="1"/>
  <c r="G423" i="8"/>
  <c r="F423" i="8"/>
  <c r="I423" i="8" s="1"/>
  <c r="G422" i="8"/>
  <c r="F422" i="8"/>
  <c r="I422" i="8" s="1"/>
  <c r="G421" i="8"/>
  <c r="F421" i="8"/>
  <c r="I421" i="8" s="1"/>
  <c r="G420" i="8"/>
  <c r="F420" i="8"/>
  <c r="I420" i="8" s="1"/>
  <c r="G419" i="8"/>
  <c r="F419" i="8"/>
  <c r="I419" i="8" s="1"/>
  <c r="G418" i="8"/>
  <c r="F418" i="8"/>
  <c r="I418" i="8" s="1"/>
  <c r="G417" i="8"/>
  <c r="F417" i="8"/>
  <c r="I417" i="8" s="1"/>
  <c r="G416" i="8"/>
  <c r="F416" i="8"/>
  <c r="I416" i="8" s="1"/>
  <c r="G415" i="8"/>
  <c r="F415" i="8"/>
  <c r="I415" i="8" s="1"/>
  <c r="G414" i="8"/>
  <c r="F414" i="8"/>
  <c r="I414" i="8" s="1"/>
  <c r="G413" i="8"/>
  <c r="F413" i="8"/>
  <c r="I413" i="8" s="1"/>
  <c r="G412" i="8"/>
  <c r="F412" i="8"/>
  <c r="I412" i="8" s="1"/>
  <c r="G411" i="8"/>
  <c r="F411" i="8"/>
  <c r="I411" i="8" s="1"/>
  <c r="G410" i="8"/>
  <c r="F410" i="8"/>
  <c r="I410" i="8" s="1"/>
  <c r="G409" i="8"/>
  <c r="F409" i="8"/>
  <c r="I409" i="8" s="1"/>
  <c r="G408" i="8"/>
  <c r="F408" i="8"/>
  <c r="I408" i="8" s="1"/>
  <c r="G407" i="8"/>
  <c r="F407" i="8"/>
  <c r="I407" i="8" s="1"/>
  <c r="G406" i="8"/>
  <c r="F406" i="8"/>
  <c r="I406" i="8" s="1"/>
  <c r="G405" i="8"/>
  <c r="F405" i="8"/>
  <c r="I405" i="8" s="1"/>
  <c r="G404" i="8"/>
  <c r="F404" i="8"/>
  <c r="I404" i="8" s="1"/>
  <c r="G403" i="8"/>
  <c r="F403" i="8"/>
  <c r="I403" i="8" s="1"/>
  <c r="G402" i="8"/>
  <c r="F402" i="8"/>
  <c r="I402" i="8" s="1"/>
  <c r="G401" i="8"/>
  <c r="F401" i="8"/>
  <c r="I401" i="8" s="1"/>
  <c r="G400" i="8"/>
  <c r="F400" i="8"/>
  <c r="I400" i="8" s="1"/>
  <c r="G399" i="8"/>
  <c r="F399" i="8"/>
  <c r="I399" i="8" s="1"/>
  <c r="G398" i="8"/>
  <c r="F398" i="8"/>
  <c r="I398" i="8" s="1"/>
  <c r="G397" i="8"/>
  <c r="F397" i="8"/>
  <c r="I397" i="8" s="1"/>
  <c r="G396" i="8"/>
  <c r="F396" i="8"/>
  <c r="I396" i="8" s="1"/>
  <c r="G395" i="8"/>
  <c r="F395" i="8"/>
  <c r="I395" i="8" s="1"/>
  <c r="G394" i="8"/>
  <c r="F394" i="8"/>
  <c r="I394" i="8" s="1"/>
  <c r="G393" i="8"/>
  <c r="F393" i="8"/>
  <c r="I393" i="8" s="1"/>
  <c r="G392" i="8"/>
  <c r="F392" i="8"/>
  <c r="I392" i="8" s="1"/>
  <c r="G391" i="8"/>
  <c r="F391" i="8"/>
  <c r="I391" i="8" s="1"/>
  <c r="G390" i="8"/>
  <c r="F390" i="8"/>
  <c r="I390" i="8" s="1"/>
  <c r="G389" i="8"/>
  <c r="F389" i="8"/>
  <c r="I389" i="8" s="1"/>
  <c r="G388" i="8"/>
  <c r="F388" i="8"/>
  <c r="I388" i="8" s="1"/>
  <c r="G387" i="8"/>
  <c r="F387" i="8"/>
  <c r="I387" i="8" s="1"/>
  <c r="G386" i="8"/>
  <c r="F386" i="8"/>
  <c r="I386" i="8" s="1"/>
  <c r="G385" i="8"/>
  <c r="F385" i="8"/>
  <c r="I385" i="8" s="1"/>
  <c r="G384" i="8"/>
  <c r="F384" i="8"/>
  <c r="I384" i="8" s="1"/>
  <c r="G383" i="8"/>
  <c r="F383" i="8"/>
  <c r="I383" i="8" s="1"/>
  <c r="G382" i="8"/>
  <c r="F382" i="8"/>
  <c r="I382" i="8" s="1"/>
  <c r="G381" i="8"/>
  <c r="F381" i="8"/>
  <c r="I381" i="8" s="1"/>
  <c r="G380" i="8"/>
  <c r="F380" i="8"/>
  <c r="I380" i="8" s="1"/>
  <c r="G379" i="8"/>
  <c r="F379" i="8"/>
  <c r="I379" i="8" s="1"/>
  <c r="G378" i="8"/>
  <c r="F378" i="8"/>
  <c r="I378" i="8" s="1"/>
  <c r="G377" i="8"/>
  <c r="F377" i="8"/>
  <c r="I377" i="8" s="1"/>
  <c r="G376" i="8"/>
  <c r="F376" i="8"/>
  <c r="I376" i="8" s="1"/>
  <c r="G375" i="8"/>
  <c r="F375" i="8"/>
  <c r="I375" i="8" s="1"/>
  <c r="G374" i="8"/>
  <c r="F374" i="8"/>
  <c r="I374" i="8" s="1"/>
  <c r="G373" i="8"/>
  <c r="F373" i="8"/>
  <c r="I373" i="8" s="1"/>
  <c r="G372" i="8"/>
  <c r="F372" i="8"/>
  <c r="I372" i="8" s="1"/>
  <c r="G371" i="8"/>
  <c r="F371" i="8"/>
  <c r="I371" i="8" s="1"/>
  <c r="G370" i="8"/>
  <c r="F370" i="8"/>
  <c r="I370" i="8" s="1"/>
  <c r="G369" i="8"/>
  <c r="F369" i="8"/>
  <c r="I369" i="8" s="1"/>
  <c r="G368" i="8"/>
  <c r="F368" i="8"/>
  <c r="I368" i="8" s="1"/>
  <c r="G367" i="8"/>
  <c r="F367" i="8"/>
  <c r="I367" i="8" s="1"/>
  <c r="G366" i="8"/>
  <c r="F366" i="8"/>
  <c r="I366" i="8" s="1"/>
  <c r="G365" i="8"/>
  <c r="F365" i="8"/>
  <c r="I365" i="8" s="1"/>
  <c r="G364" i="8"/>
  <c r="F364" i="8"/>
  <c r="I364" i="8" s="1"/>
  <c r="G363" i="8"/>
  <c r="F363" i="8"/>
  <c r="I363" i="8" s="1"/>
  <c r="G362" i="8"/>
  <c r="F362" i="8"/>
  <c r="I362" i="8" s="1"/>
  <c r="G361" i="8"/>
  <c r="F361" i="8"/>
  <c r="I361" i="8" s="1"/>
  <c r="G360" i="8"/>
  <c r="F360" i="8"/>
  <c r="I360" i="8" s="1"/>
  <c r="G359" i="8"/>
  <c r="F359" i="8"/>
  <c r="I359" i="8" s="1"/>
  <c r="G358" i="8"/>
  <c r="F358" i="8"/>
  <c r="I358" i="8" s="1"/>
  <c r="G357" i="8"/>
  <c r="F357" i="8"/>
  <c r="I357" i="8" s="1"/>
  <c r="G356" i="8"/>
  <c r="F356" i="8"/>
  <c r="I356" i="8" s="1"/>
  <c r="G355" i="8"/>
  <c r="F355" i="8"/>
  <c r="I355" i="8" s="1"/>
  <c r="G354" i="8"/>
  <c r="F354" i="8"/>
  <c r="I354" i="8" s="1"/>
  <c r="G353" i="8"/>
  <c r="F353" i="8"/>
  <c r="I353" i="8" s="1"/>
  <c r="G352" i="8"/>
  <c r="F352" i="8"/>
  <c r="I352" i="8" s="1"/>
  <c r="G351" i="8"/>
  <c r="F351" i="8"/>
  <c r="I351" i="8" s="1"/>
  <c r="G350" i="8"/>
  <c r="F350" i="8"/>
  <c r="I350" i="8" s="1"/>
  <c r="G349" i="8"/>
  <c r="F349" i="8"/>
  <c r="I349" i="8" s="1"/>
  <c r="G348" i="8"/>
  <c r="F348" i="8"/>
  <c r="I348" i="8" s="1"/>
  <c r="G347" i="8"/>
  <c r="F347" i="8"/>
  <c r="I347" i="8" s="1"/>
  <c r="G346" i="8"/>
  <c r="F346" i="8"/>
  <c r="I346" i="8" s="1"/>
  <c r="G345" i="8"/>
  <c r="F345" i="8"/>
  <c r="I345" i="8" s="1"/>
  <c r="G344" i="8"/>
  <c r="F344" i="8"/>
  <c r="I344" i="8" s="1"/>
  <c r="G343" i="8"/>
  <c r="F343" i="8"/>
  <c r="I343" i="8" s="1"/>
  <c r="G342" i="8"/>
  <c r="F342" i="8"/>
  <c r="I342" i="8" s="1"/>
  <c r="G341" i="8"/>
  <c r="F341" i="8"/>
  <c r="I341" i="8" s="1"/>
  <c r="G340" i="8"/>
  <c r="F340" i="8"/>
  <c r="I340" i="8" s="1"/>
  <c r="G339" i="8"/>
  <c r="F339" i="8"/>
  <c r="I339" i="8" s="1"/>
  <c r="G338" i="8"/>
  <c r="F338" i="8"/>
  <c r="I338" i="8" s="1"/>
  <c r="G337" i="8"/>
  <c r="F337" i="8"/>
  <c r="I337" i="8" s="1"/>
  <c r="G336" i="8"/>
  <c r="F336" i="8"/>
  <c r="I336" i="8" s="1"/>
  <c r="G335" i="8"/>
  <c r="F335" i="8"/>
  <c r="I335" i="8" s="1"/>
  <c r="G334" i="8"/>
  <c r="F334" i="8"/>
  <c r="I334" i="8" s="1"/>
  <c r="G333" i="8"/>
  <c r="F333" i="8"/>
  <c r="I333" i="8" s="1"/>
  <c r="G332" i="8"/>
  <c r="F332" i="8"/>
  <c r="I332" i="8" s="1"/>
  <c r="G331" i="8"/>
  <c r="F331" i="8"/>
  <c r="I331" i="8" s="1"/>
  <c r="G330" i="8"/>
  <c r="F330" i="8"/>
  <c r="I330" i="8" s="1"/>
  <c r="G329" i="8"/>
  <c r="F329" i="8"/>
  <c r="I329" i="8" s="1"/>
  <c r="G328" i="8"/>
  <c r="F328" i="8"/>
  <c r="I328" i="8" s="1"/>
  <c r="G327" i="8"/>
  <c r="F327" i="8"/>
  <c r="I327" i="8" s="1"/>
  <c r="G326" i="8"/>
  <c r="F326" i="8"/>
  <c r="I326" i="8" s="1"/>
  <c r="G325" i="8"/>
  <c r="F325" i="8"/>
  <c r="I325" i="8" s="1"/>
  <c r="G324" i="8"/>
  <c r="F324" i="8"/>
  <c r="I324" i="8" s="1"/>
  <c r="G323" i="8"/>
  <c r="F323" i="8"/>
  <c r="I323" i="8" s="1"/>
  <c r="G322" i="8"/>
  <c r="F322" i="8"/>
  <c r="I322" i="8" s="1"/>
  <c r="G321" i="8"/>
  <c r="F321" i="8"/>
  <c r="I321" i="8" s="1"/>
  <c r="G320" i="8"/>
  <c r="F320" i="8"/>
  <c r="I320" i="8" s="1"/>
  <c r="G319" i="8"/>
  <c r="F319" i="8"/>
  <c r="I319" i="8" s="1"/>
  <c r="G318" i="8"/>
  <c r="F318" i="8"/>
  <c r="I318" i="8" s="1"/>
  <c r="G317" i="8"/>
  <c r="F317" i="8"/>
  <c r="I317" i="8" s="1"/>
  <c r="G316" i="8"/>
  <c r="F316" i="8"/>
  <c r="I316" i="8" s="1"/>
  <c r="G315" i="8"/>
  <c r="F315" i="8"/>
  <c r="I315" i="8" s="1"/>
  <c r="G314" i="8"/>
  <c r="F314" i="8"/>
  <c r="I314" i="8" s="1"/>
  <c r="G313" i="8"/>
  <c r="F313" i="8"/>
  <c r="I313" i="8" s="1"/>
  <c r="G312" i="8"/>
  <c r="F312" i="8"/>
  <c r="I312" i="8" s="1"/>
  <c r="G311" i="8"/>
  <c r="F311" i="8"/>
  <c r="I311" i="8" s="1"/>
  <c r="G310" i="8"/>
  <c r="F310" i="8"/>
  <c r="I310" i="8" s="1"/>
  <c r="G309" i="8"/>
  <c r="F309" i="8"/>
  <c r="I309" i="8" s="1"/>
  <c r="G308" i="8"/>
  <c r="F308" i="8"/>
  <c r="I308" i="8" s="1"/>
  <c r="G307" i="8"/>
  <c r="F307" i="8"/>
  <c r="I307" i="8" s="1"/>
  <c r="G306" i="8"/>
  <c r="F306" i="8"/>
  <c r="I306" i="8" s="1"/>
  <c r="G305" i="8"/>
  <c r="F305" i="8"/>
  <c r="I305" i="8" s="1"/>
  <c r="G304" i="8"/>
  <c r="F304" i="8"/>
  <c r="I304" i="8" s="1"/>
  <c r="G303" i="8"/>
  <c r="F303" i="8"/>
  <c r="I303" i="8" s="1"/>
  <c r="G302" i="8"/>
  <c r="F302" i="8"/>
  <c r="I302" i="8" s="1"/>
  <c r="G301" i="8"/>
  <c r="F301" i="8"/>
  <c r="I301" i="8" s="1"/>
  <c r="G300" i="8"/>
  <c r="F300" i="8"/>
  <c r="I300" i="8" s="1"/>
  <c r="G299" i="8"/>
  <c r="F299" i="8"/>
  <c r="I299" i="8" s="1"/>
  <c r="G298" i="8"/>
  <c r="F298" i="8"/>
  <c r="I298" i="8" s="1"/>
  <c r="G297" i="8"/>
  <c r="F297" i="8"/>
  <c r="I297" i="8" s="1"/>
  <c r="G296" i="8"/>
  <c r="F296" i="8"/>
  <c r="I296" i="8" s="1"/>
  <c r="G295" i="8"/>
  <c r="F295" i="8"/>
  <c r="I295" i="8" s="1"/>
  <c r="G294" i="8"/>
  <c r="F294" i="8"/>
  <c r="I294" i="8" s="1"/>
  <c r="G293" i="8"/>
  <c r="F293" i="8"/>
  <c r="I293" i="8" s="1"/>
  <c r="G292" i="8"/>
  <c r="F292" i="8"/>
  <c r="I292" i="8" s="1"/>
  <c r="G291" i="8"/>
  <c r="F291" i="8"/>
  <c r="I291" i="8" s="1"/>
  <c r="G290" i="8"/>
  <c r="F290" i="8"/>
  <c r="I290" i="8" s="1"/>
  <c r="G289" i="8"/>
  <c r="F289" i="8"/>
  <c r="I289" i="8" s="1"/>
  <c r="G288" i="8"/>
  <c r="F288" i="8"/>
  <c r="I288" i="8" s="1"/>
  <c r="G287" i="8"/>
  <c r="F287" i="8"/>
  <c r="I287" i="8" s="1"/>
  <c r="G286" i="8"/>
  <c r="F286" i="8"/>
  <c r="I286" i="8" s="1"/>
  <c r="G285" i="8"/>
  <c r="F285" i="8"/>
  <c r="I285" i="8" s="1"/>
  <c r="G284" i="8"/>
  <c r="F284" i="8"/>
  <c r="I284" i="8" s="1"/>
  <c r="G283" i="8"/>
  <c r="F283" i="8"/>
  <c r="I283" i="8" s="1"/>
  <c r="G282" i="8"/>
  <c r="F282" i="8"/>
  <c r="I282" i="8" s="1"/>
  <c r="G281" i="8"/>
  <c r="F281" i="8"/>
  <c r="I281" i="8" s="1"/>
  <c r="G280" i="8"/>
  <c r="F280" i="8"/>
  <c r="I280" i="8" s="1"/>
  <c r="G279" i="8"/>
  <c r="F279" i="8"/>
  <c r="I279" i="8" s="1"/>
  <c r="G278" i="8"/>
  <c r="F278" i="8"/>
  <c r="I278" i="8" s="1"/>
  <c r="G277" i="8"/>
  <c r="F277" i="8"/>
  <c r="I277" i="8" s="1"/>
  <c r="G276" i="8"/>
  <c r="F276" i="8"/>
  <c r="I276" i="8" s="1"/>
  <c r="G275" i="8"/>
  <c r="F275" i="8"/>
  <c r="I275" i="8" s="1"/>
  <c r="G274" i="8"/>
  <c r="F274" i="8"/>
  <c r="I274" i="8" s="1"/>
  <c r="G273" i="8"/>
  <c r="F273" i="8"/>
  <c r="I273" i="8" s="1"/>
  <c r="G272" i="8"/>
  <c r="F272" i="8"/>
  <c r="I272" i="8" s="1"/>
  <c r="G271" i="8"/>
  <c r="F271" i="8"/>
  <c r="I271" i="8" s="1"/>
  <c r="G270" i="8"/>
  <c r="F270" i="8"/>
  <c r="I270" i="8" s="1"/>
  <c r="G269" i="8"/>
  <c r="F269" i="8"/>
  <c r="I269" i="8" s="1"/>
  <c r="G268" i="8"/>
  <c r="F268" i="8"/>
  <c r="I268" i="8" s="1"/>
  <c r="G267" i="8"/>
  <c r="F267" i="8"/>
  <c r="I267" i="8" s="1"/>
  <c r="G266" i="8"/>
  <c r="F266" i="8"/>
  <c r="I266" i="8" s="1"/>
  <c r="G265" i="8"/>
  <c r="F265" i="8"/>
  <c r="I265" i="8" s="1"/>
  <c r="G264" i="8"/>
  <c r="F264" i="8"/>
  <c r="I264" i="8" s="1"/>
  <c r="G263" i="8"/>
  <c r="F263" i="8"/>
  <c r="I263" i="8" s="1"/>
  <c r="G262" i="8"/>
  <c r="F262" i="8"/>
  <c r="I262" i="8" s="1"/>
  <c r="G261" i="8"/>
  <c r="F261" i="8"/>
  <c r="I261" i="8" s="1"/>
  <c r="G260" i="8"/>
  <c r="F260" i="8"/>
  <c r="I260" i="8" s="1"/>
  <c r="G259" i="8"/>
  <c r="F259" i="8"/>
  <c r="I259" i="8" s="1"/>
  <c r="G258" i="8"/>
  <c r="F258" i="8"/>
  <c r="I258" i="8" s="1"/>
  <c r="G257" i="8"/>
  <c r="F257" i="8"/>
  <c r="I257" i="8" s="1"/>
  <c r="G256" i="8"/>
  <c r="F256" i="8"/>
  <c r="I256" i="8" s="1"/>
  <c r="G255" i="8"/>
  <c r="F255" i="8"/>
  <c r="I255" i="8" s="1"/>
  <c r="G254" i="8"/>
  <c r="F254" i="8"/>
  <c r="I254" i="8" s="1"/>
  <c r="G253" i="8"/>
  <c r="F253" i="8"/>
  <c r="I253" i="8" s="1"/>
  <c r="G252" i="8"/>
  <c r="F252" i="8"/>
  <c r="I252" i="8" s="1"/>
  <c r="G251" i="8"/>
  <c r="F251" i="8"/>
  <c r="I251" i="8" s="1"/>
  <c r="G250" i="8"/>
  <c r="F250" i="8"/>
  <c r="I250" i="8" s="1"/>
  <c r="G249" i="8"/>
  <c r="F249" i="8"/>
  <c r="I249" i="8" s="1"/>
  <c r="G248" i="8"/>
  <c r="F248" i="8"/>
  <c r="I248" i="8" s="1"/>
  <c r="G247" i="8"/>
  <c r="F247" i="8"/>
  <c r="I247" i="8" s="1"/>
  <c r="G246" i="8"/>
  <c r="F246" i="8"/>
  <c r="I246" i="8" s="1"/>
  <c r="G245" i="8"/>
  <c r="F245" i="8"/>
  <c r="I245" i="8" s="1"/>
  <c r="G244" i="8"/>
  <c r="F244" i="8"/>
  <c r="I244" i="8" s="1"/>
  <c r="G243" i="8"/>
  <c r="F243" i="8"/>
  <c r="I243" i="8" s="1"/>
  <c r="G242" i="8"/>
  <c r="F242" i="8"/>
  <c r="I242" i="8" s="1"/>
  <c r="G241" i="8"/>
  <c r="F241" i="8"/>
  <c r="I241" i="8" s="1"/>
  <c r="G240" i="8"/>
  <c r="F240" i="8"/>
  <c r="I240" i="8" s="1"/>
  <c r="G239" i="8"/>
  <c r="F239" i="8"/>
  <c r="I239" i="8" s="1"/>
  <c r="G238" i="8"/>
  <c r="F238" i="8"/>
  <c r="I238" i="8" s="1"/>
  <c r="G237" i="8"/>
  <c r="F237" i="8"/>
  <c r="I237" i="8" s="1"/>
  <c r="G236" i="8"/>
  <c r="F236" i="8"/>
  <c r="I236" i="8" s="1"/>
  <c r="G235" i="8"/>
  <c r="F235" i="8"/>
  <c r="I235" i="8" s="1"/>
  <c r="G234" i="8"/>
  <c r="F234" i="8"/>
  <c r="I234" i="8" s="1"/>
  <c r="G233" i="8"/>
  <c r="F233" i="8"/>
  <c r="I233" i="8" s="1"/>
  <c r="G232" i="8"/>
  <c r="F232" i="8"/>
  <c r="I232" i="8" s="1"/>
  <c r="G231" i="8"/>
  <c r="F231" i="8"/>
  <c r="I231" i="8" s="1"/>
  <c r="G230" i="8"/>
  <c r="F230" i="8"/>
  <c r="I230" i="8" s="1"/>
  <c r="G229" i="8"/>
  <c r="F229" i="8"/>
  <c r="I229" i="8" s="1"/>
  <c r="G228" i="8"/>
  <c r="F228" i="8"/>
  <c r="I228" i="8" s="1"/>
  <c r="G227" i="8"/>
  <c r="F227" i="8"/>
  <c r="I227" i="8" s="1"/>
  <c r="G226" i="8"/>
  <c r="F226" i="8"/>
  <c r="I226" i="8" s="1"/>
  <c r="G225" i="8"/>
  <c r="F225" i="8"/>
  <c r="I225" i="8" s="1"/>
  <c r="G224" i="8"/>
  <c r="F224" i="8"/>
  <c r="I224" i="8" s="1"/>
  <c r="G223" i="8"/>
  <c r="F223" i="8"/>
  <c r="I223" i="8" s="1"/>
  <c r="G222" i="8"/>
  <c r="F222" i="8"/>
  <c r="I222" i="8" s="1"/>
  <c r="G221" i="8"/>
  <c r="F221" i="8"/>
  <c r="I221" i="8" s="1"/>
  <c r="G220" i="8"/>
  <c r="F220" i="8"/>
  <c r="I220" i="8" s="1"/>
  <c r="G219" i="8"/>
  <c r="F219" i="8"/>
  <c r="I219" i="8" s="1"/>
  <c r="G218" i="8"/>
  <c r="F218" i="8"/>
  <c r="I218" i="8" s="1"/>
  <c r="G217" i="8"/>
  <c r="F217" i="8"/>
  <c r="I217" i="8" s="1"/>
  <c r="G216" i="8"/>
  <c r="F216" i="8"/>
  <c r="I216" i="8" s="1"/>
  <c r="G215" i="8"/>
  <c r="F215" i="8"/>
  <c r="I215" i="8" s="1"/>
  <c r="G214" i="8"/>
  <c r="F214" i="8"/>
  <c r="I214" i="8" s="1"/>
  <c r="G213" i="8"/>
  <c r="F213" i="8"/>
  <c r="I213" i="8" s="1"/>
  <c r="G212" i="8"/>
  <c r="F212" i="8"/>
  <c r="I212" i="8" s="1"/>
  <c r="G211" i="8"/>
  <c r="F211" i="8"/>
  <c r="I211" i="8" s="1"/>
  <c r="G210" i="8"/>
  <c r="F210" i="8"/>
  <c r="I210" i="8" s="1"/>
  <c r="G209" i="8"/>
  <c r="F209" i="8"/>
  <c r="I209" i="8" s="1"/>
  <c r="G208" i="8"/>
  <c r="F208" i="8"/>
  <c r="I208" i="8" s="1"/>
  <c r="G207" i="8"/>
  <c r="F207" i="8"/>
  <c r="I207" i="8" s="1"/>
  <c r="G206" i="8"/>
  <c r="F206" i="8"/>
  <c r="I206" i="8" s="1"/>
  <c r="G205" i="8"/>
  <c r="F205" i="8"/>
  <c r="I205" i="8" s="1"/>
  <c r="G204" i="8"/>
  <c r="F204" i="8"/>
  <c r="I204" i="8" s="1"/>
  <c r="G203" i="8"/>
  <c r="F203" i="8"/>
  <c r="I203" i="8" s="1"/>
  <c r="G202" i="8"/>
  <c r="F202" i="8"/>
  <c r="I202" i="8" s="1"/>
  <c r="G201" i="8"/>
  <c r="F201" i="8"/>
  <c r="I201" i="8" s="1"/>
  <c r="G200" i="8"/>
  <c r="F200" i="8"/>
  <c r="I200" i="8" s="1"/>
  <c r="G199" i="8"/>
  <c r="F199" i="8"/>
  <c r="I199" i="8" s="1"/>
  <c r="G198" i="8"/>
  <c r="F198" i="8"/>
  <c r="I198" i="8" s="1"/>
  <c r="G197" i="8"/>
  <c r="F197" i="8"/>
  <c r="I197" i="8" s="1"/>
  <c r="G196" i="8"/>
  <c r="F196" i="8"/>
  <c r="I196" i="8" s="1"/>
  <c r="G195" i="8"/>
  <c r="F195" i="8"/>
  <c r="I195" i="8" s="1"/>
  <c r="G194" i="8"/>
  <c r="F194" i="8"/>
  <c r="I194" i="8" s="1"/>
  <c r="G193" i="8"/>
  <c r="F193" i="8"/>
  <c r="I193" i="8" s="1"/>
  <c r="G192" i="8"/>
  <c r="F192" i="8"/>
  <c r="I192" i="8" s="1"/>
  <c r="G191" i="8"/>
  <c r="F191" i="8"/>
  <c r="I191" i="8" s="1"/>
  <c r="G190" i="8"/>
  <c r="F190" i="8"/>
  <c r="I190" i="8" s="1"/>
  <c r="G189" i="8"/>
  <c r="F189" i="8"/>
  <c r="I189" i="8" s="1"/>
  <c r="G188" i="8"/>
  <c r="F188" i="8"/>
  <c r="I188" i="8" s="1"/>
  <c r="G187" i="8"/>
  <c r="F187" i="8"/>
  <c r="I187" i="8" s="1"/>
  <c r="G186" i="8"/>
  <c r="F186" i="8"/>
  <c r="I186" i="8" s="1"/>
  <c r="G185" i="8"/>
  <c r="F185" i="8"/>
  <c r="I185" i="8" s="1"/>
  <c r="G184" i="8"/>
  <c r="F184" i="8"/>
  <c r="I184" i="8" s="1"/>
  <c r="G183" i="8"/>
  <c r="F183" i="8"/>
  <c r="I183" i="8" s="1"/>
  <c r="G182" i="8"/>
  <c r="F182" i="8"/>
  <c r="I182" i="8" s="1"/>
  <c r="G181" i="8"/>
  <c r="F181" i="8"/>
  <c r="I181" i="8" s="1"/>
  <c r="G180" i="8"/>
  <c r="F180" i="8"/>
  <c r="I180" i="8" s="1"/>
  <c r="G179" i="8"/>
  <c r="F179" i="8"/>
  <c r="I179" i="8" s="1"/>
  <c r="G178" i="8"/>
  <c r="F178" i="8"/>
  <c r="I178" i="8" s="1"/>
  <c r="G177" i="8"/>
  <c r="F177" i="8"/>
  <c r="I177" i="8" s="1"/>
  <c r="G176" i="8"/>
  <c r="F176" i="8"/>
  <c r="I176" i="8" s="1"/>
  <c r="G175" i="8"/>
  <c r="F175" i="8"/>
  <c r="I175" i="8" s="1"/>
  <c r="G174" i="8"/>
  <c r="F174" i="8"/>
  <c r="I174" i="8" s="1"/>
  <c r="G173" i="8"/>
  <c r="F173" i="8"/>
  <c r="I173" i="8" s="1"/>
  <c r="G172" i="8"/>
  <c r="F172" i="8"/>
  <c r="I172" i="8" s="1"/>
  <c r="G171" i="8"/>
  <c r="F171" i="8"/>
  <c r="I171" i="8" s="1"/>
  <c r="G170" i="8"/>
  <c r="F170" i="8"/>
  <c r="I170" i="8" s="1"/>
  <c r="G169" i="8"/>
  <c r="F169" i="8"/>
  <c r="I169" i="8" s="1"/>
  <c r="G168" i="8"/>
  <c r="F168" i="8"/>
  <c r="I168" i="8" s="1"/>
  <c r="G167" i="8"/>
  <c r="F167" i="8"/>
  <c r="I167" i="8" s="1"/>
  <c r="G166" i="8"/>
  <c r="F166" i="8"/>
  <c r="I166" i="8" s="1"/>
  <c r="G165" i="8"/>
  <c r="F165" i="8"/>
  <c r="I165" i="8" s="1"/>
  <c r="G164" i="8"/>
  <c r="F164" i="8"/>
  <c r="I164" i="8" s="1"/>
  <c r="G163" i="8"/>
  <c r="F163" i="8"/>
  <c r="I163" i="8" s="1"/>
  <c r="G162" i="8"/>
  <c r="F162" i="8"/>
  <c r="I162" i="8" s="1"/>
  <c r="G161" i="8"/>
  <c r="F161" i="8"/>
  <c r="I161" i="8" s="1"/>
  <c r="G160" i="8"/>
  <c r="F160" i="8"/>
  <c r="I160" i="8" s="1"/>
  <c r="G159" i="8"/>
  <c r="F159" i="8"/>
  <c r="I159" i="8" s="1"/>
  <c r="G158" i="8"/>
  <c r="F158" i="8"/>
  <c r="I158" i="8" s="1"/>
  <c r="G157" i="8"/>
  <c r="F157" i="8"/>
  <c r="I157" i="8" s="1"/>
  <c r="G156" i="8"/>
  <c r="F156" i="8"/>
  <c r="I156" i="8" s="1"/>
  <c r="G155" i="8"/>
  <c r="F155" i="8"/>
  <c r="I155" i="8" s="1"/>
  <c r="G154" i="8"/>
  <c r="F154" i="8"/>
  <c r="I154" i="8" s="1"/>
  <c r="G153" i="8"/>
  <c r="F153" i="8"/>
  <c r="I153" i="8" s="1"/>
  <c r="G152" i="8"/>
  <c r="F152" i="8"/>
  <c r="I152" i="8" s="1"/>
  <c r="G151" i="8"/>
  <c r="F151" i="8"/>
  <c r="I151" i="8" s="1"/>
  <c r="G150" i="8"/>
  <c r="F150" i="8"/>
  <c r="I150" i="8" s="1"/>
  <c r="G149" i="8"/>
  <c r="F149" i="8"/>
  <c r="I149" i="8" s="1"/>
  <c r="G148" i="8"/>
  <c r="F148" i="8"/>
  <c r="I148" i="8" s="1"/>
  <c r="G147" i="8"/>
  <c r="F147" i="8"/>
  <c r="I147" i="8" s="1"/>
  <c r="G146" i="8"/>
  <c r="F146" i="8"/>
  <c r="I146" i="8" s="1"/>
  <c r="G145" i="8"/>
  <c r="F145" i="8"/>
  <c r="I145" i="8" s="1"/>
  <c r="G144" i="8"/>
  <c r="F144" i="8"/>
  <c r="I144" i="8" s="1"/>
  <c r="G143" i="8"/>
  <c r="F143" i="8"/>
  <c r="I143" i="8" s="1"/>
  <c r="G142" i="8"/>
  <c r="F142" i="8"/>
  <c r="I142" i="8" s="1"/>
  <c r="G141" i="8"/>
  <c r="F141" i="8"/>
  <c r="I141" i="8" s="1"/>
  <c r="G140" i="8"/>
  <c r="F140" i="8"/>
  <c r="I140" i="8" s="1"/>
  <c r="G139" i="8"/>
  <c r="F139" i="8"/>
  <c r="I139" i="8" s="1"/>
  <c r="G138" i="8"/>
  <c r="F138" i="8"/>
  <c r="I138" i="8" s="1"/>
  <c r="G137" i="8"/>
  <c r="F137" i="8"/>
  <c r="I137" i="8" s="1"/>
  <c r="G136" i="8"/>
  <c r="F136" i="8"/>
  <c r="I136" i="8" s="1"/>
  <c r="G135" i="8"/>
  <c r="F135" i="8"/>
  <c r="I135" i="8" s="1"/>
  <c r="G134" i="8"/>
  <c r="F134" i="8"/>
  <c r="I134" i="8" s="1"/>
  <c r="G133" i="8"/>
  <c r="F133" i="8"/>
  <c r="I133" i="8" s="1"/>
  <c r="G132" i="8"/>
  <c r="F132" i="8"/>
  <c r="I132" i="8" s="1"/>
  <c r="G131" i="8"/>
  <c r="F131" i="8"/>
  <c r="I131" i="8" s="1"/>
  <c r="G130" i="8"/>
  <c r="F130" i="8"/>
  <c r="I130" i="8" s="1"/>
  <c r="G129" i="8"/>
  <c r="F129" i="8"/>
  <c r="I129" i="8" s="1"/>
  <c r="G128" i="8"/>
  <c r="F128" i="8"/>
  <c r="I128" i="8" s="1"/>
  <c r="G127" i="8"/>
  <c r="F127" i="8"/>
  <c r="I127" i="8" s="1"/>
  <c r="G126" i="8"/>
  <c r="F126" i="8"/>
  <c r="I126" i="8" s="1"/>
  <c r="G125" i="8"/>
  <c r="F125" i="8"/>
  <c r="I125" i="8" s="1"/>
  <c r="G124" i="8"/>
  <c r="F124" i="8"/>
  <c r="I124" i="8" s="1"/>
  <c r="G123" i="8"/>
  <c r="F123" i="8"/>
  <c r="I123" i="8" s="1"/>
  <c r="G122" i="8"/>
  <c r="F122" i="8"/>
  <c r="I122" i="8" s="1"/>
  <c r="G121" i="8"/>
  <c r="F121" i="8"/>
  <c r="I121" i="8" s="1"/>
  <c r="G120" i="8"/>
  <c r="F120" i="8"/>
  <c r="I120" i="8" s="1"/>
  <c r="G119" i="8"/>
  <c r="F119" i="8"/>
  <c r="I119" i="8" s="1"/>
  <c r="G118" i="8"/>
  <c r="F118" i="8"/>
  <c r="I118" i="8" s="1"/>
  <c r="G117" i="8"/>
  <c r="F117" i="8"/>
  <c r="I117" i="8" s="1"/>
  <c r="G116" i="8"/>
  <c r="F116" i="8"/>
  <c r="I116" i="8" s="1"/>
  <c r="G115" i="8"/>
  <c r="F115" i="8"/>
  <c r="I115" i="8" s="1"/>
  <c r="G114" i="8"/>
  <c r="F114" i="8"/>
  <c r="I114" i="8" s="1"/>
  <c r="G113" i="8"/>
  <c r="F113" i="8"/>
  <c r="I113" i="8" s="1"/>
  <c r="G112" i="8"/>
  <c r="F112" i="8"/>
  <c r="I112" i="8" s="1"/>
  <c r="G111" i="8"/>
  <c r="F111" i="8"/>
  <c r="I111" i="8" s="1"/>
  <c r="G110" i="8"/>
  <c r="F110" i="8"/>
  <c r="I110" i="8" s="1"/>
  <c r="G109" i="8"/>
  <c r="F109" i="8"/>
  <c r="I109" i="8" s="1"/>
  <c r="G108" i="8"/>
  <c r="F108" i="8"/>
  <c r="I108" i="8" s="1"/>
  <c r="G107" i="8"/>
  <c r="F107" i="8"/>
  <c r="I107" i="8" s="1"/>
  <c r="G106" i="8"/>
  <c r="F106" i="8"/>
  <c r="I106" i="8" s="1"/>
  <c r="G105" i="8"/>
  <c r="F105" i="8"/>
  <c r="I105" i="8" s="1"/>
  <c r="G104" i="8"/>
  <c r="F104" i="8"/>
  <c r="I104" i="8" s="1"/>
  <c r="G103" i="8"/>
  <c r="F103" i="8"/>
  <c r="I103" i="8" s="1"/>
  <c r="G102" i="8"/>
  <c r="F102" i="8"/>
  <c r="I102" i="8" s="1"/>
  <c r="G101" i="8"/>
  <c r="F101" i="8"/>
  <c r="I101" i="8" s="1"/>
  <c r="G100" i="8"/>
  <c r="F100" i="8"/>
  <c r="I100" i="8" s="1"/>
  <c r="G99" i="8"/>
  <c r="F99" i="8"/>
  <c r="I99" i="8" s="1"/>
  <c r="G98" i="8"/>
  <c r="F98" i="8"/>
  <c r="I98" i="8" s="1"/>
  <c r="G97" i="8"/>
  <c r="F97" i="8"/>
  <c r="I97" i="8" s="1"/>
  <c r="G96" i="8"/>
  <c r="F96" i="8"/>
  <c r="I96" i="8" s="1"/>
  <c r="G95" i="8"/>
  <c r="F95" i="8"/>
  <c r="I95" i="8" s="1"/>
  <c r="G94" i="8"/>
  <c r="F94" i="8"/>
  <c r="I94" i="8" s="1"/>
  <c r="G93" i="8"/>
  <c r="F93" i="8"/>
  <c r="I93" i="8" s="1"/>
  <c r="G92" i="8"/>
  <c r="F92" i="8"/>
  <c r="I92" i="8" s="1"/>
  <c r="G91" i="8"/>
  <c r="F91" i="8"/>
  <c r="I91" i="8" s="1"/>
  <c r="G90" i="8"/>
  <c r="F90" i="8"/>
  <c r="I90" i="8" s="1"/>
  <c r="G89" i="8"/>
  <c r="F89" i="8"/>
  <c r="I89" i="8" s="1"/>
  <c r="G88" i="8"/>
  <c r="F88" i="8"/>
  <c r="I88" i="8" s="1"/>
  <c r="G87" i="8"/>
  <c r="F87" i="8"/>
  <c r="I87" i="8" s="1"/>
  <c r="G86" i="8"/>
  <c r="F86" i="8"/>
  <c r="I86" i="8" s="1"/>
  <c r="G85" i="8"/>
  <c r="F85" i="8"/>
  <c r="I85" i="8" s="1"/>
  <c r="G84" i="8"/>
  <c r="F84" i="8"/>
  <c r="I84" i="8" s="1"/>
  <c r="G83" i="8"/>
  <c r="F83" i="8"/>
  <c r="I83" i="8" s="1"/>
  <c r="G82" i="8"/>
  <c r="F82" i="8"/>
  <c r="I82" i="8" s="1"/>
  <c r="G81" i="8"/>
  <c r="F81" i="8"/>
  <c r="I81" i="8" s="1"/>
  <c r="G80" i="8"/>
  <c r="F80" i="8"/>
  <c r="I80" i="8" s="1"/>
  <c r="G79" i="8"/>
  <c r="F79" i="8"/>
  <c r="I79" i="8" s="1"/>
  <c r="G78" i="8"/>
  <c r="F78" i="8"/>
  <c r="I78" i="8" s="1"/>
  <c r="G77" i="8"/>
  <c r="F77" i="8"/>
  <c r="I77" i="8" s="1"/>
  <c r="G76" i="8"/>
  <c r="F76" i="8"/>
  <c r="I76" i="8" s="1"/>
  <c r="G75" i="8"/>
  <c r="F75" i="8"/>
  <c r="I75" i="8" s="1"/>
  <c r="G74" i="8"/>
  <c r="F74" i="8"/>
  <c r="I74" i="8" s="1"/>
  <c r="G73" i="8"/>
  <c r="F73" i="8"/>
  <c r="I73" i="8" s="1"/>
  <c r="G72" i="8"/>
  <c r="F72" i="8"/>
  <c r="I72" i="8" s="1"/>
  <c r="G71" i="8"/>
  <c r="F71" i="8"/>
  <c r="I71" i="8" s="1"/>
  <c r="G70" i="8"/>
  <c r="F70" i="8"/>
  <c r="I70" i="8" s="1"/>
  <c r="G69" i="8"/>
  <c r="F69" i="8"/>
  <c r="I69" i="8" s="1"/>
  <c r="G68" i="8"/>
  <c r="F68" i="8"/>
  <c r="I68" i="8" s="1"/>
  <c r="G67" i="8"/>
  <c r="F67" i="8"/>
  <c r="I67" i="8" s="1"/>
  <c r="G66" i="8"/>
  <c r="F66" i="8"/>
  <c r="I66" i="8" s="1"/>
  <c r="G65" i="8"/>
  <c r="F65" i="8"/>
  <c r="I65" i="8" s="1"/>
  <c r="G64" i="8"/>
  <c r="F64" i="8"/>
  <c r="I64" i="8" s="1"/>
  <c r="G63" i="8"/>
  <c r="F63" i="8"/>
  <c r="I63" i="8" s="1"/>
  <c r="G62" i="8"/>
  <c r="F62" i="8"/>
  <c r="I62" i="8" s="1"/>
  <c r="G61" i="8"/>
  <c r="F61" i="8"/>
  <c r="I61" i="8" s="1"/>
  <c r="G60" i="8"/>
  <c r="F60" i="8"/>
  <c r="I60" i="8" s="1"/>
  <c r="G59" i="8"/>
  <c r="F59" i="8"/>
  <c r="I59" i="8" s="1"/>
  <c r="G58" i="8"/>
  <c r="F58" i="8"/>
  <c r="I58" i="8" s="1"/>
  <c r="G57" i="8"/>
  <c r="F57" i="8"/>
  <c r="I57" i="8" s="1"/>
  <c r="G56" i="8"/>
  <c r="F56" i="8"/>
  <c r="I56" i="8" s="1"/>
  <c r="G55" i="8"/>
  <c r="F55" i="8"/>
  <c r="I55" i="8" s="1"/>
  <c r="G54" i="8"/>
  <c r="F54" i="8"/>
  <c r="I54" i="8" s="1"/>
  <c r="G53" i="8"/>
  <c r="F53" i="8"/>
  <c r="I53" i="8" s="1"/>
  <c r="G52" i="8"/>
  <c r="F52" i="8"/>
  <c r="I52" i="8" s="1"/>
  <c r="G51" i="8"/>
  <c r="F51" i="8"/>
  <c r="I51" i="8" s="1"/>
  <c r="G50" i="8"/>
  <c r="F50" i="8"/>
  <c r="I50" i="8" s="1"/>
  <c r="G49" i="8"/>
  <c r="F49" i="8"/>
  <c r="I49" i="8" s="1"/>
  <c r="G48" i="8"/>
  <c r="F48" i="8"/>
  <c r="I48" i="8" s="1"/>
  <c r="G47" i="8"/>
  <c r="F47" i="8"/>
  <c r="I47" i="8" s="1"/>
  <c r="G46" i="8"/>
  <c r="F46" i="8"/>
  <c r="I46" i="8" s="1"/>
  <c r="G45" i="8"/>
  <c r="F45" i="8"/>
  <c r="I45" i="8" s="1"/>
  <c r="G44" i="8"/>
  <c r="F44" i="8"/>
  <c r="I44" i="8" s="1"/>
  <c r="G43" i="8"/>
  <c r="F43" i="8"/>
  <c r="I43" i="8" s="1"/>
  <c r="G42" i="8"/>
  <c r="F42" i="8"/>
  <c r="I42" i="8" s="1"/>
  <c r="G41" i="8"/>
  <c r="F41" i="8"/>
  <c r="I41" i="8" s="1"/>
  <c r="G40" i="8"/>
  <c r="F40" i="8"/>
  <c r="I40" i="8" s="1"/>
  <c r="G39" i="8"/>
  <c r="F39" i="8"/>
  <c r="I39" i="8" s="1"/>
  <c r="G38" i="8"/>
  <c r="F38" i="8"/>
  <c r="I38" i="8" s="1"/>
  <c r="G37" i="8"/>
  <c r="F37" i="8"/>
  <c r="I37" i="8" s="1"/>
  <c r="G36" i="8"/>
  <c r="F36" i="8"/>
  <c r="I36" i="8" s="1"/>
  <c r="G35" i="8"/>
  <c r="F35" i="8"/>
  <c r="I35" i="8" s="1"/>
  <c r="G34" i="8"/>
  <c r="F34" i="8"/>
  <c r="I34" i="8" s="1"/>
  <c r="G33" i="8"/>
  <c r="F33" i="8"/>
  <c r="I33" i="8" s="1"/>
  <c r="G32" i="8"/>
  <c r="F32" i="8"/>
  <c r="I32" i="8" s="1"/>
  <c r="G31" i="8"/>
  <c r="F31" i="8"/>
  <c r="I31" i="8" s="1"/>
  <c r="G30" i="8"/>
  <c r="F30" i="8"/>
  <c r="I30" i="8" s="1"/>
  <c r="G29" i="8"/>
  <c r="F29" i="8"/>
  <c r="I29" i="8" s="1"/>
  <c r="G28" i="8"/>
  <c r="F28" i="8"/>
  <c r="I28" i="8" s="1"/>
  <c r="G27" i="8"/>
  <c r="F27" i="8"/>
  <c r="I27" i="8" s="1"/>
  <c r="G26" i="8"/>
  <c r="F26" i="8"/>
  <c r="I26" i="8" s="1"/>
  <c r="G25" i="8"/>
  <c r="F25" i="8"/>
  <c r="I25" i="8" s="1"/>
  <c r="G24" i="8"/>
  <c r="F24" i="8"/>
  <c r="I24" i="8" s="1"/>
  <c r="G23" i="8"/>
  <c r="F23" i="8"/>
  <c r="I23" i="8" s="1"/>
  <c r="G22" i="8"/>
  <c r="F22" i="8"/>
  <c r="I22" i="8" s="1"/>
  <c r="G21" i="8"/>
  <c r="F21" i="8"/>
  <c r="I21" i="8" s="1"/>
  <c r="G20" i="8"/>
  <c r="F20" i="8"/>
  <c r="I20" i="8" s="1"/>
  <c r="G19" i="8"/>
  <c r="F19" i="8"/>
  <c r="I19" i="8" s="1"/>
  <c r="G18" i="8"/>
  <c r="F18" i="8"/>
  <c r="I18" i="8" s="1"/>
  <c r="G17" i="8"/>
  <c r="F17" i="8"/>
  <c r="I17" i="8" s="1"/>
  <c r="G16" i="8"/>
  <c r="F16" i="8"/>
  <c r="I16" i="8" s="1"/>
  <c r="G15" i="8"/>
  <c r="F15" i="8"/>
  <c r="I15" i="8" s="1"/>
  <c r="G14" i="8"/>
  <c r="F14" i="8"/>
  <c r="I14" i="8" s="1"/>
  <c r="G13" i="8"/>
  <c r="F13" i="8"/>
  <c r="I13" i="8" s="1"/>
  <c r="G12" i="8"/>
  <c r="F12" i="8"/>
  <c r="I12" i="8" s="1"/>
  <c r="G11" i="8"/>
  <c r="F11" i="8"/>
  <c r="I11" i="8" s="1"/>
  <c r="G10" i="8"/>
  <c r="F10" i="8"/>
  <c r="I10" i="8" s="1"/>
  <c r="G9" i="8"/>
  <c r="F9" i="8"/>
  <c r="I9" i="8" s="1"/>
  <c r="K1002" i="7"/>
  <c r="M1002" i="7" s="1"/>
  <c r="J1002" i="7"/>
  <c r="I1002" i="7"/>
  <c r="K1001" i="7"/>
  <c r="M1001" i="7" s="1"/>
  <c r="J1001" i="7"/>
  <c r="I1001" i="7"/>
  <c r="K1000" i="7"/>
  <c r="M1000" i="7" s="1"/>
  <c r="J1000" i="7"/>
  <c r="I1000" i="7"/>
  <c r="K999" i="7"/>
  <c r="M999" i="7" s="1"/>
  <c r="J999" i="7"/>
  <c r="I999" i="7"/>
  <c r="K998" i="7"/>
  <c r="M998" i="7" s="1"/>
  <c r="J998" i="7"/>
  <c r="I998" i="7"/>
  <c r="K997" i="7"/>
  <c r="M997" i="7" s="1"/>
  <c r="J997" i="7"/>
  <c r="I997" i="7"/>
  <c r="K996" i="7"/>
  <c r="M996" i="7" s="1"/>
  <c r="J996" i="7"/>
  <c r="I996" i="7"/>
  <c r="K995" i="7"/>
  <c r="M995" i="7" s="1"/>
  <c r="J995" i="7"/>
  <c r="I995" i="7"/>
  <c r="K994" i="7"/>
  <c r="M994" i="7" s="1"/>
  <c r="J994" i="7"/>
  <c r="I994" i="7"/>
  <c r="K993" i="7"/>
  <c r="M993" i="7" s="1"/>
  <c r="J993" i="7"/>
  <c r="I993" i="7"/>
  <c r="K992" i="7"/>
  <c r="M992" i="7" s="1"/>
  <c r="J992" i="7"/>
  <c r="I992" i="7"/>
  <c r="K991" i="7"/>
  <c r="M991" i="7" s="1"/>
  <c r="J991" i="7"/>
  <c r="I991" i="7"/>
  <c r="K990" i="7"/>
  <c r="M990" i="7" s="1"/>
  <c r="J990" i="7"/>
  <c r="I990" i="7"/>
  <c r="K989" i="7"/>
  <c r="M989" i="7" s="1"/>
  <c r="J989" i="7"/>
  <c r="I989" i="7"/>
  <c r="K988" i="7"/>
  <c r="M988" i="7" s="1"/>
  <c r="J988" i="7"/>
  <c r="I988" i="7"/>
  <c r="K987" i="7"/>
  <c r="M987" i="7" s="1"/>
  <c r="J987" i="7"/>
  <c r="I987" i="7"/>
  <c r="K986" i="7"/>
  <c r="M986" i="7" s="1"/>
  <c r="J986" i="7"/>
  <c r="I986" i="7"/>
  <c r="K985" i="7"/>
  <c r="M985" i="7" s="1"/>
  <c r="J985" i="7"/>
  <c r="I985" i="7"/>
  <c r="K984" i="7"/>
  <c r="M984" i="7" s="1"/>
  <c r="J984" i="7"/>
  <c r="I984" i="7"/>
  <c r="K983" i="7"/>
  <c r="M983" i="7" s="1"/>
  <c r="J983" i="7"/>
  <c r="I983" i="7"/>
  <c r="K982" i="7"/>
  <c r="M982" i="7" s="1"/>
  <c r="J982" i="7"/>
  <c r="I982" i="7"/>
  <c r="K981" i="7"/>
  <c r="M981" i="7" s="1"/>
  <c r="J981" i="7"/>
  <c r="I981" i="7"/>
  <c r="K980" i="7"/>
  <c r="M980" i="7" s="1"/>
  <c r="J980" i="7"/>
  <c r="I980" i="7"/>
  <c r="K979" i="7"/>
  <c r="M979" i="7" s="1"/>
  <c r="J979" i="7"/>
  <c r="I979" i="7"/>
  <c r="K978" i="7"/>
  <c r="M978" i="7" s="1"/>
  <c r="J978" i="7"/>
  <c r="I978" i="7"/>
  <c r="K977" i="7"/>
  <c r="M977" i="7" s="1"/>
  <c r="J977" i="7"/>
  <c r="I977" i="7"/>
  <c r="K976" i="7"/>
  <c r="M976" i="7" s="1"/>
  <c r="J976" i="7"/>
  <c r="I976" i="7"/>
  <c r="K975" i="7"/>
  <c r="M975" i="7" s="1"/>
  <c r="J975" i="7"/>
  <c r="I975" i="7"/>
  <c r="K974" i="7"/>
  <c r="M974" i="7" s="1"/>
  <c r="J974" i="7"/>
  <c r="I974" i="7"/>
  <c r="K973" i="7"/>
  <c r="M973" i="7" s="1"/>
  <c r="J973" i="7"/>
  <c r="I973" i="7"/>
  <c r="K972" i="7"/>
  <c r="M972" i="7" s="1"/>
  <c r="J972" i="7"/>
  <c r="I972" i="7"/>
  <c r="K971" i="7"/>
  <c r="M971" i="7" s="1"/>
  <c r="J971" i="7"/>
  <c r="I971" i="7"/>
  <c r="K970" i="7"/>
  <c r="M970" i="7" s="1"/>
  <c r="J970" i="7"/>
  <c r="I970" i="7"/>
  <c r="K969" i="7"/>
  <c r="M969" i="7" s="1"/>
  <c r="J969" i="7"/>
  <c r="I969" i="7"/>
  <c r="K968" i="7"/>
  <c r="M968" i="7" s="1"/>
  <c r="J968" i="7"/>
  <c r="I968" i="7"/>
  <c r="K967" i="7"/>
  <c r="M967" i="7" s="1"/>
  <c r="J967" i="7"/>
  <c r="I967" i="7"/>
  <c r="K966" i="7"/>
  <c r="M966" i="7" s="1"/>
  <c r="J966" i="7"/>
  <c r="I966" i="7"/>
  <c r="K965" i="7"/>
  <c r="M965" i="7" s="1"/>
  <c r="J965" i="7"/>
  <c r="I965" i="7"/>
  <c r="K964" i="7"/>
  <c r="M964" i="7" s="1"/>
  <c r="J964" i="7"/>
  <c r="I964" i="7"/>
  <c r="K963" i="7"/>
  <c r="M963" i="7" s="1"/>
  <c r="J963" i="7"/>
  <c r="I963" i="7"/>
  <c r="K962" i="7"/>
  <c r="M962" i="7" s="1"/>
  <c r="J962" i="7"/>
  <c r="I962" i="7"/>
  <c r="K961" i="7"/>
  <c r="M961" i="7" s="1"/>
  <c r="J961" i="7"/>
  <c r="I961" i="7"/>
  <c r="K960" i="7"/>
  <c r="M960" i="7" s="1"/>
  <c r="J960" i="7"/>
  <c r="I960" i="7"/>
  <c r="K959" i="7"/>
  <c r="M959" i="7" s="1"/>
  <c r="J959" i="7"/>
  <c r="I959" i="7"/>
  <c r="K958" i="7"/>
  <c r="M958" i="7" s="1"/>
  <c r="J958" i="7"/>
  <c r="I958" i="7"/>
  <c r="K957" i="7"/>
  <c r="M957" i="7" s="1"/>
  <c r="J957" i="7"/>
  <c r="I957" i="7"/>
  <c r="K956" i="7"/>
  <c r="M956" i="7" s="1"/>
  <c r="J956" i="7"/>
  <c r="I956" i="7"/>
  <c r="K955" i="7"/>
  <c r="M955" i="7" s="1"/>
  <c r="J955" i="7"/>
  <c r="I955" i="7"/>
  <c r="K954" i="7"/>
  <c r="M954" i="7" s="1"/>
  <c r="J954" i="7"/>
  <c r="I954" i="7"/>
  <c r="K953" i="7"/>
  <c r="M953" i="7" s="1"/>
  <c r="J953" i="7"/>
  <c r="I953" i="7"/>
  <c r="K952" i="7"/>
  <c r="M952" i="7" s="1"/>
  <c r="J952" i="7"/>
  <c r="I952" i="7"/>
  <c r="K951" i="7"/>
  <c r="M951" i="7" s="1"/>
  <c r="J951" i="7"/>
  <c r="I951" i="7"/>
  <c r="K950" i="7"/>
  <c r="M950" i="7" s="1"/>
  <c r="J950" i="7"/>
  <c r="I950" i="7"/>
  <c r="K949" i="7"/>
  <c r="M949" i="7" s="1"/>
  <c r="J949" i="7"/>
  <c r="I949" i="7"/>
  <c r="K948" i="7"/>
  <c r="M948" i="7" s="1"/>
  <c r="J948" i="7"/>
  <c r="I948" i="7"/>
  <c r="K947" i="7"/>
  <c r="M947" i="7" s="1"/>
  <c r="J947" i="7"/>
  <c r="I947" i="7"/>
  <c r="K946" i="7"/>
  <c r="M946" i="7" s="1"/>
  <c r="J946" i="7"/>
  <c r="I946" i="7"/>
  <c r="K945" i="7"/>
  <c r="M945" i="7" s="1"/>
  <c r="J945" i="7"/>
  <c r="I945" i="7"/>
  <c r="K944" i="7"/>
  <c r="M944" i="7" s="1"/>
  <c r="J944" i="7"/>
  <c r="I944" i="7"/>
  <c r="K943" i="7"/>
  <c r="M943" i="7" s="1"/>
  <c r="J943" i="7"/>
  <c r="I943" i="7"/>
  <c r="K942" i="7"/>
  <c r="M942" i="7" s="1"/>
  <c r="J942" i="7"/>
  <c r="I942" i="7"/>
  <c r="K941" i="7"/>
  <c r="M941" i="7" s="1"/>
  <c r="J941" i="7"/>
  <c r="I941" i="7"/>
  <c r="K940" i="7"/>
  <c r="M940" i="7" s="1"/>
  <c r="J940" i="7"/>
  <c r="I940" i="7"/>
  <c r="K939" i="7"/>
  <c r="M939" i="7" s="1"/>
  <c r="J939" i="7"/>
  <c r="I939" i="7"/>
  <c r="K938" i="7"/>
  <c r="M938" i="7" s="1"/>
  <c r="J938" i="7"/>
  <c r="I938" i="7"/>
  <c r="K937" i="7"/>
  <c r="M937" i="7" s="1"/>
  <c r="J937" i="7"/>
  <c r="I937" i="7"/>
  <c r="K936" i="7"/>
  <c r="M936" i="7" s="1"/>
  <c r="J936" i="7"/>
  <c r="I936" i="7"/>
  <c r="K935" i="7"/>
  <c r="M935" i="7" s="1"/>
  <c r="J935" i="7"/>
  <c r="I935" i="7"/>
  <c r="K934" i="7"/>
  <c r="M934" i="7" s="1"/>
  <c r="J934" i="7"/>
  <c r="I934" i="7"/>
  <c r="K933" i="7"/>
  <c r="M933" i="7" s="1"/>
  <c r="J933" i="7"/>
  <c r="I933" i="7"/>
  <c r="K932" i="7"/>
  <c r="M932" i="7" s="1"/>
  <c r="J932" i="7"/>
  <c r="I932" i="7"/>
  <c r="K931" i="7"/>
  <c r="M931" i="7" s="1"/>
  <c r="J931" i="7"/>
  <c r="I931" i="7"/>
  <c r="K930" i="7"/>
  <c r="M930" i="7" s="1"/>
  <c r="J930" i="7"/>
  <c r="I930" i="7"/>
  <c r="K929" i="7"/>
  <c r="M929" i="7" s="1"/>
  <c r="J929" i="7"/>
  <c r="I929" i="7"/>
  <c r="K928" i="7"/>
  <c r="M928" i="7" s="1"/>
  <c r="J928" i="7"/>
  <c r="I928" i="7"/>
  <c r="K927" i="7"/>
  <c r="M927" i="7" s="1"/>
  <c r="J927" i="7"/>
  <c r="I927" i="7"/>
  <c r="K926" i="7"/>
  <c r="M926" i="7" s="1"/>
  <c r="J926" i="7"/>
  <c r="I926" i="7"/>
  <c r="K925" i="7"/>
  <c r="M925" i="7" s="1"/>
  <c r="J925" i="7"/>
  <c r="I925" i="7"/>
  <c r="K924" i="7"/>
  <c r="M924" i="7" s="1"/>
  <c r="J924" i="7"/>
  <c r="I924" i="7"/>
  <c r="K923" i="7"/>
  <c r="M923" i="7" s="1"/>
  <c r="J923" i="7"/>
  <c r="I923" i="7"/>
  <c r="K922" i="7"/>
  <c r="M922" i="7" s="1"/>
  <c r="J922" i="7"/>
  <c r="I922" i="7"/>
  <c r="K921" i="7"/>
  <c r="M921" i="7" s="1"/>
  <c r="J921" i="7"/>
  <c r="I921" i="7"/>
  <c r="K920" i="7"/>
  <c r="M920" i="7" s="1"/>
  <c r="J920" i="7"/>
  <c r="I920" i="7"/>
  <c r="K919" i="7"/>
  <c r="M919" i="7" s="1"/>
  <c r="J919" i="7"/>
  <c r="I919" i="7"/>
  <c r="K918" i="7"/>
  <c r="M918" i="7" s="1"/>
  <c r="J918" i="7"/>
  <c r="I918" i="7"/>
  <c r="K917" i="7"/>
  <c r="M917" i="7" s="1"/>
  <c r="J917" i="7"/>
  <c r="I917" i="7"/>
  <c r="K916" i="7"/>
  <c r="M916" i="7" s="1"/>
  <c r="J916" i="7"/>
  <c r="I916" i="7"/>
  <c r="K915" i="7"/>
  <c r="M915" i="7" s="1"/>
  <c r="J915" i="7"/>
  <c r="I915" i="7"/>
  <c r="K914" i="7"/>
  <c r="M914" i="7" s="1"/>
  <c r="J914" i="7"/>
  <c r="I914" i="7"/>
  <c r="K913" i="7"/>
  <c r="M913" i="7" s="1"/>
  <c r="J913" i="7"/>
  <c r="I913" i="7"/>
  <c r="K912" i="7"/>
  <c r="M912" i="7" s="1"/>
  <c r="J912" i="7"/>
  <c r="I912" i="7"/>
  <c r="K911" i="7"/>
  <c r="M911" i="7" s="1"/>
  <c r="J911" i="7"/>
  <c r="I911" i="7"/>
  <c r="K910" i="7"/>
  <c r="M910" i="7" s="1"/>
  <c r="J910" i="7"/>
  <c r="I910" i="7"/>
  <c r="K909" i="7"/>
  <c r="M909" i="7" s="1"/>
  <c r="J909" i="7"/>
  <c r="I909" i="7"/>
  <c r="K908" i="7"/>
  <c r="M908" i="7" s="1"/>
  <c r="J908" i="7"/>
  <c r="I908" i="7"/>
  <c r="K907" i="7"/>
  <c r="M907" i="7" s="1"/>
  <c r="J907" i="7"/>
  <c r="I907" i="7"/>
  <c r="K906" i="7"/>
  <c r="M906" i="7" s="1"/>
  <c r="J906" i="7"/>
  <c r="I906" i="7"/>
  <c r="K905" i="7"/>
  <c r="M905" i="7" s="1"/>
  <c r="J905" i="7"/>
  <c r="I905" i="7"/>
  <c r="K904" i="7"/>
  <c r="M904" i="7" s="1"/>
  <c r="J904" i="7"/>
  <c r="I904" i="7"/>
  <c r="K903" i="7"/>
  <c r="M903" i="7" s="1"/>
  <c r="J903" i="7"/>
  <c r="I903" i="7"/>
  <c r="K902" i="7"/>
  <c r="M902" i="7" s="1"/>
  <c r="J902" i="7"/>
  <c r="I902" i="7"/>
  <c r="K901" i="7"/>
  <c r="M901" i="7" s="1"/>
  <c r="J901" i="7"/>
  <c r="I901" i="7"/>
  <c r="K900" i="7"/>
  <c r="M900" i="7" s="1"/>
  <c r="J900" i="7"/>
  <c r="I900" i="7"/>
  <c r="K899" i="7"/>
  <c r="M899" i="7" s="1"/>
  <c r="J899" i="7"/>
  <c r="I899" i="7"/>
  <c r="K898" i="7"/>
  <c r="M898" i="7" s="1"/>
  <c r="J898" i="7"/>
  <c r="I898" i="7"/>
  <c r="K897" i="7"/>
  <c r="M897" i="7" s="1"/>
  <c r="J897" i="7"/>
  <c r="I897" i="7"/>
  <c r="K896" i="7"/>
  <c r="M896" i="7" s="1"/>
  <c r="J896" i="7"/>
  <c r="I896" i="7"/>
  <c r="K895" i="7"/>
  <c r="M895" i="7" s="1"/>
  <c r="J895" i="7"/>
  <c r="I895" i="7"/>
  <c r="K894" i="7"/>
  <c r="M894" i="7" s="1"/>
  <c r="J894" i="7"/>
  <c r="I894" i="7"/>
  <c r="K893" i="7"/>
  <c r="M893" i="7" s="1"/>
  <c r="J893" i="7"/>
  <c r="I893" i="7"/>
  <c r="K892" i="7"/>
  <c r="M892" i="7" s="1"/>
  <c r="J892" i="7"/>
  <c r="I892" i="7"/>
  <c r="K891" i="7"/>
  <c r="M891" i="7" s="1"/>
  <c r="J891" i="7"/>
  <c r="I891" i="7"/>
  <c r="K890" i="7"/>
  <c r="M890" i="7" s="1"/>
  <c r="J890" i="7"/>
  <c r="I890" i="7"/>
  <c r="K889" i="7"/>
  <c r="M889" i="7" s="1"/>
  <c r="J889" i="7"/>
  <c r="I889" i="7"/>
  <c r="K888" i="7"/>
  <c r="M888" i="7" s="1"/>
  <c r="J888" i="7"/>
  <c r="I888" i="7"/>
  <c r="K887" i="7"/>
  <c r="M887" i="7" s="1"/>
  <c r="J887" i="7"/>
  <c r="I887" i="7"/>
  <c r="K886" i="7"/>
  <c r="M886" i="7" s="1"/>
  <c r="J886" i="7"/>
  <c r="I886" i="7"/>
  <c r="K885" i="7"/>
  <c r="M885" i="7" s="1"/>
  <c r="J885" i="7"/>
  <c r="I885" i="7"/>
  <c r="K884" i="7"/>
  <c r="M884" i="7" s="1"/>
  <c r="J884" i="7"/>
  <c r="I884" i="7"/>
  <c r="K883" i="7"/>
  <c r="M883" i="7" s="1"/>
  <c r="J883" i="7"/>
  <c r="I883" i="7"/>
  <c r="K882" i="7"/>
  <c r="M882" i="7" s="1"/>
  <c r="J882" i="7"/>
  <c r="I882" i="7"/>
  <c r="K881" i="7"/>
  <c r="M881" i="7" s="1"/>
  <c r="J881" i="7"/>
  <c r="I881" i="7"/>
  <c r="K880" i="7"/>
  <c r="M880" i="7" s="1"/>
  <c r="J880" i="7"/>
  <c r="I880" i="7"/>
  <c r="K879" i="7"/>
  <c r="M879" i="7" s="1"/>
  <c r="J879" i="7"/>
  <c r="I879" i="7"/>
  <c r="K878" i="7"/>
  <c r="M878" i="7" s="1"/>
  <c r="J878" i="7"/>
  <c r="I878" i="7"/>
  <c r="K877" i="7"/>
  <c r="M877" i="7" s="1"/>
  <c r="J877" i="7"/>
  <c r="I877" i="7"/>
  <c r="K876" i="7"/>
  <c r="M876" i="7" s="1"/>
  <c r="J876" i="7"/>
  <c r="I876" i="7"/>
  <c r="K875" i="7"/>
  <c r="M875" i="7" s="1"/>
  <c r="J875" i="7"/>
  <c r="I875" i="7"/>
  <c r="K874" i="7"/>
  <c r="M874" i="7" s="1"/>
  <c r="J874" i="7"/>
  <c r="I874" i="7"/>
  <c r="K873" i="7"/>
  <c r="M873" i="7" s="1"/>
  <c r="J873" i="7"/>
  <c r="I873" i="7"/>
  <c r="K872" i="7"/>
  <c r="M872" i="7" s="1"/>
  <c r="J872" i="7"/>
  <c r="I872" i="7"/>
  <c r="K871" i="7"/>
  <c r="M871" i="7" s="1"/>
  <c r="J871" i="7"/>
  <c r="I871" i="7"/>
  <c r="K870" i="7"/>
  <c r="M870" i="7" s="1"/>
  <c r="J870" i="7"/>
  <c r="I870" i="7"/>
  <c r="K869" i="7"/>
  <c r="M869" i="7" s="1"/>
  <c r="J869" i="7"/>
  <c r="I869" i="7"/>
  <c r="K868" i="7"/>
  <c r="M868" i="7" s="1"/>
  <c r="J868" i="7"/>
  <c r="I868" i="7"/>
  <c r="K867" i="7"/>
  <c r="M867" i="7" s="1"/>
  <c r="J867" i="7"/>
  <c r="I867" i="7"/>
  <c r="K866" i="7"/>
  <c r="M866" i="7" s="1"/>
  <c r="J866" i="7"/>
  <c r="I866" i="7"/>
  <c r="K865" i="7"/>
  <c r="M865" i="7" s="1"/>
  <c r="J865" i="7"/>
  <c r="I865" i="7"/>
  <c r="K864" i="7"/>
  <c r="M864" i="7" s="1"/>
  <c r="J864" i="7"/>
  <c r="I864" i="7"/>
  <c r="K863" i="7"/>
  <c r="M863" i="7" s="1"/>
  <c r="J863" i="7"/>
  <c r="I863" i="7"/>
  <c r="K862" i="7"/>
  <c r="M862" i="7" s="1"/>
  <c r="J862" i="7"/>
  <c r="I862" i="7"/>
  <c r="K861" i="7"/>
  <c r="M861" i="7" s="1"/>
  <c r="J861" i="7"/>
  <c r="I861" i="7"/>
  <c r="K860" i="7"/>
  <c r="M860" i="7" s="1"/>
  <c r="J860" i="7"/>
  <c r="I860" i="7"/>
  <c r="K859" i="7"/>
  <c r="M859" i="7" s="1"/>
  <c r="J859" i="7"/>
  <c r="I859" i="7"/>
  <c r="K858" i="7"/>
  <c r="M858" i="7" s="1"/>
  <c r="J858" i="7"/>
  <c r="I858" i="7"/>
  <c r="K857" i="7"/>
  <c r="M857" i="7" s="1"/>
  <c r="J857" i="7"/>
  <c r="I857" i="7"/>
  <c r="K856" i="7"/>
  <c r="M856" i="7" s="1"/>
  <c r="J856" i="7"/>
  <c r="I856" i="7"/>
  <c r="K855" i="7"/>
  <c r="M855" i="7" s="1"/>
  <c r="J855" i="7"/>
  <c r="I855" i="7"/>
  <c r="K854" i="7"/>
  <c r="M854" i="7" s="1"/>
  <c r="J854" i="7"/>
  <c r="I854" i="7"/>
  <c r="K853" i="7"/>
  <c r="M853" i="7" s="1"/>
  <c r="J853" i="7"/>
  <c r="I853" i="7"/>
  <c r="K852" i="7"/>
  <c r="M852" i="7" s="1"/>
  <c r="J852" i="7"/>
  <c r="I852" i="7"/>
  <c r="K851" i="7"/>
  <c r="M851" i="7" s="1"/>
  <c r="J851" i="7"/>
  <c r="I851" i="7"/>
  <c r="K850" i="7"/>
  <c r="M850" i="7" s="1"/>
  <c r="J850" i="7"/>
  <c r="I850" i="7"/>
  <c r="K849" i="7"/>
  <c r="M849" i="7" s="1"/>
  <c r="J849" i="7"/>
  <c r="I849" i="7"/>
  <c r="K848" i="7"/>
  <c r="M848" i="7" s="1"/>
  <c r="J848" i="7"/>
  <c r="I848" i="7"/>
  <c r="K847" i="7"/>
  <c r="M847" i="7" s="1"/>
  <c r="J847" i="7"/>
  <c r="I847" i="7"/>
  <c r="K846" i="7"/>
  <c r="M846" i="7" s="1"/>
  <c r="J846" i="7"/>
  <c r="I846" i="7"/>
  <c r="K845" i="7"/>
  <c r="M845" i="7" s="1"/>
  <c r="J845" i="7"/>
  <c r="I845" i="7"/>
  <c r="K844" i="7"/>
  <c r="M844" i="7" s="1"/>
  <c r="J844" i="7"/>
  <c r="I844" i="7"/>
  <c r="K843" i="7"/>
  <c r="M843" i="7" s="1"/>
  <c r="J843" i="7"/>
  <c r="I843" i="7"/>
  <c r="K842" i="7"/>
  <c r="M842" i="7" s="1"/>
  <c r="J842" i="7"/>
  <c r="I842" i="7"/>
  <c r="K841" i="7"/>
  <c r="M841" i="7" s="1"/>
  <c r="J841" i="7"/>
  <c r="I841" i="7"/>
  <c r="K840" i="7"/>
  <c r="M840" i="7" s="1"/>
  <c r="J840" i="7"/>
  <c r="I840" i="7"/>
  <c r="K839" i="7"/>
  <c r="M839" i="7" s="1"/>
  <c r="J839" i="7"/>
  <c r="I839" i="7"/>
  <c r="K838" i="7"/>
  <c r="M838" i="7" s="1"/>
  <c r="J838" i="7"/>
  <c r="I838" i="7"/>
  <c r="K837" i="7"/>
  <c r="M837" i="7" s="1"/>
  <c r="J837" i="7"/>
  <c r="I837" i="7"/>
  <c r="K836" i="7"/>
  <c r="M836" i="7" s="1"/>
  <c r="J836" i="7"/>
  <c r="I836" i="7"/>
  <c r="K835" i="7"/>
  <c r="M835" i="7" s="1"/>
  <c r="J835" i="7"/>
  <c r="I835" i="7"/>
  <c r="K834" i="7"/>
  <c r="M834" i="7" s="1"/>
  <c r="J834" i="7"/>
  <c r="I834" i="7"/>
  <c r="K833" i="7"/>
  <c r="M833" i="7" s="1"/>
  <c r="J833" i="7"/>
  <c r="I833" i="7"/>
  <c r="K832" i="7"/>
  <c r="M832" i="7" s="1"/>
  <c r="J832" i="7"/>
  <c r="I832" i="7"/>
  <c r="K831" i="7"/>
  <c r="M831" i="7" s="1"/>
  <c r="J831" i="7"/>
  <c r="I831" i="7"/>
  <c r="K830" i="7"/>
  <c r="M830" i="7" s="1"/>
  <c r="J830" i="7"/>
  <c r="I830" i="7"/>
  <c r="K829" i="7"/>
  <c r="M829" i="7" s="1"/>
  <c r="J829" i="7"/>
  <c r="I829" i="7"/>
  <c r="K828" i="7"/>
  <c r="M828" i="7" s="1"/>
  <c r="J828" i="7"/>
  <c r="I828" i="7"/>
  <c r="K827" i="7"/>
  <c r="M827" i="7" s="1"/>
  <c r="J827" i="7"/>
  <c r="I827" i="7"/>
  <c r="K826" i="7"/>
  <c r="M826" i="7" s="1"/>
  <c r="J826" i="7"/>
  <c r="I826" i="7"/>
  <c r="K825" i="7"/>
  <c r="M825" i="7" s="1"/>
  <c r="J825" i="7"/>
  <c r="I825" i="7"/>
  <c r="K824" i="7"/>
  <c r="M824" i="7" s="1"/>
  <c r="J824" i="7"/>
  <c r="I824" i="7"/>
  <c r="K823" i="7"/>
  <c r="M823" i="7" s="1"/>
  <c r="J823" i="7"/>
  <c r="I823" i="7"/>
  <c r="K822" i="7"/>
  <c r="M822" i="7" s="1"/>
  <c r="J822" i="7"/>
  <c r="I822" i="7"/>
  <c r="K821" i="7"/>
  <c r="M821" i="7" s="1"/>
  <c r="J821" i="7"/>
  <c r="I821" i="7"/>
  <c r="K820" i="7"/>
  <c r="M820" i="7" s="1"/>
  <c r="J820" i="7"/>
  <c r="I820" i="7"/>
  <c r="K819" i="7"/>
  <c r="M819" i="7" s="1"/>
  <c r="J819" i="7"/>
  <c r="I819" i="7"/>
  <c r="K818" i="7"/>
  <c r="M818" i="7" s="1"/>
  <c r="J818" i="7"/>
  <c r="I818" i="7"/>
  <c r="K817" i="7"/>
  <c r="M817" i="7" s="1"/>
  <c r="J817" i="7"/>
  <c r="I817" i="7"/>
  <c r="K816" i="7"/>
  <c r="M816" i="7" s="1"/>
  <c r="J816" i="7"/>
  <c r="I816" i="7"/>
  <c r="K815" i="7"/>
  <c r="M815" i="7" s="1"/>
  <c r="J815" i="7"/>
  <c r="I815" i="7"/>
  <c r="K814" i="7"/>
  <c r="M814" i="7" s="1"/>
  <c r="J814" i="7"/>
  <c r="I814" i="7"/>
  <c r="K813" i="7"/>
  <c r="M813" i="7" s="1"/>
  <c r="J813" i="7"/>
  <c r="I813" i="7"/>
  <c r="K812" i="7"/>
  <c r="M812" i="7" s="1"/>
  <c r="J812" i="7"/>
  <c r="I812" i="7"/>
  <c r="K811" i="7"/>
  <c r="M811" i="7" s="1"/>
  <c r="J811" i="7"/>
  <c r="I811" i="7"/>
  <c r="K810" i="7"/>
  <c r="M810" i="7" s="1"/>
  <c r="J810" i="7"/>
  <c r="I810" i="7"/>
  <c r="K809" i="7"/>
  <c r="M809" i="7" s="1"/>
  <c r="J809" i="7"/>
  <c r="I809" i="7"/>
  <c r="K808" i="7"/>
  <c r="M808" i="7" s="1"/>
  <c r="J808" i="7"/>
  <c r="I808" i="7"/>
  <c r="K807" i="7"/>
  <c r="M807" i="7" s="1"/>
  <c r="J807" i="7"/>
  <c r="I807" i="7"/>
  <c r="K806" i="7"/>
  <c r="M806" i="7" s="1"/>
  <c r="J806" i="7"/>
  <c r="I806" i="7"/>
  <c r="K805" i="7"/>
  <c r="M805" i="7" s="1"/>
  <c r="J805" i="7"/>
  <c r="I805" i="7"/>
  <c r="K804" i="7"/>
  <c r="M804" i="7" s="1"/>
  <c r="J804" i="7"/>
  <c r="I804" i="7"/>
  <c r="K803" i="7"/>
  <c r="M803" i="7" s="1"/>
  <c r="J803" i="7"/>
  <c r="I803" i="7"/>
  <c r="M802" i="7"/>
  <c r="K802" i="7"/>
  <c r="J802" i="7"/>
  <c r="I802" i="7"/>
  <c r="K801" i="7"/>
  <c r="M801" i="7" s="1"/>
  <c r="J801" i="7"/>
  <c r="I801" i="7"/>
  <c r="K800" i="7"/>
  <c r="M800" i="7" s="1"/>
  <c r="J800" i="7"/>
  <c r="I800" i="7"/>
  <c r="K799" i="7"/>
  <c r="M799" i="7" s="1"/>
  <c r="J799" i="7"/>
  <c r="I799" i="7"/>
  <c r="K798" i="7"/>
  <c r="M798" i="7" s="1"/>
  <c r="J798" i="7"/>
  <c r="I798" i="7"/>
  <c r="K797" i="7"/>
  <c r="M797" i="7" s="1"/>
  <c r="J797" i="7"/>
  <c r="I797" i="7"/>
  <c r="K796" i="7"/>
  <c r="M796" i="7" s="1"/>
  <c r="J796" i="7"/>
  <c r="I796" i="7"/>
  <c r="K795" i="7"/>
  <c r="M795" i="7" s="1"/>
  <c r="J795" i="7"/>
  <c r="I795" i="7"/>
  <c r="K794" i="7"/>
  <c r="M794" i="7" s="1"/>
  <c r="J794" i="7"/>
  <c r="I794" i="7"/>
  <c r="K793" i="7"/>
  <c r="M793" i="7" s="1"/>
  <c r="J793" i="7"/>
  <c r="I793" i="7"/>
  <c r="K792" i="7"/>
  <c r="M792" i="7" s="1"/>
  <c r="J792" i="7"/>
  <c r="I792" i="7"/>
  <c r="K791" i="7"/>
  <c r="M791" i="7" s="1"/>
  <c r="J791" i="7"/>
  <c r="I791" i="7"/>
  <c r="K790" i="7"/>
  <c r="M790" i="7" s="1"/>
  <c r="J790" i="7"/>
  <c r="I790" i="7"/>
  <c r="K789" i="7"/>
  <c r="M789" i="7" s="1"/>
  <c r="J789" i="7"/>
  <c r="I789" i="7"/>
  <c r="K788" i="7"/>
  <c r="M788" i="7" s="1"/>
  <c r="J788" i="7"/>
  <c r="I788" i="7"/>
  <c r="K787" i="7"/>
  <c r="M787" i="7" s="1"/>
  <c r="J787" i="7"/>
  <c r="I787" i="7"/>
  <c r="K786" i="7"/>
  <c r="M786" i="7" s="1"/>
  <c r="J786" i="7"/>
  <c r="I786" i="7"/>
  <c r="K785" i="7"/>
  <c r="M785" i="7" s="1"/>
  <c r="J785" i="7"/>
  <c r="I785" i="7"/>
  <c r="K784" i="7"/>
  <c r="M784" i="7" s="1"/>
  <c r="J784" i="7"/>
  <c r="I784" i="7"/>
  <c r="K783" i="7"/>
  <c r="M783" i="7" s="1"/>
  <c r="J783" i="7"/>
  <c r="I783" i="7"/>
  <c r="K782" i="7"/>
  <c r="M782" i="7" s="1"/>
  <c r="J782" i="7"/>
  <c r="I782" i="7"/>
  <c r="K781" i="7"/>
  <c r="M781" i="7" s="1"/>
  <c r="J781" i="7"/>
  <c r="I781" i="7"/>
  <c r="K780" i="7"/>
  <c r="M780" i="7" s="1"/>
  <c r="J780" i="7"/>
  <c r="I780" i="7"/>
  <c r="K779" i="7"/>
  <c r="M779" i="7" s="1"/>
  <c r="J779" i="7"/>
  <c r="I779" i="7"/>
  <c r="K778" i="7"/>
  <c r="M778" i="7" s="1"/>
  <c r="J778" i="7"/>
  <c r="I778" i="7"/>
  <c r="K777" i="7"/>
  <c r="M777" i="7" s="1"/>
  <c r="J777" i="7"/>
  <c r="I777" i="7"/>
  <c r="K776" i="7"/>
  <c r="M776" i="7" s="1"/>
  <c r="J776" i="7"/>
  <c r="I776" i="7"/>
  <c r="K775" i="7"/>
  <c r="M775" i="7" s="1"/>
  <c r="J775" i="7"/>
  <c r="I775" i="7"/>
  <c r="K774" i="7"/>
  <c r="M774" i="7" s="1"/>
  <c r="J774" i="7"/>
  <c r="I774" i="7"/>
  <c r="K773" i="7"/>
  <c r="M773" i="7" s="1"/>
  <c r="J773" i="7"/>
  <c r="I773" i="7"/>
  <c r="K772" i="7"/>
  <c r="M772" i="7" s="1"/>
  <c r="J772" i="7"/>
  <c r="I772" i="7"/>
  <c r="K771" i="7"/>
  <c r="M771" i="7" s="1"/>
  <c r="J771" i="7"/>
  <c r="I771" i="7"/>
  <c r="K770" i="7"/>
  <c r="M770" i="7" s="1"/>
  <c r="J770" i="7"/>
  <c r="I770" i="7"/>
  <c r="K769" i="7"/>
  <c r="M769" i="7" s="1"/>
  <c r="J769" i="7"/>
  <c r="I769" i="7"/>
  <c r="K768" i="7"/>
  <c r="M768" i="7" s="1"/>
  <c r="J768" i="7"/>
  <c r="I768" i="7"/>
  <c r="K767" i="7"/>
  <c r="M767" i="7" s="1"/>
  <c r="J767" i="7"/>
  <c r="I767" i="7"/>
  <c r="K766" i="7"/>
  <c r="M766" i="7" s="1"/>
  <c r="J766" i="7"/>
  <c r="I766" i="7"/>
  <c r="K765" i="7"/>
  <c r="M765" i="7" s="1"/>
  <c r="J765" i="7"/>
  <c r="I765" i="7"/>
  <c r="K764" i="7"/>
  <c r="M764" i="7" s="1"/>
  <c r="J764" i="7"/>
  <c r="I764" i="7"/>
  <c r="K763" i="7"/>
  <c r="M763" i="7" s="1"/>
  <c r="J763" i="7"/>
  <c r="I763" i="7"/>
  <c r="K762" i="7"/>
  <c r="M762" i="7" s="1"/>
  <c r="J762" i="7"/>
  <c r="I762" i="7"/>
  <c r="K761" i="7"/>
  <c r="M761" i="7" s="1"/>
  <c r="J761" i="7"/>
  <c r="I761" i="7"/>
  <c r="K760" i="7"/>
  <c r="M760" i="7" s="1"/>
  <c r="J760" i="7"/>
  <c r="I760" i="7"/>
  <c r="K759" i="7"/>
  <c r="M759" i="7" s="1"/>
  <c r="J759" i="7"/>
  <c r="I759" i="7"/>
  <c r="K758" i="7"/>
  <c r="M758" i="7" s="1"/>
  <c r="J758" i="7"/>
  <c r="I758" i="7"/>
  <c r="K757" i="7"/>
  <c r="M757" i="7" s="1"/>
  <c r="J757" i="7"/>
  <c r="I757" i="7"/>
  <c r="K756" i="7"/>
  <c r="M756" i="7" s="1"/>
  <c r="J756" i="7"/>
  <c r="I756" i="7"/>
  <c r="K755" i="7"/>
  <c r="M755" i="7" s="1"/>
  <c r="J755" i="7"/>
  <c r="I755" i="7"/>
  <c r="K754" i="7"/>
  <c r="M754" i="7" s="1"/>
  <c r="J754" i="7"/>
  <c r="I754" i="7"/>
  <c r="K753" i="7"/>
  <c r="M753" i="7" s="1"/>
  <c r="J753" i="7"/>
  <c r="I753" i="7"/>
  <c r="K752" i="7"/>
  <c r="M752" i="7" s="1"/>
  <c r="J752" i="7"/>
  <c r="I752" i="7"/>
  <c r="K751" i="7"/>
  <c r="M751" i="7" s="1"/>
  <c r="J751" i="7"/>
  <c r="I751" i="7"/>
  <c r="K750" i="7"/>
  <c r="M750" i="7" s="1"/>
  <c r="J750" i="7"/>
  <c r="I750" i="7"/>
  <c r="K749" i="7"/>
  <c r="M749" i="7" s="1"/>
  <c r="J749" i="7"/>
  <c r="I749" i="7"/>
  <c r="K748" i="7"/>
  <c r="M748" i="7" s="1"/>
  <c r="J748" i="7"/>
  <c r="I748" i="7"/>
  <c r="K747" i="7"/>
  <c r="M747" i="7" s="1"/>
  <c r="J747" i="7"/>
  <c r="I747" i="7"/>
  <c r="K746" i="7"/>
  <c r="M746" i="7" s="1"/>
  <c r="J746" i="7"/>
  <c r="I746" i="7"/>
  <c r="K745" i="7"/>
  <c r="M745" i="7" s="1"/>
  <c r="J745" i="7"/>
  <c r="I745" i="7"/>
  <c r="K744" i="7"/>
  <c r="M744" i="7" s="1"/>
  <c r="J744" i="7"/>
  <c r="I744" i="7"/>
  <c r="K743" i="7"/>
  <c r="M743" i="7" s="1"/>
  <c r="J743" i="7"/>
  <c r="I743" i="7"/>
  <c r="K742" i="7"/>
  <c r="M742" i="7" s="1"/>
  <c r="J742" i="7"/>
  <c r="I742" i="7"/>
  <c r="K741" i="7"/>
  <c r="M741" i="7" s="1"/>
  <c r="J741" i="7"/>
  <c r="I741" i="7"/>
  <c r="K740" i="7"/>
  <c r="M740" i="7" s="1"/>
  <c r="J740" i="7"/>
  <c r="I740" i="7"/>
  <c r="K739" i="7"/>
  <c r="M739" i="7" s="1"/>
  <c r="J739" i="7"/>
  <c r="I739" i="7"/>
  <c r="K738" i="7"/>
  <c r="M738" i="7" s="1"/>
  <c r="J738" i="7"/>
  <c r="I738" i="7"/>
  <c r="K737" i="7"/>
  <c r="M737" i="7" s="1"/>
  <c r="J737" i="7"/>
  <c r="I737" i="7"/>
  <c r="K736" i="7"/>
  <c r="M736" i="7" s="1"/>
  <c r="J736" i="7"/>
  <c r="I736" i="7"/>
  <c r="K735" i="7"/>
  <c r="M735" i="7" s="1"/>
  <c r="J735" i="7"/>
  <c r="I735" i="7"/>
  <c r="K734" i="7"/>
  <c r="M734" i="7" s="1"/>
  <c r="J734" i="7"/>
  <c r="I734" i="7"/>
  <c r="K733" i="7"/>
  <c r="M733" i="7" s="1"/>
  <c r="J733" i="7"/>
  <c r="I733" i="7"/>
  <c r="K732" i="7"/>
  <c r="M732" i="7" s="1"/>
  <c r="J732" i="7"/>
  <c r="I732" i="7"/>
  <c r="K731" i="7"/>
  <c r="M731" i="7" s="1"/>
  <c r="J731" i="7"/>
  <c r="I731" i="7"/>
  <c r="M730" i="7"/>
  <c r="K730" i="7"/>
  <c r="J730" i="7"/>
  <c r="I730" i="7"/>
  <c r="K729" i="7"/>
  <c r="M729" i="7" s="1"/>
  <c r="J729" i="7"/>
  <c r="I729" i="7"/>
  <c r="K728" i="7"/>
  <c r="M728" i="7" s="1"/>
  <c r="J728" i="7"/>
  <c r="I728" i="7"/>
  <c r="K727" i="7"/>
  <c r="M727" i="7" s="1"/>
  <c r="J727" i="7"/>
  <c r="I727" i="7"/>
  <c r="K726" i="7"/>
  <c r="M726" i="7" s="1"/>
  <c r="J726" i="7"/>
  <c r="I726" i="7"/>
  <c r="K725" i="7"/>
  <c r="M725" i="7" s="1"/>
  <c r="J725" i="7"/>
  <c r="I725" i="7"/>
  <c r="K724" i="7"/>
  <c r="M724" i="7" s="1"/>
  <c r="J724" i="7"/>
  <c r="I724" i="7"/>
  <c r="K723" i="7"/>
  <c r="M723" i="7" s="1"/>
  <c r="J723" i="7"/>
  <c r="I723" i="7"/>
  <c r="K722" i="7"/>
  <c r="M722" i="7" s="1"/>
  <c r="J722" i="7"/>
  <c r="I722" i="7"/>
  <c r="K721" i="7"/>
  <c r="M721" i="7" s="1"/>
  <c r="J721" i="7"/>
  <c r="I721" i="7"/>
  <c r="K720" i="7"/>
  <c r="M720" i="7" s="1"/>
  <c r="J720" i="7"/>
  <c r="I720" i="7"/>
  <c r="K719" i="7"/>
  <c r="M719" i="7" s="1"/>
  <c r="J719" i="7"/>
  <c r="I719" i="7"/>
  <c r="K718" i="7"/>
  <c r="M718" i="7" s="1"/>
  <c r="J718" i="7"/>
  <c r="I718" i="7"/>
  <c r="K717" i="7"/>
  <c r="M717" i="7" s="1"/>
  <c r="J717" i="7"/>
  <c r="I717" i="7"/>
  <c r="K716" i="7"/>
  <c r="M716" i="7" s="1"/>
  <c r="J716" i="7"/>
  <c r="I716" i="7"/>
  <c r="K715" i="7"/>
  <c r="M715" i="7" s="1"/>
  <c r="J715" i="7"/>
  <c r="I715" i="7"/>
  <c r="K714" i="7"/>
  <c r="M714" i="7" s="1"/>
  <c r="J714" i="7"/>
  <c r="I714" i="7"/>
  <c r="K713" i="7"/>
  <c r="M713" i="7" s="1"/>
  <c r="J713" i="7"/>
  <c r="I713" i="7"/>
  <c r="K712" i="7"/>
  <c r="M712" i="7" s="1"/>
  <c r="J712" i="7"/>
  <c r="I712" i="7"/>
  <c r="K711" i="7"/>
  <c r="M711" i="7" s="1"/>
  <c r="J711" i="7"/>
  <c r="I711" i="7"/>
  <c r="K710" i="7"/>
  <c r="M710" i="7" s="1"/>
  <c r="J710" i="7"/>
  <c r="I710" i="7"/>
  <c r="K709" i="7"/>
  <c r="M709" i="7" s="1"/>
  <c r="J709" i="7"/>
  <c r="I709" i="7"/>
  <c r="K708" i="7"/>
  <c r="M708" i="7" s="1"/>
  <c r="J708" i="7"/>
  <c r="I708" i="7"/>
  <c r="M707" i="7"/>
  <c r="K707" i="7"/>
  <c r="J707" i="7"/>
  <c r="I707" i="7"/>
  <c r="K706" i="7"/>
  <c r="M706" i="7" s="1"/>
  <c r="J706" i="7"/>
  <c r="I706" i="7"/>
  <c r="K705" i="7"/>
  <c r="M705" i="7" s="1"/>
  <c r="J705" i="7"/>
  <c r="I705" i="7"/>
  <c r="K704" i="7"/>
  <c r="M704" i="7" s="1"/>
  <c r="J704" i="7"/>
  <c r="I704" i="7"/>
  <c r="K703" i="7"/>
  <c r="M703" i="7" s="1"/>
  <c r="J703" i="7"/>
  <c r="I703" i="7"/>
  <c r="K702" i="7"/>
  <c r="M702" i="7" s="1"/>
  <c r="J702" i="7"/>
  <c r="I702" i="7"/>
  <c r="K701" i="7"/>
  <c r="M701" i="7" s="1"/>
  <c r="J701" i="7"/>
  <c r="I701" i="7"/>
  <c r="K700" i="7"/>
  <c r="M700" i="7" s="1"/>
  <c r="J700" i="7"/>
  <c r="I700" i="7"/>
  <c r="K699" i="7"/>
  <c r="M699" i="7" s="1"/>
  <c r="J699" i="7"/>
  <c r="I699" i="7"/>
  <c r="K698" i="7"/>
  <c r="M698" i="7" s="1"/>
  <c r="J698" i="7"/>
  <c r="I698" i="7"/>
  <c r="K697" i="7"/>
  <c r="M697" i="7" s="1"/>
  <c r="J697" i="7"/>
  <c r="I697" i="7"/>
  <c r="K696" i="7"/>
  <c r="M696" i="7" s="1"/>
  <c r="J696" i="7"/>
  <c r="I696" i="7"/>
  <c r="K695" i="7"/>
  <c r="M695" i="7" s="1"/>
  <c r="J695" i="7"/>
  <c r="I695" i="7"/>
  <c r="K694" i="7"/>
  <c r="M694" i="7" s="1"/>
  <c r="J694" i="7"/>
  <c r="I694" i="7"/>
  <c r="K693" i="7"/>
  <c r="M693" i="7" s="1"/>
  <c r="J693" i="7"/>
  <c r="I693" i="7"/>
  <c r="K692" i="7"/>
  <c r="M692" i="7" s="1"/>
  <c r="J692" i="7"/>
  <c r="I692" i="7"/>
  <c r="K691" i="7"/>
  <c r="M691" i="7" s="1"/>
  <c r="J691" i="7"/>
  <c r="I691" i="7"/>
  <c r="K690" i="7"/>
  <c r="M690" i="7" s="1"/>
  <c r="J690" i="7"/>
  <c r="I690" i="7"/>
  <c r="K689" i="7"/>
  <c r="M689" i="7" s="1"/>
  <c r="J689" i="7"/>
  <c r="I689" i="7"/>
  <c r="K688" i="7"/>
  <c r="M688" i="7" s="1"/>
  <c r="J688" i="7"/>
  <c r="I688" i="7"/>
  <c r="K687" i="7"/>
  <c r="M687" i="7" s="1"/>
  <c r="J687" i="7"/>
  <c r="I687" i="7"/>
  <c r="K686" i="7"/>
  <c r="M686" i="7" s="1"/>
  <c r="J686" i="7"/>
  <c r="I686" i="7"/>
  <c r="K685" i="7"/>
  <c r="M685" i="7" s="1"/>
  <c r="J685" i="7"/>
  <c r="I685" i="7"/>
  <c r="K684" i="7"/>
  <c r="M684" i="7" s="1"/>
  <c r="J684" i="7"/>
  <c r="I684" i="7"/>
  <c r="K683" i="7"/>
  <c r="M683" i="7" s="1"/>
  <c r="J683" i="7"/>
  <c r="I683" i="7"/>
  <c r="K682" i="7"/>
  <c r="M682" i="7" s="1"/>
  <c r="J682" i="7"/>
  <c r="I682" i="7"/>
  <c r="K681" i="7"/>
  <c r="M681" i="7" s="1"/>
  <c r="J681" i="7"/>
  <c r="I681" i="7"/>
  <c r="K680" i="7"/>
  <c r="M680" i="7" s="1"/>
  <c r="J680" i="7"/>
  <c r="I680" i="7"/>
  <c r="K679" i="7"/>
  <c r="M679" i="7" s="1"/>
  <c r="J679" i="7"/>
  <c r="I679" i="7"/>
  <c r="K678" i="7"/>
  <c r="M678" i="7" s="1"/>
  <c r="J678" i="7"/>
  <c r="I678" i="7"/>
  <c r="K677" i="7"/>
  <c r="M677" i="7" s="1"/>
  <c r="J677" i="7"/>
  <c r="I677" i="7"/>
  <c r="K676" i="7"/>
  <c r="M676" i="7" s="1"/>
  <c r="J676" i="7"/>
  <c r="I676" i="7"/>
  <c r="K675" i="7"/>
  <c r="M675" i="7" s="1"/>
  <c r="J675" i="7"/>
  <c r="I675" i="7"/>
  <c r="K674" i="7"/>
  <c r="M674" i="7" s="1"/>
  <c r="J674" i="7"/>
  <c r="I674" i="7"/>
  <c r="K673" i="7"/>
  <c r="M673" i="7" s="1"/>
  <c r="J673" i="7"/>
  <c r="I673" i="7"/>
  <c r="K672" i="7"/>
  <c r="M672" i="7" s="1"/>
  <c r="J672" i="7"/>
  <c r="I672" i="7"/>
  <c r="K671" i="7"/>
  <c r="M671" i="7" s="1"/>
  <c r="J671" i="7"/>
  <c r="I671" i="7"/>
  <c r="K670" i="7"/>
  <c r="M670" i="7" s="1"/>
  <c r="J670" i="7"/>
  <c r="I670" i="7"/>
  <c r="K669" i="7"/>
  <c r="M669" i="7" s="1"/>
  <c r="J669" i="7"/>
  <c r="I669" i="7"/>
  <c r="K668" i="7"/>
  <c r="M668" i="7" s="1"/>
  <c r="J668" i="7"/>
  <c r="I668" i="7"/>
  <c r="K667" i="7"/>
  <c r="M667" i="7" s="1"/>
  <c r="J667" i="7"/>
  <c r="I667" i="7"/>
  <c r="K666" i="7"/>
  <c r="M666" i="7" s="1"/>
  <c r="J666" i="7"/>
  <c r="I666" i="7"/>
  <c r="K665" i="7"/>
  <c r="M665" i="7" s="1"/>
  <c r="J665" i="7"/>
  <c r="I665" i="7"/>
  <c r="K664" i="7"/>
  <c r="M664" i="7" s="1"/>
  <c r="J664" i="7"/>
  <c r="I664" i="7"/>
  <c r="K663" i="7"/>
  <c r="M663" i="7" s="1"/>
  <c r="J663" i="7"/>
  <c r="I663" i="7"/>
  <c r="K662" i="7"/>
  <c r="M662" i="7" s="1"/>
  <c r="J662" i="7"/>
  <c r="I662" i="7"/>
  <c r="K661" i="7"/>
  <c r="M661" i="7" s="1"/>
  <c r="J661" i="7"/>
  <c r="I661" i="7"/>
  <c r="K660" i="7"/>
  <c r="M660" i="7" s="1"/>
  <c r="J660" i="7"/>
  <c r="I660" i="7"/>
  <c r="K659" i="7"/>
  <c r="M659" i="7" s="1"/>
  <c r="J659" i="7"/>
  <c r="I659" i="7"/>
  <c r="K658" i="7"/>
  <c r="M658" i="7" s="1"/>
  <c r="J658" i="7"/>
  <c r="I658" i="7"/>
  <c r="K657" i="7"/>
  <c r="M657" i="7" s="1"/>
  <c r="J657" i="7"/>
  <c r="I657" i="7"/>
  <c r="K656" i="7"/>
  <c r="M656" i="7" s="1"/>
  <c r="J656" i="7"/>
  <c r="I656" i="7"/>
  <c r="K655" i="7"/>
  <c r="M655" i="7" s="1"/>
  <c r="J655" i="7"/>
  <c r="I655" i="7"/>
  <c r="K654" i="7"/>
  <c r="M654" i="7" s="1"/>
  <c r="J654" i="7"/>
  <c r="I654" i="7"/>
  <c r="K653" i="7"/>
  <c r="M653" i="7" s="1"/>
  <c r="J653" i="7"/>
  <c r="I653" i="7"/>
  <c r="K652" i="7"/>
  <c r="M652" i="7" s="1"/>
  <c r="J652" i="7"/>
  <c r="I652" i="7"/>
  <c r="K651" i="7"/>
  <c r="M651" i="7" s="1"/>
  <c r="J651" i="7"/>
  <c r="I651" i="7"/>
  <c r="K650" i="7"/>
  <c r="M650" i="7" s="1"/>
  <c r="J650" i="7"/>
  <c r="I650" i="7"/>
  <c r="K649" i="7"/>
  <c r="M649" i="7" s="1"/>
  <c r="J649" i="7"/>
  <c r="I649" i="7"/>
  <c r="K648" i="7"/>
  <c r="M648" i="7" s="1"/>
  <c r="J648" i="7"/>
  <c r="I648" i="7"/>
  <c r="K647" i="7"/>
  <c r="M647" i="7" s="1"/>
  <c r="J647" i="7"/>
  <c r="I647" i="7"/>
  <c r="K646" i="7"/>
  <c r="M646" i="7" s="1"/>
  <c r="J646" i="7"/>
  <c r="I646" i="7"/>
  <c r="K645" i="7"/>
  <c r="M645" i="7" s="1"/>
  <c r="J645" i="7"/>
  <c r="I645" i="7"/>
  <c r="K644" i="7"/>
  <c r="M644" i="7" s="1"/>
  <c r="J644" i="7"/>
  <c r="I644" i="7"/>
  <c r="K643" i="7"/>
  <c r="M643" i="7" s="1"/>
  <c r="J643" i="7"/>
  <c r="I643" i="7"/>
  <c r="K642" i="7"/>
  <c r="M642" i="7" s="1"/>
  <c r="J642" i="7"/>
  <c r="I642" i="7"/>
  <c r="K641" i="7"/>
  <c r="M641" i="7" s="1"/>
  <c r="J641" i="7"/>
  <c r="I641" i="7"/>
  <c r="K640" i="7"/>
  <c r="M640" i="7" s="1"/>
  <c r="J640" i="7"/>
  <c r="I640" i="7"/>
  <c r="K639" i="7"/>
  <c r="M639" i="7" s="1"/>
  <c r="J639" i="7"/>
  <c r="I639" i="7"/>
  <c r="K638" i="7"/>
  <c r="M638" i="7" s="1"/>
  <c r="J638" i="7"/>
  <c r="I638" i="7"/>
  <c r="K637" i="7"/>
  <c r="M637" i="7" s="1"/>
  <c r="J637" i="7"/>
  <c r="I637" i="7"/>
  <c r="K636" i="7"/>
  <c r="M636" i="7" s="1"/>
  <c r="J636" i="7"/>
  <c r="I636" i="7"/>
  <c r="M635" i="7"/>
  <c r="K635" i="7"/>
  <c r="J635" i="7"/>
  <c r="I635" i="7"/>
  <c r="K634" i="7"/>
  <c r="M634" i="7" s="1"/>
  <c r="J634" i="7"/>
  <c r="I634" i="7"/>
  <c r="K633" i="7"/>
  <c r="M633" i="7" s="1"/>
  <c r="J633" i="7"/>
  <c r="I633" i="7"/>
  <c r="K632" i="7"/>
  <c r="M632" i="7" s="1"/>
  <c r="J632" i="7"/>
  <c r="I632" i="7"/>
  <c r="K631" i="7"/>
  <c r="M631" i="7" s="1"/>
  <c r="J631" i="7"/>
  <c r="I631" i="7"/>
  <c r="K630" i="7"/>
  <c r="M630" i="7" s="1"/>
  <c r="J630" i="7"/>
  <c r="I630" i="7"/>
  <c r="K629" i="7"/>
  <c r="M629" i="7" s="1"/>
  <c r="J629" i="7"/>
  <c r="I629" i="7"/>
  <c r="K628" i="7"/>
  <c r="M628" i="7" s="1"/>
  <c r="J628" i="7"/>
  <c r="I628" i="7"/>
  <c r="K627" i="7"/>
  <c r="M627" i="7" s="1"/>
  <c r="J627" i="7"/>
  <c r="I627" i="7"/>
  <c r="K626" i="7"/>
  <c r="M626" i="7" s="1"/>
  <c r="J626" i="7"/>
  <c r="I626" i="7"/>
  <c r="K625" i="7"/>
  <c r="M625" i="7" s="1"/>
  <c r="J625" i="7"/>
  <c r="I625" i="7"/>
  <c r="K624" i="7"/>
  <c r="M624" i="7" s="1"/>
  <c r="J624" i="7"/>
  <c r="I624" i="7"/>
  <c r="K623" i="7"/>
  <c r="M623" i="7" s="1"/>
  <c r="J623" i="7"/>
  <c r="I623" i="7"/>
  <c r="K622" i="7"/>
  <c r="M622" i="7" s="1"/>
  <c r="J622" i="7"/>
  <c r="I622" i="7"/>
  <c r="K621" i="7"/>
  <c r="M621" i="7" s="1"/>
  <c r="J621" i="7"/>
  <c r="I621" i="7"/>
  <c r="K620" i="7"/>
  <c r="M620" i="7" s="1"/>
  <c r="J620" i="7"/>
  <c r="I620" i="7"/>
  <c r="K619" i="7"/>
  <c r="M619" i="7" s="1"/>
  <c r="J619" i="7"/>
  <c r="I619" i="7"/>
  <c r="K618" i="7"/>
  <c r="M618" i="7" s="1"/>
  <c r="J618" i="7"/>
  <c r="I618" i="7"/>
  <c r="K617" i="7"/>
  <c r="M617" i="7" s="1"/>
  <c r="J617" i="7"/>
  <c r="I617" i="7"/>
  <c r="K616" i="7"/>
  <c r="M616" i="7" s="1"/>
  <c r="J616" i="7"/>
  <c r="I616" i="7"/>
  <c r="K615" i="7"/>
  <c r="M615" i="7" s="1"/>
  <c r="J615" i="7"/>
  <c r="I615" i="7"/>
  <c r="K614" i="7"/>
  <c r="M614" i="7" s="1"/>
  <c r="J614" i="7"/>
  <c r="I614" i="7"/>
  <c r="K613" i="7"/>
  <c r="M613" i="7" s="1"/>
  <c r="J613" i="7"/>
  <c r="I613" i="7"/>
  <c r="K612" i="7"/>
  <c r="M612" i="7" s="1"/>
  <c r="J612" i="7"/>
  <c r="I612" i="7"/>
  <c r="K611" i="7"/>
  <c r="M611" i="7" s="1"/>
  <c r="J611" i="7"/>
  <c r="I611" i="7"/>
  <c r="K610" i="7"/>
  <c r="M610" i="7" s="1"/>
  <c r="J610" i="7"/>
  <c r="I610" i="7"/>
  <c r="K609" i="7"/>
  <c r="M609" i="7" s="1"/>
  <c r="J609" i="7"/>
  <c r="I609" i="7"/>
  <c r="K608" i="7"/>
  <c r="M608" i="7" s="1"/>
  <c r="J608" i="7"/>
  <c r="I608" i="7"/>
  <c r="K607" i="7"/>
  <c r="M607" i="7" s="1"/>
  <c r="J607" i="7"/>
  <c r="I607" i="7"/>
  <c r="K606" i="7"/>
  <c r="M606" i="7" s="1"/>
  <c r="J606" i="7"/>
  <c r="I606" i="7"/>
  <c r="K605" i="7"/>
  <c r="M605" i="7" s="1"/>
  <c r="J605" i="7"/>
  <c r="I605" i="7"/>
  <c r="K604" i="7"/>
  <c r="M604" i="7" s="1"/>
  <c r="J604" i="7"/>
  <c r="I604" i="7"/>
  <c r="K603" i="7"/>
  <c r="M603" i="7" s="1"/>
  <c r="J603" i="7"/>
  <c r="I603" i="7"/>
  <c r="K602" i="7"/>
  <c r="M602" i="7" s="1"/>
  <c r="J602" i="7"/>
  <c r="I602" i="7"/>
  <c r="K601" i="7"/>
  <c r="M601" i="7" s="1"/>
  <c r="J601" i="7"/>
  <c r="I601" i="7"/>
  <c r="K600" i="7"/>
  <c r="M600" i="7" s="1"/>
  <c r="J600" i="7"/>
  <c r="I600" i="7"/>
  <c r="K599" i="7"/>
  <c r="M599" i="7" s="1"/>
  <c r="J599" i="7"/>
  <c r="I599" i="7"/>
  <c r="K598" i="7"/>
  <c r="M598" i="7" s="1"/>
  <c r="J598" i="7"/>
  <c r="I598" i="7"/>
  <c r="K597" i="7"/>
  <c r="M597" i="7" s="1"/>
  <c r="J597" i="7"/>
  <c r="I597" i="7"/>
  <c r="K596" i="7"/>
  <c r="M596" i="7" s="1"/>
  <c r="J596" i="7"/>
  <c r="I596" i="7"/>
  <c r="K595" i="7"/>
  <c r="M595" i="7" s="1"/>
  <c r="J595" i="7"/>
  <c r="I595" i="7"/>
  <c r="K594" i="7"/>
  <c r="M594" i="7" s="1"/>
  <c r="J594" i="7"/>
  <c r="I594" i="7"/>
  <c r="K593" i="7"/>
  <c r="M593" i="7" s="1"/>
  <c r="J593" i="7"/>
  <c r="I593" i="7"/>
  <c r="K592" i="7"/>
  <c r="M592" i="7" s="1"/>
  <c r="J592" i="7"/>
  <c r="I592" i="7"/>
  <c r="K591" i="7"/>
  <c r="M591" i="7" s="1"/>
  <c r="J591" i="7"/>
  <c r="I591" i="7"/>
  <c r="K590" i="7"/>
  <c r="M590" i="7" s="1"/>
  <c r="J590" i="7"/>
  <c r="I590" i="7"/>
  <c r="K589" i="7"/>
  <c r="M589" i="7" s="1"/>
  <c r="J589" i="7"/>
  <c r="I589" i="7"/>
  <c r="K588" i="7"/>
  <c r="M588" i="7" s="1"/>
  <c r="J588" i="7"/>
  <c r="I588" i="7"/>
  <c r="K587" i="7"/>
  <c r="M587" i="7" s="1"/>
  <c r="J587" i="7"/>
  <c r="I587" i="7"/>
  <c r="K586" i="7"/>
  <c r="M586" i="7" s="1"/>
  <c r="J586" i="7"/>
  <c r="I586" i="7"/>
  <c r="K585" i="7"/>
  <c r="M585" i="7" s="1"/>
  <c r="J585" i="7"/>
  <c r="I585" i="7"/>
  <c r="K584" i="7"/>
  <c r="M584" i="7" s="1"/>
  <c r="J584" i="7"/>
  <c r="I584" i="7"/>
  <c r="K583" i="7"/>
  <c r="M583" i="7" s="1"/>
  <c r="J583" i="7"/>
  <c r="I583" i="7"/>
  <c r="K582" i="7"/>
  <c r="M582" i="7" s="1"/>
  <c r="J582" i="7"/>
  <c r="I582" i="7"/>
  <c r="K581" i="7"/>
  <c r="M581" i="7" s="1"/>
  <c r="J581" i="7"/>
  <c r="I581" i="7"/>
  <c r="K580" i="7"/>
  <c r="M580" i="7" s="1"/>
  <c r="J580" i="7"/>
  <c r="I580" i="7"/>
  <c r="K579" i="7"/>
  <c r="M579" i="7" s="1"/>
  <c r="J579" i="7"/>
  <c r="I579" i="7"/>
  <c r="K578" i="7"/>
  <c r="M578" i="7" s="1"/>
  <c r="J578" i="7"/>
  <c r="I578" i="7"/>
  <c r="K577" i="7"/>
  <c r="M577" i="7" s="1"/>
  <c r="J577" i="7"/>
  <c r="I577" i="7"/>
  <c r="K576" i="7"/>
  <c r="M576" i="7" s="1"/>
  <c r="J576" i="7"/>
  <c r="I576" i="7"/>
  <c r="K575" i="7"/>
  <c r="M575" i="7" s="1"/>
  <c r="J575" i="7"/>
  <c r="I575" i="7"/>
  <c r="K574" i="7"/>
  <c r="M574" i="7" s="1"/>
  <c r="J574" i="7"/>
  <c r="I574" i="7"/>
  <c r="K573" i="7"/>
  <c r="M573" i="7" s="1"/>
  <c r="J573" i="7"/>
  <c r="I573" i="7"/>
  <c r="K572" i="7"/>
  <c r="M572" i="7" s="1"/>
  <c r="J572" i="7"/>
  <c r="I572" i="7"/>
  <c r="K571" i="7"/>
  <c r="M571" i="7" s="1"/>
  <c r="J571" i="7"/>
  <c r="I571" i="7"/>
  <c r="K570" i="7"/>
  <c r="M570" i="7" s="1"/>
  <c r="J570" i="7"/>
  <c r="I570" i="7"/>
  <c r="K569" i="7"/>
  <c r="M569" i="7" s="1"/>
  <c r="J569" i="7"/>
  <c r="I569" i="7"/>
  <c r="K568" i="7"/>
  <c r="M568" i="7" s="1"/>
  <c r="J568" i="7"/>
  <c r="I568" i="7"/>
  <c r="K567" i="7"/>
  <c r="M567" i="7" s="1"/>
  <c r="J567" i="7"/>
  <c r="I567" i="7"/>
  <c r="K566" i="7"/>
  <c r="M566" i="7" s="1"/>
  <c r="J566" i="7"/>
  <c r="I566" i="7"/>
  <c r="K565" i="7"/>
  <c r="M565" i="7" s="1"/>
  <c r="J565" i="7"/>
  <c r="I565" i="7"/>
  <c r="K564" i="7"/>
  <c r="M564" i="7" s="1"/>
  <c r="J564" i="7"/>
  <c r="I564" i="7"/>
  <c r="K563" i="7"/>
  <c r="M563" i="7" s="1"/>
  <c r="J563" i="7"/>
  <c r="I563" i="7"/>
  <c r="K562" i="7"/>
  <c r="M562" i="7" s="1"/>
  <c r="J562" i="7"/>
  <c r="I562" i="7"/>
  <c r="K561" i="7"/>
  <c r="M561" i="7" s="1"/>
  <c r="J561" i="7"/>
  <c r="I561" i="7"/>
  <c r="K560" i="7"/>
  <c r="M560" i="7" s="1"/>
  <c r="J560" i="7"/>
  <c r="I560" i="7"/>
  <c r="K559" i="7"/>
  <c r="M559" i="7" s="1"/>
  <c r="J559" i="7"/>
  <c r="I559" i="7"/>
  <c r="K558" i="7"/>
  <c r="M558" i="7" s="1"/>
  <c r="J558" i="7"/>
  <c r="I558" i="7"/>
  <c r="K557" i="7"/>
  <c r="M557" i="7" s="1"/>
  <c r="J557" i="7"/>
  <c r="I557" i="7"/>
  <c r="K556" i="7"/>
  <c r="M556" i="7" s="1"/>
  <c r="J556" i="7"/>
  <c r="I556" i="7"/>
  <c r="K555" i="7"/>
  <c r="M555" i="7" s="1"/>
  <c r="J555" i="7"/>
  <c r="I555" i="7"/>
  <c r="K554" i="7"/>
  <c r="M554" i="7" s="1"/>
  <c r="J554" i="7"/>
  <c r="I554" i="7"/>
  <c r="K553" i="7"/>
  <c r="M553" i="7" s="1"/>
  <c r="J553" i="7"/>
  <c r="I553" i="7"/>
  <c r="K552" i="7"/>
  <c r="M552" i="7" s="1"/>
  <c r="J552" i="7"/>
  <c r="I552" i="7"/>
  <c r="K551" i="7"/>
  <c r="M551" i="7" s="1"/>
  <c r="J551" i="7"/>
  <c r="I551" i="7"/>
  <c r="K550" i="7"/>
  <c r="M550" i="7" s="1"/>
  <c r="J550" i="7"/>
  <c r="I550" i="7"/>
  <c r="K549" i="7"/>
  <c r="M549" i="7" s="1"/>
  <c r="J549" i="7"/>
  <c r="I549" i="7"/>
  <c r="K548" i="7"/>
  <c r="M548" i="7" s="1"/>
  <c r="J548" i="7"/>
  <c r="I548" i="7"/>
  <c r="K547" i="7"/>
  <c r="M547" i="7" s="1"/>
  <c r="J547" i="7"/>
  <c r="I547" i="7"/>
  <c r="K546" i="7"/>
  <c r="M546" i="7" s="1"/>
  <c r="J546" i="7"/>
  <c r="I546" i="7"/>
  <c r="K545" i="7"/>
  <c r="M545" i="7" s="1"/>
  <c r="J545" i="7"/>
  <c r="I545" i="7"/>
  <c r="K544" i="7"/>
  <c r="M544" i="7" s="1"/>
  <c r="J544" i="7"/>
  <c r="I544" i="7"/>
  <c r="K543" i="7"/>
  <c r="M543" i="7" s="1"/>
  <c r="J543" i="7"/>
  <c r="I543" i="7"/>
  <c r="K542" i="7"/>
  <c r="M542" i="7" s="1"/>
  <c r="J542" i="7"/>
  <c r="I542" i="7"/>
  <c r="K541" i="7"/>
  <c r="M541" i="7" s="1"/>
  <c r="J541" i="7"/>
  <c r="I541" i="7"/>
  <c r="K540" i="7"/>
  <c r="M540" i="7" s="1"/>
  <c r="J540" i="7"/>
  <c r="I540" i="7"/>
  <c r="K539" i="7"/>
  <c r="M539" i="7" s="1"/>
  <c r="J539" i="7"/>
  <c r="I539" i="7"/>
  <c r="K538" i="7"/>
  <c r="M538" i="7" s="1"/>
  <c r="J538" i="7"/>
  <c r="I538" i="7"/>
  <c r="K537" i="7"/>
  <c r="M537" i="7" s="1"/>
  <c r="J537" i="7"/>
  <c r="I537" i="7"/>
  <c r="K536" i="7"/>
  <c r="M536" i="7" s="1"/>
  <c r="J536" i="7"/>
  <c r="I536" i="7"/>
  <c r="K535" i="7"/>
  <c r="M535" i="7" s="1"/>
  <c r="J535" i="7"/>
  <c r="I535" i="7"/>
  <c r="K534" i="7"/>
  <c r="M534" i="7" s="1"/>
  <c r="J534" i="7"/>
  <c r="I534" i="7"/>
  <c r="K533" i="7"/>
  <c r="M533" i="7" s="1"/>
  <c r="J533" i="7"/>
  <c r="I533" i="7"/>
  <c r="K532" i="7"/>
  <c r="M532" i="7" s="1"/>
  <c r="J532" i="7"/>
  <c r="I532" i="7"/>
  <c r="K531" i="7"/>
  <c r="M531" i="7" s="1"/>
  <c r="J531" i="7"/>
  <c r="I531" i="7"/>
  <c r="K530" i="7"/>
  <c r="M530" i="7" s="1"/>
  <c r="J530" i="7"/>
  <c r="I530" i="7"/>
  <c r="K529" i="7"/>
  <c r="M529" i="7" s="1"/>
  <c r="J529" i="7"/>
  <c r="I529" i="7"/>
  <c r="K528" i="7"/>
  <c r="M528" i="7" s="1"/>
  <c r="J528" i="7"/>
  <c r="I528" i="7"/>
  <c r="K527" i="7"/>
  <c r="M527" i="7" s="1"/>
  <c r="J527" i="7"/>
  <c r="I527" i="7"/>
  <c r="K526" i="7"/>
  <c r="M526" i="7" s="1"/>
  <c r="J526" i="7"/>
  <c r="I526" i="7"/>
  <c r="K525" i="7"/>
  <c r="M525" i="7" s="1"/>
  <c r="J525" i="7"/>
  <c r="I525" i="7"/>
  <c r="K524" i="7"/>
  <c r="M524" i="7" s="1"/>
  <c r="J524" i="7"/>
  <c r="I524" i="7"/>
  <c r="K523" i="7"/>
  <c r="M523" i="7" s="1"/>
  <c r="J523" i="7"/>
  <c r="I523" i="7"/>
  <c r="K522" i="7"/>
  <c r="M522" i="7" s="1"/>
  <c r="J522" i="7"/>
  <c r="I522" i="7"/>
  <c r="K521" i="7"/>
  <c r="M521" i="7" s="1"/>
  <c r="J521" i="7"/>
  <c r="I521" i="7"/>
  <c r="K520" i="7"/>
  <c r="M520" i="7" s="1"/>
  <c r="J520" i="7"/>
  <c r="I520" i="7"/>
  <c r="K519" i="7"/>
  <c r="M519" i="7" s="1"/>
  <c r="J519" i="7"/>
  <c r="I519" i="7"/>
  <c r="K518" i="7"/>
  <c r="M518" i="7" s="1"/>
  <c r="J518" i="7"/>
  <c r="I518" i="7"/>
  <c r="K517" i="7"/>
  <c r="M517" i="7" s="1"/>
  <c r="J517" i="7"/>
  <c r="I517" i="7"/>
  <c r="K516" i="7"/>
  <c r="M516" i="7" s="1"/>
  <c r="J516" i="7"/>
  <c r="I516" i="7"/>
  <c r="K515" i="7"/>
  <c r="M515" i="7" s="1"/>
  <c r="J515" i="7"/>
  <c r="I515" i="7"/>
  <c r="K514" i="7"/>
  <c r="M514" i="7" s="1"/>
  <c r="J514" i="7"/>
  <c r="I514" i="7"/>
  <c r="K513" i="7"/>
  <c r="M513" i="7" s="1"/>
  <c r="J513" i="7"/>
  <c r="I513" i="7"/>
  <c r="K512" i="7"/>
  <c r="M512" i="7" s="1"/>
  <c r="J512" i="7"/>
  <c r="I512" i="7"/>
  <c r="K511" i="7"/>
  <c r="M511" i="7" s="1"/>
  <c r="J511" i="7"/>
  <c r="I511" i="7"/>
  <c r="K510" i="7"/>
  <c r="M510" i="7" s="1"/>
  <c r="J510" i="7"/>
  <c r="I510" i="7"/>
  <c r="K509" i="7"/>
  <c r="M509" i="7" s="1"/>
  <c r="J509" i="7"/>
  <c r="I509" i="7"/>
  <c r="K508" i="7"/>
  <c r="M508" i="7" s="1"/>
  <c r="J508" i="7"/>
  <c r="I508" i="7"/>
  <c r="K507" i="7"/>
  <c r="M507" i="7" s="1"/>
  <c r="J507" i="7"/>
  <c r="I507" i="7"/>
  <c r="K506" i="7"/>
  <c r="M506" i="7" s="1"/>
  <c r="J506" i="7"/>
  <c r="I506" i="7"/>
  <c r="K505" i="7"/>
  <c r="M505" i="7" s="1"/>
  <c r="J505" i="7"/>
  <c r="I505" i="7"/>
  <c r="K504" i="7"/>
  <c r="M504" i="7" s="1"/>
  <c r="J504" i="7"/>
  <c r="I504" i="7"/>
  <c r="K503" i="7"/>
  <c r="M503" i="7" s="1"/>
  <c r="J503" i="7"/>
  <c r="I503" i="7"/>
  <c r="K502" i="7"/>
  <c r="M502" i="7" s="1"/>
  <c r="J502" i="7"/>
  <c r="I502" i="7"/>
  <c r="K501" i="7"/>
  <c r="M501" i="7" s="1"/>
  <c r="J501" i="7"/>
  <c r="I501" i="7"/>
  <c r="K500" i="7"/>
  <c r="M500" i="7" s="1"/>
  <c r="J500" i="7"/>
  <c r="I500" i="7"/>
  <c r="K499" i="7"/>
  <c r="M499" i="7" s="1"/>
  <c r="J499" i="7"/>
  <c r="I499" i="7"/>
  <c r="K498" i="7"/>
  <c r="M498" i="7" s="1"/>
  <c r="J498" i="7"/>
  <c r="I498" i="7"/>
  <c r="K497" i="7"/>
  <c r="M497" i="7" s="1"/>
  <c r="J497" i="7"/>
  <c r="I497" i="7"/>
  <c r="K496" i="7"/>
  <c r="M496" i="7" s="1"/>
  <c r="J496" i="7"/>
  <c r="I496" i="7"/>
  <c r="K495" i="7"/>
  <c r="M495" i="7" s="1"/>
  <c r="J495" i="7"/>
  <c r="I495" i="7"/>
  <c r="K494" i="7"/>
  <c r="M494" i="7" s="1"/>
  <c r="J494" i="7"/>
  <c r="I494" i="7"/>
  <c r="K493" i="7"/>
  <c r="M493" i="7" s="1"/>
  <c r="J493" i="7"/>
  <c r="I493" i="7"/>
  <c r="K492" i="7"/>
  <c r="M492" i="7" s="1"/>
  <c r="J492" i="7"/>
  <c r="I492" i="7"/>
  <c r="K491" i="7"/>
  <c r="M491" i="7" s="1"/>
  <c r="J491" i="7"/>
  <c r="I491" i="7"/>
  <c r="K490" i="7"/>
  <c r="M490" i="7" s="1"/>
  <c r="J490" i="7"/>
  <c r="I490" i="7"/>
  <c r="K489" i="7"/>
  <c r="M489" i="7" s="1"/>
  <c r="J489" i="7"/>
  <c r="I489" i="7"/>
  <c r="K488" i="7"/>
  <c r="M488" i="7" s="1"/>
  <c r="J488" i="7"/>
  <c r="I488" i="7"/>
  <c r="K487" i="7"/>
  <c r="M487" i="7" s="1"/>
  <c r="J487" i="7"/>
  <c r="I487" i="7"/>
  <c r="K486" i="7"/>
  <c r="M486" i="7" s="1"/>
  <c r="J486" i="7"/>
  <c r="I486" i="7"/>
  <c r="K485" i="7"/>
  <c r="M485" i="7" s="1"/>
  <c r="J485" i="7"/>
  <c r="I485" i="7"/>
  <c r="K484" i="7"/>
  <c r="M484" i="7" s="1"/>
  <c r="J484" i="7"/>
  <c r="I484" i="7"/>
  <c r="K483" i="7"/>
  <c r="M483" i="7" s="1"/>
  <c r="J483" i="7"/>
  <c r="I483" i="7"/>
  <c r="K482" i="7"/>
  <c r="M482" i="7" s="1"/>
  <c r="J482" i="7"/>
  <c r="I482" i="7"/>
  <c r="K481" i="7"/>
  <c r="M481" i="7" s="1"/>
  <c r="J481" i="7"/>
  <c r="I481" i="7"/>
  <c r="K480" i="7"/>
  <c r="M480" i="7" s="1"/>
  <c r="J480" i="7"/>
  <c r="I480" i="7"/>
  <c r="K479" i="7"/>
  <c r="M479" i="7" s="1"/>
  <c r="J479" i="7"/>
  <c r="I479" i="7"/>
  <c r="K478" i="7"/>
  <c r="M478" i="7" s="1"/>
  <c r="J478" i="7"/>
  <c r="I478" i="7"/>
  <c r="K477" i="7"/>
  <c r="M477" i="7" s="1"/>
  <c r="J477" i="7"/>
  <c r="I477" i="7"/>
  <c r="K476" i="7"/>
  <c r="M476" i="7" s="1"/>
  <c r="J476" i="7"/>
  <c r="I476" i="7"/>
  <c r="K475" i="7"/>
  <c r="M475" i="7" s="1"/>
  <c r="J475" i="7"/>
  <c r="I475" i="7"/>
  <c r="K474" i="7"/>
  <c r="M474" i="7" s="1"/>
  <c r="J474" i="7"/>
  <c r="I474" i="7"/>
  <c r="K473" i="7"/>
  <c r="M473" i="7" s="1"/>
  <c r="J473" i="7"/>
  <c r="I473" i="7"/>
  <c r="K472" i="7"/>
  <c r="M472" i="7" s="1"/>
  <c r="J472" i="7"/>
  <c r="I472" i="7"/>
  <c r="K471" i="7"/>
  <c r="M471" i="7" s="1"/>
  <c r="J471" i="7"/>
  <c r="I471" i="7"/>
  <c r="K470" i="7"/>
  <c r="M470" i="7" s="1"/>
  <c r="J470" i="7"/>
  <c r="I470" i="7"/>
  <c r="K469" i="7"/>
  <c r="M469" i="7" s="1"/>
  <c r="J469" i="7"/>
  <c r="I469" i="7"/>
  <c r="K468" i="7"/>
  <c r="M468" i="7" s="1"/>
  <c r="J468" i="7"/>
  <c r="I468" i="7"/>
  <c r="K467" i="7"/>
  <c r="M467" i="7" s="1"/>
  <c r="J467" i="7"/>
  <c r="I467" i="7"/>
  <c r="K466" i="7"/>
  <c r="M466" i="7" s="1"/>
  <c r="J466" i="7"/>
  <c r="I466" i="7"/>
  <c r="K465" i="7"/>
  <c r="M465" i="7" s="1"/>
  <c r="J465" i="7"/>
  <c r="I465" i="7"/>
  <c r="K464" i="7"/>
  <c r="M464" i="7" s="1"/>
  <c r="J464" i="7"/>
  <c r="I464" i="7"/>
  <c r="K463" i="7"/>
  <c r="M463" i="7" s="1"/>
  <c r="J463" i="7"/>
  <c r="I463" i="7"/>
  <c r="K462" i="7"/>
  <c r="M462" i="7" s="1"/>
  <c r="J462" i="7"/>
  <c r="I462" i="7"/>
  <c r="K461" i="7"/>
  <c r="M461" i="7" s="1"/>
  <c r="J461" i="7"/>
  <c r="I461" i="7"/>
  <c r="K460" i="7"/>
  <c r="M460" i="7" s="1"/>
  <c r="J460" i="7"/>
  <c r="I460" i="7"/>
  <c r="K459" i="7"/>
  <c r="M459" i="7" s="1"/>
  <c r="J459" i="7"/>
  <c r="I459" i="7"/>
  <c r="K458" i="7"/>
  <c r="M458" i="7" s="1"/>
  <c r="J458" i="7"/>
  <c r="I458" i="7"/>
  <c r="K457" i="7"/>
  <c r="M457" i="7" s="1"/>
  <c r="J457" i="7"/>
  <c r="I457" i="7"/>
  <c r="K456" i="7"/>
  <c r="M456" i="7" s="1"/>
  <c r="J456" i="7"/>
  <c r="I456" i="7"/>
  <c r="K455" i="7"/>
  <c r="M455" i="7" s="1"/>
  <c r="J455" i="7"/>
  <c r="I455" i="7"/>
  <c r="K454" i="7"/>
  <c r="M454" i="7" s="1"/>
  <c r="J454" i="7"/>
  <c r="I454" i="7"/>
  <c r="K453" i="7"/>
  <c r="M453" i="7" s="1"/>
  <c r="J453" i="7"/>
  <c r="I453" i="7"/>
  <c r="K452" i="7"/>
  <c r="M452" i="7" s="1"/>
  <c r="J452" i="7"/>
  <c r="I452" i="7"/>
  <c r="K451" i="7"/>
  <c r="M451" i="7" s="1"/>
  <c r="J451" i="7"/>
  <c r="I451" i="7"/>
  <c r="K450" i="7"/>
  <c r="M450" i="7" s="1"/>
  <c r="J450" i="7"/>
  <c r="I450" i="7"/>
  <c r="K449" i="7"/>
  <c r="M449" i="7" s="1"/>
  <c r="J449" i="7"/>
  <c r="I449" i="7"/>
  <c r="K448" i="7"/>
  <c r="M448" i="7" s="1"/>
  <c r="J448" i="7"/>
  <c r="I448" i="7"/>
  <c r="K447" i="7"/>
  <c r="M447" i="7" s="1"/>
  <c r="J447" i="7"/>
  <c r="I447" i="7"/>
  <c r="K446" i="7"/>
  <c r="M446" i="7" s="1"/>
  <c r="J446" i="7"/>
  <c r="I446" i="7"/>
  <c r="K445" i="7"/>
  <c r="M445" i="7" s="1"/>
  <c r="J445" i="7"/>
  <c r="I445" i="7"/>
  <c r="K444" i="7"/>
  <c r="M444" i="7" s="1"/>
  <c r="J444" i="7"/>
  <c r="I444" i="7"/>
  <c r="K443" i="7"/>
  <c r="M443" i="7" s="1"/>
  <c r="J443" i="7"/>
  <c r="I443" i="7"/>
  <c r="K442" i="7"/>
  <c r="M442" i="7" s="1"/>
  <c r="J442" i="7"/>
  <c r="I442" i="7"/>
  <c r="K441" i="7"/>
  <c r="M441" i="7" s="1"/>
  <c r="J441" i="7"/>
  <c r="I441" i="7"/>
  <c r="K440" i="7"/>
  <c r="M440" i="7" s="1"/>
  <c r="J440" i="7"/>
  <c r="I440" i="7"/>
  <c r="K439" i="7"/>
  <c r="M439" i="7" s="1"/>
  <c r="J439" i="7"/>
  <c r="I439" i="7"/>
  <c r="K438" i="7"/>
  <c r="M438" i="7" s="1"/>
  <c r="J438" i="7"/>
  <c r="I438" i="7"/>
  <c r="K437" i="7"/>
  <c r="M437" i="7" s="1"/>
  <c r="J437" i="7"/>
  <c r="I437" i="7"/>
  <c r="K436" i="7"/>
  <c r="M436" i="7" s="1"/>
  <c r="J436" i="7"/>
  <c r="I436" i="7"/>
  <c r="K435" i="7"/>
  <c r="M435" i="7" s="1"/>
  <c r="J435" i="7"/>
  <c r="I435" i="7"/>
  <c r="K434" i="7"/>
  <c r="M434" i="7" s="1"/>
  <c r="J434" i="7"/>
  <c r="I434" i="7"/>
  <c r="K433" i="7"/>
  <c r="M433" i="7" s="1"/>
  <c r="J433" i="7"/>
  <c r="I433" i="7"/>
  <c r="K432" i="7"/>
  <c r="M432" i="7" s="1"/>
  <c r="J432" i="7"/>
  <c r="I432" i="7"/>
  <c r="K431" i="7"/>
  <c r="M431" i="7" s="1"/>
  <c r="J431" i="7"/>
  <c r="I431" i="7"/>
  <c r="K430" i="7"/>
  <c r="M430" i="7" s="1"/>
  <c r="J430" i="7"/>
  <c r="I430" i="7"/>
  <c r="K429" i="7"/>
  <c r="M429" i="7" s="1"/>
  <c r="J429" i="7"/>
  <c r="I429" i="7"/>
  <c r="K428" i="7"/>
  <c r="M428" i="7" s="1"/>
  <c r="J428" i="7"/>
  <c r="I428" i="7"/>
  <c r="K427" i="7"/>
  <c r="M427" i="7" s="1"/>
  <c r="J427" i="7"/>
  <c r="I427" i="7"/>
  <c r="K426" i="7"/>
  <c r="M426" i="7" s="1"/>
  <c r="J426" i="7"/>
  <c r="I426" i="7"/>
  <c r="K425" i="7"/>
  <c r="M425" i="7" s="1"/>
  <c r="J425" i="7"/>
  <c r="I425" i="7"/>
  <c r="K424" i="7"/>
  <c r="M424" i="7" s="1"/>
  <c r="J424" i="7"/>
  <c r="I424" i="7"/>
  <c r="K423" i="7"/>
  <c r="M423" i="7" s="1"/>
  <c r="J423" i="7"/>
  <c r="I423" i="7"/>
  <c r="K422" i="7"/>
  <c r="M422" i="7" s="1"/>
  <c r="J422" i="7"/>
  <c r="I422" i="7"/>
  <c r="K421" i="7"/>
  <c r="M421" i="7" s="1"/>
  <c r="J421" i="7"/>
  <c r="I421" i="7"/>
  <c r="K420" i="7"/>
  <c r="M420" i="7" s="1"/>
  <c r="J420" i="7"/>
  <c r="I420" i="7"/>
  <c r="K419" i="7"/>
  <c r="M419" i="7" s="1"/>
  <c r="J419" i="7"/>
  <c r="I419" i="7"/>
  <c r="K418" i="7"/>
  <c r="M418" i="7" s="1"/>
  <c r="J418" i="7"/>
  <c r="I418" i="7"/>
  <c r="K417" i="7"/>
  <c r="M417" i="7" s="1"/>
  <c r="J417" i="7"/>
  <c r="I417" i="7"/>
  <c r="K416" i="7"/>
  <c r="M416" i="7" s="1"/>
  <c r="J416" i="7"/>
  <c r="I416" i="7"/>
  <c r="K415" i="7"/>
  <c r="M415" i="7" s="1"/>
  <c r="J415" i="7"/>
  <c r="I415" i="7"/>
  <c r="K414" i="7"/>
  <c r="M414" i="7" s="1"/>
  <c r="J414" i="7"/>
  <c r="I414" i="7"/>
  <c r="K413" i="7"/>
  <c r="M413" i="7" s="1"/>
  <c r="J413" i="7"/>
  <c r="I413" i="7"/>
  <c r="K412" i="7"/>
  <c r="M412" i="7" s="1"/>
  <c r="J412" i="7"/>
  <c r="I412" i="7"/>
  <c r="K411" i="7"/>
  <c r="M411" i="7" s="1"/>
  <c r="J411" i="7"/>
  <c r="I411" i="7"/>
  <c r="K410" i="7"/>
  <c r="M410" i="7" s="1"/>
  <c r="J410" i="7"/>
  <c r="I410" i="7"/>
  <c r="K409" i="7"/>
  <c r="M409" i="7" s="1"/>
  <c r="J409" i="7"/>
  <c r="I409" i="7"/>
  <c r="K408" i="7"/>
  <c r="M408" i="7" s="1"/>
  <c r="J408" i="7"/>
  <c r="I408" i="7"/>
  <c r="K407" i="7"/>
  <c r="M407" i="7" s="1"/>
  <c r="J407" i="7"/>
  <c r="I407" i="7"/>
  <c r="K406" i="7"/>
  <c r="M406" i="7" s="1"/>
  <c r="J406" i="7"/>
  <c r="I406" i="7"/>
  <c r="K405" i="7"/>
  <c r="M405" i="7" s="1"/>
  <c r="J405" i="7"/>
  <c r="I405" i="7"/>
  <c r="K404" i="7"/>
  <c r="M404" i="7" s="1"/>
  <c r="J404" i="7"/>
  <c r="I404" i="7"/>
  <c r="K403" i="7"/>
  <c r="M403" i="7" s="1"/>
  <c r="J403" i="7"/>
  <c r="I403" i="7"/>
  <c r="K402" i="7"/>
  <c r="M402" i="7" s="1"/>
  <c r="J402" i="7"/>
  <c r="I402" i="7"/>
  <c r="K401" i="7"/>
  <c r="M401" i="7" s="1"/>
  <c r="J401" i="7"/>
  <c r="I401" i="7"/>
  <c r="K400" i="7"/>
  <c r="M400" i="7" s="1"/>
  <c r="J400" i="7"/>
  <c r="I400" i="7"/>
  <c r="K399" i="7"/>
  <c r="M399" i="7" s="1"/>
  <c r="J399" i="7"/>
  <c r="I399" i="7"/>
  <c r="K398" i="7"/>
  <c r="M398" i="7" s="1"/>
  <c r="J398" i="7"/>
  <c r="I398" i="7"/>
  <c r="K397" i="7"/>
  <c r="M397" i="7" s="1"/>
  <c r="J397" i="7"/>
  <c r="I397" i="7"/>
  <c r="K396" i="7"/>
  <c r="M396" i="7" s="1"/>
  <c r="J396" i="7"/>
  <c r="I396" i="7"/>
  <c r="K395" i="7"/>
  <c r="M395" i="7" s="1"/>
  <c r="J395" i="7"/>
  <c r="I395" i="7"/>
  <c r="K394" i="7"/>
  <c r="M394" i="7" s="1"/>
  <c r="J394" i="7"/>
  <c r="I394" i="7"/>
  <c r="K393" i="7"/>
  <c r="M393" i="7" s="1"/>
  <c r="J393" i="7"/>
  <c r="I393" i="7"/>
  <c r="K392" i="7"/>
  <c r="M392" i="7" s="1"/>
  <c r="J392" i="7"/>
  <c r="I392" i="7"/>
  <c r="K391" i="7"/>
  <c r="M391" i="7" s="1"/>
  <c r="J391" i="7"/>
  <c r="I391" i="7"/>
  <c r="K390" i="7"/>
  <c r="M390" i="7" s="1"/>
  <c r="J390" i="7"/>
  <c r="I390" i="7"/>
  <c r="K389" i="7"/>
  <c r="M389" i="7" s="1"/>
  <c r="J389" i="7"/>
  <c r="I389" i="7"/>
  <c r="K388" i="7"/>
  <c r="M388" i="7" s="1"/>
  <c r="J388" i="7"/>
  <c r="I388" i="7"/>
  <c r="K387" i="7"/>
  <c r="M387" i="7" s="1"/>
  <c r="J387" i="7"/>
  <c r="I387" i="7"/>
  <c r="K386" i="7"/>
  <c r="M386" i="7" s="1"/>
  <c r="J386" i="7"/>
  <c r="I386" i="7"/>
  <c r="K385" i="7"/>
  <c r="M385" i="7" s="1"/>
  <c r="J385" i="7"/>
  <c r="I385" i="7"/>
  <c r="K384" i="7"/>
  <c r="M384" i="7" s="1"/>
  <c r="J384" i="7"/>
  <c r="I384" i="7"/>
  <c r="K383" i="7"/>
  <c r="M383" i="7" s="1"/>
  <c r="J383" i="7"/>
  <c r="I383" i="7"/>
  <c r="K382" i="7"/>
  <c r="M382" i="7" s="1"/>
  <c r="J382" i="7"/>
  <c r="I382" i="7"/>
  <c r="K381" i="7"/>
  <c r="M381" i="7" s="1"/>
  <c r="J381" i="7"/>
  <c r="I381" i="7"/>
  <c r="K380" i="7"/>
  <c r="M380" i="7" s="1"/>
  <c r="J380" i="7"/>
  <c r="I380" i="7"/>
  <c r="K379" i="7"/>
  <c r="M379" i="7" s="1"/>
  <c r="J379" i="7"/>
  <c r="I379" i="7"/>
  <c r="K378" i="7"/>
  <c r="M378" i="7" s="1"/>
  <c r="J378" i="7"/>
  <c r="I378" i="7"/>
  <c r="K377" i="7"/>
  <c r="M377" i="7" s="1"/>
  <c r="J377" i="7"/>
  <c r="I377" i="7"/>
  <c r="K376" i="7"/>
  <c r="M376" i="7" s="1"/>
  <c r="J376" i="7"/>
  <c r="I376" i="7"/>
  <c r="K375" i="7"/>
  <c r="M375" i="7" s="1"/>
  <c r="J375" i="7"/>
  <c r="I375" i="7"/>
  <c r="K374" i="7"/>
  <c r="M374" i="7" s="1"/>
  <c r="J374" i="7"/>
  <c r="I374" i="7"/>
  <c r="K373" i="7"/>
  <c r="M373" i="7" s="1"/>
  <c r="J373" i="7"/>
  <c r="I373" i="7"/>
  <c r="K372" i="7"/>
  <c r="M372" i="7" s="1"/>
  <c r="J372" i="7"/>
  <c r="I372" i="7"/>
  <c r="K371" i="7"/>
  <c r="M371" i="7" s="1"/>
  <c r="J371" i="7"/>
  <c r="I371" i="7"/>
  <c r="K370" i="7"/>
  <c r="M370" i="7" s="1"/>
  <c r="J370" i="7"/>
  <c r="I370" i="7"/>
  <c r="K369" i="7"/>
  <c r="M369" i="7" s="1"/>
  <c r="J369" i="7"/>
  <c r="I369" i="7"/>
  <c r="K368" i="7"/>
  <c r="M368" i="7" s="1"/>
  <c r="J368" i="7"/>
  <c r="I368" i="7"/>
  <c r="K367" i="7"/>
  <c r="M367" i="7" s="1"/>
  <c r="J367" i="7"/>
  <c r="I367" i="7"/>
  <c r="K366" i="7"/>
  <c r="M366" i="7" s="1"/>
  <c r="J366" i="7"/>
  <c r="I366" i="7"/>
  <c r="K365" i="7"/>
  <c r="M365" i="7" s="1"/>
  <c r="J365" i="7"/>
  <c r="I365" i="7"/>
  <c r="K364" i="7"/>
  <c r="M364" i="7" s="1"/>
  <c r="J364" i="7"/>
  <c r="I364" i="7"/>
  <c r="K363" i="7"/>
  <c r="M363" i="7" s="1"/>
  <c r="J363" i="7"/>
  <c r="I363" i="7"/>
  <c r="K362" i="7"/>
  <c r="M362" i="7" s="1"/>
  <c r="J362" i="7"/>
  <c r="I362" i="7"/>
  <c r="K361" i="7"/>
  <c r="M361" i="7" s="1"/>
  <c r="J361" i="7"/>
  <c r="I361" i="7"/>
  <c r="K360" i="7"/>
  <c r="M360" i="7" s="1"/>
  <c r="J360" i="7"/>
  <c r="I360" i="7"/>
  <c r="K359" i="7"/>
  <c r="M359" i="7" s="1"/>
  <c r="J359" i="7"/>
  <c r="I359" i="7"/>
  <c r="K358" i="7"/>
  <c r="M358" i="7" s="1"/>
  <c r="J358" i="7"/>
  <c r="I358" i="7"/>
  <c r="K357" i="7"/>
  <c r="M357" i="7" s="1"/>
  <c r="J357" i="7"/>
  <c r="I357" i="7"/>
  <c r="K356" i="7"/>
  <c r="M356" i="7" s="1"/>
  <c r="J356" i="7"/>
  <c r="I356" i="7"/>
  <c r="K355" i="7"/>
  <c r="M355" i="7" s="1"/>
  <c r="J355" i="7"/>
  <c r="I355" i="7"/>
  <c r="K354" i="7"/>
  <c r="M354" i="7" s="1"/>
  <c r="J354" i="7"/>
  <c r="I354" i="7"/>
  <c r="K353" i="7"/>
  <c r="M353" i="7" s="1"/>
  <c r="J353" i="7"/>
  <c r="I353" i="7"/>
  <c r="K352" i="7"/>
  <c r="M352" i="7" s="1"/>
  <c r="J352" i="7"/>
  <c r="I352" i="7"/>
  <c r="K351" i="7"/>
  <c r="M351" i="7" s="1"/>
  <c r="J351" i="7"/>
  <c r="I351" i="7"/>
  <c r="K350" i="7"/>
  <c r="M350" i="7" s="1"/>
  <c r="J350" i="7"/>
  <c r="I350" i="7"/>
  <c r="K349" i="7"/>
  <c r="M349" i="7" s="1"/>
  <c r="J349" i="7"/>
  <c r="I349" i="7"/>
  <c r="K348" i="7"/>
  <c r="M348" i="7" s="1"/>
  <c r="J348" i="7"/>
  <c r="I348" i="7"/>
  <c r="K347" i="7"/>
  <c r="M347" i="7" s="1"/>
  <c r="J347" i="7"/>
  <c r="I347" i="7"/>
  <c r="K346" i="7"/>
  <c r="M346" i="7" s="1"/>
  <c r="J346" i="7"/>
  <c r="I346" i="7"/>
  <c r="K345" i="7"/>
  <c r="M345" i="7" s="1"/>
  <c r="J345" i="7"/>
  <c r="I345" i="7"/>
  <c r="K344" i="7"/>
  <c r="M344" i="7" s="1"/>
  <c r="J344" i="7"/>
  <c r="I344" i="7"/>
  <c r="K343" i="7"/>
  <c r="M343" i="7" s="1"/>
  <c r="J343" i="7"/>
  <c r="I343" i="7"/>
  <c r="K342" i="7"/>
  <c r="M342" i="7" s="1"/>
  <c r="J342" i="7"/>
  <c r="I342" i="7"/>
  <c r="K341" i="7"/>
  <c r="M341" i="7" s="1"/>
  <c r="J341" i="7"/>
  <c r="I341" i="7"/>
  <c r="K340" i="7"/>
  <c r="M340" i="7" s="1"/>
  <c r="J340" i="7"/>
  <c r="I340" i="7"/>
  <c r="K339" i="7"/>
  <c r="M339" i="7" s="1"/>
  <c r="J339" i="7"/>
  <c r="I339" i="7"/>
  <c r="K338" i="7"/>
  <c r="M338" i="7" s="1"/>
  <c r="J338" i="7"/>
  <c r="I338" i="7"/>
  <c r="K337" i="7"/>
  <c r="M337" i="7" s="1"/>
  <c r="J337" i="7"/>
  <c r="I337" i="7"/>
  <c r="K336" i="7"/>
  <c r="M336" i="7" s="1"/>
  <c r="J336" i="7"/>
  <c r="I336" i="7"/>
  <c r="K335" i="7"/>
  <c r="M335" i="7" s="1"/>
  <c r="J335" i="7"/>
  <c r="I335" i="7"/>
  <c r="K334" i="7"/>
  <c r="M334" i="7" s="1"/>
  <c r="J334" i="7"/>
  <c r="I334" i="7"/>
  <c r="K333" i="7"/>
  <c r="M333" i="7" s="1"/>
  <c r="J333" i="7"/>
  <c r="I333" i="7"/>
  <c r="K332" i="7"/>
  <c r="M332" i="7" s="1"/>
  <c r="J332" i="7"/>
  <c r="I332" i="7"/>
  <c r="K331" i="7"/>
  <c r="M331" i="7" s="1"/>
  <c r="J331" i="7"/>
  <c r="I331" i="7"/>
  <c r="K330" i="7"/>
  <c r="M330" i="7" s="1"/>
  <c r="J330" i="7"/>
  <c r="I330" i="7"/>
  <c r="K329" i="7"/>
  <c r="M329" i="7" s="1"/>
  <c r="J329" i="7"/>
  <c r="I329" i="7"/>
  <c r="K328" i="7"/>
  <c r="M328" i="7" s="1"/>
  <c r="J328" i="7"/>
  <c r="I328" i="7"/>
  <c r="K327" i="7"/>
  <c r="M327" i="7" s="1"/>
  <c r="J327" i="7"/>
  <c r="I327" i="7"/>
  <c r="K326" i="7"/>
  <c r="M326" i="7" s="1"/>
  <c r="J326" i="7"/>
  <c r="I326" i="7"/>
  <c r="K325" i="7"/>
  <c r="M325" i="7" s="1"/>
  <c r="J325" i="7"/>
  <c r="I325" i="7"/>
  <c r="K324" i="7"/>
  <c r="M324" i="7" s="1"/>
  <c r="J324" i="7"/>
  <c r="I324" i="7"/>
  <c r="K323" i="7"/>
  <c r="M323" i="7" s="1"/>
  <c r="J323" i="7"/>
  <c r="I323" i="7"/>
  <c r="K322" i="7"/>
  <c r="M322" i="7" s="1"/>
  <c r="J322" i="7"/>
  <c r="I322" i="7"/>
  <c r="K321" i="7"/>
  <c r="M321" i="7" s="1"/>
  <c r="J321" i="7"/>
  <c r="I321" i="7"/>
  <c r="K320" i="7"/>
  <c r="M320" i="7" s="1"/>
  <c r="J320" i="7"/>
  <c r="I320" i="7"/>
  <c r="K319" i="7"/>
  <c r="M319" i="7" s="1"/>
  <c r="J319" i="7"/>
  <c r="I319" i="7"/>
  <c r="K318" i="7"/>
  <c r="M318" i="7" s="1"/>
  <c r="J318" i="7"/>
  <c r="I318" i="7"/>
  <c r="K317" i="7"/>
  <c r="M317" i="7" s="1"/>
  <c r="J317" i="7"/>
  <c r="I317" i="7"/>
  <c r="K316" i="7"/>
  <c r="M316" i="7" s="1"/>
  <c r="J316" i="7"/>
  <c r="I316" i="7"/>
  <c r="K315" i="7"/>
  <c r="M315" i="7" s="1"/>
  <c r="J315" i="7"/>
  <c r="I315" i="7"/>
  <c r="K314" i="7"/>
  <c r="M314" i="7" s="1"/>
  <c r="J314" i="7"/>
  <c r="I314" i="7"/>
  <c r="K313" i="7"/>
  <c r="M313" i="7" s="1"/>
  <c r="J313" i="7"/>
  <c r="I313" i="7"/>
  <c r="K312" i="7"/>
  <c r="M312" i="7" s="1"/>
  <c r="J312" i="7"/>
  <c r="I312" i="7"/>
  <c r="K311" i="7"/>
  <c r="M311" i="7" s="1"/>
  <c r="J311" i="7"/>
  <c r="I311" i="7"/>
  <c r="K310" i="7"/>
  <c r="M310" i="7" s="1"/>
  <c r="J310" i="7"/>
  <c r="I310" i="7"/>
  <c r="K309" i="7"/>
  <c r="M309" i="7" s="1"/>
  <c r="J309" i="7"/>
  <c r="I309" i="7"/>
  <c r="K308" i="7"/>
  <c r="M308" i="7" s="1"/>
  <c r="J308" i="7"/>
  <c r="I308" i="7"/>
  <c r="K307" i="7"/>
  <c r="M307" i="7" s="1"/>
  <c r="J307" i="7"/>
  <c r="I307" i="7"/>
  <c r="K306" i="7"/>
  <c r="M306" i="7" s="1"/>
  <c r="J306" i="7"/>
  <c r="I306" i="7"/>
  <c r="K305" i="7"/>
  <c r="M305" i="7" s="1"/>
  <c r="J305" i="7"/>
  <c r="I305" i="7"/>
  <c r="K304" i="7"/>
  <c r="M304" i="7" s="1"/>
  <c r="J304" i="7"/>
  <c r="I304" i="7"/>
  <c r="K303" i="7"/>
  <c r="M303" i="7" s="1"/>
  <c r="J303" i="7"/>
  <c r="I303" i="7"/>
  <c r="K302" i="7"/>
  <c r="M302" i="7" s="1"/>
  <c r="J302" i="7"/>
  <c r="I302" i="7"/>
  <c r="K301" i="7"/>
  <c r="M301" i="7" s="1"/>
  <c r="J301" i="7"/>
  <c r="I301" i="7"/>
  <c r="K300" i="7"/>
  <c r="M300" i="7" s="1"/>
  <c r="J300" i="7"/>
  <c r="I300" i="7"/>
  <c r="K299" i="7"/>
  <c r="M299" i="7" s="1"/>
  <c r="J299" i="7"/>
  <c r="I299" i="7"/>
  <c r="K298" i="7"/>
  <c r="M298" i="7" s="1"/>
  <c r="J298" i="7"/>
  <c r="I298" i="7"/>
  <c r="K297" i="7"/>
  <c r="M297" i="7" s="1"/>
  <c r="J297" i="7"/>
  <c r="I297" i="7"/>
  <c r="K296" i="7"/>
  <c r="M296" i="7" s="1"/>
  <c r="J296" i="7"/>
  <c r="I296" i="7"/>
  <c r="K295" i="7"/>
  <c r="M295" i="7" s="1"/>
  <c r="J295" i="7"/>
  <c r="I295" i="7"/>
  <c r="K294" i="7"/>
  <c r="M294" i="7" s="1"/>
  <c r="J294" i="7"/>
  <c r="I294" i="7"/>
  <c r="K293" i="7"/>
  <c r="M293" i="7" s="1"/>
  <c r="J293" i="7"/>
  <c r="I293" i="7"/>
  <c r="K292" i="7"/>
  <c r="M292" i="7" s="1"/>
  <c r="J292" i="7"/>
  <c r="I292" i="7"/>
  <c r="K291" i="7"/>
  <c r="M291" i="7" s="1"/>
  <c r="J291" i="7"/>
  <c r="I291" i="7"/>
  <c r="K290" i="7"/>
  <c r="M290" i="7" s="1"/>
  <c r="J290" i="7"/>
  <c r="I290" i="7"/>
  <c r="K289" i="7"/>
  <c r="M289" i="7" s="1"/>
  <c r="J289" i="7"/>
  <c r="I289" i="7"/>
  <c r="K288" i="7"/>
  <c r="M288" i="7" s="1"/>
  <c r="J288" i="7"/>
  <c r="I288" i="7"/>
  <c r="K287" i="7"/>
  <c r="M287" i="7" s="1"/>
  <c r="J287" i="7"/>
  <c r="I287" i="7"/>
  <c r="K286" i="7"/>
  <c r="M286" i="7" s="1"/>
  <c r="J286" i="7"/>
  <c r="I286" i="7"/>
  <c r="K285" i="7"/>
  <c r="M285" i="7" s="1"/>
  <c r="J285" i="7"/>
  <c r="I285" i="7"/>
  <c r="K284" i="7"/>
  <c r="M284" i="7" s="1"/>
  <c r="J284" i="7"/>
  <c r="I284" i="7"/>
  <c r="K283" i="7"/>
  <c r="M283" i="7" s="1"/>
  <c r="J283" i="7"/>
  <c r="I283" i="7"/>
  <c r="K282" i="7"/>
  <c r="M282" i="7" s="1"/>
  <c r="J282" i="7"/>
  <c r="I282" i="7"/>
  <c r="K281" i="7"/>
  <c r="M281" i="7" s="1"/>
  <c r="J281" i="7"/>
  <c r="I281" i="7"/>
  <c r="K280" i="7"/>
  <c r="M280" i="7" s="1"/>
  <c r="J280" i="7"/>
  <c r="I280" i="7"/>
  <c r="K279" i="7"/>
  <c r="M279" i="7" s="1"/>
  <c r="J279" i="7"/>
  <c r="I279" i="7"/>
  <c r="K278" i="7"/>
  <c r="M278" i="7" s="1"/>
  <c r="J278" i="7"/>
  <c r="I278" i="7"/>
  <c r="K277" i="7"/>
  <c r="M277" i="7" s="1"/>
  <c r="J277" i="7"/>
  <c r="I277" i="7"/>
  <c r="K276" i="7"/>
  <c r="M276" i="7" s="1"/>
  <c r="J276" i="7"/>
  <c r="I276" i="7"/>
  <c r="K275" i="7"/>
  <c r="M275" i="7" s="1"/>
  <c r="J275" i="7"/>
  <c r="I275" i="7"/>
  <c r="K274" i="7"/>
  <c r="M274" i="7" s="1"/>
  <c r="J274" i="7"/>
  <c r="I274" i="7"/>
  <c r="K273" i="7"/>
  <c r="M273" i="7" s="1"/>
  <c r="J273" i="7"/>
  <c r="I273" i="7"/>
  <c r="K272" i="7"/>
  <c r="M272" i="7" s="1"/>
  <c r="J272" i="7"/>
  <c r="I272" i="7"/>
  <c r="K271" i="7"/>
  <c r="M271" i="7" s="1"/>
  <c r="J271" i="7"/>
  <c r="I271" i="7"/>
  <c r="K270" i="7"/>
  <c r="M270" i="7" s="1"/>
  <c r="J270" i="7"/>
  <c r="I270" i="7"/>
  <c r="K269" i="7"/>
  <c r="M269" i="7" s="1"/>
  <c r="J269" i="7"/>
  <c r="I269" i="7"/>
  <c r="K268" i="7"/>
  <c r="M268" i="7" s="1"/>
  <c r="J268" i="7"/>
  <c r="I268" i="7"/>
  <c r="K267" i="7"/>
  <c r="M267" i="7" s="1"/>
  <c r="J267" i="7"/>
  <c r="I267" i="7"/>
  <c r="K266" i="7"/>
  <c r="M266" i="7" s="1"/>
  <c r="J266" i="7"/>
  <c r="I266" i="7"/>
  <c r="K265" i="7"/>
  <c r="M265" i="7" s="1"/>
  <c r="J265" i="7"/>
  <c r="I265" i="7"/>
  <c r="K264" i="7"/>
  <c r="M264" i="7" s="1"/>
  <c r="J264" i="7"/>
  <c r="I264" i="7"/>
  <c r="K263" i="7"/>
  <c r="M263" i="7" s="1"/>
  <c r="J263" i="7"/>
  <c r="I263" i="7"/>
  <c r="K262" i="7"/>
  <c r="M262" i="7" s="1"/>
  <c r="J262" i="7"/>
  <c r="I262" i="7"/>
  <c r="K261" i="7"/>
  <c r="M261" i="7" s="1"/>
  <c r="J261" i="7"/>
  <c r="I261" i="7"/>
  <c r="K260" i="7"/>
  <c r="M260" i="7" s="1"/>
  <c r="J260" i="7"/>
  <c r="I260" i="7"/>
  <c r="K259" i="7"/>
  <c r="M259" i="7" s="1"/>
  <c r="J259" i="7"/>
  <c r="I259" i="7"/>
  <c r="K258" i="7"/>
  <c r="M258" i="7" s="1"/>
  <c r="J258" i="7"/>
  <c r="I258" i="7"/>
  <c r="K257" i="7"/>
  <c r="M257" i="7" s="1"/>
  <c r="J257" i="7"/>
  <c r="I257" i="7"/>
  <c r="K256" i="7"/>
  <c r="M256" i="7" s="1"/>
  <c r="J256" i="7"/>
  <c r="I256" i="7"/>
  <c r="K255" i="7"/>
  <c r="M255" i="7" s="1"/>
  <c r="J255" i="7"/>
  <c r="I255" i="7"/>
  <c r="K254" i="7"/>
  <c r="M254" i="7" s="1"/>
  <c r="J254" i="7"/>
  <c r="I254" i="7"/>
  <c r="K253" i="7"/>
  <c r="M253" i="7" s="1"/>
  <c r="J253" i="7"/>
  <c r="I253" i="7"/>
  <c r="M252" i="7"/>
  <c r="K252" i="7"/>
  <c r="J252" i="7"/>
  <c r="I252" i="7"/>
  <c r="K251" i="7"/>
  <c r="M251" i="7" s="1"/>
  <c r="J251" i="7"/>
  <c r="I251" i="7"/>
  <c r="K250" i="7"/>
  <c r="M250" i="7" s="1"/>
  <c r="J250" i="7"/>
  <c r="I250" i="7"/>
  <c r="K249" i="7"/>
  <c r="M249" i="7" s="1"/>
  <c r="J249" i="7"/>
  <c r="I249" i="7"/>
  <c r="K248" i="7"/>
  <c r="M248" i="7" s="1"/>
  <c r="J248" i="7"/>
  <c r="I248" i="7"/>
  <c r="K247" i="7"/>
  <c r="M247" i="7" s="1"/>
  <c r="J247" i="7"/>
  <c r="I247" i="7"/>
  <c r="K246" i="7"/>
  <c r="M246" i="7" s="1"/>
  <c r="J246" i="7"/>
  <c r="I246" i="7"/>
  <c r="K245" i="7"/>
  <c r="M245" i="7" s="1"/>
  <c r="J245" i="7"/>
  <c r="I245" i="7"/>
  <c r="K244" i="7"/>
  <c r="M244" i="7" s="1"/>
  <c r="J244" i="7"/>
  <c r="I244" i="7"/>
  <c r="K243" i="7"/>
  <c r="M243" i="7" s="1"/>
  <c r="J243" i="7"/>
  <c r="I243" i="7"/>
  <c r="K242" i="7"/>
  <c r="M242" i="7" s="1"/>
  <c r="J242" i="7"/>
  <c r="I242" i="7"/>
  <c r="K241" i="7"/>
  <c r="M241" i="7" s="1"/>
  <c r="J241" i="7"/>
  <c r="I241" i="7"/>
  <c r="K240" i="7"/>
  <c r="M240" i="7" s="1"/>
  <c r="J240" i="7"/>
  <c r="I240" i="7"/>
  <c r="K239" i="7"/>
  <c r="M239" i="7" s="1"/>
  <c r="J239" i="7"/>
  <c r="I239" i="7"/>
  <c r="K238" i="7"/>
  <c r="M238" i="7" s="1"/>
  <c r="J238" i="7"/>
  <c r="I238" i="7"/>
  <c r="K237" i="7"/>
  <c r="M237" i="7" s="1"/>
  <c r="J237" i="7"/>
  <c r="I237" i="7"/>
  <c r="K236" i="7"/>
  <c r="M236" i="7" s="1"/>
  <c r="J236" i="7"/>
  <c r="I236" i="7"/>
  <c r="K235" i="7"/>
  <c r="M235" i="7" s="1"/>
  <c r="J235" i="7"/>
  <c r="I235" i="7"/>
  <c r="K234" i="7"/>
  <c r="M234" i="7" s="1"/>
  <c r="J234" i="7"/>
  <c r="I234" i="7"/>
  <c r="K233" i="7"/>
  <c r="M233" i="7" s="1"/>
  <c r="J233" i="7"/>
  <c r="I233" i="7"/>
  <c r="K232" i="7"/>
  <c r="M232" i="7" s="1"/>
  <c r="J232" i="7"/>
  <c r="I232" i="7"/>
  <c r="K231" i="7"/>
  <c r="M231" i="7" s="1"/>
  <c r="J231" i="7"/>
  <c r="I231" i="7"/>
  <c r="K230" i="7"/>
  <c r="M230" i="7" s="1"/>
  <c r="J230" i="7"/>
  <c r="I230" i="7"/>
  <c r="K229" i="7"/>
  <c r="M229" i="7" s="1"/>
  <c r="J229" i="7"/>
  <c r="I229" i="7"/>
  <c r="K228" i="7"/>
  <c r="M228" i="7" s="1"/>
  <c r="J228" i="7"/>
  <c r="I228" i="7"/>
  <c r="K227" i="7"/>
  <c r="M227" i="7" s="1"/>
  <c r="J227" i="7"/>
  <c r="I227" i="7"/>
  <c r="K226" i="7"/>
  <c r="M226" i="7" s="1"/>
  <c r="J226" i="7"/>
  <c r="I226" i="7"/>
  <c r="K225" i="7"/>
  <c r="M225" i="7" s="1"/>
  <c r="J225" i="7"/>
  <c r="I225" i="7"/>
  <c r="K224" i="7"/>
  <c r="M224" i="7" s="1"/>
  <c r="J224" i="7"/>
  <c r="I224" i="7"/>
  <c r="K223" i="7"/>
  <c r="M223" i="7" s="1"/>
  <c r="J223" i="7"/>
  <c r="I223" i="7"/>
  <c r="K222" i="7"/>
  <c r="M222" i="7" s="1"/>
  <c r="J222" i="7"/>
  <c r="I222" i="7"/>
  <c r="K221" i="7"/>
  <c r="M221" i="7" s="1"/>
  <c r="J221" i="7"/>
  <c r="I221" i="7"/>
  <c r="K220" i="7"/>
  <c r="M220" i="7" s="1"/>
  <c r="J220" i="7"/>
  <c r="I220" i="7"/>
  <c r="K219" i="7"/>
  <c r="M219" i="7" s="1"/>
  <c r="J219" i="7"/>
  <c r="I219" i="7"/>
  <c r="K218" i="7"/>
  <c r="M218" i="7" s="1"/>
  <c r="J218" i="7"/>
  <c r="I218" i="7"/>
  <c r="K217" i="7"/>
  <c r="M217" i="7" s="1"/>
  <c r="J217" i="7"/>
  <c r="I217" i="7"/>
  <c r="K216" i="7"/>
  <c r="M216" i="7" s="1"/>
  <c r="J216" i="7"/>
  <c r="I216" i="7"/>
  <c r="K215" i="7"/>
  <c r="M215" i="7" s="1"/>
  <c r="J215" i="7"/>
  <c r="I215" i="7"/>
  <c r="K214" i="7"/>
  <c r="M214" i="7" s="1"/>
  <c r="J214" i="7"/>
  <c r="I214" i="7"/>
  <c r="K213" i="7"/>
  <c r="M213" i="7" s="1"/>
  <c r="J213" i="7"/>
  <c r="I213" i="7"/>
  <c r="K212" i="7"/>
  <c r="M212" i="7" s="1"/>
  <c r="J212" i="7"/>
  <c r="I212" i="7"/>
  <c r="K211" i="7"/>
  <c r="M211" i="7" s="1"/>
  <c r="J211" i="7"/>
  <c r="I211" i="7"/>
  <c r="K210" i="7"/>
  <c r="M210" i="7" s="1"/>
  <c r="J210" i="7"/>
  <c r="I210" i="7"/>
  <c r="K209" i="7"/>
  <c r="M209" i="7" s="1"/>
  <c r="J209" i="7"/>
  <c r="I209" i="7"/>
  <c r="K208" i="7"/>
  <c r="M208" i="7" s="1"/>
  <c r="J208" i="7"/>
  <c r="I208" i="7"/>
  <c r="K207" i="7"/>
  <c r="M207" i="7" s="1"/>
  <c r="J207" i="7"/>
  <c r="I207" i="7"/>
  <c r="K206" i="7"/>
  <c r="M206" i="7" s="1"/>
  <c r="J206" i="7"/>
  <c r="I206" i="7"/>
  <c r="K205" i="7"/>
  <c r="M205" i="7" s="1"/>
  <c r="J205" i="7"/>
  <c r="I205" i="7"/>
  <c r="K204" i="7"/>
  <c r="M204" i="7" s="1"/>
  <c r="J204" i="7"/>
  <c r="I204" i="7"/>
  <c r="K203" i="7"/>
  <c r="M203" i="7" s="1"/>
  <c r="J203" i="7"/>
  <c r="I203" i="7"/>
  <c r="K202" i="7"/>
  <c r="M202" i="7" s="1"/>
  <c r="J202" i="7"/>
  <c r="I202" i="7"/>
  <c r="K201" i="7"/>
  <c r="M201" i="7" s="1"/>
  <c r="J201" i="7"/>
  <c r="I201" i="7"/>
  <c r="K200" i="7"/>
  <c r="M200" i="7" s="1"/>
  <c r="J200" i="7"/>
  <c r="I200" i="7"/>
  <c r="K199" i="7"/>
  <c r="M199" i="7" s="1"/>
  <c r="J199" i="7"/>
  <c r="I199" i="7"/>
  <c r="K198" i="7"/>
  <c r="M198" i="7" s="1"/>
  <c r="J198" i="7"/>
  <c r="I198" i="7"/>
  <c r="K197" i="7"/>
  <c r="M197" i="7" s="1"/>
  <c r="J197" i="7"/>
  <c r="I197" i="7"/>
  <c r="K196" i="7"/>
  <c r="M196" i="7" s="1"/>
  <c r="J196" i="7"/>
  <c r="I196" i="7"/>
  <c r="K195" i="7"/>
  <c r="M195" i="7" s="1"/>
  <c r="J195" i="7"/>
  <c r="I195" i="7"/>
  <c r="K194" i="7"/>
  <c r="M194" i="7" s="1"/>
  <c r="J194" i="7"/>
  <c r="I194" i="7"/>
  <c r="K193" i="7"/>
  <c r="M193" i="7" s="1"/>
  <c r="J193" i="7"/>
  <c r="I193" i="7"/>
  <c r="K192" i="7"/>
  <c r="M192" i="7" s="1"/>
  <c r="J192" i="7"/>
  <c r="I192" i="7"/>
  <c r="K191" i="7"/>
  <c r="M191" i="7" s="1"/>
  <c r="J191" i="7"/>
  <c r="I191" i="7"/>
  <c r="K190" i="7"/>
  <c r="M190" i="7" s="1"/>
  <c r="J190" i="7"/>
  <c r="I190" i="7"/>
  <c r="K189" i="7"/>
  <c r="M189" i="7" s="1"/>
  <c r="J189" i="7"/>
  <c r="I189" i="7"/>
  <c r="K188" i="7"/>
  <c r="M188" i="7" s="1"/>
  <c r="J188" i="7"/>
  <c r="I188" i="7"/>
  <c r="K187" i="7"/>
  <c r="M187" i="7" s="1"/>
  <c r="J187" i="7"/>
  <c r="I187" i="7"/>
  <c r="K186" i="7"/>
  <c r="M186" i="7" s="1"/>
  <c r="J186" i="7"/>
  <c r="I186" i="7"/>
  <c r="K185" i="7"/>
  <c r="M185" i="7" s="1"/>
  <c r="J185" i="7"/>
  <c r="I185" i="7"/>
  <c r="K184" i="7"/>
  <c r="M184" i="7" s="1"/>
  <c r="J184" i="7"/>
  <c r="I184" i="7"/>
  <c r="K183" i="7"/>
  <c r="M183" i="7" s="1"/>
  <c r="J183" i="7"/>
  <c r="I183" i="7"/>
  <c r="K182" i="7"/>
  <c r="M182" i="7" s="1"/>
  <c r="J182" i="7"/>
  <c r="I182" i="7"/>
  <c r="K181" i="7"/>
  <c r="M181" i="7" s="1"/>
  <c r="J181" i="7"/>
  <c r="I181" i="7"/>
  <c r="K180" i="7"/>
  <c r="M180" i="7" s="1"/>
  <c r="J180" i="7"/>
  <c r="I180" i="7"/>
  <c r="M179" i="7"/>
  <c r="K179" i="7"/>
  <c r="J179" i="7"/>
  <c r="I179" i="7"/>
  <c r="K178" i="7"/>
  <c r="M178" i="7" s="1"/>
  <c r="J178" i="7"/>
  <c r="I178" i="7"/>
  <c r="K177" i="7"/>
  <c r="M177" i="7" s="1"/>
  <c r="J177" i="7"/>
  <c r="I177" i="7"/>
  <c r="K176" i="7"/>
  <c r="M176" i="7" s="1"/>
  <c r="J176" i="7"/>
  <c r="I176" i="7"/>
  <c r="K175" i="7"/>
  <c r="M175" i="7" s="1"/>
  <c r="J175" i="7"/>
  <c r="I175" i="7"/>
  <c r="K174" i="7"/>
  <c r="M174" i="7" s="1"/>
  <c r="J174" i="7"/>
  <c r="I174" i="7"/>
  <c r="K173" i="7"/>
  <c r="M173" i="7" s="1"/>
  <c r="J173" i="7"/>
  <c r="I173" i="7"/>
  <c r="K172" i="7"/>
  <c r="M172" i="7" s="1"/>
  <c r="J172" i="7"/>
  <c r="I172" i="7"/>
  <c r="K171" i="7"/>
  <c r="M171" i="7" s="1"/>
  <c r="J171" i="7"/>
  <c r="I171" i="7"/>
  <c r="K170" i="7"/>
  <c r="M170" i="7" s="1"/>
  <c r="J170" i="7"/>
  <c r="I170" i="7"/>
  <c r="K169" i="7"/>
  <c r="M169" i="7" s="1"/>
  <c r="J169" i="7"/>
  <c r="I169" i="7"/>
  <c r="K168" i="7"/>
  <c r="M168" i="7" s="1"/>
  <c r="J168" i="7"/>
  <c r="I168" i="7"/>
  <c r="K167" i="7"/>
  <c r="M167" i="7" s="1"/>
  <c r="J167" i="7"/>
  <c r="I167" i="7"/>
  <c r="K166" i="7"/>
  <c r="M166" i="7" s="1"/>
  <c r="J166" i="7"/>
  <c r="I166" i="7"/>
  <c r="K165" i="7"/>
  <c r="M165" i="7" s="1"/>
  <c r="J165" i="7"/>
  <c r="I165" i="7"/>
  <c r="K164" i="7"/>
  <c r="M164" i="7" s="1"/>
  <c r="J164" i="7"/>
  <c r="I164" i="7"/>
  <c r="K163" i="7"/>
  <c r="M163" i="7" s="1"/>
  <c r="J163" i="7"/>
  <c r="I163" i="7"/>
  <c r="K162" i="7"/>
  <c r="M162" i="7" s="1"/>
  <c r="J162" i="7"/>
  <c r="I162" i="7"/>
  <c r="K161" i="7"/>
  <c r="M161" i="7" s="1"/>
  <c r="J161" i="7"/>
  <c r="I161" i="7"/>
  <c r="K160" i="7"/>
  <c r="M160" i="7" s="1"/>
  <c r="J160" i="7"/>
  <c r="I160" i="7"/>
  <c r="K159" i="7"/>
  <c r="M159" i="7" s="1"/>
  <c r="J159" i="7"/>
  <c r="I159" i="7"/>
  <c r="K158" i="7"/>
  <c r="M158" i="7" s="1"/>
  <c r="J158" i="7"/>
  <c r="I158" i="7"/>
  <c r="K157" i="7"/>
  <c r="M157" i="7" s="1"/>
  <c r="J157" i="7"/>
  <c r="I157" i="7"/>
  <c r="K156" i="7"/>
  <c r="M156" i="7" s="1"/>
  <c r="J156" i="7"/>
  <c r="I156" i="7"/>
  <c r="K155" i="7"/>
  <c r="M155" i="7" s="1"/>
  <c r="J155" i="7"/>
  <c r="I155" i="7"/>
  <c r="K154" i="7"/>
  <c r="M154" i="7" s="1"/>
  <c r="J154" i="7"/>
  <c r="I154" i="7"/>
  <c r="K153" i="7"/>
  <c r="M153" i="7" s="1"/>
  <c r="J153" i="7"/>
  <c r="I153" i="7"/>
  <c r="K152" i="7"/>
  <c r="M152" i="7" s="1"/>
  <c r="J152" i="7"/>
  <c r="I152" i="7"/>
  <c r="K151" i="7"/>
  <c r="M151" i="7" s="1"/>
  <c r="J151" i="7"/>
  <c r="I151" i="7"/>
  <c r="K150" i="7"/>
  <c r="M150" i="7" s="1"/>
  <c r="J150" i="7"/>
  <c r="I150" i="7"/>
  <c r="K149" i="7"/>
  <c r="M149" i="7" s="1"/>
  <c r="J149" i="7"/>
  <c r="I149" i="7"/>
  <c r="K148" i="7"/>
  <c r="M148" i="7" s="1"/>
  <c r="J148" i="7"/>
  <c r="I148" i="7"/>
  <c r="K147" i="7"/>
  <c r="M147" i="7" s="1"/>
  <c r="J147" i="7"/>
  <c r="I147" i="7"/>
  <c r="K146" i="7"/>
  <c r="M146" i="7" s="1"/>
  <c r="J146" i="7"/>
  <c r="I146" i="7"/>
  <c r="K145" i="7"/>
  <c r="M145" i="7" s="1"/>
  <c r="J145" i="7"/>
  <c r="I145" i="7"/>
  <c r="K144" i="7"/>
  <c r="M144" i="7" s="1"/>
  <c r="J144" i="7"/>
  <c r="I144" i="7"/>
  <c r="K143" i="7"/>
  <c r="M143" i="7" s="1"/>
  <c r="J143" i="7"/>
  <c r="I143" i="7"/>
  <c r="K142" i="7"/>
  <c r="M142" i="7" s="1"/>
  <c r="J142" i="7"/>
  <c r="I142" i="7"/>
  <c r="K141" i="7"/>
  <c r="M141" i="7" s="1"/>
  <c r="J141" i="7"/>
  <c r="I141" i="7"/>
  <c r="K140" i="7"/>
  <c r="M140" i="7" s="1"/>
  <c r="J140" i="7"/>
  <c r="I140" i="7"/>
  <c r="K139" i="7"/>
  <c r="M139" i="7" s="1"/>
  <c r="J139" i="7"/>
  <c r="I139" i="7"/>
  <c r="K138" i="7"/>
  <c r="M138" i="7" s="1"/>
  <c r="J138" i="7"/>
  <c r="I138" i="7"/>
  <c r="K137" i="7"/>
  <c r="M137" i="7" s="1"/>
  <c r="J137" i="7"/>
  <c r="I137" i="7"/>
  <c r="K136" i="7"/>
  <c r="M136" i="7" s="1"/>
  <c r="J136" i="7"/>
  <c r="I136" i="7"/>
  <c r="K135" i="7"/>
  <c r="M135" i="7" s="1"/>
  <c r="J135" i="7"/>
  <c r="I135" i="7"/>
  <c r="K134" i="7"/>
  <c r="M134" i="7" s="1"/>
  <c r="J134" i="7"/>
  <c r="I134" i="7"/>
  <c r="K133" i="7"/>
  <c r="M133" i="7" s="1"/>
  <c r="J133" i="7"/>
  <c r="I133" i="7"/>
  <c r="K132" i="7"/>
  <c r="M132" i="7" s="1"/>
  <c r="J132" i="7"/>
  <c r="I132" i="7"/>
  <c r="K131" i="7"/>
  <c r="M131" i="7" s="1"/>
  <c r="J131" i="7"/>
  <c r="I131" i="7"/>
  <c r="K130" i="7"/>
  <c r="M130" i="7" s="1"/>
  <c r="J130" i="7"/>
  <c r="I130" i="7"/>
  <c r="K129" i="7"/>
  <c r="M129" i="7" s="1"/>
  <c r="J129" i="7"/>
  <c r="I129" i="7"/>
  <c r="K128" i="7"/>
  <c r="M128" i="7" s="1"/>
  <c r="J128" i="7"/>
  <c r="I128" i="7"/>
  <c r="K127" i="7"/>
  <c r="M127" i="7" s="1"/>
  <c r="J127" i="7"/>
  <c r="I127" i="7"/>
  <c r="K126" i="7"/>
  <c r="M126" i="7" s="1"/>
  <c r="J126" i="7"/>
  <c r="I126" i="7"/>
  <c r="K125" i="7"/>
  <c r="M125" i="7" s="1"/>
  <c r="J125" i="7"/>
  <c r="I125" i="7"/>
  <c r="K124" i="7"/>
  <c r="M124" i="7" s="1"/>
  <c r="J124" i="7"/>
  <c r="I124" i="7"/>
  <c r="K123" i="7"/>
  <c r="M123" i="7" s="1"/>
  <c r="J123" i="7"/>
  <c r="I123" i="7"/>
  <c r="K122" i="7"/>
  <c r="M122" i="7" s="1"/>
  <c r="J122" i="7"/>
  <c r="I122" i="7"/>
  <c r="K121" i="7"/>
  <c r="M121" i="7" s="1"/>
  <c r="J121" i="7"/>
  <c r="I121" i="7"/>
  <c r="K120" i="7"/>
  <c r="M120" i="7" s="1"/>
  <c r="J120" i="7"/>
  <c r="I120" i="7"/>
  <c r="K119" i="7"/>
  <c r="M119" i="7" s="1"/>
  <c r="J119" i="7"/>
  <c r="I119" i="7"/>
  <c r="K118" i="7"/>
  <c r="M118" i="7" s="1"/>
  <c r="J118" i="7"/>
  <c r="I118" i="7"/>
  <c r="K117" i="7"/>
  <c r="M117" i="7" s="1"/>
  <c r="J117" i="7"/>
  <c r="I117" i="7"/>
  <c r="K116" i="7"/>
  <c r="M116" i="7" s="1"/>
  <c r="J116" i="7"/>
  <c r="I116" i="7"/>
  <c r="K115" i="7"/>
  <c r="M115" i="7" s="1"/>
  <c r="J115" i="7"/>
  <c r="I115" i="7"/>
  <c r="K114" i="7"/>
  <c r="M114" i="7" s="1"/>
  <c r="J114" i="7"/>
  <c r="I114" i="7"/>
  <c r="K113" i="7"/>
  <c r="M113" i="7" s="1"/>
  <c r="J113" i="7"/>
  <c r="I113" i="7"/>
  <c r="K112" i="7"/>
  <c r="M112" i="7" s="1"/>
  <c r="J112" i="7"/>
  <c r="I112" i="7"/>
  <c r="K111" i="7"/>
  <c r="M111" i="7" s="1"/>
  <c r="J111" i="7"/>
  <c r="I111" i="7"/>
  <c r="K110" i="7"/>
  <c r="M110" i="7" s="1"/>
  <c r="J110" i="7"/>
  <c r="I110" i="7"/>
  <c r="K109" i="7"/>
  <c r="M109" i="7" s="1"/>
  <c r="J109" i="7"/>
  <c r="I109" i="7"/>
  <c r="K108" i="7"/>
  <c r="M108" i="7" s="1"/>
  <c r="J108" i="7"/>
  <c r="I108" i="7"/>
  <c r="K107" i="7"/>
  <c r="M107" i="7" s="1"/>
  <c r="J107" i="7"/>
  <c r="I107" i="7"/>
  <c r="K106" i="7"/>
  <c r="M106" i="7" s="1"/>
  <c r="J106" i="7"/>
  <c r="I106" i="7"/>
  <c r="K105" i="7"/>
  <c r="M105" i="7" s="1"/>
  <c r="J105" i="7"/>
  <c r="I105" i="7"/>
  <c r="K104" i="7"/>
  <c r="M104" i="7" s="1"/>
  <c r="J104" i="7"/>
  <c r="I104" i="7"/>
  <c r="K103" i="7"/>
  <c r="M103" i="7" s="1"/>
  <c r="J103" i="7"/>
  <c r="I103" i="7"/>
  <c r="K102" i="7"/>
  <c r="M102" i="7" s="1"/>
  <c r="J102" i="7"/>
  <c r="I102" i="7"/>
  <c r="K101" i="7"/>
  <c r="M101" i="7" s="1"/>
  <c r="J101" i="7"/>
  <c r="I101" i="7"/>
  <c r="K100" i="7"/>
  <c r="M100" i="7" s="1"/>
  <c r="J100" i="7"/>
  <c r="I100" i="7"/>
  <c r="K99" i="7"/>
  <c r="M99" i="7" s="1"/>
  <c r="J99" i="7"/>
  <c r="I99" i="7"/>
  <c r="K98" i="7"/>
  <c r="M98" i="7" s="1"/>
  <c r="J98" i="7"/>
  <c r="I98" i="7"/>
  <c r="K97" i="7"/>
  <c r="M97" i="7" s="1"/>
  <c r="J97" i="7"/>
  <c r="I97" i="7"/>
  <c r="K96" i="7"/>
  <c r="M96" i="7" s="1"/>
  <c r="J96" i="7"/>
  <c r="I96" i="7"/>
  <c r="K95" i="7"/>
  <c r="M95" i="7" s="1"/>
  <c r="J95" i="7"/>
  <c r="I95" i="7"/>
  <c r="K94" i="7"/>
  <c r="M94" i="7" s="1"/>
  <c r="J94" i="7"/>
  <c r="I94" i="7"/>
  <c r="K93" i="7"/>
  <c r="M93" i="7" s="1"/>
  <c r="J93" i="7"/>
  <c r="I93" i="7"/>
  <c r="K92" i="7"/>
  <c r="M92" i="7" s="1"/>
  <c r="J92" i="7"/>
  <c r="I92" i="7"/>
  <c r="K91" i="7"/>
  <c r="M91" i="7" s="1"/>
  <c r="J91" i="7"/>
  <c r="I91" i="7"/>
  <c r="K90" i="7"/>
  <c r="M90" i="7" s="1"/>
  <c r="J90" i="7"/>
  <c r="I90" i="7"/>
  <c r="K89" i="7"/>
  <c r="M89" i="7" s="1"/>
  <c r="J89" i="7"/>
  <c r="I89" i="7"/>
  <c r="K88" i="7"/>
  <c r="M88" i="7" s="1"/>
  <c r="J88" i="7"/>
  <c r="I88" i="7"/>
  <c r="K87" i="7"/>
  <c r="M87" i="7" s="1"/>
  <c r="J87" i="7"/>
  <c r="I87" i="7"/>
  <c r="K86" i="7"/>
  <c r="M86" i="7" s="1"/>
  <c r="J86" i="7"/>
  <c r="I86" i="7"/>
  <c r="K85" i="7"/>
  <c r="M85" i="7" s="1"/>
  <c r="J85" i="7"/>
  <c r="I85" i="7"/>
  <c r="K84" i="7"/>
  <c r="M84" i="7" s="1"/>
  <c r="J84" i="7"/>
  <c r="I84" i="7"/>
  <c r="K83" i="7"/>
  <c r="M83" i="7" s="1"/>
  <c r="J83" i="7"/>
  <c r="I83" i="7"/>
  <c r="K82" i="7"/>
  <c r="M82" i="7" s="1"/>
  <c r="J82" i="7"/>
  <c r="I82" i="7"/>
  <c r="K81" i="7"/>
  <c r="M81" i="7" s="1"/>
  <c r="J81" i="7"/>
  <c r="I81" i="7"/>
  <c r="K80" i="7"/>
  <c r="M80" i="7" s="1"/>
  <c r="J80" i="7"/>
  <c r="I80" i="7"/>
  <c r="K79" i="7"/>
  <c r="M79" i="7" s="1"/>
  <c r="J79" i="7"/>
  <c r="I79" i="7"/>
  <c r="K78" i="7"/>
  <c r="M78" i="7" s="1"/>
  <c r="J78" i="7"/>
  <c r="I78" i="7"/>
  <c r="K77" i="7"/>
  <c r="M77" i="7" s="1"/>
  <c r="J77" i="7"/>
  <c r="I77" i="7"/>
  <c r="K76" i="7"/>
  <c r="M76" i="7" s="1"/>
  <c r="J76" i="7"/>
  <c r="I76" i="7"/>
  <c r="K75" i="7"/>
  <c r="M75" i="7" s="1"/>
  <c r="J75" i="7"/>
  <c r="I75" i="7"/>
  <c r="K74" i="7"/>
  <c r="M74" i="7" s="1"/>
  <c r="J74" i="7"/>
  <c r="I74" i="7"/>
  <c r="K73" i="7"/>
  <c r="M73" i="7" s="1"/>
  <c r="J73" i="7"/>
  <c r="I73" i="7"/>
  <c r="K72" i="7"/>
  <c r="M72" i="7" s="1"/>
  <c r="J72" i="7"/>
  <c r="I72" i="7"/>
  <c r="M71" i="7"/>
  <c r="K71" i="7"/>
  <c r="J71" i="7"/>
  <c r="I71" i="7"/>
  <c r="K70" i="7"/>
  <c r="M70" i="7" s="1"/>
  <c r="J70" i="7"/>
  <c r="I70" i="7"/>
  <c r="K69" i="7"/>
  <c r="M69" i="7" s="1"/>
  <c r="J69" i="7"/>
  <c r="I69" i="7"/>
  <c r="K68" i="7"/>
  <c r="M68" i="7" s="1"/>
  <c r="J68" i="7"/>
  <c r="I68" i="7"/>
  <c r="K67" i="7"/>
  <c r="M67" i="7" s="1"/>
  <c r="J67" i="7"/>
  <c r="I67" i="7"/>
  <c r="K66" i="7"/>
  <c r="M66" i="7" s="1"/>
  <c r="J66" i="7"/>
  <c r="I66" i="7"/>
  <c r="K65" i="7"/>
  <c r="M65" i="7" s="1"/>
  <c r="J65" i="7"/>
  <c r="I65" i="7"/>
  <c r="K64" i="7"/>
  <c r="M64" i="7" s="1"/>
  <c r="J64" i="7"/>
  <c r="I64" i="7"/>
  <c r="K63" i="7"/>
  <c r="M63" i="7" s="1"/>
  <c r="J63" i="7"/>
  <c r="I63" i="7"/>
  <c r="K62" i="7"/>
  <c r="M62" i="7" s="1"/>
  <c r="J62" i="7"/>
  <c r="I62" i="7"/>
  <c r="K61" i="7"/>
  <c r="M61" i="7" s="1"/>
  <c r="J61" i="7"/>
  <c r="I61" i="7"/>
  <c r="K60" i="7"/>
  <c r="M60" i="7" s="1"/>
  <c r="J60" i="7"/>
  <c r="I60" i="7"/>
  <c r="K59" i="7"/>
  <c r="M59" i="7" s="1"/>
  <c r="J59" i="7"/>
  <c r="I59" i="7"/>
  <c r="K58" i="7"/>
  <c r="M58" i="7" s="1"/>
  <c r="J58" i="7"/>
  <c r="I58" i="7"/>
  <c r="K57" i="7"/>
  <c r="M57" i="7" s="1"/>
  <c r="J57" i="7"/>
  <c r="I57" i="7"/>
  <c r="K56" i="7"/>
  <c r="M56" i="7" s="1"/>
  <c r="J56" i="7"/>
  <c r="I56" i="7"/>
  <c r="K55" i="7"/>
  <c r="M55" i="7" s="1"/>
  <c r="J55" i="7"/>
  <c r="I55" i="7"/>
  <c r="K54" i="7"/>
  <c r="M54" i="7" s="1"/>
  <c r="J54" i="7"/>
  <c r="I54" i="7"/>
  <c r="K53" i="7"/>
  <c r="M53" i="7" s="1"/>
  <c r="J53" i="7"/>
  <c r="I53" i="7"/>
  <c r="K52" i="7"/>
  <c r="M52" i="7" s="1"/>
  <c r="J52" i="7"/>
  <c r="I52" i="7"/>
  <c r="K51" i="7"/>
  <c r="M51" i="7" s="1"/>
  <c r="J51" i="7"/>
  <c r="I51" i="7"/>
  <c r="K50" i="7"/>
  <c r="M50" i="7" s="1"/>
  <c r="J50" i="7"/>
  <c r="I50" i="7"/>
  <c r="K49" i="7"/>
  <c r="M49" i="7" s="1"/>
  <c r="J49" i="7"/>
  <c r="I49" i="7"/>
  <c r="K48" i="7"/>
  <c r="M48" i="7" s="1"/>
  <c r="J48" i="7"/>
  <c r="I48" i="7"/>
  <c r="K47" i="7"/>
  <c r="M47" i="7" s="1"/>
  <c r="J47" i="7"/>
  <c r="I47" i="7"/>
  <c r="K46" i="7"/>
  <c r="M46" i="7" s="1"/>
  <c r="J46" i="7"/>
  <c r="I46" i="7"/>
  <c r="K45" i="7"/>
  <c r="M45" i="7" s="1"/>
  <c r="J45" i="7"/>
  <c r="I45" i="7"/>
  <c r="K44" i="7"/>
  <c r="M44" i="7" s="1"/>
  <c r="J44" i="7"/>
  <c r="I44" i="7"/>
  <c r="K43" i="7"/>
  <c r="M43" i="7" s="1"/>
  <c r="J43" i="7"/>
  <c r="I43" i="7"/>
  <c r="K42" i="7"/>
  <c r="M42" i="7" s="1"/>
  <c r="J42" i="7"/>
  <c r="I42" i="7"/>
  <c r="K41" i="7"/>
  <c r="M41" i="7" s="1"/>
  <c r="J41" i="7"/>
  <c r="I41" i="7"/>
  <c r="K40" i="7"/>
  <c r="M40" i="7" s="1"/>
  <c r="J40" i="7"/>
  <c r="I40" i="7"/>
  <c r="K39" i="7"/>
  <c r="M39" i="7" s="1"/>
  <c r="J39" i="7"/>
  <c r="I39" i="7"/>
  <c r="K38" i="7"/>
  <c r="M38" i="7" s="1"/>
  <c r="J38" i="7"/>
  <c r="I38" i="7"/>
  <c r="K37" i="7"/>
  <c r="M37" i="7" s="1"/>
  <c r="J37" i="7"/>
  <c r="I37" i="7"/>
  <c r="K36" i="7"/>
  <c r="M36" i="7" s="1"/>
  <c r="J36" i="7"/>
  <c r="I36" i="7"/>
  <c r="K35" i="7"/>
  <c r="M35" i="7" s="1"/>
  <c r="J35" i="7"/>
  <c r="I35" i="7"/>
  <c r="K34" i="7"/>
  <c r="M34" i="7" s="1"/>
  <c r="J34" i="7"/>
  <c r="I34" i="7"/>
  <c r="K33" i="7"/>
  <c r="M33" i="7" s="1"/>
  <c r="J33" i="7"/>
  <c r="I33" i="7"/>
  <c r="K32" i="7"/>
  <c r="M32" i="7" s="1"/>
  <c r="J32" i="7"/>
  <c r="I32" i="7"/>
  <c r="K31" i="7"/>
  <c r="M31" i="7" s="1"/>
  <c r="J31" i="7"/>
  <c r="I31" i="7"/>
  <c r="K30" i="7"/>
  <c r="M30" i="7" s="1"/>
  <c r="J30" i="7"/>
  <c r="I30" i="7"/>
  <c r="K29" i="7"/>
  <c r="M29" i="7" s="1"/>
  <c r="J29" i="7"/>
  <c r="I29" i="7"/>
  <c r="K28" i="7"/>
  <c r="M28" i="7" s="1"/>
  <c r="J28" i="7"/>
  <c r="I28" i="7"/>
  <c r="K27" i="7"/>
  <c r="M27" i="7" s="1"/>
  <c r="J27" i="7"/>
  <c r="I27" i="7"/>
  <c r="K26" i="7"/>
  <c r="M26" i="7" s="1"/>
  <c r="J26" i="7"/>
  <c r="I26" i="7"/>
  <c r="K25" i="7"/>
  <c r="M25" i="7" s="1"/>
  <c r="J25" i="7"/>
  <c r="I25" i="7"/>
  <c r="K24" i="7"/>
  <c r="M24" i="7" s="1"/>
  <c r="J24" i="7"/>
  <c r="I24" i="7"/>
  <c r="K23" i="7"/>
  <c r="M23" i="7" s="1"/>
  <c r="J23" i="7"/>
  <c r="I23" i="7"/>
  <c r="K22" i="7"/>
  <c r="M22" i="7" s="1"/>
  <c r="J22" i="7"/>
  <c r="I22" i="7"/>
  <c r="K21" i="7"/>
  <c r="M21" i="7" s="1"/>
  <c r="J21" i="7"/>
  <c r="I21" i="7"/>
  <c r="K20" i="7"/>
  <c r="M20" i="7" s="1"/>
  <c r="J20" i="7"/>
  <c r="I20" i="7"/>
  <c r="K19" i="7"/>
  <c r="M19" i="7" s="1"/>
  <c r="J19" i="7"/>
  <c r="I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N1002" i="6"/>
  <c r="P1002" i="6" s="1"/>
  <c r="M1002" i="6"/>
  <c r="L1002" i="6"/>
  <c r="K1002" i="6"/>
  <c r="Q1002" i="6" s="1"/>
  <c r="N1001" i="6"/>
  <c r="P1001" i="6" s="1"/>
  <c r="M1001" i="6"/>
  <c r="L1001" i="6"/>
  <c r="K1001" i="6"/>
  <c r="Q1001" i="6" s="1"/>
  <c r="N1000" i="6"/>
  <c r="P1000" i="6" s="1"/>
  <c r="M1000" i="6"/>
  <c r="L1000" i="6"/>
  <c r="K1000" i="6"/>
  <c r="Q1000" i="6" s="1"/>
  <c r="N999" i="6"/>
  <c r="P999" i="6" s="1"/>
  <c r="M999" i="6"/>
  <c r="L999" i="6"/>
  <c r="K999" i="6"/>
  <c r="Q999" i="6" s="1"/>
  <c r="N998" i="6"/>
  <c r="P998" i="6" s="1"/>
  <c r="M998" i="6"/>
  <c r="L998" i="6"/>
  <c r="K998" i="6"/>
  <c r="Q998" i="6" s="1"/>
  <c r="N997" i="6"/>
  <c r="P997" i="6" s="1"/>
  <c r="M997" i="6"/>
  <c r="L997" i="6"/>
  <c r="K997" i="6"/>
  <c r="Q997" i="6" s="1"/>
  <c r="N996" i="6"/>
  <c r="P996" i="6" s="1"/>
  <c r="M996" i="6"/>
  <c r="L996" i="6"/>
  <c r="K996" i="6"/>
  <c r="Q996" i="6" s="1"/>
  <c r="N995" i="6"/>
  <c r="P995" i="6" s="1"/>
  <c r="M995" i="6"/>
  <c r="L995" i="6"/>
  <c r="K995" i="6"/>
  <c r="Q995" i="6" s="1"/>
  <c r="N994" i="6"/>
  <c r="P994" i="6" s="1"/>
  <c r="M994" i="6"/>
  <c r="L994" i="6"/>
  <c r="K994" i="6"/>
  <c r="Q994" i="6" s="1"/>
  <c r="N993" i="6"/>
  <c r="P993" i="6" s="1"/>
  <c r="M993" i="6"/>
  <c r="L993" i="6"/>
  <c r="K993" i="6"/>
  <c r="Q993" i="6" s="1"/>
  <c r="N992" i="6"/>
  <c r="P992" i="6" s="1"/>
  <c r="M992" i="6"/>
  <c r="L992" i="6"/>
  <c r="K992" i="6"/>
  <c r="Q992" i="6" s="1"/>
  <c r="N991" i="6"/>
  <c r="P991" i="6" s="1"/>
  <c r="M991" i="6"/>
  <c r="L991" i="6"/>
  <c r="K991" i="6"/>
  <c r="Q991" i="6" s="1"/>
  <c r="N990" i="6"/>
  <c r="P990" i="6" s="1"/>
  <c r="M990" i="6"/>
  <c r="L990" i="6"/>
  <c r="K990" i="6"/>
  <c r="Q990" i="6" s="1"/>
  <c r="N989" i="6"/>
  <c r="P989" i="6" s="1"/>
  <c r="M989" i="6"/>
  <c r="L989" i="6"/>
  <c r="K989" i="6"/>
  <c r="Q989" i="6" s="1"/>
  <c r="N988" i="6"/>
  <c r="P988" i="6" s="1"/>
  <c r="M988" i="6"/>
  <c r="L988" i="6"/>
  <c r="K988" i="6"/>
  <c r="Q988" i="6" s="1"/>
  <c r="N987" i="6"/>
  <c r="P987" i="6" s="1"/>
  <c r="M987" i="6"/>
  <c r="L987" i="6"/>
  <c r="K987" i="6"/>
  <c r="Q987" i="6" s="1"/>
  <c r="N986" i="6"/>
  <c r="P986" i="6" s="1"/>
  <c r="M986" i="6"/>
  <c r="L986" i="6"/>
  <c r="K986" i="6"/>
  <c r="Q986" i="6" s="1"/>
  <c r="N985" i="6"/>
  <c r="P985" i="6" s="1"/>
  <c r="M985" i="6"/>
  <c r="L985" i="6"/>
  <c r="K985" i="6"/>
  <c r="Q985" i="6" s="1"/>
  <c r="N984" i="6"/>
  <c r="P984" i="6" s="1"/>
  <c r="M984" i="6"/>
  <c r="L984" i="6"/>
  <c r="K984" i="6"/>
  <c r="Q984" i="6" s="1"/>
  <c r="N983" i="6"/>
  <c r="P983" i="6" s="1"/>
  <c r="M983" i="6"/>
  <c r="L983" i="6"/>
  <c r="K983" i="6"/>
  <c r="Q983" i="6" s="1"/>
  <c r="N982" i="6"/>
  <c r="P982" i="6" s="1"/>
  <c r="M982" i="6"/>
  <c r="L982" i="6"/>
  <c r="K982" i="6"/>
  <c r="Q982" i="6" s="1"/>
  <c r="N981" i="6"/>
  <c r="P981" i="6" s="1"/>
  <c r="M981" i="6"/>
  <c r="L981" i="6"/>
  <c r="K981" i="6"/>
  <c r="Q981" i="6" s="1"/>
  <c r="N980" i="6"/>
  <c r="P980" i="6" s="1"/>
  <c r="M980" i="6"/>
  <c r="L980" i="6"/>
  <c r="K980" i="6"/>
  <c r="Q980" i="6" s="1"/>
  <c r="N979" i="6"/>
  <c r="P979" i="6" s="1"/>
  <c r="M979" i="6"/>
  <c r="L979" i="6"/>
  <c r="K979" i="6"/>
  <c r="Q979" i="6" s="1"/>
  <c r="N978" i="6"/>
  <c r="P978" i="6" s="1"/>
  <c r="M978" i="6"/>
  <c r="L978" i="6"/>
  <c r="K978" i="6"/>
  <c r="Q978" i="6" s="1"/>
  <c r="N977" i="6"/>
  <c r="P977" i="6" s="1"/>
  <c r="M977" i="6"/>
  <c r="L977" i="6"/>
  <c r="K977" i="6"/>
  <c r="Q977" i="6" s="1"/>
  <c r="N976" i="6"/>
  <c r="P976" i="6" s="1"/>
  <c r="M976" i="6"/>
  <c r="L976" i="6"/>
  <c r="K976" i="6"/>
  <c r="Q976" i="6" s="1"/>
  <c r="N975" i="6"/>
  <c r="P975" i="6" s="1"/>
  <c r="M975" i="6"/>
  <c r="L975" i="6"/>
  <c r="K975" i="6"/>
  <c r="Q975" i="6" s="1"/>
  <c r="N974" i="6"/>
  <c r="P974" i="6" s="1"/>
  <c r="M974" i="6"/>
  <c r="L974" i="6"/>
  <c r="K974" i="6"/>
  <c r="Q974" i="6" s="1"/>
  <c r="N973" i="6"/>
  <c r="P973" i="6" s="1"/>
  <c r="M973" i="6"/>
  <c r="L973" i="6"/>
  <c r="K973" i="6"/>
  <c r="Q973" i="6" s="1"/>
  <c r="N972" i="6"/>
  <c r="P972" i="6" s="1"/>
  <c r="M972" i="6"/>
  <c r="L972" i="6"/>
  <c r="K972" i="6"/>
  <c r="Q972" i="6" s="1"/>
  <c r="N971" i="6"/>
  <c r="P971" i="6" s="1"/>
  <c r="M971" i="6"/>
  <c r="L971" i="6"/>
  <c r="K971" i="6"/>
  <c r="Q971" i="6" s="1"/>
  <c r="N970" i="6"/>
  <c r="P970" i="6" s="1"/>
  <c r="M970" i="6"/>
  <c r="L970" i="6"/>
  <c r="K970" i="6"/>
  <c r="Q970" i="6" s="1"/>
  <c r="N969" i="6"/>
  <c r="P969" i="6" s="1"/>
  <c r="M969" i="6"/>
  <c r="L969" i="6"/>
  <c r="K969" i="6"/>
  <c r="Q969" i="6" s="1"/>
  <c r="N968" i="6"/>
  <c r="P968" i="6" s="1"/>
  <c r="M968" i="6"/>
  <c r="L968" i="6"/>
  <c r="K968" i="6"/>
  <c r="Q968" i="6" s="1"/>
  <c r="N967" i="6"/>
  <c r="P967" i="6" s="1"/>
  <c r="M967" i="6"/>
  <c r="L967" i="6"/>
  <c r="K967" i="6"/>
  <c r="Q967" i="6" s="1"/>
  <c r="N966" i="6"/>
  <c r="P966" i="6" s="1"/>
  <c r="M966" i="6"/>
  <c r="L966" i="6"/>
  <c r="K966" i="6"/>
  <c r="Q966" i="6" s="1"/>
  <c r="N965" i="6"/>
  <c r="P965" i="6" s="1"/>
  <c r="M965" i="6"/>
  <c r="L965" i="6"/>
  <c r="K965" i="6"/>
  <c r="Q965" i="6" s="1"/>
  <c r="N964" i="6"/>
  <c r="P964" i="6" s="1"/>
  <c r="M964" i="6"/>
  <c r="L964" i="6"/>
  <c r="K964" i="6"/>
  <c r="Q964" i="6" s="1"/>
  <c r="N963" i="6"/>
  <c r="P963" i="6" s="1"/>
  <c r="M963" i="6"/>
  <c r="L963" i="6"/>
  <c r="K963" i="6"/>
  <c r="Q963" i="6" s="1"/>
  <c r="N962" i="6"/>
  <c r="P962" i="6" s="1"/>
  <c r="M962" i="6"/>
  <c r="L962" i="6"/>
  <c r="K962" i="6"/>
  <c r="Q962" i="6" s="1"/>
  <c r="N961" i="6"/>
  <c r="P961" i="6" s="1"/>
  <c r="M961" i="6"/>
  <c r="L961" i="6"/>
  <c r="K961" i="6"/>
  <c r="Q961" i="6" s="1"/>
  <c r="N960" i="6"/>
  <c r="P960" i="6" s="1"/>
  <c r="M960" i="6"/>
  <c r="L960" i="6"/>
  <c r="K960" i="6"/>
  <c r="Q960" i="6" s="1"/>
  <c r="N959" i="6"/>
  <c r="P959" i="6" s="1"/>
  <c r="M959" i="6"/>
  <c r="L959" i="6"/>
  <c r="K959" i="6"/>
  <c r="Q959" i="6" s="1"/>
  <c r="N958" i="6"/>
  <c r="P958" i="6" s="1"/>
  <c r="M958" i="6"/>
  <c r="L958" i="6"/>
  <c r="K958" i="6"/>
  <c r="Q958" i="6" s="1"/>
  <c r="N957" i="6"/>
  <c r="P957" i="6" s="1"/>
  <c r="M957" i="6"/>
  <c r="L957" i="6"/>
  <c r="K957" i="6"/>
  <c r="Q957" i="6" s="1"/>
  <c r="N956" i="6"/>
  <c r="P956" i="6" s="1"/>
  <c r="M956" i="6"/>
  <c r="L956" i="6"/>
  <c r="K956" i="6"/>
  <c r="Q956" i="6" s="1"/>
  <c r="N955" i="6"/>
  <c r="P955" i="6" s="1"/>
  <c r="M955" i="6"/>
  <c r="L955" i="6"/>
  <c r="K955" i="6"/>
  <c r="Q955" i="6" s="1"/>
  <c r="N954" i="6"/>
  <c r="P954" i="6" s="1"/>
  <c r="M954" i="6"/>
  <c r="L954" i="6"/>
  <c r="K954" i="6"/>
  <c r="Q954" i="6" s="1"/>
  <c r="N953" i="6"/>
  <c r="P953" i="6" s="1"/>
  <c r="M953" i="6"/>
  <c r="L953" i="6"/>
  <c r="K953" i="6"/>
  <c r="Q953" i="6" s="1"/>
  <c r="N952" i="6"/>
  <c r="P952" i="6" s="1"/>
  <c r="M952" i="6"/>
  <c r="L952" i="6"/>
  <c r="K952" i="6"/>
  <c r="Q952" i="6" s="1"/>
  <c r="N951" i="6"/>
  <c r="P951" i="6" s="1"/>
  <c r="M951" i="6"/>
  <c r="L951" i="6"/>
  <c r="K951" i="6"/>
  <c r="Q951" i="6" s="1"/>
  <c r="N950" i="6"/>
  <c r="P950" i="6" s="1"/>
  <c r="M950" i="6"/>
  <c r="L950" i="6"/>
  <c r="K950" i="6"/>
  <c r="Q950" i="6" s="1"/>
  <c r="N949" i="6"/>
  <c r="P949" i="6" s="1"/>
  <c r="M949" i="6"/>
  <c r="L949" i="6"/>
  <c r="K949" i="6"/>
  <c r="Q949" i="6" s="1"/>
  <c r="N948" i="6"/>
  <c r="P948" i="6" s="1"/>
  <c r="M948" i="6"/>
  <c r="L948" i="6"/>
  <c r="K948" i="6"/>
  <c r="Q948" i="6" s="1"/>
  <c r="N947" i="6"/>
  <c r="P947" i="6" s="1"/>
  <c r="M947" i="6"/>
  <c r="L947" i="6"/>
  <c r="K947" i="6"/>
  <c r="Q947" i="6" s="1"/>
  <c r="N946" i="6"/>
  <c r="P946" i="6" s="1"/>
  <c r="M946" i="6"/>
  <c r="L946" i="6"/>
  <c r="K946" i="6"/>
  <c r="Q946" i="6" s="1"/>
  <c r="N945" i="6"/>
  <c r="P945" i="6" s="1"/>
  <c r="M945" i="6"/>
  <c r="L945" i="6"/>
  <c r="K945" i="6"/>
  <c r="Q945" i="6" s="1"/>
  <c r="N944" i="6"/>
  <c r="P944" i="6" s="1"/>
  <c r="M944" i="6"/>
  <c r="L944" i="6"/>
  <c r="K944" i="6"/>
  <c r="Q944" i="6" s="1"/>
  <c r="N943" i="6"/>
  <c r="P943" i="6" s="1"/>
  <c r="M943" i="6"/>
  <c r="L943" i="6"/>
  <c r="K943" i="6"/>
  <c r="Q943" i="6" s="1"/>
  <c r="N942" i="6"/>
  <c r="P942" i="6" s="1"/>
  <c r="M942" i="6"/>
  <c r="L942" i="6"/>
  <c r="K942" i="6"/>
  <c r="Q942" i="6" s="1"/>
  <c r="N941" i="6"/>
  <c r="P941" i="6" s="1"/>
  <c r="M941" i="6"/>
  <c r="L941" i="6"/>
  <c r="K941" i="6"/>
  <c r="Q941" i="6" s="1"/>
  <c r="N940" i="6"/>
  <c r="P940" i="6" s="1"/>
  <c r="M940" i="6"/>
  <c r="L940" i="6"/>
  <c r="K940" i="6"/>
  <c r="Q940" i="6" s="1"/>
  <c r="N939" i="6"/>
  <c r="P939" i="6" s="1"/>
  <c r="M939" i="6"/>
  <c r="L939" i="6"/>
  <c r="K939" i="6"/>
  <c r="Q939" i="6" s="1"/>
  <c r="N938" i="6"/>
  <c r="P938" i="6" s="1"/>
  <c r="M938" i="6"/>
  <c r="L938" i="6"/>
  <c r="K938" i="6"/>
  <c r="Q938" i="6" s="1"/>
  <c r="N937" i="6"/>
  <c r="P937" i="6" s="1"/>
  <c r="M937" i="6"/>
  <c r="L937" i="6"/>
  <c r="K937" i="6"/>
  <c r="Q937" i="6" s="1"/>
  <c r="N936" i="6"/>
  <c r="P936" i="6" s="1"/>
  <c r="M936" i="6"/>
  <c r="L936" i="6"/>
  <c r="K936" i="6"/>
  <c r="Q936" i="6" s="1"/>
  <c r="N935" i="6"/>
  <c r="P935" i="6" s="1"/>
  <c r="M935" i="6"/>
  <c r="L935" i="6"/>
  <c r="K935" i="6"/>
  <c r="Q935" i="6" s="1"/>
  <c r="N934" i="6"/>
  <c r="P934" i="6" s="1"/>
  <c r="M934" i="6"/>
  <c r="L934" i="6"/>
  <c r="K934" i="6"/>
  <c r="Q934" i="6" s="1"/>
  <c r="N933" i="6"/>
  <c r="P933" i="6" s="1"/>
  <c r="M933" i="6"/>
  <c r="L933" i="6"/>
  <c r="K933" i="6"/>
  <c r="Q933" i="6" s="1"/>
  <c r="N932" i="6"/>
  <c r="P932" i="6" s="1"/>
  <c r="M932" i="6"/>
  <c r="L932" i="6"/>
  <c r="K932" i="6"/>
  <c r="Q932" i="6" s="1"/>
  <c r="N931" i="6"/>
  <c r="P931" i="6" s="1"/>
  <c r="M931" i="6"/>
  <c r="L931" i="6"/>
  <c r="K931" i="6"/>
  <c r="Q931" i="6" s="1"/>
  <c r="N930" i="6"/>
  <c r="P930" i="6" s="1"/>
  <c r="M930" i="6"/>
  <c r="L930" i="6"/>
  <c r="K930" i="6"/>
  <c r="Q930" i="6" s="1"/>
  <c r="N929" i="6"/>
  <c r="P929" i="6" s="1"/>
  <c r="M929" i="6"/>
  <c r="L929" i="6"/>
  <c r="K929" i="6"/>
  <c r="Q929" i="6" s="1"/>
  <c r="N928" i="6"/>
  <c r="P928" i="6" s="1"/>
  <c r="M928" i="6"/>
  <c r="L928" i="6"/>
  <c r="K928" i="6"/>
  <c r="Q928" i="6" s="1"/>
  <c r="N927" i="6"/>
  <c r="P927" i="6" s="1"/>
  <c r="M927" i="6"/>
  <c r="L927" i="6"/>
  <c r="K927" i="6"/>
  <c r="Q927" i="6" s="1"/>
  <c r="N926" i="6"/>
  <c r="P926" i="6" s="1"/>
  <c r="M926" i="6"/>
  <c r="L926" i="6"/>
  <c r="K926" i="6"/>
  <c r="Q926" i="6" s="1"/>
  <c r="N925" i="6"/>
  <c r="P925" i="6" s="1"/>
  <c r="M925" i="6"/>
  <c r="L925" i="6"/>
  <c r="K925" i="6"/>
  <c r="Q925" i="6" s="1"/>
  <c r="N924" i="6"/>
  <c r="P924" i="6" s="1"/>
  <c r="M924" i="6"/>
  <c r="L924" i="6"/>
  <c r="K924" i="6"/>
  <c r="Q924" i="6" s="1"/>
  <c r="N923" i="6"/>
  <c r="P923" i="6" s="1"/>
  <c r="M923" i="6"/>
  <c r="L923" i="6"/>
  <c r="K923" i="6"/>
  <c r="Q923" i="6" s="1"/>
  <c r="N922" i="6"/>
  <c r="P922" i="6" s="1"/>
  <c r="M922" i="6"/>
  <c r="L922" i="6"/>
  <c r="K922" i="6"/>
  <c r="Q922" i="6" s="1"/>
  <c r="N921" i="6"/>
  <c r="P921" i="6" s="1"/>
  <c r="M921" i="6"/>
  <c r="L921" i="6"/>
  <c r="K921" i="6"/>
  <c r="Q921" i="6" s="1"/>
  <c r="N920" i="6"/>
  <c r="P920" i="6" s="1"/>
  <c r="M920" i="6"/>
  <c r="L920" i="6"/>
  <c r="K920" i="6"/>
  <c r="Q920" i="6" s="1"/>
  <c r="N919" i="6"/>
  <c r="P919" i="6" s="1"/>
  <c r="M919" i="6"/>
  <c r="L919" i="6"/>
  <c r="K919" i="6"/>
  <c r="Q919" i="6" s="1"/>
  <c r="N918" i="6"/>
  <c r="P918" i="6" s="1"/>
  <c r="M918" i="6"/>
  <c r="L918" i="6"/>
  <c r="K918" i="6"/>
  <c r="Q918" i="6" s="1"/>
  <c r="N917" i="6"/>
  <c r="P917" i="6" s="1"/>
  <c r="M917" i="6"/>
  <c r="L917" i="6"/>
  <c r="K917" i="6"/>
  <c r="Q917" i="6" s="1"/>
  <c r="N916" i="6"/>
  <c r="P916" i="6" s="1"/>
  <c r="M916" i="6"/>
  <c r="L916" i="6"/>
  <c r="K916" i="6"/>
  <c r="Q916" i="6" s="1"/>
  <c r="N915" i="6"/>
  <c r="P915" i="6" s="1"/>
  <c r="M915" i="6"/>
  <c r="L915" i="6"/>
  <c r="K915" i="6"/>
  <c r="Q915" i="6" s="1"/>
  <c r="N914" i="6"/>
  <c r="P914" i="6" s="1"/>
  <c r="M914" i="6"/>
  <c r="L914" i="6"/>
  <c r="K914" i="6"/>
  <c r="Q914" i="6" s="1"/>
  <c r="N913" i="6"/>
  <c r="P913" i="6" s="1"/>
  <c r="M913" i="6"/>
  <c r="L913" i="6"/>
  <c r="K913" i="6"/>
  <c r="Q913" i="6" s="1"/>
  <c r="N912" i="6"/>
  <c r="P912" i="6" s="1"/>
  <c r="M912" i="6"/>
  <c r="L912" i="6"/>
  <c r="K912" i="6"/>
  <c r="Q912" i="6" s="1"/>
  <c r="N911" i="6"/>
  <c r="P911" i="6" s="1"/>
  <c r="M911" i="6"/>
  <c r="L911" i="6"/>
  <c r="K911" i="6"/>
  <c r="Q911" i="6" s="1"/>
  <c r="N910" i="6"/>
  <c r="P910" i="6" s="1"/>
  <c r="M910" i="6"/>
  <c r="L910" i="6"/>
  <c r="K910" i="6"/>
  <c r="Q910" i="6" s="1"/>
  <c r="N909" i="6"/>
  <c r="P909" i="6" s="1"/>
  <c r="M909" i="6"/>
  <c r="L909" i="6"/>
  <c r="K909" i="6"/>
  <c r="Q909" i="6" s="1"/>
  <c r="N908" i="6"/>
  <c r="P908" i="6" s="1"/>
  <c r="M908" i="6"/>
  <c r="L908" i="6"/>
  <c r="K908" i="6"/>
  <c r="Q908" i="6" s="1"/>
  <c r="N907" i="6"/>
  <c r="P907" i="6" s="1"/>
  <c r="M907" i="6"/>
  <c r="L907" i="6"/>
  <c r="K907" i="6"/>
  <c r="Q907" i="6" s="1"/>
  <c r="N906" i="6"/>
  <c r="P906" i="6" s="1"/>
  <c r="M906" i="6"/>
  <c r="L906" i="6"/>
  <c r="K906" i="6"/>
  <c r="Q906" i="6" s="1"/>
  <c r="N905" i="6"/>
  <c r="P905" i="6" s="1"/>
  <c r="M905" i="6"/>
  <c r="L905" i="6"/>
  <c r="K905" i="6"/>
  <c r="Q905" i="6" s="1"/>
  <c r="N904" i="6"/>
  <c r="P904" i="6" s="1"/>
  <c r="M904" i="6"/>
  <c r="L904" i="6"/>
  <c r="K904" i="6"/>
  <c r="Q904" i="6" s="1"/>
  <c r="N903" i="6"/>
  <c r="P903" i="6" s="1"/>
  <c r="M903" i="6"/>
  <c r="L903" i="6"/>
  <c r="K903" i="6"/>
  <c r="Q903" i="6" s="1"/>
  <c r="N902" i="6"/>
  <c r="P902" i="6" s="1"/>
  <c r="M902" i="6"/>
  <c r="L902" i="6"/>
  <c r="K902" i="6"/>
  <c r="Q902" i="6" s="1"/>
  <c r="N901" i="6"/>
  <c r="P901" i="6" s="1"/>
  <c r="M901" i="6"/>
  <c r="L901" i="6"/>
  <c r="K901" i="6"/>
  <c r="Q901" i="6" s="1"/>
  <c r="N900" i="6"/>
  <c r="P900" i="6" s="1"/>
  <c r="M900" i="6"/>
  <c r="L900" i="6"/>
  <c r="K900" i="6"/>
  <c r="Q900" i="6" s="1"/>
  <c r="N899" i="6"/>
  <c r="P899" i="6" s="1"/>
  <c r="M899" i="6"/>
  <c r="L899" i="6"/>
  <c r="K899" i="6"/>
  <c r="Q899" i="6" s="1"/>
  <c r="N898" i="6"/>
  <c r="P898" i="6" s="1"/>
  <c r="M898" i="6"/>
  <c r="L898" i="6"/>
  <c r="K898" i="6"/>
  <c r="Q898" i="6" s="1"/>
  <c r="N897" i="6"/>
  <c r="P897" i="6" s="1"/>
  <c r="M897" i="6"/>
  <c r="L897" i="6"/>
  <c r="K897" i="6"/>
  <c r="Q897" i="6" s="1"/>
  <c r="N896" i="6"/>
  <c r="P896" i="6" s="1"/>
  <c r="M896" i="6"/>
  <c r="L896" i="6"/>
  <c r="K896" i="6"/>
  <c r="Q896" i="6" s="1"/>
  <c r="N895" i="6"/>
  <c r="P895" i="6" s="1"/>
  <c r="M895" i="6"/>
  <c r="L895" i="6"/>
  <c r="K895" i="6"/>
  <c r="Q895" i="6" s="1"/>
  <c r="N894" i="6"/>
  <c r="P894" i="6" s="1"/>
  <c r="M894" i="6"/>
  <c r="L894" i="6"/>
  <c r="K894" i="6"/>
  <c r="Q894" i="6" s="1"/>
  <c r="N893" i="6"/>
  <c r="P893" i="6" s="1"/>
  <c r="M893" i="6"/>
  <c r="L893" i="6"/>
  <c r="K893" i="6"/>
  <c r="Q893" i="6" s="1"/>
  <c r="N892" i="6"/>
  <c r="P892" i="6" s="1"/>
  <c r="M892" i="6"/>
  <c r="L892" i="6"/>
  <c r="K892" i="6"/>
  <c r="Q892" i="6" s="1"/>
  <c r="N891" i="6"/>
  <c r="P891" i="6" s="1"/>
  <c r="M891" i="6"/>
  <c r="L891" i="6"/>
  <c r="K891" i="6"/>
  <c r="Q891" i="6" s="1"/>
  <c r="N890" i="6"/>
  <c r="P890" i="6" s="1"/>
  <c r="M890" i="6"/>
  <c r="L890" i="6"/>
  <c r="K890" i="6"/>
  <c r="Q890" i="6" s="1"/>
  <c r="N889" i="6"/>
  <c r="P889" i="6" s="1"/>
  <c r="M889" i="6"/>
  <c r="L889" i="6"/>
  <c r="K889" i="6"/>
  <c r="Q889" i="6" s="1"/>
  <c r="N888" i="6"/>
  <c r="P888" i="6" s="1"/>
  <c r="M888" i="6"/>
  <c r="L888" i="6"/>
  <c r="K888" i="6"/>
  <c r="Q888" i="6" s="1"/>
  <c r="N887" i="6"/>
  <c r="P887" i="6" s="1"/>
  <c r="M887" i="6"/>
  <c r="L887" i="6"/>
  <c r="K887" i="6"/>
  <c r="Q887" i="6" s="1"/>
  <c r="N886" i="6"/>
  <c r="P886" i="6" s="1"/>
  <c r="M886" i="6"/>
  <c r="L886" i="6"/>
  <c r="K886" i="6"/>
  <c r="Q886" i="6" s="1"/>
  <c r="N885" i="6"/>
  <c r="P885" i="6" s="1"/>
  <c r="M885" i="6"/>
  <c r="L885" i="6"/>
  <c r="K885" i="6"/>
  <c r="Q885" i="6" s="1"/>
  <c r="N884" i="6"/>
  <c r="P884" i="6" s="1"/>
  <c r="M884" i="6"/>
  <c r="L884" i="6"/>
  <c r="K884" i="6"/>
  <c r="Q884" i="6" s="1"/>
  <c r="N883" i="6"/>
  <c r="P883" i="6" s="1"/>
  <c r="M883" i="6"/>
  <c r="L883" i="6"/>
  <c r="K883" i="6"/>
  <c r="Q883" i="6" s="1"/>
  <c r="N882" i="6"/>
  <c r="P882" i="6" s="1"/>
  <c r="M882" i="6"/>
  <c r="L882" i="6"/>
  <c r="K882" i="6"/>
  <c r="Q882" i="6" s="1"/>
  <c r="N881" i="6"/>
  <c r="P881" i="6" s="1"/>
  <c r="M881" i="6"/>
  <c r="L881" i="6"/>
  <c r="K881" i="6"/>
  <c r="Q881" i="6" s="1"/>
  <c r="N880" i="6"/>
  <c r="P880" i="6" s="1"/>
  <c r="M880" i="6"/>
  <c r="L880" i="6"/>
  <c r="K880" i="6"/>
  <c r="Q880" i="6" s="1"/>
  <c r="N879" i="6"/>
  <c r="P879" i="6" s="1"/>
  <c r="M879" i="6"/>
  <c r="L879" i="6"/>
  <c r="K879" i="6"/>
  <c r="Q879" i="6" s="1"/>
  <c r="N878" i="6"/>
  <c r="P878" i="6" s="1"/>
  <c r="M878" i="6"/>
  <c r="L878" i="6"/>
  <c r="K878" i="6"/>
  <c r="Q878" i="6" s="1"/>
  <c r="N877" i="6"/>
  <c r="P877" i="6" s="1"/>
  <c r="M877" i="6"/>
  <c r="L877" i="6"/>
  <c r="K877" i="6"/>
  <c r="Q877" i="6" s="1"/>
  <c r="N876" i="6"/>
  <c r="P876" i="6" s="1"/>
  <c r="M876" i="6"/>
  <c r="L876" i="6"/>
  <c r="K876" i="6"/>
  <c r="Q876" i="6" s="1"/>
  <c r="N875" i="6"/>
  <c r="P875" i="6" s="1"/>
  <c r="M875" i="6"/>
  <c r="L875" i="6"/>
  <c r="K875" i="6"/>
  <c r="Q875" i="6" s="1"/>
  <c r="N874" i="6"/>
  <c r="P874" i="6" s="1"/>
  <c r="M874" i="6"/>
  <c r="L874" i="6"/>
  <c r="K874" i="6"/>
  <c r="Q874" i="6" s="1"/>
  <c r="N873" i="6"/>
  <c r="P873" i="6" s="1"/>
  <c r="M873" i="6"/>
  <c r="L873" i="6"/>
  <c r="K873" i="6"/>
  <c r="Q873" i="6" s="1"/>
  <c r="N872" i="6"/>
  <c r="P872" i="6" s="1"/>
  <c r="M872" i="6"/>
  <c r="L872" i="6"/>
  <c r="K872" i="6"/>
  <c r="Q872" i="6" s="1"/>
  <c r="N871" i="6"/>
  <c r="P871" i="6" s="1"/>
  <c r="M871" i="6"/>
  <c r="L871" i="6"/>
  <c r="K871" i="6"/>
  <c r="Q871" i="6" s="1"/>
  <c r="N870" i="6"/>
  <c r="P870" i="6" s="1"/>
  <c r="M870" i="6"/>
  <c r="L870" i="6"/>
  <c r="K870" i="6"/>
  <c r="Q870" i="6" s="1"/>
  <c r="N869" i="6"/>
  <c r="P869" i="6" s="1"/>
  <c r="M869" i="6"/>
  <c r="L869" i="6"/>
  <c r="K869" i="6"/>
  <c r="Q869" i="6" s="1"/>
  <c r="N868" i="6"/>
  <c r="P868" i="6" s="1"/>
  <c r="M868" i="6"/>
  <c r="L868" i="6"/>
  <c r="K868" i="6"/>
  <c r="Q868" i="6" s="1"/>
  <c r="N867" i="6"/>
  <c r="P867" i="6" s="1"/>
  <c r="M867" i="6"/>
  <c r="L867" i="6"/>
  <c r="K867" i="6"/>
  <c r="Q867" i="6" s="1"/>
  <c r="N866" i="6"/>
  <c r="P866" i="6" s="1"/>
  <c r="M866" i="6"/>
  <c r="L866" i="6"/>
  <c r="K866" i="6"/>
  <c r="Q866" i="6" s="1"/>
  <c r="N865" i="6"/>
  <c r="P865" i="6" s="1"/>
  <c r="M865" i="6"/>
  <c r="L865" i="6"/>
  <c r="K865" i="6"/>
  <c r="Q865" i="6" s="1"/>
  <c r="N864" i="6"/>
  <c r="P864" i="6" s="1"/>
  <c r="M864" i="6"/>
  <c r="L864" i="6"/>
  <c r="K864" i="6"/>
  <c r="Q864" i="6" s="1"/>
  <c r="N863" i="6"/>
  <c r="P863" i="6" s="1"/>
  <c r="M863" i="6"/>
  <c r="L863" i="6"/>
  <c r="K863" i="6"/>
  <c r="Q863" i="6" s="1"/>
  <c r="N862" i="6"/>
  <c r="P862" i="6" s="1"/>
  <c r="M862" i="6"/>
  <c r="L862" i="6"/>
  <c r="K862" i="6"/>
  <c r="Q862" i="6" s="1"/>
  <c r="N861" i="6"/>
  <c r="P861" i="6" s="1"/>
  <c r="M861" i="6"/>
  <c r="L861" i="6"/>
  <c r="K861" i="6"/>
  <c r="Q861" i="6" s="1"/>
  <c r="N860" i="6"/>
  <c r="P860" i="6" s="1"/>
  <c r="M860" i="6"/>
  <c r="L860" i="6"/>
  <c r="K860" i="6"/>
  <c r="Q860" i="6" s="1"/>
  <c r="N859" i="6"/>
  <c r="P859" i="6" s="1"/>
  <c r="M859" i="6"/>
  <c r="L859" i="6"/>
  <c r="K859" i="6"/>
  <c r="Q859" i="6" s="1"/>
  <c r="N858" i="6"/>
  <c r="P858" i="6" s="1"/>
  <c r="M858" i="6"/>
  <c r="L858" i="6"/>
  <c r="K858" i="6"/>
  <c r="Q858" i="6" s="1"/>
  <c r="N857" i="6"/>
  <c r="P857" i="6" s="1"/>
  <c r="M857" i="6"/>
  <c r="L857" i="6"/>
  <c r="K857" i="6"/>
  <c r="Q857" i="6" s="1"/>
  <c r="N856" i="6"/>
  <c r="P856" i="6" s="1"/>
  <c r="M856" i="6"/>
  <c r="L856" i="6"/>
  <c r="K856" i="6"/>
  <c r="Q856" i="6" s="1"/>
  <c r="N855" i="6"/>
  <c r="P855" i="6" s="1"/>
  <c r="M855" i="6"/>
  <c r="L855" i="6"/>
  <c r="K855" i="6"/>
  <c r="Q855" i="6" s="1"/>
  <c r="N854" i="6"/>
  <c r="P854" i="6" s="1"/>
  <c r="M854" i="6"/>
  <c r="L854" i="6"/>
  <c r="K854" i="6"/>
  <c r="Q854" i="6" s="1"/>
  <c r="N853" i="6"/>
  <c r="P853" i="6" s="1"/>
  <c r="M853" i="6"/>
  <c r="L853" i="6"/>
  <c r="K853" i="6"/>
  <c r="Q853" i="6" s="1"/>
  <c r="N852" i="6"/>
  <c r="P852" i="6" s="1"/>
  <c r="M852" i="6"/>
  <c r="L852" i="6"/>
  <c r="K852" i="6"/>
  <c r="Q852" i="6" s="1"/>
  <c r="N851" i="6"/>
  <c r="P851" i="6" s="1"/>
  <c r="M851" i="6"/>
  <c r="L851" i="6"/>
  <c r="K851" i="6"/>
  <c r="Q851" i="6" s="1"/>
  <c r="N850" i="6"/>
  <c r="P850" i="6" s="1"/>
  <c r="M850" i="6"/>
  <c r="L850" i="6"/>
  <c r="K850" i="6"/>
  <c r="Q850" i="6" s="1"/>
  <c r="N849" i="6"/>
  <c r="P849" i="6" s="1"/>
  <c r="M849" i="6"/>
  <c r="L849" i="6"/>
  <c r="K849" i="6"/>
  <c r="Q849" i="6" s="1"/>
  <c r="N848" i="6"/>
  <c r="P848" i="6" s="1"/>
  <c r="M848" i="6"/>
  <c r="L848" i="6"/>
  <c r="K848" i="6"/>
  <c r="Q848" i="6" s="1"/>
  <c r="N847" i="6"/>
  <c r="P847" i="6" s="1"/>
  <c r="M847" i="6"/>
  <c r="L847" i="6"/>
  <c r="K847" i="6"/>
  <c r="Q847" i="6" s="1"/>
  <c r="N846" i="6"/>
  <c r="P846" i="6" s="1"/>
  <c r="M846" i="6"/>
  <c r="L846" i="6"/>
  <c r="K846" i="6"/>
  <c r="Q846" i="6" s="1"/>
  <c r="N845" i="6"/>
  <c r="P845" i="6" s="1"/>
  <c r="M845" i="6"/>
  <c r="L845" i="6"/>
  <c r="K845" i="6"/>
  <c r="Q845" i="6" s="1"/>
  <c r="N844" i="6"/>
  <c r="P844" i="6" s="1"/>
  <c r="M844" i="6"/>
  <c r="L844" i="6"/>
  <c r="K844" i="6"/>
  <c r="Q844" i="6" s="1"/>
  <c r="N843" i="6"/>
  <c r="P843" i="6" s="1"/>
  <c r="M843" i="6"/>
  <c r="L843" i="6"/>
  <c r="K843" i="6"/>
  <c r="Q843" i="6" s="1"/>
  <c r="N842" i="6"/>
  <c r="P842" i="6" s="1"/>
  <c r="M842" i="6"/>
  <c r="L842" i="6"/>
  <c r="K842" i="6"/>
  <c r="Q842" i="6" s="1"/>
  <c r="N841" i="6"/>
  <c r="P841" i="6" s="1"/>
  <c r="M841" i="6"/>
  <c r="L841" i="6"/>
  <c r="K841" i="6"/>
  <c r="Q841" i="6" s="1"/>
  <c r="N840" i="6"/>
  <c r="P840" i="6" s="1"/>
  <c r="M840" i="6"/>
  <c r="L840" i="6"/>
  <c r="K840" i="6"/>
  <c r="Q840" i="6" s="1"/>
  <c r="N839" i="6"/>
  <c r="P839" i="6" s="1"/>
  <c r="M839" i="6"/>
  <c r="L839" i="6"/>
  <c r="K839" i="6"/>
  <c r="Q839" i="6" s="1"/>
  <c r="N838" i="6"/>
  <c r="P838" i="6" s="1"/>
  <c r="M838" i="6"/>
  <c r="L838" i="6"/>
  <c r="K838" i="6"/>
  <c r="Q838" i="6" s="1"/>
  <c r="N837" i="6"/>
  <c r="P837" i="6" s="1"/>
  <c r="M837" i="6"/>
  <c r="L837" i="6"/>
  <c r="K837" i="6"/>
  <c r="Q837" i="6" s="1"/>
  <c r="N836" i="6"/>
  <c r="P836" i="6" s="1"/>
  <c r="M836" i="6"/>
  <c r="L836" i="6"/>
  <c r="K836" i="6"/>
  <c r="Q836" i="6" s="1"/>
  <c r="N835" i="6"/>
  <c r="P835" i="6" s="1"/>
  <c r="M835" i="6"/>
  <c r="L835" i="6"/>
  <c r="K835" i="6"/>
  <c r="Q835" i="6" s="1"/>
  <c r="N834" i="6"/>
  <c r="P834" i="6" s="1"/>
  <c r="M834" i="6"/>
  <c r="L834" i="6"/>
  <c r="K834" i="6"/>
  <c r="Q834" i="6" s="1"/>
  <c r="N833" i="6"/>
  <c r="P833" i="6" s="1"/>
  <c r="M833" i="6"/>
  <c r="L833" i="6"/>
  <c r="K833" i="6"/>
  <c r="Q833" i="6" s="1"/>
  <c r="N832" i="6"/>
  <c r="P832" i="6" s="1"/>
  <c r="M832" i="6"/>
  <c r="L832" i="6"/>
  <c r="K832" i="6"/>
  <c r="Q832" i="6" s="1"/>
  <c r="N831" i="6"/>
  <c r="P831" i="6" s="1"/>
  <c r="M831" i="6"/>
  <c r="L831" i="6"/>
  <c r="K831" i="6"/>
  <c r="Q831" i="6" s="1"/>
  <c r="N830" i="6"/>
  <c r="P830" i="6" s="1"/>
  <c r="M830" i="6"/>
  <c r="L830" i="6"/>
  <c r="K830" i="6"/>
  <c r="Q830" i="6" s="1"/>
  <c r="N829" i="6"/>
  <c r="P829" i="6" s="1"/>
  <c r="M829" i="6"/>
  <c r="L829" i="6"/>
  <c r="K829" i="6"/>
  <c r="Q829" i="6" s="1"/>
  <c r="N828" i="6"/>
  <c r="P828" i="6" s="1"/>
  <c r="M828" i="6"/>
  <c r="L828" i="6"/>
  <c r="K828" i="6"/>
  <c r="Q828" i="6" s="1"/>
  <c r="N827" i="6"/>
  <c r="P827" i="6" s="1"/>
  <c r="M827" i="6"/>
  <c r="L827" i="6"/>
  <c r="K827" i="6"/>
  <c r="Q827" i="6" s="1"/>
  <c r="N826" i="6"/>
  <c r="P826" i="6" s="1"/>
  <c r="M826" i="6"/>
  <c r="L826" i="6"/>
  <c r="K826" i="6"/>
  <c r="Q826" i="6" s="1"/>
  <c r="N825" i="6"/>
  <c r="P825" i="6" s="1"/>
  <c r="M825" i="6"/>
  <c r="L825" i="6"/>
  <c r="K825" i="6"/>
  <c r="Q825" i="6" s="1"/>
  <c r="N824" i="6"/>
  <c r="P824" i="6" s="1"/>
  <c r="M824" i="6"/>
  <c r="L824" i="6"/>
  <c r="K824" i="6"/>
  <c r="Q824" i="6" s="1"/>
  <c r="N823" i="6"/>
  <c r="P823" i="6" s="1"/>
  <c r="M823" i="6"/>
  <c r="L823" i="6"/>
  <c r="K823" i="6"/>
  <c r="Q823" i="6" s="1"/>
  <c r="N822" i="6"/>
  <c r="P822" i="6" s="1"/>
  <c r="M822" i="6"/>
  <c r="L822" i="6"/>
  <c r="K822" i="6"/>
  <c r="Q822" i="6" s="1"/>
  <c r="N821" i="6"/>
  <c r="P821" i="6" s="1"/>
  <c r="M821" i="6"/>
  <c r="L821" i="6"/>
  <c r="K821" i="6"/>
  <c r="Q821" i="6" s="1"/>
  <c r="N820" i="6"/>
  <c r="P820" i="6" s="1"/>
  <c r="M820" i="6"/>
  <c r="L820" i="6"/>
  <c r="K820" i="6"/>
  <c r="Q820" i="6" s="1"/>
  <c r="N819" i="6"/>
  <c r="P819" i="6" s="1"/>
  <c r="M819" i="6"/>
  <c r="L819" i="6"/>
  <c r="K819" i="6"/>
  <c r="Q819" i="6" s="1"/>
  <c r="N818" i="6"/>
  <c r="P818" i="6" s="1"/>
  <c r="M818" i="6"/>
  <c r="L818" i="6"/>
  <c r="K818" i="6"/>
  <c r="Q818" i="6" s="1"/>
  <c r="N817" i="6"/>
  <c r="P817" i="6" s="1"/>
  <c r="M817" i="6"/>
  <c r="L817" i="6"/>
  <c r="K817" i="6"/>
  <c r="Q817" i="6" s="1"/>
  <c r="N816" i="6"/>
  <c r="P816" i="6" s="1"/>
  <c r="M816" i="6"/>
  <c r="L816" i="6"/>
  <c r="K816" i="6"/>
  <c r="Q816" i="6" s="1"/>
  <c r="N815" i="6"/>
  <c r="P815" i="6" s="1"/>
  <c r="M815" i="6"/>
  <c r="L815" i="6"/>
  <c r="K815" i="6"/>
  <c r="Q815" i="6" s="1"/>
  <c r="N814" i="6"/>
  <c r="P814" i="6" s="1"/>
  <c r="M814" i="6"/>
  <c r="L814" i="6"/>
  <c r="K814" i="6"/>
  <c r="Q814" i="6" s="1"/>
  <c r="N813" i="6"/>
  <c r="P813" i="6" s="1"/>
  <c r="M813" i="6"/>
  <c r="L813" i="6"/>
  <c r="K813" i="6"/>
  <c r="Q813" i="6" s="1"/>
  <c r="N812" i="6"/>
  <c r="P812" i="6" s="1"/>
  <c r="M812" i="6"/>
  <c r="L812" i="6"/>
  <c r="K812" i="6"/>
  <c r="Q812" i="6" s="1"/>
  <c r="N811" i="6"/>
  <c r="P811" i="6" s="1"/>
  <c r="M811" i="6"/>
  <c r="L811" i="6"/>
  <c r="K811" i="6"/>
  <c r="Q811" i="6" s="1"/>
  <c r="N810" i="6"/>
  <c r="P810" i="6" s="1"/>
  <c r="M810" i="6"/>
  <c r="L810" i="6"/>
  <c r="K810" i="6"/>
  <c r="Q810" i="6" s="1"/>
  <c r="N809" i="6"/>
  <c r="P809" i="6" s="1"/>
  <c r="M809" i="6"/>
  <c r="L809" i="6"/>
  <c r="K809" i="6"/>
  <c r="Q809" i="6" s="1"/>
  <c r="N808" i="6"/>
  <c r="P808" i="6" s="1"/>
  <c r="M808" i="6"/>
  <c r="L808" i="6"/>
  <c r="K808" i="6"/>
  <c r="Q808" i="6" s="1"/>
  <c r="N807" i="6"/>
  <c r="P807" i="6" s="1"/>
  <c r="M807" i="6"/>
  <c r="L807" i="6"/>
  <c r="K807" i="6"/>
  <c r="Q807" i="6" s="1"/>
  <c r="N806" i="6"/>
  <c r="P806" i="6" s="1"/>
  <c r="M806" i="6"/>
  <c r="L806" i="6"/>
  <c r="K806" i="6"/>
  <c r="Q806" i="6" s="1"/>
  <c r="N805" i="6"/>
  <c r="P805" i="6" s="1"/>
  <c r="M805" i="6"/>
  <c r="L805" i="6"/>
  <c r="K805" i="6"/>
  <c r="Q805" i="6" s="1"/>
  <c r="N804" i="6"/>
  <c r="P804" i="6" s="1"/>
  <c r="M804" i="6"/>
  <c r="L804" i="6"/>
  <c r="K804" i="6"/>
  <c r="Q804" i="6" s="1"/>
  <c r="N803" i="6"/>
  <c r="P803" i="6" s="1"/>
  <c r="M803" i="6"/>
  <c r="L803" i="6"/>
  <c r="K803" i="6"/>
  <c r="Q803" i="6" s="1"/>
  <c r="N802" i="6"/>
  <c r="P802" i="6" s="1"/>
  <c r="M802" i="6"/>
  <c r="L802" i="6"/>
  <c r="K802" i="6"/>
  <c r="Q802" i="6" s="1"/>
  <c r="N801" i="6"/>
  <c r="P801" i="6" s="1"/>
  <c r="M801" i="6"/>
  <c r="L801" i="6"/>
  <c r="K801" i="6"/>
  <c r="Q801" i="6" s="1"/>
  <c r="N800" i="6"/>
  <c r="P800" i="6" s="1"/>
  <c r="M800" i="6"/>
  <c r="L800" i="6"/>
  <c r="K800" i="6"/>
  <c r="Q800" i="6" s="1"/>
  <c r="N799" i="6"/>
  <c r="P799" i="6" s="1"/>
  <c r="M799" i="6"/>
  <c r="L799" i="6"/>
  <c r="K799" i="6"/>
  <c r="Q799" i="6" s="1"/>
  <c r="N798" i="6"/>
  <c r="P798" i="6" s="1"/>
  <c r="M798" i="6"/>
  <c r="L798" i="6"/>
  <c r="K798" i="6"/>
  <c r="Q798" i="6" s="1"/>
  <c r="N797" i="6"/>
  <c r="P797" i="6" s="1"/>
  <c r="M797" i="6"/>
  <c r="L797" i="6"/>
  <c r="K797" i="6"/>
  <c r="Q797" i="6" s="1"/>
  <c r="N796" i="6"/>
  <c r="P796" i="6" s="1"/>
  <c r="M796" i="6"/>
  <c r="L796" i="6"/>
  <c r="K796" i="6"/>
  <c r="Q796" i="6" s="1"/>
  <c r="N795" i="6"/>
  <c r="P795" i="6" s="1"/>
  <c r="M795" i="6"/>
  <c r="L795" i="6"/>
  <c r="K795" i="6"/>
  <c r="Q795" i="6" s="1"/>
  <c r="N794" i="6"/>
  <c r="P794" i="6" s="1"/>
  <c r="M794" i="6"/>
  <c r="L794" i="6"/>
  <c r="K794" i="6"/>
  <c r="Q794" i="6" s="1"/>
  <c r="N793" i="6"/>
  <c r="P793" i="6" s="1"/>
  <c r="M793" i="6"/>
  <c r="L793" i="6"/>
  <c r="K793" i="6"/>
  <c r="Q793" i="6" s="1"/>
  <c r="N792" i="6"/>
  <c r="P792" i="6" s="1"/>
  <c r="M792" i="6"/>
  <c r="L792" i="6"/>
  <c r="K792" i="6"/>
  <c r="Q792" i="6" s="1"/>
  <c r="N791" i="6"/>
  <c r="P791" i="6" s="1"/>
  <c r="M791" i="6"/>
  <c r="L791" i="6"/>
  <c r="K791" i="6"/>
  <c r="Q791" i="6" s="1"/>
  <c r="N790" i="6"/>
  <c r="P790" i="6" s="1"/>
  <c r="M790" i="6"/>
  <c r="L790" i="6"/>
  <c r="K790" i="6"/>
  <c r="Q790" i="6" s="1"/>
  <c r="N789" i="6"/>
  <c r="P789" i="6" s="1"/>
  <c r="M789" i="6"/>
  <c r="L789" i="6"/>
  <c r="K789" i="6"/>
  <c r="Q789" i="6" s="1"/>
  <c r="N788" i="6"/>
  <c r="P788" i="6" s="1"/>
  <c r="M788" i="6"/>
  <c r="L788" i="6"/>
  <c r="K788" i="6"/>
  <c r="Q788" i="6" s="1"/>
  <c r="N787" i="6"/>
  <c r="P787" i="6" s="1"/>
  <c r="M787" i="6"/>
  <c r="L787" i="6"/>
  <c r="K787" i="6"/>
  <c r="Q787" i="6" s="1"/>
  <c r="N786" i="6"/>
  <c r="P786" i="6" s="1"/>
  <c r="M786" i="6"/>
  <c r="L786" i="6"/>
  <c r="K786" i="6"/>
  <c r="Q786" i="6" s="1"/>
  <c r="N785" i="6"/>
  <c r="P785" i="6" s="1"/>
  <c r="M785" i="6"/>
  <c r="L785" i="6"/>
  <c r="K785" i="6"/>
  <c r="Q785" i="6" s="1"/>
  <c r="N784" i="6"/>
  <c r="P784" i="6" s="1"/>
  <c r="M784" i="6"/>
  <c r="L784" i="6"/>
  <c r="K784" i="6"/>
  <c r="Q784" i="6" s="1"/>
  <c r="N783" i="6"/>
  <c r="P783" i="6" s="1"/>
  <c r="M783" i="6"/>
  <c r="L783" i="6"/>
  <c r="K783" i="6"/>
  <c r="Q783" i="6" s="1"/>
  <c r="N782" i="6"/>
  <c r="P782" i="6" s="1"/>
  <c r="M782" i="6"/>
  <c r="L782" i="6"/>
  <c r="K782" i="6"/>
  <c r="Q782" i="6" s="1"/>
  <c r="N781" i="6"/>
  <c r="P781" i="6" s="1"/>
  <c r="M781" i="6"/>
  <c r="L781" i="6"/>
  <c r="K781" i="6"/>
  <c r="Q781" i="6" s="1"/>
  <c r="N780" i="6"/>
  <c r="P780" i="6" s="1"/>
  <c r="M780" i="6"/>
  <c r="L780" i="6"/>
  <c r="K780" i="6"/>
  <c r="Q780" i="6" s="1"/>
  <c r="N779" i="6"/>
  <c r="P779" i="6" s="1"/>
  <c r="M779" i="6"/>
  <c r="L779" i="6"/>
  <c r="K779" i="6"/>
  <c r="Q779" i="6" s="1"/>
  <c r="N778" i="6"/>
  <c r="P778" i="6" s="1"/>
  <c r="M778" i="6"/>
  <c r="L778" i="6"/>
  <c r="K778" i="6"/>
  <c r="Q778" i="6" s="1"/>
  <c r="N777" i="6"/>
  <c r="P777" i="6" s="1"/>
  <c r="M777" i="6"/>
  <c r="L777" i="6"/>
  <c r="K777" i="6"/>
  <c r="Q777" i="6" s="1"/>
  <c r="N776" i="6"/>
  <c r="P776" i="6" s="1"/>
  <c r="M776" i="6"/>
  <c r="L776" i="6"/>
  <c r="K776" i="6"/>
  <c r="Q776" i="6" s="1"/>
  <c r="N775" i="6"/>
  <c r="P775" i="6" s="1"/>
  <c r="M775" i="6"/>
  <c r="L775" i="6"/>
  <c r="K775" i="6"/>
  <c r="Q775" i="6" s="1"/>
  <c r="N774" i="6"/>
  <c r="P774" i="6" s="1"/>
  <c r="M774" i="6"/>
  <c r="L774" i="6"/>
  <c r="K774" i="6"/>
  <c r="Q774" i="6" s="1"/>
  <c r="N773" i="6"/>
  <c r="P773" i="6" s="1"/>
  <c r="M773" i="6"/>
  <c r="L773" i="6"/>
  <c r="K773" i="6"/>
  <c r="Q773" i="6" s="1"/>
  <c r="N772" i="6"/>
  <c r="P772" i="6" s="1"/>
  <c r="M772" i="6"/>
  <c r="L772" i="6"/>
  <c r="K772" i="6"/>
  <c r="Q772" i="6" s="1"/>
  <c r="N771" i="6"/>
  <c r="P771" i="6" s="1"/>
  <c r="M771" i="6"/>
  <c r="L771" i="6"/>
  <c r="K771" i="6"/>
  <c r="Q771" i="6" s="1"/>
  <c r="N770" i="6"/>
  <c r="P770" i="6" s="1"/>
  <c r="M770" i="6"/>
  <c r="L770" i="6"/>
  <c r="K770" i="6"/>
  <c r="Q770" i="6" s="1"/>
  <c r="N769" i="6"/>
  <c r="P769" i="6" s="1"/>
  <c r="M769" i="6"/>
  <c r="L769" i="6"/>
  <c r="K769" i="6"/>
  <c r="Q769" i="6" s="1"/>
  <c r="N768" i="6"/>
  <c r="P768" i="6" s="1"/>
  <c r="M768" i="6"/>
  <c r="L768" i="6"/>
  <c r="K768" i="6"/>
  <c r="Q768" i="6" s="1"/>
  <c r="N767" i="6"/>
  <c r="P767" i="6" s="1"/>
  <c r="M767" i="6"/>
  <c r="L767" i="6"/>
  <c r="K767" i="6"/>
  <c r="Q767" i="6" s="1"/>
  <c r="N766" i="6"/>
  <c r="P766" i="6" s="1"/>
  <c r="M766" i="6"/>
  <c r="L766" i="6"/>
  <c r="K766" i="6"/>
  <c r="Q766" i="6" s="1"/>
  <c r="N765" i="6"/>
  <c r="P765" i="6" s="1"/>
  <c r="M765" i="6"/>
  <c r="L765" i="6"/>
  <c r="K765" i="6"/>
  <c r="Q765" i="6" s="1"/>
  <c r="N764" i="6"/>
  <c r="P764" i="6" s="1"/>
  <c r="M764" i="6"/>
  <c r="L764" i="6"/>
  <c r="K764" i="6"/>
  <c r="Q764" i="6" s="1"/>
  <c r="N763" i="6"/>
  <c r="P763" i="6" s="1"/>
  <c r="M763" i="6"/>
  <c r="L763" i="6"/>
  <c r="K763" i="6"/>
  <c r="Q763" i="6" s="1"/>
  <c r="N762" i="6"/>
  <c r="P762" i="6" s="1"/>
  <c r="M762" i="6"/>
  <c r="L762" i="6"/>
  <c r="K762" i="6"/>
  <c r="Q762" i="6" s="1"/>
  <c r="N761" i="6"/>
  <c r="P761" i="6" s="1"/>
  <c r="M761" i="6"/>
  <c r="L761" i="6"/>
  <c r="K761" i="6"/>
  <c r="Q761" i="6" s="1"/>
  <c r="N760" i="6"/>
  <c r="P760" i="6" s="1"/>
  <c r="M760" i="6"/>
  <c r="L760" i="6"/>
  <c r="K760" i="6"/>
  <c r="Q760" i="6" s="1"/>
  <c r="N759" i="6"/>
  <c r="P759" i="6" s="1"/>
  <c r="M759" i="6"/>
  <c r="L759" i="6"/>
  <c r="K759" i="6"/>
  <c r="Q759" i="6" s="1"/>
  <c r="N758" i="6"/>
  <c r="P758" i="6" s="1"/>
  <c r="M758" i="6"/>
  <c r="L758" i="6"/>
  <c r="K758" i="6"/>
  <c r="Q758" i="6" s="1"/>
  <c r="N757" i="6"/>
  <c r="P757" i="6" s="1"/>
  <c r="M757" i="6"/>
  <c r="L757" i="6"/>
  <c r="K757" i="6"/>
  <c r="Q757" i="6" s="1"/>
  <c r="N756" i="6"/>
  <c r="P756" i="6" s="1"/>
  <c r="M756" i="6"/>
  <c r="L756" i="6"/>
  <c r="K756" i="6"/>
  <c r="Q756" i="6" s="1"/>
  <c r="N755" i="6"/>
  <c r="P755" i="6" s="1"/>
  <c r="M755" i="6"/>
  <c r="L755" i="6"/>
  <c r="K755" i="6"/>
  <c r="Q755" i="6" s="1"/>
  <c r="N754" i="6"/>
  <c r="P754" i="6" s="1"/>
  <c r="M754" i="6"/>
  <c r="L754" i="6"/>
  <c r="K754" i="6"/>
  <c r="Q754" i="6" s="1"/>
  <c r="N753" i="6"/>
  <c r="P753" i="6" s="1"/>
  <c r="M753" i="6"/>
  <c r="L753" i="6"/>
  <c r="K753" i="6"/>
  <c r="Q753" i="6" s="1"/>
  <c r="N752" i="6"/>
  <c r="P752" i="6" s="1"/>
  <c r="M752" i="6"/>
  <c r="L752" i="6"/>
  <c r="K752" i="6"/>
  <c r="Q752" i="6" s="1"/>
  <c r="N751" i="6"/>
  <c r="P751" i="6" s="1"/>
  <c r="M751" i="6"/>
  <c r="L751" i="6"/>
  <c r="K751" i="6"/>
  <c r="Q751" i="6" s="1"/>
  <c r="N750" i="6"/>
  <c r="P750" i="6" s="1"/>
  <c r="M750" i="6"/>
  <c r="L750" i="6"/>
  <c r="K750" i="6"/>
  <c r="Q750" i="6" s="1"/>
  <c r="N749" i="6"/>
  <c r="P749" i="6" s="1"/>
  <c r="M749" i="6"/>
  <c r="L749" i="6"/>
  <c r="K749" i="6"/>
  <c r="Q749" i="6" s="1"/>
  <c r="N748" i="6"/>
  <c r="P748" i="6" s="1"/>
  <c r="M748" i="6"/>
  <c r="L748" i="6"/>
  <c r="K748" i="6"/>
  <c r="Q748" i="6" s="1"/>
  <c r="N747" i="6"/>
  <c r="P747" i="6" s="1"/>
  <c r="M747" i="6"/>
  <c r="L747" i="6"/>
  <c r="K747" i="6"/>
  <c r="Q747" i="6" s="1"/>
  <c r="N746" i="6"/>
  <c r="P746" i="6" s="1"/>
  <c r="M746" i="6"/>
  <c r="L746" i="6"/>
  <c r="K746" i="6"/>
  <c r="Q746" i="6" s="1"/>
  <c r="N745" i="6"/>
  <c r="P745" i="6" s="1"/>
  <c r="M745" i="6"/>
  <c r="L745" i="6"/>
  <c r="K745" i="6"/>
  <c r="Q745" i="6" s="1"/>
  <c r="N744" i="6"/>
  <c r="P744" i="6" s="1"/>
  <c r="M744" i="6"/>
  <c r="L744" i="6"/>
  <c r="K744" i="6"/>
  <c r="Q744" i="6" s="1"/>
  <c r="N743" i="6"/>
  <c r="P743" i="6" s="1"/>
  <c r="M743" i="6"/>
  <c r="L743" i="6"/>
  <c r="K743" i="6"/>
  <c r="Q743" i="6" s="1"/>
  <c r="N742" i="6"/>
  <c r="P742" i="6" s="1"/>
  <c r="M742" i="6"/>
  <c r="L742" i="6"/>
  <c r="K742" i="6"/>
  <c r="Q742" i="6" s="1"/>
  <c r="N741" i="6"/>
  <c r="P741" i="6" s="1"/>
  <c r="M741" i="6"/>
  <c r="L741" i="6"/>
  <c r="K741" i="6"/>
  <c r="Q741" i="6" s="1"/>
  <c r="N740" i="6"/>
  <c r="P740" i="6" s="1"/>
  <c r="M740" i="6"/>
  <c r="L740" i="6"/>
  <c r="K740" i="6"/>
  <c r="Q740" i="6" s="1"/>
  <c r="N739" i="6"/>
  <c r="P739" i="6" s="1"/>
  <c r="M739" i="6"/>
  <c r="L739" i="6"/>
  <c r="K739" i="6"/>
  <c r="Q739" i="6" s="1"/>
  <c r="N738" i="6"/>
  <c r="P738" i="6" s="1"/>
  <c r="M738" i="6"/>
  <c r="L738" i="6"/>
  <c r="K738" i="6"/>
  <c r="Q738" i="6" s="1"/>
  <c r="N737" i="6"/>
  <c r="P737" i="6" s="1"/>
  <c r="M737" i="6"/>
  <c r="L737" i="6"/>
  <c r="K737" i="6"/>
  <c r="Q737" i="6" s="1"/>
  <c r="N736" i="6"/>
  <c r="P736" i="6" s="1"/>
  <c r="M736" i="6"/>
  <c r="L736" i="6"/>
  <c r="K736" i="6"/>
  <c r="Q736" i="6" s="1"/>
  <c r="N735" i="6"/>
  <c r="P735" i="6" s="1"/>
  <c r="M735" i="6"/>
  <c r="L735" i="6"/>
  <c r="K735" i="6"/>
  <c r="Q735" i="6" s="1"/>
  <c r="N734" i="6"/>
  <c r="P734" i="6" s="1"/>
  <c r="M734" i="6"/>
  <c r="L734" i="6"/>
  <c r="K734" i="6"/>
  <c r="Q734" i="6" s="1"/>
  <c r="N733" i="6"/>
  <c r="P733" i="6" s="1"/>
  <c r="M733" i="6"/>
  <c r="L733" i="6"/>
  <c r="K733" i="6"/>
  <c r="Q733" i="6" s="1"/>
  <c r="N732" i="6"/>
  <c r="P732" i="6" s="1"/>
  <c r="M732" i="6"/>
  <c r="L732" i="6"/>
  <c r="K732" i="6"/>
  <c r="Q732" i="6" s="1"/>
  <c r="N731" i="6"/>
  <c r="P731" i="6" s="1"/>
  <c r="M731" i="6"/>
  <c r="L731" i="6"/>
  <c r="K731" i="6"/>
  <c r="Q731" i="6" s="1"/>
  <c r="N730" i="6"/>
  <c r="P730" i="6" s="1"/>
  <c r="M730" i="6"/>
  <c r="L730" i="6"/>
  <c r="K730" i="6"/>
  <c r="Q730" i="6" s="1"/>
  <c r="N729" i="6"/>
  <c r="P729" i="6" s="1"/>
  <c r="M729" i="6"/>
  <c r="L729" i="6"/>
  <c r="K729" i="6"/>
  <c r="Q729" i="6" s="1"/>
  <c r="N728" i="6"/>
  <c r="P728" i="6" s="1"/>
  <c r="M728" i="6"/>
  <c r="L728" i="6"/>
  <c r="K728" i="6"/>
  <c r="Q728" i="6" s="1"/>
  <c r="N727" i="6"/>
  <c r="P727" i="6" s="1"/>
  <c r="M727" i="6"/>
  <c r="L727" i="6"/>
  <c r="K727" i="6"/>
  <c r="Q727" i="6" s="1"/>
  <c r="N726" i="6"/>
  <c r="P726" i="6" s="1"/>
  <c r="M726" i="6"/>
  <c r="L726" i="6"/>
  <c r="K726" i="6"/>
  <c r="Q726" i="6" s="1"/>
  <c r="N725" i="6"/>
  <c r="P725" i="6" s="1"/>
  <c r="M725" i="6"/>
  <c r="L725" i="6"/>
  <c r="K725" i="6"/>
  <c r="Q725" i="6" s="1"/>
  <c r="N724" i="6"/>
  <c r="P724" i="6" s="1"/>
  <c r="M724" i="6"/>
  <c r="L724" i="6"/>
  <c r="K724" i="6"/>
  <c r="Q724" i="6" s="1"/>
  <c r="N723" i="6"/>
  <c r="P723" i="6" s="1"/>
  <c r="M723" i="6"/>
  <c r="L723" i="6"/>
  <c r="K723" i="6"/>
  <c r="Q723" i="6" s="1"/>
  <c r="N722" i="6"/>
  <c r="P722" i="6" s="1"/>
  <c r="M722" i="6"/>
  <c r="L722" i="6"/>
  <c r="K722" i="6"/>
  <c r="Q722" i="6" s="1"/>
  <c r="N721" i="6"/>
  <c r="P721" i="6" s="1"/>
  <c r="M721" i="6"/>
  <c r="L721" i="6"/>
  <c r="K721" i="6"/>
  <c r="Q721" i="6" s="1"/>
  <c r="N720" i="6"/>
  <c r="P720" i="6" s="1"/>
  <c r="M720" i="6"/>
  <c r="L720" i="6"/>
  <c r="K720" i="6"/>
  <c r="Q720" i="6" s="1"/>
  <c r="N719" i="6"/>
  <c r="P719" i="6" s="1"/>
  <c r="M719" i="6"/>
  <c r="L719" i="6"/>
  <c r="K719" i="6"/>
  <c r="Q719" i="6" s="1"/>
  <c r="N718" i="6"/>
  <c r="P718" i="6" s="1"/>
  <c r="M718" i="6"/>
  <c r="L718" i="6"/>
  <c r="K718" i="6"/>
  <c r="Q718" i="6" s="1"/>
  <c r="N717" i="6"/>
  <c r="P717" i="6" s="1"/>
  <c r="M717" i="6"/>
  <c r="L717" i="6"/>
  <c r="K717" i="6"/>
  <c r="Q717" i="6" s="1"/>
  <c r="N716" i="6"/>
  <c r="P716" i="6" s="1"/>
  <c r="M716" i="6"/>
  <c r="L716" i="6"/>
  <c r="K716" i="6"/>
  <c r="Q716" i="6" s="1"/>
  <c r="N715" i="6"/>
  <c r="P715" i="6" s="1"/>
  <c r="M715" i="6"/>
  <c r="L715" i="6"/>
  <c r="K715" i="6"/>
  <c r="Q715" i="6" s="1"/>
  <c r="N714" i="6"/>
  <c r="P714" i="6" s="1"/>
  <c r="M714" i="6"/>
  <c r="L714" i="6"/>
  <c r="K714" i="6"/>
  <c r="Q714" i="6" s="1"/>
  <c r="N713" i="6"/>
  <c r="P713" i="6" s="1"/>
  <c r="M713" i="6"/>
  <c r="L713" i="6"/>
  <c r="K713" i="6"/>
  <c r="Q713" i="6" s="1"/>
  <c r="N712" i="6"/>
  <c r="P712" i="6" s="1"/>
  <c r="M712" i="6"/>
  <c r="L712" i="6"/>
  <c r="K712" i="6"/>
  <c r="Q712" i="6" s="1"/>
  <c r="N711" i="6"/>
  <c r="P711" i="6" s="1"/>
  <c r="M711" i="6"/>
  <c r="L711" i="6"/>
  <c r="K711" i="6"/>
  <c r="Q711" i="6" s="1"/>
  <c r="N710" i="6"/>
  <c r="P710" i="6" s="1"/>
  <c r="M710" i="6"/>
  <c r="L710" i="6"/>
  <c r="K710" i="6"/>
  <c r="Q710" i="6" s="1"/>
  <c r="N709" i="6"/>
  <c r="P709" i="6" s="1"/>
  <c r="M709" i="6"/>
  <c r="L709" i="6"/>
  <c r="K709" i="6"/>
  <c r="Q709" i="6" s="1"/>
  <c r="N708" i="6"/>
  <c r="P708" i="6" s="1"/>
  <c r="M708" i="6"/>
  <c r="L708" i="6"/>
  <c r="K708" i="6"/>
  <c r="Q708" i="6" s="1"/>
  <c r="N707" i="6"/>
  <c r="P707" i="6" s="1"/>
  <c r="M707" i="6"/>
  <c r="L707" i="6"/>
  <c r="K707" i="6"/>
  <c r="Q707" i="6" s="1"/>
  <c r="N706" i="6"/>
  <c r="P706" i="6" s="1"/>
  <c r="M706" i="6"/>
  <c r="L706" i="6"/>
  <c r="K706" i="6"/>
  <c r="Q706" i="6" s="1"/>
  <c r="N705" i="6"/>
  <c r="P705" i="6" s="1"/>
  <c r="M705" i="6"/>
  <c r="L705" i="6"/>
  <c r="K705" i="6"/>
  <c r="Q705" i="6" s="1"/>
  <c r="N704" i="6"/>
  <c r="P704" i="6" s="1"/>
  <c r="M704" i="6"/>
  <c r="L704" i="6"/>
  <c r="K704" i="6"/>
  <c r="Q704" i="6" s="1"/>
  <c r="N703" i="6"/>
  <c r="P703" i="6" s="1"/>
  <c r="M703" i="6"/>
  <c r="L703" i="6"/>
  <c r="K703" i="6"/>
  <c r="Q703" i="6" s="1"/>
  <c r="N702" i="6"/>
  <c r="P702" i="6" s="1"/>
  <c r="M702" i="6"/>
  <c r="L702" i="6"/>
  <c r="K702" i="6"/>
  <c r="Q702" i="6" s="1"/>
  <c r="N701" i="6"/>
  <c r="P701" i="6" s="1"/>
  <c r="M701" i="6"/>
  <c r="L701" i="6"/>
  <c r="K701" i="6"/>
  <c r="Q701" i="6" s="1"/>
  <c r="N700" i="6"/>
  <c r="P700" i="6" s="1"/>
  <c r="M700" i="6"/>
  <c r="L700" i="6"/>
  <c r="K700" i="6"/>
  <c r="Q700" i="6" s="1"/>
  <c r="N699" i="6"/>
  <c r="P699" i="6" s="1"/>
  <c r="M699" i="6"/>
  <c r="L699" i="6"/>
  <c r="K699" i="6"/>
  <c r="Q699" i="6" s="1"/>
  <c r="N698" i="6"/>
  <c r="P698" i="6" s="1"/>
  <c r="M698" i="6"/>
  <c r="L698" i="6"/>
  <c r="K698" i="6"/>
  <c r="Q698" i="6" s="1"/>
  <c r="N697" i="6"/>
  <c r="P697" i="6" s="1"/>
  <c r="M697" i="6"/>
  <c r="L697" i="6"/>
  <c r="K697" i="6"/>
  <c r="Q697" i="6" s="1"/>
  <c r="N696" i="6"/>
  <c r="P696" i="6" s="1"/>
  <c r="M696" i="6"/>
  <c r="L696" i="6"/>
  <c r="K696" i="6"/>
  <c r="Q696" i="6" s="1"/>
  <c r="N695" i="6"/>
  <c r="P695" i="6" s="1"/>
  <c r="M695" i="6"/>
  <c r="L695" i="6"/>
  <c r="K695" i="6"/>
  <c r="Q695" i="6" s="1"/>
  <c r="N694" i="6"/>
  <c r="P694" i="6" s="1"/>
  <c r="M694" i="6"/>
  <c r="L694" i="6"/>
  <c r="K694" i="6"/>
  <c r="Q694" i="6" s="1"/>
  <c r="N693" i="6"/>
  <c r="P693" i="6" s="1"/>
  <c r="M693" i="6"/>
  <c r="L693" i="6"/>
  <c r="K693" i="6"/>
  <c r="Q693" i="6" s="1"/>
  <c r="N692" i="6"/>
  <c r="P692" i="6" s="1"/>
  <c r="M692" i="6"/>
  <c r="L692" i="6"/>
  <c r="K692" i="6"/>
  <c r="Q692" i="6" s="1"/>
  <c r="N691" i="6"/>
  <c r="P691" i="6" s="1"/>
  <c r="M691" i="6"/>
  <c r="L691" i="6"/>
  <c r="K691" i="6"/>
  <c r="Q691" i="6" s="1"/>
  <c r="N690" i="6"/>
  <c r="P690" i="6" s="1"/>
  <c r="M690" i="6"/>
  <c r="L690" i="6"/>
  <c r="K690" i="6"/>
  <c r="Q690" i="6" s="1"/>
  <c r="N689" i="6"/>
  <c r="P689" i="6" s="1"/>
  <c r="M689" i="6"/>
  <c r="L689" i="6"/>
  <c r="K689" i="6"/>
  <c r="Q689" i="6" s="1"/>
  <c r="N688" i="6"/>
  <c r="P688" i="6" s="1"/>
  <c r="M688" i="6"/>
  <c r="L688" i="6"/>
  <c r="K688" i="6"/>
  <c r="Q688" i="6" s="1"/>
  <c r="N687" i="6"/>
  <c r="P687" i="6" s="1"/>
  <c r="M687" i="6"/>
  <c r="L687" i="6"/>
  <c r="K687" i="6"/>
  <c r="Q687" i="6" s="1"/>
  <c r="N686" i="6"/>
  <c r="P686" i="6" s="1"/>
  <c r="M686" i="6"/>
  <c r="L686" i="6"/>
  <c r="K686" i="6"/>
  <c r="Q686" i="6" s="1"/>
  <c r="N685" i="6"/>
  <c r="P685" i="6" s="1"/>
  <c r="M685" i="6"/>
  <c r="L685" i="6"/>
  <c r="K685" i="6"/>
  <c r="Q685" i="6" s="1"/>
  <c r="N684" i="6"/>
  <c r="P684" i="6" s="1"/>
  <c r="M684" i="6"/>
  <c r="L684" i="6"/>
  <c r="K684" i="6"/>
  <c r="Q684" i="6" s="1"/>
  <c r="N683" i="6"/>
  <c r="P683" i="6" s="1"/>
  <c r="M683" i="6"/>
  <c r="L683" i="6"/>
  <c r="K683" i="6"/>
  <c r="Q683" i="6" s="1"/>
  <c r="N682" i="6"/>
  <c r="P682" i="6" s="1"/>
  <c r="M682" i="6"/>
  <c r="L682" i="6"/>
  <c r="K682" i="6"/>
  <c r="Q682" i="6" s="1"/>
  <c r="N681" i="6"/>
  <c r="P681" i="6" s="1"/>
  <c r="M681" i="6"/>
  <c r="L681" i="6"/>
  <c r="K681" i="6"/>
  <c r="Q681" i="6" s="1"/>
  <c r="N680" i="6"/>
  <c r="P680" i="6" s="1"/>
  <c r="M680" i="6"/>
  <c r="L680" i="6"/>
  <c r="K680" i="6"/>
  <c r="Q680" i="6" s="1"/>
  <c r="N679" i="6"/>
  <c r="P679" i="6" s="1"/>
  <c r="M679" i="6"/>
  <c r="L679" i="6"/>
  <c r="K679" i="6"/>
  <c r="Q679" i="6" s="1"/>
  <c r="N678" i="6"/>
  <c r="P678" i="6" s="1"/>
  <c r="M678" i="6"/>
  <c r="L678" i="6"/>
  <c r="K678" i="6"/>
  <c r="Q678" i="6" s="1"/>
  <c r="N677" i="6"/>
  <c r="P677" i="6" s="1"/>
  <c r="M677" i="6"/>
  <c r="L677" i="6"/>
  <c r="K677" i="6"/>
  <c r="Q677" i="6" s="1"/>
  <c r="N676" i="6"/>
  <c r="P676" i="6" s="1"/>
  <c r="M676" i="6"/>
  <c r="L676" i="6"/>
  <c r="K676" i="6"/>
  <c r="Q676" i="6" s="1"/>
  <c r="N675" i="6"/>
  <c r="P675" i="6" s="1"/>
  <c r="M675" i="6"/>
  <c r="L675" i="6"/>
  <c r="K675" i="6"/>
  <c r="Q675" i="6" s="1"/>
  <c r="N674" i="6"/>
  <c r="P674" i="6" s="1"/>
  <c r="M674" i="6"/>
  <c r="L674" i="6"/>
  <c r="K674" i="6"/>
  <c r="Q674" i="6" s="1"/>
  <c r="N673" i="6"/>
  <c r="P673" i="6" s="1"/>
  <c r="M673" i="6"/>
  <c r="L673" i="6"/>
  <c r="K673" i="6"/>
  <c r="Q673" i="6" s="1"/>
  <c r="N672" i="6"/>
  <c r="P672" i="6" s="1"/>
  <c r="M672" i="6"/>
  <c r="L672" i="6"/>
  <c r="K672" i="6"/>
  <c r="Q672" i="6" s="1"/>
  <c r="N671" i="6"/>
  <c r="P671" i="6" s="1"/>
  <c r="M671" i="6"/>
  <c r="L671" i="6"/>
  <c r="K671" i="6"/>
  <c r="Q671" i="6" s="1"/>
  <c r="N670" i="6"/>
  <c r="P670" i="6" s="1"/>
  <c r="M670" i="6"/>
  <c r="L670" i="6"/>
  <c r="K670" i="6"/>
  <c r="Q670" i="6" s="1"/>
  <c r="N669" i="6"/>
  <c r="P669" i="6" s="1"/>
  <c r="M669" i="6"/>
  <c r="L669" i="6"/>
  <c r="K669" i="6"/>
  <c r="Q669" i="6" s="1"/>
  <c r="N668" i="6"/>
  <c r="P668" i="6" s="1"/>
  <c r="M668" i="6"/>
  <c r="L668" i="6"/>
  <c r="K668" i="6"/>
  <c r="Q668" i="6" s="1"/>
  <c r="N667" i="6"/>
  <c r="P667" i="6" s="1"/>
  <c r="M667" i="6"/>
  <c r="L667" i="6"/>
  <c r="K667" i="6"/>
  <c r="Q667" i="6" s="1"/>
  <c r="N666" i="6"/>
  <c r="P666" i="6" s="1"/>
  <c r="M666" i="6"/>
  <c r="L666" i="6"/>
  <c r="K666" i="6"/>
  <c r="Q666" i="6" s="1"/>
  <c r="N665" i="6"/>
  <c r="P665" i="6" s="1"/>
  <c r="M665" i="6"/>
  <c r="L665" i="6"/>
  <c r="K665" i="6"/>
  <c r="Q665" i="6" s="1"/>
  <c r="N664" i="6"/>
  <c r="P664" i="6" s="1"/>
  <c r="M664" i="6"/>
  <c r="L664" i="6"/>
  <c r="K664" i="6"/>
  <c r="Q664" i="6" s="1"/>
  <c r="N663" i="6"/>
  <c r="P663" i="6" s="1"/>
  <c r="M663" i="6"/>
  <c r="L663" i="6"/>
  <c r="K663" i="6"/>
  <c r="Q663" i="6" s="1"/>
  <c r="N662" i="6"/>
  <c r="P662" i="6" s="1"/>
  <c r="M662" i="6"/>
  <c r="L662" i="6"/>
  <c r="K662" i="6"/>
  <c r="Q662" i="6" s="1"/>
  <c r="N661" i="6"/>
  <c r="P661" i="6" s="1"/>
  <c r="M661" i="6"/>
  <c r="L661" i="6"/>
  <c r="K661" i="6"/>
  <c r="Q661" i="6" s="1"/>
  <c r="N660" i="6"/>
  <c r="P660" i="6" s="1"/>
  <c r="M660" i="6"/>
  <c r="L660" i="6"/>
  <c r="K660" i="6"/>
  <c r="Q660" i="6" s="1"/>
  <c r="N659" i="6"/>
  <c r="P659" i="6" s="1"/>
  <c r="M659" i="6"/>
  <c r="L659" i="6"/>
  <c r="K659" i="6"/>
  <c r="Q659" i="6" s="1"/>
  <c r="N658" i="6"/>
  <c r="P658" i="6" s="1"/>
  <c r="M658" i="6"/>
  <c r="L658" i="6"/>
  <c r="K658" i="6"/>
  <c r="Q658" i="6" s="1"/>
  <c r="N657" i="6"/>
  <c r="P657" i="6" s="1"/>
  <c r="M657" i="6"/>
  <c r="L657" i="6"/>
  <c r="K657" i="6"/>
  <c r="Q657" i="6" s="1"/>
  <c r="N656" i="6"/>
  <c r="P656" i="6" s="1"/>
  <c r="M656" i="6"/>
  <c r="L656" i="6"/>
  <c r="K656" i="6"/>
  <c r="Q656" i="6" s="1"/>
  <c r="N655" i="6"/>
  <c r="P655" i="6" s="1"/>
  <c r="M655" i="6"/>
  <c r="L655" i="6"/>
  <c r="K655" i="6"/>
  <c r="Q655" i="6" s="1"/>
  <c r="N654" i="6"/>
  <c r="P654" i="6" s="1"/>
  <c r="M654" i="6"/>
  <c r="L654" i="6"/>
  <c r="K654" i="6"/>
  <c r="Q654" i="6" s="1"/>
  <c r="N653" i="6"/>
  <c r="P653" i="6" s="1"/>
  <c r="M653" i="6"/>
  <c r="L653" i="6"/>
  <c r="K653" i="6"/>
  <c r="Q653" i="6" s="1"/>
  <c r="N652" i="6"/>
  <c r="P652" i="6" s="1"/>
  <c r="M652" i="6"/>
  <c r="L652" i="6"/>
  <c r="K652" i="6"/>
  <c r="Q652" i="6" s="1"/>
  <c r="N651" i="6"/>
  <c r="P651" i="6" s="1"/>
  <c r="M651" i="6"/>
  <c r="L651" i="6"/>
  <c r="K651" i="6"/>
  <c r="Q651" i="6" s="1"/>
  <c r="N650" i="6"/>
  <c r="P650" i="6" s="1"/>
  <c r="M650" i="6"/>
  <c r="L650" i="6"/>
  <c r="K650" i="6"/>
  <c r="Q650" i="6" s="1"/>
  <c r="N649" i="6"/>
  <c r="P649" i="6" s="1"/>
  <c r="M649" i="6"/>
  <c r="L649" i="6"/>
  <c r="K649" i="6"/>
  <c r="Q649" i="6" s="1"/>
  <c r="N648" i="6"/>
  <c r="P648" i="6" s="1"/>
  <c r="M648" i="6"/>
  <c r="L648" i="6"/>
  <c r="K648" i="6"/>
  <c r="Q648" i="6" s="1"/>
  <c r="N647" i="6"/>
  <c r="P647" i="6" s="1"/>
  <c r="M647" i="6"/>
  <c r="L647" i="6"/>
  <c r="K647" i="6"/>
  <c r="Q647" i="6" s="1"/>
  <c r="N646" i="6"/>
  <c r="P646" i="6" s="1"/>
  <c r="M646" i="6"/>
  <c r="L646" i="6"/>
  <c r="K646" i="6"/>
  <c r="Q646" i="6" s="1"/>
  <c r="N645" i="6"/>
  <c r="P645" i="6" s="1"/>
  <c r="M645" i="6"/>
  <c r="L645" i="6"/>
  <c r="K645" i="6"/>
  <c r="Q645" i="6" s="1"/>
  <c r="N644" i="6"/>
  <c r="P644" i="6" s="1"/>
  <c r="M644" i="6"/>
  <c r="L644" i="6"/>
  <c r="K644" i="6"/>
  <c r="Q644" i="6" s="1"/>
  <c r="N643" i="6"/>
  <c r="P643" i="6" s="1"/>
  <c r="M643" i="6"/>
  <c r="L643" i="6"/>
  <c r="K643" i="6"/>
  <c r="Q643" i="6" s="1"/>
  <c r="N642" i="6"/>
  <c r="P642" i="6" s="1"/>
  <c r="M642" i="6"/>
  <c r="L642" i="6"/>
  <c r="K642" i="6"/>
  <c r="Q642" i="6" s="1"/>
  <c r="N641" i="6"/>
  <c r="P641" i="6" s="1"/>
  <c r="M641" i="6"/>
  <c r="L641" i="6"/>
  <c r="K641" i="6"/>
  <c r="Q641" i="6" s="1"/>
  <c r="N640" i="6"/>
  <c r="P640" i="6" s="1"/>
  <c r="M640" i="6"/>
  <c r="L640" i="6"/>
  <c r="K640" i="6"/>
  <c r="Q640" i="6" s="1"/>
  <c r="N639" i="6"/>
  <c r="P639" i="6" s="1"/>
  <c r="M639" i="6"/>
  <c r="L639" i="6"/>
  <c r="K639" i="6"/>
  <c r="Q639" i="6" s="1"/>
  <c r="N638" i="6"/>
  <c r="P638" i="6" s="1"/>
  <c r="M638" i="6"/>
  <c r="L638" i="6"/>
  <c r="K638" i="6"/>
  <c r="Q638" i="6" s="1"/>
  <c r="N637" i="6"/>
  <c r="P637" i="6" s="1"/>
  <c r="M637" i="6"/>
  <c r="L637" i="6"/>
  <c r="K637" i="6"/>
  <c r="Q637" i="6" s="1"/>
  <c r="N636" i="6"/>
  <c r="P636" i="6" s="1"/>
  <c r="M636" i="6"/>
  <c r="L636" i="6"/>
  <c r="K636" i="6"/>
  <c r="Q636" i="6" s="1"/>
  <c r="N635" i="6"/>
  <c r="P635" i="6" s="1"/>
  <c r="M635" i="6"/>
  <c r="L635" i="6"/>
  <c r="K635" i="6"/>
  <c r="Q635" i="6" s="1"/>
  <c r="N634" i="6"/>
  <c r="P634" i="6" s="1"/>
  <c r="M634" i="6"/>
  <c r="L634" i="6"/>
  <c r="K634" i="6"/>
  <c r="Q634" i="6" s="1"/>
  <c r="N633" i="6"/>
  <c r="P633" i="6" s="1"/>
  <c r="M633" i="6"/>
  <c r="L633" i="6"/>
  <c r="K633" i="6"/>
  <c r="Q633" i="6" s="1"/>
  <c r="N632" i="6"/>
  <c r="P632" i="6" s="1"/>
  <c r="M632" i="6"/>
  <c r="L632" i="6"/>
  <c r="K632" i="6"/>
  <c r="Q632" i="6" s="1"/>
  <c r="N631" i="6"/>
  <c r="P631" i="6" s="1"/>
  <c r="M631" i="6"/>
  <c r="L631" i="6"/>
  <c r="K631" i="6"/>
  <c r="Q631" i="6" s="1"/>
  <c r="N630" i="6"/>
  <c r="P630" i="6" s="1"/>
  <c r="M630" i="6"/>
  <c r="L630" i="6"/>
  <c r="K630" i="6"/>
  <c r="Q630" i="6" s="1"/>
  <c r="N629" i="6"/>
  <c r="P629" i="6" s="1"/>
  <c r="M629" i="6"/>
  <c r="L629" i="6"/>
  <c r="K629" i="6"/>
  <c r="Q629" i="6" s="1"/>
  <c r="N628" i="6"/>
  <c r="P628" i="6" s="1"/>
  <c r="M628" i="6"/>
  <c r="L628" i="6"/>
  <c r="K628" i="6"/>
  <c r="Q628" i="6" s="1"/>
  <c r="N627" i="6"/>
  <c r="P627" i="6" s="1"/>
  <c r="M627" i="6"/>
  <c r="L627" i="6"/>
  <c r="K627" i="6"/>
  <c r="Q627" i="6" s="1"/>
  <c r="N626" i="6"/>
  <c r="P626" i="6" s="1"/>
  <c r="M626" i="6"/>
  <c r="L626" i="6"/>
  <c r="K626" i="6"/>
  <c r="Q626" i="6" s="1"/>
  <c r="N625" i="6"/>
  <c r="P625" i="6" s="1"/>
  <c r="M625" i="6"/>
  <c r="L625" i="6"/>
  <c r="K625" i="6"/>
  <c r="Q625" i="6" s="1"/>
  <c r="N624" i="6"/>
  <c r="P624" i="6" s="1"/>
  <c r="M624" i="6"/>
  <c r="L624" i="6"/>
  <c r="K624" i="6"/>
  <c r="Q624" i="6" s="1"/>
  <c r="N623" i="6"/>
  <c r="P623" i="6" s="1"/>
  <c r="M623" i="6"/>
  <c r="L623" i="6"/>
  <c r="K623" i="6"/>
  <c r="Q623" i="6" s="1"/>
  <c r="N622" i="6"/>
  <c r="P622" i="6" s="1"/>
  <c r="M622" i="6"/>
  <c r="L622" i="6"/>
  <c r="K622" i="6"/>
  <c r="Q622" i="6" s="1"/>
  <c r="N621" i="6"/>
  <c r="P621" i="6" s="1"/>
  <c r="M621" i="6"/>
  <c r="L621" i="6"/>
  <c r="K621" i="6"/>
  <c r="Q621" i="6" s="1"/>
  <c r="N620" i="6"/>
  <c r="P620" i="6" s="1"/>
  <c r="M620" i="6"/>
  <c r="L620" i="6"/>
  <c r="K620" i="6"/>
  <c r="Q620" i="6" s="1"/>
  <c r="N619" i="6"/>
  <c r="P619" i="6" s="1"/>
  <c r="M619" i="6"/>
  <c r="L619" i="6"/>
  <c r="K619" i="6"/>
  <c r="Q619" i="6" s="1"/>
  <c r="N618" i="6"/>
  <c r="P618" i="6" s="1"/>
  <c r="M618" i="6"/>
  <c r="L618" i="6"/>
  <c r="K618" i="6"/>
  <c r="Q618" i="6" s="1"/>
  <c r="N617" i="6"/>
  <c r="P617" i="6" s="1"/>
  <c r="M617" i="6"/>
  <c r="L617" i="6"/>
  <c r="K617" i="6"/>
  <c r="Q617" i="6" s="1"/>
  <c r="N616" i="6"/>
  <c r="P616" i="6" s="1"/>
  <c r="M616" i="6"/>
  <c r="L616" i="6"/>
  <c r="K616" i="6"/>
  <c r="Q616" i="6" s="1"/>
  <c r="N615" i="6"/>
  <c r="P615" i="6" s="1"/>
  <c r="M615" i="6"/>
  <c r="L615" i="6"/>
  <c r="K615" i="6"/>
  <c r="Q615" i="6" s="1"/>
  <c r="N614" i="6"/>
  <c r="P614" i="6" s="1"/>
  <c r="M614" i="6"/>
  <c r="L614" i="6"/>
  <c r="K614" i="6"/>
  <c r="Q614" i="6" s="1"/>
  <c r="N613" i="6"/>
  <c r="P613" i="6" s="1"/>
  <c r="M613" i="6"/>
  <c r="L613" i="6"/>
  <c r="K613" i="6"/>
  <c r="Q613" i="6" s="1"/>
  <c r="N612" i="6"/>
  <c r="P612" i="6" s="1"/>
  <c r="M612" i="6"/>
  <c r="L612" i="6"/>
  <c r="K612" i="6"/>
  <c r="Q612" i="6" s="1"/>
  <c r="N611" i="6"/>
  <c r="P611" i="6" s="1"/>
  <c r="M611" i="6"/>
  <c r="L611" i="6"/>
  <c r="K611" i="6"/>
  <c r="Q611" i="6" s="1"/>
  <c r="N610" i="6"/>
  <c r="P610" i="6" s="1"/>
  <c r="M610" i="6"/>
  <c r="L610" i="6"/>
  <c r="K610" i="6"/>
  <c r="Q610" i="6" s="1"/>
  <c r="N609" i="6"/>
  <c r="P609" i="6" s="1"/>
  <c r="M609" i="6"/>
  <c r="L609" i="6"/>
  <c r="K609" i="6"/>
  <c r="Q609" i="6" s="1"/>
  <c r="N608" i="6"/>
  <c r="P608" i="6" s="1"/>
  <c r="M608" i="6"/>
  <c r="L608" i="6"/>
  <c r="K608" i="6"/>
  <c r="Q608" i="6" s="1"/>
  <c r="N607" i="6"/>
  <c r="P607" i="6" s="1"/>
  <c r="M607" i="6"/>
  <c r="L607" i="6"/>
  <c r="K607" i="6"/>
  <c r="Q607" i="6" s="1"/>
  <c r="N606" i="6"/>
  <c r="P606" i="6" s="1"/>
  <c r="M606" i="6"/>
  <c r="L606" i="6"/>
  <c r="K606" i="6"/>
  <c r="Q606" i="6" s="1"/>
  <c r="N605" i="6"/>
  <c r="P605" i="6" s="1"/>
  <c r="M605" i="6"/>
  <c r="L605" i="6"/>
  <c r="K605" i="6"/>
  <c r="Q605" i="6" s="1"/>
  <c r="N604" i="6"/>
  <c r="P604" i="6" s="1"/>
  <c r="M604" i="6"/>
  <c r="L604" i="6"/>
  <c r="K604" i="6"/>
  <c r="Q604" i="6" s="1"/>
  <c r="N603" i="6"/>
  <c r="P603" i="6" s="1"/>
  <c r="M603" i="6"/>
  <c r="L603" i="6"/>
  <c r="K603" i="6"/>
  <c r="Q603" i="6" s="1"/>
  <c r="N602" i="6"/>
  <c r="P602" i="6" s="1"/>
  <c r="M602" i="6"/>
  <c r="L602" i="6"/>
  <c r="K602" i="6"/>
  <c r="Q602" i="6" s="1"/>
  <c r="N601" i="6"/>
  <c r="P601" i="6" s="1"/>
  <c r="M601" i="6"/>
  <c r="L601" i="6"/>
  <c r="K601" i="6"/>
  <c r="Q601" i="6" s="1"/>
  <c r="N600" i="6"/>
  <c r="P600" i="6" s="1"/>
  <c r="M600" i="6"/>
  <c r="L600" i="6"/>
  <c r="K600" i="6"/>
  <c r="Q600" i="6" s="1"/>
  <c r="N599" i="6"/>
  <c r="P599" i="6" s="1"/>
  <c r="M599" i="6"/>
  <c r="L599" i="6"/>
  <c r="K599" i="6"/>
  <c r="Q599" i="6" s="1"/>
  <c r="N598" i="6"/>
  <c r="P598" i="6" s="1"/>
  <c r="M598" i="6"/>
  <c r="L598" i="6"/>
  <c r="K598" i="6"/>
  <c r="Q598" i="6" s="1"/>
  <c r="N597" i="6"/>
  <c r="P597" i="6" s="1"/>
  <c r="M597" i="6"/>
  <c r="L597" i="6"/>
  <c r="K597" i="6"/>
  <c r="Q597" i="6" s="1"/>
  <c r="N596" i="6"/>
  <c r="P596" i="6" s="1"/>
  <c r="M596" i="6"/>
  <c r="L596" i="6"/>
  <c r="K596" i="6"/>
  <c r="Q596" i="6" s="1"/>
  <c r="N595" i="6"/>
  <c r="P595" i="6" s="1"/>
  <c r="M595" i="6"/>
  <c r="L595" i="6"/>
  <c r="K595" i="6"/>
  <c r="Q595" i="6" s="1"/>
  <c r="N594" i="6"/>
  <c r="P594" i="6" s="1"/>
  <c r="M594" i="6"/>
  <c r="L594" i="6"/>
  <c r="K594" i="6"/>
  <c r="Q594" i="6" s="1"/>
  <c r="N593" i="6"/>
  <c r="P593" i="6" s="1"/>
  <c r="M593" i="6"/>
  <c r="L593" i="6"/>
  <c r="K593" i="6"/>
  <c r="Q593" i="6" s="1"/>
  <c r="N592" i="6"/>
  <c r="P592" i="6" s="1"/>
  <c r="M592" i="6"/>
  <c r="L592" i="6"/>
  <c r="K592" i="6"/>
  <c r="Q592" i="6" s="1"/>
  <c r="N591" i="6"/>
  <c r="P591" i="6" s="1"/>
  <c r="M591" i="6"/>
  <c r="L591" i="6"/>
  <c r="K591" i="6"/>
  <c r="Q591" i="6" s="1"/>
  <c r="N590" i="6"/>
  <c r="P590" i="6" s="1"/>
  <c r="M590" i="6"/>
  <c r="L590" i="6"/>
  <c r="K590" i="6"/>
  <c r="Q590" i="6" s="1"/>
  <c r="N589" i="6"/>
  <c r="P589" i="6" s="1"/>
  <c r="M589" i="6"/>
  <c r="L589" i="6"/>
  <c r="K589" i="6"/>
  <c r="Q589" i="6" s="1"/>
  <c r="N588" i="6"/>
  <c r="P588" i="6" s="1"/>
  <c r="M588" i="6"/>
  <c r="L588" i="6"/>
  <c r="K588" i="6"/>
  <c r="Q588" i="6" s="1"/>
  <c r="N587" i="6"/>
  <c r="P587" i="6" s="1"/>
  <c r="M587" i="6"/>
  <c r="L587" i="6"/>
  <c r="K587" i="6"/>
  <c r="Q587" i="6" s="1"/>
  <c r="N586" i="6"/>
  <c r="P586" i="6" s="1"/>
  <c r="M586" i="6"/>
  <c r="L586" i="6"/>
  <c r="K586" i="6"/>
  <c r="Q586" i="6" s="1"/>
  <c r="N585" i="6"/>
  <c r="P585" i="6" s="1"/>
  <c r="M585" i="6"/>
  <c r="L585" i="6"/>
  <c r="K585" i="6"/>
  <c r="Q585" i="6" s="1"/>
  <c r="N584" i="6"/>
  <c r="P584" i="6" s="1"/>
  <c r="M584" i="6"/>
  <c r="L584" i="6"/>
  <c r="K584" i="6"/>
  <c r="Q584" i="6" s="1"/>
  <c r="N583" i="6"/>
  <c r="P583" i="6" s="1"/>
  <c r="M583" i="6"/>
  <c r="L583" i="6"/>
  <c r="K583" i="6"/>
  <c r="Q583" i="6" s="1"/>
  <c r="N582" i="6"/>
  <c r="P582" i="6" s="1"/>
  <c r="M582" i="6"/>
  <c r="L582" i="6"/>
  <c r="K582" i="6"/>
  <c r="Q582" i="6" s="1"/>
  <c r="N581" i="6"/>
  <c r="P581" i="6" s="1"/>
  <c r="M581" i="6"/>
  <c r="L581" i="6"/>
  <c r="K581" i="6"/>
  <c r="Q581" i="6" s="1"/>
  <c r="N580" i="6"/>
  <c r="P580" i="6" s="1"/>
  <c r="M580" i="6"/>
  <c r="L580" i="6"/>
  <c r="K580" i="6"/>
  <c r="Q580" i="6" s="1"/>
  <c r="N579" i="6"/>
  <c r="P579" i="6" s="1"/>
  <c r="M579" i="6"/>
  <c r="L579" i="6"/>
  <c r="K579" i="6"/>
  <c r="Q579" i="6" s="1"/>
  <c r="N578" i="6"/>
  <c r="P578" i="6" s="1"/>
  <c r="M578" i="6"/>
  <c r="L578" i="6"/>
  <c r="K578" i="6"/>
  <c r="Q578" i="6" s="1"/>
  <c r="N577" i="6"/>
  <c r="P577" i="6" s="1"/>
  <c r="M577" i="6"/>
  <c r="L577" i="6"/>
  <c r="K577" i="6"/>
  <c r="Q577" i="6" s="1"/>
  <c r="N576" i="6"/>
  <c r="P576" i="6" s="1"/>
  <c r="M576" i="6"/>
  <c r="L576" i="6"/>
  <c r="K576" i="6"/>
  <c r="Q576" i="6" s="1"/>
  <c r="N575" i="6"/>
  <c r="P575" i="6" s="1"/>
  <c r="M575" i="6"/>
  <c r="L575" i="6"/>
  <c r="K575" i="6"/>
  <c r="Q575" i="6" s="1"/>
  <c r="N574" i="6"/>
  <c r="P574" i="6" s="1"/>
  <c r="M574" i="6"/>
  <c r="L574" i="6"/>
  <c r="K574" i="6"/>
  <c r="Q574" i="6" s="1"/>
  <c r="N573" i="6"/>
  <c r="P573" i="6" s="1"/>
  <c r="M573" i="6"/>
  <c r="L573" i="6"/>
  <c r="K573" i="6"/>
  <c r="Q573" i="6" s="1"/>
  <c r="N572" i="6"/>
  <c r="P572" i="6" s="1"/>
  <c r="M572" i="6"/>
  <c r="L572" i="6"/>
  <c r="K572" i="6"/>
  <c r="Q572" i="6" s="1"/>
  <c r="N571" i="6"/>
  <c r="P571" i="6" s="1"/>
  <c r="M571" i="6"/>
  <c r="L571" i="6"/>
  <c r="K571" i="6"/>
  <c r="Q571" i="6" s="1"/>
  <c r="N570" i="6"/>
  <c r="P570" i="6" s="1"/>
  <c r="M570" i="6"/>
  <c r="L570" i="6"/>
  <c r="K570" i="6"/>
  <c r="Q570" i="6" s="1"/>
  <c r="N569" i="6"/>
  <c r="P569" i="6" s="1"/>
  <c r="M569" i="6"/>
  <c r="L569" i="6"/>
  <c r="K569" i="6"/>
  <c r="Q569" i="6" s="1"/>
  <c r="N568" i="6"/>
  <c r="P568" i="6" s="1"/>
  <c r="M568" i="6"/>
  <c r="L568" i="6"/>
  <c r="K568" i="6"/>
  <c r="Q568" i="6" s="1"/>
  <c r="N567" i="6"/>
  <c r="P567" i="6" s="1"/>
  <c r="M567" i="6"/>
  <c r="L567" i="6"/>
  <c r="K567" i="6"/>
  <c r="Q567" i="6" s="1"/>
  <c r="N566" i="6"/>
  <c r="P566" i="6" s="1"/>
  <c r="M566" i="6"/>
  <c r="L566" i="6"/>
  <c r="K566" i="6"/>
  <c r="Q566" i="6" s="1"/>
  <c r="N565" i="6"/>
  <c r="P565" i="6" s="1"/>
  <c r="M565" i="6"/>
  <c r="L565" i="6"/>
  <c r="K565" i="6"/>
  <c r="Q565" i="6" s="1"/>
  <c r="N564" i="6"/>
  <c r="P564" i="6" s="1"/>
  <c r="M564" i="6"/>
  <c r="L564" i="6"/>
  <c r="K564" i="6"/>
  <c r="Q564" i="6" s="1"/>
  <c r="N563" i="6"/>
  <c r="P563" i="6" s="1"/>
  <c r="M563" i="6"/>
  <c r="L563" i="6"/>
  <c r="K563" i="6"/>
  <c r="Q563" i="6" s="1"/>
  <c r="N562" i="6"/>
  <c r="P562" i="6" s="1"/>
  <c r="M562" i="6"/>
  <c r="L562" i="6"/>
  <c r="K562" i="6"/>
  <c r="Q562" i="6" s="1"/>
  <c r="N561" i="6"/>
  <c r="P561" i="6" s="1"/>
  <c r="M561" i="6"/>
  <c r="L561" i="6"/>
  <c r="K561" i="6"/>
  <c r="Q561" i="6" s="1"/>
  <c r="N560" i="6"/>
  <c r="P560" i="6" s="1"/>
  <c r="M560" i="6"/>
  <c r="L560" i="6"/>
  <c r="K560" i="6"/>
  <c r="Q560" i="6" s="1"/>
  <c r="N559" i="6"/>
  <c r="P559" i="6" s="1"/>
  <c r="M559" i="6"/>
  <c r="L559" i="6"/>
  <c r="K559" i="6"/>
  <c r="Q559" i="6" s="1"/>
  <c r="N558" i="6"/>
  <c r="P558" i="6" s="1"/>
  <c r="M558" i="6"/>
  <c r="L558" i="6"/>
  <c r="K558" i="6"/>
  <c r="Q558" i="6" s="1"/>
  <c r="N557" i="6"/>
  <c r="P557" i="6" s="1"/>
  <c r="M557" i="6"/>
  <c r="L557" i="6"/>
  <c r="K557" i="6"/>
  <c r="Q557" i="6" s="1"/>
  <c r="N556" i="6"/>
  <c r="P556" i="6" s="1"/>
  <c r="M556" i="6"/>
  <c r="L556" i="6"/>
  <c r="K556" i="6"/>
  <c r="Q556" i="6" s="1"/>
  <c r="N555" i="6"/>
  <c r="P555" i="6" s="1"/>
  <c r="M555" i="6"/>
  <c r="L555" i="6"/>
  <c r="K555" i="6"/>
  <c r="Q555" i="6" s="1"/>
  <c r="N554" i="6"/>
  <c r="P554" i="6" s="1"/>
  <c r="M554" i="6"/>
  <c r="L554" i="6"/>
  <c r="K554" i="6"/>
  <c r="Q554" i="6" s="1"/>
  <c r="N553" i="6"/>
  <c r="P553" i="6" s="1"/>
  <c r="M553" i="6"/>
  <c r="L553" i="6"/>
  <c r="K553" i="6"/>
  <c r="Q553" i="6" s="1"/>
  <c r="N552" i="6"/>
  <c r="P552" i="6" s="1"/>
  <c r="M552" i="6"/>
  <c r="L552" i="6"/>
  <c r="K552" i="6"/>
  <c r="Q552" i="6" s="1"/>
  <c r="N551" i="6"/>
  <c r="P551" i="6" s="1"/>
  <c r="M551" i="6"/>
  <c r="L551" i="6"/>
  <c r="K551" i="6"/>
  <c r="Q551" i="6" s="1"/>
  <c r="N550" i="6"/>
  <c r="P550" i="6" s="1"/>
  <c r="M550" i="6"/>
  <c r="L550" i="6"/>
  <c r="K550" i="6"/>
  <c r="Q550" i="6" s="1"/>
  <c r="N549" i="6"/>
  <c r="P549" i="6" s="1"/>
  <c r="M549" i="6"/>
  <c r="L549" i="6"/>
  <c r="K549" i="6"/>
  <c r="Q549" i="6" s="1"/>
  <c r="N548" i="6"/>
  <c r="P548" i="6" s="1"/>
  <c r="M548" i="6"/>
  <c r="L548" i="6"/>
  <c r="K548" i="6"/>
  <c r="Q548" i="6" s="1"/>
  <c r="N547" i="6"/>
  <c r="P547" i="6" s="1"/>
  <c r="M547" i="6"/>
  <c r="L547" i="6"/>
  <c r="K547" i="6"/>
  <c r="Q547" i="6" s="1"/>
  <c r="N546" i="6"/>
  <c r="P546" i="6" s="1"/>
  <c r="M546" i="6"/>
  <c r="L546" i="6"/>
  <c r="K546" i="6"/>
  <c r="Q546" i="6" s="1"/>
  <c r="N545" i="6"/>
  <c r="P545" i="6" s="1"/>
  <c r="M545" i="6"/>
  <c r="L545" i="6"/>
  <c r="K545" i="6"/>
  <c r="Q545" i="6" s="1"/>
  <c r="N544" i="6"/>
  <c r="P544" i="6" s="1"/>
  <c r="M544" i="6"/>
  <c r="L544" i="6"/>
  <c r="K544" i="6"/>
  <c r="Q544" i="6" s="1"/>
  <c r="N543" i="6"/>
  <c r="P543" i="6" s="1"/>
  <c r="M543" i="6"/>
  <c r="L543" i="6"/>
  <c r="K543" i="6"/>
  <c r="Q543" i="6" s="1"/>
  <c r="N542" i="6"/>
  <c r="P542" i="6" s="1"/>
  <c r="M542" i="6"/>
  <c r="L542" i="6"/>
  <c r="K542" i="6"/>
  <c r="Q542" i="6" s="1"/>
  <c r="N541" i="6"/>
  <c r="P541" i="6" s="1"/>
  <c r="M541" i="6"/>
  <c r="L541" i="6"/>
  <c r="K541" i="6"/>
  <c r="Q541" i="6" s="1"/>
  <c r="N540" i="6"/>
  <c r="P540" i="6" s="1"/>
  <c r="M540" i="6"/>
  <c r="L540" i="6"/>
  <c r="K540" i="6"/>
  <c r="Q540" i="6" s="1"/>
  <c r="N539" i="6"/>
  <c r="P539" i="6" s="1"/>
  <c r="M539" i="6"/>
  <c r="L539" i="6"/>
  <c r="K539" i="6"/>
  <c r="Q539" i="6" s="1"/>
  <c r="N538" i="6"/>
  <c r="P538" i="6" s="1"/>
  <c r="M538" i="6"/>
  <c r="L538" i="6"/>
  <c r="K538" i="6"/>
  <c r="Q538" i="6" s="1"/>
  <c r="N537" i="6"/>
  <c r="P537" i="6" s="1"/>
  <c r="M537" i="6"/>
  <c r="L537" i="6"/>
  <c r="K537" i="6"/>
  <c r="Q537" i="6" s="1"/>
  <c r="N536" i="6"/>
  <c r="P536" i="6" s="1"/>
  <c r="M536" i="6"/>
  <c r="L536" i="6"/>
  <c r="K536" i="6"/>
  <c r="Q536" i="6" s="1"/>
  <c r="N535" i="6"/>
  <c r="P535" i="6" s="1"/>
  <c r="M535" i="6"/>
  <c r="L535" i="6"/>
  <c r="K535" i="6"/>
  <c r="Q535" i="6" s="1"/>
  <c r="N534" i="6"/>
  <c r="P534" i="6" s="1"/>
  <c r="M534" i="6"/>
  <c r="L534" i="6"/>
  <c r="K534" i="6"/>
  <c r="Q534" i="6" s="1"/>
  <c r="N533" i="6"/>
  <c r="P533" i="6" s="1"/>
  <c r="M533" i="6"/>
  <c r="L533" i="6"/>
  <c r="K533" i="6"/>
  <c r="Q533" i="6" s="1"/>
  <c r="N532" i="6"/>
  <c r="P532" i="6" s="1"/>
  <c r="M532" i="6"/>
  <c r="L532" i="6"/>
  <c r="K532" i="6"/>
  <c r="Q532" i="6" s="1"/>
  <c r="N531" i="6"/>
  <c r="P531" i="6" s="1"/>
  <c r="M531" i="6"/>
  <c r="L531" i="6"/>
  <c r="K531" i="6"/>
  <c r="Q531" i="6" s="1"/>
  <c r="N530" i="6"/>
  <c r="P530" i="6" s="1"/>
  <c r="M530" i="6"/>
  <c r="L530" i="6"/>
  <c r="K530" i="6"/>
  <c r="Q530" i="6" s="1"/>
  <c r="N529" i="6"/>
  <c r="P529" i="6" s="1"/>
  <c r="M529" i="6"/>
  <c r="L529" i="6"/>
  <c r="K529" i="6"/>
  <c r="Q529" i="6" s="1"/>
  <c r="N528" i="6"/>
  <c r="P528" i="6" s="1"/>
  <c r="M528" i="6"/>
  <c r="L528" i="6"/>
  <c r="K528" i="6"/>
  <c r="Q528" i="6" s="1"/>
  <c r="N527" i="6"/>
  <c r="P527" i="6" s="1"/>
  <c r="M527" i="6"/>
  <c r="L527" i="6"/>
  <c r="K527" i="6"/>
  <c r="Q527" i="6" s="1"/>
  <c r="N526" i="6"/>
  <c r="P526" i="6" s="1"/>
  <c r="M526" i="6"/>
  <c r="L526" i="6"/>
  <c r="K526" i="6"/>
  <c r="Q526" i="6" s="1"/>
  <c r="N525" i="6"/>
  <c r="P525" i="6" s="1"/>
  <c r="M525" i="6"/>
  <c r="L525" i="6"/>
  <c r="K525" i="6"/>
  <c r="Q525" i="6" s="1"/>
  <c r="N524" i="6"/>
  <c r="P524" i="6" s="1"/>
  <c r="M524" i="6"/>
  <c r="L524" i="6"/>
  <c r="K524" i="6"/>
  <c r="Q524" i="6" s="1"/>
  <c r="N523" i="6"/>
  <c r="P523" i="6" s="1"/>
  <c r="M523" i="6"/>
  <c r="L523" i="6"/>
  <c r="K523" i="6"/>
  <c r="Q523" i="6" s="1"/>
  <c r="N522" i="6"/>
  <c r="P522" i="6" s="1"/>
  <c r="M522" i="6"/>
  <c r="L522" i="6"/>
  <c r="K522" i="6"/>
  <c r="Q522" i="6" s="1"/>
  <c r="N521" i="6"/>
  <c r="P521" i="6" s="1"/>
  <c r="M521" i="6"/>
  <c r="L521" i="6"/>
  <c r="K521" i="6"/>
  <c r="Q521" i="6" s="1"/>
  <c r="N520" i="6"/>
  <c r="P520" i="6" s="1"/>
  <c r="M520" i="6"/>
  <c r="L520" i="6"/>
  <c r="K520" i="6"/>
  <c r="Q520" i="6" s="1"/>
  <c r="N519" i="6"/>
  <c r="P519" i="6" s="1"/>
  <c r="M519" i="6"/>
  <c r="L519" i="6"/>
  <c r="K519" i="6"/>
  <c r="Q519" i="6" s="1"/>
  <c r="N518" i="6"/>
  <c r="P518" i="6" s="1"/>
  <c r="M518" i="6"/>
  <c r="L518" i="6"/>
  <c r="K518" i="6"/>
  <c r="Q518" i="6" s="1"/>
  <c r="N517" i="6"/>
  <c r="P517" i="6" s="1"/>
  <c r="M517" i="6"/>
  <c r="L517" i="6"/>
  <c r="K517" i="6"/>
  <c r="Q517" i="6" s="1"/>
  <c r="N516" i="6"/>
  <c r="P516" i="6" s="1"/>
  <c r="M516" i="6"/>
  <c r="L516" i="6"/>
  <c r="K516" i="6"/>
  <c r="Q516" i="6" s="1"/>
  <c r="N515" i="6"/>
  <c r="P515" i="6" s="1"/>
  <c r="M515" i="6"/>
  <c r="L515" i="6"/>
  <c r="K515" i="6"/>
  <c r="Q515" i="6" s="1"/>
  <c r="N514" i="6"/>
  <c r="P514" i="6" s="1"/>
  <c r="M514" i="6"/>
  <c r="L514" i="6"/>
  <c r="K514" i="6"/>
  <c r="Q514" i="6" s="1"/>
  <c r="N513" i="6"/>
  <c r="P513" i="6" s="1"/>
  <c r="M513" i="6"/>
  <c r="L513" i="6"/>
  <c r="K513" i="6"/>
  <c r="Q513" i="6" s="1"/>
  <c r="N512" i="6"/>
  <c r="P512" i="6" s="1"/>
  <c r="M512" i="6"/>
  <c r="L512" i="6"/>
  <c r="K512" i="6"/>
  <c r="Q512" i="6" s="1"/>
  <c r="N511" i="6"/>
  <c r="P511" i="6" s="1"/>
  <c r="M511" i="6"/>
  <c r="L511" i="6"/>
  <c r="K511" i="6"/>
  <c r="Q511" i="6" s="1"/>
  <c r="N510" i="6"/>
  <c r="P510" i="6" s="1"/>
  <c r="M510" i="6"/>
  <c r="L510" i="6"/>
  <c r="K510" i="6"/>
  <c r="Q510" i="6" s="1"/>
  <c r="N509" i="6"/>
  <c r="P509" i="6" s="1"/>
  <c r="M509" i="6"/>
  <c r="L509" i="6"/>
  <c r="K509" i="6"/>
  <c r="Q509" i="6" s="1"/>
  <c r="N508" i="6"/>
  <c r="P508" i="6" s="1"/>
  <c r="M508" i="6"/>
  <c r="L508" i="6"/>
  <c r="K508" i="6"/>
  <c r="Q508" i="6" s="1"/>
  <c r="N507" i="6"/>
  <c r="P507" i="6" s="1"/>
  <c r="M507" i="6"/>
  <c r="L507" i="6"/>
  <c r="K507" i="6"/>
  <c r="Q507" i="6" s="1"/>
  <c r="N506" i="6"/>
  <c r="P506" i="6" s="1"/>
  <c r="M506" i="6"/>
  <c r="L506" i="6"/>
  <c r="K506" i="6"/>
  <c r="Q506" i="6" s="1"/>
  <c r="N505" i="6"/>
  <c r="P505" i="6" s="1"/>
  <c r="M505" i="6"/>
  <c r="L505" i="6"/>
  <c r="K505" i="6"/>
  <c r="Q505" i="6" s="1"/>
  <c r="N504" i="6"/>
  <c r="P504" i="6" s="1"/>
  <c r="M504" i="6"/>
  <c r="L504" i="6"/>
  <c r="K504" i="6"/>
  <c r="Q504" i="6" s="1"/>
  <c r="N503" i="6"/>
  <c r="P503" i="6" s="1"/>
  <c r="M503" i="6"/>
  <c r="L503" i="6"/>
  <c r="K503" i="6"/>
  <c r="Q503" i="6" s="1"/>
  <c r="N502" i="6"/>
  <c r="P502" i="6" s="1"/>
  <c r="M502" i="6"/>
  <c r="L502" i="6"/>
  <c r="K502" i="6"/>
  <c r="Q502" i="6" s="1"/>
  <c r="N501" i="6"/>
  <c r="P501" i="6" s="1"/>
  <c r="M501" i="6"/>
  <c r="L501" i="6"/>
  <c r="K501" i="6"/>
  <c r="Q501" i="6" s="1"/>
  <c r="N500" i="6"/>
  <c r="P500" i="6" s="1"/>
  <c r="M500" i="6"/>
  <c r="L500" i="6"/>
  <c r="K500" i="6"/>
  <c r="Q500" i="6" s="1"/>
  <c r="N499" i="6"/>
  <c r="P499" i="6" s="1"/>
  <c r="M499" i="6"/>
  <c r="L499" i="6"/>
  <c r="K499" i="6"/>
  <c r="Q499" i="6" s="1"/>
  <c r="N498" i="6"/>
  <c r="P498" i="6" s="1"/>
  <c r="M498" i="6"/>
  <c r="L498" i="6"/>
  <c r="K498" i="6"/>
  <c r="Q498" i="6" s="1"/>
  <c r="N497" i="6"/>
  <c r="P497" i="6" s="1"/>
  <c r="M497" i="6"/>
  <c r="L497" i="6"/>
  <c r="K497" i="6"/>
  <c r="Q497" i="6" s="1"/>
  <c r="N496" i="6"/>
  <c r="P496" i="6" s="1"/>
  <c r="M496" i="6"/>
  <c r="L496" i="6"/>
  <c r="K496" i="6"/>
  <c r="Q496" i="6" s="1"/>
  <c r="N495" i="6"/>
  <c r="P495" i="6" s="1"/>
  <c r="M495" i="6"/>
  <c r="L495" i="6"/>
  <c r="K495" i="6"/>
  <c r="Q495" i="6" s="1"/>
  <c r="N494" i="6"/>
  <c r="P494" i="6" s="1"/>
  <c r="M494" i="6"/>
  <c r="L494" i="6"/>
  <c r="K494" i="6"/>
  <c r="Q494" i="6" s="1"/>
  <c r="N493" i="6"/>
  <c r="P493" i="6" s="1"/>
  <c r="M493" i="6"/>
  <c r="L493" i="6"/>
  <c r="K493" i="6"/>
  <c r="Q493" i="6" s="1"/>
  <c r="N492" i="6"/>
  <c r="P492" i="6" s="1"/>
  <c r="M492" i="6"/>
  <c r="L492" i="6"/>
  <c r="K492" i="6"/>
  <c r="Q492" i="6" s="1"/>
  <c r="N491" i="6"/>
  <c r="P491" i="6" s="1"/>
  <c r="M491" i="6"/>
  <c r="L491" i="6"/>
  <c r="K491" i="6"/>
  <c r="Q491" i="6" s="1"/>
  <c r="N490" i="6"/>
  <c r="P490" i="6" s="1"/>
  <c r="M490" i="6"/>
  <c r="L490" i="6"/>
  <c r="K490" i="6"/>
  <c r="Q490" i="6" s="1"/>
  <c r="N489" i="6"/>
  <c r="P489" i="6" s="1"/>
  <c r="M489" i="6"/>
  <c r="L489" i="6"/>
  <c r="K489" i="6"/>
  <c r="Q489" i="6" s="1"/>
  <c r="N488" i="6"/>
  <c r="P488" i="6" s="1"/>
  <c r="M488" i="6"/>
  <c r="L488" i="6"/>
  <c r="K488" i="6"/>
  <c r="Q488" i="6" s="1"/>
  <c r="N487" i="6"/>
  <c r="P487" i="6" s="1"/>
  <c r="M487" i="6"/>
  <c r="L487" i="6"/>
  <c r="K487" i="6"/>
  <c r="Q487" i="6" s="1"/>
  <c r="N486" i="6"/>
  <c r="P486" i="6" s="1"/>
  <c r="M486" i="6"/>
  <c r="L486" i="6"/>
  <c r="K486" i="6"/>
  <c r="Q486" i="6" s="1"/>
  <c r="N485" i="6"/>
  <c r="P485" i="6" s="1"/>
  <c r="M485" i="6"/>
  <c r="L485" i="6"/>
  <c r="K485" i="6"/>
  <c r="Q485" i="6" s="1"/>
  <c r="N484" i="6"/>
  <c r="P484" i="6" s="1"/>
  <c r="M484" i="6"/>
  <c r="L484" i="6"/>
  <c r="K484" i="6"/>
  <c r="Q484" i="6" s="1"/>
  <c r="N483" i="6"/>
  <c r="P483" i="6" s="1"/>
  <c r="M483" i="6"/>
  <c r="L483" i="6"/>
  <c r="K483" i="6"/>
  <c r="Q483" i="6" s="1"/>
  <c r="N482" i="6"/>
  <c r="P482" i="6" s="1"/>
  <c r="M482" i="6"/>
  <c r="L482" i="6"/>
  <c r="K482" i="6"/>
  <c r="Q482" i="6" s="1"/>
  <c r="N481" i="6"/>
  <c r="P481" i="6" s="1"/>
  <c r="M481" i="6"/>
  <c r="L481" i="6"/>
  <c r="K481" i="6"/>
  <c r="Q481" i="6" s="1"/>
  <c r="N480" i="6"/>
  <c r="P480" i="6" s="1"/>
  <c r="M480" i="6"/>
  <c r="L480" i="6"/>
  <c r="K480" i="6"/>
  <c r="Q480" i="6" s="1"/>
  <c r="N479" i="6"/>
  <c r="P479" i="6" s="1"/>
  <c r="M479" i="6"/>
  <c r="L479" i="6"/>
  <c r="K479" i="6"/>
  <c r="Q479" i="6" s="1"/>
  <c r="N478" i="6"/>
  <c r="P478" i="6" s="1"/>
  <c r="M478" i="6"/>
  <c r="L478" i="6"/>
  <c r="K478" i="6"/>
  <c r="Q478" i="6" s="1"/>
  <c r="N477" i="6"/>
  <c r="P477" i="6" s="1"/>
  <c r="M477" i="6"/>
  <c r="L477" i="6"/>
  <c r="K477" i="6"/>
  <c r="Q477" i="6" s="1"/>
  <c r="N476" i="6"/>
  <c r="P476" i="6" s="1"/>
  <c r="M476" i="6"/>
  <c r="L476" i="6"/>
  <c r="K476" i="6"/>
  <c r="Q476" i="6" s="1"/>
  <c r="N475" i="6"/>
  <c r="P475" i="6" s="1"/>
  <c r="M475" i="6"/>
  <c r="L475" i="6"/>
  <c r="K475" i="6"/>
  <c r="Q475" i="6" s="1"/>
  <c r="N474" i="6"/>
  <c r="P474" i="6" s="1"/>
  <c r="M474" i="6"/>
  <c r="L474" i="6"/>
  <c r="K474" i="6"/>
  <c r="Q474" i="6" s="1"/>
  <c r="N473" i="6"/>
  <c r="P473" i="6" s="1"/>
  <c r="M473" i="6"/>
  <c r="L473" i="6"/>
  <c r="K473" i="6"/>
  <c r="Q473" i="6" s="1"/>
  <c r="N472" i="6"/>
  <c r="P472" i="6" s="1"/>
  <c r="M472" i="6"/>
  <c r="L472" i="6"/>
  <c r="K472" i="6"/>
  <c r="Q472" i="6" s="1"/>
  <c r="N471" i="6"/>
  <c r="P471" i="6" s="1"/>
  <c r="M471" i="6"/>
  <c r="L471" i="6"/>
  <c r="K471" i="6"/>
  <c r="Q471" i="6" s="1"/>
  <c r="N470" i="6"/>
  <c r="P470" i="6" s="1"/>
  <c r="M470" i="6"/>
  <c r="L470" i="6"/>
  <c r="K470" i="6"/>
  <c r="Q470" i="6" s="1"/>
  <c r="N469" i="6"/>
  <c r="P469" i="6" s="1"/>
  <c r="M469" i="6"/>
  <c r="L469" i="6"/>
  <c r="K469" i="6"/>
  <c r="Q469" i="6" s="1"/>
  <c r="N468" i="6"/>
  <c r="P468" i="6" s="1"/>
  <c r="M468" i="6"/>
  <c r="L468" i="6"/>
  <c r="K468" i="6"/>
  <c r="Q468" i="6" s="1"/>
  <c r="N467" i="6"/>
  <c r="P467" i="6" s="1"/>
  <c r="M467" i="6"/>
  <c r="L467" i="6"/>
  <c r="K467" i="6"/>
  <c r="Q467" i="6" s="1"/>
  <c r="N466" i="6"/>
  <c r="P466" i="6" s="1"/>
  <c r="M466" i="6"/>
  <c r="L466" i="6"/>
  <c r="K466" i="6"/>
  <c r="Q466" i="6" s="1"/>
  <c r="N465" i="6"/>
  <c r="P465" i="6" s="1"/>
  <c r="M465" i="6"/>
  <c r="L465" i="6"/>
  <c r="K465" i="6"/>
  <c r="Q465" i="6" s="1"/>
  <c r="N464" i="6"/>
  <c r="P464" i="6" s="1"/>
  <c r="M464" i="6"/>
  <c r="L464" i="6"/>
  <c r="K464" i="6"/>
  <c r="Q464" i="6" s="1"/>
  <c r="N463" i="6"/>
  <c r="P463" i="6" s="1"/>
  <c r="M463" i="6"/>
  <c r="L463" i="6"/>
  <c r="K463" i="6"/>
  <c r="Q463" i="6" s="1"/>
  <c r="N462" i="6"/>
  <c r="P462" i="6" s="1"/>
  <c r="M462" i="6"/>
  <c r="L462" i="6"/>
  <c r="K462" i="6"/>
  <c r="Q462" i="6" s="1"/>
  <c r="N461" i="6"/>
  <c r="P461" i="6" s="1"/>
  <c r="M461" i="6"/>
  <c r="L461" i="6"/>
  <c r="K461" i="6"/>
  <c r="Q461" i="6" s="1"/>
  <c r="N460" i="6"/>
  <c r="P460" i="6" s="1"/>
  <c r="M460" i="6"/>
  <c r="L460" i="6"/>
  <c r="K460" i="6"/>
  <c r="Q460" i="6" s="1"/>
  <c r="N459" i="6"/>
  <c r="P459" i="6" s="1"/>
  <c r="M459" i="6"/>
  <c r="L459" i="6"/>
  <c r="K459" i="6"/>
  <c r="Q459" i="6" s="1"/>
  <c r="N458" i="6"/>
  <c r="P458" i="6" s="1"/>
  <c r="M458" i="6"/>
  <c r="L458" i="6"/>
  <c r="K458" i="6"/>
  <c r="Q458" i="6" s="1"/>
  <c r="N457" i="6"/>
  <c r="P457" i="6" s="1"/>
  <c r="M457" i="6"/>
  <c r="L457" i="6"/>
  <c r="K457" i="6"/>
  <c r="Q457" i="6" s="1"/>
  <c r="N456" i="6"/>
  <c r="P456" i="6" s="1"/>
  <c r="M456" i="6"/>
  <c r="L456" i="6"/>
  <c r="K456" i="6"/>
  <c r="Q456" i="6" s="1"/>
  <c r="N455" i="6"/>
  <c r="P455" i="6" s="1"/>
  <c r="M455" i="6"/>
  <c r="L455" i="6"/>
  <c r="K455" i="6"/>
  <c r="Q455" i="6" s="1"/>
  <c r="N454" i="6"/>
  <c r="P454" i="6" s="1"/>
  <c r="M454" i="6"/>
  <c r="L454" i="6"/>
  <c r="K454" i="6"/>
  <c r="Q454" i="6" s="1"/>
  <c r="N453" i="6"/>
  <c r="P453" i="6" s="1"/>
  <c r="M453" i="6"/>
  <c r="L453" i="6"/>
  <c r="K453" i="6"/>
  <c r="Q453" i="6" s="1"/>
  <c r="N452" i="6"/>
  <c r="P452" i="6" s="1"/>
  <c r="M452" i="6"/>
  <c r="L452" i="6"/>
  <c r="K452" i="6"/>
  <c r="Q452" i="6" s="1"/>
  <c r="N451" i="6"/>
  <c r="P451" i="6" s="1"/>
  <c r="M451" i="6"/>
  <c r="L451" i="6"/>
  <c r="K451" i="6"/>
  <c r="Q451" i="6" s="1"/>
  <c r="N450" i="6"/>
  <c r="P450" i="6" s="1"/>
  <c r="M450" i="6"/>
  <c r="L450" i="6"/>
  <c r="K450" i="6"/>
  <c r="Q450" i="6" s="1"/>
  <c r="N449" i="6"/>
  <c r="P449" i="6" s="1"/>
  <c r="M449" i="6"/>
  <c r="L449" i="6"/>
  <c r="K449" i="6"/>
  <c r="Q449" i="6" s="1"/>
  <c r="N448" i="6"/>
  <c r="P448" i="6" s="1"/>
  <c r="M448" i="6"/>
  <c r="L448" i="6"/>
  <c r="K448" i="6"/>
  <c r="Q448" i="6" s="1"/>
  <c r="N447" i="6"/>
  <c r="P447" i="6" s="1"/>
  <c r="M447" i="6"/>
  <c r="L447" i="6"/>
  <c r="K447" i="6"/>
  <c r="Q447" i="6" s="1"/>
  <c r="N446" i="6"/>
  <c r="P446" i="6" s="1"/>
  <c r="M446" i="6"/>
  <c r="L446" i="6"/>
  <c r="K446" i="6"/>
  <c r="Q446" i="6" s="1"/>
  <c r="N445" i="6"/>
  <c r="P445" i="6" s="1"/>
  <c r="M445" i="6"/>
  <c r="L445" i="6"/>
  <c r="K445" i="6"/>
  <c r="Q445" i="6" s="1"/>
  <c r="N444" i="6"/>
  <c r="P444" i="6" s="1"/>
  <c r="M444" i="6"/>
  <c r="L444" i="6"/>
  <c r="K444" i="6"/>
  <c r="Q444" i="6" s="1"/>
  <c r="N443" i="6"/>
  <c r="P443" i="6" s="1"/>
  <c r="M443" i="6"/>
  <c r="L443" i="6"/>
  <c r="K443" i="6"/>
  <c r="Q443" i="6" s="1"/>
  <c r="N442" i="6"/>
  <c r="P442" i="6" s="1"/>
  <c r="M442" i="6"/>
  <c r="L442" i="6"/>
  <c r="K442" i="6"/>
  <c r="Q442" i="6" s="1"/>
  <c r="N441" i="6"/>
  <c r="P441" i="6" s="1"/>
  <c r="M441" i="6"/>
  <c r="L441" i="6"/>
  <c r="K441" i="6"/>
  <c r="Q441" i="6" s="1"/>
  <c r="N440" i="6"/>
  <c r="P440" i="6" s="1"/>
  <c r="M440" i="6"/>
  <c r="L440" i="6"/>
  <c r="K440" i="6"/>
  <c r="Q440" i="6" s="1"/>
  <c r="N439" i="6"/>
  <c r="P439" i="6" s="1"/>
  <c r="M439" i="6"/>
  <c r="L439" i="6"/>
  <c r="K439" i="6"/>
  <c r="Q439" i="6" s="1"/>
  <c r="N438" i="6"/>
  <c r="P438" i="6" s="1"/>
  <c r="M438" i="6"/>
  <c r="L438" i="6"/>
  <c r="K438" i="6"/>
  <c r="Q438" i="6" s="1"/>
  <c r="N437" i="6"/>
  <c r="P437" i="6" s="1"/>
  <c r="M437" i="6"/>
  <c r="L437" i="6"/>
  <c r="K437" i="6"/>
  <c r="Q437" i="6" s="1"/>
  <c r="N436" i="6"/>
  <c r="P436" i="6" s="1"/>
  <c r="M436" i="6"/>
  <c r="L436" i="6"/>
  <c r="K436" i="6"/>
  <c r="Q436" i="6" s="1"/>
  <c r="N435" i="6"/>
  <c r="P435" i="6" s="1"/>
  <c r="M435" i="6"/>
  <c r="L435" i="6"/>
  <c r="K435" i="6"/>
  <c r="Q435" i="6" s="1"/>
  <c r="N434" i="6"/>
  <c r="P434" i="6" s="1"/>
  <c r="M434" i="6"/>
  <c r="L434" i="6"/>
  <c r="K434" i="6"/>
  <c r="Q434" i="6" s="1"/>
  <c r="N433" i="6"/>
  <c r="P433" i="6" s="1"/>
  <c r="M433" i="6"/>
  <c r="L433" i="6"/>
  <c r="K433" i="6"/>
  <c r="Q433" i="6" s="1"/>
  <c r="N432" i="6"/>
  <c r="P432" i="6" s="1"/>
  <c r="M432" i="6"/>
  <c r="L432" i="6"/>
  <c r="K432" i="6"/>
  <c r="Q432" i="6" s="1"/>
  <c r="N431" i="6"/>
  <c r="P431" i="6" s="1"/>
  <c r="M431" i="6"/>
  <c r="L431" i="6"/>
  <c r="K431" i="6"/>
  <c r="Q431" i="6" s="1"/>
  <c r="N430" i="6"/>
  <c r="P430" i="6" s="1"/>
  <c r="M430" i="6"/>
  <c r="L430" i="6"/>
  <c r="K430" i="6"/>
  <c r="Q430" i="6" s="1"/>
  <c r="N429" i="6"/>
  <c r="P429" i="6" s="1"/>
  <c r="M429" i="6"/>
  <c r="L429" i="6"/>
  <c r="K429" i="6"/>
  <c r="Q429" i="6" s="1"/>
  <c r="N428" i="6"/>
  <c r="P428" i="6" s="1"/>
  <c r="M428" i="6"/>
  <c r="L428" i="6"/>
  <c r="K428" i="6"/>
  <c r="Q428" i="6" s="1"/>
  <c r="N427" i="6"/>
  <c r="P427" i="6" s="1"/>
  <c r="M427" i="6"/>
  <c r="L427" i="6"/>
  <c r="K427" i="6"/>
  <c r="Q427" i="6" s="1"/>
  <c r="N426" i="6"/>
  <c r="P426" i="6" s="1"/>
  <c r="M426" i="6"/>
  <c r="L426" i="6"/>
  <c r="K426" i="6"/>
  <c r="Q426" i="6" s="1"/>
  <c r="N425" i="6"/>
  <c r="P425" i="6" s="1"/>
  <c r="M425" i="6"/>
  <c r="L425" i="6"/>
  <c r="K425" i="6"/>
  <c r="Q425" i="6" s="1"/>
  <c r="N424" i="6"/>
  <c r="P424" i="6" s="1"/>
  <c r="M424" i="6"/>
  <c r="L424" i="6"/>
  <c r="K424" i="6"/>
  <c r="Q424" i="6" s="1"/>
  <c r="N423" i="6"/>
  <c r="P423" i="6" s="1"/>
  <c r="M423" i="6"/>
  <c r="L423" i="6"/>
  <c r="K423" i="6"/>
  <c r="Q423" i="6" s="1"/>
  <c r="N422" i="6"/>
  <c r="P422" i="6" s="1"/>
  <c r="M422" i="6"/>
  <c r="L422" i="6"/>
  <c r="K422" i="6"/>
  <c r="Q422" i="6" s="1"/>
  <c r="N421" i="6"/>
  <c r="P421" i="6" s="1"/>
  <c r="M421" i="6"/>
  <c r="L421" i="6"/>
  <c r="K421" i="6"/>
  <c r="Q421" i="6" s="1"/>
  <c r="N420" i="6"/>
  <c r="P420" i="6" s="1"/>
  <c r="M420" i="6"/>
  <c r="L420" i="6"/>
  <c r="K420" i="6"/>
  <c r="Q420" i="6" s="1"/>
  <c r="N419" i="6"/>
  <c r="P419" i="6" s="1"/>
  <c r="M419" i="6"/>
  <c r="L419" i="6"/>
  <c r="K419" i="6"/>
  <c r="Q419" i="6" s="1"/>
  <c r="N418" i="6"/>
  <c r="P418" i="6" s="1"/>
  <c r="M418" i="6"/>
  <c r="L418" i="6"/>
  <c r="K418" i="6"/>
  <c r="Q418" i="6" s="1"/>
  <c r="N417" i="6"/>
  <c r="P417" i="6" s="1"/>
  <c r="M417" i="6"/>
  <c r="L417" i="6"/>
  <c r="K417" i="6"/>
  <c r="Q417" i="6" s="1"/>
  <c r="N416" i="6"/>
  <c r="P416" i="6" s="1"/>
  <c r="M416" i="6"/>
  <c r="L416" i="6"/>
  <c r="K416" i="6"/>
  <c r="Q416" i="6" s="1"/>
  <c r="N415" i="6"/>
  <c r="P415" i="6" s="1"/>
  <c r="M415" i="6"/>
  <c r="L415" i="6"/>
  <c r="K415" i="6"/>
  <c r="Q415" i="6" s="1"/>
  <c r="N414" i="6"/>
  <c r="P414" i="6" s="1"/>
  <c r="M414" i="6"/>
  <c r="L414" i="6"/>
  <c r="K414" i="6"/>
  <c r="Q414" i="6" s="1"/>
  <c r="N413" i="6"/>
  <c r="P413" i="6" s="1"/>
  <c r="M413" i="6"/>
  <c r="L413" i="6"/>
  <c r="K413" i="6"/>
  <c r="Q413" i="6" s="1"/>
  <c r="N412" i="6"/>
  <c r="P412" i="6" s="1"/>
  <c r="M412" i="6"/>
  <c r="L412" i="6"/>
  <c r="K412" i="6"/>
  <c r="Q412" i="6" s="1"/>
  <c r="N411" i="6"/>
  <c r="P411" i="6" s="1"/>
  <c r="M411" i="6"/>
  <c r="L411" i="6"/>
  <c r="K411" i="6"/>
  <c r="Q411" i="6" s="1"/>
  <c r="N410" i="6"/>
  <c r="P410" i="6" s="1"/>
  <c r="M410" i="6"/>
  <c r="L410" i="6"/>
  <c r="K410" i="6"/>
  <c r="Q410" i="6" s="1"/>
  <c r="N409" i="6"/>
  <c r="P409" i="6" s="1"/>
  <c r="M409" i="6"/>
  <c r="L409" i="6"/>
  <c r="K409" i="6"/>
  <c r="Q409" i="6" s="1"/>
  <c r="N408" i="6"/>
  <c r="P408" i="6" s="1"/>
  <c r="M408" i="6"/>
  <c r="L408" i="6"/>
  <c r="K408" i="6"/>
  <c r="Q408" i="6" s="1"/>
  <c r="N407" i="6"/>
  <c r="P407" i="6" s="1"/>
  <c r="M407" i="6"/>
  <c r="L407" i="6"/>
  <c r="K407" i="6"/>
  <c r="Q407" i="6" s="1"/>
  <c r="N406" i="6"/>
  <c r="P406" i="6" s="1"/>
  <c r="M406" i="6"/>
  <c r="L406" i="6"/>
  <c r="K406" i="6"/>
  <c r="Q406" i="6" s="1"/>
  <c r="N405" i="6"/>
  <c r="P405" i="6" s="1"/>
  <c r="M405" i="6"/>
  <c r="L405" i="6"/>
  <c r="K405" i="6"/>
  <c r="Q405" i="6" s="1"/>
  <c r="N404" i="6"/>
  <c r="P404" i="6" s="1"/>
  <c r="M404" i="6"/>
  <c r="L404" i="6"/>
  <c r="K404" i="6"/>
  <c r="Q404" i="6" s="1"/>
  <c r="N403" i="6"/>
  <c r="P403" i="6" s="1"/>
  <c r="M403" i="6"/>
  <c r="L403" i="6"/>
  <c r="K403" i="6"/>
  <c r="Q403" i="6" s="1"/>
  <c r="N402" i="6"/>
  <c r="P402" i="6" s="1"/>
  <c r="M402" i="6"/>
  <c r="L402" i="6"/>
  <c r="K402" i="6"/>
  <c r="Q402" i="6" s="1"/>
  <c r="N401" i="6"/>
  <c r="P401" i="6" s="1"/>
  <c r="M401" i="6"/>
  <c r="L401" i="6"/>
  <c r="K401" i="6"/>
  <c r="Q401" i="6" s="1"/>
  <c r="N400" i="6"/>
  <c r="P400" i="6" s="1"/>
  <c r="M400" i="6"/>
  <c r="L400" i="6"/>
  <c r="K400" i="6"/>
  <c r="Q400" i="6" s="1"/>
  <c r="N399" i="6"/>
  <c r="P399" i="6" s="1"/>
  <c r="M399" i="6"/>
  <c r="L399" i="6"/>
  <c r="K399" i="6"/>
  <c r="Q399" i="6" s="1"/>
  <c r="N398" i="6"/>
  <c r="P398" i="6" s="1"/>
  <c r="M398" i="6"/>
  <c r="L398" i="6"/>
  <c r="K398" i="6"/>
  <c r="Q398" i="6" s="1"/>
  <c r="N397" i="6"/>
  <c r="P397" i="6" s="1"/>
  <c r="M397" i="6"/>
  <c r="L397" i="6"/>
  <c r="K397" i="6"/>
  <c r="Q397" i="6" s="1"/>
  <c r="N396" i="6"/>
  <c r="P396" i="6" s="1"/>
  <c r="M396" i="6"/>
  <c r="L396" i="6"/>
  <c r="K396" i="6"/>
  <c r="Q396" i="6" s="1"/>
  <c r="N395" i="6"/>
  <c r="P395" i="6" s="1"/>
  <c r="M395" i="6"/>
  <c r="L395" i="6"/>
  <c r="K395" i="6"/>
  <c r="Q395" i="6" s="1"/>
  <c r="N394" i="6"/>
  <c r="P394" i="6" s="1"/>
  <c r="M394" i="6"/>
  <c r="L394" i="6"/>
  <c r="K394" i="6"/>
  <c r="Q394" i="6" s="1"/>
  <c r="N393" i="6"/>
  <c r="P393" i="6" s="1"/>
  <c r="M393" i="6"/>
  <c r="L393" i="6"/>
  <c r="K393" i="6"/>
  <c r="Q393" i="6" s="1"/>
  <c r="N392" i="6"/>
  <c r="P392" i="6" s="1"/>
  <c r="M392" i="6"/>
  <c r="L392" i="6"/>
  <c r="K392" i="6"/>
  <c r="Q392" i="6" s="1"/>
  <c r="N391" i="6"/>
  <c r="P391" i="6" s="1"/>
  <c r="M391" i="6"/>
  <c r="L391" i="6"/>
  <c r="K391" i="6"/>
  <c r="Q391" i="6" s="1"/>
  <c r="N390" i="6"/>
  <c r="P390" i="6" s="1"/>
  <c r="M390" i="6"/>
  <c r="L390" i="6"/>
  <c r="K390" i="6"/>
  <c r="Q390" i="6" s="1"/>
  <c r="N389" i="6"/>
  <c r="P389" i="6" s="1"/>
  <c r="M389" i="6"/>
  <c r="L389" i="6"/>
  <c r="K389" i="6"/>
  <c r="Q389" i="6" s="1"/>
  <c r="N388" i="6"/>
  <c r="P388" i="6" s="1"/>
  <c r="M388" i="6"/>
  <c r="L388" i="6"/>
  <c r="K388" i="6"/>
  <c r="Q388" i="6" s="1"/>
  <c r="N387" i="6"/>
  <c r="P387" i="6" s="1"/>
  <c r="M387" i="6"/>
  <c r="L387" i="6"/>
  <c r="K387" i="6"/>
  <c r="Q387" i="6" s="1"/>
  <c r="N386" i="6"/>
  <c r="P386" i="6" s="1"/>
  <c r="M386" i="6"/>
  <c r="L386" i="6"/>
  <c r="K386" i="6"/>
  <c r="Q386" i="6" s="1"/>
  <c r="N385" i="6"/>
  <c r="P385" i="6" s="1"/>
  <c r="M385" i="6"/>
  <c r="L385" i="6"/>
  <c r="K385" i="6"/>
  <c r="Q385" i="6" s="1"/>
  <c r="N384" i="6"/>
  <c r="P384" i="6" s="1"/>
  <c r="M384" i="6"/>
  <c r="L384" i="6"/>
  <c r="K384" i="6"/>
  <c r="Q384" i="6" s="1"/>
  <c r="N383" i="6"/>
  <c r="P383" i="6" s="1"/>
  <c r="M383" i="6"/>
  <c r="L383" i="6"/>
  <c r="K383" i="6"/>
  <c r="Q383" i="6" s="1"/>
  <c r="N382" i="6"/>
  <c r="P382" i="6" s="1"/>
  <c r="M382" i="6"/>
  <c r="L382" i="6"/>
  <c r="K382" i="6"/>
  <c r="Q382" i="6" s="1"/>
  <c r="N381" i="6"/>
  <c r="P381" i="6" s="1"/>
  <c r="M381" i="6"/>
  <c r="L381" i="6"/>
  <c r="K381" i="6"/>
  <c r="Q381" i="6" s="1"/>
  <c r="N380" i="6"/>
  <c r="P380" i="6" s="1"/>
  <c r="M380" i="6"/>
  <c r="L380" i="6"/>
  <c r="K380" i="6"/>
  <c r="Q380" i="6" s="1"/>
  <c r="N379" i="6"/>
  <c r="P379" i="6" s="1"/>
  <c r="M379" i="6"/>
  <c r="L379" i="6"/>
  <c r="K379" i="6"/>
  <c r="Q379" i="6" s="1"/>
  <c r="N378" i="6"/>
  <c r="P378" i="6" s="1"/>
  <c r="M378" i="6"/>
  <c r="L378" i="6"/>
  <c r="K378" i="6"/>
  <c r="Q378" i="6" s="1"/>
  <c r="N377" i="6"/>
  <c r="P377" i="6" s="1"/>
  <c r="M377" i="6"/>
  <c r="L377" i="6"/>
  <c r="K377" i="6"/>
  <c r="Q377" i="6" s="1"/>
  <c r="N376" i="6"/>
  <c r="P376" i="6" s="1"/>
  <c r="M376" i="6"/>
  <c r="L376" i="6"/>
  <c r="K376" i="6"/>
  <c r="Q376" i="6" s="1"/>
  <c r="N375" i="6"/>
  <c r="P375" i="6" s="1"/>
  <c r="M375" i="6"/>
  <c r="L375" i="6"/>
  <c r="K375" i="6"/>
  <c r="Q375" i="6" s="1"/>
  <c r="N374" i="6"/>
  <c r="P374" i="6" s="1"/>
  <c r="M374" i="6"/>
  <c r="L374" i="6"/>
  <c r="K374" i="6"/>
  <c r="Q374" i="6" s="1"/>
  <c r="N373" i="6"/>
  <c r="P373" i="6" s="1"/>
  <c r="M373" i="6"/>
  <c r="L373" i="6"/>
  <c r="K373" i="6"/>
  <c r="Q373" i="6" s="1"/>
  <c r="N372" i="6"/>
  <c r="P372" i="6" s="1"/>
  <c r="M372" i="6"/>
  <c r="L372" i="6"/>
  <c r="K372" i="6"/>
  <c r="Q372" i="6" s="1"/>
  <c r="N371" i="6"/>
  <c r="P371" i="6" s="1"/>
  <c r="M371" i="6"/>
  <c r="L371" i="6"/>
  <c r="K371" i="6"/>
  <c r="Q371" i="6" s="1"/>
  <c r="N370" i="6"/>
  <c r="P370" i="6" s="1"/>
  <c r="M370" i="6"/>
  <c r="L370" i="6"/>
  <c r="K370" i="6"/>
  <c r="Q370" i="6" s="1"/>
  <c r="N369" i="6"/>
  <c r="P369" i="6" s="1"/>
  <c r="M369" i="6"/>
  <c r="L369" i="6"/>
  <c r="K369" i="6"/>
  <c r="Q369" i="6" s="1"/>
  <c r="N368" i="6"/>
  <c r="P368" i="6" s="1"/>
  <c r="M368" i="6"/>
  <c r="L368" i="6"/>
  <c r="K368" i="6"/>
  <c r="Q368" i="6" s="1"/>
  <c r="N367" i="6"/>
  <c r="P367" i="6" s="1"/>
  <c r="M367" i="6"/>
  <c r="L367" i="6"/>
  <c r="K367" i="6"/>
  <c r="Q367" i="6" s="1"/>
  <c r="N366" i="6"/>
  <c r="P366" i="6" s="1"/>
  <c r="M366" i="6"/>
  <c r="L366" i="6"/>
  <c r="K366" i="6"/>
  <c r="Q366" i="6" s="1"/>
  <c r="N365" i="6"/>
  <c r="P365" i="6" s="1"/>
  <c r="M365" i="6"/>
  <c r="L365" i="6"/>
  <c r="K365" i="6"/>
  <c r="Q365" i="6" s="1"/>
  <c r="N364" i="6"/>
  <c r="P364" i="6" s="1"/>
  <c r="M364" i="6"/>
  <c r="L364" i="6"/>
  <c r="K364" i="6"/>
  <c r="Q364" i="6" s="1"/>
  <c r="N363" i="6"/>
  <c r="P363" i="6" s="1"/>
  <c r="M363" i="6"/>
  <c r="L363" i="6"/>
  <c r="K363" i="6"/>
  <c r="Q363" i="6" s="1"/>
  <c r="N362" i="6"/>
  <c r="P362" i="6" s="1"/>
  <c r="M362" i="6"/>
  <c r="L362" i="6"/>
  <c r="K362" i="6"/>
  <c r="Q362" i="6" s="1"/>
  <c r="N361" i="6"/>
  <c r="P361" i="6" s="1"/>
  <c r="M361" i="6"/>
  <c r="L361" i="6"/>
  <c r="K361" i="6"/>
  <c r="Q361" i="6" s="1"/>
  <c r="N360" i="6"/>
  <c r="P360" i="6" s="1"/>
  <c r="M360" i="6"/>
  <c r="L360" i="6"/>
  <c r="K360" i="6"/>
  <c r="Q360" i="6" s="1"/>
  <c r="N359" i="6"/>
  <c r="P359" i="6" s="1"/>
  <c r="M359" i="6"/>
  <c r="L359" i="6"/>
  <c r="K359" i="6"/>
  <c r="Q359" i="6" s="1"/>
  <c r="N358" i="6"/>
  <c r="P358" i="6" s="1"/>
  <c r="M358" i="6"/>
  <c r="L358" i="6"/>
  <c r="K358" i="6"/>
  <c r="Q358" i="6" s="1"/>
  <c r="N357" i="6"/>
  <c r="P357" i="6" s="1"/>
  <c r="M357" i="6"/>
  <c r="L357" i="6"/>
  <c r="K357" i="6"/>
  <c r="Q357" i="6" s="1"/>
  <c r="N356" i="6"/>
  <c r="P356" i="6" s="1"/>
  <c r="M356" i="6"/>
  <c r="L356" i="6"/>
  <c r="K356" i="6"/>
  <c r="Q356" i="6" s="1"/>
  <c r="N355" i="6"/>
  <c r="P355" i="6" s="1"/>
  <c r="M355" i="6"/>
  <c r="L355" i="6"/>
  <c r="K355" i="6"/>
  <c r="Q355" i="6" s="1"/>
  <c r="N354" i="6"/>
  <c r="P354" i="6" s="1"/>
  <c r="M354" i="6"/>
  <c r="L354" i="6"/>
  <c r="K354" i="6"/>
  <c r="Q354" i="6" s="1"/>
  <c r="N353" i="6"/>
  <c r="P353" i="6" s="1"/>
  <c r="M353" i="6"/>
  <c r="L353" i="6"/>
  <c r="K353" i="6"/>
  <c r="Q353" i="6" s="1"/>
  <c r="N352" i="6"/>
  <c r="P352" i="6" s="1"/>
  <c r="M352" i="6"/>
  <c r="L352" i="6"/>
  <c r="K352" i="6"/>
  <c r="Q352" i="6" s="1"/>
  <c r="N351" i="6"/>
  <c r="P351" i="6" s="1"/>
  <c r="M351" i="6"/>
  <c r="L351" i="6"/>
  <c r="K351" i="6"/>
  <c r="Q351" i="6" s="1"/>
  <c r="N350" i="6"/>
  <c r="P350" i="6" s="1"/>
  <c r="M350" i="6"/>
  <c r="L350" i="6"/>
  <c r="K350" i="6"/>
  <c r="Q350" i="6" s="1"/>
  <c r="N349" i="6"/>
  <c r="P349" i="6" s="1"/>
  <c r="M349" i="6"/>
  <c r="L349" i="6"/>
  <c r="K349" i="6"/>
  <c r="Q349" i="6" s="1"/>
  <c r="N348" i="6"/>
  <c r="P348" i="6" s="1"/>
  <c r="M348" i="6"/>
  <c r="L348" i="6"/>
  <c r="K348" i="6"/>
  <c r="Q348" i="6" s="1"/>
  <c r="N347" i="6"/>
  <c r="P347" i="6" s="1"/>
  <c r="M347" i="6"/>
  <c r="L347" i="6"/>
  <c r="K347" i="6"/>
  <c r="Q347" i="6" s="1"/>
  <c r="N346" i="6"/>
  <c r="P346" i="6" s="1"/>
  <c r="M346" i="6"/>
  <c r="L346" i="6"/>
  <c r="K346" i="6"/>
  <c r="Q346" i="6" s="1"/>
  <c r="N345" i="6"/>
  <c r="P345" i="6" s="1"/>
  <c r="M345" i="6"/>
  <c r="L345" i="6"/>
  <c r="K345" i="6"/>
  <c r="Q345" i="6" s="1"/>
  <c r="N344" i="6"/>
  <c r="P344" i="6" s="1"/>
  <c r="M344" i="6"/>
  <c r="L344" i="6"/>
  <c r="K344" i="6"/>
  <c r="Q344" i="6" s="1"/>
  <c r="N343" i="6"/>
  <c r="P343" i="6" s="1"/>
  <c r="M343" i="6"/>
  <c r="L343" i="6"/>
  <c r="K343" i="6"/>
  <c r="Q343" i="6" s="1"/>
  <c r="N342" i="6"/>
  <c r="P342" i="6" s="1"/>
  <c r="M342" i="6"/>
  <c r="L342" i="6"/>
  <c r="K342" i="6"/>
  <c r="Q342" i="6" s="1"/>
  <c r="N341" i="6"/>
  <c r="P341" i="6" s="1"/>
  <c r="M341" i="6"/>
  <c r="L341" i="6"/>
  <c r="K341" i="6"/>
  <c r="Q341" i="6" s="1"/>
  <c r="N340" i="6"/>
  <c r="P340" i="6" s="1"/>
  <c r="M340" i="6"/>
  <c r="L340" i="6"/>
  <c r="K340" i="6"/>
  <c r="Q340" i="6" s="1"/>
  <c r="N339" i="6"/>
  <c r="P339" i="6" s="1"/>
  <c r="M339" i="6"/>
  <c r="L339" i="6"/>
  <c r="K339" i="6"/>
  <c r="Q339" i="6" s="1"/>
  <c r="N338" i="6"/>
  <c r="P338" i="6" s="1"/>
  <c r="M338" i="6"/>
  <c r="L338" i="6"/>
  <c r="K338" i="6"/>
  <c r="Q338" i="6" s="1"/>
  <c r="N337" i="6"/>
  <c r="P337" i="6" s="1"/>
  <c r="M337" i="6"/>
  <c r="L337" i="6"/>
  <c r="K337" i="6"/>
  <c r="Q337" i="6" s="1"/>
  <c r="N336" i="6"/>
  <c r="P336" i="6" s="1"/>
  <c r="M336" i="6"/>
  <c r="L336" i="6"/>
  <c r="K336" i="6"/>
  <c r="Q336" i="6" s="1"/>
  <c r="N335" i="6"/>
  <c r="P335" i="6" s="1"/>
  <c r="M335" i="6"/>
  <c r="L335" i="6"/>
  <c r="K335" i="6"/>
  <c r="Q335" i="6" s="1"/>
  <c r="N334" i="6"/>
  <c r="P334" i="6" s="1"/>
  <c r="M334" i="6"/>
  <c r="L334" i="6"/>
  <c r="K334" i="6"/>
  <c r="Q334" i="6" s="1"/>
  <c r="N333" i="6"/>
  <c r="P333" i="6" s="1"/>
  <c r="M333" i="6"/>
  <c r="L333" i="6"/>
  <c r="K333" i="6"/>
  <c r="Q333" i="6" s="1"/>
  <c r="N332" i="6"/>
  <c r="P332" i="6" s="1"/>
  <c r="M332" i="6"/>
  <c r="L332" i="6"/>
  <c r="K332" i="6"/>
  <c r="Q332" i="6" s="1"/>
  <c r="N331" i="6"/>
  <c r="P331" i="6" s="1"/>
  <c r="M331" i="6"/>
  <c r="L331" i="6"/>
  <c r="K331" i="6"/>
  <c r="Q331" i="6" s="1"/>
  <c r="N330" i="6"/>
  <c r="P330" i="6" s="1"/>
  <c r="M330" i="6"/>
  <c r="L330" i="6"/>
  <c r="K330" i="6"/>
  <c r="Q330" i="6" s="1"/>
  <c r="N329" i="6"/>
  <c r="P329" i="6" s="1"/>
  <c r="M329" i="6"/>
  <c r="L329" i="6"/>
  <c r="K329" i="6"/>
  <c r="Q329" i="6" s="1"/>
  <c r="N328" i="6"/>
  <c r="P328" i="6" s="1"/>
  <c r="M328" i="6"/>
  <c r="L328" i="6"/>
  <c r="K328" i="6"/>
  <c r="Q328" i="6" s="1"/>
  <c r="N327" i="6"/>
  <c r="P327" i="6" s="1"/>
  <c r="M327" i="6"/>
  <c r="L327" i="6"/>
  <c r="K327" i="6"/>
  <c r="Q327" i="6" s="1"/>
  <c r="N326" i="6"/>
  <c r="P326" i="6" s="1"/>
  <c r="M326" i="6"/>
  <c r="L326" i="6"/>
  <c r="K326" i="6"/>
  <c r="Q326" i="6" s="1"/>
  <c r="N325" i="6"/>
  <c r="P325" i="6" s="1"/>
  <c r="M325" i="6"/>
  <c r="L325" i="6"/>
  <c r="K325" i="6"/>
  <c r="Q325" i="6" s="1"/>
  <c r="N324" i="6"/>
  <c r="P324" i="6" s="1"/>
  <c r="M324" i="6"/>
  <c r="L324" i="6"/>
  <c r="K324" i="6"/>
  <c r="Q324" i="6" s="1"/>
  <c r="N323" i="6"/>
  <c r="P323" i="6" s="1"/>
  <c r="M323" i="6"/>
  <c r="L323" i="6"/>
  <c r="K323" i="6"/>
  <c r="Q323" i="6" s="1"/>
  <c r="N322" i="6"/>
  <c r="P322" i="6" s="1"/>
  <c r="M322" i="6"/>
  <c r="L322" i="6"/>
  <c r="K322" i="6"/>
  <c r="Q322" i="6" s="1"/>
  <c r="N321" i="6"/>
  <c r="P321" i="6" s="1"/>
  <c r="M321" i="6"/>
  <c r="L321" i="6"/>
  <c r="K321" i="6"/>
  <c r="Q321" i="6" s="1"/>
  <c r="N320" i="6"/>
  <c r="P320" i="6" s="1"/>
  <c r="M320" i="6"/>
  <c r="L320" i="6"/>
  <c r="K320" i="6"/>
  <c r="Q320" i="6" s="1"/>
  <c r="N319" i="6"/>
  <c r="P319" i="6" s="1"/>
  <c r="M319" i="6"/>
  <c r="L319" i="6"/>
  <c r="K319" i="6"/>
  <c r="Q319" i="6" s="1"/>
  <c r="N318" i="6"/>
  <c r="P318" i="6" s="1"/>
  <c r="M318" i="6"/>
  <c r="L318" i="6"/>
  <c r="K318" i="6"/>
  <c r="Q318" i="6" s="1"/>
  <c r="N317" i="6"/>
  <c r="P317" i="6" s="1"/>
  <c r="M317" i="6"/>
  <c r="L317" i="6"/>
  <c r="K317" i="6"/>
  <c r="Q317" i="6" s="1"/>
  <c r="N316" i="6"/>
  <c r="P316" i="6" s="1"/>
  <c r="M316" i="6"/>
  <c r="L316" i="6"/>
  <c r="K316" i="6"/>
  <c r="Q316" i="6" s="1"/>
  <c r="N315" i="6"/>
  <c r="P315" i="6" s="1"/>
  <c r="M315" i="6"/>
  <c r="L315" i="6"/>
  <c r="K315" i="6"/>
  <c r="Q315" i="6" s="1"/>
  <c r="N314" i="6"/>
  <c r="P314" i="6" s="1"/>
  <c r="M314" i="6"/>
  <c r="L314" i="6"/>
  <c r="K314" i="6"/>
  <c r="Q314" i="6" s="1"/>
  <c r="N313" i="6"/>
  <c r="P313" i="6" s="1"/>
  <c r="M313" i="6"/>
  <c r="L313" i="6"/>
  <c r="K313" i="6"/>
  <c r="Q313" i="6" s="1"/>
  <c r="N312" i="6"/>
  <c r="P312" i="6" s="1"/>
  <c r="M312" i="6"/>
  <c r="L312" i="6"/>
  <c r="K312" i="6"/>
  <c r="Q312" i="6" s="1"/>
  <c r="N311" i="6"/>
  <c r="P311" i="6" s="1"/>
  <c r="M311" i="6"/>
  <c r="L311" i="6"/>
  <c r="K311" i="6"/>
  <c r="Q311" i="6" s="1"/>
  <c r="N310" i="6"/>
  <c r="P310" i="6" s="1"/>
  <c r="M310" i="6"/>
  <c r="L310" i="6"/>
  <c r="K310" i="6"/>
  <c r="Q310" i="6" s="1"/>
  <c r="N309" i="6"/>
  <c r="P309" i="6" s="1"/>
  <c r="M309" i="6"/>
  <c r="L309" i="6"/>
  <c r="K309" i="6"/>
  <c r="Q309" i="6" s="1"/>
  <c r="N308" i="6"/>
  <c r="P308" i="6" s="1"/>
  <c r="M308" i="6"/>
  <c r="L308" i="6"/>
  <c r="K308" i="6"/>
  <c r="Q308" i="6" s="1"/>
  <c r="N307" i="6"/>
  <c r="P307" i="6" s="1"/>
  <c r="M307" i="6"/>
  <c r="L307" i="6"/>
  <c r="K307" i="6"/>
  <c r="Q307" i="6" s="1"/>
  <c r="N306" i="6"/>
  <c r="P306" i="6" s="1"/>
  <c r="M306" i="6"/>
  <c r="L306" i="6"/>
  <c r="K306" i="6"/>
  <c r="Q306" i="6" s="1"/>
  <c r="N305" i="6"/>
  <c r="P305" i="6" s="1"/>
  <c r="M305" i="6"/>
  <c r="L305" i="6"/>
  <c r="K305" i="6"/>
  <c r="Q305" i="6" s="1"/>
  <c r="N304" i="6"/>
  <c r="P304" i="6" s="1"/>
  <c r="M304" i="6"/>
  <c r="L304" i="6"/>
  <c r="K304" i="6"/>
  <c r="Q304" i="6" s="1"/>
  <c r="N303" i="6"/>
  <c r="P303" i="6" s="1"/>
  <c r="M303" i="6"/>
  <c r="L303" i="6"/>
  <c r="K303" i="6"/>
  <c r="Q303" i="6" s="1"/>
  <c r="N302" i="6"/>
  <c r="P302" i="6" s="1"/>
  <c r="M302" i="6"/>
  <c r="L302" i="6"/>
  <c r="K302" i="6"/>
  <c r="Q302" i="6" s="1"/>
  <c r="N301" i="6"/>
  <c r="P301" i="6" s="1"/>
  <c r="M301" i="6"/>
  <c r="L301" i="6"/>
  <c r="K301" i="6"/>
  <c r="Q301" i="6" s="1"/>
  <c r="N300" i="6"/>
  <c r="P300" i="6" s="1"/>
  <c r="M300" i="6"/>
  <c r="L300" i="6"/>
  <c r="K300" i="6"/>
  <c r="Q300" i="6" s="1"/>
  <c r="N299" i="6"/>
  <c r="P299" i="6" s="1"/>
  <c r="M299" i="6"/>
  <c r="L299" i="6"/>
  <c r="K299" i="6"/>
  <c r="Q299" i="6" s="1"/>
  <c r="N298" i="6"/>
  <c r="P298" i="6" s="1"/>
  <c r="M298" i="6"/>
  <c r="L298" i="6"/>
  <c r="K298" i="6"/>
  <c r="Q298" i="6" s="1"/>
  <c r="N297" i="6"/>
  <c r="P297" i="6" s="1"/>
  <c r="M297" i="6"/>
  <c r="L297" i="6"/>
  <c r="K297" i="6"/>
  <c r="Q297" i="6" s="1"/>
  <c r="N296" i="6"/>
  <c r="P296" i="6" s="1"/>
  <c r="M296" i="6"/>
  <c r="L296" i="6"/>
  <c r="K296" i="6"/>
  <c r="Q296" i="6" s="1"/>
  <c r="N295" i="6"/>
  <c r="P295" i="6" s="1"/>
  <c r="M295" i="6"/>
  <c r="L295" i="6"/>
  <c r="K295" i="6"/>
  <c r="Q295" i="6" s="1"/>
  <c r="N294" i="6"/>
  <c r="P294" i="6" s="1"/>
  <c r="M294" i="6"/>
  <c r="L294" i="6"/>
  <c r="K294" i="6"/>
  <c r="Q294" i="6" s="1"/>
  <c r="N293" i="6"/>
  <c r="P293" i="6" s="1"/>
  <c r="M293" i="6"/>
  <c r="L293" i="6"/>
  <c r="K293" i="6"/>
  <c r="Q293" i="6" s="1"/>
  <c r="N292" i="6"/>
  <c r="P292" i="6" s="1"/>
  <c r="M292" i="6"/>
  <c r="L292" i="6"/>
  <c r="K292" i="6"/>
  <c r="Q292" i="6" s="1"/>
  <c r="N291" i="6"/>
  <c r="P291" i="6" s="1"/>
  <c r="M291" i="6"/>
  <c r="L291" i="6"/>
  <c r="K291" i="6"/>
  <c r="Q291" i="6" s="1"/>
  <c r="N290" i="6"/>
  <c r="P290" i="6" s="1"/>
  <c r="M290" i="6"/>
  <c r="L290" i="6"/>
  <c r="K290" i="6"/>
  <c r="Q290" i="6" s="1"/>
  <c r="N289" i="6"/>
  <c r="P289" i="6" s="1"/>
  <c r="M289" i="6"/>
  <c r="L289" i="6"/>
  <c r="K289" i="6"/>
  <c r="Q289" i="6" s="1"/>
  <c r="N288" i="6"/>
  <c r="P288" i="6" s="1"/>
  <c r="M288" i="6"/>
  <c r="L288" i="6"/>
  <c r="K288" i="6"/>
  <c r="Q288" i="6" s="1"/>
  <c r="N287" i="6"/>
  <c r="P287" i="6" s="1"/>
  <c r="M287" i="6"/>
  <c r="L287" i="6"/>
  <c r="K287" i="6"/>
  <c r="Q287" i="6" s="1"/>
  <c r="N286" i="6"/>
  <c r="P286" i="6" s="1"/>
  <c r="M286" i="6"/>
  <c r="L286" i="6"/>
  <c r="K286" i="6"/>
  <c r="Q286" i="6" s="1"/>
  <c r="N285" i="6"/>
  <c r="P285" i="6" s="1"/>
  <c r="M285" i="6"/>
  <c r="L285" i="6"/>
  <c r="K285" i="6"/>
  <c r="Q285" i="6" s="1"/>
  <c r="N284" i="6"/>
  <c r="P284" i="6" s="1"/>
  <c r="M284" i="6"/>
  <c r="L284" i="6"/>
  <c r="K284" i="6"/>
  <c r="Q284" i="6" s="1"/>
  <c r="N283" i="6"/>
  <c r="P283" i="6" s="1"/>
  <c r="M283" i="6"/>
  <c r="L283" i="6"/>
  <c r="K283" i="6"/>
  <c r="Q283" i="6" s="1"/>
  <c r="N282" i="6"/>
  <c r="P282" i="6" s="1"/>
  <c r="M282" i="6"/>
  <c r="L282" i="6"/>
  <c r="K282" i="6"/>
  <c r="Q282" i="6" s="1"/>
  <c r="N281" i="6"/>
  <c r="P281" i="6" s="1"/>
  <c r="M281" i="6"/>
  <c r="L281" i="6"/>
  <c r="K281" i="6"/>
  <c r="Q281" i="6" s="1"/>
  <c r="N280" i="6"/>
  <c r="P280" i="6" s="1"/>
  <c r="M280" i="6"/>
  <c r="L280" i="6"/>
  <c r="K280" i="6"/>
  <c r="Q280" i="6" s="1"/>
  <c r="N279" i="6"/>
  <c r="P279" i="6" s="1"/>
  <c r="M279" i="6"/>
  <c r="L279" i="6"/>
  <c r="K279" i="6"/>
  <c r="Q279" i="6" s="1"/>
  <c r="N278" i="6"/>
  <c r="P278" i="6" s="1"/>
  <c r="M278" i="6"/>
  <c r="L278" i="6"/>
  <c r="K278" i="6"/>
  <c r="Q278" i="6" s="1"/>
  <c r="N277" i="6"/>
  <c r="P277" i="6" s="1"/>
  <c r="M277" i="6"/>
  <c r="L277" i="6"/>
  <c r="K277" i="6"/>
  <c r="Q277" i="6" s="1"/>
  <c r="N276" i="6"/>
  <c r="P276" i="6" s="1"/>
  <c r="M276" i="6"/>
  <c r="L276" i="6"/>
  <c r="K276" i="6"/>
  <c r="Q276" i="6" s="1"/>
  <c r="N275" i="6"/>
  <c r="P275" i="6" s="1"/>
  <c r="M275" i="6"/>
  <c r="L275" i="6"/>
  <c r="K275" i="6"/>
  <c r="Q275" i="6" s="1"/>
  <c r="N274" i="6"/>
  <c r="P274" i="6" s="1"/>
  <c r="M274" i="6"/>
  <c r="L274" i="6"/>
  <c r="K274" i="6"/>
  <c r="Q274" i="6" s="1"/>
  <c r="N273" i="6"/>
  <c r="P273" i="6" s="1"/>
  <c r="M273" i="6"/>
  <c r="L273" i="6"/>
  <c r="K273" i="6"/>
  <c r="Q273" i="6" s="1"/>
  <c r="N272" i="6"/>
  <c r="P272" i="6" s="1"/>
  <c r="M272" i="6"/>
  <c r="L272" i="6"/>
  <c r="K272" i="6"/>
  <c r="Q272" i="6" s="1"/>
  <c r="N271" i="6"/>
  <c r="P271" i="6" s="1"/>
  <c r="M271" i="6"/>
  <c r="L271" i="6"/>
  <c r="K271" i="6"/>
  <c r="Q271" i="6" s="1"/>
  <c r="N270" i="6"/>
  <c r="P270" i="6" s="1"/>
  <c r="M270" i="6"/>
  <c r="L270" i="6"/>
  <c r="K270" i="6"/>
  <c r="Q270" i="6" s="1"/>
  <c r="N269" i="6"/>
  <c r="P269" i="6" s="1"/>
  <c r="M269" i="6"/>
  <c r="L269" i="6"/>
  <c r="K269" i="6"/>
  <c r="Q269" i="6" s="1"/>
  <c r="N268" i="6"/>
  <c r="P268" i="6" s="1"/>
  <c r="M268" i="6"/>
  <c r="L268" i="6"/>
  <c r="K268" i="6"/>
  <c r="Q268" i="6" s="1"/>
  <c r="N267" i="6"/>
  <c r="P267" i="6" s="1"/>
  <c r="M267" i="6"/>
  <c r="L267" i="6"/>
  <c r="K267" i="6"/>
  <c r="Q267" i="6" s="1"/>
  <c r="N266" i="6"/>
  <c r="P266" i="6" s="1"/>
  <c r="M266" i="6"/>
  <c r="L266" i="6"/>
  <c r="K266" i="6"/>
  <c r="Q266" i="6" s="1"/>
  <c r="N265" i="6"/>
  <c r="P265" i="6" s="1"/>
  <c r="M265" i="6"/>
  <c r="L265" i="6"/>
  <c r="K265" i="6"/>
  <c r="Q265" i="6" s="1"/>
  <c r="N264" i="6"/>
  <c r="P264" i="6" s="1"/>
  <c r="M264" i="6"/>
  <c r="L264" i="6"/>
  <c r="K264" i="6"/>
  <c r="Q264" i="6" s="1"/>
  <c r="N263" i="6"/>
  <c r="P263" i="6" s="1"/>
  <c r="M263" i="6"/>
  <c r="L263" i="6"/>
  <c r="K263" i="6"/>
  <c r="Q263" i="6" s="1"/>
  <c r="N262" i="6"/>
  <c r="P262" i="6" s="1"/>
  <c r="M262" i="6"/>
  <c r="L262" i="6"/>
  <c r="K262" i="6"/>
  <c r="Q262" i="6" s="1"/>
  <c r="N261" i="6"/>
  <c r="P261" i="6" s="1"/>
  <c r="M261" i="6"/>
  <c r="L261" i="6"/>
  <c r="K261" i="6"/>
  <c r="Q261" i="6" s="1"/>
  <c r="N260" i="6"/>
  <c r="P260" i="6" s="1"/>
  <c r="M260" i="6"/>
  <c r="L260" i="6"/>
  <c r="K260" i="6"/>
  <c r="Q260" i="6" s="1"/>
  <c r="N259" i="6"/>
  <c r="P259" i="6" s="1"/>
  <c r="M259" i="6"/>
  <c r="L259" i="6"/>
  <c r="K259" i="6"/>
  <c r="Q259" i="6" s="1"/>
  <c r="N258" i="6"/>
  <c r="P258" i="6" s="1"/>
  <c r="M258" i="6"/>
  <c r="L258" i="6"/>
  <c r="K258" i="6"/>
  <c r="Q258" i="6" s="1"/>
  <c r="N257" i="6"/>
  <c r="P257" i="6" s="1"/>
  <c r="M257" i="6"/>
  <c r="L257" i="6"/>
  <c r="K257" i="6"/>
  <c r="Q257" i="6" s="1"/>
  <c r="N256" i="6"/>
  <c r="P256" i="6" s="1"/>
  <c r="M256" i="6"/>
  <c r="L256" i="6"/>
  <c r="K256" i="6"/>
  <c r="Q256" i="6" s="1"/>
  <c r="N255" i="6"/>
  <c r="P255" i="6" s="1"/>
  <c r="M255" i="6"/>
  <c r="L255" i="6"/>
  <c r="K255" i="6"/>
  <c r="Q255" i="6" s="1"/>
  <c r="N254" i="6"/>
  <c r="P254" i="6" s="1"/>
  <c r="M254" i="6"/>
  <c r="L254" i="6"/>
  <c r="K254" i="6"/>
  <c r="Q254" i="6" s="1"/>
  <c r="N253" i="6"/>
  <c r="P253" i="6" s="1"/>
  <c r="M253" i="6"/>
  <c r="L253" i="6"/>
  <c r="K253" i="6"/>
  <c r="Q253" i="6" s="1"/>
  <c r="N252" i="6"/>
  <c r="P252" i="6" s="1"/>
  <c r="M252" i="6"/>
  <c r="L252" i="6"/>
  <c r="K252" i="6"/>
  <c r="Q252" i="6" s="1"/>
  <c r="N251" i="6"/>
  <c r="P251" i="6" s="1"/>
  <c r="M251" i="6"/>
  <c r="L251" i="6"/>
  <c r="K251" i="6"/>
  <c r="Q251" i="6" s="1"/>
  <c r="N250" i="6"/>
  <c r="P250" i="6" s="1"/>
  <c r="M250" i="6"/>
  <c r="L250" i="6"/>
  <c r="K250" i="6"/>
  <c r="Q250" i="6" s="1"/>
  <c r="N249" i="6"/>
  <c r="P249" i="6" s="1"/>
  <c r="M249" i="6"/>
  <c r="L249" i="6"/>
  <c r="K249" i="6"/>
  <c r="Q249" i="6" s="1"/>
  <c r="N248" i="6"/>
  <c r="P248" i="6" s="1"/>
  <c r="M248" i="6"/>
  <c r="L248" i="6"/>
  <c r="K248" i="6"/>
  <c r="Q248" i="6" s="1"/>
  <c r="N247" i="6"/>
  <c r="P247" i="6" s="1"/>
  <c r="M247" i="6"/>
  <c r="L247" i="6"/>
  <c r="K247" i="6"/>
  <c r="Q247" i="6" s="1"/>
  <c r="N246" i="6"/>
  <c r="P246" i="6" s="1"/>
  <c r="M246" i="6"/>
  <c r="L246" i="6"/>
  <c r="K246" i="6"/>
  <c r="Q246" i="6" s="1"/>
  <c r="N245" i="6"/>
  <c r="P245" i="6" s="1"/>
  <c r="M245" i="6"/>
  <c r="L245" i="6"/>
  <c r="K245" i="6"/>
  <c r="Q245" i="6" s="1"/>
  <c r="N244" i="6"/>
  <c r="P244" i="6" s="1"/>
  <c r="M244" i="6"/>
  <c r="L244" i="6"/>
  <c r="K244" i="6"/>
  <c r="Q244" i="6" s="1"/>
  <c r="N243" i="6"/>
  <c r="P243" i="6" s="1"/>
  <c r="M243" i="6"/>
  <c r="L243" i="6"/>
  <c r="K243" i="6"/>
  <c r="Q243" i="6" s="1"/>
  <c r="N242" i="6"/>
  <c r="P242" i="6" s="1"/>
  <c r="M242" i="6"/>
  <c r="L242" i="6"/>
  <c r="K242" i="6"/>
  <c r="Q242" i="6" s="1"/>
  <c r="N241" i="6"/>
  <c r="P241" i="6" s="1"/>
  <c r="M241" i="6"/>
  <c r="L241" i="6"/>
  <c r="K241" i="6"/>
  <c r="Q241" i="6" s="1"/>
  <c r="N240" i="6"/>
  <c r="P240" i="6" s="1"/>
  <c r="M240" i="6"/>
  <c r="L240" i="6"/>
  <c r="K240" i="6"/>
  <c r="Q240" i="6" s="1"/>
  <c r="N239" i="6"/>
  <c r="P239" i="6" s="1"/>
  <c r="M239" i="6"/>
  <c r="L239" i="6"/>
  <c r="K239" i="6"/>
  <c r="Q239" i="6" s="1"/>
  <c r="N238" i="6"/>
  <c r="P238" i="6" s="1"/>
  <c r="M238" i="6"/>
  <c r="L238" i="6"/>
  <c r="K238" i="6"/>
  <c r="Q238" i="6" s="1"/>
  <c r="N237" i="6"/>
  <c r="P237" i="6" s="1"/>
  <c r="M237" i="6"/>
  <c r="L237" i="6"/>
  <c r="K237" i="6"/>
  <c r="Q237" i="6" s="1"/>
  <c r="N236" i="6"/>
  <c r="P236" i="6" s="1"/>
  <c r="M236" i="6"/>
  <c r="L236" i="6"/>
  <c r="K236" i="6"/>
  <c r="Q236" i="6" s="1"/>
  <c r="N235" i="6"/>
  <c r="P235" i="6" s="1"/>
  <c r="M235" i="6"/>
  <c r="L235" i="6"/>
  <c r="K235" i="6"/>
  <c r="Q235" i="6" s="1"/>
  <c r="N234" i="6"/>
  <c r="P234" i="6" s="1"/>
  <c r="M234" i="6"/>
  <c r="L234" i="6"/>
  <c r="K234" i="6"/>
  <c r="Q234" i="6" s="1"/>
  <c r="N233" i="6"/>
  <c r="P233" i="6" s="1"/>
  <c r="M233" i="6"/>
  <c r="L233" i="6"/>
  <c r="K233" i="6"/>
  <c r="Q233" i="6" s="1"/>
  <c r="N232" i="6"/>
  <c r="P232" i="6" s="1"/>
  <c r="M232" i="6"/>
  <c r="L232" i="6"/>
  <c r="K232" i="6"/>
  <c r="Q232" i="6" s="1"/>
  <c r="N231" i="6"/>
  <c r="P231" i="6" s="1"/>
  <c r="M231" i="6"/>
  <c r="L231" i="6"/>
  <c r="K231" i="6"/>
  <c r="Q231" i="6" s="1"/>
  <c r="N230" i="6"/>
  <c r="P230" i="6" s="1"/>
  <c r="M230" i="6"/>
  <c r="L230" i="6"/>
  <c r="K230" i="6"/>
  <c r="Q230" i="6" s="1"/>
  <c r="N229" i="6"/>
  <c r="P229" i="6" s="1"/>
  <c r="M229" i="6"/>
  <c r="L229" i="6"/>
  <c r="K229" i="6"/>
  <c r="Q229" i="6" s="1"/>
  <c r="N228" i="6"/>
  <c r="P228" i="6" s="1"/>
  <c r="M228" i="6"/>
  <c r="L228" i="6"/>
  <c r="K228" i="6"/>
  <c r="Q228" i="6" s="1"/>
  <c r="N227" i="6"/>
  <c r="P227" i="6" s="1"/>
  <c r="M227" i="6"/>
  <c r="L227" i="6"/>
  <c r="K227" i="6"/>
  <c r="Q227" i="6" s="1"/>
  <c r="N226" i="6"/>
  <c r="P226" i="6" s="1"/>
  <c r="M226" i="6"/>
  <c r="L226" i="6"/>
  <c r="K226" i="6"/>
  <c r="Q226" i="6" s="1"/>
  <c r="N225" i="6"/>
  <c r="P225" i="6" s="1"/>
  <c r="M225" i="6"/>
  <c r="L225" i="6"/>
  <c r="K225" i="6"/>
  <c r="Q225" i="6" s="1"/>
  <c r="N224" i="6"/>
  <c r="P224" i="6" s="1"/>
  <c r="M224" i="6"/>
  <c r="L224" i="6"/>
  <c r="K224" i="6"/>
  <c r="Q224" i="6" s="1"/>
  <c r="N223" i="6"/>
  <c r="P223" i="6" s="1"/>
  <c r="M223" i="6"/>
  <c r="L223" i="6"/>
  <c r="K223" i="6"/>
  <c r="Q223" i="6" s="1"/>
  <c r="N222" i="6"/>
  <c r="P222" i="6" s="1"/>
  <c r="M222" i="6"/>
  <c r="L222" i="6"/>
  <c r="K222" i="6"/>
  <c r="Q222" i="6" s="1"/>
  <c r="N221" i="6"/>
  <c r="P221" i="6" s="1"/>
  <c r="M221" i="6"/>
  <c r="L221" i="6"/>
  <c r="K221" i="6"/>
  <c r="Q221" i="6" s="1"/>
  <c r="N220" i="6"/>
  <c r="P220" i="6" s="1"/>
  <c r="M220" i="6"/>
  <c r="L220" i="6"/>
  <c r="K220" i="6"/>
  <c r="Q220" i="6" s="1"/>
  <c r="N219" i="6"/>
  <c r="P219" i="6" s="1"/>
  <c r="M219" i="6"/>
  <c r="L219" i="6"/>
  <c r="K219" i="6"/>
  <c r="Q219" i="6" s="1"/>
  <c r="N218" i="6"/>
  <c r="P218" i="6" s="1"/>
  <c r="M218" i="6"/>
  <c r="L218" i="6"/>
  <c r="K218" i="6"/>
  <c r="Q218" i="6" s="1"/>
  <c r="N217" i="6"/>
  <c r="P217" i="6" s="1"/>
  <c r="M217" i="6"/>
  <c r="L217" i="6"/>
  <c r="K217" i="6"/>
  <c r="Q217" i="6" s="1"/>
  <c r="N216" i="6"/>
  <c r="P216" i="6" s="1"/>
  <c r="M216" i="6"/>
  <c r="L216" i="6"/>
  <c r="K216" i="6"/>
  <c r="Q216" i="6" s="1"/>
  <c r="N215" i="6"/>
  <c r="P215" i="6" s="1"/>
  <c r="M215" i="6"/>
  <c r="L215" i="6"/>
  <c r="K215" i="6"/>
  <c r="Q215" i="6" s="1"/>
  <c r="N214" i="6"/>
  <c r="P214" i="6" s="1"/>
  <c r="M214" i="6"/>
  <c r="L214" i="6"/>
  <c r="K214" i="6"/>
  <c r="Q214" i="6" s="1"/>
  <c r="N213" i="6"/>
  <c r="P213" i="6" s="1"/>
  <c r="M213" i="6"/>
  <c r="L213" i="6"/>
  <c r="K213" i="6"/>
  <c r="Q213" i="6" s="1"/>
  <c r="N212" i="6"/>
  <c r="P212" i="6" s="1"/>
  <c r="M212" i="6"/>
  <c r="L212" i="6"/>
  <c r="K212" i="6"/>
  <c r="Q212" i="6" s="1"/>
  <c r="N211" i="6"/>
  <c r="P211" i="6" s="1"/>
  <c r="M211" i="6"/>
  <c r="L211" i="6"/>
  <c r="K211" i="6"/>
  <c r="Q211" i="6" s="1"/>
  <c r="N210" i="6"/>
  <c r="P210" i="6" s="1"/>
  <c r="M210" i="6"/>
  <c r="L210" i="6"/>
  <c r="K210" i="6"/>
  <c r="Q210" i="6" s="1"/>
  <c r="N209" i="6"/>
  <c r="P209" i="6" s="1"/>
  <c r="M209" i="6"/>
  <c r="L209" i="6"/>
  <c r="K209" i="6"/>
  <c r="Q209" i="6" s="1"/>
  <c r="N208" i="6"/>
  <c r="P208" i="6" s="1"/>
  <c r="M208" i="6"/>
  <c r="L208" i="6"/>
  <c r="K208" i="6"/>
  <c r="Q208" i="6" s="1"/>
  <c r="N207" i="6"/>
  <c r="P207" i="6" s="1"/>
  <c r="M207" i="6"/>
  <c r="L207" i="6"/>
  <c r="K207" i="6"/>
  <c r="Q207" i="6" s="1"/>
  <c r="N206" i="6"/>
  <c r="P206" i="6" s="1"/>
  <c r="M206" i="6"/>
  <c r="L206" i="6"/>
  <c r="K206" i="6"/>
  <c r="Q206" i="6" s="1"/>
  <c r="N205" i="6"/>
  <c r="P205" i="6" s="1"/>
  <c r="M205" i="6"/>
  <c r="L205" i="6"/>
  <c r="K205" i="6"/>
  <c r="Q205" i="6" s="1"/>
  <c r="N204" i="6"/>
  <c r="P204" i="6" s="1"/>
  <c r="M204" i="6"/>
  <c r="L204" i="6"/>
  <c r="K204" i="6"/>
  <c r="Q204" i="6" s="1"/>
  <c r="N203" i="6"/>
  <c r="P203" i="6" s="1"/>
  <c r="M203" i="6"/>
  <c r="L203" i="6"/>
  <c r="K203" i="6"/>
  <c r="Q203" i="6" s="1"/>
  <c r="N202" i="6"/>
  <c r="P202" i="6" s="1"/>
  <c r="M202" i="6"/>
  <c r="L202" i="6"/>
  <c r="K202" i="6"/>
  <c r="Q202" i="6" s="1"/>
  <c r="N201" i="6"/>
  <c r="P201" i="6" s="1"/>
  <c r="M201" i="6"/>
  <c r="L201" i="6"/>
  <c r="K201" i="6"/>
  <c r="Q201" i="6" s="1"/>
  <c r="N200" i="6"/>
  <c r="P200" i="6" s="1"/>
  <c r="M200" i="6"/>
  <c r="L200" i="6"/>
  <c r="K200" i="6"/>
  <c r="Q200" i="6" s="1"/>
  <c r="N199" i="6"/>
  <c r="P199" i="6" s="1"/>
  <c r="M199" i="6"/>
  <c r="L199" i="6"/>
  <c r="K199" i="6"/>
  <c r="Q199" i="6" s="1"/>
  <c r="N198" i="6"/>
  <c r="P198" i="6" s="1"/>
  <c r="M198" i="6"/>
  <c r="L198" i="6"/>
  <c r="K198" i="6"/>
  <c r="Q198" i="6" s="1"/>
  <c r="N197" i="6"/>
  <c r="P197" i="6" s="1"/>
  <c r="M197" i="6"/>
  <c r="L197" i="6"/>
  <c r="K197" i="6"/>
  <c r="Q197" i="6" s="1"/>
  <c r="N196" i="6"/>
  <c r="P196" i="6" s="1"/>
  <c r="M196" i="6"/>
  <c r="L196" i="6"/>
  <c r="K196" i="6"/>
  <c r="Q196" i="6" s="1"/>
  <c r="N195" i="6"/>
  <c r="P195" i="6" s="1"/>
  <c r="M195" i="6"/>
  <c r="L195" i="6"/>
  <c r="K195" i="6"/>
  <c r="Q195" i="6" s="1"/>
  <c r="N194" i="6"/>
  <c r="P194" i="6" s="1"/>
  <c r="M194" i="6"/>
  <c r="L194" i="6"/>
  <c r="K194" i="6"/>
  <c r="Q194" i="6" s="1"/>
  <c r="N193" i="6"/>
  <c r="P193" i="6" s="1"/>
  <c r="M193" i="6"/>
  <c r="L193" i="6"/>
  <c r="K193" i="6"/>
  <c r="Q193" i="6" s="1"/>
  <c r="N192" i="6"/>
  <c r="P192" i="6" s="1"/>
  <c r="M192" i="6"/>
  <c r="L192" i="6"/>
  <c r="K192" i="6"/>
  <c r="Q192" i="6" s="1"/>
  <c r="N191" i="6"/>
  <c r="P191" i="6" s="1"/>
  <c r="M191" i="6"/>
  <c r="L191" i="6"/>
  <c r="K191" i="6"/>
  <c r="Q191" i="6" s="1"/>
  <c r="N190" i="6"/>
  <c r="P190" i="6" s="1"/>
  <c r="M190" i="6"/>
  <c r="L190" i="6"/>
  <c r="K190" i="6"/>
  <c r="Q190" i="6" s="1"/>
  <c r="N189" i="6"/>
  <c r="P189" i="6" s="1"/>
  <c r="M189" i="6"/>
  <c r="L189" i="6"/>
  <c r="K189" i="6"/>
  <c r="Q189" i="6" s="1"/>
  <c r="N188" i="6"/>
  <c r="P188" i="6" s="1"/>
  <c r="M188" i="6"/>
  <c r="L188" i="6"/>
  <c r="K188" i="6"/>
  <c r="Q188" i="6" s="1"/>
  <c r="N187" i="6"/>
  <c r="P187" i="6" s="1"/>
  <c r="M187" i="6"/>
  <c r="L187" i="6"/>
  <c r="K187" i="6"/>
  <c r="Q187" i="6" s="1"/>
  <c r="N186" i="6"/>
  <c r="P186" i="6" s="1"/>
  <c r="M186" i="6"/>
  <c r="L186" i="6"/>
  <c r="K186" i="6"/>
  <c r="Q186" i="6" s="1"/>
  <c r="N185" i="6"/>
  <c r="P185" i="6" s="1"/>
  <c r="M185" i="6"/>
  <c r="L185" i="6"/>
  <c r="K185" i="6"/>
  <c r="Q185" i="6" s="1"/>
  <c r="N184" i="6"/>
  <c r="P184" i="6" s="1"/>
  <c r="M184" i="6"/>
  <c r="L184" i="6"/>
  <c r="K184" i="6"/>
  <c r="Q184" i="6" s="1"/>
  <c r="N183" i="6"/>
  <c r="P183" i="6" s="1"/>
  <c r="M183" i="6"/>
  <c r="L183" i="6"/>
  <c r="K183" i="6"/>
  <c r="Q183" i="6" s="1"/>
  <c r="N182" i="6"/>
  <c r="P182" i="6" s="1"/>
  <c r="M182" i="6"/>
  <c r="L182" i="6"/>
  <c r="K182" i="6"/>
  <c r="Q182" i="6" s="1"/>
  <c r="N181" i="6"/>
  <c r="P181" i="6" s="1"/>
  <c r="M181" i="6"/>
  <c r="L181" i="6"/>
  <c r="K181" i="6"/>
  <c r="Q181" i="6" s="1"/>
  <c r="N180" i="6"/>
  <c r="P180" i="6" s="1"/>
  <c r="M180" i="6"/>
  <c r="L180" i="6"/>
  <c r="K180" i="6"/>
  <c r="Q180" i="6" s="1"/>
  <c r="N179" i="6"/>
  <c r="P179" i="6" s="1"/>
  <c r="M179" i="6"/>
  <c r="L179" i="6"/>
  <c r="K179" i="6"/>
  <c r="Q179" i="6" s="1"/>
  <c r="N178" i="6"/>
  <c r="P178" i="6" s="1"/>
  <c r="M178" i="6"/>
  <c r="L178" i="6"/>
  <c r="K178" i="6"/>
  <c r="Q178" i="6" s="1"/>
  <c r="N177" i="6"/>
  <c r="P177" i="6" s="1"/>
  <c r="M177" i="6"/>
  <c r="L177" i="6"/>
  <c r="K177" i="6"/>
  <c r="Q177" i="6" s="1"/>
  <c r="N176" i="6"/>
  <c r="P176" i="6" s="1"/>
  <c r="M176" i="6"/>
  <c r="L176" i="6"/>
  <c r="K176" i="6"/>
  <c r="Q176" i="6" s="1"/>
  <c r="N175" i="6"/>
  <c r="P175" i="6" s="1"/>
  <c r="M175" i="6"/>
  <c r="L175" i="6"/>
  <c r="K175" i="6"/>
  <c r="Q175" i="6" s="1"/>
  <c r="N174" i="6"/>
  <c r="P174" i="6" s="1"/>
  <c r="M174" i="6"/>
  <c r="L174" i="6"/>
  <c r="K174" i="6"/>
  <c r="Q174" i="6" s="1"/>
  <c r="N173" i="6"/>
  <c r="P173" i="6" s="1"/>
  <c r="M173" i="6"/>
  <c r="L173" i="6"/>
  <c r="K173" i="6"/>
  <c r="Q173" i="6" s="1"/>
  <c r="N172" i="6"/>
  <c r="P172" i="6" s="1"/>
  <c r="M172" i="6"/>
  <c r="L172" i="6"/>
  <c r="K172" i="6"/>
  <c r="Q172" i="6" s="1"/>
  <c r="N171" i="6"/>
  <c r="P171" i="6" s="1"/>
  <c r="M171" i="6"/>
  <c r="L171" i="6"/>
  <c r="K171" i="6"/>
  <c r="Q171" i="6" s="1"/>
  <c r="N170" i="6"/>
  <c r="P170" i="6" s="1"/>
  <c r="M170" i="6"/>
  <c r="L170" i="6"/>
  <c r="K170" i="6"/>
  <c r="Q170" i="6" s="1"/>
  <c r="N169" i="6"/>
  <c r="P169" i="6" s="1"/>
  <c r="M169" i="6"/>
  <c r="L169" i="6"/>
  <c r="K169" i="6"/>
  <c r="Q169" i="6" s="1"/>
  <c r="N168" i="6"/>
  <c r="P168" i="6" s="1"/>
  <c r="M168" i="6"/>
  <c r="L168" i="6"/>
  <c r="K168" i="6"/>
  <c r="Q168" i="6" s="1"/>
  <c r="N167" i="6"/>
  <c r="P167" i="6" s="1"/>
  <c r="M167" i="6"/>
  <c r="L167" i="6"/>
  <c r="K167" i="6"/>
  <c r="Q167" i="6" s="1"/>
  <c r="N166" i="6"/>
  <c r="P166" i="6" s="1"/>
  <c r="M166" i="6"/>
  <c r="L166" i="6"/>
  <c r="K166" i="6"/>
  <c r="Q166" i="6" s="1"/>
  <c r="N165" i="6"/>
  <c r="P165" i="6" s="1"/>
  <c r="M165" i="6"/>
  <c r="L165" i="6"/>
  <c r="K165" i="6"/>
  <c r="Q165" i="6" s="1"/>
  <c r="N164" i="6"/>
  <c r="P164" i="6" s="1"/>
  <c r="M164" i="6"/>
  <c r="L164" i="6"/>
  <c r="K164" i="6"/>
  <c r="Q164" i="6" s="1"/>
  <c r="N163" i="6"/>
  <c r="P163" i="6" s="1"/>
  <c r="M163" i="6"/>
  <c r="L163" i="6"/>
  <c r="K163" i="6"/>
  <c r="Q163" i="6" s="1"/>
  <c r="N162" i="6"/>
  <c r="P162" i="6" s="1"/>
  <c r="M162" i="6"/>
  <c r="L162" i="6"/>
  <c r="K162" i="6"/>
  <c r="Q162" i="6" s="1"/>
  <c r="N161" i="6"/>
  <c r="P161" i="6" s="1"/>
  <c r="M161" i="6"/>
  <c r="L161" i="6"/>
  <c r="K161" i="6"/>
  <c r="Q161" i="6" s="1"/>
  <c r="N160" i="6"/>
  <c r="P160" i="6" s="1"/>
  <c r="M160" i="6"/>
  <c r="L160" i="6"/>
  <c r="K160" i="6"/>
  <c r="Q160" i="6" s="1"/>
  <c r="N159" i="6"/>
  <c r="P159" i="6" s="1"/>
  <c r="M159" i="6"/>
  <c r="L159" i="6"/>
  <c r="K159" i="6"/>
  <c r="Q159" i="6" s="1"/>
  <c r="N158" i="6"/>
  <c r="P158" i="6" s="1"/>
  <c r="M158" i="6"/>
  <c r="L158" i="6"/>
  <c r="K158" i="6"/>
  <c r="Q158" i="6" s="1"/>
  <c r="N157" i="6"/>
  <c r="P157" i="6" s="1"/>
  <c r="M157" i="6"/>
  <c r="L157" i="6"/>
  <c r="K157" i="6"/>
  <c r="Q157" i="6" s="1"/>
  <c r="N156" i="6"/>
  <c r="P156" i="6" s="1"/>
  <c r="M156" i="6"/>
  <c r="L156" i="6"/>
  <c r="K156" i="6"/>
  <c r="Q156" i="6" s="1"/>
  <c r="N155" i="6"/>
  <c r="P155" i="6" s="1"/>
  <c r="M155" i="6"/>
  <c r="L155" i="6"/>
  <c r="K155" i="6"/>
  <c r="Q155" i="6" s="1"/>
  <c r="N154" i="6"/>
  <c r="P154" i="6" s="1"/>
  <c r="M154" i="6"/>
  <c r="L154" i="6"/>
  <c r="K154" i="6"/>
  <c r="Q154" i="6" s="1"/>
  <c r="N153" i="6"/>
  <c r="P153" i="6" s="1"/>
  <c r="M153" i="6"/>
  <c r="L153" i="6"/>
  <c r="K153" i="6"/>
  <c r="Q153" i="6" s="1"/>
  <c r="N152" i="6"/>
  <c r="P152" i="6" s="1"/>
  <c r="M152" i="6"/>
  <c r="L152" i="6"/>
  <c r="K152" i="6"/>
  <c r="Q152" i="6" s="1"/>
  <c r="N151" i="6"/>
  <c r="P151" i="6" s="1"/>
  <c r="M151" i="6"/>
  <c r="L151" i="6"/>
  <c r="K151" i="6"/>
  <c r="Q151" i="6" s="1"/>
  <c r="N150" i="6"/>
  <c r="P150" i="6" s="1"/>
  <c r="M150" i="6"/>
  <c r="L150" i="6"/>
  <c r="K150" i="6"/>
  <c r="Q150" i="6" s="1"/>
  <c r="N149" i="6"/>
  <c r="P149" i="6" s="1"/>
  <c r="M149" i="6"/>
  <c r="L149" i="6"/>
  <c r="K149" i="6"/>
  <c r="Q149" i="6" s="1"/>
  <c r="N148" i="6"/>
  <c r="P148" i="6" s="1"/>
  <c r="M148" i="6"/>
  <c r="L148" i="6"/>
  <c r="K148" i="6"/>
  <c r="Q148" i="6" s="1"/>
  <c r="N147" i="6"/>
  <c r="P147" i="6" s="1"/>
  <c r="M147" i="6"/>
  <c r="L147" i="6"/>
  <c r="K147" i="6"/>
  <c r="Q147" i="6" s="1"/>
  <c r="N146" i="6"/>
  <c r="P146" i="6" s="1"/>
  <c r="M146" i="6"/>
  <c r="L146" i="6"/>
  <c r="K146" i="6"/>
  <c r="Q146" i="6" s="1"/>
  <c r="N145" i="6"/>
  <c r="P145" i="6" s="1"/>
  <c r="M145" i="6"/>
  <c r="L145" i="6"/>
  <c r="K145" i="6"/>
  <c r="Q145" i="6" s="1"/>
  <c r="N144" i="6"/>
  <c r="P144" i="6" s="1"/>
  <c r="M144" i="6"/>
  <c r="L144" i="6"/>
  <c r="K144" i="6"/>
  <c r="Q144" i="6" s="1"/>
  <c r="N143" i="6"/>
  <c r="P143" i="6" s="1"/>
  <c r="M143" i="6"/>
  <c r="L143" i="6"/>
  <c r="K143" i="6"/>
  <c r="Q143" i="6" s="1"/>
  <c r="N142" i="6"/>
  <c r="P142" i="6" s="1"/>
  <c r="M142" i="6"/>
  <c r="L142" i="6"/>
  <c r="K142" i="6"/>
  <c r="Q142" i="6" s="1"/>
  <c r="N141" i="6"/>
  <c r="P141" i="6" s="1"/>
  <c r="M141" i="6"/>
  <c r="L141" i="6"/>
  <c r="K141" i="6"/>
  <c r="Q141" i="6" s="1"/>
  <c r="N140" i="6"/>
  <c r="P140" i="6" s="1"/>
  <c r="M140" i="6"/>
  <c r="L140" i="6"/>
  <c r="K140" i="6"/>
  <c r="Q140" i="6" s="1"/>
  <c r="N139" i="6"/>
  <c r="P139" i="6" s="1"/>
  <c r="M139" i="6"/>
  <c r="L139" i="6"/>
  <c r="K139" i="6"/>
  <c r="Q139" i="6" s="1"/>
  <c r="N138" i="6"/>
  <c r="P138" i="6" s="1"/>
  <c r="M138" i="6"/>
  <c r="L138" i="6"/>
  <c r="K138" i="6"/>
  <c r="Q138" i="6" s="1"/>
  <c r="N137" i="6"/>
  <c r="P137" i="6" s="1"/>
  <c r="M137" i="6"/>
  <c r="L137" i="6"/>
  <c r="K137" i="6"/>
  <c r="Q137" i="6" s="1"/>
  <c r="N136" i="6"/>
  <c r="P136" i="6" s="1"/>
  <c r="M136" i="6"/>
  <c r="L136" i="6"/>
  <c r="K136" i="6"/>
  <c r="Q136" i="6" s="1"/>
  <c r="N135" i="6"/>
  <c r="P135" i="6" s="1"/>
  <c r="M135" i="6"/>
  <c r="L135" i="6"/>
  <c r="K135" i="6"/>
  <c r="Q135" i="6" s="1"/>
  <c r="N134" i="6"/>
  <c r="P134" i="6" s="1"/>
  <c r="M134" i="6"/>
  <c r="L134" i="6"/>
  <c r="K134" i="6"/>
  <c r="Q134" i="6" s="1"/>
  <c r="N133" i="6"/>
  <c r="P133" i="6" s="1"/>
  <c r="M133" i="6"/>
  <c r="L133" i="6"/>
  <c r="K133" i="6"/>
  <c r="Q133" i="6" s="1"/>
  <c r="N132" i="6"/>
  <c r="P132" i="6" s="1"/>
  <c r="M132" i="6"/>
  <c r="L132" i="6"/>
  <c r="K132" i="6"/>
  <c r="Q132" i="6" s="1"/>
  <c r="N131" i="6"/>
  <c r="P131" i="6" s="1"/>
  <c r="M131" i="6"/>
  <c r="L131" i="6"/>
  <c r="K131" i="6"/>
  <c r="Q131" i="6" s="1"/>
  <c r="N130" i="6"/>
  <c r="P130" i="6" s="1"/>
  <c r="M130" i="6"/>
  <c r="L130" i="6"/>
  <c r="K130" i="6"/>
  <c r="Q130" i="6" s="1"/>
  <c r="N129" i="6"/>
  <c r="P129" i="6" s="1"/>
  <c r="M129" i="6"/>
  <c r="L129" i="6"/>
  <c r="K129" i="6"/>
  <c r="Q129" i="6" s="1"/>
  <c r="N128" i="6"/>
  <c r="P128" i="6" s="1"/>
  <c r="M128" i="6"/>
  <c r="L128" i="6"/>
  <c r="K128" i="6"/>
  <c r="Q128" i="6" s="1"/>
  <c r="N127" i="6"/>
  <c r="P127" i="6" s="1"/>
  <c r="M127" i="6"/>
  <c r="L127" i="6"/>
  <c r="K127" i="6"/>
  <c r="Q127" i="6" s="1"/>
  <c r="N126" i="6"/>
  <c r="P126" i="6" s="1"/>
  <c r="M126" i="6"/>
  <c r="L126" i="6"/>
  <c r="K126" i="6"/>
  <c r="Q126" i="6" s="1"/>
  <c r="N125" i="6"/>
  <c r="P125" i="6" s="1"/>
  <c r="M125" i="6"/>
  <c r="L125" i="6"/>
  <c r="K125" i="6"/>
  <c r="N124" i="6"/>
  <c r="P124" i="6" s="1"/>
  <c r="M124" i="6"/>
  <c r="L124" i="6"/>
  <c r="K124" i="6"/>
  <c r="Q124" i="6" s="1"/>
  <c r="N123" i="6"/>
  <c r="P123" i="6" s="1"/>
  <c r="M123" i="6"/>
  <c r="L123" i="6"/>
  <c r="K123" i="6"/>
  <c r="Q123" i="6" s="1"/>
  <c r="N122" i="6"/>
  <c r="P122" i="6" s="1"/>
  <c r="M122" i="6"/>
  <c r="L122" i="6"/>
  <c r="K122" i="6"/>
  <c r="Q122" i="6" s="1"/>
  <c r="N121" i="6"/>
  <c r="P121" i="6" s="1"/>
  <c r="M121" i="6"/>
  <c r="L121" i="6"/>
  <c r="K121" i="6"/>
  <c r="Q121" i="6" s="1"/>
  <c r="N120" i="6"/>
  <c r="P120" i="6" s="1"/>
  <c r="M120" i="6"/>
  <c r="L120" i="6"/>
  <c r="K120" i="6"/>
  <c r="Q120" i="6" s="1"/>
  <c r="N119" i="6"/>
  <c r="P119" i="6" s="1"/>
  <c r="M119" i="6"/>
  <c r="L119" i="6"/>
  <c r="K119" i="6"/>
  <c r="Q119" i="6" s="1"/>
  <c r="N118" i="6"/>
  <c r="P118" i="6" s="1"/>
  <c r="M118" i="6"/>
  <c r="L118" i="6"/>
  <c r="K118" i="6"/>
  <c r="Q118" i="6" s="1"/>
  <c r="N117" i="6"/>
  <c r="P117" i="6" s="1"/>
  <c r="M117" i="6"/>
  <c r="L117" i="6"/>
  <c r="K117" i="6"/>
  <c r="Q117" i="6" s="1"/>
  <c r="N116" i="6"/>
  <c r="P116" i="6" s="1"/>
  <c r="M116" i="6"/>
  <c r="L116" i="6"/>
  <c r="K116" i="6"/>
  <c r="Q116" i="6" s="1"/>
  <c r="N115" i="6"/>
  <c r="P115" i="6" s="1"/>
  <c r="M115" i="6"/>
  <c r="L115" i="6"/>
  <c r="K115" i="6"/>
  <c r="Q115" i="6" s="1"/>
  <c r="N114" i="6"/>
  <c r="P114" i="6" s="1"/>
  <c r="M114" i="6"/>
  <c r="L114" i="6"/>
  <c r="K114" i="6"/>
  <c r="Q114" i="6" s="1"/>
  <c r="N113" i="6"/>
  <c r="P113" i="6" s="1"/>
  <c r="M113" i="6"/>
  <c r="L113" i="6"/>
  <c r="K113" i="6"/>
  <c r="Q113" i="6" s="1"/>
  <c r="N112" i="6"/>
  <c r="P112" i="6" s="1"/>
  <c r="M112" i="6"/>
  <c r="L112" i="6"/>
  <c r="K112" i="6"/>
  <c r="Q112" i="6" s="1"/>
  <c r="N111" i="6"/>
  <c r="P111" i="6" s="1"/>
  <c r="M111" i="6"/>
  <c r="L111" i="6"/>
  <c r="K111" i="6"/>
  <c r="Q111" i="6" s="1"/>
  <c r="N110" i="6"/>
  <c r="P110" i="6" s="1"/>
  <c r="M110" i="6"/>
  <c r="L110" i="6"/>
  <c r="K110" i="6"/>
  <c r="Q110" i="6" s="1"/>
  <c r="N109" i="6"/>
  <c r="P109" i="6" s="1"/>
  <c r="M109" i="6"/>
  <c r="L109" i="6"/>
  <c r="K109" i="6"/>
  <c r="Q109" i="6" s="1"/>
  <c r="N108" i="6"/>
  <c r="P108" i="6" s="1"/>
  <c r="M108" i="6"/>
  <c r="L108" i="6"/>
  <c r="K108" i="6"/>
  <c r="Q108" i="6" s="1"/>
  <c r="N107" i="6"/>
  <c r="P107" i="6" s="1"/>
  <c r="M107" i="6"/>
  <c r="L107" i="6"/>
  <c r="K107" i="6"/>
  <c r="Q107" i="6" s="1"/>
  <c r="N106" i="6"/>
  <c r="P106" i="6" s="1"/>
  <c r="M106" i="6"/>
  <c r="L106" i="6"/>
  <c r="K106" i="6"/>
  <c r="Q106" i="6" s="1"/>
  <c r="N105" i="6"/>
  <c r="P105" i="6" s="1"/>
  <c r="M105" i="6"/>
  <c r="L105" i="6"/>
  <c r="K105" i="6"/>
  <c r="Q105" i="6" s="1"/>
  <c r="N104" i="6"/>
  <c r="P104" i="6" s="1"/>
  <c r="M104" i="6"/>
  <c r="L104" i="6"/>
  <c r="K104" i="6"/>
  <c r="Q104" i="6" s="1"/>
  <c r="N103" i="6"/>
  <c r="P103" i="6" s="1"/>
  <c r="M103" i="6"/>
  <c r="L103" i="6"/>
  <c r="K103" i="6"/>
  <c r="Q103" i="6" s="1"/>
  <c r="N102" i="6"/>
  <c r="P102" i="6" s="1"/>
  <c r="M102" i="6"/>
  <c r="L102" i="6"/>
  <c r="K102" i="6"/>
  <c r="Q102" i="6" s="1"/>
  <c r="N101" i="6"/>
  <c r="P101" i="6" s="1"/>
  <c r="M101" i="6"/>
  <c r="L101" i="6"/>
  <c r="K101" i="6"/>
  <c r="Q101" i="6" s="1"/>
  <c r="N100" i="6"/>
  <c r="P100" i="6" s="1"/>
  <c r="M100" i="6"/>
  <c r="L100" i="6"/>
  <c r="K100" i="6"/>
  <c r="Q100" i="6" s="1"/>
  <c r="N99" i="6"/>
  <c r="P99" i="6" s="1"/>
  <c r="M99" i="6"/>
  <c r="L99" i="6"/>
  <c r="K99" i="6"/>
  <c r="Q99" i="6" s="1"/>
  <c r="N98" i="6"/>
  <c r="P98" i="6" s="1"/>
  <c r="M98" i="6"/>
  <c r="L98" i="6"/>
  <c r="K98" i="6"/>
  <c r="Q98" i="6" s="1"/>
  <c r="N97" i="6"/>
  <c r="P97" i="6" s="1"/>
  <c r="M97" i="6"/>
  <c r="L97" i="6"/>
  <c r="K97" i="6"/>
  <c r="Q97" i="6" s="1"/>
  <c r="N96" i="6"/>
  <c r="P96" i="6" s="1"/>
  <c r="M96" i="6"/>
  <c r="L96" i="6"/>
  <c r="K96" i="6"/>
  <c r="Q96" i="6" s="1"/>
  <c r="N95" i="6"/>
  <c r="P95" i="6" s="1"/>
  <c r="M95" i="6"/>
  <c r="L95" i="6"/>
  <c r="K95" i="6"/>
  <c r="Q95" i="6" s="1"/>
  <c r="N94" i="6"/>
  <c r="P94" i="6" s="1"/>
  <c r="M94" i="6"/>
  <c r="L94" i="6"/>
  <c r="K94" i="6"/>
  <c r="Q94" i="6" s="1"/>
  <c r="N93" i="6"/>
  <c r="P93" i="6" s="1"/>
  <c r="M93" i="6"/>
  <c r="L93" i="6"/>
  <c r="K93" i="6"/>
  <c r="Q93" i="6" s="1"/>
  <c r="N92" i="6"/>
  <c r="P92" i="6" s="1"/>
  <c r="M92" i="6"/>
  <c r="L92" i="6"/>
  <c r="K92" i="6"/>
  <c r="Q92" i="6" s="1"/>
  <c r="N91" i="6"/>
  <c r="P91" i="6" s="1"/>
  <c r="M91" i="6"/>
  <c r="L91" i="6"/>
  <c r="K91" i="6"/>
  <c r="Q91" i="6" s="1"/>
  <c r="N90" i="6"/>
  <c r="P90" i="6" s="1"/>
  <c r="M90" i="6"/>
  <c r="L90" i="6"/>
  <c r="K90" i="6"/>
  <c r="Q90" i="6" s="1"/>
  <c r="N89" i="6"/>
  <c r="P89" i="6" s="1"/>
  <c r="M89" i="6"/>
  <c r="L89" i="6"/>
  <c r="K89" i="6"/>
  <c r="Q89" i="6" s="1"/>
  <c r="N88" i="6"/>
  <c r="P88" i="6" s="1"/>
  <c r="M88" i="6"/>
  <c r="L88" i="6"/>
  <c r="K88" i="6"/>
  <c r="Q88" i="6" s="1"/>
  <c r="N87" i="6"/>
  <c r="P87" i="6" s="1"/>
  <c r="M87" i="6"/>
  <c r="L87" i="6"/>
  <c r="K87" i="6"/>
  <c r="Q87" i="6" s="1"/>
  <c r="N86" i="6"/>
  <c r="P86" i="6" s="1"/>
  <c r="M86" i="6"/>
  <c r="L86" i="6"/>
  <c r="K86" i="6"/>
  <c r="Q86" i="6" s="1"/>
  <c r="N85" i="6"/>
  <c r="P85" i="6" s="1"/>
  <c r="M85" i="6"/>
  <c r="L85" i="6"/>
  <c r="K85" i="6"/>
  <c r="Q85" i="6" s="1"/>
  <c r="N84" i="6"/>
  <c r="P84" i="6" s="1"/>
  <c r="M84" i="6"/>
  <c r="L84" i="6"/>
  <c r="K84" i="6"/>
  <c r="Q84" i="6" s="1"/>
  <c r="N83" i="6"/>
  <c r="P83" i="6" s="1"/>
  <c r="M83" i="6"/>
  <c r="L83" i="6"/>
  <c r="K83" i="6"/>
  <c r="Q83" i="6" s="1"/>
  <c r="N82" i="6"/>
  <c r="P82" i="6" s="1"/>
  <c r="M82" i="6"/>
  <c r="L82" i="6"/>
  <c r="K82" i="6"/>
  <c r="Q82" i="6" s="1"/>
  <c r="N81" i="6"/>
  <c r="P81" i="6" s="1"/>
  <c r="M81" i="6"/>
  <c r="L81" i="6"/>
  <c r="K81" i="6"/>
  <c r="Q81" i="6" s="1"/>
  <c r="N80" i="6"/>
  <c r="P80" i="6" s="1"/>
  <c r="M80" i="6"/>
  <c r="L80" i="6"/>
  <c r="K80" i="6"/>
  <c r="Q80" i="6" s="1"/>
  <c r="N79" i="6"/>
  <c r="P79" i="6" s="1"/>
  <c r="M79" i="6"/>
  <c r="L79" i="6"/>
  <c r="K79" i="6"/>
  <c r="Q79" i="6" s="1"/>
  <c r="N78" i="6"/>
  <c r="P78" i="6" s="1"/>
  <c r="M78" i="6"/>
  <c r="L78" i="6"/>
  <c r="K78" i="6"/>
  <c r="Q78" i="6" s="1"/>
  <c r="N77" i="6"/>
  <c r="P77" i="6" s="1"/>
  <c r="M77" i="6"/>
  <c r="L77" i="6"/>
  <c r="K77" i="6"/>
  <c r="Q77" i="6" s="1"/>
  <c r="N76" i="6"/>
  <c r="P76" i="6" s="1"/>
  <c r="M76" i="6"/>
  <c r="L76" i="6"/>
  <c r="K76" i="6"/>
  <c r="Q76" i="6" s="1"/>
  <c r="N75" i="6"/>
  <c r="P75" i="6" s="1"/>
  <c r="M75" i="6"/>
  <c r="L75" i="6"/>
  <c r="K75" i="6"/>
  <c r="Q75" i="6" s="1"/>
  <c r="N74" i="6"/>
  <c r="P74" i="6" s="1"/>
  <c r="M74" i="6"/>
  <c r="L74" i="6"/>
  <c r="K74" i="6"/>
  <c r="Q74" i="6" s="1"/>
  <c r="N73" i="6"/>
  <c r="P73" i="6" s="1"/>
  <c r="M73" i="6"/>
  <c r="L73" i="6"/>
  <c r="K73" i="6"/>
  <c r="Q73" i="6" s="1"/>
  <c r="N72" i="6"/>
  <c r="P72" i="6" s="1"/>
  <c r="M72" i="6"/>
  <c r="L72" i="6"/>
  <c r="K72" i="6"/>
  <c r="Q72" i="6" s="1"/>
  <c r="N71" i="6"/>
  <c r="P71" i="6" s="1"/>
  <c r="M71" i="6"/>
  <c r="L71" i="6"/>
  <c r="K71" i="6"/>
  <c r="Q71" i="6" s="1"/>
  <c r="N70" i="6"/>
  <c r="P70" i="6" s="1"/>
  <c r="M70" i="6"/>
  <c r="L70" i="6"/>
  <c r="K70" i="6"/>
  <c r="Q70" i="6" s="1"/>
  <c r="N69" i="6"/>
  <c r="P69" i="6" s="1"/>
  <c r="M69" i="6"/>
  <c r="L69" i="6"/>
  <c r="K69" i="6"/>
  <c r="Q69" i="6" s="1"/>
  <c r="N68" i="6"/>
  <c r="P68" i="6" s="1"/>
  <c r="M68" i="6"/>
  <c r="L68" i="6"/>
  <c r="K68" i="6"/>
  <c r="Q68" i="6" s="1"/>
  <c r="N67" i="6"/>
  <c r="P67" i="6" s="1"/>
  <c r="M67" i="6"/>
  <c r="L67" i="6"/>
  <c r="K67" i="6"/>
  <c r="Q67" i="6" s="1"/>
  <c r="N66" i="6"/>
  <c r="P66" i="6" s="1"/>
  <c r="M66" i="6"/>
  <c r="L66" i="6"/>
  <c r="K66" i="6"/>
  <c r="Q66" i="6" s="1"/>
  <c r="N65" i="6"/>
  <c r="P65" i="6" s="1"/>
  <c r="M65" i="6"/>
  <c r="L65" i="6"/>
  <c r="K65" i="6"/>
  <c r="Q65" i="6" s="1"/>
  <c r="N64" i="6"/>
  <c r="P64" i="6" s="1"/>
  <c r="M64" i="6"/>
  <c r="L64" i="6"/>
  <c r="K64" i="6"/>
  <c r="Q64" i="6" s="1"/>
  <c r="N63" i="6"/>
  <c r="P63" i="6" s="1"/>
  <c r="M63" i="6"/>
  <c r="L63" i="6"/>
  <c r="K63" i="6"/>
  <c r="Q63" i="6" s="1"/>
  <c r="N62" i="6"/>
  <c r="P62" i="6" s="1"/>
  <c r="M62" i="6"/>
  <c r="L62" i="6"/>
  <c r="K62" i="6"/>
  <c r="Q62" i="6" s="1"/>
  <c r="N61" i="6"/>
  <c r="P61" i="6" s="1"/>
  <c r="M61" i="6"/>
  <c r="L61" i="6"/>
  <c r="K61" i="6"/>
  <c r="Q61" i="6" s="1"/>
  <c r="N60" i="6"/>
  <c r="P60" i="6" s="1"/>
  <c r="M60" i="6"/>
  <c r="L60" i="6"/>
  <c r="K60" i="6"/>
  <c r="Q60" i="6" s="1"/>
  <c r="N59" i="6"/>
  <c r="P59" i="6" s="1"/>
  <c r="M59" i="6"/>
  <c r="L59" i="6"/>
  <c r="K59" i="6"/>
  <c r="Q59" i="6" s="1"/>
  <c r="N58" i="6"/>
  <c r="P58" i="6" s="1"/>
  <c r="M58" i="6"/>
  <c r="L58" i="6"/>
  <c r="K58" i="6"/>
  <c r="Q58" i="6" s="1"/>
  <c r="N57" i="6"/>
  <c r="P57" i="6" s="1"/>
  <c r="M57" i="6"/>
  <c r="L57" i="6"/>
  <c r="K57" i="6"/>
  <c r="Q57" i="6" s="1"/>
  <c r="N56" i="6"/>
  <c r="P56" i="6" s="1"/>
  <c r="M56" i="6"/>
  <c r="L56" i="6"/>
  <c r="K56" i="6"/>
  <c r="Q56" i="6" s="1"/>
  <c r="N55" i="6"/>
  <c r="P55" i="6" s="1"/>
  <c r="M55" i="6"/>
  <c r="L55" i="6"/>
  <c r="K55" i="6"/>
  <c r="Q55" i="6" s="1"/>
  <c r="N54" i="6"/>
  <c r="P54" i="6" s="1"/>
  <c r="M54" i="6"/>
  <c r="L54" i="6"/>
  <c r="K54" i="6"/>
  <c r="Q54" i="6" s="1"/>
  <c r="N53" i="6"/>
  <c r="P53" i="6" s="1"/>
  <c r="M53" i="6"/>
  <c r="L53" i="6"/>
  <c r="K53" i="6"/>
  <c r="Q53" i="6" s="1"/>
  <c r="N52" i="6"/>
  <c r="P52" i="6" s="1"/>
  <c r="M52" i="6"/>
  <c r="L52" i="6"/>
  <c r="K52" i="6"/>
  <c r="Q52" i="6" s="1"/>
  <c r="M51" i="6"/>
  <c r="K51" i="6"/>
  <c r="Q51" i="6" s="1"/>
  <c r="N51" i="6" s="1"/>
  <c r="P51" i="6" s="1"/>
  <c r="M50" i="6"/>
  <c r="K50" i="6"/>
  <c r="Q50" i="6" s="1"/>
  <c r="N50" i="6" s="1"/>
  <c r="P50" i="6" s="1"/>
  <c r="M49" i="6"/>
  <c r="K49" i="6"/>
  <c r="Q49" i="6" s="1"/>
  <c r="N49" i="6" s="1"/>
  <c r="P49" i="6" s="1"/>
  <c r="M48" i="6"/>
  <c r="K48" i="6"/>
  <c r="Q48" i="6" s="1"/>
  <c r="N48" i="6" s="1"/>
  <c r="P48" i="6" s="1"/>
  <c r="M47" i="6"/>
  <c r="K47" i="6"/>
  <c r="Q47" i="6" s="1"/>
  <c r="N47" i="6" s="1"/>
  <c r="P47" i="6" s="1"/>
  <c r="M46" i="6"/>
  <c r="K46" i="6"/>
  <c r="Q46" i="6" s="1"/>
  <c r="N46" i="6" s="1"/>
  <c r="P46" i="6" s="1"/>
  <c r="M45" i="6"/>
  <c r="K45" i="6"/>
  <c r="Q45" i="6" s="1"/>
  <c r="N45" i="6" s="1"/>
  <c r="P45" i="6" s="1"/>
  <c r="M44" i="6"/>
  <c r="K44" i="6"/>
  <c r="Q44" i="6" s="1"/>
  <c r="N44" i="6" s="1"/>
  <c r="P44" i="6" s="1"/>
  <c r="M43" i="6"/>
  <c r="K43" i="6"/>
  <c r="Q43" i="6" s="1"/>
  <c r="N43" i="6" s="1"/>
  <c r="P43" i="6" s="1"/>
  <c r="M42" i="6"/>
  <c r="K42" i="6"/>
  <c r="Q42" i="6" s="1"/>
  <c r="N42" i="6" s="1"/>
  <c r="P42" i="6" s="1"/>
  <c r="M41" i="6"/>
  <c r="K41" i="6"/>
  <c r="Q41" i="6" s="1"/>
  <c r="N41" i="6" s="1"/>
  <c r="P41" i="6" s="1"/>
  <c r="M40" i="6"/>
  <c r="K40" i="6"/>
  <c r="Q40" i="6" s="1"/>
  <c r="N40" i="6" s="1"/>
  <c r="P40" i="6" s="1"/>
  <c r="M39" i="6"/>
  <c r="K39" i="6"/>
  <c r="Q39" i="6" s="1"/>
  <c r="N39" i="6" s="1"/>
  <c r="P39" i="6" s="1"/>
  <c r="M38" i="6"/>
  <c r="K38" i="6"/>
  <c r="Q38" i="6" s="1"/>
  <c r="N38" i="6" s="1"/>
  <c r="P38" i="6" s="1"/>
  <c r="M37" i="6"/>
  <c r="K37" i="6"/>
  <c r="Q37" i="6" s="1"/>
  <c r="N37" i="6" s="1"/>
  <c r="P37" i="6" s="1"/>
  <c r="M36" i="6"/>
  <c r="K36" i="6"/>
  <c r="Q36" i="6" s="1"/>
  <c r="N36" i="6" s="1"/>
  <c r="P36" i="6" s="1"/>
  <c r="M35" i="6"/>
  <c r="K35" i="6"/>
  <c r="Q35" i="6" s="1"/>
  <c r="N35" i="6" s="1"/>
  <c r="P35" i="6" s="1"/>
  <c r="M34" i="6"/>
  <c r="K34" i="6"/>
  <c r="Q34" i="6" s="1"/>
  <c r="N34" i="6" s="1"/>
  <c r="P34" i="6" s="1"/>
  <c r="M33" i="6"/>
  <c r="K33" i="6"/>
  <c r="Q33" i="6" s="1"/>
  <c r="N33" i="6" s="1"/>
  <c r="P33" i="6" s="1"/>
  <c r="M32" i="6"/>
  <c r="K32" i="6"/>
  <c r="Q32" i="6" s="1"/>
  <c r="N32" i="6" s="1"/>
  <c r="P32" i="6" s="1"/>
  <c r="M31" i="6"/>
  <c r="K31" i="6"/>
  <c r="Q31" i="6" s="1"/>
  <c r="N31" i="6" s="1"/>
  <c r="P31" i="6" s="1"/>
  <c r="M30" i="6"/>
  <c r="K30" i="6"/>
  <c r="Q30" i="6" s="1"/>
  <c r="N30" i="6" s="1"/>
  <c r="P30" i="6" s="1"/>
  <c r="M29" i="6"/>
  <c r="K29" i="6"/>
  <c r="Q29" i="6" s="1"/>
  <c r="N29" i="6" s="1"/>
  <c r="P29" i="6" s="1"/>
  <c r="M28" i="6"/>
  <c r="K28" i="6"/>
  <c r="Q28" i="6" s="1"/>
  <c r="N28" i="6" s="1"/>
  <c r="P28" i="6" s="1"/>
  <c r="M27" i="6"/>
  <c r="K27" i="6"/>
  <c r="Q27" i="6" s="1"/>
  <c r="N27" i="6" s="1"/>
  <c r="P27" i="6" s="1"/>
  <c r="M26" i="6"/>
  <c r="K26" i="6"/>
  <c r="Q26" i="6" s="1"/>
  <c r="N26" i="6" s="1"/>
  <c r="P26" i="6" s="1"/>
  <c r="M25" i="6"/>
  <c r="K25" i="6"/>
  <c r="Q25" i="6" s="1"/>
  <c r="N25" i="6" s="1"/>
  <c r="P25" i="6" s="1"/>
  <c r="M24" i="6"/>
  <c r="K24" i="6"/>
  <c r="Q24" i="6" s="1"/>
  <c r="N24" i="6" s="1"/>
  <c r="P24" i="6" s="1"/>
  <c r="M23" i="6"/>
  <c r="K23" i="6"/>
  <c r="Q23" i="6" s="1"/>
  <c r="N23" i="6" s="1"/>
  <c r="P23" i="6" s="1"/>
  <c r="M22" i="6"/>
  <c r="K22" i="6"/>
  <c r="Q22" i="6" s="1"/>
  <c r="N22" i="6" s="1"/>
  <c r="P22" i="6" s="1"/>
  <c r="M21" i="6"/>
  <c r="K21" i="6"/>
  <c r="Q21" i="6" s="1"/>
  <c r="N21" i="6" s="1"/>
  <c r="P21" i="6" s="1"/>
  <c r="M20" i="6"/>
  <c r="K20" i="6"/>
  <c r="Q20" i="6" s="1"/>
  <c r="N20" i="6" s="1"/>
  <c r="P20" i="6" s="1"/>
  <c r="M19" i="6"/>
  <c r="K19" i="6"/>
  <c r="Q19" i="6" s="1"/>
  <c r="N19" i="6" s="1"/>
  <c r="P19" i="6" s="1"/>
  <c r="M18" i="6"/>
  <c r="K18" i="6"/>
  <c r="Q18" i="6" s="1"/>
  <c r="N18" i="6" s="1"/>
  <c r="P18" i="6" s="1"/>
  <c r="M17" i="6"/>
  <c r="K17" i="6"/>
  <c r="Q17" i="6" s="1"/>
  <c r="N17" i="6" s="1"/>
  <c r="P17" i="6" s="1"/>
  <c r="M16" i="6"/>
  <c r="K16" i="6"/>
  <c r="Q16" i="6" s="1"/>
  <c r="N16" i="6" s="1"/>
  <c r="P16" i="6" s="1"/>
  <c r="M15" i="6"/>
  <c r="K15" i="6"/>
  <c r="Q15" i="6" s="1"/>
  <c r="N15" i="6" s="1"/>
  <c r="P15" i="6" s="1"/>
  <c r="M14" i="6"/>
  <c r="K14" i="6"/>
  <c r="Q14" i="6" s="1"/>
  <c r="N14" i="6" s="1"/>
  <c r="P14" i="6" s="1"/>
  <c r="M13" i="6"/>
  <c r="K13" i="6"/>
  <c r="Q13" i="6" s="1"/>
  <c r="N13" i="6" s="1"/>
  <c r="P13" i="6" s="1"/>
  <c r="M12" i="6"/>
  <c r="K12" i="6"/>
  <c r="Q12" i="6" s="1"/>
  <c r="N12" i="6" s="1"/>
  <c r="P12" i="6" s="1"/>
  <c r="M11" i="6"/>
  <c r="K11" i="6"/>
  <c r="Q11" i="6" s="1"/>
  <c r="N11" i="6" s="1"/>
  <c r="P11" i="6" s="1"/>
  <c r="M10" i="6"/>
  <c r="K10" i="6"/>
  <c r="Q10" i="6" s="1"/>
  <c r="N10" i="6" s="1"/>
  <c r="P10" i="6" s="1"/>
  <c r="M9" i="6"/>
  <c r="K9" i="6"/>
  <c r="Q9" i="6" s="1"/>
  <c r="N9" i="6" s="1"/>
  <c r="P9" i="6" s="1"/>
  <c r="M8" i="6"/>
  <c r="L8" i="6"/>
  <c r="K8" i="6"/>
  <c r="Q8" i="6" s="1"/>
  <c r="N8" i="6" s="1"/>
  <c r="P8" i="6" s="1"/>
  <c r="M7" i="6"/>
  <c r="L7" i="6"/>
  <c r="K7" i="6"/>
  <c r="Q7" i="6" s="1"/>
  <c r="N7" i="6" s="1"/>
  <c r="P7" i="6" s="1"/>
  <c r="M6" i="6"/>
  <c r="L6" i="6"/>
  <c r="K6" i="6"/>
  <c r="Q6" i="6" s="1"/>
  <c r="N6" i="6" s="1"/>
  <c r="P6" i="6" s="1"/>
  <c r="M5" i="6"/>
  <c r="L5" i="6"/>
  <c r="K5" i="6"/>
  <c r="K202" i="5"/>
  <c r="J202" i="5"/>
  <c r="I202" i="5"/>
  <c r="H202" i="5"/>
  <c r="G202" i="5"/>
  <c r="K201" i="5"/>
  <c r="J201" i="5"/>
  <c r="I201" i="5"/>
  <c r="H201" i="5"/>
  <c r="G201" i="5"/>
  <c r="K200" i="5"/>
  <c r="J200" i="5"/>
  <c r="I200" i="5"/>
  <c r="H200" i="5"/>
  <c r="G200" i="5"/>
  <c r="K199" i="5"/>
  <c r="J199" i="5"/>
  <c r="I199" i="5"/>
  <c r="H199" i="5"/>
  <c r="G199" i="5"/>
  <c r="K198" i="5"/>
  <c r="J198" i="5"/>
  <c r="I198" i="5"/>
  <c r="H198" i="5"/>
  <c r="G198" i="5"/>
  <c r="K197" i="5"/>
  <c r="J197" i="5"/>
  <c r="I197" i="5"/>
  <c r="H197" i="5"/>
  <c r="G197" i="5"/>
  <c r="K196" i="5"/>
  <c r="J196" i="5"/>
  <c r="I196" i="5"/>
  <c r="H196" i="5"/>
  <c r="G196" i="5"/>
  <c r="K195" i="5"/>
  <c r="J195" i="5"/>
  <c r="I195" i="5"/>
  <c r="H195" i="5"/>
  <c r="G195" i="5"/>
  <c r="K194" i="5"/>
  <c r="J194" i="5"/>
  <c r="I194" i="5"/>
  <c r="H194" i="5"/>
  <c r="G194" i="5"/>
  <c r="K193" i="5"/>
  <c r="J193" i="5"/>
  <c r="I193" i="5"/>
  <c r="H193" i="5"/>
  <c r="G193" i="5"/>
  <c r="K192" i="5"/>
  <c r="J192" i="5"/>
  <c r="I192" i="5"/>
  <c r="H192" i="5"/>
  <c r="G192" i="5"/>
  <c r="K191" i="5"/>
  <c r="J191" i="5"/>
  <c r="I191" i="5"/>
  <c r="H191" i="5"/>
  <c r="G191" i="5"/>
  <c r="K190" i="5"/>
  <c r="J190" i="5"/>
  <c r="I190" i="5"/>
  <c r="H190" i="5"/>
  <c r="G190" i="5"/>
  <c r="K189" i="5"/>
  <c r="J189" i="5"/>
  <c r="I189" i="5"/>
  <c r="H189" i="5"/>
  <c r="G189" i="5"/>
  <c r="K188" i="5"/>
  <c r="J188" i="5"/>
  <c r="I188" i="5"/>
  <c r="H188" i="5"/>
  <c r="G188" i="5"/>
  <c r="K187" i="5"/>
  <c r="J187" i="5"/>
  <c r="I187" i="5"/>
  <c r="H187" i="5"/>
  <c r="G187" i="5"/>
  <c r="K186" i="5"/>
  <c r="J186" i="5"/>
  <c r="I186" i="5"/>
  <c r="H186" i="5"/>
  <c r="G186" i="5"/>
  <c r="K185" i="5"/>
  <c r="J185" i="5"/>
  <c r="I185" i="5"/>
  <c r="H185" i="5"/>
  <c r="G185" i="5"/>
  <c r="K184" i="5"/>
  <c r="J184" i="5"/>
  <c r="I184" i="5"/>
  <c r="H184" i="5"/>
  <c r="G184" i="5"/>
  <c r="K183" i="5"/>
  <c r="J183" i="5"/>
  <c r="I183" i="5"/>
  <c r="H183" i="5"/>
  <c r="G183" i="5"/>
  <c r="K182" i="5"/>
  <c r="J182" i="5"/>
  <c r="I182" i="5"/>
  <c r="H182" i="5"/>
  <c r="G182" i="5"/>
  <c r="K181" i="5"/>
  <c r="J181" i="5"/>
  <c r="I181" i="5"/>
  <c r="H181" i="5"/>
  <c r="G181" i="5"/>
  <c r="K180" i="5"/>
  <c r="J180" i="5"/>
  <c r="I180" i="5"/>
  <c r="H180" i="5"/>
  <c r="G180" i="5"/>
  <c r="K179" i="5"/>
  <c r="J179" i="5"/>
  <c r="I179" i="5"/>
  <c r="H179" i="5"/>
  <c r="G179" i="5"/>
  <c r="K178" i="5"/>
  <c r="J178" i="5"/>
  <c r="I178" i="5"/>
  <c r="H178" i="5"/>
  <c r="G178" i="5"/>
  <c r="K177" i="5"/>
  <c r="J177" i="5"/>
  <c r="I177" i="5"/>
  <c r="H177" i="5"/>
  <c r="G177" i="5"/>
  <c r="K176" i="5"/>
  <c r="J176" i="5"/>
  <c r="I176" i="5"/>
  <c r="H176" i="5"/>
  <c r="G176" i="5"/>
  <c r="K175" i="5"/>
  <c r="J175" i="5"/>
  <c r="I175" i="5"/>
  <c r="H175" i="5"/>
  <c r="G175" i="5"/>
  <c r="K174" i="5"/>
  <c r="J174" i="5"/>
  <c r="I174" i="5"/>
  <c r="H174" i="5"/>
  <c r="G174" i="5"/>
  <c r="K173" i="5"/>
  <c r="J173" i="5"/>
  <c r="I173" i="5"/>
  <c r="H173" i="5"/>
  <c r="G173" i="5"/>
  <c r="K172" i="5"/>
  <c r="J172" i="5"/>
  <c r="I172" i="5"/>
  <c r="H172" i="5"/>
  <c r="G172" i="5"/>
  <c r="K171" i="5"/>
  <c r="J171" i="5"/>
  <c r="I171" i="5"/>
  <c r="H171" i="5"/>
  <c r="G171" i="5"/>
  <c r="K170" i="5"/>
  <c r="J170" i="5"/>
  <c r="I170" i="5"/>
  <c r="H170" i="5"/>
  <c r="G170" i="5"/>
  <c r="K169" i="5"/>
  <c r="J169" i="5"/>
  <c r="I169" i="5"/>
  <c r="H169" i="5"/>
  <c r="G169" i="5"/>
  <c r="K168" i="5"/>
  <c r="J168" i="5"/>
  <c r="I168" i="5"/>
  <c r="H168" i="5"/>
  <c r="G168" i="5"/>
  <c r="K167" i="5"/>
  <c r="J167" i="5"/>
  <c r="I167" i="5"/>
  <c r="H167" i="5"/>
  <c r="G167" i="5"/>
  <c r="K166" i="5"/>
  <c r="J166" i="5"/>
  <c r="I166" i="5"/>
  <c r="H166" i="5"/>
  <c r="G166" i="5"/>
  <c r="K165" i="5"/>
  <c r="J165" i="5"/>
  <c r="I165" i="5"/>
  <c r="H165" i="5"/>
  <c r="G165" i="5"/>
  <c r="K164" i="5"/>
  <c r="J164" i="5"/>
  <c r="I164" i="5"/>
  <c r="H164" i="5"/>
  <c r="G164" i="5"/>
  <c r="K163" i="5"/>
  <c r="J163" i="5"/>
  <c r="I163" i="5"/>
  <c r="H163" i="5"/>
  <c r="G163" i="5"/>
  <c r="K162" i="5"/>
  <c r="J162" i="5"/>
  <c r="I162" i="5"/>
  <c r="H162" i="5"/>
  <c r="G162" i="5"/>
  <c r="K161" i="5"/>
  <c r="J161" i="5"/>
  <c r="I161" i="5"/>
  <c r="H161" i="5"/>
  <c r="G161" i="5"/>
  <c r="K160" i="5"/>
  <c r="J160" i="5"/>
  <c r="I160" i="5"/>
  <c r="H160" i="5"/>
  <c r="G160" i="5"/>
  <c r="K159" i="5"/>
  <c r="J159" i="5"/>
  <c r="I159" i="5"/>
  <c r="H159" i="5"/>
  <c r="G159" i="5"/>
  <c r="K158" i="5"/>
  <c r="J158" i="5"/>
  <c r="I158" i="5"/>
  <c r="H158" i="5"/>
  <c r="G158" i="5"/>
  <c r="K157" i="5"/>
  <c r="J157" i="5"/>
  <c r="I157" i="5"/>
  <c r="H157" i="5"/>
  <c r="G157" i="5"/>
  <c r="K156" i="5"/>
  <c r="J156" i="5"/>
  <c r="I156" i="5"/>
  <c r="H156" i="5"/>
  <c r="G156" i="5"/>
  <c r="K155" i="5"/>
  <c r="J155" i="5"/>
  <c r="I155" i="5"/>
  <c r="H155" i="5"/>
  <c r="G155" i="5"/>
  <c r="K154" i="5"/>
  <c r="J154" i="5"/>
  <c r="I154" i="5"/>
  <c r="H154" i="5"/>
  <c r="G154" i="5"/>
  <c r="K153" i="5"/>
  <c r="J153" i="5"/>
  <c r="I153" i="5"/>
  <c r="H153" i="5"/>
  <c r="G153" i="5"/>
  <c r="K152" i="5"/>
  <c r="J152" i="5"/>
  <c r="I152" i="5"/>
  <c r="H152" i="5"/>
  <c r="G152" i="5"/>
  <c r="K151" i="5"/>
  <c r="J151" i="5"/>
  <c r="I151" i="5"/>
  <c r="H151" i="5"/>
  <c r="G151" i="5"/>
  <c r="K150" i="5"/>
  <c r="J150" i="5"/>
  <c r="I150" i="5"/>
  <c r="H150" i="5"/>
  <c r="G150" i="5"/>
  <c r="K149" i="5"/>
  <c r="J149" i="5"/>
  <c r="I149" i="5"/>
  <c r="H149" i="5"/>
  <c r="G149" i="5"/>
  <c r="K148" i="5"/>
  <c r="J148" i="5"/>
  <c r="I148" i="5"/>
  <c r="H148" i="5"/>
  <c r="G148" i="5"/>
  <c r="K147" i="5"/>
  <c r="J147" i="5"/>
  <c r="I147" i="5"/>
  <c r="H147" i="5"/>
  <c r="G147" i="5"/>
  <c r="K146" i="5"/>
  <c r="J146" i="5"/>
  <c r="I146" i="5"/>
  <c r="H146" i="5"/>
  <c r="G146" i="5"/>
  <c r="K145" i="5"/>
  <c r="J145" i="5"/>
  <c r="I145" i="5"/>
  <c r="H145" i="5"/>
  <c r="G145" i="5"/>
  <c r="K144" i="5"/>
  <c r="J144" i="5"/>
  <c r="I144" i="5"/>
  <c r="H144" i="5"/>
  <c r="G144" i="5"/>
  <c r="K143" i="5"/>
  <c r="J143" i="5"/>
  <c r="I143" i="5"/>
  <c r="H143" i="5"/>
  <c r="G143" i="5"/>
  <c r="K142" i="5"/>
  <c r="J142" i="5"/>
  <c r="I142" i="5"/>
  <c r="H142" i="5"/>
  <c r="G142" i="5"/>
  <c r="K141" i="5"/>
  <c r="J141" i="5"/>
  <c r="I141" i="5"/>
  <c r="H141" i="5"/>
  <c r="G141" i="5"/>
  <c r="K140" i="5"/>
  <c r="J140" i="5"/>
  <c r="I140" i="5"/>
  <c r="H140" i="5"/>
  <c r="G140" i="5"/>
  <c r="K139" i="5"/>
  <c r="J139" i="5"/>
  <c r="I139" i="5"/>
  <c r="H139" i="5"/>
  <c r="G139" i="5"/>
  <c r="K138" i="5"/>
  <c r="J138" i="5"/>
  <c r="I138" i="5"/>
  <c r="H138" i="5"/>
  <c r="G138" i="5"/>
  <c r="K137" i="5"/>
  <c r="J137" i="5"/>
  <c r="I137" i="5"/>
  <c r="H137" i="5"/>
  <c r="G137" i="5"/>
  <c r="K136" i="5"/>
  <c r="J136" i="5"/>
  <c r="I136" i="5"/>
  <c r="H136" i="5"/>
  <c r="G136" i="5"/>
  <c r="K135" i="5"/>
  <c r="J135" i="5"/>
  <c r="I135" i="5"/>
  <c r="H135" i="5"/>
  <c r="G135" i="5"/>
  <c r="K134" i="5"/>
  <c r="J134" i="5"/>
  <c r="I134" i="5"/>
  <c r="H134" i="5"/>
  <c r="G134" i="5"/>
  <c r="K133" i="5"/>
  <c r="J133" i="5"/>
  <c r="I133" i="5"/>
  <c r="H133" i="5"/>
  <c r="G133" i="5"/>
  <c r="K132" i="5"/>
  <c r="J132" i="5"/>
  <c r="I132" i="5"/>
  <c r="H132" i="5"/>
  <c r="G132" i="5"/>
  <c r="K131" i="5"/>
  <c r="J131" i="5"/>
  <c r="I131" i="5"/>
  <c r="H131" i="5"/>
  <c r="G131" i="5"/>
  <c r="K130" i="5"/>
  <c r="J130" i="5"/>
  <c r="I130" i="5"/>
  <c r="H130" i="5"/>
  <c r="G130" i="5"/>
  <c r="K129" i="5"/>
  <c r="J129" i="5"/>
  <c r="I129" i="5"/>
  <c r="H129" i="5"/>
  <c r="G129" i="5"/>
  <c r="K128" i="5"/>
  <c r="J128" i="5"/>
  <c r="I128" i="5"/>
  <c r="H128" i="5"/>
  <c r="G128" i="5"/>
  <c r="K127" i="5"/>
  <c r="J127" i="5"/>
  <c r="I127" i="5"/>
  <c r="H127" i="5"/>
  <c r="G127" i="5"/>
  <c r="K126" i="5"/>
  <c r="J126" i="5"/>
  <c r="I126" i="5"/>
  <c r="H126" i="5"/>
  <c r="G126" i="5"/>
  <c r="K125" i="5"/>
  <c r="J125" i="5"/>
  <c r="I125" i="5"/>
  <c r="H125" i="5"/>
  <c r="G125" i="5"/>
  <c r="K124" i="5"/>
  <c r="J124" i="5"/>
  <c r="I124" i="5"/>
  <c r="H124" i="5"/>
  <c r="G124" i="5"/>
  <c r="K123" i="5"/>
  <c r="J123" i="5"/>
  <c r="I123" i="5"/>
  <c r="H123" i="5"/>
  <c r="G123" i="5"/>
  <c r="K122" i="5"/>
  <c r="J122" i="5"/>
  <c r="I122" i="5"/>
  <c r="H122" i="5"/>
  <c r="G122" i="5"/>
  <c r="K121" i="5"/>
  <c r="J121" i="5"/>
  <c r="I121" i="5"/>
  <c r="H121" i="5"/>
  <c r="G121" i="5"/>
  <c r="K120" i="5"/>
  <c r="J120" i="5"/>
  <c r="I120" i="5"/>
  <c r="H120" i="5"/>
  <c r="G120" i="5"/>
  <c r="K119" i="5"/>
  <c r="J119" i="5"/>
  <c r="I119" i="5"/>
  <c r="H119" i="5"/>
  <c r="G119" i="5"/>
  <c r="K118" i="5"/>
  <c r="J118" i="5"/>
  <c r="I118" i="5"/>
  <c r="H118" i="5"/>
  <c r="G118" i="5"/>
  <c r="K117" i="5"/>
  <c r="J117" i="5"/>
  <c r="I117" i="5"/>
  <c r="H117" i="5"/>
  <c r="G117" i="5"/>
  <c r="K116" i="5"/>
  <c r="J116" i="5"/>
  <c r="I116" i="5"/>
  <c r="H116" i="5"/>
  <c r="G116" i="5"/>
  <c r="K115" i="5"/>
  <c r="J115" i="5"/>
  <c r="I115" i="5"/>
  <c r="H115" i="5"/>
  <c r="G115" i="5"/>
  <c r="K114" i="5"/>
  <c r="J114" i="5"/>
  <c r="I114" i="5"/>
  <c r="H114" i="5"/>
  <c r="G114" i="5"/>
  <c r="K113" i="5"/>
  <c r="J113" i="5"/>
  <c r="I113" i="5"/>
  <c r="H113" i="5"/>
  <c r="G113" i="5"/>
  <c r="K112" i="5"/>
  <c r="J112" i="5"/>
  <c r="I112" i="5"/>
  <c r="H112" i="5"/>
  <c r="G112" i="5"/>
  <c r="K111" i="5"/>
  <c r="J111" i="5"/>
  <c r="I111" i="5"/>
  <c r="H111" i="5"/>
  <c r="G111" i="5"/>
  <c r="K110" i="5"/>
  <c r="J110" i="5"/>
  <c r="I110" i="5"/>
  <c r="H110" i="5"/>
  <c r="G110" i="5"/>
  <c r="K109" i="5"/>
  <c r="J109" i="5"/>
  <c r="I109" i="5"/>
  <c r="H109" i="5"/>
  <c r="G109" i="5"/>
  <c r="K108" i="5"/>
  <c r="J108" i="5"/>
  <c r="I108" i="5"/>
  <c r="H108" i="5"/>
  <c r="G108" i="5"/>
  <c r="K107" i="5"/>
  <c r="J107" i="5"/>
  <c r="I107" i="5"/>
  <c r="H107" i="5"/>
  <c r="G107" i="5"/>
  <c r="K106" i="5"/>
  <c r="J106" i="5"/>
  <c r="I106" i="5"/>
  <c r="H106" i="5"/>
  <c r="G106" i="5"/>
  <c r="K105" i="5"/>
  <c r="J105" i="5"/>
  <c r="I105" i="5"/>
  <c r="H105" i="5"/>
  <c r="G105" i="5"/>
  <c r="K104" i="5"/>
  <c r="J104" i="5"/>
  <c r="I104" i="5"/>
  <c r="H104" i="5"/>
  <c r="G104" i="5"/>
  <c r="K103" i="5"/>
  <c r="J103" i="5"/>
  <c r="I103" i="5"/>
  <c r="H103" i="5"/>
  <c r="G103" i="5"/>
  <c r="K102" i="5"/>
  <c r="J102" i="5"/>
  <c r="I102" i="5"/>
  <c r="H102" i="5"/>
  <c r="G102" i="5"/>
  <c r="K101" i="5"/>
  <c r="J101" i="5"/>
  <c r="I101" i="5"/>
  <c r="H101" i="5"/>
  <c r="G101" i="5"/>
  <c r="K100" i="5"/>
  <c r="J100" i="5"/>
  <c r="I100" i="5"/>
  <c r="H100" i="5"/>
  <c r="G100" i="5"/>
  <c r="K99" i="5"/>
  <c r="J99" i="5"/>
  <c r="I99" i="5"/>
  <c r="H99" i="5"/>
  <c r="G99" i="5"/>
  <c r="K98" i="5"/>
  <c r="J98" i="5"/>
  <c r="I98" i="5"/>
  <c r="H98" i="5"/>
  <c r="G98" i="5"/>
  <c r="K97" i="5"/>
  <c r="J97" i="5"/>
  <c r="I97" i="5"/>
  <c r="H97" i="5"/>
  <c r="G97" i="5"/>
  <c r="K96" i="5"/>
  <c r="J96" i="5"/>
  <c r="I96" i="5"/>
  <c r="H96" i="5"/>
  <c r="G96" i="5"/>
  <c r="K95" i="5"/>
  <c r="J95" i="5"/>
  <c r="I95" i="5"/>
  <c r="H95" i="5"/>
  <c r="G95" i="5"/>
  <c r="K94" i="5"/>
  <c r="J94" i="5"/>
  <c r="I94" i="5"/>
  <c r="H94" i="5"/>
  <c r="G94" i="5"/>
  <c r="K93" i="5"/>
  <c r="J93" i="5"/>
  <c r="I93" i="5"/>
  <c r="H93" i="5"/>
  <c r="G93" i="5"/>
  <c r="K92" i="5"/>
  <c r="J92" i="5"/>
  <c r="I92" i="5"/>
  <c r="H92" i="5"/>
  <c r="G92" i="5"/>
  <c r="K91" i="5"/>
  <c r="J91" i="5"/>
  <c r="I91" i="5"/>
  <c r="H91" i="5"/>
  <c r="G91" i="5"/>
  <c r="K90" i="5"/>
  <c r="J90" i="5"/>
  <c r="I90" i="5"/>
  <c r="H90" i="5"/>
  <c r="G90" i="5"/>
  <c r="K89" i="5"/>
  <c r="J89" i="5"/>
  <c r="I89" i="5"/>
  <c r="H89" i="5"/>
  <c r="G89" i="5"/>
  <c r="K88" i="5"/>
  <c r="J88" i="5"/>
  <c r="I88" i="5"/>
  <c r="H88" i="5"/>
  <c r="G88" i="5"/>
  <c r="K87" i="5"/>
  <c r="J87" i="5"/>
  <c r="I87" i="5"/>
  <c r="H87" i="5"/>
  <c r="G87" i="5"/>
  <c r="K86" i="5"/>
  <c r="J86" i="5"/>
  <c r="I86" i="5"/>
  <c r="H86" i="5"/>
  <c r="G86" i="5"/>
  <c r="K85" i="5"/>
  <c r="J85" i="5"/>
  <c r="I85" i="5"/>
  <c r="H85" i="5"/>
  <c r="G85" i="5"/>
  <c r="K84" i="5"/>
  <c r="J84" i="5"/>
  <c r="I84" i="5"/>
  <c r="H84" i="5"/>
  <c r="G84" i="5"/>
  <c r="K83" i="5"/>
  <c r="J83" i="5"/>
  <c r="I83" i="5"/>
  <c r="H83" i="5"/>
  <c r="G83" i="5"/>
  <c r="K82" i="5"/>
  <c r="J82" i="5"/>
  <c r="I82" i="5"/>
  <c r="H82" i="5"/>
  <c r="G82" i="5"/>
  <c r="K81" i="5"/>
  <c r="J81" i="5"/>
  <c r="I81" i="5"/>
  <c r="H81" i="5"/>
  <c r="G81" i="5"/>
  <c r="K80" i="5"/>
  <c r="J80" i="5"/>
  <c r="I80" i="5"/>
  <c r="H80" i="5"/>
  <c r="G80" i="5"/>
  <c r="K79" i="5"/>
  <c r="J79" i="5"/>
  <c r="I79" i="5"/>
  <c r="H79" i="5"/>
  <c r="G79" i="5"/>
  <c r="K78" i="5"/>
  <c r="J78" i="5"/>
  <c r="I78" i="5"/>
  <c r="H78" i="5"/>
  <c r="G78" i="5"/>
  <c r="K77" i="5"/>
  <c r="J77" i="5"/>
  <c r="I77" i="5"/>
  <c r="H77" i="5"/>
  <c r="G77" i="5"/>
  <c r="K76" i="5"/>
  <c r="J76" i="5"/>
  <c r="I76" i="5"/>
  <c r="H76" i="5"/>
  <c r="G76" i="5"/>
  <c r="K75" i="5"/>
  <c r="J75" i="5"/>
  <c r="I75" i="5"/>
  <c r="H75" i="5"/>
  <c r="G75" i="5"/>
  <c r="K74" i="5"/>
  <c r="J74" i="5"/>
  <c r="I74" i="5"/>
  <c r="H74" i="5"/>
  <c r="G74" i="5"/>
  <c r="K73" i="5"/>
  <c r="J73" i="5"/>
  <c r="I73" i="5"/>
  <c r="H73" i="5"/>
  <c r="G73" i="5"/>
  <c r="K72" i="5"/>
  <c r="J72" i="5"/>
  <c r="I72" i="5"/>
  <c r="H72" i="5"/>
  <c r="G72" i="5"/>
  <c r="K71" i="5"/>
  <c r="J71" i="5"/>
  <c r="I71" i="5"/>
  <c r="H71" i="5"/>
  <c r="G71" i="5"/>
  <c r="K70" i="5"/>
  <c r="J70" i="5"/>
  <c r="I70" i="5"/>
  <c r="H70" i="5"/>
  <c r="G70" i="5"/>
  <c r="K69" i="5"/>
  <c r="J69" i="5"/>
  <c r="I69" i="5"/>
  <c r="H69" i="5"/>
  <c r="G69" i="5"/>
  <c r="K68" i="5"/>
  <c r="J68" i="5"/>
  <c r="I68" i="5"/>
  <c r="H68" i="5"/>
  <c r="G68" i="5"/>
  <c r="K67" i="5"/>
  <c r="J67" i="5"/>
  <c r="I67" i="5"/>
  <c r="H67" i="5"/>
  <c r="G67" i="5"/>
  <c r="K66" i="5"/>
  <c r="J66" i="5"/>
  <c r="I66" i="5"/>
  <c r="H66" i="5"/>
  <c r="G66" i="5"/>
  <c r="K65" i="5"/>
  <c r="J65" i="5"/>
  <c r="I65" i="5"/>
  <c r="H65" i="5"/>
  <c r="G65" i="5"/>
  <c r="K64" i="5"/>
  <c r="J64" i="5"/>
  <c r="I64" i="5"/>
  <c r="H64" i="5"/>
  <c r="G64" i="5"/>
  <c r="K63" i="5"/>
  <c r="J63" i="5"/>
  <c r="I63" i="5"/>
  <c r="H63" i="5"/>
  <c r="G63" i="5"/>
  <c r="K62" i="5"/>
  <c r="J62" i="5"/>
  <c r="I62" i="5"/>
  <c r="H62" i="5"/>
  <c r="G62" i="5"/>
  <c r="K61" i="5"/>
  <c r="J61" i="5"/>
  <c r="I61" i="5"/>
  <c r="H61" i="5"/>
  <c r="G61" i="5"/>
  <c r="K60" i="5"/>
  <c r="J60" i="5"/>
  <c r="I60" i="5"/>
  <c r="H60" i="5"/>
  <c r="G60" i="5"/>
  <c r="K59" i="5"/>
  <c r="J59" i="5"/>
  <c r="I59" i="5"/>
  <c r="H59" i="5"/>
  <c r="G59" i="5"/>
  <c r="K58" i="5"/>
  <c r="J58" i="5"/>
  <c r="I58" i="5"/>
  <c r="H58" i="5"/>
  <c r="G58" i="5"/>
  <c r="K57" i="5"/>
  <c r="J57" i="5"/>
  <c r="I57" i="5"/>
  <c r="H57" i="5"/>
  <c r="G57" i="5"/>
  <c r="K56" i="5"/>
  <c r="J56" i="5"/>
  <c r="I56" i="5"/>
  <c r="H56" i="5"/>
  <c r="G56" i="5"/>
  <c r="K55" i="5"/>
  <c r="J55" i="5"/>
  <c r="I55" i="5"/>
  <c r="H55" i="5"/>
  <c r="G55" i="5"/>
  <c r="K54" i="5"/>
  <c r="J54" i="5"/>
  <c r="I54" i="5"/>
  <c r="H54" i="5"/>
  <c r="G54" i="5"/>
  <c r="K53" i="5"/>
  <c r="J53" i="5"/>
  <c r="I53" i="5"/>
  <c r="H53" i="5"/>
  <c r="G53" i="5"/>
  <c r="K52" i="5"/>
  <c r="J52" i="5"/>
  <c r="I52" i="5"/>
  <c r="H52" i="5"/>
  <c r="G52" i="5"/>
  <c r="K51" i="5"/>
  <c r="J51" i="5"/>
  <c r="I51" i="5"/>
  <c r="H51" i="5"/>
  <c r="G51" i="5"/>
  <c r="K50" i="5"/>
  <c r="J50" i="5"/>
  <c r="I50" i="5"/>
  <c r="H50" i="5"/>
  <c r="G50" i="5"/>
  <c r="K49" i="5"/>
  <c r="J49" i="5"/>
  <c r="I49" i="5"/>
  <c r="H49" i="5"/>
  <c r="G49" i="5"/>
  <c r="K48" i="5"/>
  <c r="J48" i="5"/>
  <c r="I48" i="5"/>
  <c r="H48" i="5"/>
  <c r="G48" i="5"/>
  <c r="K47" i="5"/>
  <c r="J47" i="5"/>
  <c r="I47" i="5"/>
  <c r="H47" i="5"/>
  <c r="G47" i="5"/>
  <c r="K46" i="5"/>
  <c r="J46" i="5"/>
  <c r="I46" i="5"/>
  <c r="H46" i="5"/>
  <c r="G46" i="5"/>
  <c r="K45" i="5"/>
  <c r="J45" i="5"/>
  <c r="I45" i="5"/>
  <c r="H45" i="5"/>
  <c r="G45" i="5"/>
  <c r="K44" i="5"/>
  <c r="J44" i="5"/>
  <c r="I44" i="5"/>
  <c r="H44" i="5"/>
  <c r="G44" i="5"/>
  <c r="K43" i="5"/>
  <c r="J43" i="5"/>
  <c r="I43" i="5"/>
  <c r="H43" i="5"/>
  <c r="G43" i="5"/>
  <c r="K42" i="5"/>
  <c r="J42" i="5"/>
  <c r="I42" i="5"/>
  <c r="H42" i="5"/>
  <c r="G42" i="5"/>
  <c r="K41" i="5"/>
  <c r="J41" i="5"/>
  <c r="I41" i="5"/>
  <c r="H41" i="5"/>
  <c r="G41" i="5"/>
  <c r="K40" i="5"/>
  <c r="J40" i="5"/>
  <c r="I40" i="5"/>
  <c r="H40" i="5"/>
  <c r="G40" i="5"/>
  <c r="K39" i="5"/>
  <c r="J39" i="5"/>
  <c r="I39" i="5"/>
  <c r="H39" i="5"/>
  <c r="G39" i="5"/>
  <c r="K38" i="5"/>
  <c r="J38" i="5"/>
  <c r="I38" i="5"/>
  <c r="H38" i="5"/>
  <c r="G38" i="5"/>
  <c r="K37" i="5"/>
  <c r="J37" i="5"/>
  <c r="I37" i="5"/>
  <c r="H37" i="5"/>
  <c r="G37" i="5"/>
  <c r="K36" i="5"/>
  <c r="J36" i="5"/>
  <c r="I36" i="5"/>
  <c r="H36" i="5"/>
  <c r="G36" i="5"/>
  <c r="K35" i="5"/>
  <c r="J35" i="5"/>
  <c r="I35" i="5"/>
  <c r="H35" i="5"/>
  <c r="G35" i="5"/>
  <c r="K34" i="5"/>
  <c r="J34" i="5"/>
  <c r="I34" i="5"/>
  <c r="H34" i="5"/>
  <c r="G34" i="5"/>
  <c r="K33" i="5"/>
  <c r="J33" i="5"/>
  <c r="I33" i="5"/>
  <c r="H33" i="5"/>
  <c r="G33" i="5"/>
  <c r="K32" i="5"/>
  <c r="J32" i="5"/>
  <c r="I32" i="5"/>
  <c r="H32" i="5"/>
  <c r="G32" i="5"/>
  <c r="K31" i="5"/>
  <c r="J31" i="5"/>
  <c r="I31" i="5"/>
  <c r="H31" i="5"/>
  <c r="G31" i="5"/>
  <c r="K30" i="5"/>
  <c r="J30" i="5"/>
  <c r="I30" i="5"/>
  <c r="H30" i="5"/>
  <c r="G30" i="5"/>
  <c r="K29" i="5"/>
  <c r="J29" i="5"/>
  <c r="I29" i="5"/>
  <c r="H29" i="5"/>
  <c r="G29" i="5"/>
  <c r="K28" i="5"/>
  <c r="J28" i="5"/>
  <c r="I28" i="5"/>
  <c r="H28" i="5"/>
  <c r="G28" i="5"/>
  <c r="K27" i="5"/>
  <c r="J27" i="5"/>
  <c r="I27" i="5"/>
  <c r="H27" i="5"/>
  <c r="G27" i="5"/>
  <c r="K26" i="5"/>
  <c r="J26" i="5"/>
  <c r="I26" i="5"/>
  <c r="H26" i="5"/>
  <c r="G26" i="5"/>
  <c r="K25" i="5"/>
  <c r="J25" i="5"/>
  <c r="I25" i="5"/>
  <c r="H25" i="5"/>
  <c r="G25" i="5"/>
  <c r="K24" i="5"/>
  <c r="J24" i="5"/>
  <c r="I24" i="5"/>
  <c r="H24" i="5"/>
  <c r="G24" i="5"/>
  <c r="K23" i="5"/>
  <c r="J23" i="5"/>
  <c r="I23" i="5"/>
  <c r="H23" i="5"/>
  <c r="G23" i="5"/>
  <c r="K22" i="5"/>
  <c r="J22" i="5"/>
  <c r="I22" i="5"/>
  <c r="H22" i="5"/>
  <c r="G22" i="5"/>
  <c r="K21" i="5"/>
  <c r="J21" i="5"/>
  <c r="I21" i="5"/>
  <c r="H21" i="5"/>
  <c r="G21" i="5"/>
  <c r="K20" i="5"/>
  <c r="J20" i="5"/>
  <c r="I20" i="5"/>
  <c r="H20" i="5"/>
  <c r="G20" i="5"/>
  <c r="K19" i="5"/>
  <c r="J19" i="5"/>
  <c r="I19" i="5"/>
  <c r="H19" i="5"/>
  <c r="G19" i="5"/>
  <c r="K18" i="5"/>
  <c r="J18" i="5"/>
  <c r="I18" i="5"/>
  <c r="H18" i="5"/>
  <c r="G18" i="5"/>
  <c r="K17" i="5"/>
  <c r="J17" i="5"/>
  <c r="I17" i="5"/>
  <c r="H17" i="5"/>
  <c r="G17" i="5"/>
  <c r="K16" i="5"/>
  <c r="J16" i="5"/>
  <c r="I16" i="5"/>
  <c r="H16" i="5"/>
  <c r="G16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I12" i="5"/>
  <c r="J12" i="5" s="1"/>
  <c r="H12" i="5"/>
  <c r="G12" i="5"/>
  <c r="L45" i="6" s="1"/>
  <c r="I11" i="5"/>
  <c r="J11" i="5" s="1"/>
  <c r="H11" i="5"/>
  <c r="G11" i="5"/>
  <c r="L51" i="6" s="1"/>
  <c r="I10" i="5"/>
  <c r="J10" i="5" s="1"/>
  <c r="H10" i="5"/>
  <c r="G10" i="5"/>
  <c r="L40" i="6" s="1"/>
  <c r="I9" i="5"/>
  <c r="H9" i="5"/>
  <c r="G9" i="5"/>
  <c r="L36" i="6" s="1"/>
  <c r="I8" i="5"/>
  <c r="J8" i="5" s="1"/>
  <c r="H8" i="5"/>
  <c r="G8" i="5"/>
  <c r="L32" i="6" s="1"/>
  <c r="I7" i="5"/>
  <c r="J7" i="5" s="1"/>
  <c r="H7" i="5"/>
  <c r="G7" i="5"/>
  <c r="L26" i="6" s="1"/>
  <c r="I6" i="5"/>
  <c r="H6" i="5"/>
  <c r="G6" i="5"/>
  <c r="L20" i="6" s="1"/>
  <c r="I5" i="5"/>
  <c r="H5" i="5"/>
  <c r="G5" i="5"/>
  <c r="L16" i="6" s="1"/>
  <c r="I4" i="5"/>
  <c r="J4" i="5" s="1"/>
  <c r="H4" i="5"/>
  <c r="G4" i="5"/>
  <c r="L13" i="6" s="1"/>
  <c r="M202" i="4"/>
  <c r="L202" i="4"/>
  <c r="K202" i="4"/>
  <c r="J202" i="4"/>
  <c r="M201" i="4"/>
  <c r="L201" i="4"/>
  <c r="K201" i="4"/>
  <c r="J201" i="4"/>
  <c r="M200" i="4"/>
  <c r="L200" i="4"/>
  <c r="K200" i="4"/>
  <c r="J200" i="4"/>
  <c r="M199" i="4"/>
  <c r="L199" i="4"/>
  <c r="K199" i="4"/>
  <c r="J199" i="4"/>
  <c r="M198" i="4"/>
  <c r="L198" i="4"/>
  <c r="K198" i="4"/>
  <c r="J198" i="4"/>
  <c r="M197" i="4"/>
  <c r="L197" i="4"/>
  <c r="K197" i="4"/>
  <c r="J197" i="4"/>
  <c r="M196" i="4"/>
  <c r="L196" i="4"/>
  <c r="K196" i="4"/>
  <c r="J196" i="4"/>
  <c r="M195" i="4"/>
  <c r="L195" i="4"/>
  <c r="K195" i="4"/>
  <c r="J195" i="4"/>
  <c r="M194" i="4"/>
  <c r="L194" i="4"/>
  <c r="K194" i="4"/>
  <c r="J194" i="4"/>
  <c r="M193" i="4"/>
  <c r="L193" i="4"/>
  <c r="K193" i="4"/>
  <c r="J193" i="4"/>
  <c r="M192" i="4"/>
  <c r="L192" i="4"/>
  <c r="K192" i="4"/>
  <c r="J192" i="4"/>
  <c r="M191" i="4"/>
  <c r="L191" i="4"/>
  <c r="K191" i="4"/>
  <c r="J191" i="4"/>
  <c r="M190" i="4"/>
  <c r="L190" i="4"/>
  <c r="K190" i="4"/>
  <c r="J190" i="4"/>
  <c r="M189" i="4"/>
  <c r="L189" i="4"/>
  <c r="K189" i="4"/>
  <c r="J189" i="4"/>
  <c r="M188" i="4"/>
  <c r="L188" i="4"/>
  <c r="K188" i="4"/>
  <c r="J188" i="4"/>
  <c r="M187" i="4"/>
  <c r="L187" i="4"/>
  <c r="K187" i="4"/>
  <c r="J187" i="4"/>
  <c r="M186" i="4"/>
  <c r="L186" i="4"/>
  <c r="K186" i="4"/>
  <c r="J186" i="4"/>
  <c r="M185" i="4"/>
  <c r="L185" i="4"/>
  <c r="K185" i="4"/>
  <c r="J185" i="4"/>
  <c r="M184" i="4"/>
  <c r="L184" i="4"/>
  <c r="K184" i="4"/>
  <c r="J184" i="4"/>
  <c r="M183" i="4"/>
  <c r="L183" i="4"/>
  <c r="K183" i="4"/>
  <c r="J183" i="4"/>
  <c r="M182" i="4"/>
  <c r="L182" i="4"/>
  <c r="K182" i="4"/>
  <c r="J182" i="4"/>
  <c r="M181" i="4"/>
  <c r="L181" i="4"/>
  <c r="K181" i="4"/>
  <c r="J181" i="4"/>
  <c r="M180" i="4"/>
  <c r="L180" i="4"/>
  <c r="K180" i="4"/>
  <c r="J180" i="4"/>
  <c r="M179" i="4"/>
  <c r="L179" i="4"/>
  <c r="K179" i="4"/>
  <c r="J179" i="4"/>
  <c r="M178" i="4"/>
  <c r="L178" i="4"/>
  <c r="K178" i="4"/>
  <c r="J178" i="4"/>
  <c r="M177" i="4"/>
  <c r="L177" i="4"/>
  <c r="K177" i="4"/>
  <c r="J177" i="4"/>
  <c r="M176" i="4"/>
  <c r="L176" i="4"/>
  <c r="K176" i="4"/>
  <c r="J176" i="4"/>
  <c r="M175" i="4"/>
  <c r="L175" i="4"/>
  <c r="K175" i="4"/>
  <c r="J175" i="4"/>
  <c r="M174" i="4"/>
  <c r="L174" i="4"/>
  <c r="K174" i="4"/>
  <c r="J174" i="4"/>
  <c r="M173" i="4"/>
  <c r="L173" i="4"/>
  <c r="K173" i="4"/>
  <c r="J173" i="4"/>
  <c r="M172" i="4"/>
  <c r="L172" i="4"/>
  <c r="K172" i="4"/>
  <c r="J172" i="4"/>
  <c r="M171" i="4"/>
  <c r="L171" i="4"/>
  <c r="K171" i="4"/>
  <c r="J171" i="4"/>
  <c r="M170" i="4"/>
  <c r="L170" i="4"/>
  <c r="K170" i="4"/>
  <c r="J170" i="4"/>
  <c r="M169" i="4"/>
  <c r="L169" i="4"/>
  <c r="K169" i="4"/>
  <c r="J169" i="4"/>
  <c r="M168" i="4"/>
  <c r="L168" i="4"/>
  <c r="K168" i="4"/>
  <c r="J168" i="4"/>
  <c r="M167" i="4"/>
  <c r="L167" i="4"/>
  <c r="K167" i="4"/>
  <c r="J167" i="4"/>
  <c r="M166" i="4"/>
  <c r="L166" i="4"/>
  <c r="K166" i="4"/>
  <c r="J166" i="4"/>
  <c r="M165" i="4"/>
  <c r="L165" i="4"/>
  <c r="K165" i="4"/>
  <c r="J165" i="4"/>
  <c r="M164" i="4"/>
  <c r="L164" i="4"/>
  <c r="K164" i="4"/>
  <c r="J164" i="4"/>
  <c r="M163" i="4"/>
  <c r="L163" i="4"/>
  <c r="K163" i="4"/>
  <c r="J163" i="4"/>
  <c r="M162" i="4"/>
  <c r="L162" i="4"/>
  <c r="K162" i="4"/>
  <c r="J162" i="4"/>
  <c r="M161" i="4"/>
  <c r="L161" i="4"/>
  <c r="K161" i="4"/>
  <c r="J161" i="4"/>
  <c r="M160" i="4"/>
  <c r="L160" i="4"/>
  <c r="K160" i="4"/>
  <c r="J160" i="4"/>
  <c r="M159" i="4"/>
  <c r="L159" i="4"/>
  <c r="K159" i="4"/>
  <c r="J159" i="4"/>
  <c r="M158" i="4"/>
  <c r="L158" i="4"/>
  <c r="K158" i="4"/>
  <c r="J158" i="4"/>
  <c r="M157" i="4"/>
  <c r="L157" i="4"/>
  <c r="K157" i="4"/>
  <c r="J157" i="4"/>
  <c r="M156" i="4"/>
  <c r="L156" i="4"/>
  <c r="K156" i="4"/>
  <c r="J156" i="4"/>
  <c r="M155" i="4"/>
  <c r="L155" i="4"/>
  <c r="K155" i="4"/>
  <c r="J155" i="4"/>
  <c r="M154" i="4"/>
  <c r="L154" i="4"/>
  <c r="K154" i="4"/>
  <c r="J154" i="4"/>
  <c r="M153" i="4"/>
  <c r="L153" i="4"/>
  <c r="K153" i="4"/>
  <c r="J153" i="4"/>
  <c r="M152" i="4"/>
  <c r="L152" i="4"/>
  <c r="K152" i="4"/>
  <c r="J152" i="4"/>
  <c r="M151" i="4"/>
  <c r="L151" i="4"/>
  <c r="K151" i="4"/>
  <c r="J151" i="4"/>
  <c r="M150" i="4"/>
  <c r="L150" i="4"/>
  <c r="K150" i="4"/>
  <c r="J150" i="4"/>
  <c r="M149" i="4"/>
  <c r="L149" i="4"/>
  <c r="K149" i="4"/>
  <c r="J149" i="4"/>
  <c r="M148" i="4"/>
  <c r="L148" i="4"/>
  <c r="K148" i="4"/>
  <c r="J148" i="4"/>
  <c r="M147" i="4"/>
  <c r="L147" i="4"/>
  <c r="K147" i="4"/>
  <c r="J147" i="4"/>
  <c r="M146" i="4"/>
  <c r="L146" i="4"/>
  <c r="K146" i="4"/>
  <c r="J146" i="4"/>
  <c r="M145" i="4"/>
  <c r="L145" i="4"/>
  <c r="K145" i="4"/>
  <c r="J145" i="4"/>
  <c r="M144" i="4"/>
  <c r="L144" i="4"/>
  <c r="K144" i="4"/>
  <c r="J144" i="4"/>
  <c r="M143" i="4"/>
  <c r="L143" i="4"/>
  <c r="K143" i="4"/>
  <c r="J143" i="4"/>
  <c r="M142" i="4"/>
  <c r="L142" i="4"/>
  <c r="K142" i="4"/>
  <c r="J142" i="4"/>
  <c r="M141" i="4"/>
  <c r="L141" i="4"/>
  <c r="K141" i="4"/>
  <c r="J141" i="4"/>
  <c r="M140" i="4"/>
  <c r="L140" i="4"/>
  <c r="K140" i="4"/>
  <c r="J140" i="4"/>
  <c r="M139" i="4"/>
  <c r="L139" i="4"/>
  <c r="K139" i="4"/>
  <c r="J139" i="4"/>
  <c r="M138" i="4"/>
  <c r="L138" i="4"/>
  <c r="K138" i="4"/>
  <c r="J138" i="4"/>
  <c r="M137" i="4"/>
  <c r="L137" i="4"/>
  <c r="K137" i="4"/>
  <c r="J137" i="4"/>
  <c r="M136" i="4"/>
  <c r="L136" i="4"/>
  <c r="K136" i="4"/>
  <c r="J136" i="4"/>
  <c r="M135" i="4"/>
  <c r="L135" i="4"/>
  <c r="K135" i="4"/>
  <c r="J135" i="4"/>
  <c r="M134" i="4"/>
  <c r="L134" i="4"/>
  <c r="K134" i="4"/>
  <c r="J134" i="4"/>
  <c r="M133" i="4"/>
  <c r="L133" i="4"/>
  <c r="K133" i="4"/>
  <c r="J133" i="4"/>
  <c r="M132" i="4"/>
  <c r="L132" i="4"/>
  <c r="K132" i="4"/>
  <c r="J132" i="4"/>
  <c r="M131" i="4"/>
  <c r="L131" i="4"/>
  <c r="K131" i="4"/>
  <c r="J131" i="4"/>
  <c r="M130" i="4"/>
  <c r="L130" i="4"/>
  <c r="K130" i="4"/>
  <c r="J130" i="4"/>
  <c r="M129" i="4"/>
  <c r="L129" i="4"/>
  <c r="K129" i="4"/>
  <c r="J129" i="4"/>
  <c r="M128" i="4"/>
  <c r="L128" i="4"/>
  <c r="K128" i="4"/>
  <c r="J128" i="4"/>
  <c r="M127" i="4"/>
  <c r="L127" i="4"/>
  <c r="K127" i="4"/>
  <c r="J127" i="4"/>
  <c r="M126" i="4"/>
  <c r="L126" i="4"/>
  <c r="K126" i="4"/>
  <c r="J126" i="4"/>
  <c r="M125" i="4"/>
  <c r="L125" i="4"/>
  <c r="K125" i="4"/>
  <c r="J125" i="4"/>
  <c r="M124" i="4"/>
  <c r="L124" i="4"/>
  <c r="K124" i="4"/>
  <c r="J124" i="4"/>
  <c r="M123" i="4"/>
  <c r="L123" i="4"/>
  <c r="K123" i="4"/>
  <c r="J123" i="4"/>
  <c r="M122" i="4"/>
  <c r="L122" i="4"/>
  <c r="K122" i="4"/>
  <c r="J122" i="4"/>
  <c r="M121" i="4"/>
  <c r="L121" i="4"/>
  <c r="K121" i="4"/>
  <c r="J121" i="4"/>
  <c r="M120" i="4"/>
  <c r="L120" i="4"/>
  <c r="K120" i="4"/>
  <c r="J120" i="4"/>
  <c r="M119" i="4"/>
  <c r="L119" i="4"/>
  <c r="K119" i="4"/>
  <c r="J119" i="4"/>
  <c r="M118" i="4"/>
  <c r="L118" i="4"/>
  <c r="K118" i="4"/>
  <c r="J118" i="4"/>
  <c r="M117" i="4"/>
  <c r="L117" i="4"/>
  <c r="K117" i="4"/>
  <c r="J117" i="4"/>
  <c r="M116" i="4"/>
  <c r="L116" i="4"/>
  <c r="K116" i="4"/>
  <c r="J116" i="4"/>
  <c r="M115" i="4"/>
  <c r="L115" i="4"/>
  <c r="K115" i="4"/>
  <c r="J115" i="4"/>
  <c r="M114" i="4"/>
  <c r="L114" i="4"/>
  <c r="K114" i="4"/>
  <c r="J114" i="4"/>
  <c r="M113" i="4"/>
  <c r="L113" i="4"/>
  <c r="K113" i="4"/>
  <c r="J113" i="4"/>
  <c r="M112" i="4"/>
  <c r="L112" i="4"/>
  <c r="K112" i="4"/>
  <c r="J112" i="4"/>
  <c r="M111" i="4"/>
  <c r="L111" i="4"/>
  <c r="K111" i="4"/>
  <c r="J111" i="4"/>
  <c r="M110" i="4"/>
  <c r="L110" i="4"/>
  <c r="K110" i="4"/>
  <c r="J110" i="4"/>
  <c r="M109" i="4"/>
  <c r="L109" i="4"/>
  <c r="K109" i="4"/>
  <c r="J109" i="4"/>
  <c r="M108" i="4"/>
  <c r="L108" i="4"/>
  <c r="K108" i="4"/>
  <c r="J108" i="4"/>
  <c r="M107" i="4"/>
  <c r="L107" i="4"/>
  <c r="K107" i="4"/>
  <c r="J107" i="4"/>
  <c r="M106" i="4"/>
  <c r="L106" i="4"/>
  <c r="K106" i="4"/>
  <c r="J106" i="4"/>
  <c r="M105" i="4"/>
  <c r="L105" i="4"/>
  <c r="K105" i="4"/>
  <c r="J105" i="4"/>
  <c r="M104" i="4"/>
  <c r="L104" i="4"/>
  <c r="K104" i="4"/>
  <c r="J104" i="4"/>
  <c r="M103" i="4"/>
  <c r="L103" i="4"/>
  <c r="K103" i="4"/>
  <c r="J103" i="4"/>
  <c r="M102" i="4"/>
  <c r="L102" i="4"/>
  <c r="K102" i="4"/>
  <c r="J102" i="4"/>
  <c r="M101" i="4"/>
  <c r="L101" i="4"/>
  <c r="K101" i="4"/>
  <c r="J101" i="4"/>
  <c r="M100" i="4"/>
  <c r="L100" i="4"/>
  <c r="K100" i="4"/>
  <c r="J100" i="4"/>
  <c r="M99" i="4"/>
  <c r="L99" i="4"/>
  <c r="K99" i="4"/>
  <c r="J99" i="4"/>
  <c r="M98" i="4"/>
  <c r="L98" i="4"/>
  <c r="K98" i="4"/>
  <c r="J98" i="4"/>
  <c r="M97" i="4"/>
  <c r="L97" i="4"/>
  <c r="K97" i="4"/>
  <c r="J97" i="4"/>
  <c r="M96" i="4"/>
  <c r="L96" i="4"/>
  <c r="K96" i="4"/>
  <c r="J96" i="4"/>
  <c r="M95" i="4"/>
  <c r="L95" i="4"/>
  <c r="K95" i="4"/>
  <c r="J95" i="4"/>
  <c r="M94" i="4"/>
  <c r="L94" i="4"/>
  <c r="K94" i="4"/>
  <c r="J94" i="4"/>
  <c r="M93" i="4"/>
  <c r="L93" i="4"/>
  <c r="K93" i="4"/>
  <c r="J93" i="4"/>
  <c r="M92" i="4"/>
  <c r="L92" i="4"/>
  <c r="K92" i="4"/>
  <c r="J92" i="4"/>
  <c r="M91" i="4"/>
  <c r="L91" i="4"/>
  <c r="K91" i="4"/>
  <c r="J91" i="4"/>
  <c r="M90" i="4"/>
  <c r="L90" i="4"/>
  <c r="K90" i="4"/>
  <c r="J90" i="4"/>
  <c r="M89" i="4"/>
  <c r="L89" i="4"/>
  <c r="K89" i="4"/>
  <c r="J89" i="4"/>
  <c r="M88" i="4"/>
  <c r="L88" i="4"/>
  <c r="K88" i="4"/>
  <c r="J88" i="4"/>
  <c r="M87" i="4"/>
  <c r="L87" i="4"/>
  <c r="K87" i="4"/>
  <c r="J87" i="4"/>
  <c r="M86" i="4"/>
  <c r="L86" i="4"/>
  <c r="K86" i="4"/>
  <c r="J86" i="4"/>
  <c r="M85" i="4"/>
  <c r="L85" i="4"/>
  <c r="K85" i="4"/>
  <c r="J85" i="4"/>
  <c r="M84" i="4"/>
  <c r="L84" i="4"/>
  <c r="K84" i="4"/>
  <c r="J84" i="4"/>
  <c r="M83" i="4"/>
  <c r="L83" i="4"/>
  <c r="K83" i="4"/>
  <c r="J83" i="4"/>
  <c r="M82" i="4"/>
  <c r="L82" i="4"/>
  <c r="K82" i="4"/>
  <c r="J82" i="4"/>
  <c r="M81" i="4"/>
  <c r="L81" i="4"/>
  <c r="K81" i="4"/>
  <c r="J81" i="4"/>
  <c r="M80" i="4"/>
  <c r="L80" i="4"/>
  <c r="K80" i="4"/>
  <c r="J80" i="4"/>
  <c r="M79" i="4"/>
  <c r="L79" i="4"/>
  <c r="K79" i="4"/>
  <c r="J79" i="4"/>
  <c r="M78" i="4"/>
  <c r="L78" i="4"/>
  <c r="K78" i="4"/>
  <c r="J78" i="4"/>
  <c r="M77" i="4"/>
  <c r="L77" i="4"/>
  <c r="K77" i="4"/>
  <c r="J77" i="4"/>
  <c r="M76" i="4"/>
  <c r="L76" i="4"/>
  <c r="K76" i="4"/>
  <c r="J76" i="4"/>
  <c r="M75" i="4"/>
  <c r="L75" i="4"/>
  <c r="K75" i="4"/>
  <c r="J75" i="4"/>
  <c r="M74" i="4"/>
  <c r="L74" i="4"/>
  <c r="K74" i="4"/>
  <c r="J74" i="4"/>
  <c r="M73" i="4"/>
  <c r="L73" i="4"/>
  <c r="K73" i="4"/>
  <c r="J73" i="4"/>
  <c r="M72" i="4"/>
  <c r="L72" i="4"/>
  <c r="K72" i="4"/>
  <c r="J72" i="4"/>
  <c r="M71" i="4"/>
  <c r="L71" i="4"/>
  <c r="K71" i="4"/>
  <c r="J71" i="4"/>
  <c r="M70" i="4"/>
  <c r="L70" i="4"/>
  <c r="K70" i="4"/>
  <c r="J70" i="4"/>
  <c r="M69" i="4"/>
  <c r="L69" i="4"/>
  <c r="K69" i="4"/>
  <c r="J69" i="4"/>
  <c r="M68" i="4"/>
  <c r="L68" i="4"/>
  <c r="K68" i="4"/>
  <c r="J68" i="4"/>
  <c r="M67" i="4"/>
  <c r="L67" i="4"/>
  <c r="K67" i="4"/>
  <c r="J67" i="4"/>
  <c r="M66" i="4"/>
  <c r="L66" i="4"/>
  <c r="K66" i="4"/>
  <c r="J66" i="4"/>
  <c r="M65" i="4"/>
  <c r="L65" i="4"/>
  <c r="K65" i="4"/>
  <c r="J65" i="4"/>
  <c r="M64" i="4"/>
  <c r="L64" i="4"/>
  <c r="K64" i="4"/>
  <c r="J64" i="4"/>
  <c r="M63" i="4"/>
  <c r="L63" i="4"/>
  <c r="K63" i="4"/>
  <c r="J63" i="4"/>
  <c r="M62" i="4"/>
  <c r="L62" i="4"/>
  <c r="K62" i="4"/>
  <c r="J62" i="4"/>
  <c r="M61" i="4"/>
  <c r="L61" i="4"/>
  <c r="K61" i="4"/>
  <c r="J61" i="4"/>
  <c r="M60" i="4"/>
  <c r="L60" i="4"/>
  <c r="K60" i="4"/>
  <c r="J60" i="4"/>
  <c r="M59" i="4"/>
  <c r="L59" i="4"/>
  <c r="K59" i="4"/>
  <c r="J59" i="4"/>
  <c r="M58" i="4"/>
  <c r="L58" i="4"/>
  <c r="K58" i="4"/>
  <c r="J58" i="4"/>
  <c r="M57" i="4"/>
  <c r="L57" i="4"/>
  <c r="K57" i="4"/>
  <c r="J57" i="4"/>
  <c r="M56" i="4"/>
  <c r="L56" i="4"/>
  <c r="K56" i="4"/>
  <c r="J56" i="4"/>
  <c r="M55" i="4"/>
  <c r="L55" i="4"/>
  <c r="K55" i="4"/>
  <c r="J55" i="4"/>
  <c r="M54" i="4"/>
  <c r="L54" i="4"/>
  <c r="K54" i="4"/>
  <c r="J54" i="4"/>
  <c r="M53" i="4"/>
  <c r="L53" i="4"/>
  <c r="K53" i="4"/>
  <c r="J53" i="4"/>
  <c r="M52" i="4"/>
  <c r="L52" i="4"/>
  <c r="K52" i="4"/>
  <c r="J52" i="4"/>
  <c r="M51" i="4"/>
  <c r="L51" i="4"/>
  <c r="K51" i="4"/>
  <c r="J51" i="4"/>
  <c r="M50" i="4"/>
  <c r="L50" i="4"/>
  <c r="K50" i="4"/>
  <c r="J50" i="4"/>
  <c r="M49" i="4"/>
  <c r="L49" i="4"/>
  <c r="K49" i="4"/>
  <c r="J49" i="4"/>
  <c r="M48" i="4"/>
  <c r="L48" i="4"/>
  <c r="K48" i="4"/>
  <c r="J48" i="4"/>
  <c r="M47" i="4"/>
  <c r="L47" i="4"/>
  <c r="K47" i="4"/>
  <c r="J47" i="4"/>
  <c r="M46" i="4"/>
  <c r="L46" i="4"/>
  <c r="K46" i="4"/>
  <c r="J46" i="4"/>
  <c r="M45" i="4"/>
  <c r="L45" i="4"/>
  <c r="K45" i="4"/>
  <c r="J45" i="4"/>
  <c r="M44" i="4"/>
  <c r="L44" i="4"/>
  <c r="K44" i="4"/>
  <c r="J44" i="4"/>
  <c r="M43" i="4"/>
  <c r="L43" i="4"/>
  <c r="K43" i="4"/>
  <c r="J43" i="4"/>
  <c r="M42" i="4"/>
  <c r="L42" i="4"/>
  <c r="K42" i="4"/>
  <c r="J42" i="4"/>
  <c r="M41" i="4"/>
  <c r="L41" i="4"/>
  <c r="K41" i="4"/>
  <c r="J41" i="4"/>
  <c r="M40" i="4"/>
  <c r="L40" i="4"/>
  <c r="K40" i="4"/>
  <c r="J40" i="4"/>
  <c r="M39" i="4"/>
  <c r="L39" i="4"/>
  <c r="K39" i="4"/>
  <c r="J39" i="4"/>
  <c r="M38" i="4"/>
  <c r="L38" i="4"/>
  <c r="K38" i="4"/>
  <c r="J38" i="4"/>
  <c r="M37" i="4"/>
  <c r="L37" i="4"/>
  <c r="K37" i="4"/>
  <c r="J37" i="4"/>
  <c r="M36" i="4"/>
  <c r="L36" i="4"/>
  <c r="K36" i="4"/>
  <c r="J36" i="4"/>
  <c r="M35" i="4"/>
  <c r="L35" i="4"/>
  <c r="K35" i="4"/>
  <c r="J35" i="4"/>
  <c r="M34" i="4"/>
  <c r="L34" i="4"/>
  <c r="K34" i="4"/>
  <c r="J34" i="4"/>
  <c r="M33" i="4"/>
  <c r="L33" i="4"/>
  <c r="K33" i="4"/>
  <c r="J33" i="4"/>
  <c r="M32" i="4"/>
  <c r="L32" i="4"/>
  <c r="K32" i="4"/>
  <c r="J32" i="4"/>
  <c r="M31" i="4"/>
  <c r="L31" i="4"/>
  <c r="K31" i="4"/>
  <c r="J31" i="4"/>
  <c r="M30" i="4"/>
  <c r="L30" i="4"/>
  <c r="K30" i="4"/>
  <c r="J30" i="4"/>
  <c r="M29" i="4"/>
  <c r="L29" i="4"/>
  <c r="K29" i="4"/>
  <c r="J29" i="4"/>
  <c r="M28" i="4"/>
  <c r="L28" i="4"/>
  <c r="K28" i="4"/>
  <c r="J28" i="4"/>
  <c r="M27" i="4"/>
  <c r="L27" i="4"/>
  <c r="K27" i="4"/>
  <c r="J27" i="4"/>
  <c r="M26" i="4"/>
  <c r="L26" i="4"/>
  <c r="K26" i="4"/>
  <c r="J26" i="4"/>
  <c r="M25" i="4"/>
  <c r="L25" i="4"/>
  <c r="K25" i="4"/>
  <c r="J25" i="4"/>
  <c r="M24" i="4"/>
  <c r="L24" i="4"/>
  <c r="K24" i="4"/>
  <c r="J24" i="4"/>
  <c r="M23" i="4"/>
  <c r="L23" i="4"/>
  <c r="K23" i="4"/>
  <c r="J23" i="4"/>
  <c r="M22" i="4"/>
  <c r="L22" i="4"/>
  <c r="K22" i="4"/>
  <c r="J22" i="4"/>
  <c r="M21" i="4"/>
  <c r="L21" i="4"/>
  <c r="K21" i="4"/>
  <c r="J21" i="4"/>
  <c r="M20" i="4"/>
  <c r="L20" i="4"/>
  <c r="K20" i="4"/>
  <c r="J20" i="4"/>
  <c r="M19" i="4"/>
  <c r="L19" i="4"/>
  <c r="K19" i="4"/>
  <c r="J19" i="4"/>
  <c r="M18" i="4"/>
  <c r="L18" i="4"/>
  <c r="K18" i="4"/>
  <c r="J18" i="4"/>
  <c r="M17" i="4"/>
  <c r="L17" i="4"/>
  <c r="K17" i="4"/>
  <c r="J17" i="4"/>
  <c r="M16" i="4"/>
  <c r="L16" i="4"/>
  <c r="K16" i="4"/>
  <c r="J16" i="4"/>
  <c r="M15" i="4"/>
  <c r="L15" i="4"/>
  <c r="K15" i="4"/>
  <c r="J15" i="4"/>
  <c r="M14" i="4"/>
  <c r="L14" i="4"/>
  <c r="K14" i="4"/>
  <c r="J14" i="4"/>
  <c r="M13" i="4"/>
  <c r="L13" i="4"/>
  <c r="K13" i="4"/>
  <c r="J13" i="4"/>
  <c r="L12" i="4"/>
  <c r="L11" i="4"/>
  <c r="L10" i="4"/>
  <c r="L9" i="4"/>
  <c r="L8" i="4"/>
  <c r="L7" i="4"/>
  <c r="L6" i="4"/>
  <c r="L5" i="4"/>
  <c r="L4" i="4"/>
  <c r="L204" i="3"/>
  <c r="K204" i="3"/>
  <c r="J204" i="3"/>
  <c r="L203" i="3"/>
  <c r="K203" i="3"/>
  <c r="J203" i="3"/>
  <c r="L202" i="3"/>
  <c r="K202" i="3"/>
  <c r="J202" i="3"/>
  <c r="L201" i="3"/>
  <c r="K201" i="3"/>
  <c r="J201" i="3"/>
  <c r="L200" i="3"/>
  <c r="K200" i="3"/>
  <c r="J200" i="3"/>
  <c r="L199" i="3"/>
  <c r="K199" i="3"/>
  <c r="J199" i="3"/>
  <c r="L198" i="3"/>
  <c r="K198" i="3"/>
  <c r="J198" i="3"/>
  <c r="L197" i="3"/>
  <c r="K197" i="3"/>
  <c r="J197" i="3"/>
  <c r="L196" i="3"/>
  <c r="K196" i="3"/>
  <c r="J196" i="3"/>
  <c r="L195" i="3"/>
  <c r="K195" i="3"/>
  <c r="J195" i="3"/>
  <c r="L194" i="3"/>
  <c r="K194" i="3"/>
  <c r="J194" i="3"/>
  <c r="L193" i="3"/>
  <c r="K193" i="3"/>
  <c r="J193" i="3"/>
  <c r="L192" i="3"/>
  <c r="K192" i="3"/>
  <c r="J192" i="3"/>
  <c r="L191" i="3"/>
  <c r="K191" i="3"/>
  <c r="J191" i="3"/>
  <c r="L190" i="3"/>
  <c r="K190" i="3"/>
  <c r="J190" i="3"/>
  <c r="L189" i="3"/>
  <c r="K189" i="3"/>
  <c r="J189" i="3"/>
  <c r="L188" i="3"/>
  <c r="K188" i="3"/>
  <c r="J188" i="3"/>
  <c r="L187" i="3"/>
  <c r="K187" i="3"/>
  <c r="J187" i="3"/>
  <c r="L186" i="3"/>
  <c r="K186" i="3"/>
  <c r="J186" i="3"/>
  <c r="L185" i="3"/>
  <c r="K185" i="3"/>
  <c r="J185" i="3"/>
  <c r="L184" i="3"/>
  <c r="K184" i="3"/>
  <c r="J184" i="3"/>
  <c r="L183" i="3"/>
  <c r="K183" i="3"/>
  <c r="J183" i="3"/>
  <c r="L182" i="3"/>
  <c r="K182" i="3"/>
  <c r="J182" i="3"/>
  <c r="L181" i="3"/>
  <c r="K181" i="3"/>
  <c r="J181" i="3"/>
  <c r="L180" i="3"/>
  <c r="K180" i="3"/>
  <c r="J180" i="3"/>
  <c r="L179" i="3"/>
  <c r="K179" i="3"/>
  <c r="J179" i="3"/>
  <c r="L178" i="3"/>
  <c r="K178" i="3"/>
  <c r="J178" i="3"/>
  <c r="L177" i="3"/>
  <c r="K177" i="3"/>
  <c r="J177" i="3"/>
  <c r="L176" i="3"/>
  <c r="K176" i="3"/>
  <c r="J176" i="3"/>
  <c r="L175" i="3"/>
  <c r="K175" i="3"/>
  <c r="J175" i="3"/>
  <c r="L174" i="3"/>
  <c r="K174" i="3"/>
  <c r="J174" i="3"/>
  <c r="L173" i="3"/>
  <c r="K173" i="3"/>
  <c r="J173" i="3"/>
  <c r="L172" i="3"/>
  <c r="K172" i="3"/>
  <c r="J172" i="3"/>
  <c r="L171" i="3"/>
  <c r="K171" i="3"/>
  <c r="J171" i="3"/>
  <c r="L170" i="3"/>
  <c r="K170" i="3"/>
  <c r="J170" i="3"/>
  <c r="L169" i="3"/>
  <c r="K169" i="3"/>
  <c r="J169" i="3"/>
  <c r="L168" i="3"/>
  <c r="K168" i="3"/>
  <c r="J168" i="3"/>
  <c r="L167" i="3"/>
  <c r="K167" i="3"/>
  <c r="J167" i="3"/>
  <c r="L166" i="3"/>
  <c r="K166" i="3"/>
  <c r="J166" i="3"/>
  <c r="L165" i="3"/>
  <c r="K165" i="3"/>
  <c r="J165" i="3"/>
  <c r="L164" i="3"/>
  <c r="K164" i="3"/>
  <c r="J164" i="3"/>
  <c r="L163" i="3"/>
  <c r="K163" i="3"/>
  <c r="J163" i="3"/>
  <c r="L162" i="3"/>
  <c r="K162" i="3"/>
  <c r="J162" i="3"/>
  <c r="L161" i="3"/>
  <c r="K161" i="3"/>
  <c r="J161" i="3"/>
  <c r="L160" i="3"/>
  <c r="K160" i="3"/>
  <c r="J160" i="3"/>
  <c r="L159" i="3"/>
  <c r="K159" i="3"/>
  <c r="J159" i="3"/>
  <c r="L158" i="3"/>
  <c r="K158" i="3"/>
  <c r="J158" i="3"/>
  <c r="L157" i="3"/>
  <c r="K157" i="3"/>
  <c r="J157" i="3"/>
  <c r="L156" i="3"/>
  <c r="K156" i="3"/>
  <c r="J156" i="3"/>
  <c r="L155" i="3"/>
  <c r="K155" i="3"/>
  <c r="J155" i="3"/>
  <c r="L154" i="3"/>
  <c r="K154" i="3"/>
  <c r="J154" i="3"/>
  <c r="L153" i="3"/>
  <c r="K153" i="3"/>
  <c r="J153" i="3"/>
  <c r="L152" i="3"/>
  <c r="K152" i="3"/>
  <c r="J152" i="3"/>
  <c r="L151" i="3"/>
  <c r="K151" i="3"/>
  <c r="J151" i="3"/>
  <c r="L150" i="3"/>
  <c r="K150" i="3"/>
  <c r="J150" i="3"/>
  <c r="L149" i="3"/>
  <c r="K149" i="3"/>
  <c r="J149" i="3"/>
  <c r="L148" i="3"/>
  <c r="K148" i="3"/>
  <c r="J148" i="3"/>
  <c r="L147" i="3"/>
  <c r="K147" i="3"/>
  <c r="J147" i="3"/>
  <c r="L146" i="3"/>
  <c r="K146" i="3"/>
  <c r="J146" i="3"/>
  <c r="L145" i="3"/>
  <c r="K145" i="3"/>
  <c r="J145" i="3"/>
  <c r="L144" i="3"/>
  <c r="K144" i="3"/>
  <c r="J144" i="3"/>
  <c r="L143" i="3"/>
  <c r="K143" i="3"/>
  <c r="J143" i="3"/>
  <c r="L142" i="3"/>
  <c r="K142" i="3"/>
  <c r="J142" i="3"/>
  <c r="L141" i="3"/>
  <c r="K141" i="3"/>
  <c r="J141" i="3"/>
  <c r="L140" i="3"/>
  <c r="K140" i="3"/>
  <c r="J140" i="3"/>
  <c r="L139" i="3"/>
  <c r="K139" i="3"/>
  <c r="J139" i="3"/>
  <c r="L138" i="3"/>
  <c r="K138" i="3"/>
  <c r="J138" i="3"/>
  <c r="L137" i="3"/>
  <c r="K137" i="3"/>
  <c r="J137" i="3"/>
  <c r="L136" i="3"/>
  <c r="K136" i="3"/>
  <c r="J136" i="3"/>
  <c r="L135" i="3"/>
  <c r="K135" i="3"/>
  <c r="J135" i="3"/>
  <c r="L134" i="3"/>
  <c r="K134" i="3"/>
  <c r="J134" i="3"/>
  <c r="L133" i="3"/>
  <c r="K133" i="3"/>
  <c r="J133" i="3"/>
  <c r="L132" i="3"/>
  <c r="K132" i="3"/>
  <c r="J132" i="3"/>
  <c r="L131" i="3"/>
  <c r="K131" i="3"/>
  <c r="J131" i="3"/>
  <c r="L130" i="3"/>
  <c r="K130" i="3"/>
  <c r="J130" i="3"/>
  <c r="L129" i="3"/>
  <c r="K129" i="3"/>
  <c r="J129" i="3"/>
  <c r="L128" i="3"/>
  <c r="K128" i="3"/>
  <c r="J128" i="3"/>
  <c r="L127" i="3"/>
  <c r="K127" i="3"/>
  <c r="J127" i="3"/>
  <c r="L126" i="3"/>
  <c r="K126" i="3"/>
  <c r="J126" i="3"/>
  <c r="L125" i="3"/>
  <c r="K125" i="3"/>
  <c r="J125" i="3"/>
  <c r="L124" i="3"/>
  <c r="K124" i="3"/>
  <c r="J124" i="3"/>
  <c r="L123" i="3"/>
  <c r="K123" i="3"/>
  <c r="J123" i="3"/>
  <c r="L122" i="3"/>
  <c r="K122" i="3"/>
  <c r="J122" i="3"/>
  <c r="L121" i="3"/>
  <c r="K121" i="3"/>
  <c r="J121" i="3"/>
  <c r="L120" i="3"/>
  <c r="K120" i="3"/>
  <c r="J120" i="3"/>
  <c r="L119" i="3"/>
  <c r="K119" i="3"/>
  <c r="J119" i="3"/>
  <c r="L118" i="3"/>
  <c r="K118" i="3"/>
  <c r="J118" i="3"/>
  <c r="L117" i="3"/>
  <c r="K117" i="3"/>
  <c r="J117" i="3"/>
  <c r="L116" i="3"/>
  <c r="K116" i="3"/>
  <c r="J116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10" i="3"/>
  <c r="K110" i="3"/>
  <c r="J110" i="3"/>
  <c r="L109" i="3"/>
  <c r="K109" i="3"/>
  <c r="J109" i="3"/>
  <c r="L108" i="3"/>
  <c r="K108" i="3"/>
  <c r="J108" i="3"/>
  <c r="L107" i="3"/>
  <c r="K107" i="3"/>
  <c r="J107" i="3"/>
  <c r="L106" i="3"/>
  <c r="K106" i="3"/>
  <c r="J106" i="3"/>
  <c r="L105" i="3"/>
  <c r="K105" i="3"/>
  <c r="J105" i="3"/>
  <c r="L104" i="3"/>
  <c r="K104" i="3"/>
  <c r="J104" i="3"/>
  <c r="L103" i="3"/>
  <c r="K103" i="3"/>
  <c r="J103" i="3"/>
  <c r="L102" i="3"/>
  <c r="K102" i="3"/>
  <c r="J102" i="3"/>
  <c r="L101" i="3"/>
  <c r="K101" i="3"/>
  <c r="J101" i="3"/>
  <c r="L100" i="3"/>
  <c r="K100" i="3"/>
  <c r="J100" i="3"/>
  <c r="L99" i="3"/>
  <c r="K99" i="3"/>
  <c r="J99" i="3"/>
  <c r="L98" i="3"/>
  <c r="K98" i="3"/>
  <c r="J98" i="3"/>
  <c r="L97" i="3"/>
  <c r="K97" i="3"/>
  <c r="J97" i="3"/>
  <c r="L96" i="3"/>
  <c r="K96" i="3"/>
  <c r="J96" i="3"/>
  <c r="L95" i="3"/>
  <c r="K95" i="3"/>
  <c r="J95" i="3"/>
  <c r="L94" i="3"/>
  <c r="K94" i="3"/>
  <c r="J94" i="3"/>
  <c r="L93" i="3"/>
  <c r="K93" i="3"/>
  <c r="J93" i="3"/>
  <c r="L92" i="3"/>
  <c r="K92" i="3"/>
  <c r="J92" i="3"/>
  <c r="L91" i="3"/>
  <c r="K91" i="3"/>
  <c r="J91" i="3"/>
  <c r="L90" i="3"/>
  <c r="K90" i="3"/>
  <c r="J90" i="3"/>
  <c r="L89" i="3"/>
  <c r="K89" i="3"/>
  <c r="J89" i="3"/>
  <c r="L88" i="3"/>
  <c r="K88" i="3"/>
  <c r="J88" i="3"/>
  <c r="L87" i="3"/>
  <c r="K87" i="3"/>
  <c r="J87" i="3"/>
  <c r="L86" i="3"/>
  <c r="K86" i="3"/>
  <c r="J86" i="3"/>
  <c r="L85" i="3"/>
  <c r="K85" i="3"/>
  <c r="J85" i="3"/>
  <c r="L84" i="3"/>
  <c r="K84" i="3"/>
  <c r="J84" i="3"/>
  <c r="L83" i="3"/>
  <c r="K83" i="3"/>
  <c r="J83" i="3"/>
  <c r="L82" i="3"/>
  <c r="K82" i="3"/>
  <c r="J82" i="3"/>
  <c r="L81" i="3"/>
  <c r="K81" i="3"/>
  <c r="J81" i="3"/>
  <c r="L80" i="3"/>
  <c r="K80" i="3"/>
  <c r="J80" i="3"/>
  <c r="L79" i="3"/>
  <c r="K79" i="3"/>
  <c r="J79" i="3"/>
  <c r="L78" i="3"/>
  <c r="K78" i="3"/>
  <c r="J78" i="3"/>
  <c r="L77" i="3"/>
  <c r="K77" i="3"/>
  <c r="J77" i="3"/>
  <c r="L76" i="3"/>
  <c r="K76" i="3"/>
  <c r="J76" i="3"/>
  <c r="L75" i="3"/>
  <c r="K75" i="3"/>
  <c r="J75" i="3"/>
  <c r="L74" i="3"/>
  <c r="K74" i="3"/>
  <c r="J74" i="3"/>
  <c r="L73" i="3"/>
  <c r="K73" i="3"/>
  <c r="J73" i="3"/>
  <c r="L72" i="3"/>
  <c r="K72" i="3"/>
  <c r="J72" i="3"/>
  <c r="L71" i="3"/>
  <c r="K71" i="3"/>
  <c r="J71" i="3"/>
  <c r="L70" i="3"/>
  <c r="K70" i="3"/>
  <c r="J70" i="3"/>
  <c r="L69" i="3"/>
  <c r="K69" i="3"/>
  <c r="J69" i="3"/>
  <c r="L68" i="3"/>
  <c r="K68" i="3"/>
  <c r="J68" i="3"/>
  <c r="L67" i="3"/>
  <c r="K67" i="3"/>
  <c r="J67" i="3"/>
  <c r="L66" i="3"/>
  <c r="K66" i="3"/>
  <c r="J66" i="3"/>
  <c r="L65" i="3"/>
  <c r="K65" i="3"/>
  <c r="J65" i="3"/>
  <c r="L64" i="3"/>
  <c r="K64" i="3"/>
  <c r="J64" i="3"/>
  <c r="L63" i="3"/>
  <c r="K63" i="3"/>
  <c r="J63" i="3"/>
  <c r="L62" i="3"/>
  <c r="K62" i="3"/>
  <c r="J62" i="3"/>
  <c r="L61" i="3"/>
  <c r="K61" i="3"/>
  <c r="J61" i="3"/>
  <c r="L60" i="3"/>
  <c r="K60" i="3"/>
  <c r="J60" i="3"/>
  <c r="L59" i="3"/>
  <c r="K59" i="3"/>
  <c r="J59" i="3"/>
  <c r="L58" i="3"/>
  <c r="K58" i="3"/>
  <c r="J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J38" i="3"/>
  <c r="L37" i="3"/>
  <c r="K37" i="3"/>
  <c r="J37" i="3"/>
  <c r="L36" i="3"/>
  <c r="K36" i="3"/>
  <c r="J36" i="3"/>
  <c r="L35" i="3"/>
  <c r="K35" i="3"/>
  <c r="J35" i="3"/>
  <c r="L34" i="3"/>
  <c r="K34" i="3"/>
  <c r="J34" i="3"/>
  <c r="L33" i="3"/>
  <c r="K33" i="3"/>
  <c r="J33" i="3"/>
  <c r="L32" i="3"/>
  <c r="K32" i="3"/>
  <c r="J32" i="3"/>
  <c r="L31" i="3"/>
  <c r="K31" i="3"/>
  <c r="J31" i="3"/>
  <c r="L30" i="3"/>
  <c r="K30" i="3"/>
  <c r="J30" i="3"/>
  <c r="L29" i="3"/>
  <c r="K29" i="3"/>
  <c r="J29" i="3"/>
  <c r="L28" i="3"/>
  <c r="K28" i="3"/>
  <c r="J28" i="3"/>
  <c r="L27" i="3"/>
  <c r="K27" i="3"/>
  <c r="J27" i="3"/>
  <c r="L26" i="3"/>
  <c r="K26" i="3"/>
  <c r="J26" i="3"/>
  <c r="L25" i="3"/>
  <c r="K25" i="3"/>
  <c r="J25" i="3"/>
  <c r="L24" i="3"/>
  <c r="K24" i="3"/>
  <c r="J24" i="3"/>
  <c r="L23" i="3"/>
  <c r="K23" i="3"/>
  <c r="J23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L14" i="3"/>
  <c r="K14" i="3"/>
  <c r="J14" i="3"/>
  <c r="L13" i="3"/>
  <c r="K13" i="3"/>
  <c r="J13" i="3"/>
  <c r="L12" i="3"/>
  <c r="K12" i="3"/>
  <c r="J12" i="3"/>
  <c r="L11" i="3"/>
  <c r="K11" i="3"/>
  <c r="J11" i="3"/>
  <c r="L10" i="3"/>
  <c r="K10" i="3"/>
  <c r="J10" i="3"/>
  <c r="L9" i="3"/>
  <c r="K9" i="3"/>
  <c r="J9" i="3"/>
  <c r="L8" i="3"/>
  <c r="K8" i="3"/>
  <c r="J8" i="3"/>
  <c r="L7" i="3"/>
  <c r="K7" i="3"/>
  <c r="J7" i="3"/>
  <c r="L6" i="3"/>
  <c r="K6" i="3"/>
  <c r="J6" i="3"/>
  <c r="A201" i="2"/>
  <c r="N201" i="2" s="1"/>
  <c r="A200" i="2"/>
  <c r="L200" i="2" s="1"/>
  <c r="A199" i="2"/>
  <c r="N199" i="2" s="1"/>
  <c r="A198" i="2"/>
  <c r="F198" i="2" s="1"/>
  <c r="A197" i="2"/>
  <c r="O197" i="2" s="1"/>
  <c r="A196" i="2"/>
  <c r="I196" i="2" s="1"/>
  <c r="A195" i="2"/>
  <c r="J195" i="2" s="1"/>
  <c r="A194" i="2"/>
  <c r="A193" i="2"/>
  <c r="N193" i="2" s="1"/>
  <c r="A192" i="2"/>
  <c r="O192" i="2" s="1"/>
  <c r="A191" i="2"/>
  <c r="O191" i="2" s="1"/>
  <c r="A190" i="2"/>
  <c r="E190" i="2" s="1"/>
  <c r="A189" i="2"/>
  <c r="O189" i="2" s="1"/>
  <c r="A188" i="2"/>
  <c r="O188" i="2" s="1"/>
  <c r="A187" i="2"/>
  <c r="B187" i="2" s="1"/>
  <c r="A186" i="2"/>
  <c r="A185" i="2"/>
  <c r="A184" i="2"/>
  <c r="O184" i="2" s="1"/>
  <c r="A183" i="2"/>
  <c r="K183" i="2" s="1"/>
  <c r="A182" i="2"/>
  <c r="M182" i="2" s="1"/>
  <c r="A181" i="2"/>
  <c r="I181" i="2" s="1"/>
  <c r="A180" i="2"/>
  <c r="A179" i="2"/>
  <c r="K179" i="2" s="1"/>
  <c r="A178" i="2"/>
  <c r="N178" i="2" s="1"/>
  <c r="A177" i="2"/>
  <c r="A176" i="2"/>
  <c r="A175" i="2"/>
  <c r="O175" i="2" s="1"/>
  <c r="A174" i="2"/>
  <c r="A173" i="2"/>
  <c r="O173" i="2" s="1"/>
  <c r="A172" i="2"/>
  <c r="A171" i="2"/>
  <c r="B171" i="2" s="1"/>
  <c r="A170" i="2"/>
  <c r="O170" i="2" s="1"/>
  <c r="A169" i="2"/>
  <c r="O169" i="2" s="1"/>
  <c r="A168" i="2"/>
  <c r="J168" i="2" s="1"/>
  <c r="A167" i="2"/>
  <c r="O167" i="2" s="1"/>
  <c r="A166" i="2"/>
  <c r="E166" i="2" s="1"/>
  <c r="A165" i="2"/>
  <c r="O165" i="2" s="1"/>
  <c r="A164" i="2"/>
  <c r="O164" i="2" s="1"/>
  <c r="A163" i="2"/>
  <c r="A162" i="2"/>
  <c r="E162" i="2" s="1"/>
  <c r="A161" i="2"/>
  <c r="A160" i="2"/>
  <c r="O160" i="2" s="1"/>
  <c r="A159" i="2"/>
  <c r="M159" i="2" s="1"/>
  <c r="A158" i="2"/>
  <c r="M158" i="2" s="1"/>
  <c r="A157" i="2"/>
  <c r="A156" i="2"/>
  <c r="O156" i="2" s="1"/>
  <c r="A155" i="2"/>
  <c r="A154" i="2"/>
  <c r="J154" i="2" s="1"/>
  <c r="A153" i="2"/>
  <c r="N153" i="2" s="1"/>
  <c r="A152" i="2"/>
  <c r="A151" i="2"/>
  <c r="G151" i="2" s="1"/>
  <c r="A150" i="2"/>
  <c r="M150" i="2" s="1"/>
  <c r="A149" i="2"/>
  <c r="H149" i="2" s="1"/>
  <c r="A148" i="2"/>
  <c r="O148" i="2" s="1"/>
  <c r="A147" i="2"/>
  <c r="A146" i="2"/>
  <c r="N146" i="2" s="1"/>
  <c r="A145" i="2"/>
  <c r="A144" i="2"/>
  <c r="L144" i="2" s="1"/>
  <c r="A143" i="2"/>
  <c r="K143" i="2" s="1"/>
  <c r="A142" i="2"/>
  <c r="A141" i="2"/>
  <c r="C141" i="2" s="1"/>
  <c r="A140" i="2"/>
  <c r="A139" i="2"/>
  <c r="I139" i="2" s="1"/>
  <c r="A138" i="2"/>
  <c r="O138" i="2" s="1"/>
  <c r="A137" i="2"/>
  <c r="N137" i="2" s="1"/>
  <c r="A136" i="2"/>
  <c r="A135" i="2"/>
  <c r="I135" i="2" s="1"/>
  <c r="A134" i="2"/>
  <c r="O134" i="2" s="1"/>
  <c r="A133" i="2"/>
  <c r="O133" i="2" s="1"/>
  <c r="J132" i="2"/>
  <c r="I132" i="2"/>
  <c r="A132" i="2"/>
  <c r="O132" i="2" s="1"/>
  <c r="A131" i="2"/>
  <c r="K131" i="2" s="1"/>
  <c r="A130" i="2"/>
  <c r="N130" i="2" s="1"/>
  <c r="A129" i="2"/>
  <c r="O129" i="2" s="1"/>
  <c r="A128" i="2"/>
  <c r="J128" i="2" s="1"/>
  <c r="A127" i="2"/>
  <c r="D127" i="2" s="1"/>
  <c r="A126" i="2"/>
  <c r="A125" i="2"/>
  <c r="B125" i="2" s="1"/>
  <c r="A124" i="2"/>
  <c r="I124" i="2" s="1"/>
  <c r="A123" i="2"/>
  <c r="A122" i="2"/>
  <c r="D122" i="2" s="1"/>
  <c r="A121" i="2"/>
  <c r="N121" i="2" s="1"/>
  <c r="A120" i="2"/>
  <c r="K120" i="2" s="1"/>
  <c r="A119" i="2"/>
  <c r="C119" i="2" s="1"/>
  <c r="A118" i="2"/>
  <c r="O118" i="2" s="1"/>
  <c r="A117" i="2"/>
  <c r="E117" i="2" s="1"/>
  <c r="A116" i="2"/>
  <c r="M116" i="2" s="1"/>
  <c r="A115" i="2"/>
  <c r="N115" i="2" s="1"/>
  <c r="A114" i="2"/>
  <c r="A113" i="2"/>
  <c r="D113" i="2" s="1"/>
  <c r="A112" i="2"/>
  <c r="A111" i="2"/>
  <c r="B111" i="2" s="1"/>
  <c r="A110" i="2"/>
  <c r="L110" i="2" s="1"/>
  <c r="A109" i="2"/>
  <c r="A108" i="2"/>
  <c r="L108" i="2" s="1"/>
  <c r="A107" i="2"/>
  <c r="N107" i="2" s="1"/>
  <c r="A106" i="2"/>
  <c r="D106" i="2" s="1"/>
  <c r="A105" i="2"/>
  <c r="N105" i="2" s="1"/>
  <c r="A104" i="2"/>
  <c r="M104" i="2" s="1"/>
  <c r="A103" i="2"/>
  <c r="L103" i="2" s="1"/>
  <c r="A102" i="2"/>
  <c r="A101" i="2"/>
  <c r="H101" i="2" s="1"/>
  <c r="A100" i="2"/>
  <c r="K100" i="2" s="1"/>
  <c r="A99" i="2"/>
  <c r="O99" i="2" s="1"/>
  <c r="A98" i="2"/>
  <c r="D98" i="2" s="1"/>
  <c r="A97" i="2"/>
  <c r="I97" i="2" s="1"/>
  <c r="A96" i="2"/>
  <c r="M96" i="2" s="1"/>
  <c r="A95" i="2"/>
  <c r="A94" i="2"/>
  <c r="E94" i="2" s="1"/>
  <c r="A93" i="2"/>
  <c r="C93" i="2" s="1"/>
  <c r="A92" i="2"/>
  <c r="E92" i="2" s="1"/>
  <c r="A91" i="2"/>
  <c r="B91" i="2" s="1"/>
  <c r="A90" i="2"/>
  <c r="N90" i="2" s="1"/>
  <c r="A89" i="2"/>
  <c r="A88" i="2"/>
  <c r="K88" i="2" s="1"/>
  <c r="A87" i="2"/>
  <c r="N87" i="2" s="1"/>
  <c r="A86" i="2"/>
  <c r="A85" i="2"/>
  <c r="O85" i="2" s="1"/>
  <c r="A84" i="2"/>
  <c r="A83" i="2"/>
  <c r="B83" i="2" s="1"/>
  <c r="A82" i="2"/>
  <c r="N82" i="2" s="1"/>
  <c r="A81" i="2"/>
  <c r="O81" i="2" s="1"/>
  <c r="A80" i="2"/>
  <c r="M80" i="2" s="1"/>
  <c r="A79" i="2"/>
  <c r="O79" i="2" s="1"/>
  <c r="A78" i="2"/>
  <c r="O78" i="2" s="1"/>
  <c r="A77" i="2"/>
  <c r="O77" i="2" s="1"/>
  <c r="A76" i="2"/>
  <c r="A75" i="2"/>
  <c r="N75" i="2" s="1"/>
  <c r="A74" i="2"/>
  <c r="N74" i="2" s="1"/>
  <c r="A73" i="2"/>
  <c r="N73" i="2" s="1"/>
  <c r="A72" i="2"/>
  <c r="K72" i="2" s="1"/>
  <c r="A71" i="2"/>
  <c r="A70" i="2"/>
  <c r="O70" i="2" s="1"/>
  <c r="A69" i="2"/>
  <c r="F69" i="2" s="1"/>
  <c r="A68" i="2"/>
  <c r="A67" i="2"/>
  <c r="G67" i="2" s="1"/>
  <c r="A66" i="2"/>
  <c r="O66" i="2" s="1"/>
  <c r="A65" i="2"/>
  <c r="O65" i="2" s="1"/>
  <c r="A64" i="2"/>
  <c r="A63" i="2"/>
  <c r="K63" i="2" s="1"/>
  <c r="A62" i="2"/>
  <c r="A61" i="2"/>
  <c r="N61" i="2" s="1"/>
  <c r="A60" i="2"/>
  <c r="M60" i="2" s="1"/>
  <c r="A59" i="2"/>
  <c r="N59" i="2" s="1"/>
  <c r="A58" i="2"/>
  <c r="B58" i="2" s="1"/>
  <c r="A57" i="2"/>
  <c r="A56" i="2"/>
  <c r="A55" i="2"/>
  <c r="M55" i="2" s="1"/>
  <c r="A54" i="2"/>
  <c r="B54" i="2" s="1"/>
  <c r="A53" i="2"/>
  <c r="A52" i="2"/>
  <c r="M52" i="2" s="1"/>
  <c r="A51" i="2"/>
  <c r="A50" i="2"/>
  <c r="E50" i="2" s="1"/>
  <c r="A49" i="2"/>
  <c r="N49" i="2" s="1"/>
  <c r="A48" i="2"/>
  <c r="E48" i="2" s="1"/>
  <c r="A47" i="2"/>
  <c r="M47" i="2" s="1"/>
  <c r="A46" i="2"/>
  <c r="N46" i="2" s="1"/>
  <c r="A45" i="2"/>
  <c r="N45" i="2" s="1"/>
  <c r="A44" i="2"/>
  <c r="E44" i="2" s="1"/>
  <c r="A43" i="2"/>
  <c r="N43" i="2" s="1"/>
  <c r="A42" i="2"/>
  <c r="B42" i="2" s="1"/>
  <c r="A41" i="2"/>
  <c r="H41" i="2" s="1"/>
  <c r="A40" i="2"/>
  <c r="A39" i="2"/>
  <c r="H39" i="2" s="1"/>
  <c r="A38" i="2"/>
  <c r="O38" i="2" s="1"/>
  <c r="A37" i="2"/>
  <c r="B37" i="2" s="1"/>
  <c r="A36" i="2"/>
  <c r="A35" i="2"/>
  <c r="N35" i="2" s="1"/>
  <c r="A34" i="2"/>
  <c r="A33" i="2"/>
  <c r="M33" i="2" s="1"/>
  <c r="A32" i="2"/>
  <c r="E32" i="2" s="1"/>
  <c r="A31" i="2"/>
  <c r="I31" i="2" s="1"/>
  <c r="A30" i="2"/>
  <c r="A29" i="2"/>
  <c r="O29" i="2" s="1"/>
  <c r="A28" i="2"/>
  <c r="M28" i="2" s="1"/>
  <c r="A27" i="2"/>
  <c r="O27" i="2" s="1"/>
  <c r="L26" i="2"/>
  <c r="A26" i="2"/>
  <c r="N26" i="2" s="1"/>
  <c r="A25" i="2"/>
  <c r="N25" i="2" s="1"/>
  <c r="A24" i="2"/>
  <c r="M24" i="2" s="1"/>
  <c r="A23" i="2"/>
  <c r="N23" i="2" s="1"/>
  <c r="A22" i="2"/>
  <c r="G22" i="2" s="1"/>
  <c r="A21" i="2"/>
  <c r="A20" i="2"/>
  <c r="I20" i="2" s="1"/>
  <c r="A19" i="2"/>
  <c r="G19" i="2" s="1"/>
  <c r="A18" i="2"/>
  <c r="N18" i="2" s="1"/>
  <c r="A17" i="2"/>
  <c r="N17" i="2" s="1"/>
  <c r="A16" i="2"/>
  <c r="K16" i="2" s="1"/>
  <c r="N15" i="2"/>
  <c r="A15" i="2"/>
  <c r="J15" i="2" s="1"/>
  <c r="A14" i="2"/>
  <c r="O14" i="2" s="1"/>
  <c r="A13" i="2"/>
  <c r="A12" i="2"/>
  <c r="M12" i="2" s="1"/>
  <c r="A11" i="2"/>
  <c r="A10" i="2"/>
  <c r="A9" i="2"/>
  <c r="A8" i="2"/>
  <c r="L8" i="2" s="1"/>
  <c r="A7" i="2"/>
  <c r="A6" i="2"/>
  <c r="M6" i="2" s="1"/>
  <c r="A5" i="2"/>
  <c r="A4" i="2"/>
  <c r="M4" i="2" s="1"/>
  <c r="A3" i="2"/>
  <c r="E23" i="1"/>
  <c r="B21" i="1"/>
  <c r="E19" i="1"/>
  <c r="E18" i="1"/>
  <c r="B12" i="1"/>
  <c r="E6" i="1"/>
  <c r="B6" i="1"/>
  <c r="B9" i="1" s="1"/>
  <c r="I187" i="2" l="1"/>
  <c r="J187" i="2"/>
  <c r="H132" i="2"/>
  <c r="L39" i="2"/>
  <c r="J164" i="2"/>
  <c r="M39" i="2"/>
  <c r="K164" i="2"/>
  <c r="L164" i="2"/>
  <c r="N39" i="2"/>
  <c r="L187" i="2"/>
  <c r="K15" i="2"/>
  <c r="L15" i="2"/>
  <c r="J39" i="2"/>
  <c r="M127" i="2"/>
  <c r="N81" i="2"/>
  <c r="N127" i="2"/>
  <c r="M15" i="2"/>
  <c r="K39" i="2"/>
  <c r="O127" i="2"/>
  <c r="K132" i="2"/>
  <c r="H187" i="2"/>
  <c r="H25" i="2"/>
  <c r="L18" i="2"/>
  <c r="M18" i="2"/>
  <c r="D26" i="2"/>
  <c r="D132" i="2"/>
  <c r="G25" i="2"/>
  <c r="E26" i="2"/>
  <c r="E132" i="2"/>
  <c r="F25" i="2"/>
  <c r="N169" i="2"/>
  <c r="G26" i="2"/>
  <c r="F132" i="2"/>
  <c r="J148" i="2"/>
  <c r="H32" i="2"/>
  <c r="B47" i="2"/>
  <c r="F94" i="2"/>
  <c r="L115" i="2"/>
  <c r="K148" i="2"/>
  <c r="L32" i="2"/>
  <c r="G132" i="2"/>
  <c r="L148" i="2"/>
  <c r="K187" i="2"/>
  <c r="M162" i="2"/>
  <c r="F18" i="2"/>
  <c r="E61" i="2"/>
  <c r="D81" i="2"/>
  <c r="L162" i="2"/>
  <c r="F81" i="2"/>
  <c r="D169" i="2"/>
  <c r="L43" i="2"/>
  <c r="I61" i="2"/>
  <c r="H81" i="2"/>
  <c r="G100" i="2"/>
  <c r="N133" i="2"/>
  <c r="G169" i="2"/>
  <c r="B61" i="2"/>
  <c r="E81" i="2"/>
  <c r="N173" i="2"/>
  <c r="G18" i="2"/>
  <c r="J18" i="2"/>
  <c r="D25" i="2"/>
  <c r="I81" i="2"/>
  <c r="M100" i="2"/>
  <c r="E164" i="2"/>
  <c r="H169" i="2"/>
  <c r="C187" i="2"/>
  <c r="K192" i="2"/>
  <c r="I173" i="2"/>
  <c r="M173" i="2"/>
  <c r="E18" i="2"/>
  <c r="D24" i="2"/>
  <c r="C15" i="2"/>
  <c r="K18" i="2"/>
  <c r="E25" i="2"/>
  <c r="I39" i="2"/>
  <c r="J81" i="2"/>
  <c r="I164" i="2"/>
  <c r="I169" i="2"/>
  <c r="G187" i="2"/>
  <c r="L192" i="2"/>
  <c r="E9" i="1"/>
  <c r="B190" i="2"/>
  <c r="E28" i="2"/>
  <c r="C158" i="2"/>
  <c r="F28" i="2"/>
  <c r="N197" i="2"/>
  <c r="D50" i="2"/>
  <c r="F188" i="2"/>
  <c r="B143" i="2"/>
  <c r="L21" i="6"/>
  <c r="C75" i="2"/>
  <c r="N22" i="2"/>
  <c r="G28" i="2"/>
  <c r="G59" i="2"/>
  <c r="O90" i="2"/>
  <c r="F20" i="2"/>
  <c r="B26" i="2"/>
  <c r="J28" i="2"/>
  <c r="K106" i="2"/>
  <c r="C133" i="2"/>
  <c r="G188" i="2"/>
  <c r="J6" i="2"/>
  <c r="L18" i="6"/>
  <c r="J22" i="2"/>
  <c r="N6" i="2"/>
  <c r="K22" i="2"/>
  <c r="M22" i="2"/>
  <c r="E188" i="2"/>
  <c r="E20" i="2"/>
  <c r="G106" i="2"/>
  <c r="B133" i="2"/>
  <c r="N175" i="2"/>
  <c r="O190" i="2"/>
  <c r="J20" i="2"/>
  <c r="C26" i="2"/>
  <c r="O82" i="2"/>
  <c r="L106" i="2"/>
  <c r="J115" i="2"/>
  <c r="D133" i="2"/>
  <c r="N138" i="2"/>
  <c r="H188" i="2"/>
  <c r="I65" i="2"/>
  <c r="G121" i="2"/>
  <c r="E106" i="2"/>
  <c r="J190" i="2"/>
  <c r="M106" i="2"/>
  <c r="I188" i="2"/>
  <c r="B74" i="2"/>
  <c r="J96" i="2"/>
  <c r="E197" i="2"/>
  <c r="L20" i="2"/>
  <c r="E70" i="2"/>
  <c r="N106" i="2"/>
  <c r="F178" i="2"/>
  <c r="M90" i="2"/>
  <c r="L184" i="2"/>
  <c r="K20" i="2"/>
  <c r="F133" i="2"/>
  <c r="H133" i="2"/>
  <c r="D148" i="2"/>
  <c r="F153" i="2"/>
  <c r="J188" i="2"/>
  <c r="M20" i="2"/>
  <c r="B25" i="2"/>
  <c r="F26" i="2"/>
  <c r="C94" i="2"/>
  <c r="I133" i="2"/>
  <c r="H148" i="2"/>
  <c r="B169" i="2"/>
  <c r="E173" i="2"/>
  <c r="K188" i="2"/>
  <c r="L22" i="2"/>
  <c r="C25" i="2"/>
  <c r="M133" i="2"/>
  <c r="I148" i="2"/>
  <c r="C169" i="2"/>
  <c r="F173" i="2"/>
  <c r="L188" i="2"/>
  <c r="L17" i="6"/>
  <c r="L29" i="6"/>
  <c r="L19" i="6"/>
  <c r="L15" i="6"/>
  <c r="L41" i="6"/>
  <c r="L22" i="6"/>
  <c r="L37" i="6"/>
  <c r="L33" i="6"/>
  <c r="L42" i="6"/>
  <c r="L38" i="6"/>
  <c r="L10" i="6"/>
  <c r="L34" i="6"/>
  <c r="L14" i="6"/>
  <c r="L25" i="6"/>
  <c r="L30" i="6"/>
  <c r="L44" i="6"/>
  <c r="N50" i="2"/>
  <c r="F50" i="2"/>
  <c r="L50" i="2"/>
  <c r="G50" i="2"/>
  <c r="O172" i="2"/>
  <c r="D172" i="2"/>
  <c r="L172" i="2"/>
  <c r="H172" i="2"/>
  <c r="K172" i="2"/>
  <c r="F172" i="2"/>
  <c r="J172" i="2"/>
  <c r="G172" i="2"/>
  <c r="I172" i="2"/>
  <c r="E172" i="2"/>
  <c r="O89" i="2"/>
  <c r="I89" i="2"/>
  <c r="H89" i="2"/>
  <c r="G89" i="2"/>
  <c r="N89" i="2"/>
  <c r="O71" i="2"/>
  <c r="K71" i="2"/>
  <c r="G71" i="2"/>
  <c r="D97" i="2"/>
  <c r="H163" i="2"/>
  <c r="J163" i="2"/>
  <c r="B163" i="2"/>
  <c r="O163" i="2"/>
  <c r="N163" i="2"/>
  <c r="M163" i="2"/>
  <c r="L163" i="2"/>
  <c r="K163" i="2"/>
  <c r="G57" i="2"/>
  <c r="D57" i="2"/>
  <c r="B57" i="2"/>
  <c r="M57" i="2"/>
  <c r="I76" i="2"/>
  <c r="E76" i="2"/>
  <c r="F76" i="2"/>
  <c r="N147" i="2"/>
  <c r="G147" i="2"/>
  <c r="L147" i="2"/>
  <c r="O147" i="2"/>
  <c r="K147" i="2"/>
  <c r="J147" i="2"/>
  <c r="M147" i="2"/>
  <c r="H147" i="2"/>
  <c r="B33" i="2"/>
  <c r="F136" i="2"/>
  <c r="J136" i="2"/>
  <c r="E136" i="2"/>
  <c r="C30" i="2"/>
  <c r="E30" i="2"/>
  <c r="M95" i="2"/>
  <c r="H95" i="2"/>
  <c r="L95" i="2"/>
  <c r="I95" i="2"/>
  <c r="J95" i="2"/>
  <c r="D95" i="2"/>
  <c r="C95" i="2"/>
  <c r="G95" i="2"/>
  <c r="B161" i="2"/>
  <c r="D161" i="2"/>
  <c r="I161" i="2"/>
  <c r="O161" i="2"/>
  <c r="N161" i="2"/>
  <c r="H161" i="2"/>
  <c r="G161" i="2"/>
  <c r="E161" i="2"/>
  <c r="M161" i="2"/>
  <c r="D76" i="2"/>
  <c r="K140" i="2"/>
  <c r="J140" i="2"/>
  <c r="I140" i="2"/>
  <c r="H140" i="2"/>
  <c r="C161" i="2"/>
  <c r="K83" i="2"/>
  <c r="N83" i="2"/>
  <c r="L83" i="2"/>
  <c r="M83" i="2"/>
  <c r="D83" i="2"/>
  <c r="O83" i="2"/>
  <c r="N155" i="2"/>
  <c r="K155" i="2"/>
  <c r="I155" i="2"/>
  <c r="E97" i="2"/>
  <c r="O123" i="2"/>
  <c r="B123" i="2"/>
  <c r="F89" i="2"/>
  <c r="B185" i="2"/>
  <c r="O185" i="2"/>
  <c r="N185" i="2"/>
  <c r="G185" i="2"/>
  <c r="C185" i="2"/>
  <c r="M185" i="2"/>
  <c r="D185" i="2"/>
  <c r="I185" i="2"/>
  <c r="F185" i="2"/>
  <c r="E185" i="2"/>
  <c r="H185" i="2"/>
  <c r="B95" i="2"/>
  <c r="C147" i="2"/>
  <c r="O152" i="2"/>
  <c r="I152" i="2"/>
  <c r="L152" i="2"/>
  <c r="K152" i="2"/>
  <c r="G152" i="2"/>
  <c r="F152" i="2"/>
  <c r="E152" i="2"/>
  <c r="J152" i="2"/>
  <c r="H152" i="2"/>
  <c r="O176" i="2"/>
  <c r="I176" i="2"/>
  <c r="E176" i="2"/>
  <c r="L176" i="2"/>
  <c r="K176" i="2"/>
  <c r="J176" i="2"/>
  <c r="B186" i="2"/>
  <c r="O186" i="2"/>
  <c r="D186" i="2"/>
  <c r="N186" i="2"/>
  <c r="F186" i="2"/>
  <c r="M186" i="2"/>
  <c r="J186" i="2"/>
  <c r="L186" i="2"/>
  <c r="K186" i="2"/>
  <c r="E186" i="2"/>
  <c r="G140" i="2"/>
  <c r="C186" i="2"/>
  <c r="D160" i="2"/>
  <c r="L16" i="2"/>
  <c r="B93" i="2"/>
  <c r="E160" i="2"/>
  <c r="D46" i="2"/>
  <c r="D72" i="2"/>
  <c r="D146" i="2"/>
  <c r="H27" i="2"/>
  <c r="D49" i="2"/>
  <c r="G69" i="2"/>
  <c r="D93" i="2"/>
  <c r="I149" i="2"/>
  <c r="F184" i="2"/>
  <c r="C195" i="2"/>
  <c r="K23" i="2"/>
  <c r="H93" i="2"/>
  <c r="C115" i="2"/>
  <c r="J119" i="2"/>
  <c r="M130" i="2"/>
  <c r="L132" i="2"/>
  <c r="K134" i="2"/>
  <c r="J146" i="2"/>
  <c r="M149" i="2"/>
  <c r="J156" i="2"/>
  <c r="H160" i="2"/>
  <c r="B170" i="2"/>
  <c r="G175" i="2"/>
  <c r="G184" i="2"/>
  <c r="M187" i="2"/>
  <c r="F192" i="2"/>
  <c r="G195" i="2"/>
  <c r="L23" i="6"/>
  <c r="L27" i="6"/>
  <c r="L31" i="6"/>
  <c r="L35" i="6"/>
  <c r="L39" i="6"/>
  <c r="L46" i="6"/>
  <c r="B49" i="2"/>
  <c r="D103" i="2"/>
  <c r="D23" i="2"/>
  <c r="G103" i="2"/>
  <c r="D124" i="2"/>
  <c r="B195" i="2"/>
  <c r="I19" i="2"/>
  <c r="F41" i="2"/>
  <c r="G72" i="2"/>
  <c r="C98" i="2"/>
  <c r="B115" i="2"/>
  <c r="I156" i="2"/>
  <c r="D14" i="2"/>
  <c r="B18" i="2"/>
  <c r="K19" i="2"/>
  <c r="C22" i="2"/>
  <c r="M23" i="2"/>
  <c r="M25" i="2"/>
  <c r="D31" i="2"/>
  <c r="N41" i="2"/>
  <c r="L46" i="2"/>
  <c r="F49" i="2"/>
  <c r="E52" i="2"/>
  <c r="N63" i="2"/>
  <c r="I69" i="2"/>
  <c r="C73" i="2"/>
  <c r="G82" i="2"/>
  <c r="F90" i="2"/>
  <c r="N93" i="2"/>
  <c r="J98" i="2"/>
  <c r="O105" i="2"/>
  <c r="M107" i="2"/>
  <c r="D115" i="2"/>
  <c r="L134" i="2"/>
  <c r="D138" i="2"/>
  <c r="K146" i="2"/>
  <c r="N149" i="2"/>
  <c r="K156" i="2"/>
  <c r="I160" i="2"/>
  <c r="F168" i="2"/>
  <c r="K170" i="2"/>
  <c r="H175" i="2"/>
  <c r="H184" i="2"/>
  <c r="N187" i="2"/>
  <c r="B189" i="2"/>
  <c r="G192" i="2"/>
  <c r="L12" i="6"/>
  <c r="L43" i="6"/>
  <c r="L50" i="6"/>
  <c r="L48" i="6"/>
  <c r="B146" i="2"/>
  <c r="J191" i="2"/>
  <c r="C23" i="2"/>
  <c r="B46" i="2"/>
  <c r="C146" i="2"/>
  <c r="C49" i="2"/>
  <c r="C69" i="2"/>
  <c r="B98" i="2"/>
  <c r="E156" i="2"/>
  <c r="E184" i="2"/>
  <c r="D192" i="2"/>
  <c r="J46" i="2"/>
  <c r="E146" i="2"/>
  <c r="G160" i="2"/>
  <c r="E192" i="2"/>
  <c r="J19" i="2"/>
  <c r="I25" i="2"/>
  <c r="K27" i="2"/>
  <c r="C31" i="2"/>
  <c r="K46" i="2"/>
  <c r="E49" i="2"/>
  <c r="M63" i="2"/>
  <c r="H69" i="2"/>
  <c r="B82" i="2"/>
  <c r="L107" i="2"/>
  <c r="D18" i="2"/>
  <c r="L19" i="2"/>
  <c r="D22" i="2"/>
  <c r="M31" i="2"/>
  <c r="M46" i="2"/>
  <c r="G49" i="2"/>
  <c r="J69" i="2"/>
  <c r="K82" i="2"/>
  <c r="L90" i="2"/>
  <c r="G115" i="2"/>
  <c r="M134" i="2"/>
  <c r="F138" i="2"/>
  <c r="L146" i="2"/>
  <c r="O149" i="2"/>
  <c r="L156" i="2"/>
  <c r="J160" i="2"/>
  <c r="L170" i="2"/>
  <c r="I175" i="2"/>
  <c r="I184" i="2"/>
  <c r="O187" i="2"/>
  <c r="H192" i="2"/>
  <c r="F129" i="2"/>
  <c r="D184" i="2"/>
  <c r="M16" i="2"/>
  <c r="H63" i="2"/>
  <c r="C107" i="2"/>
  <c r="F160" i="2"/>
  <c r="L11" i="6"/>
  <c r="J23" i="2"/>
  <c r="B31" i="2"/>
  <c r="O19" i="2"/>
  <c r="H49" i="2"/>
  <c r="M69" i="2"/>
  <c r="L82" i="2"/>
  <c r="H115" i="2"/>
  <c r="N134" i="2"/>
  <c r="M146" i="2"/>
  <c r="K160" i="2"/>
  <c r="N170" i="2"/>
  <c r="L175" i="2"/>
  <c r="J184" i="2"/>
  <c r="I192" i="2"/>
  <c r="L24" i="6"/>
  <c r="L28" i="6"/>
  <c r="D149" i="2"/>
  <c r="L49" i="6"/>
  <c r="L63" i="2"/>
  <c r="K107" i="2"/>
  <c r="B134" i="2"/>
  <c r="M49" i="2"/>
  <c r="M82" i="2"/>
  <c r="I115" i="2"/>
  <c r="O146" i="2"/>
  <c r="L160" i="2"/>
  <c r="M175" i="2"/>
  <c r="K184" i="2"/>
  <c r="J192" i="2"/>
  <c r="L9" i="6"/>
  <c r="L47" i="6"/>
  <c r="E20" i="1"/>
  <c r="E8" i="1"/>
  <c r="N145" i="2"/>
  <c r="O145" i="2"/>
  <c r="M145" i="2"/>
  <c r="H145" i="2"/>
  <c r="G145" i="2"/>
  <c r="E145" i="2"/>
  <c r="N109" i="2"/>
  <c r="J109" i="2"/>
  <c r="I109" i="2"/>
  <c r="H109" i="2"/>
  <c r="D109" i="2"/>
  <c r="C109" i="2"/>
  <c r="B109" i="2"/>
  <c r="F12" i="2"/>
  <c r="C17" i="2"/>
  <c r="B35" i="2"/>
  <c r="N42" i="2"/>
  <c r="M42" i="2"/>
  <c r="L42" i="2"/>
  <c r="J42" i="2"/>
  <c r="C54" i="2"/>
  <c r="N58" i="2"/>
  <c r="L58" i="2"/>
  <c r="J67" i="2"/>
  <c r="I67" i="2"/>
  <c r="H67" i="2"/>
  <c r="D67" i="2"/>
  <c r="C67" i="2"/>
  <c r="B67" i="2"/>
  <c r="H91" i="2"/>
  <c r="F109" i="2"/>
  <c r="J114" i="2"/>
  <c r="E114" i="2"/>
  <c r="B117" i="2"/>
  <c r="E120" i="2"/>
  <c r="D128" i="2"/>
  <c r="B131" i="2"/>
  <c r="C145" i="2"/>
  <c r="E150" i="2"/>
  <c r="O171" i="2"/>
  <c r="N171" i="2"/>
  <c r="L171" i="2"/>
  <c r="J171" i="2"/>
  <c r="G171" i="2"/>
  <c r="C171" i="2"/>
  <c r="E198" i="2"/>
  <c r="O101" i="2"/>
  <c r="N101" i="2"/>
  <c r="J101" i="2"/>
  <c r="K44" i="2"/>
  <c r="J44" i="2"/>
  <c r="I44" i="2"/>
  <c r="G44" i="2"/>
  <c r="M48" i="2"/>
  <c r="L48" i="2"/>
  <c r="I48" i="2"/>
  <c r="G48" i="2"/>
  <c r="D44" i="2"/>
  <c r="K66" i="2"/>
  <c r="L182" i="2"/>
  <c r="K182" i="2"/>
  <c r="C182" i="2"/>
  <c r="D198" i="2"/>
  <c r="I40" i="2"/>
  <c r="H40" i="2"/>
  <c r="G40" i="2"/>
  <c r="D40" i="2"/>
  <c r="N102" i="2"/>
  <c r="F102" i="2"/>
  <c r="B102" i="2"/>
  <c r="C117" i="2"/>
  <c r="C131" i="2"/>
  <c r="D145" i="2"/>
  <c r="D16" i="2"/>
  <c r="G17" i="2"/>
  <c r="E24" i="2"/>
  <c r="F29" i="2"/>
  <c r="F40" i="2"/>
  <c r="D42" i="2"/>
  <c r="H44" i="2"/>
  <c r="H48" i="2"/>
  <c r="D55" i="2"/>
  <c r="C55" i="2"/>
  <c r="B55" i="2"/>
  <c r="C58" i="2"/>
  <c r="K67" i="2"/>
  <c r="C74" i="2"/>
  <c r="M84" i="2"/>
  <c r="I84" i="2"/>
  <c r="M91" i="2"/>
  <c r="O94" i="2"/>
  <c r="M94" i="2"/>
  <c r="K94" i="2"/>
  <c r="J94" i="2"/>
  <c r="G94" i="2"/>
  <c r="D117" i="2"/>
  <c r="M121" i="2"/>
  <c r="J121" i="2"/>
  <c r="I121" i="2"/>
  <c r="H121" i="2"/>
  <c r="E121" i="2"/>
  <c r="D121" i="2"/>
  <c r="C121" i="2"/>
  <c r="K142" i="2"/>
  <c r="F142" i="2"/>
  <c r="B142" i="2"/>
  <c r="I145" i="2"/>
  <c r="K171" i="2"/>
  <c r="I179" i="2"/>
  <c r="G193" i="2"/>
  <c r="G196" i="2"/>
  <c r="O199" i="2"/>
  <c r="I199" i="2"/>
  <c r="H199" i="2"/>
  <c r="G199" i="2"/>
  <c r="M54" i="2"/>
  <c r="N54" i="2"/>
  <c r="J54" i="2"/>
  <c r="E54" i="2"/>
  <c r="N177" i="2"/>
  <c r="F177" i="2"/>
  <c r="N62" i="2"/>
  <c r="J62" i="2"/>
  <c r="G101" i="2"/>
  <c r="N131" i="2"/>
  <c r="M131" i="2"/>
  <c r="L131" i="2"/>
  <c r="J131" i="2"/>
  <c r="H131" i="2"/>
  <c r="D131" i="2"/>
  <c r="J150" i="2"/>
  <c r="K150" i="2"/>
  <c r="G150" i="2"/>
  <c r="F150" i="2"/>
  <c r="D150" i="2"/>
  <c r="C150" i="2"/>
  <c r="B150" i="2"/>
  <c r="D54" i="2"/>
  <c r="F16" i="2"/>
  <c r="H17" i="2"/>
  <c r="D20" i="2"/>
  <c r="B22" i="2"/>
  <c r="B23" i="2"/>
  <c r="F24" i="2"/>
  <c r="G27" i="2"/>
  <c r="M30" i="2"/>
  <c r="D30" i="2"/>
  <c r="B30" i="2"/>
  <c r="N37" i="2"/>
  <c r="I37" i="2"/>
  <c r="J40" i="2"/>
  <c r="E42" i="2"/>
  <c r="L44" i="2"/>
  <c r="I55" i="2"/>
  <c r="F58" i="2"/>
  <c r="L67" i="2"/>
  <c r="D74" i="2"/>
  <c r="N91" i="2"/>
  <c r="B103" i="2"/>
  <c r="B121" i="2"/>
  <c r="O125" i="2"/>
  <c r="H125" i="2"/>
  <c r="F125" i="2"/>
  <c r="N150" i="2"/>
  <c r="J179" i="2"/>
  <c r="H193" i="2"/>
  <c r="H196" i="2"/>
  <c r="L199" i="2"/>
  <c r="D48" i="2"/>
  <c r="N117" i="2"/>
  <c r="M117" i="2"/>
  <c r="J117" i="2"/>
  <c r="H117" i="2"/>
  <c r="G117" i="2"/>
  <c r="F117" i="2"/>
  <c r="M128" i="2"/>
  <c r="L128" i="2"/>
  <c r="K128" i="2"/>
  <c r="I128" i="2"/>
  <c r="G128" i="2"/>
  <c r="F128" i="2"/>
  <c r="B145" i="2"/>
  <c r="K35" i="2"/>
  <c r="G165" i="2"/>
  <c r="E165" i="2"/>
  <c r="B165" i="2"/>
  <c r="G16" i="2"/>
  <c r="I17" i="2"/>
  <c r="G24" i="2"/>
  <c r="K40" i="2"/>
  <c r="F42" i="2"/>
  <c r="M44" i="2"/>
  <c r="N47" i="2"/>
  <c r="I47" i="2"/>
  <c r="H47" i="2"/>
  <c r="G47" i="2"/>
  <c r="C47" i="2"/>
  <c r="M67" i="2"/>
  <c r="G74" i="2"/>
  <c r="O86" i="2"/>
  <c r="M86" i="2"/>
  <c r="G86" i="2"/>
  <c r="B86" i="2"/>
  <c r="L92" i="2"/>
  <c r="K92" i="2"/>
  <c r="J92" i="2"/>
  <c r="H92" i="2"/>
  <c r="G92" i="2"/>
  <c r="F92" i="2"/>
  <c r="K111" i="2"/>
  <c r="H111" i="2"/>
  <c r="D111" i="2"/>
  <c r="I117" i="2"/>
  <c r="O135" i="2"/>
  <c r="M135" i="2"/>
  <c r="L135" i="2"/>
  <c r="K135" i="2"/>
  <c r="G135" i="2"/>
  <c r="C135" i="2"/>
  <c r="B135" i="2"/>
  <c r="O151" i="2"/>
  <c r="L151" i="2"/>
  <c r="I151" i="2"/>
  <c r="H151" i="2"/>
  <c r="I193" i="2"/>
  <c r="M199" i="2"/>
  <c r="N34" i="2"/>
  <c r="F34" i="2"/>
  <c r="C34" i="2"/>
  <c r="B34" i="2"/>
  <c r="E128" i="2"/>
  <c r="L150" i="2"/>
  <c r="O113" i="2"/>
  <c r="N113" i="2"/>
  <c r="I113" i="2"/>
  <c r="C101" i="2"/>
  <c r="F48" i="2"/>
  <c r="O196" i="2"/>
  <c r="F196" i="2"/>
  <c r="E196" i="2"/>
  <c r="D196" i="2"/>
  <c r="L196" i="2"/>
  <c r="L40" i="2"/>
  <c r="G42" i="2"/>
  <c r="L56" i="2"/>
  <c r="H56" i="2"/>
  <c r="M64" i="2"/>
  <c r="L64" i="2"/>
  <c r="K64" i="2"/>
  <c r="I64" i="2"/>
  <c r="H64" i="2"/>
  <c r="G64" i="2"/>
  <c r="I157" i="2"/>
  <c r="C157" i="2"/>
  <c r="O180" i="2"/>
  <c r="J180" i="2"/>
  <c r="I180" i="2"/>
  <c r="H180" i="2"/>
  <c r="F180" i="2"/>
  <c r="E180" i="2"/>
  <c r="D180" i="2"/>
  <c r="H15" i="2"/>
  <c r="I16" i="2"/>
  <c r="M17" i="2"/>
  <c r="G20" i="2"/>
  <c r="E22" i="2"/>
  <c r="G23" i="2"/>
  <c r="I24" i="2"/>
  <c r="J30" i="2"/>
  <c r="C33" i="2"/>
  <c r="M40" i="2"/>
  <c r="K42" i="2"/>
  <c r="E45" i="2"/>
  <c r="D47" i="2"/>
  <c r="D56" i="2"/>
  <c r="E64" i="2"/>
  <c r="M68" i="2"/>
  <c r="J68" i="2"/>
  <c r="D87" i="2"/>
  <c r="I92" i="2"/>
  <c r="L94" i="2"/>
  <c r="M97" i="2"/>
  <c r="N97" i="2"/>
  <c r="J97" i="2"/>
  <c r="H97" i="2"/>
  <c r="G97" i="2"/>
  <c r="F97" i="2"/>
  <c r="I112" i="2"/>
  <c r="H112" i="2"/>
  <c r="E112" i="2"/>
  <c r="F118" i="2"/>
  <c r="N122" i="2"/>
  <c r="K122" i="2"/>
  <c r="G122" i="2"/>
  <c r="L130" i="2"/>
  <c r="K130" i="2"/>
  <c r="J130" i="2"/>
  <c r="E130" i="2"/>
  <c r="D130" i="2"/>
  <c r="C130" i="2"/>
  <c r="N135" i="2"/>
  <c r="O144" i="2"/>
  <c r="K144" i="2"/>
  <c r="J144" i="2"/>
  <c r="I144" i="2"/>
  <c r="G144" i="2"/>
  <c r="F144" i="2"/>
  <c r="E144" i="2"/>
  <c r="N151" i="2"/>
  <c r="O168" i="2"/>
  <c r="L168" i="2"/>
  <c r="K168" i="2"/>
  <c r="I168" i="2"/>
  <c r="H168" i="2"/>
  <c r="G168" i="2"/>
  <c r="G180" i="2"/>
  <c r="O194" i="2"/>
  <c r="N194" i="2"/>
  <c r="L194" i="2"/>
  <c r="K194" i="2"/>
  <c r="D194" i="2"/>
  <c r="C194" i="2"/>
  <c r="B194" i="2"/>
  <c r="K196" i="2"/>
  <c r="O200" i="2"/>
  <c r="K200" i="2"/>
  <c r="J200" i="2"/>
  <c r="I200" i="2"/>
  <c r="G200" i="2"/>
  <c r="F200" i="2"/>
  <c r="E200" i="2"/>
  <c r="L34" i="2"/>
  <c r="K91" i="2"/>
  <c r="J91" i="2"/>
  <c r="I91" i="2"/>
  <c r="G91" i="2"/>
  <c r="D91" i="2"/>
  <c r="C91" i="2"/>
  <c r="O198" i="2"/>
  <c r="N198" i="2"/>
  <c r="M198" i="2"/>
  <c r="L198" i="2"/>
  <c r="F17" i="2"/>
  <c r="F44" i="2"/>
  <c r="M109" i="2"/>
  <c r="H16" i="2"/>
  <c r="J17" i="2"/>
  <c r="H24" i="2"/>
  <c r="N67" i="2"/>
  <c r="D162" i="2"/>
  <c r="C162" i="2"/>
  <c r="B162" i="2"/>
  <c r="O162" i="2"/>
  <c r="N162" i="2"/>
  <c r="J196" i="2"/>
  <c r="I15" i="2"/>
  <c r="J16" i="2"/>
  <c r="H20" i="2"/>
  <c r="F22" i="2"/>
  <c r="H23" i="2"/>
  <c r="L24" i="2"/>
  <c r="N30" i="2"/>
  <c r="D33" i="2"/>
  <c r="M41" i="2"/>
  <c r="J41" i="2"/>
  <c r="I41" i="2"/>
  <c r="G41" i="2"/>
  <c r="J45" i="2"/>
  <c r="J47" i="2"/>
  <c r="E56" i="2"/>
  <c r="J64" i="2"/>
  <c r="J87" i="2"/>
  <c r="M92" i="2"/>
  <c r="B97" i="2"/>
  <c r="J112" i="2"/>
  <c r="M119" i="2"/>
  <c r="N119" i="2"/>
  <c r="L119" i="2"/>
  <c r="K119" i="2"/>
  <c r="I119" i="2"/>
  <c r="G119" i="2"/>
  <c r="D119" i="2"/>
  <c r="B122" i="2"/>
  <c r="B130" i="2"/>
  <c r="O136" i="2"/>
  <c r="L136" i="2"/>
  <c r="K136" i="2"/>
  <c r="I136" i="2"/>
  <c r="H136" i="2"/>
  <c r="G136" i="2"/>
  <c r="O140" i="2"/>
  <c r="F140" i="2"/>
  <c r="E140" i="2"/>
  <c r="D140" i="2"/>
  <c r="L140" i="2"/>
  <c r="D144" i="2"/>
  <c r="J162" i="2"/>
  <c r="D168" i="2"/>
  <c r="O174" i="2"/>
  <c r="N174" i="2"/>
  <c r="M174" i="2"/>
  <c r="F174" i="2"/>
  <c r="E174" i="2"/>
  <c r="D174" i="2"/>
  <c r="K180" i="2"/>
  <c r="J194" i="2"/>
  <c r="D200" i="2"/>
  <c r="H88" i="2"/>
  <c r="G88" i="2"/>
  <c r="E88" i="2"/>
  <c r="H113" i="2"/>
  <c r="L91" i="2"/>
  <c r="O193" i="2"/>
  <c r="D193" i="2"/>
  <c r="C193" i="2"/>
  <c r="B193" i="2"/>
  <c r="I23" i="2"/>
  <c r="D28" i="2"/>
  <c r="G33" i="2"/>
  <c r="C41" i="2"/>
  <c r="G43" i="2"/>
  <c r="G46" i="2"/>
  <c r="F46" i="2"/>
  <c r="E46" i="2"/>
  <c r="C46" i="2"/>
  <c r="K47" i="2"/>
  <c r="M93" i="2"/>
  <c r="J93" i="2"/>
  <c r="I93" i="2"/>
  <c r="G93" i="2"/>
  <c r="F93" i="2"/>
  <c r="E93" i="2"/>
  <c r="C97" i="2"/>
  <c r="M112" i="2"/>
  <c r="B119" i="2"/>
  <c r="C122" i="2"/>
  <c r="G130" i="2"/>
  <c r="D136" i="2"/>
  <c r="H144" i="2"/>
  <c r="K162" i="2"/>
  <c r="E168" i="2"/>
  <c r="L174" i="2"/>
  <c r="L180" i="2"/>
  <c r="O195" i="2"/>
  <c r="N195" i="2"/>
  <c r="L195" i="2"/>
  <c r="K195" i="2"/>
  <c r="H200" i="2"/>
  <c r="N69" i="2"/>
  <c r="C90" i="2"/>
  <c r="D100" i="2"/>
  <c r="B149" i="2"/>
  <c r="B191" i="2"/>
  <c r="I49" i="2"/>
  <c r="D52" i="2"/>
  <c r="B59" i="2"/>
  <c r="C63" i="2"/>
  <c r="B69" i="2"/>
  <c r="B70" i="2"/>
  <c r="B73" i="2"/>
  <c r="B75" i="2"/>
  <c r="C83" i="2"/>
  <c r="J85" i="2"/>
  <c r="E90" i="2"/>
  <c r="K95" i="2"/>
  <c r="E100" i="2"/>
  <c r="F105" i="2"/>
  <c r="B107" i="2"/>
  <c r="K115" i="2"/>
  <c r="C149" i="2"/>
  <c r="D156" i="2"/>
  <c r="D164" i="2"/>
  <c r="D176" i="2"/>
  <c r="H191" i="2"/>
  <c r="D197" i="2"/>
  <c r="F52" i="2"/>
  <c r="C57" i="2"/>
  <c r="K59" i="2"/>
  <c r="I63" i="2"/>
  <c r="D69" i="2"/>
  <c r="K70" i="2"/>
  <c r="D73" i="2"/>
  <c r="D75" i="2"/>
  <c r="C82" i="2"/>
  <c r="H83" i="2"/>
  <c r="G90" i="2"/>
  <c r="N95" i="2"/>
  <c r="H100" i="2"/>
  <c r="D107" i="2"/>
  <c r="M115" i="2"/>
  <c r="C123" i="2"/>
  <c r="M132" i="2"/>
  <c r="C134" i="2"/>
  <c r="E148" i="2"/>
  <c r="E149" i="2"/>
  <c r="G153" i="2"/>
  <c r="F156" i="2"/>
  <c r="C163" i="2"/>
  <c r="F164" i="2"/>
  <c r="C170" i="2"/>
  <c r="F176" i="2"/>
  <c r="J178" i="2"/>
  <c r="E189" i="2"/>
  <c r="F197" i="2"/>
  <c r="D32" i="2"/>
  <c r="C39" i="2"/>
  <c r="B50" i="2"/>
  <c r="G52" i="2"/>
  <c r="J63" i="2"/>
  <c r="E69" i="2"/>
  <c r="G73" i="2"/>
  <c r="I75" i="2"/>
  <c r="B81" i="2"/>
  <c r="D82" i="2"/>
  <c r="J83" i="2"/>
  <c r="B89" i="2"/>
  <c r="J90" i="2"/>
  <c r="I100" i="2"/>
  <c r="C106" i="2"/>
  <c r="H107" i="2"/>
  <c r="H123" i="2"/>
  <c r="D134" i="2"/>
  <c r="B147" i="2"/>
  <c r="F148" i="2"/>
  <c r="F149" i="2"/>
  <c r="D152" i="2"/>
  <c r="H153" i="2"/>
  <c r="G156" i="2"/>
  <c r="G163" i="2"/>
  <c r="G164" i="2"/>
  <c r="D170" i="2"/>
  <c r="D173" i="2"/>
  <c r="G176" i="2"/>
  <c r="K178" i="2"/>
  <c r="D188" i="2"/>
  <c r="G189" i="2"/>
  <c r="I197" i="2"/>
  <c r="C6" i="2"/>
  <c r="C50" i="2"/>
  <c r="J52" i="2"/>
  <c r="J60" i="2"/>
  <c r="B71" i="2"/>
  <c r="C81" i="2"/>
  <c r="E82" i="2"/>
  <c r="D89" i="2"/>
  <c r="K90" i="2"/>
  <c r="J107" i="2"/>
  <c r="J123" i="2"/>
  <c r="F134" i="2"/>
  <c r="G148" i="2"/>
  <c r="G149" i="2"/>
  <c r="H156" i="2"/>
  <c r="H164" i="2"/>
  <c r="J170" i="2"/>
  <c r="H176" i="2"/>
  <c r="M197" i="2"/>
  <c r="B13" i="1"/>
  <c r="B15" i="1"/>
  <c r="K11" i="5"/>
  <c r="B17" i="1"/>
  <c r="B14" i="1"/>
  <c r="B16" i="1"/>
  <c r="K6" i="5"/>
  <c r="K8" i="5"/>
  <c r="K12" i="5"/>
  <c r="K9" i="5"/>
  <c r="K4" i="5"/>
  <c r="K7" i="5"/>
  <c r="K10" i="5"/>
  <c r="K5" i="5"/>
  <c r="J5" i="5"/>
  <c r="J4" i="2" s="1"/>
  <c r="J6" i="5"/>
  <c r="J5" i="2" s="1"/>
  <c r="J9" i="5"/>
  <c r="J8" i="2" s="1"/>
  <c r="C7" i="2"/>
  <c r="C3" i="2"/>
  <c r="K11" i="4"/>
  <c r="C9" i="2"/>
  <c r="J12" i="4"/>
  <c r="B10" i="2"/>
  <c r="F10" i="2" s="1"/>
  <c r="K8" i="4"/>
  <c r="K12" i="4"/>
  <c r="C10" i="2"/>
  <c r="J9" i="4"/>
  <c r="N10" i="2"/>
  <c r="K4" i="4"/>
  <c r="K7" i="4"/>
  <c r="L10" i="2"/>
  <c r="G4" i="2"/>
  <c r="J10" i="4"/>
  <c r="K3" i="2"/>
  <c r="K5" i="4"/>
  <c r="K10" i="4"/>
  <c r="Q5" i="6"/>
  <c r="N5" i="6" s="1"/>
  <c r="P5" i="6" s="1"/>
  <c r="G29" i="1" s="1"/>
  <c r="B29" i="1" s="1"/>
  <c r="J3" i="4"/>
  <c r="M3" i="4" s="1"/>
  <c r="J4" i="4"/>
  <c r="J5" i="4"/>
  <c r="J6" i="4"/>
  <c r="J7" i="4"/>
  <c r="J8" i="4"/>
  <c r="H8" i="2"/>
  <c r="K9" i="4"/>
  <c r="B6" i="2"/>
  <c r="F6" i="2" s="1"/>
  <c r="K6" i="4"/>
  <c r="J11" i="4"/>
  <c r="E7" i="1"/>
  <c r="B7" i="1"/>
  <c r="E10" i="1"/>
  <c r="G66" i="1"/>
  <c r="C66" i="1" s="1"/>
  <c r="E14" i="1"/>
  <c r="E15" i="1"/>
  <c r="E13" i="1"/>
  <c r="G3" i="2"/>
  <c r="N7" i="2"/>
  <c r="L7" i="2"/>
  <c r="K7" i="2"/>
  <c r="J7" i="2"/>
  <c r="H7" i="2"/>
  <c r="G7" i="2"/>
  <c r="L9" i="2"/>
  <c r="K9" i="2"/>
  <c r="N9" i="2"/>
  <c r="J9" i="2"/>
  <c r="I9" i="2"/>
  <c r="H9" i="2"/>
  <c r="L12" i="2"/>
  <c r="L14" i="2"/>
  <c r="J38" i="2"/>
  <c r="H3" i="2"/>
  <c r="B7" i="2"/>
  <c r="F7" i="2" s="1"/>
  <c r="B9" i="2"/>
  <c r="D9" i="2" s="1"/>
  <c r="M14" i="2"/>
  <c r="L21" i="2"/>
  <c r="K21" i="2"/>
  <c r="F21" i="2"/>
  <c r="D21" i="2"/>
  <c r="C21" i="2"/>
  <c r="B21" i="2"/>
  <c r="N21" i="2"/>
  <c r="M21" i="2"/>
  <c r="G21" i="2"/>
  <c r="L11" i="2"/>
  <c r="J11" i="2"/>
  <c r="I11" i="2"/>
  <c r="H11" i="2"/>
  <c r="C11" i="2"/>
  <c r="L13" i="2"/>
  <c r="K13" i="2"/>
  <c r="J13" i="2"/>
  <c r="H13" i="2"/>
  <c r="G13" i="2"/>
  <c r="F13" i="2"/>
  <c r="D13" i="2"/>
  <c r="C13" i="2"/>
  <c r="N14" i="2"/>
  <c r="E21" i="2"/>
  <c r="I5" i="2"/>
  <c r="D7" i="2"/>
  <c r="B11" i="2"/>
  <c r="D11" i="2" s="1"/>
  <c r="B13" i="2"/>
  <c r="H21" i="2"/>
  <c r="I7" i="2"/>
  <c r="G9" i="2"/>
  <c r="G11" i="2"/>
  <c r="E13" i="2"/>
  <c r="I21" i="2"/>
  <c r="M7" i="2"/>
  <c r="M9" i="2"/>
  <c r="K11" i="2"/>
  <c r="I13" i="2"/>
  <c r="J21" i="2"/>
  <c r="M11" i="2"/>
  <c r="M13" i="2"/>
  <c r="O21" i="2"/>
  <c r="L29" i="2"/>
  <c r="K29" i="2"/>
  <c r="B29" i="2"/>
  <c r="N29" i="2"/>
  <c r="M29" i="2"/>
  <c r="J29" i="2"/>
  <c r="I29" i="2"/>
  <c r="H29" i="2"/>
  <c r="G29" i="2"/>
  <c r="D29" i="2"/>
  <c r="C29" i="2"/>
  <c r="O36" i="2"/>
  <c r="C36" i="2"/>
  <c r="N36" i="2"/>
  <c r="B36" i="2"/>
  <c r="K36" i="2"/>
  <c r="I36" i="2"/>
  <c r="H36" i="2"/>
  <c r="G36" i="2"/>
  <c r="F36" i="2"/>
  <c r="E36" i="2"/>
  <c r="D36" i="2"/>
  <c r="M36" i="2"/>
  <c r="L36" i="2"/>
  <c r="L53" i="2"/>
  <c r="K53" i="2"/>
  <c r="B53" i="2"/>
  <c r="N53" i="2"/>
  <c r="M53" i="2"/>
  <c r="J53" i="2"/>
  <c r="I53" i="2"/>
  <c r="H53" i="2"/>
  <c r="G53" i="2"/>
  <c r="F53" i="2"/>
  <c r="E53" i="2"/>
  <c r="D53" i="2"/>
  <c r="C53" i="2"/>
  <c r="C8" i="2"/>
  <c r="N8" i="2"/>
  <c r="B8" i="2"/>
  <c r="E8" i="2" s="1"/>
  <c r="M8" i="2"/>
  <c r="K8" i="2"/>
  <c r="I8" i="2"/>
  <c r="G8" i="2"/>
  <c r="I10" i="2"/>
  <c r="H10" i="2"/>
  <c r="M10" i="2"/>
  <c r="K10" i="2"/>
  <c r="J10" i="2"/>
  <c r="G10" i="2"/>
  <c r="E10" i="2"/>
  <c r="D10" i="2"/>
  <c r="N11" i="2"/>
  <c r="N13" i="2"/>
  <c r="F19" i="2"/>
  <c r="E19" i="2"/>
  <c r="H19" i="2"/>
  <c r="D19" i="2"/>
  <c r="C19" i="2"/>
  <c r="B19" i="2"/>
  <c r="N19" i="2"/>
  <c r="M19" i="2"/>
  <c r="F27" i="2"/>
  <c r="E27" i="2"/>
  <c r="B27" i="2"/>
  <c r="N27" i="2"/>
  <c r="M27" i="2"/>
  <c r="L27" i="2"/>
  <c r="J27" i="2"/>
  <c r="I27" i="2"/>
  <c r="D27" i="2"/>
  <c r="C27" i="2"/>
  <c r="E29" i="2"/>
  <c r="J36" i="2"/>
  <c r="O53" i="2"/>
  <c r="O13" i="2"/>
  <c r="B3" i="2"/>
  <c r="D3" i="2" s="1"/>
  <c r="N3" i="2"/>
  <c r="M3" i="2"/>
  <c r="L3" i="2"/>
  <c r="J3" i="2"/>
  <c r="I3" i="2"/>
  <c r="O12" i="2"/>
  <c r="C12" i="2"/>
  <c r="N12" i="2"/>
  <c r="B12" i="2"/>
  <c r="K12" i="2"/>
  <c r="I12" i="2"/>
  <c r="H12" i="2"/>
  <c r="G12" i="2"/>
  <c r="E12" i="2"/>
  <c r="D12" i="2"/>
  <c r="I14" i="2"/>
  <c r="H14" i="2"/>
  <c r="K14" i="2"/>
  <c r="G14" i="2"/>
  <c r="F14" i="2"/>
  <c r="E14" i="2"/>
  <c r="C14" i="2"/>
  <c r="B14" i="2"/>
  <c r="L5" i="2"/>
  <c r="K5" i="2"/>
  <c r="B5" i="2"/>
  <c r="E5" i="2" s="1"/>
  <c r="N5" i="2"/>
  <c r="M5" i="2"/>
  <c r="H5" i="2"/>
  <c r="G5" i="2"/>
  <c r="F51" i="2"/>
  <c r="E51" i="2"/>
  <c r="B51" i="2"/>
  <c r="N51" i="2"/>
  <c r="M51" i="2"/>
  <c r="L51" i="2"/>
  <c r="K51" i="2"/>
  <c r="J51" i="2"/>
  <c r="I51" i="2"/>
  <c r="H51" i="2"/>
  <c r="G51" i="2"/>
  <c r="D51" i="2"/>
  <c r="C51" i="2"/>
  <c r="C5" i="2"/>
  <c r="J12" i="2"/>
  <c r="J14" i="2"/>
  <c r="I38" i="2"/>
  <c r="H38" i="2"/>
  <c r="K38" i="2"/>
  <c r="G38" i="2"/>
  <c r="F38" i="2"/>
  <c r="E38" i="2"/>
  <c r="D38" i="2"/>
  <c r="C38" i="2"/>
  <c r="B38" i="2"/>
  <c r="N38" i="2"/>
  <c r="M38" i="2"/>
  <c r="L38" i="2"/>
  <c r="O51" i="2"/>
  <c r="F31" i="2"/>
  <c r="E31" i="2"/>
  <c r="O31" i="2"/>
  <c r="L33" i="2"/>
  <c r="K33" i="2"/>
  <c r="O33" i="2"/>
  <c r="M35" i="2"/>
  <c r="M37" i="2"/>
  <c r="I43" i="2"/>
  <c r="G45" i="2"/>
  <c r="F55" i="2"/>
  <c r="E55" i="2"/>
  <c r="O55" i="2"/>
  <c r="L57" i="2"/>
  <c r="K57" i="2"/>
  <c r="O57" i="2"/>
  <c r="M59" i="2"/>
  <c r="L60" i="2"/>
  <c r="M61" i="2"/>
  <c r="L62" i="2"/>
  <c r="M65" i="2"/>
  <c r="M66" i="2"/>
  <c r="L68" i="2"/>
  <c r="M70" i="2"/>
  <c r="N71" i="2"/>
  <c r="L73" i="2"/>
  <c r="K73" i="2"/>
  <c r="M73" i="2"/>
  <c r="I74" i="2"/>
  <c r="H74" i="2"/>
  <c r="L74" i="2"/>
  <c r="F75" i="2"/>
  <c r="E75" i="2"/>
  <c r="K75" i="2"/>
  <c r="O76" i="2"/>
  <c r="C76" i="2"/>
  <c r="N76" i="2"/>
  <c r="B76" i="2"/>
  <c r="J76" i="2"/>
  <c r="C77" i="2"/>
  <c r="C78" i="2"/>
  <c r="C79" i="2"/>
  <c r="E80" i="2"/>
  <c r="K84" i="2"/>
  <c r="N85" i="2"/>
  <c r="O88" i="2"/>
  <c r="C88" i="2"/>
  <c r="N88" i="2"/>
  <c r="B88" i="2"/>
  <c r="F88" i="2"/>
  <c r="D88" i="2"/>
  <c r="I98" i="2"/>
  <c r="H98" i="2"/>
  <c r="N98" i="2"/>
  <c r="L98" i="2"/>
  <c r="F98" i="2"/>
  <c r="C99" i="2"/>
  <c r="F103" i="2"/>
  <c r="E103" i="2"/>
  <c r="K103" i="2"/>
  <c r="I103" i="2"/>
  <c r="C103" i="2"/>
  <c r="F104" i="2"/>
  <c r="J105" i="2"/>
  <c r="E108" i="2"/>
  <c r="F111" i="2"/>
  <c r="E111" i="2"/>
  <c r="G111" i="2"/>
  <c r="C111" i="2"/>
  <c r="M111" i="2"/>
  <c r="L111" i="2"/>
  <c r="F116" i="2"/>
  <c r="L118" i="2"/>
  <c r="L157" i="2"/>
  <c r="K157" i="2"/>
  <c r="J157" i="2"/>
  <c r="G157" i="2"/>
  <c r="F157" i="2"/>
  <c r="E157" i="2"/>
  <c r="D157" i="2"/>
  <c r="B157" i="2"/>
  <c r="O157" i="2"/>
  <c r="N157" i="2"/>
  <c r="K159" i="2"/>
  <c r="F179" i="2"/>
  <c r="E179" i="2"/>
  <c r="D179" i="2"/>
  <c r="H179" i="2"/>
  <c r="G179" i="2"/>
  <c r="C179" i="2"/>
  <c r="B179" i="2"/>
  <c r="O179" i="2"/>
  <c r="M179" i="2"/>
  <c r="L179" i="2"/>
  <c r="O32" i="2"/>
  <c r="C32" i="2"/>
  <c r="N32" i="2"/>
  <c r="B32" i="2"/>
  <c r="I34" i="2"/>
  <c r="H34" i="2"/>
  <c r="O34" i="2"/>
  <c r="J43" i="2"/>
  <c r="H45" i="2"/>
  <c r="O56" i="2"/>
  <c r="C56" i="2"/>
  <c r="N56" i="2"/>
  <c r="B56" i="2"/>
  <c r="I58" i="2"/>
  <c r="H58" i="2"/>
  <c r="O58" i="2"/>
  <c r="M62" i="2"/>
  <c r="N65" i="2"/>
  <c r="N66" i="2"/>
  <c r="D77" i="2"/>
  <c r="D78" i="2"/>
  <c r="D79" i="2"/>
  <c r="F80" i="2"/>
  <c r="L84" i="2"/>
  <c r="F87" i="2"/>
  <c r="E87" i="2"/>
  <c r="G87" i="2"/>
  <c r="C87" i="2"/>
  <c r="D99" i="2"/>
  <c r="G104" i="2"/>
  <c r="M105" i="2"/>
  <c r="G108" i="2"/>
  <c r="I114" i="2"/>
  <c r="H114" i="2"/>
  <c r="D114" i="2"/>
  <c r="B114" i="2"/>
  <c r="L114" i="2"/>
  <c r="K114" i="2"/>
  <c r="G116" i="2"/>
  <c r="M118" i="2"/>
  <c r="O120" i="2"/>
  <c r="C120" i="2"/>
  <c r="N120" i="2"/>
  <c r="B120" i="2"/>
  <c r="M120" i="2"/>
  <c r="L120" i="2"/>
  <c r="J120" i="2"/>
  <c r="H120" i="2"/>
  <c r="G120" i="2"/>
  <c r="L129" i="2"/>
  <c r="K129" i="2"/>
  <c r="J129" i="2"/>
  <c r="I129" i="2"/>
  <c r="H129" i="2"/>
  <c r="G129" i="2"/>
  <c r="E129" i="2"/>
  <c r="C129" i="2"/>
  <c r="B129" i="2"/>
  <c r="F139" i="2"/>
  <c r="E139" i="2"/>
  <c r="D139" i="2"/>
  <c r="M139" i="2"/>
  <c r="L139" i="2"/>
  <c r="K139" i="2"/>
  <c r="J139" i="2"/>
  <c r="H139" i="2"/>
  <c r="C139" i="2"/>
  <c r="B139" i="2"/>
  <c r="L159" i="2"/>
  <c r="I166" i="2"/>
  <c r="H166" i="2"/>
  <c r="G166" i="2"/>
  <c r="N166" i="2"/>
  <c r="M166" i="2"/>
  <c r="L166" i="2"/>
  <c r="K166" i="2"/>
  <c r="F166" i="2"/>
  <c r="D166" i="2"/>
  <c r="C166" i="2"/>
  <c r="F183" i="2"/>
  <c r="E183" i="2"/>
  <c r="D183" i="2"/>
  <c r="J183" i="2"/>
  <c r="I183" i="2"/>
  <c r="H183" i="2"/>
  <c r="G183" i="2"/>
  <c r="B183" i="2"/>
  <c r="O183" i="2"/>
  <c r="N183" i="2"/>
  <c r="F35" i="2"/>
  <c r="E35" i="2"/>
  <c r="O35" i="2"/>
  <c r="L37" i="2"/>
  <c r="K37" i="2"/>
  <c r="O37" i="2"/>
  <c r="K43" i="2"/>
  <c r="I45" i="2"/>
  <c r="F59" i="2"/>
  <c r="E59" i="2"/>
  <c r="O59" i="2"/>
  <c r="L61" i="2"/>
  <c r="K61" i="2"/>
  <c r="O61" i="2"/>
  <c r="I70" i="2"/>
  <c r="H70" i="2"/>
  <c r="N70" i="2"/>
  <c r="F71" i="2"/>
  <c r="E71" i="2"/>
  <c r="M71" i="2"/>
  <c r="O72" i="2"/>
  <c r="C72" i="2"/>
  <c r="N72" i="2"/>
  <c r="B72" i="2"/>
  <c r="L72" i="2"/>
  <c r="E77" i="2"/>
  <c r="E78" i="2"/>
  <c r="G79" i="2"/>
  <c r="G80" i="2"/>
  <c r="I86" i="2"/>
  <c r="H86" i="2"/>
  <c r="F86" i="2"/>
  <c r="D86" i="2"/>
  <c r="B87" i="2"/>
  <c r="H99" i="2"/>
  <c r="I102" i="2"/>
  <c r="H102" i="2"/>
  <c r="L102" i="2"/>
  <c r="J102" i="2"/>
  <c r="D102" i="2"/>
  <c r="I104" i="2"/>
  <c r="I108" i="2"/>
  <c r="C114" i="2"/>
  <c r="H116" i="2"/>
  <c r="D120" i="2"/>
  <c r="D129" i="2"/>
  <c r="G139" i="2"/>
  <c r="F143" i="2"/>
  <c r="E143" i="2"/>
  <c r="D143" i="2"/>
  <c r="O143" i="2"/>
  <c r="N143" i="2"/>
  <c r="M143" i="2"/>
  <c r="L143" i="2"/>
  <c r="J143" i="2"/>
  <c r="H143" i="2"/>
  <c r="G143" i="2"/>
  <c r="H157" i="2"/>
  <c r="B166" i="2"/>
  <c r="L177" i="2"/>
  <c r="K177" i="2"/>
  <c r="J177" i="2"/>
  <c r="E177" i="2"/>
  <c r="D177" i="2"/>
  <c r="C177" i="2"/>
  <c r="B177" i="2"/>
  <c r="O177" i="2"/>
  <c r="M177" i="2"/>
  <c r="I177" i="2"/>
  <c r="C183" i="2"/>
  <c r="O60" i="2"/>
  <c r="C60" i="2"/>
  <c r="N60" i="2"/>
  <c r="B60" i="2"/>
  <c r="I62" i="2"/>
  <c r="H62" i="2"/>
  <c r="O62" i="2"/>
  <c r="L65" i="2"/>
  <c r="K65" i="2"/>
  <c r="C65" i="2"/>
  <c r="I66" i="2"/>
  <c r="H66" i="2"/>
  <c r="B66" i="2"/>
  <c r="O68" i="2"/>
  <c r="C68" i="2"/>
  <c r="N68" i="2"/>
  <c r="B68" i="2"/>
  <c r="F77" i="2"/>
  <c r="F78" i="2"/>
  <c r="H79" i="2"/>
  <c r="I80" i="2"/>
  <c r="L85" i="2"/>
  <c r="K85" i="2"/>
  <c r="G85" i="2"/>
  <c r="E85" i="2"/>
  <c r="O96" i="2"/>
  <c r="C96" i="2"/>
  <c r="N96" i="2"/>
  <c r="B96" i="2"/>
  <c r="L96" i="2"/>
  <c r="I99" i="2"/>
  <c r="K104" i="2"/>
  <c r="J108" i="2"/>
  <c r="I110" i="2"/>
  <c r="H110" i="2"/>
  <c r="F110" i="2"/>
  <c r="D110" i="2"/>
  <c r="N110" i="2"/>
  <c r="M110" i="2"/>
  <c r="K116" i="2"/>
  <c r="I126" i="2"/>
  <c r="H126" i="2"/>
  <c r="M126" i="2"/>
  <c r="L126" i="2"/>
  <c r="K126" i="2"/>
  <c r="J126" i="2"/>
  <c r="F126" i="2"/>
  <c r="D126" i="2"/>
  <c r="C126" i="2"/>
  <c r="L137" i="2"/>
  <c r="K137" i="2"/>
  <c r="J137" i="2"/>
  <c r="M137" i="2"/>
  <c r="I137" i="2"/>
  <c r="H137" i="2"/>
  <c r="G137" i="2"/>
  <c r="E137" i="2"/>
  <c r="C137" i="2"/>
  <c r="B137" i="2"/>
  <c r="L181" i="2"/>
  <c r="K181" i="2"/>
  <c r="J181" i="2"/>
  <c r="G181" i="2"/>
  <c r="F181" i="2"/>
  <c r="E181" i="2"/>
  <c r="D181" i="2"/>
  <c r="B181" i="2"/>
  <c r="O181" i="2"/>
  <c r="N181" i="2"/>
  <c r="H4" i="2"/>
  <c r="F15" i="2"/>
  <c r="E15" i="2"/>
  <c r="O15" i="2"/>
  <c r="L17" i="2"/>
  <c r="K17" i="2"/>
  <c r="O17" i="2"/>
  <c r="J24" i="2"/>
  <c r="J26" i="2"/>
  <c r="H28" i="2"/>
  <c r="F30" i="2"/>
  <c r="G31" i="2"/>
  <c r="F32" i="2"/>
  <c r="E33" i="2"/>
  <c r="D34" i="2"/>
  <c r="C35" i="2"/>
  <c r="C37" i="2"/>
  <c r="F39" i="2"/>
  <c r="E39" i="2"/>
  <c r="O39" i="2"/>
  <c r="L41" i="2"/>
  <c r="K41" i="2"/>
  <c r="O41" i="2"/>
  <c r="M43" i="2"/>
  <c r="M45" i="2"/>
  <c r="J48" i="2"/>
  <c r="J50" i="2"/>
  <c r="H52" i="2"/>
  <c r="F54" i="2"/>
  <c r="G55" i="2"/>
  <c r="F56" i="2"/>
  <c r="E57" i="2"/>
  <c r="D58" i="2"/>
  <c r="C59" i="2"/>
  <c r="D60" i="2"/>
  <c r="C61" i="2"/>
  <c r="B62" i="2"/>
  <c r="F63" i="2"/>
  <c r="E63" i="2"/>
  <c r="O63" i="2"/>
  <c r="B65" i="2"/>
  <c r="C66" i="2"/>
  <c r="D68" i="2"/>
  <c r="C70" i="2"/>
  <c r="C71" i="2"/>
  <c r="E72" i="2"/>
  <c r="E73" i="2"/>
  <c r="E74" i="2"/>
  <c r="G75" i="2"/>
  <c r="G76" i="2"/>
  <c r="G77" i="2"/>
  <c r="G78" i="2"/>
  <c r="J79" i="2"/>
  <c r="J80" i="2"/>
  <c r="B85" i="2"/>
  <c r="C86" i="2"/>
  <c r="H87" i="2"/>
  <c r="I88" i="2"/>
  <c r="J89" i="2"/>
  <c r="D96" i="2"/>
  <c r="E98" i="2"/>
  <c r="J99" i="2"/>
  <c r="L101" i="2"/>
  <c r="K101" i="2"/>
  <c r="M101" i="2"/>
  <c r="I101" i="2"/>
  <c r="E101" i="2"/>
  <c r="C102" i="2"/>
  <c r="H103" i="2"/>
  <c r="L104" i="2"/>
  <c r="K108" i="2"/>
  <c r="B110" i="2"/>
  <c r="I111" i="2"/>
  <c r="L113" i="2"/>
  <c r="K113" i="2"/>
  <c r="E113" i="2"/>
  <c r="C113" i="2"/>
  <c r="M113" i="2"/>
  <c r="J113" i="2"/>
  <c r="F114" i="2"/>
  <c r="L116" i="2"/>
  <c r="F120" i="2"/>
  <c r="B126" i="2"/>
  <c r="M129" i="2"/>
  <c r="D137" i="2"/>
  <c r="N139" i="2"/>
  <c r="L141" i="2"/>
  <c r="K141" i="2"/>
  <c r="J141" i="2"/>
  <c r="O141" i="2"/>
  <c r="N141" i="2"/>
  <c r="M141" i="2"/>
  <c r="I141" i="2"/>
  <c r="G141" i="2"/>
  <c r="E141" i="2"/>
  <c r="D141" i="2"/>
  <c r="C143" i="2"/>
  <c r="I154" i="2"/>
  <c r="H154" i="2"/>
  <c r="G154" i="2"/>
  <c r="E154" i="2"/>
  <c r="D154" i="2"/>
  <c r="C154" i="2"/>
  <c r="B154" i="2"/>
  <c r="O154" i="2"/>
  <c r="M154" i="2"/>
  <c r="L154" i="2"/>
  <c r="M157" i="2"/>
  <c r="J166" i="2"/>
  <c r="G177" i="2"/>
  <c r="N179" i="2"/>
  <c r="C181" i="2"/>
  <c r="L183" i="2"/>
  <c r="I4" i="2"/>
  <c r="G6" i="2"/>
  <c r="B15" i="2"/>
  <c r="O16" i="2"/>
  <c r="C16" i="2"/>
  <c r="N16" i="2"/>
  <c r="B16" i="2"/>
  <c r="B17" i="2"/>
  <c r="I18" i="2"/>
  <c r="H18" i="2"/>
  <c r="O18" i="2"/>
  <c r="L23" i="2"/>
  <c r="K24" i="2"/>
  <c r="J25" i="2"/>
  <c r="K26" i="2"/>
  <c r="I28" i="2"/>
  <c r="G30" i="2"/>
  <c r="H31" i="2"/>
  <c r="G32" i="2"/>
  <c r="F33" i="2"/>
  <c r="E34" i="2"/>
  <c r="D35" i="2"/>
  <c r="D37" i="2"/>
  <c r="B39" i="2"/>
  <c r="O40" i="2"/>
  <c r="C40" i="2"/>
  <c r="N40" i="2"/>
  <c r="B40" i="2"/>
  <c r="B41" i="2"/>
  <c r="I42" i="2"/>
  <c r="H42" i="2"/>
  <c r="O42" i="2"/>
  <c r="L47" i="2"/>
  <c r="K48" i="2"/>
  <c r="J49" i="2"/>
  <c r="K50" i="2"/>
  <c r="I52" i="2"/>
  <c r="G54" i="2"/>
  <c r="H55" i="2"/>
  <c r="G56" i="2"/>
  <c r="F57" i="2"/>
  <c r="E58" i="2"/>
  <c r="D59" i="2"/>
  <c r="E60" i="2"/>
  <c r="D61" i="2"/>
  <c r="C62" i="2"/>
  <c r="B63" i="2"/>
  <c r="O64" i="2"/>
  <c r="C64" i="2"/>
  <c r="N64" i="2"/>
  <c r="B64" i="2"/>
  <c r="D64" i="2"/>
  <c r="D65" i="2"/>
  <c r="D66" i="2"/>
  <c r="E68" i="2"/>
  <c r="D70" i="2"/>
  <c r="D71" i="2"/>
  <c r="F72" i="2"/>
  <c r="F73" i="2"/>
  <c r="F74" i="2"/>
  <c r="H75" i="2"/>
  <c r="H76" i="2"/>
  <c r="H77" i="2"/>
  <c r="K78" i="2"/>
  <c r="K79" i="2"/>
  <c r="K80" i="2"/>
  <c r="M81" i="2"/>
  <c r="C85" i="2"/>
  <c r="E86" i="2"/>
  <c r="I87" i="2"/>
  <c r="J88" i="2"/>
  <c r="M89" i="2"/>
  <c r="I94" i="2"/>
  <c r="H94" i="2"/>
  <c r="B94" i="2"/>
  <c r="N94" i="2"/>
  <c r="E96" i="2"/>
  <c r="G98" i="2"/>
  <c r="L99" i="2"/>
  <c r="B101" i="2"/>
  <c r="E102" i="2"/>
  <c r="J103" i="2"/>
  <c r="C110" i="2"/>
  <c r="J111" i="2"/>
  <c r="B113" i="2"/>
  <c r="G114" i="2"/>
  <c r="I120" i="2"/>
  <c r="O124" i="2"/>
  <c r="C124" i="2"/>
  <c r="N124" i="2"/>
  <c r="B124" i="2"/>
  <c r="M124" i="2"/>
  <c r="L124" i="2"/>
  <c r="K124" i="2"/>
  <c r="J124" i="2"/>
  <c r="H124" i="2"/>
  <c r="F124" i="2"/>
  <c r="E124" i="2"/>
  <c r="E126" i="2"/>
  <c r="N129" i="2"/>
  <c r="F137" i="2"/>
  <c r="O139" i="2"/>
  <c r="B141" i="2"/>
  <c r="I143" i="2"/>
  <c r="F154" i="2"/>
  <c r="I158" i="2"/>
  <c r="H158" i="2"/>
  <c r="G158" i="2"/>
  <c r="J158" i="2"/>
  <c r="F158" i="2"/>
  <c r="E158" i="2"/>
  <c r="D158" i="2"/>
  <c r="B158" i="2"/>
  <c r="O158" i="2"/>
  <c r="N158" i="2"/>
  <c r="O166" i="2"/>
  <c r="H177" i="2"/>
  <c r="H181" i="2"/>
  <c r="M183" i="2"/>
  <c r="G35" i="2"/>
  <c r="E37" i="2"/>
  <c r="F43" i="2"/>
  <c r="E43" i="2"/>
  <c r="O43" i="2"/>
  <c r="F60" i="2"/>
  <c r="D62" i="2"/>
  <c r="J77" i="2"/>
  <c r="L78" i="2"/>
  <c r="L79" i="2"/>
  <c r="L80" i="2"/>
  <c r="O84" i="2"/>
  <c r="C84" i="2"/>
  <c r="N84" i="2"/>
  <c r="B84" i="2"/>
  <c r="H84" i="2"/>
  <c r="F84" i="2"/>
  <c r="D85" i="2"/>
  <c r="F96" i="2"/>
  <c r="N99" i="2"/>
  <c r="L105" i="2"/>
  <c r="K105" i="2"/>
  <c r="I105" i="2"/>
  <c r="G105" i="2"/>
  <c r="C105" i="2"/>
  <c r="E110" i="2"/>
  <c r="I118" i="2"/>
  <c r="H118" i="2"/>
  <c r="B118" i="2"/>
  <c r="N118" i="2"/>
  <c r="J118" i="2"/>
  <c r="G118" i="2"/>
  <c r="G126" i="2"/>
  <c r="F167" i="2"/>
  <c r="E167" i="2"/>
  <c r="D167" i="2"/>
  <c r="N167" i="2"/>
  <c r="M167" i="2"/>
  <c r="L167" i="2"/>
  <c r="K167" i="2"/>
  <c r="I167" i="2"/>
  <c r="G167" i="2"/>
  <c r="C167" i="2"/>
  <c r="L45" i="2"/>
  <c r="K45" i="2"/>
  <c r="O45" i="2"/>
  <c r="E65" i="2"/>
  <c r="E66" i="2"/>
  <c r="F68" i="2"/>
  <c r="K4" i="2"/>
  <c r="K6" i="2"/>
  <c r="D15" i="2"/>
  <c r="E16" i="2"/>
  <c r="D17" i="2"/>
  <c r="C18" i="2"/>
  <c r="O20" i="2"/>
  <c r="C20" i="2"/>
  <c r="N20" i="2"/>
  <c r="B20" i="2"/>
  <c r="I22" i="2"/>
  <c r="H22" i="2"/>
  <c r="O22" i="2"/>
  <c r="M26" i="2"/>
  <c r="K28" i="2"/>
  <c r="K30" i="2"/>
  <c r="J31" i="2"/>
  <c r="I32" i="2"/>
  <c r="H33" i="2"/>
  <c r="G34" i="2"/>
  <c r="H35" i="2"/>
  <c r="F37" i="2"/>
  <c r="D39" i="2"/>
  <c r="E40" i="2"/>
  <c r="D41" i="2"/>
  <c r="C42" i="2"/>
  <c r="B43" i="2"/>
  <c r="O44" i="2"/>
  <c r="C44" i="2"/>
  <c r="N44" i="2"/>
  <c r="B44" i="2"/>
  <c r="B45" i="2"/>
  <c r="I46" i="2"/>
  <c r="H46" i="2"/>
  <c r="O46" i="2"/>
  <c r="M50" i="2"/>
  <c r="K52" i="2"/>
  <c r="K54" i="2"/>
  <c r="J55" i="2"/>
  <c r="I56" i="2"/>
  <c r="H57" i="2"/>
  <c r="G58" i="2"/>
  <c r="H59" i="2"/>
  <c r="G60" i="2"/>
  <c r="F61" i="2"/>
  <c r="E62" i="2"/>
  <c r="D63" i="2"/>
  <c r="F64" i="2"/>
  <c r="F65" i="2"/>
  <c r="F66" i="2"/>
  <c r="G68" i="2"/>
  <c r="F70" i="2"/>
  <c r="H71" i="2"/>
  <c r="H72" i="2"/>
  <c r="H73" i="2"/>
  <c r="J74" i="2"/>
  <c r="J75" i="2"/>
  <c r="K76" i="2"/>
  <c r="M77" i="2"/>
  <c r="M78" i="2"/>
  <c r="M79" i="2"/>
  <c r="F83" i="2"/>
  <c r="E83" i="2"/>
  <c r="I83" i="2"/>
  <c r="G83" i="2"/>
  <c r="D84" i="2"/>
  <c r="F85" i="2"/>
  <c r="J86" i="2"/>
  <c r="K87" i="2"/>
  <c r="L88" i="2"/>
  <c r="O92" i="2"/>
  <c r="C92" i="2"/>
  <c r="N92" i="2"/>
  <c r="B92" i="2"/>
  <c r="D92" i="2"/>
  <c r="D94" i="2"/>
  <c r="G96" i="2"/>
  <c r="K98" i="2"/>
  <c r="D101" i="2"/>
  <c r="G102" i="2"/>
  <c r="M103" i="2"/>
  <c r="B105" i="2"/>
  <c r="G110" i="2"/>
  <c r="N111" i="2"/>
  <c r="F113" i="2"/>
  <c r="M114" i="2"/>
  <c r="C118" i="2"/>
  <c r="G124" i="2"/>
  <c r="N126" i="2"/>
  <c r="O137" i="2"/>
  <c r="F141" i="2"/>
  <c r="K154" i="2"/>
  <c r="K158" i="2"/>
  <c r="B167" i="2"/>
  <c r="I178" i="2"/>
  <c r="H178" i="2"/>
  <c r="G178" i="2"/>
  <c r="E178" i="2"/>
  <c r="D178" i="2"/>
  <c r="C178" i="2"/>
  <c r="B178" i="2"/>
  <c r="O178" i="2"/>
  <c r="M178" i="2"/>
  <c r="L178" i="2"/>
  <c r="M181" i="2"/>
  <c r="L4" i="2"/>
  <c r="L6" i="2"/>
  <c r="G15" i="2"/>
  <c r="E17" i="2"/>
  <c r="F23" i="2"/>
  <c r="E23" i="2"/>
  <c r="O23" i="2"/>
  <c r="L25" i="2"/>
  <c r="K25" i="2"/>
  <c r="O25" i="2"/>
  <c r="L28" i="2"/>
  <c r="L30" i="2"/>
  <c r="K31" i="2"/>
  <c r="J32" i="2"/>
  <c r="I33" i="2"/>
  <c r="J34" i="2"/>
  <c r="I35" i="2"/>
  <c r="G37" i="2"/>
  <c r="G39" i="2"/>
  <c r="E41" i="2"/>
  <c r="C43" i="2"/>
  <c r="C45" i="2"/>
  <c r="F47" i="2"/>
  <c r="E47" i="2"/>
  <c r="O47" i="2"/>
  <c r="L49" i="2"/>
  <c r="K49" i="2"/>
  <c r="O49" i="2"/>
  <c r="L52" i="2"/>
  <c r="L54" i="2"/>
  <c r="K55" i="2"/>
  <c r="J56" i="2"/>
  <c r="I57" i="2"/>
  <c r="J58" i="2"/>
  <c r="I59" i="2"/>
  <c r="H60" i="2"/>
  <c r="G61" i="2"/>
  <c r="F62" i="2"/>
  <c r="G63" i="2"/>
  <c r="G65" i="2"/>
  <c r="G66" i="2"/>
  <c r="H68" i="2"/>
  <c r="G70" i="2"/>
  <c r="I71" i="2"/>
  <c r="I72" i="2"/>
  <c r="I73" i="2"/>
  <c r="K74" i="2"/>
  <c r="L75" i="2"/>
  <c r="L76" i="2"/>
  <c r="N77" i="2"/>
  <c r="N78" i="2"/>
  <c r="N79" i="2"/>
  <c r="L81" i="2"/>
  <c r="K81" i="2"/>
  <c r="G81" i="2"/>
  <c r="I82" i="2"/>
  <c r="H82" i="2"/>
  <c r="J82" i="2"/>
  <c r="F82" i="2"/>
  <c r="E84" i="2"/>
  <c r="H85" i="2"/>
  <c r="K86" i="2"/>
  <c r="L87" i="2"/>
  <c r="M88" i="2"/>
  <c r="I90" i="2"/>
  <c r="H90" i="2"/>
  <c r="D90" i="2"/>
  <c r="B90" i="2"/>
  <c r="H96" i="2"/>
  <c r="M98" i="2"/>
  <c r="O100" i="2"/>
  <c r="C100" i="2"/>
  <c r="N100" i="2"/>
  <c r="B100" i="2"/>
  <c r="L100" i="2"/>
  <c r="J100" i="2"/>
  <c r="F100" i="2"/>
  <c r="F101" i="2"/>
  <c r="K102" i="2"/>
  <c r="N103" i="2"/>
  <c r="D105" i="2"/>
  <c r="J110" i="2"/>
  <c r="O111" i="2"/>
  <c r="G113" i="2"/>
  <c r="N114" i="2"/>
  <c r="D118" i="2"/>
  <c r="O126" i="2"/>
  <c r="I138" i="2"/>
  <c r="H138" i="2"/>
  <c r="G138" i="2"/>
  <c r="M138" i="2"/>
  <c r="L138" i="2"/>
  <c r="K138" i="2"/>
  <c r="J138" i="2"/>
  <c r="E138" i="2"/>
  <c r="C138" i="2"/>
  <c r="B138" i="2"/>
  <c r="H141" i="2"/>
  <c r="N154" i="2"/>
  <c r="L158" i="2"/>
  <c r="L165" i="2"/>
  <c r="K165" i="2"/>
  <c r="J165" i="2"/>
  <c r="N165" i="2"/>
  <c r="M165" i="2"/>
  <c r="I165" i="2"/>
  <c r="H165" i="2"/>
  <c r="F165" i="2"/>
  <c r="D165" i="2"/>
  <c r="C165" i="2"/>
  <c r="H167" i="2"/>
  <c r="I182" i="2"/>
  <c r="H182" i="2"/>
  <c r="G182" i="2"/>
  <c r="J182" i="2"/>
  <c r="F182" i="2"/>
  <c r="E182" i="2"/>
  <c r="D182" i="2"/>
  <c r="B182" i="2"/>
  <c r="O182" i="2"/>
  <c r="N182" i="2"/>
  <c r="L201" i="2"/>
  <c r="K201" i="2"/>
  <c r="J201" i="2"/>
  <c r="E201" i="2"/>
  <c r="D201" i="2"/>
  <c r="C201" i="2"/>
  <c r="B201" i="2"/>
  <c r="O201" i="2"/>
  <c r="M201" i="2"/>
  <c r="I201" i="2"/>
  <c r="H201" i="2"/>
  <c r="G201" i="2"/>
  <c r="F201" i="2"/>
  <c r="O24" i="2"/>
  <c r="C24" i="2"/>
  <c r="N24" i="2"/>
  <c r="B24" i="2"/>
  <c r="I26" i="2"/>
  <c r="H26" i="2"/>
  <c r="O26" i="2"/>
  <c r="L31" i="2"/>
  <c r="K32" i="2"/>
  <c r="J33" i="2"/>
  <c r="K34" i="2"/>
  <c r="J35" i="2"/>
  <c r="H37" i="2"/>
  <c r="D43" i="2"/>
  <c r="D45" i="2"/>
  <c r="O48" i="2"/>
  <c r="C48" i="2"/>
  <c r="N48" i="2"/>
  <c r="B48" i="2"/>
  <c r="I50" i="2"/>
  <c r="H50" i="2"/>
  <c r="O50" i="2"/>
  <c r="L55" i="2"/>
  <c r="K56" i="2"/>
  <c r="J57" i="2"/>
  <c r="K58" i="2"/>
  <c r="J59" i="2"/>
  <c r="I60" i="2"/>
  <c r="H61" i="2"/>
  <c r="G62" i="2"/>
  <c r="H65" i="2"/>
  <c r="J66" i="2"/>
  <c r="I68" i="2"/>
  <c r="J70" i="2"/>
  <c r="J71" i="2"/>
  <c r="J72" i="2"/>
  <c r="J73" i="2"/>
  <c r="M74" i="2"/>
  <c r="M75" i="2"/>
  <c r="M76" i="2"/>
  <c r="G84" i="2"/>
  <c r="I85" i="2"/>
  <c r="L86" i="2"/>
  <c r="M87" i="2"/>
  <c r="L89" i="2"/>
  <c r="K89" i="2"/>
  <c r="E89" i="2"/>
  <c r="C89" i="2"/>
  <c r="I96" i="2"/>
  <c r="O98" i="2"/>
  <c r="M102" i="2"/>
  <c r="O103" i="2"/>
  <c r="E105" i="2"/>
  <c r="K110" i="2"/>
  <c r="O112" i="2"/>
  <c r="C112" i="2"/>
  <c r="N112" i="2"/>
  <c r="B112" i="2"/>
  <c r="F112" i="2"/>
  <c r="D112" i="2"/>
  <c r="L112" i="2"/>
  <c r="K112" i="2"/>
  <c r="O114" i="2"/>
  <c r="E118" i="2"/>
  <c r="L125" i="2"/>
  <c r="K125" i="2"/>
  <c r="N125" i="2"/>
  <c r="M125" i="2"/>
  <c r="J125" i="2"/>
  <c r="I125" i="2"/>
  <c r="G125" i="2"/>
  <c r="E125" i="2"/>
  <c r="D125" i="2"/>
  <c r="F127" i="2"/>
  <c r="E127" i="2"/>
  <c r="L127" i="2"/>
  <c r="K127" i="2"/>
  <c r="J127" i="2"/>
  <c r="I127" i="2"/>
  <c r="G127" i="2"/>
  <c r="C127" i="2"/>
  <c r="B127" i="2"/>
  <c r="I142" i="2"/>
  <c r="H142" i="2"/>
  <c r="G142" i="2"/>
  <c r="O142" i="2"/>
  <c r="N142" i="2"/>
  <c r="M142" i="2"/>
  <c r="L142" i="2"/>
  <c r="J142" i="2"/>
  <c r="E142" i="2"/>
  <c r="D142" i="2"/>
  <c r="F155" i="2"/>
  <c r="E155" i="2"/>
  <c r="D155" i="2"/>
  <c r="H155" i="2"/>
  <c r="G155" i="2"/>
  <c r="C155" i="2"/>
  <c r="B155" i="2"/>
  <c r="O155" i="2"/>
  <c r="M155" i="2"/>
  <c r="L155" i="2"/>
  <c r="J167" i="2"/>
  <c r="L77" i="2"/>
  <c r="K77" i="2"/>
  <c r="I77" i="2"/>
  <c r="I78" i="2"/>
  <c r="H78" i="2"/>
  <c r="J78" i="2"/>
  <c r="F79" i="2"/>
  <c r="E79" i="2"/>
  <c r="I79" i="2"/>
  <c r="O80" i="2"/>
  <c r="C80" i="2"/>
  <c r="N80" i="2"/>
  <c r="B80" i="2"/>
  <c r="H80" i="2"/>
  <c r="F99" i="2"/>
  <c r="E99" i="2"/>
  <c r="M99" i="2"/>
  <c r="K99" i="2"/>
  <c r="G99" i="2"/>
  <c r="O104" i="2"/>
  <c r="C104" i="2"/>
  <c r="N104" i="2"/>
  <c r="B104" i="2"/>
  <c r="J104" i="2"/>
  <c r="H104" i="2"/>
  <c r="D104" i="2"/>
  <c r="O108" i="2"/>
  <c r="C108" i="2"/>
  <c r="N108" i="2"/>
  <c r="B108" i="2"/>
  <c r="H108" i="2"/>
  <c r="F108" i="2"/>
  <c r="M108" i="2"/>
  <c r="O116" i="2"/>
  <c r="C116" i="2"/>
  <c r="N116" i="2"/>
  <c r="B116" i="2"/>
  <c r="D116" i="2"/>
  <c r="J116" i="2"/>
  <c r="I116" i="2"/>
  <c r="F159" i="2"/>
  <c r="E159" i="2"/>
  <c r="D159" i="2"/>
  <c r="J159" i="2"/>
  <c r="I159" i="2"/>
  <c r="H159" i="2"/>
  <c r="G159" i="2"/>
  <c r="B159" i="2"/>
  <c r="O159" i="2"/>
  <c r="N159" i="2"/>
  <c r="C4" i="2"/>
  <c r="N4" i="2"/>
  <c r="B4" i="2"/>
  <c r="I6" i="2"/>
  <c r="H6" i="2"/>
  <c r="O28" i="2"/>
  <c r="C28" i="2"/>
  <c r="N28" i="2"/>
  <c r="B28" i="2"/>
  <c r="I30" i="2"/>
  <c r="H30" i="2"/>
  <c r="O30" i="2"/>
  <c r="N31" i="2"/>
  <c r="M32" i="2"/>
  <c r="N33" i="2"/>
  <c r="M34" i="2"/>
  <c r="L35" i="2"/>
  <c r="J37" i="2"/>
  <c r="H43" i="2"/>
  <c r="F45" i="2"/>
  <c r="O52" i="2"/>
  <c r="C52" i="2"/>
  <c r="N52" i="2"/>
  <c r="B52" i="2"/>
  <c r="I54" i="2"/>
  <c r="H54" i="2"/>
  <c r="O54" i="2"/>
  <c r="N55" i="2"/>
  <c r="M56" i="2"/>
  <c r="N57" i="2"/>
  <c r="M58" i="2"/>
  <c r="L59" i="2"/>
  <c r="K60" i="2"/>
  <c r="J61" i="2"/>
  <c r="K62" i="2"/>
  <c r="J65" i="2"/>
  <c r="L66" i="2"/>
  <c r="K68" i="2"/>
  <c r="L70" i="2"/>
  <c r="L71" i="2"/>
  <c r="M72" i="2"/>
  <c r="O73" i="2"/>
  <c r="O74" i="2"/>
  <c r="O75" i="2"/>
  <c r="B77" i="2"/>
  <c r="B78" i="2"/>
  <c r="B79" i="2"/>
  <c r="D80" i="2"/>
  <c r="J84" i="2"/>
  <c r="M85" i="2"/>
  <c r="N86" i="2"/>
  <c r="O87" i="2"/>
  <c r="K96" i="2"/>
  <c r="B99" i="2"/>
  <c r="O102" i="2"/>
  <c r="E104" i="2"/>
  <c r="H105" i="2"/>
  <c r="D108" i="2"/>
  <c r="O110" i="2"/>
  <c r="G112" i="2"/>
  <c r="E116" i="2"/>
  <c r="K118" i="2"/>
  <c r="F123" i="2"/>
  <c r="E123" i="2"/>
  <c r="N123" i="2"/>
  <c r="M123" i="2"/>
  <c r="L123" i="2"/>
  <c r="K123" i="2"/>
  <c r="I123" i="2"/>
  <c r="G123" i="2"/>
  <c r="D123" i="2"/>
  <c r="C125" i="2"/>
  <c r="H127" i="2"/>
  <c r="C142" i="2"/>
  <c r="L153" i="2"/>
  <c r="K153" i="2"/>
  <c r="J153" i="2"/>
  <c r="E153" i="2"/>
  <c r="D153" i="2"/>
  <c r="C153" i="2"/>
  <c r="B153" i="2"/>
  <c r="O153" i="2"/>
  <c r="M153" i="2"/>
  <c r="I153" i="2"/>
  <c r="J155" i="2"/>
  <c r="C159" i="2"/>
  <c r="L189" i="2"/>
  <c r="K189" i="2"/>
  <c r="J189" i="2"/>
  <c r="I190" i="2"/>
  <c r="H190" i="2"/>
  <c r="G190" i="2"/>
  <c r="F191" i="2"/>
  <c r="E191" i="2"/>
  <c r="D191" i="2"/>
  <c r="I106" i="2"/>
  <c r="H106" i="2"/>
  <c r="O106" i="2"/>
  <c r="H119" i="2"/>
  <c r="F121" i="2"/>
  <c r="E122" i="2"/>
  <c r="O128" i="2"/>
  <c r="C128" i="2"/>
  <c r="N128" i="2"/>
  <c r="B128" i="2"/>
  <c r="I130" i="2"/>
  <c r="H130" i="2"/>
  <c r="O130" i="2"/>
  <c r="F145" i="2"/>
  <c r="F146" i="2"/>
  <c r="I147" i="2"/>
  <c r="J151" i="2"/>
  <c r="L161" i="2"/>
  <c r="K161" i="2"/>
  <c r="J161" i="2"/>
  <c r="I162" i="2"/>
  <c r="H162" i="2"/>
  <c r="G162" i="2"/>
  <c r="F163" i="2"/>
  <c r="E163" i="2"/>
  <c r="D163" i="2"/>
  <c r="E169" i="2"/>
  <c r="E170" i="2"/>
  <c r="H171" i="2"/>
  <c r="G173" i="2"/>
  <c r="J174" i="2"/>
  <c r="J175" i="2"/>
  <c r="L185" i="2"/>
  <c r="K185" i="2"/>
  <c r="J185" i="2"/>
  <c r="I186" i="2"/>
  <c r="H186" i="2"/>
  <c r="G186" i="2"/>
  <c r="F187" i="2"/>
  <c r="E187" i="2"/>
  <c r="D187" i="2"/>
  <c r="C189" i="2"/>
  <c r="C190" i="2"/>
  <c r="C191" i="2"/>
  <c r="E193" i="2"/>
  <c r="E194" i="2"/>
  <c r="H195" i="2"/>
  <c r="G197" i="2"/>
  <c r="J198" i="2"/>
  <c r="J199" i="2"/>
  <c r="B106" i="2"/>
  <c r="F107" i="2"/>
  <c r="E107" i="2"/>
  <c r="O107" i="2"/>
  <c r="L109" i="2"/>
  <c r="K109" i="2"/>
  <c r="O109" i="2"/>
  <c r="F122" i="2"/>
  <c r="F131" i="2"/>
  <c r="E131" i="2"/>
  <c r="O131" i="2"/>
  <c r="L133" i="2"/>
  <c r="K133" i="2"/>
  <c r="J133" i="2"/>
  <c r="I134" i="2"/>
  <c r="H134" i="2"/>
  <c r="G134" i="2"/>
  <c r="F135" i="2"/>
  <c r="E135" i="2"/>
  <c r="D135" i="2"/>
  <c r="K151" i="2"/>
  <c r="F169" i="2"/>
  <c r="F170" i="2"/>
  <c r="I171" i="2"/>
  <c r="H173" i="2"/>
  <c r="K174" i="2"/>
  <c r="K175" i="2"/>
  <c r="D189" i="2"/>
  <c r="D190" i="2"/>
  <c r="G191" i="2"/>
  <c r="F193" i="2"/>
  <c r="F194" i="2"/>
  <c r="I195" i="2"/>
  <c r="H197" i="2"/>
  <c r="K198" i="2"/>
  <c r="K199" i="2"/>
  <c r="J122" i="2"/>
  <c r="M151" i="2"/>
  <c r="F189" i="2"/>
  <c r="F190" i="2"/>
  <c r="I191" i="2"/>
  <c r="F67" i="2"/>
  <c r="E67" i="2"/>
  <c r="O67" i="2"/>
  <c r="L69" i="2"/>
  <c r="K69" i="2"/>
  <c r="O69" i="2"/>
  <c r="F91" i="2"/>
  <c r="E91" i="2"/>
  <c r="O91" i="2"/>
  <c r="L93" i="2"/>
  <c r="K93" i="2"/>
  <c r="O93" i="2"/>
  <c r="F106" i="2"/>
  <c r="G107" i="2"/>
  <c r="E109" i="2"/>
  <c r="F115" i="2"/>
  <c r="E115" i="2"/>
  <c r="O115" i="2"/>
  <c r="L117" i="2"/>
  <c r="K117" i="2"/>
  <c r="O117" i="2"/>
  <c r="L122" i="2"/>
  <c r="H128" i="2"/>
  <c r="F130" i="2"/>
  <c r="G131" i="2"/>
  <c r="E133" i="2"/>
  <c r="E134" i="2"/>
  <c r="H135" i="2"/>
  <c r="L149" i="2"/>
  <c r="K149" i="2"/>
  <c r="J149" i="2"/>
  <c r="I150" i="2"/>
  <c r="H150" i="2"/>
  <c r="O150" i="2"/>
  <c r="F161" i="2"/>
  <c r="F162" i="2"/>
  <c r="I163" i="2"/>
  <c r="M169" i="2"/>
  <c r="M170" i="2"/>
  <c r="M171" i="2"/>
  <c r="H189" i="2"/>
  <c r="K190" i="2"/>
  <c r="K191" i="2"/>
  <c r="M193" i="2"/>
  <c r="M194" i="2"/>
  <c r="M195" i="2"/>
  <c r="B8" i="1"/>
  <c r="Q125" i="6"/>
  <c r="M122" i="2"/>
  <c r="F151" i="2"/>
  <c r="E151" i="2"/>
  <c r="D151" i="2"/>
  <c r="L173" i="2"/>
  <c r="K173" i="2"/>
  <c r="J173" i="2"/>
  <c r="I174" i="2"/>
  <c r="H174" i="2"/>
  <c r="G174" i="2"/>
  <c r="F175" i="2"/>
  <c r="E175" i="2"/>
  <c r="D175" i="2"/>
  <c r="I189" i="2"/>
  <c r="L190" i="2"/>
  <c r="L191" i="2"/>
  <c r="L197" i="2"/>
  <c r="K197" i="2"/>
  <c r="J197" i="2"/>
  <c r="I198" i="2"/>
  <c r="H198" i="2"/>
  <c r="G198" i="2"/>
  <c r="F199" i="2"/>
  <c r="E199" i="2"/>
  <c r="D199" i="2"/>
  <c r="F95" i="2"/>
  <c r="E95" i="2"/>
  <c r="O95" i="2"/>
  <c r="L97" i="2"/>
  <c r="K97" i="2"/>
  <c r="O97" i="2"/>
  <c r="J106" i="2"/>
  <c r="I107" i="2"/>
  <c r="G109" i="2"/>
  <c r="F119" i="2"/>
  <c r="E119" i="2"/>
  <c r="O119" i="2"/>
  <c r="L121" i="2"/>
  <c r="K121" i="2"/>
  <c r="O121" i="2"/>
  <c r="I131" i="2"/>
  <c r="G133" i="2"/>
  <c r="J134" i="2"/>
  <c r="J135" i="2"/>
  <c r="L145" i="2"/>
  <c r="K145" i="2"/>
  <c r="J145" i="2"/>
  <c r="I146" i="2"/>
  <c r="H146" i="2"/>
  <c r="G146" i="2"/>
  <c r="F147" i="2"/>
  <c r="E147" i="2"/>
  <c r="D147" i="2"/>
  <c r="B151" i="2"/>
  <c r="B173" i="2"/>
  <c r="B174" i="2"/>
  <c r="B175" i="2"/>
  <c r="M189" i="2"/>
  <c r="M190" i="2"/>
  <c r="M191" i="2"/>
  <c r="B197" i="2"/>
  <c r="B198" i="2"/>
  <c r="B199" i="2"/>
  <c r="I122" i="2"/>
  <c r="H122" i="2"/>
  <c r="O122" i="2"/>
  <c r="C151" i="2"/>
  <c r="L169" i="2"/>
  <c r="K169" i="2"/>
  <c r="J169" i="2"/>
  <c r="I170" i="2"/>
  <c r="H170" i="2"/>
  <c r="G170" i="2"/>
  <c r="F171" i="2"/>
  <c r="E171" i="2"/>
  <c r="D171" i="2"/>
  <c r="C173" i="2"/>
  <c r="C174" i="2"/>
  <c r="C175" i="2"/>
  <c r="N189" i="2"/>
  <c r="N190" i="2"/>
  <c r="N191" i="2"/>
  <c r="L193" i="2"/>
  <c r="K193" i="2"/>
  <c r="J193" i="2"/>
  <c r="I194" i="2"/>
  <c r="H194" i="2"/>
  <c r="G194" i="2"/>
  <c r="F195" i="2"/>
  <c r="E195" i="2"/>
  <c r="D195" i="2"/>
  <c r="C197" i="2"/>
  <c r="C198" i="2"/>
  <c r="C199" i="2"/>
  <c r="M144" i="2"/>
  <c r="M148" i="2"/>
  <c r="M156" i="2"/>
  <c r="M168" i="2"/>
  <c r="M172" i="2"/>
  <c r="M196" i="2"/>
  <c r="M200" i="2"/>
  <c r="M136" i="2"/>
  <c r="M140" i="2"/>
  <c r="M152" i="2"/>
  <c r="M160" i="2"/>
  <c r="M164" i="2"/>
  <c r="M176" i="2"/>
  <c r="M180" i="2"/>
  <c r="M184" i="2"/>
  <c r="M188" i="2"/>
  <c r="M192" i="2"/>
  <c r="B132" i="2"/>
  <c r="N132" i="2"/>
  <c r="B136" i="2"/>
  <c r="N136" i="2"/>
  <c r="B140" i="2"/>
  <c r="N140" i="2"/>
  <c r="B144" i="2"/>
  <c r="N144" i="2"/>
  <c r="B148" i="2"/>
  <c r="N148" i="2"/>
  <c r="B152" i="2"/>
  <c r="N152" i="2"/>
  <c r="B156" i="2"/>
  <c r="N156" i="2"/>
  <c r="B160" i="2"/>
  <c r="N160" i="2"/>
  <c r="B164" i="2"/>
  <c r="N164" i="2"/>
  <c r="B168" i="2"/>
  <c r="N168" i="2"/>
  <c r="B172" i="2"/>
  <c r="N172" i="2"/>
  <c r="B176" i="2"/>
  <c r="N176" i="2"/>
  <c r="B180" i="2"/>
  <c r="N180" i="2"/>
  <c r="B184" i="2"/>
  <c r="N184" i="2"/>
  <c r="B188" i="2"/>
  <c r="N188" i="2"/>
  <c r="B192" i="2"/>
  <c r="N192" i="2"/>
  <c r="B196" i="2"/>
  <c r="N196" i="2"/>
  <c r="B200" i="2"/>
  <c r="N200" i="2"/>
  <c r="C132" i="2"/>
  <c r="C136" i="2"/>
  <c r="C140" i="2"/>
  <c r="C144" i="2"/>
  <c r="C148" i="2"/>
  <c r="C152" i="2"/>
  <c r="C156" i="2"/>
  <c r="C160" i="2"/>
  <c r="C164" i="2"/>
  <c r="C168" i="2"/>
  <c r="C172" i="2"/>
  <c r="C176" i="2"/>
  <c r="C180" i="2"/>
  <c r="C184" i="2"/>
  <c r="C188" i="2"/>
  <c r="C192" i="2"/>
  <c r="C196" i="2"/>
  <c r="C200" i="2"/>
  <c r="O6" i="2" l="1"/>
  <c r="O10" i="2"/>
  <c r="E9" i="2"/>
  <c r="F9" i="2"/>
  <c r="E7" i="2"/>
  <c r="O8" i="2"/>
  <c r="O5" i="2"/>
  <c r="M11" i="4"/>
  <c r="O7" i="2"/>
  <c r="O11" i="2"/>
  <c r="B18" i="1"/>
  <c r="M8" i="4"/>
  <c r="O9" i="2"/>
  <c r="M7" i="4"/>
  <c r="O3" i="2"/>
  <c r="O4" i="2"/>
  <c r="M5" i="4"/>
  <c r="D5" i="2"/>
  <c r="M9" i="4"/>
  <c r="D8" i="2"/>
  <c r="E11" i="2"/>
  <c r="F8" i="2"/>
  <c r="M4" i="4"/>
  <c r="M6" i="4"/>
  <c r="M10" i="4"/>
  <c r="D6" i="2"/>
  <c r="E6" i="2"/>
  <c r="E3" i="2"/>
  <c r="F11" i="2"/>
  <c r="F3" i="2"/>
  <c r="F5" i="2"/>
  <c r="M12" i="4"/>
  <c r="F4" i="2"/>
  <c r="E4" i="2"/>
  <c r="D4" i="2"/>
  <c r="G84" i="1"/>
  <c r="C84" i="1" s="1"/>
  <c r="C29" i="1"/>
  <c r="G30" i="1"/>
  <c r="A29" i="1"/>
  <c r="E29" i="1"/>
  <c r="D29" i="1"/>
  <c r="E66" i="1"/>
  <c r="G67" i="1"/>
  <c r="A66" i="1"/>
  <c r="B66" i="1"/>
  <c r="D66" i="1"/>
  <c r="E24" i="1" l="1"/>
  <c r="B22" i="1"/>
  <c r="B23" i="1"/>
  <c r="B24" i="1"/>
  <c r="G85" i="1"/>
  <c r="C85" i="1" s="1"/>
  <c r="A84" i="1"/>
  <c r="D84" i="1"/>
  <c r="E84" i="1"/>
  <c r="B84" i="1"/>
  <c r="E67" i="1"/>
  <c r="B67" i="1"/>
  <c r="A67" i="1"/>
  <c r="D67" i="1"/>
  <c r="G68" i="1"/>
  <c r="C67" i="1"/>
  <c r="E30" i="1"/>
  <c r="B30" i="1"/>
  <c r="C30" i="1"/>
  <c r="A30" i="1"/>
  <c r="G31" i="1"/>
  <c r="D30" i="1"/>
  <c r="A85" i="1" l="1"/>
  <c r="D85" i="1"/>
  <c r="B85" i="1"/>
  <c r="G86" i="1"/>
  <c r="C86" i="1" s="1"/>
  <c r="E85" i="1"/>
  <c r="E68" i="1"/>
  <c r="D68" i="1"/>
  <c r="G69" i="1"/>
  <c r="C68" i="1"/>
  <c r="B68" i="1"/>
  <c r="A68" i="1"/>
  <c r="C31" i="1"/>
  <c r="B31" i="1"/>
  <c r="G32" i="1"/>
  <c r="E31" i="1"/>
  <c r="D31" i="1"/>
  <c r="A31" i="1"/>
  <c r="G87" i="1" l="1"/>
  <c r="E87" i="1" s="1"/>
  <c r="D86" i="1"/>
  <c r="A86" i="1"/>
  <c r="E86" i="1"/>
  <c r="B86" i="1"/>
  <c r="E32" i="1"/>
  <c r="C32" i="1"/>
  <c r="B32" i="1"/>
  <c r="G33" i="1"/>
  <c r="D32" i="1"/>
  <c r="A32" i="1"/>
  <c r="C69" i="1"/>
  <c r="E69" i="1"/>
  <c r="A69" i="1"/>
  <c r="G70" i="1"/>
  <c r="B69" i="1"/>
  <c r="D69" i="1"/>
  <c r="G88" i="1" l="1"/>
  <c r="C88" i="1" s="1"/>
  <c r="B87" i="1"/>
  <c r="C87" i="1"/>
  <c r="A87" i="1"/>
  <c r="D87" i="1"/>
  <c r="G71" i="1"/>
  <c r="C70" i="1"/>
  <c r="B70" i="1"/>
  <c r="A70" i="1"/>
  <c r="E70" i="1"/>
  <c r="D70" i="1"/>
  <c r="E33" i="1"/>
  <c r="G34" i="1"/>
  <c r="C33" i="1"/>
  <c r="D33" i="1"/>
  <c r="A33" i="1"/>
  <c r="B33" i="1"/>
  <c r="A88" i="1" l="1"/>
  <c r="G89" i="1"/>
  <c r="C89" i="1" s="1"/>
  <c r="D88" i="1"/>
  <c r="E88" i="1"/>
  <c r="B88" i="1"/>
  <c r="E34" i="1"/>
  <c r="D34" i="1"/>
  <c r="A34" i="1"/>
  <c r="G35" i="1"/>
  <c r="C34" i="1"/>
  <c r="B34" i="1"/>
  <c r="C71" i="1"/>
  <c r="B71" i="1"/>
  <c r="E71" i="1"/>
  <c r="A71" i="1"/>
  <c r="G72" i="1"/>
  <c r="D71" i="1"/>
  <c r="B89" i="1" l="1"/>
  <c r="D89" i="1"/>
  <c r="E89" i="1"/>
  <c r="G90" i="1"/>
  <c r="C90" i="1" s="1"/>
  <c r="A89" i="1"/>
  <c r="E72" i="1"/>
  <c r="C72" i="1"/>
  <c r="B72" i="1"/>
  <c r="A72" i="1"/>
  <c r="G73" i="1"/>
  <c r="D72" i="1"/>
  <c r="C35" i="1"/>
  <c r="B35" i="1"/>
  <c r="D35" i="1"/>
  <c r="A35" i="1"/>
  <c r="G36" i="1"/>
  <c r="E35" i="1"/>
  <c r="A90" i="1" l="1"/>
  <c r="D90" i="1"/>
  <c r="E90" i="1"/>
  <c r="G91" i="1"/>
  <c r="E91" i="1" s="1"/>
  <c r="B90" i="1"/>
  <c r="G37" i="1"/>
  <c r="B36" i="1"/>
  <c r="C36" i="1"/>
  <c r="E36" i="1"/>
  <c r="D36" i="1"/>
  <c r="A36" i="1"/>
  <c r="C73" i="1"/>
  <c r="B73" i="1"/>
  <c r="E73" i="1"/>
  <c r="D73" i="1"/>
  <c r="G74" i="1"/>
  <c r="A73" i="1"/>
  <c r="B91" i="1" l="1"/>
  <c r="G92" i="1"/>
  <c r="B92" i="1" s="1"/>
  <c r="A91" i="1"/>
  <c r="C91" i="1"/>
  <c r="D91" i="1"/>
  <c r="D74" i="1"/>
  <c r="B74" i="1"/>
  <c r="A74" i="1"/>
  <c r="E74" i="1"/>
  <c r="C74" i="1"/>
  <c r="G75" i="1"/>
  <c r="C37" i="1"/>
  <c r="B37" i="1"/>
  <c r="E37" i="1"/>
  <c r="A37" i="1"/>
  <c r="G38" i="1"/>
  <c r="D37" i="1"/>
  <c r="A92" i="1" l="1"/>
  <c r="D92" i="1"/>
  <c r="E92" i="1"/>
  <c r="G93" i="1"/>
  <c r="E93" i="1" s="1"/>
  <c r="C92" i="1"/>
  <c r="A38" i="1"/>
  <c r="C38" i="1"/>
  <c r="G39" i="1"/>
  <c r="E38" i="1"/>
  <c r="D38" i="1"/>
  <c r="B38" i="1"/>
  <c r="C75" i="1"/>
  <c r="B75" i="1"/>
  <c r="G76" i="1"/>
  <c r="E75" i="1"/>
  <c r="A75" i="1"/>
  <c r="D75" i="1"/>
  <c r="G94" i="1" l="1"/>
  <c r="C94" i="1" s="1"/>
  <c r="D93" i="1"/>
  <c r="A93" i="1"/>
  <c r="B93" i="1"/>
  <c r="C93" i="1"/>
  <c r="D76" i="1"/>
  <c r="E76" i="1"/>
  <c r="A76" i="1"/>
  <c r="B76" i="1"/>
  <c r="C76" i="1"/>
  <c r="G77" i="1"/>
  <c r="C39" i="1"/>
  <c r="B39" i="1"/>
  <c r="E39" i="1"/>
  <c r="D39" i="1"/>
  <c r="A39" i="1"/>
  <c r="G40" i="1"/>
  <c r="E94" i="1" l="1"/>
  <c r="G95" i="1"/>
  <c r="E95" i="1" s="1"/>
  <c r="D94" i="1"/>
  <c r="A94" i="1"/>
  <c r="B94" i="1"/>
  <c r="B40" i="1"/>
  <c r="E40" i="1"/>
  <c r="A40" i="1"/>
  <c r="D40" i="1"/>
  <c r="C40" i="1"/>
  <c r="G41" i="1"/>
  <c r="C77" i="1"/>
  <c r="B77" i="1"/>
  <c r="G78" i="1"/>
  <c r="E77" i="1"/>
  <c r="D77" i="1"/>
  <c r="A77" i="1"/>
  <c r="A95" i="1" l="1"/>
  <c r="B95" i="1"/>
  <c r="C95" i="1"/>
  <c r="G96" i="1"/>
  <c r="B96" i="1" s="1"/>
  <c r="D95" i="1"/>
  <c r="C41" i="1"/>
  <c r="B41" i="1"/>
  <c r="A41" i="1"/>
  <c r="G42" i="1"/>
  <c r="D41" i="1"/>
  <c r="E41" i="1"/>
  <c r="E78" i="1"/>
  <c r="C78" i="1"/>
  <c r="B78" i="1"/>
  <c r="D78" i="1"/>
  <c r="A78" i="1"/>
  <c r="G79" i="1"/>
  <c r="D96" i="1" l="1"/>
  <c r="C96" i="1"/>
  <c r="G97" i="1"/>
  <c r="G98" i="1" s="1"/>
  <c r="A96" i="1"/>
  <c r="E96" i="1"/>
  <c r="C79" i="1"/>
  <c r="B79" i="1"/>
  <c r="E79" i="1"/>
  <c r="A79" i="1"/>
  <c r="G80" i="1"/>
  <c r="D79" i="1"/>
  <c r="D42" i="1"/>
  <c r="C42" i="1"/>
  <c r="A42" i="1"/>
  <c r="E42" i="1"/>
  <c r="G43" i="1"/>
  <c r="B42" i="1"/>
  <c r="D97" i="1" l="1"/>
  <c r="E97" i="1"/>
  <c r="A97" i="1"/>
  <c r="B97" i="1"/>
  <c r="C97" i="1"/>
  <c r="B43" i="1"/>
  <c r="E43" i="1"/>
  <c r="D43" i="1"/>
  <c r="C43" i="1"/>
  <c r="A43" i="1"/>
  <c r="E80" i="1"/>
  <c r="D80" i="1"/>
  <c r="C80" i="1"/>
  <c r="B80" i="1"/>
  <c r="A80" i="1"/>
  <c r="C98" i="1"/>
  <c r="B98" i="1"/>
  <c r="E98" i="1"/>
  <c r="A98" i="1"/>
  <c r="D98" i="1"/>
</calcChain>
</file>

<file path=xl/sharedStrings.xml><?xml version="1.0" encoding="utf-8"?>
<sst xmlns="http://schemas.openxmlformats.org/spreadsheetml/2006/main" count="445" uniqueCount="304">
  <si>
    <t>Suivi de l'export – Tableau de bord</t>
  </si>
  <si>
    <t>Tout se calcule automatiquement à partir des autres feuilles : il n'y a rien à saisir ici.</t>
  </si>
  <si>
    <t>Date du jour</t>
  </si>
  <si>
    <t>CONTRATS (tonnes)</t>
  </si>
  <si>
    <t>DOCUMENTS</t>
  </si>
  <si>
    <t>Quantité contractée (MT)</t>
  </si>
  <si>
    <t>Documents saisis</t>
  </si>
  <si>
    <t>Quantité embarquée (MT)</t>
  </si>
  <si>
    <t>Demandés, en attente de réception</t>
  </si>
  <si>
    <t>Reste à expédier (MT)</t>
  </si>
  <si>
    <t>Reçus, à envoyer par DHL</t>
  </si>
  <si>
    <t>Avancement global</t>
  </si>
  <si>
    <t>Envoyés par DHL</t>
  </si>
  <si>
    <t>Documents en alerte</t>
  </si>
  <si>
    <t>CONTENEURS</t>
  </si>
  <si>
    <t>Conteneurs saisis</t>
  </si>
  <si>
    <t>ÉTAPES</t>
  </si>
  <si>
    <t>À empoter</t>
  </si>
  <si>
    <t>Faites</t>
  </si>
  <si>
    <t>Empoté</t>
  </si>
  <si>
    <t>À venir</t>
  </si>
  <si>
    <t>Gate-In fait</t>
  </si>
  <si>
    <t>En retard</t>
  </si>
  <si>
    <t>Embarqué</t>
  </si>
  <si>
    <t>Poids net embarqué (kg)</t>
  </si>
  <si>
    <t>COÛTS TRANSITAIRE (FCFA)</t>
  </si>
  <si>
    <t>Conteneurs en alerte</t>
  </si>
  <si>
    <t>Total facturé</t>
  </si>
  <si>
    <t>Total payé</t>
  </si>
  <si>
    <t>BOOKINGS</t>
  </si>
  <si>
    <t>Reste à payer</t>
  </si>
  <si>
    <t>Bookings saisis</t>
  </si>
  <si>
    <t>À préparer / en cours</t>
  </si>
  <si>
    <t>BL</t>
  </si>
  <si>
    <t>En retard (ETD dépassé)</t>
  </si>
  <si>
    <t>BL suivis</t>
  </si>
  <si>
    <t>Embarqués complets</t>
  </si>
  <si>
    <t>BL avec un point à traiter</t>
  </si>
  <si>
    <t>N_Conteneur</t>
  </si>
  <si>
    <t>N_BL</t>
  </si>
  <si>
    <t>Statut</t>
  </si>
  <si>
    <t>Alerte</t>
  </si>
  <si>
    <t>ETD</t>
  </si>
  <si>
    <t>Type_Document</t>
  </si>
  <si>
    <t>Date_Demande</t>
  </si>
  <si>
    <t>Jours_Attente</t>
  </si>
  <si>
    <t>Étapes en retard</t>
  </si>
  <si>
    <t>Nom_Etape</t>
  </si>
  <si>
    <t>Date_Prevue</t>
  </si>
  <si>
    <t>Responsable</t>
  </si>
  <si>
    <t>Retard_Jours</t>
  </si>
  <si>
    <t>Chaque liste affiche les 15 premiers cas. Les autres se voient en filtrant la feuille concernée.</t>
  </si>
  <si>
    <t>Une ligne par BL, remplie automatiquement : il n'y a rien à saisir ici. La colonne Situation indique le premier point à traiter, par ordre de priorité : étapes en retard, contrôle du BL, conteneurs non embarqués, documents à finaliser, coûts à payer. « OK » = tout est terminé.</t>
  </si>
  <si>
    <t>N_Booking</t>
  </si>
  <si>
    <t>N_Contrat</t>
  </si>
  <si>
    <t>Navire</t>
  </si>
  <si>
    <t>ETA</t>
  </si>
  <si>
    <t>Conteneurs_Declares</t>
  </si>
  <si>
    <t>Conteneurs_Saisis</t>
  </si>
  <si>
    <t>Conteneurs_Embarques</t>
  </si>
  <si>
    <t>Ecart_Poids_Net_Kg</t>
  </si>
  <si>
    <t>Documents</t>
  </si>
  <si>
    <t>Documents_Envoyes_DHL</t>
  </si>
  <si>
    <t>Etapes_En_Retard</t>
  </si>
  <si>
    <t>Reste_A_Payer_Transitaire</t>
  </si>
  <si>
    <t>Situation</t>
  </si>
  <si>
    <t>Contrats</t>
  </si>
  <si>
    <t>Une ligne = un contrat de vente. Remplissez les colonnes bleues ; les colonnes grises se calculent toutes seules à partir des conteneurs embarqués. Quantités en tonnes (MT). Le prix unitaire est libre (devise et unité à votre convenance). La ligne 5 est un exemple à supprimer.</t>
  </si>
  <si>
    <t>Client</t>
  </si>
  <si>
    <t>Pays</t>
  </si>
  <si>
    <t>Produit</t>
  </si>
  <si>
    <t>Date_Contrat</t>
  </si>
  <si>
    <t>Quantite_MT</t>
  </si>
  <si>
    <t>Prix_Unitaire</t>
  </si>
  <si>
    <t>Incoterm</t>
  </si>
  <si>
    <t>Quantite_Embarquee_MT</t>
  </si>
  <si>
    <t>Reste_A_Expedier_MT</t>
  </si>
  <si>
    <t>Avancement</t>
  </si>
  <si>
    <t>Observations</t>
  </si>
  <si>
    <t>Shea Nut</t>
  </si>
  <si>
    <t>FOB</t>
  </si>
  <si>
    <t>Une ligne = un booking. Choisissez le contrat dans la liste. Colonnes grises = automatiques : conteneurs saisis, conteneurs embarqués, jours avant l'ETD et statut. Un booking est « En retard » quand son ETD est dépassé et que tous les conteneurs prévus ne sont pas embarqués. La ligne 5 est un exemple à supprimer.</t>
  </si>
  <si>
    <t>Transitaire</t>
  </si>
  <si>
    <t>Voyage</t>
  </si>
  <si>
    <t>Port_Destination</t>
  </si>
  <si>
    <t>Nb_Conteneurs_Prevus</t>
  </si>
  <si>
    <t>Nb_Conteneurs_Saisis</t>
  </si>
  <si>
    <t>Jours_Avant_ETD</t>
  </si>
  <si>
    <t>Statut_Booking</t>
  </si>
  <si>
    <t>Une ligne = un BL. Saisissez les poids et le nombre de conteneurs déclarés sur le BL (colonnes bleues) : la feuille les compare automatiquement aux conteneurs réellement saisis. Poids en kg. Colonne « Controle_BL » : OK si tout concorde, sinon elle indique l'écart. La ligne 5 est un exemple à supprimer.</t>
  </si>
  <si>
    <t>Date_BL</t>
  </si>
  <si>
    <t>Poids_Brut_Declare_Kg</t>
  </si>
  <si>
    <t>Poids_Net_Declare_Kg</t>
  </si>
  <si>
    <t>Nb_Conteneurs_Declares</t>
  </si>
  <si>
    <t>Poids_Net_Conteneurs_Kg</t>
  </si>
  <si>
    <t>Controle_BL</t>
  </si>
  <si>
    <t>Une ligne = un conteneur. Renseignez les dates au fur et à mesure : le statut se met à jour tout seul (À empoter → Empoté → Gate-In fait → Embarqué). La colonne Alerte signale : ETD dépassé sans embarquement, Gate-In à faire quand l'ETD est proche, poids net manquant. Poids en kg. La ligne 5 est un exemple à supprimer.</t>
  </si>
  <si>
    <t>N_Plomb</t>
  </si>
  <si>
    <t>Type_Conteneur</t>
  </si>
  <si>
    <t>Date_Empotage</t>
  </si>
  <si>
    <t>Date_GateIn</t>
  </si>
  <si>
    <t>Date_Embarquement</t>
  </si>
  <si>
    <t>Poids_Net_Kg</t>
  </si>
  <si>
    <t>Poids_Brut_Kg</t>
  </si>
  <si>
    <t>Statut_Conteneur</t>
  </si>
  <si>
    <t>flag</t>
  </si>
  <si>
    <t>etd</t>
  </si>
  <si>
    <t>40' HC</t>
  </si>
  <si>
    <t>Une ligne = un document pour un BL. Renseignez les dates au fur et à mesure : demande, réception, envoi DHL (+ numéro de suivi DHL). Le statut est automatique. Alerte : document demandé et non reçu depuis trop longtemps (seuil dans Listes), ou reçu mais pas encore envoyé par DHL. La ligne 5 est un exemple à supprimer.</t>
  </si>
  <si>
    <t>N_Document</t>
  </si>
  <si>
    <t>Date_Reception</t>
  </si>
  <si>
    <t>Date_Envoi_DHL</t>
  </si>
  <si>
    <t>N_Suivi_DHL</t>
  </si>
  <si>
    <t>Statut_Document</t>
  </si>
  <si>
    <t>Observation</t>
  </si>
  <si>
    <t>Certificat phytosanitaire</t>
  </si>
  <si>
    <t>Facture commerciale</t>
  </si>
  <si>
    <t>Étapes du processus (prévu / réel)</t>
  </si>
  <si>
    <t>Une ligne = une étape pour un BL. Saisissez la date prévue dès la planification, puis la date réelle quand l'étape est faite. Statut automatique : Fait / À venir / En retard / Non planifié. Retard_Jours = jours de retard (positif) ou d'avance (négatif). Ajoutez autant d'étapes que nécessaire par BL. La ligne 5 est un exemple à supprimer.</t>
  </si>
  <si>
    <t>Date_Reelle</t>
  </si>
  <si>
    <t>Statut_Etape</t>
  </si>
  <si>
    <t>Commentaire</t>
  </si>
  <si>
    <t>Empotage</t>
  </si>
  <si>
    <t>Responsable Exemple</t>
  </si>
  <si>
    <t>Gate-In port</t>
  </si>
  <si>
    <t>Embarquement</t>
  </si>
  <si>
    <t>Envoi documents DHL</t>
  </si>
  <si>
    <t>Une ligne = un coût facturé par le transitaire. Rattachez-le au booking (obligatoire), au BL et au conteneur si possible. Montants en FCFA. Le reste à payer et le statut de paiement se calculent tout seuls. La ligne 5 est un exemple à supprimer.</t>
  </si>
  <si>
    <t>Motif</t>
  </si>
  <si>
    <t>Type_Cout</t>
  </si>
  <si>
    <t>Montant_Total</t>
  </si>
  <si>
    <t>Montant_Paye</t>
  </si>
  <si>
    <t>Montant_Reste</t>
  </si>
  <si>
    <t>Date_Cout</t>
  </si>
  <si>
    <t>Date_Paiement</t>
  </si>
  <si>
    <t>N_Facture</t>
  </si>
  <si>
    <t>Statut_Paiement</t>
  </si>
  <si>
    <t>Transit / honoraires</t>
  </si>
  <si>
    <t>Clients</t>
  </si>
  <si>
    <t>Produits</t>
  </si>
  <si>
    <t>Transitaires</t>
  </si>
  <si>
    <t>Incoterms</t>
  </si>
  <si>
    <t>Types_Conteneur</t>
  </si>
  <si>
    <t>Types_Document</t>
  </si>
  <si>
    <t>Etapes</t>
  </si>
  <si>
    <t>Responsables</t>
  </si>
  <si>
    <t>Types_Cout</t>
  </si>
  <si>
    <t>Paramètres</t>
  </si>
  <si>
    <t>Valeur</t>
  </si>
  <si>
    <t>Réception marchandise</t>
  </si>
  <si>
    <t>Fret maritime</t>
  </si>
  <si>
    <t>Alerte « ETD proche » : nombre de jours avant l'ETD</t>
  </si>
  <si>
    <t>CFR</t>
  </si>
  <si>
    <t>Certificat d'origine</t>
  </si>
  <si>
    <t>THC / manutention</t>
  </si>
  <si>
    <t>Alerte document : jours d'attente avant alerte</t>
  </si>
  <si>
    <t>CIF</t>
  </si>
  <si>
    <t>Dédouanement export</t>
  </si>
  <si>
    <t>EXW</t>
  </si>
  <si>
    <t>Packing list</t>
  </si>
  <si>
    <t>Douane</t>
  </si>
  <si>
    <t>Comment utiliser cette feuille</t>
  </si>
  <si>
    <t>FCA</t>
  </si>
  <si>
    <t>Connaissement (BL) original</t>
  </si>
  <si>
    <t>Magasinage / surestaries</t>
  </si>
  <si>
    <t>Ajoutez un élément en bas de la colonne concernée : il apparaît aussitôt dans les listes déroulantes. Pas de ligne vide au milieu d'une colonne.</t>
  </si>
  <si>
    <t>CIP</t>
  </si>
  <si>
    <t>Certificat de fumigation</t>
  </si>
  <si>
    <t>Documents prêts</t>
  </si>
  <si>
    <t>Autres</t>
  </si>
  <si>
    <t>Les listes de départ (documents, étapes, types de coûts, incoterms, conteneurs) sont des propositions génériques : adaptez-les à votre activité.</t>
  </si>
  <si>
    <t>DAP</t>
  </si>
  <si>
    <t>Déclaration d'exportation</t>
  </si>
  <si>
    <t>Les valeurs « Client Exemple », « Transit Exemple », « Responsable Exemple » sont des exemples à remplacer.</t>
  </si>
  <si>
    <t>Certificat de qualité</t>
  </si>
  <si>
    <t>Arrivée navire (ETA)</t>
  </si>
  <si>
    <t>Les seuils (3 jours, 5 jours) sont donnés à titre indicatif : modifiez-les dans les cellules jaunes.</t>
  </si>
  <si>
    <t>TRANS SOHA</t>
  </si>
  <si>
    <t>RAJIBER</t>
  </si>
  <si>
    <t>HAMA INTER</t>
  </si>
  <si>
    <t>Cotton Seed</t>
  </si>
  <si>
    <t>Soya Bean</t>
  </si>
  <si>
    <t>Verifycopy</t>
  </si>
  <si>
    <t>BooKing</t>
  </si>
  <si>
    <t>Provisional Facture</t>
  </si>
  <si>
    <t>Facture Normalisée</t>
  </si>
  <si>
    <t>SEGUB GUCE</t>
  </si>
  <si>
    <t>20' FLEXITANK</t>
  </si>
  <si>
    <t>40' FLEXITANK</t>
  </si>
  <si>
    <t>30' FLEXITANK</t>
  </si>
  <si>
    <t>20' DRY</t>
  </si>
  <si>
    <t>40' DRY</t>
  </si>
  <si>
    <t>20' HC</t>
  </si>
  <si>
    <t>Shea Butter</t>
  </si>
  <si>
    <t>BUNGE LODERS</t>
  </si>
  <si>
    <t>MALAYSIA</t>
  </si>
  <si>
    <t>LINERS</t>
  </si>
  <si>
    <t>MSC</t>
  </si>
  <si>
    <t>MAERSK</t>
  </si>
  <si>
    <t>RHONE MAERSK </t>
  </si>
  <si>
    <t>637E</t>
  </si>
  <si>
    <t>TANJUNG PELEPAS</t>
  </si>
  <si>
    <t>ALS CERES</t>
  </si>
  <si>
    <t>640E</t>
  </si>
  <si>
    <t>MRSU0979277</t>
  </si>
  <si>
    <t>CAAU2421733</t>
  </si>
  <si>
    <t>CAAU2958722</t>
  </si>
  <si>
    <t>FTAU2081655</t>
  </si>
  <si>
    <t>SEKU1677793</t>
  </si>
  <si>
    <t>FTAU2076920</t>
  </si>
  <si>
    <t>ML-GH0085102</t>
  </si>
  <si>
    <t>ML-GH0085101</t>
  </si>
  <si>
    <t>ML-GH0085105</t>
  </si>
  <si>
    <t>ML-GH0085062</t>
  </si>
  <si>
    <t>ML-GH0084319</t>
  </si>
  <si>
    <t>ML-GH0084318</t>
  </si>
  <si>
    <t>Tare Weight</t>
  </si>
  <si>
    <t>CAAU2346542</t>
  </si>
  <si>
    <t>MRSU0518275</t>
  </si>
  <si>
    <t>BSIU3503618</t>
  </si>
  <si>
    <t>MRSU0681092</t>
  </si>
  <si>
    <t>FTAU2051223</t>
  </si>
  <si>
    <t>MRSU0614113</t>
  </si>
  <si>
    <t>ML-GH0085086</t>
  </si>
  <si>
    <t>ML-GH0085090</t>
  </si>
  <si>
    <t>ML-GH0085082</t>
  </si>
  <si>
    <t>ML-GH0085084</t>
  </si>
  <si>
    <t>ML-GH0085083</t>
  </si>
  <si>
    <t>ML-GH0085087</t>
  </si>
  <si>
    <t>MRSU0425315</t>
  </si>
  <si>
    <t>TIIU2260280</t>
  </si>
  <si>
    <t>TTNU1229704</t>
  </si>
  <si>
    <t>UETU2960682</t>
  </si>
  <si>
    <t>TEMU0694118</t>
  </si>
  <si>
    <t>ML-GH0085099</t>
  </si>
  <si>
    <t>ML-GH0085065</t>
  </si>
  <si>
    <t>ML-GH0085064</t>
  </si>
  <si>
    <t>ML-GH0085100</t>
  </si>
  <si>
    <t>ML-GH0085098</t>
  </si>
  <si>
    <t>MRSU0506000</t>
  </si>
  <si>
    <t>MRSU0781091</t>
  </si>
  <si>
    <t>MRSU0650907</t>
  </si>
  <si>
    <t>MRKU9618101</t>
  </si>
  <si>
    <t>ML-GH0085089</t>
  </si>
  <si>
    <t>ML-GH0085088</t>
  </si>
  <si>
    <t>ML-GH0085081</t>
  </si>
  <si>
    <t>ML-GH0085085</t>
  </si>
  <si>
    <t>BSIU3488107</t>
  </si>
  <si>
    <t>TIIU2160194</t>
  </si>
  <si>
    <t>TLLU3590308</t>
  </si>
  <si>
    <t>TIIU2094451</t>
  </si>
  <si>
    <t>MRSU0438647</t>
  </si>
  <si>
    <t>UETU2963130</t>
  </si>
  <si>
    <t>ML-GH0085115</t>
  </si>
  <si>
    <t>ML-GH0085114</t>
  </si>
  <si>
    <t>ML-GH0085117</t>
  </si>
  <si>
    <t>ML-GH0085103</t>
  </si>
  <si>
    <t>ML-GH0085116</t>
  </si>
  <si>
    <t>ML-GH0085127</t>
  </si>
  <si>
    <t>MRSU0415066</t>
  </si>
  <si>
    <t>TLLU3591177</t>
  </si>
  <si>
    <t>MRSU0357735</t>
  </si>
  <si>
    <t>TIIU2015468</t>
  </si>
  <si>
    <t>SEKU1681788</t>
  </si>
  <si>
    <t>ML-GH0085091</t>
  </si>
  <si>
    <t>ML-GH0085104</t>
  </si>
  <si>
    <t>ML-GH0085113</t>
  </si>
  <si>
    <t>ML-GH0085121</t>
  </si>
  <si>
    <t>ML-GH0085119</t>
  </si>
  <si>
    <t>CAAU2224924</t>
  </si>
  <si>
    <t>FTAU2093337</t>
  </si>
  <si>
    <t>TIIU2013300</t>
  </si>
  <si>
    <t>BSIU3500060</t>
  </si>
  <si>
    <t>MRSU0960245</t>
  </si>
  <si>
    <t>ML-GH0085130</t>
  </si>
  <si>
    <t>ML-GH0085131</t>
  </si>
  <si>
    <t>ML-GH0085128</t>
  </si>
  <si>
    <t>ML-GH0085132</t>
  </si>
  <si>
    <t>ML-GH0085138</t>
  </si>
  <si>
    <t>TIIU2132994</t>
  </si>
  <si>
    <t>GAOU2558815</t>
  </si>
  <si>
    <t>MRSU0493412</t>
  </si>
  <si>
    <t>TIIU2103229</t>
  </si>
  <si>
    <t>TCLU2379571</t>
  </si>
  <si>
    <t>ML-GH0085125</t>
  </si>
  <si>
    <t>ML-GH0085126</t>
  </si>
  <si>
    <t>ML-GH0085123</t>
  </si>
  <si>
    <t>ML-GH0085124</t>
  </si>
  <si>
    <t>ML-GH0085145</t>
  </si>
  <si>
    <t>FTAU2077193</t>
  </si>
  <si>
    <t>ML-GH0085129</t>
  </si>
  <si>
    <t>CAAU3020083</t>
  </si>
  <si>
    <t>MRSU0636642</t>
  </si>
  <si>
    <t>MRSU0662657</t>
  </si>
  <si>
    <t>MRSU1175838</t>
  </si>
  <si>
    <t>FTAU2084926</t>
  </si>
  <si>
    <t>FTAU2054135</t>
  </si>
  <si>
    <t>ML-GH0085133</t>
  </si>
  <si>
    <t>ML-GH0085137</t>
  </si>
  <si>
    <t>ML-GH0085122</t>
  </si>
  <si>
    <t>ML-GH0085118</t>
  </si>
  <si>
    <t>ML-GH0085134</t>
  </si>
  <si>
    <t>ML-GH0085135</t>
  </si>
  <si>
    <t>L'ecart  est mis sur le BL 279324047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</si>
</sst>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-* #,##0\ &quot;F CFA&quot;_-;\-* #,##0\ &quot;F CFA&quot;_-;_-* &quot;-&quot;\ &quot;F CFA&quot;_-;_-@_-"/>
    <numFmt numFmtId="164" formatCode="#,##0.0"/>
    <numFmt numFmtId="165" formatCode="#,##0.0;\-#,##0.0;&quot;-&quot;"/>
    <numFmt numFmtId="166" formatCode="#,##0;\-#,##0;&quot;-&quot;"/>
  </numFmts>
  <fonts count="1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6"/>
      <color rgb="FF375623"/>
      <name val="Arial"/>
      <family val="2"/>
    </font>
    <font>
      <i/>
      <sz val="10"/>
      <color rgb="FF404040"/>
      <name val="Arial"/>
      <family val="2"/>
    </font>
    <font>
      <sz val="8"/>
      <color rgb="FF7F7F7F"/>
      <name val="Arial"/>
      <family val="2"/>
    </font>
    <font>
      <b/>
      <sz val="16"/>
      <color rgb="FF1F4E78"/>
      <name val="Arial"/>
      <family val="2"/>
    </font>
    <font>
      <b/>
      <sz val="10"/>
      <color rgb="FF1F4E78"/>
      <name val="Arial"/>
      <family val="2"/>
    </font>
    <font>
      <b/>
      <sz val="11"/>
      <color rgb="FF1F4E78"/>
      <name val="Arial"/>
      <family val="2"/>
    </font>
    <font>
      <b/>
      <sz val="12"/>
      <color rgb="FF1F4E78"/>
      <name val="Arial"/>
      <family val="2"/>
    </font>
    <font>
      <i/>
      <sz val="9"/>
      <color rgb="FF7F7F7F"/>
      <name val="Arial"/>
      <family val="2"/>
    </font>
    <font>
      <sz val="11"/>
      <color theme="1"/>
      <name val="Calibri"/>
      <family val="2"/>
      <scheme val="minor"/>
    </font>
    <font>
      <i/>
      <sz val="11"/>
      <color rgb="FF404040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141414"/>
      <name val="Arial"/>
      <family val="2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7F7F7F"/>
      </patternFill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2" fontId="13" fillId="0" borderId="0" applyFont="0" applyFill="0" applyBorder="0" applyAlignment="0" applyProtection="0"/>
  </cellStyleXfs>
  <cellXfs count="150">
    <xf numFmtId="0" fontId="0" fillId="0" borderId="0" xfId="0"/>
    <xf numFmtId="0" fontId="8" fillId="0" borderId="0" xfId="0" applyFont="1"/>
    <xf numFmtId="0" fontId="6" fillId="0" borderId="0" xfId="0" applyFont="1"/>
    <xf numFmtId="0" fontId="3" fillId="0" borderId="0" xfId="0" applyFont="1"/>
    <xf numFmtId="14" fontId="9" fillId="0" borderId="0" xfId="0" applyNumberFormat="1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5" borderId="1" xfId="0" applyFont="1" applyFill="1" applyBorder="1"/>
    <xf numFmtId="164" fontId="10" fillId="0" borderId="1" xfId="0" applyNumberFormat="1" applyFont="1" applyBorder="1"/>
    <xf numFmtId="3" fontId="10" fillId="0" borderId="1" xfId="0" applyNumberFormat="1" applyFont="1" applyBorder="1"/>
    <xf numFmtId="9" fontId="10" fillId="0" borderId="1" xfId="0" applyNumberFormat="1" applyFont="1" applyBorder="1"/>
    <xf numFmtId="0" fontId="1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7" fillId="0" borderId="0" xfId="0" applyFont="1"/>
    <xf numFmtId="1" fontId="2" fillId="0" borderId="1" xfId="0" applyNumberFormat="1" applyFont="1" applyBorder="1"/>
    <xf numFmtId="0" fontId="12" fillId="0" borderId="0" xfId="0" applyFont="1"/>
    <xf numFmtId="166" fontId="2" fillId="0" borderId="1" xfId="0" applyNumberFormat="1" applyFont="1" applyBorder="1"/>
    <xf numFmtId="0" fontId="5" fillId="0" borderId="0" xfId="0" applyFont="1"/>
    <xf numFmtId="0" fontId="1" fillId="4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/>
    <xf numFmtId="3" fontId="2" fillId="0" borderId="1" xfId="0" applyNumberFormat="1" applyFont="1" applyBorder="1"/>
    <xf numFmtId="164" fontId="2" fillId="5" borderId="1" xfId="0" applyNumberFormat="1" applyFont="1" applyFill="1" applyBorder="1"/>
    <xf numFmtId="165" fontId="2" fillId="5" borderId="1" xfId="0" applyNumberFormat="1" applyFont="1" applyFill="1" applyBorder="1"/>
    <xf numFmtId="9" fontId="2" fillId="5" borderId="1" xfId="0" applyNumberFormat="1" applyFont="1" applyFill="1" applyBorder="1"/>
    <xf numFmtId="3" fontId="2" fillId="5" borderId="1" xfId="0" applyNumberFormat="1" applyFont="1" applyFill="1" applyBorder="1"/>
    <xf numFmtId="1" fontId="2" fillId="5" borderId="1" xfId="0" applyNumberFormat="1" applyFont="1" applyFill="1" applyBorder="1"/>
    <xf numFmtId="166" fontId="2" fillId="5" borderId="1" xfId="0" applyNumberFormat="1" applyFont="1" applyFill="1" applyBorder="1"/>
    <xf numFmtId="0" fontId="7" fillId="5" borderId="1" xfId="0" applyFont="1" applyFill="1" applyBorder="1"/>
    <xf numFmtId="14" fontId="7" fillId="5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wrapText="1"/>
    </xf>
    <xf numFmtId="0" fontId="4" fillId="3" borderId="1" xfId="0" applyFont="1" applyFill="1" applyBorder="1"/>
    <xf numFmtId="0" fontId="2" fillId="0" borderId="0" xfId="0" applyFont="1" applyAlignment="1">
      <alignment vertical="top" wrapText="1"/>
    </xf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top" wrapText="1"/>
    </xf>
    <xf numFmtId="0" fontId="0" fillId="0" borderId="0" xfId="0"/>
    <xf numFmtId="0" fontId="2" fillId="0" borderId="1" xfId="0" applyNumberFormat="1" applyFont="1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14" fillId="3" borderId="0" xfId="0" applyFont="1" applyFill="1" applyAlignment="1">
      <alignment vertical="top" wrapText="1"/>
    </xf>
    <xf numFmtId="0" fontId="0" fillId="0" borderId="0" xfId="0" applyFont="1"/>
    <xf numFmtId="0" fontId="15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1" fontId="15" fillId="4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/>
    <xf numFmtId="0" fontId="16" fillId="0" borderId="1" xfId="0" applyFont="1" applyBorder="1"/>
    <xf numFmtId="0" fontId="17" fillId="0" borderId="0" xfId="0" applyFont="1" applyAlignment="1">
      <alignment horizontal="center" vertical="center"/>
    </xf>
    <xf numFmtId="0" fontId="17" fillId="0" borderId="0" xfId="0" applyFont="1"/>
    <xf numFmtId="14" fontId="16" fillId="0" borderId="1" xfId="0" applyNumberFormat="1" applyFont="1" applyBorder="1" applyAlignment="1">
      <alignment horizontal="center"/>
    </xf>
    <xf numFmtId="3" fontId="16" fillId="0" borderId="1" xfId="0" applyNumberFormat="1" applyFont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49" fontId="2" fillId="15" borderId="1" xfId="0" applyNumberFormat="1" applyFont="1" applyFill="1" applyBorder="1" applyAlignment="1">
      <alignment horizontal="center" vertical="center"/>
    </xf>
    <xf numFmtId="49" fontId="2" fillId="15" borderId="1" xfId="0" applyNumberFormat="1" applyFont="1" applyFill="1" applyBorder="1"/>
    <xf numFmtId="0" fontId="2" fillId="15" borderId="1" xfId="0" applyFont="1" applyFill="1" applyBorder="1" applyAlignment="1">
      <alignment horizontal="center" vertical="center"/>
    </xf>
    <xf numFmtId="14" fontId="2" fillId="15" borderId="1" xfId="0" applyNumberFormat="1" applyFont="1" applyFill="1" applyBorder="1" applyAlignment="1">
      <alignment horizontal="center"/>
    </xf>
    <xf numFmtId="164" fontId="2" fillId="15" borderId="1" xfId="1" applyNumberFormat="1" applyFont="1" applyFill="1" applyBorder="1" applyAlignment="1">
      <alignment horizontal="center" vertical="center"/>
    </xf>
    <xf numFmtId="164" fontId="2" fillId="15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/>
    <xf numFmtId="49" fontId="2" fillId="16" borderId="1" xfId="0" applyNumberFormat="1" applyFont="1" applyFill="1" applyBorder="1" applyAlignment="1">
      <alignment horizontal="center" vertical="center"/>
    </xf>
    <xf numFmtId="49" fontId="2" fillId="16" borderId="1" xfId="0" applyNumberFormat="1" applyFont="1" applyFill="1" applyBorder="1"/>
    <xf numFmtId="0" fontId="2" fillId="16" borderId="1" xfId="0" applyFont="1" applyFill="1" applyBorder="1" applyAlignment="1">
      <alignment horizontal="center" vertical="center"/>
    </xf>
    <xf numFmtId="14" fontId="2" fillId="16" borderId="1" xfId="0" applyNumberFormat="1" applyFont="1" applyFill="1" applyBorder="1" applyAlignment="1">
      <alignment horizontal="center"/>
    </xf>
    <xf numFmtId="164" fontId="2" fillId="16" borderId="1" xfId="1" applyNumberFormat="1" applyFont="1" applyFill="1" applyBorder="1" applyAlignment="1">
      <alignment horizontal="center" vertical="center"/>
    </xf>
    <xf numFmtId="164" fontId="2" fillId="16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/>
    <xf numFmtId="0" fontId="1" fillId="17" borderId="1" xfId="0" applyFont="1" applyFill="1" applyBorder="1" applyAlignment="1">
      <alignment horizontal="center" vertical="center" wrapText="1"/>
    </xf>
    <xf numFmtId="164" fontId="1" fillId="17" borderId="1" xfId="1" applyNumberFormat="1" applyFont="1" applyFill="1" applyBorder="1" applyAlignment="1">
      <alignment horizontal="center" vertical="center" wrapText="1"/>
    </xf>
    <xf numFmtId="164" fontId="1" fillId="17" borderId="1" xfId="0" applyNumberFormat="1" applyFont="1" applyFill="1" applyBorder="1" applyAlignment="1">
      <alignment horizontal="center" vertical="center" wrapText="1"/>
    </xf>
    <xf numFmtId="49" fontId="2" fillId="18" borderId="1" xfId="0" applyNumberFormat="1" applyFont="1" applyFill="1" applyBorder="1" applyAlignment="1">
      <alignment horizontal="center" vertical="center"/>
    </xf>
    <xf numFmtId="49" fontId="2" fillId="18" borderId="1" xfId="0" applyNumberFormat="1" applyFont="1" applyFill="1" applyBorder="1"/>
    <xf numFmtId="0" fontId="2" fillId="18" borderId="1" xfId="0" applyFont="1" applyFill="1" applyBorder="1" applyAlignment="1">
      <alignment horizontal="center" vertical="center"/>
    </xf>
    <xf numFmtId="14" fontId="2" fillId="18" borderId="1" xfId="0" applyNumberFormat="1" applyFont="1" applyFill="1" applyBorder="1" applyAlignment="1">
      <alignment horizontal="center"/>
    </xf>
    <xf numFmtId="164" fontId="2" fillId="18" borderId="1" xfId="1" applyNumberFormat="1" applyFont="1" applyFill="1" applyBorder="1" applyAlignment="1">
      <alignment horizontal="center" vertical="center"/>
    </xf>
    <xf numFmtId="164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/>
    <xf numFmtId="49" fontId="2" fillId="19" borderId="1" xfId="0" applyNumberFormat="1" applyFont="1" applyFill="1" applyBorder="1" applyAlignment="1">
      <alignment horizontal="center" vertical="center"/>
    </xf>
    <xf numFmtId="49" fontId="2" fillId="19" borderId="1" xfId="0" applyNumberFormat="1" applyFont="1" applyFill="1" applyBorder="1"/>
    <xf numFmtId="0" fontId="2" fillId="19" borderId="1" xfId="0" applyFont="1" applyFill="1" applyBorder="1" applyAlignment="1">
      <alignment horizontal="center" vertical="center"/>
    </xf>
    <xf numFmtId="14" fontId="2" fillId="19" borderId="1" xfId="0" applyNumberFormat="1" applyFont="1" applyFill="1" applyBorder="1" applyAlignment="1">
      <alignment horizontal="center"/>
    </xf>
    <xf numFmtId="164" fontId="2" fillId="19" borderId="1" xfId="1" applyNumberFormat="1" applyFont="1" applyFill="1" applyBorder="1" applyAlignment="1">
      <alignment horizontal="center" vertical="center"/>
    </xf>
    <xf numFmtId="164" fontId="2" fillId="19" borderId="1" xfId="0" applyNumberFormat="1" applyFont="1" applyFill="1" applyBorder="1" applyAlignment="1">
      <alignment horizontal="center" vertical="center"/>
    </xf>
    <xf numFmtId="0" fontId="2" fillId="19" borderId="1" xfId="0" applyFont="1" applyFill="1" applyBorder="1"/>
    <xf numFmtId="49" fontId="2" fillId="20" borderId="1" xfId="0" applyNumberFormat="1" applyFont="1" applyFill="1" applyBorder="1" applyAlignment="1">
      <alignment horizontal="center" vertical="center"/>
    </xf>
    <xf numFmtId="49" fontId="2" fillId="20" borderId="1" xfId="0" applyNumberFormat="1" applyFont="1" applyFill="1" applyBorder="1"/>
    <xf numFmtId="0" fontId="2" fillId="20" borderId="1" xfId="0" applyFont="1" applyFill="1" applyBorder="1" applyAlignment="1">
      <alignment horizontal="center" vertical="center"/>
    </xf>
    <xf numFmtId="14" fontId="2" fillId="20" borderId="1" xfId="0" applyNumberFormat="1" applyFont="1" applyFill="1" applyBorder="1" applyAlignment="1">
      <alignment horizontal="center"/>
    </xf>
    <xf numFmtId="164" fontId="2" fillId="20" borderId="1" xfId="1" applyNumberFormat="1" applyFont="1" applyFill="1" applyBorder="1" applyAlignment="1">
      <alignment horizontal="center" vertical="center"/>
    </xf>
    <xf numFmtId="164" fontId="2" fillId="20" borderId="1" xfId="0" applyNumberFormat="1" applyFont="1" applyFill="1" applyBorder="1" applyAlignment="1">
      <alignment horizontal="center" vertical="center"/>
    </xf>
    <xf numFmtId="0" fontId="2" fillId="20" borderId="1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49" fontId="2" fillId="21" borderId="1" xfId="0" applyNumberFormat="1" applyFont="1" applyFill="1" applyBorder="1" applyAlignment="1">
      <alignment horizontal="center" vertical="center"/>
    </xf>
    <xf numFmtId="49" fontId="2" fillId="21" borderId="1" xfId="0" applyNumberFormat="1" applyFont="1" applyFill="1" applyBorder="1"/>
    <xf numFmtId="0" fontId="2" fillId="21" borderId="1" xfId="0" applyFont="1" applyFill="1" applyBorder="1" applyAlignment="1">
      <alignment horizontal="center" vertical="center"/>
    </xf>
    <xf numFmtId="14" fontId="2" fillId="21" borderId="1" xfId="0" applyNumberFormat="1" applyFont="1" applyFill="1" applyBorder="1" applyAlignment="1">
      <alignment horizontal="center"/>
    </xf>
    <xf numFmtId="164" fontId="2" fillId="21" borderId="1" xfId="1" applyNumberFormat="1" applyFont="1" applyFill="1" applyBorder="1" applyAlignment="1">
      <alignment horizontal="center" vertical="center"/>
    </xf>
    <xf numFmtId="164" fontId="2" fillId="21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/>
    <xf numFmtId="49" fontId="2" fillId="22" borderId="1" xfId="0" applyNumberFormat="1" applyFont="1" applyFill="1" applyBorder="1" applyAlignment="1">
      <alignment horizontal="center" vertical="center"/>
    </xf>
    <xf numFmtId="49" fontId="2" fillId="22" borderId="1" xfId="0" applyNumberFormat="1" applyFont="1" applyFill="1" applyBorder="1"/>
    <xf numFmtId="0" fontId="2" fillId="22" borderId="1" xfId="0" applyFont="1" applyFill="1" applyBorder="1" applyAlignment="1">
      <alignment horizontal="center" vertical="center"/>
    </xf>
    <xf numFmtId="14" fontId="2" fillId="22" borderId="1" xfId="0" applyNumberFormat="1" applyFont="1" applyFill="1" applyBorder="1" applyAlignment="1">
      <alignment horizontal="center"/>
    </xf>
    <xf numFmtId="164" fontId="2" fillId="22" borderId="1" xfId="1" applyNumberFormat="1" applyFont="1" applyFill="1" applyBorder="1" applyAlignment="1">
      <alignment horizontal="center" vertical="center"/>
    </xf>
    <xf numFmtId="164" fontId="2" fillId="22" borderId="1" xfId="0" applyNumberFormat="1" applyFont="1" applyFill="1" applyBorder="1" applyAlignment="1">
      <alignment horizontal="center" vertical="center"/>
    </xf>
    <xf numFmtId="0" fontId="2" fillId="22" borderId="1" xfId="0" applyFont="1" applyFill="1" applyBorder="1"/>
    <xf numFmtId="49" fontId="2" fillId="11" borderId="1" xfId="0" applyNumberFormat="1" applyFont="1" applyFill="1" applyBorder="1" applyAlignment="1">
      <alignment horizontal="center" vertical="center"/>
    </xf>
    <xf numFmtId="49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 vertical="center"/>
    </xf>
    <xf numFmtId="14" fontId="2" fillId="11" borderId="1" xfId="0" applyNumberFormat="1" applyFont="1" applyFill="1" applyBorder="1" applyAlignment="1">
      <alignment horizontal="center"/>
    </xf>
    <xf numFmtId="164" fontId="2" fillId="11" borderId="1" xfId="1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/>
    <xf numFmtId="0" fontId="2" fillId="0" borderId="0" xfId="0" applyFont="1" applyBorder="1"/>
    <xf numFmtId="14" fontId="2" fillId="0" borderId="0" xfId="0" applyNumberFormat="1" applyFont="1" applyBorder="1" applyAlignment="1">
      <alignment horizontal="center"/>
    </xf>
    <xf numFmtId="1" fontId="16" fillId="5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2">
    <cellStyle name="Monétaire [0]" xfId="1" builtinId="7"/>
    <cellStyle name="Normal" xfId="0" builtinId="0"/>
  </cellStyles>
  <dxfs count="29"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9C5700"/>
        <name val="Arial"/>
      </font>
      <fill>
        <patternFill patternType="solid">
          <bgColor rgb="FFFFEB9C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  <dxf>
      <font>
        <color rgb="FF7F7F7F"/>
        <name val="Arial"/>
      </font>
      <fill>
        <patternFill patternType="solid">
          <bgColor rgb="FFF2F2F2"/>
        </patternFill>
      </fill>
    </dxf>
    <dxf>
      <font>
        <color rgb="FF1F4E78"/>
        <name val="Arial"/>
      </font>
      <fill>
        <patternFill patternType="solid">
          <bgColor rgb="FFDDEBF7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7F7F7F"/>
        <name val="Arial"/>
      </font>
      <fill>
        <patternFill patternType="solid">
          <bgColor rgb="FFF2F2F2"/>
        </patternFill>
      </fill>
    </dxf>
    <dxf>
      <font>
        <color rgb="FF9C5700"/>
        <name val="Arial"/>
      </font>
      <fill>
        <patternFill patternType="solid">
          <bgColor rgb="FFFFEB9C"/>
        </patternFill>
      </fill>
    </dxf>
    <dxf>
      <font>
        <color rgb="FF1F4E78"/>
        <name val="Arial"/>
      </font>
      <fill>
        <patternFill patternType="solid">
          <bgColor rgb="FFDDEBF7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7F7F7F"/>
        <name val="Arial"/>
      </font>
      <fill>
        <patternFill patternType="solid">
          <bgColor rgb="FFF2F2F2"/>
        </patternFill>
      </fill>
    </dxf>
    <dxf>
      <font>
        <color rgb="FF9C5700"/>
        <name val="Arial"/>
      </font>
      <fill>
        <patternFill patternType="solid">
          <bgColor rgb="FFFFEB9C"/>
        </patternFill>
      </fill>
    </dxf>
    <dxf>
      <font>
        <color rgb="FF1F4E78"/>
        <name val="Arial"/>
      </font>
      <fill>
        <patternFill patternType="solid">
          <bgColor rgb="FFDDEBF7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  <dxf>
      <font>
        <color rgb="FF7F7F7F"/>
        <name val="Arial"/>
      </font>
      <fill>
        <patternFill patternType="solid">
          <bgColor rgb="FFF2F2F2"/>
        </patternFill>
      </fill>
    </dxf>
    <dxf>
      <font>
        <color rgb="FF9C5700"/>
        <name val="Arial"/>
      </font>
      <fill>
        <patternFill patternType="solid">
          <bgColor rgb="FFFFEB9C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  <dxf>
      <font>
        <color rgb="FF9C5700"/>
        <name val="Arial"/>
      </font>
      <fill>
        <patternFill patternType="solid">
          <bgColor rgb="FFFFEB9C"/>
        </patternFill>
      </fill>
    </dxf>
    <dxf>
      <font>
        <color rgb="FF006100"/>
        <name val="Arial"/>
      </font>
      <fill>
        <patternFill patternType="solid">
          <bgColor rgb="FFC6EFCE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  <dxf>
      <font>
        <color rgb="FF9C0006"/>
        <name val="Arial"/>
      </font>
      <fill>
        <patternFill patternType="solid">
          <bgColor rgb="FFFFC7CE"/>
        </patternFill>
      </fill>
    </dxf>
  </dxfs>
  <tableStyles count="1" defaultTableStyle="TableStyleMedium9" defaultPivotStyle="PivotStyleLight16">
    <tableStyle name="Invisible" pivot="0" table="0" count="0" xr9:uid="{2684EEB2-8CAE-4D8B-B751-1FCBDF168A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G99"/>
  <sheetViews>
    <sheetView showGridLines="0" workbookViewId="0">
      <selection activeCell="A41" sqref="A41"/>
    </sheetView>
  </sheetViews>
  <sheetFormatPr baseColWidth="10" defaultColWidth="8.7265625" defaultRowHeight="14.5" x14ac:dyDescent="0.35"/>
  <cols>
    <col min="1" max="1" width="36" customWidth="1"/>
    <col min="2" max="3" width="18" customWidth="1"/>
    <col min="4" max="4" width="36" customWidth="1"/>
    <col min="5" max="5" width="18" customWidth="1"/>
    <col min="6" max="6" width="3" customWidth="1"/>
    <col min="7" max="7" width="13" hidden="1" customWidth="1"/>
  </cols>
  <sheetData>
    <row r="1" spans="1:5" ht="20" x14ac:dyDescent="0.4">
      <c r="A1" s="1" t="s">
        <v>0</v>
      </c>
    </row>
    <row r="2" spans="1:5" hidden="1" x14ac:dyDescent="0.35">
      <c r="A2" s="2" t="s">
        <v>1</v>
      </c>
    </row>
    <row r="3" spans="1:5" x14ac:dyDescent="0.35">
      <c r="A3" s="3" t="s">
        <v>2</v>
      </c>
      <c r="B3" s="4">
        <f ca="1">TODAY()</f>
        <v>46307</v>
      </c>
    </row>
    <row r="5" spans="1:5" x14ac:dyDescent="0.35">
      <c r="A5" s="34" t="s">
        <v>3</v>
      </c>
      <c r="B5" s="35"/>
      <c r="D5" s="36" t="s">
        <v>4</v>
      </c>
      <c r="E5" s="37"/>
    </row>
    <row r="6" spans="1:5" x14ac:dyDescent="0.35">
      <c r="A6" s="7" t="s">
        <v>5</v>
      </c>
      <c r="B6" s="8">
        <f>SUM(Contrats!$G$5:$G$204)</f>
        <v>0</v>
      </c>
      <c r="D6" s="7" t="s">
        <v>6</v>
      </c>
      <c r="E6" s="9">
        <f>COUNTA(Documents!$A$3:$A$1002)</f>
        <v>0</v>
      </c>
    </row>
    <row r="7" spans="1:5" x14ac:dyDescent="0.35">
      <c r="A7" s="7" t="s">
        <v>7</v>
      </c>
      <c r="B7" s="8">
        <f>SUM(Contrats!$J$5:$J$204)</f>
        <v>0</v>
      </c>
      <c r="D7" s="7" t="s">
        <v>8</v>
      </c>
      <c r="E7" s="9">
        <f>COUNTIFS(Documents!$I$3:$I$1002,"Demandé (en attente)")</f>
        <v>0</v>
      </c>
    </row>
    <row r="8" spans="1:5" x14ac:dyDescent="0.35">
      <c r="A8" s="7" t="s">
        <v>9</v>
      </c>
      <c r="B8" s="8">
        <f>SUM(Contrats!$K$5:$K$204)</f>
        <v>0</v>
      </c>
      <c r="D8" s="7" t="s">
        <v>10</v>
      </c>
      <c r="E8" s="9">
        <f>COUNTIFS(Documents!$I$3:$I$1002,"Reçu (à envoyer)")</f>
        <v>0</v>
      </c>
    </row>
    <row r="9" spans="1:5" x14ac:dyDescent="0.35">
      <c r="A9" s="7" t="s">
        <v>11</v>
      </c>
      <c r="B9" s="10" t="str">
        <f>IF(B6=0,"",B7/B6)</f>
        <v/>
      </c>
      <c r="D9" s="7" t="s">
        <v>12</v>
      </c>
      <c r="E9" s="9">
        <f>COUNTIFS(Documents!$I$3:$I$1002,"Envoyé DHL")</f>
        <v>0</v>
      </c>
    </row>
    <row r="10" spans="1:5" x14ac:dyDescent="0.35">
      <c r="D10" s="7" t="s">
        <v>13</v>
      </c>
      <c r="E10" s="9">
        <f>COUNT(Documents!$M$3:$M$1002)</f>
        <v>0</v>
      </c>
    </row>
    <row r="11" spans="1:5" x14ac:dyDescent="0.35">
      <c r="A11" s="38" t="s">
        <v>14</v>
      </c>
      <c r="B11" s="39"/>
    </row>
    <row r="12" spans="1:5" x14ac:dyDescent="0.35">
      <c r="A12" s="7" t="s">
        <v>15</v>
      </c>
      <c r="B12" s="9">
        <f>COUNTA(Conteneurs!$A$3:$A$1002)</f>
        <v>49</v>
      </c>
      <c r="D12" s="40" t="s">
        <v>16</v>
      </c>
      <c r="E12" s="41"/>
    </row>
    <row r="13" spans="1:5" x14ac:dyDescent="0.35">
      <c r="A13" s="7" t="s">
        <v>17</v>
      </c>
      <c r="B13" s="9">
        <f>COUNTIFS(Conteneurs!$M$3:$M$1002,"À empoter")</f>
        <v>49</v>
      </c>
      <c r="D13" s="7" t="s">
        <v>18</v>
      </c>
      <c r="E13" s="9">
        <f ca="1">COUNTIFS(Etapes!$F$5:$F$1504,"Fait")</f>
        <v>0</v>
      </c>
    </row>
    <row r="14" spans="1:5" x14ac:dyDescent="0.35">
      <c r="A14" s="7" t="s">
        <v>19</v>
      </c>
      <c r="B14" s="9">
        <f>COUNTIFS(Conteneurs!$M$3:$M$1002,"Empoté")</f>
        <v>0</v>
      </c>
      <c r="D14" s="7" t="s">
        <v>20</v>
      </c>
      <c r="E14" s="9">
        <f ca="1">COUNTIFS(Etapes!$F$5:$F$1504,"À venir")</f>
        <v>0</v>
      </c>
    </row>
    <row r="15" spans="1:5" x14ac:dyDescent="0.35">
      <c r="A15" s="7" t="s">
        <v>21</v>
      </c>
      <c r="B15" s="9">
        <f>COUNTIFS(Conteneurs!$M$3:$M$1002,"Gate-In fait")</f>
        <v>0</v>
      </c>
      <c r="D15" s="7" t="s">
        <v>22</v>
      </c>
      <c r="E15" s="9">
        <f ca="1">COUNTIFS(Etapes!$F$5:$F$1504,"En retard")</f>
        <v>0</v>
      </c>
    </row>
    <row r="16" spans="1:5" x14ac:dyDescent="0.35">
      <c r="A16" s="7" t="s">
        <v>23</v>
      </c>
      <c r="B16" s="9">
        <f>COUNTIFS(Conteneurs!$M$3:$M$1002,"Embarqué")</f>
        <v>0</v>
      </c>
    </row>
    <row r="17" spans="1:7" x14ac:dyDescent="0.35">
      <c r="A17" s="7" t="s">
        <v>24</v>
      </c>
      <c r="B17" s="9">
        <f>SUMIFS(Conteneurs!$H$3:$H$1002,Conteneurs!$M$3:$M$1002,"Embarqué")</f>
        <v>0</v>
      </c>
      <c r="D17" s="44" t="s">
        <v>25</v>
      </c>
      <c r="E17" s="45"/>
    </row>
    <row r="18" spans="1:7" x14ac:dyDescent="0.35">
      <c r="A18" s="7" t="s">
        <v>26</v>
      </c>
      <c r="B18" s="9">
        <f ca="1">COUNT(Conteneurs!$P$3:$P$1002)</f>
        <v>41</v>
      </c>
      <c r="D18" s="7" t="s">
        <v>27</v>
      </c>
      <c r="E18" s="9">
        <f>SUM(Couts_Transitaire!$G$3:$G$602)</f>
        <v>0</v>
      </c>
    </row>
    <row r="19" spans="1:7" x14ac:dyDescent="0.35">
      <c r="D19" s="7" t="s">
        <v>28</v>
      </c>
      <c r="E19" s="9">
        <f>SUM(Couts_Transitaire!$H$3:$H$602)</f>
        <v>0</v>
      </c>
    </row>
    <row r="20" spans="1:7" x14ac:dyDescent="0.35">
      <c r="A20" s="42" t="s">
        <v>29</v>
      </c>
      <c r="B20" s="43"/>
      <c r="D20" s="7" t="s">
        <v>30</v>
      </c>
      <c r="E20" s="9">
        <f>SUM(Couts_Transitaire!$I$3:$I$602)</f>
        <v>0</v>
      </c>
    </row>
    <row r="21" spans="1:7" x14ac:dyDescent="0.35">
      <c r="A21" s="7" t="s">
        <v>31</v>
      </c>
      <c r="B21" s="9">
        <f>COUNTA(Bookings!$A$3:$A$202)</f>
        <v>10</v>
      </c>
    </row>
    <row r="22" spans="1:7" x14ac:dyDescent="0.35">
      <c r="A22" s="7" t="s">
        <v>32</v>
      </c>
      <c r="B22" s="9">
        <f ca="1">COUNTIFS(Bookings!$M$3:$M$202,"À préparer")+COUNTIFS(Bookings!$M$3:$M$202,"En cours")</f>
        <v>10</v>
      </c>
      <c r="D22" s="5" t="s">
        <v>33</v>
      </c>
      <c r="E22" s="6"/>
    </row>
    <row r="23" spans="1:7" x14ac:dyDescent="0.35">
      <c r="A23" s="7" t="s">
        <v>34</v>
      </c>
      <c r="B23" s="9">
        <f ca="1">COUNTIFS(Bookings!$M$3:$M$202,"En retard (ETD dépassé)")</f>
        <v>0</v>
      </c>
      <c r="D23" s="7" t="s">
        <v>35</v>
      </c>
      <c r="E23" s="9">
        <f>COUNTA(Connaissements!$A$3:$A$202)</f>
        <v>10</v>
      </c>
    </row>
    <row r="24" spans="1:7" x14ac:dyDescent="0.35">
      <c r="A24" s="7" t="s">
        <v>36</v>
      </c>
      <c r="B24" s="9">
        <f ca="1">COUNTIFS(Bookings!$M$3:$M$202,"Embarqué complet")</f>
        <v>0</v>
      </c>
      <c r="D24" s="7" t="s">
        <v>37</v>
      </c>
      <c r="E24" s="9">
        <f>SUMPRODUCT((Suivi_par_BL!$O$3:$O$201&lt;&gt;"")*(Suivi_par_BL!$O$3:$O$201&lt;&gt;"OK"))</f>
        <v>9</v>
      </c>
    </row>
    <row r="27" spans="1:7" ht="15.5" x14ac:dyDescent="0.35">
      <c r="A27" s="11" t="s">
        <v>26</v>
      </c>
    </row>
    <row r="28" spans="1:7" x14ac:dyDescent="0.35">
      <c r="A28" s="46" t="s">
        <v>38</v>
      </c>
      <c r="B28" s="46" t="s">
        <v>39</v>
      </c>
      <c r="C28" s="46" t="s">
        <v>40</v>
      </c>
      <c r="D28" s="46" t="s">
        <v>41</v>
      </c>
      <c r="E28" s="46" t="s">
        <v>42</v>
      </c>
    </row>
    <row r="29" spans="1:7" x14ac:dyDescent="0.35">
      <c r="A29" s="13" t="str">
        <f ca="1">IF($G29="","",INDEX(Conteneurs!$A$3:$A$1002,$G29))</f>
        <v>CAAU2958722</v>
      </c>
      <c r="B29" s="13">
        <f ca="1">IF($G29="","",INDEX(Conteneurs!$B$3:$B$1002,$G29))</f>
        <v>277243348</v>
      </c>
      <c r="C29" s="13" t="str">
        <f ca="1">IF($G29="","",INDEX(Conteneurs!$M$3:$M$1002,$G29))</f>
        <v>À empoter</v>
      </c>
      <c r="D29" s="13" t="str">
        <f ca="1">IF($G29="","",INDEX(Conteneurs!$N$3:$N$1002,$G29))</f>
        <v>Gate-In à faire (ETD proche)</v>
      </c>
      <c r="E29" s="14">
        <f ca="1">IF($G29="","",INDEX(Conteneurs!$Q$3:$Q$1002,$G29))</f>
        <v>46308</v>
      </c>
      <c r="G29" s="15">
        <f ca="1">IFERROR(MATCH(1,Conteneurs!$P$3:$P$1002,0),"")</f>
        <v>3</v>
      </c>
    </row>
    <row r="30" spans="1:7" x14ac:dyDescent="0.35">
      <c r="A30" s="13" t="str">
        <f ca="1">IF($G30="","",INDEX(Conteneurs!$A$3:$A$1002,$G30))</f>
        <v>FTAU2081655</v>
      </c>
      <c r="B30" s="13">
        <f ca="1">IF($G30="","",INDEX(Conteneurs!$B$3:$B$1002,$G30))</f>
        <v>277243348</v>
      </c>
      <c r="C30" s="13" t="str">
        <f ca="1">IF($G30="","",INDEX(Conteneurs!$M$3:$M$1002,$G30))</f>
        <v>À empoter</v>
      </c>
      <c r="D30" s="13" t="str">
        <f ca="1">IF($G30="","",INDEX(Conteneurs!$N$3:$N$1002,$G30))</f>
        <v>Gate-In à faire (ETD proche)</v>
      </c>
      <c r="E30" s="14">
        <f ca="1">IF($G30="","",INDEX(Conteneurs!$Q$3:$Q$1002,$G30))</f>
        <v>46308</v>
      </c>
      <c r="G30" s="15">
        <f ca="1">IF($G29="","",IFERROR($G29+MATCH(1,INDEX(Conteneurs!$P$3:$P$1002,$G29+1):INDEX(Conteneurs!$P$3:$P$1002,1000),0),""))</f>
        <v>4</v>
      </c>
    </row>
    <row r="31" spans="1:7" x14ac:dyDescent="0.35">
      <c r="A31" s="13" t="str">
        <f ca="1">IF($G31="","",INDEX(Conteneurs!$A$3:$A$1002,$G31))</f>
        <v>SEKU1677793</v>
      </c>
      <c r="B31" s="13">
        <f ca="1">IF($G31="","",INDEX(Conteneurs!$B$3:$B$1002,$G31))</f>
        <v>277243348</v>
      </c>
      <c r="C31" s="13" t="str">
        <f ca="1">IF($G31="","",INDEX(Conteneurs!$M$3:$M$1002,$G31))</f>
        <v>À empoter</v>
      </c>
      <c r="D31" s="13" t="str">
        <f ca="1">IF($G31="","",INDEX(Conteneurs!$N$3:$N$1002,$G31))</f>
        <v>Gate-In à faire (ETD proche)</v>
      </c>
      <c r="E31" s="14">
        <f ca="1">IF($G31="","",INDEX(Conteneurs!$Q$3:$Q$1002,$G31))</f>
        <v>46308</v>
      </c>
      <c r="G31" s="15">
        <f ca="1">IF($G30="","",IFERROR($G30+MATCH(1,INDEX(Conteneurs!$P$3:$P$1002,$G30+1):INDEX(Conteneurs!$P$3:$P$1002,1000),0),""))</f>
        <v>5</v>
      </c>
    </row>
    <row r="32" spans="1:7" x14ac:dyDescent="0.35">
      <c r="A32" s="13" t="str">
        <f ca="1">IF($G32="","",INDEX(Conteneurs!$A$3:$A$1002,$G32))</f>
        <v>FTAU2076920</v>
      </c>
      <c r="B32" s="13">
        <f ca="1">IF($G32="","",INDEX(Conteneurs!$B$3:$B$1002,$G32))</f>
        <v>277243348</v>
      </c>
      <c r="C32" s="13" t="str">
        <f ca="1">IF($G32="","",INDEX(Conteneurs!$M$3:$M$1002,$G32))</f>
        <v>À empoter</v>
      </c>
      <c r="D32" s="13" t="str">
        <f ca="1">IF($G32="","",INDEX(Conteneurs!$N$3:$N$1002,$G32))</f>
        <v>Gate-In à faire (ETD proche)</v>
      </c>
      <c r="E32" s="14">
        <f ca="1">IF($G32="","",INDEX(Conteneurs!$Q$3:$Q$1002,$G32))</f>
        <v>46308</v>
      </c>
      <c r="G32" s="15">
        <f ca="1">IF($G31="","",IFERROR($G31+MATCH(1,INDEX(Conteneurs!$P$3:$P$1002,$G31+1):INDEX(Conteneurs!$P$3:$P$1002,1000),0),""))</f>
        <v>6</v>
      </c>
    </row>
    <row r="33" spans="1:7" x14ac:dyDescent="0.35">
      <c r="A33" s="13" t="str">
        <f ca="1">IF($G33="","",INDEX(Conteneurs!$A$3:$A$1002,$G33))</f>
        <v>CAAU2346542</v>
      </c>
      <c r="B33" s="13">
        <f ca="1">IF($G33="","",INDEX(Conteneurs!$B$3:$B$1002,$G33))</f>
        <v>277243441</v>
      </c>
      <c r="C33" s="13" t="str">
        <f ca="1">IF($G33="","",INDEX(Conteneurs!$M$3:$M$1002,$G33))</f>
        <v>À empoter</v>
      </c>
      <c r="D33" s="13" t="str">
        <f ca="1">IF($G33="","",INDEX(Conteneurs!$N$3:$N$1002,$G33))</f>
        <v>Gate-In à faire (ETD proche)</v>
      </c>
      <c r="E33" s="14">
        <f ca="1">IF($G33="","",INDEX(Conteneurs!$Q$3:$Q$1002,$G33))</f>
        <v>46308</v>
      </c>
      <c r="G33" s="15">
        <f ca="1">IF($G32="","",IFERROR($G32+MATCH(1,INDEX(Conteneurs!$P$3:$P$1002,$G32+1):INDEX(Conteneurs!$P$3:$P$1002,1000),0),""))</f>
        <v>7</v>
      </c>
    </row>
    <row r="34" spans="1:7" x14ac:dyDescent="0.35">
      <c r="A34" s="13" t="str">
        <f ca="1">IF($G34="","",INDEX(Conteneurs!$A$3:$A$1002,$G34))</f>
        <v>MRSU0518275</v>
      </c>
      <c r="B34" s="13">
        <f ca="1">IF($G34="","",INDEX(Conteneurs!$B$3:$B$1002,$G34))</f>
        <v>277243441</v>
      </c>
      <c r="C34" s="13" t="str">
        <f ca="1">IF($G34="","",INDEX(Conteneurs!$M$3:$M$1002,$G34))</f>
        <v>À empoter</v>
      </c>
      <c r="D34" s="13" t="str">
        <f ca="1">IF($G34="","",INDEX(Conteneurs!$N$3:$N$1002,$G34))</f>
        <v>Gate-In à faire (ETD proche)</v>
      </c>
      <c r="E34" s="14">
        <f ca="1">IF($G34="","",INDEX(Conteneurs!$Q$3:$Q$1002,$G34))</f>
        <v>46308</v>
      </c>
      <c r="G34" s="15">
        <f ca="1">IF($G33="","",IFERROR($G33+MATCH(1,INDEX(Conteneurs!$P$3:$P$1002,$G33+1):INDEX(Conteneurs!$P$3:$P$1002,1000),0),""))</f>
        <v>8</v>
      </c>
    </row>
    <row r="35" spans="1:7" x14ac:dyDescent="0.35">
      <c r="A35" s="13" t="str">
        <f ca="1">IF($G35="","",INDEX(Conteneurs!$A$3:$A$1002,$G35))</f>
        <v>BSIU3503618</v>
      </c>
      <c r="B35" s="13">
        <f ca="1">IF($G35="","",INDEX(Conteneurs!$B$3:$B$1002,$G35))</f>
        <v>277243441</v>
      </c>
      <c r="C35" s="13" t="str">
        <f ca="1">IF($G35="","",INDEX(Conteneurs!$M$3:$M$1002,$G35))</f>
        <v>À empoter</v>
      </c>
      <c r="D35" s="13" t="str">
        <f ca="1">IF($G35="","",INDEX(Conteneurs!$N$3:$N$1002,$G35))</f>
        <v>Gate-In à faire (ETD proche)</v>
      </c>
      <c r="E35" s="14">
        <f ca="1">IF($G35="","",INDEX(Conteneurs!$Q$3:$Q$1002,$G35))</f>
        <v>46308</v>
      </c>
      <c r="G35" s="15">
        <f ca="1">IF($G34="","",IFERROR($G34+MATCH(1,INDEX(Conteneurs!$P$3:$P$1002,$G34+1):INDEX(Conteneurs!$P$3:$P$1002,1000),0),""))</f>
        <v>9</v>
      </c>
    </row>
    <row r="36" spans="1:7" x14ac:dyDescent="0.35">
      <c r="A36" s="13" t="str">
        <f ca="1">IF($G36="","",INDEX(Conteneurs!$A$3:$A$1002,$G36))</f>
        <v>MRSU0681092</v>
      </c>
      <c r="B36" s="13">
        <f ca="1">IF($G36="","",INDEX(Conteneurs!$B$3:$B$1002,$G36))</f>
        <v>277243441</v>
      </c>
      <c r="C36" s="13" t="str">
        <f ca="1">IF($G36="","",INDEX(Conteneurs!$M$3:$M$1002,$G36))</f>
        <v>À empoter</v>
      </c>
      <c r="D36" s="13" t="str">
        <f ca="1">IF($G36="","",INDEX(Conteneurs!$N$3:$N$1002,$G36))</f>
        <v>Gate-In à faire (ETD proche)</v>
      </c>
      <c r="E36" s="14">
        <f ca="1">IF($G36="","",INDEX(Conteneurs!$Q$3:$Q$1002,$G36))</f>
        <v>46308</v>
      </c>
      <c r="G36" s="15">
        <f ca="1">IF($G35="","",IFERROR($G35+MATCH(1,INDEX(Conteneurs!$P$3:$P$1002,$G35+1):INDEX(Conteneurs!$P$3:$P$1002,1000),0),""))</f>
        <v>10</v>
      </c>
    </row>
    <row r="37" spans="1:7" x14ac:dyDescent="0.35">
      <c r="A37" s="13" t="str">
        <f ca="1">IF($G37="","",INDEX(Conteneurs!$A$3:$A$1002,$G37))</f>
        <v>FTAU2051223</v>
      </c>
      <c r="B37" s="13">
        <f ca="1">IF($G37="","",INDEX(Conteneurs!$B$3:$B$1002,$G37))</f>
        <v>277243441</v>
      </c>
      <c r="C37" s="13" t="str">
        <f ca="1">IF($G37="","",INDEX(Conteneurs!$M$3:$M$1002,$G37))</f>
        <v>À empoter</v>
      </c>
      <c r="D37" s="13" t="str">
        <f ca="1">IF($G37="","",INDEX(Conteneurs!$N$3:$N$1002,$G37))</f>
        <v>Gate-In à faire (ETD proche)</v>
      </c>
      <c r="E37" s="14">
        <f ca="1">IF($G37="","",INDEX(Conteneurs!$Q$3:$Q$1002,$G37))</f>
        <v>46308</v>
      </c>
      <c r="G37" s="15">
        <f ca="1">IF($G36="","",IFERROR($G36+MATCH(1,INDEX(Conteneurs!$P$3:$P$1002,$G36+1):INDEX(Conteneurs!$P$3:$P$1002,1000),0),""))</f>
        <v>11</v>
      </c>
    </row>
    <row r="38" spans="1:7" x14ac:dyDescent="0.35">
      <c r="A38" s="13" t="str">
        <f ca="1">IF($G38="","",INDEX(Conteneurs!$A$3:$A$1002,$G38))</f>
        <v>MRSU0614113</v>
      </c>
      <c r="B38" s="13">
        <f ca="1">IF($G38="","",INDEX(Conteneurs!$B$3:$B$1002,$G38))</f>
        <v>277243441</v>
      </c>
      <c r="C38" s="13" t="str">
        <f ca="1">IF($G38="","",INDEX(Conteneurs!$M$3:$M$1002,$G38))</f>
        <v>À empoter</v>
      </c>
      <c r="D38" s="13" t="str">
        <f ca="1">IF($G38="","",INDEX(Conteneurs!$N$3:$N$1002,$G38))</f>
        <v>Gate-In à faire (ETD proche)</v>
      </c>
      <c r="E38" s="14">
        <f ca="1">IF($G38="","",INDEX(Conteneurs!$Q$3:$Q$1002,$G38))</f>
        <v>46308</v>
      </c>
      <c r="G38" s="15">
        <f ca="1">IF($G37="","",IFERROR($G37+MATCH(1,INDEX(Conteneurs!$P$3:$P$1002,$G37+1):INDEX(Conteneurs!$P$3:$P$1002,1000),0),""))</f>
        <v>12</v>
      </c>
    </row>
    <row r="39" spans="1:7" x14ac:dyDescent="0.35">
      <c r="A39" s="13" t="str">
        <f ca="1">IF($G39="","",INDEX(Conteneurs!$A$3:$A$1002,$G39))</f>
        <v>MRSU0425315</v>
      </c>
      <c r="B39" s="13">
        <f ca="1">IF($G39="","",INDEX(Conteneurs!$B$3:$B$1002,$G39))</f>
        <v>277243505</v>
      </c>
      <c r="C39" s="13" t="str">
        <f ca="1">IF($G39="","",INDEX(Conteneurs!$M$3:$M$1002,$G39))</f>
        <v>À empoter</v>
      </c>
      <c r="D39" s="13" t="str">
        <f ca="1">IF($G39="","",INDEX(Conteneurs!$N$3:$N$1002,$G39))</f>
        <v>Gate-In à faire (ETD proche)</v>
      </c>
      <c r="E39" s="14">
        <f ca="1">IF($G39="","",INDEX(Conteneurs!$Q$3:$Q$1002,$G39))</f>
        <v>46308</v>
      </c>
      <c r="G39" s="15">
        <f ca="1">IF($G38="","",IFERROR($G38+MATCH(1,INDEX(Conteneurs!$P$3:$P$1002,$G38+1):INDEX(Conteneurs!$P$3:$P$1002,1000),0),""))</f>
        <v>13</v>
      </c>
    </row>
    <row r="40" spans="1:7" x14ac:dyDescent="0.35">
      <c r="A40" s="13" t="str">
        <f ca="1">IF($G40="","",INDEX(Conteneurs!$A$3:$A$1002,$G40))</f>
        <v>TIIU2260280</v>
      </c>
      <c r="B40" s="13">
        <f ca="1">IF($G40="","",INDEX(Conteneurs!$B$3:$B$1002,$G40))</f>
        <v>277243505</v>
      </c>
      <c r="C40" s="13" t="str">
        <f ca="1">IF($G40="","",INDEX(Conteneurs!$M$3:$M$1002,$G40))</f>
        <v>À empoter</v>
      </c>
      <c r="D40" s="13" t="str">
        <f ca="1">IF($G40="","",INDEX(Conteneurs!$N$3:$N$1002,$G40))</f>
        <v>Gate-In à faire (ETD proche)</v>
      </c>
      <c r="E40" s="14">
        <f ca="1">IF($G40="","",INDEX(Conteneurs!$Q$3:$Q$1002,$G40))</f>
        <v>46308</v>
      </c>
      <c r="G40" s="15">
        <f ca="1">IF($G39="","",IFERROR($G39+MATCH(1,INDEX(Conteneurs!$P$3:$P$1002,$G39+1):INDEX(Conteneurs!$P$3:$P$1002,1000),0),""))</f>
        <v>14</v>
      </c>
    </row>
    <row r="41" spans="1:7" x14ac:dyDescent="0.35">
      <c r="A41" s="13" t="str">
        <f ca="1">IF($G41="","",INDEX(Conteneurs!$A$3:$A$1002,$G41))</f>
        <v>TTNU1229704</v>
      </c>
      <c r="B41" s="13">
        <f ca="1">IF($G41="","",INDEX(Conteneurs!$B$3:$B$1002,$G41))</f>
        <v>277243505</v>
      </c>
      <c r="C41" s="13" t="str">
        <f ca="1">IF($G41="","",INDEX(Conteneurs!$M$3:$M$1002,$G41))</f>
        <v>À empoter</v>
      </c>
      <c r="D41" s="13" t="str">
        <f ca="1">IF($G41="","",INDEX(Conteneurs!$N$3:$N$1002,$G41))</f>
        <v>Gate-In à faire (ETD proche)</v>
      </c>
      <c r="E41" s="14">
        <f ca="1">IF($G41="","",INDEX(Conteneurs!$Q$3:$Q$1002,$G41))</f>
        <v>46308</v>
      </c>
      <c r="G41" s="15">
        <f ca="1">IF($G40="","",IFERROR($G40+MATCH(1,INDEX(Conteneurs!$P$3:$P$1002,$G40+1):INDEX(Conteneurs!$P$3:$P$1002,1000),0),""))</f>
        <v>15</v>
      </c>
    </row>
    <row r="42" spans="1:7" x14ac:dyDescent="0.35">
      <c r="A42" s="13" t="str">
        <f ca="1">IF($G42="","",INDEX(Conteneurs!$A$3:$A$1002,$G42))</f>
        <v>UETU2960682</v>
      </c>
      <c r="B42" s="13">
        <f ca="1">IF($G42="","",INDEX(Conteneurs!$B$3:$B$1002,$G42))</f>
        <v>277243505</v>
      </c>
      <c r="C42" s="13" t="str">
        <f ca="1">IF($G42="","",INDEX(Conteneurs!$M$3:$M$1002,$G42))</f>
        <v>À empoter</v>
      </c>
      <c r="D42" s="13" t="str">
        <f ca="1">IF($G42="","",INDEX(Conteneurs!$N$3:$N$1002,$G42))</f>
        <v>Gate-In à faire (ETD proche)</v>
      </c>
      <c r="E42" s="14">
        <f ca="1">IF($G42="","",INDEX(Conteneurs!$Q$3:$Q$1002,$G42))</f>
        <v>46308</v>
      </c>
      <c r="G42" s="15">
        <f ca="1">IF($G41="","",IFERROR($G41+MATCH(1,INDEX(Conteneurs!$P$3:$P$1002,$G41+1):INDEX(Conteneurs!$P$3:$P$1002,1000),0),""))</f>
        <v>16</v>
      </c>
    </row>
    <row r="43" spans="1:7" x14ac:dyDescent="0.35">
      <c r="A43" s="13" t="str">
        <f ca="1">IF($G43="","",INDEX(Conteneurs!$A$3:$A$1002,$G43))</f>
        <v>TEMU0694118</v>
      </c>
      <c r="B43" s="13">
        <f ca="1">IF($G43="","",INDEX(Conteneurs!$B$3:$B$1002,$G43))</f>
        <v>277243505</v>
      </c>
      <c r="C43" s="13" t="str">
        <f ca="1">IF($G43="","",INDEX(Conteneurs!$M$3:$M$1002,$G43))</f>
        <v>À empoter</v>
      </c>
      <c r="D43" s="13" t="str">
        <f ca="1">IF($G43="","",INDEX(Conteneurs!$N$3:$N$1002,$G43))</f>
        <v>Gate-In à faire (ETD proche)</v>
      </c>
      <c r="E43" s="14">
        <f ca="1">IF($G43="","",INDEX(Conteneurs!$Q$3:$Q$1002,$G43))</f>
        <v>46308</v>
      </c>
      <c r="G43" s="15">
        <f ca="1">IF($G42="","",IFERROR($G42+MATCH(1,INDEX(Conteneurs!$P$3:$P$1002,$G42+1):INDEX(Conteneurs!$P$3:$P$1002,1000),0),""))</f>
        <v>17</v>
      </c>
    </row>
    <row r="44" spans="1:7" x14ac:dyDescent="0.35">
      <c r="A44" s="145"/>
      <c r="B44" s="145"/>
      <c r="C44" s="145"/>
      <c r="D44" s="145"/>
      <c r="E44" s="146"/>
      <c r="G44" s="15"/>
    </row>
    <row r="45" spans="1:7" x14ac:dyDescent="0.35">
      <c r="A45" s="145"/>
      <c r="B45" s="145"/>
      <c r="C45" s="145"/>
      <c r="D45" s="145"/>
      <c r="E45" s="146"/>
      <c r="G45" s="15"/>
    </row>
    <row r="46" spans="1:7" x14ac:dyDescent="0.35">
      <c r="A46" s="145"/>
      <c r="B46" s="145"/>
      <c r="C46" s="145"/>
      <c r="D46" s="145"/>
      <c r="E46" s="146"/>
      <c r="G46" s="15"/>
    </row>
    <row r="47" spans="1:7" x14ac:dyDescent="0.35">
      <c r="A47" s="145"/>
      <c r="B47" s="145"/>
      <c r="C47" s="145"/>
      <c r="D47" s="145"/>
      <c r="E47" s="146"/>
      <c r="G47" s="15"/>
    </row>
    <row r="48" spans="1:7" x14ac:dyDescent="0.35">
      <c r="A48" s="145"/>
      <c r="B48" s="145"/>
      <c r="C48" s="145"/>
      <c r="D48" s="145"/>
      <c r="E48" s="146"/>
      <c r="G48" s="15"/>
    </row>
    <row r="49" spans="1:7" x14ac:dyDescent="0.35">
      <c r="A49" s="145"/>
      <c r="B49" s="145"/>
      <c r="C49" s="145"/>
      <c r="D49" s="145"/>
      <c r="E49" s="146"/>
      <c r="G49" s="15"/>
    </row>
    <row r="50" spans="1:7" x14ac:dyDescent="0.35">
      <c r="A50" s="145"/>
      <c r="B50" s="145"/>
      <c r="C50" s="145"/>
      <c r="D50" s="145"/>
      <c r="E50" s="146"/>
      <c r="G50" s="15"/>
    </row>
    <row r="51" spans="1:7" x14ac:dyDescent="0.35">
      <c r="A51" s="145"/>
      <c r="B51" s="145"/>
      <c r="C51" s="145"/>
      <c r="D51" s="145"/>
      <c r="E51" s="146"/>
      <c r="G51" s="15"/>
    </row>
    <row r="52" spans="1:7" x14ac:dyDescent="0.35">
      <c r="A52" s="145"/>
      <c r="B52" s="145"/>
      <c r="C52" s="145"/>
      <c r="D52" s="145"/>
      <c r="E52" s="146"/>
      <c r="G52" s="15"/>
    </row>
    <row r="53" spans="1:7" x14ac:dyDescent="0.35">
      <c r="A53" s="145"/>
      <c r="B53" s="145"/>
      <c r="C53" s="145"/>
      <c r="D53" s="145"/>
      <c r="E53" s="146"/>
      <c r="G53" s="15"/>
    </row>
    <row r="54" spans="1:7" x14ac:dyDescent="0.35">
      <c r="A54" s="145"/>
      <c r="B54" s="145"/>
      <c r="C54" s="145"/>
      <c r="D54" s="145"/>
      <c r="E54" s="146"/>
      <c r="G54" s="15"/>
    </row>
    <row r="55" spans="1:7" x14ac:dyDescent="0.35">
      <c r="A55" s="145"/>
      <c r="B55" s="145"/>
      <c r="C55" s="145"/>
      <c r="D55" s="145"/>
      <c r="E55" s="146"/>
      <c r="G55" s="15"/>
    </row>
    <row r="56" spans="1:7" x14ac:dyDescent="0.35">
      <c r="A56" s="145"/>
      <c r="B56" s="145"/>
      <c r="C56" s="145"/>
      <c r="D56" s="145"/>
      <c r="E56" s="146"/>
      <c r="G56" s="15"/>
    </row>
    <row r="57" spans="1:7" x14ac:dyDescent="0.35">
      <c r="A57" s="145"/>
      <c r="B57" s="145"/>
      <c r="C57" s="145"/>
      <c r="D57" s="145"/>
      <c r="E57" s="146"/>
      <c r="G57" s="15"/>
    </row>
    <row r="58" spans="1:7" x14ac:dyDescent="0.35">
      <c r="A58" s="145"/>
      <c r="B58" s="145"/>
      <c r="C58" s="145"/>
      <c r="D58" s="145"/>
      <c r="E58" s="146"/>
      <c r="G58" s="15"/>
    </row>
    <row r="59" spans="1:7" x14ac:dyDescent="0.35">
      <c r="A59" s="145"/>
      <c r="B59" s="145"/>
      <c r="C59" s="145"/>
      <c r="D59" s="145"/>
      <c r="E59" s="146"/>
      <c r="G59" s="15"/>
    </row>
    <row r="60" spans="1:7" x14ac:dyDescent="0.35">
      <c r="A60" s="145"/>
      <c r="B60" s="145"/>
      <c r="C60" s="145"/>
      <c r="D60" s="145"/>
      <c r="E60" s="146"/>
      <c r="G60" s="15"/>
    </row>
    <row r="61" spans="1:7" x14ac:dyDescent="0.35">
      <c r="A61" s="145"/>
      <c r="B61" s="145"/>
      <c r="C61" s="145"/>
      <c r="D61" s="145"/>
      <c r="E61" s="146"/>
      <c r="G61" s="15"/>
    </row>
    <row r="62" spans="1:7" x14ac:dyDescent="0.35">
      <c r="A62" s="145"/>
      <c r="B62" s="145"/>
      <c r="C62" s="145"/>
      <c r="D62" s="145"/>
      <c r="E62" s="146"/>
      <c r="G62" s="15"/>
    </row>
    <row r="64" spans="1:7" ht="15.5" x14ac:dyDescent="0.35">
      <c r="A64" s="11" t="s">
        <v>13</v>
      </c>
    </row>
    <row r="65" spans="1:7" x14ac:dyDescent="0.35">
      <c r="A65" s="47" t="s">
        <v>43</v>
      </c>
      <c r="B65" s="47" t="s">
        <v>39</v>
      </c>
      <c r="C65" s="47" t="s">
        <v>44</v>
      </c>
      <c r="D65" s="47" t="s">
        <v>41</v>
      </c>
      <c r="E65" s="47" t="s">
        <v>45</v>
      </c>
    </row>
    <row r="66" spans="1:7" x14ac:dyDescent="0.35">
      <c r="A66" s="13" t="str">
        <f>IF($G66="","",INDEX(Documents!$B$3:$B$1002,$G66))</f>
        <v/>
      </c>
      <c r="B66" s="13" t="str">
        <f>IF($G66="","",INDEX(Documents!$A$3:$A$1002,$G66))</f>
        <v/>
      </c>
      <c r="C66" s="14" t="str">
        <f>IF($G66="","",INDEX(Documents!$D$3:$D$1002,$G66))</f>
        <v/>
      </c>
      <c r="D66" s="13" t="str">
        <f>IF($G66="","",INDEX(Documents!$K$3:$K$1002,$G66))</f>
        <v/>
      </c>
      <c r="E66" s="16" t="str">
        <f>IF($G66="","",INDEX(Documents!$J$3:$J$1002,$G66))</f>
        <v/>
      </c>
      <c r="G66" s="15" t="str">
        <f>IFERROR(MATCH(1,Documents!$M$3:$M$1002,0),"")</f>
        <v/>
      </c>
    </row>
    <row r="67" spans="1:7" x14ac:dyDescent="0.35">
      <c r="A67" s="13" t="str">
        <f>IF($G67="","",INDEX(Documents!$B$3:$B$1002,$G67))</f>
        <v/>
      </c>
      <c r="B67" s="13" t="str">
        <f>IF($G67="","",INDEX(Documents!$A$3:$A$1002,$G67))</f>
        <v/>
      </c>
      <c r="C67" s="14" t="str">
        <f>IF($G67="","",INDEX(Documents!$D$3:$D$1002,$G67))</f>
        <v/>
      </c>
      <c r="D67" s="13" t="str">
        <f>IF($G67="","",INDEX(Documents!$K$3:$K$1002,$G67))</f>
        <v/>
      </c>
      <c r="E67" s="16" t="str">
        <f>IF($G67="","",INDEX(Documents!$J$3:$J$1002,$G67))</f>
        <v/>
      </c>
      <c r="G67" s="15" t="str">
        <f>IF($G66="","",IFERROR($G66+MATCH(1,INDEX(Documents!$M$3:$M$1002,$G66+1):INDEX(Documents!$M$3:$M$1002,1000),0),""))</f>
        <v/>
      </c>
    </row>
    <row r="68" spans="1:7" x14ac:dyDescent="0.35">
      <c r="A68" s="13" t="str">
        <f>IF($G68="","",INDEX(Documents!$B$3:$B$1002,$G68))</f>
        <v/>
      </c>
      <c r="B68" s="13" t="str">
        <f>IF($G68="","",INDEX(Documents!$A$3:$A$1002,$G68))</f>
        <v/>
      </c>
      <c r="C68" s="14" t="str">
        <f>IF($G68="","",INDEX(Documents!$D$3:$D$1002,$G68))</f>
        <v/>
      </c>
      <c r="D68" s="13" t="str">
        <f>IF($G68="","",INDEX(Documents!$K$3:$K$1002,$G68))</f>
        <v/>
      </c>
      <c r="E68" s="16" t="str">
        <f>IF($G68="","",INDEX(Documents!$J$3:$J$1002,$G68))</f>
        <v/>
      </c>
      <c r="G68" s="15" t="str">
        <f>IF($G67="","",IFERROR($G67+MATCH(1,INDEX(Documents!$M$3:$M$1002,$G67+1):INDEX(Documents!$M$3:$M$1002,1000),0),""))</f>
        <v/>
      </c>
    </row>
    <row r="69" spans="1:7" x14ac:dyDescent="0.35">
      <c r="A69" s="13" t="str">
        <f>IF($G69="","",INDEX(Documents!$B$3:$B$1002,$G69))</f>
        <v/>
      </c>
      <c r="B69" s="13" t="str">
        <f>IF($G69="","",INDEX(Documents!$A$3:$A$1002,$G69))</f>
        <v/>
      </c>
      <c r="C69" s="14" t="str">
        <f>IF($G69="","",INDEX(Documents!$D$3:$D$1002,$G69))</f>
        <v/>
      </c>
      <c r="D69" s="13" t="str">
        <f>IF($G69="","",INDEX(Documents!$K$3:$K$1002,$G69))</f>
        <v/>
      </c>
      <c r="E69" s="16" t="str">
        <f>IF($G69="","",INDEX(Documents!$J$3:$J$1002,$G69))</f>
        <v/>
      </c>
      <c r="G69" s="15" t="str">
        <f>IF($G68="","",IFERROR($G68+MATCH(1,INDEX(Documents!$M$3:$M$1002,$G68+1):INDEX(Documents!$M$3:$M$1002,1000),0),""))</f>
        <v/>
      </c>
    </row>
    <row r="70" spans="1:7" x14ac:dyDescent="0.35">
      <c r="A70" s="13" t="str">
        <f>IF($G70="","",INDEX(Documents!$B$3:$B$1002,$G70))</f>
        <v/>
      </c>
      <c r="B70" s="13" t="str">
        <f>IF($G70="","",INDEX(Documents!$A$3:$A$1002,$G70))</f>
        <v/>
      </c>
      <c r="C70" s="14" t="str">
        <f>IF($G70="","",INDEX(Documents!$D$3:$D$1002,$G70))</f>
        <v/>
      </c>
      <c r="D70" s="13" t="str">
        <f>IF($G70="","",INDEX(Documents!$K$3:$K$1002,$G70))</f>
        <v/>
      </c>
      <c r="E70" s="16" t="str">
        <f>IF($G70="","",INDEX(Documents!$J$3:$J$1002,$G70))</f>
        <v/>
      </c>
      <c r="G70" s="15" t="str">
        <f>IF($G69="","",IFERROR($G69+MATCH(1,INDEX(Documents!$M$3:$M$1002,$G69+1):INDEX(Documents!$M$3:$M$1002,1000),0),""))</f>
        <v/>
      </c>
    </row>
    <row r="71" spans="1:7" x14ac:dyDescent="0.35">
      <c r="A71" s="13" t="str">
        <f>IF($G71="","",INDEX(Documents!$B$3:$B$1002,$G71))</f>
        <v/>
      </c>
      <c r="B71" s="13" t="str">
        <f>IF($G71="","",INDEX(Documents!$A$3:$A$1002,$G71))</f>
        <v/>
      </c>
      <c r="C71" s="14" t="str">
        <f>IF($G71="","",INDEX(Documents!$D$3:$D$1002,$G71))</f>
        <v/>
      </c>
      <c r="D71" s="13" t="str">
        <f>IF($G71="","",INDEX(Documents!$K$3:$K$1002,$G71))</f>
        <v/>
      </c>
      <c r="E71" s="16" t="str">
        <f>IF($G71="","",INDEX(Documents!$J$3:$J$1002,$G71))</f>
        <v/>
      </c>
      <c r="G71" s="15" t="str">
        <f>IF($G70="","",IFERROR($G70+MATCH(1,INDEX(Documents!$M$3:$M$1002,$G70+1):INDEX(Documents!$M$3:$M$1002,1000),0),""))</f>
        <v/>
      </c>
    </row>
    <row r="72" spans="1:7" x14ac:dyDescent="0.35">
      <c r="A72" s="13" t="str">
        <f>IF($G72="","",INDEX(Documents!$B$3:$B$1002,$G72))</f>
        <v/>
      </c>
      <c r="B72" s="13" t="str">
        <f>IF($G72="","",INDEX(Documents!$A$3:$A$1002,$G72))</f>
        <v/>
      </c>
      <c r="C72" s="14" t="str">
        <f>IF($G72="","",INDEX(Documents!$D$3:$D$1002,$G72))</f>
        <v/>
      </c>
      <c r="D72" s="13" t="str">
        <f>IF($G72="","",INDEX(Documents!$K$3:$K$1002,$G72))</f>
        <v/>
      </c>
      <c r="E72" s="16" t="str">
        <f>IF($G72="","",INDEX(Documents!$J$3:$J$1002,$G72))</f>
        <v/>
      </c>
      <c r="G72" s="15" t="str">
        <f>IF($G71="","",IFERROR($G71+MATCH(1,INDEX(Documents!$M$3:$M$1002,$G71+1):INDEX(Documents!$M$3:$M$1002,1000),0),""))</f>
        <v/>
      </c>
    </row>
    <row r="73" spans="1:7" x14ac:dyDescent="0.35">
      <c r="A73" s="13" t="str">
        <f>IF($G73="","",INDEX(Documents!$B$3:$B$1002,$G73))</f>
        <v/>
      </c>
      <c r="B73" s="13" t="str">
        <f>IF($G73="","",INDEX(Documents!$A$3:$A$1002,$G73))</f>
        <v/>
      </c>
      <c r="C73" s="14" t="str">
        <f>IF($G73="","",INDEX(Documents!$D$3:$D$1002,$G73))</f>
        <v/>
      </c>
      <c r="D73" s="13" t="str">
        <f>IF($G73="","",INDEX(Documents!$K$3:$K$1002,$G73))</f>
        <v/>
      </c>
      <c r="E73" s="16" t="str">
        <f>IF($G73="","",INDEX(Documents!$J$3:$J$1002,$G73))</f>
        <v/>
      </c>
      <c r="G73" s="15" t="str">
        <f>IF($G72="","",IFERROR($G72+MATCH(1,INDEX(Documents!$M$3:$M$1002,$G72+1):INDEX(Documents!$M$3:$M$1002,1000),0),""))</f>
        <v/>
      </c>
    </row>
    <row r="74" spans="1:7" x14ac:dyDescent="0.35">
      <c r="A74" s="13" t="str">
        <f>IF($G74="","",INDEX(Documents!$B$3:$B$1002,$G74))</f>
        <v/>
      </c>
      <c r="B74" s="13" t="str">
        <f>IF($G74="","",INDEX(Documents!$A$3:$A$1002,$G74))</f>
        <v/>
      </c>
      <c r="C74" s="14" t="str">
        <f>IF($G74="","",INDEX(Documents!$D$3:$D$1002,$G74))</f>
        <v/>
      </c>
      <c r="D74" s="13" t="str">
        <f>IF($G74="","",INDEX(Documents!$K$3:$K$1002,$G74))</f>
        <v/>
      </c>
      <c r="E74" s="16" t="str">
        <f>IF($G74="","",INDEX(Documents!$J$3:$J$1002,$G74))</f>
        <v/>
      </c>
      <c r="G74" s="15" t="str">
        <f>IF($G73="","",IFERROR($G73+MATCH(1,INDEX(Documents!$M$3:$M$1002,$G73+1):INDEX(Documents!$M$3:$M$1002,1000),0),""))</f>
        <v/>
      </c>
    </row>
    <row r="75" spans="1:7" x14ac:dyDescent="0.35">
      <c r="A75" s="13" t="str">
        <f>IF($G75="","",INDEX(Documents!$B$3:$B$1002,$G75))</f>
        <v/>
      </c>
      <c r="B75" s="13" t="str">
        <f>IF($G75="","",INDEX(Documents!$A$3:$A$1002,$G75))</f>
        <v/>
      </c>
      <c r="C75" s="14" t="str">
        <f>IF($G75="","",INDEX(Documents!$D$3:$D$1002,$G75))</f>
        <v/>
      </c>
      <c r="D75" s="13" t="str">
        <f>IF($G75="","",INDEX(Documents!$K$3:$K$1002,$G75))</f>
        <v/>
      </c>
      <c r="E75" s="16" t="str">
        <f>IF($G75="","",INDEX(Documents!$J$3:$J$1002,$G75))</f>
        <v/>
      </c>
      <c r="G75" s="15" t="str">
        <f>IF($G74="","",IFERROR($G74+MATCH(1,INDEX(Documents!$M$3:$M$1002,$G74+1):INDEX(Documents!$M$3:$M$1002,1000),0),""))</f>
        <v/>
      </c>
    </row>
    <row r="76" spans="1:7" x14ac:dyDescent="0.35">
      <c r="A76" s="13" t="str">
        <f>IF($G76="","",INDEX(Documents!$B$3:$B$1002,$G76))</f>
        <v/>
      </c>
      <c r="B76" s="13" t="str">
        <f>IF($G76="","",INDEX(Documents!$A$3:$A$1002,$G76))</f>
        <v/>
      </c>
      <c r="C76" s="14" t="str">
        <f>IF($G76="","",INDEX(Documents!$D$3:$D$1002,$G76))</f>
        <v/>
      </c>
      <c r="D76" s="13" t="str">
        <f>IF($G76="","",INDEX(Documents!$K$3:$K$1002,$G76))</f>
        <v/>
      </c>
      <c r="E76" s="16" t="str">
        <f>IF($G76="","",INDEX(Documents!$J$3:$J$1002,$G76))</f>
        <v/>
      </c>
      <c r="G76" s="15" t="str">
        <f>IF($G75="","",IFERROR($G75+MATCH(1,INDEX(Documents!$M$3:$M$1002,$G75+1):INDEX(Documents!$M$3:$M$1002,1000),0),""))</f>
        <v/>
      </c>
    </row>
    <row r="77" spans="1:7" x14ac:dyDescent="0.35">
      <c r="A77" s="13" t="str">
        <f>IF($G77="","",INDEX(Documents!$B$3:$B$1002,$G77))</f>
        <v/>
      </c>
      <c r="B77" s="13" t="str">
        <f>IF($G77="","",INDEX(Documents!$A$3:$A$1002,$G77))</f>
        <v/>
      </c>
      <c r="C77" s="14" t="str">
        <f>IF($G77="","",INDEX(Documents!$D$3:$D$1002,$G77))</f>
        <v/>
      </c>
      <c r="D77" s="13" t="str">
        <f>IF($G77="","",INDEX(Documents!$K$3:$K$1002,$G77))</f>
        <v/>
      </c>
      <c r="E77" s="16" t="str">
        <f>IF($G77="","",INDEX(Documents!$J$3:$J$1002,$G77))</f>
        <v/>
      </c>
      <c r="G77" s="15" t="str">
        <f>IF($G76="","",IFERROR($G76+MATCH(1,INDEX(Documents!$M$3:$M$1002,$G76+1):INDEX(Documents!$M$3:$M$1002,1000),0),""))</f>
        <v/>
      </c>
    </row>
    <row r="78" spans="1:7" x14ac:dyDescent="0.35">
      <c r="A78" s="13" t="str">
        <f>IF($G78="","",INDEX(Documents!$B$3:$B$1002,$G78))</f>
        <v/>
      </c>
      <c r="B78" s="13" t="str">
        <f>IF($G78="","",INDEX(Documents!$A$3:$A$1002,$G78))</f>
        <v/>
      </c>
      <c r="C78" s="14" t="str">
        <f>IF($G78="","",INDEX(Documents!$D$3:$D$1002,$G78))</f>
        <v/>
      </c>
      <c r="D78" s="13" t="str">
        <f>IF($G78="","",INDEX(Documents!$K$3:$K$1002,$G78))</f>
        <v/>
      </c>
      <c r="E78" s="16" t="str">
        <f>IF($G78="","",INDEX(Documents!$J$3:$J$1002,$G78))</f>
        <v/>
      </c>
      <c r="G78" s="15" t="str">
        <f>IF($G77="","",IFERROR($G77+MATCH(1,INDEX(Documents!$M$3:$M$1002,$G77+1):INDEX(Documents!$M$3:$M$1002,1000),0),""))</f>
        <v/>
      </c>
    </row>
    <row r="79" spans="1:7" x14ac:dyDescent="0.35">
      <c r="A79" s="13" t="str">
        <f>IF($G79="","",INDEX(Documents!$B$3:$B$1002,$G79))</f>
        <v/>
      </c>
      <c r="B79" s="13" t="str">
        <f>IF($G79="","",INDEX(Documents!$A$3:$A$1002,$G79))</f>
        <v/>
      </c>
      <c r="C79" s="14" t="str">
        <f>IF($G79="","",INDEX(Documents!$D$3:$D$1002,$G79))</f>
        <v/>
      </c>
      <c r="D79" s="13" t="str">
        <f>IF($G79="","",INDEX(Documents!$K$3:$K$1002,$G79))</f>
        <v/>
      </c>
      <c r="E79" s="16" t="str">
        <f>IF($G79="","",INDEX(Documents!$J$3:$J$1002,$G79))</f>
        <v/>
      </c>
      <c r="G79" s="15" t="str">
        <f>IF($G78="","",IFERROR($G78+MATCH(1,INDEX(Documents!$M$3:$M$1002,$G78+1):INDEX(Documents!$M$3:$M$1002,1000),0),""))</f>
        <v/>
      </c>
    </row>
    <row r="80" spans="1:7" x14ac:dyDescent="0.35">
      <c r="A80" s="13" t="str">
        <f>IF($G80="","",INDEX(Documents!$B$3:$B$1002,$G80))</f>
        <v/>
      </c>
      <c r="B80" s="13" t="str">
        <f>IF($G80="","",INDEX(Documents!$A$3:$A$1002,$G80))</f>
        <v/>
      </c>
      <c r="C80" s="14" t="str">
        <f>IF($G80="","",INDEX(Documents!$D$3:$D$1002,$G80))</f>
        <v/>
      </c>
      <c r="D80" s="13" t="str">
        <f>IF($G80="","",INDEX(Documents!$K$3:$K$1002,$G80))</f>
        <v/>
      </c>
      <c r="E80" s="16" t="str">
        <f>IF($G80="","",INDEX(Documents!$J$3:$J$1002,$G80))</f>
        <v/>
      </c>
      <c r="G80" s="15" t="str">
        <f>IF($G79="","",IFERROR($G79+MATCH(1,INDEX(Documents!$M$3:$M$1002,$G79+1):INDEX(Documents!$M$3:$M$1002,1000),0),""))</f>
        <v/>
      </c>
    </row>
    <row r="82" spans="1:7" ht="15.5" x14ac:dyDescent="0.35">
      <c r="A82" s="11" t="s">
        <v>46</v>
      </c>
    </row>
    <row r="83" spans="1:7" x14ac:dyDescent="0.35">
      <c r="A83" s="48" t="s">
        <v>47</v>
      </c>
      <c r="B83" s="48" t="s">
        <v>39</v>
      </c>
      <c r="C83" s="48" t="s">
        <v>48</v>
      </c>
      <c r="D83" s="48" t="s">
        <v>49</v>
      </c>
      <c r="E83" s="48" t="s">
        <v>50</v>
      </c>
    </row>
    <row r="84" spans="1:7" x14ac:dyDescent="0.35">
      <c r="A84" s="13" t="str">
        <f ca="1">IF($G84="","",INDEX(Etapes!$B$5:$B$1504,$G84))</f>
        <v/>
      </c>
      <c r="B84" s="13" t="str">
        <f ca="1">IF($G84="","",INDEX(Etapes!$A$5:$A$1504,$G84))</f>
        <v/>
      </c>
      <c r="C84" s="14" t="str">
        <f ca="1">IF($G84="","",INDEX(Etapes!$C$5:$C$1504,$G84))</f>
        <v/>
      </c>
      <c r="D84" s="13" t="str">
        <f ca="1">IF($G84="","",INDEX(Etapes!$E$5:$E$1504,$G84))</f>
        <v/>
      </c>
      <c r="E84" s="16" t="str">
        <f ca="1">IF($G84="","",INDEX(Etapes!$G$5:$G$1504,$G84))</f>
        <v/>
      </c>
      <c r="G84" s="15" t="str">
        <f ca="1">IFERROR(MATCH(1,Etapes!$I$5:$I$1504,0),"")</f>
        <v/>
      </c>
    </row>
    <row r="85" spans="1:7" x14ac:dyDescent="0.35">
      <c r="A85" s="13" t="str">
        <f ca="1">IF($G85="","",INDEX(Etapes!$B$5:$B$1504,$G85))</f>
        <v/>
      </c>
      <c r="B85" s="13" t="str">
        <f ca="1">IF($G85="","",INDEX(Etapes!$A$5:$A$1504,$G85))</f>
        <v/>
      </c>
      <c r="C85" s="14" t="str">
        <f ca="1">IF($G85="","",INDEX(Etapes!$C$5:$C$1504,$G85))</f>
        <v/>
      </c>
      <c r="D85" s="13" t="str">
        <f ca="1">IF($G85="","",INDEX(Etapes!$E$5:$E$1504,$G85))</f>
        <v/>
      </c>
      <c r="E85" s="16" t="str">
        <f ca="1">IF($G85="","",INDEX(Etapes!$G$5:$G$1504,$G85))</f>
        <v/>
      </c>
      <c r="G85" s="15" t="str">
        <f ca="1">IF($G84="","",IFERROR($G84+MATCH(1,INDEX(Etapes!$I$5:$I$1504,$G84+1):INDEX(Etapes!$I$5:$I$1504,1500),0),""))</f>
        <v/>
      </c>
    </row>
    <row r="86" spans="1:7" x14ac:dyDescent="0.35">
      <c r="A86" s="13" t="str">
        <f ca="1">IF($G86="","",INDEX(Etapes!$B$5:$B$1504,$G86))</f>
        <v/>
      </c>
      <c r="B86" s="13" t="str">
        <f ca="1">IF($G86="","",INDEX(Etapes!$A$5:$A$1504,$G86))</f>
        <v/>
      </c>
      <c r="C86" s="14" t="str">
        <f ca="1">IF($G86="","",INDEX(Etapes!$C$5:$C$1504,$G86))</f>
        <v/>
      </c>
      <c r="D86" s="13" t="str">
        <f ca="1">IF($G86="","",INDEX(Etapes!$E$5:$E$1504,$G86))</f>
        <v/>
      </c>
      <c r="E86" s="16" t="str">
        <f ca="1">IF($G86="","",INDEX(Etapes!$G$5:$G$1504,$G86))</f>
        <v/>
      </c>
      <c r="G86" s="15" t="str">
        <f ca="1">IF($G85="","",IFERROR($G85+MATCH(1,INDEX(Etapes!$I$5:$I$1504,$G85+1):INDEX(Etapes!$I$5:$I$1504,1500),0),""))</f>
        <v/>
      </c>
    </row>
    <row r="87" spans="1:7" x14ac:dyDescent="0.35">
      <c r="A87" s="13" t="str">
        <f ca="1">IF($G87="","",INDEX(Etapes!$B$5:$B$1504,$G87))</f>
        <v/>
      </c>
      <c r="B87" s="13" t="str">
        <f ca="1">IF($G87="","",INDEX(Etapes!$A$5:$A$1504,$G87))</f>
        <v/>
      </c>
      <c r="C87" s="14" t="str">
        <f ca="1">IF($G87="","",INDEX(Etapes!$C$5:$C$1504,$G87))</f>
        <v/>
      </c>
      <c r="D87" s="13" t="str">
        <f ca="1">IF($G87="","",INDEX(Etapes!$E$5:$E$1504,$G87))</f>
        <v/>
      </c>
      <c r="E87" s="16" t="str">
        <f ca="1">IF($G87="","",INDEX(Etapes!$G$5:$G$1504,$G87))</f>
        <v/>
      </c>
      <c r="G87" s="15" t="str">
        <f ca="1">IF($G86="","",IFERROR($G86+MATCH(1,INDEX(Etapes!$I$5:$I$1504,$G86+1):INDEX(Etapes!$I$5:$I$1504,1500),0),""))</f>
        <v/>
      </c>
    </row>
    <row r="88" spans="1:7" x14ac:dyDescent="0.35">
      <c r="A88" s="13" t="str">
        <f ca="1">IF($G88="","",INDEX(Etapes!$B$5:$B$1504,$G88))</f>
        <v/>
      </c>
      <c r="B88" s="13" t="str">
        <f ca="1">IF($G88="","",INDEX(Etapes!$A$5:$A$1504,$G88))</f>
        <v/>
      </c>
      <c r="C88" s="14" t="str">
        <f ca="1">IF($G88="","",INDEX(Etapes!$C$5:$C$1504,$G88))</f>
        <v/>
      </c>
      <c r="D88" s="13" t="str">
        <f ca="1">IF($G88="","",INDEX(Etapes!$E$5:$E$1504,$G88))</f>
        <v/>
      </c>
      <c r="E88" s="16" t="str">
        <f ca="1">IF($G88="","",INDEX(Etapes!$G$5:$G$1504,$G88))</f>
        <v/>
      </c>
      <c r="G88" s="15" t="str">
        <f ca="1">IF($G87="","",IFERROR($G87+MATCH(1,INDEX(Etapes!$I$5:$I$1504,$G87+1):INDEX(Etapes!$I$5:$I$1504,1500),0),""))</f>
        <v/>
      </c>
    </row>
    <row r="89" spans="1:7" x14ac:dyDescent="0.35">
      <c r="A89" s="13" t="str">
        <f ca="1">IF($G89="","",INDEX(Etapes!$B$5:$B$1504,$G89))</f>
        <v/>
      </c>
      <c r="B89" s="13" t="str">
        <f ca="1">IF($G89="","",INDEX(Etapes!$A$5:$A$1504,$G89))</f>
        <v/>
      </c>
      <c r="C89" s="14" t="str">
        <f ca="1">IF($G89="","",INDEX(Etapes!$C$5:$C$1504,$G89))</f>
        <v/>
      </c>
      <c r="D89" s="13" t="str">
        <f ca="1">IF($G89="","",INDEX(Etapes!$E$5:$E$1504,$G89))</f>
        <v/>
      </c>
      <c r="E89" s="16" t="str">
        <f ca="1">IF($G89="","",INDEX(Etapes!$G$5:$G$1504,$G89))</f>
        <v/>
      </c>
      <c r="G89" s="15" t="str">
        <f ca="1">IF($G88="","",IFERROR($G88+MATCH(1,INDEX(Etapes!$I$5:$I$1504,$G88+1):INDEX(Etapes!$I$5:$I$1504,1500),0),""))</f>
        <v/>
      </c>
    </row>
    <row r="90" spans="1:7" x14ac:dyDescent="0.35">
      <c r="A90" s="13" t="str">
        <f ca="1">IF($G90="","",INDEX(Etapes!$B$5:$B$1504,$G90))</f>
        <v/>
      </c>
      <c r="B90" s="13" t="str">
        <f ca="1">IF($G90="","",INDEX(Etapes!$A$5:$A$1504,$G90))</f>
        <v/>
      </c>
      <c r="C90" s="14" t="str">
        <f ca="1">IF($G90="","",INDEX(Etapes!$C$5:$C$1504,$G90))</f>
        <v/>
      </c>
      <c r="D90" s="13" t="str">
        <f ca="1">IF($G90="","",INDEX(Etapes!$E$5:$E$1504,$G90))</f>
        <v/>
      </c>
      <c r="E90" s="16" t="str">
        <f ca="1">IF($G90="","",INDEX(Etapes!$G$5:$G$1504,$G90))</f>
        <v/>
      </c>
      <c r="G90" s="15" t="str">
        <f ca="1">IF($G89="","",IFERROR($G89+MATCH(1,INDEX(Etapes!$I$5:$I$1504,$G89+1):INDEX(Etapes!$I$5:$I$1504,1500),0),""))</f>
        <v/>
      </c>
    </row>
    <row r="91" spans="1:7" x14ac:dyDescent="0.35">
      <c r="A91" s="13" t="str">
        <f ca="1">IF($G91="","",INDEX(Etapes!$B$5:$B$1504,$G91))</f>
        <v/>
      </c>
      <c r="B91" s="13" t="str">
        <f ca="1">IF($G91="","",INDEX(Etapes!$A$5:$A$1504,$G91))</f>
        <v/>
      </c>
      <c r="C91" s="14" t="str">
        <f ca="1">IF($G91="","",INDEX(Etapes!$C$5:$C$1504,$G91))</f>
        <v/>
      </c>
      <c r="D91" s="13" t="str">
        <f ca="1">IF($G91="","",INDEX(Etapes!$E$5:$E$1504,$G91))</f>
        <v/>
      </c>
      <c r="E91" s="16" t="str">
        <f ca="1">IF($G91="","",INDEX(Etapes!$G$5:$G$1504,$G91))</f>
        <v/>
      </c>
      <c r="G91" s="15" t="str">
        <f ca="1">IF($G90="","",IFERROR($G90+MATCH(1,INDEX(Etapes!$I$5:$I$1504,$G90+1):INDEX(Etapes!$I$5:$I$1504,1500),0),""))</f>
        <v/>
      </c>
    </row>
    <row r="92" spans="1:7" x14ac:dyDescent="0.35">
      <c r="A92" s="13" t="str">
        <f ca="1">IF($G92="","",INDEX(Etapes!$B$5:$B$1504,$G92))</f>
        <v/>
      </c>
      <c r="B92" s="13" t="str">
        <f ca="1">IF($G92="","",INDEX(Etapes!$A$5:$A$1504,$G92))</f>
        <v/>
      </c>
      <c r="C92" s="14" t="str">
        <f ca="1">IF($G92="","",INDEX(Etapes!$C$5:$C$1504,$G92))</f>
        <v/>
      </c>
      <c r="D92" s="13" t="str">
        <f ca="1">IF($G92="","",INDEX(Etapes!$E$5:$E$1504,$G92))</f>
        <v/>
      </c>
      <c r="E92" s="16" t="str">
        <f ca="1">IF($G92="","",INDEX(Etapes!$G$5:$G$1504,$G92))</f>
        <v/>
      </c>
      <c r="G92" s="15" t="str">
        <f ca="1">IF($G91="","",IFERROR($G91+MATCH(1,INDEX(Etapes!$I$5:$I$1504,$G91+1):INDEX(Etapes!$I$5:$I$1504,1500),0),""))</f>
        <v/>
      </c>
    </row>
    <row r="93" spans="1:7" x14ac:dyDescent="0.35">
      <c r="A93" s="13" t="str">
        <f ca="1">IF($G93="","",INDEX(Etapes!$B$5:$B$1504,$G93))</f>
        <v/>
      </c>
      <c r="B93" s="13" t="str">
        <f ca="1">IF($G93="","",INDEX(Etapes!$A$5:$A$1504,$G93))</f>
        <v/>
      </c>
      <c r="C93" s="14" t="str">
        <f ca="1">IF($G93="","",INDEX(Etapes!$C$5:$C$1504,$G93))</f>
        <v/>
      </c>
      <c r="D93" s="13" t="str">
        <f ca="1">IF($G93="","",INDEX(Etapes!$E$5:$E$1504,$G93))</f>
        <v/>
      </c>
      <c r="E93" s="16" t="str">
        <f ca="1">IF($G93="","",INDEX(Etapes!$G$5:$G$1504,$G93))</f>
        <v/>
      </c>
      <c r="G93" s="15" t="str">
        <f ca="1">IF($G92="","",IFERROR($G92+MATCH(1,INDEX(Etapes!$I$5:$I$1504,$G92+1):INDEX(Etapes!$I$5:$I$1504,1500),0),""))</f>
        <v/>
      </c>
    </row>
    <row r="94" spans="1:7" x14ac:dyDescent="0.35">
      <c r="A94" s="13" t="str">
        <f ca="1">IF($G94="","",INDEX(Etapes!$B$5:$B$1504,$G94))</f>
        <v/>
      </c>
      <c r="B94" s="13" t="str">
        <f ca="1">IF($G94="","",INDEX(Etapes!$A$5:$A$1504,$G94))</f>
        <v/>
      </c>
      <c r="C94" s="14" t="str">
        <f ca="1">IF($G94="","",INDEX(Etapes!$C$5:$C$1504,$G94))</f>
        <v/>
      </c>
      <c r="D94" s="13" t="str">
        <f ca="1">IF($G94="","",INDEX(Etapes!$E$5:$E$1504,$G94))</f>
        <v/>
      </c>
      <c r="E94" s="16" t="str">
        <f ca="1">IF($G94="","",INDEX(Etapes!$G$5:$G$1504,$G94))</f>
        <v/>
      </c>
      <c r="G94" s="15" t="str">
        <f ca="1">IF($G93="","",IFERROR($G93+MATCH(1,INDEX(Etapes!$I$5:$I$1504,$G93+1):INDEX(Etapes!$I$5:$I$1504,1500),0),""))</f>
        <v/>
      </c>
    </row>
    <row r="95" spans="1:7" x14ac:dyDescent="0.35">
      <c r="A95" s="13" t="str">
        <f ca="1">IF($G95="","",INDEX(Etapes!$B$5:$B$1504,$G95))</f>
        <v/>
      </c>
      <c r="B95" s="13" t="str">
        <f ca="1">IF($G95="","",INDEX(Etapes!$A$5:$A$1504,$G95))</f>
        <v/>
      </c>
      <c r="C95" s="14" t="str">
        <f ca="1">IF($G95="","",INDEX(Etapes!$C$5:$C$1504,$G95))</f>
        <v/>
      </c>
      <c r="D95" s="13" t="str">
        <f ca="1">IF($G95="","",INDEX(Etapes!$E$5:$E$1504,$G95))</f>
        <v/>
      </c>
      <c r="E95" s="16" t="str">
        <f ca="1">IF($G95="","",INDEX(Etapes!$G$5:$G$1504,$G95))</f>
        <v/>
      </c>
      <c r="G95" s="15" t="str">
        <f ca="1">IF($G94="","",IFERROR($G94+MATCH(1,INDEX(Etapes!$I$5:$I$1504,$G94+1):INDEX(Etapes!$I$5:$I$1504,1500),0),""))</f>
        <v/>
      </c>
    </row>
    <row r="96" spans="1:7" x14ac:dyDescent="0.35">
      <c r="A96" s="13" t="str">
        <f ca="1">IF($G96="","",INDEX(Etapes!$B$5:$B$1504,$G96))</f>
        <v/>
      </c>
      <c r="B96" s="13" t="str">
        <f ca="1">IF($G96="","",INDEX(Etapes!$A$5:$A$1504,$G96))</f>
        <v/>
      </c>
      <c r="C96" s="14" t="str">
        <f ca="1">IF($G96="","",INDEX(Etapes!$C$5:$C$1504,$G96))</f>
        <v/>
      </c>
      <c r="D96" s="13" t="str">
        <f ca="1">IF($G96="","",INDEX(Etapes!$E$5:$E$1504,$G96))</f>
        <v/>
      </c>
      <c r="E96" s="16" t="str">
        <f ca="1">IF($G96="","",INDEX(Etapes!$G$5:$G$1504,$G96))</f>
        <v/>
      </c>
      <c r="G96" s="15" t="str">
        <f ca="1">IF($G95="","",IFERROR($G95+MATCH(1,INDEX(Etapes!$I$5:$I$1504,$G95+1):INDEX(Etapes!$I$5:$I$1504,1500),0),""))</f>
        <v/>
      </c>
    </row>
    <row r="97" spans="1:7" x14ac:dyDescent="0.35">
      <c r="A97" s="13" t="str">
        <f ca="1">IF($G97="","",INDEX(Etapes!$B$5:$B$1504,$G97))</f>
        <v/>
      </c>
      <c r="B97" s="13" t="str">
        <f ca="1">IF($G97="","",INDEX(Etapes!$A$5:$A$1504,$G97))</f>
        <v/>
      </c>
      <c r="C97" s="14" t="str">
        <f ca="1">IF($G97="","",INDEX(Etapes!$C$5:$C$1504,$G97))</f>
        <v/>
      </c>
      <c r="D97" s="13" t="str">
        <f ca="1">IF($G97="","",INDEX(Etapes!$E$5:$E$1504,$G97))</f>
        <v/>
      </c>
      <c r="E97" s="16" t="str">
        <f ca="1">IF($G97="","",INDEX(Etapes!$G$5:$G$1504,$G97))</f>
        <v/>
      </c>
      <c r="G97" s="15" t="str">
        <f ca="1">IF($G96="","",IFERROR($G96+MATCH(1,INDEX(Etapes!$I$5:$I$1504,$G96+1):INDEX(Etapes!$I$5:$I$1504,1500),0),""))</f>
        <v/>
      </c>
    </row>
    <row r="98" spans="1:7" x14ac:dyDescent="0.35">
      <c r="A98" s="13" t="str">
        <f ca="1">IF($G98="","",INDEX(Etapes!$B$5:$B$1504,$G98))</f>
        <v/>
      </c>
      <c r="B98" s="13" t="str">
        <f ca="1">IF($G98="","",INDEX(Etapes!$A$5:$A$1504,$G98))</f>
        <v/>
      </c>
      <c r="C98" s="14" t="str">
        <f ca="1">IF($G98="","",INDEX(Etapes!$C$5:$C$1504,$G98))</f>
        <v/>
      </c>
      <c r="D98" s="13" t="str">
        <f ca="1">IF($G98="","",INDEX(Etapes!$E$5:$E$1504,$G98))</f>
        <v/>
      </c>
      <c r="E98" s="16" t="str">
        <f ca="1">IF($G98="","",INDEX(Etapes!$G$5:$G$1504,$G98))</f>
        <v/>
      </c>
      <c r="G98" s="15" t="str">
        <f ca="1">IF($G97="","",IFERROR($G97+MATCH(1,INDEX(Etapes!$I$5:$I$1504,$G97+1):INDEX(Etapes!$I$5:$I$1504,1500),0),""))</f>
        <v/>
      </c>
    </row>
    <row r="99" spans="1:7" hidden="1" x14ac:dyDescent="0.35">
      <c r="A99" s="17" t="s">
        <v>51</v>
      </c>
    </row>
  </sheetData>
  <conditionalFormatting sqref="B18">
    <cfRule type="expression" dxfId="28" priority="1">
      <formula>B18&gt;0</formula>
    </cfRule>
  </conditionalFormatting>
  <conditionalFormatting sqref="B23">
    <cfRule type="expression" dxfId="27" priority="4">
      <formula>B23&gt;0</formula>
    </cfRule>
  </conditionalFormatting>
  <conditionalFormatting sqref="E10">
    <cfRule type="expression" dxfId="26" priority="2">
      <formula>E10&gt;0</formula>
    </cfRule>
  </conditionalFormatting>
  <conditionalFormatting sqref="E15">
    <cfRule type="expression" dxfId="25" priority="3">
      <formula>E15&gt;0</formula>
    </cfRule>
  </conditionalFormatting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  <pageSetUpPr fitToPage="1"/>
  </sheetPr>
  <dimension ref="A1:O201"/>
  <sheetViews>
    <sheetView workbookViewId="0">
      <pane xSplit="1" ySplit="2" topLeftCell="F3" activePane="bottomRight" state="frozen"/>
      <selection pane="topRight"/>
      <selection pane="bottomLeft"/>
      <selection pane="bottomRight" activeCell="K9" sqref="K9"/>
    </sheetView>
  </sheetViews>
  <sheetFormatPr baseColWidth="10" defaultColWidth="8.7265625" defaultRowHeight="14.5" x14ac:dyDescent="0.35"/>
  <cols>
    <col min="1" max="3" width="14" customWidth="1"/>
    <col min="4" max="4" width="20" customWidth="1"/>
    <col min="5" max="9" width="13" customWidth="1"/>
    <col min="10" max="10" width="14" customWidth="1"/>
    <col min="11" max="11" width="12" customWidth="1"/>
    <col min="12" max="12" width="14" customWidth="1"/>
    <col min="13" max="13" width="12" customWidth="1"/>
    <col min="14" max="14" width="18" customWidth="1"/>
    <col min="15" max="15" width="30" customWidth="1"/>
  </cols>
  <sheetData>
    <row r="1" spans="1:15" ht="44" hidden="1" customHeight="1" x14ac:dyDescent="0.35">
      <c r="A1" s="49" t="s">
        <v>52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ht="40" customHeight="1" x14ac:dyDescent="0.35">
      <c r="A2" s="12" t="s">
        <v>39</v>
      </c>
      <c r="B2" s="12" t="s">
        <v>53</v>
      </c>
      <c r="C2" s="12" t="s">
        <v>54</v>
      </c>
      <c r="D2" s="12" t="s">
        <v>55</v>
      </c>
      <c r="E2" s="12" t="s">
        <v>42</v>
      </c>
      <c r="F2" s="12" t="s">
        <v>56</v>
      </c>
      <c r="G2" s="12" t="s">
        <v>57</v>
      </c>
      <c r="H2" s="12" t="s">
        <v>58</v>
      </c>
      <c r="I2" s="12" t="s">
        <v>59</v>
      </c>
      <c r="J2" s="12" t="s">
        <v>60</v>
      </c>
      <c r="K2" s="12" t="s">
        <v>61</v>
      </c>
      <c r="L2" s="12" t="s">
        <v>62</v>
      </c>
      <c r="M2" s="12" t="s">
        <v>63</v>
      </c>
      <c r="N2" s="12" t="s">
        <v>64</v>
      </c>
      <c r="O2" s="12" t="s">
        <v>65</v>
      </c>
    </row>
    <row r="3" spans="1:15" x14ac:dyDescent="0.35">
      <c r="A3" s="13">
        <f>IF(Connaissements!$A4="","",Connaissements!$A4)</f>
        <v>277243441</v>
      </c>
      <c r="B3" s="13">
        <f>IF($A3="","",Connaissements!$B4)</f>
        <v>277243441</v>
      </c>
      <c r="C3" s="13">
        <f>IF($A3="","",Connaissements!$G4)</f>
        <v>4600063618</v>
      </c>
      <c r="D3" s="13" t="str">
        <f>IF($A3="","",IFERROR(IF(INDEX(Bookings!$D$3:$D$202,MATCH($B3,Bookings!$A$3:$A$202,0))="","",INDEX(Bookings!$D$3:$D$202,MATCH($B3,Bookings!$A$3:$A$202,0))),""))</f>
        <v>RHONE MAERSK </v>
      </c>
      <c r="E3" s="14">
        <f>IF($A3="","",IFERROR(IF(INDEX(Bookings!$G$3:$G$202,MATCH($B3,Bookings!$A$3:$A$202,0))="","",INDEX(Bookings!$G$3:$G$202,MATCH($B3,Bookings!$A$3:$A$202,0))),""))</f>
        <v>46308</v>
      </c>
      <c r="F3" s="14">
        <f>IF($A3="","",IFERROR(IF(INDEX(Bookings!$H$3:$H$202,MATCH($B3,Bookings!$A$3:$A$202,0))="","",INDEX(Bookings!$H$3:$H$202,MATCH($B3,Bookings!$A$3:$A$202,0))),""))</f>
        <v>46329</v>
      </c>
      <c r="G3" s="13">
        <f>IF($A3="","",IF(Connaissements!$F4="","",Connaissements!$F4))</f>
        <v>6</v>
      </c>
      <c r="H3" s="13">
        <f>IF($A3="","",Connaissements!$H4)</f>
        <v>6</v>
      </c>
      <c r="I3" s="13">
        <f>IF($A3="","",COUNTIFS(Conteneurs!$B$3:$B$1002,$A3,Conteneurs!$M$3:$M$1002,"Embarqué"))</f>
        <v>0</v>
      </c>
      <c r="J3" s="18">
        <f>IF($A3="","",Connaissements!$J4)</f>
        <v>0</v>
      </c>
      <c r="K3" s="13">
        <f>IF($A3="","",COUNTIFS(Documents!$A$3:$A$1002,$A3))</f>
        <v>0</v>
      </c>
      <c r="L3" s="13">
        <f>IF($A3="","",COUNTIFS(Documents!$A$3:$A$1002,$A3,Documents!$I$3:$I$1002,"Envoyé DHL"))</f>
        <v>0</v>
      </c>
      <c r="M3" s="13">
        <f>IF($A3="","",COUNTIFS(Etapes!$A$5:$A$1504,$A3,Etapes!$F$5:$F$1504,"En retard"))</f>
        <v>0</v>
      </c>
      <c r="N3" s="18">
        <f>IF($A3="","",SUMIFS(Couts_Transitaire!$I$3:$I$602,Couts_Transitaire!$B$3:$B$602,$A3))</f>
        <v>0</v>
      </c>
      <c r="O3" s="13" t="str">
        <f>IF($A3="","",IF($M3&gt;0,"Étapes en retard",IF(Connaissements!$K4&lt;&gt;"OK","Contrôle BL à corriger",IF($H3=0,"Aucun conteneur saisi",IF($I3&lt;$H3,"Conteneurs non embarqués",IF($L3&lt;$K3,"Documents à finaliser",IF($N3&gt;0,"Coûts à payer","OK")))))))</f>
        <v>Conteneurs non embarqués</v>
      </c>
    </row>
    <row r="4" spans="1:15" x14ac:dyDescent="0.35">
      <c r="A4" s="13">
        <f>IF(Connaissements!$A5="","",Connaissements!$A5)</f>
        <v>277243505</v>
      </c>
      <c r="B4" s="13">
        <f>IF($A4="","",Connaissements!$B5)</f>
        <v>277243505</v>
      </c>
      <c r="C4" s="13">
        <f>IF($A4="","",Connaissements!$G5)</f>
        <v>4600063618</v>
      </c>
      <c r="D4" s="13" t="str">
        <f>IF($A4="","",IFERROR(IF(INDEX(Bookings!$D$3:$D$202,MATCH($B4,Bookings!$A$3:$A$202,0))="","",INDEX(Bookings!$D$3:$D$202,MATCH($B4,Bookings!$A$3:$A$202,0))),""))</f>
        <v>RHONE MAERSK </v>
      </c>
      <c r="E4" s="14">
        <f>IF($A4="","",IFERROR(IF(INDEX(Bookings!$G$3:$G$202,MATCH($B4,Bookings!$A$3:$A$202,0))="","",INDEX(Bookings!$G$3:$G$202,MATCH($B4,Bookings!$A$3:$A$202,0))),""))</f>
        <v>46308</v>
      </c>
      <c r="F4" s="14">
        <f>IF($A4="","",IFERROR(IF(INDEX(Bookings!$H$3:$H$202,MATCH($B4,Bookings!$A$3:$A$202,0))="","",INDEX(Bookings!$H$3:$H$202,MATCH($B4,Bookings!$A$3:$A$202,0))),""))</f>
        <v>46329</v>
      </c>
      <c r="G4" s="13">
        <f>IF($A4="","",IF(Connaissements!$F5="","",Connaissements!$F5))</f>
        <v>5</v>
      </c>
      <c r="H4" s="13">
        <f>IF($A4="","",Connaissements!$H5)</f>
        <v>5</v>
      </c>
      <c r="I4" s="13">
        <f>IF($A4="","",COUNTIFS(Conteneurs!$B$3:$B$1002,$A4,Conteneurs!$M$3:$M$1002,"Embarqué"))</f>
        <v>0</v>
      </c>
      <c r="J4" s="18">
        <f>IF($A4="","",Connaissements!$J5)</f>
        <v>0</v>
      </c>
      <c r="K4" s="13">
        <f>IF($A4="","",COUNTIFS(Documents!$A$3:$A$1002,$A4))</f>
        <v>0</v>
      </c>
      <c r="L4" s="13">
        <f>IF($A4="","",COUNTIFS(Documents!$A$3:$A$1002,$A4,Documents!$I$3:$I$1002,"Envoyé DHL"))</f>
        <v>0</v>
      </c>
      <c r="M4" s="13">
        <f>IF($A4="","",COUNTIFS(Etapes!$A$5:$A$1504,$A4,Etapes!$F$5:$F$1504,"En retard"))</f>
        <v>0</v>
      </c>
      <c r="N4" s="18">
        <f>IF($A4="","",SUMIFS(Couts_Transitaire!$I$3:$I$602,Couts_Transitaire!$B$3:$B$602,$A4))</f>
        <v>0</v>
      </c>
      <c r="O4" s="13" t="str">
        <f>IF($A4="","",IF($M4&gt;0,"Étapes en retard",IF(Connaissements!$K5&lt;&gt;"OK","Contrôle BL à corriger",IF($H4=0,"Aucun conteneur saisi",IF($I4&lt;$H4,"Conteneurs non embarqués",IF($L4&lt;$K4,"Documents à finaliser",IF($N4&gt;0,"Coûts à payer","OK")))))))</f>
        <v>Conteneurs non embarqués</v>
      </c>
    </row>
    <row r="5" spans="1:15" x14ac:dyDescent="0.35">
      <c r="A5" s="13">
        <f>IF(Connaissements!$A6="","",Connaissements!$A6)</f>
        <v>277243596</v>
      </c>
      <c r="B5" s="13">
        <f>IF($A5="","",Connaissements!$B6)</f>
        <v>277243596</v>
      </c>
      <c r="C5" s="13">
        <f>IF($A5="","",Connaissements!$G6)</f>
        <v>4600063618</v>
      </c>
      <c r="D5" s="13" t="str">
        <f>IF($A5="","",IFERROR(IF(INDEX(Bookings!$D$3:$D$202,MATCH($B5,Bookings!$A$3:$A$202,0))="","",INDEX(Bookings!$D$3:$D$202,MATCH($B5,Bookings!$A$3:$A$202,0))),""))</f>
        <v>RHONE MAERSK </v>
      </c>
      <c r="E5" s="14">
        <f>IF($A5="","",IFERROR(IF(INDEX(Bookings!$G$3:$G$202,MATCH($B5,Bookings!$A$3:$A$202,0))="","",INDEX(Bookings!$G$3:$G$202,MATCH($B5,Bookings!$A$3:$A$202,0))),""))</f>
        <v>46308</v>
      </c>
      <c r="F5" s="14">
        <f>IF($A5="","",IFERROR(IF(INDEX(Bookings!$H$3:$H$202,MATCH($B5,Bookings!$A$3:$A$202,0))="","",INDEX(Bookings!$H$3:$H$202,MATCH($B5,Bookings!$A$3:$A$202,0))),""))</f>
        <v>46329</v>
      </c>
      <c r="G5" s="13">
        <f>IF($A5="","",IF(Connaissements!$F6="","",Connaissements!$F6))</f>
        <v>4</v>
      </c>
      <c r="H5" s="13">
        <f>IF($A5="","",Connaissements!$H6)</f>
        <v>4</v>
      </c>
      <c r="I5" s="13">
        <f>IF($A5="","",COUNTIFS(Conteneurs!$B$3:$B$1002,$A5,Conteneurs!$M$3:$M$1002,"Embarqué"))</f>
        <v>0</v>
      </c>
      <c r="J5" s="18">
        <f>IF($A5="","",Connaissements!$J6)</f>
        <v>0</v>
      </c>
      <c r="K5" s="13">
        <f>IF($A5="","",COUNTIFS(Documents!$A$3:$A$1002,$A5))</f>
        <v>0</v>
      </c>
      <c r="L5" s="13">
        <f>IF($A5="","",COUNTIFS(Documents!$A$3:$A$1002,$A5,Documents!$I$3:$I$1002,"Envoyé DHL"))</f>
        <v>0</v>
      </c>
      <c r="M5" s="13">
        <f>IF($A5="","",COUNTIFS(Etapes!$A$5:$A$1504,$A5,Etapes!$F$5:$F$1504,"En retard"))</f>
        <v>0</v>
      </c>
      <c r="N5" s="18">
        <f>IF($A5="","",SUMIFS(Couts_Transitaire!$I$3:$I$602,Couts_Transitaire!$B$3:$B$602,$A5))</f>
        <v>0</v>
      </c>
      <c r="O5" s="13" t="str">
        <f>IF($A5="","",IF($M5&gt;0,"Étapes en retard",IF(Connaissements!$K6&lt;&gt;"OK","Contrôle BL à corriger",IF($H5=0,"Aucun conteneur saisi",IF($I5&lt;$H5,"Conteneurs non embarqués",IF($L5&lt;$K5,"Documents à finaliser",IF($N5&gt;0,"Coûts à payer","OK")))))))</f>
        <v>Conteneurs non embarqués</v>
      </c>
    </row>
    <row r="6" spans="1:15" x14ac:dyDescent="0.35">
      <c r="A6" s="13">
        <f>IF(Connaissements!$A7="","",Connaissements!$A7)</f>
        <v>277443031</v>
      </c>
      <c r="B6" s="13">
        <f>IF($A6="","",Connaissements!$B7)</f>
        <v>277443031</v>
      </c>
      <c r="C6" s="13">
        <f>IF($A6="","",Connaissements!$G7)</f>
        <v>4600063618</v>
      </c>
      <c r="D6" s="13" t="str">
        <f>IF($A6="","",IFERROR(IF(INDEX(Bookings!$D$3:$D$202,MATCH($B6,Bookings!$A$3:$A$202,0))="","",INDEX(Bookings!$D$3:$D$202,MATCH($B6,Bookings!$A$3:$A$202,0))),""))</f>
        <v>RHONE MAERSK </v>
      </c>
      <c r="E6" s="14">
        <f>IF($A6="","",IFERROR(IF(INDEX(Bookings!$G$3:$G$202,MATCH($B6,Bookings!$A$3:$A$202,0))="","",INDEX(Bookings!$G$3:$G$202,MATCH($B6,Bookings!$A$3:$A$202,0))),""))</f>
        <v>46309</v>
      </c>
      <c r="F6" s="14">
        <f>IF($A6="","",IFERROR(IF(INDEX(Bookings!$H$3:$H$202,MATCH($B6,Bookings!$A$3:$A$202,0))="","",INDEX(Bookings!$H$3:$H$202,MATCH($B6,Bookings!$A$3:$A$202,0))),""))</f>
        <v>46329</v>
      </c>
      <c r="G6" s="13">
        <f>IF($A6="","",IF(Connaissements!$F7="","",Connaissements!$F7))</f>
        <v>6</v>
      </c>
      <c r="H6" s="13">
        <f>IF($A6="","",Connaissements!$H7)</f>
        <v>6</v>
      </c>
      <c r="I6" s="13">
        <f>IF($A6="","",COUNTIFS(Conteneurs!$B$3:$B$1002,$A6,Conteneurs!$M$3:$M$1002,"Embarqué"))</f>
        <v>0</v>
      </c>
      <c r="J6" s="18">
        <f>IF($A6="","",Connaissements!$J7)</f>
        <v>0</v>
      </c>
      <c r="K6" s="13">
        <f>IF($A6="","",COUNTIFS(Documents!$A$3:$A$1002,$A6))</f>
        <v>0</v>
      </c>
      <c r="L6" s="13">
        <f>IF($A6="","",COUNTIFS(Documents!$A$3:$A$1002,$A6,Documents!$I$3:$I$1002,"Envoyé DHL"))</f>
        <v>0</v>
      </c>
      <c r="M6" s="13">
        <f>IF($A6="","",COUNTIFS(Etapes!$A$5:$A$1504,$A6,Etapes!$F$5:$F$1504,"En retard"))</f>
        <v>0</v>
      </c>
      <c r="N6" s="18">
        <f>IF($A6="","",SUMIFS(Couts_Transitaire!$I$3:$I$602,Couts_Transitaire!$B$3:$B$602,$A6))</f>
        <v>0</v>
      </c>
      <c r="O6" s="13" t="str">
        <f>IF($A6="","",IF($M6&gt;0,"Étapes en retard",IF(Connaissements!$K7&lt;&gt;"OK","Contrôle BL à corriger",IF($H6=0,"Aucun conteneur saisi",IF($I6&lt;$H6,"Conteneurs non embarqués",IF($L6&lt;$K6,"Documents à finaliser",IF($N6&gt;0,"Coûts à payer","OK")))))))</f>
        <v>Conteneurs non embarqués</v>
      </c>
    </row>
    <row r="7" spans="1:15" x14ac:dyDescent="0.35">
      <c r="A7" s="13">
        <f>IF(Connaissements!$A8="","",Connaissements!$A8)</f>
        <v>277763418</v>
      </c>
      <c r="B7" s="13">
        <f>IF($A7="","",Connaissements!$B8)</f>
        <v>277763418</v>
      </c>
      <c r="C7" s="13">
        <f>IF($A7="","",Connaissements!$G8)</f>
        <v>4600063618</v>
      </c>
      <c r="D7" s="13" t="str">
        <f>IF($A7="","",IFERROR(IF(INDEX(Bookings!$D$3:$D$202,MATCH($B7,Bookings!$A$3:$A$202,0))="","",INDEX(Bookings!$D$3:$D$202,MATCH($B7,Bookings!$A$3:$A$202,0))),""))</f>
        <v>RHONE MAERSK </v>
      </c>
      <c r="E7" s="14">
        <f>IF($A7="","",IFERROR(IF(INDEX(Bookings!$G$3:$G$202,MATCH($B7,Bookings!$A$3:$A$202,0))="","",INDEX(Bookings!$G$3:$G$202,MATCH($B7,Bookings!$A$3:$A$202,0))),""))</f>
        <v>46309</v>
      </c>
      <c r="F7" s="14">
        <f>IF($A7="","",IFERROR(IF(INDEX(Bookings!$H$3:$H$202,MATCH($B7,Bookings!$A$3:$A$202,0))="","",INDEX(Bookings!$H$3:$H$202,MATCH($B7,Bookings!$A$3:$A$202,0))),""))</f>
        <v>46329</v>
      </c>
      <c r="G7" s="13">
        <f>IF($A7="","",IF(Connaissements!$F8="","",Connaissements!$F8))</f>
        <v>5</v>
      </c>
      <c r="H7" s="13">
        <f>IF($A7="","",Connaissements!$H8)</f>
        <v>5</v>
      </c>
      <c r="I7" s="13">
        <f>IF($A7="","",COUNTIFS(Conteneurs!$B$3:$B$1002,$A7,Conteneurs!$M$3:$M$1002,"Embarqué"))</f>
        <v>0</v>
      </c>
      <c r="J7" s="18">
        <f>IF($A7="","",Connaissements!$J8)</f>
        <v>0</v>
      </c>
      <c r="K7" s="13">
        <f>IF($A7="","",COUNTIFS(Documents!$A$3:$A$1002,$A7))</f>
        <v>0</v>
      </c>
      <c r="L7" s="13">
        <f>IF($A7="","",COUNTIFS(Documents!$A$3:$A$1002,$A7,Documents!$I$3:$I$1002,"Envoyé DHL"))</f>
        <v>0</v>
      </c>
      <c r="M7" s="13">
        <f>IF($A7="","",COUNTIFS(Etapes!$A$5:$A$1504,$A7,Etapes!$F$5:$F$1504,"En retard"))</f>
        <v>0</v>
      </c>
      <c r="N7" s="18">
        <f>IF($A7="","",SUMIFS(Couts_Transitaire!$I$3:$I$602,Couts_Transitaire!$B$3:$B$602,$A7))</f>
        <v>0</v>
      </c>
      <c r="O7" s="13" t="str">
        <f>IF($A7="","",IF($M7&gt;0,"Étapes en retard",IF(Connaissements!$K8&lt;&gt;"OK","Contrôle BL à corriger",IF($H7=0,"Aucun conteneur saisi",IF($I7&lt;$H7,"Conteneurs non embarqués",IF($L7&lt;$K7,"Documents à finaliser",IF($N7&gt;0,"Coûts à payer","OK")))))))</f>
        <v>Conteneurs non embarqués</v>
      </c>
    </row>
    <row r="8" spans="1:15" x14ac:dyDescent="0.35">
      <c r="A8" s="13">
        <f>IF(Connaissements!$A9="","",Connaissements!$A9)</f>
        <v>277770098</v>
      </c>
      <c r="B8" s="13">
        <f>IF($A8="","",Connaissements!$B9)</f>
        <v>277770098</v>
      </c>
      <c r="C8" s="13">
        <f>IF($A8="","",Connaissements!$G9)</f>
        <v>4600063618</v>
      </c>
      <c r="D8" s="13" t="str">
        <f>IF($A8="","",IFERROR(IF(INDEX(Bookings!$D$3:$D$202,MATCH($B8,Bookings!$A$3:$A$202,0))="","",INDEX(Bookings!$D$3:$D$202,MATCH($B8,Bookings!$A$3:$A$202,0))),""))</f>
        <v>RHONE MAERSK </v>
      </c>
      <c r="E8" s="14">
        <f>IF($A8="","",IFERROR(IF(INDEX(Bookings!$G$3:$G$202,MATCH($B8,Bookings!$A$3:$A$202,0))="","",INDEX(Bookings!$G$3:$G$202,MATCH($B8,Bookings!$A$3:$A$202,0))),""))</f>
        <v>46309</v>
      </c>
      <c r="F8" s="14">
        <f>IF($A8="","",IFERROR(IF(INDEX(Bookings!$H$3:$H$202,MATCH($B8,Bookings!$A$3:$A$202,0))="","",INDEX(Bookings!$H$3:$H$202,MATCH($B8,Bookings!$A$3:$A$202,0))),""))</f>
        <v>46329</v>
      </c>
      <c r="G8" s="13">
        <f>IF($A8="","",IF(Connaissements!$F9="","",Connaissements!$F9))</f>
        <v>5</v>
      </c>
      <c r="H8" s="13">
        <f>IF($A8="","",Connaissements!$H9)</f>
        <v>5</v>
      </c>
      <c r="I8" s="13">
        <f>IF($A8="","",COUNTIFS(Conteneurs!$B$3:$B$1002,$A8,Conteneurs!$M$3:$M$1002,"Embarqué"))</f>
        <v>0</v>
      </c>
      <c r="J8" s="18">
        <f>IF($A8="","",Connaissements!$J9)</f>
        <v>21400</v>
      </c>
      <c r="K8" s="13">
        <f>IF($A8="","",COUNTIFS(Documents!$A$3:$A$1002,$A8))</f>
        <v>0</v>
      </c>
      <c r="L8" s="13">
        <f>IF($A8="","",COUNTIFS(Documents!$A$3:$A$1002,$A8,Documents!$I$3:$I$1002,"Envoyé DHL"))</f>
        <v>0</v>
      </c>
      <c r="M8" s="13">
        <f>IF($A8="","",COUNTIFS(Etapes!$A$5:$A$1504,$A8,Etapes!$F$5:$F$1504,"En retard"))</f>
        <v>0</v>
      </c>
      <c r="N8" s="18">
        <f>IF($A8="","",SUMIFS(Couts_Transitaire!$I$3:$I$602,Couts_Transitaire!$B$3:$B$602,$A8))</f>
        <v>0</v>
      </c>
      <c r="O8" s="13" t="str">
        <f>IF($A8="","",IF($M8&gt;0,"Étapes en retard",IF(Connaissements!$K9&lt;&gt;"OK","Contrôle BL à corriger",IF($H8=0,"Aucun conteneur saisi",IF($I8&lt;$H8,"Conteneurs non embarqués",IF($L8&lt;$K8,"Documents à finaliser",IF($N8&gt;0,"Coûts à payer","OK")))))))</f>
        <v>Contrôle BL à corriger</v>
      </c>
    </row>
    <row r="9" spans="1:15" x14ac:dyDescent="0.35">
      <c r="A9" s="13">
        <f>IF(Connaissements!$A10="","",Connaissements!$A10)</f>
        <v>277770206</v>
      </c>
      <c r="B9" s="13">
        <f>IF($A9="","",Connaissements!$B10)</f>
        <v>277770206</v>
      </c>
      <c r="C9" s="13">
        <f>IF($A9="","",Connaissements!$G10)</f>
        <v>4600063618</v>
      </c>
      <c r="D9" s="13" t="str">
        <f>IF($A9="","",IFERROR(IF(INDEX(Bookings!$D$3:$D$202,MATCH($B9,Bookings!$A$3:$A$202,0))="","",INDEX(Bookings!$D$3:$D$202,MATCH($B9,Bookings!$A$3:$A$202,0))),""))</f>
        <v>ALS CERES</v>
      </c>
      <c r="E9" s="14">
        <f>IF($A9="","",IFERROR(IF(INDEX(Bookings!$G$3:$G$202,MATCH($B9,Bookings!$A$3:$A$202,0))="","",INDEX(Bookings!$G$3:$G$202,MATCH($B9,Bookings!$A$3:$A$202,0))),""))</f>
        <v>46314</v>
      </c>
      <c r="F9" s="14">
        <f>IF($A9="","",IFERROR(IF(INDEX(Bookings!$H$3:$H$202,MATCH($B9,Bookings!$A$3:$A$202,0))="","",INDEX(Bookings!$H$3:$H$202,MATCH($B9,Bookings!$A$3:$A$202,0))),""))</f>
        <v>46343</v>
      </c>
      <c r="G9" s="13">
        <f>IF($A9="","",IF(Connaissements!$F10="","",Connaissements!$F10))</f>
        <v>5</v>
      </c>
      <c r="H9" s="13">
        <f>IF($A9="","",Connaissements!$H10)</f>
        <v>5</v>
      </c>
      <c r="I9" s="13">
        <f>IF($A9="","",COUNTIFS(Conteneurs!$B$3:$B$1002,$A9,Conteneurs!$M$3:$M$1002,"Embarqué"))</f>
        <v>0</v>
      </c>
      <c r="J9" s="18">
        <f>IF($A9="","",Connaissements!$J10)</f>
        <v>0</v>
      </c>
      <c r="K9" s="13">
        <f>IF($A9="","",COUNTIFS(Documents!$A$3:$A$1002,$A9))</f>
        <v>0</v>
      </c>
      <c r="L9" s="13">
        <f>IF($A9="","",COUNTIFS(Documents!$A$3:$A$1002,$A9,Documents!$I$3:$I$1002,"Envoyé DHL"))</f>
        <v>0</v>
      </c>
      <c r="M9" s="13">
        <f>IF($A9="","",COUNTIFS(Etapes!$A$5:$A$1504,$A9,Etapes!$F$5:$F$1504,"En retard"))</f>
        <v>0</v>
      </c>
      <c r="N9" s="18">
        <f>IF($A9="","",SUMIFS(Couts_Transitaire!$I$3:$I$602,Couts_Transitaire!$B$3:$B$602,$A9))</f>
        <v>0</v>
      </c>
      <c r="O9" s="13" t="str">
        <f>IF($A9="","",IF($M9&gt;0,"Étapes en retard",IF(Connaissements!$K10&lt;&gt;"OK","Contrôle BL à corriger",IF($H9=0,"Aucun conteneur saisi",IF($I9&lt;$H9,"Conteneurs non embarqués",IF($L9&lt;$K9,"Documents à finaliser",IF($N9&gt;0,"Coûts à payer","OK")))))))</f>
        <v>Conteneurs non embarqués</v>
      </c>
    </row>
    <row r="10" spans="1:15" x14ac:dyDescent="0.35">
      <c r="A10" s="13">
        <f>IF(Connaissements!$A11="","",Connaissements!$A11)</f>
        <v>278981635</v>
      </c>
      <c r="B10" s="13">
        <f>IF($A10="","",Connaissements!$B11)</f>
        <v>278981635</v>
      </c>
      <c r="C10" s="13">
        <f>IF($A10="","",Connaissements!$G11)</f>
        <v>4600063618</v>
      </c>
      <c r="D10" s="13" t="str">
        <f>IF($A10="","",IFERROR(IF(INDEX(Bookings!$D$3:$D$202,MATCH($B10,Bookings!$A$3:$A$202,0))="","",INDEX(Bookings!$D$3:$D$202,MATCH($B10,Bookings!$A$3:$A$202,0))),""))</f>
        <v>RHONE MAERSK </v>
      </c>
      <c r="E10" s="14">
        <f>IF($A10="","",IFERROR(IF(INDEX(Bookings!$G$3:$G$202,MATCH($B10,Bookings!$A$3:$A$202,0))="","",INDEX(Bookings!$G$3:$G$202,MATCH($B10,Bookings!$A$3:$A$202,0))),""))</f>
        <v>46309</v>
      </c>
      <c r="F10" s="14">
        <f>IF($A10="","",IFERROR(IF(INDEX(Bookings!$H$3:$H$202,MATCH($B10,Bookings!$A$3:$A$202,0))="","",INDEX(Bookings!$H$3:$H$202,MATCH($B10,Bookings!$A$3:$A$202,0))),""))</f>
        <v>46329</v>
      </c>
      <c r="G10" s="13">
        <f>IF($A10="","",IF(Connaissements!$F11="","",Connaissements!$F11))</f>
        <v>6</v>
      </c>
      <c r="H10" s="13">
        <f>IF($A10="","",Connaissements!$H11)</f>
        <v>6</v>
      </c>
      <c r="I10" s="13">
        <f>IF($A10="","",COUNTIFS(Conteneurs!$B$3:$B$1002,$A10,Conteneurs!$M$3:$M$1002,"Embarqué"))</f>
        <v>0</v>
      </c>
      <c r="J10" s="18">
        <f>IF($A10="","",Connaissements!$J11)</f>
        <v>0</v>
      </c>
      <c r="K10" s="13">
        <f>IF($A10="","",COUNTIFS(Documents!$A$3:$A$1002,$A10))</f>
        <v>0</v>
      </c>
      <c r="L10" s="13">
        <f>IF($A10="","",COUNTIFS(Documents!$A$3:$A$1002,$A10,Documents!$I$3:$I$1002,"Envoyé DHL"))</f>
        <v>0</v>
      </c>
      <c r="M10" s="13">
        <f>IF($A10="","",COUNTIFS(Etapes!$A$5:$A$1504,$A10,Etapes!$F$5:$F$1504,"En retard"))</f>
        <v>0</v>
      </c>
      <c r="N10" s="18">
        <f>IF($A10="","",SUMIFS(Couts_Transitaire!$I$3:$I$602,Couts_Transitaire!$B$3:$B$602,$A10))</f>
        <v>0</v>
      </c>
      <c r="O10" s="13" t="str">
        <f>IF($A10="","",IF($M10&gt;0,"Étapes en retard",IF(Connaissements!$K11&lt;&gt;"OK","Contrôle BL à corriger",IF($H10=0,"Aucun conteneur saisi",IF($I10&lt;$H10,"Conteneurs non embarqués",IF($L10&lt;$K10,"Documents à finaliser",IF($N10&gt;0,"Coûts à payer","OK")))))))</f>
        <v>Conteneurs non embarqués</v>
      </c>
    </row>
    <row r="11" spans="1:15" x14ac:dyDescent="0.35">
      <c r="A11" s="13">
        <f>IF(Connaissements!$A12="","",Connaissements!$A12)</f>
        <v>279324047</v>
      </c>
      <c r="B11" s="13">
        <f>IF($A11="","",Connaissements!$B12)</f>
        <v>279324047</v>
      </c>
      <c r="C11" s="13">
        <f>IF($A11="","",Connaissements!$G12)</f>
        <v>4600063618</v>
      </c>
      <c r="D11" s="13" t="str">
        <f>IF($A11="","",IFERROR(IF(INDEX(Bookings!$D$3:$D$202,MATCH($B11,Bookings!$A$3:$A$202,0))="","",INDEX(Bookings!$D$3:$D$202,MATCH($B11,Bookings!$A$3:$A$202,0))),""))</f>
        <v>ALS CERES</v>
      </c>
      <c r="E11" s="14">
        <f>IF($A11="","",IFERROR(IF(INDEX(Bookings!$G$3:$G$202,MATCH($B11,Bookings!$A$3:$A$202,0))="","",INDEX(Bookings!$G$3:$G$202,MATCH($B11,Bookings!$A$3:$A$202,0))),""))</f>
        <v>46314</v>
      </c>
      <c r="F11" s="14">
        <f>IF($A11="","",IFERROR(IF(INDEX(Bookings!$H$3:$H$202,MATCH($B11,Bookings!$A$3:$A$202,0))="","",INDEX(Bookings!$H$3:$H$202,MATCH($B11,Bookings!$A$3:$A$202,0))),""))</f>
        <v>46343</v>
      </c>
      <c r="G11" s="13">
        <f>IF($A11="","",IF(Connaissements!$F12="","",Connaissements!$F12))</f>
        <v>1</v>
      </c>
      <c r="H11" s="13">
        <f>IF($A11="","",Connaissements!$H12)</f>
        <v>1</v>
      </c>
      <c r="I11" s="13">
        <f>IF($A11="","",COUNTIFS(Conteneurs!$B$3:$B$1002,$A11,Conteneurs!$M$3:$M$1002,"Embarqué"))</f>
        <v>0</v>
      </c>
      <c r="J11" s="18">
        <f>IF($A11="","",Connaissements!$J12)</f>
        <v>0</v>
      </c>
      <c r="K11" s="13">
        <f>IF($A11="","",COUNTIFS(Documents!$A$3:$A$1002,$A11))</f>
        <v>0</v>
      </c>
      <c r="L11" s="13">
        <f>IF($A11="","",COUNTIFS(Documents!$A$3:$A$1002,$A11,Documents!$I$3:$I$1002,"Envoyé DHL"))</f>
        <v>0</v>
      </c>
      <c r="M11" s="13">
        <f>IF($A11="","",COUNTIFS(Etapes!$A$5:$A$1504,$A11,Etapes!$F$5:$F$1504,"En retard"))</f>
        <v>0</v>
      </c>
      <c r="N11" s="18">
        <f>IF($A11="","",SUMIFS(Couts_Transitaire!$I$3:$I$602,Couts_Transitaire!$B$3:$B$602,$A11))</f>
        <v>0</v>
      </c>
      <c r="O11" s="13" t="str">
        <f>IF($A11="","",IF($M11&gt;0,"Étapes en retard",IF(Connaissements!$K12&lt;&gt;"OK","Contrôle BL à corriger",IF($H11=0,"Aucun conteneur saisi",IF($I11&lt;$H11,"Conteneurs non embarqués",IF($L11&lt;$K11,"Documents à finaliser",IF($N11&gt;0,"Coûts à payer","OK")))))))</f>
        <v>Conteneurs non embarqués</v>
      </c>
    </row>
    <row r="12" spans="1:15" x14ac:dyDescent="0.35">
      <c r="A12" s="13" t="str">
        <f>IF(Connaissements!$A13="","",Connaissements!$A13)</f>
        <v/>
      </c>
      <c r="B12" s="13" t="str">
        <f>IF($A12="","",Connaissements!$B13)</f>
        <v/>
      </c>
      <c r="C12" s="13" t="str">
        <f>IF($A12="","",Connaissements!$G13)</f>
        <v/>
      </c>
      <c r="D12" s="13" t="str">
        <f>IF($A12="","",IFERROR(IF(INDEX(Bookings!$D$3:$D$202,MATCH($B12,Bookings!$A$3:$A$202,0))="","",INDEX(Bookings!$D$3:$D$202,MATCH($B12,Bookings!$A$3:$A$202,0))),""))</f>
        <v/>
      </c>
      <c r="E12" s="14" t="str">
        <f>IF($A12="","",IFERROR(IF(INDEX(Bookings!$G$3:$G$202,MATCH($B12,Bookings!$A$3:$A$202,0))="","",INDEX(Bookings!$G$3:$G$202,MATCH($B12,Bookings!$A$3:$A$202,0))),""))</f>
        <v/>
      </c>
      <c r="F12" s="14" t="str">
        <f>IF($A12="","",IFERROR(IF(INDEX(Bookings!$H$3:$H$202,MATCH($B12,Bookings!$A$3:$A$202,0))="","",INDEX(Bookings!$H$3:$H$202,MATCH($B12,Bookings!$A$3:$A$202,0))),""))</f>
        <v/>
      </c>
      <c r="G12" s="13" t="str">
        <f>IF($A12="","",IF(Connaissements!$F13="","",Connaissements!$F13))</f>
        <v/>
      </c>
      <c r="H12" s="13" t="str">
        <f>IF($A12="","",Connaissements!$H13)</f>
        <v/>
      </c>
      <c r="I12" s="13" t="str">
        <f>IF($A12="","",COUNTIFS(Conteneurs!$B$3:$B$1002,$A12,Conteneurs!$M$3:$M$1002,"Embarqué"))</f>
        <v/>
      </c>
      <c r="J12" s="18" t="str">
        <f>IF($A12="","",Connaissements!$J13)</f>
        <v/>
      </c>
      <c r="K12" s="13" t="str">
        <f>IF($A12="","",COUNTIFS(Documents!$A$3:$A$1002,$A12))</f>
        <v/>
      </c>
      <c r="L12" s="13" t="str">
        <f>IF($A12="","",COUNTIFS(Documents!$A$3:$A$1002,$A12,Documents!$I$3:$I$1002,"Envoyé DHL"))</f>
        <v/>
      </c>
      <c r="M12" s="13" t="str">
        <f>IF($A12="","",COUNTIFS(Etapes!$A$5:$A$1504,$A12,Etapes!$F$5:$F$1504,"En retard"))</f>
        <v/>
      </c>
      <c r="N12" s="18" t="str">
        <f>IF($A12="","",SUMIFS(Couts_Transitaire!$I$3:$I$602,Couts_Transitaire!$B$3:$B$602,$A12))</f>
        <v/>
      </c>
      <c r="O12" s="13" t="str">
        <f>IF($A12="","",IF($M12&gt;0,"Étapes en retard",IF(Connaissements!$K13&lt;&gt;"OK","Contrôle BL à corriger",IF($H12=0,"Aucun conteneur saisi",IF($I12&lt;$H12,"Conteneurs non embarqués",IF($L12&lt;$K12,"Documents à finaliser",IF($N12&gt;0,"Coûts à payer","OK")))))))</f>
        <v/>
      </c>
    </row>
    <row r="13" spans="1:15" x14ac:dyDescent="0.35">
      <c r="A13" s="13" t="str">
        <f>IF(Connaissements!$A14="","",Connaissements!$A14)</f>
        <v/>
      </c>
      <c r="B13" s="13" t="str">
        <f>IF($A13="","",Connaissements!$B14)</f>
        <v/>
      </c>
      <c r="C13" s="13" t="str">
        <f>IF($A13="","",Connaissements!$G14)</f>
        <v/>
      </c>
      <c r="D13" s="13" t="str">
        <f>IF($A13="","",IFERROR(IF(INDEX(Bookings!$D$3:$D$202,MATCH($B13,Bookings!$A$3:$A$202,0))="","",INDEX(Bookings!$D$3:$D$202,MATCH($B13,Bookings!$A$3:$A$202,0))),""))</f>
        <v/>
      </c>
      <c r="E13" s="14" t="str">
        <f>IF($A13="","",IFERROR(IF(INDEX(Bookings!$G$3:$G$202,MATCH($B13,Bookings!$A$3:$A$202,0))="","",INDEX(Bookings!$G$3:$G$202,MATCH($B13,Bookings!$A$3:$A$202,0))),""))</f>
        <v/>
      </c>
      <c r="F13" s="14" t="str">
        <f>IF($A13="","",IFERROR(IF(INDEX(Bookings!$H$3:$H$202,MATCH($B13,Bookings!$A$3:$A$202,0))="","",INDEX(Bookings!$H$3:$H$202,MATCH($B13,Bookings!$A$3:$A$202,0))),""))</f>
        <v/>
      </c>
      <c r="G13" s="13" t="str">
        <f>IF($A13="","",IF(Connaissements!$F14="","",Connaissements!$F14))</f>
        <v/>
      </c>
      <c r="H13" s="13" t="str">
        <f>IF($A13="","",Connaissements!$H14)</f>
        <v/>
      </c>
      <c r="I13" s="13" t="str">
        <f>IF($A13="","",COUNTIFS(Conteneurs!$B$3:$B$1002,$A13,Conteneurs!$M$3:$M$1002,"Embarqué"))</f>
        <v/>
      </c>
      <c r="J13" s="18" t="str">
        <f>IF($A13="","",Connaissements!$J14)</f>
        <v/>
      </c>
      <c r="K13" s="13" t="str">
        <f>IF($A13="","",COUNTIFS(Documents!$A$3:$A$1002,$A13))</f>
        <v/>
      </c>
      <c r="L13" s="13" t="str">
        <f>IF($A13="","",COUNTIFS(Documents!$A$3:$A$1002,$A13,Documents!$I$3:$I$1002,"Envoyé DHL"))</f>
        <v/>
      </c>
      <c r="M13" s="13" t="str">
        <f>IF($A13="","",COUNTIFS(Etapes!$A$5:$A$1504,$A13,Etapes!$F$5:$F$1504,"En retard"))</f>
        <v/>
      </c>
      <c r="N13" s="18" t="str">
        <f>IF($A13="","",SUMIFS(Couts_Transitaire!$I$3:$I$602,Couts_Transitaire!$B$3:$B$602,$A13))</f>
        <v/>
      </c>
      <c r="O13" s="13" t="str">
        <f>IF($A13="","",IF($M13&gt;0,"Étapes en retard",IF(Connaissements!$K14&lt;&gt;"OK","Contrôle BL à corriger",IF($H13=0,"Aucun conteneur saisi",IF($I13&lt;$H13,"Conteneurs non embarqués",IF($L13&lt;$K13,"Documents à finaliser",IF($N13&gt;0,"Coûts à payer","OK")))))))</f>
        <v/>
      </c>
    </row>
    <row r="14" spans="1:15" x14ac:dyDescent="0.35">
      <c r="A14" s="13" t="str">
        <f>IF(Connaissements!$A15="","",Connaissements!$A15)</f>
        <v/>
      </c>
      <c r="B14" s="13" t="str">
        <f>IF($A14="","",Connaissements!$B15)</f>
        <v/>
      </c>
      <c r="C14" s="13" t="str">
        <f>IF($A14="","",Connaissements!$G15)</f>
        <v/>
      </c>
      <c r="D14" s="13" t="str">
        <f>IF($A14="","",IFERROR(IF(INDEX(Bookings!$D$3:$D$202,MATCH($B14,Bookings!$A$3:$A$202,0))="","",INDEX(Bookings!$D$3:$D$202,MATCH($B14,Bookings!$A$3:$A$202,0))),""))</f>
        <v/>
      </c>
      <c r="E14" s="14" t="str">
        <f>IF($A14="","",IFERROR(IF(INDEX(Bookings!$G$3:$G$202,MATCH($B14,Bookings!$A$3:$A$202,0))="","",INDEX(Bookings!$G$3:$G$202,MATCH($B14,Bookings!$A$3:$A$202,0))),""))</f>
        <v/>
      </c>
      <c r="F14" s="14" t="str">
        <f>IF($A14="","",IFERROR(IF(INDEX(Bookings!$H$3:$H$202,MATCH($B14,Bookings!$A$3:$A$202,0))="","",INDEX(Bookings!$H$3:$H$202,MATCH($B14,Bookings!$A$3:$A$202,0))),""))</f>
        <v/>
      </c>
      <c r="G14" s="13" t="str">
        <f>IF($A14="","",IF(Connaissements!$F15="","",Connaissements!$F15))</f>
        <v/>
      </c>
      <c r="H14" s="13" t="str">
        <f>IF($A14="","",Connaissements!$H15)</f>
        <v/>
      </c>
      <c r="I14" s="13" t="str">
        <f>IF($A14="","",COUNTIFS(Conteneurs!$B$3:$B$1002,$A14,Conteneurs!$M$3:$M$1002,"Embarqué"))</f>
        <v/>
      </c>
      <c r="J14" s="18" t="str">
        <f>IF($A14="","",Connaissements!$J15)</f>
        <v/>
      </c>
      <c r="K14" s="13" t="str">
        <f>IF($A14="","",COUNTIFS(Documents!$A$3:$A$1002,$A14))</f>
        <v/>
      </c>
      <c r="L14" s="13" t="str">
        <f>IF($A14="","",COUNTIFS(Documents!$A$3:$A$1002,$A14,Documents!$I$3:$I$1002,"Envoyé DHL"))</f>
        <v/>
      </c>
      <c r="M14" s="13" t="str">
        <f>IF($A14="","",COUNTIFS(Etapes!$A$5:$A$1504,$A14,Etapes!$F$5:$F$1504,"En retard"))</f>
        <v/>
      </c>
      <c r="N14" s="18" t="str">
        <f>IF($A14="","",SUMIFS(Couts_Transitaire!$I$3:$I$602,Couts_Transitaire!$B$3:$B$602,$A14))</f>
        <v/>
      </c>
      <c r="O14" s="13" t="str">
        <f>IF($A14="","",IF($M14&gt;0,"Étapes en retard",IF(Connaissements!$K15&lt;&gt;"OK","Contrôle BL à corriger",IF($H14=0,"Aucun conteneur saisi",IF($I14&lt;$H14,"Conteneurs non embarqués",IF($L14&lt;$K14,"Documents à finaliser",IF($N14&gt;0,"Coûts à payer","OK")))))))</f>
        <v/>
      </c>
    </row>
    <row r="15" spans="1:15" x14ac:dyDescent="0.35">
      <c r="A15" s="13" t="str">
        <f>IF(Connaissements!$A16="","",Connaissements!$A16)</f>
        <v/>
      </c>
      <c r="B15" s="13" t="str">
        <f>IF($A15="","",Connaissements!$B16)</f>
        <v/>
      </c>
      <c r="C15" s="13" t="str">
        <f>IF($A15="","",Connaissements!$G16)</f>
        <v/>
      </c>
      <c r="D15" s="13" t="str">
        <f>IF($A15="","",IFERROR(IF(INDEX(Bookings!$D$3:$D$202,MATCH($B15,Bookings!$A$3:$A$202,0))="","",INDEX(Bookings!$D$3:$D$202,MATCH($B15,Bookings!$A$3:$A$202,0))),""))</f>
        <v/>
      </c>
      <c r="E15" s="14" t="str">
        <f>IF($A15="","",IFERROR(IF(INDEX(Bookings!$G$3:$G$202,MATCH($B15,Bookings!$A$3:$A$202,0))="","",INDEX(Bookings!$G$3:$G$202,MATCH($B15,Bookings!$A$3:$A$202,0))),""))</f>
        <v/>
      </c>
      <c r="F15" s="14" t="str">
        <f>IF($A15="","",IFERROR(IF(INDEX(Bookings!$H$3:$H$202,MATCH($B15,Bookings!$A$3:$A$202,0))="","",INDEX(Bookings!$H$3:$H$202,MATCH($B15,Bookings!$A$3:$A$202,0))),""))</f>
        <v/>
      </c>
      <c r="G15" s="13" t="str">
        <f>IF($A15="","",IF(Connaissements!$F16="","",Connaissements!$F16))</f>
        <v/>
      </c>
      <c r="H15" s="13" t="str">
        <f>IF($A15="","",Connaissements!$H16)</f>
        <v/>
      </c>
      <c r="I15" s="13" t="str">
        <f>IF($A15="","",COUNTIFS(Conteneurs!$B$3:$B$1002,$A15,Conteneurs!$M$3:$M$1002,"Embarqué"))</f>
        <v/>
      </c>
      <c r="J15" s="18" t="str">
        <f>IF($A15="","",Connaissements!$J16)</f>
        <v/>
      </c>
      <c r="K15" s="13" t="str">
        <f>IF($A15="","",COUNTIFS(Documents!$A$3:$A$1002,$A15))</f>
        <v/>
      </c>
      <c r="L15" s="13" t="str">
        <f>IF($A15="","",COUNTIFS(Documents!$A$3:$A$1002,$A15,Documents!$I$3:$I$1002,"Envoyé DHL"))</f>
        <v/>
      </c>
      <c r="M15" s="13" t="str">
        <f>IF($A15="","",COUNTIFS(Etapes!$A$5:$A$1504,$A15,Etapes!$F$5:$F$1504,"En retard"))</f>
        <v/>
      </c>
      <c r="N15" s="18" t="str">
        <f>IF($A15="","",SUMIFS(Couts_Transitaire!$I$3:$I$602,Couts_Transitaire!$B$3:$B$602,$A15))</f>
        <v/>
      </c>
      <c r="O15" s="13" t="str">
        <f>IF($A15="","",IF($M15&gt;0,"Étapes en retard",IF(Connaissements!$K16&lt;&gt;"OK","Contrôle BL à corriger",IF($H15=0,"Aucun conteneur saisi",IF($I15&lt;$H15,"Conteneurs non embarqués",IF($L15&lt;$K15,"Documents à finaliser",IF($N15&gt;0,"Coûts à payer","OK")))))))</f>
        <v/>
      </c>
    </row>
    <row r="16" spans="1:15" x14ac:dyDescent="0.35">
      <c r="A16" s="13" t="str">
        <f>IF(Connaissements!$A17="","",Connaissements!$A17)</f>
        <v/>
      </c>
      <c r="B16" s="13" t="str">
        <f>IF($A16="","",Connaissements!$B17)</f>
        <v/>
      </c>
      <c r="C16" s="13" t="str">
        <f>IF($A16="","",Connaissements!$G17)</f>
        <v/>
      </c>
      <c r="D16" s="13" t="str">
        <f>IF($A16="","",IFERROR(IF(INDEX(Bookings!$D$3:$D$202,MATCH($B16,Bookings!$A$3:$A$202,0))="","",INDEX(Bookings!$D$3:$D$202,MATCH($B16,Bookings!$A$3:$A$202,0))),""))</f>
        <v/>
      </c>
      <c r="E16" s="14" t="str">
        <f>IF($A16="","",IFERROR(IF(INDEX(Bookings!$G$3:$G$202,MATCH($B16,Bookings!$A$3:$A$202,0))="","",INDEX(Bookings!$G$3:$G$202,MATCH($B16,Bookings!$A$3:$A$202,0))),""))</f>
        <v/>
      </c>
      <c r="F16" s="14" t="str">
        <f>IF($A16="","",IFERROR(IF(INDEX(Bookings!$H$3:$H$202,MATCH($B16,Bookings!$A$3:$A$202,0))="","",INDEX(Bookings!$H$3:$H$202,MATCH($B16,Bookings!$A$3:$A$202,0))),""))</f>
        <v/>
      </c>
      <c r="G16" s="13" t="str">
        <f>IF($A16="","",IF(Connaissements!$F17="","",Connaissements!$F17))</f>
        <v/>
      </c>
      <c r="H16" s="13" t="str">
        <f>IF($A16="","",Connaissements!$H17)</f>
        <v/>
      </c>
      <c r="I16" s="13" t="str">
        <f>IF($A16="","",COUNTIFS(Conteneurs!$B$3:$B$1002,$A16,Conteneurs!$M$3:$M$1002,"Embarqué"))</f>
        <v/>
      </c>
      <c r="J16" s="18" t="str">
        <f>IF($A16="","",Connaissements!$J17)</f>
        <v/>
      </c>
      <c r="K16" s="13" t="str">
        <f>IF($A16="","",COUNTIFS(Documents!$A$3:$A$1002,$A16))</f>
        <v/>
      </c>
      <c r="L16" s="13" t="str">
        <f>IF($A16="","",COUNTIFS(Documents!$A$3:$A$1002,$A16,Documents!$I$3:$I$1002,"Envoyé DHL"))</f>
        <v/>
      </c>
      <c r="M16" s="13" t="str">
        <f>IF($A16="","",COUNTIFS(Etapes!$A$5:$A$1504,$A16,Etapes!$F$5:$F$1504,"En retard"))</f>
        <v/>
      </c>
      <c r="N16" s="18" t="str">
        <f>IF($A16="","",SUMIFS(Couts_Transitaire!$I$3:$I$602,Couts_Transitaire!$B$3:$B$602,$A16))</f>
        <v/>
      </c>
      <c r="O16" s="13" t="str">
        <f>IF($A16="","",IF($M16&gt;0,"Étapes en retard",IF(Connaissements!$K17&lt;&gt;"OK","Contrôle BL à corriger",IF($H16=0,"Aucun conteneur saisi",IF($I16&lt;$H16,"Conteneurs non embarqués",IF($L16&lt;$K16,"Documents à finaliser",IF($N16&gt;0,"Coûts à payer","OK")))))))</f>
        <v/>
      </c>
    </row>
    <row r="17" spans="1:15" x14ac:dyDescent="0.35">
      <c r="A17" s="13" t="str">
        <f>IF(Connaissements!$A18="","",Connaissements!$A18)</f>
        <v/>
      </c>
      <c r="B17" s="13" t="str">
        <f>IF($A17="","",Connaissements!$B18)</f>
        <v/>
      </c>
      <c r="C17" s="13" t="str">
        <f>IF($A17="","",Connaissements!$G18)</f>
        <v/>
      </c>
      <c r="D17" s="13" t="str">
        <f>IF($A17="","",IFERROR(IF(INDEX(Bookings!$D$3:$D$202,MATCH($B17,Bookings!$A$3:$A$202,0))="","",INDEX(Bookings!$D$3:$D$202,MATCH($B17,Bookings!$A$3:$A$202,0))),""))</f>
        <v/>
      </c>
      <c r="E17" s="14" t="str">
        <f>IF($A17="","",IFERROR(IF(INDEX(Bookings!$G$3:$G$202,MATCH($B17,Bookings!$A$3:$A$202,0))="","",INDEX(Bookings!$G$3:$G$202,MATCH($B17,Bookings!$A$3:$A$202,0))),""))</f>
        <v/>
      </c>
      <c r="F17" s="14" t="str">
        <f>IF($A17="","",IFERROR(IF(INDEX(Bookings!$H$3:$H$202,MATCH($B17,Bookings!$A$3:$A$202,0))="","",INDEX(Bookings!$H$3:$H$202,MATCH($B17,Bookings!$A$3:$A$202,0))),""))</f>
        <v/>
      </c>
      <c r="G17" s="13" t="str">
        <f>IF($A17="","",IF(Connaissements!$F18="","",Connaissements!$F18))</f>
        <v/>
      </c>
      <c r="H17" s="13" t="str">
        <f>IF($A17="","",Connaissements!$H18)</f>
        <v/>
      </c>
      <c r="I17" s="13" t="str">
        <f>IF($A17="","",COUNTIFS(Conteneurs!$B$3:$B$1002,$A17,Conteneurs!$M$3:$M$1002,"Embarqué"))</f>
        <v/>
      </c>
      <c r="J17" s="18" t="str">
        <f>IF($A17="","",Connaissements!$J18)</f>
        <v/>
      </c>
      <c r="K17" s="13" t="str">
        <f>IF($A17="","",COUNTIFS(Documents!$A$3:$A$1002,$A17))</f>
        <v/>
      </c>
      <c r="L17" s="13" t="str">
        <f>IF($A17="","",COUNTIFS(Documents!$A$3:$A$1002,$A17,Documents!$I$3:$I$1002,"Envoyé DHL"))</f>
        <v/>
      </c>
      <c r="M17" s="13" t="str">
        <f>IF($A17="","",COUNTIFS(Etapes!$A$5:$A$1504,$A17,Etapes!$F$5:$F$1504,"En retard"))</f>
        <v/>
      </c>
      <c r="N17" s="18" t="str">
        <f>IF($A17="","",SUMIFS(Couts_Transitaire!$I$3:$I$602,Couts_Transitaire!$B$3:$B$602,$A17))</f>
        <v/>
      </c>
      <c r="O17" s="13" t="str">
        <f>IF($A17="","",IF($M17&gt;0,"Étapes en retard",IF(Connaissements!$K18&lt;&gt;"OK","Contrôle BL à corriger",IF($H17=0,"Aucun conteneur saisi",IF($I17&lt;$H17,"Conteneurs non embarqués",IF($L17&lt;$K17,"Documents à finaliser",IF($N17&gt;0,"Coûts à payer","OK")))))))</f>
        <v/>
      </c>
    </row>
    <row r="18" spans="1:15" x14ac:dyDescent="0.35">
      <c r="A18" s="13" t="str">
        <f>IF(Connaissements!$A19="","",Connaissements!$A19)</f>
        <v/>
      </c>
      <c r="B18" s="13" t="str">
        <f>IF($A18="","",Connaissements!$B19)</f>
        <v/>
      </c>
      <c r="C18" s="13" t="str">
        <f>IF($A18="","",Connaissements!$G19)</f>
        <v/>
      </c>
      <c r="D18" s="13" t="str">
        <f>IF($A18="","",IFERROR(IF(INDEX(Bookings!$D$3:$D$202,MATCH($B18,Bookings!$A$3:$A$202,0))="","",INDEX(Bookings!$D$3:$D$202,MATCH($B18,Bookings!$A$3:$A$202,0))),""))</f>
        <v/>
      </c>
      <c r="E18" s="14" t="str">
        <f>IF($A18="","",IFERROR(IF(INDEX(Bookings!$G$3:$G$202,MATCH($B18,Bookings!$A$3:$A$202,0))="","",INDEX(Bookings!$G$3:$G$202,MATCH($B18,Bookings!$A$3:$A$202,0))),""))</f>
        <v/>
      </c>
      <c r="F18" s="14" t="str">
        <f>IF($A18="","",IFERROR(IF(INDEX(Bookings!$H$3:$H$202,MATCH($B18,Bookings!$A$3:$A$202,0))="","",INDEX(Bookings!$H$3:$H$202,MATCH($B18,Bookings!$A$3:$A$202,0))),""))</f>
        <v/>
      </c>
      <c r="G18" s="13" t="str">
        <f>IF($A18="","",IF(Connaissements!$F19="","",Connaissements!$F19))</f>
        <v/>
      </c>
      <c r="H18" s="13" t="str">
        <f>IF($A18="","",Connaissements!$H19)</f>
        <v/>
      </c>
      <c r="I18" s="13" t="str">
        <f>IF($A18="","",COUNTIFS(Conteneurs!$B$3:$B$1002,$A18,Conteneurs!$M$3:$M$1002,"Embarqué"))</f>
        <v/>
      </c>
      <c r="J18" s="18" t="str">
        <f>IF($A18="","",Connaissements!$J19)</f>
        <v/>
      </c>
      <c r="K18" s="13" t="str">
        <f>IF($A18="","",COUNTIFS(Documents!$A$3:$A$1002,$A18))</f>
        <v/>
      </c>
      <c r="L18" s="13" t="str">
        <f>IF($A18="","",COUNTIFS(Documents!$A$3:$A$1002,$A18,Documents!$I$3:$I$1002,"Envoyé DHL"))</f>
        <v/>
      </c>
      <c r="M18" s="13" t="str">
        <f>IF($A18="","",COUNTIFS(Etapes!$A$5:$A$1504,$A18,Etapes!$F$5:$F$1504,"En retard"))</f>
        <v/>
      </c>
      <c r="N18" s="18" t="str">
        <f>IF($A18="","",SUMIFS(Couts_Transitaire!$I$3:$I$602,Couts_Transitaire!$B$3:$B$602,$A18))</f>
        <v/>
      </c>
      <c r="O18" s="13" t="str">
        <f>IF($A18="","",IF($M18&gt;0,"Étapes en retard",IF(Connaissements!$K19&lt;&gt;"OK","Contrôle BL à corriger",IF($H18=0,"Aucun conteneur saisi",IF($I18&lt;$H18,"Conteneurs non embarqués",IF($L18&lt;$K18,"Documents à finaliser",IF($N18&gt;0,"Coûts à payer","OK")))))))</f>
        <v/>
      </c>
    </row>
    <row r="19" spans="1:15" x14ac:dyDescent="0.35">
      <c r="A19" s="13" t="str">
        <f>IF(Connaissements!$A20="","",Connaissements!$A20)</f>
        <v/>
      </c>
      <c r="B19" s="13" t="str">
        <f>IF($A19="","",Connaissements!$B20)</f>
        <v/>
      </c>
      <c r="C19" s="13" t="str">
        <f>IF($A19="","",Connaissements!$G20)</f>
        <v/>
      </c>
      <c r="D19" s="13" t="str">
        <f>IF($A19="","",IFERROR(IF(INDEX(Bookings!$D$3:$D$202,MATCH($B19,Bookings!$A$3:$A$202,0))="","",INDEX(Bookings!$D$3:$D$202,MATCH($B19,Bookings!$A$3:$A$202,0))),""))</f>
        <v/>
      </c>
      <c r="E19" s="14" t="str">
        <f>IF($A19="","",IFERROR(IF(INDEX(Bookings!$G$3:$G$202,MATCH($B19,Bookings!$A$3:$A$202,0))="","",INDEX(Bookings!$G$3:$G$202,MATCH($B19,Bookings!$A$3:$A$202,0))),""))</f>
        <v/>
      </c>
      <c r="F19" s="14" t="str">
        <f>IF($A19="","",IFERROR(IF(INDEX(Bookings!$H$3:$H$202,MATCH($B19,Bookings!$A$3:$A$202,0))="","",INDEX(Bookings!$H$3:$H$202,MATCH($B19,Bookings!$A$3:$A$202,0))),""))</f>
        <v/>
      </c>
      <c r="G19" s="13" t="str">
        <f>IF($A19="","",IF(Connaissements!$F20="","",Connaissements!$F20))</f>
        <v/>
      </c>
      <c r="H19" s="13" t="str">
        <f>IF($A19="","",Connaissements!$H20)</f>
        <v/>
      </c>
      <c r="I19" s="13" t="str">
        <f>IF($A19="","",COUNTIFS(Conteneurs!$B$3:$B$1002,$A19,Conteneurs!$M$3:$M$1002,"Embarqué"))</f>
        <v/>
      </c>
      <c r="J19" s="18" t="str">
        <f>IF($A19="","",Connaissements!$J20)</f>
        <v/>
      </c>
      <c r="K19" s="13" t="str">
        <f>IF($A19="","",COUNTIFS(Documents!$A$3:$A$1002,$A19))</f>
        <v/>
      </c>
      <c r="L19" s="13" t="str">
        <f>IF($A19="","",COUNTIFS(Documents!$A$3:$A$1002,$A19,Documents!$I$3:$I$1002,"Envoyé DHL"))</f>
        <v/>
      </c>
      <c r="M19" s="13" t="str">
        <f>IF($A19="","",COUNTIFS(Etapes!$A$5:$A$1504,$A19,Etapes!$F$5:$F$1504,"En retard"))</f>
        <v/>
      </c>
      <c r="N19" s="18" t="str">
        <f>IF($A19="","",SUMIFS(Couts_Transitaire!$I$3:$I$602,Couts_Transitaire!$B$3:$B$602,$A19))</f>
        <v/>
      </c>
      <c r="O19" s="13" t="str">
        <f>IF($A19="","",IF($M19&gt;0,"Étapes en retard",IF(Connaissements!$K20&lt;&gt;"OK","Contrôle BL à corriger",IF($H19=0,"Aucun conteneur saisi",IF($I19&lt;$H19,"Conteneurs non embarqués",IF($L19&lt;$K19,"Documents à finaliser",IF($N19&gt;0,"Coûts à payer","OK")))))))</f>
        <v/>
      </c>
    </row>
    <row r="20" spans="1:15" x14ac:dyDescent="0.35">
      <c r="A20" s="13" t="str">
        <f>IF(Connaissements!$A21="","",Connaissements!$A21)</f>
        <v/>
      </c>
      <c r="B20" s="13" t="str">
        <f>IF($A20="","",Connaissements!$B21)</f>
        <v/>
      </c>
      <c r="C20" s="13" t="str">
        <f>IF($A20="","",Connaissements!$G21)</f>
        <v/>
      </c>
      <c r="D20" s="13" t="str">
        <f>IF($A20="","",IFERROR(IF(INDEX(Bookings!$D$3:$D$202,MATCH($B20,Bookings!$A$3:$A$202,0))="","",INDEX(Bookings!$D$3:$D$202,MATCH($B20,Bookings!$A$3:$A$202,0))),""))</f>
        <v/>
      </c>
      <c r="E20" s="14" t="str">
        <f>IF($A20="","",IFERROR(IF(INDEX(Bookings!$G$3:$G$202,MATCH($B20,Bookings!$A$3:$A$202,0))="","",INDEX(Bookings!$G$3:$G$202,MATCH($B20,Bookings!$A$3:$A$202,0))),""))</f>
        <v/>
      </c>
      <c r="F20" s="14" t="str">
        <f>IF($A20="","",IFERROR(IF(INDEX(Bookings!$H$3:$H$202,MATCH($B20,Bookings!$A$3:$A$202,0))="","",INDEX(Bookings!$H$3:$H$202,MATCH($B20,Bookings!$A$3:$A$202,0))),""))</f>
        <v/>
      </c>
      <c r="G20" s="13" t="str">
        <f>IF($A20="","",IF(Connaissements!$F21="","",Connaissements!$F21))</f>
        <v/>
      </c>
      <c r="H20" s="13" t="str">
        <f>IF($A20="","",Connaissements!$H21)</f>
        <v/>
      </c>
      <c r="I20" s="13" t="str">
        <f>IF($A20="","",COUNTIFS(Conteneurs!$B$3:$B$1002,$A20,Conteneurs!$M$3:$M$1002,"Embarqué"))</f>
        <v/>
      </c>
      <c r="J20" s="18" t="str">
        <f>IF($A20="","",Connaissements!$J21)</f>
        <v/>
      </c>
      <c r="K20" s="13" t="str">
        <f>IF($A20="","",COUNTIFS(Documents!$A$3:$A$1002,$A20))</f>
        <v/>
      </c>
      <c r="L20" s="13" t="str">
        <f>IF($A20="","",COUNTIFS(Documents!$A$3:$A$1002,$A20,Documents!$I$3:$I$1002,"Envoyé DHL"))</f>
        <v/>
      </c>
      <c r="M20" s="13" t="str">
        <f>IF($A20="","",COUNTIFS(Etapes!$A$5:$A$1504,$A20,Etapes!$F$5:$F$1504,"En retard"))</f>
        <v/>
      </c>
      <c r="N20" s="18" t="str">
        <f>IF($A20="","",SUMIFS(Couts_Transitaire!$I$3:$I$602,Couts_Transitaire!$B$3:$B$602,$A20))</f>
        <v/>
      </c>
      <c r="O20" s="13" t="str">
        <f>IF($A20="","",IF($M20&gt;0,"Étapes en retard",IF(Connaissements!$K21&lt;&gt;"OK","Contrôle BL à corriger",IF($H20=0,"Aucun conteneur saisi",IF($I20&lt;$H20,"Conteneurs non embarqués",IF($L20&lt;$K20,"Documents à finaliser",IF($N20&gt;0,"Coûts à payer","OK")))))))</f>
        <v/>
      </c>
    </row>
    <row r="21" spans="1:15" x14ac:dyDescent="0.35">
      <c r="A21" s="13" t="str">
        <f>IF(Connaissements!$A22="","",Connaissements!$A22)</f>
        <v/>
      </c>
      <c r="B21" s="13" t="str">
        <f>IF($A21="","",Connaissements!$B22)</f>
        <v/>
      </c>
      <c r="C21" s="13" t="str">
        <f>IF($A21="","",Connaissements!$G22)</f>
        <v/>
      </c>
      <c r="D21" s="13" t="str">
        <f>IF($A21="","",IFERROR(IF(INDEX(Bookings!$D$3:$D$202,MATCH($B21,Bookings!$A$3:$A$202,0))="","",INDEX(Bookings!$D$3:$D$202,MATCH($B21,Bookings!$A$3:$A$202,0))),""))</f>
        <v/>
      </c>
      <c r="E21" s="14" t="str">
        <f>IF($A21="","",IFERROR(IF(INDEX(Bookings!$G$3:$G$202,MATCH($B21,Bookings!$A$3:$A$202,0))="","",INDEX(Bookings!$G$3:$G$202,MATCH($B21,Bookings!$A$3:$A$202,0))),""))</f>
        <v/>
      </c>
      <c r="F21" s="14" t="str">
        <f>IF($A21="","",IFERROR(IF(INDEX(Bookings!$H$3:$H$202,MATCH($B21,Bookings!$A$3:$A$202,0))="","",INDEX(Bookings!$H$3:$H$202,MATCH($B21,Bookings!$A$3:$A$202,0))),""))</f>
        <v/>
      </c>
      <c r="G21" s="13" t="str">
        <f>IF($A21="","",IF(Connaissements!$F22="","",Connaissements!$F22))</f>
        <v/>
      </c>
      <c r="H21" s="13" t="str">
        <f>IF($A21="","",Connaissements!$H22)</f>
        <v/>
      </c>
      <c r="I21" s="13" t="str">
        <f>IF($A21="","",COUNTIFS(Conteneurs!$B$3:$B$1002,$A21,Conteneurs!$M$3:$M$1002,"Embarqué"))</f>
        <v/>
      </c>
      <c r="J21" s="18" t="str">
        <f>IF($A21="","",Connaissements!$J22)</f>
        <v/>
      </c>
      <c r="K21" s="13" t="str">
        <f>IF($A21="","",COUNTIFS(Documents!$A$3:$A$1002,$A21))</f>
        <v/>
      </c>
      <c r="L21" s="13" t="str">
        <f>IF($A21="","",COUNTIFS(Documents!$A$3:$A$1002,$A21,Documents!$I$3:$I$1002,"Envoyé DHL"))</f>
        <v/>
      </c>
      <c r="M21" s="13" t="str">
        <f>IF($A21="","",COUNTIFS(Etapes!$A$5:$A$1504,$A21,Etapes!$F$5:$F$1504,"En retard"))</f>
        <v/>
      </c>
      <c r="N21" s="18" t="str">
        <f>IF($A21="","",SUMIFS(Couts_Transitaire!$I$3:$I$602,Couts_Transitaire!$B$3:$B$602,$A21))</f>
        <v/>
      </c>
      <c r="O21" s="13" t="str">
        <f>IF($A21="","",IF($M21&gt;0,"Étapes en retard",IF(Connaissements!$K22&lt;&gt;"OK","Contrôle BL à corriger",IF($H21=0,"Aucun conteneur saisi",IF($I21&lt;$H21,"Conteneurs non embarqués",IF($L21&lt;$K21,"Documents à finaliser",IF($N21&gt;0,"Coûts à payer","OK")))))))</f>
        <v/>
      </c>
    </row>
    <row r="22" spans="1:15" x14ac:dyDescent="0.35">
      <c r="A22" s="13" t="str">
        <f>IF(Connaissements!$A23="","",Connaissements!$A23)</f>
        <v/>
      </c>
      <c r="B22" s="13" t="str">
        <f>IF($A22="","",Connaissements!$B23)</f>
        <v/>
      </c>
      <c r="C22" s="13" t="str">
        <f>IF($A22="","",Connaissements!$G23)</f>
        <v/>
      </c>
      <c r="D22" s="13" t="str">
        <f>IF($A22="","",IFERROR(IF(INDEX(Bookings!$D$3:$D$202,MATCH($B22,Bookings!$A$3:$A$202,0))="","",INDEX(Bookings!$D$3:$D$202,MATCH($B22,Bookings!$A$3:$A$202,0))),""))</f>
        <v/>
      </c>
      <c r="E22" s="14" t="str">
        <f>IF($A22="","",IFERROR(IF(INDEX(Bookings!$G$3:$G$202,MATCH($B22,Bookings!$A$3:$A$202,0))="","",INDEX(Bookings!$G$3:$G$202,MATCH($B22,Bookings!$A$3:$A$202,0))),""))</f>
        <v/>
      </c>
      <c r="F22" s="14" t="str">
        <f>IF($A22="","",IFERROR(IF(INDEX(Bookings!$H$3:$H$202,MATCH($B22,Bookings!$A$3:$A$202,0))="","",INDEX(Bookings!$H$3:$H$202,MATCH($B22,Bookings!$A$3:$A$202,0))),""))</f>
        <v/>
      </c>
      <c r="G22" s="13" t="str">
        <f>IF($A22="","",IF(Connaissements!$F23="","",Connaissements!$F23))</f>
        <v/>
      </c>
      <c r="H22" s="13" t="str">
        <f>IF($A22="","",Connaissements!$H23)</f>
        <v/>
      </c>
      <c r="I22" s="13" t="str">
        <f>IF($A22="","",COUNTIFS(Conteneurs!$B$3:$B$1002,$A22,Conteneurs!$M$3:$M$1002,"Embarqué"))</f>
        <v/>
      </c>
      <c r="J22" s="18" t="str">
        <f>IF($A22="","",Connaissements!$J23)</f>
        <v/>
      </c>
      <c r="K22" s="13" t="str">
        <f>IF($A22="","",COUNTIFS(Documents!$A$3:$A$1002,$A22))</f>
        <v/>
      </c>
      <c r="L22" s="13" t="str">
        <f>IF($A22="","",COUNTIFS(Documents!$A$3:$A$1002,$A22,Documents!$I$3:$I$1002,"Envoyé DHL"))</f>
        <v/>
      </c>
      <c r="M22" s="13" t="str">
        <f>IF($A22="","",COUNTIFS(Etapes!$A$5:$A$1504,$A22,Etapes!$F$5:$F$1504,"En retard"))</f>
        <v/>
      </c>
      <c r="N22" s="18" t="str">
        <f>IF($A22="","",SUMIFS(Couts_Transitaire!$I$3:$I$602,Couts_Transitaire!$B$3:$B$602,$A22))</f>
        <v/>
      </c>
      <c r="O22" s="13" t="str">
        <f>IF($A22="","",IF($M22&gt;0,"Étapes en retard",IF(Connaissements!$K23&lt;&gt;"OK","Contrôle BL à corriger",IF($H22=0,"Aucun conteneur saisi",IF($I22&lt;$H22,"Conteneurs non embarqués",IF($L22&lt;$K22,"Documents à finaliser",IF($N22&gt;0,"Coûts à payer","OK")))))))</f>
        <v/>
      </c>
    </row>
    <row r="23" spans="1:15" x14ac:dyDescent="0.35">
      <c r="A23" s="13" t="str">
        <f>IF(Connaissements!$A24="","",Connaissements!$A24)</f>
        <v/>
      </c>
      <c r="B23" s="13" t="str">
        <f>IF($A23="","",Connaissements!$B24)</f>
        <v/>
      </c>
      <c r="C23" s="13" t="str">
        <f>IF($A23="","",Connaissements!$G24)</f>
        <v/>
      </c>
      <c r="D23" s="13" t="str">
        <f>IF($A23="","",IFERROR(IF(INDEX(Bookings!$D$3:$D$202,MATCH($B23,Bookings!$A$3:$A$202,0))="","",INDEX(Bookings!$D$3:$D$202,MATCH($B23,Bookings!$A$3:$A$202,0))),""))</f>
        <v/>
      </c>
      <c r="E23" s="14" t="str">
        <f>IF($A23="","",IFERROR(IF(INDEX(Bookings!$G$3:$G$202,MATCH($B23,Bookings!$A$3:$A$202,0))="","",INDEX(Bookings!$G$3:$G$202,MATCH($B23,Bookings!$A$3:$A$202,0))),""))</f>
        <v/>
      </c>
      <c r="F23" s="14" t="str">
        <f>IF($A23="","",IFERROR(IF(INDEX(Bookings!$H$3:$H$202,MATCH($B23,Bookings!$A$3:$A$202,0))="","",INDEX(Bookings!$H$3:$H$202,MATCH($B23,Bookings!$A$3:$A$202,0))),""))</f>
        <v/>
      </c>
      <c r="G23" s="13" t="str">
        <f>IF($A23="","",IF(Connaissements!$F24="","",Connaissements!$F24))</f>
        <v/>
      </c>
      <c r="H23" s="13" t="str">
        <f>IF($A23="","",Connaissements!$H24)</f>
        <v/>
      </c>
      <c r="I23" s="13" t="str">
        <f>IF($A23="","",COUNTIFS(Conteneurs!$B$3:$B$1002,$A23,Conteneurs!$M$3:$M$1002,"Embarqué"))</f>
        <v/>
      </c>
      <c r="J23" s="18" t="str">
        <f>IF($A23="","",Connaissements!$J24)</f>
        <v/>
      </c>
      <c r="K23" s="13" t="str">
        <f>IF($A23="","",COUNTIFS(Documents!$A$3:$A$1002,$A23))</f>
        <v/>
      </c>
      <c r="L23" s="13" t="str">
        <f>IF($A23="","",COUNTIFS(Documents!$A$3:$A$1002,$A23,Documents!$I$3:$I$1002,"Envoyé DHL"))</f>
        <v/>
      </c>
      <c r="M23" s="13" t="str">
        <f>IF($A23="","",COUNTIFS(Etapes!$A$5:$A$1504,$A23,Etapes!$F$5:$F$1504,"En retard"))</f>
        <v/>
      </c>
      <c r="N23" s="18" t="str">
        <f>IF($A23="","",SUMIFS(Couts_Transitaire!$I$3:$I$602,Couts_Transitaire!$B$3:$B$602,$A23))</f>
        <v/>
      </c>
      <c r="O23" s="13" t="str">
        <f>IF($A23="","",IF($M23&gt;0,"Étapes en retard",IF(Connaissements!$K24&lt;&gt;"OK","Contrôle BL à corriger",IF($H23=0,"Aucun conteneur saisi",IF($I23&lt;$H23,"Conteneurs non embarqués",IF($L23&lt;$K23,"Documents à finaliser",IF($N23&gt;0,"Coûts à payer","OK")))))))</f>
        <v/>
      </c>
    </row>
    <row r="24" spans="1:15" x14ac:dyDescent="0.35">
      <c r="A24" s="13" t="str">
        <f>IF(Connaissements!$A25="","",Connaissements!$A25)</f>
        <v/>
      </c>
      <c r="B24" s="13" t="str">
        <f>IF($A24="","",Connaissements!$B25)</f>
        <v/>
      </c>
      <c r="C24" s="13" t="str">
        <f>IF($A24="","",Connaissements!$G25)</f>
        <v/>
      </c>
      <c r="D24" s="13" t="str">
        <f>IF($A24="","",IFERROR(IF(INDEX(Bookings!$D$3:$D$202,MATCH($B24,Bookings!$A$3:$A$202,0))="","",INDEX(Bookings!$D$3:$D$202,MATCH($B24,Bookings!$A$3:$A$202,0))),""))</f>
        <v/>
      </c>
      <c r="E24" s="14" t="str">
        <f>IF($A24="","",IFERROR(IF(INDEX(Bookings!$G$3:$G$202,MATCH($B24,Bookings!$A$3:$A$202,0))="","",INDEX(Bookings!$G$3:$G$202,MATCH($B24,Bookings!$A$3:$A$202,0))),""))</f>
        <v/>
      </c>
      <c r="F24" s="14" t="str">
        <f>IF($A24="","",IFERROR(IF(INDEX(Bookings!$H$3:$H$202,MATCH($B24,Bookings!$A$3:$A$202,0))="","",INDEX(Bookings!$H$3:$H$202,MATCH($B24,Bookings!$A$3:$A$202,0))),""))</f>
        <v/>
      </c>
      <c r="G24" s="13" t="str">
        <f>IF($A24="","",IF(Connaissements!$F25="","",Connaissements!$F25))</f>
        <v/>
      </c>
      <c r="H24" s="13" t="str">
        <f>IF($A24="","",Connaissements!$H25)</f>
        <v/>
      </c>
      <c r="I24" s="13" t="str">
        <f>IF($A24="","",COUNTIFS(Conteneurs!$B$3:$B$1002,$A24,Conteneurs!$M$3:$M$1002,"Embarqué"))</f>
        <v/>
      </c>
      <c r="J24" s="18" t="str">
        <f>IF($A24="","",Connaissements!$J25)</f>
        <v/>
      </c>
      <c r="K24" s="13" t="str">
        <f>IF($A24="","",COUNTIFS(Documents!$A$3:$A$1002,$A24))</f>
        <v/>
      </c>
      <c r="L24" s="13" t="str">
        <f>IF($A24="","",COUNTIFS(Documents!$A$3:$A$1002,$A24,Documents!$I$3:$I$1002,"Envoyé DHL"))</f>
        <v/>
      </c>
      <c r="M24" s="13" t="str">
        <f>IF($A24="","",COUNTIFS(Etapes!$A$5:$A$1504,$A24,Etapes!$F$5:$F$1504,"En retard"))</f>
        <v/>
      </c>
      <c r="N24" s="18" t="str">
        <f>IF($A24="","",SUMIFS(Couts_Transitaire!$I$3:$I$602,Couts_Transitaire!$B$3:$B$602,$A24))</f>
        <v/>
      </c>
      <c r="O24" s="13" t="str">
        <f>IF($A24="","",IF($M24&gt;0,"Étapes en retard",IF(Connaissements!$K25&lt;&gt;"OK","Contrôle BL à corriger",IF($H24=0,"Aucun conteneur saisi",IF($I24&lt;$H24,"Conteneurs non embarqués",IF($L24&lt;$K24,"Documents à finaliser",IF($N24&gt;0,"Coûts à payer","OK")))))))</f>
        <v/>
      </c>
    </row>
    <row r="25" spans="1:15" x14ac:dyDescent="0.35">
      <c r="A25" s="13" t="str">
        <f>IF(Connaissements!$A26="","",Connaissements!$A26)</f>
        <v/>
      </c>
      <c r="B25" s="13" t="str">
        <f>IF($A25="","",Connaissements!$B26)</f>
        <v/>
      </c>
      <c r="C25" s="13" t="str">
        <f>IF($A25="","",Connaissements!$G26)</f>
        <v/>
      </c>
      <c r="D25" s="13" t="str">
        <f>IF($A25="","",IFERROR(IF(INDEX(Bookings!$D$3:$D$202,MATCH($B25,Bookings!$A$3:$A$202,0))="","",INDEX(Bookings!$D$3:$D$202,MATCH($B25,Bookings!$A$3:$A$202,0))),""))</f>
        <v/>
      </c>
      <c r="E25" s="14" t="str">
        <f>IF($A25="","",IFERROR(IF(INDEX(Bookings!$G$3:$G$202,MATCH($B25,Bookings!$A$3:$A$202,0))="","",INDEX(Bookings!$G$3:$G$202,MATCH($B25,Bookings!$A$3:$A$202,0))),""))</f>
        <v/>
      </c>
      <c r="F25" s="14" t="str">
        <f>IF($A25="","",IFERROR(IF(INDEX(Bookings!$H$3:$H$202,MATCH($B25,Bookings!$A$3:$A$202,0))="","",INDEX(Bookings!$H$3:$H$202,MATCH($B25,Bookings!$A$3:$A$202,0))),""))</f>
        <v/>
      </c>
      <c r="G25" s="13" t="str">
        <f>IF($A25="","",IF(Connaissements!$F26="","",Connaissements!$F26))</f>
        <v/>
      </c>
      <c r="H25" s="13" t="str">
        <f>IF($A25="","",Connaissements!$H26)</f>
        <v/>
      </c>
      <c r="I25" s="13" t="str">
        <f>IF($A25="","",COUNTIFS(Conteneurs!$B$3:$B$1002,$A25,Conteneurs!$M$3:$M$1002,"Embarqué"))</f>
        <v/>
      </c>
      <c r="J25" s="18" t="str">
        <f>IF($A25="","",Connaissements!$J26)</f>
        <v/>
      </c>
      <c r="K25" s="13" t="str">
        <f>IF($A25="","",COUNTIFS(Documents!$A$3:$A$1002,$A25))</f>
        <v/>
      </c>
      <c r="L25" s="13" t="str">
        <f>IF($A25="","",COUNTIFS(Documents!$A$3:$A$1002,$A25,Documents!$I$3:$I$1002,"Envoyé DHL"))</f>
        <v/>
      </c>
      <c r="M25" s="13" t="str">
        <f>IF($A25="","",COUNTIFS(Etapes!$A$5:$A$1504,$A25,Etapes!$F$5:$F$1504,"En retard"))</f>
        <v/>
      </c>
      <c r="N25" s="18" t="str">
        <f>IF($A25="","",SUMIFS(Couts_Transitaire!$I$3:$I$602,Couts_Transitaire!$B$3:$B$602,$A25))</f>
        <v/>
      </c>
      <c r="O25" s="13" t="str">
        <f>IF($A25="","",IF($M25&gt;0,"Étapes en retard",IF(Connaissements!$K26&lt;&gt;"OK","Contrôle BL à corriger",IF($H25=0,"Aucun conteneur saisi",IF($I25&lt;$H25,"Conteneurs non embarqués",IF($L25&lt;$K25,"Documents à finaliser",IF($N25&gt;0,"Coûts à payer","OK")))))))</f>
        <v/>
      </c>
    </row>
    <row r="26" spans="1:15" x14ac:dyDescent="0.35">
      <c r="A26" s="13" t="str">
        <f>IF(Connaissements!$A27="","",Connaissements!$A27)</f>
        <v/>
      </c>
      <c r="B26" s="13" t="str">
        <f>IF($A26="","",Connaissements!$B27)</f>
        <v/>
      </c>
      <c r="C26" s="13" t="str">
        <f>IF($A26="","",Connaissements!$G27)</f>
        <v/>
      </c>
      <c r="D26" s="13" t="str">
        <f>IF($A26="","",IFERROR(IF(INDEX(Bookings!$D$3:$D$202,MATCH($B26,Bookings!$A$3:$A$202,0))="","",INDEX(Bookings!$D$3:$D$202,MATCH($B26,Bookings!$A$3:$A$202,0))),""))</f>
        <v/>
      </c>
      <c r="E26" s="14" t="str">
        <f>IF($A26="","",IFERROR(IF(INDEX(Bookings!$G$3:$G$202,MATCH($B26,Bookings!$A$3:$A$202,0))="","",INDEX(Bookings!$G$3:$G$202,MATCH($B26,Bookings!$A$3:$A$202,0))),""))</f>
        <v/>
      </c>
      <c r="F26" s="14" t="str">
        <f>IF($A26="","",IFERROR(IF(INDEX(Bookings!$H$3:$H$202,MATCH($B26,Bookings!$A$3:$A$202,0))="","",INDEX(Bookings!$H$3:$H$202,MATCH($B26,Bookings!$A$3:$A$202,0))),""))</f>
        <v/>
      </c>
      <c r="G26" s="13" t="str">
        <f>IF($A26="","",IF(Connaissements!$F27="","",Connaissements!$F27))</f>
        <v/>
      </c>
      <c r="H26" s="13" t="str">
        <f>IF($A26="","",Connaissements!$H27)</f>
        <v/>
      </c>
      <c r="I26" s="13" t="str">
        <f>IF($A26="","",COUNTIFS(Conteneurs!$B$3:$B$1002,$A26,Conteneurs!$M$3:$M$1002,"Embarqué"))</f>
        <v/>
      </c>
      <c r="J26" s="18" t="str">
        <f>IF($A26="","",Connaissements!$J27)</f>
        <v/>
      </c>
      <c r="K26" s="13" t="str">
        <f>IF($A26="","",COUNTIFS(Documents!$A$3:$A$1002,$A26))</f>
        <v/>
      </c>
      <c r="L26" s="13" t="str">
        <f>IF($A26="","",COUNTIFS(Documents!$A$3:$A$1002,$A26,Documents!$I$3:$I$1002,"Envoyé DHL"))</f>
        <v/>
      </c>
      <c r="M26" s="13" t="str">
        <f>IF($A26="","",COUNTIFS(Etapes!$A$5:$A$1504,$A26,Etapes!$F$5:$F$1504,"En retard"))</f>
        <v/>
      </c>
      <c r="N26" s="18" t="str">
        <f>IF($A26="","",SUMIFS(Couts_Transitaire!$I$3:$I$602,Couts_Transitaire!$B$3:$B$602,$A26))</f>
        <v/>
      </c>
      <c r="O26" s="13" t="str">
        <f>IF($A26="","",IF($M26&gt;0,"Étapes en retard",IF(Connaissements!$K27&lt;&gt;"OK","Contrôle BL à corriger",IF($H26=0,"Aucun conteneur saisi",IF($I26&lt;$H26,"Conteneurs non embarqués",IF($L26&lt;$K26,"Documents à finaliser",IF($N26&gt;0,"Coûts à payer","OK")))))))</f>
        <v/>
      </c>
    </row>
    <row r="27" spans="1:15" x14ac:dyDescent="0.35">
      <c r="A27" s="13" t="str">
        <f>IF(Connaissements!$A28="","",Connaissements!$A28)</f>
        <v/>
      </c>
      <c r="B27" s="13" t="str">
        <f>IF($A27="","",Connaissements!$B28)</f>
        <v/>
      </c>
      <c r="C27" s="13" t="str">
        <f>IF($A27="","",Connaissements!$G28)</f>
        <v/>
      </c>
      <c r="D27" s="13" t="str">
        <f>IF($A27="","",IFERROR(IF(INDEX(Bookings!$D$3:$D$202,MATCH($B27,Bookings!$A$3:$A$202,0))="","",INDEX(Bookings!$D$3:$D$202,MATCH($B27,Bookings!$A$3:$A$202,0))),""))</f>
        <v/>
      </c>
      <c r="E27" s="14" t="str">
        <f>IF($A27="","",IFERROR(IF(INDEX(Bookings!$G$3:$G$202,MATCH($B27,Bookings!$A$3:$A$202,0))="","",INDEX(Bookings!$G$3:$G$202,MATCH($B27,Bookings!$A$3:$A$202,0))),""))</f>
        <v/>
      </c>
      <c r="F27" s="14" t="str">
        <f>IF($A27="","",IFERROR(IF(INDEX(Bookings!$H$3:$H$202,MATCH($B27,Bookings!$A$3:$A$202,0))="","",INDEX(Bookings!$H$3:$H$202,MATCH($B27,Bookings!$A$3:$A$202,0))),""))</f>
        <v/>
      </c>
      <c r="G27" s="13" t="str">
        <f>IF($A27="","",IF(Connaissements!$F28="","",Connaissements!$F28))</f>
        <v/>
      </c>
      <c r="H27" s="13" t="str">
        <f>IF($A27="","",Connaissements!$H28)</f>
        <v/>
      </c>
      <c r="I27" s="13" t="str">
        <f>IF($A27="","",COUNTIFS(Conteneurs!$B$3:$B$1002,$A27,Conteneurs!$M$3:$M$1002,"Embarqué"))</f>
        <v/>
      </c>
      <c r="J27" s="18" t="str">
        <f>IF($A27="","",Connaissements!$J28)</f>
        <v/>
      </c>
      <c r="K27" s="13" t="str">
        <f>IF($A27="","",COUNTIFS(Documents!$A$3:$A$1002,$A27))</f>
        <v/>
      </c>
      <c r="L27" s="13" t="str">
        <f>IF($A27="","",COUNTIFS(Documents!$A$3:$A$1002,$A27,Documents!$I$3:$I$1002,"Envoyé DHL"))</f>
        <v/>
      </c>
      <c r="M27" s="13" t="str">
        <f>IF($A27="","",COUNTIFS(Etapes!$A$5:$A$1504,$A27,Etapes!$F$5:$F$1504,"En retard"))</f>
        <v/>
      </c>
      <c r="N27" s="18" t="str">
        <f>IF($A27="","",SUMIFS(Couts_Transitaire!$I$3:$I$602,Couts_Transitaire!$B$3:$B$602,$A27))</f>
        <v/>
      </c>
      <c r="O27" s="13" t="str">
        <f>IF($A27="","",IF($M27&gt;0,"Étapes en retard",IF(Connaissements!$K28&lt;&gt;"OK","Contrôle BL à corriger",IF($H27=0,"Aucun conteneur saisi",IF($I27&lt;$H27,"Conteneurs non embarqués",IF($L27&lt;$K27,"Documents à finaliser",IF($N27&gt;0,"Coûts à payer","OK")))))))</f>
        <v/>
      </c>
    </row>
    <row r="28" spans="1:15" x14ac:dyDescent="0.35">
      <c r="A28" s="13" t="str">
        <f>IF(Connaissements!$A29="","",Connaissements!$A29)</f>
        <v/>
      </c>
      <c r="B28" s="13" t="str">
        <f>IF($A28="","",Connaissements!$B29)</f>
        <v/>
      </c>
      <c r="C28" s="13" t="str">
        <f>IF($A28="","",Connaissements!$G29)</f>
        <v/>
      </c>
      <c r="D28" s="13" t="str">
        <f>IF($A28="","",IFERROR(IF(INDEX(Bookings!$D$3:$D$202,MATCH($B28,Bookings!$A$3:$A$202,0))="","",INDEX(Bookings!$D$3:$D$202,MATCH($B28,Bookings!$A$3:$A$202,0))),""))</f>
        <v/>
      </c>
      <c r="E28" s="14" t="str">
        <f>IF($A28="","",IFERROR(IF(INDEX(Bookings!$G$3:$G$202,MATCH($B28,Bookings!$A$3:$A$202,0))="","",INDEX(Bookings!$G$3:$G$202,MATCH($B28,Bookings!$A$3:$A$202,0))),""))</f>
        <v/>
      </c>
      <c r="F28" s="14" t="str">
        <f>IF($A28="","",IFERROR(IF(INDEX(Bookings!$H$3:$H$202,MATCH($B28,Bookings!$A$3:$A$202,0))="","",INDEX(Bookings!$H$3:$H$202,MATCH($B28,Bookings!$A$3:$A$202,0))),""))</f>
        <v/>
      </c>
      <c r="G28" s="13" t="str">
        <f>IF($A28="","",IF(Connaissements!$F29="","",Connaissements!$F29))</f>
        <v/>
      </c>
      <c r="H28" s="13" t="str">
        <f>IF($A28="","",Connaissements!$H29)</f>
        <v/>
      </c>
      <c r="I28" s="13" t="str">
        <f>IF($A28="","",COUNTIFS(Conteneurs!$B$3:$B$1002,$A28,Conteneurs!$M$3:$M$1002,"Embarqué"))</f>
        <v/>
      </c>
      <c r="J28" s="18" t="str">
        <f>IF($A28="","",Connaissements!$J29)</f>
        <v/>
      </c>
      <c r="K28" s="13" t="str">
        <f>IF($A28="","",COUNTIFS(Documents!$A$3:$A$1002,$A28))</f>
        <v/>
      </c>
      <c r="L28" s="13" t="str">
        <f>IF($A28="","",COUNTIFS(Documents!$A$3:$A$1002,$A28,Documents!$I$3:$I$1002,"Envoyé DHL"))</f>
        <v/>
      </c>
      <c r="M28" s="13" t="str">
        <f>IF($A28="","",COUNTIFS(Etapes!$A$5:$A$1504,$A28,Etapes!$F$5:$F$1504,"En retard"))</f>
        <v/>
      </c>
      <c r="N28" s="18" t="str">
        <f>IF($A28="","",SUMIFS(Couts_Transitaire!$I$3:$I$602,Couts_Transitaire!$B$3:$B$602,$A28))</f>
        <v/>
      </c>
      <c r="O28" s="13" t="str">
        <f>IF($A28="","",IF($M28&gt;0,"Étapes en retard",IF(Connaissements!$K29&lt;&gt;"OK","Contrôle BL à corriger",IF($H28=0,"Aucun conteneur saisi",IF($I28&lt;$H28,"Conteneurs non embarqués",IF($L28&lt;$K28,"Documents à finaliser",IF($N28&gt;0,"Coûts à payer","OK")))))))</f>
        <v/>
      </c>
    </row>
    <row r="29" spans="1:15" x14ac:dyDescent="0.35">
      <c r="A29" s="13" t="str">
        <f>IF(Connaissements!$A30="","",Connaissements!$A30)</f>
        <v/>
      </c>
      <c r="B29" s="13" t="str">
        <f>IF($A29="","",Connaissements!$B30)</f>
        <v/>
      </c>
      <c r="C29" s="13" t="str">
        <f>IF($A29="","",Connaissements!$G30)</f>
        <v/>
      </c>
      <c r="D29" s="13" t="str">
        <f>IF($A29="","",IFERROR(IF(INDEX(Bookings!$D$3:$D$202,MATCH($B29,Bookings!$A$3:$A$202,0))="","",INDEX(Bookings!$D$3:$D$202,MATCH($B29,Bookings!$A$3:$A$202,0))),""))</f>
        <v/>
      </c>
      <c r="E29" s="14" t="str">
        <f>IF($A29="","",IFERROR(IF(INDEX(Bookings!$G$3:$G$202,MATCH($B29,Bookings!$A$3:$A$202,0))="","",INDEX(Bookings!$G$3:$G$202,MATCH($B29,Bookings!$A$3:$A$202,0))),""))</f>
        <v/>
      </c>
      <c r="F29" s="14" t="str">
        <f>IF($A29="","",IFERROR(IF(INDEX(Bookings!$H$3:$H$202,MATCH($B29,Bookings!$A$3:$A$202,0))="","",INDEX(Bookings!$H$3:$H$202,MATCH($B29,Bookings!$A$3:$A$202,0))),""))</f>
        <v/>
      </c>
      <c r="G29" s="13" t="str">
        <f>IF($A29="","",IF(Connaissements!$F30="","",Connaissements!$F30))</f>
        <v/>
      </c>
      <c r="H29" s="13" t="str">
        <f>IF($A29="","",Connaissements!$H30)</f>
        <v/>
      </c>
      <c r="I29" s="13" t="str">
        <f>IF($A29="","",COUNTIFS(Conteneurs!$B$3:$B$1002,$A29,Conteneurs!$M$3:$M$1002,"Embarqué"))</f>
        <v/>
      </c>
      <c r="J29" s="18" t="str">
        <f>IF($A29="","",Connaissements!$J30)</f>
        <v/>
      </c>
      <c r="K29" s="13" t="str">
        <f>IF($A29="","",COUNTIFS(Documents!$A$3:$A$1002,$A29))</f>
        <v/>
      </c>
      <c r="L29" s="13" t="str">
        <f>IF($A29="","",COUNTIFS(Documents!$A$3:$A$1002,$A29,Documents!$I$3:$I$1002,"Envoyé DHL"))</f>
        <v/>
      </c>
      <c r="M29" s="13" t="str">
        <f>IF($A29="","",COUNTIFS(Etapes!$A$5:$A$1504,$A29,Etapes!$F$5:$F$1504,"En retard"))</f>
        <v/>
      </c>
      <c r="N29" s="18" t="str">
        <f>IF($A29="","",SUMIFS(Couts_Transitaire!$I$3:$I$602,Couts_Transitaire!$B$3:$B$602,$A29))</f>
        <v/>
      </c>
      <c r="O29" s="13" t="str">
        <f>IF($A29="","",IF($M29&gt;0,"Étapes en retard",IF(Connaissements!$K30&lt;&gt;"OK","Contrôle BL à corriger",IF($H29=0,"Aucun conteneur saisi",IF($I29&lt;$H29,"Conteneurs non embarqués",IF($L29&lt;$K29,"Documents à finaliser",IF($N29&gt;0,"Coûts à payer","OK")))))))</f>
        <v/>
      </c>
    </row>
    <row r="30" spans="1:15" x14ac:dyDescent="0.35">
      <c r="A30" s="13" t="str">
        <f>IF(Connaissements!$A31="","",Connaissements!$A31)</f>
        <v/>
      </c>
      <c r="B30" s="13" t="str">
        <f>IF($A30="","",Connaissements!$B31)</f>
        <v/>
      </c>
      <c r="C30" s="13" t="str">
        <f>IF($A30="","",Connaissements!$G31)</f>
        <v/>
      </c>
      <c r="D30" s="13" t="str">
        <f>IF($A30="","",IFERROR(IF(INDEX(Bookings!$D$3:$D$202,MATCH($B30,Bookings!$A$3:$A$202,0))="","",INDEX(Bookings!$D$3:$D$202,MATCH($B30,Bookings!$A$3:$A$202,0))),""))</f>
        <v/>
      </c>
      <c r="E30" s="14" t="str">
        <f>IF($A30="","",IFERROR(IF(INDEX(Bookings!$G$3:$G$202,MATCH($B30,Bookings!$A$3:$A$202,0))="","",INDEX(Bookings!$G$3:$G$202,MATCH($B30,Bookings!$A$3:$A$202,0))),""))</f>
        <v/>
      </c>
      <c r="F30" s="14" t="str">
        <f>IF($A30="","",IFERROR(IF(INDEX(Bookings!$H$3:$H$202,MATCH($B30,Bookings!$A$3:$A$202,0))="","",INDEX(Bookings!$H$3:$H$202,MATCH($B30,Bookings!$A$3:$A$202,0))),""))</f>
        <v/>
      </c>
      <c r="G30" s="13" t="str">
        <f>IF($A30="","",IF(Connaissements!$F31="","",Connaissements!$F31))</f>
        <v/>
      </c>
      <c r="H30" s="13" t="str">
        <f>IF($A30="","",Connaissements!$H31)</f>
        <v/>
      </c>
      <c r="I30" s="13" t="str">
        <f>IF($A30="","",COUNTIFS(Conteneurs!$B$3:$B$1002,$A30,Conteneurs!$M$3:$M$1002,"Embarqué"))</f>
        <v/>
      </c>
      <c r="J30" s="18" t="str">
        <f>IF($A30="","",Connaissements!$J31)</f>
        <v/>
      </c>
      <c r="K30" s="13" t="str">
        <f>IF($A30="","",COUNTIFS(Documents!$A$3:$A$1002,$A30))</f>
        <v/>
      </c>
      <c r="L30" s="13" t="str">
        <f>IF($A30="","",COUNTIFS(Documents!$A$3:$A$1002,$A30,Documents!$I$3:$I$1002,"Envoyé DHL"))</f>
        <v/>
      </c>
      <c r="M30" s="13" t="str">
        <f>IF($A30="","",COUNTIFS(Etapes!$A$5:$A$1504,$A30,Etapes!$F$5:$F$1504,"En retard"))</f>
        <v/>
      </c>
      <c r="N30" s="18" t="str">
        <f>IF($A30="","",SUMIFS(Couts_Transitaire!$I$3:$I$602,Couts_Transitaire!$B$3:$B$602,$A30))</f>
        <v/>
      </c>
      <c r="O30" s="13" t="str">
        <f>IF($A30="","",IF($M30&gt;0,"Étapes en retard",IF(Connaissements!$K31&lt;&gt;"OK","Contrôle BL à corriger",IF($H30=0,"Aucun conteneur saisi",IF($I30&lt;$H30,"Conteneurs non embarqués",IF($L30&lt;$K30,"Documents à finaliser",IF($N30&gt;0,"Coûts à payer","OK")))))))</f>
        <v/>
      </c>
    </row>
    <row r="31" spans="1:15" x14ac:dyDescent="0.35">
      <c r="A31" s="13" t="str">
        <f>IF(Connaissements!$A32="","",Connaissements!$A32)</f>
        <v/>
      </c>
      <c r="B31" s="13" t="str">
        <f>IF($A31="","",Connaissements!$B32)</f>
        <v/>
      </c>
      <c r="C31" s="13" t="str">
        <f>IF($A31="","",Connaissements!$G32)</f>
        <v/>
      </c>
      <c r="D31" s="13" t="str">
        <f>IF($A31="","",IFERROR(IF(INDEX(Bookings!$D$3:$D$202,MATCH($B31,Bookings!$A$3:$A$202,0))="","",INDEX(Bookings!$D$3:$D$202,MATCH($B31,Bookings!$A$3:$A$202,0))),""))</f>
        <v/>
      </c>
      <c r="E31" s="14" t="str">
        <f>IF($A31="","",IFERROR(IF(INDEX(Bookings!$G$3:$G$202,MATCH($B31,Bookings!$A$3:$A$202,0))="","",INDEX(Bookings!$G$3:$G$202,MATCH($B31,Bookings!$A$3:$A$202,0))),""))</f>
        <v/>
      </c>
      <c r="F31" s="14" t="str">
        <f>IF($A31="","",IFERROR(IF(INDEX(Bookings!$H$3:$H$202,MATCH($B31,Bookings!$A$3:$A$202,0))="","",INDEX(Bookings!$H$3:$H$202,MATCH($B31,Bookings!$A$3:$A$202,0))),""))</f>
        <v/>
      </c>
      <c r="G31" s="13" t="str">
        <f>IF($A31="","",IF(Connaissements!$F32="","",Connaissements!$F32))</f>
        <v/>
      </c>
      <c r="H31" s="13" t="str">
        <f>IF($A31="","",Connaissements!$H32)</f>
        <v/>
      </c>
      <c r="I31" s="13" t="str">
        <f>IF($A31="","",COUNTIFS(Conteneurs!$B$3:$B$1002,$A31,Conteneurs!$M$3:$M$1002,"Embarqué"))</f>
        <v/>
      </c>
      <c r="J31" s="18" t="str">
        <f>IF($A31="","",Connaissements!$J32)</f>
        <v/>
      </c>
      <c r="K31" s="13" t="str">
        <f>IF($A31="","",COUNTIFS(Documents!$A$3:$A$1002,$A31))</f>
        <v/>
      </c>
      <c r="L31" s="13" t="str">
        <f>IF($A31="","",COUNTIFS(Documents!$A$3:$A$1002,$A31,Documents!$I$3:$I$1002,"Envoyé DHL"))</f>
        <v/>
      </c>
      <c r="M31" s="13" t="str">
        <f>IF($A31="","",COUNTIFS(Etapes!$A$5:$A$1504,$A31,Etapes!$F$5:$F$1504,"En retard"))</f>
        <v/>
      </c>
      <c r="N31" s="18" t="str">
        <f>IF($A31="","",SUMIFS(Couts_Transitaire!$I$3:$I$602,Couts_Transitaire!$B$3:$B$602,$A31))</f>
        <v/>
      </c>
      <c r="O31" s="13" t="str">
        <f>IF($A31="","",IF($M31&gt;0,"Étapes en retard",IF(Connaissements!$K32&lt;&gt;"OK","Contrôle BL à corriger",IF($H31=0,"Aucun conteneur saisi",IF($I31&lt;$H31,"Conteneurs non embarqués",IF($L31&lt;$K31,"Documents à finaliser",IF($N31&gt;0,"Coûts à payer","OK")))))))</f>
        <v/>
      </c>
    </row>
    <row r="32" spans="1:15" x14ac:dyDescent="0.35">
      <c r="A32" s="13" t="str">
        <f>IF(Connaissements!$A33="","",Connaissements!$A33)</f>
        <v/>
      </c>
      <c r="B32" s="13" t="str">
        <f>IF($A32="","",Connaissements!$B33)</f>
        <v/>
      </c>
      <c r="C32" s="13" t="str">
        <f>IF($A32="","",Connaissements!$G33)</f>
        <v/>
      </c>
      <c r="D32" s="13" t="str">
        <f>IF($A32="","",IFERROR(IF(INDEX(Bookings!$D$3:$D$202,MATCH($B32,Bookings!$A$3:$A$202,0))="","",INDEX(Bookings!$D$3:$D$202,MATCH($B32,Bookings!$A$3:$A$202,0))),""))</f>
        <v/>
      </c>
      <c r="E32" s="14" t="str">
        <f>IF($A32="","",IFERROR(IF(INDEX(Bookings!$G$3:$G$202,MATCH($B32,Bookings!$A$3:$A$202,0))="","",INDEX(Bookings!$G$3:$G$202,MATCH($B32,Bookings!$A$3:$A$202,0))),""))</f>
        <v/>
      </c>
      <c r="F32" s="14" t="str">
        <f>IF($A32="","",IFERROR(IF(INDEX(Bookings!$H$3:$H$202,MATCH($B32,Bookings!$A$3:$A$202,0))="","",INDEX(Bookings!$H$3:$H$202,MATCH($B32,Bookings!$A$3:$A$202,0))),""))</f>
        <v/>
      </c>
      <c r="G32" s="13" t="str">
        <f>IF($A32="","",IF(Connaissements!$F33="","",Connaissements!$F33))</f>
        <v/>
      </c>
      <c r="H32" s="13" t="str">
        <f>IF($A32="","",Connaissements!$H33)</f>
        <v/>
      </c>
      <c r="I32" s="13" t="str">
        <f>IF($A32="","",COUNTIFS(Conteneurs!$B$3:$B$1002,$A32,Conteneurs!$M$3:$M$1002,"Embarqué"))</f>
        <v/>
      </c>
      <c r="J32" s="18" t="str">
        <f>IF($A32="","",Connaissements!$J33)</f>
        <v/>
      </c>
      <c r="K32" s="13" t="str">
        <f>IF($A32="","",COUNTIFS(Documents!$A$3:$A$1002,$A32))</f>
        <v/>
      </c>
      <c r="L32" s="13" t="str">
        <f>IF($A32="","",COUNTIFS(Documents!$A$3:$A$1002,$A32,Documents!$I$3:$I$1002,"Envoyé DHL"))</f>
        <v/>
      </c>
      <c r="M32" s="13" t="str">
        <f>IF($A32="","",COUNTIFS(Etapes!$A$5:$A$1504,$A32,Etapes!$F$5:$F$1504,"En retard"))</f>
        <v/>
      </c>
      <c r="N32" s="18" t="str">
        <f>IF($A32="","",SUMIFS(Couts_Transitaire!$I$3:$I$602,Couts_Transitaire!$B$3:$B$602,$A32))</f>
        <v/>
      </c>
      <c r="O32" s="13" t="str">
        <f>IF($A32="","",IF($M32&gt;0,"Étapes en retard",IF(Connaissements!$K33&lt;&gt;"OK","Contrôle BL à corriger",IF($H32=0,"Aucun conteneur saisi",IF($I32&lt;$H32,"Conteneurs non embarqués",IF($L32&lt;$K32,"Documents à finaliser",IF($N32&gt;0,"Coûts à payer","OK")))))))</f>
        <v/>
      </c>
    </row>
    <row r="33" spans="1:15" x14ac:dyDescent="0.35">
      <c r="A33" s="13" t="str">
        <f>IF(Connaissements!$A34="","",Connaissements!$A34)</f>
        <v/>
      </c>
      <c r="B33" s="13" t="str">
        <f>IF($A33="","",Connaissements!$B34)</f>
        <v/>
      </c>
      <c r="C33" s="13" t="str">
        <f>IF($A33="","",Connaissements!$G34)</f>
        <v/>
      </c>
      <c r="D33" s="13" t="str">
        <f>IF($A33="","",IFERROR(IF(INDEX(Bookings!$D$3:$D$202,MATCH($B33,Bookings!$A$3:$A$202,0))="","",INDEX(Bookings!$D$3:$D$202,MATCH($B33,Bookings!$A$3:$A$202,0))),""))</f>
        <v/>
      </c>
      <c r="E33" s="14" t="str">
        <f>IF($A33="","",IFERROR(IF(INDEX(Bookings!$G$3:$G$202,MATCH($B33,Bookings!$A$3:$A$202,0))="","",INDEX(Bookings!$G$3:$G$202,MATCH($B33,Bookings!$A$3:$A$202,0))),""))</f>
        <v/>
      </c>
      <c r="F33" s="14" t="str">
        <f>IF($A33="","",IFERROR(IF(INDEX(Bookings!$H$3:$H$202,MATCH($B33,Bookings!$A$3:$A$202,0))="","",INDEX(Bookings!$H$3:$H$202,MATCH($B33,Bookings!$A$3:$A$202,0))),""))</f>
        <v/>
      </c>
      <c r="G33" s="13" t="str">
        <f>IF($A33="","",IF(Connaissements!$F34="","",Connaissements!$F34))</f>
        <v/>
      </c>
      <c r="H33" s="13" t="str">
        <f>IF($A33="","",Connaissements!$H34)</f>
        <v/>
      </c>
      <c r="I33" s="13" t="str">
        <f>IF($A33="","",COUNTIFS(Conteneurs!$B$3:$B$1002,$A33,Conteneurs!$M$3:$M$1002,"Embarqué"))</f>
        <v/>
      </c>
      <c r="J33" s="18" t="str">
        <f>IF($A33="","",Connaissements!$J34)</f>
        <v/>
      </c>
      <c r="K33" s="13" t="str">
        <f>IF($A33="","",COUNTIFS(Documents!$A$3:$A$1002,$A33))</f>
        <v/>
      </c>
      <c r="L33" s="13" t="str">
        <f>IF($A33="","",COUNTIFS(Documents!$A$3:$A$1002,$A33,Documents!$I$3:$I$1002,"Envoyé DHL"))</f>
        <v/>
      </c>
      <c r="M33" s="13" t="str">
        <f>IF($A33="","",COUNTIFS(Etapes!$A$5:$A$1504,$A33,Etapes!$F$5:$F$1504,"En retard"))</f>
        <v/>
      </c>
      <c r="N33" s="18" t="str">
        <f>IF($A33="","",SUMIFS(Couts_Transitaire!$I$3:$I$602,Couts_Transitaire!$B$3:$B$602,$A33))</f>
        <v/>
      </c>
      <c r="O33" s="13" t="str">
        <f>IF($A33="","",IF($M33&gt;0,"Étapes en retard",IF(Connaissements!$K34&lt;&gt;"OK","Contrôle BL à corriger",IF($H33=0,"Aucun conteneur saisi",IF($I33&lt;$H33,"Conteneurs non embarqués",IF($L33&lt;$K33,"Documents à finaliser",IF($N33&gt;0,"Coûts à payer","OK")))))))</f>
        <v/>
      </c>
    </row>
    <row r="34" spans="1:15" x14ac:dyDescent="0.35">
      <c r="A34" s="13" t="str">
        <f>IF(Connaissements!$A35="","",Connaissements!$A35)</f>
        <v/>
      </c>
      <c r="B34" s="13" t="str">
        <f>IF($A34="","",Connaissements!$B35)</f>
        <v/>
      </c>
      <c r="C34" s="13" t="str">
        <f>IF($A34="","",Connaissements!$G35)</f>
        <v/>
      </c>
      <c r="D34" s="13" t="str">
        <f>IF($A34="","",IFERROR(IF(INDEX(Bookings!$D$3:$D$202,MATCH($B34,Bookings!$A$3:$A$202,0))="","",INDEX(Bookings!$D$3:$D$202,MATCH($B34,Bookings!$A$3:$A$202,0))),""))</f>
        <v/>
      </c>
      <c r="E34" s="14" t="str">
        <f>IF($A34="","",IFERROR(IF(INDEX(Bookings!$G$3:$G$202,MATCH($B34,Bookings!$A$3:$A$202,0))="","",INDEX(Bookings!$G$3:$G$202,MATCH($B34,Bookings!$A$3:$A$202,0))),""))</f>
        <v/>
      </c>
      <c r="F34" s="14" t="str">
        <f>IF($A34="","",IFERROR(IF(INDEX(Bookings!$H$3:$H$202,MATCH($B34,Bookings!$A$3:$A$202,0))="","",INDEX(Bookings!$H$3:$H$202,MATCH($B34,Bookings!$A$3:$A$202,0))),""))</f>
        <v/>
      </c>
      <c r="G34" s="13" t="str">
        <f>IF($A34="","",IF(Connaissements!$F35="","",Connaissements!$F35))</f>
        <v/>
      </c>
      <c r="H34" s="13" t="str">
        <f>IF($A34="","",Connaissements!$H35)</f>
        <v/>
      </c>
      <c r="I34" s="13" t="str">
        <f>IF($A34="","",COUNTIFS(Conteneurs!$B$3:$B$1002,$A34,Conteneurs!$M$3:$M$1002,"Embarqué"))</f>
        <v/>
      </c>
      <c r="J34" s="18" t="str">
        <f>IF($A34="","",Connaissements!$J35)</f>
        <v/>
      </c>
      <c r="K34" s="13" t="str">
        <f>IF($A34="","",COUNTIFS(Documents!$A$3:$A$1002,$A34))</f>
        <v/>
      </c>
      <c r="L34" s="13" t="str">
        <f>IF($A34="","",COUNTIFS(Documents!$A$3:$A$1002,$A34,Documents!$I$3:$I$1002,"Envoyé DHL"))</f>
        <v/>
      </c>
      <c r="M34" s="13" t="str">
        <f>IF($A34="","",COUNTIFS(Etapes!$A$5:$A$1504,$A34,Etapes!$F$5:$F$1504,"En retard"))</f>
        <v/>
      </c>
      <c r="N34" s="18" t="str">
        <f>IF($A34="","",SUMIFS(Couts_Transitaire!$I$3:$I$602,Couts_Transitaire!$B$3:$B$602,$A34))</f>
        <v/>
      </c>
      <c r="O34" s="13" t="str">
        <f>IF($A34="","",IF($M34&gt;0,"Étapes en retard",IF(Connaissements!$K35&lt;&gt;"OK","Contrôle BL à corriger",IF($H34=0,"Aucun conteneur saisi",IF($I34&lt;$H34,"Conteneurs non embarqués",IF($L34&lt;$K34,"Documents à finaliser",IF($N34&gt;0,"Coûts à payer","OK")))))))</f>
        <v/>
      </c>
    </row>
    <row r="35" spans="1:15" x14ac:dyDescent="0.35">
      <c r="A35" s="13" t="str">
        <f>IF(Connaissements!$A36="","",Connaissements!$A36)</f>
        <v/>
      </c>
      <c r="B35" s="13" t="str">
        <f>IF($A35="","",Connaissements!$B36)</f>
        <v/>
      </c>
      <c r="C35" s="13" t="str">
        <f>IF($A35="","",Connaissements!$G36)</f>
        <v/>
      </c>
      <c r="D35" s="13" t="str">
        <f>IF($A35="","",IFERROR(IF(INDEX(Bookings!$D$3:$D$202,MATCH($B35,Bookings!$A$3:$A$202,0))="","",INDEX(Bookings!$D$3:$D$202,MATCH($B35,Bookings!$A$3:$A$202,0))),""))</f>
        <v/>
      </c>
      <c r="E35" s="14" t="str">
        <f>IF($A35="","",IFERROR(IF(INDEX(Bookings!$G$3:$G$202,MATCH($B35,Bookings!$A$3:$A$202,0))="","",INDEX(Bookings!$G$3:$G$202,MATCH($B35,Bookings!$A$3:$A$202,0))),""))</f>
        <v/>
      </c>
      <c r="F35" s="14" t="str">
        <f>IF($A35="","",IFERROR(IF(INDEX(Bookings!$H$3:$H$202,MATCH($B35,Bookings!$A$3:$A$202,0))="","",INDEX(Bookings!$H$3:$H$202,MATCH($B35,Bookings!$A$3:$A$202,0))),""))</f>
        <v/>
      </c>
      <c r="G35" s="13" t="str">
        <f>IF($A35="","",IF(Connaissements!$F36="","",Connaissements!$F36))</f>
        <v/>
      </c>
      <c r="H35" s="13" t="str">
        <f>IF($A35="","",Connaissements!$H36)</f>
        <v/>
      </c>
      <c r="I35" s="13" t="str">
        <f>IF($A35="","",COUNTIFS(Conteneurs!$B$3:$B$1002,$A35,Conteneurs!$M$3:$M$1002,"Embarqué"))</f>
        <v/>
      </c>
      <c r="J35" s="18" t="str">
        <f>IF($A35="","",Connaissements!$J36)</f>
        <v/>
      </c>
      <c r="K35" s="13" t="str">
        <f>IF($A35="","",COUNTIFS(Documents!$A$3:$A$1002,$A35))</f>
        <v/>
      </c>
      <c r="L35" s="13" t="str">
        <f>IF($A35="","",COUNTIFS(Documents!$A$3:$A$1002,$A35,Documents!$I$3:$I$1002,"Envoyé DHL"))</f>
        <v/>
      </c>
      <c r="M35" s="13" t="str">
        <f>IF($A35="","",COUNTIFS(Etapes!$A$5:$A$1504,$A35,Etapes!$F$5:$F$1504,"En retard"))</f>
        <v/>
      </c>
      <c r="N35" s="18" t="str">
        <f>IF($A35="","",SUMIFS(Couts_Transitaire!$I$3:$I$602,Couts_Transitaire!$B$3:$B$602,$A35))</f>
        <v/>
      </c>
      <c r="O35" s="13" t="str">
        <f>IF($A35="","",IF($M35&gt;0,"Étapes en retard",IF(Connaissements!$K36&lt;&gt;"OK","Contrôle BL à corriger",IF($H35=0,"Aucun conteneur saisi",IF($I35&lt;$H35,"Conteneurs non embarqués",IF($L35&lt;$K35,"Documents à finaliser",IF($N35&gt;0,"Coûts à payer","OK")))))))</f>
        <v/>
      </c>
    </row>
    <row r="36" spans="1:15" x14ac:dyDescent="0.35">
      <c r="A36" s="13" t="str">
        <f>IF(Connaissements!$A37="","",Connaissements!$A37)</f>
        <v/>
      </c>
      <c r="B36" s="13" t="str">
        <f>IF($A36="","",Connaissements!$B37)</f>
        <v/>
      </c>
      <c r="C36" s="13" t="str">
        <f>IF($A36="","",Connaissements!$G37)</f>
        <v/>
      </c>
      <c r="D36" s="13" t="str">
        <f>IF($A36="","",IFERROR(IF(INDEX(Bookings!$D$3:$D$202,MATCH($B36,Bookings!$A$3:$A$202,0))="","",INDEX(Bookings!$D$3:$D$202,MATCH($B36,Bookings!$A$3:$A$202,0))),""))</f>
        <v/>
      </c>
      <c r="E36" s="14" t="str">
        <f>IF($A36="","",IFERROR(IF(INDEX(Bookings!$G$3:$G$202,MATCH($B36,Bookings!$A$3:$A$202,0))="","",INDEX(Bookings!$G$3:$G$202,MATCH($B36,Bookings!$A$3:$A$202,0))),""))</f>
        <v/>
      </c>
      <c r="F36" s="14" t="str">
        <f>IF($A36="","",IFERROR(IF(INDEX(Bookings!$H$3:$H$202,MATCH($B36,Bookings!$A$3:$A$202,0))="","",INDEX(Bookings!$H$3:$H$202,MATCH($B36,Bookings!$A$3:$A$202,0))),""))</f>
        <v/>
      </c>
      <c r="G36" s="13" t="str">
        <f>IF($A36="","",IF(Connaissements!$F37="","",Connaissements!$F37))</f>
        <v/>
      </c>
      <c r="H36" s="13" t="str">
        <f>IF($A36="","",Connaissements!$H37)</f>
        <v/>
      </c>
      <c r="I36" s="13" t="str">
        <f>IF($A36="","",COUNTIFS(Conteneurs!$B$3:$B$1002,$A36,Conteneurs!$M$3:$M$1002,"Embarqué"))</f>
        <v/>
      </c>
      <c r="J36" s="18" t="str">
        <f>IF($A36="","",Connaissements!$J37)</f>
        <v/>
      </c>
      <c r="K36" s="13" t="str">
        <f>IF($A36="","",COUNTIFS(Documents!$A$3:$A$1002,$A36))</f>
        <v/>
      </c>
      <c r="L36" s="13" t="str">
        <f>IF($A36="","",COUNTIFS(Documents!$A$3:$A$1002,$A36,Documents!$I$3:$I$1002,"Envoyé DHL"))</f>
        <v/>
      </c>
      <c r="M36" s="13" t="str">
        <f>IF($A36="","",COUNTIFS(Etapes!$A$5:$A$1504,$A36,Etapes!$F$5:$F$1504,"En retard"))</f>
        <v/>
      </c>
      <c r="N36" s="18" t="str">
        <f>IF($A36="","",SUMIFS(Couts_Transitaire!$I$3:$I$602,Couts_Transitaire!$B$3:$B$602,$A36))</f>
        <v/>
      </c>
      <c r="O36" s="13" t="str">
        <f>IF($A36="","",IF($M36&gt;0,"Étapes en retard",IF(Connaissements!$K37&lt;&gt;"OK","Contrôle BL à corriger",IF($H36=0,"Aucun conteneur saisi",IF($I36&lt;$H36,"Conteneurs non embarqués",IF($L36&lt;$K36,"Documents à finaliser",IF($N36&gt;0,"Coûts à payer","OK")))))))</f>
        <v/>
      </c>
    </row>
    <row r="37" spans="1:15" x14ac:dyDescent="0.35">
      <c r="A37" s="13" t="str">
        <f>IF(Connaissements!$A38="","",Connaissements!$A38)</f>
        <v/>
      </c>
      <c r="B37" s="13" t="str">
        <f>IF($A37="","",Connaissements!$B38)</f>
        <v/>
      </c>
      <c r="C37" s="13" t="str">
        <f>IF($A37="","",Connaissements!$G38)</f>
        <v/>
      </c>
      <c r="D37" s="13" t="str">
        <f>IF($A37="","",IFERROR(IF(INDEX(Bookings!$D$3:$D$202,MATCH($B37,Bookings!$A$3:$A$202,0))="","",INDEX(Bookings!$D$3:$D$202,MATCH($B37,Bookings!$A$3:$A$202,0))),""))</f>
        <v/>
      </c>
      <c r="E37" s="14" t="str">
        <f>IF($A37="","",IFERROR(IF(INDEX(Bookings!$G$3:$G$202,MATCH($B37,Bookings!$A$3:$A$202,0))="","",INDEX(Bookings!$G$3:$G$202,MATCH($B37,Bookings!$A$3:$A$202,0))),""))</f>
        <v/>
      </c>
      <c r="F37" s="14" t="str">
        <f>IF($A37="","",IFERROR(IF(INDEX(Bookings!$H$3:$H$202,MATCH($B37,Bookings!$A$3:$A$202,0))="","",INDEX(Bookings!$H$3:$H$202,MATCH($B37,Bookings!$A$3:$A$202,0))),""))</f>
        <v/>
      </c>
      <c r="G37" s="13" t="str">
        <f>IF($A37="","",IF(Connaissements!$F38="","",Connaissements!$F38))</f>
        <v/>
      </c>
      <c r="H37" s="13" t="str">
        <f>IF($A37="","",Connaissements!$H38)</f>
        <v/>
      </c>
      <c r="I37" s="13" t="str">
        <f>IF($A37="","",COUNTIFS(Conteneurs!$B$3:$B$1002,$A37,Conteneurs!$M$3:$M$1002,"Embarqué"))</f>
        <v/>
      </c>
      <c r="J37" s="18" t="str">
        <f>IF($A37="","",Connaissements!$J38)</f>
        <v/>
      </c>
      <c r="K37" s="13" t="str">
        <f>IF($A37="","",COUNTIFS(Documents!$A$3:$A$1002,$A37))</f>
        <v/>
      </c>
      <c r="L37" s="13" t="str">
        <f>IF($A37="","",COUNTIFS(Documents!$A$3:$A$1002,$A37,Documents!$I$3:$I$1002,"Envoyé DHL"))</f>
        <v/>
      </c>
      <c r="M37" s="13" t="str">
        <f>IF($A37="","",COUNTIFS(Etapes!$A$5:$A$1504,$A37,Etapes!$F$5:$F$1504,"En retard"))</f>
        <v/>
      </c>
      <c r="N37" s="18" t="str">
        <f>IF($A37="","",SUMIFS(Couts_Transitaire!$I$3:$I$602,Couts_Transitaire!$B$3:$B$602,$A37))</f>
        <v/>
      </c>
      <c r="O37" s="13" t="str">
        <f>IF($A37="","",IF($M37&gt;0,"Étapes en retard",IF(Connaissements!$K38&lt;&gt;"OK","Contrôle BL à corriger",IF($H37=0,"Aucun conteneur saisi",IF($I37&lt;$H37,"Conteneurs non embarqués",IF($L37&lt;$K37,"Documents à finaliser",IF($N37&gt;0,"Coûts à payer","OK")))))))</f>
        <v/>
      </c>
    </row>
    <row r="38" spans="1:15" x14ac:dyDescent="0.35">
      <c r="A38" s="13" t="str">
        <f>IF(Connaissements!$A39="","",Connaissements!$A39)</f>
        <v/>
      </c>
      <c r="B38" s="13" t="str">
        <f>IF($A38="","",Connaissements!$B39)</f>
        <v/>
      </c>
      <c r="C38" s="13" t="str">
        <f>IF($A38="","",Connaissements!$G39)</f>
        <v/>
      </c>
      <c r="D38" s="13" t="str">
        <f>IF($A38="","",IFERROR(IF(INDEX(Bookings!$D$3:$D$202,MATCH($B38,Bookings!$A$3:$A$202,0))="","",INDEX(Bookings!$D$3:$D$202,MATCH($B38,Bookings!$A$3:$A$202,0))),""))</f>
        <v/>
      </c>
      <c r="E38" s="14" t="str">
        <f>IF($A38="","",IFERROR(IF(INDEX(Bookings!$G$3:$G$202,MATCH($B38,Bookings!$A$3:$A$202,0))="","",INDEX(Bookings!$G$3:$G$202,MATCH($B38,Bookings!$A$3:$A$202,0))),""))</f>
        <v/>
      </c>
      <c r="F38" s="14" t="str">
        <f>IF($A38="","",IFERROR(IF(INDEX(Bookings!$H$3:$H$202,MATCH($B38,Bookings!$A$3:$A$202,0))="","",INDEX(Bookings!$H$3:$H$202,MATCH($B38,Bookings!$A$3:$A$202,0))),""))</f>
        <v/>
      </c>
      <c r="G38" s="13" t="str">
        <f>IF($A38="","",IF(Connaissements!$F39="","",Connaissements!$F39))</f>
        <v/>
      </c>
      <c r="H38" s="13" t="str">
        <f>IF($A38="","",Connaissements!$H39)</f>
        <v/>
      </c>
      <c r="I38" s="13" t="str">
        <f>IF($A38="","",COUNTIFS(Conteneurs!$B$3:$B$1002,$A38,Conteneurs!$M$3:$M$1002,"Embarqué"))</f>
        <v/>
      </c>
      <c r="J38" s="18" t="str">
        <f>IF($A38="","",Connaissements!$J39)</f>
        <v/>
      </c>
      <c r="K38" s="13" t="str">
        <f>IF($A38="","",COUNTIFS(Documents!$A$3:$A$1002,$A38))</f>
        <v/>
      </c>
      <c r="L38" s="13" t="str">
        <f>IF($A38="","",COUNTIFS(Documents!$A$3:$A$1002,$A38,Documents!$I$3:$I$1002,"Envoyé DHL"))</f>
        <v/>
      </c>
      <c r="M38" s="13" t="str">
        <f>IF($A38="","",COUNTIFS(Etapes!$A$5:$A$1504,$A38,Etapes!$F$5:$F$1504,"En retard"))</f>
        <v/>
      </c>
      <c r="N38" s="18" t="str">
        <f>IF($A38="","",SUMIFS(Couts_Transitaire!$I$3:$I$602,Couts_Transitaire!$B$3:$B$602,$A38))</f>
        <v/>
      </c>
      <c r="O38" s="13" t="str">
        <f>IF($A38="","",IF($M38&gt;0,"Étapes en retard",IF(Connaissements!$K39&lt;&gt;"OK","Contrôle BL à corriger",IF($H38=0,"Aucun conteneur saisi",IF($I38&lt;$H38,"Conteneurs non embarqués",IF($L38&lt;$K38,"Documents à finaliser",IF($N38&gt;0,"Coûts à payer","OK")))))))</f>
        <v/>
      </c>
    </row>
    <row r="39" spans="1:15" x14ac:dyDescent="0.35">
      <c r="A39" s="13" t="str">
        <f>IF(Connaissements!$A40="","",Connaissements!$A40)</f>
        <v/>
      </c>
      <c r="B39" s="13" t="str">
        <f>IF($A39="","",Connaissements!$B40)</f>
        <v/>
      </c>
      <c r="C39" s="13" t="str">
        <f>IF($A39="","",Connaissements!$G40)</f>
        <v/>
      </c>
      <c r="D39" s="13" t="str">
        <f>IF($A39="","",IFERROR(IF(INDEX(Bookings!$D$3:$D$202,MATCH($B39,Bookings!$A$3:$A$202,0))="","",INDEX(Bookings!$D$3:$D$202,MATCH($B39,Bookings!$A$3:$A$202,0))),""))</f>
        <v/>
      </c>
      <c r="E39" s="14" t="str">
        <f>IF($A39="","",IFERROR(IF(INDEX(Bookings!$G$3:$G$202,MATCH($B39,Bookings!$A$3:$A$202,0))="","",INDEX(Bookings!$G$3:$G$202,MATCH($B39,Bookings!$A$3:$A$202,0))),""))</f>
        <v/>
      </c>
      <c r="F39" s="14" t="str">
        <f>IF($A39="","",IFERROR(IF(INDEX(Bookings!$H$3:$H$202,MATCH($B39,Bookings!$A$3:$A$202,0))="","",INDEX(Bookings!$H$3:$H$202,MATCH($B39,Bookings!$A$3:$A$202,0))),""))</f>
        <v/>
      </c>
      <c r="G39" s="13" t="str">
        <f>IF($A39="","",IF(Connaissements!$F40="","",Connaissements!$F40))</f>
        <v/>
      </c>
      <c r="H39" s="13" t="str">
        <f>IF($A39="","",Connaissements!$H40)</f>
        <v/>
      </c>
      <c r="I39" s="13" t="str">
        <f>IF($A39="","",COUNTIFS(Conteneurs!$B$3:$B$1002,$A39,Conteneurs!$M$3:$M$1002,"Embarqué"))</f>
        <v/>
      </c>
      <c r="J39" s="18" t="str">
        <f>IF($A39="","",Connaissements!$J40)</f>
        <v/>
      </c>
      <c r="K39" s="13" t="str">
        <f>IF($A39="","",COUNTIFS(Documents!$A$3:$A$1002,$A39))</f>
        <v/>
      </c>
      <c r="L39" s="13" t="str">
        <f>IF($A39="","",COUNTIFS(Documents!$A$3:$A$1002,$A39,Documents!$I$3:$I$1002,"Envoyé DHL"))</f>
        <v/>
      </c>
      <c r="M39" s="13" t="str">
        <f>IF($A39="","",COUNTIFS(Etapes!$A$5:$A$1504,$A39,Etapes!$F$5:$F$1504,"En retard"))</f>
        <v/>
      </c>
      <c r="N39" s="18" t="str">
        <f>IF($A39="","",SUMIFS(Couts_Transitaire!$I$3:$I$602,Couts_Transitaire!$B$3:$B$602,$A39))</f>
        <v/>
      </c>
      <c r="O39" s="13" t="str">
        <f>IF($A39="","",IF($M39&gt;0,"Étapes en retard",IF(Connaissements!$K40&lt;&gt;"OK","Contrôle BL à corriger",IF($H39=0,"Aucun conteneur saisi",IF($I39&lt;$H39,"Conteneurs non embarqués",IF($L39&lt;$K39,"Documents à finaliser",IF($N39&gt;0,"Coûts à payer","OK")))))))</f>
        <v/>
      </c>
    </row>
    <row r="40" spans="1:15" x14ac:dyDescent="0.35">
      <c r="A40" s="13" t="str">
        <f>IF(Connaissements!$A41="","",Connaissements!$A41)</f>
        <v/>
      </c>
      <c r="B40" s="13" t="str">
        <f>IF($A40="","",Connaissements!$B41)</f>
        <v/>
      </c>
      <c r="C40" s="13" t="str">
        <f>IF($A40="","",Connaissements!$G41)</f>
        <v/>
      </c>
      <c r="D40" s="13" t="str">
        <f>IF($A40="","",IFERROR(IF(INDEX(Bookings!$D$3:$D$202,MATCH($B40,Bookings!$A$3:$A$202,0))="","",INDEX(Bookings!$D$3:$D$202,MATCH($B40,Bookings!$A$3:$A$202,0))),""))</f>
        <v/>
      </c>
      <c r="E40" s="14" t="str">
        <f>IF($A40="","",IFERROR(IF(INDEX(Bookings!$G$3:$G$202,MATCH($B40,Bookings!$A$3:$A$202,0))="","",INDEX(Bookings!$G$3:$G$202,MATCH($B40,Bookings!$A$3:$A$202,0))),""))</f>
        <v/>
      </c>
      <c r="F40" s="14" t="str">
        <f>IF($A40="","",IFERROR(IF(INDEX(Bookings!$H$3:$H$202,MATCH($B40,Bookings!$A$3:$A$202,0))="","",INDEX(Bookings!$H$3:$H$202,MATCH($B40,Bookings!$A$3:$A$202,0))),""))</f>
        <v/>
      </c>
      <c r="G40" s="13" t="str">
        <f>IF($A40="","",IF(Connaissements!$F41="","",Connaissements!$F41))</f>
        <v/>
      </c>
      <c r="H40" s="13" t="str">
        <f>IF($A40="","",Connaissements!$H41)</f>
        <v/>
      </c>
      <c r="I40" s="13" t="str">
        <f>IF($A40="","",COUNTIFS(Conteneurs!$B$3:$B$1002,$A40,Conteneurs!$M$3:$M$1002,"Embarqué"))</f>
        <v/>
      </c>
      <c r="J40" s="18" t="str">
        <f>IF($A40="","",Connaissements!$J41)</f>
        <v/>
      </c>
      <c r="K40" s="13" t="str">
        <f>IF($A40="","",COUNTIFS(Documents!$A$3:$A$1002,$A40))</f>
        <v/>
      </c>
      <c r="L40" s="13" t="str">
        <f>IF($A40="","",COUNTIFS(Documents!$A$3:$A$1002,$A40,Documents!$I$3:$I$1002,"Envoyé DHL"))</f>
        <v/>
      </c>
      <c r="M40" s="13" t="str">
        <f>IF($A40="","",COUNTIFS(Etapes!$A$5:$A$1504,$A40,Etapes!$F$5:$F$1504,"En retard"))</f>
        <v/>
      </c>
      <c r="N40" s="18" t="str">
        <f>IF($A40="","",SUMIFS(Couts_Transitaire!$I$3:$I$602,Couts_Transitaire!$B$3:$B$602,$A40))</f>
        <v/>
      </c>
      <c r="O40" s="13" t="str">
        <f>IF($A40="","",IF($M40&gt;0,"Étapes en retard",IF(Connaissements!$K41&lt;&gt;"OK","Contrôle BL à corriger",IF($H40=0,"Aucun conteneur saisi",IF($I40&lt;$H40,"Conteneurs non embarqués",IF($L40&lt;$K40,"Documents à finaliser",IF($N40&gt;0,"Coûts à payer","OK")))))))</f>
        <v/>
      </c>
    </row>
    <row r="41" spans="1:15" x14ac:dyDescent="0.35">
      <c r="A41" s="13" t="str">
        <f>IF(Connaissements!$A42="","",Connaissements!$A42)</f>
        <v/>
      </c>
      <c r="B41" s="13" t="str">
        <f>IF($A41="","",Connaissements!$B42)</f>
        <v/>
      </c>
      <c r="C41" s="13" t="str">
        <f>IF($A41="","",Connaissements!$G42)</f>
        <v/>
      </c>
      <c r="D41" s="13" t="str">
        <f>IF($A41="","",IFERROR(IF(INDEX(Bookings!$D$3:$D$202,MATCH($B41,Bookings!$A$3:$A$202,0))="","",INDEX(Bookings!$D$3:$D$202,MATCH($B41,Bookings!$A$3:$A$202,0))),""))</f>
        <v/>
      </c>
      <c r="E41" s="14" t="str">
        <f>IF($A41="","",IFERROR(IF(INDEX(Bookings!$G$3:$G$202,MATCH($B41,Bookings!$A$3:$A$202,0))="","",INDEX(Bookings!$G$3:$G$202,MATCH($B41,Bookings!$A$3:$A$202,0))),""))</f>
        <v/>
      </c>
      <c r="F41" s="14" t="str">
        <f>IF($A41="","",IFERROR(IF(INDEX(Bookings!$H$3:$H$202,MATCH($B41,Bookings!$A$3:$A$202,0))="","",INDEX(Bookings!$H$3:$H$202,MATCH($B41,Bookings!$A$3:$A$202,0))),""))</f>
        <v/>
      </c>
      <c r="G41" s="13" t="str">
        <f>IF($A41="","",IF(Connaissements!$F42="","",Connaissements!$F42))</f>
        <v/>
      </c>
      <c r="H41" s="13" t="str">
        <f>IF($A41="","",Connaissements!$H42)</f>
        <v/>
      </c>
      <c r="I41" s="13" t="str">
        <f>IF($A41="","",COUNTIFS(Conteneurs!$B$3:$B$1002,$A41,Conteneurs!$M$3:$M$1002,"Embarqué"))</f>
        <v/>
      </c>
      <c r="J41" s="18" t="str">
        <f>IF($A41="","",Connaissements!$J42)</f>
        <v/>
      </c>
      <c r="K41" s="13" t="str">
        <f>IF($A41="","",COUNTIFS(Documents!$A$3:$A$1002,$A41))</f>
        <v/>
      </c>
      <c r="L41" s="13" t="str">
        <f>IF($A41="","",COUNTIFS(Documents!$A$3:$A$1002,$A41,Documents!$I$3:$I$1002,"Envoyé DHL"))</f>
        <v/>
      </c>
      <c r="M41" s="13" t="str">
        <f>IF($A41="","",COUNTIFS(Etapes!$A$5:$A$1504,$A41,Etapes!$F$5:$F$1504,"En retard"))</f>
        <v/>
      </c>
      <c r="N41" s="18" t="str">
        <f>IF($A41="","",SUMIFS(Couts_Transitaire!$I$3:$I$602,Couts_Transitaire!$B$3:$B$602,$A41))</f>
        <v/>
      </c>
      <c r="O41" s="13" t="str">
        <f>IF($A41="","",IF($M41&gt;0,"Étapes en retard",IF(Connaissements!$K42&lt;&gt;"OK","Contrôle BL à corriger",IF($H41=0,"Aucun conteneur saisi",IF($I41&lt;$H41,"Conteneurs non embarqués",IF($L41&lt;$K41,"Documents à finaliser",IF($N41&gt;0,"Coûts à payer","OK")))))))</f>
        <v/>
      </c>
    </row>
    <row r="42" spans="1:15" x14ac:dyDescent="0.35">
      <c r="A42" s="13" t="str">
        <f>IF(Connaissements!$A43="","",Connaissements!$A43)</f>
        <v/>
      </c>
      <c r="B42" s="13" t="str">
        <f>IF($A42="","",Connaissements!$B43)</f>
        <v/>
      </c>
      <c r="C42" s="13" t="str">
        <f>IF($A42="","",Connaissements!$G43)</f>
        <v/>
      </c>
      <c r="D42" s="13" t="str">
        <f>IF($A42="","",IFERROR(IF(INDEX(Bookings!$D$3:$D$202,MATCH($B42,Bookings!$A$3:$A$202,0))="","",INDEX(Bookings!$D$3:$D$202,MATCH($B42,Bookings!$A$3:$A$202,0))),""))</f>
        <v/>
      </c>
      <c r="E42" s="14" t="str">
        <f>IF($A42="","",IFERROR(IF(INDEX(Bookings!$G$3:$G$202,MATCH($B42,Bookings!$A$3:$A$202,0))="","",INDEX(Bookings!$G$3:$G$202,MATCH($B42,Bookings!$A$3:$A$202,0))),""))</f>
        <v/>
      </c>
      <c r="F42" s="14" t="str">
        <f>IF($A42="","",IFERROR(IF(INDEX(Bookings!$H$3:$H$202,MATCH($B42,Bookings!$A$3:$A$202,0))="","",INDEX(Bookings!$H$3:$H$202,MATCH($B42,Bookings!$A$3:$A$202,0))),""))</f>
        <v/>
      </c>
      <c r="G42" s="13" t="str">
        <f>IF($A42="","",IF(Connaissements!$F43="","",Connaissements!$F43))</f>
        <v/>
      </c>
      <c r="H42" s="13" t="str">
        <f>IF($A42="","",Connaissements!$H43)</f>
        <v/>
      </c>
      <c r="I42" s="13" t="str">
        <f>IF($A42="","",COUNTIFS(Conteneurs!$B$3:$B$1002,$A42,Conteneurs!$M$3:$M$1002,"Embarqué"))</f>
        <v/>
      </c>
      <c r="J42" s="18" t="str">
        <f>IF($A42="","",Connaissements!$J43)</f>
        <v/>
      </c>
      <c r="K42" s="13" t="str">
        <f>IF($A42="","",COUNTIFS(Documents!$A$3:$A$1002,$A42))</f>
        <v/>
      </c>
      <c r="L42" s="13" t="str">
        <f>IF($A42="","",COUNTIFS(Documents!$A$3:$A$1002,$A42,Documents!$I$3:$I$1002,"Envoyé DHL"))</f>
        <v/>
      </c>
      <c r="M42" s="13" t="str">
        <f>IF($A42="","",COUNTIFS(Etapes!$A$5:$A$1504,$A42,Etapes!$F$5:$F$1504,"En retard"))</f>
        <v/>
      </c>
      <c r="N42" s="18" t="str">
        <f>IF($A42="","",SUMIFS(Couts_Transitaire!$I$3:$I$602,Couts_Transitaire!$B$3:$B$602,$A42))</f>
        <v/>
      </c>
      <c r="O42" s="13" t="str">
        <f>IF($A42="","",IF($M42&gt;0,"Étapes en retard",IF(Connaissements!$K43&lt;&gt;"OK","Contrôle BL à corriger",IF($H42=0,"Aucun conteneur saisi",IF($I42&lt;$H42,"Conteneurs non embarqués",IF($L42&lt;$K42,"Documents à finaliser",IF($N42&gt;0,"Coûts à payer","OK")))))))</f>
        <v/>
      </c>
    </row>
    <row r="43" spans="1:15" x14ac:dyDescent="0.35">
      <c r="A43" s="13" t="str">
        <f>IF(Connaissements!$A44="","",Connaissements!$A44)</f>
        <v/>
      </c>
      <c r="B43" s="13" t="str">
        <f>IF($A43="","",Connaissements!$B44)</f>
        <v/>
      </c>
      <c r="C43" s="13" t="str">
        <f>IF($A43="","",Connaissements!$G44)</f>
        <v/>
      </c>
      <c r="D43" s="13" t="str">
        <f>IF($A43="","",IFERROR(IF(INDEX(Bookings!$D$3:$D$202,MATCH($B43,Bookings!$A$3:$A$202,0))="","",INDEX(Bookings!$D$3:$D$202,MATCH($B43,Bookings!$A$3:$A$202,0))),""))</f>
        <v/>
      </c>
      <c r="E43" s="14" t="str">
        <f>IF($A43="","",IFERROR(IF(INDEX(Bookings!$G$3:$G$202,MATCH($B43,Bookings!$A$3:$A$202,0))="","",INDEX(Bookings!$G$3:$G$202,MATCH($B43,Bookings!$A$3:$A$202,0))),""))</f>
        <v/>
      </c>
      <c r="F43" s="14" t="str">
        <f>IF($A43="","",IFERROR(IF(INDEX(Bookings!$H$3:$H$202,MATCH($B43,Bookings!$A$3:$A$202,0))="","",INDEX(Bookings!$H$3:$H$202,MATCH($B43,Bookings!$A$3:$A$202,0))),""))</f>
        <v/>
      </c>
      <c r="G43" s="13" t="str">
        <f>IF($A43="","",IF(Connaissements!$F44="","",Connaissements!$F44))</f>
        <v/>
      </c>
      <c r="H43" s="13" t="str">
        <f>IF($A43="","",Connaissements!$H44)</f>
        <v/>
      </c>
      <c r="I43" s="13" t="str">
        <f>IF($A43="","",COUNTIFS(Conteneurs!$B$3:$B$1002,$A43,Conteneurs!$M$3:$M$1002,"Embarqué"))</f>
        <v/>
      </c>
      <c r="J43" s="18" t="str">
        <f>IF($A43="","",Connaissements!$J44)</f>
        <v/>
      </c>
      <c r="K43" s="13" t="str">
        <f>IF($A43="","",COUNTIFS(Documents!$A$3:$A$1002,$A43))</f>
        <v/>
      </c>
      <c r="L43" s="13" t="str">
        <f>IF($A43="","",COUNTIFS(Documents!$A$3:$A$1002,$A43,Documents!$I$3:$I$1002,"Envoyé DHL"))</f>
        <v/>
      </c>
      <c r="M43" s="13" t="str">
        <f>IF($A43="","",COUNTIFS(Etapes!$A$5:$A$1504,$A43,Etapes!$F$5:$F$1504,"En retard"))</f>
        <v/>
      </c>
      <c r="N43" s="18" t="str">
        <f>IF($A43="","",SUMIFS(Couts_Transitaire!$I$3:$I$602,Couts_Transitaire!$B$3:$B$602,$A43))</f>
        <v/>
      </c>
      <c r="O43" s="13" t="str">
        <f>IF($A43="","",IF($M43&gt;0,"Étapes en retard",IF(Connaissements!$K44&lt;&gt;"OK","Contrôle BL à corriger",IF($H43=0,"Aucun conteneur saisi",IF($I43&lt;$H43,"Conteneurs non embarqués",IF($L43&lt;$K43,"Documents à finaliser",IF($N43&gt;0,"Coûts à payer","OK")))))))</f>
        <v/>
      </c>
    </row>
    <row r="44" spans="1:15" x14ac:dyDescent="0.35">
      <c r="A44" s="13" t="str">
        <f>IF(Connaissements!$A45="","",Connaissements!$A45)</f>
        <v/>
      </c>
      <c r="B44" s="13" t="str">
        <f>IF($A44="","",Connaissements!$B45)</f>
        <v/>
      </c>
      <c r="C44" s="13" t="str">
        <f>IF($A44="","",Connaissements!$G45)</f>
        <v/>
      </c>
      <c r="D44" s="13" t="str">
        <f>IF($A44="","",IFERROR(IF(INDEX(Bookings!$D$3:$D$202,MATCH($B44,Bookings!$A$3:$A$202,0))="","",INDEX(Bookings!$D$3:$D$202,MATCH($B44,Bookings!$A$3:$A$202,0))),""))</f>
        <v/>
      </c>
      <c r="E44" s="14" t="str">
        <f>IF($A44="","",IFERROR(IF(INDEX(Bookings!$G$3:$G$202,MATCH($B44,Bookings!$A$3:$A$202,0))="","",INDEX(Bookings!$G$3:$G$202,MATCH($B44,Bookings!$A$3:$A$202,0))),""))</f>
        <v/>
      </c>
      <c r="F44" s="14" t="str">
        <f>IF($A44="","",IFERROR(IF(INDEX(Bookings!$H$3:$H$202,MATCH($B44,Bookings!$A$3:$A$202,0))="","",INDEX(Bookings!$H$3:$H$202,MATCH($B44,Bookings!$A$3:$A$202,0))),""))</f>
        <v/>
      </c>
      <c r="G44" s="13" t="str">
        <f>IF($A44="","",IF(Connaissements!$F45="","",Connaissements!$F45))</f>
        <v/>
      </c>
      <c r="H44" s="13" t="str">
        <f>IF($A44="","",Connaissements!$H45)</f>
        <v/>
      </c>
      <c r="I44" s="13" t="str">
        <f>IF($A44="","",COUNTIFS(Conteneurs!$B$3:$B$1002,$A44,Conteneurs!$M$3:$M$1002,"Embarqué"))</f>
        <v/>
      </c>
      <c r="J44" s="18" t="str">
        <f>IF($A44="","",Connaissements!$J45)</f>
        <v/>
      </c>
      <c r="K44" s="13" t="str">
        <f>IF($A44="","",COUNTIFS(Documents!$A$3:$A$1002,$A44))</f>
        <v/>
      </c>
      <c r="L44" s="13" t="str">
        <f>IF($A44="","",COUNTIFS(Documents!$A$3:$A$1002,$A44,Documents!$I$3:$I$1002,"Envoyé DHL"))</f>
        <v/>
      </c>
      <c r="M44" s="13" t="str">
        <f>IF($A44="","",COUNTIFS(Etapes!$A$5:$A$1504,$A44,Etapes!$F$5:$F$1504,"En retard"))</f>
        <v/>
      </c>
      <c r="N44" s="18" t="str">
        <f>IF($A44="","",SUMIFS(Couts_Transitaire!$I$3:$I$602,Couts_Transitaire!$B$3:$B$602,$A44))</f>
        <v/>
      </c>
      <c r="O44" s="13" t="str">
        <f>IF($A44="","",IF($M44&gt;0,"Étapes en retard",IF(Connaissements!$K45&lt;&gt;"OK","Contrôle BL à corriger",IF($H44=0,"Aucun conteneur saisi",IF($I44&lt;$H44,"Conteneurs non embarqués",IF($L44&lt;$K44,"Documents à finaliser",IF($N44&gt;0,"Coûts à payer","OK")))))))</f>
        <v/>
      </c>
    </row>
    <row r="45" spans="1:15" x14ac:dyDescent="0.35">
      <c r="A45" s="13" t="str">
        <f>IF(Connaissements!$A46="","",Connaissements!$A46)</f>
        <v/>
      </c>
      <c r="B45" s="13" t="str">
        <f>IF($A45="","",Connaissements!$B46)</f>
        <v/>
      </c>
      <c r="C45" s="13" t="str">
        <f>IF($A45="","",Connaissements!$G46)</f>
        <v/>
      </c>
      <c r="D45" s="13" t="str">
        <f>IF($A45="","",IFERROR(IF(INDEX(Bookings!$D$3:$D$202,MATCH($B45,Bookings!$A$3:$A$202,0))="","",INDEX(Bookings!$D$3:$D$202,MATCH($B45,Bookings!$A$3:$A$202,0))),""))</f>
        <v/>
      </c>
      <c r="E45" s="14" t="str">
        <f>IF($A45="","",IFERROR(IF(INDEX(Bookings!$G$3:$G$202,MATCH($B45,Bookings!$A$3:$A$202,0))="","",INDEX(Bookings!$G$3:$G$202,MATCH($B45,Bookings!$A$3:$A$202,0))),""))</f>
        <v/>
      </c>
      <c r="F45" s="14" t="str">
        <f>IF($A45="","",IFERROR(IF(INDEX(Bookings!$H$3:$H$202,MATCH($B45,Bookings!$A$3:$A$202,0))="","",INDEX(Bookings!$H$3:$H$202,MATCH($B45,Bookings!$A$3:$A$202,0))),""))</f>
        <v/>
      </c>
      <c r="G45" s="13" t="str">
        <f>IF($A45="","",IF(Connaissements!$F46="","",Connaissements!$F46))</f>
        <v/>
      </c>
      <c r="H45" s="13" t="str">
        <f>IF($A45="","",Connaissements!$H46)</f>
        <v/>
      </c>
      <c r="I45" s="13" t="str">
        <f>IF($A45="","",COUNTIFS(Conteneurs!$B$3:$B$1002,$A45,Conteneurs!$M$3:$M$1002,"Embarqué"))</f>
        <v/>
      </c>
      <c r="J45" s="18" t="str">
        <f>IF($A45="","",Connaissements!$J46)</f>
        <v/>
      </c>
      <c r="K45" s="13" t="str">
        <f>IF($A45="","",COUNTIFS(Documents!$A$3:$A$1002,$A45))</f>
        <v/>
      </c>
      <c r="L45" s="13" t="str">
        <f>IF($A45="","",COUNTIFS(Documents!$A$3:$A$1002,$A45,Documents!$I$3:$I$1002,"Envoyé DHL"))</f>
        <v/>
      </c>
      <c r="M45" s="13" t="str">
        <f>IF($A45="","",COUNTIFS(Etapes!$A$5:$A$1504,$A45,Etapes!$F$5:$F$1504,"En retard"))</f>
        <v/>
      </c>
      <c r="N45" s="18" t="str">
        <f>IF($A45="","",SUMIFS(Couts_Transitaire!$I$3:$I$602,Couts_Transitaire!$B$3:$B$602,$A45))</f>
        <v/>
      </c>
      <c r="O45" s="13" t="str">
        <f>IF($A45="","",IF($M45&gt;0,"Étapes en retard",IF(Connaissements!$K46&lt;&gt;"OK","Contrôle BL à corriger",IF($H45=0,"Aucun conteneur saisi",IF($I45&lt;$H45,"Conteneurs non embarqués",IF($L45&lt;$K45,"Documents à finaliser",IF($N45&gt;0,"Coûts à payer","OK")))))))</f>
        <v/>
      </c>
    </row>
    <row r="46" spans="1:15" x14ac:dyDescent="0.35">
      <c r="A46" s="13" t="str">
        <f>IF(Connaissements!$A47="","",Connaissements!$A47)</f>
        <v/>
      </c>
      <c r="B46" s="13" t="str">
        <f>IF($A46="","",Connaissements!$B47)</f>
        <v/>
      </c>
      <c r="C46" s="13" t="str">
        <f>IF($A46="","",Connaissements!$G47)</f>
        <v/>
      </c>
      <c r="D46" s="13" t="str">
        <f>IF($A46="","",IFERROR(IF(INDEX(Bookings!$D$3:$D$202,MATCH($B46,Bookings!$A$3:$A$202,0))="","",INDEX(Bookings!$D$3:$D$202,MATCH($B46,Bookings!$A$3:$A$202,0))),""))</f>
        <v/>
      </c>
      <c r="E46" s="14" t="str">
        <f>IF($A46="","",IFERROR(IF(INDEX(Bookings!$G$3:$G$202,MATCH($B46,Bookings!$A$3:$A$202,0))="","",INDEX(Bookings!$G$3:$G$202,MATCH($B46,Bookings!$A$3:$A$202,0))),""))</f>
        <v/>
      </c>
      <c r="F46" s="14" t="str">
        <f>IF($A46="","",IFERROR(IF(INDEX(Bookings!$H$3:$H$202,MATCH($B46,Bookings!$A$3:$A$202,0))="","",INDEX(Bookings!$H$3:$H$202,MATCH($B46,Bookings!$A$3:$A$202,0))),""))</f>
        <v/>
      </c>
      <c r="G46" s="13" t="str">
        <f>IF($A46="","",IF(Connaissements!$F47="","",Connaissements!$F47))</f>
        <v/>
      </c>
      <c r="H46" s="13" t="str">
        <f>IF($A46="","",Connaissements!$H47)</f>
        <v/>
      </c>
      <c r="I46" s="13" t="str">
        <f>IF($A46="","",COUNTIFS(Conteneurs!$B$3:$B$1002,$A46,Conteneurs!$M$3:$M$1002,"Embarqué"))</f>
        <v/>
      </c>
      <c r="J46" s="18" t="str">
        <f>IF($A46="","",Connaissements!$J47)</f>
        <v/>
      </c>
      <c r="K46" s="13" t="str">
        <f>IF($A46="","",COUNTIFS(Documents!$A$3:$A$1002,$A46))</f>
        <v/>
      </c>
      <c r="L46" s="13" t="str">
        <f>IF($A46="","",COUNTIFS(Documents!$A$3:$A$1002,$A46,Documents!$I$3:$I$1002,"Envoyé DHL"))</f>
        <v/>
      </c>
      <c r="M46" s="13" t="str">
        <f>IF($A46="","",COUNTIFS(Etapes!$A$5:$A$1504,$A46,Etapes!$F$5:$F$1504,"En retard"))</f>
        <v/>
      </c>
      <c r="N46" s="18" t="str">
        <f>IF($A46="","",SUMIFS(Couts_Transitaire!$I$3:$I$602,Couts_Transitaire!$B$3:$B$602,$A46))</f>
        <v/>
      </c>
      <c r="O46" s="13" t="str">
        <f>IF($A46="","",IF($M46&gt;0,"Étapes en retard",IF(Connaissements!$K47&lt;&gt;"OK","Contrôle BL à corriger",IF($H46=0,"Aucun conteneur saisi",IF($I46&lt;$H46,"Conteneurs non embarqués",IF($L46&lt;$K46,"Documents à finaliser",IF($N46&gt;0,"Coûts à payer","OK")))))))</f>
        <v/>
      </c>
    </row>
    <row r="47" spans="1:15" x14ac:dyDescent="0.35">
      <c r="A47" s="13" t="str">
        <f>IF(Connaissements!$A48="","",Connaissements!$A48)</f>
        <v/>
      </c>
      <c r="B47" s="13" t="str">
        <f>IF($A47="","",Connaissements!$B48)</f>
        <v/>
      </c>
      <c r="C47" s="13" t="str">
        <f>IF($A47="","",Connaissements!$G48)</f>
        <v/>
      </c>
      <c r="D47" s="13" t="str">
        <f>IF($A47="","",IFERROR(IF(INDEX(Bookings!$D$3:$D$202,MATCH($B47,Bookings!$A$3:$A$202,0))="","",INDEX(Bookings!$D$3:$D$202,MATCH($B47,Bookings!$A$3:$A$202,0))),""))</f>
        <v/>
      </c>
      <c r="E47" s="14" t="str">
        <f>IF($A47="","",IFERROR(IF(INDEX(Bookings!$G$3:$G$202,MATCH($B47,Bookings!$A$3:$A$202,0))="","",INDEX(Bookings!$G$3:$G$202,MATCH($B47,Bookings!$A$3:$A$202,0))),""))</f>
        <v/>
      </c>
      <c r="F47" s="14" t="str">
        <f>IF($A47="","",IFERROR(IF(INDEX(Bookings!$H$3:$H$202,MATCH($B47,Bookings!$A$3:$A$202,0))="","",INDEX(Bookings!$H$3:$H$202,MATCH($B47,Bookings!$A$3:$A$202,0))),""))</f>
        <v/>
      </c>
      <c r="G47" s="13" t="str">
        <f>IF($A47="","",IF(Connaissements!$F48="","",Connaissements!$F48))</f>
        <v/>
      </c>
      <c r="H47" s="13" t="str">
        <f>IF($A47="","",Connaissements!$H48)</f>
        <v/>
      </c>
      <c r="I47" s="13" t="str">
        <f>IF($A47="","",COUNTIFS(Conteneurs!$B$3:$B$1002,$A47,Conteneurs!$M$3:$M$1002,"Embarqué"))</f>
        <v/>
      </c>
      <c r="J47" s="18" t="str">
        <f>IF($A47="","",Connaissements!$J48)</f>
        <v/>
      </c>
      <c r="K47" s="13" t="str">
        <f>IF($A47="","",COUNTIFS(Documents!$A$3:$A$1002,$A47))</f>
        <v/>
      </c>
      <c r="L47" s="13" t="str">
        <f>IF($A47="","",COUNTIFS(Documents!$A$3:$A$1002,$A47,Documents!$I$3:$I$1002,"Envoyé DHL"))</f>
        <v/>
      </c>
      <c r="M47" s="13" t="str">
        <f>IF($A47="","",COUNTIFS(Etapes!$A$5:$A$1504,$A47,Etapes!$F$5:$F$1504,"En retard"))</f>
        <v/>
      </c>
      <c r="N47" s="18" t="str">
        <f>IF($A47="","",SUMIFS(Couts_Transitaire!$I$3:$I$602,Couts_Transitaire!$B$3:$B$602,$A47))</f>
        <v/>
      </c>
      <c r="O47" s="13" t="str">
        <f>IF($A47="","",IF($M47&gt;0,"Étapes en retard",IF(Connaissements!$K48&lt;&gt;"OK","Contrôle BL à corriger",IF($H47=0,"Aucun conteneur saisi",IF($I47&lt;$H47,"Conteneurs non embarqués",IF($L47&lt;$K47,"Documents à finaliser",IF($N47&gt;0,"Coûts à payer","OK")))))))</f>
        <v/>
      </c>
    </row>
    <row r="48" spans="1:15" x14ac:dyDescent="0.35">
      <c r="A48" s="13" t="str">
        <f>IF(Connaissements!$A49="","",Connaissements!$A49)</f>
        <v/>
      </c>
      <c r="B48" s="13" t="str">
        <f>IF($A48="","",Connaissements!$B49)</f>
        <v/>
      </c>
      <c r="C48" s="13" t="str">
        <f>IF($A48="","",Connaissements!$G49)</f>
        <v/>
      </c>
      <c r="D48" s="13" t="str">
        <f>IF($A48="","",IFERROR(IF(INDEX(Bookings!$D$3:$D$202,MATCH($B48,Bookings!$A$3:$A$202,0))="","",INDEX(Bookings!$D$3:$D$202,MATCH($B48,Bookings!$A$3:$A$202,0))),""))</f>
        <v/>
      </c>
      <c r="E48" s="14" t="str">
        <f>IF($A48="","",IFERROR(IF(INDEX(Bookings!$G$3:$G$202,MATCH($B48,Bookings!$A$3:$A$202,0))="","",INDEX(Bookings!$G$3:$G$202,MATCH($B48,Bookings!$A$3:$A$202,0))),""))</f>
        <v/>
      </c>
      <c r="F48" s="14" t="str">
        <f>IF($A48="","",IFERROR(IF(INDEX(Bookings!$H$3:$H$202,MATCH($B48,Bookings!$A$3:$A$202,0))="","",INDEX(Bookings!$H$3:$H$202,MATCH($B48,Bookings!$A$3:$A$202,0))),""))</f>
        <v/>
      </c>
      <c r="G48" s="13" t="str">
        <f>IF($A48="","",IF(Connaissements!$F49="","",Connaissements!$F49))</f>
        <v/>
      </c>
      <c r="H48" s="13" t="str">
        <f>IF($A48="","",Connaissements!$H49)</f>
        <v/>
      </c>
      <c r="I48" s="13" t="str">
        <f>IF($A48="","",COUNTIFS(Conteneurs!$B$3:$B$1002,$A48,Conteneurs!$M$3:$M$1002,"Embarqué"))</f>
        <v/>
      </c>
      <c r="J48" s="18" t="str">
        <f>IF($A48="","",Connaissements!$J49)</f>
        <v/>
      </c>
      <c r="K48" s="13" t="str">
        <f>IF($A48="","",COUNTIFS(Documents!$A$3:$A$1002,$A48))</f>
        <v/>
      </c>
      <c r="L48" s="13" t="str">
        <f>IF($A48="","",COUNTIFS(Documents!$A$3:$A$1002,$A48,Documents!$I$3:$I$1002,"Envoyé DHL"))</f>
        <v/>
      </c>
      <c r="M48" s="13" t="str">
        <f>IF($A48="","",COUNTIFS(Etapes!$A$5:$A$1504,$A48,Etapes!$F$5:$F$1504,"En retard"))</f>
        <v/>
      </c>
      <c r="N48" s="18" t="str">
        <f>IF($A48="","",SUMIFS(Couts_Transitaire!$I$3:$I$602,Couts_Transitaire!$B$3:$B$602,$A48))</f>
        <v/>
      </c>
      <c r="O48" s="13" t="str">
        <f>IF($A48="","",IF($M48&gt;0,"Étapes en retard",IF(Connaissements!$K49&lt;&gt;"OK","Contrôle BL à corriger",IF($H48=0,"Aucun conteneur saisi",IF($I48&lt;$H48,"Conteneurs non embarqués",IF($L48&lt;$K48,"Documents à finaliser",IF($N48&gt;0,"Coûts à payer","OK")))))))</f>
        <v/>
      </c>
    </row>
    <row r="49" spans="1:15" x14ac:dyDescent="0.35">
      <c r="A49" s="13" t="str">
        <f>IF(Connaissements!$A50="","",Connaissements!$A50)</f>
        <v/>
      </c>
      <c r="B49" s="13" t="str">
        <f>IF($A49="","",Connaissements!$B50)</f>
        <v/>
      </c>
      <c r="C49" s="13" t="str">
        <f>IF($A49="","",Connaissements!$G50)</f>
        <v/>
      </c>
      <c r="D49" s="13" t="str">
        <f>IF($A49="","",IFERROR(IF(INDEX(Bookings!$D$3:$D$202,MATCH($B49,Bookings!$A$3:$A$202,0))="","",INDEX(Bookings!$D$3:$D$202,MATCH($B49,Bookings!$A$3:$A$202,0))),""))</f>
        <v/>
      </c>
      <c r="E49" s="14" t="str">
        <f>IF($A49="","",IFERROR(IF(INDEX(Bookings!$G$3:$G$202,MATCH($B49,Bookings!$A$3:$A$202,0))="","",INDEX(Bookings!$G$3:$G$202,MATCH($B49,Bookings!$A$3:$A$202,0))),""))</f>
        <v/>
      </c>
      <c r="F49" s="14" t="str">
        <f>IF($A49="","",IFERROR(IF(INDEX(Bookings!$H$3:$H$202,MATCH($B49,Bookings!$A$3:$A$202,0))="","",INDEX(Bookings!$H$3:$H$202,MATCH($B49,Bookings!$A$3:$A$202,0))),""))</f>
        <v/>
      </c>
      <c r="G49" s="13" t="str">
        <f>IF($A49="","",IF(Connaissements!$F50="","",Connaissements!$F50))</f>
        <v/>
      </c>
      <c r="H49" s="13" t="str">
        <f>IF($A49="","",Connaissements!$H50)</f>
        <v/>
      </c>
      <c r="I49" s="13" t="str">
        <f>IF($A49="","",COUNTIFS(Conteneurs!$B$3:$B$1002,$A49,Conteneurs!$M$3:$M$1002,"Embarqué"))</f>
        <v/>
      </c>
      <c r="J49" s="18" t="str">
        <f>IF($A49="","",Connaissements!$J50)</f>
        <v/>
      </c>
      <c r="K49" s="13" t="str">
        <f>IF($A49="","",COUNTIFS(Documents!$A$3:$A$1002,$A49))</f>
        <v/>
      </c>
      <c r="L49" s="13" t="str">
        <f>IF($A49="","",COUNTIFS(Documents!$A$3:$A$1002,$A49,Documents!$I$3:$I$1002,"Envoyé DHL"))</f>
        <v/>
      </c>
      <c r="M49" s="13" t="str">
        <f>IF($A49="","",COUNTIFS(Etapes!$A$5:$A$1504,$A49,Etapes!$F$5:$F$1504,"En retard"))</f>
        <v/>
      </c>
      <c r="N49" s="18" t="str">
        <f>IF($A49="","",SUMIFS(Couts_Transitaire!$I$3:$I$602,Couts_Transitaire!$B$3:$B$602,$A49))</f>
        <v/>
      </c>
      <c r="O49" s="13" t="str">
        <f>IF($A49="","",IF($M49&gt;0,"Étapes en retard",IF(Connaissements!$K50&lt;&gt;"OK","Contrôle BL à corriger",IF($H49=0,"Aucun conteneur saisi",IF($I49&lt;$H49,"Conteneurs non embarqués",IF($L49&lt;$K49,"Documents à finaliser",IF($N49&gt;0,"Coûts à payer","OK")))))))</f>
        <v/>
      </c>
    </row>
    <row r="50" spans="1:15" x14ac:dyDescent="0.35">
      <c r="A50" s="13" t="str">
        <f>IF(Connaissements!$A51="","",Connaissements!$A51)</f>
        <v/>
      </c>
      <c r="B50" s="13" t="str">
        <f>IF($A50="","",Connaissements!$B51)</f>
        <v/>
      </c>
      <c r="C50" s="13" t="str">
        <f>IF($A50="","",Connaissements!$G51)</f>
        <v/>
      </c>
      <c r="D50" s="13" t="str">
        <f>IF($A50="","",IFERROR(IF(INDEX(Bookings!$D$3:$D$202,MATCH($B50,Bookings!$A$3:$A$202,0))="","",INDEX(Bookings!$D$3:$D$202,MATCH($B50,Bookings!$A$3:$A$202,0))),""))</f>
        <v/>
      </c>
      <c r="E50" s="14" t="str">
        <f>IF($A50="","",IFERROR(IF(INDEX(Bookings!$G$3:$G$202,MATCH($B50,Bookings!$A$3:$A$202,0))="","",INDEX(Bookings!$G$3:$G$202,MATCH($B50,Bookings!$A$3:$A$202,0))),""))</f>
        <v/>
      </c>
      <c r="F50" s="14" t="str">
        <f>IF($A50="","",IFERROR(IF(INDEX(Bookings!$H$3:$H$202,MATCH($B50,Bookings!$A$3:$A$202,0))="","",INDEX(Bookings!$H$3:$H$202,MATCH($B50,Bookings!$A$3:$A$202,0))),""))</f>
        <v/>
      </c>
      <c r="G50" s="13" t="str">
        <f>IF($A50="","",IF(Connaissements!$F51="","",Connaissements!$F51))</f>
        <v/>
      </c>
      <c r="H50" s="13" t="str">
        <f>IF($A50="","",Connaissements!$H51)</f>
        <v/>
      </c>
      <c r="I50" s="13" t="str">
        <f>IF($A50="","",COUNTIFS(Conteneurs!$B$3:$B$1002,$A50,Conteneurs!$M$3:$M$1002,"Embarqué"))</f>
        <v/>
      </c>
      <c r="J50" s="18" t="str">
        <f>IF($A50="","",Connaissements!$J51)</f>
        <v/>
      </c>
      <c r="K50" s="13" t="str">
        <f>IF($A50="","",COUNTIFS(Documents!$A$3:$A$1002,$A50))</f>
        <v/>
      </c>
      <c r="L50" s="13" t="str">
        <f>IF($A50="","",COUNTIFS(Documents!$A$3:$A$1002,$A50,Documents!$I$3:$I$1002,"Envoyé DHL"))</f>
        <v/>
      </c>
      <c r="M50" s="13" t="str">
        <f>IF($A50="","",COUNTIFS(Etapes!$A$5:$A$1504,$A50,Etapes!$F$5:$F$1504,"En retard"))</f>
        <v/>
      </c>
      <c r="N50" s="18" t="str">
        <f>IF($A50="","",SUMIFS(Couts_Transitaire!$I$3:$I$602,Couts_Transitaire!$B$3:$B$602,$A50))</f>
        <v/>
      </c>
      <c r="O50" s="13" t="str">
        <f>IF($A50="","",IF($M50&gt;0,"Étapes en retard",IF(Connaissements!$K51&lt;&gt;"OK","Contrôle BL à corriger",IF($H50=0,"Aucun conteneur saisi",IF($I50&lt;$H50,"Conteneurs non embarqués",IF($L50&lt;$K50,"Documents à finaliser",IF($N50&gt;0,"Coûts à payer","OK")))))))</f>
        <v/>
      </c>
    </row>
    <row r="51" spans="1:15" x14ac:dyDescent="0.35">
      <c r="A51" s="13" t="str">
        <f>IF(Connaissements!$A52="","",Connaissements!$A52)</f>
        <v/>
      </c>
      <c r="B51" s="13" t="str">
        <f>IF($A51="","",Connaissements!$B52)</f>
        <v/>
      </c>
      <c r="C51" s="13" t="str">
        <f>IF($A51="","",Connaissements!$G52)</f>
        <v/>
      </c>
      <c r="D51" s="13" t="str">
        <f>IF($A51="","",IFERROR(IF(INDEX(Bookings!$D$3:$D$202,MATCH($B51,Bookings!$A$3:$A$202,0))="","",INDEX(Bookings!$D$3:$D$202,MATCH($B51,Bookings!$A$3:$A$202,0))),""))</f>
        <v/>
      </c>
      <c r="E51" s="14" t="str">
        <f>IF($A51="","",IFERROR(IF(INDEX(Bookings!$G$3:$G$202,MATCH($B51,Bookings!$A$3:$A$202,0))="","",INDEX(Bookings!$G$3:$G$202,MATCH($B51,Bookings!$A$3:$A$202,0))),""))</f>
        <v/>
      </c>
      <c r="F51" s="14" t="str">
        <f>IF($A51="","",IFERROR(IF(INDEX(Bookings!$H$3:$H$202,MATCH($B51,Bookings!$A$3:$A$202,0))="","",INDEX(Bookings!$H$3:$H$202,MATCH($B51,Bookings!$A$3:$A$202,0))),""))</f>
        <v/>
      </c>
      <c r="G51" s="13" t="str">
        <f>IF($A51="","",IF(Connaissements!$F52="","",Connaissements!$F52))</f>
        <v/>
      </c>
      <c r="H51" s="13" t="str">
        <f>IF($A51="","",Connaissements!$H52)</f>
        <v/>
      </c>
      <c r="I51" s="13" t="str">
        <f>IF($A51="","",COUNTIFS(Conteneurs!$B$3:$B$1002,$A51,Conteneurs!$M$3:$M$1002,"Embarqué"))</f>
        <v/>
      </c>
      <c r="J51" s="18" t="str">
        <f>IF($A51="","",Connaissements!$J52)</f>
        <v/>
      </c>
      <c r="K51" s="13" t="str">
        <f>IF($A51="","",COUNTIFS(Documents!$A$3:$A$1002,$A51))</f>
        <v/>
      </c>
      <c r="L51" s="13" t="str">
        <f>IF($A51="","",COUNTIFS(Documents!$A$3:$A$1002,$A51,Documents!$I$3:$I$1002,"Envoyé DHL"))</f>
        <v/>
      </c>
      <c r="M51" s="13" t="str">
        <f>IF($A51="","",COUNTIFS(Etapes!$A$5:$A$1504,$A51,Etapes!$F$5:$F$1504,"En retard"))</f>
        <v/>
      </c>
      <c r="N51" s="18" t="str">
        <f>IF($A51="","",SUMIFS(Couts_Transitaire!$I$3:$I$602,Couts_Transitaire!$B$3:$B$602,$A51))</f>
        <v/>
      </c>
      <c r="O51" s="13" t="str">
        <f>IF($A51="","",IF($M51&gt;0,"Étapes en retard",IF(Connaissements!$K52&lt;&gt;"OK","Contrôle BL à corriger",IF($H51=0,"Aucun conteneur saisi",IF($I51&lt;$H51,"Conteneurs non embarqués",IF($L51&lt;$K51,"Documents à finaliser",IF($N51&gt;0,"Coûts à payer","OK")))))))</f>
        <v/>
      </c>
    </row>
    <row r="52" spans="1:15" x14ac:dyDescent="0.35">
      <c r="A52" s="13" t="str">
        <f>IF(Connaissements!$A53="","",Connaissements!$A53)</f>
        <v/>
      </c>
      <c r="B52" s="13" t="str">
        <f>IF($A52="","",Connaissements!$B53)</f>
        <v/>
      </c>
      <c r="C52" s="13" t="str">
        <f>IF($A52="","",Connaissements!$G53)</f>
        <v/>
      </c>
      <c r="D52" s="13" t="str">
        <f>IF($A52="","",IFERROR(IF(INDEX(Bookings!$D$3:$D$202,MATCH($B52,Bookings!$A$3:$A$202,0))="","",INDEX(Bookings!$D$3:$D$202,MATCH($B52,Bookings!$A$3:$A$202,0))),""))</f>
        <v/>
      </c>
      <c r="E52" s="14" t="str">
        <f>IF($A52="","",IFERROR(IF(INDEX(Bookings!$G$3:$G$202,MATCH($B52,Bookings!$A$3:$A$202,0))="","",INDEX(Bookings!$G$3:$G$202,MATCH($B52,Bookings!$A$3:$A$202,0))),""))</f>
        <v/>
      </c>
      <c r="F52" s="14" t="str">
        <f>IF($A52="","",IFERROR(IF(INDEX(Bookings!$H$3:$H$202,MATCH($B52,Bookings!$A$3:$A$202,0))="","",INDEX(Bookings!$H$3:$H$202,MATCH($B52,Bookings!$A$3:$A$202,0))),""))</f>
        <v/>
      </c>
      <c r="G52" s="13" t="str">
        <f>IF($A52="","",IF(Connaissements!$F53="","",Connaissements!$F53))</f>
        <v/>
      </c>
      <c r="H52" s="13" t="str">
        <f>IF($A52="","",Connaissements!$H53)</f>
        <v/>
      </c>
      <c r="I52" s="13" t="str">
        <f>IF($A52="","",COUNTIFS(Conteneurs!$B$3:$B$1002,$A52,Conteneurs!$M$3:$M$1002,"Embarqué"))</f>
        <v/>
      </c>
      <c r="J52" s="18" t="str">
        <f>IF($A52="","",Connaissements!$J53)</f>
        <v/>
      </c>
      <c r="K52" s="13" t="str">
        <f>IF($A52="","",COUNTIFS(Documents!$A$3:$A$1002,$A52))</f>
        <v/>
      </c>
      <c r="L52" s="13" t="str">
        <f>IF($A52="","",COUNTIFS(Documents!$A$3:$A$1002,$A52,Documents!$I$3:$I$1002,"Envoyé DHL"))</f>
        <v/>
      </c>
      <c r="M52" s="13" t="str">
        <f>IF($A52="","",COUNTIFS(Etapes!$A$5:$A$1504,$A52,Etapes!$F$5:$F$1504,"En retard"))</f>
        <v/>
      </c>
      <c r="N52" s="18" t="str">
        <f>IF($A52="","",SUMIFS(Couts_Transitaire!$I$3:$I$602,Couts_Transitaire!$B$3:$B$602,$A52))</f>
        <v/>
      </c>
      <c r="O52" s="13" t="str">
        <f>IF($A52="","",IF($M52&gt;0,"Étapes en retard",IF(Connaissements!$K53&lt;&gt;"OK","Contrôle BL à corriger",IF($H52=0,"Aucun conteneur saisi",IF($I52&lt;$H52,"Conteneurs non embarqués",IF($L52&lt;$K52,"Documents à finaliser",IF($N52&gt;0,"Coûts à payer","OK")))))))</f>
        <v/>
      </c>
    </row>
    <row r="53" spans="1:15" x14ac:dyDescent="0.35">
      <c r="A53" s="13" t="str">
        <f>IF(Connaissements!$A54="","",Connaissements!$A54)</f>
        <v/>
      </c>
      <c r="B53" s="13" t="str">
        <f>IF($A53="","",Connaissements!$B54)</f>
        <v/>
      </c>
      <c r="C53" s="13" t="str">
        <f>IF($A53="","",Connaissements!$G54)</f>
        <v/>
      </c>
      <c r="D53" s="13" t="str">
        <f>IF($A53="","",IFERROR(IF(INDEX(Bookings!$D$3:$D$202,MATCH($B53,Bookings!$A$3:$A$202,0))="","",INDEX(Bookings!$D$3:$D$202,MATCH($B53,Bookings!$A$3:$A$202,0))),""))</f>
        <v/>
      </c>
      <c r="E53" s="14" t="str">
        <f>IF($A53="","",IFERROR(IF(INDEX(Bookings!$G$3:$G$202,MATCH($B53,Bookings!$A$3:$A$202,0))="","",INDEX(Bookings!$G$3:$G$202,MATCH($B53,Bookings!$A$3:$A$202,0))),""))</f>
        <v/>
      </c>
      <c r="F53" s="14" t="str">
        <f>IF($A53="","",IFERROR(IF(INDEX(Bookings!$H$3:$H$202,MATCH($B53,Bookings!$A$3:$A$202,0))="","",INDEX(Bookings!$H$3:$H$202,MATCH($B53,Bookings!$A$3:$A$202,0))),""))</f>
        <v/>
      </c>
      <c r="G53" s="13" t="str">
        <f>IF($A53="","",IF(Connaissements!$F54="","",Connaissements!$F54))</f>
        <v/>
      </c>
      <c r="H53" s="13" t="str">
        <f>IF($A53="","",Connaissements!$H54)</f>
        <v/>
      </c>
      <c r="I53" s="13" t="str">
        <f>IF($A53="","",COUNTIFS(Conteneurs!$B$3:$B$1002,$A53,Conteneurs!$M$3:$M$1002,"Embarqué"))</f>
        <v/>
      </c>
      <c r="J53" s="18" t="str">
        <f>IF($A53="","",Connaissements!$J54)</f>
        <v/>
      </c>
      <c r="K53" s="13" t="str">
        <f>IF($A53="","",COUNTIFS(Documents!$A$3:$A$1002,$A53))</f>
        <v/>
      </c>
      <c r="L53" s="13" t="str">
        <f>IF($A53="","",COUNTIFS(Documents!$A$3:$A$1002,$A53,Documents!$I$3:$I$1002,"Envoyé DHL"))</f>
        <v/>
      </c>
      <c r="M53" s="13" t="str">
        <f>IF($A53="","",COUNTIFS(Etapes!$A$5:$A$1504,$A53,Etapes!$F$5:$F$1504,"En retard"))</f>
        <v/>
      </c>
      <c r="N53" s="18" t="str">
        <f>IF($A53="","",SUMIFS(Couts_Transitaire!$I$3:$I$602,Couts_Transitaire!$B$3:$B$602,$A53))</f>
        <v/>
      </c>
      <c r="O53" s="13" t="str">
        <f>IF($A53="","",IF($M53&gt;0,"Étapes en retard",IF(Connaissements!$K54&lt;&gt;"OK","Contrôle BL à corriger",IF($H53=0,"Aucun conteneur saisi",IF($I53&lt;$H53,"Conteneurs non embarqués",IF($L53&lt;$K53,"Documents à finaliser",IF($N53&gt;0,"Coûts à payer","OK")))))))</f>
        <v/>
      </c>
    </row>
    <row r="54" spans="1:15" x14ac:dyDescent="0.35">
      <c r="A54" s="13" t="str">
        <f>IF(Connaissements!$A55="","",Connaissements!$A55)</f>
        <v/>
      </c>
      <c r="B54" s="13" t="str">
        <f>IF($A54="","",Connaissements!$B55)</f>
        <v/>
      </c>
      <c r="C54" s="13" t="str">
        <f>IF($A54="","",Connaissements!$G55)</f>
        <v/>
      </c>
      <c r="D54" s="13" t="str">
        <f>IF($A54="","",IFERROR(IF(INDEX(Bookings!$D$3:$D$202,MATCH($B54,Bookings!$A$3:$A$202,0))="","",INDEX(Bookings!$D$3:$D$202,MATCH($B54,Bookings!$A$3:$A$202,0))),""))</f>
        <v/>
      </c>
      <c r="E54" s="14" t="str">
        <f>IF($A54="","",IFERROR(IF(INDEX(Bookings!$G$3:$G$202,MATCH($B54,Bookings!$A$3:$A$202,0))="","",INDEX(Bookings!$G$3:$G$202,MATCH($B54,Bookings!$A$3:$A$202,0))),""))</f>
        <v/>
      </c>
      <c r="F54" s="14" t="str">
        <f>IF($A54="","",IFERROR(IF(INDEX(Bookings!$H$3:$H$202,MATCH($B54,Bookings!$A$3:$A$202,0))="","",INDEX(Bookings!$H$3:$H$202,MATCH($B54,Bookings!$A$3:$A$202,0))),""))</f>
        <v/>
      </c>
      <c r="G54" s="13" t="str">
        <f>IF($A54="","",IF(Connaissements!$F55="","",Connaissements!$F55))</f>
        <v/>
      </c>
      <c r="H54" s="13" t="str">
        <f>IF($A54="","",Connaissements!$H55)</f>
        <v/>
      </c>
      <c r="I54" s="13" t="str">
        <f>IF($A54="","",COUNTIFS(Conteneurs!$B$3:$B$1002,$A54,Conteneurs!$M$3:$M$1002,"Embarqué"))</f>
        <v/>
      </c>
      <c r="J54" s="18" t="str">
        <f>IF($A54="","",Connaissements!$J55)</f>
        <v/>
      </c>
      <c r="K54" s="13" t="str">
        <f>IF($A54="","",COUNTIFS(Documents!$A$3:$A$1002,$A54))</f>
        <v/>
      </c>
      <c r="L54" s="13" t="str">
        <f>IF($A54="","",COUNTIFS(Documents!$A$3:$A$1002,$A54,Documents!$I$3:$I$1002,"Envoyé DHL"))</f>
        <v/>
      </c>
      <c r="M54" s="13" t="str">
        <f>IF($A54="","",COUNTIFS(Etapes!$A$5:$A$1504,$A54,Etapes!$F$5:$F$1504,"En retard"))</f>
        <v/>
      </c>
      <c r="N54" s="18" t="str">
        <f>IF($A54="","",SUMIFS(Couts_Transitaire!$I$3:$I$602,Couts_Transitaire!$B$3:$B$602,$A54))</f>
        <v/>
      </c>
      <c r="O54" s="13" t="str">
        <f>IF($A54="","",IF($M54&gt;0,"Étapes en retard",IF(Connaissements!$K55&lt;&gt;"OK","Contrôle BL à corriger",IF($H54=0,"Aucun conteneur saisi",IF($I54&lt;$H54,"Conteneurs non embarqués",IF($L54&lt;$K54,"Documents à finaliser",IF($N54&gt;0,"Coûts à payer","OK")))))))</f>
        <v/>
      </c>
    </row>
    <row r="55" spans="1:15" x14ac:dyDescent="0.35">
      <c r="A55" s="13" t="str">
        <f>IF(Connaissements!$A56="","",Connaissements!$A56)</f>
        <v/>
      </c>
      <c r="B55" s="13" t="str">
        <f>IF($A55="","",Connaissements!$B56)</f>
        <v/>
      </c>
      <c r="C55" s="13" t="str">
        <f>IF($A55="","",Connaissements!$G56)</f>
        <v/>
      </c>
      <c r="D55" s="13" t="str">
        <f>IF($A55="","",IFERROR(IF(INDEX(Bookings!$D$3:$D$202,MATCH($B55,Bookings!$A$3:$A$202,0))="","",INDEX(Bookings!$D$3:$D$202,MATCH($B55,Bookings!$A$3:$A$202,0))),""))</f>
        <v/>
      </c>
      <c r="E55" s="14" t="str">
        <f>IF($A55="","",IFERROR(IF(INDEX(Bookings!$G$3:$G$202,MATCH($B55,Bookings!$A$3:$A$202,0))="","",INDEX(Bookings!$G$3:$G$202,MATCH($B55,Bookings!$A$3:$A$202,0))),""))</f>
        <v/>
      </c>
      <c r="F55" s="14" t="str">
        <f>IF($A55="","",IFERROR(IF(INDEX(Bookings!$H$3:$H$202,MATCH($B55,Bookings!$A$3:$A$202,0))="","",INDEX(Bookings!$H$3:$H$202,MATCH($B55,Bookings!$A$3:$A$202,0))),""))</f>
        <v/>
      </c>
      <c r="G55" s="13" t="str">
        <f>IF($A55="","",IF(Connaissements!$F56="","",Connaissements!$F56))</f>
        <v/>
      </c>
      <c r="H55" s="13" t="str">
        <f>IF($A55="","",Connaissements!$H56)</f>
        <v/>
      </c>
      <c r="I55" s="13" t="str">
        <f>IF($A55="","",COUNTIFS(Conteneurs!$B$3:$B$1002,$A55,Conteneurs!$M$3:$M$1002,"Embarqué"))</f>
        <v/>
      </c>
      <c r="J55" s="18" t="str">
        <f>IF($A55="","",Connaissements!$J56)</f>
        <v/>
      </c>
      <c r="K55" s="13" t="str">
        <f>IF($A55="","",COUNTIFS(Documents!$A$3:$A$1002,$A55))</f>
        <v/>
      </c>
      <c r="L55" s="13" t="str">
        <f>IF($A55="","",COUNTIFS(Documents!$A$3:$A$1002,$A55,Documents!$I$3:$I$1002,"Envoyé DHL"))</f>
        <v/>
      </c>
      <c r="M55" s="13" t="str">
        <f>IF($A55="","",COUNTIFS(Etapes!$A$5:$A$1504,$A55,Etapes!$F$5:$F$1504,"En retard"))</f>
        <v/>
      </c>
      <c r="N55" s="18" t="str">
        <f>IF($A55="","",SUMIFS(Couts_Transitaire!$I$3:$I$602,Couts_Transitaire!$B$3:$B$602,$A55))</f>
        <v/>
      </c>
      <c r="O55" s="13" t="str">
        <f>IF($A55="","",IF($M55&gt;0,"Étapes en retard",IF(Connaissements!$K56&lt;&gt;"OK","Contrôle BL à corriger",IF($H55=0,"Aucun conteneur saisi",IF($I55&lt;$H55,"Conteneurs non embarqués",IF($L55&lt;$K55,"Documents à finaliser",IF($N55&gt;0,"Coûts à payer","OK")))))))</f>
        <v/>
      </c>
    </row>
    <row r="56" spans="1:15" x14ac:dyDescent="0.35">
      <c r="A56" s="13" t="str">
        <f>IF(Connaissements!$A57="","",Connaissements!$A57)</f>
        <v/>
      </c>
      <c r="B56" s="13" t="str">
        <f>IF($A56="","",Connaissements!$B57)</f>
        <v/>
      </c>
      <c r="C56" s="13" t="str">
        <f>IF($A56="","",Connaissements!$G57)</f>
        <v/>
      </c>
      <c r="D56" s="13" t="str">
        <f>IF($A56="","",IFERROR(IF(INDEX(Bookings!$D$3:$D$202,MATCH($B56,Bookings!$A$3:$A$202,0))="","",INDEX(Bookings!$D$3:$D$202,MATCH($B56,Bookings!$A$3:$A$202,0))),""))</f>
        <v/>
      </c>
      <c r="E56" s="14" t="str">
        <f>IF($A56="","",IFERROR(IF(INDEX(Bookings!$G$3:$G$202,MATCH($B56,Bookings!$A$3:$A$202,0))="","",INDEX(Bookings!$G$3:$G$202,MATCH($B56,Bookings!$A$3:$A$202,0))),""))</f>
        <v/>
      </c>
      <c r="F56" s="14" t="str">
        <f>IF($A56="","",IFERROR(IF(INDEX(Bookings!$H$3:$H$202,MATCH($B56,Bookings!$A$3:$A$202,0))="","",INDEX(Bookings!$H$3:$H$202,MATCH($B56,Bookings!$A$3:$A$202,0))),""))</f>
        <v/>
      </c>
      <c r="G56" s="13" t="str">
        <f>IF($A56="","",IF(Connaissements!$F57="","",Connaissements!$F57))</f>
        <v/>
      </c>
      <c r="H56" s="13" t="str">
        <f>IF($A56="","",Connaissements!$H57)</f>
        <v/>
      </c>
      <c r="I56" s="13" t="str">
        <f>IF($A56="","",COUNTIFS(Conteneurs!$B$3:$B$1002,$A56,Conteneurs!$M$3:$M$1002,"Embarqué"))</f>
        <v/>
      </c>
      <c r="J56" s="18" t="str">
        <f>IF($A56="","",Connaissements!$J57)</f>
        <v/>
      </c>
      <c r="K56" s="13" t="str">
        <f>IF($A56="","",COUNTIFS(Documents!$A$3:$A$1002,$A56))</f>
        <v/>
      </c>
      <c r="L56" s="13" t="str">
        <f>IF($A56="","",COUNTIFS(Documents!$A$3:$A$1002,$A56,Documents!$I$3:$I$1002,"Envoyé DHL"))</f>
        <v/>
      </c>
      <c r="M56" s="13" t="str">
        <f>IF($A56="","",COUNTIFS(Etapes!$A$5:$A$1504,$A56,Etapes!$F$5:$F$1504,"En retard"))</f>
        <v/>
      </c>
      <c r="N56" s="18" t="str">
        <f>IF($A56="","",SUMIFS(Couts_Transitaire!$I$3:$I$602,Couts_Transitaire!$B$3:$B$602,$A56))</f>
        <v/>
      </c>
      <c r="O56" s="13" t="str">
        <f>IF($A56="","",IF($M56&gt;0,"Étapes en retard",IF(Connaissements!$K57&lt;&gt;"OK","Contrôle BL à corriger",IF($H56=0,"Aucun conteneur saisi",IF($I56&lt;$H56,"Conteneurs non embarqués",IF($L56&lt;$K56,"Documents à finaliser",IF($N56&gt;0,"Coûts à payer","OK")))))))</f>
        <v/>
      </c>
    </row>
    <row r="57" spans="1:15" x14ac:dyDescent="0.35">
      <c r="A57" s="13" t="str">
        <f>IF(Connaissements!$A58="","",Connaissements!$A58)</f>
        <v/>
      </c>
      <c r="B57" s="13" t="str">
        <f>IF($A57="","",Connaissements!$B58)</f>
        <v/>
      </c>
      <c r="C57" s="13" t="str">
        <f>IF($A57="","",Connaissements!$G58)</f>
        <v/>
      </c>
      <c r="D57" s="13" t="str">
        <f>IF($A57="","",IFERROR(IF(INDEX(Bookings!$D$3:$D$202,MATCH($B57,Bookings!$A$3:$A$202,0))="","",INDEX(Bookings!$D$3:$D$202,MATCH($B57,Bookings!$A$3:$A$202,0))),""))</f>
        <v/>
      </c>
      <c r="E57" s="14" t="str">
        <f>IF($A57="","",IFERROR(IF(INDEX(Bookings!$G$3:$G$202,MATCH($B57,Bookings!$A$3:$A$202,0))="","",INDEX(Bookings!$G$3:$G$202,MATCH($B57,Bookings!$A$3:$A$202,0))),""))</f>
        <v/>
      </c>
      <c r="F57" s="14" t="str">
        <f>IF($A57="","",IFERROR(IF(INDEX(Bookings!$H$3:$H$202,MATCH($B57,Bookings!$A$3:$A$202,0))="","",INDEX(Bookings!$H$3:$H$202,MATCH($B57,Bookings!$A$3:$A$202,0))),""))</f>
        <v/>
      </c>
      <c r="G57" s="13" t="str">
        <f>IF($A57="","",IF(Connaissements!$F58="","",Connaissements!$F58))</f>
        <v/>
      </c>
      <c r="H57" s="13" t="str">
        <f>IF($A57="","",Connaissements!$H58)</f>
        <v/>
      </c>
      <c r="I57" s="13" t="str">
        <f>IF($A57="","",COUNTIFS(Conteneurs!$B$3:$B$1002,$A57,Conteneurs!$M$3:$M$1002,"Embarqué"))</f>
        <v/>
      </c>
      <c r="J57" s="18" t="str">
        <f>IF($A57="","",Connaissements!$J58)</f>
        <v/>
      </c>
      <c r="K57" s="13" t="str">
        <f>IF($A57="","",COUNTIFS(Documents!$A$3:$A$1002,$A57))</f>
        <v/>
      </c>
      <c r="L57" s="13" t="str">
        <f>IF($A57="","",COUNTIFS(Documents!$A$3:$A$1002,$A57,Documents!$I$3:$I$1002,"Envoyé DHL"))</f>
        <v/>
      </c>
      <c r="M57" s="13" t="str">
        <f>IF($A57="","",COUNTIFS(Etapes!$A$5:$A$1504,$A57,Etapes!$F$5:$F$1504,"En retard"))</f>
        <v/>
      </c>
      <c r="N57" s="18" t="str">
        <f>IF($A57="","",SUMIFS(Couts_Transitaire!$I$3:$I$602,Couts_Transitaire!$B$3:$B$602,$A57))</f>
        <v/>
      </c>
      <c r="O57" s="13" t="str">
        <f>IF($A57="","",IF($M57&gt;0,"Étapes en retard",IF(Connaissements!$K58&lt;&gt;"OK","Contrôle BL à corriger",IF($H57=0,"Aucun conteneur saisi",IF($I57&lt;$H57,"Conteneurs non embarqués",IF($L57&lt;$K57,"Documents à finaliser",IF($N57&gt;0,"Coûts à payer","OK")))))))</f>
        <v/>
      </c>
    </row>
    <row r="58" spans="1:15" x14ac:dyDescent="0.35">
      <c r="A58" s="13" t="str">
        <f>IF(Connaissements!$A59="","",Connaissements!$A59)</f>
        <v/>
      </c>
      <c r="B58" s="13" t="str">
        <f>IF($A58="","",Connaissements!$B59)</f>
        <v/>
      </c>
      <c r="C58" s="13" t="str">
        <f>IF($A58="","",Connaissements!$G59)</f>
        <v/>
      </c>
      <c r="D58" s="13" t="str">
        <f>IF($A58="","",IFERROR(IF(INDEX(Bookings!$D$3:$D$202,MATCH($B58,Bookings!$A$3:$A$202,0))="","",INDEX(Bookings!$D$3:$D$202,MATCH($B58,Bookings!$A$3:$A$202,0))),""))</f>
        <v/>
      </c>
      <c r="E58" s="14" t="str">
        <f>IF($A58="","",IFERROR(IF(INDEX(Bookings!$G$3:$G$202,MATCH($B58,Bookings!$A$3:$A$202,0))="","",INDEX(Bookings!$G$3:$G$202,MATCH($B58,Bookings!$A$3:$A$202,0))),""))</f>
        <v/>
      </c>
      <c r="F58" s="14" t="str">
        <f>IF($A58="","",IFERROR(IF(INDEX(Bookings!$H$3:$H$202,MATCH($B58,Bookings!$A$3:$A$202,0))="","",INDEX(Bookings!$H$3:$H$202,MATCH($B58,Bookings!$A$3:$A$202,0))),""))</f>
        <v/>
      </c>
      <c r="G58" s="13" t="str">
        <f>IF($A58="","",IF(Connaissements!$F59="","",Connaissements!$F59))</f>
        <v/>
      </c>
      <c r="H58" s="13" t="str">
        <f>IF($A58="","",Connaissements!$H59)</f>
        <v/>
      </c>
      <c r="I58" s="13" t="str">
        <f>IF($A58="","",COUNTIFS(Conteneurs!$B$3:$B$1002,$A58,Conteneurs!$M$3:$M$1002,"Embarqué"))</f>
        <v/>
      </c>
      <c r="J58" s="18" t="str">
        <f>IF($A58="","",Connaissements!$J59)</f>
        <v/>
      </c>
      <c r="K58" s="13" t="str">
        <f>IF($A58="","",COUNTIFS(Documents!$A$3:$A$1002,$A58))</f>
        <v/>
      </c>
      <c r="L58" s="13" t="str">
        <f>IF($A58="","",COUNTIFS(Documents!$A$3:$A$1002,$A58,Documents!$I$3:$I$1002,"Envoyé DHL"))</f>
        <v/>
      </c>
      <c r="M58" s="13" t="str">
        <f>IF($A58="","",COUNTIFS(Etapes!$A$5:$A$1504,$A58,Etapes!$F$5:$F$1504,"En retard"))</f>
        <v/>
      </c>
      <c r="N58" s="18" t="str">
        <f>IF($A58="","",SUMIFS(Couts_Transitaire!$I$3:$I$602,Couts_Transitaire!$B$3:$B$602,$A58))</f>
        <v/>
      </c>
      <c r="O58" s="13" t="str">
        <f>IF($A58="","",IF($M58&gt;0,"Étapes en retard",IF(Connaissements!$K59&lt;&gt;"OK","Contrôle BL à corriger",IF($H58=0,"Aucun conteneur saisi",IF($I58&lt;$H58,"Conteneurs non embarqués",IF($L58&lt;$K58,"Documents à finaliser",IF($N58&gt;0,"Coûts à payer","OK")))))))</f>
        <v/>
      </c>
    </row>
    <row r="59" spans="1:15" x14ac:dyDescent="0.35">
      <c r="A59" s="13" t="str">
        <f>IF(Connaissements!$A60="","",Connaissements!$A60)</f>
        <v/>
      </c>
      <c r="B59" s="13" t="str">
        <f>IF($A59="","",Connaissements!$B60)</f>
        <v/>
      </c>
      <c r="C59" s="13" t="str">
        <f>IF($A59="","",Connaissements!$G60)</f>
        <v/>
      </c>
      <c r="D59" s="13" t="str">
        <f>IF($A59="","",IFERROR(IF(INDEX(Bookings!$D$3:$D$202,MATCH($B59,Bookings!$A$3:$A$202,0))="","",INDEX(Bookings!$D$3:$D$202,MATCH($B59,Bookings!$A$3:$A$202,0))),""))</f>
        <v/>
      </c>
      <c r="E59" s="14" t="str">
        <f>IF($A59="","",IFERROR(IF(INDEX(Bookings!$G$3:$G$202,MATCH($B59,Bookings!$A$3:$A$202,0))="","",INDEX(Bookings!$G$3:$G$202,MATCH($B59,Bookings!$A$3:$A$202,0))),""))</f>
        <v/>
      </c>
      <c r="F59" s="14" t="str">
        <f>IF($A59="","",IFERROR(IF(INDEX(Bookings!$H$3:$H$202,MATCH($B59,Bookings!$A$3:$A$202,0))="","",INDEX(Bookings!$H$3:$H$202,MATCH($B59,Bookings!$A$3:$A$202,0))),""))</f>
        <v/>
      </c>
      <c r="G59" s="13" t="str">
        <f>IF($A59="","",IF(Connaissements!$F60="","",Connaissements!$F60))</f>
        <v/>
      </c>
      <c r="H59" s="13" t="str">
        <f>IF($A59="","",Connaissements!$H60)</f>
        <v/>
      </c>
      <c r="I59" s="13" t="str">
        <f>IF($A59="","",COUNTIFS(Conteneurs!$B$3:$B$1002,$A59,Conteneurs!$M$3:$M$1002,"Embarqué"))</f>
        <v/>
      </c>
      <c r="J59" s="18" t="str">
        <f>IF($A59="","",Connaissements!$J60)</f>
        <v/>
      </c>
      <c r="K59" s="13" t="str">
        <f>IF($A59="","",COUNTIFS(Documents!$A$3:$A$1002,$A59))</f>
        <v/>
      </c>
      <c r="L59" s="13" t="str">
        <f>IF($A59="","",COUNTIFS(Documents!$A$3:$A$1002,$A59,Documents!$I$3:$I$1002,"Envoyé DHL"))</f>
        <v/>
      </c>
      <c r="M59" s="13" t="str">
        <f>IF($A59="","",COUNTIFS(Etapes!$A$5:$A$1504,$A59,Etapes!$F$5:$F$1504,"En retard"))</f>
        <v/>
      </c>
      <c r="N59" s="18" t="str">
        <f>IF($A59="","",SUMIFS(Couts_Transitaire!$I$3:$I$602,Couts_Transitaire!$B$3:$B$602,$A59))</f>
        <v/>
      </c>
      <c r="O59" s="13" t="str">
        <f>IF($A59="","",IF($M59&gt;0,"Étapes en retard",IF(Connaissements!$K60&lt;&gt;"OK","Contrôle BL à corriger",IF($H59=0,"Aucun conteneur saisi",IF($I59&lt;$H59,"Conteneurs non embarqués",IF($L59&lt;$K59,"Documents à finaliser",IF($N59&gt;0,"Coûts à payer","OK")))))))</f>
        <v/>
      </c>
    </row>
    <row r="60" spans="1:15" x14ac:dyDescent="0.35">
      <c r="A60" s="13" t="str">
        <f>IF(Connaissements!$A61="","",Connaissements!$A61)</f>
        <v/>
      </c>
      <c r="B60" s="13" t="str">
        <f>IF($A60="","",Connaissements!$B61)</f>
        <v/>
      </c>
      <c r="C60" s="13" t="str">
        <f>IF($A60="","",Connaissements!$G61)</f>
        <v/>
      </c>
      <c r="D60" s="13" t="str">
        <f>IF($A60="","",IFERROR(IF(INDEX(Bookings!$D$3:$D$202,MATCH($B60,Bookings!$A$3:$A$202,0))="","",INDEX(Bookings!$D$3:$D$202,MATCH($B60,Bookings!$A$3:$A$202,0))),""))</f>
        <v/>
      </c>
      <c r="E60" s="14" t="str">
        <f>IF($A60="","",IFERROR(IF(INDEX(Bookings!$G$3:$G$202,MATCH($B60,Bookings!$A$3:$A$202,0))="","",INDEX(Bookings!$G$3:$G$202,MATCH($B60,Bookings!$A$3:$A$202,0))),""))</f>
        <v/>
      </c>
      <c r="F60" s="14" t="str">
        <f>IF($A60="","",IFERROR(IF(INDEX(Bookings!$H$3:$H$202,MATCH($B60,Bookings!$A$3:$A$202,0))="","",INDEX(Bookings!$H$3:$H$202,MATCH($B60,Bookings!$A$3:$A$202,0))),""))</f>
        <v/>
      </c>
      <c r="G60" s="13" t="str">
        <f>IF($A60="","",IF(Connaissements!$F61="","",Connaissements!$F61))</f>
        <v/>
      </c>
      <c r="H60" s="13" t="str">
        <f>IF($A60="","",Connaissements!$H61)</f>
        <v/>
      </c>
      <c r="I60" s="13" t="str">
        <f>IF($A60="","",COUNTIFS(Conteneurs!$B$3:$B$1002,$A60,Conteneurs!$M$3:$M$1002,"Embarqué"))</f>
        <v/>
      </c>
      <c r="J60" s="18" t="str">
        <f>IF($A60="","",Connaissements!$J61)</f>
        <v/>
      </c>
      <c r="K60" s="13" t="str">
        <f>IF($A60="","",COUNTIFS(Documents!$A$3:$A$1002,$A60))</f>
        <v/>
      </c>
      <c r="L60" s="13" t="str">
        <f>IF($A60="","",COUNTIFS(Documents!$A$3:$A$1002,$A60,Documents!$I$3:$I$1002,"Envoyé DHL"))</f>
        <v/>
      </c>
      <c r="M60" s="13" t="str">
        <f>IF($A60="","",COUNTIFS(Etapes!$A$5:$A$1504,$A60,Etapes!$F$5:$F$1504,"En retard"))</f>
        <v/>
      </c>
      <c r="N60" s="18" t="str">
        <f>IF($A60="","",SUMIFS(Couts_Transitaire!$I$3:$I$602,Couts_Transitaire!$B$3:$B$602,$A60))</f>
        <v/>
      </c>
      <c r="O60" s="13" t="str">
        <f>IF($A60="","",IF($M60&gt;0,"Étapes en retard",IF(Connaissements!$K61&lt;&gt;"OK","Contrôle BL à corriger",IF($H60=0,"Aucun conteneur saisi",IF($I60&lt;$H60,"Conteneurs non embarqués",IF($L60&lt;$K60,"Documents à finaliser",IF($N60&gt;0,"Coûts à payer","OK")))))))</f>
        <v/>
      </c>
    </row>
    <row r="61" spans="1:15" x14ac:dyDescent="0.35">
      <c r="A61" s="13" t="str">
        <f>IF(Connaissements!$A62="","",Connaissements!$A62)</f>
        <v/>
      </c>
      <c r="B61" s="13" t="str">
        <f>IF($A61="","",Connaissements!$B62)</f>
        <v/>
      </c>
      <c r="C61" s="13" t="str">
        <f>IF($A61="","",Connaissements!$G62)</f>
        <v/>
      </c>
      <c r="D61" s="13" t="str">
        <f>IF($A61="","",IFERROR(IF(INDEX(Bookings!$D$3:$D$202,MATCH($B61,Bookings!$A$3:$A$202,0))="","",INDEX(Bookings!$D$3:$D$202,MATCH($B61,Bookings!$A$3:$A$202,0))),""))</f>
        <v/>
      </c>
      <c r="E61" s="14" t="str">
        <f>IF($A61="","",IFERROR(IF(INDEX(Bookings!$G$3:$G$202,MATCH($B61,Bookings!$A$3:$A$202,0))="","",INDEX(Bookings!$G$3:$G$202,MATCH($B61,Bookings!$A$3:$A$202,0))),""))</f>
        <v/>
      </c>
      <c r="F61" s="14" t="str">
        <f>IF($A61="","",IFERROR(IF(INDEX(Bookings!$H$3:$H$202,MATCH($B61,Bookings!$A$3:$A$202,0))="","",INDEX(Bookings!$H$3:$H$202,MATCH($B61,Bookings!$A$3:$A$202,0))),""))</f>
        <v/>
      </c>
      <c r="G61" s="13" t="str">
        <f>IF($A61="","",IF(Connaissements!$F62="","",Connaissements!$F62))</f>
        <v/>
      </c>
      <c r="H61" s="13" t="str">
        <f>IF($A61="","",Connaissements!$H62)</f>
        <v/>
      </c>
      <c r="I61" s="13" t="str">
        <f>IF($A61="","",COUNTIFS(Conteneurs!$B$3:$B$1002,$A61,Conteneurs!$M$3:$M$1002,"Embarqué"))</f>
        <v/>
      </c>
      <c r="J61" s="18" t="str">
        <f>IF($A61="","",Connaissements!$J62)</f>
        <v/>
      </c>
      <c r="K61" s="13" t="str">
        <f>IF($A61="","",COUNTIFS(Documents!$A$3:$A$1002,$A61))</f>
        <v/>
      </c>
      <c r="L61" s="13" t="str">
        <f>IF($A61="","",COUNTIFS(Documents!$A$3:$A$1002,$A61,Documents!$I$3:$I$1002,"Envoyé DHL"))</f>
        <v/>
      </c>
      <c r="M61" s="13" t="str">
        <f>IF($A61="","",COUNTIFS(Etapes!$A$5:$A$1504,$A61,Etapes!$F$5:$F$1504,"En retard"))</f>
        <v/>
      </c>
      <c r="N61" s="18" t="str">
        <f>IF($A61="","",SUMIFS(Couts_Transitaire!$I$3:$I$602,Couts_Transitaire!$B$3:$B$602,$A61))</f>
        <v/>
      </c>
      <c r="O61" s="13" t="str">
        <f>IF($A61="","",IF($M61&gt;0,"Étapes en retard",IF(Connaissements!$K62&lt;&gt;"OK","Contrôle BL à corriger",IF($H61=0,"Aucun conteneur saisi",IF($I61&lt;$H61,"Conteneurs non embarqués",IF($L61&lt;$K61,"Documents à finaliser",IF($N61&gt;0,"Coûts à payer","OK")))))))</f>
        <v/>
      </c>
    </row>
    <row r="62" spans="1:15" x14ac:dyDescent="0.35">
      <c r="A62" s="13" t="str">
        <f>IF(Connaissements!$A63="","",Connaissements!$A63)</f>
        <v/>
      </c>
      <c r="B62" s="13" t="str">
        <f>IF($A62="","",Connaissements!$B63)</f>
        <v/>
      </c>
      <c r="C62" s="13" t="str">
        <f>IF($A62="","",Connaissements!$G63)</f>
        <v/>
      </c>
      <c r="D62" s="13" t="str">
        <f>IF($A62="","",IFERROR(IF(INDEX(Bookings!$D$3:$D$202,MATCH($B62,Bookings!$A$3:$A$202,0))="","",INDEX(Bookings!$D$3:$D$202,MATCH($B62,Bookings!$A$3:$A$202,0))),""))</f>
        <v/>
      </c>
      <c r="E62" s="14" t="str">
        <f>IF($A62="","",IFERROR(IF(INDEX(Bookings!$G$3:$G$202,MATCH($B62,Bookings!$A$3:$A$202,0))="","",INDEX(Bookings!$G$3:$G$202,MATCH($B62,Bookings!$A$3:$A$202,0))),""))</f>
        <v/>
      </c>
      <c r="F62" s="14" t="str">
        <f>IF($A62="","",IFERROR(IF(INDEX(Bookings!$H$3:$H$202,MATCH($B62,Bookings!$A$3:$A$202,0))="","",INDEX(Bookings!$H$3:$H$202,MATCH($B62,Bookings!$A$3:$A$202,0))),""))</f>
        <v/>
      </c>
      <c r="G62" s="13" t="str">
        <f>IF($A62="","",IF(Connaissements!$F63="","",Connaissements!$F63))</f>
        <v/>
      </c>
      <c r="H62" s="13" t="str">
        <f>IF($A62="","",Connaissements!$H63)</f>
        <v/>
      </c>
      <c r="I62" s="13" t="str">
        <f>IF($A62="","",COUNTIFS(Conteneurs!$B$3:$B$1002,$A62,Conteneurs!$M$3:$M$1002,"Embarqué"))</f>
        <v/>
      </c>
      <c r="J62" s="18" t="str">
        <f>IF($A62="","",Connaissements!$J63)</f>
        <v/>
      </c>
      <c r="K62" s="13" t="str">
        <f>IF($A62="","",COUNTIFS(Documents!$A$3:$A$1002,$A62))</f>
        <v/>
      </c>
      <c r="L62" s="13" t="str">
        <f>IF($A62="","",COUNTIFS(Documents!$A$3:$A$1002,$A62,Documents!$I$3:$I$1002,"Envoyé DHL"))</f>
        <v/>
      </c>
      <c r="M62" s="13" t="str">
        <f>IF($A62="","",COUNTIFS(Etapes!$A$5:$A$1504,$A62,Etapes!$F$5:$F$1504,"En retard"))</f>
        <v/>
      </c>
      <c r="N62" s="18" t="str">
        <f>IF($A62="","",SUMIFS(Couts_Transitaire!$I$3:$I$602,Couts_Transitaire!$B$3:$B$602,$A62))</f>
        <v/>
      </c>
      <c r="O62" s="13" t="str">
        <f>IF($A62="","",IF($M62&gt;0,"Étapes en retard",IF(Connaissements!$K63&lt;&gt;"OK","Contrôle BL à corriger",IF($H62=0,"Aucun conteneur saisi",IF($I62&lt;$H62,"Conteneurs non embarqués",IF($L62&lt;$K62,"Documents à finaliser",IF($N62&gt;0,"Coûts à payer","OK")))))))</f>
        <v/>
      </c>
    </row>
    <row r="63" spans="1:15" x14ac:dyDescent="0.35">
      <c r="A63" s="13" t="str">
        <f>IF(Connaissements!$A64="","",Connaissements!$A64)</f>
        <v/>
      </c>
      <c r="B63" s="13" t="str">
        <f>IF($A63="","",Connaissements!$B64)</f>
        <v/>
      </c>
      <c r="C63" s="13" t="str">
        <f>IF($A63="","",Connaissements!$G64)</f>
        <v/>
      </c>
      <c r="D63" s="13" t="str">
        <f>IF($A63="","",IFERROR(IF(INDEX(Bookings!$D$3:$D$202,MATCH($B63,Bookings!$A$3:$A$202,0))="","",INDEX(Bookings!$D$3:$D$202,MATCH($B63,Bookings!$A$3:$A$202,0))),""))</f>
        <v/>
      </c>
      <c r="E63" s="14" t="str">
        <f>IF($A63="","",IFERROR(IF(INDEX(Bookings!$G$3:$G$202,MATCH($B63,Bookings!$A$3:$A$202,0))="","",INDEX(Bookings!$G$3:$G$202,MATCH($B63,Bookings!$A$3:$A$202,0))),""))</f>
        <v/>
      </c>
      <c r="F63" s="14" t="str">
        <f>IF($A63="","",IFERROR(IF(INDEX(Bookings!$H$3:$H$202,MATCH($B63,Bookings!$A$3:$A$202,0))="","",INDEX(Bookings!$H$3:$H$202,MATCH($B63,Bookings!$A$3:$A$202,0))),""))</f>
        <v/>
      </c>
      <c r="G63" s="13" t="str">
        <f>IF($A63="","",IF(Connaissements!$F64="","",Connaissements!$F64))</f>
        <v/>
      </c>
      <c r="H63" s="13" t="str">
        <f>IF($A63="","",Connaissements!$H64)</f>
        <v/>
      </c>
      <c r="I63" s="13" t="str">
        <f>IF($A63="","",COUNTIFS(Conteneurs!$B$3:$B$1002,$A63,Conteneurs!$M$3:$M$1002,"Embarqué"))</f>
        <v/>
      </c>
      <c r="J63" s="18" t="str">
        <f>IF($A63="","",Connaissements!$J64)</f>
        <v/>
      </c>
      <c r="K63" s="13" t="str">
        <f>IF($A63="","",COUNTIFS(Documents!$A$3:$A$1002,$A63))</f>
        <v/>
      </c>
      <c r="L63" s="13" t="str">
        <f>IF($A63="","",COUNTIFS(Documents!$A$3:$A$1002,$A63,Documents!$I$3:$I$1002,"Envoyé DHL"))</f>
        <v/>
      </c>
      <c r="M63" s="13" t="str">
        <f>IF($A63="","",COUNTIFS(Etapes!$A$5:$A$1504,$A63,Etapes!$F$5:$F$1504,"En retard"))</f>
        <v/>
      </c>
      <c r="N63" s="18" t="str">
        <f>IF($A63="","",SUMIFS(Couts_Transitaire!$I$3:$I$602,Couts_Transitaire!$B$3:$B$602,$A63))</f>
        <v/>
      </c>
      <c r="O63" s="13" t="str">
        <f>IF($A63="","",IF($M63&gt;0,"Étapes en retard",IF(Connaissements!$K64&lt;&gt;"OK","Contrôle BL à corriger",IF($H63=0,"Aucun conteneur saisi",IF($I63&lt;$H63,"Conteneurs non embarqués",IF($L63&lt;$K63,"Documents à finaliser",IF($N63&gt;0,"Coûts à payer","OK")))))))</f>
        <v/>
      </c>
    </row>
    <row r="64" spans="1:15" x14ac:dyDescent="0.35">
      <c r="A64" s="13" t="str">
        <f>IF(Connaissements!$A65="","",Connaissements!$A65)</f>
        <v/>
      </c>
      <c r="B64" s="13" t="str">
        <f>IF($A64="","",Connaissements!$B65)</f>
        <v/>
      </c>
      <c r="C64" s="13" t="str">
        <f>IF($A64="","",Connaissements!$G65)</f>
        <v/>
      </c>
      <c r="D64" s="13" t="str">
        <f>IF($A64="","",IFERROR(IF(INDEX(Bookings!$D$3:$D$202,MATCH($B64,Bookings!$A$3:$A$202,0))="","",INDEX(Bookings!$D$3:$D$202,MATCH($B64,Bookings!$A$3:$A$202,0))),""))</f>
        <v/>
      </c>
      <c r="E64" s="14" t="str">
        <f>IF($A64="","",IFERROR(IF(INDEX(Bookings!$G$3:$G$202,MATCH($B64,Bookings!$A$3:$A$202,0))="","",INDEX(Bookings!$G$3:$G$202,MATCH($B64,Bookings!$A$3:$A$202,0))),""))</f>
        <v/>
      </c>
      <c r="F64" s="14" t="str">
        <f>IF($A64="","",IFERROR(IF(INDEX(Bookings!$H$3:$H$202,MATCH($B64,Bookings!$A$3:$A$202,0))="","",INDEX(Bookings!$H$3:$H$202,MATCH($B64,Bookings!$A$3:$A$202,0))),""))</f>
        <v/>
      </c>
      <c r="G64" s="13" t="str">
        <f>IF($A64="","",IF(Connaissements!$F65="","",Connaissements!$F65))</f>
        <v/>
      </c>
      <c r="H64" s="13" t="str">
        <f>IF($A64="","",Connaissements!$H65)</f>
        <v/>
      </c>
      <c r="I64" s="13" t="str">
        <f>IF($A64="","",COUNTIFS(Conteneurs!$B$3:$B$1002,$A64,Conteneurs!$M$3:$M$1002,"Embarqué"))</f>
        <v/>
      </c>
      <c r="J64" s="18" t="str">
        <f>IF($A64="","",Connaissements!$J65)</f>
        <v/>
      </c>
      <c r="K64" s="13" t="str">
        <f>IF($A64="","",COUNTIFS(Documents!$A$3:$A$1002,$A64))</f>
        <v/>
      </c>
      <c r="L64" s="13" t="str">
        <f>IF($A64="","",COUNTIFS(Documents!$A$3:$A$1002,$A64,Documents!$I$3:$I$1002,"Envoyé DHL"))</f>
        <v/>
      </c>
      <c r="M64" s="13" t="str">
        <f>IF($A64="","",COUNTIFS(Etapes!$A$5:$A$1504,$A64,Etapes!$F$5:$F$1504,"En retard"))</f>
        <v/>
      </c>
      <c r="N64" s="18" t="str">
        <f>IF($A64="","",SUMIFS(Couts_Transitaire!$I$3:$I$602,Couts_Transitaire!$B$3:$B$602,$A64))</f>
        <v/>
      </c>
      <c r="O64" s="13" t="str">
        <f>IF($A64="","",IF($M64&gt;0,"Étapes en retard",IF(Connaissements!$K65&lt;&gt;"OK","Contrôle BL à corriger",IF($H64=0,"Aucun conteneur saisi",IF($I64&lt;$H64,"Conteneurs non embarqués",IF($L64&lt;$K64,"Documents à finaliser",IF($N64&gt;0,"Coûts à payer","OK")))))))</f>
        <v/>
      </c>
    </row>
    <row r="65" spans="1:15" x14ac:dyDescent="0.35">
      <c r="A65" s="13" t="str">
        <f>IF(Connaissements!$A66="","",Connaissements!$A66)</f>
        <v/>
      </c>
      <c r="B65" s="13" t="str">
        <f>IF($A65="","",Connaissements!$B66)</f>
        <v/>
      </c>
      <c r="C65" s="13" t="str">
        <f>IF($A65="","",Connaissements!$G66)</f>
        <v/>
      </c>
      <c r="D65" s="13" t="str">
        <f>IF($A65="","",IFERROR(IF(INDEX(Bookings!$D$3:$D$202,MATCH($B65,Bookings!$A$3:$A$202,0))="","",INDEX(Bookings!$D$3:$D$202,MATCH($B65,Bookings!$A$3:$A$202,0))),""))</f>
        <v/>
      </c>
      <c r="E65" s="14" t="str">
        <f>IF($A65="","",IFERROR(IF(INDEX(Bookings!$G$3:$G$202,MATCH($B65,Bookings!$A$3:$A$202,0))="","",INDEX(Bookings!$G$3:$G$202,MATCH($B65,Bookings!$A$3:$A$202,0))),""))</f>
        <v/>
      </c>
      <c r="F65" s="14" t="str">
        <f>IF($A65="","",IFERROR(IF(INDEX(Bookings!$H$3:$H$202,MATCH($B65,Bookings!$A$3:$A$202,0))="","",INDEX(Bookings!$H$3:$H$202,MATCH($B65,Bookings!$A$3:$A$202,0))),""))</f>
        <v/>
      </c>
      <c r="G65" s="13" t="str">
        <f>IF($A65="","",IF(Connaissements!$F66="","",Connaissements!$F66))</f>
        <v/>
      </c>
      <c r="H65" s="13" t="str">
        <f>IF($A65="","",Connaissements!$H66)</f>
        <v/>
      </c>
      <c r="I65" s="13" t="str">
        <f>IF($A65="","",COUNTIFS(Conteneurs!$B$3:$B$1002,$A65,Conteneurs!$M$3:$M$1002,"Embarqué"))</f>
        <v/>
      </c>
      <c r="J65" s="18" t="str">
        <f>IF($A65="","",Connaissements!$J66)</f>
        <v/>
      </c>
      <c r="K65" s="13" t="str">
        <f>IF($A65="","",COUNTIFS(Documents!$A$3:$A$1002,$A65))</f>
        <v/>
      </c>
      <c r="L65" s="13" t="str">
        <f>IF($A65="","",COUNTIFS(Documents!$A$3:$A$1002,$A65,Documents!$I$3:$I$1002,"Envoyé DHL"))</f>
        <v/>
      </c>
      <c r="M65" s="13" t="str">
        <f>IF($A65="","",COUNTIFS(Etapes!$A$5:$A$1504,$A65,Etapes!$F$5:$F$1504,"En retard"))</f>
        <v/>
      </c>
      <c r="N65" s="18" t="str">
        <f>IF($A65="","",SUMIFS(Couts_Transitaire!$I$3:$I$602,Couts_Transitaire!$B$3:$B$602,$A65))</f>
        <v/>
      </c>
      <c r="O65" s="13" t="str">
        <f>IF($A65="","",IF($M65&gt;0,"Étapes en retard",IF(Connaissements!$K66&lt;&gt;"OK","Contrôle BL à corriger",IF($H65=0,"Aucun conteneur saisi",IF($I65&lt;$H65,"Conteneurs non embarqués",IF($L65&lt;$K65,"Documents à finaliser",IF($N65&gt;0,"Coûts à payer","OK")))))))</f>
        <v/>
      </c>
    </row>
    <row r="66" spans="1:15" x14ac:dyDescent="0.35">
      <c r="A66" s="13" t="str">
        <f>IF(Connaissements!$A67="","",Connaissements!$A67)</f>
        <v/>
      </c>
      <c r="B66" s="13" t="str">
        <f>IF($A66="","",Connaissements!$B67)</f>
        <v/>
      </c>
      <c r="C66" s="13" t="str">
        <f>IF($A66="","",Connaissements!$G67)</f>
        <v/>
      </c>
      <c r="D66" s="13" t="str">
        <f>IF($A66="","",IFERROR(IF(INDEX(Bookings!$D$3:$D$202,MATCH($B66,Bookings!$A$3:$A$202,0))="","",INDEX(Bookings!$D$3:$D$202,MATCH($B66,Bookings!$A$3:$A$202,0))),""))</f>
        <v/>
      </c>
      <c r="E66" s="14" t="str">
        <f>IF($A66="","",IFERROR(IF(INDEX(Bookings!$G$3:$G$202,MATCH($B66,Bookings!$A$3:$A$202,0))="","",INDEX(Bookings!$G$3:$G$202,MATCH($B66,Bookings!$A$3:$A$202,0))),""))</f>
        <v/>
      </c>
      <c r="F66" s="14" t="str">
        <f>IF($A66="","",IFERROR(IF(INDEX(Bookings!$H$3:$H$202,MATCH($B66,Bookings!$A$3:$A$202,0))="","",INDEX(Bookings!$H$3:$H$202,MATCH($B66,Bookings!$A$3:$A$202,0))),""))</f>
        <v/>
      </c>
      <c r="G66" s="13" t="str">
        <f>IF($A66="","",IF(Connaissements!$F67="","",Connaissements!$F67))</f>
        <v/>
      </c>
      <c r="H66" s="13" t="str">
        <f>IF($A66="","",Connaissements!$H67)</f>
        <v/>
      </c>
      <c r="I66" s="13" t="str">
        <f>IF($A66="","",COUNTIFS(Conteneurs!$B$3:$B$1002,$A66,Conteneurs!$M$3:$M$1002,"Embarqué"))</f>
        <v/>
      </c>
      <c r="J66" s="18" t="str">
        <f>IF($A66="","",Connaissements!$J67)</f>
        <v/>
      </c>
      <c r="K66" s="13" t="str">
        <f>IF($A66="","",COUNTIFS(Documents!$A$3:$A$1002,$A66))</f>
        <v/>
      </c>
      <c r="L66" s="13" t="str">
        <f>IF($A66="","",COUNTIFS(Documents!$A$3:$A$1002,$A66,Documents!$I$3:$I$1002,"Envoyé DHL"))</f>
        <v/>
      </c>
      <c r="M66" s="13" t="str">
        <f>IF($A66="","",COUNTIFS(Etapes!$A$5:$A$1504,$A66,Etapes!$F$5:$F$1504,"En retard"))</f>
        <v/>
      </c>
      <c r="N66" s="18" t="str">
        <f>IF($A66="","",SUMIFS(Couts_Transitaire!$I$3:$I$602,Couts_Transitaire!$B$3:$B$602,$A66))</f>
        <v/>
      </c>
      <c r="O66" s="13" t="str">
        <f>IF($A66="","",IF($M66&gt;0,"Étapes en retard",IF(Connaissements!$K67&lt;&gt;"OK","Contrôle BL à corriger",IF($H66=0,"Aucun conteneur saisi",IF($I66&lt;$H66,"Conteneurs non embarqués",IF($L66&lt;$K66,"Documents à finaliser",IF($N66&gt;0,"Coûts à payer","OK")))))))</f>
        <v/>
      </c>
    </row>
    <row r="67" spans="1:15" x14ac:dyDescent="0.35">
      <c r="A67" s="13" t="str">
        <f>IF(Connaissements!$A68="","",Connaissements!$A68)</f>
        <v/>
      </c>
      <c r="B67" s="13" t="str">
        <f>IF($A67="","",Connaissements!$B68)</f>
        <v/>
      </c>
      <c r="C67" s="13" t="str">
        <f>IF($A67="","",Connaissements!$G68)</f>
        <v/>
      </c>
      <c r="D67" s="13" t="str">
        <f>IF($A67="","",IFERROR(IF(INDEX(Bookings!$D$3:$D$202,MATCH($B67,Bookings!$A$3:$A$202,0))="","",INDEX(Bookings!$D$3:$D$202,MATCH($B67,Bookings!$A$3:$A$202,0))),""))</f>
        <v/>
      </c>
      <c r="E67" s="14" t="str">
        <f>IF($A67="","",IFERROR(IF(INDEX(Bookings!$G$3:$G$202,MATCH($B67,Bookings!$A$3:$A$202,0))="","",INDEX(Bookings!$G$3:$G$202,MATCH($B67,Bookings!$A$3:$A$202,0))),""))</f>
        <v/>
      </c>
      <c r="F67" s="14" t="str">
        <f>IF($A67="","",IFERROR(IF(INDEX(Bookings!$H$3:$H$202,MATCH($B67,Bookings!$A$3:$A$202,0))="","",INDEX(Bookings!$H$3:$H$202,MATCH($B67,Bookings!$A$3:$A$202,0))),""))</f>
        <v/>
      </c>
      <c r="G67" s="13" t="str">
        <f>IF($A67="","",IF(Connaissements!$F68="","",Connaissements!$F68))</f>
        <v/>
      </c>
      <c r="H67" s="13" t="str">
        <f>IF($A67="","",Connaissements!$H68)</f>
        <v/>
      </c>
      <c r="I67" s="13" t="str">
        <f>IF($A67="","",COUNTIFS(Conteneurs!$B$3:$B$1002,$A67,Conteneurs!$M$3:$M$1002,"Embarqué"))</f>
        <v/>
      </c>
      <c r="J67" s="18" t="str">
        <f>IF($A67="","",Connaissements!$J68)</f>
        <v/>
      </c>
      <c r="K67" s="13" t="str">
        <f>IF($A67="","",COUNTIFS(Documents!$A$3:$A$1002,$A67))</f>
        <v/>
      </c>
      <c r="L67" s="13" t="str">
        <f>IF($A67="","",COUNTIFS(Documents!$A$3:$A$1002,$A67,Documents!$I$3:$I$1002,"Envoyé DHL"))</f>
        <v/>
      </c>
      <c r="M67" s="13" t="str">
        <f>IF($A67="","",COUNTIFS(Etapes!$A$5:$A$1504,$A67,Etapes!$F$5:$F$1504,"En retard"))</f>
        <v/>
      </c>
      <c r="N67" s="18" t="str">
        <f>IF($A67="","",SUMIFS(Couts_Transitaire!$I$3:$I$602,Couts_Transitaire!$B$3:$B$602,$A67))</f>
        <v/>
      </c>
      <c r="O67" s="13" t="str">
        <f>IF($A67="","",IF($M67&gt;0,"Étapes en retard",IF(Connaissements!$K68&lt;&gt;"OK","Contrôle BL à corriger",IF($H67=0,"Aucun conteneur saisi",IF($I67&lt;$H67,"Conteneurs non embarqués",IF($L67&lt;$K67,"Documents à finaliser",IF($N67&gt;0,"Coûts à payer","OK")))))))</f>
        <v/>
      </c>
    </row>
    <row r="68" spans="1:15" x14ac:dyDescent="0.35">
      <c r="A68" s="13" t="str">
        <f>IF(Connaissements!$A69="","",Connaissements!$A69)</f>
        <v/>
      </c>
      <c r="B68" s="13" t="str">
        <f>IF($A68="","",Connaissements!$B69)</f>
        <v/>
      </c>
      <c r="C68" s="13" t="str">
        <f>IF($A68="","",Connaissements!$G69)</f>
        <v/>
      </c>
      <c r="D68" s="13" t="str">
        <f>IF($A68="","",IFERROR(IF(INDEX(Bookings!$D$3:$D$202,MATCH($B68,Bookings!$A$3:$A$202,0))="","",INDEX(Bookings!$D$3:$D$202,MATCH($B68,Bookings!$A$3:$A$202,0))),""))</f>
        <v/>
      </c>
      <c r="E68" s="14" t="str">
        <f>IF($A68="","",IFERROR(IF(INDEX(Bookings!$G$3:$G$202,MATCH($B68,Bookings!$A$3:$A$202,0))="","",INDEX(Bookings!$G$3:$G$202,MATCH($B68,Bookings!$A$3:$A$202,0))),""))</f>
        <v/>
      </c>
      <c r="F68" s="14" t="str">
        <f>IF($A68="","",IFERROR(IF(INDEX(Bookings!$H$3:$H$202,MATCH($B68,Bookings!$A$3:$A$202,0))="","",INDEX(Bookings!$H$3:$H$202,MATCH($B68,Bookings!$A$3:$A$202,0))),""))</f>
        <v/>
      </c>
      <c r="G68" s="13" t="str">
        <f>IF($A68="","",IF(Connaissements!$F69="","",Connaissements!$F69))</f>
        <v/>
      </c>
      <c r="H68" s="13" t="str">
        <f>IF($A68="","",Connaissements!$H69)</f>
        <v/>
      </c>
      <c r="I68" s="13" t="str">
        <f>IF($A68="","",COUNTIFS(Conteneurs!$B$3:$B$1002,$A68,Conteneurs!$M$3:$M$1002,"Embarqué"))</f>
        <v/>
      </c>
      <c r="J68" s="18" t="str">
        <f>IF($A68="","",Connaissements!$J69)</f>
        <v/>
      </c>
      <c r="K68" s="13" t="str">
        <f>IF($A68="","",COUNTIFS(Documents!$A$3:$A$1002,$A68))</f>
        <v/>
      </c>
      <c r="L68" s="13" t="str">
        <f>IF($A68="","",COUNTIFS(Documents!$A$3:$A$1002,$A68,Documents!$I$3:$I$1002,"Envoyé DHL"))</f>
        <v/>
      </c>
      <c r="M68" s="13" t="str">
        <f>IF($A68="","",COUNTIFS(Etapes!$A$5:$A$1504,$A68,Etapes!$F$5:$F$1504,"En retard"))</f>
        <v/>
      </c>
      <c r="N68" s="18" t="str">
        <f>IF($A68="","",SUMIFS(Couts_Transitaire!$I$3:$I$602,Couts_Transitaire!$B$3:$B$602,$A68))</f>
        <v/>
      </c>
      <c r="O68" s="13" t="str">
        <f>IF($A68="","",IF($M68&gt;0,"Étapes en retard",IF(Connaissements!$K69&lt;&gt;"OK","Contrôle BL à corriger",IF($H68=0,"Aucun conteneur saisi",IF($I68&lt;$H68,"Conteneurs non embarqués",IF($L68&lt;$K68,"Documents à finaliser",IF($N68&gt;0,"Coûts à payer","OK")))))))</f>
        <v/>
      </c>
    </row>
    <row r="69" spans="1:15" x14ac:dyDescent="0.35">
      <c r="A69" s="13" t="str">
        <f>IF(Connaissements!$A70="","",Connaissements!$A70)</f>
        <v/>
      </c>
      <c r="B69" s="13" t="str">
        <f>IF($A69="","",Connaissements!$B70)</f>
        <v/>
      </c>
      <c r="C69" s="13" t="str">
        <f>IF($A69="","",Connaissements!$G70)</f>
        <v/>
      </c>
      <c r="D69" s="13" t="str">
        <f>IF($A69="","",IFERROR(IF(INDEX(Bookings!$D$3:$D$202,MATCH($B69,Bookings!$A$3:$A$202,0))="","",INDEX(Bookings!$D$3:$D$202,MATCH($B69,Bookings!$A$3:$A$202,0))),""))</f>
        <v/>
      </c>
      <c r="E69" s="14" t="str">
        <f>IF($A69="","",IFERROR(IF(INDEX(Bookings!$G$3:$G$202,MATCH($B69,Bookings!$A$3:$A$202,0))="","",INDEX(Bookings!$G$3:$G$202,MATCH($B69,Bookings!$A$3:$A$202,0))),""))</f>
        <v/>
      </c>
      <c r="F69" s="14" t="str">
        <f>IF($A69="","",IFERROR(IF(INDEX(Bookings!$H$3:$H$202,MATCH($B69,Bookings!$A$3:$A$202,0))="","",INDEX(Bookings!$H$3:$H$202,MATCH($B69,Bookings!$A$3:$A$202,0))),""))</f>
        <v/>
      </c>
      <c r="G69" s="13" t="str">
        <f>IF($A69="","",IF(Connaissements!$F70="","",Connaissements!$F70))</f>
        <v/>
      </c>
      <c r="H69" s="13" t="str">
        <f>IF($A69="","",Connaissements!$H70)</f>
        <v/>
      </c>
      <c r="I69" s="13" t="str">
        <f>IF($A69="","",COUNTIFS(Conteneurs!$B$3:$B$1002,$A69,Conteneurs!$M$3:$M$1002,"Embarqué"))</f>
        <v/>
      </c>
      <c r="J69" s="18" t="str">
        <f>IF($A69="","",Connaissements!$J70)</f>
        <v/>
      </c>
      <c r="K69" s="13" t="str">
        <f>IF($A69="","",COUNTIFS(Documents!$A$3:$A$1002,$A69))</f>
        <v/>
      </c>
      <c r="L69" s="13" t="str">
        <f>IF($A69="","",COUNTIFS(Documents!$A$3:$A$1002,$A69,Documents!$I$3:$I$1002,"Envoyé DHL"))</f>
        <v/>
      </c>
      <c r="M69" s="13" t="str">
        <f>IF($A69="","",COUNTIFS(Etapes!$A$5:$A$1504,$A69,Etapes!$F$5:$F$1504,"En retard"))</f>
        <v/>
      </c>
      <c r="N69" s="18" t="str">
        <f>IF($A69="","",SUMIFS(Couts_Transitaire!$I$3:$I$602,Couts_Transitaire!$B$3:$B$602,$A69))</f>
        <v/>
      </c>
      <c r="O69" s="13" t="str">
        <f>IF($A69="","",IF($M69&gt;0,"Étapes en retard",IF(Connaissements!$K70&lt;&gt;"OK","Contrôle BL à corriger",IF($H69=0,"Aucun conteneur saisi",IF($I69&lt;$H69,"Conteneurs non embarqués",IF($L69&lt;$K69,"Documents à finaliser",IF($N69&gt;0,"Coûts à payer","OK")))))))</f>
        <v/>
      </c>
    </row>
    <row r="70" spans="1:15" x14ac:dyDescent="0.35">
      <c r="A70" s="13" t="str">
        <f>IF(Connaissements!$A71="","",Connaissements!$A71)</f>
        <v/>
      </c>
      <c r="B70" s="13" t="str">
        <f>IF($A70="","",Connaissements!$B71)</f>
        <v/>
      </c>
      <c r="C70" s="13" t="str">
        <f>IF($A70="","",Connaissements!$G71)</f>
        <v/>
      </c>
      <c r="D70" s="13" t="str">
        <f>IF($A70="","",IFERROR(IF(INDEX(Bookings!$D$3:$D$202,MATCH($B70,Bookings!$A$3:$A$202,0))="","",INDEX(Bookings!$D$3:$D$202,MATCH($B70,Bookings!$A$3:$A$202,0))),""))</f>
        <v/>
      </c>
      <c r="E70" s="14" t="str">
        <f>IF($A70="","",IFERROR(IF(INDEX(Bookings!$G$3:$G$202,MATCH($B70,Bookings!$A$3:$A$202,0))="","",INDEX(Bookings!$G$3:$G$202,MATCH($B70,Bookings!$A$3:$A$202,0))),""))</f>
        <v/>
      </c>
      <c r="F70" s="14" t="str">
        <f>IF($A70="","",IFERROR(IF(INDEX(Bookings!$H$3:$H$202,MATCH($B70,Bookings!$A$3:$A$202,0))="","",INDEX(Bookings!$H$3:$H$202,MATCH($B70,Bookings!$A$3:$A$202,0))),""))</f>
        <v/>
      </c>
      <c r="G70" s="13" t="str">
        <f>IF($A70="","",IF(Connaissements!$F71="","",Connaissements!$F71))</f>
        <v/>
      </c>
      <c r="H70" s="13" t="str">
        <f>IF($A70="","",Connaissements!$H71)</f>
        <v/>
      </c>
      <c r="I70" s="13" t="str">
        <f>IF($A70="","",COUNTIFS(Conteneurs!$B$3:$B$1002,$A70,Conteneurs!$M$3:$M$1002,"Embarqué"))</f>
        <v/>
      </c>
      <c r="J70" s="18" t="str">
        <f>IF($A70="","",Connaissements!$J71)</f>
        <v/>
      </c>
      <c r="K70" s="13" t="str">
        <f>IF($A70="","",COUNTIFS(Documents!$A$3:$A$1002,$A70))</f>
        <v/>
      </c>
      <c r="L70" s="13" t="str">
        <f>IF($A70="","",COUNTIFS(Documents!$A$3:$A$1002,$A70,Documents!$I$3:$I$1002,"Envoyé DHL"))</f>
        <v/>
      </c>
      <c r="M70" s="13" t="str">
        <f>IF($A70="","",COUNTIFS(Etapes!$A$5:$A$1504,$A70,Etapes!$F$5:$F$1504,"En retard"))</f>
        <v/>
      </c>
      <c r="N70" s="18" t="str">
        <f>IF($A70="","",SUMIFS(Couts_Transitaire!$I$3:$I$602,Couts_Transitaire!$B$3:$B$602,$A70))</f>
        <v/>
      </c>
      <c r="O70" s="13" t="str">
        <f>IF($A70="","",IF($M70&gt;0,"Étapes en retard",IF(Connaissements!$K71&lt;&gt;"OK","Contrôle BL à corriger",IF($H70=0,"Aucun conteneur saisi",IF($I70&lt;$H70,"Conteneurs non embarqués",IF($L70&lt;$K70,"Documents à finaliser",IF($N70&gt;0,"Coûts à payer","OK")))))))</f>
        <v/>
      </c>
    </row>
    <row r="71" spans="1:15" x14ac:dyDescent="0.35">
      <c r="A71" s="13" t="str">
        <f>IF(Connaissements!$A72="","",Connaissements!$A72)</f>
        <v/>
      </c>
      <c r="B71" s="13" t="str">
        <f>IF($A71="","",Connaissements!$B72)</f>
        <v/>
      </c>
      <c r="C71" s="13" t="str">
        <f>IF($A71="","",Connaissements!$G72)</f>
        <v/>
      </c>
      <c r="D71" s="13" t="str">
        <f>IF($A71="","",IFERROR(IF(INDEX(Bookings!$D$3:$D$202,MATCH($B71,Bookings!$A$3:$A$202,0))="","",INDEX(Bookings!$D$3:$D$202,MATCH($B71,Bookings!$A$3:$A$202,0))),""))</f>
        <v/>
      </c>
      <c r="E71" s="14" t="str">
        <f>IF($A71="","",IFERROR(IF(INDEX(Bookings!$G$3:$G$202,MATCH($B71,Bookings!$A$3:$A$202,0))="","",INDEX(Bookings!$G$3:$G$202,MATCH($B71,Bookings!$A$3:$A$202,0))),""))</f>
        <v/>
      </c>
      <c r="F71" s="14" t="str">
        <f>IF($A71="","",IFERROR(IF(INDEX(Bookings!$H$3:$H$202,MATCH($B71,Bookings!$A$3:$A$202,0))="","",INDEX(Bookings!$H$3:$H$202,MATCH($B71,Bookings!$A$3:$A$202,0))),""))</f>
        <v/>
      </c>
      <c r="G71" s="13" t="str">
        <f>IF($A71="","",IF(Connaissements!$F72="","",Connaissements!$F72))</f>
        <v/>
      </c>
      <c r="H71" s="13" t="str">
        <f>IF($A71="","",Connaissements!$H72)</f>
        <v/>
      </c>
      <c r="I71" s="13" t="str">
        <f>IF($A71="","",COUNTIFS(Conteneurs!$B$3:$B$1002,$A71,Conteneurs!$M$3:$M$1002,"Embarqué"))</f>
        <v/>
      </c>
      <c r="J71" s="18" t="str">
        <f>IF($A71="","",Connaissements!$J72)</f>
        <v/>
      </c>
      <c r="K71" s="13" t="str">
        <f>IF($A71="","",COUNTIFS(Documents!$A$3:$A$1002,$A71))</f>
        <v/>
      </c>
      <c r="L71" s="13" t="str">
        <f>IF($A71="","",COUNTIFS(Documents!$A$3:$A$1002,$A71,Documents!$I$3:$I$1002,"Envoyé DHL"))</f>
        <v/>
      </c>
      <c r="M71" s="13" t="str">
        <f>IF($A71="","",COUNTIFS(Etapes!$A$5:$A$1504,$A71,Etapes!$F$5:$F$1504,"En retard"))</f>
        <v/>
      </c>
      <c r="N71" s="18" t="str">
        <f>IF($A71="","",SUMIFS(Couts_Transitaire!$I$3:$I$602,Couts_Transitaire!$B$3:$B$602,$A71))</f>
        <v/>
      </c>
      <c r="O71" s="13" t="str">
        <f>IF($A71="","",IF($M71&gt;0,"Étapes en retard",IF(Connaissements!$K72&lt;&gt;"OK","Contrôle BL à corriger",IF($H71=0,"Aucun conteneur saisi",IF($I71&lt;$H71,"Conteneurs non embarqués",IF($L71&lt;$K71,"Documents à finaliser",IF($N71&gt;0,"Coûts à payer","OK")))))))</f>
        <v/>
      </c>
    </row>
    <row r="72" spans="1:15" x14ac:dyDescent="0.35">
      <c r="A72" s="13" t="str">
        <f>IF(Connaissements!$A73="","",Connaissements!$A73)</f>
        <v/>
      </c>
      <c r="B72" s="13" t="str">
        <f>IF($A72="","",Connaissements!$B73)</f>
        <v/>
      </c>
      <c r="C72" s="13" t="str">
        <f>IF($A72="","",Connaissements!$G73)</f>
        <v/>
      </c>
      <c r="D72" s="13" t="str">
        <f>IF($A72="","",IFERROR(IF(INDEX(Bookings!$D$3:$D$202,MATCH($B72,Bookings!$A$3:$A$202,0))="","",INDEX(Bookings!$D$3:$D$202,MATCH($B72,Bookings!$A$3:$A$202,0))),""))</f>
        <v/>
      </c>
      <c r="E72" s="14" t="str">
        <f>IF($A72="","",IFERROR(IF(INDEX(Bookings!$G$3:$G$202,MATCH($B72,Bookings!$A$3:$A$202,0))="","",INDEX(Bookings!$G$3:$G$202,MATCH($B72,Bookings!$A$3:$A$202,0))),""))</f>
        <v/>
      </c>
      <c r="F72" s="14" t="str">
        <f>IF($A72="","",IFERROR(IF(INDEX(Bookings!$H$3:$H$202,MATCH($B72,Bookings!$A$3:$A$202,0))="","",INDEX(Bookings!$H$3:$H$202,MATCH($B72,Bookings!$A$3:$A$202,0))),""))</f>
        <v/>
      </c>
      <c r="G72" s="13" t="str">
        <f>IF($A72="","",IF(Connaissements!$F73="","",Connaissements!$F73))</f>
        <v/>
      </c>
      <c r="H72" s="13" t="str">
        <f>IF($A72="","",Connaissements!$H73)</f>
        <v/>
      </c>
      <c r="I72" s="13" t="str">
        <f>IF($A72="","",COUNTIFS(Conteneurs!$B$3:$B$1002,$A72,Conteneurs!$M$3:$M$1002,"Embarqué"))</f>
        <v/>
      </c>
      <c r="J72" s="18" t="str">
        <f>IF($A72="","",Connaissements!$J73)</f>
        <v/>
      </c>
      <c r="K72" s="13" t="str">
        <f>IF($A72="","",COUNTIFS(Documents!$A$3:$A$1002,$A72))</f>
        <v/>
      </c>
      <c r="L72" s="13" t="str">
        <f>IF($A72="","",COUNTIFS(Documents!$A$3:$A$1002,$A72,Documents!$I$3:$I$1002,"Envoyé DHL"))</f>
        <v/>
      </c>
      <c r="M72" s="13" t="str">
        <f>IF($A72="","",COUNTIFS(Etapes!$A$5:$A$1504,$A72,Etapes!$F$5:$F$1504,"En retard"))</f>
        <v/>
      </c>
      <c r="N72" s="18" t="str">
        <f>IF($A72="","",SUMIFS(Couts_Transitaire!$I$3:$I$602,Couts_Transitaire!$B$3:$B$602,$A72))</f>
        <v/>
      </c>
      <c r="O72" s="13" t="str">
        <f>IF($A72="","",IF($M72&gt;0,"Étapes en retard",IF(Connaissements!$K73&lt;&gt;"OK","Contrôle BL à corriger",IF($H72=0,"Aucun conteneur saisi",IF($I72&lt;$H72,"Conteneurs non embarqués",IF($L72&lt;$K72,"Documents à finaliser",IF($N72&gt;0,"Coûts à payer","OK")))))))</f>
        <v/>
      </c>
    </row>
    <row r="73" spans="1:15" x14ac:dyDescent="0.35">
      <c r="A73" s="13" t="str">
        <f>IF(Connaissements!$A74="","",Connaissements!$A74)</f>
        <v/>
      </c>
      <c r="B73" s="13" t="str">
        <f>IF($A73="","",Connaissements!$B74)</f>
        <v/>
      </c>
      <c r="C73" s="13" t="str">
        <f>IF($A73="","",Connaissements!$G74)</f>
        <v/>
      </c>
      <c r="D73" s="13" t="str">
        <f>IF($A73="","",IFERROR(IF(INDEX(Bookings!$D$3:$D$202,MATCH($B73,Bookings!$A$3:$A$202,0))="","",INDEX(Bookings!$D$3:$D$202,MATCH($B73,Bookings!$A$3:$A$202,0))),""))</f>
        <v/>
      </c>
      <c r="E73" s="14" t="str">
        <f>IF($A73="","",IFERROR(IF(INDEX(Bookings!$G$3:$G$202,MATCH($B73,Bookings!$A$3:$A$202,0))="","",INDEX(Bookings!$G$3:$G$202,MATCH($B73,Bookings!$A$3:$A$202,0))),""))</f>
        <v/>
      </c>
      <c r="F73" s="14" t="str">
        <f>IF($A73="","",IFERROR(IF(INDEX(Bookings!$H$3:$H$202,MATCH($B73,Bookings!$A$3:$A$202,0))="","",INDEX(Bookings!$H$3:$H$202,MATCH($B73,Bookings!$A$3:$A$202,0))),""))</f>
        <v/>
      </c>
      <c r="G73" s="13" t="str">
        <f>IF($A73="","",IF(Connaissements!$F74="","",Connaissements!$F74))</f>
        <v/>
      </c>
      <c r="H73" s="13" t="str">
        <f>IF($A73="","",Connaissements!$H74)</f>
        <v/>
      </c>
      <c r="I73" s="13" t="str">
        <f>IF($A73="","",COUNTIFS(Conteneurs!$B$3:$B$1002,$A73,Conteneurs!$M$3:$M$1002,"Embarqué"))</f>
        <v/>
      </c>
      <c r="J73" s="18" t="str">
        <f>IF($A73="","",Connaissements!$J74)</f>
        <v/>
      </c>
      <c r="K73" s="13" t="str">
        <f>IF($A73="","",COUNTIFS(Documents!$A$3:$A$1002,$A73))</f>
        <v/>
      </c>
      <c r="L73" s="13" t="str">
        <f>IF($A73="","",COUNTIFS(Documents!$A$3:$A$1002,$A73,Documents!$I$3:$I$1002,"Envoyé DHL"))</f>
        <v/>
      </c>
      <c r="M73" s="13" t="str">
        <f>IF($A73="","",COUNTIFS(Etapes!$A$5:$A$1504,$A73,Etapes!$F$5:$F$1504,"En retard"))</f>
        <v/>
      </c>
      <c r="N73" s="18" t="str">
        <f>IF($A73="","",SUMIFS(Couts_Transitaire!$I$3:$I$602,Couts_Transitaire!$B$3:$B$602,$A73))</f>
        <v/>
      </c>
      <c r="O73" s="13" t="str">
        <f>IF($A73="","",IF($M73&gt;0,"Étapes en retard",IF(Connaissements!$K74&lt;&gt;"OK","Contrôle BL à corriger",IF($H73=0,"Aucun conteneur saisi",IF($I73&lt;$H73,"Conteneurs non embarqués",IF($L73&lt;$K73,"Documents à finaliser",IF($N73&gt;0,"Coûts à payer","OK")))))))</f>
        <v/>
      </c>
    </row>
    <row r="74" spans="1:15" x14ac:dyDescent="0.35">
      <c r="A74" s="13" t="str">
        <f>IF(Connaissements!$A75="","",Connaissements!$A75)</f>
        <v/>
      </c>
      <c r="B74" s="13" t="str">
        <f>IF($A74="","",Connaissements!$B75)</f>
        <v/>
      </c>
      <c r="C74" s="13" t="str">
        <f>IF($A74="","",Connaissements!$G75)</f>
        <v/>
      </c>
      <c r="D74" s="13" t="str">
        <f>IF($A74="","",IFERROR(IF(INDEX(Bookings!$D$3:$D$202,MATCH($B74,Bookings!$A$3:$A$202,0))="","",INDEX(Bookings!$D$3:$D$202,MATCH($B74,Bookings!$A$3:$A$202,0))),""))</f>
        <v/>
      </c>
      <c r="E74" s="14" t="str">
        <f>IF($A74="","",IFERROR(IF(INDEX(Bookings!$G$3:$G$202,MATCH($B74,Bookings!$A$3:$A$202,0))="","",INDEX(Bookings!$G$3:$G$202,MATCH($B74,Bookings!$A$3:$A$202,0))),""))</f>
        <v/>
      </c>
      <c r="F74" s="14" t="str">
        <f>IF($A74="","",IFERROR(IF(INDEX(Bookings!$H$3:$H$202,MATCH($B74,Bookings!$A$3:$A$202,0))="","",INDEX(Bookings!$H$3:$H$202,MATCH($B74,Bookings!$A$3:$A$202,0))),""))</f>
        <v/>
      </c>
      <c r="G74" s="13" t="str">
        <f>IF($A74="","",IF(Connaissements!$F75="","",Connaissements!$F75))</f>
        <v/>
      </c>
      <c r="H74" s="13" t="str">
        <f>IF($A74="","",Connaissements!$H75)</f>
        <v/>
      </c>
      <c r="I74" s="13" t="str">
        <f>IF($A74="","",COUNTIFS(Conteneurs!$B$3:$B$1002,$A74,Conteneurs!$M$3:$M$1002,"Embarqué"))</f>
        <v/>
      </c>
      <c r="J74" s="18" t="str">
        <f>IF($A74="","",Connaissements!$J75)</f>
        <v/>
      </c>
      <c r="K74" s="13" t="str">
        <f>IF($A74="","",COUNTIFS(Documents!$A$3:$A$1002,$A74))</f>
        <v/>
      </c>
      <c r="L74" s="13" t="str">
        <f>IF($A74="","",COUNTIFS(Documents!$A$3:$A$1002,$A74,Documents!$I$3:$I$1002,"Envoyé DHL"))</f>
        <v/>
      </c>
      <c r="M74" s="13" t="str">
        <f>IF($A74="","",COUNTIFS(Etapes!$A$5:$A$1504,$A74,Etapes!$F$5:$F$1504,"En retard"))</f>
        <v/>
      </c>
      <c r="N74" s="18" t="str">
        <f>IF($A74="","",SUMIFS(Couts_Transitaire!$I$3:$I$602,Couts_Transitaire!$B$3:$B$602,$A74))</f>
        <v/>
      </c>
      <c r="O74" s="13" t="str">
        <f>IF($A74="","",IF($M74&gt;0,"Étapes en retard",IF(Connaissements!$K75&lt;&gt;"OK","Contrôle BL à corriger",IF($H74=0,"Aucun conteneur saisi",IF($I74&lt;$H74,"Conteneurs non embarqués",IF($L74&lt;$K74,"Documents à finaliser",IF($N74&gt;0,"Coûts à payer","OK")))))))</f>
        <v/>
      </c>
    </row>
    <row r="75" spans="1:15" x14ac:dyDescent="0.35">
      <c r="A75" s="13" t="str">
        <f>IF(Connaissements!$A76="","",Connaissements!$A76)</f>
        <v/>
      </c>
      <c r="B75" s="13" t="str">
        <f>IF($A75="","",Connaissements!$B76)</f>
        <v/>
      </c>
      <c r="C75" s="13" t="str">
        <f>IF($A75="","",Connaissements!$G76)</f>
        <v/>
      </c>
      <c r="D75" s="13" t="str">
        <f>IF($A75="","",IFERROR(IF(INDEX(Bookings!$D$3:$D$202,MATCH($B75,Bookings!$A$3:$A$202,0))="","",INDEX(Bookings!$D$3:$D$202,MATCH($B75,Bookings!$A$3:$A$202,0))),""))</f>
        <v/>
      </c>
      <c r="E75" s="14" t="str">
        <f>IF($A75="","",IFERROR(IF(INDEX(Bookings!$G$3:$G$202,MATCH($B75,Bookings!$A$3:$A$202,0))="","",INDEX(Bookings!$G$3:$G$202,MATCH($B75,Bookings!$A$3:$A$202,0))),""))</f>
        <v/>
      </c>
      <c r="F75" s="14" t="str">
        <f>IF($A75="","",IFERROR(IF(INDEX(Bookings!$H$3:$H$202,MATCH($B75,Bookings!$A$3:$A$202,0))="","",INDEX(Bookings!$H$3:$H$202,MATCH($B75,Bookings!$A$3:$A$202,0))),""))</f>
        <v/>
      </c>
      <c r="G75" s="13" t="str">
        <f>IF($A75="","",IF(Connaissements!$F76="","",Connaissements!$F76))</f>
        <v/>
      </c>
      <c r="H75" s="13" t="str">
        <f>IF($A75="","",Connaissements!$H76)</f>
        <v/>
      </c>
      <c r="I75" s="13" t="str">
        <f>IF($A75="","",COUNTIFS(Conteneurs!$B$3:$B$1002,$A75,Conteneurs!$M$3:$M$1002,"Embarqué"))</f>
        <v/>
      </c>
      <c r="J75" s="18" t="str">
        <f>IF($A75="","",Connaissements!$J76)</f>
        <v/>
      </c>
      <c r="K75" s="13" t="str">
        <f>IF($A75="","",COUNTIFS(Documents!$A$3:$A$1002,$A75))</f>
        <v/>
      </c>
      <c r="L75" s="13" t="str">
        <f>IF($A75="","",COUNTIFS(Documents!$A$3:$A$1002,$A75,Documents!$I$3:$I$1002,"Envoyé DHL"))</f>
        <v/>
      </c>
      <c r="M75" s="13" t="str">
        <f>IF($A75="","",COUNTIFS(Etapes!$A$5:$A$1504,$A75,Etapes!$F$5:$F$1504,"En retard"))</f>
        <v/>
      </c>
      <c r="N75" s="18" t="str">
        <f>IF($A75="","",SUMIFS(Couts_Transitaire!$I$3:$I$602,Couts_Transitaire!$B$3:$B$602,$A75))</f>
        <v/>
      </c>
      <c r="O75" s="13" t="str">
        <f>IF($A75="","",IF($M75&gt;0,"Étapes en retard",IF(Connaissements!$K76&lt;&gt;"OK","Contrôle BL à corriger",IF($H75=0,"Aucun conteneur saisi",IF($I75&lt;$H75,"Conteneurs non embarqués",IF($L75&lt;$K75,"Documents à finaliser",IF($N75&gt;0,"Coûts à payer","OK")))))))</f>
        <v/>
      </c>
    </row>
    <row r="76" spans="1:15" x14ac:dyDescent="0.35">
      <c r="A76" s="13" t="str">
        <f>IF(Connaissements!$A77="","",Connaissements!$A77)</f>
        <v/>
      </c>
      <c r="B76" s="13" t="str">
        <f>IF($A76="","",Connaissements!$B77)</f>
        <v/>
      </c>
      <c r="C76" s="13" t="str">
        <f>IF($A76="","",Connaissements!$G77)</f>
        <v/>
      </c>
      <c r="D76" s="13" t="str">
        <f>IF($A76="","",IFERROR(IF(INDEX(Bookings!$D$3:$D$202,MATCH($B76,Bookings!$A$3:$A$202,0))="","",INDEX(Bookings!$D$3:$D$202,MATCH($B76,Bookings!$A$3:$A$202,0))),""))</f>
        <v/>
      </c>
      <c r="E76" s="14" t="str">
        <f>IF($A76="","",IFERROR(IF(INDEX(Bookings!$G$3:$G$202,MATCH($B76,Bookings!$A$3:$A$202,0))="","",INDEX(Bookings!$G$3:$G$202,MATCH($B76,Bookings!$A$3:$A$202,0))),""))</f>
        <v/>
      </c>
      <c r="F76" s="14" t="str">
        <f>IF($A76="","",IFERROR(IF(INDEX(Bookings!$H$3:$H$202,MATCH($B76,Bookings!$A$3:$A$202,0))="","",INDEX(Bookings!$H$3:$H$202,MATCH($B76,Bookings!$A$3:$A$202,0))),""))</f>
        <v/>
      </c>
      <c r="G76" s="13" t="str">
        <f>IF($A76="","",IF(Connaissements!$F77="","",Connaissements!$F77))</f>
        <v/>
      </c>
      <c r="H76" s="13" t="str">
        <f>IF($A76="","",Connaissements!$H77)</f>
        <v/>
      </c>
      <c r="I76" s="13" t="str">
        <f>IF($A76="","",COUNTIFS(Conteneurs!$B$3:$B$1002,$A76,Conteneurs!$M$3:$M$1002,"Embarqué"))</f>
        <v/>
      </c>
      <c r="J76" s="18" t="str">
        <f>IF($A76="","",Connaissements!$J77)</f>
        <v/>
      </c>
      <c r="K76" s="13" t="str">
        <f>IF($A76="","",COUNTIFS(Documents!$A$3:$A$1002,$A76))</f>
        <v/>
      </c>
      <c r="L76" s="13" t="str">
        <f>IF($A76="","",COUNTIFS(Documents!$A$3:$A$1002,$A76,Documents!$I$3:$I$1002,"Envoyé DHL"))</f>
        <v/>
      </c>
      <c r="M76" s="13" t="str">
        <f>IF($A76="","",COUNTIFS(Etapes!$A$5:$A$1504,$A76,Etapes!$F$5:$F$1504,"En retard"))</f>
        <v/>
      </c>
      <c r="N76" s="18" t="str">
        <f>IF($A76="","",SUMIFS(Couts_Transitaire!$I$3:$I$602,Couts_Transitaire!$B$3:$B$602,$A76))</f>
        <v/>
      </c>
      <c r="O76" s="13" t="str">
        <f>IF($A76="","",IF($M76&gt;0,"Étapes en retard",IF(Connaissements!$K77&lt;&gt;"OK","Contrôle BL à corriger",IF($H76=0,"Aucun conteneur saisi",IF($I76&lt;$H76,"Conteneurs non embarqués",IF($L76&lt;$K76,"Documents à finaliser",IF($N76&gt;0,"Coûts à payer","OK")))))))</f>
        <v/>
      </c>
    </row>
    <row r="77" spans="1:15" x14ac:dyDescent="0.35">
      <c r="A77" s="13" t="str">
        <f>IF(Connaissements!$A78="","",Connaissements!$A78)</f>
        <v/>
      </c>
      <c r="B77" s="13" t="str">
        <f>IF($A77="","",Connaissements!$B78)</f>
        <v/>
      </c>
      <c r="C77" s="13" t="str">
        <f>IF($A77="","",Connaissements!$G78)</f>
        <v/>
      </c>
      <c r="D77" s="13" t="str">
        <f>IF($A77="","",IFERROR(IF(INDEX(Bookings!$D$3:$D$202,MATCH($B77,Bookings!$A$3:$A$202,0))="","",INDEX(Bookings!$D$3:$D$202,MATCH($B77,Bookings!$A$3:$A$202,0))),""))</f>
        <v/>
      </c>
      <c r="E77" s="14" t="str">
        <f>IF($A77="","",IFERROR(IF(INDEX(Bookings!$G$3:$G$202,MATCH($B77,Bookings!$A$3:$A$202,0))="","",INDEX(Bookings!$G$3:$G$202,MATCH($B77,Bookings!$A$3:$A$202,0))),""))</f>
        <v/>
      </c>
      <c r="F77" s="14" t="str">
        <f>IF($A77="","",IFERROR(IF(INDEX(Bookings!$H$3:$H$202,MATCH($B77,Bookings!$A$3:$A$202,0))="","",INDEX(Bookings!$H$3:$H$202,MATCH($B77,Bookings!$A$3:$A$202,0))),""))</f>
        <v/>
      </c>
      <c r="G77" s="13" t="str">
        <f>IF($A77="","",IF(Connaissements!$F78="","",Connaissements!$F78))</f>
        <v/>
      </c>
      <c r="H77" s="13" t="str">
        <f>IF($A77="","",Connaissements!$H78)</f>
        <v/>
      </c>
      <c r="I77" s="13" t="str">
        <f>IF($A77="","",COUNTIFS(Conteneurs!$B$3:$B$1002,$A77,Conteneurs!$M$3:$M$1002,"Embarqué"))</f>
        <v/>
      </c>
      <c r="J77" s="18" t="str">
        <f>IF($A77="","",Connaissements!$J78)</f>
        <v/>
      </c>
      <c r="K77" s="13" t="str">
        <f>IF($A77="","",COUNTIFS(Documents!$A$3:$A$1002,$A77))</f>
        <v/>
      </c>
      <c r="L77" s="13" t="str">
        <f>IF($A77="","",COUNTIFS(Documents!$A$3:$A$1002,$A77,Documents!$I$3:$I$1002,"Envoyé DHL"))</f>
        <v/>
      </c>
      <c r="M77" s="13" t="str">
        <f>IF($A77="","",COUNTIFS(Etapes!$A$5:$A$1504,$A77,Etapes!$F$5:$F$1504,"En retard"))</f>
        <v/>
      </c>
      <c r="N77" s="18" t="str">
        <f>IF($A77="","",SUMIFS(Couts_Transitaire!$I$3:$I$602,Couts_Transitaire!$B$3:$B$602,$A77))</f>
        <v/>
      </c>
      <c r="O77" s="13" t="str">
        <f>IF($A77="","",IF($M77&gt;0,"Étapes en retard",IF(Connaissements!$K78&lt;&gt;"OK","Contrôle BL à corriger",IF($H77=0,"Aucun conteneur saisi",IF($I77&lt;$H77,"Conteneurs non embarqués",IF($L77&lt;$K77,"Documents à finaliser",IF($N77&gt;0,"Coûts à payer","OK")))))))</f>
        <v/>
      </c>
    </row>
    <row r="78" spans="1:15" x14ac:dyDescent="0.35">
      <c r="A78" s="13" t="str">
        <f>IF(Connaissements!$A79="","",Connaissements!$A79)</f>
        <v/>
      </c>
      <c r="B78" s="13" t="str">
        <f>IF($A78="","",Connaissements!$B79)</f>
        <v/>
      </c>
      <c r="C78" s="13" t="str">
        <f>IF($A78="","",Connaissements!$G79)</f>
        <v/>
      </c>
      <c r="D78" s="13" t="str">
        <f>IF($A78="","",IFERROR(IF(INDEX(Bookings!$D$3:$D$202,MATCH($B78,Bookings!$A$3:$A$202,0))="","",INDEX(Bookings!$D$3:$D$202,MATCH($B78,Bookings!$A$3:$A$202,0))),""))</f>
        <v/>
      </c>
      <c r="E78" s="14" t="str">
        <f>IF($A78="","",IFERROR(IF(INDEX(Bookings!$G$3:$G$202,MATCH($B78,Bookings!$A$3:$A$202,0))="","",INDEX(Bookings!$G$3:$G$202,MATCH($B78,Bookings!$A$3:$A$202,0))),""))</f>
        <v/>
      </c>
      <c r="F78" s="14" t="str">
        <f>IF($A78="","",IFERROR(IF(INDEX(Bookings!$H$3:$H$202,MATCH($B78,Bookings!$A$3:$A$202,0))="","",INDEX(Bookings!$H$3:$H$202,MATCH($B78,Bookings!$A$3:$A$202,0))),""))</f>
        <v/>
      </c>
      <c r="G78" s="13" t="str">
        <f>IF($A78="","",IF(Connaissements!$F79="","",Connaissements!$F79))</f>
        <v/>
      </c>
      <c r="H78" s="13" t="str">
        <f>IF($A78="","",Connaissements!$H79)</f>
        <v/>
      </c>
      <c r="I78" s="13" t="str">
        <f>IF($A78="","",COUNTIFS(Conteneurs!$B$3:$B$1002,$A78,Conteneurs!$M$3:$M$1002,"Embarqué"))</f>
        <v/>
      </c>
      <c r="J78" s="18" t="str">
        <f>IF($A78="","",Connaissements!$J79)</f>
        <v/>
      </c>
      <c r="K78" s="13" t="str">
        <f>IF($A78="","",COUNTIFS(Documents!$A$3:$A$1002,$A78))</f>
        <v/>
      </c>
      <c r="L78" s="13" t="str">
        <f>IF($A78="","",COUNTIFS(Documents!$A$3:$A$1002,$A78,Documents!$I$3:$I$1002,"Envoyé DHL"))</f>
        <v/>
      </c>
      <c r="M78" s="13" t="str">
        <f>IF($A78="","",COUNTIFS(Etapes!$A$5:$A$1504,$A78,Etapes!$F$5:$F$1504,"En retard"))</f>
        <v/>
      </c>
      <c r="N78" s="18" t="str">
        <f>IF($A78="","",SUMIFS(Couts_Transitaire!$I$3:$I$602,Couts_Transitaire!$B$3:$B$602,$A78))</f>
        <v/>
      </c>
      <c r="O78" s="13" t="str">
        <f>IF($A78="","",IF($M78&gt;0,"Étapes en retard",IF(Connaissements!$K79&lt;&gt;"OK","Contrôle BL à corriger",IF($H78=0,"Aucun conteneur saisi",IF($I78&lt;$H78,"Conteneurs non embarqués",IF($L78&lt;$K78,"Documents à finaliser",IF($N78&gt;0,"Coûts à payer","OK")))))))</f>
        <v/>
      </c>
    </row>
    <row r="79" spans="1:15" x14ac:dyDescent="0.35">
      <c r="A79" s="13" t="str">
        <f>IF(Connaissements!$A80="","",Connaissements!$A80)</f>
        <v/>
      </c>
      <c r="B79" s="13" t="str">
        <f>IF($A79="","",Connaissements!$B80)</f>
        <v/>
      </c>
      <c r="C79" s="13" t="str">
        <f>IF($A79="","",Connaissements!$G80)</f>
        <v/>
      </c>
      <c r="D79" s="13" t="str">
        <f>IF($A79="","",IFERROR(IF(INDEX(Bookings!$D$3:$D$202,MATCH($B79,Bookings!$A$3:$A$202,0))="","",INDEX(Bookings!$D$3:$D$202,MATCH($B79,Bookings!$A$3:$A$202,0))),""))</f>
        <v/>
      </c>
      <c r="E79" s="14" t="str">
        <f>IF($A79="","",IFERROR(IF(INDEX(Bookings!$G$3:$G$202,MATCH($B79,Bookings!$A$3:$A$202,0))="","",INDEX(Bookings!$G$3:$G$202,MATCH($B79,Bookings!$A$3:$A$202,0))),""))</f>
        <v/>
      </c>
      <c r="F79" s="14" t="str">
        <f>IF($A79="","",IFERROR(IF(INDEX(Bookings!$H$3:$H$202,MATCH($B79,Bookings!$A$3:$A$202,0))="","",INDEX(Bookings!$H$3:$H$202,MATCH($B79,Bookings!$A$3:$A$202,0))),""))</f>
        <v/>
      </c>
      <c r="G79" s="13" t="str">
        <f>IF($A79="","",IF(Connaissements!$F80="","",Connaissements!$F80))</f>
        <v/>
      </c>
      <c r="H79" s="13" t="str">
        <f>IF($A79="","",Connaissements!$H80)</f>
        <v/>
      </c>
      <c r="I79" s="13" t="str">
        <f>IF($A79="","",COUNTIFS(Conteneurs!$B$3:$B$1002,$A79,Conteneurs!$M$3:$M$1002,"Embarqué"))</f>
        <v/>
      </c>
      <c r="J79" s="18" t="str">
        <f>IF($A79="","",Connaissements!$J80)</f>
        <v/>
      </c>
      <c r="K79" s="13" t="str">
        <f>IF($A79="","",COUNTIFS(Documents!$A$3:$A$1002,$A79))</f>
        <v/>
      </c>
      <c r="L79" s="13" t="str">
        <f>IF($A79="","",COUNTIFS(Documents!$A$3:$A$1002,$A79,Documents!$I$3:$I$1002,"Envoyé DHL"))</f>
        <v/>
      </c>
      <c r="M79" s="13" t="str">
        <f>IF($A79="","",COUNTIFS(Etapes!$A$5:$A$1504,$A79,Etapes!$F$5:$F$1504,"En retard"))</f>
        <v/>
      </c>
      <c r="N79" s="18" t="str">
        <f>IF($A79="","",SUMIFS(Couts_Transitaire!$I$3:$I$602,Couts_Transitaire!$B$3:$B$602,$A79))</f>
        <v/>
      </c>
      <c r="O79" s="13" t="str">
        <f>IF($A79="","",IF($M79&gt;0,"Étapes en retard",IF(Connaissements!$K80&lt;&gt;"OK","Contrôle BL à corriger",IF($H79=0,"Aucun conteneur saisi",IF($I79&lt;$H79,"Conteneurs non embarqués",IF($L79&lt;$K79,"Documents à finaliser",IF($N79&gt;0,"Coûts à payer","OK")))))))</f>
        <v/>
      </c>
    </row>
    <row r="80" spans="1:15" x14ac:dyDescent="0.35">
      <c r="A80" s="13" t="str">
        <f>IF(Connaissements!$A81="","",Connaissements!$A81)</f>
        <v/>
      </c>
      <c r="B80" s="13" t="str">
        <f>IF($A80="","",Connaissements!$B81)</f>
        <v/>
      </c>
      <c r="C80" s="13" t="str">
        <f>IF($A80="","",Connaissements!$G81)</f>
        <v/>
      </c>
      <c r="D80" s="13" t="str">
        <f>IF($A80="","",IFERROR(IF(INDEX(Bookings!$D$3:$D$202,MATCH($B80,Bookings!$A$3:$A$202,0))="","",INDEX(Bookings!$D$3:$D$202,MATCH($B80,Bookings!$A$3:$A$202,0))),""))</f>
        <v/>
      </c>
      <c r="E80" s="14" t="str">
        <f>IF($A80="","",IFERROR(IF(INDEX(Bookings!$G$3:$G$202,MATCH($B80,Bookings!$A$3:$A$202,0))="","",INDEX(Bookings!$G$3:$G$202,MATCH($B80,Bookings!$A$3:$A$202,0))),""))</f>
        <v/>
      </c>
      <c r="F80" s="14" t="str">
        <f>IF($A80="","",IFERROR(IF(INDEX(Bookings!$H$3:$H$202,MATCH($B80,Bookings!$A$3:$A$202,0))="","",INDEX(Bookings!$H$3:$H$202,MATCH($B80,Bookings!$A$3:$A$202,0))),""))</f>
        <v/>
      </c>
      <c r="G80" s="13" t="str">
        <f>IF($A80="","",IF(Connaissements!$F81="","",Connaissements!$F81))</f>
        <v/>
      </c>
      <c r="H80" s="13" t="str">
        <f>IF($A80="","",Connaissements!$H81)</f>
        <v/>
      </c>
      <c r="I80" s="13" t="str">
        <f>IF($A80="","",COUNTIFS(Conteneurs!$B$3:$B$1002,$A80,Conteneurs!$M$3:$M$1002,"Embarqué"))</f>
        <v/>
      </c>
      <c r="J80" s="18" t="str">
        <f>IF($A80="","",Connaissements!$J81)</f>
        <v/>
      </c>
      <c r="K80" s="13" t="str">
        <f>IF($A80="","",COUNTIFS(Documents!$A$3:$A$1002,$A80))</f>
        <v/>
      </c>
      <c r="L80" s="13" t="str">
        <f>IF($A80="","",COUNTIFS(Documents!$A$3:$A$1002,$A80,Documents!$I$3:$I$1002,"Envoyé DHL"))</f>
        <v/>
      </c>
      <c r="M80" s="13" t="str">
        <f>IF($A80="","",COUNTIFS(Etapes!$A$5:$A$1504,$A80,Etapes!$F$5:$F$1504,"En retard"))</f>
        <v/>
      </c>
      <c r="N80" s="18" t="str">
        <f>IF($A80="","",SUMIFS(Couts_Transitaire!$I$3:$I$602,Couts_Transitaire!$B$3:$B$602,$A80))</f>
        <v/>
      </c>
      <c r="O80" s="13" t="str">
        <f>IF($A80="","",IF($M80&gt;0,"Étapes en retard",IF(Connaissements!$K81&lt;&gt;"OK","Contrôle BL à corriger",IF($H80=0,"Aucun conteneur saisi",IF($I80&lt;$H80,"Conteneurs non embarqués",IF($L80&lt;$K80,"Documents à finaliser",IF($N80&gt;0,"Coûts à payer","OK")))))))</f>
        <v/>
      </c>
    </row>
    <row r="81" spans="1:15" x14ac:dyDescent="0.35">
      <c r="A81" s="13" t="str">
        <f>IF(Connaissements!$A82="","",Connaissements!$A82)</f>
        <v/>
      </c>
      <c r="B81" s="13" t="str">
        <f>IF($A81="","",Connaissements!$B82)</f>
        <v/>
      </c>
      <c r="C81" s="13" t="str">
        <f>IF($A81="","",Connaissements!$G82)</f>
        <v/>
      </c>
      <c r="D81" s="13" t="str">
        <f>IF($A81="","",IFERROR(IF(INDEX(Bookings!$D$3:$D$202,MATCH($B81,Bookings!$A$3:$A$202,0))="","",INDEX(Bookings!$D$3:$D$202,MATCH($B81,Bookings!$A$3:$A$202,0))),""))</f>
        <v/>
      </c>
      <c r="E81" s="14" t="str">
        <f>IF($A81="","",IFERROR(IF(INDEX(Bookings!$G$3:$G$202,MATCH($B81,Bookings!$A$3:$A$202,0))="","",INDEX(Bookings!$G$3:$G$202,MATCH($B81,Bookings!$A$3:$A$202,0))),""))</f>
        <v/>
      </c>
      <c r="F81" s="14" t="str">
        <f>IF($A81="","",IFERROR(IF(INDEX(Bookings!$H$3:$H$202,MATCH($B81,Bookings!$A$3:$A$202,0))="","",INDEX(Bookings!$H$3:$H$202,MATCH($B81,Bookings!$A$3:$A$202,0))),""))</f>
        <v/>
      </c>
      <c r="G81" s="13" t="str">
        <f>IF($A81="","",IF(Connaissements!$F82="","",Connaissements!$F82))</f>
        <v/>
      </c>
      <c r="H81" s="13" t="str">
        <f>IF($A81="","",Connaissements!$H82)</f>
        <v/>
      </c>
      <c r="I81" s="13" t="str">
        <f>IF($A81="","",COUNTIFS(Conteneurs!$B$3:$B$1002,$A81,Conteneurs!$M$3:$M$1002,"Embarqué"))</f>
        <v/>
      </c>
      <c r="J81" s="18" t="str">
        <f>IF($A81="","",Connaissements!$J82)</f>
        <v/>
      </c>
      <c r="K81" s="13" t="str">
        <f>IF($A81="","",COUNTIFS(Documents!$A$3:$A$1002,$A81))</f>
        <v/>
      </c>
      <c r="L81" s="13" t="str">
        <f>IF($A81="","",COUNTIFS(Documents!$A$3:$A$1002,$A81,Documents!$I$3:$I$1002,"Envoyé DHL"))</f>
        <v/>
      </c>
      <c r="M81" s="13" t="str">
        <f>IF($A81="","",COUNTIFS(Etapes!$A$5:$A$1504,$A81,Etapes!$F$5:$F$1504,"En retard"))</f>
        <v/>
      </c>
      <c r="N81" s="18" t="str">
        <f>IF($A81="","",SUMIFS(Couts_Transitaire!$I$3:$I$602,Couts_Transitaire!$B$3:$B$602,$A81))</f>
        <v/>
      </c>
      <c r="O81" s="13" t="str">
        <f>IF($A81="","",IF($M81&gt;0,"Étapes en retard",IF(Connaissements!$K82&lt;&gt;"OK","Contrôle BL à corriger",IF($H81=0,"Aucun conteneur saisi",IF($I81&lt;$H81,"Conteneurs non embarqués",IF($L81&lt;$K81,"Documents à finaliser",IF($N81&gt;0,"Coûts à payer","OK")))))))</f>
        <v/>
      </c>
    </row>
    <row r="82" spans="1:15" x14ac:dyDescent="0.35">
      <c r="A82" s="13" t="str">
        <f>IF(Connaissements!$A83="","",Connaissements!$A83)</f>
        <v/>
      </c>
      <c r="B82" s="13" t="str">
        <f>IF($A82="","",Connaissements!$B83)</f>
        <v/>
      </c>
      <c r="C82" s="13" t="str">
        <f>IF($A82="","",Connaissements!$G83)</f>
        <v/>
      </c>
      <c r="D82" s="13" t="str">
        <f>IF($A82="","",IFERROR(IF(INDEX(Bookings!$D$3:$D$202,MATCH($B82,Bookings!$A$3:$A$202,0))="","",INDEX(Bookings!$D$3:$D$202,MATCH($B82,Bookings!$A$3:$A$202,0))),""))</f>
        <v/>
      </c>
      <c r="E82" s="14" t="str">
        <f>IF($A82="","",IFERROR(IF(INDEX(Bookings!$G$3:$G$202,MATCH($B82,Bookings!$A$3:$A$202,0))="","",INDEX(Bookings!$G$3:$G$202,MATCH($B82,Bookings!$A$3:$A$202,0))),""))</f>
        <v/>
      </c>
      <c r="F82" s="14" t="str">
        <f>IF($A82="","",IFERROR(IF(INDEX(Bookings!$H$3:$H$202,MATCH($B82,Bookings!$A$3:$A$202,0))="","",INDEX(Bookings!$H$3:$H$202,MATCH($B82,Bookings!$A$3:$A$202,0))),""))</f>
        <v/>
      </c>
      <c r="G82" s="13" t="str">
        <f>IF($A82="","",IF(Connaissements!$F83="","",Connaissements!$F83))</f>
        <v/>
      </c>
      <c r="H82" s="13" t="str">
        <f>IF($A82="","",Connaissements!$H83)</f>
        <v/>
      </c>
      <c r="I82" s="13" t="str">
        <f>IF($A82="","",COUNTIFS(Conteneurs!$B$3:$B$1002,$A82,Conteneurs!$M$3:$M$1002,"Embarqué"))</f>
        <v/>
      </c>
      <c r="J82" s="18" t="str">
        <f>IF($A82="","",Connaissements!$J83)</f>
        <v/>
      </c>
      <c r="K82" s="13" t="str">
        <f>IF($A82="","",COUNTIFS(Documents!$A$3:$A$1002,$A82))</f>
        <v/>
      </c>
      <c r="L82" s="13" t="str">
        <f>IF($A82="","",COUNTIFS(Documents!$A$3:$A$1002,$A82,Documents!$I$3:$I$1002,"Envoyé DHL"))</f>
        <v/>
      </c>
      <c r="M82" s="13" t="str">
        <f>IF($A82="","",COUNTIFS(Etapes!$A$5:$A$1504,$A82,Etapes!$F$5:$F$1504,"En retard"))</f>
        <v/>
      </c>
      <c r="N82" s="18" t="str">
        <f>IF($A82="","",SUMIFS(Couts_Transitaire!$I$3:$I$602,Couts_Transitaire!$B$3:$B$602,$A82))</f>
        <v/>
      </c>
      <c r="O82" s="13" t="str">
        <f>IF($A82="","",IF($M82&gt;0,"Étapes en retard",IF(Connaissements!$K83&lt;&gt;"OK","Contrôle BL à corriger",IF($H82=0,"Aucun conteneur saisi",IF($I82&lt;$H82,"Conteneurs non embarqués",IF($L82&lt;$K82,"Documents à finaliser",IF($N82&gt;0,"Coûts à payer","OK")))))))</f>
        <v/>
      </c>
    </row>
    <row r="83" spans="1:15" x14ac:dyDescent="0.35">
      <c r="A83" s="13" t="str">
        <f>IF(Connaissements!$A84="","",Connaissements!$A84)</f>
        <v/>
      </c>
      <c r="B83" s="13" t="str">
        <f>IF($A83="","",Connaissements!$B84)</f>
        <v/>
      </c>
      <c r="C83" s="13" t="str">
        <f>IF($A83="","",Connaissements!$G84)</f>
        <v/>
      </c>
      <c r="D83" s="13" t="str">
        <f>IF($A83="","",IFERROR(IF(INDEX(Bookings!$D$3:$D$202,MATCH($B83,Bookings!$A$3:$A$202,0))="","",INDEX(Bookings!$D$3:$D$202,MATCH($B83,Bookings!$A$3:$A$202,0))),""))</f>
        <v/>
      </c>
      <c r="E83" s="14" t="str">
        <f>IF($A83="","",IFERROR(IF(INDEX(Bookings!$G$3:$G$202,MATCH($B83,Bookings!$A$3:$A$202,0))="","",INDEX(Bookings!$G$3:$G$202,MATCH($B83,Bookings!$A$3:$A$202,0))),""))</f>
        <v/>
      </c>
      <c r="F83" s="14" t="str">
        <f>IF($A83="","",IFERROR(IF(INDEX(Bookings!$H$3:$H$202,MATCH($B83,Bookings!$A$3:$A$202,0))="","",INDEX(Bookings!$H$3:$H$202,MATCH($B83,Bookings!$A$3:$A$202,0))),""))</f>
        <v/>
      </c>
      <c r="G83" s="13" t="str">
        <f>IF($A83="","",IF(Connaissements!$F84="","",Connaissements!$F84))</f>
        <v/>
      </c>
      <c r="H83" s="13" t="str">
        <f>IF($A83="","",Connaissements!$H84)</f>
        <v/>
      </c>
      <c r="I83" s="13" t="str">
        <f>IF($A83="","",COUNTIFS(Conteneurs!$B$3:$B$1002,$A83,Conteneurs!$M$3:$M$1002,"Embarqué"))</f>
        <v/>
      </c>
      <c r="J83" s="18" t="str">
        <f>IF($A83="","",Connaissements!$J84)</f>
        <v/>
      </c>
      <c r="K83" s="13" t="str">
        <f>IF($A83="","",COUNTIFS(Documents!$A$3:$A$1002,$A83))</f>
        <v/>
      </c>
      <c r="L83" s="13" t="str">
        <f>IF($A83="","",COUNTIFS(Documents!$A$3:$A$1002,$A83,Documents!$I$3:$I$1002,"Envoyé DHL"))</f>
        <v/>
      </c>
      <c r="M83" s="13" t="str">
        <f>IF($A83="","",COUNTIFS(Etapes!$A$5:$A$1504,$A83,Etapes!$F$5:$F$1504,"En retard"))</f>
        <v/>
      </c>
      <c r="N83" s="18" t="str">
        <f>IF($A83="","",SUMIFS(Couts_Transitaire!$I$3:$I$602,Couts_Transitaire!$B$3:$B$602,$A83))</f>
        <v/>
      </c>
      <c r="O83" s="13" t="str">
        <f>IF($A83="","",IF($M83&gt;0,"Étapes en retard",IF(Connaissements!$K84&lt;&gt;"OK","Contrôle BL à corriger",IF($H83=0,"Aucun conteneur saisi",IF($I83&lt;$H83,"Conteneurs non embarqués",IF($L83&lt;$K83,"Documents à finaliser",IF($N83&gt;0,"Coûts à payer","OK")))))))</f>
        <v/>
      </c>
    </row>
    <row r="84" spans="1:15" x14ac:dyDescent="0.35">
      <c r="A84" s="13" t="str">
        <f>IF(Connaissements!$A85="","",Connaissements!$A85)</f>
        <v/>
      </c>
      <c r="B84" s="13" t="str">
        <f>IF($A84="","",Connaissements!$B85)</f>
        <v/>
      </c>
      <c r="C84" s="13" t="str">
        <f>IF($A84="","",Connaissements!$G85)</f>
        <v/>
      </c>
      <c r="D84" s="13" t="str">
        <f>IF($A84="","",IFERROR(IF(INDEX(Bookings!$D$3:$D$202,MATCH($B84,Bookings!$A$3:$A$202,0))="","",INDEX(Bookings!$D$3:$D$202,MATCH($B84,Bookings!$A$3:$A$202,0))),""))</f>
        <v/>
      </c>
      <c r="E84" s="14" t="str">
        <f>IF($A84="","",IFERROR(IF(INDEX(Bookings!$G$3:$G$202,MATCH($B84,Bookings!$A$3:$A$202,0))="","",INDEX(Bookings!$G$3:$G$202,MATCH($B84,Bookings!$A$3:$A$202,0))),""))</f>
        <v/>
      </c>
      <c r="F84" s="14" t="str">
        <f>IF($A84="","",IFERROR(IF(INDEX(Bookings!$H$3:$H$202,MATCH($B84,Bookings!$A$3:$A$202,0))="","",INDEX(Bookings!$H$3:$H$202,MATCH($B84,Bookings!$A$3:$A$202,0))),""))</f>
        <v/>
      </c>
      <c r="G84" s="13" t="str">
        <f>IF($A84="","",IF(Connaissements!$F85="","",Connaissements!$F85))</f>
        <v/>
      </c>
      <c r="H84" s="13" t="str">
        <f>IF($A84="","",Connaissements!$H85)</f>
        <v/>
      </c>
      <c r="I84" s="13" t="str">
        <f>IF($A84="","",COUNTIFS(Conteneurs!$B$3:$B$1002,$A84,Conteneurs!$M$3:$M$1002,"Embarqué"))</f>
        <v/>
      </c>
      <c r="J84" s="18" t="str">
        <f>IF($A84="","",Connaissements!$J85)</f>
        <v/>
      </c>
      <c r="K84" s="13" t="str">
        <f>IF($A84="","",COUNTIFS(Documents!$A$3:$A$1002,$A84))</f>
        <v/>
      </c>
      <c r="L84" s="13" t="str">
        <f>IF($A84="","",COUNTIFS(Documents!$A$3:$A$1002,$A84,Documents!$I$3:$I$1002,"Envoyé DHL"))</f>
        <v/>
      </c>
      <c r="M84" s="13" t="str">
        <f>IF($A84="","",COUNTIFS(Etapes!$A$5:$A$1504,$A84,Etapes!$F$5:$F$1504,"En retard"))</f>
        <v/>
      </c>
      <c r="N84" s="18" t="str">
        <f>IF($A84="","",SUMIFS(Couts_Transitaire!$I$3:$I$602,Couts_Transitaire!$B$3:$B$602,$A84))</f>
        <v/>
      </c>
      <c r="O84" s="13" t="str">
        <f>IF($A84="","",IF($M84&gt;0,"Étapes en retard",IF(Connaissements!$K85&lt;&gt;"OK","Contrôle BL à corriger",IF($H84=0,"Aucun conteneur saisi",IF($I84&lt;$H84,"Conteneurs non embarqués",IF($L84&lt;$K84,"Documents à finaliser",IF($N84&gt;0,"Coûts à payer","OK")))))))</f>
        <v/>
      </c>
    </row>
    <row r="85" spans="1:15" x14ac:dyDescent="0.35">
      <c r="A85" s="13" t="str">
        <f>IF(Connaissements!$A86="","",Connaissements!$A86)</f>
        <v/>
      </c>
      <c r="B85" s="13" t="str">
        <f>IF($A85="","",Connaissements!$B86)</f>
        <v/>
      </c>
      <c r="C85" s="13" t="str">
        <f>IF($A85="","",Connaissements!$G86)</f>
        <v/>
      </c>
      <c r="D85" s="13" t="str">
        <f>IF($A85="","",IFERROR(IF(INDEX(Bookings!$D$3:$D$202,MATCH($B85,Bookings!$A$3:$A$202,0))="","",INDEX(Bookings!$D$3:$D$202,MATCH($B85,Bookings!$A$3:$A$202,0))),""))</f>
        <v/>
      </c>
      <c r="E85" s="14" t="str">
        <f>IF($A85="","",IFERROR(IF(INDEX(Bookings!$G$3:$G$202,MATCH($B85,Bookings!$A$3:$A$202,0))="","",INDEX(Bookings!$G$3:$G$202,MATCH($B85,Bookings!$A$3:$A$202,0))),""))</f>
        <v/>
      </c>
      <c r="F85" s="14" t="str">
        <f>IF($A85="","",IFERROR(IF(INDEX(Bookings!$H$3:$H$202,MATCH($B85,Bookings!$A$3:$A$202,0))="","",INDEX(Bookings!$H$3:$H$202,MATCH($B85,Bookings!$A$3:$A$202,0))),""))</f>
        <v/>
      </c>
      <c r="G85" s="13" t="str">
        <f>IF($A85="","",IF(Connaissements!$F86="","",Connaissements!$F86))</f>
        <v/>
      </c>
      <c r="H85" s="13" t="str">
        <f>IF($A85="","",Connaissements!$H86)</f>
        <v/>
      </c>
      <c r="I85" s="13" t="str">
        <f>IF($A85="","",COUNTIFS(Conteneurs!$B$3:$B$1002,$A85,Conteneurs!$M$3:$M$1002,"Embarqué"))</f>
        <v/>
      </c>
      <c r="J85" s="18" t="str">
        <f>IF($A85="","",Connaissements!$J86)</f>
        <v/>
      </c>
      <c r="K85" s="13" t="str">
        <f>IF($A85="","",COUNTIFS(Documents!$A$3:$A$1002,$A85))</f>
        <v/>
      </c>
      <c r="L85" s="13" t="str">
        <f>IF($A85="","",COUNTIFS(Documents!$A$3:$A$1002,$A85,Documents!$I$3:$I$1002,"Envoyé DHL"))</f>
        <v/>
      </c>
      <c r="M85" s="13" t="str">
        <f>IF($A85="","",COUNTIFS(Etapes!$A$5:$A$1504,$A85,Etapes!$F$5:$F$1504,"En retard"))</f>
        <v/>
      </c>
      <c r="N85" s="18" t="str">
        <f>IF($A85="","",SUMIFS(Couts_Transitaire!$I$3:$I$602,Couts_Transitaire!$B$3:$B$602,$A85))</f>
        <v/>
      </c>
      <c r="O85" s="13" t="str">
        <f>IF($A85="","",IF($M85&gt;0,"Étapes en retard",IF(Connaissements!$K86&lt;&gt;"OK","Contrôle BL à corriger",IF($H85=0,"Aucun conteneur saisi",IF($I85&lt;$H85,"Conteneurs non embarqués",IF($L85&lt;$K85,"Documents à finaliser",IF($N85&gt;0,"Coûts à payer","OK")))))))</f>
        <v/>
      </c>
    </row>
    <row r="86" spans="1:15" x14ac:dyDescent="0.35">
      <c r="A86" s="13" t="str">
        <f>IF(Connaissements!$A87="","",Connaissements!$A87)</f>
        <v/>
      </c>
      <c r="B86" s="13" t="str">
        <f>IF($A86="","",Connaissements!$B87)</f>
        <v/>
      </c>
      <c r="C86" s="13" t="str">
        <f>IF($A86="","",Connaissements!$G87)</f>
        <v/>
      </c>
      <c r="D86" s="13" t="str">
        <f>IF($A86="","",IFERROR(IF(INDEX(Bookings!$D$3:$D$202,MATCH($B86,Bookings!$A$3:$A$202,0))="","",INDEX(Bookings!$D$3:$D$202,MATCH($B86,Bookings!$A$3:$A$202,0))),""))</f>
        <v/>
      </c>
      <c r="E86" s="14" t="str">
        <f>IF($A86="","",IFERROR(IF(INDEX(Bookings!$G$3:$G$202,MATCH($B86,Bookings!$A$3:$A$202,0))="","",INDEX(Bookings!$G$3:$G$202,MATCH($B86,Bookings!$A$3:$A$202,0))),""))</f>
        <v/>
      </c>
      <c r="F86" s="14" t="str">
        <f>IF($A86="","",IFERROR(IF(INDEX(Bookings!$H$3:$H$202,MATCH($B86,Bookings!$A$3:$A$202,0))="","",INDEX(Bookings!$H$3:$H$202,MATCH($B86,Bookings!$A$3:$A$202,0))),""))</f>
        <v/>
      </c>
      <c r="G86" s="13" t="str">
        <f>IF($A86="","",IF(Connaissements!$F87="","",Connaissements!$F87))</f>
        <v/>
      </c>
      <c r="H86" s="13" t="str">
        <f>IF($A86="","",Connaissements!$H87)</f>
        <v/>
      </c>
      <c r="I86" s="13" t="str">
        <f>IF($A86="","",COUNTIFS(Conteneurs!$B$3:$B$1002,$A86,Conteneurs!$M$3:$M$1002,"Embarqué"))</f>
        <v/>
      </c>
      <c r="J86" s="18" t="str">
        <f>IF($A86="","",Connaissements!$J87)</f>
        <v/>
      </c>
      <c r="K86" s="13" t="str">
        <f>IF($A86="","",COUNTIFS(Documents!$A$3:$A$1002,$A86))</f>
        <v/>
      </c>
      <c r="L86" s="13" t="str">
        <f>IF($A86="","",COUNTIFS(Documents!$A$3:$A$1002,$A86,Documents!$I$3:$I$1002,"Envoyé DHL"))</f>
        <v/>
      </c>
      <c r="M86" s="13" t="str">
        <f>IF($A86="","",COUNTIFS(Etapes!$A$5:$A$1504,$A86,Etapes!$F$5:$F$1504,"En retard"))</f>
        <v/>
      </c>
      <c r="N86" s="18" t="str">
        <f>IF($A86="","",SUMIFS(Couts_Transitaire!$I$3:$I$602,Couts_Transitaire!$B$3:$B$602,$A86))</f>
        <v/>
      </c>
      <c r="O86" s="13" t="str">
        <f>IF($A86="","",IF($M86&gt;0,"Étapes en retard",IF(Connaissements!$K87&lt;&gt;"OK","Contrôle BL à corriger",IF($H86=0,"Aucun conteneur saisi",IF($I86&lt;$H86,"Conteneurs non embarqués",IF($L86&lt;$K86,"Documents à finaliser",IF($N86&gt;0,"Coûts à payer","OK")))))))</f>
        <v/>
      </c>
    </row>
    <row r="87" spans="1:15" x14ac:dyDescent="0.35">
      <c r="A87" s="13" t="str">
        <f>IF(Connaissements!$A88="","",Connaissements!$A88)</f>
        <v/>
      </c>
      <c r="B87" s="13" t="str">
        <f>IF($A87="","",Connaissements!$B88)</f>
        <v/>
      </c>
      <c r="C87" s="13" t="str">
        <f>IF($A87="","",Connaissements!$G88)</f>
        <v/>
      </c>
      <c r="D87" s="13" t="str">
        <f>IF($A87="","",IFERROR(IF(INDEX(Bookings!$D$3:$D$202,MATCH($B87,Bookings!$A$3:$A$202,0))="","",INDEX(Bookings!$D$3:$D$202,MATCH($B87,Bookings!$A$3:$A$202,0))),""))</f>
        <v/>
      </c>
      <c r="E87" s="14" t="str">
        <f>IF($A87="","",IFERROR(IF(INDEX(Bookings!$G$3:$G$202,MATCH($B87,Bookings!$A$3:$A$202,0))="","",INDEX(Bookings!$G$3:$G$202,MATCH($B87,Bookings!$A$3:$A$202,0))),""))</f>
        <v/>
      </c>
      <c r="F87" s="14" t="str">
        <f>IF($A87="","",IFERROR(IF(INDEX(Bookings!$H$3:$H$202,MATCH($B87,Bookings!$A$3:$A$202,0))="","",INDEX(Bookings!$H$3:$H$202,MATCH($B87,Bookings!$A$3:$A$202,0))),""))</f>
        <v/>
      </c>
      <c r="G87" s="13" t="str">
        <f>IF($A87="","",IF(Connaissements!$F88="","",Connaissements!$F88))</f>
        <v/>
      </c>
      <c r="H87" s="13" t="str">
        <f>IF($A87="","",Connaissements!$H88)</f>
        <v/>
      </c>
      <c r="I87" s="13" t="str">
        <f>IF($A87="","",COUNTIFS(Conteneurs!$B$3:$B$1002,$A87,Conteneurs!$M$3:$M$1002,"Embarqué"))</f>
        <v/>
      </c>
      <c r="J87" s="18" t="str">
        <f>IF($A87="","",Connaissements!$J88)</f>
        <v/>
      </c>
      <c r="K87" s="13" t="str">
        <f>IF($A87="","",COUNTIFS(Documents!$A$3:$A$1002,$A87))</f>
        <v/>
      </c>
      <c r="L87" s="13" t="str">
        <f>IF($A87="","",COUNTIFS(Documents!$A$3:$A$1002,$A87,Documents!$I$3:$I$1002,"Envoyé DHL"))</f>
        <v/>
      </c>
      <c r="M87" s="13" t="str">
        <f>IF($A87="","",COUNTIFS(Etapes!$A$5:$A$1504,$A87,Etapes!$F$5:$F$1504,"En retard"))</f>
        <v/>
      </c>
      <c r="N87" s="18" t="str">
        <f>IF($A87="","",SUMIFS(Couts_Transitaire!$I$3:$I$602,Couts_Transitaire!$B$3:$B$602,$A87))</f>
        <v/>
      </c>
      <c r="O87" s="13" t="str">
        <f>IF($A87="","",IF($M87&gt;0,"Étapes en retard",IF(Connaissements!$K88&lt;&gt;"OK","Contrôle BL à corriger",IF($H87=0,"Aucun conteneur saisi",IF($I87&lt;$H87,"Conteneurs non embarqués",IF($L87&lt;$K87,"Documents à finaliser",IF($N87&gt;0,"Coûts à payer","OK")))))))</f>
        <v/>
      </c>
    </row>
    <row r="88" spans="1:15" x14ac:dyDescent="0.35">
      <c r="A88" s="13" t="str">
        <f>IF(Connaissements!$A89="","",Connaissements!$A89)</f>
        <v/>
      </c>
      <c r="B88" s="13" t="str">
        <f>IF($A88="","",Connaissements!$B89)</f>
        <v/>
      </c>
      <c r="C88" s="13" t="str">
        <f>IF($A88="","",Connaissements!$G89)</f>
        <v/>
      </c>
      <c r="D88" s="13" t="str">
        <f>IF($A88="","",IFERROR(IF(INDEX(Bookings!$D$3:$D$202,MATCH($B88,Bookings!$A$3:$A$202,0))="","",INDEX(Bookings!$D$3:$D$202,MATCH($B88,Bookings!$A$3:$A$202,0))),""))</f>
        <v/>
      </c>
      <c r="E88" s="14" t="str">
        <f>IF($A88="","",IFERROR(IF(INDEX(Bookings!$G$3:$G$202,MATCH($B88,Bookings!$A$3:$A$202,0))="","",INDEX(Bookings!$G$3:$G$202,MATCH($B88,Bookings!$A$3:$A$202,0))),""))</f>
        <v/>
      </c>
      <c r="F88" s="14" t="str">
        <f>IF($A88="","",IFERROR(IF(INDEX(Bookings!$H$3:$H$202,MATCH($B88,Bookings!$A$3:$A$202,0))="","",INDEX(Bookings!$H$3:$H$202,MATCH($B88,Bookings!$A$3:$A$202,0))),""))</f>
        <v/>
      </c>
      <c r="G88" s="13" t="str">
        <f>IF($A88="","",IF(Connaissements!$F89="","",Connaissements!$F89))</f>
        <v/>
      </c>
      <c r="H88" s="13" t="str">
        <f>IF($A88="","",Connaissements!$H89)</f>
        <v/>
      </c>
      <c r="I88" s="13" t="str">
        <f>IF($A88="","",COUNTIFS(Conteneurs!$B$3:$B$1002,$A88,Conteneurs!$M$3:$M$1002,"Embarqué"))</f>
        <v/>
      </c>
      <c r="J88" s="18" t="str">
        <f>IF($A88="","",Connaissements!$J89)</f>
        <v/>
      </c>
      <c r="K88" s="13" t="str">
        <f>IF($A88="","",COUNTIFS(Documents!$A$3:$A$1002,$A88))</f>
        <v/>
      </c>
      <c r="L88" s="13" t="str">
        <f>IF($A88="","",COUNTIFS(Documents!$A$3:$A$1002,$A88,Documents!$I$3:$I$1002,"Envoyé DHL"))</f>
        <v/>
      </c>
      <c r="M88" s="13" t="str">
        <f>IF($A88="","",COUNTIFS(Etapes!$A$5:$A$1504,$A88,Etapes!$F$5:$F$1504,"En retard"))</f>
        <v/>
      </c>
      <c r="N88" s="18" t="str">
        <f>IF($A88="","",SUMIFS(Couts_Transitaire!$I$3:$I$602,Couts_Transitaire!$B$3:$B$602,$A88))</f>
        <v/>
      </c>
      <c r="O88" s="13" t="str">
        <f>IF($A88="","",IF($M88&gt;0,"Étapes en retard",IF(Connaissements!$K89&lt;&gt;"OK","Contrôle BL à corriger",IF($H88=0,"Aucun conteneur saisi",IF($I88&lt;$H88,"Conteneurs non embarqués",IF($L88&lt;$K88,"Documents à finaliser",IF($N88&gt;0,"Coûts à payer","OK")))))))</f>
        <v/>
      </c>
    </row>
    <row r="89" spans="1:15" x14ac:dyDescent="0.35">
      <c r="A89" s="13" t="str">
        <f>IF(Connaissements!$A90="","",Connaissements!$A90)</f>
        <v/>
      </c>
      <c r="B89" s="13" t="str">
        <f>IF($A89="","",Connaissements!$B90)</f>
        <v/>
      </c>
      <c r="C89" s="13" t="str">
        <f>IF($A89="","",Connaissements!$G90)</f>
        <v/>
      </c>
      <c r="D89" s="13" t="str">
        <f>IF($A89="","",IFERROR(IF(INDEX(Bookings!$D$3:$D$202,MATCH($B89,Bookings!$A$3:$A$202,0))="","",INDEX(Bookings!$D$3:$D$202,MATCH($B89,Bookings!$A$3:$A$202,0))),""))</f>
        <v/>
      </c>
      <c r="E89" s="14" t="str">
        <f>IF($A89="","",IFERROR(IF(INDEX(Bookings!$G$3:$G$202,MATCH($B89,Bookings!$A$3:$A$202,0))="","",INDEX(Bookings!$G$3:$G$202,MATCH($B89,Bookings!$A$3:$A$202,0))),""))</f>
        <v/>
      </c>
      <c r="F89" s="14" t="str">
        <f>IF($A89="","",IFERROR(IF(INDEX(Bookings!$H$3:$H$202,MATCH($B89,Bookings!$A$3:$A$202,0))="","",INDEX(Bookings!$H$3:$H$202,MATCH($B89,Bookings!$A$3:$A$202,0))),""))</f>
        <v/>
      </c>
      <c r="G89" s="13" t="str">
        <f>IF($A89="","",IF(Connaissements!$F90="","",Connaissements!$F90))</f>
        <v/>
      </c>
      <c r="H89" s="13" t="str">
        <f>IF($A89="","",Connaissements!$H90)</f>
        <v/>
      </c>
      <c r="I89" s="13" t="str">
        <f>IF($A89="","",COUNTIFS(Conteneurs!$B$3:$B$1002,$A89,Conteneurs!$M$3:$M$1002,"Embarqué"))</f>
        <v/>
      </c>
      <c r="J89" s="18" t="str">
        <f>IF($A89="","",Connaissements!$J90)</f>
        <v/>
      </c>
      <c r="K89" s="13" t="str">
        <f>IF($A89="","",COUNTIFS(Documents!$A$3:$A$1002,$A89))</f>
        <v/>
      </c>
      <c r="L89" s="13" t="str">
        <f>IF($A89="","",COUNTIFS(Documents!$A$3:$A$1002,$A89,Documents!$I$3:$I$1002,"Envoyé DHL"))</f>
        <v/>
      </c>
      <c r="M89" s="13" t="str">
        <f>IF($A89="","",COUNTIFS(Etapes!$A$5:$A$1504,$A89,Etapes!$F$5:$F$1504,"En retard"))</f>
        <v/>
      </c>
      <c r="N89" s="18" t="str">
        <f>IF($A89="","",SUMIFS(Couts_Transitaire!$I$3:$I$602,Couts_Transitaire!$B$3:$B$602,$A89))</f>
        <v/>
      </c>
      <c r="O89" s="13" t="str">
        <f>IF($A89="","",IF($M89&gt;0,"Étapes en retard",IF(Connaissements!$K90&lt;&gt;"OK","Contrôle BL à corriger",IF($H89=0,"Aucun conteneur saisi",IF($I89&lt;$H89,"Conteneurs non embarqués",IF($L89&lt;$K89,"Documents à finaliser",IF($N89&gt;0,"Coûts à payer","OK")))))))</f>
        <v/>
      </c>
    </row>
    <row r="90" spans="1:15" x14ac:dyDescent="0.35">
      <c r="A90" s="13" t="str">
        <f>IF(Connaissements!$A91="","",Connaissements!$A91)</f>
        <v/>
      </c>
      <c r="B90" s="13" t="str">
        <f>IF($A90="","",Connaissements!$B91)</f>
        <v/>
      </c>
      <c r="C90" s="13" t="str">
        <f>IF($A90="","",Connaissements!$G91)</f>
        <v/>
      </c>
      <c r="D90" s="13" t="str">
        <f>IF($A90="","",IFERROR(IF(INDEX(Bookings!$D$3:$D$202,MATCH($B90,Bookings!$A$3:$A$202,0))="","",INDEX(Bookings!$D$3:$D$202,MATCH($B90,Bookings!$A$3:$A$202,0))),""))</f>
        <v/>
      </c>
      <c r="E90" s="14" t="str">
        <f>IF($A90="","",IFERROR(IF(INDEX(Bookings!$G$3:$G$202,MATCH($B90,Bookings!$A$3:$A$202,0))="","",INDEX(Bookings!$G$3:$G$202,MATCH($B90,Bookings!$A$3:$A$202,0))),""))</f>
        <v/>
      </c>
      <c r="F90" s="14" t="str">
        <f>IF($A90="","",IFERROR(IF(INDEX(Bookings!$H$3:$H$202,MATCH($B90,Bookings!$A$3:$A$202,0))="","",INDEX(Bookings!$H$3:$H$202,MATCH($B90,Bookings!$A$3:$A$202,0))),""))</f>
        <v/>
      </c>
      <c r="G90" s="13" t="str">
        <f>IF($A90="","",IF(Connaissements!$F91="","",Connaissements!$F91))</f>
        <v/>
      </c>
      <c r="H90" s="13" t="str">
        <f>IF($A90="","",Connaissements!$H91)</f>
        <v/>
      </c>
      <c r="I90" s="13" t="str">
        <f>IF($A90="","",COUNTIFS(Conteneurs!$B$3:$B$1002,$A90,Conteneurs!$M$3:$M$1002,"Embarqué"))</f>
        <v/>
      </c>
      <c r="J90" s="18" t="str">
        <f>IF($A90="","",Connaissements!$J91)</f>
        <v/>
      </c>
      <c r="K90" s="13" t="str">
        <f>IF($A90="","",COUNTIFS(Documents!$A$3:$A$1002,$A90))</f>
        <v/>
      </c>
      <c r="L90" s="13" t="str">
        <f>IF($A90="","",COUNTIFS(Documents!$A$3:$A$1002,$A90,Documents!$I$3:$I$1002,"Envoyé DHL"))</f>
        <v/>
      </c>
      <c r="M90" s="13" t="str">
        <f>IF($A90="","",COUNTIFS(Etapes!$A$5:$A$1504,$A90,Etapes!$F$5:$F$1504,"En retard"))</f>
        <v/>
      </c>
      <c r="N90" s="18" t="str">
        <f>IF($A90="","",SUMIFS(Couts_Transitaire!$I$3:$I$602,Couts_Transitaire!$B$3:$B$602,$A90))</f>
        <v/>
      </c>
      <c r="O90" s="13" t="str">
        <f>IF($A90="","",IF($M90&gt;0,"Étapes en retard",IF(Connaissements!$K91&lt;&gt;"OK","Contrôle BL à corriger",IF($H90=0,"Aucun conteneur saisi",IF($I90&lt;$H90,"Conteneurs non embarqués",IF($L90&lt;$K90,"Documents à finaliser",IF($N90&gt;0,"Coûts à payer","OK")))))))</f>
        <v/>
      </c>
    </row>
    <row r="91" spans="1:15" x14ac:dyDescent="0.35">
      <c r="A91" s="13" t="str">
        <f>IF(Connaissements!$A92="","",Connaissements!$A92)</f>
        <v/>
      </c>
      <c r="B91" s="13" t="str">
        <f>IF($A91="","",Connaissements!$B92)</f>
        <v/>
      </c>
      <c r="C91" s="13" t="str">
        <f>IF($A91="","",Connaissements!$G92)</f>
        <v/>
      </c>
      <c r="D91" s="13" t="str">
        <f>IF($A91="","",IFERROR(IF(INDEX(Bookings!$D$3:$D$202,MATCH($B91,Bookings!$A$3:$A$202,0))="","",INDEX(Bookings!$D$3:$D$202,MATCH($B91,Bookings!$A$3:$A$202,0))),""))</f>
        <v/>
      </c>
      <c r="E91" s="14" t="str">
        <f>IF($A91="","",IFERROR(IF(INDEX(Bookings!$G$3:$G$202,MATCH($B91,Bookings!$A$3:$A$202,0))="","",INDEX(Bookings!$G$3:$G$202,MATCH($B91,Bookings!$A$3:$A$202,0))),""))</f>
        <v/>
      </c>
      <c r="F91" s="14" t="str">
        <f>IF($A91="","",IFERROR(IF(INDEX(Bookings!$H$3:$H$202,MATCH($B91,Bookings!$A$3:$A$202,0))="","",INDEX(Bookings!$H$3:$H$202,MATCH($B91,Bookings!$A$3:$A$202,0))),""))</f>
        <v/>
      </c>
      <c r="G91" s="13" t="str">
        <f>IF($A91="","",IF(Connaissements!$F92="","",Connaissements!$F92))</f>
        <v/>
      </c>
      <c r="H91" s="13" t="str">
        <f>IF($A91="","",Connaissements!$H92)</f>
        <v/>
      </c>
      <c r="I91" s="13" t="str">
        <f>IF($A91="","",COUNTIFS(Conteneurs!$B$3:$B$1002,$A91,Conteneurs!$M$3:$M$1002,"Embarqué"))</f>
        <v/>
      </c>
      <c r="J91" s="18" t="str">
        <f>IF($A91="","",Connaissements!$J92)</f>
        <v/>
      </c>
      <c r="K91" s="13" t="str">
        <f>IF($A91="","",COUNTIFS(Documents!$A$3:$A$1002,$A91))</f>
        <v/>
      </c>
      <c r="L91" s="13" t="str">
        <f>IF($A91="","",COUNTIFS(Documents!$A$3:$A$1002,$A91,Documents!$I$3:$I$1002,"Envoyé DHL"))</f>
        <v/>
      </c>
      <c r="M91" s="13" t="str">
        <f>IF($A91="","",COUNTIFS(Etapes!$A$5:$A$1504,$A91,Etapes!$F$5:$F$1504,"En retard"))</f>
        <v/>
      </c>
      <c r="N91" s="18" t="str">
        <f>IF($A91="","",SUMIFS(Couts_Transitaire!$I$3:$I$602,Couts_Transitaire!$B$3:$B$602,$A91))</f>
        <v/>
      </c>
      <c r="O91" s="13" t="str">
        <f>IF($A91="","",IF($M91&gt;0,"Étapes en retard",IF(Connaissements!$K92&lt;&gt;"OK","Contrôle BL à corriger",IF($H91=0,"Aucun conteneur saisi",IF($I91&lt;$H91,"Conteneurs non embarqués",IF($L91&lt;$K91,"Documents à finaliser",IF($N91&gt;0,"Coûts à payer","OK")))))))</f>
        <v/>
      </c>
    </row>
    <row r="92" spans="1:15" x14ac:dyDescent="0.35">
      <c r="A92" s="13" t="str">
        <f>IF(Connaissements!$A93="","",Connaissements!$A93)</f>
        <v/>
      </c>
      <c r="B92" s="13" t="str">
        <f>IF($A92="","",Connaissements!$B93)</f>
        <v/>
      </c>
      <c r="C92" s="13" t="str">
        <f>IF($A92="","",Connaissements!$G93)</f>
        <v/>
      </c>
      <c r="D92" s="13" t="str">
        <f>IF($A92="","",IFERROR(IF(INDEX(Bookings!$D$3:$D$202,MATCH($B92,Bookings!$A$3:$A$202,0))="","",INDEX(Bookings!$D$3:$D$202,MATCH($B92,Bookings!$A$3:$A$202,0))),""))</f>
        <v/>
      </c>
      <c r="E92" s="14" t="str">
        <f>IF($A92="","",IFERROR(IF(INDEX(Bookings!$G$3:$G$202,MATCH($B92,Bookings!$A$3:$A$202,0))="","",INDEX(Bookings!$G$3:$G$202,MATCH($B92,Bookings!$A$3:$A$202,0))),""))</f>
        <v/>
      </c>
      <c r="F92" s="14" t="str">
        <f>IF($A92="","",IFERROR(IF(INDEX(Bookings!$H$3:$H$202,MATCH($B92,Bookings!$A$3:$A$202,0))="","",INDEX(Bookings!$H$3:$H$202,MATCH($B92,Bookings!$A$3:$A$202,0))),""))</f>
        <v/>
      </c>
      <c r="G92" s="13" t="str">
        <f>IF($A92="","",IF(Connaissements!$F93="","",Connaissements!$F93))</f>
        <v/>
      </c>
      <c r="H92" s="13" t="str">
        <f>IF($A92="","",Connaissements!$H93)</f>
        <v/>
      </c>
      <c r="I92" s="13" t="str">
        <f>IF($A92="","",COUNTIFS(Conteneurs!$B$3:$B$1002,$A92,Conteneurs!$M$3:$M$1002,"Embarqué"))</f>
        <v/>
      </c>
      <c r="J92" s="18" t="str">
        <f>IF($A92="","",Connaissements!$J93)</f>
        <v/>
      </c>
      <c r="K92" s="13" t="str">
        <f>IF($A92="","",COUNTIFS(Documents!$A$3:$A$1002,$A92))</f>
        <v/>
      </c>
      <c r="L92" s="13" t="str">
        <f>IF($A92="","",COUNTIFS(Documents!$A$3:$A$1002,$A92,Documents!$I$3:$I$1002,"Envoyé DHL"))</f>
        <v/>
      </c>
      <c r="M92" s="13" t="str">
        <f>IF($A92="","",COUNTIFS(Etapes!$A$5:$A$1504,$A92,Etapes!$F$5:$F$1504,"En retard"))</f>
        <v/>
      </c>
      <c r="N92" s="18" t="str">
        <f>IF($A92="","",SUMIFS(Couts_Transitaire!$I$3:$I$602,Couts_Transitaire!$B$3:$B$602,$A92))</f>
        <v/>
      </c>
      <c r="O92" s="13" t="str">
        <f>IF($A92="","",IF($M92&gt;0,"Étapes en retard",IF(Connaissements!$K93&lt;&gt;"OK","Contrôle BL à corriger",IF($H92=0,"Aucun conteneur saisi",IF($I92&lt;$H92,"Conteneurs non embarqués",IF($L92&lt;$K92,"Documents à finaliser",IF($N92&gt;0,"Coûts à payer","OK")))))))</f>
        <v/>
      </c>
    </row>
    <row r="93" spans="1:15" x14ac:dyDescent="0.35">
      <c r="A93" s="13" t="str">
        <f>IF(Connaissements!$A94="","",Connaissements!$A94)</f>
        <v/>
      </c>
      <c r="B93" s="13" t="str">
        <f>IF($A93="","",Connaissements!$B94)</f>
        <v/>
      </c>
      <c r="C93" s="13" t="str">
        <f>IF($A93="","",Connaissements!$G94)</f>
        <v/>
      </c>
      <c r="D93" s="13" t="str">
        <f>IF($A93="","",IFERROR(IF(INDEX(Bookings!$D$3:$D$202,MATCH($B93,Bookings!$A$3:$A$202,0))="","",INDEX(Bookings!$D$3:$D$202,MATCH($B93,Bookings!$A$3:$A$202,0))),""))</f>
        <v/>
      </c>
      <c r="E93" s="14" t="str">
        <f>IF($A93="","",IFERROR(IF(INDEX(Bookings!$G$3:$G$202,MATCH($B93,Bookings!$A$3:$A$202,0))="","",INDEX(Bookings!$G$3:$G$202,MATCH($B93,Bookings!$A$3:$A$202,0))),""))</f>
        <v/>
      </c>
      <c r="F93" s="14" t="str">
        <f>IF($A93="","",IFERROR(IF(INDEX(Bookings!$H$3:$H$202,MATCH($B93,Bookings!$A$3:$A$202,0))="","",INDEX(Bookings!$H$3:$H$202,MATCH($B93,Bookings!$A$3:$A$202,0))),""))</f>
        <v/>
      </c>
      <c r="G93" s="13" t="str">
        <f>IF($A93="","",IF(Connaissements!$F94="","",Connaissements!$F94))</f>
        <v/>
      </c>
      <c r="H93" s="13" t="str">
        <f>IF($A93="","",Connaissements!$H94)</f>
        <v/>
      </c>
      <c r="I93" s="13" t="str">
        <f>IF($A93="","",COUNTIFS(Conteneurs!$B$3:$B$1002,$A93,Conteneurs!$M$3:$M$1002,"Embarqué"))</f>
        <v/>
      </c>
      <c r="J93" s="18" t="str">
        <f>IF($A93="","",Connaissements!$J94)</f>
        <v/>
      </c>
      <c r="K93" s="13" t="str">
        <f>IF($A93="","",COUNTIFS(Documents!$A$3:$A$1002,$A93))</f>
        <v/>
      </c>
      <c r="L93" s="13" t="str">
        <f>IF($A93="","",COUNTIFS(Documents!$A$3:$A$1002,$A93,Documents!$I$3:$I$1002,"Envoyé DHL"))</f>
        <v/>
      </c>
      <c r="M93" s="13" t="str">
        <f>IF($A93="","",COUNTIFS(Etapes!$A$5:$A$1504,$A93,Etapes!$F$5:$F$1504,"En retard"))</f>
        <v/>
      </c>
      <c r="N93" s="18" t="str">
        <f>IF($A93="","",SUMIFS(Couts_Transitaire!$I$3:$I$602,Couts_Transitaire!$B$3:$B$602,$A93))</f>
        <v/>
      </c>
      <c r="O93" s="13" t="str">
        <f>IF($A93="","",IF($M93&gt;0,"Étapes en retard",IF(Connaissements!$K94&lt;&gt;"OK","Contrôle BL à corriger",IF($H93=0,"Aucun conteneur saisi",IF($I93&lt;$H93,"Conteneurs non embarqués",IF($L93&lt;$K93,"Documents à finaliser",IF($N93&gt;0,"Coûts à payer","OK")))))))</f>
        <v/>
      </c>
    </row>
    <row r="94" spans="1:15" x14ac:dyDescent="0.35">
      <c r="A94" s="13" t="str">
        <f>IF(Connaissements!$A95="","",Connaissements!$A95)</f>
        <v/>
      </c>
      <c r="B94" s="13" t="str">
        <f>IF($A94="","",Connaissements!$B95)</f>
        <v/>
      </c>
      <c r="C94" s="13" t="str">
        <f>IF($A94="","",Connaissements!$G95)</f>
        <v/>
      </c>
      <c r="D94" s="13" t="str">
        <f>IF($A94="","",IFERROR(IF(INDEX(Bookings!$D$3:$D$202,MATCH($B94,Bookings!$A$3:$A$202,0))="","",INDEX(Bookings!$D$3:$D$202,MATCH($B94,Bookings!$A$3:$A$202,0))),""))</f>
        <v/>
      </c>
      <c r="E94" s="14" t="str">
        <f>IF($A94="","",IFERROR(IF(INDEX(Bookings!$G$3:$G$202,MATCH($B94,Bookings!$A$3:$A$202,0))="","",INDEX(Bookings!$G$3:$G$202,MATCH($B94,Bookings!$A$3:$A$202,0))),""))</f>
        <v/>
      </c>
      <c r="F94" s="14" t="str">
        <f>IF($A94="","",IFERROR(IF(INDEX(Bookings!$H$3:$H$202,MATCH($B94,Bookings!$A$3:$A$202,0))="","",INDEX(Bookings!$H$3:$H$202,MATCH($B94,Bookings!$A$3:$A$202,0))),""))</f>
        <v/>
      </c>
      <c r="G94" s="13" t="str">
        <f>IF($A94="","",IF(Connaissements!$F95="","",Connaissements!$F95))</f>
        <v/>
      </c>
      <c r="H94" s="13" t="str">
        <f>IF($A94="","",Connaissements!$H95)</f>
        <v/>
      </c>
      <c r="I94" s="13" t="str">
        <f>IF($A94="","",COUNTIFS(Conteneurs!$B$3:$B$1002,$A94,Conteneurs!$M$3:$M$1002,"Embarqué"))</f>
        <v/>
      </c>
      <c r="J94" s="18" t="str">
        <f>IF($A94="","",Connaissements!$J95)</f>
        <v/>
      </c>
      <c r="K94" s="13" t="str">
        <f>IF($A94="","",COUNTIFS(Documents!$A$3:$A$1002,$A94))</f>
        <v/>
      </c>
      <c r="L94" s="13" t="str">
        <f>IF($A94="","",COUNTIFS(Documents!$A$3:$A$1002,$A94,Documents!$I$3:$I$1002,"Envoyé DHL"))</f>
        <v/>
      </c>
      <c r="M94" s="13" t="str">
        <f>IF($A94="","",COUNTIFS(Etapes!$A$5:$A$1504,$A94,Etapes!$F$5:$F$1504,"En retard"))</f>
        <v/>
      </c>
      <c r="N94" s="18" t="str">
        <f>IF($A94="","",SUMIFS(Couts_Transitaire!$I$3:$I$602,Couts_Transitaire!$B$3:$B$602,$A94))</f>
        <v/>
      </c>
      <c r="O94" s="13" t="str">
        <f>IF($A94="","",IF($M94&gt;0,"Étapes en retard",IF(Connaissements!$K95&lt;&gt;"OK","Contrôle BL à corriger",IF($H94=0,"Aucun conteneur saisi",IF($I94&lt;$H94,"Conteneurs non embarqués",IF($L94&lt;$K94,"Documents à finaliser",IF($N94&gt;0,"Coûts à payer","OK")))))))</f>
        <v/>
      </c>
    </row>
    <row r="95" spans="1:15" x14ac:dyDescent="0.35">
      <c r="A95" s="13" t="str">
        <f>IF(Connaissements!$A96="","",Connaissements!$A96)</f>
        <v/>
      </c>
      <c r="B95" s="13" t="str">
        <f>IF($A95="","",Connaissements!$B96)</f>
        <v/>
      </c>
      <c r="C95" s="13" t="str">
        <f>IF($A95="","",Connaissements!$G96)</f>
        <v/>
      </c>
      <c r="D95" s="13" t="str">
        <f>IF($A95="","",IFERROR(IF(INDEX(Bookings!$D$3:$D$202,MATCH($B95,Bookings!$A$3:$A$202,0))="","",INDEX(Bookings!$D$3:$D$202,MATCH($B95,Bookings!$A$3:$A$202,0))),""))</f>
        <v/>
      </c>
      <c r="E95" s="14" t="str">
        <f>IF($A95="","",IFERROR(IF(INDEX(Bookings!$G$3:$G$202,MATCH($B95,Bookings!$A$3:$A$202,0))="","",INDEX(Bookings!$G$3:$G$202,MATCH($B95,Bookings!$A$3:$A$202,0))),""))</f>
        <v/>
      </c>
      <c r="F95" s="14" t="str">
        <f>IF($A95="","",IFERROR(IF(INDEX(Bookings!$H$3:$H$202,MATCH($B95,Bookings!$A$3:$A$202,0))="","",INDEX(Bookings!$H$3:$H$202,MATCH($B95,Bookings!$A$3:$A$202,0))),""))</f>
        <v/>
      </c>
      <c r="G95" s="13" t="str">
        <f>IF($A95="","",IF(Connaissements!$F96="","",Connaissements!$F96))</f>
        <v/>
      </c>
      <c r="H95" s="13" t="str">
        <f>IF($A95="","",Connaissements!$H96)</f>
        <v/>
      </c>
      <c r="I95" s="13" t="str">
        <f>IF($A95="","",COUNTIFS(Conteneurs!$B$3:$B$1002,$A95,Conteneurs!$M$3:$M$1002,"Embarqué"))</f>
        <v/>
      </c>
      <c r="J95" s="18" t="str">
        <f>IF($A95="","",Connaissements!$J96)</f>
        <v/>
      </c>
      <c r="K95" s="13" t="str">
        <f>IF($A95="","",COUNTIFS(Documents!$A$3:$A$1002,$A95))</f>
        <v/>
      </c>
      <c r="L95" s="13" t="str">
        <f>IF($A95="","",COUNTIFS(Documents!$A$3:$A$1002,$A95,Documents!$I$3:$I$1002,"Envoyé DHL"))</f>
        <v/>
      </c>
      <c r="M95" s="13" t="str">
        <f>IF($A95="","",COUNTIFS(Etapes!$A$5:$A$1504,$A95,Etapes!$F$5:$F$1504,"En retard"))</f>
        <v/>
      </c>
      <c r="N95" s="18" t="str">
        <f>IF($A95="","",SUMIFS(Couts_Transitaire!$I$3:$I$602,Couts_Transitaire!$B$3:$B$602,$A95))</f>
        <v/>
      </c>
      <c r="O95" s="13" t="str">
        <f>IF($A95="","",IF($M95&gt;0,"Étapes en retard",IF(Connaissements!$K96&lt;&gt;"OK","Contrôle BL à corriger",IF($H95=0,"Aucun conteneur saisi",IF($I95&lt;$H95,"Conteneurs non embarqués",IF($L95&lt;$K95,"Documents à finaliser",IF($N95&gt;0,"Coûts à payer","OK")))))))</f>
        <v/>
      </c>
    </row>
    <row r="96" spans="1:15" x14ac:dyDescent="0.35">
      <c r="A96" s="13" t="str">
        <f>IF(Connaissements!$A97="","",Connaissements!$A97)</f>
        <v/>
      </c>
      <c r="B96" s="13" t="str">
        <f>IF($A96="","",Connaissements!$B97)</f>
        <v/>
      </c>
      <c r="C96" s="13" t="str">
        <f>IF($A96="","",Connaissements!$G97)</f>
        <v/>
      </c>
      <c r="D96" s="13" t="str">
        <f>IF($A96="","",IFERROR(IF(INDEX(Bookings!$D$3:$D$202,MATCH($B96,Bookings!$A$3:$A$202,0))="","",INDEX(Bookings!$D$3:$D$202,MATCH($B96,Bookings!$A$3:$A$202,0))),""))</f>
        <v/>
      </c>
      <c r="E96" s="14" t="str">
        <f>IF($A96="","",IFERROR(IF(INDEX(Bookings!$G$3:$G$202,MATCH($B96,Bookings!$A$3:$A$202,0))="","",INDEX(Bookings!$G$3:$G$202,MATCH($B96,Bookings!$A$3:$A$202,0))),""))</f>
        <v/>
      </c>
      <c r="F96" s="14" t="str">
        <f>IF($A96="","",IFERROR(IF(INDEX(Bookings!$H$3:$H$202,MATCH($B96,Bookings!$A$3:$A$202,0))="","",INDEX(Bookings!$H$3:$H$202,MATCH($B96,Bookings!$A$3:$A$202,0))),""))</f>
        <v/>
      </c>
      <c r="G96" s="13" t="str">
        <f>IF($A96="","",IF(Connaissements!$F97="","",Connaissements!$F97))</f>
        <v/>
      </c>
      <c r="H96" s="13" t="str">
        <f>IF($A96="","",Connaissements!$H97)</f>
        <v/>
      </c>
      <c r="I96" s="13" t="str">
        <f>IF($A96="","",COUNTIFS(Conteneurs!$B$3:$B$1002,$A96,Conteneurs!$M$3:$M$1002,"Embarqué"))</f>
        <v/>
      </c>
      <c r="J96" s="18" t="str">
        <f>IF($A96="","",Connaissements!$J97)</f>
        <v/>
      </c>
      <c r="K96" s="13" t="str">
        <f>IF($A96="","",COUNTIFS(Documents!$A$3:$A$1002,$A96))</f>
        <v/>
      </c>
      <c r="L96" s="13" t="str">
        <f>IF($A96="","",COUNTIFS(Documents!$A$3:$A$1002,$A96,Documents!$I$3:$I$1002,"Envoyé DHL"))</f>
        <v/>
      </c>
      <c r="M96" s="13" t="str">
        <f>IF($A96="","",COUNTIFS(Etapes!$A$5:$A$1504,$A96,Etapes!$F$5:$F$1504,"En retard"))</f>
        <v/>
      </c>
      <c r="N96" s="18" t="str">
        <f>IF($A96="","",SUMIFS(Couts_Transitaire!$I$3:$I$602,Couts_Transitaire!$B$3:$B$602,$A96))</f>
        <v/>
      </c>
      <c r="O96" s="13" t="str">
        <f>IF($A96="","",IF($M96&gt;0,"Étapes en retard",IF(Connaissements!$K97&lt;&gt;"OK","Contrôle BL à corriger",IF($H96=0,"Aucun conteneur saisi",IF($I96&lt;$H96,"Conteneurs non embarqués",IF($L96&lt;$K96,"Documents à finaliser",IF($N96&gt;0,"Coûts à payer","OK")))))))</f>
        <v/>
      </c>
    </row>
    <row r="97" spans="1:15" x14ac:dyDescent="0.35">
      <c r="A97" s="13" t="str">
        <f>IF(Connaissements!$A98="","",Connaissements!$A98)</f>
        <v/>
      </c>
      <c r="B97" s="13" t="str">
        <f>IF($A97="","",Connaissements!$B98)</f>
        <v/>
      </c>
      <c r="C97" s="13" t="str">
        <f>IF($A97="","",Connaissements!$G98)</f>
        <v/>
      </c>
      <c r="D97" s="13" t="str">
        <f>IF($A97="","",IFERROR(IF(INDEX(Bookings!$D$3:$D$202,MATCH($B97,Bookings!$A$3:$A$202,0))="","",INDEX(Bookings!$D$3:$D$202,MATCH($B97,Bookings!$A$3:$A$202,0))),""))</f>
        <v/>
      </c>
      <c r="E97" s="14" t="str">
        <f>IF($A97="","",IFERROR(IF(INDEX(Bookings!$G$3:$G$202,MATCH($B97,Bookings!$A$3:$A$202,0))="","",INDEX(Bookings!$G$3:$G$202,MATCH($B97,Bookings!$A$3:$A$202,0))),""))</f>
        <v/>
      </c>
      <c r="F97" s="14" t="str">
        <f>IF($A97="","",IFERROR(IF(INDEX(Bookings!$H$3:$H$202,MATCH($B97,Bookings!$A$3:$A$202,0))="","",INDEX(Bookings!$H$3:$H$202,MATCH($B97,Bookings!$A$3:$A$202,0))),""))</f>
        <v/>
      </c>
      <c r="G97" s="13" t="str">
        <f>IF($A97="","",IF(Connaissements!$F98="","",Connaissements!$F98))</f>
        <v/>
      </c>
      <c r="H97" s="13" t="str">
        <f>IF($A97="","",Connaissements!$H98)</f>
        <v/>
      </c>
      <c r="I97" s="13" t="str">
        <f>IF($A97="","",COUNTIFS(Conteneurs!$B$3:$B$1002,$A97,Conteneurs!$M$3:$M$1002,"Embarqué"))</f>
        <v/>
      </c>
      <c r="J97" s="18" t="str">
        <f>IF($A97="","",Connaissements!$J98)</f>
        <v/>
      </c>
      <c r="K97" s="13" t="str">
        <f>IF($A97="","",COUNTIFS(Documents!$A$3:$A$1002,$A97))</f>
        <v/>
      </c>
      <c r="L97" s="13" t="str">
        <f>IF($A97="","",COUNTIFS(Documents!$A$3:$A$1002,$A97,Documents!$I$3:$I$1002,"Envoyé DHL"))</f>
        <v/>
      </c>
      <c r="M97" s="13" t="str">
        <f>IF($A97="","",COUNTIFS(Etapes!$A$5:$A$1504,$A97,Etapes!$F$5:$F$1504,"En retard"))</f>
        <v/>
      </c>
      <c r="N97" s="18" t="str">
        <f>IF($A97="","",SUMIFS(Couts_Transitaire!$I$3:$I$602,Couts_Transitaire!$B$3:$B$602,$A97))</f>
        <v/>
      </c>
      <c r="O97" s="13" t="str">
        <f>IF($A97="","",IF($M97&gt;0,"Étapes en retard",IF(Connaissements!$K98&lt;&gt;"OK","Contrôle BL à corriger",IF($H97=0,"Aucun conteneur saisi",IF($I97&lt;$H97,"Conteneurs non embarqués",IF($L97&lt;$K97,"Documents à finaliser",IF($N97&gt;0,"Coûts à payer","OK")))))))</f>
        <v/>
      </c>
    </row>
    <row r="98" spans="1:15" x14ac:dyDescent="0.35">
      <c r="A98" s="13" t="str">
        <f>IF(Connaissements!$A99="","",Connaissements!$A99)</f>
        <v/>
      </c>
      <c r="B98" s="13" t="str">
        <f>IF($A98="","",Connaissements!$B99)</f>
        <v/>
      </c>
      <c r="C98" s="13" t="str">
        <f>IF($A98="","",Connaissements!$G99)</f>
        <v/>
      </c>
      <c r="D98" s="13" t="str">
        <f>IF($A98="","",IFERROR(IF(INDEX(Bookings!$D$3:$D$202,MATCH($B98,Bookings!$A$3:$A$202,0))="","",INDEX(Bookings!$D$3:$D$202,MATCH($B98,Bookings!$A$3:$A$202,0))),""))</f>
        <v/>
      </c>
      <c r="E98" s="14" t="str">
        <f>IF($A98="","",IFERROR(IF(INDEX(Bookings!$G$3:$G$202,MATCH($B98,Bookings!$A$3:$A$202,0))="","",INDEX(Bookings!$G$3:$G$202,MATCH($B98,Bookings!$A$3:$A$202,0))),""))</f>
        <v/>
      </c>
      <c r="F98" s="14" t="str">
        <f>IF($A98="","",IFERROR(IF(INDEX(Bookings!$H$3:$H$202,MATCH($B98,Bookings!$A$3:$A$202,0))="","",INDEX(Bookings!$H$3:$H$202,MATCH($B98,Bookings!$A$3:$A$202,0))),""))</f>
        <v/>
      </c>
      <c r="G98" s="13" t="str">
        <f>IF($A98="","",IF(Connaissements!$F99="","",Connaissements!$F99))</f>
        <v/>
      </c>
      <c r="H98" s="13" t="str">
        <f>IF($A98="","",Connaissements!$H99)</f>
        <v/>
      </c>
      <c r="I98" s="13" t="str">
        <f>IF($A98="","",COUNTIFS(Conteneurs!$B$3:$B$1002,$A98,Conteneurs!$M$3:$M$1002,"Embarqué"))</f>
        <v/>
      </c>
      <c r="J98" s="18" t="str">
        <f>IF($A98="","",Connaissements!$J99)</f>
        <v/>
      </c>
      <c r="K98" s="13" t="str">
        <f>IF($A98="","",COUNTIFS(Documents!$A$3:$A$1002,$A98))</f>
        <v/>
      </c>
      <c r="L98" s="13" t="str">
        <f>IF($A98="","",COUNTIFS(Documents!$A$3:$A$1002,$A98,Documents!$I$3:$I$1002,"Envoyé DHL"))</f>
        <v/>
      </c>
      <c r="M98" s="13" t="str">
        <f>IF($A98="","",COUNTIFS(Etapes!$A$5:$A$1504,$A98,Etapes!$F$5:$F$1504,"En retard"))</f>
        <v/>
      </c>
      <c r="N98" s="18" t="str">
        <f>IF($A98="","",SUMIFS(Couts_Transitaire!$I$3:$I$602,Couts_Transitaire!$B$3:$B$602,$A98))</f>
        <v/>
      </c>
      <c r="O98" s="13" t="str">
        <f>IF($A98="","",IF($M98&gt;0,"Étapes en retard",IF(Connaissements!$K99&lt;&gt;"OK","Contrôle BL à corriger",IF($H98=0,"Aucun conteneur saisi",IF($I98&lt;$H98,"Conteneurs non embarqués",IF($L98&lt;$K98,"Documents à finaliser",IF($N98&gt;0,"Coûts à payer","OK")))))))</f>
        <v/>
      </c>
    </row>
    <row r="99" spans="1:15" x14ac:dyDescent="0.35">
      <c r="A99" s="13" t="str">
        <f>IF(Connaissements!$A100="","",Connaissements!$A100)</f>
        <v/>
      </c>
      <c r="B99" s="13" t="str">
        <f>IF($A99="","",Connaissements!$B100)</f>
        <v/>
      </c>
      <c r="C99" s="13" t="str">
        <f>IF($A99="","",Connaissements!$G100)</f>
        <v/>
      </c>
      <c r="D99" s="13" t="str">
        <f>IF($A99="","",IFERROR(IF(INDEX(Bookings!$D$3:$D$202,MATCH($B99,Bookings!$A$3:$A$202,0))="","",INDEX(Bookings!$D$3:$D$202,MATCH($B99,Bookings!$A$3:$A$202,0))),""))</f>
        <v/>
      </c>
      <c r="E99" s="14" t="str">
        <f>IF($A99="","",IFERROR(IF(INDEX(Bookings!$G$3:$G$202,MATCH($B99,Bookings!$A$3:$A$202,0))="","",INDEX(Bookings!$G$3:$G$202,MATCH($B99,Bookings!$A$3:$A$202,0))),""))</f>
        <v/>
      </c>
      <c r="F99" s="14" t="str">
        <f>IF($A99="","",IFERROR(IF(INDEX(Bookings!$H$3:$H$202,MATCH($B99,Bookings!$A$3:$A$202,0))="","",INDEX(Bookings!$H$3:$H$202,MATCH($B99,Bookings!$A$3:$A$202,0))),""))</f>
        <v/>
      </c>
      <c r="G99" s="13" t="str">
        <f>IF($A99="","",IF(Connaissements!$F100="","",Connaissements!$F100))</f>
        <v/>
      </c>
      <c r="H99" s="13" t="str">
        <f>IF($A99="","",Connaissements!$H100)</f>
        <v/>
      </c>
      <c r="I99" s="13" t="str">
        <f>IF($A99="","",COUNTIFS(Conteneurs!$B$3:$B$1002,$A99,Conteneurs!$M$3:$M$1002,"Embarqué"))</f>
        <v/>
      </c>
      <c r="J99" s="18" t="str">
        <f>IF($A99="","",Connaissements!$J100)</f>
        <v/>
      </c>
      <c r="K99" s="13" t="str">
        <f>IF($A99="","",COUNTIFS(Documents!$A$3:$A$1002,$A99))</f>
        <v/>
      </c>
      <c r="L99" s="13" t="str">
        <f>IF($A99="","",COUNTIFS(Documents!$A$3:$A$1002,$A99,Documents!$I$3:$I$1002,"Envoyé DHL"))</f>
        <v/>
      </c>
      <c r="M99" s="13" t="str">
        <f>IF($A99="","",COUNTIFS(Etapes!$A$5:$A$1504,$A99,Etapes!$F$5:$F$1504,"En retard"))</f>
        <v/>
      </c>
      <c r="N99" s="18" t="str">
        <f>IF($A99="","",SUMIFS(Couts_Transitaire!$I$3:$I$602,Couts_Transitaire!$B$3:$B$602,$A99))</f>
        <v/>
      </c>
      <c r="O99" s="13" t="str">
        <f>IF($A99="","",IF($M99&gt;0,"Étapes en retard",IF(Connaissements!$K100&lt;&gt;"OK","Contrôle BL à corriger",IF($H99=0,"Aucun conteneur saisi",IF($I99&lt;$H99,"Conteneurs non embarqués",IF($L99&lt;$K99,"Documents à finaliser",IF($N99&gt;0,"Coûts à payer","OK")))))))</f>
        <v/>
      </c>
    </row>
    <row r="100" spans="1:15" x14ac:dyDescent="0.35">
      <c r="A100" s="13" t="str">
        <f>IF(Connaissements!$A101="","",Connaissements!$A101)</f>
        <v/>
      </c>
      <c r="B100" s="13" t="str">
        <f>IF($A100="","",Connaissements!$B101)</f>
        <v/>
      </c>
      <c r="C100" s="13" t="str">
        <f>IF($A100="","",Connaissements!$G101)</f>
        <v/>
      </c>
      <c r="D100" s="13" t="str">
        <f>IF($A100="","",IFERROR(IF(INDEX(Bookings!$D$3:$D$202,MATCH($B100,Bookings!$A$3:$A$202,0))="","",INDEX(Bookings!$D$3:$D$202,MATCH($B100,Bookings!$A$3:$A$202,0))),""))</f>
        <v/>
      </c>
      <c r="E100" s="14" t="str">
        <f>IF($A100="","",IFERROR(IF(INDEX(Bookings!$G$3:$G$202,MATCH($B100,Bookings!$A$3:$A$202,0))="","",INDEX(Bookings!$G$3:$G$202,MATCH($B100,Bookings!$A$3:$A$202,0))),""))</f>
        <v/>
      </c>
      <c r="F100" s="14" t="str">
        <f>IF($A100="","",IFERROR(IF(INDEX(Bookings!$H$3:$H$202,MATCH($B100,Bookings!$A$3:$A$202,0))="","",INDEX(Bookings!$H$3:$H$202,MATCH($B100,Bookings!$A$3:$A$202,0))),""))</f>
        <v/>
      </c>
      <c r="G100" s="13" t="str">
        <f>IF($A100="","",IF(Connaissements!$F101="","",Connaissements!$F101))</f>
        <v/>
      </c>
      <c r="H100" s="13" t="str">
        <f>IF($A100="","",Connaissements!$H101)</f>
        <v/>
      </c>
      <c r="I100" s="13" t="str">
        <f>IF($A100="","",COUNTIFS(Conteneurs!$B$3:$B$1002,$A100,Conteneurs!$M$3:$M$1002,"Embarqué"))</f>
        <v/>
      </c>
      <c r="J100" s="18" t="str">
        <f>IF($A100="","",Connaissements!$J101)</f>
        <v/>
      </c>
      <c r="K100" s="13" t="str">
        <f>IF($A100="","",COUNTIFS(Documents!$A$3:$A$1002,$A100))</f>
        <v/>
      </c>
      <c r="L100" s="13" t="str">
        <f>IF($A100="","",COUNTIFS(Documents!$A$3:$A$1002,$A100,Documents!$I$3:$I$1002,"Envoyé DHL"))</f>
        <v/>
      </c>
      <c r="M100" s="13" t="str">
        <f>IF($A100="","",COUNTIFS(Etapes!$A$5:$A$1504,$A100,Etapes!$F$5:$F$1504,"En retard"))</f>
        <v/>
      </c>
      <c r="N100" s="18" t="str">
        <f>IF($A100="","",SUMIFS(Couts_Transitaire!$I$3:$I$602,Couts_Transitaire!$B$3:$B$602,$A100))</f>
        <v/>
      </c>
      <c r="O100" s="13" t="str">
        <f>IF($A100="","",IF($M100&gt;0,"Étapes en retard",IF(Connaissements!$K101&lt;&gt;"OK","Contrôle BL à corriger",IF($H100=0,"Aucun conteneur saisi",IF($I100&lt;$H100,"Conteneurs non embarqués",IF($L100&lt;$K100,"Documents à finaliser",IF($N100&gt;0,"Coûts à payer","OK")))))))</f>
        <v/>
      </c>
    </row>
    <row r="101" spans="1:15" x14ac:dyDescent="0.35">
      <c r="A101" s="13" t="str">
        <f>IF(Connaissements!$A102="","",Connaissements!$A102)</f>
        <v/>
      </c>
      <c r="B101" s="13" t="str">
        <f>IF($A101="","",Connaissements!$B102)</f>
        <v/>
      </c>
      <c r="C101" s="13" t="str">
        <f>IF($A101="","",Connaissements!$G102)</f>
        <v/>
      </c>
      <c r="D101" s="13" t="str">
        <f>IF($A101="","",IFERROR(IF(INDEX(Bookings!$D$3:$D$202,MATCH($B101,Bookings!$A$3:$A$202,0))="","",INDEX(Bookings!$D$3:$D$202,MATCH($B101,Bookings!$A$3:$A$202,0))),""))</f>
        <v/>
      </c>
      <c r="E101" s="14" t="str">
        <f>IF($A101="","",IFERROR(IF(INDEX(Bookings!$G$3:$G$202,MATCH($B101,Bookings!$A$3:$A$202,0))="","",INDEX(Bookings!$G$3:$G$202,MATCH($B101,Bookings!$A$3:$A$202,0))),""))</f>
        <v/>
      </c>
      <c r="F101" s="14" t="str">
        <f>IF($A101="","",IFERROR(IF(INDEX(Bookings!$H$3:$H$202,MATCH($B101,Bookings!$A$3:$A$202,0))="","",INDEX(Bookings!$H$3:$H$202,MATCH($B101,Bookings!$A$3:$A$202,0))),""))</f>
        <v/>
      </c>
      <c r="G101" s="13" t="str">
        <f>IF($A101="","",IF(Connaissements!$F102="","",Connaissements!$F102))</f>
        <v/>
      </c>
      <c r="H101" s="13" t="str">
        <f>IF($A101="","",Connaissements!$H102)</f>
        <v/>
      </c>
      <c r="I101" s="13" t="str">
        <f>IF($A101="","",COUNTIFS(Conteneurs!$B$3:$B$1002,$A101,Conteneurs!$M$3:$M$1002,"Embarqué"))</f>
        <v/>
      </c>
      <c r="J101" s="18" t="str">
        <f>IF($A101="","",Connaissements!$J102)</f>
        <v/>
      </c>
      <c r="K101" s="13" t="str">
        <f>IF($A101="","",COUNTIFS(Documents!$A$3:$A$1002,$A101))</f>
        <v/>
      </c>
      <c r="L101" s="13" t="str">
        <f>IF($A101="","",COUNTIFS(Documents!$A$3:$A$1002,$A101,Documents!$I$3:$I$1002,"Envoyé DHL"))</f>
        <v/>
      </c>
      <c r="M101" s="13" t="str">
        <f>IF($A101="","",COUNTIFS(Etapes!$A$5:$A$1504,$A101,Etapes!$F$5:$F$1504,"En retard"))</f>
        <v/>
      </c>
      <c r="N101" s="18" t="str">
        <f>IF($A101="","",SUMIFS(Couts_Transitaire!$I$3:$I$602,Couts_Transitaire!$B$3:$B$602,$A101))</f>
        <v/>
      </c>
      <c r="O101" s="13" t="str">
        <f>IF($A101="","",IF($M101&gt;0,"Étapes en retard",IF(Connaissements!$K102&lt;&gt;"OK","Contrôle BL à corriger",IF($H101=0,"Aucun conteneur saisi",IF($I101&lt;$H101,"Conteneurs non embarqués",IF($L101&lt;$K101,"Documents à finaliser",IF($N101&gt;0,"Coûts à payer","OK")))))))</f>
        <v/>
      </c>
    </row>
    <row r="102" spans="1:15" x14ac:dyDescent="0.35">
      <c r="A102" s="13" t="str">
        <f>IF(Connaissements!$A103="","",Connaissements!$A103)</f>
        <v/>
      </c>
      <c r="B102" s="13" t="str">
        <f>IF($A102="","",Connaissements!$B103)</f>
        <v/>
      </c>
      <c r="C102" s="13" t="str">
        <f>IF($A102="","",Connaissements!$G103)</f>
        <v/>
      </c>
      <c r="D102" s="13" t="str">
        <f>IF($A102="","",IFERROR(IF(INDEX(Bookings!$D$3:$D$202,MATCH($B102,Bookings!$A$3:$A$202,0))="","",INDEX(Bookings!$D$3:$D$202,MATCH($B102,Bookings!$A$3:$A$202,0))),""))</f>
        <v/>
      </c>
      <c r="E102" s="14" t="str">
        <f>IF($A102="","",IFERROR(IF(INDEX(Bookings!$G$3:$G$202,MATCH($B102,Bookings!$A$3:$A$202,0))="","",INDEX(Bookings!$G$3:$G$202,MATCH($B102,Bookings!$A$3:$A$202,0))),""))</f>
        <v/>
      </c>
      <c r="F102" s="14" t="str">
        <f>IF($A102="","",IFERROR(IF(INDEX(Bookings!$H$3:$H$202,MATCH($B102,Bookings!$A$3:$A$202,0))="","",INDEX(Bookings!$H$3:$H$202,MATCH($B102,Bookings!$A$3:$A$202,0))),""))</f>
        <v/>
      </c>
      <c r="G102" s="13" t="str">
        <f>IF($A102="","",IF(Connaissements!$F103="","",Connaissements!$F103))</f>
        <v/>
      </c>
      <c r="H102" s="13" t="str">
        <f>IF($A102="","",Connaissements!$H103)</f>
        <v/>
      </c>
      <c r="I102" s="13" t="str">
        <f>IF($A102="","",COUNTIFS(Conteneurs!$B$3:$B$1002,$A102,Conteneurs!$M$3:$M$1002,"Embarqué"))</f>
        <v/>
      </c>
      <c r="J102" s="18" t="str">
        <f>IF($A102="","",Connaissements!$J103)</f>
        <v/>
      </c>
      <c r="K102" s="13" t="str">
        <f>IF($A102="","",COUNTIFS(Documents!$A$3:$A$1002,$A102))</f>
        <v/>
      </c>
      <c r="L102" s="13" t="str">
        <f>IF($A102="","",COUNTIFS(Documents!$A$3:$A$1002,$A102,Documents!$I$3:$I$1002,"Envoyé DHL"))</f>
        <v/>
      </c>
      <c r="M102" s="13" t="str">
        <f>IF($A102="","",COUNTIFS(Etapes!$A$5:$A$1504,$A102,Etapes!$F$5:$F$1504,"En retard"))</f>
        <v/>
      </c>
      <c r="N102" s="18" t="str">
        <f>IF($A102="","",SUMIFS(Couts_Transitaire!$I$3:$I$602,Couts_Transitaire!$B$3:$B$602,$A102))</f>
        <v/>
      </c>
      <c r="O102" s="13" t="str">
        <f>IF($A102="","",IF($M102&gt;0,"Étapes en retard",IF(Connaissements!$K103&lt;&gt;"OK","Contrôle BL à corriger",IF($H102=0,"Aucun conteneur saisi",IF($I102&lt;$H102,"Conteneurs non embarqués",IF($L102&lt;$K102,"Documents à finaliser",IF($N102&gt;0,"Coûts à payer","OK")))))))</f>
        <v/>
      </c>
    </row>
    <row r="103" spans="1:15" x14ac:dyDescent="0.35">
      <c r="A103" s="13" t="str">
        <f>IF(Connaissements!$A104="","",Connaissements!$A104)</f>
        <v/>
      </c>
      <c r="B103" s="13" t="str">
        <f>IF($A103="","",Connaissements!$B104)</f>
        <v/>
      </c>
      <c r="C103" s="13" t="str">
        <f>IF($A103="","",Connaissements!$G104)</f>
        <v/>
      </c>
      <c r="D103" s="13" t="str">
        <f>IF($A103="","",IFERROR(IF(INDEX(Bookings!$D$3:$D$202,MATCH($B103,Bookings!$A$3:$A$202,0))="","",INDEX(Bookings!$D$3:$D$202,MATCH($B103,Bookings!$A$3:$A$202,0))),""))</f>
        <v/>
      </c>
      <c r="E103" s="14" t="str">
        <f>IF($A103="","",IFERROR(IF(INDEX(Bookings!$G$3:$G$202,MATCH($B103,Bookings!$A$3:$A$202,0))="","",INDEX(Bookings!$G$3:$G$202,MATCH($B103,Bookings!$A$3:$A$202,0))),""))</f>
        <v/>
      </c>
      <c r="F103" s="14" t="str">
        <f>IF($A103="","",IFERROR(IF(INDEX(Bookings!$H$3:$H$202,MATCH($B103,Bookings!$A$3:$A$202,0))="","",INDEX(Bookings!$H$3:$H$202,MATCH($B103,Bookings!$A$3:$A$202,0))),""))</f>
        <v/>
      </c>
      <c r="G103" s="13" t="str">
        <f>IF($A103="","",IF(Connaissements!$F104="","",Connaissements!$F104))</f>
        <v/>
      </c>
      <c r="H103" s="13" t="str">
        <f>IF($A103="","",Connaissements!$H104)</f>
        <v/>
      </c>
      <c r="I103" s="13" t="str">
        <f>IF($A103="","",COUNTIFS(Conteneurs!$B$3:$B$1002,$A103,Conteneurs!$M$3:$M$1002,"Embarqué"))</f>
        <v/>
      </c>
      <c r="J103" s="18" t="str">
        <f>IF($A103="","",Connaissements!$J104)</f>
        <v/>
      </c>
      <c r="K103" s="13" t="str">
        <f>IF($A103="","",COUNTIFS(Documents!$A$3:$A$1002,$A103))</f>
        <v/>
      </c>
      <c r="L103" s="13" t="str">
        <f>IF($A103="","",COUNTIFS(Documents!$A$3:$A$1002,$A103,Documents!$I$3:$I$1002,"Envoyé DHL"))</f>
        <v/>
      </c>
      <c r="M103" s="13" t="str">
        <f>IF($A103="","",COUNTIFS(Etapes!$A$5:$A$1504,$A103,Etapes!$F$5:$F$1504,"En retard"))</f>
        <v/>
      </c>
      <c r="N103" s="18" t="str">
        <f>IF($A103="","",SUMIFS(Couts_Transitaire!$I$3:$I$602,Couts_Transitaire!$B$3:$B$602,$A103))</f>
        <v/>
      </c>
      <c r="O103" s="13" t="str">
        <f>IF($A103="","",IF($M103&gt;0,"Étapes en retard",IF(Connaissements!$K104&lt;&gt;"OK","Contrôle BL à corriger",IF($H103=0,"Aucun conteneur saisi",IF($I103&lt;$H103,"Conteneurs non embarqués",IF($L103&lt;$K103,"Documents à finaliser",IF($N103&gt;0,"Coûts à payer","OK")))))))</f>
        <v/>
      </c>
    </row>
    <row r="104" spans="1:15" x14ac:dyDescent="0.35">
      <c r="A104" s="13" t="str">
        <f>IF(Connaissements!$A105="","",Connaissements!$A105)</f>
        <v/>
      </c>
      <c r="B104" s="13" t="str">
        <f>IF($A104="","",Connaissements!$B105)</f>
        <v/>
      </c>
      <c r="C104" s="13" t="str">
        <f>IF($A104="","",Connaissements!$G105)</f>
        <v/>
      </c>
      <c r="D104" s="13" t="str">
        <f>IF($A104="","",IFERROR(IF(INDEX(Bookings!$D$3:$D$202,MATCH($B104,Bookings!$A$3:$A$202,0))="","",INDEX(Bookings!$D$3:$D$202,MATCH($B104,Bookings!$A$3:$A$202,0))),""))</f>
        <v/>
      </c>
      <c r="E104" s="14" t="str">
        <f>IF($A104="","",IFERROR(IF(INDEX(Bookings!$G$3:$G$202,MATCH($B104,Bookings!$A$3:$A$202,0))="","",INDEX(Bookings!$G$3:$G$202,MATCH($B104,Bookings!$A$3:$A$202,0))),""))</f>
        <v/>
      </c>
      <c r="F104" s="14" t="str">
        <f>IF($A104="","",IFERROR(IF(INDEX(Bookings!$H$3:$H$202,MATCH($B104,Bookings!$A$3:$A$202,0))="","",INDEX(Bookings!$H$3:$H$202,MATCH($B104,Bookings!$A$3:$A$202,0))),""))</f>
        <v/>
      </c>
      <c r="G104" s="13" t="str">
        <f>IF($A104="","",IF(Connaissements!$F105="","",Connaissements!$F105))</f>
        <v/>
      </c>
      <c r="H104" s="13" t="str">
        <f>IF($A104="","",Connaissements!$H105)</f>
        <v/>
      </c>
      <c r="I104" s="13" t="str">
        <f>IF($A104="","",COUNTIFS(Conteneurs!$B$3:$B$1002,$A104,Conteneurs!$M$3:$M$1002,"Embarqué"))</f>
        <v/>
      </c>
      <c r="J104" s="18" t="str">
        <f>IF($A104="","",Connaissements!$J105)</f>
        <v/>
      </c>
      <c r="K104" s="13" t="str">
        <f>IF($A104="","",COUNTIFS(Documents!$A$3:$A$1002,$A104))</f>
        <v/>
      </c>
      <c r="L104" s="13" t="str">
        <f>IF($A104="","",COUNTIFS(Documents!$A$3:$A$1002,$A104,Documents!$I$3:$I$1002,"Envoyé DHL"))</f>
        <v/>
      </c>
      <c r="M104" s="13" t="str">
        <f>IF($A104="","",COUNTIFS(Etapes!$A$5:$A$1504,$A104,Etapes!$F$5:$F$1504,"En retard"))</f>
        <v/>
      </c>
      <c r="N104" s="18" t="str">
        <f>IF($A104="","",SUMIFS(Couts_Transitaire!$I$3:$I$602,Couts_Transitaire!$B$3:$B$602,$A104))</f>
        <v/>
      </c>
      <c r="O104" s="13" t="str">
        <f>IF($A104="","",IF($M104&gt;0,"Étapes en retard",IF(Connaissements!$K105&lt;&gt;"OK","Contrôle BL à corriger",IF($H104=0,"Aucun conteneur saisi",IF($I104&lt;$H104,"Conteneurs non embarqués",IF($L104&lt;$K104,"Documents à finaliser",IF($N104&gt;0,"Coûts à payer","OK")))))))</f>
        <v/>
      </c>
    </row>
    <row r="105" spans="1:15" x14ac:dyDescent="0.35">
      <c r="A105" s="13" t="str">
        <f>IF(Connaissements!$A106="","",Connaissements!$A106)</f>
        <v/>
      </c>
      <c r="B105" s="13" t="str">
        <f>IF($A105="","",Connaissements!$B106)</f>
        <v/>
      </c>
      <c r="C105" s="13" t="str">
        <f>IF($A105="","",Connaissements!$G106)</f>
        <v/>
      </c>
      <c r="D105" s="13" t="str">
        <f>IF($A105="","",IFERROR(IF(INDEX(Bookings!$D$3:$D$202,MATCH($B105,Bookings!$A$3:$A$202,0))="","",INDEX(Bookings!$D$3:$D$202,MATCH($B105,Bookings!$A$3:$A$202,0))),""))</f>
        <v/>
      </c>
      <c r="E105" s="14" t="str">
        <f>IF($A105="","",IFERROR(IF(INDEX(Bookings!$G$3:$G$202,MATCH($B105,Bookings!$A$3:$A$202,0))="","",INDEX(Bookings!$G$3:$G$202,MATCH($B105,Bookings!$A$3:$A$202,0))),""))</f>
        <v/>
      </c>
      <c r="F105" s="14" t="str">
        <f>IF($A105="","",IFERROR(IF(INDEX(Bookings!$H$3:$H$202,MATCH($B105,Bookings!$A$3:$A$202,0))="","",INDEX(Bookings!$H$3:$H$202,MATCH($B105,Bookings!$A$3:$A$202,0))),""))</f>
        <v/>
      </c>
      <c r="G105" s="13" t="str">
        <f>IF($A105="","",IF(Connaissements!$F106="","",Connaissements!$F106))</f>
        <v/>
      </c>
      <c r="H105" s="13" t="str">
        <f>IF($A105="","",Connaissements!$H106)</f>
        <v/>
      </c>
      <c r="I105" s="13" t="str">
        <f>IF($A105="","",COUNTIFS(Conteneurs!$B$3:$B$1002,$A105,Conteneurs!$M$3:$M$1002,"Embarqué"))</f>
        <v/>
      </c>
      <c r="J105" s="18" t="str">
        <f>IF($A105="","",Connaissements!$J106)</f>
        <v/>
      </c>
      <c r="K105" s="13" t="str">
        <f>IF($A105="","",COUNTIFS(Documents!$A$3:$A$1002,$A105))</f>
        <v/>
      </c>
      <c r="L105" s="13" t="str">
        <f>IF($A105="","",COUNTIFS(Documents!$A$3:$A$1002,$A105,Documents!$I$3:$I$1002,"Envoyé DHL"))</f>
        <v/>
      </c>
      <c r="M105" s="13" t="str">
        <f>IF($A105="","",COUNTIFS(Etapes!$A$5:$A$1504,$A105,Etapes!$F$5:$F$1504,"En retard"))</f>
        <v/>
      </c>
      <c r="N105" s="18" t="str">
        <f>IF($A105="","",SUMIFS(Couts_Transitaire!$I$3:$I$602,Couts_Transitaire!$B$3:$B$602,$A105))</f>
        <v/>
      </c>
      <c r="O105" s="13" t="str">
        <f>IF($A105="","",IF($M105&gt;0,"Étapes en retard",IF(Connaissements!$K106&lt;&gt;"OK","Contrôle BL à corriger",IF($H105=0,"Aucun conteneur saisi",IF($I105&lt;$H105,"Conteneurs non embarqués",IF($L105&lt;$K105,"Documents à finaliser",IF($N105&gt;0,"Coûts à payer","OK")))))))</f>
        <v/>
      </c>
    </row>
    <row r="106" spans="1:15" x14ac:dyDescent="0.35">
      <c r="A106" s="13" t="str">
        <f>IF(Connaissements!$A107="","",Connaissements!$A107)</f>
        <v/>
      </c>
      <c r="B106" s="13" t="str">
        <f>IF($A106="","",Connaissements!$B107)</f>
        <v/>
      </c>
      <c r="C106" s="13" t="str">
        <f>IF($A106="","",Connaissements!$G107)</f>
        <v/>
      </c>
      <c r="D106" s="13" t="str">
        <f>IF($A106="","",IFERROR(IF(INDEX(Bookings!$D$3:$D$202,MATCH($B106,Bookings!$A$3:$A$202,0))="","",INDEX(Bookings!$D$3:$D$202,MATCH($B106,Bookings!$A$3:$A$202,0))),""))</f>
        <v/>
      </c>
      <c r="E106" s="14" t="str">
        <f>IF($A106="","",IFERROR(IF(INDEX(Bookings!$G$3:$G$202,MATCH($B106,Bookings!$A$3:$A$202,0))="","",INDEX(Bookings!$G$3:$G$202,MATCH($B106,Bookings!$A$3:$A$202,0))),""))</f>
        <v/>
      </c>
      <c r="F106" s="14" t="str">
        <f>IF($A106="","",IFERROR(IF(INDEX(Bookings!$H$3:$H$202,MATCH($B106,Bookings!$A$3:$A$202,0))="","",INDEX(Bookings!$H$3:$H$202,MATCH($B106,Bookings!$A$3:$A$202,0))),""))</f>
        <v/>
      </c>
      <c r="G106" s="13" t="str">
        <f>IF($A106="","",IF(Connaissements!$F107="","",Connaissements!$F107))</f>
        <v/>
      </c>
      <c r="H106" s="13" t="str">
        <f>IF($A106="","",Connaissements!$H107)</f>
        <v/>
      </c>
      <c r="I106" s="13" t="str">
        <f>IF($A106="","",COUNTIFS(Conteneurs!$B$3:$B$1002,$A106,Conteneurs!$M$3:$M$1002,"Embarqué"))</f>
        <v/>
      </c>
      <c r="J106" s="18" t="str">
        <f>IF($A106="","",Connaissements!$J107)</f>
        <v/>
      </c>
      <c r="K106" s="13" t="str">
        <f>IF($A106="","",COUNTIFS(Documents!$A$3:$A$1002,$A106))</f>
        <v/>
      </c>
      <c r="L106" s="13" t="str">
        <f>IF($A106="","",COUNTIFS(Documents!$A$3:$A$1002,$A106,Documents!$I$3:$I$1002,"Envoyé DHL"))</f>
        <v/>
      </c>
      <c r="M106" s="13" t="str">
        <f>IF($A106="","",COUNTIFS(Etapes!$A$5:$A$1504,$A106,Etapes!$F$5:$F$1504,"En retard"))</f>
        <v/>
      </c>
      <c r="N106" s="18" t="str">
        <f>IF($A106="","",SUMIFS(Couts_Transitaire!$I$3:$I$602,Couts_Transitaire!$B$3:$B$602,$A106))</f>
        <v/>
      </c>
      <c r="O106" s="13" t="str">
        <f>IF($A106="","",IF($M106&gt;0,"Étapes en retard",IF(Connaissements!$K107&lt;&gt;"OK","Contrôle BL à corriger",IF($H106=0,"Aucun conteneur saisi",IF($I106&lt;$H106,"Conteneurs non embarqués",IF($L106&lt;$K106,"Documents à finaliser",IF($N106&gt;0,"Coûts à payer","OK")))))))</f>
        <v/>
      </c>
    </row>
    <row r="107" spans="1:15" x14ac:dyDescent="0.35">
      <c r="A107" s="13" t="str">
        <f>IF(Connaissements!$A108="","",Connaissements!$A108)</f>
        <v/>
      </c>
      <c r="B107" s="13" t="str">
        <f>IF($A107="","",Connaissements!$B108)</f>
        <v/>
      </c>
      <c r="C107" s="13" t="str">
        <f>IF($A107="","",Connaissements!$G108)</f>
        <v/>
      </c>
      <c r="D107" s="13" t="str">
        <f>IF($A107="","",IFERROR(IF(INDEX(Bookings!$D$3:$D$202,MATCH($B107,Bookings!$A$3:$A$202,0))="","",INDEX(Bookings!$D$3:$D$202,MATCH($B107,Bookings!$A$3:$A$202,0))),""))</f>
        <v/>
      </c>
      <c r="E107" s="14" t="str">
        <f>IF($A107="","",IFERROR(IF(INDEX(Bookings!$G$3:$G$202,MATCH($B107,Bookings!$A$3:$A$202,0))="","",INDEX(Bookings!$G$3:$G$202,MATCH($B107,Bookings!$A$3:$A$202,0))),""))</f>
        <v/>
      </c>
      <c r="F107" s="14" t="str">
        <f>IF($A107="","",IFERROR(IF(INDEX(Bookings!$H$3:$H$202,MATCH($B107,Bookings!$A$3:$A$202,0))="","",INDEX(Bookings!$H$3:$H$202,MATCH($B107,Bookings!$A$3:$A$202,0))),""))</f>
        <v/>
      </c>
      <c r="G107" s="13" t="str">
        <f>IF($A107="","",IF(Connaissements!$F108="","",Connaissements!$F108))</f>
        <v/>
      </c>
      <c r="H107" s="13" t="str">
        <f>IF($A107="","",Connaissements!$H108)</f>
        <v/>
      </c>
      <c r="I107" s="13" t="str">
        <f>IF($A107="","",COUNTIFS(Conteneurs!$B$3:$B$1002,$A107,Conteneurs!$M$3:$M$1002,"Embarqué"))</f>
        <v/>
      </c>
      <c r="J107" s="18" t="str">
        <f>IF($A107="","",Connaissements!$J108)</f>
        <v/>
      </c>
      <c r="K107" s="13" t="str">
        <f>IF($A107="","",COUNTIFS(Documents!$A$3:$A$1002,$A107))</f>
        <v/>
      </c>
      <c r="L107" s="13" t="str">
        <f>IF($A107="","",COUNTIFS(Documents!$A$3:$A$1002,$A107,Documents!$I$3:$I$1002,"Envoyé DHL"))</f>
        <v/>
      </c>
      <c r="M107" s="13" t="str">
        <f>IF($A107="","",COUNTIFS(Etapes!$A$5:$A$1504,$A107,Etapes!$F$5:$F$1504,"En retard"))</f>
        <v/>
      </c>
      <c r="N107" s="18" t="str">
        <f>IF($A107="","",SUMIFS(Couts_Transitaire!$I$3:$I$602,Couts_Transitaire!$B$3:$B$602,$A107))</f>
        <v/>
      </c>
      <c r="O107" s="13" t="str">
        <f>IF($A107="","",IF($M107&gt;0,"Étapes en retard",IF(Connaissements!$K108&lt;&gt;"OK","Contrôle BL à corriger",IF($H107=0,"Aucun conteneur saisi",IF($I107&lt;$H107,"Conteneurs non embarqués",IF($L107&lt;$K107,"Documents à finaliser",IF($N107&gt;0,"Coûts à payer","OK")))))))</f>
        <v/>
      </c>
    </row>
    <row r="108" spans="1:15" x14ac:dyDescent="0.35">
      <c r="A108" s="13" t="str">
        <f>IF(Connaissements!$A109="","",Connaissements!$A109)</f>
        <v/>
      </c>
      <c r="B108" s="13" t="str">
        <f>IF($A108="","",Connaissements!$B109)</f>
        <v/>
      </c>
      <c r="C108" s="13" t="str">
        <f>IF($A108="","",Connaissements!$G109)</f>
        <v/>
      </c>
      <c r="D108" s="13" t="str">
        <f>IF($A108="","",IFERROR(IF(INDEX(Bookings!$D$3:$D$202,MATCH($B108,Bookings!$A$3:$A$202,0))="","",INDEX(Bookings!$D$3:$D$202,MATCH($B108,Bookings!$A$3:$A$202,0))),""))</f>
        <v/>
      </c>
      <c r="E108" s="14" t="str">
        <f>IF($A108="","",IFERROR(IF(INDEX(Bookings!$G$3:$G$202,MATCH($B108,Bookings!$A$3:$A$202,0))="","",INDEX(Bookings!$G$3:$G$202,MATCH($B108,Bookings!$A$3:$A$202,0))),""))</f>
        <v/>
      </c>
      <c r="F108" s="14" t="str">
        <f>IF($A108="","",IFERROR(IF(INDEX(Bookings!$H$3:$H$202,MATCH($B108,Bookings!$A$3:$A$202,0))="","",INDEX(Bookings!$H$3:$H$202,MATCH($B108,Bookings!$A$3:$A$202,0))),""))</f>
        <v/>
      </c>
      <c r="G108" s="13" t="str">
        <f>IF($A108="","",IF(Connaissements!$F109="","",Connaissements!$F109))</f>
        <v/>
      </c>
      <c r="H108" s="13" t="str">
        <f>IF($A108="","",Connaissements!$H109)</f>
        <v/>
      </c>
      <c r="I108" s="13" t="str">
        <f>IF($A108="","",COUNTIFS(Conteneurs!$B$3:$B$1002,$A108,Conteneurs!$M$3:$M$1002,"Embarqué"))</f>
        <v/>
      </c>
      <c r="J108" s="18" t="str">
        <f>IF($A108="","",Connaissements!$J109)</f>
        <v/>
      </c>
      <c r="K108" s="13" t="str">
        <f>IF($A108="","",COUNTIFS(Documents!$A$3:$A$1002,$A108))</f>
        <v/>
      </c>
      <c r="L108" s="13" t="str">
        <f>IF($A108="","",COUNTIFS(Documents!$A$3:$A$1002,$A108,Documents!$I$3:$I$1002,"Envoyé DHL"))</f>
        <v/>
      </c>
      <c r="M108" s="13" t="str">
        <f>IF($A108="","",COUNTIFS(Etapes!$A$5:$A$1504,$A108,Etapes!$F$5:$F$1504,"En retard"))</f>
        <v/>
      </c>
      <c r="N108" s="18" t="str">
        <f>IF($A108="","",SUMIFS(Couts_Transitaire!$I$3:$I$602,Couts_Transitaire!$B$3:$B$602,$A108))</f>
        <v/>
      </c>
      <c r="O108" s="13" t="str">
        <f>IF($A108="","",IF($M108&gt;0,"Étapes en retard",IF(Connaissements!$K109&lt;&gt;"OK","Contrôle BL à corriger",IF($H108=0,"Aucun conteneur saisi",IF($I108&lt;$H108,"Conteneurs non embarqués",IF($L108&lt;$K108,"Documents à finaliser",IF($N108&gt;0,"Coûts à payer","OK")))))))</f>
        <v/>
      </c>
    </row>
    <row r="109" spans="1:15" x14ac:dyDescent="0.35">
      <c r="A109" s="13" t="str">
        <f>IF(Connaissements!$A110="","",Connaissements!$A110)</f>
        <v/>
      </c>
      <c r="B109" s="13" t="str">
        <f>IF($A109="","",Connaissements!$B110)</f>
        <v/>
      </c>
      <c r="C109" s="13" t="str">
        <f>IF($A109="","",Connaissements!$G110)</f>
        <v/>
      </c>
      <c r="D109" s="13" t="str">
        <f>IF($A109="","",IFERROR(IF(INDEX(Bookings!$D$3:$D$202,MATCH($B109,Bookings!$A$3:$A$202,0))="","",INDEX(Bookings!$D$3:$D$202,MATCH($B109,Bookings!$A$3:$A$202,0))),""))</f>
        <v/>
      </c>
      <c r="E109" s="14" t="str">
        <f>IF($A109="","",IFERROR(IF(INDEX(Bookings!$G$3:$G$202,MATCH($B109,Bookings!$A$3:$A$202,0))="","",INDEX(Bookings!$G$3:$G$202,MATCH($B109,Bookings!$A$3:$A$202,0))),""))</f>
        <v/>
      </c>
      <c r="F109" s="14" t="str">
        <f>IF($A109="","",IFERROR(IF(INDEX(Bookings!$H$3:$H$202,MATCH($B109,Bookings!$A$3:$A$202,0))="","",INDEX(Bookings!$H$3:$H$202,MATCH($B109,Bookings!$A$3:$A$202,0))),""))</f>
        <v/>
      </c>
      <c r="G109" s="13" t="str">
        <f>IF($A109="","",IF(Connaissements!$F110="","",Connaissements!$F110))</f>
        <v/>
      </c>
      <c r="H109" s="13" t="str">
        <f>IF($A109="","",Connaissements!$H110)</f>
        <v/>
      </c>
      <c r="I109" s="13" t="str">
        <f>IF($A109="","",COUNTIFS(Conteneurs!$B$3:$B$1002,$A109,Conteneurs!$M$3:$M$1002,"Embarqué"))</f>
        <v/>
      </c>
      <c r="J109" s="18" t="str">
        <f>IF($A109="","",Connaissements!$J110)</f>
        <v/>
      </c>
      <c r="K109" s="13" t="str">
        <f>IF($A109="","",COUNTIFS(Documents!$A$3:$A$1002,$A109))</f>
        <v/>
      </c>
      <c r="L109" s="13" t="str">
        <f>IF($A109="","",COUNTIFS(Documents!$A$3:$A$1002,$A109,Documents!$I$3:$I$1002,"Envoyé DHL"))</f>
        <v/>
      </c>
      <c r="M109" s="13" t="str">
        <f>IF($A109="","",COUNTIFS(Etapes!$A$5:$A$1504,$A109,Etapes!$F$5:$F$1504,"En retard"))</f>
        <v/>
      </c>
      <c r="N109" s="18" t="str">
        <f>IF($A109="","",SUMIFS(Couts_Transitaire!$I$3:$I$602,Couts_Transitaire!$B$3:$B$602,$A109))</f>
        <v/>
      </c>
      <c r="O109" s="13" t="str">
        <f>IF($A109="","",IF($M109&gt;0,"Étapes en retard",IF(Connaissements!$K110&lt;&gt;"OK","Contrôle BL à corriger",IF($H109=0,"Aucun conteneur saisi",IF($I109&lt;$H109,"Conteneurs non embarqués",IF($L109&lt;$K109,"Documents à finaliser",IF($N109&gt;0,"Coûts à payer","OK")))))))</f>
        <v/>
      </c>
    </row>
    <row r="110" spans="1:15" x14ac:dyDescent="0.35">
      <c r="A110" s="13" t="str">
        <f>IF(Connaissements!$A111="","",Connaissements!$A111)</f>
        <v/>
      </c>
      <c r="B110" s="13" t="str">
        <f>IF($A110="","",Connaissements!$B111)</f>
        <v/>
      </c>
      <c r="C110" s="13" t="str">
        <f>IF($A110="","",Connaissements!$G111)</f>
        <v/>
      </c>
      <c r="D110" s="13" t="str">
        <f>IF($A110="","",IFERROR(IF(INDEX(Bookings!$D$3:$D$202,MATCH($B110,Bookings!$A$3:$A$202,0))="","",INDEX(Bookings!$D$3:$D$202,MATCH($B110,Bookings!$A$3:$A$202,0))),""))</f>
        <v/>
      </c>
      <c r="E110" s="14" t="str">
        <f>IF($A110="","",IFERROR(IF(INDEX(Bookings!$G$3:$G$202,MATCH($B110,Bookings!$A$3:$A$202,0))="","",INDEX(Bookings!$G$3:$G$202,MATCH($B110,Bookings!$A$3:$A$202,0))),""))</f>
        <v/>
      </c>
      <c r="F110" s="14" t="str">
        <f>IF($A110="","",IFERROR(IF(INDEX(Bookings!$H$3:$H$202,MATCH($B110,Bookings!$A$3:$A$202,0))="","",INDEX(Bookings!$H$3:$H$202,MATCH($B110,Bookings!$A$3:$A$202,0))),""))</f>
        <v/>
      </c>
      <c r="G110" s="13" t="str">
        <f>IF($A110="","",IF(Connaissements!$F111="","",Connaissements!$F111))</f>
        <v/>
      </c>
      <c r="H110" s="13" t="str">
        <f>IF($A110="","",Connaissements!$H111)</f>
        <v/>
      </c>
      <c r="I110" s="13" t="str">
        <f>IF($A110="","",COUNTIFS(Conteneurs!$B$3:$B$1002,$A110,Conteneurs!$M$3:$M$1002,"Embarqué"))</f>
        <v/>
      </c>
      <c r="J110" s="18" t="str">
        <f>IF($A110="","",Connaissements!$J111)</f>
        <v/>
      </c>
      <c r="K110" s="13" t="str">
        <f>IF($A110="","",COUNTIFS(Documents!$A$3:$A$1002,$A110))</f>
        <v/>
      </c>
      <c r="L110" s="13" t="str">
        <f>IF($A110="","",COUNTIFS(Documents!$A$3:$A$1002,$A110,Documents!$I$3:$I$1002,"Envoyé DHL"))</f>
        <v/>
      </c>
      <c r="M110" s="13" t="str">
        <f>IF($A110="","",COUNTIFS(Etapes!$A$5:$A$1504,$A110,Etapes!$F$5:$F$1504,"En retard"))</f>
        <v/>
      </c>
      <c r="N110" s="18" t="str">
        <f>IF($A110="","",SUMIFS(Couts_Transitaire!$I$3:$I$602,Couts_Transitaire!$B$3:$B$602,$A110))</f>
        <v/>
      </c>
      <c r="O110" s="13" t="str">
        <f>IF($A110="","",IF($M110&gt;0,"Étapes en retard",IF(Connaissements!$K111&lt;&gt;"OK","Contrôle BL à corriger",IF($H110=0,"Aucun conteneur saisi",IF($I110&lt;$H110,"Conteneurs non embarqués",IF($L110&lt;$K110,"Documents à finaliser",IF($N110&gt;0,"Coûts à payer","OK")))))))</f>
        <v/>
      </c>
    </row>
    <row r="111" spans="1:15" x14ac:dyDescent="0.35">
      <c r="A111" s="13" t="str">
        <f>IF(Connaissements!$A112="","",Connaissements!$A112)</f>
        <v/>
      </c>
      <c r="B111" s="13" t="str">
        <f>IF($A111="","",Connaissements!$B112)</f>
        <v/>
      </c>
      <c r="C111" s="13" t="str">
        <f>IF($A111="","",Connaissements!$G112)</f>
        <v/>
      </c>
      <c r="D111" s="13" t="str">
        <f>IF($A111="","",IFERROR(IF(INDEX(Bookings!$D$3:$D$202,MATCH($B111,Bookings!$A$3:$A$202,0))="","",INDEX(Bookings!$D$3:$D$202,MATCH($B111,Bookings!$A$3:$A$202,0))),""))</f>
        <v/>
      </c>
      <c r="E111" s="14" t="str">
        <f>IF($A111="","",IFERROR(IF(INDEX(Bookings!$G$3:$G$202,MATCH($B111,Bookings!$A$3:$A$202,0))="","",INDEX(Bookings!$G$3:$G$202,MATCH($B111,Bookings!$A$3:$A$202,0))),""))</f>
        <v/>
      </c>
      <c r="F111" s="14" t="str">
        <f>IF($A111="","",IFERROR(IF(INDEX(Bookings!$H$3:$H$202,MATCH($B111,Bookings!$A$3:$A$202,0))="","",INDEX(Bookings!$H$3:$H$202,MATCH($B111,Bookings!$A$3:$A$202,0))),""))</f>
        <v/>
      </c>
      <c r="G111" s="13" t="str">
        <f>IF($A111="","",IF(Connaissements!$F112="","",Connaissements!$F112))</f>
        <v/>
      </c>
      <c r="H111" s="13" t="str">
        <f>IF($A111="","",Connaissements!$H112)</f>
        <v/>
      </c>
      <c r="I111" s="13" t="str">
        <f>IF($A111="","",COUNTIFS(Conteneurs!$B$3:$B$1002,$A111,Conteneurs!$M$3:$M$1002,"Embarqué"))</f>
        <v/>
      </c>
      <c r="J111" s="18" t="str">
        <f>IF($A111="","",Connaissements!$J112)</f>
        <v/>
      </c>
      <c r="K111" s="13" t="str">
        <f>IF($A111="","",COUNTIFS(Documents!$A$3:$A$1002,$A111))</f>
        <v/>
      </c>
      <c r="L111" s="13" t="str">
        <f>IF($A111="","",COUNTIFS(Documents!$A$3:$A$1002,$A111,Documents!$I$3:$I$1002,"Envoyé DHL"))</f>
        <v/>
      </c>
      <c r="M111" s="13" t="str">
        <f>IF($A111="","",COUNTIFS(Etapes!$A$5:$A$1504,$A111,Etapes!$F$5:$F$1504,"En retard"))</f>
        <v/>
      </c>
      <c r="N111" s="18" t="str">
        <f>IF($A111="","",SUMIFS(Couts_Transitaire!$I$3:$I$602,Couts_Transitaire!$B$3:$B$602,$A111))</f>
        <v/>
      </c>
      <c r="O111" s="13" t="str">
        <f>IF($A111="","",IF($M111&gt;0,"Étapes en retard",IF(Connaissements!$K112&lt;&gt;"OK","Contrôle BL à corriger",IF($H111=0,"Aucun conteneur saisi",IF($I111&lt;$H111,"Conteneurs non embarqués",IF($L111&lt;$K111,"Documents à finaliser",IF($N111&gt;0,"Coûts à payer","OK")))))))</f>
        <v/>
      </c>
    </row>
    <row r="112" spans="1:15" x14ac:dyDescent="0.35">
      <c r="A112" s="13" t="str">
        <f>IF(Connaissements!$A113="","",Connaissements!$A113)</f>
        <v/>
      </c>
      <c r="B112" s="13" t="str">
        <f>IF($A112="","",Connaissements!$B113)</f>
        <v/>
      </c>
      <c r="C112" s="13" t="str">
        <f>IF($A112="","",Connaissements!$G113)</f>
        <v/>
      </c>
      <c r="D112" s="13" t="str">
        <f>IF($A112="","",IFERROR(IF(INDEX(Bookings!$D$3:$D$202,MATCH($B112,Bookings!$A$3:$A$202,0))="","",INDEX(Bookings!$D$3:$D$202,MATCH($B112,Bookings!$A$3:$A$202,0))),""))</f>
        <v/>
      </c>
      <c r="E112" s="14" t="str">
        <f>IF($A112="","",IFERROR(IF(INDEX(Bookings!$G$3:$G$202,MATCH($B112,Bookings!$A$3:$A$202,0))="","",INDEX(Bookings!$G$3:$G$202,MATCH($B112,Bookings!$A$3:$A$202,0))),""))</f>
        <v/>
      </c>
      <c r="F112" s="14" t="str">
        <f>IF($A112="","",IFERROR(IF(INDEX(Bookings!$H$3:$H$202,MATCH($B112,Bookings!$A$3:$A$202,0))="","",INDEX(Bookings!$H$3:$H$202,MATCH($B112,Bookings!$A$3:$A$202,0))),""))</f>
        <v/>
      </c>
      <c r="G112" s="13" t="str">
        <f>IF($A112="","",IF(Connaissements!$F113="","",Connaissements!$F113))</f>
        <v/>
      </c>
      <c r="H112" s="13" t="str">
        <f>IF($A112="","",Connaissements!$H113)</f>
        <v/>
      </c>
      <c r="I112" s="13" t="str">
        <f>IF($A112="","",COUNTIFS(Conteneurs!$B$3:$B$1002,$A112,Conteneurs!$M$3:$M$1002,"Embarqué"))</f>
        <v/>
      </c>
      <c r="J112" s="18" t="str">
        <f>IF($A112="","",Connaissements!$J113)</f>
        <v/>
      </c>
      <c r="K112" s="13" t="str">
        <f>IF($A112="","",COUNTIFS(Documents!$A$3:$A$1002,$A112))</f>
        <v/>
      </c>
      <c r="L112" s="13" t="str">
        <f>IF($A112="","",COUNTIFS(Documents!$A$3:$A$1002,$A112,Documents!$I$3:$I$1002,"Envoyé DHL"))</f>
        <v/>
      </c>
      <c r="M112" s="13" t="str">
        <f>IF($A112="","",COUNTIFS(Etapes!$A$5:$A$1504,$A112,Etapes!$F$5:$F$1504,"En retard"))</f>
        <v/>
      </c>
      <c r="N112" s="18" t="str">
        <f>IF($A112="","",SUMIFS(Couts_Transitaire!$I$3:$I$602,Couts_Transitaire!$B$3:$B$602,$A112))</f>
        <v/>
      </c>
      <c r="O112" s="13" t="str">
        <f>IF($A112="","",IF($M112&gt;0,"Étapes en retard",IF(Connaissements!$K113&lt;&gt;"OK","Contrôle BL à corriger",IF($H112=0,"Aucun conteneur saisi",IF($I112&lt;$H112,"Conteneurs non embarqués",IF($L112&lt;$K112,"Documents à finaliser",IF($N112&gt;0,"Coûts à payer","OK")))))))</f>
        <v/>
      </c>
    </row>
    <row r="113" spans="1:15" x14ac:dyDescent="0.35">
      <c r="A113" s="13" t="str">
        <f>IF(Connaissements!$A114="","",Connaissements!$A114)</f>
        <v/>
      </c>
      <c r="B113" s="13" t="str">
        <f>IF($A113="","",Connaissements!$B114)</f>
        <v/>
      </c>
      <c r="C113" s="13" t="str">
        <f>IF($A113="","",Connaissements!$G114)</f>
        <v/>
      </c>
      <c r="D113" s="13" t="str">
        <f>IF($A113="","",IFERROR(IF(INDEX(Bookings!$D$3:$D$202,MATCH($B113,Bookings!$A$3:$A$202,0))="","",INDEX(Bookings!$D$3:$D$202,MATCH($B113,Bookings!$A$3:$A$202,0))),""))</f>
        <v/>
      </c>
      <c r="E113" s="14" t="str">
        <f>IF($A113="","",IFERROR(IF(INDEX(Bookings!$G$3:$G$202,MATCH($B113,Bookings!$A$3:$A$202,0))="","",INDEX(Bookings!$G$3:$G$202,MATCH($B113,Bookings!$A$3:$A$202,0))),""))</f>
        <v/>
      </c>
      <c r="F113" s="14" t="str">
        <f>IF($A113="","",IFERROR(IF(INDEX(Bookings!$H$3:$H$202,MATCH($B113,Bookings!$A$3:$A$202,0))="","",INDEX(Bookings!$H$3:$H$202,MATCH($B113,Bookings!$A$3:$A$202,0))),""))</f>
        <v/>
      </c>
      <c r="G113" s="13" t="str">
        <f>IF($A113="","",IF(Connaissements!$F114="","",Connaissements!$F114))</f>
        <v/>
      </c>
      <c r="H113" s="13" t="str">
        <f>IF($A113="","",Connaissements!$H114)</f>
        <v/>
      </c>
      <c r="I113" s="13" t="str">
        <f>IF($A113="","",COUNTIFS(Conteneurs!$B$3:$B$1002,$A113,Conteneurs!$M$3:$M$1002,"Embarqué"))</f>
        <v/>
      </c>
      <c r="J113" s="18" t="str">
        <f>IF($A113="","",Connaissements!$J114)</f>
        <v/>
      </c>
      <c r="K113" s="13" t="str">
        <f>IF($A113="","",COUNTIFS(Documents!$A$3:$A$1002,$A113))</f>
        <v/>
      </c>
      <c r="L113" s="13" t="str">
        <f>IF($A113="","",COUNTIFS(Documents!$A$3:$A$1002,$A113,Documents!$I$3:$I$1002,"Envoyé DHL"))</f>
        <v/>
      </c>
      <c r="M113" s="13" t="str">
        <f>IF($A113="","",COUNTIFS(Etapes!$A$5:$A$1504,$A113,Etapes!$F$5:$F$1504,"En retard"))</f>
        <v/>
      </c>
      <c r="N113" s="18" t="str">
        <f>IF($A113="","",SUMIFS(Couts_Transitaire!$I$3:$I$602,Couts_Transitaire!$B$3:$B$602,$A113))</f>
        <v/>
      </c>
      <c r="O113" s="13" t="str">
        <f>IF($A113="","",IF($M113&gt;0,"Étapes en retard",IF(Connaissements!$K114&lt;&gt;"OK","Contrôle BL à corriger",IF($H113=0,"Aucun conteneur saisi",IF($I113&lt;$H113,"Conteneurs non embarqués",IF($L113&lt;$K113,"Documents à finaliser",IF($N113&gt;0,"Coûts à payer","OK")))))))</f>
        <v/>
      </c>
    </row>
    <row r="114" spans="1:15" x14ac:dyDescent="0.35">
      <c r="A114" s="13" t="str">
        <f>IF(Connaissements!$A115="","",Connaissements!$A115)</f>
        <v/>
      </c>
      <c r="B114" s="13" t="str">
        <f>IF($A114="","",Connaissements!$B115)</f>
        <v/>
      </c>
      <c r="C114" s="13" t="str">
        <f>IF($A114="","",Connaissements!$G115)</f>
        <v/>
      </c>
      <c r="D114" s="13" t="str">
        <f>IF($A114="","",IFERROR(IF(INDEX(Bookings!$D$3:$D$202,MATCH($B114,Bookings!$A$3:$A$202,0))="","",INDEX(Bookings!$D$3:$D$202,MATCH($B114,Bookings!$A$3:$A$202,0))),""))</f>
        <v/>
      </c>
      <c r="E114" s="14" t="str">
        <f>IF($A114="","",IFERROR(IF(INDEX(Bookings!$G$3:$G$202,MATCH($B114,Bookings!$A$3:$A$202,0))="","",INDEX(Bookings!$G$3:$G$202,MATCH($B114,Bookings!$A$3:$A$202,0))),""))</f>
        <v/>
      </c>
      <c r="F114" s="14" t="str">
        <f>IF($A114="","",IFERROR(IF(INDEX(Bookings!$H$3:$H$202,MATCH($B114,Bookings!$A$3:$A$202,0))="","",INDEX(Bookings!$H$3:$H$202,MATCH($B114,Bookings!$A$3:$A$202,0))),""))</f>
        <v/>
      </c>
      <c r="G114" s="13" t="str">
        <f>IF($A114="","",IF(Connaissements!$F115="","",Connaissements!$F115))</f>
        <v/>
      </c>
      <c r="H114" s="13" t="str">
        <f>IF($A114="","",Connaissements!$H115)</f>
        <v/>
      </c>
      <c r="I114" s="13" t="str">
        <f>IF($A114="","",COUNTIFS(Conteneurs!$B$3:$B$1002,$A114,Conteneurs!$M$3:$M$1002,"Embarqué"))</f>
        <v/>
      </c>
      <c r="J114" s="18" t="str">
        <f>IF($A114="","",Connaissements!$J115)</f>
        <v/>
      </c>
      <c r="K114" s="13" t="str">
        <f>IF($A114="","",COUNTIFS(Documents!$A$3:$A$1002,$A114))</f>
        <v/>
      </c>
      <c r="L114" s="13" t="str">
        <f>IF($A114="","",COUNTIFS(Documents!$A$3:$A$1002,$A114,Documents!$I$3:$I$1002,"Envoyé DHL"))</f>
        <v/>
      </c>
      <c r="M114" s="13" t="str">
        <f>IF($A114="","",COUNTIFS(Etapes!$A$5:$A$1504,$A114,Etapes!$F$5:$F$1504,"En retard"))</f>
        <v/>
      </c>
      <c r="N114" s="18" t="str">
        <f>IF($A114="","",SUMIFS(Couts_Transitaire!$I$3:$I$602,Couts_Transitaire!$B$3:$B$602,$A114))</f>
        <v/>
      </c>
      <c r="O114" s="13" t="str">
        <f>IF($A114="","",IF($M114&gt;0,"Étapes en retard",IF(Connaissements!$K115&lt;&gt;"OK","Contrôle BL à corriger",IF($H114=0,"Aucun conteneur saisi",IF($I114&lt;$H114,"Conteneurs non embarqués",IF($L114&lt;$K114,"Documents à finaliser",IF($N114&gt;0,"Coûts à payer","OK")))))))</f>
        <v/>
      </c>
    </row>
    <row r="115" spans="1:15" x14ac:dyDescent="0.35">
      <c r="A115" s="13" t="str">
        <f>IF(Connaissements!$A116="","",Connaissements!$A116)</f>
        <v/>
      </c>
      <c r="B115" s="13" t="str">
        <f>IF($A115="","",Connaissements!$B116)</f>
        <v/>
      </c>
      <c r="C115" s="13" t="str">
        <f>IF($A115="","",Connaissements!$G116)</f>
        <v/>
      </c>
      <c r="D115" s="13" t="str">
        <f>IF($A115="","",IFERROR(IF(INDEX(Bookings!$D$3:$D$202,MATCH($B115,Bookings!$A$3:$A$202,0))="","",INDEX(Bookings!$D$3:$D$202,MATCH($B115,Bookings!$A$3:$A$202,0))),""))</f>
        <v/>
      </c>
      <c r="E115" s="14" t="str">
        <f>IF($A115="","",IFERROR(IF(INDEX(Bookings!$G$3:$G$202,MATCH($B115,Bookings!$A$3:$A$202,0))="","",INDEX(Bookings!$G$3:$G$202,MATCH($B115,Bookings!$A$3:$A$202,0))),""))</f>
        <v/>
      </c>
      <c r="F115" s="14" t="str">
        <f>IF($A115="","",IFERROR(IF(INDEX(Bookings!$H$3:$H$202,MATCH($B115,Bookings!$A$3:$A$202,0))="","",INDEX(Bookings!$H$3:$H$202,MATCH($B115,Bookings!$A$3:$A$202,0))),""))</f>
        <v/>
      </c>
      <c r="G115" s="13" t="str">
        <f>IF($A115="","",IF(Connaissements!$F116="","",Connaissements!$F116))</f>
        <v/>
      </c>
      <c r="H115" s="13" t="str">
        <f>IF($A115="","",Connaissements!$H116)</f>
        <v/>
      </c>
      <c r="I115" s="13" t="str">
        <f>IF($A115="","",COUNTIFS(Conteneurs!$B$3:$B$1002,$A115,Conteneurs!$M$3:$M$1002,"Embarqué"))</f>
        <v/>
      </c>
      <c r="J115" s="18" t="str">
        <f>IF($A115="","",Connaissements!$J116)</f>
        <v/>
      </c>
      <c r="K115" s="13" t="str">
        <f>IF($A115="","",COUNTIFS(Documents!$A$3:$A$1002,$A115))</f>
        <v/>
      </c>
      <c r="L115" s="13" t="str">
        <f>IF($A115="","",COUNTIFS(Documents!$A$3:$A$1002,$A115,Documents!$I$3:$I$1002,"Envoyé DHL"))</f>
        <v/>
      </c>
      <c r="M115" s="13" t="str">
        <f>IF($A115="","",COUNTIFS(Etapes!$A$5:$A$1504,$A115,Etapes!$F$5:$F$1504,"En retard"))</f>
        <v/>
      </c>
      <c r="N115" s="18" t="str">
        <f>IF($A115="","",SUMIFS(Couts_Transitaire!$I$3:$I$602,Couts_Transitaire!$B$3:$B$602,$A115))</f>
        <v/>
      </c>
      <c r="O115" s="13" t="str">
        <f>IF($A115="","",IF($M115&gt;0,"Étapes en retard",IF(Connaissements!$K116&lt;&gt;"OK","Contrôle BL à corriger",IF($H115=0,"Aucun conteneur saisi",IF($I115&lt;$H115,"Conteneurs non embarqués",IF($L115&lt;$K115,"Documents à finaliser",IF($N115&gt;0,"Coûts à payer","OK")))))))</f>
        <v/>
      </c>
    </row>
    <row r="116" spans="1:15" x14ac:dyDescent="0.35">
      <c r="A116" s="13" t="str">
        <f>IF(Connaissements!$A117="","",Connaissements!$A117)</f>
        <v/>
      </c>
      <c r="B116" s="13" t="str">
        <f>IF($A116="","",Connaissements!$B117)</f>
        <v/>
      </c>
      <c r="C116" s="13" t="str">
        <f>IF($A116="","",Connaissements!$G117)</f>
        <v/>
      </c>
      <c r="D116" s="13" t="str">
        <f>IF($A116="","",IFERROR(IF(INDEX(Bookings!$D$3:$D$202,MATCH($B116,Bookings!$A$3:$A$202,0))="","",INDEX(Bookings!$D$3:$D$202,MATCH($B116,Bookings!$A$3:$A$202,0))),""))</f>
        <v/>
      </c>
      <c r="E116" s="14" t="str">
        <f>IF($A116="","",IFERROR(IF(INDEX(Bookings!$G$3:$G$202,MATCH($B116,Bookings!$A$3:$A$202,0))="","",INDEX(Bookings!$G$3:$G$202,MATCH($B116,Bookings!$A$3:$A$202,0))),""))</f>
        <v/>
      </c>
      <c r="F116" s="14" t="str">
        <f>IF($A116="","",IFERROR(IF(INDEX(Bookings!$H$3:$H$202,MATCH($B116,Bookings!$A$3:$A$202,0))="","",INDEX(Bookings!$H$3:$H$202,MATCH($B116,Bookings!$A$3:$A$202,0))),""))</f>
        <v/>
      </c>
      <c r="G116" s="13" t="str">
        <f>IF($A116="","",IF(Connaissements!$F117="","",Connaissements!$F117))</f>
        <v/>
      </c>
      <c r="H116" s="13" t="str">
        <f>IF($A116="","",Connaissements!$H117)</f>
        <v/>
      </c>
      <c r="I116" s="13" t="str">
        <f>IF($A116="","",COUNTIFS(Conteneurs!$B$3:$B$1002,$A116,Conteneurs!$M$3:$M$1002,"Embarqué"))</f>
        <v/>
      </c>
      <c r="J116" s="18" t="str">
        <f>IF($A116="","",Connaissements!$J117)</f>
        <v/>
      </c>
      <c r="K116" s="13" t="str">
        <f>IF($A116="","",COUNTIFS(Documents!$A$3:$A$1002,$A116))</f>
        <v/>
      </c>
      <c r="L116" s="13" t="str">
        <f>IF($A116="","",COUNTIFS(Documents!$A$3:$A$1002,$A116,Documents!$I$3:$I$1002,"Envoyé DHL"))</f>
        <v/>
      </c>
      <c r="M116" s="13" t="str">
        <f>IF($A116="","",COUNTIFS(Etapes!$A$5:$A$1504,$A116,Etapes!$F$5:$F$1504,"En retard"))</f>
        <v/>
      </c>
      <c r="N116" s="18" t="str">
        <f>IF($A116="","",SUMIFS(Couts_Transitaire!$I$3:$I$602,Couts_Transitaire!$B$3:$B$602,$A116))</f>
        <v/>
      </c>
      <c r="O116" s="13" t="str">
        <f>IF($A116="","",IF($M116&gt;0,"Étapes en retard",IF(Connaissements!$K117&lt;&gt;"OK","Contrôle BL à corriger",IF($H116=0,"Aucun conteneur saisi",IF($I116&lt;$H116,"Conteneurs non embarqués",IF($L116&lt;$K116,"Documents à finaliser",IF($N116&gt;0,"Coûts à payer","OK")))))))</f>
        <v/>
      </c>
    </row>
    <row r="117" spans="1:15" x14ac:dyDescent="0.35">
      <c r="A117" s="13" t="str">
        <f>IF(Connaissements!$A118="","",Connaissements!$A118)</f>
        <v/>
      </c>
      <c r="B117" s="13" t="str">
        <f>IF($A117="","",Connaissements!$B118)</f>
        <v/>
      </c>
      <c r="C117" s="13" t="str">
        <f>IF($A117="","",Connaissements!$G118)</f>
        <v/>
      </c>
      <c r="D117" s="13" t="str">
        <f>IF($A117="","",IFERROR(IF(INDEX(Bookings!$D$3:$D$202,MATCH($B117,Bookings!$A$3:$A$202,0))="","",INDEX(Bookings!$D$3:$D$202,MATCH($B117,Bookings!$A$3:$A$202,0))),""))</f>
        <v/>
      </c>
      <c r="E117" s="14" t="str">
        <f>IF($A117="","",IFERROR(IF(INDEX(Bookings!$G$3:$G$202,MATCH($B117,Bookings!$A$3:$A$202,0))="","",INDEX(Bookings!$G$3:$G$202,MATCH($B117,Bookings!$A$3:$A$202,0))),""))</f>
        <v/>
      </c>
      <c r="F117" s="14" t="str">
        <f>IF($A117="","",IFERROR(IF(INDEX(Bookings!$H$3:$H$202,MATCH($B117,Bookings!$A$3:$A$202,0))="","",INDEX(Bookings!$H$3:$H$202,MATCH($B117,Bookings!$A$3:$A$202,0))),""))</f>
        <v/>
      </c>
      <c r="G117" s="13" t="str">
        <f>IF($A117="","",IF(Connaissements!$F118="","",Connaissements!$F118))</f>
        <v/>
      </c>
      <c r="H117" s="13" t="str">
        <f>IF($A117="","",Connaissements!$H118)</f>
        <v/>
      </c>
      <c r="I117" s="13" t="str">
        <f>IF($A117="","",COUNTIFS(Conteneurs!$B$3:$B$1002,$A117,Conteneurs!$M$3:$M$1002,"Embarqué"))</f>
        <v/>
      </c>
      <c r="J117" s="18" t="str">
        <f>IF($A117="","",Connaissements!$J118)</f>
        <v/>
      </c>
      <c r="K117" s="13" t="str">
        <f>IF($A117="","",COUNTIFS(Documents!$A$3:$A$1002,$A117))</f>
        <v/>
      </c>
      <c r="L117" s="13" t="str">
        <f>IF($A117="","",COUNTIFS(Documents!$A$3:$A$1002,$A117,Documents!$I$3:$I$1002,"Envoyé DHL"))</f>
        <v/>
      </c>
      <c r="M117" s="13" t="str">
        <f>IF($A117="","",COUNTIFS(Etapes!$A$5:$A$1504,$A117,Etapes!$F$5:$F$1504,"En retard"))</f>
        <v/>
      </c>
      <c r="N117" s="18" t="str">
        <f>IF($A117="","",SUMIFS(Couts_Transitaire!$I$3:$I$602,Couts_Transitaire!$B$3:$B$602,$A117))</f>
        <v/>
      </c>
      <c r="O117" s="13" t="str">
        <f>IF($A117="","",IF($M117&gt;0,"Étapes en retard",IF(Connaissements!$K118&lt;&gt;"OK","Contrôle BL à corriger",IF($H117=0,"Aucun conteneur saisi",IF($I117&lt;$H117,"Conteneurs non embarqués",IF($L117&lt;$K117,"Documents à finaliser",IF($N117&gt;0,"Coûts à payer","OK")))))))</f>
        <v/>
      </c>
    </row>
    <row r="118" spans="1:15" x14ac:dyDescent="0.35">
      <c r="A118" s="13" t="str">
        <f>IF(Connaissements!$A119="","",Connaissements!$A119)</f>
        <v/>
      </c>
      <c r="B118" s="13" t="str">
        <f>IF($A118="","",Connaissements!$B119)</f>
        <v/>
      </c>
      <c r="C118" s="13" t="str">
        <f>IF($A118="","",Connaissements!$G119)</f>
        <v/>
      </c>
      <c r="D118" s="13" t="str">
        <f>IF($A118="","",IFERROR(IF(INDEX(Bookings!$D$3:$D$202,MATCH($B118,Bookings!$A$3:$A$202,0))="","",INDEX(Bookings!$D$3:$D$202,MATCH($B118,Bookings!$A$3:$A$202,0))),""))</f>
        <v/>
      </c>
      <c r="E118" s="14" t="str">
        <f>IF($A118="","",IFERROR(IF(INDEX(Bookings!$G$3:$G$202,MATCH($B118,Bookings!$A$3:$A$202,0))="","",INDEX(Bookings!$G$3:$G$202,MATCH($B118,Bookings!$A$3:$A$202,0))),""))</f>
        <v/>
      </c>
      <c r="F118" s="14" t="str">
        <f>IF($A118="","",IFERROR(IF(INDEX(Bookings!$H$3:$H$202,MATCH($B118,Bookings!$A$3:$A$202,0))="","",INDEX(Bookings!$H$3:$H$202,MATCH($B118,Bookings!$A$3:$A$202,0))),""))</f>
        <v/>
      </c>
      <c r="G118" s="13" t="str">
        <f>IF($A118="","",IF(Connaissements!$F119="","",Connaissements!$F119))</f>
        <v/>
      </c>
      <c r="H118" s="13" t="str">
        <f>IF($A118="","",Connaissements!$H119)</f>
        <v/>
      </c>
      <c r="I118" s="13" t="str">
        <f>IF($A118="","",COUNTIFS(Conteneurs!$B$3:$B$1002,$A118,Conteneurs!$M$3:$M$1002,"Embarqué"))</f>
        <v/>
      </c>
      <c r="J118" s="18" t="str">
        <f>IF($A118="","",Connaissements!$J119)</f>
        <v/>
      </c>
      <c r="K118" s="13" t="str">
        <f>IF($A118="","",COUNTIFS(Documents!$A$3:$A$1002,$A118))</f>
        <v/>
      </c>
      <c r="L118" s="13" t="str">
        <f>IF($A118="","",COUNTIFS(Documents!$A$3:$A$1002,$A118,Documents!$I$3:$I$1002,"Envoyé DHL"))</f>
        <v/>
      </c>
      <c r="M118" s="13" t="str">
        <f>IF($A118="","",COUNTIFS(Etapes!$A$5:$A$1504,$A118,Etapes!$F$5:$F$1504,"En retard"))</f>
        <v/>
      </c>
      <c r="N118" s="18" t="str">
        <f>IF($A118="","",SUMIFS(Couts_Transitaire!$I$3:$I$602,Couts_Transitaire!$B$3:$B$602,$A118))</f>
        <v/>
      </c>
      <c r="O118" s="13" t="str">
        <f>IF($A118="","",IF($M118&gt;0,"Étapes en retard",IF(Connaissements!$K119&lt;&gt;"OK","Contrôle BL à corriger",IF($H118=0,"Aucun conteneur saisi",IF($I118&lt;$H118,"Conteneurs non embarqués",IF($L118&lt;$K118,"Documents à finaliser",IF($N118&gt;0,"Coûts à payer","OK")))))))</f>
        <v/>
      </c>
    </row>
    <row r="119" spans="1:15" x14ac:dyDescent="0.35">
      <c r="A119" s="13" t="str">
        <f>IF(Connaissements!$A120="","",Connaissements!$A120)</f>
        <v/>
      </c>
      <c r="B119" s="13" t="str">
        <f>IF($A119="","",Connaissements!$B120)</f>
        <v/>
      </c>
      <c r="C119" s="13" t="str">
        <f>IF($A119="","",Connaissements!$G120)</f>
        <v/>
      </c>
      <c r="D119" s="13" t="str">
        <f>IF($A119="","",IFERROR(IF(INDEX(Bookings!$D$3:$D$202,MATCH($B119,Bookings!$A$3:$A$202,0))="","",INDEX(Bookings!$D$3:$D$202,MATCH($B119,Bookings!$A$3:$A$202,0))),""))</f>
        <v/>
      </c>
      <c r="E119" s="14" t="str">
        <f>IF($A119="","",IFERROR(IF(INDEX(Bookings!$G$3:$G$202,MATCH($B119,Bookings!$A$3:$A$202,0))="","",INDEX(Bookings!$G$3:$G$202,MATCH($B119,Bookings!$A$3:$A$202,0))),""))</f>
        <v/>
      </c>
      <c r="F119" s="14" t="str">
        <f>IF($A119="","",IFERROR(IF(INDEX(Bookings!$H$3:$H$202,MATCH($B119,Bookings!$A$3:$A$202,0))="","",INDEX(Bookings!$H$3:$H$202,MATCH($B119,Bookings!$A$3:$A$202,0))),""))</f>
        <v/>
      </c>
      <c r="G119" s="13" t="str">
        <f>IF($A119="","",IF(Connaissements!$F120="","",Connaissements!$F120))</f>
        <v/>
      </c>
      <c r="H119" s="13" t="str">
        <f>IF($A119="","",Connaissements!$H120)</f>
        <v/>
      </c>
      <c r="I119" s="13" t="str">
        <f>IF($A119="","",COUNTIFS(Conteneurs!$B$3:$B$1002,$A119,Conteneurs!$M$3:$M$1002,"Embarqué"))</f>
        <v/>
      </c>
      <c r="J119" s="18" t="str">
        <f>IF($A119="","",Connaissements!$J120)</f>
        <v/>
      </c>
      <c r="K119" s="13" t="str">
        <f>IF($A119="","",COUNTIFS(Documents!$A$3:$A$1002,$A119))</f>
        <v/>
      </c>
      <c r="L119" s="13" t="str">
        <f>IF($A119="","",COUNTIFS(Documents!$A$3:$A$1002,$A119,Documents!$I$3:$I$1002,"Envoyé DHL"))</f>
        <v/>
      </c>
      <c r="M119" s="13" t="str">
        <f>IF($A119="","",COUNTIFS(Etapes!$A$5:$A$1504,$A119,Etapes!$F$5:$F$1504,"En retard"))</f>
        <v/>
      </c>
      <c r="N119" s="18" t="str">
        <f>IF($A119="","",SUMIFS(Couts_Transitaire!$I$3:$I$602,Couts_Transitaire!$B$3:$B$602,$A119))</f>
        <v/>
      </c>
      <c r="O119" s="13" t="str">
        <f>IF($A119="","",IF($M119&gt;0,"Étapes en retard",IF(Connaissements!$K120&lt;&gt;"OK","Contrôle BL à corriger",IF($H119=0,"Aucun conteneur saisi",IF($I119&lt;$H119,"Conteneurs non embarqués",IF($L119&lt;$K119,"Documents à finaliser",IF($N119&gt;0,"Coûts à payer","OK")))))))</f>
        <v/>
      </c>
    </row>
    <row r="120" spans="1:15" x14ac:dyDescent="0.35">
      <c r="A120" s="13" t="str">
        <f>IF(Connaissements!$A121="","",Connaissements!$A121)</f>
        <v/>
      </c>
      <c r="B120" s="13" t="str">
        <f>IF($A120="","",Connaissements!$B121)</f>
        <v/>
      </c>
      <c r="C120" s="13" t="str">
        <f>IF($A120="","",Connaissements!$G121)</f>
        <v/>
      </c>
      <c r="D120" s="13" t="str">
        <f>IF($A120="","",IFERROR(IF(INDEX(Bookings!$D$3:$D$202,MATCH($B120,Bookings!$A$3:$A$202,0))="","",INDEX(Bookings!$D$3:$D$202,MATCH($B120,Bookings!$A$3:$A$202,0))),""))</f>
        <v/>
      </c>
      <c r="E120" s="14" t="str">
        <f>IF($A120="","",IFERROR(IF(INDEX(Bookings!$G$3:$G$202,MATCH($B120,Bookings!$A$3:$A$202,0))="","",INDEX(Bookings!$G$3:$G$202,MATCH($B120,Bookings!$A$3:$A$202,0))),""))</f>
        <v/>
      </c>
      <c r="F120" s="14" t="str">
        <f>IF($A120="","",IFERROR(IF(INDEX(Bookings!$H$3:$H$202,MATCH($B120,Bookings!$A$3:$A$202,0))="","",INDEX(Bookings!$H$3:$H$202,MATCH($B120,Bookings!$A$3:$A$202,0))),""))</f>
        <v/>
      </c>
      <c r="G120" s="13" t="str">
        <f>IF($A120="","",IF(Connaissements!$F121="","",Connaissements!$F121))</f>
        <v/>
      </c>
      <c r="H120" s="13" t="str">
        <f>IF($A120="","",Connaissements!$H121)</f>
        <v/>
      </c>
      <c r="I120" s="13" t="str">
        <f>IF($A120="","",COUNTIFS(Conteneurs!$B$3:$B$1002,$A120,Conteneurs!$M$3:$M$1002,"Embarqué"))</f>
        <v/>
      </c>
      <c r="J120" s="18" t="str">
        <f>IF($A120="","",Connaissements!$J121)</f>
        <v/>
      </c>
      <c r="K120" s="13" t="str">
        <f>IF($A120="","",COUNTIFS(Documents!$A$3:$A$1002,$A120))</f>
        <v/>
      </c>
      <c r="L120" s="13" t="str">
        <f>IF($A120="","",COUNTIFS(Documents!$A$3:$A$1002,$A120,Documents!$I$3:$I$1002,"Envoyé DHL"))</f>
        <v/>
      </c>
      <c r="M120" s="13" t="str">
        <f>IF($A120="","",COUNTIFS(Etapes!$A$5:$A$1504,$A120,Etapes!$F$5:$F$1504,"En retard"))</f>
        <v/>
      </c>
      <c r="N120" s="18" t="str">
        <f>IF($A120="","",SUMIFS(Couts_Transitaire!$I$3:$I$602,Couts_Transitaire!$B$3:$B$602,$A120))</f>
        <v/>
      </c>
      <c r="O120" s="13" t="str">
        <f>IF($A120="","",IF($M120&gt;0,"Étapes en retard",IF(Connaissements!$K121&lt;&gt;"OK","Contrôle BL à corriger",IF($H120=0,"Aucun conteneur saisi",IF($I120&lt;$H120,"Conteneurs non embarqués",IF($L120&lt;$K120,"Documents à finaliser",IF($N120&gt;0,"Coûts à payer","OK")))))))</f>
        <v/>
      </c>
    </row>
    <row r="121" spans="1:15" x14ac:dyDescent="0.35">
      <c r="A121" s="13" t="str">
        <f>IF(Connaissements!$A122="","",Connaissements!$A122)</f>
        <v/>
      </c>
      <c r="B121" s="13" t="str">
        <f>IF($A121="","",Connaissements!$B122)</f>
        <v/>
      </c>
      <c r="C121" s="13" t="str">
        <f>IF($A121="","",Connaissements!$G122)</f>
        <v/>
      </c>
      <c r="D121" s="13" t="str">
        <f>IF($A121="","",IFERROR(IF(INDEX(Bookings!$D$3:$D$202,MATCH($B121,Bookings!$A$3:$A$202,0))="","",INDEX(Bookings!$D$3:$D$202,MATCH($B121,Bookings!$A$3:$A$202,0))),""))</f>
        <v/>
      </c>
      <c r="E121" s="14" t="str">
        <f>IF($A121="","",IFERROR(IF(INDEX(Bookings!$G$3:$G$202,MATCH($B121,Bookings!$A$3:$A$202,0))="","",INDEX(Bookings!$G$3:$G$202,MATCH($B121,Bookings!$A$3:$A$202,0))),""))</f>
        <v/>
      </c>
      <c r="F121" s="14" t="str">
        <f>IF($A121="","",IFERROR(IF(INDEX(Bookings!$H$3:$H$202,MATCH($B121,Bookings!$A$3:$A$202,0))="","",INDEX(Bookings!$H$3:$H$202,MATCH($B121,Bookings!$A$3:$A$202,0))),""))</f>
        <v/>
      </c>
      <c r="G121" s="13" t="str">
        <f>IF($A121="","",IF(Connaissements!$F122="","",Connaissements!$F122))</f>
        <v/>
      </c>
      <c r="H121" s="13" t="str">
        <f>IF($A121="","",Connaissements!$H122)</f>
        <v/>
      </c>
      <c r="I121" s="13" t="str">
        <f>IF($A121="","",COUNTIFS(Conteneurs!$B$3:$B$1002,$A121,Conteneurs!$M$3:$M$1002,"Embarqué"))</f>
        <v/>
      </c>
      <c r="J121" s="18" t="str">
        <f>IF($A121="","",Connaissements!$J122)</f>
        <v/>
      </c>
      <c r="K121" s="13" t="str">
        <f>IF($A121="","",COUNTIFS(Documents!$A$3:$A$1002,$A121))</f>
        <v/>
      </c>
      <c r="L121" s="13" t="str">
        <f>IF($A121="","",COUNTIFS(Documents!$A$3:$A$1002,$A121,Documents!$I$3:$I$1002,"Envoyé DHL"))</f>
        <v/>
      </c>
      <c r="M121" s="13" t="str">
        <f>IF($A121="","",COUNTIFS(Etapes!$A$5:$A$1504,$A121,Etapes!$F$5:$F$1504,"En retard"))</f>
        <v/>
      </c>
      <c r="N121" s="18" t="str">
        <f>IF($A121="","",SUMIFS(Couts_Transitaire!$I$3:$I$602,Couts_Transitaire!$B$3:$B$602,$A121))</f>
        <v/>
      </c>
      <c r="O121" s="13" t="str">
        <f>IF($A121="","",IF($M121&gt;0,"Étapes en retard",IF(Connaissements!$K122&lt;&gt;"OK","Contrôle BL à corriger",IF($H121=0,"Aucun conteneur saisi",IF($I121&lt;$H121,"Conteneurs non embarqués",IF($L121&lt;$K121,"Documents à finaliser",IF($N121&gt;0,"Coûts à payer","OK")))))))</f>
        <v/>
      </c>
    </row>
    <row r="122" spans="1:15" x14ac:dyDescent="0.35">
      <c r="A122" s="13" t="str">
        <f>IF(Connaissements!$A123="","",Connaissements!$A123)</f>
        <v/>
      </c>
      <c r="B122" s="13" t="str">
        <f>IF($A122="","",Connaissements!$B123)</f>
        <v/>
      </c>
      <c r="C122" s="13" t="str">
        <f>IF($A122="","",Connaissements!$G123)</f>
        <v/>
      </c>
      <c r="D122" s="13" t="str">
        <f>IF($A122="","",IFERROR(IF(INDEX(Bookings!$D$3:$D$202,MATCH($B122,Bookings!$A$3:$A$202,0))="","",INDEX(Bookings!$D$3:$D$202,MATCH($B122,Bookings!$A$3:$A$202,0))),""))</f>
        <v/>
      </c>
      <c r="E122" s="14" t="str">
        <f>IF($A122="","",IFERROR(IF(INDEX(Bookings!$G$3:$G$202,MATCH($B122,Bookings!$A$3:$A$202,0))="","",INDEX(Bookings!$G$3:$G$202,MATCH($B122,Bookings!$A$3:$A$202,0))),""))</f>
        <v/>
      </c>
      <c r="F122" s="14" t="str">
        <f>IF($A122="","",IFERROR(IF(INDEX(Bookings!$H$3:$H$202,MATCH($B122,Bookings!$A$3:$A$202,0))="","",INDEX(Bookings!$H$3:$H$202,MATCH($B122,Bookings!$A$3:$A$202,0))),""))</f>
        <v/>
      </c>
      <c r="G122" s="13" t="str">
        <f>IF($A122="","",IF(Connaissements!$F123="","",Connaissements!$F123))</f>
        <v/>
      </c>
      <c r="H122" s="13" t="str">
        <f>IF($A122="","",Connaissements!$H123)</f>
        <v/>
      </c>
      <c r="I122" s="13" t="str">
        <f>IF($A122="","",COUNTIFS(Conteneurs!$B$3:$B$1002,$A122,Conteneurs!$M$3:$M$1002,"Embarqué"))</f>
        <v/>
      </c>
      <c r="J122" s="18" t="str">
        <f>IF($A122="","",Connaissements!$J123)</f>
        <v/>
      </c>
      <c r="K122" s="13" t="str">
        <f>IF($A122="","",COUNTIFS(Documents!$A$3:$A$1002,$A122))</f>
        <v/>
      </c>
      <c r="L122" s="13" t="str">
        <f>IF($A122="","",COUNTIFS(Documents!$A$3:$A$1002,$A122,Documents!$I$3:$I$1002,"Envoyé DHL"))</f>
        <v/>
      </c>
      <c r="M122" s="13" t="str">
        <f>IF($A122="","",COUNTIFS(Etapes!$A$5:$A$1504,$A122,Etapes!$F$5:$F$1504,"En retard"))</f>
        <v/>
      </c>
      <c r="N122" s="18" t="str">
        <f>IF($A122="","",SUMIFS(Couts_Transitaire!$I$3:$I$602,Couts_Transitaire!$B$3:$B$602,$A122))</f>
        <v/>
      </c>
      <c r="O122" s="13" t="str">
        <f>IF($A122="","",IF($M122&gt;0,"Étapes en retard",IF(Connaissements!$K123&lt;&gt;"OK","Contrôle BL à corriger",IF($H122=0,"Aucun conteneur saisi",IF($I122&lt;$H122,"Conteneurs non embarqués",IF($L122&lt;$K122,"Documents à finaliser",IF($N122&gt;0,"Coûts à payer","OK")))))))</f>
        <v/>
      </c>
    </row>
    <row r="123" spans="1:15" x14ac:dyDescent="0.35">
      <c r="A123" s="13" t="str">
        <f>IF(Connaissements!$A124="","",Connaissements!$A124)</f>
        <v/>
      </c>
      <c r="B123" s="13" t="str">
        <f>IF($A123="","",Connaissements!$B124)</f>
        <v/>
      </c>
      <c r="C123" s="13" t="str">
        <f>IF($A123="","",Connaissements!$G124)</f>
        <v/>
      </c>
      <c r="D123" s="13" t="str">
        <f>IF($A123="","",IFERROR(IF(INDEX(Bookings!$D$3:$D$202,MATCH($B123,Bookings!$A$3:$A$202,0))="","",INDEX(Bookings!$D$3:$D$202,MATCH($B123,Bookings!$A$3:$A$202,0))),""))</f>
        <v/>
      </c>
      <c r="E123" s="14" t="str">
        <f>IF($A123="","",IFERROR(IF(INDEX(Bookings!$G$3:$G$202,MATCH($B123,Bookings!$A$3:$A$202,0))="","",INDEX(Bookings!$G$3:$G$202,MATCH($B123,Bookings!$A$3:$A$202,0))),""))</f>
        <v/>
      </c>
      <c r="F123" s="14" t="str">
        <f>IF($A123="","",IFERROR(IF(INDEX(Bookings!$H$3:$H$202,MATCH($B123,Bookings!$A$3:$A$202,0))="","",INDEX(Bookings!$H$3:$H$202,MATCH($B123,Bookings!$A$3:$A$202,0))),""))</f>
        <v/>
      </c>
      <c r="G123" s="13" t="str">
        <f>IF($A123="","",IF(Connaissements!$F124="","",Connaissements!$F124))</f>
        <v/>
      </c>
      <c r="H123" s="13" t="str">
        <f>IF($A123="","",Connaissements!$H124)</f>
        <v/>
      </c>
      <c r="I123" s="13" t="str">
        <f>IF($A123="","",COUNTIFS(Conteneurs!$B$3:$B$1002,$A123,Conteneurs!$M$3:$M$1002,"Embarqué"))</f>
        <v/>
      </c>
      <c r="J123" s="18" t="str">
        <f>IF($A123="","",Connaissements!$J124)</f>
        <v/>
      </c>
      <c r="K123" s="13" t="str">
        <f>IF($A123="","",COUNTIFS(Documents!$A$3:$A$1002,$A123))</f>
        <v/>
      </c>
      <c r="L123" s="13" t="str">
        <f>IF($A123="","",COUNTIFS(Documents!$A$3:$A$1002,$A123,Documents!$I$3:$I$1002,"Envoyé DHL"))</f>
        <v/>
      </c>
      <c r="M123" s="13" t="str">
        <f>IF($A123="","",COUNTIFS(Etapes!$A$5:$A$1504,$A123,Etapes!$F$5:$F$1504,"En retard"))</f>
        <v/>
      </c>
      <c r="N123" s="18" t="str">
        <f>IF($A123="","",SUMIFS(Couts_Transitaire!$I$3:$I$602,Couts_Transitaire!$B$3:$B$602,$A123))</f>
        <v/>
      </c>
      <c r="O123" s="13" t="str">
        <f>IF($A123="","",IF($M123&gt;0,"Étapes en retard",IF(Connaissements!$K124&lt;&gt;"OK","Contrôle BL à corriger",IF($H123=0,"Aucun conteneur saisi",IF($I123&lt;$H123,"Conteneurs non embarqués",IF($L123&lt;$K123,"Documents à finaliser",IF($N123&gt;0,"Coûts à payer","OK")))))))</f>
        <v/>
      </c>
    </row>
    <row r="124" spans="1:15" x14ac:dyDescent="0.35">
      <c r="A124" s="13" t="str">
        <f>IF(Connaissements!$A125="","",Connaissements!$A125)</f>
        <v/>
      </c>
      <c r="B124" s="13" t="str">
        <f>IF($A124="","",Connaissements!$B125)</f>
        <v/>
      </c>
      <c r="C124" s="13" t="str">
        <f>IF($A124="","",Connaissements!$G125)</f>
        <v/>
      </c>
      <c r="D124" s="13" t="str">
        <f>IF($A124="","",IFERROR(IF(INDEX(Bookings!$D$3:$D$202,MATCH($B124,Bookings!$A$3:$A$202,0))="","",INDEX(Bookings!$D$3:$D$202,MATCH($B124,Bookings!$A$3:$A$202,0))),""))</f>
        <v/>
      </c>
      <c r="E124" s="14" t="str">
        <f>IF($A124="","",IFERROR(IF(INDEX(Bookings!$G$3:$G$202,MATCH($B124,Bookings!$A$3:$A$202,0))="","",INDEX(Bookings!$G$3:$G$202,MATCH($B124,Bookings!$A$3:$A$202,0))),""))</f>
        <v/>
      </c>
      <c r="F124" s="14" t="str">
        <f>IF($A124="","",IFERROR(IF(INDEX(Bookings!$H$3:$H$202,MATCH($B124,Bookings!$A$3:$A$202,0))="","",INDEX(Bookings!$H$3:$H$202,MATCH($B124,Bookings!$A$3:$A$202,0))),""))</f>
        <v/>
      </c>
      <c r="G124" s="13" t="str">
        <f>IF($A124="","",IF(Connaissements!$F125="","",Connaissements!$F125))</f>
        <v/>
      </c>
      <c r="H124" s="13" t="str">
        <f>IF($A124="","",Connaissements!$H125)</f>
        <v/>
      </c>
      <c r="I124" s="13" t="str">
        <f>IF($A124="","",COUNTIFS(Conteneurs!$B$3:$B$1002,$A124,Conteneurs!$M$3:$M$1002,"Embarqué"))</f>
        <v/>
      </c>
      <c r="J124" s="18" t="str">
        <f>IF($A124="","",Connaissements!$J125)</f>
        <v/>
      </c>
      <c r="K124" s="13" t="str">
        <f>IF($A124="","",COUNTIFS(Documents!$A$3:$A$1002,$A124))</f>
        <v/>
      </c>
      <c r="L124" s="13" t="str">
        <f>IF($A124="","",COUNTIFS(Documents!$A$3:$A$1002,$A124,Documents!$I$3:$I$1002,"Envoyé DHL"))</f>
        <v/>
      </c>
      <c r="M124" s="13" t="str">
        <f>IF($A124="","",COUNTIFS(Etapes!$A$5:$A$1504,$A124,Etapes!$F$5:$F$1504,"En retard"))</f>
        <v/>
      </c>
      <c r="N124" s="18" t="str">
        <f>IF($A124="","",SUMIFS(Couts_Transitaire!$I$3:$I$602,Couts_Transitaire!$B$3:$B$602,$A124))</f>
        <v/>
      </c>
      <c r="O124" s="13" t="str">
        <f>IF($A124="","",IF($M124&gt;0,"Étapes en retard",IF(Connaissements!$K125&lt;&gt;"OK","Contrôle BL à corriger",IF($H124=0,"Aucun conteneur saisi",IF($I124&lt;$H124,"Conteneurs non embarqués",IF($L124&lt;$K124,"Documents à finaliser",IF($N124&gt;0,"Coûts à payer","OK")))))))</f>
        <v/>
      </c>
    </row>
    <row r="125" spans="1:15" x14ac:dyDescent="0.35">
      <c r="A125" s="13" t="str">
        <f>IF(Connaissements!$A126="","",Connaissements!$A126)</f>
        <v/>
      </c>
      <c r="B125" s="13" t="str">
        <f>IF($A125="","",Connaissements!$B126)</f>
        <v/>
      </c>
      <c r="C125" s="13" t="str">
        <f>IF($A125="","",Connaissements!$G126)</f>
        <v/>
      </c>
      <c r="D125" s="13" t="str">
        <f>IF($A125="","",IFERROR(IF(INDEX(Bookings!$D$3:$D$202,MATCH($B125,Bookings!$A$3:$A$202,0))="","",INDEX(Bookings!$D$3:$D$202,MATCH($B125,Bookings!$A$3:$A$202,0))),""))</f>
        <v/>
      </c>
      <c r="E125" s="14" t="str">
        <f>IF($A125="","",IFERROR(IF(INDEX(Bookings!$G$3:$G$202,MATCH($B125,Bookings!$A$3:$A$202,0))="","",INDEX(Bookings!$G$3:$G$202,MATCH($B125,Bookings!$A$3:$A$202,0))),""))</f>
        <v/>
      </c>
      <c r="F125" s="14" t="str">
        <f>IF($A125="","",IFERROR(IF(INDEX(Bookings!$H$3:$H$202,MATCH($B125,Bookings!$A$3:$A$202,0))="","",INDEX(Bookings!$H$3:$H$202,MATCH($B125,Bookings!$A$3:$A$202,0))),""))</f>
        <v/>
      </c>
      <c r="G125" s="13" t="str">
        <f>IF($A125="","",IF(Connaissements!$F126="","",Connaissements!$F126))</f>
        <v/>
      </c>
      <c r="H125" s="13" t="str">
        <f>IF($A125="","",Connaissements!$H126)</f>
        <v/>
      </c>
      <c r="I125" s="13" t="str">
        <f>IF($A125="","",COUNTIFS(Conteneurs!$B$3:$B$1002,$A125,Conteneurs!$M$3:$M$1002,"Embarqué"))</f>
        <v/>
      </c>
      <c r="J125" s="18" t="str">
        <f>IF($A125="","",Connaissements!$J126)</f>
        <v/>
      </c>
      <c r="K125" s="13" t="str">
        <f>IF($A125="","",COUNTIFS(Documents!$A$3:$A$1002,$A125))</f>
        <v/>
      </c>
      <c r="L125" s="13" t="str">
        <f>IF($A125="","",COUNTIFS(Documents!$A$3:$A$1002,$A125,Documents!$I$3:$I$1002,"Envoyé DHL"))</f>
        <v/>
      </c>
      <c r="M125" s="13" t="str">
        <f>IF($A125="","",COUNTIFS(Etapes!$A$5:$A$1504,$A125,Etapes!$F$5:$F$1504,"En retard"))</f>
        <v/>
      </c>
      <c r="N125" s="18" t="str">
        <f>IF($A125="","",SUMIFS(Couts_Transitaire!$I$3:$I$602,Couts_Transitaire!$B$3:$B$602,$A125))</f>
        <v/>
      </c>
      <c r="O125" s="13" t="str">
        <f>IF($A125="","",IF($M125&gt;0,"Étapes en retard",IF(Connaissements!$K126&lt;&gt;"OK","Contrôle BL à corriger",IF($H125=0,"Aucun conteneur saisi",IF($I125&lt;$H125,"Conteneurs non embarqués",IF($L125&lt;$K125,"Documents à finaliser",IF($N125&gt;0,"Coûts à payer","OK")))))))</f>
        <v/>
      </c>
    </row>
    <row r="126" spans="1:15" x14ac:dyDescent="0.35">
      <c r="A126" s="13" t="str">
        <f>IF(Connaissements!$A127="","",Connaissements!$A127)</f>
        <v/>
      </c>
      <c r="B126" s="13" t="str">
        <f>IF($A126="","",Connaissements!$B127)</f>
        <v/>
      </c>
      <c r="C126" s="13" t="str">
        <f>IF($A126="","",Connaissements!$G127)</f>
        <v/>
      </c>
      <c r="D126" s="13" t="str">
        <f>IF($A126="","",IFERROR(IF(INDEX(Bookings!$D$3:$D$202,MATCH($B126,Bookings!$A$3:$A$202,0))="","",INDEX(Bookings!$D$3:$D$202,MATCH($B126,Bookings!$A$3:$A$202,0))),""))</f>
        <v/>
      </c>
      <c r="E126" s="14" t="str">
        <f>IF($A126="","",IFERROR(IF(INDEX(Bookings!$G$3:$G$202,MATCH($B126,Bookings!$A$3:$A$202,0))="","",INDEX(Bookings!$G$3:$G$202,MATCH($B126,Bookings!$A$3:$A$202,0))),""))</f>
        <v/>
      </c>
      <c r="F126" s="14" t="str">
        <f>IF($A126="","",IFERROR(IF(INDEX(Bookings!$H$3:$H$202,MATCH($B126,Bookings!$A$3:$A$202,0))="","",INDEX(Bookings!$H$3:$H$202,MATCH($B126,Bookings!$A$3:$A$202,0))),""))</f>
        <v/>
      </c>
      <c r="G126" s="13" t="str">
        <f>IF($A126="","",IF(Connaissements!$F127="","",Connaissements!$F127))</f>
        <v/>
      </c>
      <c r="H126" s="13" t="str">
        <f>IF($A126="","",Connaissements!$H127)</f>
        <v/>
      </c>
      <c r="I126" s="13" t="str">
        <f>IF($A126="","",COUNTIFS(Conteneurs!$B$3:$B$1002,$A126,Conteneurs!$M$3:$M$1002,"Embarqué"))</f>
        <v/>
      </c>
      <c r="J126" s="18" t="str">
        <f>IF($A126="","",Connaissements!$J127)</f>
        <v/>
      </c>
      <c r="K126" s="13" t="str">
        <f>IF($A126="","",COUNTIFS(Documents!$A$3:$A$1002,$A126))</f>
        <v/>
      </c>
      <c r="L126" s="13" t="str">
        <f>IF($A126="","",COUNTIFS(Documents!$A$3:$A$1002,$A126,Documents!$I$3:$I$1002,"Envoyé DHL"))</f>
        <v/>
      </c>
      <c r="M126" s="13" t="str">
        <f>IF($A126="","",COUNTIFS(Etapes!$A$5:$A$1504,$A126,Etapes!$F$5:$F$1504,"En retard"))</f>
        <v/>
      </c>
      <c r="N126" s="18" t="str">
        <f>IF($A126="","",SUMIFS(Couts_Transitaire!$I$3:$I$602,Couts_Transitaire!$B$3:$B$602,$A126))</f>
        <v/>
      </c>
      <c r="O126" s="13" t="str">
        <f>IF($A126="","",IF($M126&gt;0,"Étapes en retard",IF(Connaissements!$K127&lt;&gt;"OK","Contrôle BL à corriger",IF($H126=0,"Aucun conteneur saisi",IF($I126&lt;$H126,"Conteneurs non embarqués",IF($L126&lt;$K126,"Documents à finaliser",IF($N126&gt;0,"Coûts à payer","OK")))))))</f>
        <v/>
      </c>
    </row>
    <row r="127" spans="1:15" x14ac:dyDescent="0.35">
      <c r="A127" s="13" t="str">
        <f>IF(Connaissements!$A128="","",Connaissements!$A128)</f>
        <v/>
      </c>
      <c r="B127" s="13" t="str">
        <f>IF($A127="","",Connaissements!$B128)</f>
        <v/>
      </c>
      <c r="C127" s="13" t="str">
        <f>IF($A127="","",Connaissements!$G128)</f>
        <v/>
      </c>
      <c r="D127" s="13" t="str">
        <f>IF($A127="","",IFERROR(IF(INDEX(Bookings!$D$3:$D$202,MATCH($B127,Bookings!$A$3:$A$202,0))="","",INDEX(Bookings!$D$3:$D$202,MATCH($B127,Bookings!$A$3:$A$202,0))),""))</f>
        <v/>
      </c>
      <c r="E127" s="14" t="str">
        <f>IF($A127="","",IFERROR(IF(INDEX(Bookings!$G$3:$G$202,MATCH($B127,Bookings!$A$3:$A$202,0))="","",INDEX(Bookings!$G$3:$G$202,MATCH($B127,Bookings!$A$3:$A$202,0))),""))</f>
        <v/>
      </c>
      <c r="F127" s="14" t="str">
        <f>IF($A127="","",IFERROR(IF(INDEX(Bookings!$H$3:$H$202,MATCH($B127,Bookings!$A$3:$A$202,0))="","",INDEX(Bookings!$H$3:$H$202,MATCH($B127,Bookings!$A$3:$A$202,0))),""))</f>
        <v/>
      </c>
      <c r="G127" s="13" t="str">
        <f>IF($A127="","",IF(Connaissements!$F128="","",Connaissements!$F128))</f>
        <v/>
      </c>
      <c r="H127" s="13" t="str">
        <f>IF($A127="","",Connaissements!$H128)</f>
        <v/>
      </c>
      <c r="I127" s="13" t="str">
        <f>IF($A127="","",COUNTIFS(Conteneurs!$B$3:$B$1002,$A127,Conteneurs!$M$3:$M$1002,"Embarqué"))</f>
        <v/>
      </c>
      <c r="J127" s="18" t="str">
        <f>IF($A127="","",Connaissements!$J128)</f>
        <v/>
      </c>
      <c r="K127" s="13" t="str">
        <f>IF($A127="","",COUNTIFS(Documents!$A$3:$A$1002,$A127))</f>
        <v/>
      </c>
      <c r="L127" s="13" t="str">
        <f>IF($A127="","",COUNTIFS(Documents!$A$3:$A$1002,$A127,Documents!$I$3:$I$1002,"Envoyé DHL"))</f>
        <v/>
      </c>
      <c r="M127" s="13" t="str">
        <f>IF($A127="","",COUNTIFS(Etapes!$A$5:$A$1504,$A127,Etapes!$F$5:$F$1504,"En retard"))</f>
        <v/>
      </c>
      <c r="N127" s="18" t="str">
        <f>IF($A127="","",SUMIFS(Couts_Transitaire!$I$3:$I$602,Couts_Transitaire!$B$3:$B$602,$A127))</f>
        <v/>
      </c>
      <c r="O127" s="13" t="str">
        <f>IF($A127="","",IF($M127&gt;0,"Étapes en retard",IF(Connaissements!$K128&lt;&gt;"OK","Contrôle BL à corriger",IF($H127=0,"Aucun conteneur saisi",IF($I127&lt;$H127,"Conteneurs non embarqués",IF($L127&lt;$K127,"Documents à finaliser",IF($N127&gt;0,"Coûts à payer","OK")))))))</f>
        <v/>
      </c>
    </row>
    <row r="128" spans="1:15" x14ac:dyDescent="0.35">
      <c r="A128" s="13" t="str">
        <f>IF(Connaissements!$A129="","",Connaissements!$A129)</f>
        <v/>
      </c>
      <c r="B128" s="13" t="str">
        <f>IF($A128="","",Connaissements!$B129)</f>
        <v/>
      </c>
      <c r="C128" s="13" t="str">
        <f>IF($A128="","",Connaissements!$G129)</f>
        <v/>
      </c>
      <c r="D128" s="13" t="str">
        <f>IF($A128="","",IFERROR(IF(INDEX(Bookings!$D$3:$D$202,MATCH($B128,Bookings!$A$3:$A$202,0))="","",INDEX(Bookings!$D$3:$D$202,MATCH($B128,Bookings!$A$3:$A$202,0))),""))</f>
        <v/>
      </c>
      <c r="E128" s="14" t="str">
        <f>IF($A128="","",IFERROR(IF(INDEX(Bookings!$G$3:$G$202,MATCH($B128,Bookings!$A$3:$A$202,0))="","",INDEX(Bookings!$G$3:$G$202,MATCH($B128,Bookings!$A$3:$A$202,0))),""))</f>
        <v/>
      </c>
      <c r="F128" s="14" t="str">
        <f>IF($A128="","",IFERROR(IF(INDEX(Bookings!$H$3:$H$202,MATCH($B128,Bookings!$A$3:$A$202,0))="","",INDEX(Bookings!$H$3:$H$202,MATCH($B128,Bookings!$A$3:$A$202,0))),""))</f>
        <v/>
      </c>
      <c r="G128" s="13" t="str">
        <f>IF($A128="","",IF(Connaissements!$F129="","",Connaissements!$F129))</f>
        <v/>
      </c>
      <c r="H128" s="13" t="str">
        <f>IF($A128="","",Connaissements!$H129)</f>
        <v/>
      </c>
      <c r="I128" s="13" t="str">
        <f>IF($A128="","",COUNTIFS(Conteneurs!$B$3:$B$1002,$A128,Conteneurs!$M$3:$M$1002,"Embarqué"))</f>
        <v/>
      </c>
      <c r="J128" s="18" t="str">
        <f>IF($A128="","",Connaissements!$J129)</f>
        <v/>
      </c>
      <c r="K128" s="13" t="str">
        <f>IF($A128="","",COUNTIFS(Documents!$A$3:$A$1002,$A128))</f>
        <v/>
      </c>
      <c r="L128" s="13" t="str">
        <f>IF($A128="","",COUNTIFS(Documents!$A$3:$A$1002,$A128,Documents!$I$3:$I$1002,"Envoyé DHL"))</f>
        <v/>
      </c>
      <c r="M128" s="13" t="str">
        <f>IF($A128="","",COUNTIFS(Etapes!$A$5:$A$1504,$A128,Etapes!$F$5:$F$1504,"En retard"))</f>
        <v/>
      </c>
      <c r="N128" s="18" t="str">
        <f>IF($A128="","",SUMIFS(Couts_Transitaire!$I$3:$I$602,Couts_Transitaire!$B$3:$B$602,$A128))</f>
        <v/>
      </c>
      <c r="O128" s="13" t="str">
        <f>IF($A128="","",IF($M128&gt;0,"Étapes en retard",IF(Connaissements!$K129&lt;&gt;"OK","Contrôle BL à corriger",IF($H128=0,"Aucun conteneur saisi",IF($I128&lt;$H128,"Conteneurs non embarqués",IF($L128&lt;$K128,"Documents à finaliser",IF($N128&gt;0,"Coûts à payer","OK")))))))</f>
        <v/>
      </c>
    </row>
    <row r="129" spans="1:15" x14ac:dyDescent="0.35">
      <c r="A129" s="13" t="str">
        <f>IF(Connaissements!$A130="","",Connaissements!$A130)</f>
        <v/>
      </c>
      <c r="B129" s="13" t="str">
        <f>IF($A129="","",Connaissements!$B130)</f>
        <v/>
      </c>
      <c r="C129" s="13" t="str">
        <f>IF($A129="","",Connaissements!$G130)</f>
        <v/>
      </c>
      <c r="D129" s="13" t="str">
        <f>IF($A129="","",IFERROR(IF(INDEX(Bookings!$D$3:$D$202,MATCH($B129,Bookings!$A$3:$A$202,0))="","",INDEX(Bookings!$D$3:$D$202,MATCH($B129,Bookings!$A$3:$A$202,0))),""))</f>
        <v/>
      </c>
      <c r="E129" s="14" t="str">
        <f>IF($A129="","",IFERROR(IF(INDEX(Bookings!$G$3:$G$202,MATCH($B129,Bookings!$A$3:$A$202,0))="","",INDEX(Bookings!$G$3:$G$202,MATCH($B129,Bookings!$A$3:$A$202,0))),""))</f>
        <v/>
      </c>
      <c r="F129" s="14" t="str">
        <f>IF($A129="","",IFERROR(IF(INDEX(Bookings!$H$3:$H$202,MATCH($B129,Bookings!$A$3:$A$202,0))="","",INDEX(Bookings!$H$3:$H$202,MATCH($B129,Bookings!$A$3:$A$202,0))),""))</f>
        <v/>
      </c>
      <c r="G129" s="13" t="str">
        <f>IF($A129="","",IF(Connaissements!$F130="","",Connaissements!$F130))</f>
        <v/>
      </c>
      <c r="H129" s="13" t="str">
        <f>IF($A129="","",Connaissements!$H130)</f>
        <v/>
      </c>
      <c r="I129" s="13" t="str">
        <f>IF($A129="","",COUNTIFS(Conteneurs!$B$3:$B$1002,$A129,Conteneurs!$M$3:$M$1002,"Embarqué"))</f>
        <v/>
      </c>
      <c r="J129" s="18" t="str">
        <f>IF($A129="","",Connaissements!$J130)</f>
        <v/>
      </c>
      <c r="K129" s="13" t="str">
        <f>IF($A129="","",COUNTIFS(Documents!$A$3:$A$1002,$A129))</f>
        <v/>
      </c>
      <c r="L129" s="13" t="str">
        <f>IF($A129="","",COUNTIFS(Documents!$A$3:$A$1002,$A129,Documents!$I$3:$I$1002,"Envoyé DHL"))</f>
        <v/>
      </c>
      <c r="M129" s="13" t="str">
        <f>IF($A129="","",COUNTIFS(Etapes!$A$5:$A$1504,$A129,Etapes!$F$5:$F$1504,"En retard"))</f>
        <v/>
      </c>
      <c r="N129" s="18" t="str">
        <f>IF($A129="","",SUMIFS(Couts_Transitaire!$I$3:$I$602,Couts_Transitaire!$B$3:$B$602,$A129))</f>
        <v/>
      </c>
      <c r="O129" s="13" t="str">
        <f>IF($A129="","",IF($M129&gt;0,"Étapes en retard",IF(Connaissements!$K130&lt;&gt;"OK","Contrôle BL à corriger",IF($H129=0,"Aucun conteneur saisi",IF($I129&lt;$H129,"Conteneurs non embarqués",IF($L129&lt;$K129,"Documents à finaliser",IF($N129&gt;0,"Coûts à payer","OK")))))))</f>
        <v/>
      </c>
    </row>
    <row r="130" spans="1:15" x14ac:dyDescent="0.35">
      <c r="A130" s="13" t="str">
        <f>IF(Connaissements!$A131="","",Connaissements!$A131)</f>
        <v/>
      </c>
      <c r="B130" s="13" t="str">
        <f>IF($A130="","",Connaissements!$B131)</f>
        <v/>
      </c>
      <c r="C130" s="13" t="str">
        <f>IF($A130="","",Connaissements!$G131)</f>
        <v/>
      </c>
      <c r="D130" s="13" t="str">
        <f>IF($A130="","",IFERROR(IF(INDEX(Bookings!$D$3:$D$202,MATCH($B130,Bookings!$A$3:$A$202,0))="","",INDEX(Bookings!$D$3:$D$202,MATCH($B130,Bookings!$A$3:$A$202,0))),""))</f>
        <v/>
      </c>
      <c r="E130" s="14" t="str">
        <f>IF($A130="","",IFERROR(IF(INDEX(Bookings!$G$3:$G$202,MATCH($B130,Bookings!$A$3:$A$202,0))="","",INDEX(Bookings!$G$3:$G$202,MATCH($B130,Bookings!$A$3:$A$202,0))),""))</f>
        <v/>
      </c>
      <c r="F130" s="14" t="str">
        <f>IF($A130="","",IFERROR(IF(INDEX(Bookings!$H$3:$H$202,MATCH($B130,Bookings!$A$3:$A$202,0))="","",INDEX(Bookings!$H$3:$H$202,MATCH($B130,Bookings!$A$3:$A$202,0))),""))</f>
        <v/>
      </c>
      <c r="G130" s="13" t="str">
        <f>IF($A130="","",IF(Connaissements!$F131="","",Connaissements!$F131))</f>
        <v/>
      </c>
      <c r="H130" s="13" t="str">
        <f>IF($A130="","",Connaissements!$H131)</f>
        <v/>
      </c>
      <c r="I130" s="13" t="str">
        <f>IF($A130="","",COUNTIFS(Conteneurs!$B$3:$B$1002,$A130,Conteneurs!$M$3:$M$1002,"Embarqué"))</f>
        <v/>
      </c>
      <c r="J130" s="18" t="str">
        <f>IF($A130="","",Connaissements!$J131)</f>
        <v/>
      </c>
      <c r="K130" s="13" t="str">
        <f>IF($A130="","",COUNTIFS(Documents!$A$3:$A$1002,$A130))</f>
        <v/>
      </c>
      <c r="L130" s="13" t="str">
        <f>IF($A130="","",COUNTIFS(Documents!$A$3:$A$1002,$A130,Documents!$I$3:$I$1002,"Envoyé DHL"))</f>
        <v/>
      </c>
      <c r="M130" s="13" t="str">
        <f>IF($A130="","",COUNTIFS(Etapes!$A$5:$A$1504,$A130,Etapes!$F$5:$F$1504,"En retard"))</f>
        <v/>
      </c>
      <c r="N130" s="18" t="str">
        <f>IF($A130="","",SUMIFS(Couts_Transitaire!$I$3:$I$602,Couts_Transitaire!$B$3:$B$602,$A130))</f>
        <v/>
      </c>
      <c r="O130" s="13" t="str">
        <f>IF($A130="","",IF($M130&gt;0,"Étapes en retard",IF(Connaissements!$K131&lt;&gt;"OK","Contrôle BL à corriger",IF($H130=0,"Aucun conteneur saisi",IF($I130&lt;$H130,"Conteneurs non embarqués",IF($L130&lt;$K130,"Documents à finaliser",IF($N130&gt;0,"Coûts à payer","OK")))))))</f>
        <v/>
      </c>
    </row>
    <row r="131" spans="1:15" x14ac:dyDescent="0.35">
      <c r="A131" s="13" t="str">
        <f>IF(Connaissements!$A132="","",Connaissements!$A132)</f>
        <v/>
      </c>
      <c r="B131" s="13" t="str">
        <f>IF($A131="","",Connaissements!$B132)</f>
        <v/>
      </c>
      <c r="C131" s="13" t="str">
        <f>IF($A131="","",Connaissements!$G132)</f>
        <v/>
      </c>
      <c r="D131" s="13" t="str">
        <f>IF($A131="","",IFERROR(IF(INDEX(Bookings!$D$3:$D$202,MATCH($B131,Bookings!$A$3:$A$202,0))="","",INDEX(Bookings!$D$3:$D$202,MATCH($B131,Bookings!$A$3:$A$202,0))),""))</f>
        <v/>
      </c>
      <c r="E131" s="14" t="str">
        <f>IF($A131="","",IFERROR(IF(INDEX(Bookings!$G$3:$G$202,MATCH($B131,Bookings!$A$3:$A$202,0))="","",INDEX(Bookings!$G$3:$G$202,MATCH($B131,Bookings!$A$3:$A$202,0))),""))</f>
        <v/>
      </c>
      <c r="F131" s="14" t="str">
        <f>IF($A131="","",IFERROR(IF(INDEX(Bookings!$H$3:$H$202,MATCH($B131,Bookings!$A$3:$A$202,0))="","",INDEX(Bookings!$H$3:$H$202,MATCH($B131,Bookings!$A$3:$A$202,0))),""))</f>
        <v/>
      </c>
      <c r="G131" s="13" t="str">
        <f>IF($A131="","",IF(Connaissements!$F132="","",Connaissements!$F132))</f>
        <v/>
      </c>
      <c r="H131" s="13" t="str">
        <f>IF($A131="","",Connaissements!$H132)</f>
        <v/>
      </c>
      <c r="I131" s="13" t="str">
        <f>IF($A131="","",COUNTIFS(Conteneurs!$B$3:$B$1002,$A131,Conteneurs!$M$3:$M$1002,"Embarqué"))</f>
        <v/>
      </c>
      <c r="J131" s="18" t="str">
        <f>IF($A131="","",Connaissements!$J132)</f>
        <v/>
      </c>
      <c r="K131" s="13" t="str">
        <f>IF($A131="","",COUNTIFS(Documents!$A$3:$A$1002,$A131))</f>
        <v/>
      </c>
      <c r="L131" s="13" t="str">
        <f>IF($A131="","",COUNTIFS(Documents!$A$3:$A$1002,$A131,Documents!$I$3:$I$1002,"Envoyé DHL"))</f>
        <v/>
      </c>
      <c r="M131" s="13" t="str">
        <f>IF($A131="","",COUNTIFS(Etapes!$A$5:$A$1504,$A131,Etapes!$F$5:$F$1504,"En retard"))</f>
        <v/>
      </c>
      <c r="N131" s="18" t="str">
        <f>IF($A131="","",SUMIFS(Couts_Transitaire!$I$3:$I$602,Couts_Transitaire!$B$3:$B$602,$A131))</f>
        <v/>
      </c>
      <c r="O131" s="13" t="str">
        <f>IF($A131="","",IF($M131&gt;0,"Étapes en retard",IF(Connaissements!$K132&lt;&gt;"OK","Contrôle BL à corriger",IF($H131=0,"Aucun conteneur saisi",IF($I131&lt;$H131,"Conteneurs non embarqués",IF($L131&lt;$K131,"Documents à finaliser",IF($N131&gt;0,"Coûts à payer","OK")))))))</f>
        <v/>
      </c>
    </row>
    <row r="132" spans="1:15" x14ac:dyDescent="0.35">
      <c r="A132" s="13" t="str">
        <f>IF(Connaissements!$A133="","",Connaissements!$A133)</f>
        <v/>
      </c>
      <c r="B132" s="13" t="str">
        <f>IF($A132="","",Connaissements!$B133)</f>
        <v/>
      </c>
      <c r="C132" s="13" t="str">
        <f>IF($A132="","",Connaissements!$G133)</f>
        <v/>
      </c>
      <c r="D132" s="13" t="str">
        <f>IF($A132="","",IFERROR(IF(INDEX(Bookings!$D$3:$D$202,MATCH($B132,Bookings!$A$3:$A$202,0))="","",INDEX(Bookings!$D$3:$D$202,MATCH($B132,Bookings!$A$3:$A$202,0))),""))</f>
        <v/>
      </c>
      <c r="E132" s="14" t="str">
        <f>IF($A132="","",IFERROR(IF(INDEX(Bookings!$G$3:$G$202,MATCH($B132,Bookings!$A$3:$A$202,0))="","",INDEX(Bookings!$G$3:$G$202,MATCH($B132,Bookings!$A$3:$A$202,0))),""))</f>
        <v/>
      </c>
      <c r="F132" s="14" t="str">
        <f>IF($A132="","",IFERROR(IF(INDEX(Bookings!$H$3:$H$202,MATCH($B132,Bookings!$A$3:$A$202,0))="","",INDEX(Bookings!$H$3:$H$202,MATCH($B132,Bookings!$A$3:$A$202,0))),""))</f>
        <v/>
      </c>
      <c r="G132" s="13" t="str">
        <f>IF($A132="","",IF(Connaissements!$F133="","",Connaissements!$F133))</f>
        <v/>
      </c>
      <c r="H132" s="13" t="str">
        <f>IF($A132="","",Connaissements!$H133)</f>
        <v/>
      </c>
      <c r="I132" s="13" t="str">
        <f>IF($A132="","",COUNTIFS(Conteneurs!$B$3:$B$1002,$A132,Conteneurs!$M$3:$M$1002,"Embarqué"))</f>
        <v/>
      </c>
      <c r="J132" s="18" t="str">
        <f>IF($A132="","",Connaissements!$J133)</f>
        <v/>
      </c>
      <c r="K132" s="13" t="str">
        <f>IF($A132="","",COUNTIFS(Documents!$A$3:$A$1002,$A132))</f>
        <v/>
      </c>
      <c r="L132" s="13" t="str">
        <f>IF($A132="","",COUNTIFS(Documents!$A$3:$A$1002,$A132,Documents!$I$3:$I$1002,"Envoyé DHL"))</f>
        <v/>
      </c>
      <c r="M132" s="13" t="str">
        <f>IF($A132="","",COUNTIFS(Etapes!$A$5:$A$1504,$A132,Etapes!$F$5:$F$1504,"En retard"))</f>
        <v/>
      </c>
      <c r="N132" s="18" t="str">
        <f>IF($A132="","",SUMIFS(Couts_Transitaire!$I$3:$I$602,Couts_Transitaire!$B$3:$B$602,$A132))</f>
        <v/>
      </c>
      <c r="O132" s="13" t="str">
        <f>IF($A132="","",IF($M132&gt;0,"Étapes en retard",IF(Connaissements!$K133&lt;&gt;"OK","Contrôle BL à corriger",IF($H132=0,"Aucun conteneur saisi",IF($I132&lt;$H132,"Conteneurs non embarqués",IF($L132&lt;$K132,"Documents à finaliser",IF($N132&gt;0,"Coûts à payer","OK")))))))</f>
        <v/>
      </c>
    </row>
    <row r="133" spans="1:15" x14ac:dyDescent="0.35">
      <c r="A133" s="13" t="str">
        <f>IF(Connaissements!$A134="","",Connaissements!$A134)</f>
        <v/>
      </c>
      <c r="B133" s="13" t="str">
        <f>IF($A133="","",Connaissements!$B134)</f>
        <v/>
      </c>
      <c r="C133" s="13" t="str">
        <f>IF($A133="","",Connaissements!$G134)</f>
        <v/>
      </c>
      <c r="D133" s="13" t="str">
        <f>IF($A133="","",IFERROR(IF(INDEX(Bookings!$D$3:$D$202,MATCH($B133,Bookings!$A$3:$A$202,0))="","",INDEX(Bookings!$D$3:$D$202,MATCH($B133,Bookings!$A$3:$A$202,0))),""))</f>
        <v/>
      </c>
      <c r="E133" s="14" t="str">
        <f>IF($A133="","",IFERROR(IF(INDEX(Bookings!$G$3:$G$202,MATCH($B133,Bookings!$A$3:$A$202,0))="","",INDEX(Bookings!$G$3:$G$202,MATCH($B133,Bookings!$A$3:$A$202,0))),""))</f>
        <v/>
      </c>
      <c r="F133" s="14" t="str">
        <f>IF($A133="","",IFERROR(IF(INDEX(Bookings!$H$3:$H$202,MATCH($B133,Bookings!$A$3:$A$202,0))="","",INDEX(Bookings!$H$3:$H$202,MATCH($B133,Bookings!$A$3:$A$202,0))),""))</f>
        <v/>
      </c>
      <c r="G133" s="13" t="str">
        <f>IF($A133="","",IF(Connaissements!$F134="","",Connaissements!$F134))</f>
        <v/>
      </c>
      <c r="H133" s="13" t="str">
        <f>IF($A133="","",Connaissements!$H134)</f>
        <v/>
      </c>
      <c r="I133" s="13" t="str">
        <f>IF($A133="","",COUNTIFS(Conteneurs!$B$3:$B$1002,$A133,Conteneurs!$M$3:$M$1002,"Embarqué"))</f>
        <v/>
      </c>
      <c r="J133" s="18" t="str">
        <f>IF($A133="","",Connaissements!$J134)</f>
        <v/>
      </c>
      <c r="K133" s="13" t="str">
        <f>IF($A133="","",COUNTIFS(Documents!$A$3:$A$1002,$A133))</f>
        <v/>
      </c>
      <c r="L133" s="13" t="str">
        <f>IF($A133="","",COUNTIFS(Documents!$A$3:$A$1002,$A133,Documents!$I$3:$I$1002,"Envoyé DHL"))</f>
        <v/>
      </c>
      <c r="M133" s="13" t="str">
        <f>IF($A133="","",COUNTIFS(Etapes!$A$5:$A$1504,$A133,Etapes!$F$5:$F$1504,"En retard"))</f>
        <v/>
      </c>
      <c r="N133" s="18" t="str">
        <f>IF($A133="","",SUMIFS(Couts_Transitaire!$I$3:$I$602,Couts_Transitaire!$B$3:$B$602,$A133))</f>
        <v/>
      </c>
      <c r="O133" s="13" t="str">
        <f>IF($A133="","",IF($M133&gt;0,"Étapes en retard",IF(Connaissements!$K134&lt;&gt;"OK","Contrôle BL à corriger",IF($H133=0,"Aucun conteneur saisi",IF($I133&lt;$H133,"Conteneurs non embarqués",IF($L133&lt;$K133,"Documents à finaliser",IF($N133&gt;0,"Coûts à payer","OK")))))))</f>
        <v/>
      </c>
    </row>
    <row r="134" spans="1:15" x14ac:dyDescent="0.35">
      <c r="A134" s="13" t="str">
        <f>IF(Connaissements!$A135="","",Connaissements!$A135)</f>
        <v/>
      </c>
      <c r="B134" s="13" t="str">
        <f>IF($A134="","",Connaissements!$B135)</f>
        <v/>
      </c>
      <c r="C134" s="13" t="str">
        <f>IF($A134="","",Connaissements!$G135)</f>
        <v/>
      </c>
      <c r="D134" s="13" t="str">
        <f>IF($A134="","",IFERROR(IF(INDEX(Bookings!$D$3:$D$202,MATCH($B134,Bookings!$A$3:$A$202,0))="","",INDEX(Bookings!$D$3:$D$202,MATCH($B134,Bookings!$A$3:$A$202,0))),""))</f>
        <v/>
      </c>
      <c r="E134" s="14" t="str">
        <f>IF($A134="","",IFERROR(IF(INDEX(Bookings!$G$3:$G$202,MATCH($B134,Bookings!$A$3:$A$202,0))="","",INDEX(Bookings!$G$3:$G$202,MATCH($B134,Bookings!$A$3:$A$202,0))),""))</f>
        <v/>
      </c>
      <c r="F134" s="14" t="str">
        <f>IF($A134="","",IFERROR(IF(INDEX(Bookings!$H$3:$H$202,MATCH($B134,Bookings!$A$3:$A$202,0))="","",INDEX(Bookings!$H$3:$H$202,MATCH($B134,Bookings!$A$3:$A$202,0))),""))</f>
        <v/>
      </c>
      <c r="G134" s="13" t="str">
        <f>IF($A134="","",IF(Connaissements!$F135="","",Connaissements!$F135))</f>
        <v/>
      </c>
      <c r="H134" s="13" t="str">
        <f>IF($A134="","",Connaissements!$H135)</f>
        <v/>
      </c>
      <c r="I134" s="13" t="str">
        <f>IF($A134="","",COUNTIFS(Conteneurs!$B$3:$B$1002,$A134,Conteneurs!$M$3:$M$1002,"Embarqué"))</f>
        <v/>
      </c>
      <c r="J134" s="18" t="str">
        <f>IF($A134="","",Connaissements!$J135)</f>
        <v/>
      </c>
      <c r="K134" s="13" t="str">
        <f>IF($A134="","",COUNTIFS(Documents!$A$3:$A$1002,$A134))</f>
        <v/>
      </c>
      <c r="L134" s="13" t="str">
        <f>IF($A134="","",COUNTIFS(Documents!$A$3:$A$1002,$A134,Documents!$I$3:$I$1002,"Envoyé DHL"))</f>
        <v/>
      </c>
      <c r="M134" s="13" t="str">
        <f>IF($A134="","",COUNTIFS(Etapes!$A$5:$A$1504,$A134,Etapes!$F$5:$F$1504,"En retard"))</f>
        <v/>
      </c>
      <c r="N134" s="18" t="str">
        <f>IF($A134="","",SUMIFS(Couts_Transitaire!$I$3:$I$602,Couts_Transitaire!$B$3:$B$602,$A134))</f>
        <v/>
      </c>
      <c r="O134" s="13" t="str">
        <f>IF($A134="","",IF($M134&gt;0,"Étapes en retard",IF(Connaissements!$K135&lt;&gt;"OK","Contrôle BL à corriger",IF($H134=0,"Aucun conteneur saisi",IF($I134&lt;$H134,"Conteneurs non embarqués",IF($L134&lt;$K134,"Documents à finaliser",IF($N134&gt;0,"Coûts à payer","OK")))))))</f>
        <v/>
      </c>
    </row>
    <row r="135" spans="1:15" x14ac:dyDescent="0.35">
      <c r="A135" s="13" t="str">
        <f>IF(Connaissements!$A136="","",Connaissements!$A136)</f>
        <v/>
      </c>
      <c r="B135" s="13" t="str">
        <f>IF($A135="","",Connaissements!$B136)</f>
        <v/>
      </c>
      <c r="C135" s="13" t="str">
        <f>IF($A135="","",Connaissements!$G136)</f>
        <v/>
      </c>
      <c r="D135" s="13" t="str">
        <f>IF($A135="","",IFERROR(IF(INDEX(Bookings!$D$3:$D$202,MATCH($B135,Bookings!$A$3:$A$202,0))="","",INDEX(Bookings!$D$3:$D$202,MATCH($B135,Bookings!$A$3:$A$202,0))),""))</f>
        <v/>
      </c>
      <c r="E135" s="14" t="str">
        <f>IF($A135="","",IFERROR(IF(INDEX(Bookings!$G$3:$G$202,MATCH($B135,Bookings!$A$3:$A$202,0))="","",INDEX(Bookings!$G$3:$G$202,MATCH($B135,Bookings!$A$3:$A$202,0))),""))</f>
        <v/>
      </c>
      <c r="F135" s="14" t="str">
        <f>IF($A135="","",IFERROR(IF(INDEX(Bookings!$H$3:$H$202,MATCH($B135,Bookings!$A$3:$A$202,0))="","",INDEX(Bookings!$H$3:$H$202,MATCH($B135,Bookings!$A$3:$A$202,0))),""))</f>
        <v/>
      </c>
      <c r="G135" s="13" t="str">
        <f>IF($A135="","",IF(Connaissements!$F136="","",Connaissements!$F136))</f>
        <v/>
      </c>
      <c r="H135" s="13" t="str">
        <f>IF($A135="","",Connaissements!$H136)</f>
        <v/>
      </c>
      <c r="I135" s="13" t="str">
        <f>IF($A135="","",COUNTIFS(Conteneurs!$B$3:$B$1002,$A135,Conteneurs!$M$3:$M$1002,"Embarqué"))</f>
        <v/>
      </c>
      <c r="J135" s="18" t="str">
        <f>IF($A135="","",Connaissements!$J136)</f>
        <v/>
      </c>
      <c r="K135" s="13" t="str">
        <f>IF($A135="","",COUNTIFS(Documents!$A$3:$A$1002,$A135))</f>
        <v/>
      </c>
      <c r="L135" s="13" t="str">
        <f>IF($A135="","",COUNTIFS(Documents!$A$3:$A$1002,$A135,Documents!$I$3:$I$1002,"Envoyé DHL"))</f>
        <v/>
      </c>
      <c r="M135" s="13" t="str">
        <f>IF($A135="","",COUNTIFS(Etapes!$A$5:$A$1504,$A135,Etapes!$F$5:$F$1504,"En retard"))</f>
        <v/>
      </c>
      <c r="N135" s="18" t="str">
        <f>IF($A135="","",SUMIFS(Couts_Transitaire!$I$3:$I$602,Couts_Transitaire!$B$3:$B$602,$A135))</f>
        <v/>
      </c>
      <c r="O135" s="13" t="str">
        <f>IF($A135="","",IF($M135&gt;0,"Étapes en retard",IF(Connaissements!$K136&lt;&gt;"OK","Contrôle BL à corriger",IF($H135=0,"Aucun conteneur saisi",IF($I135&lt;$H135,"Conteneurs non embarqués",IF($L135&lt;$K135,"Documents à finaliser",IF($N135&gt;0,"Coûts à payer","OK")))))))</f>
        <v/>
      </c>
    </row>
    <row r="136" spans="1:15" x14ac:dyDescent="0.35">
      <c r="A136" s="13" t="str">
        <f>IF(Connaissements!$A137="","",Connaissements!$A137)</f>
        <v/>
      </c>
      <c r="B136" s="13" t="str">
        <f>IF($A136="","",Connaissements!$B137)</f>
        <v/>
      </c>
      <c r="C136" s="13" t="str">
        <f>IF($A136="","",Connaissements!$G137)</f>
        <v/>
      </c>
      <c r="D136" s="13" t="str">
        <f>IF($A136="","",IFERROR(IF(INDEX(Bookings!$D$3:$D$202,MATCH($B136,Bookings!$A$3:$A$202,0))="","",INDEX(Bookings!$D$3:$D$202,MATCH($B136,Bookings!$A$3:$A$202,0))),""))</f>
        <v/>
      </c>
      <c r="E136" s="14" t="str">
        <f>IF($A136="","",IFERROR(IF(INDEX(Bookings!$G$3:$G$202,MATCH($B136,Bookings!$A$3:$A$202,0))="","",INDEX(Bookings!$G$3:$G$202,MATCH($B136,Bookings!$A$3:$A$202,0))),""))</f>
        <v/>
      </c>
      <c r="F136" s="14" t="str">
        <f>IF($A136="","",IFERROR(IF(INDEX(Bookings!$H$3:$H$202,MATCH($B136,Bookings!$A$3:$A$202,0))="","",INDEX(Bookings!$H$3:$H$202,MATCH($B136,Bookings!$A$3:$A$202,0))),""))</f>
        <v/>
      </c>
      <c r="G136" s="13" t="str">
        <f>IF($A136="","",IF(Connaissements!$F137="","",Connaissements!$F137))</f>
        <v/>
      </c>
      <c r="H136" s="13" t="str">
        <f>IF($A136="","",Connaissements!$H137)</f>
        <v/>
      </c>
      <c r="I136" s="13" t="str">
        <f>IF($A136="","",COUNTIFS(Conteneurs!$B$3:$B$1002,$A136,Conteneurs!$M$3:$M$1002,"Embarqué"))</f>
        <v/>
      </c>
      <c r="J136" s="18" t="str">
        <f>IF($A136="","",Connaissements!$J137)</f>
        <v/>
      </c>
      <c r="K136" s="13" t="str">
        <f>IF($A136="","",COUNTIFS(Documents!$A$3:$A$1002,$A136))</f>
        <v/>
      </c>
      <c r="L136" s="13" t="str">
        <f>IF($A136="","",COUNTIFS(Documents!$A$3:$A$1002,$A136,Documents!$I$3:$I$1002,"Envoyé DHL"))</f>
        <v/>
      </c>
      <c r="M136" s="13" t="str">
        <f>IF($A136="","",COUNTIFS(Etapes!$A$5:$A$1504,$A136,Etapes!$F$5:$F$1504,"En retard"))</f>
        <v/>
      </c>
      <c r="N136" s="18" t="str">
        <f>IF($A136="","",SUMIFS(Couts_Transitaire!$I$3:$I$602,Couts_Transitaire!$B$3:$B$602,$A136))</f>
        <v/>
      </c>
      <c r="O136" s="13" t="str">
        <f>IF($A136="","",IF($M136&gt;0,"Étapes en retard",IF(Connaissements!$K137&lt;&gt;"OK","Contrôle BL à corriger",IF($H136=0,"Aucun conteneur saisi",IF($I136&lt;$H136,"Conteneurs non embarqués",IF($L136&lt;$K136,"Documents à finaliser",IF($N136&gt;0,"Coûts à payer","OK")))))))</f>
        <v/>
      </c>
    </row>
    <row r="137" spans="1:15" x14ac:dyDescent="0.35">
      <c r="A137" s="13" t="str">
        <f>IF(Connaissements!$A138="","",Connaissements!$A138)</f>
        <v/>
      </c>
      <c r="B137" s="13" t="str">
        <f>IF($A137="","",Connaissements!$B138)</f>
        <v/>
      </c>
      <c r="C137" s="13" t="str">
        <f>IF($A137="","",Connaissements!$G138)</f>
        <v/>
      </c>
      <c r="D137" s="13" t="str">
        <f>IF($A137="","",IFERROR(IF(INDEX(Bookings!$D$3:$D$202,MATCH($B137,Bookings!$A$3:$A$202,0))="","",INDEX(Bookings!$D$3:$D$202,MATCH($B137,Bookings!$A$3:$A$202,0))),""))</f>
        <v/>
      </c>
      <c r="E137" s="14" t="str">
        <f>IF($A137="","",IFERROR(IF(INDEX(Bookings!$G$3:$G$202,MATCH($B137,Bookings!$A$3:$A$202,0))="","",INDEX(Bookings!$G$3:$G$202,MATCH($B137,Bookings!$A$3:$A$202,0))),""))</f>
        <v/>
      </c>
      <c r="F137" s="14" t="str">
        <f>IF($A137="","",IFERROR(IF(INDEX(Bookings!$H$3:$H$202,MATCH($B137,Bookings!$A$3:$A$202,0))="","",INDEX(Bookings!$H$3:$H$202,MATCH($B137,Bookings!$A$3:$A$202,0))),""))</f>
        <v/>
      </c>
      <c r="G137" s="13" t="str">
        <f>IF($A137="","",IF(Connaissements!$F138="","",Connaissements!$F138))</f>
        <v/>
      </c>
      <c r="H137" s="13" t="str">
        <f>IF($A137="","",Connaissements!$H138)</f>
        <v/>
      </c>
      <c r="I137" s="13" t="str">
        <f>IF($A137="","",COUNTIFS(Conteneurs!$B$3:$B$1002,$A137,Conteneurs!$M$3:$M$1002,"Embarqué"))</f>
        <v/>
      </c>
      <c r="J137" s="18" t="str">
        <f>IF($A137="","",Connaissements!$J138)</f>
        <v/>
      </c>
      <c r="K137" s="13" t="str">
        <f>IF($A137="","",COUNTIFS(Documents!$A$3:$A$1002,$A137))</f>
        <v/>
      </c>
      <c r="L137" s="13" t="str">
        <f>IF($A137="","",COUNTIFS(Documents!$A$3:$A$1002,$A137,Documents!$I$3:$I$1002,"Envoyé DHL"))</f>
        <v/>
      </c>
      <c r="M137" s="13" t="str">
        <f>IF($A137="","",COUNTIFS(Etapes!$A$5:$A$1504,$A137,Etapes!$F$5:$F$1504,"En retard"))</f>
        <v/>
      </c>
      <c r="N137" s="18" t="str">
        <f>IF($A137="","",SUMIFS(Couts_Transitaire!$I$3:$I$602,Couts_Transitaire!$B$3:$B$602,$A137))</f>
        <v/>
      </c>
      <c r="O137" s="13" t="str">
        <f>IF($A137="","",IF($M137&gt;0,"Étapes en retard",IF(Connaissements!$K138&lt;&gt;"OK","Contrôle BL à corriger",IF($H137=0,"Aucun conteneur saisi",IF($I137&lt;$H137,"Conteneurs non embarqués",IF($L137&lt;$K137,"Documents à finaliser",IF($N137&gt;0,"Coûts à payer","OK")))))))</f>
        <v/>
      </c>
    </row>
    <row r="138" spans="1:15" x14ac:dyDescent="0.35">
      <c r="A138" s="13" t="str">
        <f>IF(Connaissements!$A139="","",Connaissements!$A139)</f>
        <v/>
      </c>
      <c r="B138" s="13" t="str">
        <f>IF($A138="","",Connaissements!$B139)</f>
        <v/>
      </c>
      <c r="C138" s="13" t="str">
        <f>IF($A138="","",Connaissements!$G139)</f>
        <v/>
      </c>
      <c r="D138" s="13" t="str">
        <f>IF($A138="","",IFERROR(IF(INDEX(Bookings!$D$3:$D$202,MATCH($B138,Bookings!$A$3:$A$202,0))="","",INDEX(Bookings!$D$3:$D$202,MATCH($B138,Bookings!$A$3:$A$202,0))),""))</f>
        <v/>
      </c>
      <c r="E138" s="14" t="str">
        <f>IF($A138="","",IFERROR(IF(INDEX(Bookings!$G$3:$G$202,MATCH($B138,Bookings!$A$3:$A$202,0))="","",INDEX(Bookings!$G$3:$G$202,MATCH($B138,Bookings!$A$3:$A$202,0))),""))</f>
        <v/>
      </c>
      <c r="F138" s="14" t="str">
        <f>IF($A138="","",IFERROR(IF(INDEX(Bookings!$H$3:$H$202,MATCH($B138,Bookings!$A$3:$A$202,0))="","",INDEX(Bookings!$H$3:$H$202,MATCH($B138,Bookings!$A$3:$A$202,0))),""))</f>
        <v/>
      </c>
      <c r="G138" s="13" t="str">
        <f>IF($A138="","",IF(Connaissements!$F139="","",Connaissements!$F139))</f>
        <v/>
      </c>
      <c r="H138" s="13" t="str">
        <f>IF($A138="","",Connaissements!$H139)</f>
        <v/>
      </c>
      <c r="I138" s="13" t="str">
        <f>IF($A138="","",COUNTIFS(Conteneurs!$B$3:$B$1002,$A138,Conteneurs!$M$3:$M$1002,"Embarqué"))</f>
        <v/>
      </c>
      <c r="J138" s="18" t="str">
        <f>IF($A138="","",Connaissements!$J139)</f>
        <v/>
      </c>
      <c r="K138" s="13" t="str">
        <f>IF($A138="","",COUNTIFS(Documents!$A$3:$A$1002,$A138))</f>
        <v/>
      </c>
      <c r="L138" s="13" t="str">
        <f>IF($A138="","",COUNTIFS(Documents!$A$3:$A$1002,$A138,Documents!$I$3:$I$1002,"Envoyé DHL"))</f>
        <v/>
      </c>
      <c r="M138" s="13" t="str">
        <f>IF($A138="","",COUNTIFS(Etapes!$A$5:$A$1504,$A138,Etapes!$F$5:$F$1504,"En retard"))</f>
        <v/>
      </c>
      <c r="N138" s="18" t="str">
        <f>IF($A138="","",SUMIFS(Couts_Transitaire!$I$3:$I$602,Couts_Transitaire!$B$3:$B$602,$A138))</f>
        <v/>
      </c>
      <c r="O138" s="13" t="str">
        <f>IF($A138="","",IF($M138&gt;0,"Étapes en retard",IF(Connaissements!$K139&lt;&gt;"OK","Contrôle BL à corriger",IF($H138=0,"Aucun conteneur saisi",IF($I138&lt;$H138,"Conteneurs non embarqués",IF($L138&lt;$K138,"Documents à finaliser",IF($N138&gt;0,"Coûts à payer","OK")))))))</f>
        <v/>
      </c>
    </row>
    <row r="139" spans="1:15" x14ac:dyDescent="0.35">
      <c r="A139" s="13" t="str">
        <f>IF(Connaissements!$A140="","",Connaissements!$A140)</f>
        <v/>
      </c>
      <c r="B139" s="13" t="str">
        <f>IF($A139="","",Connaissements!$B140)</f>
        <v/>
      </c>
      <c r="C139" s="13" t="str">
        <f>IF($A139="","",Connaissements!$G140)</f>
        <v/>
      </c>
      <c r="D139" s="13" t="str">
        <f>IF($A139="","",IFERROR(IF(INDEX(Bookings!$D$3:$D$202,MATCH($B139,Bookings!$A$3:$A$202,0))="","",INDEX(Bookings!$D$3:$D$202,MATCH($B139,Bookings!$A$3:$A$202,0))),""))</f>
        <v/>
      </c>
      <c r="E139" s="14" t="str">
        <f>IF($A139="","",IFERROR(IF(INDEX(Bookings!$G$3:$G$202,MATCH($B139,Bookings!$A$3:$A$202,0))="","",INDEX(Bookings!$G$3:$G$202,MATCH($B139,Bookings!$A$3:$A$202,0))),""))</f>
        <v/>
      </c>
      <c r="F139" s="14" t="str">
        <f>IF($A139="","",IFERROR(IF(INDEX(Bookings!$H$3:$H$202,MATCH($B139,Bookings!$A$3:$A$202,0))="","",INDEX(Bookings!$H$3:$H$202,MATCH($B139,Bookings!$A$3:$A$202,0))),""))</f>
        <v/>
      </c>
      <c r="G139" s="13" t="str">
        <f>IF($A139="","",IF(Connaissements!$F140="","",Connaissements!$F140))</f>
        <v/>
      </c>
      <c r="H139" s="13" t="str">
        <f>IF($A139="","",Connaissements!$H140)</f>
        <v/>
      </c>
      <c r="I139" s="13" t="str">
        <f>IF($A139="","",COUNTIFS(Conteneurs!$B$3:$B$1002,$A139,Conteneurs!$M$3:$M$1002,"Embarqué"))</f>
        <v/>
      </c>
      <c r="J139" s="18" t="str">
        <f>IF($A139="","",Connaissements!$J140)</f>
        <v/>
      </c>
      <c r="K139" s="13" t="str">
        <f>IF($A139="","",COUNTIFS(Documents!$A$3:$A$1002,$A139))</f>
        <v/>
      </c>
      <c r="L139" s="13" t="str">
        <f>IF($A139="","",COUNTIFS(Documents!$A$3:$A$1002,$A139,Documents!$I$3:$I$1002,"Envoyé DHL"))</f>
        <v/>
      </c>
      <c r="M139" s="13" t="str">
        <f>IF($A139="","",COUNTIFS(Etapes!$A$5:$A$1504,$A139,Etapes!$F$5:$F$1504,"En retard"))</f>
        <v/>
      </c>
      <c r="N139" s="18" t="str">
        <f>IF($A139="","",SUMIFS(Couts_Transitaire!$I$3:$I$602,Couts_Transitaire!$B$3:$B$602,$A139))</f>
        <v/>
      </c>
      <c r="O139" s="13" t="str">
        <f>IF($A139="","",IF($M139&gt;0,"Étapes en retard",IF(Connaissements!$K140&lt;&gt;"OK","Contrôle BL à corriger",IF($H139=0,"Aucun conteneur saisi",IF($I139&lt;$H139,"Conteneurs non embarqués",IF($L139&lt;$K139,"Documents à finaliser",IF($N139&gt;0,"Coûts à payer","OK")))))))</f>
        <v/>
      </c>
    </row>
    <row r="140" spans="1:15" x14ac:dyDescent="0.35">
      <c r="A140" s="13" t="str">
        <f>IF(Connaissements!$A141="","",Connaissements!$A141)</f>
        <v/>
      </c>
      <c r="B140" s="13" t="str">
        <f>IF($A140="","",Connaissements!$B141)</f>
        <v/>
      </c>
      <c r="C140" s="13" t="str">
        <f>IF($A140="","",Connaissements!$G141)</f>
        <v/>
      </c>
      <c r="D140" s="13" t="str">
        <f>IF($A140="","",IFERROR(IF(INDEX(Bookings!$D$3:$D$202,MATCH($B140,Bookings!$A$3:$A$202,0))="","",INDEX(Bookings!$D$3:$D$202,MATCH($B140,Bookings!$A$3:$A$202,0))),""))</f>
        <v/>
      </c>
      <c r="E140" s="14" t="str">
        <f>IF($A140="","",IFERROR(IF(INDEX(Bookings!$G$3:$G$202,MATCH($B140,Bookings!$A$3:$A$202,0))="","",INDEX(Bookings!$G$3:$G$202,MATCH($B140,Bookings!$A$3:$A$202,0))),""))</f>
        <v/>
      </c>
      <c r="F140" s="14" t="str">
        <f>IF($A140="","",IFERROR(IF(INDEX(Bookings!$H$3:$H$202,MATCH($B140,Bookings!$A$3:$A$202,0))="","",INDEX(Bookings!$H$3:$H$202,MATCH($B140,Bookings!$A$3:$A$202,0))),""))</f>
        <v/>
      </c>
      <c r="G140" s="13" t="str">
        <f>IF($A140="","",IF(Connaissements!$F141="","",Connaissements!$F141))</f>
        <v/>
      </c>
      <c r="H140" s="13" t="str">
        <f>IF($A140="","",Connaissements!$H141)</f>
        <v/>
      </c>
      <c r="I140" s="13" t="str">
        <f>IF($A140="","",COUNTIFS(Conteneurs!$B$3:$B$1002,$A140,Conteneurs!$M$3:$M$1002,"Embarqué"))</f>
        <v/>
      </c>
      <c r="J140" s="18" t="str">
        <f>IF($A140="","",Connaissements!$J141)</f>
        <v/>
      </c>
      <c r="K140" s="13" t="str">
        <f>IF($A140="","",COUNTIFS(Documents!$A$3:$A$1002,$A140))</f>
        <v/>
      </c>
      <c r="L140" s="13" t="str">
        <f>IF($A140="","",COUNTIFS(Documents!$A$3:$A$1002,$A140,Documents!$I$3:$I$1002,"Envoyé DHL"))</f>
        <v/>
      </c>
      <c r="M140" s="13" t="str">
        <f>IF($A140="","",COUNTIFS(Etapes!$A$5:$A$1504,$A140,Etapes!$F$5:$F$1504,"En retard"))</f>
        <v/>
      </c>
      <c r="N140" s="18" t="str">
        <f>IF($A140="","",SUMIFS(Couts_Transitaire!$I$3:$I$602,Couts_Transitaire!$B$3:$B$602,$A140))</f>
        <v/>
      </c>
      <c r="O140" s="13" t="str">
        <f>IF($A140="","",IF($M140&gt;0,"Étapes en retard",IF(Connaissements!$K141&lt;&gt;"OK","Contrôle BL à corriger",IF($H140=0,"Aucun conteneur saisi",IF($I140&lt;$H140,"Conteneurs non embarqués",IF($L140&lt;$K140,"Documents à finaliser",IF($N140&gt;0,"Coûts à payer","OK")))))))</f>
        <v/>
      </c>
    </row>
    <row r="141" spans="1:15" x14ac:dyDescent="0.35">
      <c r="A141" s="13" t="str">
        <f>IF(Connaissements!$A142="","",Connaissements!$A142)</f>
        <v/>
      </c>
      <c r="B141" s="13" t="str">
        <f>IF($A141="","",Connaissements!$B142)</f>
        <v/>
      </c>
      <c r="C141" s="13" t="str">
        <f>IF($A141="","",Connaissements!$G142)</f>
        <v/>
      </c>
      <c r="D141" s="13" t="str">
        <f>IF($A141="","",IFERROR(IF(INDEX(Bookings!$D$3:$D$202,MATCH($B141,Bookings!$A$3:$A$202,0))="","",INDEX(Bookings!$D$3:$D$202,MATCH($B141,Bookings!$A$3:$A$202,0))),""))</f>
        <v/>
      </c>
      <c r="E141" s="14" t="str">
        <f>IF($A141="","",IFERROR(IF(INDEX(Bookings!$G$3:$G$202,MATCH($B141,Bookings!$A$3:$A$202,0))="","",INDEX(Bookings!$G$3:$G$202,MATCH($B141,Bookings!$A$3:$A$202,0))),""))</f>
        <v/>
      </c>
      <c r="F141" s="14" t="str">
        <f>IF($A141="","",IFERROR(IF(INDEX(Bookings!$H$3:$H$202,MATCH($B141,Bookings!$A$3:$A$202,0))="","",INDEX(Bookings!$H$3:$H$202,MATCH($B141,Bookings!$A$3:$A$202,0))),""))</f>
        <v/>
      </c>
      <c r="G141" s="13" t="str">
        <f>IF($A141="","",IF(Connaissements!$F142="","",Connaissements!$F142))</f>
        <v/>
      </c>
      <c r="H141" s="13" t="str">
        <f>IF($A141="","",Connaissements!$H142)</f>
        <v/>
      </c>
      <c r="I141" s="13" t="str">
        <f>IF($A141="","",COUNTIFS(Conteneurs!$B$3:$B$1002,$A141,Conteneurs!$M$3:$M$1002,"Embarqué"))</f>
        <v/>
      </c>
      <c r="J141" s="18" t="str">
        <f>IF($A141="","",Connaissements!$J142)</f>
        <v/>
      </c>
      <c r="K141" s="13" t="str">
        <f>IF($A141="","",COUNTIFS(Documents!$A$3:$A$1002,$A141))</f>
        <v/>
      </c>
      <c r="L141" s="13" t="str">
        <f>IF($A141="","",COUNTIFS(Documents!$A$3:$A$1002,$A141,Documents!$I$3:$I$1002,"Envoyé DHL"))</f>
        <v/>
      </c>
      <c r="M141" s="13" t="str">
        <f>IF($A141="","",COUNTIFS(Etapes!$A$5:$A$1504,$A141,Etapes!$F$5:$F$1504,"En retard"))</f>
        <v/>
      </c>
      <c r="N141" s="18" t="str">
        <f>IF($A141="","",SUMIFS(Couts_Transitaire!$I$3:$I$602,Couts_Transitaire!$B$3:$B$602,$A141))</f>
        <v/>
      </c>
      <c r="O141" s="13" t="str">
        <f>IF($A141="","",IF($M141&gt;0,"Étapes en retard",IF(Connaissements!$K142&lt;&gt;"OK","Contrôle BL à corriger",IF($H141=0,"Aucun conteneur saisi",IF($I141&lt;$H141,"Conteneurs non embarqués",IF($L141&lt;$K141,"Documents à finaliser",IF($N141&gt;0,"Coûts à payer","OK")))))))</f>
        <v/>
      </c>
    </row>
    <row r="142" spans="1:15" x14ac:dyDescent="0.35">
      <c r="A142" s="13" t="str">
        <f>IF(Connaissements!$A143="","",Connaissements!$A143)</f>
        <v/>
      </c>
      <c r="B142" s="13" t="str">
        <f>IF($A142="","",Connaissements!$B143)</f>
        <v/>
      </c>
      <c r="C142" s="13" t="str">
        <f>IF($A142="","",Connaissements!$G143)</f>
        <v/>
      </c>
      <c r="D142" s="13" t="str">
        <f>IF($A142="","",IFERROR(IF(INDEX(Bookings!$D$3:$D$202,MATCH($B142,Bookings!$A$3:$A$202,0))="","",INDEX(Bookings!$D$3:$D$202,MATCH($B142,Bookings!$A$3:$A$202,0))),""))</f>
        <v/>
      </c>
      <c r="E142" s="14" t="str">
        <f>IF($A142="","",IFERROR(IF(INDEX(Bookings!$G$3:$G$202,MATCH($B142,Bookings!$A$3:$A$202,0))="","",INDEX(Bookings!$G$3:$G$202,MATCH($B142,Bookings!$A$3:$A$202,0))),""))</f>
        <v/>
      </c>
      <c r="F142" s="14" t="str">
        <f>IF($A142="","",IFERROR(IF(INDEX(Bookings!$H$3:$H$202,MATCH($B142,Bookings!$A$3:$A$202,0))="","",INDEX(Bookings!$H$3:$H$202,MATCH($B142,Bookings!$A$3:$A$202,0))),""))</f>
        <v/>
      </c>
      <c r="G142" s="13" t="str">
        <f>IF($A142="","",IF(Connaissements!$F143="","",Connaissements!$F143))</f>
        <v/>
      </c>
      <c r="H142" s="13" t="str">
        <f>IF($A142="","",Connaissements!$H143)</f>
        <v/>
      </c>
      <c r="I142" s="13" t="str">
        <f>IF($A142="","",COUNTIFS(Conteneurs!$B$3:$B$1002,$A142,Conteneurs!$M$3:$M$1002,"Embarqué"))</f>
        <v/>
      </c>
      <c r="J142" s="18" t="str">
        <f>IF($A142="","",Connaissements!$J143)</f>
        <v/>
      </c>
      <c r="K142" s="13" t="str">
        <f>IF($A142="","",COUNTIFS(Documents!$A$3:$A$1002,$A142))</f>
        <v/>
      </c>
      <c r="L142" s="13" t="str">
        <f>IF($A142="","",COUNTIFS(Documents!$A$3:$A$1002,$A142,Documents!$I$3:$I$1002,"Envoyé DHL"))</f>
        <v/>
      </c>
      <c r="M142" s="13" t="str">
        <f>IF($A142="","",COUNTIFS(Etapes!$A$5:$A$1504,$A142,Etapes!$F$5:$F$1504,"En retard"))</f>
        <v/>
      </c>
      <c r="N142" s="18" t="str">
        <f>IF($A142="","",SUMIFS(Couts_Transitaire!$I$3:$I$602,Couts_Transitaire!$B$3:$B$602,$A142))</f>
        <v/>
      </c>
      <c r="O142" s="13" t="str">
        <f>IF($A142="","",IF($M142&gt;0,"Étapes en retard",IF(Connaissements!$K143&lt;&gt;"OK","Contrôle BL à corriger",IF($H142=0,"Aucun conteneur saisi",IF($I142&lt;$H142,"Conteneurs non embarqués",IF($L142&lt;$K142,"Documents à finaliser",IF($N142&gt;0,"Coûts à payer","OK")))))))</f>
        <v/>
      </c>
    </row>
    <row r="143" spans="1:15" x14ac:dyDescent="0.35">
      <c r="A143" s="13" t="str">
        <f>IF(Connaissements!$A144="","",Connaissements!$A144)</f>
        <v/>
      </c>
      <c r="B143" s="13" t="str">
        <f>IF($A143="","",Connaissements!$B144)</f>
        <v/>
      </c>
      <c r="C143" s="13" t="str">
        <f>IF($A143="","",Connaissements!$G144)</f>
        <v/>
      </c>
      <c r="D143" s="13" t="str">
        <f>IF($A143="","",IFERROR(IF(INDEX(Bookings!$D$3:$D$202,MATCH($B143,Bookings!$A$3:$A$202,0))="","",INDEX(Bookings!$D$3:$D$202,MATCH($B143,Bookings!$A$3:$A$202,0))),""))</f>
        <v/>
      </c>
      <c r="E143" s="14" t="str">
        <f>IF($A143="","",IFERROR(IF(INDEX(Bookings!$G$3:$G$202,MATCH($B143,Bookings!$A$3:$A$202,0))="","",INDEX(Bookings!$G$3:$G$202,MATCH($B143,Bookings!$A$3:$A$202,0))),""))</f>
        <v/>
      </c>
      <c r="F143" s="14" t="str">
        <f>IF($A143="","",IFERROR(IF(INDEX(Bookings!$H$3:$H$202,MATCH($B143,Bookings!$A$3:$A$202,0))="","",INDEX(Bookings!$H$3:$H$202,MATCH($B143,Bookings!$A$3:$A$202,0))),""))</f>
        <v/>
      </c>
      <c r="G143" s="13" t="str">
        <f>IF($A143="","",IF(Connaissements!$F144="","",Connaissements!$F144))</f>
        <v/>
      </c>
      <c r="H143" s="13" t="str">
        <f>IF($A143="","",Connaissements!$H144)</f>
        <v/>
      </c>
      <c r="I143" s="13" t="str">
        <f>IF($A143="","",COUNTIFS(Conteneurs!$B$3:$B$1002,$A143,Conteneurs!$M$3:$M$1002,"Embarqué"))</f>
        <v/>
      </c>
      <c r="J143" s="18" t="str">
        <f>IF($A143="","",Connaissements!$J144)</f>
        <v/>
      </c>
      <c r="K143" s="13" t="str">
        <f>IF($A143="","",COUNTIFS(Documents!$A$3:$A$1002,$A143))</f>
        <v/>
      </c>
      <c r="L143" s="13" t="str">
        <f>IF($A143="","",COUNTIFS(Documents!$A$3:$A$1002,$A143,Documents!$I$3:$I$1002,"Envoyé DHL"))</f>
        <v/>
      </c>
      <c r="M143" s="13" t="str">
        <f>IF($A143="","",COUNTIFS(Etapes!$A$5:$A$1504,$A143,Etapes!$F$5:$F$1504,"En retard"))</f>
        <v/>
      </c>
      <c r="N143" s="18" t="str">
        <f>IF($A143="","",SUMIFS(Couts_Transitaire!$I$3:$I$602,Couts_Transitaire!$B$3:$B$602,$A143))</f>
        <v/>
      </c>
      <c r="O143" s="13" t="str">
        <f>IF($A143="","",IF($M143&gt;0,"Étapes en retard",IF(Connaissements!$K144&lt;&gt;"OK","Contrôle BL à corriger",IF($H143=0,"Aucun conteneur saisi",IF($I143&lt;$H143,"Conteneurs non embarqués",IF($L143&lt;$K143,"Documents à finaliser",IF($N143&gt;0,"Coûts à payer","OK")))))))</f>
        <v/>
      </c>
    </row>
    <row r="144" spans="1:15" x14ac:dyDescent="0.35">
      <c r="A144" s="13" t="str">
        <f>IF(Connaissements!$A145="","",Connaissements!$A145)</f>
        <v/>
      </c>
      <c r="B144" s="13" t="str">
        <f>IF($A144="","",Connaissements!$B145)</f>
        <v/>
      </c>
      <c r="C144" s="13" t="str">
        <f>IF($A144="","",Connaissements!$G145)</f>
        <v/>
      </c>
      <c r="D144" s="13" t="str">
        <f>IF($A144="","",IFERROR(IF(INDEX(Bookings!$D$3:$D$202,MATCH($B144,Bookings!$A$3:$A$202,0))="","",INDEX(Bookings!$D$3:$D$202,MATCH($B144,Bookings!$A$3:$A$202,0))),""))</f>
        <v/>
      </c>
      <c r="E144" s="14" t="str">
        <f>IF($A144="","",IFERROR(IF(INDEX(Bookings!$G$3:$G$202,MATCH($B144,Bookings!$A$3:$A$202,0))="","",INDEX(Bookings!$G$3:$G$202,MATCH($B144,Bookings!$A$3:$A$202,0))),""))</f>
        <v/>
      </c>
      <c r="F144" s="14" t="str">
        <f>IF($A144="","",IFERROR(IF(INDEX(Bookings!$H$3:$H$202,MATCH($B144,Bookings!$A$3:$A$202,0))="","",INDEX(Bookings!$H$3:$H$202,MATCH($B144,Bookings!$A$3:$A$202,0))),""))</f>
        <v/>
      </c>
      <c r="G144" s="13" t="str">
        <f>IF($A144="","",IF(Connaissements!$F145="","",Connaissements!$F145))</f>
        <v/>
      </c>
      <c r="H144" s="13" t="str">
        <f>IF($A144="","",Connaissements!$H145)</f>
        <v/>
      </c>
      <c r="I144" s="13" t="str">
        <f>IF($A144="","",COUNTIFS(Conteneurs!$B$3:$B$1002,$A144,Conteneurs!$M$3:$M$1002,"Embarqué"))</f>
        <v/>
      </c>
      <c r="J144" s="18" t="str">
        <f>IF($A144="","",Connaissements!$J145)</f>
        <v/>
      </c>
      <c r="K144" s="13" t="str">
        <f>IF($A144="","",COUNTIFS(Documents!$A$3:$A$1002,$A144))</f>
        <v/>
      </c>
      <c r="L144" s="13" t="str">
        <f>IF($A144="","",COUNTIFS(Documents!$A$3:$A$1002,$A144,Documents!$I$3:$I$1002,"Envoyé DHL"))</f>
        <v/>
      </c>
      <c r="M144" s="13" t="str">
        <f>IF($A144="","",COUNTIFS(Etapes!$A$5:$A$1504,$A144,Etapes!$F$5:$F$1504,"En retard"))</f>
        <v/>
      </c>
      <c r="N144" s="18" t="str">
        <f>IF($A144="","",SUMIFS(Couts_Transitaire!$I$3:$I$602,Couts_Transitaire!$B$3:$B$602,$A144))</f>
        <v/>
      </c>
      <c r="O144" s="13" t="str">
        <f>IF($A144="","",IF($M144&gt;0,"Étapes en retard",IF(Connaissements!$K145&lt;&gt;"OK","Contrôle BL à corriger",IF($H144=0,"Aucun conteneur saisi",IF($I144&lt;$H144,"Conteneurs non embarqués",IF($L144&lt;$K144,"Documents à finaliser",IF($N144&gt;0,"Coûts à payer","OK")))))))</f>
        <v/>
      </c>
    </row>
    <row r="145" spans="1:15" x14ac:dyDescent="0.35">
      <c r="A145" s="13" t="str">
        <f>IF(Connaissements!$A146="","",Connaissements!$A146)</f>
        <v/>
      </c>
      <c r="B145" s="13" t="str">
        <f>IF($A145="","",Connaissements!$B146)</f>
        <v/>
      </c>
      <c r="C145" s="13" t="str">
        <f>IF($A145="","",Connaissements!$G146)</f>
        <v/>
      </c>
      <c r="D145" s="13" t="str">
        <f>IF($A145="","",IFERROR(IF(INDEX(Bookings!$D$3:$D$202,MATCH($B145,Bookings!$A$3:$A$202,0))="","",INDEX(Bookings!$D$3:$D$202,MATCH($B145,Bookings!$A$3:$A$202,0))),""))</f>
        <v/>
      </c>
      <c r="E145" s="14" t="str">
        <f>IF($A145="","",IFERROR(IF(INDEX(Bookings!$G$3:$G$202,MATCH($B145,Bookings!$A$3:$A$202,0))="","",INDEX(Bookings!$G$3:$G$202,MATCH($B145,Bookings!$A$3:$A$202,0))),""))</f>
        <v/>
      </c>
      <c r="F145" s="14" t="str">
        <f>IF($A145="","",IFERROR(IF(INDEX(Bookings!$H$3:$H$202,MATCH($B145,Bookings!$A$3:$A$202,0))="","",INDEX(Bookings!$H$3:$H$202,MATCH($B145,Bookings!$A$3:$A$202,0))),""))</f>
        <v/>
      </c>
      <c r="G145" s="13" t="str">
        <f>IF($A145="","",IF(Connaissements!$F146="","",Connaissements!$F146))</f>
        <v/>
      </c>
      <c r="H145" s="13" t="str">
        <f>IF($A145="","",Connaissements!$H146)</f>
        <v/>
      </c>
      <c r="I145" s="13" t="str">
        <f>IF($A145="","",COUNTIFS(Conteneurs!$B$3:$B$1002,$A145,Conteneurs!$M$3:$M$1002,"Embarqué"))</f>
        <v/>
      </c>
      <c r="J145" s="18" t="str">
        <f>IF($A145="","",Connaissements!$J146)</f>
        <v/>
      </c>
      <c r="K145" s="13" t="str">
        <f>IF($A145="","",COUNTIFS(Documents!$A$3:$A$1002,$A145))</f>
        <v/>
      </c>
      <c r="L145" s="13" t="str">
        <f>IF($A145="","",COUNTIFS(Documents!$A$3:$A$1002,$A145,Documents!$I$3:$I$1002,"Envoyé DHL"))</f>
        <v/>
      </c>
      <c r="M145" s="13" t="str">
        <f>IF($A145="","",COUNTIFS(Etapes!$A$5:$A$1504,$A145,Etapes!$F$5:$F$1504,"En retard"))</f>
        <v/>
      </c>
      <c r="N145" s="18" t="str">
        <f>IF($A145="","",SUMIFS(Couts_Transitaire!$I$3:$I$602,Couts_Transitaire!$B$3:$B$602,$A145))</f>
        <v/>
      </c>
      <c r="O145" s="13" t="str">
        <f>IF($A145="","",IF($M145&gt;0,"Étapes en retard",IF(Connaissements!$K146&lt;&gt;"OK","Contrôle BL à corriger",IF($H145=0,"Aucun conteneur saisi",IF($I145&lt;$H145,"Conteneurs non embarqués",IF($L145&lt;$K145,"Documents à finaliser",IF($N145&gt;0,"Coûts à payer","OK")))))))</f>
        <v/>
      </c>
    </row>
    <row r="146" spans="1:15" x14ac:dyDescent="0.35">
      <c r="A146" s="13" t="str">
        <f>IF(Connaissements!$A147="","",Connaissements!$A147)</f>
        <v/>
      </c>
      <c r="B146" s="13" t="str">
        <f>IF($A146="","",Connaissements!$B147)</f>
        <v/>
      </c>
      <c r="C146" s="13" t="str">
        <f>IF($A146="","",Connaissements!$G147)</f>
        <v/>
      </c>
      <c r="D146" s="13" t="str">
        <f>IF($A146="","",IFERROR(IF(INDEX(Bookings!$D$3:$D$202,MATCH($B146,Bookings!$A$3:$A$202,0))="","",INDEX(Bookings!$D$3:$D$202,MATCH($B146,Bookings!$A$3:$A$202,0))),""))</f>
        <v/>
      </c>
      <c r="E146" s="14" t="str">
        <f>IF($A146="","",IFERROR(IF(INDEX(Bookings!$G$3:$G$202,MATCH($B146,Bookings!$A$3:$A$202,0))="","",INDEX(Bookings!$G$3:$G$202,MATCH($B146,Bookings!$A$3:$A$202,0))),""))</f>
        <v/>
      </c>
      <c r="F146" s="14" t="str">
        <f>IF($A146="","",IFERROR(IF(INDEX(Bookings!$H$3:$H$202,MATCH($B146,Bookings!$A$3:$A$202,0))="","",INDEX(Bookings!$H$3:$H$202,MATCH($B146,Bookings!$A$3:$A$202,0))),""))</f>
        <v/>
      </c>
      <c r="G146" s="13" t="str">
        <f>IF($A146="","",IF(Connaissements!$F147="","",Connaissements!$F147))</f>
        <v/>
      </c>
      <c r="H146" s="13" t="str">
        <f>IF($A146="","",Connaissements!$H147)</f>
        <v/>
      </c>
      <c r="I146" s="13" t="str">
        <f>IF($A146="","",COUNTIFS(Conteneurs!$B$3:$B$1002,$A146,Conteneurs!$M$3:$M$1002,"Embarqué"))</f>
        <v/>
      </c>
      <c r="J146" s="18" t="str">
        <f>IF($A146="","",Connaissements!$J147)</f>
        <v/>
      </c>
      <c r="K146" s="13" t="str">
        <f>IF($A146="","",COUNTIFS(Documents!$A$3:$A$1002,$A146))</f>
        <v/>
      </c>
      <c r="L146" s="13" t="str">
        <f>IF($A146="","",COUNTIFS(Documents!$A$3:$A$1002,$A146,Documents!$I$3:$I$1002,"Envoyé DHL"))</f>
        <v/>
      </c>
      <c r="M146" s="13" t="str">
        <f>IF($A146="","",COUNTIFS(Etapes!$A$5:$A$1504,$A146,Etapes!$F$5:$F$1504,"En retard"))</f>
        <v/>
      </c>
      <c r="N146" s="18" t="str">
        <f>IF($A146="","",SUMIFS(Couts_Transitaire!$I$3:$I$602,Couts_Transitaire!$B$3:$B$602,$A146))</f>
        <v/>
      </c>
      <c r="O146" s="13" t="str">
        <f>IF($A146="","",IF($M146&gt;0,"Étapes en retard",IF(Connaissements!$K147&lt;&gt;"OK","Contrôle BL à corriger",IF($H146=0,"Aucun conteneur saisi",IF($I146&lt;$H146,"Conteneurs non embarqués",IF($L146&lt;$K146,"Documents à finaliser",IF($N146&gt;0,"Coûts à payer","OK")))))))</f>
        <v/>
      </c>
    </row>
    <row r="147" spans="1:15" x14ac:dyDescent="0.35">
      <c r="A147" s="13" t="str">
        <f>IF(Connaissements!$A148="","",Connaissements!$A148)</f>
        <v/>
      </c>
      <c r="B147" s="13" t="str">
        <f>IF($A147="","",Connaissements!$B148)</f>
        <v/>
      </c>
      <c r="C147" s="13" t="str">
        <f>IF($A147="","",Connaissements!$G148)</f>
        <v/>
      </c>
      <c r="D147" s="13" t="str">
        <f>IF($A147="","",IFERROR(IF(INDEX(Bookings!$D$3:$D$202,MATCH($B147,Bookings!$A$3:$A$202,0))="","",INDEX(Bookings!$D$3:$D$202,MATCH($B147,Bookings!$A$3:$A$202,0))),""))</f>
        <v/>
      </c>
      <c r="E147" s="14" t="str">
        <f>IF($A147="","",IFERROR(IF(INDEX(Bookings!$G$3:$G$202,MATCH($B147,Bookings!$A$3:$A$202,0))="","",INDEX(Bookings!$G$3:$G$202,MATCH($B147,Bookings!$A$3:$A$202,0))),""))</f>
        <v/>
      </c>
      <c r="F147" s="14" t="str">
        <f>IF($A147="","",IFERROR(IF(INDEX(Bookings!$H$3:$H$202,MATCH($B147,Bookings!$A$3:$A$202,0))="","",INDEX(Bookings!$H$3:$H$202,MATCH($B147,Bookings!$A$3:$A$202,0))),""))</f>
        <v/>
      </c>
      <c r="G147" s="13" t="str">
        <f>IF($A147="","",IF(Connaissements!$F148="","",Connaissements!$F148))</f>
        <v/>
      </c>
      <c r="H147" s="13" t="str">
        <f>IF($A147="","",Connaissements!$H148)</f>
        <v/>
      </c>
      <c r="I147" s="13" t="str">
        <f>IF($A147="","",COUNTIFS(Conteneurs!$B$3:$B$1002,$A147,Conteneurs!$M$3:$M$1002,"Embarqué"))</f>
        <v/>
      </c>
      <c r="J147" s="18" t="str">
        <f>IF($A147="","",Connaissements!$J148)</f>
        <v/>
      </c>
      <c r="K147" s="13" t="str">
        <f>IF($A147="","",COUNTIFS(Documents!$A$3:$A$1002,$A147))</f>
        <v/>
      </c>
      <c r="L147" s="13" t="str">
        <f>IF($A147="","",COUNTIFS(Documents!$A$3:$A$1002,$A147,Documents!$I$3:$I$1002,"Envoyé DHL"))</f>
        <v/>
      </c>
      <c r="M147" s="13" t="str">
        <f>IF($A147="","",COUNTIFS(Etapes!$A$5:$A$1504,$A147,Etapes!$F$5:$F$1504,"En retard"))</f>
        <v/>
      </c>
      <c r="N147" s="18" t="str">
        <f>IF($A147="","",SUMIFS(Couts_Transitaire!$I$3:$I$602,Couts_Transitaire!$B$3:$B$602,$A147))</f>
        <v/>
      </c>
      <c r="O147" s="13" t="str">
        <f>IF($A147="","",IF($M147&gt;0,"Étapes en retard",IF(Connaissements!$K148&lt;&gt;"OK","Contrôle BL à corriger",IF($H147=0,"Aucun conteneur saisi",IF($I147&lt;$H147,"Conteneurs non embarqués",IF($L147&lt;$K147,"Documents à finaliser",IF($N147&gt;0,"Coûts à payer","OK")))))))</f>
        <v/>
      </c>
    </row>
    <row r="148" spans="1:15" x14ac:dyDescent="0.35">
      <c r="A148" s="13" t="str">
        <f>IF(Connaissements!$A149="","",Connaissements!$A149)</f>
        <v/>
      </c>
      <c r="B148" s="13" t="str">
        <f>IF($A148="","",Connaissements!$B149)</f>
        <v/>
      </c>
      <c r="C148" s="13" t="str">
        <f>IF($A148="","",Connaissements!$G149)</f>
        <v/>
      </c>
      <c r="D148" s="13" t="str">
        <f>IF($A148="","",IFERROR(IF(INDEX(Bookings!$D$3:$D$202,MATCH($B148,Bookings!$A$3:$A$202,0))="","",INDEX(Bookings!$D$3:$D$202,MATCH($B148,Bookings!$A$3:$A$202,0))),""))</f>
        <v/>
      </c>
      <c r="E148" s="14" t="str">
        <f>IF($A148="","",IFERROR(IF(INDEX(Bookings!$G$3:$G$202,MATCH($B148,Bookings!$A$3:$A$202,0))="","",INDEX(Bookings!$G$3:$G$202,MATCH($B148,Bookings!$A$3:$A$202,0))),""))</f>
        <v/>
      </c>
      <c r="F148" s="14" t="str">
        <f>IF($A148="","",IFERROR(IF(INDEX(Bookings!$H$3:$H$202,MATCH($B148,Bookings!$A$3:$A$202,0))="","",INDEX(Bookings!$H$3:$H$202,MATCH($B148,Bookings!$A$3:$A$202,0))),""))</f>
        <v/>
      </c>
      <c r="G148" s="13" t="str">
        <f>IF($A148="","",IF(Connaissements!$F149="","",Connaissements!$F149))</f>
        <v/>
      </c>
      <c r="H148" s="13" t="str">
        <f>IF($A148="","",Connaissements!$H149)</f>
        <v/>
      </c>
      <c r="I148" s="13" t="str">
        <f>IF($A148="","",COUNTIFS(Conteneurs!$B$3:$B$1002,$A148,Conteneurs!$M$3:$M$1002,"Embarqué"))</f>
        <v/>
      </c>
      <c r="J148" s="18" t="str">
        <f>IF($A148="","",Connaissements!$J149)</f>
        <v/>
      </c>
      <c r="K148" s="13" t="str">
        <f>IF($A148="","",COUNTIFS(Documents!$A$3:$A$1002,$A148))</f>
        <v/>
      </c>
      <c r="L148" s="13" t="str">
        <f>IF($A148="","",COUNTIFS(Documents!$A$3:$A$1002,$A148,Documents!$I$3:$I$1002,"Envoyé DHL"))</f>
        <v/>
      </c>
      <c r="M148" s="13" t="str">
        <f>IF($A148="","",COUNTIFS(Etapes!$A$5:$A$1504,$A148,Etapes!$F$5:$F$1504,"En retard"))</f>
        <v/>
      </c>
      <c r="N148" s="18" t="str">
        <f>IF($A148="","",SUMIFS(Couts_Transitaire!$I$3:$I$602,Couts_Transitaire!$B$3:$B$602,$A148))</f>
        <v/>
      </c>
      <c r="O148" s="13" t="str">
        <f>IF($A148="","",IF($M148&gt;0,"Étapes en retard",IF(Connaissements!$K149&lt;&gt;"OK","Contrôle BL à corriger",IF($H148=0,"Aucun conteneur saisi",IF($I148&lt;$H148,"Conteneurs non embarqués",IF($L148&lt;$K148,"Documents à finaliser",IF($N148&gt;0,"Coûts à payer","OK")))))))</f>
        <v/>
      </c>
    </row>
    <row r="149" spans="1:15" x14ac:dyDescent="0.35">
      <c r="A149" s="13" t="str">
        <f>IF(Connaissements!$A150="","",Connaissements!$A150)</f>
        <v/>
      </c>
      <c r="B149" s="13" t="str">
        <f>IF($A149="","",Connaissements!$B150)</f>
        <v/>
      </c>
      <c r="C149" s="13" t="str">
        <f>IF($A149="","",Connaissements!$G150)</f>
        <v/>
      </c>
      <c r="D149" s="13" t="str">
        <f>IF($A149="","",IFERROR(IF(INDEX(Bookings!$D$3:$D$202,MATCH($B149,Bookings!$A$3:$A$202,0))="","",INDEX(Bookings!$D$3:$D$202,MATCH($B149,Bookings!$A$3:$A$202,0))),""))</f>
        <v/>
      </c>
      <c r="E149" s="14" t="str">
        <f>IF($A149="","",IFERROR(IF(INDEX(Bookings!$G$3:$G$202,MATCH($B149,Bookings!$A$3:$A$202,0))="","",INDEX(Bookings!$G$3:$G$202,MATCH($B149,Bookings!$A$3:$A$202,0))),""))</f>
        <v/>
      </c>
      <c r="F149" s="14" t="str">
        <f>IF($A149="","",IFERROR(IF(INDEX(Bookings!$H$3:$H$202,MATCH($B149,Bookings!$A$3:$A$202,0))="","",INDEX(Bookings!$H$3:$H$202,MATCH($B149,Bookings!$A$3:$A$202,0))),""))</f>
        <v/>
      </c>
      <c r="G149" s="13" t="str">
        <f>IF($A149="","",IF(Connaissements!$F150="","",Connaissements!$F150))</f>
        <v/>
      </c>
      <c r="H149" s="13" t="str">
        <f>IF($A149="","",Connaissements!$H150)</f>
        <v/>
      </c>
      <c r="I149" s="13" t="str">
        <f>IF($A149="","",COUNTIFS(Conteneurs!$B$3:$B$1002,$A149,Conteneurs!$M$3:$M$1002,"Embarqué"))</f>
        <v/>
      </c>
      <c r="J149" s="18" t="str">
        <f>IF($A149="","",Connaissements!$J150)</f>
        <v/>
      </c>
      <c r="K149" s="13" t="str">
        <f>IF($A149="","",COUNTIFS(Documents!$A$3:$A$1002,$A149))</f>
        <v/>
      </c>
      <c r="L149" s="13" t="str">
        <f>IF($A149="","",COUNTIFS(Documents!$A$3:$A$1002,$A149,Documents!$I$3:$I$1002,"Envoyé DHL"))</f>
        <v/>
      </c>
      <c r="M149" s="13" t="str">
        <f>IF($A149="","",COUNTIFS(Etapes!$A$5:$A$1504,$A149,Etapes!$F$5:$F$1504,"En retard"))</f>
        <v/>
      </c>
      <c r="N149" s="18" t="str">
        <f>IF($A149="","",SUMIFS(Couts_Transitaire!$I$3:$I$602,Couts_Transitaire!$B$3:$B$602,$A149))</f>
        <v/>
      </c>
      <c r="O149" s="13" t="str">
        <f>IF($A149="","",IF($M149&gt;0,"Étapes en retard",IF(Connaissements!$K150&lt;&gt;"OK","Contrôle BL à corriger",IF($H149=0,"Aucun conteneur saisi",IF($I149&lt;$H149,"Conteneurs non embarqués",IF($L149&lt;$K149,"Documents à finaliser",IF($N149&gt;0,"Coûts à payer","OK")))))))</f>
        <v/>
      </c>
    </row>
    <row r="150" spans="1:15" x14ac:dyDescent="0.35">
      <c r="A150" s="13" t="str">
        <f>IF(Connaissements!$A151="","",Connaissements!$A151)</f>
        <v/>
      </c>
      <c r="B150" s="13" t="str">
        <f>IF($A150="","",Connaissements!$B151)</f>
        <v/>
      </c>
      <c r="C150" s="13" t="str">
        <f>IF($A150="","",Connaissements!$G151)</f>
        <v/>
      </c>
      <c r="D150" s="13" t="str">
        <f>IF($A150="","",IFERROR(IF(INDEX(Bookings!$D$3:$D$202,MATCH($B150,Bookings!$A$3:$A$202,0))="","",INDEX(Bookings!$D$3:$D$202,MATCH($B150,Bookings!$A$3:$A$202,0))),""))</f>
        <v/>
      </c>
      <c r="E150" s="14" t="str">
        <f>IF($A150="","",IFERROR(IF(INDEX(Bookings!$G$3:$G$202,MATCH($B150,Bookings!$A$3:$A$202,0))="","",INDEX(Bookings!$G$3:$G$202,MATCH($B150,Bookings!$A$3:$A$202,0))),""))</f>
        <v/>
      </c>
      <c r="F150" s="14" t="str">
        <f>IF($A150="","",IFERROR(IF(INDEX(Bookings!$H$3:$H$202,MATCH($B150,Bookings!$A$3:$A$202,0))="","",INDEX(Bookings!$H$3:$H$202,MATCH($B150,Bookings!$A$3:$A$202,0))),""))</f>
        <v/>
      </c>
      <c r="G150" s="13" t="str">
        <f>IF($A150="","",IF(Connaissements!$F151="","",Connaissements!$F151))</f>
        <v/>
      </c>
      <c r="H150" s="13" t="str">
        <f>IF($A150="","",Connaissements!$H151)</f>
        <v/>
      </c>
      <c r="I150" s="13" t="str">
        <f>IF($A150="","",COUNTIFS(Conteneurs!$B$3:$B$1002,$A150,Conteneurs!$M$3:$M$1002,"Embarqué"))</f>
        <v/>
      </c>
      <c r="J150" s="18" t="str">
        <f>IF($A150="","",Connaissements!$J151)</f>
        <v/>
      </c>
      <c r="K150" s="13" t="str">
        <f>IF($A150="","",COUNTIFS(Documents!$A$3:$A$1002,$A150))</f>
        <v/>
      </c>
      <c r="L150" s="13" t="str">
        <f>IF($A150="","",COUNTIFS(Documents!$A$3:$A$1002,$A150,Documents!$I$3:$I$1002,"Envoyé DHL"))</f>
        <v/>
      </c>
      <c r="M150" s="13" t="str">
        <f>IF($A150="","",COUNTIFS(Etapes!$A$5:$A$1504,$A150,Etapes!$F$5:$F$1504,"En retard"))</f>
        <v/>
      </c>
      <c r="N150" s="18" t="str">
        <f>IF($A150="","",SUMIFS(Couts_Transitaire!$I$3:$I$602,Couts_Transitaire!$B$3:$B$602,$A150))</f>
        <v/>
      </c>
      <c r="O150" s="13" t="str">
        <f>IF($A150="","",IF($M150&gt;0,"Étapes en retard",IF(Connaissements!$K151&lt;&gt;"OK","Contrôle BL à corriger",IF($H150=0,"Aucun conteneur saisi",IF($I150&lt;$H150,"Conteneurs non embarqués",IF($L150&lt;$K150,"Documents à finaliser",IF($N150&gt;0,"Coûts à payer","OK")))))))</f>
        <v/>
      </c>
    </row>
    <row r="151" spans="1:15" x14ac:dyDescent="0.35">
      <c r="A151" s="13" t="str">
        <f>IF(Connaissements!$A152="","",Connaissements!$A152)</f>
        <v/>
      </c>
      <c r="B151" s="13" t="str">
        <f>IF($A151="","",Connaissements!$B152)</f>
        <v/>
      </c>
      <c r="C151" s="13" t="str">
        <f>IF($A151="","",Connaissements!$G152)</f>
        <v/>
      </c>
      <c r="D151" s="13" t="str">
        <f>IF($A151="","",IFERROR(IF(INDEX(Bookings!$D$3:$D$202,MATCH($B151,Bookings!$A$3:$A$202,0))="","",INDEX(Bookings!$D$3:$D$202,MATCH($B151,Bookings!$A$3:$A$202,0))),""))</f>
        <v/>
      </c>
      <c r="E151" s="14" t="str">
        <f>IF($A151="","",IFERROR(IF(INDEX(Bookings!$G$3:$G$202,MATCH($B151,Bookings!$A$3:$A$202,0))="","",INDEX(Bookings!$G$3:$G$202,MATCH($B151,Bookings!$A$3:$A$202,0))),""))</f>
        <v/>
      </c>
      <c r="F151" s="14" t="str">
        <f>IF($A151="","",IFERROR(IF(INDEX(Bookings!$H$3:$H$202,MATCH($B151,Bookings!$A$3:$A$202,0))="","",INDEX(Bookings!$H$3:$H$202,MATCH($B151,Bookings!$A$3:$A$202,0))),""))</f>
        <v/>
      </c>
      <c r="G151" s="13" t="str">
        <f>IF($A151="","",IF(Connaissements!$F152="","",Connaissements!$F152))</f>
        <v/>
      </c>
      <c r="H151" s="13" t="str">
        <f>IF($A151="","",Connaissements!$H152)</f>
        <v/>
      </c>
      <c r="I151" s="13" t="str">
        <f>IF($A151="","",COUNTIFS(Conteneurs!$B$3:$B$1002,$A151,Conteneurs!$M$3:$M$1002,"Embarqué"))</f>
        <v/>
      </c>
      <c r="J151" s="18" t="str">
        <f>IF($A151="","",Connaissements!$J152)</f>
        <v/>
      </c>
      <c r="K151" s="13" t="str">
        <f>IF($A151="","",COUNTIFS(Documents!$A$3:$A$1002,$A151))</f>
        <v/>
      </c>
      <c r="L151" s="13" t="str">
        <f>IF($A151="","",COUNTIFS(Documents!$A$3:$A$1002,$A151,Documents!$I$3:$I$1002,"Envoyé DHL"))</f>
        <v/>
      </c>
      <c r="M151" s="13" t="str">
        <f>IF($A151="","",COUNTIFS(Etapes!$A$5:$A$1504,$A151,Etapes!$F$5:$F$1504,"En retard"))</f>
        <v/>
      </c>
      <c r="N151" s="18" t="str">
        <f>IF($A151="","",SUMIFS(Couts_Transitaire!$I$3:$I$602,Couts_Transitaire!$B$3:$B$602,$A151))</f>
        <v/>
      </c>
      <c r="O151" s="13" t="str">
        <f>IF($A151="","",IF($M151&gt;0,"Étapes en retard",IF(Connaissements!$K152&lt;&gt;"OK","Contrôle BL à corriger",IF($H151=0,"Aucun conteneur saisi",IF($I151&lt;$H151,"Conteneurs non embarqués",IF($L151&lt;$K151,"Documents à finaliser",IF($N151&gt;0,"Coûts à payer","OK")))))))</f>
        <v/>
      </c>
    </row>
    <row r="152" spans="1:15" x14ac:dyDescent="0.35">
      <c r="A152" s="13" t="str">
        <f>IF(Connaissements!$A153="","",Connaissements!$A153)</f>
        <v/>
      </c>
      <c r="B152" s="13" t="str">
        <f>IF($A152="","",Connaissements!$B153)</f>
        <v/>
      </c>
      <c r="C152" s="13" t="str">
        <f>IF($A152="","",Connaissements!$G153)</f>
        <v/>
      </c>
      <c r="D152" s="13" t="str">
        <f>IF($A152="","",IFERROR(IF(INDEX(Bookings!$D$3:$D$202,MATCH($B152,Bookings!$A$3:$A$202,0))="","",INDEX(Bookings!$D$3:$D$202,MATCH($B152,Bookings!$A$3:$A$202,0))),""))</f>
        <v/>
      </c>
      <c r="E152" s="14" t="str">
        <f>IF($A152="","",IFERROR(IF(INDEX(Bookings!$G$3:$G$202,MATCH($B152,Bookings!$A$3:$A$202,0))="","",INDEX(Bookings!$G$3:$G$202,MATCH($B152,Bookings!$A$3:$A$202,0))),""))</f>
        <v/>
      </c>
      <c r="F152" s="14" t="str">
        <f>IF($A152="","",IFERROR(IF(INDEX(Bookings!$H$3:$H$202,MATCH($B152,Bookings!$A$3:$A$202,0))="","",INDEX(Bookings!$H$3:$H$202,MATCH($B152,Bookings!$A$3:$A$202,0))),""))</f>
        <v/>
      </c>
      <c r="G152" s="13" t="str">
        <f>IF($A152="","",IF(Connaissements!$F153="","",Connaissements!$F153))</f>
        <v/>
      </c>
      <c r="H152" s="13" t="str">
        <f>IF($A152="","",Connaissements!$H153)</f>
        <v/>
      </c>
      <c r="I152" s="13" t="str">
        <f>IF($A152="","",COUNTIFS(Conteneurs!$B$3:$B$1002,$A152,Conteneurs!$M$3:$M$1002,"Embarqué"))</f>
        <v/>
      </c>
      <c r="J152" s="18" t="str">
        <f>IF($A152="","",Connaissements!$J153)</f>
        <v/>
      </c>
      <c r="K152" s="13" t="str">
        <f>IF($A152="","",COUNTIFS(Documents!$A$3:$A$1002,$A152))</f>
        <v/>
      </c>
      <c r="L152" s="13" t="str">
        <f>IF($A152="","",COUNTIFS(Documents!$A$3:$A$1002,$A152,Documents!$I$3:$I$1002,"Envoyé DHL"))</f>
        <v/>
      </c>
      <c r="M152" s="13" t="str">
        <f>IF($A152="","",COUNTIFS(Etapes!$A$5:$A$1504,$A152,Etapes!$F$5:$F$1504,"En retard"))</f>
        <v/>
      </c>
      <c r="N152" s="18" t="str">
        <f>IF($A152="","",SUMIFS(Couts_Transitaire!$I$3:$I$602,Couts_Transitaire!$B$3:$B$602,$A152))</f>
        <v/>
      </c>
      <c r="O152" s="13" t="str">
        <f>IF($A152="","",IF($M152&gt;0,"Étapes en retard",IF(Connaissements!$K153&lt;&gt;"OK","Contrôle BL à corriger",IF($H152=0,"Aucun conteneur saisi",IF($I152&lt;$H152,"Conteneurs non embarqués",IF($L152&lt;$K152,"Documents à finaliser",IF($N152&gt;0,"Coûts à payer","OK")))))))</f>
        <v/>
      </c>
    </row>
    <row r="153" spans="1:15" x14ac:dyDescent="0.35">
      <c r="A153" s="13" t="str">
        <f>IF(Connaissements!$A154="","",Connaissements!$A154)</f>
        <v/>
      </c>
      <c r="B153" s="13" t="str">
        <f>IF($A153="","",Connaissements!$B154)</f>
        <v/>
      </c>
      <c r="C153" s="13" t="str">
        <f>IF($A153="","",Connaissements!$G154)</f>
        <v/>
      </c>
      <c r="D153" s="13" t="str">
        <f>IF($A153="","",IFERROR(IF(INDEX(Bookings!$D$3:$D$202,MATCH($B153,Bookings!$A$3:$A$202,0))="","",INDEX(Bookings!$D$3:$D$202,MATCH($B153,Bookings!$A$3:$A$202,0))),""))</f>
        <v/>
      </c>
      <c r="E153" s="14" t="str">
        <f>IF($A153="","",IFERROR(IF(INDEX(Bookings!$G$3:$G$202,MATCH($B153,Bookings!$A$3:$A$202,0))="","",INDEX(Bookings!$G$3:$G$202,MATCH($B153,Bookings!$A$3:$A$202,0))),""))</f>
        <v/>
      </c>
      <c r="F153" s="14" t="str">
        <f>IF($A153="","",IFERROR(IF(INDEX(Bookings!$H$3:$H$202,MATCH($B153,Bookings!$A$3:$A$202,0))="","",INDEX(Bookings!$H$3:$H$202,MATCH($B153,Bookings!$A$3:$A$202,0))),""))</f>
        <v/>
      </c>
      <c r="G153" s="13" t="str">
        <f>IF($A153="","",IF(Connaissements!$F154="","",Connaissements!$F154))</f>
        <v/>
      </c>
      <c r="H153" s="13" t="str">
        <f>IF($A153="","",Connaissements!$H154)</f>
        <v/>
      </c>
      <c r="I153" s="13" t="str">
        <f>IF($A153="","",COUNTIFS(Conteneurs!$B$3:$B$1002,$A153,Conteneurs!$M$3:$M$1002,"Embarqué"))</f>
        <v/>
      </c>
      <c r="J153" s="18" t="str">
        <f>IF($A153="","",Connaissements!$J154)</f>
        <v/>
      </c>
      <c r="K153" s="13" t="str">
        <f>IF($A153="","",COUNTIFS(Documents!$A$3:$A$1002,$A153))</f>
        <v/>
      </c>
      <c r="L153" s="13" t="str">
        <f>IF($A153="","",COUNTIFS(Documents!$A$3:$A$1002,$A153,Documents!$I$3:$I$1002,"Envoyé DHL"))</f>
        <v/>
      </c>
      <c r="M153" s="13" t="str">
        <f>IF($A153="","",COUNTIFS(Etapes!$A$5:$A$1504,$A153,Etapes!$F$5:$F$1504,"En retard"))</f>
        <v/>
      </c>
      <c r="N153" s="18" t="str">
        <f>IF($A153="","",SUMIFS(Couts_Transitaire!$I$3:$I$602,Couts_Transitaire!$B$3:$B$602,$A153))</f>
        <v/>
      </c>
      <c r="O153" s="13" t="str">
        <f>IF($A153="","",IF($M153&gt;0,"Étapes en retard",IF(Connaissements!$K154&lt;&gt;"OK","Contrôle BL à corriger",IF($H153=0,"Aucun conteneur saisi",IF($I153&lt;$H153,"Conteneurs non embarqués",IF($L153&lt;$K153,"Documents à finaliser",IF($N153&gt;0,"Coûts à payer","OK")))))))</f>
        <v/>
      </c>
    </row>
    <row r="154" spans="1:15" x14ac:dyDescent="0.35">
      <c r="A154" s="13" t="str">
        <f>IF(Connaissements!$A155="","",Connaissements!$A155)</f>
        <v/>
      </c>
      <c r="B154" s="13" t="str">
        <f>IF($A154="","",Connaissements!$B155)</f>
        <v/>
      </c>
      <c r="C154" s="13" t="str">
        <f>IF($A154="","",Connaissements!$G155)</f>
        <v/>
      </c>
      <c r="D154" s="13" t="str">
        <f>IF($A154="","",IFERROR(IF(INDEX(Bookings!$D$3:$D$202,MATCH($B154,Bookings!$A$3:$A$202,0))="","",INDEX(Bookings!$D$3:$D$202,MATCH($B154,Bookings!$A$3:$A$202,0))),""))</f>
        <v/>
      </c>
      <c r="E154" s="14" t="str">
        <f>IF($A154="","",IFERROR(IF(INDEX(Bookings!$G$3:$G$202,MATCH($B154,Bookings!$A$3:$A$202,0))="","",INDEX(Bookings!$G$3:$G$202,MATCH($B154,Bookings!$A$3:$A$202,0))),""))</f>
        <v/>
      </c>
      <c r="F154" s="14" t="str">
        <f>IF($A154="","",IFERROR(IF(INDEX(Bookings!$H$3:$H$202,MATCH($B154,Bookings!$A$3:$A$202,0))="","",INDEX(Bookings!$H$3:$H$202,MATCH($B154,Bookings!$A$3:$A$202,0))),""))</f>
        <v/>
      </c>
      <c r="G154" s="13" t="str">
        <f>IF($A154="","",IF(Connaissements!$F155="","",Connaissements!$F155))</f>
        <v/>
      </c>
      <c r="H154" s="13" t="str">
        <f>IF($A154="","",Connaissements!$H155)</f>
        <v/>
      </c>
      <c r="I154" s="13" t="str">
        <f>IF($A154="","",COUNTIFS(Conteneurs!$B$3:$B$1002,$A154,Conteneurs!$M$3:$M$1002,"Embarqué"))</f>
        <v/>
      </c>
      <c r="J154" s="18" t="str">
        <f>IF($A154="","",Connaissements!$J155)</f>
        <v/>
      </c>
      <c r="K154" s="13" t="str">
        <f>IF($A154="","",COUNTIFS(Documents!$A$3:$A$1002,$A154))</f>
        <v/>
      </c>
      <c r="L154" s="13" t="str">
        <f>IF($A154="","",COUNTIFS(Documents!$A$3:$A$1002,$A154,Documents!$I$3:$I$1002,"Envoyé DHL"))</f>
        <v/>
      </c>
      <c r="M154" s="13" t="str">
        <f>IF($A154="","",COUNTIFS(Etapes!$A$5:$A$1504,$A154,Etapes!$F$5:$F$1504,"En retard"))</f>
        <v/>
      </c>
      <c r="N154" s="18" t="str">
        <f>IF($A154="","",SUMIFS(Couts_Transitaire!$I$3:$I$602,Couts_Transitaire!$B$3:$B$602,$A154))</f>
        <v/>
      </c>
      <c r="O154" s="13" t="str">
        <f>IF($A154="","",IF($M154&gt;0,"Étapes en retard",IF(Connaissements!$K155&lt;&gt;"OK","Contrôle BL à corriger",IF($H154=0,"Aucun conteneur saisi",IF($I154&lt;$H154,"Conteneurs non embarqués",IF($L154&lt;$K154,"Documents à finaliser",IF($N154&gt;0,"Coûts à payer","OK")))))))</f>
        <v/>
      </c>
    </row>
    <row r="155" spans="1:15" x14ac:dyDescent="0.35">
      <c r="A155" s="13" t="str">
        <f>IF(Connaissements!$A156="","",Connaissements!$A156)</f>
        <v/>
      </c>
      <c r="B155" s="13" t="str">
        <f>IF($A155="","",Connaissements!$B156)</f>
        <v/>
      </c>
      <c r="C155" s="13" t="str">
        <f>IF($A155="","",Connaissements!$G156)</f>
        <v/>
      </c>
      <c r="D155" s="13" t="str">
        <f>IF($A155="","",IFERROR(IF(INDEX(Bookings!$D$3:$D$202,MATCH($B155,Bookings!$A$3:$A$202,0))="","",INDEX(Bookings!$D$3:$D$202,MATCH($B155,Bookings!$A$3:$A$202,0))),""))</f>
        <v/>
      </c>
      <c r="E155" s="14" t="str">
        <f>IF($A155="","",IFERROR(IF(INDEX(Bookings!$G$3:$G$202,MATCH($B155,Bookings!$A$3:$A$202,0))="","",INDEX(Bookings!$G$3:$G$202,MATCH($B155,Bookings!$A$3:$A$202,0))),""))</f>
        <v/>
      </c>
      <c r="F155" s="14" t="str">
        <f>IF($A155="","",IFERROR(IF(INDEX(Bookings!$H$3:$H$202,MATCH($B155,Bookings!$A$3:$A$202,0))="","",INDEX(Bookings!$H$3:$H$202,MATCH($B155,Bookings!$A$3:$A$202,0))),""))</f>
        <v/>
      </c>
      <c r="G155" s="13" t="str">
        <f>IF($A155="","",IF(Connaissements!$F156="","",Connaissements!$F156))</f>
        <v/>
      </c>
      <c r="H155" s="13" t="str">
        <f>IF($A155="","",Connaissements!$H156)</f>
        <v/>
      </c>
      <c r="I155" s="13" t="str">
        <f>IF($A155="","",COUNTIFS(Conteneurs!$B$3:$B$1002,$A155,Conteneurs!$M$3:$M$1002,"Embarqué"))</f>
        <v/>
      </c>
      <c r="J155" s="18" t="str">
        <f>IF($A155="","",Connaissements!$J156)</f>
        <v/>
      </c>
      <c r="K155" s="13" t="str">
        <f>IF($A155="","",COUNTIFS(Documents!$A$3:$A$1002,$A155))</f>
        <v/>
      </c>
      <c r="L155" s="13" t="str">
        <f>IF($A155="","",COUNTIFS(Documents!$A$3:$A$1002,$A155,Documents!$I$3:$I$1002,"Envoyé DHL"))</f>
        <v/>
      </c>
      <c r="M155" s="13" t="str">
        <f>IF($A155="","",COUNTIFS(Etapes!$A$5:$A$1504,$A155,Etapes!$F$5:$F$1504,"En retard"))</f>
        <v/>
      </c>
      <c r="N155" s="18" t="str">
        <f>IF($A155="","",SUMIFS(Couts_Transitaire!$I$3:$I$602,Couts_Transitaire!$B$3:$B$602,$A155))</f>
        <v/>
      </c>
      <c r="O155" s="13" t="str">
        <f>IF($A155="","",IF($M155&gt;0,"Étapes en retard",IF(Connaissements!$K156&lt;&gt;"OK","Contrôle BL à corriger",IF($H155=0,"Aucun conteneur saisi",IF($I155&lt;$H155,"Conteneurs non embarqués",IF($L155&lt;$K155,"Documents à finaliser",IF($N155&gt;0,"Coûts à payer","OK")))))))</f>
        <v/>
      </c>
    </row>
    <row r="156" spans="1:15" x14ac:dyDescent="0.35">
      <c r="A156" s="13" t="str">
        <f>IF(Connaissements!$A157="","",Connaissements!$A157)</f>
        <v/>
      </c>
      <c r="B156" s="13" t="str">
        <f>IF($A156="","",Connaissements!$B157)</f>
        <v/>
      </c>
      <c r="C156" s="13" t="str">
        <f>IF($A156="","",Connaissements!$G157)</f>
        <v/>
      </c>
      <c r="D156" s="13" t="str">
        <f>IF($A156="","",IFERROR(IF(INDEX(Bookings!$D$3:$D$202,MATCH($B156,Bookings!$A$3:$A$202,0))="","",INDEX(Bookings!$D$3:$D$202,MATCH($B156,Bookings!$A$3:$A$202,0))),""))</f>
        <v/>
      </c>
      <c r="E156" s="14" t="str">
        <f>IF($A156="","",IFERROR(IF(INDEX(Bookings!$G$3:$G$202,MATCH($B156,Bookings!$A$3:$A$202,0))="","",INDEX(Bookings!$G$3:$G$202,MATCH($B156,Bookings!$A$3:$A$202,0))),""))</f>
        <v/>
      </c>
      <c r="F156" s="14" t="str">
        <f>IF($A156="","",IFERROR(IF(INDEX(Bookings!$H$3:$H$202,MATCH($B156,Bookings!$A$3:$A$202,0))="","",INDEX(Bookings!$H$3:$H$202,MATCH($B156,Bookings!$A$3:$A$202,0))),""))</f>
        <v/>
      </c>
      <c r="G156" s="13" t="str">
        <f>IF($A156="","",IF(Connaissements!$F157="","",Connaissements!$F157))</f>
        <v/>
      </c>
      <c r="H156" s="13" t="str">
        <f>IF($A156="","",Connaissements!$H157)</f>
        <v/>
      </c>
      <c r="I156" s="13" t="str">
        <f>IF($A156="","",COUNTIFS(Conteneurs!$B$3:$B$1002,$A156,Conteneurs!$M$3:$M$1002,"Embarqué"))</f>
        <v/>
      </c>
      <c r="J156" s="18" t="str">
        <f>IF($A156="","",Connaissements!$J157)</f>
        <v/>
      </c>
      <c r="K156" s="13" t="str">
        <f>IF($A156="","",COUNTIFS(Documents!$A$3:$A$1002,$A156))</f>
        <v/>
      </c>
      <c r="L156" s="13" t="str">
        <f>IF($A156="","",COUNTIFS(Documents!$A$3:$A$1002,$A156,Documents!$I$3:$I$1002,"Envoyé DHL"))</f>
        <v/>
      </c>
      <c r="M156" s="13" t="str">
        <f>IF($A156="","",COUNTIFS(Etapes!$A$5:$A$1504,$A156,Etapes!$F$5:$F$1504,"En retard"))</f>
        <v/>
      </c>
      <c r="N156" s="18" t="str">
        <f>IF($A156="","",SUMIFS(Couts_Transitaire!$I$3:$I$602,Couts_Transitaire!$B$3:$B$602,$A156))</f>
        <v/>
      </c>
      <c r="O156" s="13" t="str">
        <f>IF($A156="","",IF($M156&gt;0,"Étapes en retard",IF(Connaissements!$K157&lt;&gt;"OK","Contrôle BL à corriger",IF($H156=0,"Aucun conteneur saisi",IF($I156&lt;$H156,"Conteneurs non embarqués",IF($L156&lt;$K156,"Documents à finaliser",IF($N156&gt;0,"Coûts à payer","OK")))))))</f>
        <v/>
      </c>
    </row>
    <row r="157" spans="1:15" x14ac:dyDescent="0.35">
      <c r="A157" s="13" t="str">
        <f>IF(Connaissements!$A158="","",Connaissements!$A158)</f>
        <v/>
      </c>
      <c r="B157" s="13" t="str">
        <f>IF($A157="","",Connaissements!$B158)</f>
        <v/>
      </c>
      <c r="C157" s="13" t="str">
        <f>IF($A157="","",Connaissements!$G158)</f>
        <v/>
      </c>
      <c r="D157" s="13" t="str">
        <f>IF($A157="","",IFERROR(IF(INDEX(Bookings!$D$3:$D$202,MATCH($B157,Bookings!$A$3:$A$202,0))="","",INDEX(Bookings!$D$3:$D$202,MATCH($B157,Bookings!$A$3:$A$202,0))),""))</f>
        <v/>
      </c>
      <c r="E157" s="14" t="str">
        <f>IF($A157="","",IFERROR(IF(INDEX(Bookings!$G$3:$G$202,MATCH($B157,Bookings!$A$3:$A$202,0))="","",INDEX(Bookings!$G$3:$G$202,MATCH($B157,Bookings!$A$3:$A$202,0))),""))</f>
        <v/>
      </c>
      <c r="F157" s="14" t="str">
        <f>IF($A157="","",IFERROR(IF(INDEX(Bookings!$H$3:$H$202,MATCH($B157,Bookings!$A$3:$A$202,0))="","",INDEX(Bookings!$H$3:$H$202,MATCH($B157,Bookings!$A$3:$A$202,0))),""))</f>
        <v/>
      </c>
      <c r="G157" s="13" t="str">
        <f>IF($A157="","",IF(Connaissements!$F158="","",Connaissements!$F158))</f>
        <v/>
      </c>
      <c r="H157" s="13" t="str">
        <f>IF($A157="","",Connaissements!$H158)</f>
        <v/>
      </c>
      <c r="I157" s="13" t="str">
        <f>IF($A157="","",COUNTIFS(Conteneurs!$B$3:$B$1002,$A157,Conteneurs!$M$3:$M$1002,"Embarqué"))</f>
        <v/>
      </c>
      <c r="J157" s="18" t="str">
        <f>IF($A157="","",Connaissements!$J158)</f>
        <v/>
      </c>
      <c r="K157" s="13" t="str">
        <f>IF($A157="","",COUNTIFS(Documents!$A$3:$A$1002,$A157))</f>
        <v/>
      </c>
      <c r="L157" s="13" t="str">
        <f>IF($A157="","",COUNTIFS(Documents!$A$3:$A$1002,$A157,Documents!$I$3:$I$1002,"Envoyé DHL"))</f>
        <v/>
      </c>
      <c r="M157" s="13" t="str">
        <f>IF($A157="","",COUNTIFS(Etapes!$A$5:$A$1504,$A157,Etapes!$F$5:$F$1504,"En retard"))</f>
        <v/>
      </c>
      <c r="N157" s="18" t="str">
        <f>IF($A157="","",SUMIFS(Couts_Transitaire!$I$3:$I$602,Couts_Transitaire!$B$3:$B$602,$A157))</f>
        <v/>
      </c>
      <c r="O157" s="13" t="str">
        <f>IF($A157="","",IF($M157&gt;0,"Étapes en retard",IF(Connaissements!$K158&lt;&gt;"OK","Contrôle BL à corriger",IF($H157=0,"Aucun conteneur saisi",IF($I157&lt;$H157,"Conteneurs non embarqués",IF($L157&lt;$K157,"Documents à finaliser",IF($N157&gt;0,"Coûts à payer","OK")))))))</f>
        <v/>
      </c>
    </row>
    <row r="158" spans="1:15" x14ac:dyDescent="0.35">
      <c r="A158" s="13" t="str">
        <f>IF(Connaissements!$A159="","",Connaissements!$A159)</f>
        <v/>
      </c>
      <c r="B158" s="13" t="str">
        <f>IF($A158="","",Connaissements!$B159)</f>
        <v/>
      </c>
      <c r="C158" s="13" t="str">
        <f>IF($A158="","",Connaissements!$G159)</f>
        <v/>
      </c>
      <c r="D158" s="13" t="str">
        <f>IF($A158="","",IFERROR(IF(INDEX(Bookings!$D$3:$D$202,MATCH($B158,Bookings!$A$3:$A$202,0))="","",INDEX(Bookings!$D$3:$D$202,MATCH($B158,Bookings!$A$3:$A$202,0))),""))</f>
        <v/>
      </c>
      <c r="E158" s="14" t="str">
        <f>IF($A158="","",IFERROR(IF(INDEX(Bookings!$G$3:$G$202,MATCH($B158,Bookings!$A$3:$A$202,0))="","",INDEX(Bookings!$G$3:$G$202,MATCH($B158,Bookings!$A$3:$A$202,0))),""))</f>
        <v/>
      </c>
      <c r="F158" s="14" t="str">
        <f>IF($A158="","",IFERROR(IF(INDEX(Bookings!$H$3:$H$202,MATCH($B158,Bookings!$A$3:$A$202,0))="","",INDEX(Bookings!$H$3:$H$202,MATCH($B158,Bookings!$A$3:$A$202,0))),""))</f>
        <v/>
      </c>
      <c r="G158" s="13" t="str">
        <f>IF($A158="","",IF(Connaissements!$F159="","",Connaissements!$F159))</f>
        <v/>
      </c>
      <c r="H158" s="13" t="str">
        <f>IF($A158="","",Connaissements!$H159)</f>
        <v/>
      </c>
      <c r="I158" s="13" t="str">
        <f>IF($A158="","",COUNTIFS(Conteneurs!$B$3:$B$1002,$A158,Conteneurs!$M$3:$M$1002,"Embarqué"))</f>
        <v/>
      </c>
      <c r="J158" s="18" t="str">
        <f>IF($A158="","",Connaissements!$J159)</f>
        <v/>
      </c>
      <c r="K158" s="13" t="str">
        <f>IF($A158="","",COUNTIFS(Documents!$A$3:$A$1002,$A158))</f>
        <v/>
      </c>
      <c r="L158" s="13" t="str">
        <f>IF($A158="","",COUNTIFS(Documents!$A$3:$A$1002,$A158,Documents!$I$3:$I$1002,"Envoyé DHL"))</f>
        <v/>
      </c>
      <c r="M158" s="13" t="str">
        <f>IF($A158="","",COUNTIFS(Etapes!$A$5:$A$1504,$A158,Etapes!$F$5:$F$1504,"En retard"))</f>
        <v/>
      </c>
      <c r="N158" s="18" t="str">
        <f>IF($A158="","",SUMIFS(Couts_Transitaire!$I$3:$I$602,Couts_Transitaire!$B$3:$B$602,$A158))</f>
        <v/>
      </c>
      <c r="O158" s="13" t="str">
        <f>IF($A158="","",IF($M158&gt;0,"Étapes en retard",IF(Connaissements!$K159&lt;&gt;"OK","Contrôle BL à corriger",IF($H158=0,"Aucun conteneur saisi",IF($I158&lt;$H158,"Conteneurs non embarqués",IF($L158&lt;$K158,"Documents à finaliser",IF($N158&gt;0,"Coûts à payer","OK")))))))</f>
        <v/>
      </c>
    </row>
    <row r="159" spans="1:15" x14ac:dyDescent="0.35">
      <c r="A159" s="13" t="str">
        <f>IF(Connaissements!$A160="","",Connaissements!$A160)</f>
        <v/>
      </c>
      <c r="B159" s="13" t="str">
        <f>IF($A159="","",Connaissements!$B160)</f>
        <v/>
      </c>
      <c r="C159" s="13" t="str">
        <f>IF($A159="","",Connaissements!$G160)</f>
        <v/>
      </c>
      <c r="D159" s="13" t="str">
        <f>IF($A159="","",IFERROR(IF(INDEX(Bookings!$D$3:$D$202,MATCH($B159,Bookings!$A$3:$A$202,0))="","",INDEX(Bookings!$D$3:$D$202,MATCH($B159,Bookings!$A$3:$A$202,0))),""))</f>
        <v/>
      </c>
      <c r="E159" s="14" t="str">
        <f>IF($A159="","",IFERROR(IF(INDEX(Bookings!$G$3:$G$202,MATCH($B159,Bookings!$A$3:$A$202,0))="","",INDEX(Bookings!$G$3:$G$202,MATCH($B159,Bookings!$A$3:$A$202,0))),""))</f>
        <v/>
      </c>
      <c r="F159" s="14" t="str">
        <f>IF($A159="","",IFERROR(IF(INDEX(Bookings!$H$3:$H$202,MATCH($B159,Bookings!$A$3:$A$202,0))="","",INDEX(Bookings!$H$3:$H$202,MATCH($B159,Bookings!$A$3:$A$202,0))),""))</f>
        <v/>
      </c>
      <c r="G159" s="13" t="str">
        <f>IF($A159="","",IF(Connaissements!$F160="","",Connaissements!$F160))</f>
        <v/>
      </c>
      <c r="H159" s="13" t="str">
        <f>IF($A159="","",Connaissements!$H160)</f>
        <v/>
      </c>
      <c r="I159" s="13" t="str">
        <f>IF($A159="","",COUNTIFS(Conteneurs!$B$3:$B$1002,$A159,Conteneurs!$M$3:$M$1002,"Embarqué"))</f>
        <v/>
      </c>
      <c r="J159" s="18" t="str">
        <f>IF($A159="","",Connaissements!$J160)</f>
        <v/>
      </c>
      <c r="K159" s="13" t="str">
        <f>IF($A159="","",COUNTIFS(Documents!$A$3:$A$1002,$A159))</f>
        <v/>
      </c>
      <c r="L159" s="13" t="str">
        <f>IF($A159="","",COUNTIFS(Documents!$A$3:$A$1002,$A159,Documents!$I$3:$I$1002,"Envoyé DHL"))</f>
        <v/>
      </c>
      <c r="M159" s="13" t="str">
        <f>IF($A159="","",COUNTIFS(Etapes!$A$5:$A$1504,$A159,Etapes!$F$5:$F$1504,"En retard"))</f>
        <v/>
      </c>
      <c r="N159" s="18" t="str">
        <f>IF($A159="","",SUMIFS(Couts_Transitaire!$I$3:$I$602,Couts_Transitaire!$B$3:$B$602,$A159))</f>
        <v/>
      </c>
      <c r="O159" s="13" t="str">
        <f>IF($A159="","",IF($M159&gt;0,"Étapes en retard",IF(Connaissements!$K160&lt;&gt;"OK","Contrôle BL à corriger",IF($H159=0,"Aucun conteneur saisi",IF($I159&lt;$H159,"Conteneurs non embarqués",IF($L159&lt;$K159,"Documents à finaliser",IF($N159&gt;0,"Coûts à payer","OK")))))))</f>
        <v/>
      </c>
    </row>
    <row r="160" spans="1:15" x14ac:dyDescent="0.35">
      <c r="A160" s="13" t="str">
        <f>IF(Connaissements!$A161="","",Connaissements!$A161)</f>
        <v/>
      </c>
      <c r="B160" s="13" t="str">
        <f>IF($A160="","",Connaissements!$B161)</f>
        <v/>
      </c>
      <c r="C160" s="13" t="str">
        <f>IF($A160="","",Connaissements!$G161)</f>
        <v/>
      </c>
      <c r="D160" s="13" t="str">
        <f>IF($A160="","",IFERROR(IF(INDEX(Bookings!$D$3:$D$202,MATCH($B160,Bookings!$A$3:$A$202,0))="","",INDEX(Bookings!$D$3:$D$202,MATCH($B160,Bookings!$A$3:$A$202,0))),""))</f>
        <v/>
      </c>
      <c r="E160" s="14" t="str">
        <f>IF($A160="","",IFERROR(IF(INDEX(Bookings!$G$3:$G$202,MATCH($B160,Bookings!$A$3:$A$202,0))="","",INDEX(Bookings!$G$3:$G$202,MATCH($B160,Bookings!$A$3:$A$202,0))),""))</f>
        <v/>
      </c>
      <c r="F160" s="14" t="str">
        <f>IF($A160="","",IFERROR(IF(INDEX(Bookings!$H$3:$H$202,MATCH($B160,Bookings!$A$3:$A$202,0))="","",INDEX(Bookings!$H$3:$H$202,MATCH($B160,Bookings!$A$3:$A$202,0))),""))</f>
        <v/>
      </c>
      <c r="G160" s="13" t="str">
        <f>IF($A160="","",IF(Connaissements!$F161="","",Connaissements!$F161))</f>
        <v/>
      </c>
      <c r="H160" s="13" t="str">
        <f>IF($A160="","",Connaissements!$H161)</f>
        <v/>
      </c>
      <c r="I160" s="13" t="str">
        <f>IF($A160="","",COUNTIFS(Conteneurs!$B$3:$B$1002,$A160,Conteneurs!$M$3:$M$1002,"Embarqué"))</f>
        <v/>
      </c>
      <c r="J160" s="18" t="str">
        <f>IF($A160="","",Connaissements!$J161)</f>
        <v/>
      </c>
      <c r="K160" s="13" t="str">
        <f>IF($A160="","",COUNTIFS(Documents!$A$3:$A$1002,$A160))</f>
        <v/>
      </c>
      <c r="L160" s="13" t="str">
        <f>IF($A160="","",COUNTIFS(Documents!$A$3:$A$1002,$A160,Documents!$I$3:$I$1002,"Envoyé DHL"))</f>
        <v/>
      </c>
      <c r="M160" s="13" t="str">
        <f>IF($A160="","",COUNTIFS(Etapes!$A$5:$A$1504,$A160,Etapes!$F$5:$F$1504,"En retard"))</f>
        <v/>
      </c>
      <c r="N160" s="18" t="str">
        <f>IF($A160="","",SUMIFS(Couts_Transitaire!$I$3:$I$602,Couts_Transitaire!$B$3:$B$602,$A160))</f>
        <v/>
      </c>
      <c r="O160" s="13" t="str">
        <f>IF($A160="","",IF($M160&gt;0,"Étapes en retard",IF(Connaissements!$K161&lt;&gt;"OK","Contrôle BL à corriger",IF($H160=0,"Aucun conteneur saisi",IF($I160&lt;$H160,"Conteneurs non embarqués",IF($L160&lt;$K160,"Documents à finaliser",IF($N160&gt;0,"Coûts à payer","OK")))))))</f>
        <v/>
      </c>
    </row>
    <row r="161" spans="1:15" x14ac:dyDescent="0.35">
      <c r="A161" s="13" t="str">
        <f>IF(Connaissements!$A162="","",Connaissements!$A162)</f>
        <v/>
      </c>
      <c r="B161" s="13" t="str">
        <f>IF($A161="","",Connaissements!$B162)</f>
        <v/>
      </c>
      <c r="C161" s="13" t="str">
        <f>IF($A161="","",Connaissements!$G162)</f>
        <v/>
      </c>
      <c r="D161" s="13" t="str">
        <f>IF($A161="","",IFERROR(IF(INDEX(Bookings!$D$3:$D$202,MATCH($B161,Bookings!$A$3:$A$202,0))="","",INDEX(Bookings!$D$3:$D$202,MATCH($B161,Bookings!$A$3:$A$202,0))),""))</f>
        <v/>
      </c>
      <c r="E161" s="14" t="str">
        <f>IF($A161="","",IFERROR(IF(INDEX(Bookings!$G$3:$G$202,MATCH($B161,Bookings!$A$3:$A$202,0))="","",INDEX(Bookings!$G$3:$G$202,MATCH($B161,Bookings!$A$3:$A$202,0))),""))</f>
        <v/>
      </c>
      <c r="F161" s="14" t="str">
        <f>IF($A161="","",IFERROR(IF(INDEX(Bookings!$H$3:$H$202,MATCH($B161,Bookings!$A$3:$A$202,0))="","",INDEX(Bookings!$H$3:$H$202,MATCH($B161,Bookings!$A$3:$A$202,0))),""))</f>
        <v/>
      </c>
      <c r="G161" s="13" t="str">
        <f>IF($A161="","",IF(Connaissements!$F162="","",Connaissements!$F162))</f>
        <v/>
      </c>
      <c r="H161" s="13" t="str">
        <f>IF($A161="","",Connaissements!$H162)</f>
        <v/>
      </c>
      <c r="I161" s="13" t="str">
        <f>IF($A161="","",COUNTIFS(Conteneurs!$B$3:$B$1002,$A161,Conteneurs!$M$3:$M$1002,"Embarqué"))</f>
        <v/>
      </c>
      <c r="J161" s="18" t="str">
        <f>IF($A161="","",Connaissements!$J162)</f>
        <v/>
      </c>
      <c r="K161" s="13" t="str">
        <f>IF($A161="","",COUNTIFS(Documents!$A$3:$A$1002,$A161))</f>
        <v/>
      </c>
      <c r="L161" s="13" t="str">
        <f>IF($A161="","",COUNTIFS(Documents!$A$3:$A$1002,$A161,Documents!$I$3:$I$1002,"Envoyé DHL"))</f>
        <v/>
      </c>
      <c r="M161" s="13" t="str">
        <f>IF($A161="","",COUNTIFS(Etapes!$A$5:$A$1504,$A161,Etapes!$F$5:$F$1504,"En retard"))</f>
        <v/>
      </c>
      <c r="N161" s="18" t="str">
        <f>IF($A161="","",SUMIFS(Couts_Transitaire!$I$3:$I$602,Couts_Transitaire!$B$3:$B$602,$A161))</f>
        <v/>
      </c>
      <c r="O161" s="13" t="str">
        <f>IF($A161="","",IF($M161&gt;0,"Étapes en retard",IF(Connaissements!$K162&lt;&gt;"OK","Contrôle BL à corriger",IF($H161=0,"Aucun conteneur saisi",IF($I161&lt;$H161,"Conteneurs non embarqués",IF($L161&lt;$K161,"Documents à finaliser",IF($N161&gt;0,"Coûts à payer","OK")))))))</f>
        <v/>
      </c>
    </row>
    <row r="162" spans="1:15" x14ac:dyDescent="0.35">
      <c r="A162" s="13" t="str">
        <f>IF(Connaissements!$A163="","",Connaissements!$A163)</f>
        <v/>
      </c>
      <c r="B162" s="13" t="str">
        <f>IF($A162="","",Connaissements!$B163)</f>
        <v/>
      </c>
      <c r="C162" s="13" t="str">
        <f>IF($A162="","",Connaissements!$G163)</f>
        <v/>
      </c>
      <c r="D162" s="13" t="str">
        <f>IF($A162="","",IFERROR(IF(INDEX(Bookings!$D$3:$D$202,MATCH($B162,Bookings!$A$3:$A$202,0))="","",INDEX(Bookings!$D$3:$D$202,MATCH($B162,Bookings!$A$3:$A$202,0))),""))</f>
        <v/>
      </c>
      <c r="E162" s="14" t="str">
        <f>IF($A162="","",IFERROR(IF(INDEX(Bookings!$G$3:$G$202,MATCH($B162,Bookings!$A$3:$A$202,0))="","",INDEX(Bookings!$G$3:$G$202,MATCH($B162,Bookings!$A$3:$A$202,0))),""))</f>
        <v/>
      </c>
      <c r="F162" s="14" t="str">
        <f>IF($A162="","",IFERROR(IF(INDEX(Bookings!$H$3:$H$202,MATCH($B162,Bookings!$A$3:$A$202,0))="","",INDEX(Bookings!$H$3:$H$202,MATCH($B162,Bookings!$A$3:$A$202,0))),""))</f>
        <v/>
      </c>
      <c r="G162" s="13" t="str">
        <f>IF($A162="","",IF(Connaissements!$F163="","",Connaissements!$F163))</f>
        <v/>
      </c>
      <c r="H162" s="13" t="str">
        <f>IF($A162="","",Connaissements!$H163)</f>
        <v/>
      </c>
      <c r="I162" s="13" t="str">
        <f>IF($A162="","",COUNTIFS(Conteneurs!$B$3:$B$1002,$A162,Conteneurs!$M$3:$M$1002,"Embarqué"))</f>
        <v/>
      </c>
      <c r="J162" s="18" t="str">
        <f>IF($A162="","",Connaissements!$J163)</f>
        <v/>
      </c>
      <c r="K162" s="13" t="str">
        <f>IF($A162="","",COUNTIFS(Documents!$A$3:$A$1002,$A162))</f>
        <v/>
      </c>
      <c r="L162" s="13" t="str">
        <f>IF($A162="","",COUNTIFS(Documents!$A$3:$A$1002,$A162,Documents!$I$3:$I$1002,"Envoyé DHL"))</f>
        <v/>
      </c>
      <c r="M162" s="13" t="str">
        <f>IF($A162="","",COUNTIFS(Etapes!$A$5:$A$1504,$A162,Etapes!$F$5:$F$1504,"En retard"))</f>
        <v/>
      </c>
      <c r="N162" s="18" t="str">
        <f>IF($A162="","",SUMIFS(Couts_Transitaire!$I$3:$I$602,Couts_Transitaire!$B$3:$B$602,$A162))</f>
        <v/>
      </c>
      <c r="O162" s="13" t="str">
        <f>IF($A162="","",IF($M162&gt;0,"Étapes en retard",IF(Connaissements!$K163&lt;&gt;"OK","Contrôle BL à corriger",IF($H162=0,"Aucun conteneur saisi",IF($I162&lt;$H162,"Conteneurs non embarqués",IF($L162&lt;$K162,"Documents à finaliser",IF($N162&gt;0,"Coûts à payer","OK")))))))</f>
        <v/>
      </c>
    </row>
    <row r="163" spans="1:15" x14ac:dyDescent="0.35">
      <c r="A163" s="13" t="str">
        <f>IF(Connaissements!$A164="","",Connaissements!$A164)</f>
        <v/>
      </c>
      <c r="B163" s="13" t="str">
        <f>IF($A163="","",Connaissements!$B164)</f>
        <v/>
      </c>
      <c r="C163" s="13" t="str">
        <f>IF($A163="","",Connaissements!$G164)</f>
        <v/>
      </c>
      <c r="D163" s="13" t="str">
        <f>IF($A163="","",IFERROR(IF(INDEX(Bookings!$D$3:$D$202,MATCH($B163,Bookings!$A$3:$A$202,0))="","",INDEX(Bookings!$D$3:$D$202,MATCH($B163,Bookings!$A$3:$A$202,0))),""))</f>
        <v/>
      </c>
      <c r="E163" s="14" t="str">
        <f>IF($A163="","",IFERROR(IF(INDEX(Bookings!$G$3:$G$202,MATCH($B163,Bookings!$A$3:$A$202,0))="","",INDEX(Bookings!$G$3:$G$202,MATCH($B163,Bookings!$A$3:$A$202,0))),""))</f>
        <v/>
      </c>
      <c r="F163" s="14" t="str">
        <f>IF($A163="","",IFERROR(IF(INDEX(Bookings!$H$3:$H$202,MATCH($B163,Bookings!$A$3:$A$202,0))="","",INDEX(Bookings!$H$3:$H$202,MATCH($B163,Bookings!$A$3:$A$202,0))),""))</f>
        <v/>
      </c>
      <c r="G163" s="13" t="str">
        <f>IF($A163="","",IF(Connaissements!$F164="","",Connaissements!$F164))</f>
        <v/>
      </c>
      <c r="H163" s="13" t="str">
        <f>IF($A163="","",Connaissements!$H164)</f>
        <v/>
      </c>
      <c r="I163" s="13" t="str">
        <f>IF($A163="","",COUNTIFS(Conteneurs!$B$3:$B$1002,$A163,Conteneurs!$M$3:$M$1002,"Embarqué"))</f>
        <v/>
      </c>
      <c r="J163" s="18" t="str">
        <f>IF($A163="","",Connaissements!$J164)</f>
        <v/>
      </c>
      <c r="K163" s="13" t="str">
        <f>IF($A163="","",COUNTIFS(Documents!$A$3:$A$1002,$A163))</f>
        <v/>
      </c>
      <c r="L163" s="13" t="str">
        <f>IF($A163="","",COUNTIFS(Documents!$A$3:$A$1002,$A163,Documents!$I$3:$I$1002,"Envoyé DHL"))</f>
        <v/>
      </c>
      <c r="M163" s="13" t="str">
        <f>IF($A163="","",COUNTIFS(Etapes!$A$5:$A$1504,$A163,Etapes!$F$5:$F$1504,"En retard"))</f>
        <v/>
      </c>
      <c r="N163" s="18" t="str">
        <f>IF($A163="","",SUMIFS(Couts_Transitaire!$I$3:$I$602,Couts_Transitaire!$B$3:$B$602,$A163))</f>
        <v/>
      </c>
      <c r="O163" s="13" t="str">
        <f>IF($A163="","",IF($M163&gt;0,"Étapes en retard",IF(Connaissements!$K164&lt;&gt;"OK","Contrôle BL à corriger",IF($H163=0,"Aucun conteneur saisi",IF($I163&lt;$H163,"Conteneurs non embarqués",IF($L163&lt;$K163,"Documents à finaliser",IF($N163&gt;0,"Coûts à payer","OK")))))))</f>
        <v/>
      </c>
    </row>
    <row r="164" spans="1:15" x14ac:dyDescent="0.35">
      <c r="A164" s="13" t="str">
        <f>IF(Connaissements!$A165="","",Connaissements!$A165)</f>
        <v/>
      </c>
      <c r="B164" s="13" t="str">
        <f>IF($A164="","",Connaissements!$B165)</f>
        <v/>
      </c>
      <c r="C164" s="13" t="str">
        <f>IF($A164="","",Connaissements!$G165)</f>
        <v/>
      </c>
      <c r="D164" s="13" t="str">
        <f>IF($A164="","",IFERROR(IF(INDEX(Bookings!$D$3:$D$202,MATCH($B164,Bookings!$A$3:$A$202,0))="","",INDEX(Bookings!$D$3:$D$202,MATCH($B164,Bookings!$A$3:$A$202,0))),""))</f>
        <v/>
      </c>
      <c r="E164" s="14" t="str">
        <f>IF($A164="","",IFERROR(IF(INDEX(Bookings!$G$3:$G$202,MATCH($B164,Bookings!$A$3:$A$202,0))="","",INDEX(Bookings!$G$3:$G$202,MATCH($B164,Bookings!$A$3:$A$202,0))),""))</f>
        <v/>
      </c>
      <c r="F164" s="14" t="str">
        <f>IF($A164="","",IFERROR(IF(INDEX(Bookings!$H$3:$H$202,MATCH($B164,Bookings!$A$3:$A$202,0))="","",INDEX(Bookings!$H$3:$H$202,MATCH($B164,Bookings!$A$3:$A$202,0))),""))</f>
        <v/>
      </c>
      <c r="G164" s="13" t="str">
        <f>IF($A164="","",IF(Connaissements!$F165="","",Connaissements!$F165))</f>
        <v/>
      </c>
      <c r="H164" s="13" t="str">
        <f>IF($A164="","",Connaissements!$H165)</f>
        <v/>
      </c>
      <c r="I164" s="13" t="str">
        <f>IF($A164="","",COUNTIFS(Conteneurs!$B$3:$B$1002,$A164,Conteneurs!$M$3:$M$1002,"Embarqué"))</f>
        <v/>
      </c>
      <c r="J164" s="18" t="str">
        <f>IF($A164="","",Connaissements!$J165)</f>
        <v/>
      </c>
      <c r="K164" s="13" t="str">
        <f>IF($A164="","",COUNTIFS(Documents!$A$3:$A$1002,$A164))</f>
        <v/>
      </c>
      <c r="L164" s="13" t="str">
        <f>IF($A164="","",COUNTIFS(Documents!$A$3:$A$1002,$A164,Documents!$I$3:$I$1002,"Envoyé DHL"))</f>
        <v/>
      </c>
      <c r="M164" s="13" t="str">
        <f>IF($A164="","",COUNTIFS(Etapes!$A$5:$A$1504,$A164,Etapes!$F$5:$F$1504,"En retard"))</f>
        <v/>
      </c>
      <c r="N164" s="18" t="str">
        <f>IF($A164="","",SUMIFS(Couts_Transitaire!$I$3:$I$602,Couts_Transitaire!$B$3:$B$602,$A164))</f>
        <v/>
      </c>
      <c r="O164" s="13" t="str">
        <f>IF($A164="","",IF($M164&gt;0,"Étapes en retard",IF(Connaissements!$K165&lt;&gt;"OK","Contrôle BL à corriger",IF($H164=0,"Aucun conteneur saisi",IF($I164&lt;$H164,"Conteneurs non embarqués",IF($L164&lt;$K164,"Documents à finaliser",IF($N164&gt;0,"Coûts à payer","OK")))))))</f>
        <v/>
      </c>
    </row>
    <row r="165" spans="1:15" x14ac:dyDescent="0.35">
      <c r="A165" s="13" t="str">
        <f>IF(Connaissements!$A166="","",Connaissements!$A166)</f>
        <v/>
      </c>
      <c r="B165" s="13" t="str">
        <f>IF($A165="","",Connaissements!$B166)</f>
        <v/>
      </c>
      <c r="C165" s="13" t="str">
        <f>IF($A165="","",Connaissements!$G166)</f>
        <v/>
      </c>
      <c r="D165" s="13" t="str">
        <f>IF($A165="","",IFERROR(IF(INDEX(Bookings!$D$3:$D$202,MATCH($B165,Bookings!$A$3:$A$202,0))="","",INDEX(Bookings!$D$3:$D$202,MATCH($B165,Bookings!$A$3:$A$202,0))),""))</f>
        <v/>
      </c>
      <c r="E165" s="14" t="str">
        <f>IF($A165="","",IFERROR(IF(INDEX(Bookings!$G$3:$G$202,MATCH($B165,Bookings!$A$3:$A$202,0))="","",INDEX(Bookings!$G$3:$G$202,MATCH($B165,Bookings!$A$3:$A$202,0))),""))</f>
        <v/>
      </c>
      <c r="F165" s="14" t="str">
        <f>IF($A165="","",IFERROR(IF(INDEX(Bookings!$H$3:$H$202,MATCH($B165,Bookings!$A$3:$A$202,0))="","",INDEX(Bookings!$H$3:$H$202,MATCH($B165,Bookings!$A$3:$A$202,0))),""))</f>
        <v/>
      </c>
      <c r="G165" s="13" t="str">
        <f>IF($A165="","",IF(Connaissements!$F166="","",Connaissements!$F166))</f>
        <v/>
      </c>
      <c r="H165" s="13" t="str">
        <f>IF($A165="","",Connaissements!$H166)</f>
        <v/>
      </c>
      <c r="I165" s="13" t="str">
        <f>IF($A165="","",COUNTIFS(Conteneurs!$B$3:$B$1002,$A165,Conteneurs!$M$3:$M$1002,"Embarqué"))</f>
        <v/>
      </c>
      <c r="J165" s="18" t="str">
        <f>IF($A165="","",Connaissements!$J166)</f>
        <v/>
      </c>
      <c r="K165" s="13" t="str">
        <f>IF($A165="","",COUNTIFS(Documents!$A$3:$A$1002,$A165))</f>
        <v/>
      </c>
      <c r="L165" s="13" t="str">
        <f>IF($A165="","",COUNTIFS(Documents!$A$3:$A$1002,$A165,Documents!$I$3:$I$1002,"Envoyé DHL"))</f>
        <v/>
      </c>
      <c r="M165" s="13" t="str">
        <f>IF($A165="","",COUNTIFS(Etapes!$A$5:$A$1504,$A165,Etapes!$F$5:$F$1504,"En retard"))</f>
        <v/>
      </c>
      <c r="N165" s="18" t="str">
        <f>IF($A165="","",SUMIFS(Couts_Transitaire!$I$3:$I$602,Couts_Transitaire!$B$3:$B$602,$A165))</f>
        <v/>
      </c>
      <c r="O165" s="13" t="str">
        <f>IF($A165="","",IF($M165&gt;0,"Étapes en retard",IF(Connaissements!$K166&lt;&gt;"OK","Contrôle BL à corriger",IF($H165=0,"Aucun conteneur saisi",IF($I165&lt;$H165,"Conteneurs non embarqués",IF($L165&lt;$K165,"Documents à finaliser",IF($N165&gt;0,"Coûts à payer","OK")))))))</f>
        <v/>
      </c>
    </row>
    <row r="166" spans="1:15" x14ac:dyDescent="0.35">
      <c r="A166" s="13" t="str">
        <f>IF(Connaissements!$A167="","",Connaissements!$A167)</f>
        <v/>
      </c>
      <c r="B166" s="13" t="str">
        <f>IF($A166="","",Connaissements!$B167)</f>
        <v/>
      </c>
      <c r="C166" s="13" t="str">
        <f>IF($A166="","",Connaissements!$G167)</f>
        <v/>
      </c>
      <c r="D166" s="13" t="str">
        <f>IF($A166="","",IFERROR(IF(INDEX(Bookings!$D$3:$D$202,MATCH($B166,Bookings!$A$3:$A$202,0))="","",INDEX(Bookings!$D$3:$D$202,MATCH($B166,Bookings!$A$3:$A$202,0))),""))</f>
        <v/>
      </c>
      <c r="E166" s="14" t="str">
        <f>IF($A166="","",IFERROR(IF(INDEX(Bookings!$G$3:$G$202,MATCH($B166,Bookings!$A$3:$A$202,0))="","",INDEX(Bookings!$G$3:$G$202,MATCH($B166,Bookings!$A$3:$A$202,0))),""))</f>
        <v/>
      </c>
      <c r="F166" s="14" t="str">
        <f>IF($A166="","",IFERROR(IF(INDEX(Bookings!$H$3:$H$202,MATCH($B166,Bookings!$A$3:$A$202,0))="","",INDEX(Bookings!$H$3:$H$202,MATCH($B166,Bookings!$A$3:$A$202,0))),""))</f>
        <v/>
      </c>
      <c r="G166" s="13" t="str">
        <f>IF($A166="","",IF(Connaissements!$F167="","",Connaissements!$F167))</f>
        <v/>
      </c>
      <c r="H166" s="13" t="str">
        <f>IF($A166="","",Connaissements!$H167)</f>
        <v/>
      </c>
      <c r="I166" s="13" t="str">
        <f>IF($A166="","",COUNTIFS(Conteneurs!$B$3:$B$1002,$A166,Conteneurs!$M$3:$M$1002,"Embarqué"))</f>
        <v/>
      </c>
      <c r="J166" s="18" t="str">
        <f>IF($A166="","",Connaissements!$J167)</f>
        <v/>
      </c>
      <c r="K166" s="13" t="str">
        <f>IF($A166="","",COUNTIFS(Documents!$A$3:$A$1002,$A166))</f>
        <v/>
      </c>
      <c r="L166" s="13" t="str">
        <f>IF($A166="","",COUNTIFS(Documents!$A$3:$A$1002,$A166,Documents!$I$3:$I$1002,"Envoyé DHL"))</f>
        <v/>
      </c>
      <c r="M166" s="13" t="str">
        <f>IF($A166="","",COUNTIFS(Etapes!$A$5:$A$1504,$A166,Etapes!$F$5:$F$1504,"En retard"))</f>
        <v/>
      </c>
      <c r="N166" s="18" t="str">
        <f>IF($A166="","",SUMIFS(Couts_Transitaire!$I$3:$I$602,Couts_Transitaire!$B$3:$B$602,$A166))</f>
        <v/>
      </c>
      <c r="O166" s="13" t="str">
        <f>IF($A166="","",IF($M166&gt;0,"Étapes en retard",IF(Connaissements!$K167&lt;&gt;"OK","Contrôle BL à corriger",IF($H166=0,"Aucun conteneur saisi",IF($I166&lt;$H166,"Conteneurs non embarqués",IF($L166&lt;$K166,"Documents à finaliser",IF($N166&gt;0,"Coûts à payer","OK")))))))</f>
        <v/>
      </c>
    </row>
    <row r="167" spans="1:15" x14ac:dyDescent="0.35">
      <c r="A167" s="13" t="str">
        <f>IF(Connaissements!$A168="","",Connaissements!$A168)</f>
        <v/>
      </c>
      <c r="B167" s="13" t="str">
        <f>IF($A167="","",Connaissements!$B168)</f>
        <v/>
      </c>
      <c r="C167" s="13" t="str">
        <f>IF($A167="","",Connaissements!$G168)</f>
        <v/>
      </c>
      <c r="D167" s="13" t="str">
        <f>IF($A167="","",IFERROR(IF(INDEX(Bookings!$D$3:$D$202,MATCH($B167,Bookings!$A$3:$A$202,0))="","",INDEX(Bookings!$D$3:$D$202,MATCH($B167,Bookings!$A$3:$A$202,0))),""))</f>
        <v/>
      </c>
      <c r="E167" s="14" t="str">
        <f>IF($A167="","",IFERROR(IF(INDEX(Bookings!$G$3:$G$202,MATCH($B167,Bookings!$A$3:$A$202,0))="","",INDEX(Bookings!$G$3:$G$202,MATCH($B167,Bookings!$A$3:$A$202,0))),""))</f>
        <v/>
      </c>
      <c r="F167" s="14" t="str">
        <f>IF($A167="","",IFERROR(IF(INDEX(Bookings!$H$3:$H$202,MATCH($B167,Bookings!$A$3:$A$202,0))="","",INDEX(Bookings!$H$3:$H$202,MATCH($B167,Bookings!$A$3:$A$202,0))),""))</f>
        <v/>
      </c>
      <c r="G167" s="13" t="str">
        <f>IF($A167="","",IF(Connaissements!$F168="","",Connaissements!$F168))</f>
        <v/>
      </c>
      <c r="H167" s="13" t="str">
        <f>IF($A167="","",Connaissements!$H168)</f>
        <v/>
      </c>
      <c r="I167" s="13" t="str">
        <f>IF($A167="","",COUNTIFS(Conteneurs!$B$3:$B$1002,$A167,Conteneurs!$M$3:$M$1002,"Embarqué"))</f>
        <v/>
      </c>
      <c r="J167" s="18" t="str">
        <f>IF($A167="","",Connaissements!$J168)</f>
        <v/>
      </c>
      <c r="K167" s="13" t="str">
        <f>IF($A167="","",COUNTIFS(Documents!$A$3:$A$1002,$A167))</f>
        <v/>
      </c>
      <c r="L167" s="13" t="str">
        <f>IF($A167="","",COUNTIFS(Documents!$A$3:$A$1002,$A167,Documents!$I$3:$I$1002,"Envoyé DHL"))</f>
        <v/>
      </c>
      <c r="M167" s="13" t="str">
        <f>IF($A167="","",COUNTIFS(Etapes!$A$5:$A$1504,$A167,Etapes!$F$5:$F$1504,"En retard"))</f>
        <v/>
      </c>
      <c r="N167" s="18" t="str">
        <f>IF($A167="","",SUMIFS(Couts_Transitaire!$I$3:$I$602,Couts_Transitaire!$B$3:$B$602,$A167))</f>
        <v/>
      </c>
      <c r="O167" s="13" t="str">
        <f>IF($A167="","",IF($M167&gt;0,"Étapes en retard",IF(Connaissements!$K168&lt;&gt;"OK","Contrôle BL à corriger",IF($H167=0,"Aucun conteneur saisi",IF($I167&lt;$H167,"Conteneurs non embarqués",IF($L167&lt;$K167,"Documents à finaliser",IF($N167&gt;0,"Coûts à payer","OK")))))))</f>
        <v/>
      </c>
    </row>
    <row r="168" spans="1:15" x14ac:dyDescent="0.35">
      <c r="A168" s="13" t="str">
        <f>IF(Connaissements!$A169="","",Connaissements!$A169)</f>
        <v/>
      </c>
      <c r="B168" s="13" t="str">
        <f>IF($A168="","",Connaissements!$B169)</f>
        <v/>
      </c>
      <c r="C168" s="13" t="str">
        <f>IF($A168="","",Connaissements!$G169)</f>
        <v/>
      </c>
      <c r="D168" s="13" t="str">
        <f>IF($A168="","",IFERROR(IF(INDEX(Bookings!$D$3:$D$202,MATCH($B168,Bookings!$A$3:$A$202,0))="","",INDEX(Bookings!$D$3:$D$202,MATCH($B168,Bookings!$A$3:$A$202,0))),""))</f>
        <v/>
      </c>
      <c r="E168" s="14" t="str">
        <f>IF($A168="","",IFERROR(IF(INDEX(Bookings!$G$3:$G$202,MATCH($B168,Bookings!$A$3:$A$202,0))="","",INDEX(Bookings!$G$3:$G$202,MATCH($B168,Bookings!$A$3:$A$202,0))),""))</f>
        <v/>
      </c>
      <c r="F168" s="14" t="str">
        <f>IF($A168="","",IFERROR(IF(INDEX(Bookings!$H$3:$H$202,MATCH($B168,Bookings!$A$3:$A$202,0))="","",INDEX(Bookings!$H$3:$H$202,MATCH($B168,Bookings!$A$3:$A$202,0))),""))</f>
        <v/>
      </c>
      <c r="G168" s="13" t="str">
        <f>IF($A168="","",IF(Connaissements!$F169="","",Connaissements!$F169))</f>
        <v/>
      </c>
      <c r="H168" s="13" t="str">
        <f>IF($A168="","",Connaissements!$H169)</f>
        <v/>
      </c>
      <c r="I168" s="13" t="str">
        <f>IF($A168="","",COUNTIFS(Conteneurs!$B$3:$B$1002,$A168,Conteneurs!$M$3:$M$1002,"Embarqué"))</f>
        <v/>
      </c>
      <c r="J168" s="18" t="str">
        <f>IF($A168="","",Connaissements!$J169)</f>
        <v/>
      </c>
      <c r="K168" s="13" t="str">
        <f>IF($A168="","",COUNTIFS(Documents!$A$3:$A$1002,$A168))</f>
        <v/>
      </c>
      <c r="L168" s="13" t="str">
        <f>IF($A168="","",COUNTIFS(Documents!$A$3:$A$1002,$A168,Documents!$I$3:$I$1002,"Envoyé DHL"))</f>
        <v/>
      </c>
      <c r="M168" s="13" t="str">
        <f>IF($A168="","",COUNTIFS(Etapes!$A$5:$A$1504,$A168,Etapes!$F$5:$F$1504,"En retard"))</f>
        <v/>
      </c>
      <c r="N168" s="18" t="str">
        <f>IF($A168="","",SUMIFS(Couts_Transitaire!$I$3:$I$602,Couts_Transitaire!$B$3:$B$602,$A168))</f>
        <v/>
      </c>
      <c r="O168" s="13" t="str">
        <f>IF($A168="","",IF($M168&gt;0,"Étapes en retard",IF(Connaissements!$K169&lt;&gt;"OK","Contrôle BL à corriger",IF($H168=0,"Aucun conteneur saisi",IF($I168&lt;$H168,"Conteneurs non embarqués",IF($L168&lt;$K168,"Documents à finaliser",IF($N168&gt;0,"Coûts à payer","OK")))))))</f>
        <v/>
      </c>
    </row>
    <row r="169" spans="1:15" x14ac:dyDescent="0.35">
      <c r="A169" s="13" t="str">
        <f>IF(Connaissements!$A170="","",Connaissements!$A170)</f>
        <v/>
      </c>
      <c r="B169" s="13" t="str">
        <f>IF($A169="","",Connaissements!$B170)</f>
        <v/>
      </c>
      <c r="C169" s="13" t="str">
        <f>IF($A169="","",Connaissements!$G170)</f>
        <v/>
      </c>
      <c r="D169" s="13" t="str">
        <f>IF($A169="","",IFERROR(IF(INDEX(Bookings!$D$3:$D$202,MATCH($B169,Bookings!$A$3:$A$202,0))="","",INDEX(Bookings!$D$3:$D$202,MATCH($B169,Bookings!$A$3:$A$202,0))),""))</f>
        <v/>
      </c>
      <c r="E169" s="14" t="str">
        <f>IF($A169="","",IFERROR(IF(INDEX(Bookings!$G$3:$G$202,MATCH($B169,Bookings!$A$3:$A$202,0))="","",INDEX(Bookings!$G$3:$G$202,MATCH($B169,Bookings!$A$3:$A$202,0))),""))</f>
        <v/>
      </c>
      <c r="F169" s="14" t="str">
        <f>IF($A169="","",IFERROR(IF(INDEX(Bookings!$H$3:$H$202,MATCH($B169,Bookings!$A$3:$A$202,0))="","",INDEX(Bookings!$H$3:$H$202,MATCH($B169,Bookings!$A$3:$A$202,0))),""))</f>
        <v/>
      </c>
      <c r="G169" s="13" t="str">
        <f>IF($A169="","",IF(Connaissements!$F170="","",Connaissements!$F170))</f>
        <v/>
      </c>
      <c r="H169" s="13" t="str">
        <f>IF($A169="","",Connaissements!$H170)</f>
        <v/>
      </c>
      <c r="I169" s="13" t="str">
        <f>IF($A169="","",COUNTIFS(Conteneurs!$B$3:$B$1002,$A169,Conteneurs!$M$3:$M$1002,"Embarqué"))</f>
        <v/>
      </c>
      <c r="J169" s="18" t="str">
        <f>IF($A169="","",Connaissements!$J170)</f>
        <v/>
      </c>
      <c r="K169" s="13" t="str">
        <f>IF($A169="","",COUNTIFS(Documents!$A$3:$A$1002,$A169))</f>
        <v/>
      </c>
      <c r="L169" s="13" t="str">
        <f>IF($A169="","",COUNTIFS(Documents!$A$3:$A$1002,$A169,Documents!$I$3:$I$1002,"Envoyé DHL"))</f>
        <v/>
      </c>
      <c r="M169" s="13" t="str">
        <f>IF($A169="","",COUNTIFS(Etapes!$A$5:$A$1504,$A169,Etapes!$F$5:$F$1504,"En retard"))</f>
        <v/>
      </c>
      <c r="N169" s="18" t="str">
        <f>IF($A169="","",SUMIFS(Couts_Transitaire!$I$3:$I$602,Couts_Transitaire!$B$3:$B$602,$A169))</f>
        <v/>
      </c>
      <c r="O169" s="13" t="str">
        <f>IF($A169="","",IF($M169&gt;0,"Étapes en retard",IF(Connaissements!$K170&lt;&gt;"OK","Contrôle BL à corriger",IF($H169=0,"Aucun conteneur saisi",IF($I169&lt;$H169,"Conteneurs non embarqués",IF($L169&lt;$K169,"Documents à finaliser",IF($N169&gt;0,"Coûts à payer","OK")))))))</f>
        <v/>
      </c>
    </row>
    <row r="170" spans="1:15" x14ac:dyDescent="0.35">
      <c r="A170" s="13" t="str">
        <f>IF(Connaissements!$A171="","",Connaissements!$A171)</f>
        <v/>
      </c>
      <c r="B170" s="13" t="str">
        <f>IF($A170="","",Connaissements!$B171)</f>
        <v/>
      </c>
      <c r="C170" s="13" t="str">
        <f>IF($A170="","",Connaissements!$G171)</f>
        <v/>
      </c>
      <c r="D170" s="13" t="str">
        <f>IF($A170="","",IFERROR(IF(INDEX(Bookings!$D$3:$D$202,MATCH($B170,Bookings!$A$3:$A$202,0))="","",INDEX(Bookings!$D$3:$D$202,MATCH($B170,Bookings!$A$3:$A$202,0))),""))</f>
        <v/>
      </c>
      <c r="E170" s="14" t="str">
        <f>IF($A170="","",IFERROR(IF(INDEX(Bookings!$G$3:$G$202,MATCH($B170,Bookings!$A$3:$A$202,0))="","",INDEX(Bookings!$G$3:$G$202,MATCH($B170,Bookings!$A$3:$A$202,0))),""))</f>
        <v/>
      </c>
      <c r="F170" s="14" t="str">
        <f>IF($A170="","",IFERROR(IF(INDEX(Bookings!$H$3:$H$202,MATCH($B170,Bookings!$A$3:$A$202,0))="","",INDEX(Bookings!$H$3:$H$202,MATCH($B170,Bookings!$A$3:$A$202,0))),""))</f>
        <v/>
      </c>
      <c r="G170" s="13" t="str">
        <f>IF($A170="","",IF(Connaissements!$F171="","",Connaissements!$F171))</f>
        <v/>
      </c>
      <c r="H170" s="13" t="str">
        <f>IF($A170="","",Connaissements!$H171)</f>
        <v/>
      </c>
      <c r="I170" s="13" t="str">
        <f>IF($A170="","",COUNTIFS(Conteneurs!$B$3:$B$1002,$A170,Conteneurs!$M$3:$M$1002,"Embarqué"))</f>
        <v/>
      </c>
      <c r="J170" s="18" t="str">
        <f>IF($A170="","",Connaissements!$J171)</f>
        <v/>
      </c>
      <c r="K170" s="13" t="str">
        <f>IF($A170="","",COUNTIFS(Documents!$A$3:$A$1002,$A170))</f>
        <v/>
      </c>
      <c r="L170" s="13" t="str">
        <f>IF($A170="","",COUNTIFS(Documents!$A$3:$A$1002,$A170,Documents!$I$3:$I$1002,"Envoyé DHL"))</f>
        <v/>
      </c>
      <c r="M170" s="13" t="str">
        <f>IF($A170="","",COUNTIFS(Etapes!$A$5:$A$1504,$A170,Etapes!$F$5:$F$1504,"En retard"))</f>
        <v/>
      </c>
      <c r="N170" s="18" t="str">
        <f>IF($A170="","",SUMIFS(Couts_Transitaire!$I$3:$I$602,Couts_Transitaire!$B$3:$B$602,$A170))</f>
        <v/>
      </c>
      <c r="O170" s="13" t="str">
        <f>IF($A170="","",IF($M170&gt;0,"Étapes en retard",IF(Connaissements!$K171&lt;&gt;"OK","Contrôle BL à corriger",IF($H170=0,"Aucun conteneur saisi",IF($I170&lt;$H170,"Conteneurs non embarqués",IF($L170&lt;$K170,"Documents à finaliser",IF($N170&gt;0,"Coûts à payer","OK")))))))</f>
        <v/>
      </c>
    </row>
    <row r="171" spans="1:15" x14ac:dyDescent="0.35">
      <c r="A171" s="13" t="str">
        <f>IF(Connaissements!$A172="","",Connaissements!$A172)</f>
        <v/>
      </c>
      <c r="B171" s="13" t="str">
        <f>IF($A171="","",Connaissements!$B172)</f>
        <v/>
      </c>
      <c r="C171" s="13" t="str">
        <f>IF($A171="","",Connaissements!$G172)</f>
        <v/>
      </c>
      <c r="D171" s="13" t="str">
        <f>IF($A171="","",IFERROR(IF(INDEX(Bookings!$D$3:$D$202,MATCH($B171,Bookings!$A$3:$A$202,0))="","",INDEX(Bookings!$D$3:$D$202,MATCH($B171,Bookings!$A$3:$A$202,0))),""))</f>
        <v/>
      </c>
      <c r="E171" s="14" t="str">
        <f>IF($A171="","",IFERROR(IF(INDEX(Bookings!$G$3:$G$202,MATCH($B171,Bookings!$A$3:$A$202,0))="","",INDEX(Bookings!$G$3:$G$202,MATCH($B171,Bookings!$A$3:$A$202,0))),""))</f>
        <v/>
      </c>
      <c r="F171" s="14" t="str">
        <f>IF($A171="","",IFERROR(IF(INDEX(Bookings!$H$3:$H$202,MATCH($B171,Bookings!$A$3:$A$202,0))="","",INDEX(Bookings!$H$3:$H$202,MATCH($B171,Bookings!$A$3:$A$202,0))),""))</f>
        <v/>
      </c>
      <c r="G171" s="13" t="str">
        <f>IF($A171="","",IF(Connaissements!$F172="","",Connaissements!$F172))</f>
        <v/>
      </c>
      <c r="H171" s="13" t="str">
        <f>IF($A171="","",Connaissements!$H172)</f>
        <v/>
      </c>
      <c r="I171" s="13" t="str">
        <f>IF($A171="","",COUNTIFS(Conteneurs!$B$3:$B$1002,$A171,Conteneurs!$M$3:$M$1002,"Embarqué"))</f>
        <v/>
      </c>
      <c r="J171" s="18" t="str">
        <f>IF($A171="","",Connaissements!$J172)</f>
        <v/>
      </c>
      <c r="K171" s="13" t="str">
        <f>IF($A171="","",COUNTIFS(Documents!$A$3:$A$1002,$A171))</f>
        <v/>
      </c>
      <c r="L171" s="13" t="str">
        <f>IF($A171="","",COUNTIFS(Documents!$A$3:$A$1002,$A171,Documents!$I$3:$I$1002,"Envoyé DHL"))</f>
        <v/>
      </c>
      <c r="M171" s="13" t="str">
        <f>IF($A171="","",COUNTIFS(Etapes!$A$5:$A$1504,$A171,Etapes!$F$5:$F$1504,"En retard"))</f>
        <v/>
      </c>
      <c r="N171" s="18" t="str">
        <f>IF($A171="","",SUMIFS(Couts_Transitaire!$I$3:$I$602,Couts_Transitaire!$B$3:$B$602,$A171))</f>
        <v/>
      </c>
      <c r="O171" s="13" t="str">
        <f>IF($A171="","",IF($M171&gt;0,"Étapes en retard",IF(Connaissements!$K172&lt;&gt;"OK","Contrôle BL à corriger",IF($H171=0,"Aucun conteneur saisi",IF($I171&lt;$H171,"Conteneurs non embarqués",IF($L171&lt;$K171,"Documents à finaliser",IF($N171&gt;0,"Coûts à payer","OK")))))))</f>
        <v/>
      </c>
    </row>
    <row r="172" spans="1:15" x14ac:dyDescent="0.35">
      <c r="A172" s="13" t="str">
        <f>IF(Connaissements!$A173="","",Connaissements!$A173)</f>
        <v/>
      </c>
      <c r="B172" s="13" t="str">
        <f>IF($A172="","",Connaissements!$B173)</f>
        <v/>
      </c>
      <c r="C172" s="13" t="str">
        <f>IF($A172="","",Connaissements!$G173)</f>
        <v/>
      </c>
      <c r="D172" s="13" t="str">
        <f>IF($A172="","",IFERROR(IF(INDEX(Bookings!$D$3:$D$202,MATCH($B172,Bookings!$A$3:$A$202,0))="","",INDEX(Bookings!$D$3:$D$202,MATCH($B172,Bookings!$A$3:$A$202,0))),""))</f>
        <v/>
      </c>
      <c r="E172" s="14" t="str">
        <f>IF($A172="","",IFERROR(IF(INDEX(Bookings!$G$3:$G$202,MATCH($B172,Bookings!$A$3:$A$202,0))="","",INDEX(Bookings!$G$3:$G$202,MATCH($B172,Bookings!$A$3:$A$202,0))),""))</f>
        <v/>
      </c>
      <c r="F172" s="14" t="str">
        <f>IF($A172="","",IFERROR(IF(INDEX(Bookings!$H$3:$H$202,MATCH($B172,Bookings!$A$3:$A$202,0))="","",INDEX(Bookings!$H$3:$H$202,MATCH($B172,Bookings!$A$3:$A$202,0))),""))</f>
        <v/>
      </c>
      <c r="G172" s="13" t="str">
        <f>IF($A172="","",IF(Connaissements!$F173="","",Connaissements!$F173))</f>
        <v/>
      </c>
      <c r="H172" s="13" t="str">
        <f>IF($A172="","",Connaissements!$H173)</f>
        <v/>
      </c>
      <c r="I172" s="13" t="str">
        <f>IF($A172="","",COUNTIFS(Conteneurs!$B$3:$B$1002,$A172,Conteneurs!$M$3:$M$1002,"Embarqué"))</f>
        <v/>
      </c>
      <c r="J172" s="18" t="str">
        <f>IF($A172="","",Connaissements!$J173)</f>
        <v/>
      </c>
      <c r="K172" s="13" t="str">
        <f>IF($A172="","",COUNTIFS(Documents!$A$3:$A$1002,$A172))</f>
        <v/>
      </c>
      <c r="L172" s="13" t="str">
        <f>IF($A172="","",COUNTIFS(Documents!$A$3:$A$1002,$A172,Documents!$I$3:$I$1002,"Envoyé DHL"))</f>
        <v/>
      </c>
      <c r="M172" s="13" t="str">
        <f>IF($A172="","",COUNTIFS(Etapes!$A$5:$A$1504,$A172,Etapes!$F$5:$F$1504,"En retard"))</f>
        <v/>
      </c>
      <c r="N172" s="18" t="str">
        <f>IF($A172="","",SUMIFS(Couts_Transitaire!$I$3:$I$602,Couts_Transitaire!$B$3:$B$602,$A172))</f>
        <v/>
      </c>
      <c r="O172" s="13" t="str">
        <f>IF($A172="","",IF($M172&gt;0,"Étapes en retard",IF(Connaissements!$K173&lt;&gt;"OK","Contrôle BL à corriger",IF($H172=0,"Aucun conteneur saisi",IF($I172&lt;$H172,"Conteneurs non embarqués",IF($L172&lt;$K172,"Documents à finaliser",IF($N172&gt;0,"Coûts à payer","OK")))))))</f>
        <v/>
      </c>
    </row>
    <row r="173" spans="1:15" x14ac:dyDescent="0.35">
      <c r="A173" s="13" t="str">
        <f>IF(Connaissements!$A174="","",Connaissements!$A174)</f>
        <v/>
      </c>
      <c r="B173" s="13" t="str">
        <f>IF($A173="","",Connaissements!$B174)</f>
        <v/>
      </c>
      <c r="C173" s="13" t="str">
        <f>IF($A173="","",Connaissements!$G174)</f>
        <v/>
      </c>
      <c r="D173" s="13" t="str">
        <f>IF($A173="","",IFERROR(IF(INDEX(Bookings!$D$3:$D$202,MATCH($B173,Bookings!$A$3:$A$202,0))="","",INDEX(Bookings!$D$3:$D$202,MATCH($B173,Bookings!$A$3:$A$202,0))),""))</f>
        <v/>
      </c>
      <c r="E173" s="14" t="str">
        <f>IF($A173="","",IFERROR(IF(INDEX(Bookings!$G$3:$G$202,MATCH($B173,Bookings!$A$3:$A$202,0))="","",INDEX(Bookings!$G$3:$G$202,MATCH($B173,Bookings!$A$3:$A$202,0))),""))</f>
        <v/>
      </c>
      <c r="F173" s="14" t="str">
        <f>IF($A173="","",IFERROR(IF(INDEX(Bookings!$H$3:$H$202,MATCH($B173,Bookings!$A$3:$A$202,0))="","",INDEX(Bookings!$H$3:$H$202,MATCH($B173,Bookings!$A$3:$A$202,0))),""))</f>
        <v/>
      </c>
      <c r="G173" s="13" t="str">
        <f>IF($A173="","",IF(Connaissements!$F174="","",Connaissements!$F174))</f>
        <v/>
      </c>
      <c r="H173" s="13" t="str">
        <f>IF($A173="","",Connaissements!$H174)</f>
        <v/>
      </c>
      <c r="I173" s="13" t="str">
        <f>IF($A173="","",COUNTIFS(Conteneurs!$B$3:$B$1002,$A173,Conteneurs!$M$3:$M$1002,"Embarqué"))</f>
        <v/>
      </c>
      <c r="J173" s="18" t="str">
        <f>IF($A173="","",Connaissements!$J174)</f>
        <v/>
      </c>
      <c r="K173" s="13" t="str">
        <f>IF($A173="","",COUNTIFS(Documents!$A$3:$A$1002,$A173))</f>
        <v/>
      </c>
      <c r="L173" s="13" t="str">
        <f>IF($A173="","",COUNTIFS(Documents!$A$3:$A$1002,$A173,Documents!$I$3:$I$1002,"Envoyé DHL"))</f>
        <v/>
      </c>
      <c r="M173" s="13" t="str">
        <f>IF($A173="","",COUNTIFS(Etapes!$A$5:$A$1504,$A173,Etapes!$F$5:$F$1504,"En retard"))</f>
        <v/>
      </c>
      <c r="N173" s="18" t="str">
        <f>IF($A173="","",SUMIFS(Couts_Transitaire!$I$3:$I$602,Couts_Transitaire!$B$3:$B$602,$A173))</f>
        <v/>
      </c>
      <c r="O173" s="13" t="str">
        <f>IF($A173="","",IF($M173&gt;0,"Étapes en retard",IF(Connaissements!$K174&lt;&gt;"OK","Contrôle BL à corriger",IF($H173=0,"Aucun conteneur saisi",IF($I173&lt;$H173,"Conteneurs non embarqués",IF($L173&lt;$K173,"Documents à finaliser",IF($N173&gt;0,"Coûts à payer","OK")))))))</f>
        <v/>
      </c>
    </row>
    <row r="174" spans="1:15" x14ac:dyDescent="0.35">
      <c r="A174" s="13" t="str">
        <f>IF(Connaissements!$A175="","",Connaissements!$A175)</f>
        <v/>
      </c>
      <c r="B174" s="13" t="str">
        <f>IF($A174="","",Connaissements!$B175)</f>
        <v/>
      </c>
      <c r="C174" s="13" t="str">
        <f>IF($A174="","",Connaissements!$G175)</f>
        <v/>
      </c>
      <c r="D174" s="13" t="str">
        <f>IF($A174="","",IFERROR(IF(INDEX(Bookings!$D$3:$D$202,MATCH($B174,Bookings!$A$3:$A$202,0))="","",INDEX(Bookings!$D$3:$D$202,MATCH($B174,Bookings!$A$3:$A$202,0))),""))</f>
        <v/>
      </c>
      <c r="E174" s="14" t="str">
        <f>IF($A174="","",IFERROR(IF(INDEX(Bookings!$G$3:$G$202,MATCH($B174,Bookings!$A$3:$A$202,0))="","",INDEX(Bookings!$G$3:$G$202,MATCH($B174,Bookings!$A$3:$A$202,0))),""))</f>
        <v/>
      </c>
      <c r="F174" s="14" t="str">
        <f>IF($A174="","",IFERROR(IF(INDEX(Bookings!$H$3:$H$202,MATCH($B174,Bookings!$A$3:$A$202,0))="","",INDEX(Bookings!$H$3:$H$202,MATCH($B174,Bookings!$A$3:$A$202,0))),""))</f>
        <v/>
      </c>
      <c r="G174" s="13" t="str">
        <f>IF($A174="","",IF(Connaissements!$F175="","",Connaissements!$F175))</f>
        <v/>
      </c>
      <c r="H174" s="13" t="str">
        <f>IF($A174="","",Connaissements!$H175)</f>
        <v/>
      </c>
      <c r="I174" s="13" t="str">
        <f>IF($A174="","",COUNTIFS(Conteneurs!$B$3:$B$1002,$A174,Conteneurs!$M$3:$M$1002,"Embarqué"))</f>
        <v/>
      </c>
      <c r="J174" s="18" t="str">
        <f>IF($A174="","",Connaissements!$J175)</f>
        <v/>
      </c>
      <c r="K174" s="13" t="str">
        <f>IF($A174="","",COUNTIFS(Documents!$A$3:$A$1002,$A174))</f>
        <v/>
      </c>
      <c r="L174" s="13" t="str">
        <f>IF($A174="","",COUNTIFS(Documents!$A$3:$A$1002,$A174,Documents!$I$3:$I$1002,"Envoyé DHL"))</f>
        <v/>
      </c>
      <c r="M174" s="13" t="str">
        <f>IF($A174="","",COUNTIFS(Etapes!$A$5:$A$1504,$A174,Etapes!$F$5:$F$1504,"En retard"))</f>
        <v/>
      </c>
      <c r="N174" s="18" t="str">
        <f>IF($A174="","",SUMIFS(Couts_Transitaire!$I$3:$I$602,Couts_Transitaire!$B$3:$B$602,$A174))</f>
        <v/>
      </c>
      <c r="O174" s="13" t="str">
        <f>IF($A174="","",IF($M174&gt;0,"Étapes en retard",IF(Connaissements!$K175&lt;&gt;"OK","Contrôle BL à corriger",IF($H174=0,"Aucun conteneur saisi",IF($I174&lt;$H174,"Conteneurs non embarqués",IF($L174&lt;$K174,"Documents à finaliser",IF($N174&gt;0,"Coûts à payer","OK")))))))</f>
        <v/>
      </c>
    </row>
    <row r="175" spans="1:15" x14ac:dyDescent="0.35">
      <c r="A175" s="13" t="str">
        <f>IF(Connaissements!$A176="","",Connaissements!$A176)</f>
        <v/>
      </c>
      <c r="B175" s="13" t="str">
        <f>IF($A175="","",Connaissements!$B176)</f>
        <v/>
      </c>
      <c r="C175" s="13" t="str">
        <f>IF($A175="","",Connaissements!$G176)</f>
        <v/>
      </c>
      <c r="D175" s="13" t="str">
        <f>IF($A175="","",IFERROR(IF(INDEX(Bookings!$D$3:$D$202,MATCH($B175,Bookings!$A$3:$A$202,0))="","",INDEX(Bookings!$D$3:$D$202,MATCH($B175,Bookings!$A$3:$A$202,0))),""))</f>
        <v/>
      </c>
      <c r="E175" s="14" t="str">
        <f>IF($A175="","",IFERROR(IF(INDEX(Bookings!$G$3:$G$202,MATCH($B175,Bookings!$A$3:$A$202,0))="","",INDEX(Bookings!$G$3:$G$202,MATCH($B175,Bookings!$A$3:$A$202,0))),""))</f>
        <v/>
      </c>
      <c r="F175" s="14" t="str">
        <f>IF($A175="","",IFERROR(IF(INDEX(Bookings!$H$3:$H$202,MATCH($B175,Bookings!$A$3:$A$202,0))="","",INDEX(Bookings!$H$3:$H$202,MATCH($B175,Bookings!$A$3:$A$202,0))),""))</f>
        <v/>
      </c>
      <c r="G175" s="13" t="str">
        <f>IF($A175="","",IF(Connaissements!$F176="","",Connaissements!$F176))</f>
        <v/>
      </c>
      <c r="H175" s="13" t="str">
        <f>IF($A175="","",Connaissements!$H176)</f>
        <v/>
      </c>
      <c r="I175" s="13" t="str">
        <f>IF($A175="","",COUNTIFS(Conteneurs!$B$3:$B$1002,$A175,Conteneurs!$M$3:$M$1002,"Embarqué"))</f>
        <v/>
      </c>
      <c r="J175" s="18" t="str">
        <f>IF($A175="","",Connaissements!$J176)</f>
        <v/>
      </c>
      <c r="K175" s="13" t="str">
        <f>IF($A175="","",COUNTIFS(Documents!$A$3:$A$1002,$A175))</f>
        <v/>
      </c>
      <c r="L175" s="13" t="str">
        <f>IF($A175="","",COUNTIFS(Documents!$A$3:$A$1002,$A175,Documents!$I$3:$I$1002,"Envoyé DHL"))</f>
        <v/>
      </c>
      <c r="M175" s="13" t="str">
        <f>IF($A175="","",COUNTIFS(Etapes!$A$5:$A$1504,$A175,Etapes!$F$5:$F$1504,"En retard"))</f>
        <v/>
      </c>
      <c r="N175" s="18" t="str">
        <f>IF($A175="","",SUMIFS(Couts_Transitaire!$I$3:$I$602,Couts_Transitaire!$B$3:$B$602,$A175))</f>
        <v/>
      </c>
      <c r="O175" s="13" t="str">
        <f>IF($A175="","",IF($M175&gt;0,"Étapes en retard",IF(Connaissements!$K176&lt;&gt;"OK","Contrôle BL à corriger",IF($H175=0,"Aucun conteneur saisi",IF($I175&lt;$H175,"Conteneurs non embarqués",IF($L175&lt;$K175,"Documents à finaliser",IF($N175&gt;0,"Coûts à payer","OK")))))))</f>
        <v/>
      </c>
    </row>
    <row r="176" spans="1:15" x14ac:dyDescent="0.35">
      <c r="A176" s="13" t="str">
        <f>IF(Connaissements!$A177="","",Connaissements!$A177)</f>
        <v/>
      </c>
      <c r="B176" s="13" t="str">
        <f>IF($A176="","",Connaissements!$B177)</f>
        <v/>
      </c>
      <c r="C176" s="13" t="str">
        <f>IF($A176="","",Connaissements!$G177)</f>
        <v/>
      </c>
      <c r="D176" s="13" t="str">
        <f>IF($A176="","",IFERROR(IF(INDEX(Bookings!$D$3:$D$202,MATCH($B176,Bookings!$A$3:$A$202,0))="","",INDEX(Bookings!$D$3:$D$202,MATCH($B176,Bookings!$A$3:$A$202,0))),""))</f>
        <v/>
      </c>
      <c r="E176" s="14" t="str">
        <f>IF($A176="","",IFERROR(IF(INDEX(Bookings!$G$3:$G$202,MATCH($B176,Bookings!$A$3:$A$202,0))="","",INDEX(Bookings!$G$3:$G$202,MATCH($B176,Bookings!$A$3:$A$202,0))),""))</f>
        <v/>
      </c>
      <c r="F176" s="14" t="str">
        <f>IF($A176="","",IFERROR(IF(INDEX(Bookings!$H$3:$H$202,MATCH($B176,Bookings!$A$3:$A$202,0))="","",INDEX(Bookings!$H$3:$H$202,MATCH($B176,Bookings!$A$3:$A$202,0))),""))</f>
        <v/>
      </c>
      <c r="G176" s="13" t="str">
        <f>IF($A176="","",IF(Connaissements!$F177="","",Connaissements!$F177))</f>
        <v/>
      </c>
      <c r="H176" s="13" t="str">
        <f>IF($A176="","",Connaissements!$H177)</f>
        <v/>
      </c>
      <c r="I176" s="13" t="str">
        <f>IF($A176="","",COUNTIFS(Conteneurs!$B$3:$B$1002,$A176,Conteneurs!$M$3:$M$1002,"Embarqué"))</f>
        <v/>
      </c>
      <c r="J176" s="18" t="str">
        <f>IF($A176="","",Connaissements!$J177)</f>
        <v/>
      </c>
      <c r="K176" s="13" t="str">
        <f>IF($A176="","",COUNTIFS(Documents!$A$3:$A$1002,$A176))</f>
        <v/>
      </c>
      <c r="L176" s="13" t="str">
        <f>IF($A176="","",COUNTIFS(Documents!$A$3:$A$1002,$A176,Documents!$I$3:$I$1002,"Envoyé DHL"))</f>
        <v/>
      </c>
      <c r="M176" s="13" t="str">
        <f>IF($A176="","",COUNTIFS(Etapes!$A$5:$A$1504,$A176,Etapes!$F$5:$F$1504,"En retard"))</f>
        <v/>
      </c>
      <c r="N176" s="18" t="str">
        <f>IF($A176="","",SUMIFS(Couts_Transitaire!$I$3:$I$602,Couts_Transitaire!$B$3:$B$602,$A176))</f>
        <v/>
      </c>
      <c r="O176" s="13" t="str">
        <f>IF($A176="","",IF($M176&gt;0,"Étapes en retard",IF(Connaissements!$K177&lt;&gt;"OK","Contrôle BL à corriger",IF($H176=0,"Aucun conteneur saisi",IF($I176&lt;$H176,"Conteneurs non embarqués",IF($L176&lt;$K176,"Documents à finaliser",IF($N176&gt;0,"Coûts à payer","OK")))))))</f>
        <v/>
      </c>
    </row>
    <row r="177" spans="1:15" x14ac:dyDescent="0.35">
      <c r="A177" s="13" t="str">
        <f>IF(Connaissements!$A178="","",Connaissements!$A178)</f>
        <v/>
      </c>
      <c r="B177" s="13" t="str">
        <f>IF($A177="","",Connaissements!$B178)</f>
        <v/>
      </c>
      <c r="C177" s="13" t="str">
        <f>IF($A177="","",Connaissements!$G178)</f>
        <v/>
      </c>
      <c r="D177" s="13" t="str">
        <f>IF($A177="","",IFERROR(IF(INDEX(Bookings!$D$3:$D$202,MATCH($B177,Bookings!$A$3:$A$202,0))="","",INDEX(Bookings!$D$3:$D$202,MATCH($B177,Bookings!$A$3:$A$202,0))),""))</f>
        <v/>
      </c>
      <c r="E177" s="14" t="str">
        <f>IF($A177="","",IFERROR(IF(INDEX(Bookings!$G$3:$G$202,MATCH($B177,Bookings!$A$3:$A$202,0))="","",INDEX(Bookings!$G$3:$G$202,MATCH($B177,Bookings!$A$3:$A$202,0))),""))</f>
        <v/>
      </c>
      <c r="F177" s="14" t="str">
        <f>IF($A177="","",IFERROR(IF(INDEX(Bookings!$H$3:$H$202,MATCH($B177,Bookings!$A$3:$A$202,0))="","",INDEX(Bookings!$H$3:$H$202,MATCH($B177,Bookings!$A$3:$A$202,0))),""))</f>
        <v/>
      </c>
      <c r="G177" s="13" t="str">
        <f>IF($A177="","",IF(Connaissements!$F178="","",Connaissements!$F178))</f>
        <v/>
      </c>
      <c r="H177" s="13" t="str">
        <f>IF($A177="","",Connaissements!$H178)</f>
        <v/>
      </c>
      <c r="I177" s="13" t="str">
        <f>IF($A177="","",COUNTIFS(Conteneurs!$B$3:$B$1002,$A177,Conteneurs!$M$3:$M$1002,"Embarqué"))</f>
        <v/>
      </c>
      <c r="J177" s="18" t="str">
        <f>IF($A177="","",Connaissements!$J178)</f>
        <v/>
      </c>
      <c r="K177" s="13" t="str">
        <f>IF($A177="","",COUNTIFS(Documents!$A$3:$A$1002,$A177))</f>
        <v/>
      </c>
      <c r="L177" s="13" t="str">
        <f>IF($A177="","",COUNTIFS(Documents!$A$3:$A$1002,$A177,Documents!$I$3:$I$1002,"Envoyé DHL"))</f>
        <v/>
      </c>
      <c r="M177" s="13" t="str">
        <f>IF($A177="","",COUNTIFS(Etapes!$A$5:$A$1504,$A177,Etapes!$F$5:$F$1504,"En retard"))</f>
        <v/>
      </c>
      <c r="N177" s="18" t="str">
        <f>IF($A177="","",SUMIFS(Couts_Transitaire!$I$3:$I$602,Couts_Transitaire!$B$3:$B$602,$A177))</f>
        <v/>
      </c>
      <c r="O177" s="13" t="str">
        <f>IF($A177="","",IF($M177&gt;0,"Étapes en retard",IF(Connaissements!$K178&lt;&gt;"OK","Contrôle BL à corriger",IF($H177=0,"Aucun conteneur saisi",IF($I177&lt;$H177,"Conteneurs non embarqués",IF($L177&lt;$K177,"Documents à finaliser",IF($N177&gt;0,"Coûts à payer","OK")))))))</f>
        <v/>
      </c>
    </row>
    <row r="178" spans="1:15" x14ac:dyDescent="0.35">
      <c r="A178" s="13" t="str">
        <f>IF(Connaissements!$A179="","",Connaissements!$A179)</f>
        <v/>
      </c>
      <c r="B178" s="13" t="str">
        <f>IF($A178="","",Connaissements!$B179)</f>
        <v/>
      </c>
      <c r="C178" s="13" t="str">
        <f>IF($A178="","",Connaissements!$G179)</f>
        <v/>
      </c>
      <c r="D178" s="13" t="str">
        <f>IF($A178="","",IFERROR(IF(INDEX(Bookings!$D$3:$D$202,MATCH($B178,Bookings!$A$3:$A$202,0))="","",INDEX(Bookings!$D$3:$D$202,MATCH($B178,Bookings!$A$3:$A$202,0))),""))</f>
        <v/>
      </c>
      <c r="E178" s="14" t="str">
        <f>IF($A178="","",IFERROR(IF(INDEX(Bookings!$G$3:$G$202,MATCH($B178,Bookings!$A$3:$A$202,0))="","",INDEX(Bookings!$G$3:$G$202,MATCH($B178,Bookings!$A$3:$A$202,0))),""))</f>
        <v/>
      </c>
      <c r="F178" s="14" t="str">
        <f>IF($A178="","",IFERROR(IF(INDEX(Bookings!$H$3:$H$202,MATCH($B178,Bookings!$A$3:$A$202,0))="","",INDEX(Bookings!$H$3:$H$202,MATCH($B178,Bookings!$A$3:$A$202,0))),""))</f>
        <v/>
      </c>
      <c r="G178" s="13" t="str">
        <f>IF($A178="","",IF(Connaissements!$F179="","",Connaissements!$F179))</f>
        <v/>
      </c>
      <c r="H178" s="13" t="str">
        <f>IF($A178="","",Connaissements!$H179)</f>
        <v/>
      </c>
      <c r="I178" s="13" t="str">
        <f>IF($A178="","",COUNTIFS(Conteneurs!$B$3:$B$1002,$A178,Conteneurs!$M$3:$M$1002,"Embarqué"))</f>
        <v/>
      </c>
      <c r="J178" s="18" t="str">
        <f>IF($A178="","",Connaissements!$J179)</f>
        <v/>
      </c>
      <c r="K178" s="13" t="str">
        <f>IF($A178="","",COUNTIFS(Documents!$A$3:$A$1002,$A178))</f>
        <v/>
      </c>
      <c r="L178" s="13" t="str">
        <f>IF($A178="","",COUNTIFS(Documents!$A$3:$A$1002,$A178,Documents!$I$3:$I$1002,"Envoyé DHL"))</f>
        <v/>
      </c>
      <c r="M178" s="13" t="str">
        <f>IF($A178="","",COUNTIFS(Etapes!$A$5:$A$1504,$A178,Etapes!$F$5:$F$1504,"En retard"))</f>
        <v/>
      </c>
      <c r="N178" s="18" t="str">
        <f>IF($A178="","",SUMIFS(Couts_Transitaire!$I$3:$I$602,Couts_Transitaire!$B$3:$B$602,$A178))</f>
        <v/>
      </c>
      <c r="O178" s="13" t="str">
        <f>IF($A178="","",IF($M178&gt;0,"Étapes en retard",IF(Connaissements!$K179&lt;&gt;"OK","Contrôle BL à corriger",IF($H178=0,"Aucun conteneur saisi",IF($I178&lt;$H178,"Conteneurs non embarqués",IF($L178&lt;$K178,"Documents à finaliser",IF($N178&gt;0,"Coûts à payer","OK")))))))</f>
        <v/>
      </c>
    </row>
    <row r="179" spans="1:15" x14ac:dyDescent="0.35">
      <c r="A179" s="13" t="str">
        <f>IF(Connaissements!$A180="","",Connaissements!$A180)</f>
        <v/>
      </c>
      <c r="B179" s="13" t="str">
        <f>IF($A179="","",Connaissements!$B180)</f>
        <v/>
      </c>
      <c r="C179" s="13" t="str">
        <f>IF($A179="","",Connaissements!$G180)</f>
        <v/>
      </c>
      <c r="D179" s="13" t="str">
        <f>IF($A179="","",IFERROR(IF(INDEX(Bookings!$D$3:$D$202,MATCH($B179,Bookings!$A$3:$A$202,0))="","",INDEX(Bookings!$D$3:$D$202,MATCH($B179,Bookings!$A$3:$A$202,0))),""))</f>
        <v/>
      </c>
      <c r="E179" s="14" t="str">
        <f>IF($A179="","",IFERROR(IF(INDEX(Bookings!$G$3:$G$202,MATCH($B179,Bookings!$A$3:$A$202,0))="","",INDEX(Bookings!$G$3:$G$202,MATCH($B179,Bookings!$A$3:$A$202,0))),""))</f>
        <v/>
      </c>
      <c r="F179" s="14" t="str">
        <f>IF($A179="","",IFERROR(IF(INDEX(Bookings!$H$3:$H$202,MATCH($B179,Bookings!$A$3:$A$202,0))="","",INDEX(Bookings!$H$3:$H$202,MATCH($B179,Bookings!$A$3:$A$202,0))),""))</f>
        <v/>
      </c>
      <c r="G179" s="13" t="str">
        <f>IF($A179="","",IF(Connaissements!$F180="","",Connaissements!$F180))</f>
        <v/>
      </c>
      <c r="H179" s="13" t="str">
        <f>IF($A179="","",Connaissements!$H180)</f>
        <v/>
      </c>
      <c r="I179" s="13" t="str">
        <f>IF($A179="","",COUNTIFS(Conteneurs!$B$3:$B$1002,$A179,Conteneurs!$M$3:$M$1002,"Embarqué"))</f>
        <v/>
      </c>
      <c r="J179" s="18" t="str">
        <f>IF($A179="","",Connaissements!$J180)</f>
        <v/>
      </c>
      <c r="K179" s="13" t="str">
        <f>IF($A179="","",COUNTIFS(Documents!$A$3:$A$1002,$A179))</f>
        <v/>
      </c>
      <c r="L179" s="13" t="str">
        <f>IF($A179="","",COUNTIFS(Documents!$A$3:$A$1002,$A179,Documents!$I$3:$I$1002,"Envoyé DHL"))</f>
        <v/>
      </c>
      <c r="M179" s="13" t="str">
        <f>IF($A179="","",COUNTIFS(Etapes!$A$5:$A$1504,$A179,Etapes!$F$5:$F$1504,"En retard"))</f>
        <v/>
      </c>
      <c r="N179" s="18" t="str">
        <f>IF($A179="","",SUMIFS(Couts_Transitaire!$I$3:$I$602,Couts_Transitaire!$B$3:$B$602,$A179))</f>
        <v/>
      </c>
      <c r="O179" s="13" t="str">
        <f>IF($A179="","",IF($M179&gt;0,"Étapes en retard",IF(Connaissements!$K180&lt;&gt;"OK","Contrôle BL à corriger",IF($H179=0,"Aucun conteneur saisi",IF($I179&lt;$H179,"Conteneurs non embarqués",IF($L179&lt;$K179,"Documents à finaliser",IF($N179&gt;0,"Coûts à payer","OK")))))))</f>
        <v/>
      </c>
    </row>
    <row r="180" spans="1:15" x14ac:dyDescent="0.35">
      <c r="A180" s="13" t="str">
        <f>IF(Connaissements!$A181="","",Connaissements!$A181)</f>
        <v/>
      </c>
      <c r="B180" s="13" t="str">
        <f>IF($A180="","",Connaissements!$B181)</f>
        <v/>
      </c>
      <c r="C180" s="13" t="str">
        <f>IF($A180="","",Connaissements!$G181)</f>
        <v/>
      </c>
      <c r="D180" s="13" t="str">
        <f>IF($A180="","",IFERROR(IF(INDEX(Bookings!$D$3:$D$202,MATCH($B180,Bookings!$A$3:$A$202,0))="","",INDEX(Bookings!$D$3:$D$202,MATCH($B180,Bookings!$A$3:$A$202,0))),""))</f>
        <v/>
      </c>
      <c r="E180" s="14" t="str">
        <f>IF($A180="","",IFERROR(IF(INDEX(Bookings!$G$3:$G$202,MATCH($B180,Bookings!$A$3:$A$202,0))="","",INDEX(Bookings!$G$3:$G$202,MATCH($B180,Bookings!$A$3:$A$202,0))),""))</f>
        <v/>
      </c>
      <c r="F180" s="14" t="str">
        <f>IF($A180="","",IFERROR(IF(INDEX(Bookings!$H$3:$H$202,MATCH($B180,Bookings!$A$3:$A$202,0))="","",INDEX(Bookings!$H$3:$H$202,MATCH($B180,Bookings!$A$3:$A$202,0))),""))</f>
        <v/>
      </c>
      <c r="G180" s="13" t="str">
        <f>IF($A180="","",IF(Connaissements!$F181="","",Connaissements!$F181))</f>
        <v/>
      </c>
      <c r="H180" s="13" t="str">
        <f>IF($A180="","",Connaissements!$H181)</f>
        <v/>
      </c>
      <c r="I180" s="13" t="str">
        <f>IF($A180="","",COUNTIFS(Conteneurs!$B$3:$B$1002,$A180,Conteneurs!$M$3:$M$1002,"Embarqué"))</f>
        <v/>
      </c>
      <c r="J180" s="18" t="str">
        <f>IF($A180="","",Connaissements!$J181)</f>
        <v/>
      </c>
      <c r="K180" s="13" t="str">
        <f>IF($A180="","",COUNTIFS(Documents!$A$3:$A$1002,$A180))</f>
        <v/>
      </c>
      <c r="L180" s="13" t="str">
        <f>IF($A180="","",COUNTIFS(Documents!$A$3:$A$1002,$A180,Documents!$I$3:$I$1002,"Envoyé DHL"))</f>
        <v/>
      </c>
      <c r="M180" s="13" t="str">
        <f>IF($A180="","",COUNTIFS(Etapes!$A$5:$A$1504,$A180,Etapes!$F$5:$F$1504,"En retard"))</f>
        <v/>
      </c>
      <c r="N180" s="18" t="str">
        <f>IF($A180="","",SUMIFS(Couts_Transitaire!$I$3:$I$602,Couts_Transitaire!$B$3:$B$602,$A180))</f>
        <v/>
      </c>
      <c r="O180" s="13" t="str">
        <f>IF($A180="","",IF($M180&gt;0,"Étapes en retard",IF(Connaissements!$K181&lt;&gt;"OK","Contrôle BL à corriger",IF($H180=0,"Aucun conteneur saisi",IF($I180&lt;$H180,"Conteneurs non embarqués",IF($L180&lt;$K180,"Documents à finaliser",IF($N180&gt;0,"Coûts à payer","OK")))))))</f>
        <v/>
      </c>
    </row>
    <row r="181" spans="1:15" x14ac:dyDescent="0.35">
      <c r="A181" s="13" t="str">
        <f>IF(Connaissements!$A182="","",Connaissements!$A182)</f>
        <v/>
      </c>
      <c r="B181" s="13" t="str">
        <f>IF($A181="","",Connaissements!$B182)</f>
        <v/>
      </c>
      <c r="C181" s="13" t="str">
        <f>IF($A181="","",Connaissements!$G182)</f>
        <v/>
      </c>
      <c r="D181" s="13" t="str">
        <f>IF($A181="","",IFERROR(IF(INDEX(Bookings!$D$3:$D$202,MATCH($B181,Bookings!$A$3:$A$202,0))="","",INDEX(Bookings!$D$3:$D$202,MATCH($B181,Bookings!$A$3:$A$202,0))),""))</f>
        <v/>
      </c>
      <c r="E181" s="14" t="str">
        <f>IF($A181="","",IFERROR(IF(INDEX(Bookings!$G$3:$G$202,MATCH($B181,Bookings!$A$3:$A$202,0))="","",INDEX(Bookings!$G$3:$G$202,MATCH($B181,Bookings!$A$3:$A$202,0))),""))</f>
        <v/>
      </c>
      <c r="F181" s="14" t="str">
        <f>IF($A181="","",IFERROR(IF(INDEX(Bookings!$H$3:$H$202,MATCH($B181,Bookings!$A$3:$A$202,0))="","",INDEX(Bookings!$H$3:$H$202,MATCH($B181,Bookings!$A$3:$A$202,0))),""))</f>
        <v/>
      </c>
      <c r="G181" s="13" t="str">
        <f>IF($A181="","",IF(Connaissements!$F182="","",Connaissements!$F182))</f>
        <v/>
      </c>
      <c r="H181" s="13" t="str">
        <f>IF($A181="","",Connaissements!$H182)</f>
        <v/>
      </c>
      <c r="I181" s="13" t="str">
        <f>IF($A181="","",COUNTIFS(Conteneurs!$B$3:$B$1002,$A181,Conteneurs!$M$3:$M$1002,"Embarqué"))</f>
        <v/>
      </c>
      <c r="J181" s="18" t="str">
        <f>IF($A181="","",Connaissements!$J182)</f>
        <v/>
      </c>
      <c r="K181" s="13" t="str">
        <f>IF($A181="","",COUNTIFS(Documents!$A$3:$A$1002,$A181))</f>
        <v/>
      </c>
      <c r="L181" s="13" t="str">
        <f>IF($A181="","",COUNTIFS(Documents!$A$3:$A$1002,$A181,Documents!$I$3:$I$1002,"Envoyé DHL"))</f>
        <v/>
      </c>
      <c r="M181" s="13" t="str">
        <f>IF($A181="","",COUNTIFS(Etapes!$A$5:$A$1504,$A181,Etapes!$F$5:$F$1504,"En retard"))</f>
        <v/>
      </c>
      <c r="N181" s="18" t="str">
        <f>IF($A181="","",SUMIFS(Couts_Transitaire!$I$3:$I$602,Couts_Transitaire!$B$3:$B$602,$A181))</f>
        <v/>
      </c>
      <c r="O181" s="13" t="str">
        <f>IF($A181="","",IF($M181&gt;0,"Étapes en retard",IF(Connaissements!$K182&lt;&gt;"OK","Contrôle BL à corriger",IF($H181=0,"Aucun conteneur saisi",IF($I181&lt;$H181,"Conteneurs non embarqués",IF($L181&lt;$K181,"Documents à finaliser",IF($N181&gt;0,"Coûts à payer","OK")))))))</f>
        <v/>
      </c>
    </row>
    <row r="182" spans="1:15" x14ac:dyDescent="0.35">
      <c r="A182" s="13" t="str">
        <f>IF(Connaissements!$A183="","",Connaissements!$A183)</f>
        <v/>
      </c>
      <c r="B182" s="13" t="str">
        <f>IF($A182="","",Connaissements!$B183)</f>
        <v/>
      </c>
      <c r="C182" s="13" t="str">
        <f>IF($A182="","",Connaissements!$G183)</f>
        <v/>
      </c>
      <c r="D182" s="13" t="str">
        <f>IF($A182="","",IFERROR(IF(INDEX(Bookings!$D$3:$D$202,MATCH($B182,Bookings!$A$3:$A$202,0))="","",INDEX(Bookings!$D$3:$D$202,MATCH($B182,Bookings!$A$3:$A$202,0))),""))</f>
        <v/>
      </c>
      <c r="E182" s="14" t="str">
        <f>IF($A182="","",IFERROR(IF(INDEX(Bookings!$G$3:$G$202,MATCH($B182,Bookings!$A$3:$A$202,0))="","",INDEX(Bookings!$G$3:$G$202,MATCH($B182,Bookings!$A$3:$A$202,0))),""))</f>
        <v/>
      </c>
      <c r="F182" s="14" t="str">
        <f>IF($A182="","",IFERROR(IF(INDEX(Bookings!$H$3:$H$202,MATCH($B182,Bookings!$A$3:$A$202,0))="","",INDEX(Bookings!$H$3:$H$202,MATCH($B182,Bookings!$A$3:$A$202,0))),""))</f>
        <v/>
      </c>
      <c r="G182" s="13" t="str">
        <f>IF($A182="","",IF(Connaissements!$F183="","",Connaissements!$F183))</f>
        <v/>
      </c>
      <c r="H182" s="13" t="str">
        <f>IF($A182="","",Connaissements!$H183)</f>
        <v/>
      </c>
      <c r="I182" s="13" t="str">
        <f>IF($A182="","",COUNTIFS(Conteneurs!$B$3:$B$1002,$A182,Conteneurs!$M$3:$M$1002,"Embarqué"))</f>
        <v/>
      </c>
      <c r="J182" s="18" t="str">
        <f>IF($A182="","",Connaissements!$J183)</f>
        <v/>
      </c>
      <c r="K182" s="13" t="str">
        <f>IF($A182="","",COUNTIFS(Documents!$A$3:$A$1002,$A182))</f>
        <v/>
      </c>
      <c r="L182" s="13" t="str">
        <f>IF($A182="","",COUNTIFS(Documents!$A$3:$A$1002,$A182,Documents!$I$3:$I$1002,"Envoyé DHL"))</f>
        <v/>
      </c>
      <c r="M182" s="13" t="str">
        <f>IF($A182="","",COUNTIFS(Etapes!$A$5:$A$1504,$A182,Etapes!$F$5:$F$1504,"En retard"))</f>
        <v/>
      </c>
      <c r="N182" s="18" t="str">
        <f>IF($A182="","",SUMIFS(Couts_Transitaire!$I$3:$I$602,Couts_Transitaire!$B$3:$B$602,$A182))</f>
        <v/>
      </c>
      <c r="O182" s="13" t="str">
        <f>IF($A182="","",IF($M182&gt;0,"Étapes en retard",IF(Connaissements!$K183&lt;&gt;"OK","Contrôle BL à corriger",IF($H182=0,"Aucun conteneur saisi",IF($I182&lt;$H182,"Conteneurs non embarqués",IF($L182&lt;$K182,"Documents à finaliser",IF($N182&gt;0,"Coûts à payer","OK")))))))</f>
        <v/>
      </c>
    </row>
    <row r="183" spans="1:15" x14ac:dyDescent="0.35">
      <c r="A183" s="13" t="str">
        <f>IF(Connaissements!$A184="","",Connaissements!$A184)</f>
        <v/>
      </c>
      <c r="B183" s="13" t="str">
        <f>IF($A183="","",Connaissements!$B184)</f>
        <v/>
      </c>
      <c r="C183" s="13" t="str">
        <f>IF($A183="","",Connaissements!$G184)</f>
        <v/>
      </c>
      <c r="D183" s="13" t="str">
        <f>IF($A183="","",IFERROR(IF(INDEX(Bookings!$D$3:$D$202,MATCH($B183,Bookings!$A$3:$A$202,0))="","",INDEX(Bookings!$D$3:$D$202,MATCH($B183,Bookings!$A$3:$A$202,0))),""))</f>
        <v/>
      </c>
      <c r="E183" s="14" t="str">
        <f>IF($A183="","",IFERROR(IF(INDEX(Bookings!$G$3:$G$202,MATCH($B183,Bookings!$A$3:$A$202,0))="","",INDEX(Bookings!$G$3:$G$202,MATCH($B183,Bookings!$A$3:$A$202,0))),""))</f>
        <v/>
      </c>
      <c r="F183" s="14" t="str">
        <f>IF($A183="","",IFERROR(IF(INDEX(Bookings!$H$3:$H$202,MATCH($B183,Bookings!$A$3:$A$202,0))="","",INDEX(Bookings!$H$3:$H$202,MATCH($B183,Bookings!$A$3:$A$202,0))),""))</f>
        <v/>
      </c>
      <c r="G183" s="13" t="str">
        <f>IF($A183="","",IF(Connaissements!$F184="","",Connaissements!$F184))</f>
        <v/>
      </c>
      <c r="H183" s="13" t="str">
        <f>IF($A183="","",Connaissements!$H184)</f>
        <v/>
      </c>
      <c r="I183" s="13" t="str">
        <f>IF($A183="","",COUNTIFS(Conteneurs!$B$3:$B$1002,$A183,Conteneurs!$M$3:$M$1002,"Embarqué"))</f>
        <v/>
      </c>
      <c r="J183" s="18" t="str">
        <f>IF($A183="","",Connaissements!$J184)</f>
        <v/>
      </c>
      <c r="K183" s="13" t="str">
        <f>IF($A183="","",COUNTIFS(Documents!$A$3:$A$1002,$A183))</f>
        <v/>
      </c>
      <c r="L183" s="13" t="str">
        <f>IF($A183="","",COUNTIFS(Documents!$A$3:$A$1002,$A183,Documents!$I$3:$I$1002,"Envoyé DHL"))</f>
        <v/>
      </c>
      <c r="M183" s="13" t="str">
        <f>IF($A183="","",COUNTIFS(Etapes!$A$5:$A$1504,$A183,Etapes!$F$5:$F$1504,"En retard"))</f>
        <v/>
      </c>
      <c r="N183" s="18" t="str">
        <f>IF($A183="","",SUMIFS(Couts_Transitaire!$I$3:$I$602,Couts_Transitaire!$B$3:$B$602,$A183))</f>
        <v/>
      </c>
      <c r="O183" s="13" t="str">
        <f>IF($A183="","",IF($M183&gt;0,"Étapes en retard",IF(Connaissements!$K184&lt;&gt;"OK","Contrôle BL à corriger",IF($H183=0,"Aucun conteneur saisi",IF($I183&lt;$H183,"Conteneurs non embarqués",IF($L183&lt;$K183,"Documents à finaliser",IF($N183&gt;0,"Coûts à payer","OK")))))))</f>
        <v/>
      </c>
    </row>
    <row r="184" spans="1:15" x14ac:dyDescent="0.35">
      <c r="A184" s="13" t="str">
        <f>IF(Connaissements!$A185="","",Connaissements!$A185)</f>
        <v/>
      </c>
      <c r="B184" s="13" t="str">
        <f>IF($A184="","",Connaissements!$B185)</f>
        <v/>
      </c>
      <c r="C184" s="13" t="str">
        <f>IF($A184="","",Connaissements!$G185)</f>
        <v/>
      </c>
      <c r="D184" s="13" t="str">
        <f>IF($A184="","",IFERROR(IF(INDEX(Bookings!$D$3:$D$202,MATCH($B184,Bookings!$A$3:$A$202,0))="","",INDEX(Bookings!$D$3:$D$202,MATCH($B184,Bookings!$A$3:$A$202,0))),""))</f>
        <v/>
      </c>
      <c r="E184" s="14" t="str">
        <f>IF($A184="","",IFERROR(IF(INDEX(Bookings!$G$3:$G$202,MATCH($B184,Bookings!$A$3:$A$202,0))="","",INDEX(Bookings!$G$3:$G$202,MATCH($B184,Bookings!$A$3:$A$202,0))),""))</f>
        <v/>
      </c>
      <c r="F184" s="14" t="str">
        <f>IF($A184="","",IFERROR(IF(INDEX(Bookings!$H$3:$H$202,MATCH($B184,Bookings!$A$3:$A$202,0))="","",INDEX(Bookings!$H$3:$H$202,MATCH($B184,Bookings!$A$3:$A$202,0))),""))</f>
        <v/>
      </c>
      <c r="G184" s="13" t="str">
        <f>IF($A184="","",IF(Connaissements!$F185="","",Connaissements!$F185))</f>
        <v/>
      </c>
      <c r="H184" s="13" t="str">
        <f>IF($A184="","",Connaissements!$H185)</f>
        <v/>
      </c>
      <c r="I184" s="13" t="str">
        <f>IF($A184="","",COUNTIFS(Conteneurs!$B$3:$B$1002,$A184,Conteneurs!$M$3:$M$1002,"Embarqué"))</f>
        <v/>
      </c>
      <c r="J184" s="18" t="str">
        <f>IF($A184="","",Connaissements!$J185)</f>
        <v/>
      </c>
      <c r="K184" s="13" t="str">
        <f>IF($A184="","",COUNTIFS(Documents!$A$3:$A$1002,$A184))</f>
        <v/>
      </c>
      <c r="L184" s="13" t="str">
        <f>IF($A184="","",COUNTIFS(Documents!$A$3:$A$1002,$A184,Documents!$I$3:$I$1002,"Envoyé DHL"))</f>
        <v/>
      </c>
      <c r="M184" s="13" t="str">
        <f>IF($A184="","",COUNTIFS(Etapes!$A$5:$A$1504,$A184,Etapes!$F$5:$F$1504,"En retard"))</f>
        <v/>
      </c>
      <c r="N184" s="18" t="str">
        <f>IF($A184="","",SUMIFS(Couts_Transitaire!$I$3:$I$602,Couts_Transitaire!$B$3:$B$602,$A184))</f>
        <v/>
      </c>
      <c r="O184" s="13" t="str">
        <f>IF($A184="","",IF($M184&gt;0,"Étapes en retard",IF(Connaissements!$K185&lt;&gt;"OK","Contrôle BL à corriger",IF($H184=0,"Aucun conteneur saisi",IF($I184&lt;$H184,"Conteneurs non embarqués",IF($L184&lt;$K184,"Documents à finaliser",IF($N184&gt;0,"Coûts à payer","OK")))))))</f>
        <v/>
      </c>
    </row>
    <row r="185" spans="1:15" x14ac:dyDescent="0.35">
      <c r="A185" s="13" t="str">
        <f>IF(Connaissements!$A186="","",Connaissements!$A186)</f>
        <v/>
      </c>
      <c r="B185" s="13" t="str">
        <f>IF($A185="","",Connaissements!$B186)</f>
        <v/>
      </c>
      <c r="C185" s="13" t="str">
        <f>IF($A185="","",Connaissements!$G186)</f>
        <v/>
      </c>
      <c r="D185" s="13" t="str">
        <f>IF($A185="","",IFERROR(IF(INDEX(Bookings!$D$3:$D$202,MATCH($B185,Bookings!$A$3:$A$202,0))="","",INDEX(Bookings!$D$3:$D$202,MATCH($B185,Bookings!$A$3:$A$202,0))),""))</f>
        <v/>
      </c>
      <c r="E185" s="14" t="str">
        <f>IF($A185="","",IFERROR(IF(INDEX(Bookings!$G$3:$G$202,MATCH($B185,Bookings!$A$3:$A$202,0))="","",INDEX(Bookings!$G$3:$G$202,MATCH($B185,Bookings!$A$3:$A$202,0))),""))</f>
        <v/>
      </c>
      <c r="F185" s="14" t="str">
        <f>IF($A185="","",IFERROR(IF(INDEX(Bookings!$H$3:$H$202,MATCH($B185,Bookings!$A$3:$A$202,0))="","",INDEX(Bookings!$H$3:$H$202,MATCH($B185,Bookings!$A$3:$A$202,0))),""))</f>
        <v/>
      </c>
      <c r="G185" s="13" t="str">
        <f>IF($A185="","",IF(Connaissements!$F186="","",Connaissements!$F186))</f>
        <v/>
      </c>
      <c r="H185" s="13" t="str">
        <f>IF($A185="","",Connaissements!$H186)</f>
        <v/>
      </c>
      <c r="I185" s="13" t="str">
        <f>IF($A185="","",COUNTIFS(Conteneurs!$B$3:$B$1002,$A185,Conteneurs!$M$3:$M$1002,"Embarqué"))</f>
        <v/>
      </c>
      <c r="J185" s="18" t="str">
        <f>IF($A185="","",Connaissements!$J186)</f>
        <v/>
      </c>
      <c r="K185" s="13" t="str">
        <f>IF($A185="","",COUNTIFS(Documents!$A$3:$A$1002,$A185))</f>
        <v/>
      </c>
      <c r="L185" s="13" t="str">
        <f>IF($A185="","",COUNTIFS(Documents!$A$3:$A$1002,$A185,Documents!$I$3:$I$1002,"Envoyé DHL"))</f>
        <v/>
      </c>
      <c r="M185" s="13" t="str">
        <f>IF($A185="","",COUNTIFS(Etapes!$A$5:$A$1504,$A185,Etapes!$F$5:$F$1504,"En retard"))</f>
        <v/>
      </c>
      <c r="N185" s="18" t="str">
        <f>IF($A185="","",SUMIFS(Couts_Transitaire!$I$3:$I$602,Couts_Transitaire!$B$3:$B$602,$A185))</f>
        <v/>
      </c>
      <c r="O185" s="13" t="str">
        <f>IF($A185="","",IF($M185&gt;0,"Étapes en retard",IF(Connaissements!$K186&lt;&gt;"OK","Contrôle BL à corriger",IF($H185=0,"Aucun conteneur saisi",IF($I185&lt;$H185,"Conteneurs non embarqués",IF($L185&lt;$K185,"Documents à finaliser",IF($N185&gt;0,"Coûts à payer","OK")))))))</f>
        <v/>
      </c>
    </row>
    <row r="186" spans="1:15" x14ac:dyDescent="0.35">
      <c r="A186" s="13" t="str">
        <f>IF(Connaissements!$A187="","",Connaissements!$A187)</f>
        <v/>
      </c>
      <c r="B186" s="13" t="str">
        <f>IF($A186="","",Connaissements!$B187)</f>
        <v/>
      </c>
      <c r="C186" s="13" t="str">
        <f>IF($A186="","",Connaissements!$G187)</f>
        <v/>
      </c>
      <c r="D186" s="13" t="str">
        <f>IF($A186="","",IFERROR(IF(INDEX(Bookings!$D$3:$D$202,MATCH($B186,Bookings!$A$3:$A$202,0))="","",INDEX(Bookings!$D$3:$D$202,MATCH($B186,Bookings!$A$3:$A$202,0))),""))</f>
        <v/>
      </c>
      <c r="E186" s="14" t="str">
        <f>IF($A186="","",IFERROR(IF(INDEX(Bookings!$G$3:$G$202,MATCH($B186,Bookings!$A$3:$A$202,0))="","",INDEX(Bookings!$G$3:$G$202,MATCH($B186,Bookings!$A$3:$A$202,0))),""))</f>
        <v/>
      </c>
      <c r="F186" s="14" t="str">
        <f>IF($A186="","",IFERROR(IF(INDEX(Bookings!$H$3:$H$202,MATCH($B186,Bookings!$A$3:$A$202,0))="","",INDEX(Bookings!$H$3:$H$202,MATCH($B186,Bookings!$A$3:$A$202,0))),""))</f>
        <v/>
      </c>
      <c r="G186" s="13" t="str">
        <f>IF($A186="","",IF(Connaissements!$F187="","",Connaissements!$F187))</f>
        <v/>
      </c>
      <c r="H186" s="13" t="str">
        <f>IF($A186="","",Connaissements!$H187)</f>
        <v/>
      </c>
      <c r="I186" s="13" t="str">
        <f>IF($A186="","",COUNTIFS(Conteneurs!$B$3:$B$1002,$A186,Conteneurs!$M$3:$M$1002,"Embarqué"))</f>
        <v/>
      </c>
      <c r="J186" s="18" t="str">
        <f>IF($A186="","",Connaissements!$J187)</f>
        <v/>
      </c>
      <c r="K186" s="13" t="str">
        <f>IF($A186="","",COUNTIFS(Documents!$A$3:$A$1002,$A186))</f>
        <v/>
      </c>
      <c r="L186" s="13" t="str">
        <f>IF($A186="","",COUNTIFS(Documents!$A$3:$A$1002,$A186,Documents!$I$3:$I$1002,"Envoyé DHL"))</f>
        <v/>
      </c>
      <c r="M186" s="13" t="str">
        <f>IF($A186="","",COUNTIFS(Etapes!$A$5:$A$1504,$A186,Etapes!$F$5:$F$1504,"En retard"))</f>
        <v/>
      </c>
      <c r="N186" s="18" t="str">
        <f>IF($A186="","",SUMIFS(Couts_Transitaire!$I$3:$I$602,Couts_Transitaire!$B$3:$B$602,$A186))</f>
        <v/>
      </c>
      <c r="O186" s="13" t="str">
        <f>IF($A186="","",IF($M186&gt;0,"Étapes en retard",IF(Connaissements!$K187&lt;&gt;"OK","Contrôle BL à corriger",IF($H186=0,"Aucun conteneur saisi",IF($I186&lt;$H186,"Conteneurs non embarqués",IF($L186&lt;$K186,"Documents à finaliser",IF($N186&gt;0,"Coûts à payer","OK")))))))</f>
        <v/>
      </c>
    </row>
    <row r="187" spans="1:15" x14ac:dyDescent="0.35">
      <c r="A187" s="13" t="str">
        <f>IF(Connaissements!$A188="","",Connaissements!$A188)</f>
        <v/>
      </c>
      <c r="B187" s="13" t="str">
        <f>IF($A187="","",Connaissements!$B188)</f>
        <v/>
      </c>
      <c r="C187" s="13" t="str">
        <f>IF($A187="","",Connaissements!$G188)</f>
        <v/>
      </c>
      <c r="D187" s="13" t="str">
        <f>IF($A187="","",IFERROR(IF(INDEX(Bookings!$D$3:$D$202,MATCH($B187,Bookings!$A$3:$A$202,0))="","",INDEX(Bookings!$D$3:$D$202,MATCH($B187,Bookings!$A$3:$A$202,0))),""))</f>
        <v/>
      </c>
      <c r="E187" s="14" t="str">
        <f>IF($A187="","",IFERROR(IF(INDEX(Bookings!$G$3:$G$202,MATCH($B187,Bookings!$A$3:$A$202,0))="","",INDEX(Bookings!$G$3:$G$202,MATCH($B187,Bookings!$A$3:$A$202,0))),""))</f>
        <v/>
      </c>
      <c r="F187" s="14" t="str">
        <f>IF($A187="","",IFERROR(IF(INDEX(Bookings!$H$3:$H$202,MATCH($B187,Bookings!$A$3:$A$202,0))="","",INDEX(Bookings!$H$3:$H$202,MATCH($B187,Bookings!$A$3:$A$202,0))),""))</f>
        <v/>
      </c>
      <c r="G187" s="13" t="str">
        <f>IF($A187="","",IF(Connaissements!$F188="","",Connaissements!$F188))</f>
        <v/>
      </c>
      <c r="H187" s="13" t="str">
        <f>IF($A187="","",Connaissements!$H188)</f>
        <v/>
      </c>
      <c r="I187" s="13" t="str">
        <f>IF($A187="","",COUNTIFS(Conteneurs!$B$3:$B$1002,$A187,Conteneurs!$M$3:$M$1002,"Embarqué"))</f>
        <v/>
      </c>
      <c r="J187" s="18" t="str">
        <f>IF($A187="","",Connaissements!$J188)</f>
        <v/>
      </c>
      <c r="K187" s="13" t="str">
        <f>IF($A187="","",COUNTIFS(Documents!$A$3:$A$1002,$A187))</f>
        <v/>
      </c>
      <c r="L187" s="13" t="str">
        <f>IF($A187="","",COUNTIFS(Documents!$A$3:$A$1002,$A187,Documents!$I$3:$I$1002,"Envoyé DHL"))</f>
        <v/>
      </c>
      <c r="M187" s="13" t="str">
        <f>IF($A187="","",COUNTIFS(Etapes!$A$5:$A$1504,$A187,Etapes!$F$5:$F$1504,"En retard"))</f>
        <v/>
      </c>
      <c r="N187" s="18" t="str">
        <f>IF($A187="","",SUMIFS(Couts_Transitaire!$I$3:$I$602,Couts_Transitaire!$B$3:$B$602,$A187))</f>
        <v/>
      </c>
      <c r="O187" s="13" t="str">
        <f>IF($A187="","",IF($M187&gt;0,"Étapes en retard",IF(Connaissements!$K188&lt;&gt;"OK","Contrôle BL à corriger",IF($H187=0,"Aucun conteneur saisi",IF($I187&lt;$H187,"Conteneurs non embarqués",IF($L187&lt;$K187,"Documents à finaliser",IF($N187&gt;0,"Coûts à payer","OK")))))))</f>
        <v/>
      </c>
    </row>
    <row r="188" spans="1:15" x14ac:dyDescent="0.35">
      <c r="A188" s="13" t="str">
        <f>IF(Connaissements!$A189="","",Connaissements!$A189)</f>
        <v/>
      </c>
      <c r="B188" s="13" t="str">
        <f>IF($A188="","",Connaissements!$B189)</f>
        <v/>
      </c>
      <c r="C188" s="13" t="str">
        <f>IF($A188="","",Connaissements!$G189)</f>
        <v/>
      </c>
      <c r="D188" s="13" t="str">
        <f>IF($A188="","",IFERROR(IF(INDEX(Bookings!$D$3:$D$202,MATCH($B188,Bookings!$A$3:$A$202,0))="","",INDEX(Bookings!$D$3:$D$202,MATCH($B188,Bookings!$A$3:$A$202,0))),""))</f>
        <v/>
      </c>
      <c r="E188" s="14" t="str">
        <f>IF($A188="","",IFERROR(IF(INDEX(Bookings!$G$3:$G$202,MATCH($B188,Bookings!$A$3:$A$202,0))="","",INDEX(Bookings!$G$3:$G$202,MATCH($B188,Bookings!$A$3:$A$202,0))),""))</f>
        <v/>
      </c>
      <c r="F188" s="14" t="str">
        <f>IF($A188="","",IFERROR(IF(INDEX(Bookings!$H$3:$H$202,MATCH($B188,Bookings!$A$3:$A$202,0))="","",INDEX(Bookings!$H$3:$H$202,MATCH($B188,Bookings!$A$3:$A$202,0))),""))</f>
        <v/>
      </c>
      <c r="G188" s="13" t="str">
        <f>IF($A188="","",IF(Connaissements!$F189="","",Connaissements!$F189))</f>
        <v/>
      </c>
      <c r="H188" s="13" t="str">
        <f>IF($A188="","",Connaissements!$H189)</f>
        <v/>
      </c>
      <c r="I188" s="13" t="str">
        <f>IF($A188="","",COUNTIFS(Conteneurs!$B$3:$B$1002,$A188,Conteneurs!$M$3:$M$1002,"Embarqué"))</f>
        <v/>
      </c>
      <c r="J188" s="18" t="str">
        <f>IF($A188="","",Connaissements!$J189)</f>
        <v/>
      </c>
      <c r="K188" s="13" t="str">
        <f>IF($A188="","",COUNTIFS(Documents!$A$3:$A$1002,$A188))</f>
        <v/>
      </c>
      <c r="L188" s="13" t="str">
        <f>IF($A188="","",COUNTIFS(Documents!$A$3:$A$1002,$A188,Documents!$I$3:$I$1002,"Envoyé DHL"))</f>
        <v/>
      </c>
      <c r="M188" s="13" t="str">
        <f>IF($A188="","",COUNTIFS(Etapes!$A$5:$A$1504,$A188,Etapes!$F$5:$F$1504,"En retard"))</f>
        <v/>
      </c>
      <c r="N188" s="18" t="str">
        <f>IF($A188="","",SUMIFS(Couts_Transitaire!$I$3:$I$602,Couts_Transitaire!$B$3:$B$602,$A188))</f>
        <v/>
      </c>
      <c r="O188" s="13" t="str">
        <f>IF($A188="","",IF($M188&gt;0,"Étapes en retard",IF(Connaissements!$K189&lt;&gt;"OK","Contrôle BL à corriger",IF($H188=0,"Aucun conteneur saisi",IF($I188&lt;$H188,"Conteneurs non embarqués",IF($L188&lt;$K188,"Documents à finaliser",IF($N188&gt;0,"Coûts à payer","OK")))))))</f>
        <v/>
      </c>
    </row>
    <row r="189" spans="1:15" x14ac:dyDescent="0.35">
      <c r="A189" s="13" t="str">
        <f>IF(Connaissements!$A190="","",Connaissements!$A190)</f>
        <v/>
      </c>
      <c r="B189" s="13" t="str">
        <f>IF($A189="","",Connaissements!$B190)</f>
        <v/>
      </c>
      <c r="C189" s="13" t="str">
        <f>IF($A189="","",Connaissements!$G190)</f>
        <v/>
      </c>
      <c r="D189" s="13" t="str">
        <f>IF($A189="","",IFERROR(IF(INDEX(Bookings!$D$3:$D$202,MATCH($B189,Bookings!$A$3:$A$202,0))="","",INDEX(Bookings!$D$3:$D$202,MATCH($B189,Bookings!$A$3:$A$202,0))),""))</f>
        <v/>
      </c>
      <c r="E189" s="14" t="str">
        <f>IF($A189="","",IFERROR(IF(INDEX(Bookings!$G$3:$G$202,MATCH($B189,Bookings!$A$3:$A$202,0))="","",INDEX(Bookings!$G$3:$G$202,MATCH($B189,Bookings!$A$3:$A$202,0))),""))</f>
        <v/>
      </c>
      <c r="F189" s="14" t="str">
        <f>IF($A189="","",IFERROR(IF(INDEX(Bookings!$H$3:$H$202,MATCH($B189,Bookings!$A$3:$A$202,0))="","",INDEX(Bookings!$H$3:$H$202,MATCH($B189,Bookings!$A$3:$A$202,0))),""))</f>
        <v/>
      </c>
      <c r="G189" s="13" t="str">
        <f>IF($A189="","",IF(Connaissements!$F190="","",Connaissements!$F190))</f>
        <v/>
      </c>
      <c r="H189" s="13" t="str">
        <f>IF($A189="","",Connaissements!$H190)</f>
        <v/>
      </c>
      <c r="I189" s="13" t="str">
        <f>IF($A189="","",COUNTIFS(Conteneurs!$B$3:$B$1002,$A189,Conteneurs!$M$3:$M$1002,"Embarqué"))</f>
        <v/>
      </c>
      <c r="J189" s="18" t="str">
        <f>IF($A189="","",Connaissements!$J190)</f>
        <v/>
      </c>
      <c r="K189" s="13" t="str">
        <f>IF($A189="","",COUNTIFS(Documents!$A$3:$A$1002,$A189))</f>
        <v/>
      </c>
      <c r="L189" s="13" t="str">
        <f>IF($A189="","",COUNTIFS(Documents!$A$3:$A$1002,$A189,Documents!$I$3:$I$1002,"Envoyé DHL"))</f>
        <v/>
      </c>
      <c r="M189" s="13" t="str">
        <f>IF($A189="","",COUNTIFS(Etapes!$A$5:$A$1504,$A189,Etapes!$F$5:$F$1504,"En retard"))</f>
        <v/>
      </c>
      <c r="N189" s="18" t="str">
        <f>IF($A189="","",SUMIFS(Couts_Transitaire!$I$3:$I$602,Couts_Transitaire!$B$3:$B$602,$A189))</f>
        <v/>
      </c>
      <c r="O189" s="13" t="str">
        <f>IF($A189="","",IF($M189&gt;0,"Étapes en retard",IF(Connaissements!$K190&lt;&gt;"OK","Contrôle BL à corriger",IF($H189=0,"Aucun conteneur saisi",IF($I189&lt;$H189,"Conteneurs non embarqués",IF($L189&lt;$K189,"Documents à finaliser",IF($N189&gt;0,"Coûts à payer","OK")))))))</f>
        <v/>
      </c>
    </row>
    <row r="190" spans="1:15" x14ac:dyDescent="0.35">
      <c r="A190" s="13" t="str">
        <f>IF(Connaissements!$A191="","",Connaissements!$A191)</f>
        <v/>
      </c>
      <c r="B190" s="13" t="str">
        <f>IF($A190="","",Connaissements!$B191)</f>
        <v/>
      </c>
      <c r="C190" s="13" t="str">
        <f>IF($A190="","",Connaissements!$G191)</f>
        <v/>
      </c>
      <c r="D190" s="13" t="str">
        <f>IF($A190="","",IFERROR(IF(INDEX(Bookings!$D$3:$D$202,MATCH($B190,Bookings!$A$3:$A$202,0))="","",INDEX(Bookings!$D$3:$D$202,MATCH($B190,Bookings!$A$3:$A$202,0))),""))</f>
        <v/>
      </c>
      <c r="E190" s="14" t="str">
        <f>IF($A190="","",IFERROR(IF(INDEX(Bookings!$G$3:$G$202,MATCH($B190,Bookings!$A$3:$A$202,0))="","",INDEX(Bookings!$G$3:$G$202,MATCH($B190,Bookings!$A$3:$A$202,0))),""))</f>
        <v/>
      </c>
      <c r="F190" s="14" t="str">
        <f>IF($A190="","",IFERROR(IF(INDEX(Bookings!$H$3:$H$202,MATCH($B190,Bookings!$A$3:$A$202,0))="","",INDEX(Bookings!$H$3:$H$202,MATCH($B190,Bookings!$A$3:$A$202,0))),""))</f>
        <v/>
      </c>
      <c r="G190" s="13" t="str">
        <f>IF($A190="","",IF(Connaissements!$F191="","",Connaissements!$F191))</f>
        <v/>
      </c>
      <c r="H190" s="13" t="str">
        <f>IF($A190="","",Connaissements!$H191)</f>
        <v/>
      </c>
      <c r="I190" s="13" t="str">
        <f>IF($A190="","",COUNTIFS(Conteneurs!$B$3:$B$1002,$A190,Conteneurs!$M$3:$M$1002,"Embarqué"))</f>
        <v/>
      </c>
      <c r="J190" s="18" t="str">
        <f>IF($A190="","",Connaissements!$J191)</f>
        <v/>
      </c>
      <c r="K190" s="13" t="str">
        <f>IF($A190="","",COUNTIFS(Documents!$A$3:$A$1002,$A190))</f>
        <v/>
      </c>
      <c r="L190" s="13" t="str">
        <f>IF($A190="","",COUNTIFS(Documents!$A$3:$A$1002,$A190,Documents!$I$3:$I$1002,"Envoyé DHL"))</f>
        <v/>
      </c>
      <c r="M190" s="13" t="str">
        <f>IF($A190="","",COUNTIFS(Etapes!$A$5:$A$1504,$A190,Etapes!$F$5:$F$1504,"En retard"))</f>
        <v/>
      </c>
      <c r="N190" s="18" t="str">
        <f>IF($A190="","",SUMIFS(Couts_Transitaire!$I$3:$I$602,Couts_Transitaire!$B$3:$B$602,$A190))</f>
        <v/>
      </c>
      <c r="O190" s="13" t="str">
        <f>IF($A190="","",IF($M190&gt;0,"Étapes en retard",IF(Connaissements!$K191&lt;&gt;"OK","Contrôle BL à corriger",IF($H190=0,"Aucun conteneur saisi",IF($I190&lt;$H190,"Conteneurs non embarqués",IF($L190&lt;$K190,"Documents à finaliser",IF($N190&gt;0,"Coûts à payer","OK")))))))</f>
        <v/>
      </c>
    </row>
    <row r="191" spans="1:15" x14ac:dyDescent="0.35">
      <c r="A191" s="13" t="str">
        <f>IF(Connaissements!$A192="","",Connaissements!$A192)</f>
        <v/>
      </c>
      <c r="B191" s="13" t="str">
        <f>IF($A191="","",Connaissements!$B192)</f>
        <v/>
      </c>
      <c r="C191" s="13" t="str">
        <f>IF($A191="","",Connaissements!$G192)</f>
        <v/>
      </c>
      <c r="D191" s="13" t="str">
        <f>IF($A191="","",IFERROR(IF(INDEX(Bookings!$D$3:$D$202,MATCH($B191,Bookings!$A$3:$A$202,0))="","",INDEX(Bookings!$D$3:$D$202,MATCH($B191,Bookings!$A$3:$A$202,0))),""))</f>
        <v/>
      </c>
      <c r="E191" s="14" t="str">
        <f>IF($A191="","",IFERROR(IF(INDEX(Bookings!$G$3:$G$202,MATCH($B191,Bookings!$A$3:$A$202,0))="","",INDEX(Bookings!$G$3:$G$202,MATCH($B191,Bookings!$A$3:$A$202,0))),""))</f>
        <v/>
      </c>
      <c r="F191" s="14" t="str">
        <f>IF($A191="","",IFERROR(IF(INDEX(Bookings!$H$3:$H$202,MATCH($B191,Bookings!$A$3:$A$202,0))="","",INDEX(Bookings!$H$3:$H$202,MATCH($B191,Bookings!$A$3:$A$202,0))),""))</f>
        <v/>
      </c>
      <c r="G191" s="13" t="str">
        <f>IF($A191="","",IF(Connaissements!$F192="","",Connaissements!$F192))</f>
        <v/>
      </c>
      <c r="H191" s="13" t="str">
        <f>IF($A191="","",Connaissements!$H192)</f>
        <v/>
      </c>
      <c r="I191" s="13" t="str">
        <f>IF($A191="","",COUNTIFS(Conteneurs!$B$3:$B$1002,$A191,Conteneurs!$M$3:$M$1002,"Embarqué"))</f>
        <v/>
      </c>
      <c r="J191" s="18" t="str">
        <f>IF($A191="","",Connaissements!$J192)</f>
        <v/>
      </c>
      <c r="K191" s="13" t="str">
        <f>IF($A191="","",COUNTIFS(Documents!$A$3:$A$1002,$A191))</f>
        <v/>
      </c>
      <c r="L191" s="13" t="str">
        <f>IF($A191="","",COUNTIFS(Documents!$A$3:$A$1002,$A191,Documents!$I$3:$I$1002,"Envoyé DHL"))</f>
        <v/>
      </c>
      <c r="M191" s="13" t="str">
        <f>IF($A191="","",COUNTIFS(Etapes!$A$5:$A$1504,$A191,Etapes!$F$5:$F$1504,"En retard"))</f>
        <v/>
      </c>
      <c r="N191" s="18" t="str">
        <f>IF($A191="","",SUMIFS(Couts_Transitaire!$I$3:$I$602,Couts_Transitaire!$B$3:$B$602,$A191))</f>
        <v/>
      </c>
      <c r="O191" s="13" t="str">
        <f>IF($A191="","",IF($M191&gt;0,"Étapes en retard",IF(Connaissements!$K192&lt;&gt;"OK","Contrôle BL à corriger",IF($H191=0,"Aucun conteneur saisi",IF($I191&lt;$H191,"Conteneurs non embarqués",IF($L191&lt;$K191,"Documents à finaliser",IF($N191&gt;0,"Coûts à payer","OK")))))))</f>
        <v/>
      </c>
    </row>
    <row r="192" spans="1:15" x14ac:dyDescent="0.35">
      <c r="A192" s="13" t="str">
        <f>IF(Connaissements!$A193="","",Connaissements!$A193)</f>
        <v/>
      </c>
      <c r="B192" s="13" t="str">
        <f>IF($A192="","",Connaissements!$B193)</f>
        <v/>
      </c>
      <c r="C192" s="13" t="str">
        <f>IF($A192="","",Connaissements!$G193)</f>
        <v/>
      </c>
      <c r="D192" s="13" t="str">
        <f>IF($A192="","",IFERROR(IF(INDEX(Bookings!$D$3:$D$202,MATCH($B192,Bookings!$A$3:$A$202,0))="","",INDEX(Bookings!$D$3:$D$202,MATCH($B192,Bookings!$A$3:$A$202,0))),""))</f>
        <v/>
      </c>
      <c r="E192" s="14" t="str">
        <f>IF($A192="","",IFERROR(IF(INDEX(Bookings!$G$3:$G$202,MATCH($B192,Bookings!$A$3:$A$202,0))="","",INDEX(Bookings!$G$3:$G$202,MATCH($B192,Bookings!$A$3:$A$202,0))),""))</f>
        <v/>
      </c>
      <c r="F192" s="14" t="str">
        <f>IF($A192="","",IFERROR(IF(INDEX(Bookings!$H$3:$H$202,MATCH($B192,Bookings!$A$3:$A$202,0))="","",INDEX(Bookings!$H$3:$H$202,MATCH($B192,Bookings!$A$3:$A$202,0))),""))</f>
        <v/>
      </c>
      <c r="G192" s="13" t="str">
        <f>IF($A192="","",IF(Connaissements!$F193="","",Connaissements!$F193))</f>
        <v/>
      </c>
      <c r="H192" s="13" t="str">
        <f>IF($A192="","",Connaissements!$H193)</f>
        <v/>
      </c>
      <c r="I192" s="13" t="str">
        <f>IF($A192="","",COUNTIFS(Conteneurs!$B$3:$B$1002,$A192,Conteneurs!$M$3:$M$1002,"Embarqué"))</f>
        <v/>
      </c>
      <c r="J192" s="18" t="str">
        <f>IF($A192="","",Connaissements!$J193)</f>
        <v/>
      </c>
      <c r="K192" s="13" t="str">
        <f>IF($A192="","",COUNTIFS(Documents!$A$3:$A$1002,$A192))</f>
        <v/>
      </c>
      <c r="L192" s="13" t="str">
        <f>IF($A192="","",COUNTIFS(Documents!$A$3:$A$1002,$A192,Documents!$I$3:$I$1002,"Envoyé DHL"))</f>
        <v/>
      </c>
      <c r="M192" s="13" t="str">
        <f>IF($A192="","",COUNTIFS(Etapes!$A$5:$A$1504,$A192,Etapes!$F$5:$F$1504,"En retard"))</f>
        <v/>
      </c>
      <c r="N192" s="18" t="str">
        <f>IF($A192="","",SUMIFS(Couts_Transitaire!$I$3:$I$602,Couts_Transitaire!$B$3:$B$602,$A192))</f>
        <v/>
      </c>
      <c r="O192" s="13" t="str">
        <f>IF($A192="","",IF($M192&gt;0,"Étapes en retard",IF(Connaissements!$K193&lt;&gt;"OK","Contrôle BL à corriger",IF($H192=0,"Aucun conteneur saisi",IF($I192&lt;$H192,"Conteneurs non embarqués",IF($L192&lt;$K192,"Documents à finaliser",IF($N192&gt;0,"Coûts à payer","OK")))))))</f>
        <v/>
      </c>
    </row>
    <row r="193" spans="1:15" x14ac:dyDescent="0.35">
      <c r="A193" s="13" t="str">
        <f>IF(Connaissements!$A194="","",Connaissements!$A194)</f>
        <v/>
      </c>
      <c r="B193" s="13" t="str">
        <f>IF($A193="","",Connaissements!$B194)</f>
        <v/>
      </c>
      <c r="C193" s="13" t="str">
        <f>IF($A193="","",Connaissements!$G194)</f>
        <v/>
      </c>
      <c r="D193" s="13" t="str">
        <f>IF($A193="","",IFERROR(IF(INDEX(Bookings!$D$3:$D$202,MATCH($B193,Bookings!$A$3:$A$202,0))="","",INDEX(Bookings!$D$3:$D$202,MATCH($B193,Bookings!$A$3:$A$202,0))),""))</f>
        <v/>
      </c>
      <c r="E193" s="14" t="str">
        <f>IF($A193="","",IFERROR(IF(INDEX(Bookings!$G$3:$G$202,MATCH($B193,Bookings!$A$3:$A$202,0))="","",INDEX(Bookings!$G$3:$G$202,MATCH($B193,Bookings!$A$3:$A$202,0))),""))</f>
        <v/>
      </c>
      <c r="F193" s="14" t="str">
        <f>IF($A193="","",IFERROR(IF(INDEX(Bookings!$H$3:$H$202,MATCH($B193,Bookings!$A$3:$A$202,0))="","",INDEX(Bookings!$H$3:$H$202,MATCH($B193,Bookings!$A$3:$A$202,0))),""))</f>
        <v/>
      </c>
      <c r="G193" s="13" t="str">
        <f>IF($A193="","",IF(Connaissements!$F194="","",Connaissements!$F194))</f>
        <v/>
      </c>
      <c r="H193" s="13" t="str">
        <f>IF($A193="","",Connaissements!$H194)</f>
        <v/>
      </c>
      <c r="I193" s="13" t="str">
        <f>IF($A193="","",COUNTIFS(Conteneurs!$B$3:$B$1002,$A193,Conteneurs!$M$3:$M$1002,"Embarqué"))</f>
        <v/>
      </c>
      <c r="J193" s="18" t="str">
        <f>IF($A193="","",Connaissements!$J194)</f>
        <v/>
      </c>
      <c r="K193" s="13" t="str">
        <f>IF($A193="","",COUNTIFS(Documents!$A$3:$A$1002,$A193))</f>
        <v/>
      </c>
      <c r="L193" s="13" t="str">
        <f>IF($A193="","",COUNTIFS(Documents!$A$3:$A$1002,$A193,Documents!$I$3:$I$1002,"Envoyé DHL"))</f>
        <v/>
      </c>
      <c r="M193" s="13" t="str">
        <f>IF($A193="","",COUNTIFS(Etapes!$A$5:$A$1504,$A193,Etapes!$F$5:$F$1504,"En retard"))</f>
        <v/>
      </c>
      <c r="N193" s="18" t="str">
        <f>IF($A193="","",SUMIFS(Couts_Transitaire!$I$3:$I$602,Couts_Transitaire!$B$3:$B$602,$A193))</f>
        <v/>
      </c>
      <c r="O193" s="13" t="str">
        <f>IF($A193="","",IF($M193&gt;0,"Étapes en retard",IF(Connaissements!$K194&lt;&gt;"OK","Contrôle BL à corriger",IF($H193=0,"Aucun conteneur saisi",IF($I193&lt;$H193,"Conteneurs non embarqués",IF($L193&lt;$K193,"Documents à finaliser",IF($N193&gt;0,"Coûts à payer","OK")))))))</f>
        <v/>
      </c>
    </row>
    <row r="194" spans="1:15" x14ac:dyDescent="0.35">
      <c r="A194" s="13" t="str">
        <f>IF(Connaissements!$A195="","",Connaissements!$A195)</f>
        <v/>
      </c>
      <c r="B194" s="13" t="str">
        <f>IF($A194="","",Connaissements!$B195)</f>
        <v/>
      </c>
      <c r="C194" s="13" t="str">
        <f>IF($A194="","",Connaissements!$G195)</f>
        <v/>
      </c>
      <c r="D194" s="13" t="str">
        <f>IF($A194="","",IFERROR(IF(INDEX(Bookings!$D$3:$D$202,MATCH($B194,Bookings!$A$3:$A$202,0))="","",INDEX(Bookings!$D$3:$D$202,MATCH($B194,Bookings!$A$3:$A$202,0))),""))</f>
        <v/>
      </c>
      <c r="E194" s="14" t="str">
        <f>IF($A194="","",IFERROR(IF(INDEX(Bookings!$G$3:$G$202,MATCH($B194,Bookings!$A$3:$A$202,0))="","",INDEX(Bookings!$G$3:$G$202,MATCH($B194,Bookings!$A$3:$A$202,0))),""))</f>
        <v/>
      </c>
      <c r="F194" s="14" t="str">
        <f>IF($A194="","",IFERROR(IF(INDEX(Bookings!$H$3:$H$202,MATCH($B194,Bookings!$A$3:$A$202,0))="","",INDEX(Bookings!$H$3:$H$202,MATCH($B194,Bookings!$A$3:$A$202,0))),""))</f>
        <v/>
      </c>
      <c r="G194" s="13" t="str">
        <f>IF($A194="","",IF(Connaissements!$F195="","",Connaissements!$F195))</f>
        <v/>
      </c>
      <c r="H194" s="13" t="str">
        <f>IF($A194="","",Connaissements!$H195)</f>
        <v/>
      </c>
      <c r="I194" s="13" t="str">
        <f>IF($A194="","",COUNTIFS(Conteneurs!$B$3:$B$1002,$A194,Conteneurs!$M$3:$M$1002,"Embarqué"))</f>
        <v/>
      </c>
      <c r="J194" s="18" t="str">
        <f>IF($A194="","",Connaissements!$J195)</f>
        <v/>
      </c>
      <c r="K194" s="13" t="str">
        <f>IF($A194="","",COUNTIFS(Documents!$A$3:$A$1002,$A194))</f>
        <v/>
      </c>
      <c r="L194" s="13" t="str">
        <f>IF($A194="","",COUNTIFS(Documents!$A$3:$A$1002,$A194,Documents!$I$3:$I$1002,"Envoyé DHL"))</f>
        <v/>
      </c>
      <c r="M194" s="13" t="str">
        <f>IF($A194="","",COUNTIFS(Etapes!$A$5:$A$1504,$A194,Etapes!$F$5:$F$1504,"En retard"))</f>
        <v/>
      </c>
      <c r="N194" s="18" t="str">
        <f>IF($A194="","",SUMIFS(Couts_Transitaire!$I$3:$I$602,Couts_Transitaire!$B$3:$B$602,$A194))</f>
        <v/>
      </c>
      <c r="O194" s="13" t="str">
        <f>IF($A194="","",IF($M194&gt;0,"Étapes en retard",IF(Connaissements!$K195&lt;&gt;"OK","Contrôle BL à corriger",IF($H194=0,"Aucun conteneur saisi",IF($I194&lt;$H194,"Conteneurs non embarqués",IF($L194&lt;$K194,"Documents à finaliser",IF($N194&gt;0,"Coûts à payer","OK")))))))</f>
        <v/>
      </c>
    </row>
    <row r="195" spans="1:15" x14ac:dyDescent="0.35">
      <c r="A195" s="13" t="str">
        <f>IF(Connaissements!$A196="","",Connaissements!$A196)</f>
        <v/>
      </c>
      <c r="B195" s="13" t="str">
        <f>IF($A195="","",Connaissements!$B196)</f>
        <v/>
      </c>
      <c r="C195" s="13" t="str">
        <f>IF($A195="","",Connaissements!$G196)</f>
        <v/>
      </c>
      <c r="D195" s="13" t="str">
        <f>IF($A195="","",IFERROR(IF(INDEX(Bookings!$D$3:$D$202,MATCH($B195,Bookings!$A$3:$A$202,0))="","",INDEX(Bookings!$D$3:$D$202,MATCH($B195,Bookings!$A$3:$A$202,0))),""))</f>
        <v/>
      </c>
      <c r="E195" s="14" t="str">
        <f>IF($A195="","",IFERROR(IF(INDEX(Bookings!$G$3:$G$202,MATCH($B195,Bookings!$A$3:$A$202,0))="","",INDEX(Bookings!$G$3:$G$202,MATCH($B195,Bookings!$A$3:$A$202,0))),""))</f>
        <v/>
      </c>
      <c r="F195" s="14" t="str">
        <f>IF($A195="","",IFERROR(IF(INDEX(Bookings!$H$3:$H$202,MATCH($B195,Bookings!$A$3:$A$202,0))="","",INDEX(Bookings!$H$3:$H$202,MATCH($B195,Bookings!$A$3:$A$202,0))),""))</f>
        <v/>
      </c>
      <c r="G195" s="13" t="str">
        <f>IF($A195="","",IF(Connaissements!$F196="","",Connaissements!$F196))</f>
        <v/>
      </c>
      <c r="H195" s="13" t="str">
        <f>IF($A195="","",Connaissements!$H196)</f>
        <v/>
      </c>
      <c r="I195" s="13" t="str">
        <f>IF($A195="","",COUNTIFS(Conteneurs!$B$3:$B$1002,$A195,Conteneurs!$M$3:$M$1002,"Embarqué"))</f>
        <v/>
      </c>
      <c r="J195" s="18" t="str">
        <f>IF($A195="","",Connaissements!$J196)</f>
        <v/>
      </c>
      <c r="K195" s="13" t="str">
        <f>IF($A195="","",COUNTIFS(Documents!$A$3:$A$1002,$A195))</f>
        <v/>
      </c>
      <c r="L195" s="13" t="str">
        <f>IF($A195="","",COUNTIFS(Documents!$A$3:$A$1002,$A195,Documents!$I$3:$I$1002,"Envoyé DHL"))</f>
        <v/>
      </c>
      <c r="M195" s="13" t="str">
        <f>IF($A195="","",COUNTIFS(Etapes!$A$5:$A$1504,$A195,Etapes!$F$5:$F$1504,"En retard"))</f>
        <v/>
      </c>
      <c r="N195" s="18" t="str">
        <f>IF($A195="","",SUMIFS(Couts_Transitaire!$I$3:$I$602,Couts_Transitaire!$B$3:$B$602,$A195))</f>
        <v/>
      </c>
      <c r="O195" s="13" t="str">
        <f>IF($A195="","",IF($M195&gt;0,"Étapes en retard",IF(Connaissements!$K196&lt;&gt;"OK","Contrôle BL à corriger",IF($H195=0,"Aucun conteneur saisi",IF($I195&lt;$H195,"Conteneurs non embarqués",IF($L195&lt;$K195,"Documents à finaliser",IF($N195&gt;0,"Coûts à payer","OK")))))))</f>
        <v/>
      </c>
    </row>
    <row r="196" spans="1:15" x14ac:dyDescent="0.35">
      <c r="A196" s="13" t="str">
        <f>IF(Connaissements!$A197="","",Connaissements!$A197)</f>
        <v/>
      </c>
      <c r="B196" s="13" t="str">
        <f>IF($A196="","",Connaissements!$B197)</f>
        <v/>
      </c>
      <c r="C196" s="13" t="str">
        <f>IF($A196="","",Connaissements!$G197)</f>
        <v/>
      </c>
      <c r="D196" s="13" t="str">
        <f>IF($A196="","",IFERROR(IF(INDEX(Bookings!$D$3:$D$202,MATCH($B196,Bookings!$A$3:$A$202,0))="","",INDEX(Bookings!$D$3:$D$202,MATCH($B196,Bookings!$A$3:$A$202,0))),""))</f>
        <v/>
      </c>
      <c r="E196" s="14" t="str">
        <f>IF($A196="","",IFERROR(IF(INDEX(Bookings!$G$3:$G$202,MATCH($B196,Bookings!$A$3:$A$202,0))="","",INDEX(Bookings!$G$3:$G$202,MATCH($B196,Bookings!$A$3:$A$202,0))),""))</f>
        <v/>
      </c>
      <c r="F196" s="14" t="str">
        <f>IF($A196="","",IFERROR(IF(INDEX(Bookings!$H$3:$H$202,MATCH($B196,Bookings!$A$3:$A$202,0))="","",INDEX(Bookings!$H$3:$H$202,MATCH($B196,Bookings!$A$3:$A$202,0))),""))</f>
        <v/>
      </c>
      <c r="G196" s="13" t="str">
        <f>IF($A196="","",IF(Connaissements!$F197="","",Connaissements!$F197))</f>
        <v/>
      </c>
      <c r="H196" s="13" t="str">
        <f>IF($A196="","",Connaissements!$H197)</f>
        <v/>
      </c>
      <c r="I196" s="13" t="str">
        <f>IF($A196="","",COUNTIFS(Conteneurs!$B$3:$B$1002,$A196,Conteneurs!$M$3:$M$1002,"Embarqué"))</f>
        <v/>
      </c>
      <c r="J196" s="18" t="str">
        <f>IF($A196="","",Connaissements!$J197)</f>
        <v/>
      </c>
      <c r="K196" s="13" t="str">
        <f>IF($A196="","",COUNTIFS(Documents!$A$3:$A$1002,$A196))</f>
        <v/>
      </c>
      <c r="L196" s="13" t="str">
        <f>IF($A196="","",COUNTIFS(Documents!$A$3:$A$1002,$A196,Documents!$I$3:$I$1002,"Envoyé DHL"))</f>
        <v/>
      </c>
      <c r="M196" s="13" t="str">
        <f>IF($A196="","",COUNTIFS(Etapes!$A$5:$A$1504,$A196,Etapes!$F$5:$F$1504,"En retard"))</f>
        <v/>
      </c>
      <c r="N196" s="18" t="str">
        <f>IF($A196="","",SUMIFS(Couts_Transitaire!$I$3:$I$602,Couts_Transitaire!$B$3:$B$602,$A196))</f>
        <v/>
      </c>
      <c r="O196" s="13" t="str">
        <f>IF($A196="","",IF($M196&gt;0,"Étapes en retard",IF(Connaissements!$K197&lt;&gt;"OK","Contrôle BL à corriger",IF($H196=0,"Aucun conteneur saisi",IF($I196&lt;$H196,"Conteneurs non embarqués",IF($L196&lt;$K196,"Documents à finaliser",IF($N196&gt;0,"Coûts à payer","OK")))))))</f>
        <v/>
      </c>
    </row>
    <row r="197" spans="1:15" x14ac:dyDescent="0.35">
      <c r="A197" s="13" t="str">
        <f>IF(Connaissements!$A198="","",Connaissements!$A198)</f>
        <v/>
      </c>
      <c r="B197" s="13" t="str">
        <f>IF($A197="","",Connaissements!$B198)</f>
        <v/>
      </c>
      <c r="C197" s="13" t="str">
        <f>IF($A197="","",Connaissements!$G198)</f>
        <v/>
      </c>
      <c r="D197" s="13" t="str">
        <f>IF($A197="","",IFERROR(IF(INDEX(Bookings!$D$3:$D$202,MATCH($B197,Bookings!$A$3:$A$202,0))="","",INDEX(Bookings!$D$3:$D$202,MATCH($B197,Bookings!$A$3:$A$202,0))),""))</f>
        <v/>
      </c>
      <c r="E197" s="14" t="str">
        <f>IF($A197="","",IFERROR(IF(INDEX(Bookings!$G$3:$G$202,MATCH($B197,Bookings!$A$3:$A$202,0))="","",INDEX(Bookings!$G$3:$G$202,MATCH($B197,Bookings!$A$3:$A$202,0))),""))</f>
        <v/>
      </c>
      <c r="F197" s="14" t="str">
        <f>IF($A197="","",IFERROR(IF(INDEX(Bookings!$H$3:$H$202,MATCH($B197,Bookings!$A$3:$A$202,0))="","",INDEX(Bookings!$H$3:$H$202,MATCH($B197,Bookings!$A$3:$A$202,0))),""))</f>
        <v/>
      </c>
      <c r="G197" s="13" t="str">
        <f>IF($A197="","",IF(Connaissements!$F198="","",Connaissements!$F198))</f>
        <v/>
      </c>
      <c r="H197" s="13" t="str">
        <f>IF($A197="","",Connaissements!$H198)</f>
        <v/>
      </c>
      <c r="I197" s="13" t="str">
        <f>IF($A197="","",COUNTIFS(Conteneurs!$B$3:$B$1002,$A197,Conteneurs!$M$3:$M$1002,"Embarqué"))</f>
        <v/>
      </c>
      <c r="J197" s="18" t="str">
        <f>IF($A197="","",Connaissements!$J198)</f>
        <v/>
      </c>
      <c r="K197" s="13" t="str">
        <f>IF($A197="","",COUNTIFS(Documents!$A$3:$A$1002,$A197))</f>
        <v/>
      </c>
      <c r="L197" s="13" t="str">
        <f>IF($A197="","",COUNTIFS(Documents!$A$3:$A$1002,$A197,Documents!$I$3:$I$1002,"Envoyé DHL"))</f>
        <v/>
      </c>
      <c r="M197" s="13" t="str">
        <f>IF($A197="","",COUNTIFS(Etapes!$A$5:$A$1504,$A197,Etapes!$F$5:$F$1504,"En retard"))</f>
        <v/>
      </c>
      <c r="N197" s="18" t="str">
        <f>IF($A197="","",SUMIFS(Couts_Transitaire!$I$3:$I$602,Couts_Transitaire!$B$3:$B$602,$A197))</f>
        <v/>
      </c>
      <c r="O197" s="13" t="str">
        <f>IF($A197="","",IF($M197&gt;0,"Étapes en retard",IF(Connaissements!$K198&lt;&gt;"OK","Contrôle BL à corriger",IF($H197=0,"Aucun conteneur saisi",IF($I197&lt;$H197,"Conteneurs non embarqués",IF($L197&lt;$K197,"Documents à finaliser",IF($N197&gt;0,"Coûts à payer","OK")))))))</f>
        <v/>
      </c>
    </row>
    <row r="198" spans="1:15" x14ac:dyDescent="0.35">
      <c r="A198" s="13" t="str">
        <f>IF(Connaissements!$A199="","",Connaissements!$A199)</f>
        <v/>
      </c>
      <c r="B198" s="13" t="str">
        <f>IF($A198="","",Connaissements!$B199)</f>
        <v/>
      </c>
      <c r="C198" s="13" t="str">
        <f>IF($A198="","",Connaissements!$G199)</f>
        <v/>
      </c>
      <c r="D198" s="13" t="str">
        <f>IF($A198="","",IFERROR(IF(INDEX(Bookings!$D$3:$D$202,MATCH($B198,Bookings!$A$3:$A$202,0))="","",INDEX(Bookings!$D$3:$D$202,MATCH($B198,Bookings!$A$3:$A$202,0))),""))</f>
        <v/>
      </c>
      <c r="E198" s="14" t="str">
        <f>IF($A198="","",IFERROR(IF(INDEX(Bookings!$G$3:$G$202,MATCH($B198,Bookings!$A$3:$A$202,0))="","",INDEX(Bookings!$G$3:$G$202,MATCH($B198,Bookings!$A$3:$A$202,0))),""))</f>
        <v/>
      </c>
      <c r="F198" s="14" t="str">
        <f>IF($A198="","",IFERROR(IF(INDEX(Bookings!$H$3:$H$202,MATCH($B198,Bookings!$A$3:$A$202,0))="","",INDEX(Bookings!$H$3:$H$202,MATCH($B198,Bookings!$A$3:$A$202,0))),""))</f>
        <v/>
      </c>
      <c r="G198" s="13" t="str">
        <f>IF($A198="","",IF(Connaissements!$F199="","",Connaissements!$F199))</f>
        <v/>
      </c>
      <c r="H198" s="13" t="str">
        <f>IF($A198="","",Connaissements!$H199)</f>
        <v/>
      </c>
      <c r="I198" s="13" t="str">
        <f>IF($A198="","",COUNTIFS(Conteneurs!$B$3:$B$1002,$A198,Conteneurs!$M$3:$M$1002,"Embarqué"))</f>
        <v/>
      </c>
      <c r="J198" s="18" t="str">
        <f>IF($A198="","",Connaissements!$J199)</f>
        <v/>
      </c>
      <c r="K198" s="13" t="str">
        <f>IF($A198="","",COUNTIFS(Documents!$A$3:$A$1002,$A198))</f>
        <v/>
      </c>
      <c r="L198" s="13" t="str">
        <f>IF($A198="","",COUNTIFS(Documents!$A$3:$A$1002,$A198,Documents!$I$3:$I$1002,"Envoyé DHL"))</f>
        <v/>
      </c>
      <c r="M198" s="13" t="str">
        <f>IF($A198="","",COUNTIFS(Etapes!$A$5:$A$1504,$A198,Etapes!$F$5:$F$1504,"En retard"))</f>
        <v/>
      </c>
      <c r="N198" s="18" t="str">
        <f>IF($A198="","",SUMIFS(Couts_Transitaire!$I$3:$I$602,Couts_Transitaire!$B$3:$B$602,$A198))</f>
        <v/>
      </c>
      <c r="O198" s="13" t="str">
        <f>IF($A198="","",IF($M198&gt;0,"Étapes en retard",IF(Connaissements!$K199&lt;&gt;"OK","Contrôle BL à corriger",IF($H198=0,"Aucun conteneur saisi",IF($I198&lt;$H198,"Conteneurs non embarqués",IF($L198&lt;$K198,"Documents à finaliser",IF($N198&gt;0,"Coûts à payer","OK")))))))</f>
        <v/>
      </c>
    </row>
    <row r="199" spans="1:15" x14ac:dyDescent="0.35">
      <c r="A199" s="13" t="str">
        <f>IF(Connaissements!$A200="","",Connaissements!$A200)</f>
        <v/>
      </c>
      <c r="B199" s="13" t="str">
        <f>IF($A199="","",Connaissements!$B200)</f>
        <v/>
      </c>
      <c r="C199" s="13" t="str">
        <f>IF($A199="","",Connaissements!$G200)</f>
        <v/>
      </c>
      <c r="D199" s="13" t="str">
        <f>IF($A199="","",IFERROR(IF(INDEX(Bookings!$D$3:$D$202,MATCH($B199,Bookings!$A$3:$A$202,0))="","",INDEX(Bookings!$D$3:$D$202,MATCH($B199,Bookings!$A$3:$A$202,0))),""))</f>
        <v/>
      </c>
      <c r="E199" s="14" t="str">
        <f>IF($A199="","",IFERROR(IF(INDEX(Bookings!$G$3:$G$202,MATCH($B199,Bookings!$A$3:$A$202,0))="","",INDEX(Bookings!$G$3:$G$202,MATCH($B199,Bookings!$A$3:$A$202,0))),""))</f>
        <v/>
      </c>
      <c r="F199" s="14" t="str">
        <f>IF($A199="","",IFERROR(IF(INDEX(Bookings!$H$3:$H$202,MATCH($B199,Bookings!$A$3:$A$202,0))="","",INDEX(Bookings!$H$3:$H$202,MATCH($B199,Bookings!$A$3:$A$202,0))),""))</f>
        <v/>
      </c>
      <c r="G199" s="13" t="str">
        <f>IF($A199="","",IF(Connaissements!$F200="","",Connaissements!$F200))</f>
        <v/>
      </c>
      <c r="H199" s="13" t="str">
        <f>IF($A199="","",Connaissements!$H200)</f>
        <v/>
      </c>
      <c r="I199" s="13" t="str">
        <f>IF($A199="","",COUNTIFS(Conteneurs!$B$3:$B$1002,$A199,Conteneurs!$M$3:$M$1002,"Embarqué"))</f>
        <v/>
      </c>
      <c r="J199" s="18" t="str">
        <f>IF($A199="","",Connaissements!$J200)</f>
        <v/>
      </c>
      <c r="K199" s="13" t="str">
        <f>IF($A199="","",COUNTIFS(Documents!$A$3:$A$1002,$A199))</f>
        <v/>
      </c>
      <c r="L199" s="13" t="str">
        <f>IF($A199="","",COUNTIFS(Documents!$A$3:$A$1002,$A199,Documents!$I$3:$I$1002,"Envoyé DHL"))</f>
        <v/>
      </c>
      <c r="M199" s="13" t="str">
        <f>IF($A199="","",COUNTIFS(Etapes!$A$5:$A$1504,$A199,Etapes!$F$5:$F$1504,"En retard"))</f>
        <v/>
      </c>
      <c r="N199" s="18" t="str">
        <f>IF($A199="","",SUMIFS(Couts_Transitaire!$I$3:$I$602,Couts_Transitaire!$B$3:$B$602,$A199))</f>
        <v/>
      </c>
      <c r="O199" s="13" t="str">
        <f>IF($A199="","",IF($M199&gt;0,"Étapes en retard",IF(Connaissements!$K200&lt;&gt;"OK","Contrôle BL à corriger",IF($H199=0,"Aucun conteneur saisi",IF($I199&lt;$H199,"Conteneurs non embarqués",IF($L199&lt;$K199,"Documents à finaliser",IF($N199&gt;0,"Coûts à payer","OK")))))))</f>
        <v/>
      </c>
    </row>
    <row r="200" spans="1:15" x14ac:dyDescent="0.35">
      <c r="A200" s="13" t="str">
        <f>IF(Connaissements!$A201="","",Connaissements!$A201)</f>
        <v/>
      </c>
      <c r="B200" s="13" t="str">
        <f>IF($A200="","",Connaissements!$B201)</f>
        <v/>
      </c>
      <c r="C200" s="13" t="str">
        <f>IF($A200="","",Connaissements!$G201)</f>
        <v/>
      </c>
      <c r="D200" s="13" t="str">
        <f>IF($A200="","",IFERROR(IF(INDEX(Bookings!$D$3:$D$202,MATCH($B200,Bookings!$A$3:$A$202,0))="","",INDEX(Bookings!$D$3:$D$202,MATCH($B200,Bookings!$A$3:$A$202,0))),""))</f>
        <v/>
      </c>
      <c r="E200" s="14" t="str">
        <f>IF($A200="","",IFERROR(IF(INDEX(Bookings!$G$3:$G$202,MATCH($B200,Bookings!$A$3:$A$202,0))="","",INDEX(Bookings!$G$3:$G$202,MATCH($B200,Bookings!$A$3:$A$202,0))),""))</f>
        <v/>
      </c>
      <c r="F200" s="14" t="str">
        <f>IF($A200="","",IFERROR(IF(INDEX(Bookings!$H$3:$H$202,MATCH($B200,Bookings!$A$3:$A$202,0))="","",INDEX(Bookings!$H$3:$H$202,MATCH($B200,Bookings!$A$3:$A$202,0))),""))</f>
        <v/>
      </c>
      <c r="G200" s="13" t="str">
        <f>IF($A200="","",IF(Connaissements!$F201="","",Connaissements!$F201))</f>
        <v/>
      </c>
      <c r="H200" s="13" t="str">
        <f>IF($A200="","",Connaissements!$H201)</f>
        <v/>
      </c>
      <c r="I200" s="13" t="str">
        <f>IF($A200="","",COUNTIFS(Conteneurs!$B$3:$B$1002,$A200,Conteneurs!$M$3:$M$1002,"Embarqué"))</f>
        <v/>
      </c>
      <c r="J200" s="18" t="str">
        <f>IF($A200="","",Connaissements!$J201)</f>
        <v/>
      </c>
      <c r="K200" s="13" t="str">
        <f>IF($A200="","",COUNTIFS(Documents!$A$3:$A$1002,$A200))</f>
        <v/>
      </c>
      <c r="L200" s="13" t="str">
        <f>IF($A200="","",COUNTIFS(Documents!$A$3:$A$1002,$A200,Documents!$I$3:$I$1002,"Envoyé DHL"))</f>
        <v/>
      </c>
      <c r="M200" s="13" t="str">
        <f>IF($A200="","",COUNTIFS(Etapes!$A$5:$A$1504,$A200,Etapes!$F$5:$F$1504,"En retard"))</f>
        <v/>
      </c>
      <c r="N200" s="18" t="str">
        <f>IF($A200="","",SUMIFS(Couts_Transitaire!$I$3:$I$602,Couts_Transitaire!$B$3:$B$602,$A200))</f>
        <v/>
      </c>
      <c r="O200" s="13" t="str">
        <f>IF($A200="","",IF($M200&gt;0,"Étapes en retard",IF(Connaissements!$K201&lt;&gt;"OK","Contrôle BL à corriger",IF($H200=0,"Aucun conteneur saisi",IF($I200&lt;$H200,"Conteneurs non embarqués",IF($L200&lt;$K200,"Documents à finaliser",IF($N200&gt;0,"Coûts à payer","OK")))))))</f>
        <v/>
      </c>
    </row>
    <row r="201" spans="1:15" x14ac:dyDescent="0.35">
      <c r="A201" s="13" t="str">
        <f>IF(Connaissements!$A202="","",Connaissements!$A202)</f>
        <v/>
      </c>
      <c r="B201" s="13" t="str">
        <f>IF($A201="","",Connaissements!$B202)</f>
        <v/>
      </c>
      <c r="C201" s="13" t="str">
        <f>IF($A201="","",Connaissements!$G202)</f>
        <v/>
      </c>
      <c r="D201" s="13" t="str">
        <f>IF($A201="","",IFERROR(IF(INDEX(Bookings!$D$3:$D$202,MATCH($B201,Bookings!$A$3:$A$202,0))="","",INDEX(Bookings!$D$3:$D$202,MATCH($B201,Bookings!$A$3:$A$202,0))),""))</f>
        <v/>
      </c>
      <c r="E201" s="14" t="str">
        <f>IF($A201="","",IFERROR(IF(INDEX(Bookings!$G$3:$G$202,MATCH($B201,Bookings!$A$3:$A$202,0))="","",INDEX(Bookings!$G$3:$G$202,MATCH($B201,Bookings!$A$3:$A$202,0))),""))</f>
        <v/>
      </c>
      <c r="F201" s="14" t="str">
        <f>IF($A201="","",IFERROR(IF(INDEX(Bookings!$H$3:$H$202,MATCH($B201,Bookings!$A$3:$A$202,0))="","",INDEX(Bookings!$H$3:$H$202,MATCH($B201,Bookings!$A$3:$A$202,0))),""))</f>
        <v/>
      </c>
      <c r="G201" s="13" t="str">
        <f>IF($A201="","",IF(Connaissements!$F202="","",Connaissements!$F202))</f>
        <v/>
      </c>
      <c r="H201" s="13" t="str">
        <f>IF($A201="","",Connaissements!$H202)</f>
        <v/>
      </c>
      <c r="I201" s="13" t="str">
        <f>IF($A201="","",COUNTIFS(Conteneurs!$B$3:$B$1002,$A201,Conteneurs!$M$3:$M$1002,"Embarqué"))</f>
        <v/>
      </c>
      <c r="J201" s="18" t="str">
        <f>IF($A201="","",Connaissements!$J202)</f>
        <v/>
      </c>
      <c r="K201" s="13" t="str">
        <f>IF($A201="","",COUNTIFS(Documents!$A$3:$A$1002,$A201))</f>
        <v/>
      </c>
      <c r="L201" s="13" t="str">
        <f>IF($A201="","",COUNTIFS(Documents!$A$3:$A$1002,$A201,Documents!$I$3:$I$1002,"Envoyé DHL"))</f>
        <v/>
      </c>
      <c r="M201" s="13" t="str">
        <f>IF($A201="","",COUNTIFS(Etapes!$A$5:$A$1504,$A201,Etapes!$F$5:$F$1504,"En retard"))</f>
        <v/>
      </c>
      <c r="N201" s="18" t="str">
        <f>IF($A201="","",SUMIFS(Couts_Transitaire!$I$3:$I$602,Couts_Transitaire!$B$3:$B$602,$A201))</f>
        <v/>
      </c>
      <c r="O201" s="13" t="str">
        <f>IF($A201="","",IF($M201&gt;0,"Étapes en retard",IF(Connaissements!$K202&lt;&gt;"OK","Contrôle BL à corriger",IF($H201=0,"Aucun conteneur saisi",IF($I201&lt;$H201,"Conteneurs non embarqués",IF($L201&lt;$K201,"Documents à finaliser",IF($N201&gt;0,"Coûts à payer","OK")))))))</f>
        <v/>
      </c>
    </row>
  </sheetData>
  <mergeCells count="1">
    <mergeCell ref="A1:O1"/>
  </mergeCells>
  <conditionalFormatting sqref="O3:O201">
    <cfRule type="cellIs" dxfId="24" priority="1" operator="equal">
      <formula>"OK"</formula>
    </cfRule>
    <cfRule type="expression" dxfId="23" priority="2">
      <formula>AND($O3&lt;&gt;"",$O3&lt;&gt;"OK")</formula>
    </cfRule>
  </conditionalFormatting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  <pageSetUpPr fitToPage="1"/>
  </sheetPr>
  <dimension ref="A1:M204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7265625" defaultRowHeight="14.5" x14ac:dyDescent="0.35"/>
  <cols>
    <col min="1" max="1" width="14" customWidth="1"/>
    <col min="2" max="2" width="26" customWidth="1"/>
    <col min="3" max="4" width="16" customWidth="1"/>
    <col min="5" max="6" width="14" customWidth="1"/>
    <col min="7" max="7" width="13" customWidth="1"/>
    <col min="8" max="8" width="14" customWidth="1"/>
    <col min="9" max="9" width="12" customWidth="1"/>
    <col min="10" max="10" width="27.08984375" customWidth="1"/>
    <col min="11" max="11" width="20.1796875" customWidth="1"/>
    <col min="12" max="12" width="12" customWidth="1"/>
    <col min="13" max="13" width="30" customWidth="1"/>
  </cols>
  <sheetData>
    <row r="1" spans="1:13" ht="20" x14ac:dyDescent="0.4">
      <c r="A1" s="19" t="s">
        <v>66</v>
      </c>
    </row>
    <row r="2" spans="1:13" ht="62" hidden="1" customHeight="1" x14ac:dyDescent="0.35">
      <c r="A2" s="49" t="s">
        <v>67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4" spans="1:13" ht="36" customHeight="1" x14ac:dyDescent="0.35">
      <c r="A4" s="12" t="s">
        <v>54</v>
      </c>
      <c r="B4" s="12" t="s">
        <v>68</v>
      </c>
      <c r="C4" s="12" t="s">
        <v>69</v>
      </c>
      <c r="D4" s="12" t="s">
        <v>70</v>
      </c>
      <c r="E4" s="12" t="s">
        <v>71</v>
      </c>
      <c r="F4" s="12" t="s">
        <v>196</v>
      </c>
      <c r="G4" s="12" t="s">
        <v>72</v>
      </c>
      <c r="H4" s="12" t="s">
        <v>73</v>
      </c>
      <c r="I4" s="12" t="s">
        <v>74</v>
      </c>
      <c r="J4" s="20" t="s">
        <v>75</v>
      </c>
      <c r="K4" s="20" t="s">
        <v>76</v>
      </c>
      <c r="L4" s="20" t="s">
        <v>77</v>
      </c>
      <c r="M4" s="12" t="s">
        <v>78</v>
      </c>
    </row>
    <row r="5" spans="1:13" x14ac:dyDescent="0.35">
      <c r="A5" s="51">
        <v>4600063618</v>
      </c>
      <c r="B5" s="13" t="s">
        <v>194</v>
      </c>
      <c r="C5" s="13" t="s">
        <v>195</v>
      </c>
      <c r="D5" s="13" t="s">
        <v>193</v>
      </c>
      <c r="E5" s="14"/>
      <c r="F5" s="14" t="s">
        <v>198</v>
      </c>
      <c r="G5" s="22"/>
      <c r="H5" s="22"/>
      <c r="I5" s="13" t="s">
        <v>80</v>
      </c>
      <c r="J5" s="23"/>
      <c r="K5" s="24"/>
      <c r="L5" s="25"/>
      <c r="M5" s="13"/>
    </row>
    <row r="6" spans="1:13" x14ac:dyDescent="0.35">
      <c r="A6" s="21"/>
      <c r="B6" s="13"/>
      <c r="C6" s="13"/>
      <c r="D6" s="13"/>
      <c r="E6" s="14"/>
      <c r="F6" s="14"/>
      <c r="G6" s="22"/>
      <c r="H6" s="22"/>
      <c r="I6" s="13"/>
      <c r="J6" s="23" t="str">
        <f>IF($A6="","",SUMIFS(Conteneurs!$H$3:$H$1002,Conteneurs!$L$3:$L$1002,$A6,Conteneurs!$M$3:$M$1002,"Embarqué")/1000)</f>
        <v/>
      </c>
      <c r="K6" s="24" t="str">
        <f>IF(OR($A6="",$G6=""),"",$G6-$J6)</f>
        <v/>
      </c>
      <c r="L6" s="25" t="str">
        <f>IF(OR($A6="",N($G6)=0),"",$J6/$G6)</f>
        <v/>
      </c>
      <c r="M6" s="13"/>
    </row>
    <row r="7" spans="1:13" x14ac:dyDescent="0.35">
      <c r="A7" s="21"/>
      <c r="B7" s="13"/>
      <c r="C7" s="13"/>
      <c r="D7" s="13"/>
      <c r="E7" s="14"/>
      <c r="F7" s="14"/>
      <c r="G7" s="22"/>
      <c r="H7" s="22"/>
      <c r="I7" s="13"/>
      <c r="J7" s="23" t="str">
        <f>IF($A7="","",SUMIFS(Conteneurs!$H$3:$H$1002,Conteneurs!$L$3:$L$1002,$A7,Conteneurs!$M$3:$M$1002,"Embarqué")/1000)</f>
        <v/>
      </c>
      <c r="K7" s="24" t="str">
        <f>IF(OR($A7="",$G7=""),"",$G7-$J7)</f>
        <v/>
      </c>
      <c r="L7" s="25" t="str">
        <f>IF(OR($A7="",N($G7)=0),"",$J7/$G7)</f>
        <v/>
      </c>
      <c r="M7" s="13"/>
    </row>
    <row r="8" spans="1:13" x14ac:dyDescent="0.35">
      <c r="A8" s="21"/>
      <c r="B8" s="13"/>
      <c r="C8" s="13"/>
      <c r="D8" s="13"/>
      <c r="E8" s="14"/>
      <c r="F8" s="14"/>
      <c r="G8" s="22"/>
      <c r="H8" s="22"/>
      <c r="I8" s="13"/>
      <c r="J8" s="23" t="str">
        <f>IF($A8="","",SUMIFS(Conteneurs!$H$3:$H$1002,Conteneurs!$L$3:$L$1002,$A8,Conteneurs!$M$3:$M$1002,"Embarqué")/1000)</f>
        <v/>
      </c>
      <c r="K8" s="24" t="str">
        <f>IF(OR($A8="",$G8=""),"",$G8-$J8)</f>
        <v/>
      </c>
      <c r="L8" s="25" t="str">
        <f>IF(OR($A8="",N($G8)=0),"",$J8/$G8)</f>
        <v/>
      </c>
      <c r="M8" s="13"/>
    </row>
    <row r="9" spans="1:13" x14ac:dyDescent="0.35">
      <c r="A9" s="21"/>
      <c r="B9" s="13"/>
      <c r="C9" s="13"/>
      <c r="D9" s="13"/>
      <c r="E9" s="14"/>
      <c r="F9" s="14"/>
      <c r="G9" s="22"/>
      <c r="H9" s="22"/>
      <c r="I9" s="13"/>
      <c r="J9" s="23" t="str">
        <f>IF($A9="","",SUMIFS(Conteneurs!$H$3:$H$1002,Conteneurs!$L$3:$L$1002,$A9,Conteneurs!$M$3:$M$1002,"Embarqué")/1000)</f>
        <v/>
      </c>
      <c r="K9" s="24" t="str">
        <f>IF(OR($A9="",$G9=""),"",$G9-$J9)</f>
        <v/>
      </c>
      <c r="L9" s="25" t="str">
        <f>IF(OR($A9="",N($G9)=0),"",$J9/$G9)</f>
        <v/>
      </c>
      <c r="M9" s="13"/>
    </row>
    <row r="10" spans="1:13" x14ac:dyDescent="0.35">
      <c r="A10" s="21"/>
      <c r="B10" s="13"/>
      <c r="C10" s="13"/>
      <c r="D10" s="13"/>
      <c r="E10" s="14"/>
      <c r="F10" s="14"/>
      <c r="G10" s="22"/>
      <c r="H10" s="22"/>
      <c r="I10" s="13"/>
      <c r="J10" s="23" t="str">
        <f>IF($A10="","",SUMIFS(Conteneurs!$H$3:$H$1002,Conteneurs!$L$3:$L$1002,$A10,Conteneurs!$M$3:$M$1002,"Embarqué")/1000)</f>
        <v/>
      </c>
      <c r="K10" s="24" t="str">
        <f>IF(OR($A10="",$G10=""),"",$G10-$J10)</f>
        <v/>
      </c>
      <c r="L10" s="25" t="str">
        <f>IF(OR($A10="",N($G10)=0),"",$J10/$G10)</f>
        <v/>
      </c>
      <c r="M10" s="13"/>
    </row>
    <row r="11" spans="1:13" x14ac:dyDescent="0.35">
      <c r="A11" s="21"/>
      <c r="B11" s="13"/>
      <c r="C11" s="13"/>
      <c r="D11" s="13"/>
      <c r="E11" s="14"/>
      <c r="F11" s="14"/>
      <c r="G11" s="22"/>
      <c r="H11" s="22"/>
      <c r="I11" s="13"/>
      <c r="J11" s="23" t="str">
        <f>IF($A11="","",SUMIFS(Conteneurs!$H$3:$H$1002,Conteneurs!$L$3:$L$1002,$A11,Conteneurs!$M$3:$M$1002,"Embarqué")/1000)</f>
        <v/>
      </c>
      <c r="K11" s="24" t="str">
        <f>IF(OR($A11="",$G11=""),"",$G11-$J11)</f>
        <v/>
      </c>
      <c r="L11" s="25" t="str">
        <f>IF(OR($A11="",N($G11)=0),"",$J11/$G11)</f>
        <v/>
      </c>
      <c r="M11" s="13"/>
    </row>
    <row r="12" spans="1:13" x14ac:dyDescent="0.35">
      <c r="A12" s="21"/>
      <c r="B12" s="13"/>
      <c r="C12" s="13"/>
      <c r="D12" s="13"/>
      <c r="E12" s="14"/>
      <c r="F12" s="14"/>
      <c r="G12" s="22"/>
      <c r="H12" s="22"/>
      <c r="I12" s="13"/>
      <c r="J12" s="23" t="str">
        <f>IF($A12="","",SUMIFS(Conteneurs!$H$3:$H$1002,Conteneurs!$L$3:$L$1002,$A12,Conteneurs!$M$3:$M$1002,"Embarqué")/1000)</f>
        <v/>
      </c>
      <c r="K12" s="24" t="str">
        <f>IF(OR($A12="",$G12=""),"",$G12-$J12)</f>
        <v/>
      </c>
      <c r="L12" s="25" t="str">
        <f>IF(OR($A12="",N($G12)=0),"",$J12/$G12)</f>
        <v/>
      </c>
      <c r="M12" s="13"/>
    </row>
    <row r="13" spans="1:13" x14ac:dyDescent="0.35">
      <c r="A13" s="21"/>
      <c r="B13" s="13"/>
      <c r="C13" s="13"/>
      <c r="D13" s="13"/>
      <c r="E13" s="14"/>
      <c r="F13" s="14"/>
      <c r="G13" s="22"/>
      <c r="H13" s="22"/>
      <c r="I13" s="13"/>
      <c r="J13" s="23" t="str">
        <f>IF($A13="","",SUMIFS(Conteneurs!$H$3:$H$1002,Conteneurs!$L$3:$L$1002,$A13,Conteneurs!$M$3:$M$1002,"Embarqué")/1000)</f>
        <v/>
      </c>
      <c r="K13" s="24" t="str">
        <f>IF(OR($A13="",$G13=""),"",$G13-$J13)</f>
        <v/>
      </c>
      <c r="L13" s="25" t="str">
        <f>IF(OR($A13="",N($G13)=0),"",$J13/$G13)</f>
        <v/>
      </c>
      <c r="M13" s="13"/>
    </row>
    <row r="14" spans="1:13" x14ac:dyDescent="0.35">
      <c r="A14" s="21"/>
      <c r="B14" s="13"/>
      <c r="C14" s="13"/>
      <c r="D14" s="13"/>
      <c r="E14" s="14"/>
      <c r="F14" s="14"/>
      <c r="G14" s="22"/>
      <c r="H14" s="22"/>
      <c r="I14" s="13"/>
      <c r="J14" s="23" t="str">
        <f>IF($A14="","",SUMIFS(Conteneurs!$H$3:$H$1002,Conteneurs!$L$3:$L$1002,$A14,Conteneurs!$M$3:$M$1002,"Embarqué")/1000)</f>
        <v/>
      </c>
      <c r="K14" s="24" t="str">
        <f>IF(OR($A14="",$G14=""),"",$G14-$J14)</f>
        <v/>
      </c>
      <c r="L14" s="25" t="str">
        <f>IF(OR($A14="",N($G14)=0),"",$J14/$G14)</f>
        <v/>
      </c>
      <c r="M14" s="13"/>
    </row>
    <row r="15" spans="1:13" x14ac:dyDescent="0.35">
      <c r="A15" s="21"/>
      <c r="B15" s="13"/>
      <c r="C15" s="13"/>
      <c r="D15" s="13"/>
      <c r="E15" s="14"/>
      <c r="F15" s="14"/>
      <c r="G15" s="22"/>
      <c r="H15" s="22"/>
      <c r="I15" s="13"/>
      <c r="J15" s="23" t="str">
        <f>IF($A15="","",SUMIFS(Conteneurs!$H$3:$H$1002,Conteneurs!$L$3:$L$1002,$A15,Conteneurs!$M$3:$M$1002,"Embarqué")/1000)</f>
        <v/>
      </c>
      <c r="K15" s="24" t="str">
        <f>IF(OR($A15="",$G15=""),"",$G15-$J15)</f>
        <v/>
      </c>
      <c r="L15" s="25" t="str">
        <f>IF(OR($A15="",N($G15)=0),"",$J15/$G15)</f>
        <v/>
      </c>
      <c r="M15" s="13"/>
    </row>
    <row r="16" spans="1:13" x14ac:dyDescent="0.35">
      <c r="A16" s="21"/>
      <c r="B16" s="13"/>
      <c r="C16" s="13"/>
      <c r="D16" s="13"/>
      <c r="E16" s="14"/>
      <c r="F16" s="14"/>
      <c r="G16" s="22"/>
      <c r="H16" s="22"/>
      <c r="I16" s="13"/>
      <c r="J16" s="23" t="str">
        <f>IF($A16="","",SUMIFS(Conteneurs!$H$3:$H$1002,Conteneurs!$L$3:$L$1002,$A16,Conteneurs!$M$3:$M$1002,"Embarqué")/1000)</f>
        <v/>
      </c>
      <c r="K16" s="24" t="str">
        <f>IF(OR($A16="",$G16=""),"",$G16-$J16)</f>
        <v/>
      </c>
      <c r="L16" s="25" t="str">
        <f>IF(OR($A16="",N($G16)=0),"",$J16/$G16)</f>
        <v/>
      </c>
      <c r="M16" s="13"/>
    </row>
    <row r="17" spans="1:13" x14ac:dyDescent="0.35">
      <c r="A17" s="21"/>
      <c r="B17" s="13"/>
      <c r="C17" s="13"/>
      <c r="D17" s="13"/>
      <c r="E17" s="14"/>
      <c r="F17" s="14"/>
      <c r="G17" s="22"/>
      <c r="H17" s="22"/>
      <c r="I17" s="13"/>
      <c r="J17" s="23" t="str">
        <f>IF($A17="","",SUMIFS(Conteneurs!$H$3:$H$1002,Conteneurs!$L$3:$L$1002,$A17,Conteneurs!$M$3:$M$1002,"Embarqué")/1000)</f>
        <v/>
      </c>
      <c r="K17" s="24" t="str">
        <f>IF(OR($A17="",$G17=""),"",$G17-$J17)</f>
        <v/>
      </c>
      <c r="L17" s="25" t="str">
        <f>IF(OR($A17="",N($G17)=0),"",$J17/$G17)</f>
        <v/>
      </c>
      <c r="M17" s="13"/>
    </row>
    <row r="18" spans="1:13" x14ac:dyDescent="0.35">
      <c r="A18" s="21"/>
      <c r="B18" s="13"/>
      <c r="C18" s="13"/>
      <c r="D18" s="13"/>
      <c r="E18" s="14"/>
      <c r="F18" s="14"/>
      <c r="G18" s="22"/>
      <c r="H18" s="22"/>
      <c r="I18" s="13"/>
      <c r="J18" s="23" t="str">
        <f>IF($A18="","",SUMIFS(Conteneurs!$H$3:$H$1002,Conteneurs!$L$3:$L$1002,$A18,Conteneurs!$M$3:$M$1002,"Embarqué")/1000)</f>
        <v/>
      </c>
      <c r="K18" s="24" t="str">
        <f>IF(OR($A18="",$G18=""),"",$G18-$J18)</f>
        <v/>
      </c>
      <c r="L18" s="25" t="str">
        <f>IF(OR($A18="",N($G18)=0),"",$J18/$G18)</f>
        <v/>
      </c>
      <c r="M18" s="13"/>
    </row>
    <row r="19" spans="1:13" x14ac:dyDescent="0.35">
      <c r="A19" s="21"/>
      <c r="B19" s="13"/>
      <c r="C19" s="13"/>
      <c r="D19" s="13"/>
      <c r="E19" s="14"/>
      <c r="F19" s="14"/>
      <c r="G19" s="22"/>
      <c r="H19" s="22"/>
      <c r="I19" s="13"/>
      <c r="J19" s="23" t="str">
        <f>IF($A19="","",SUMIFS(Conteneurs!$H$3:$H$1002,Conteneurs!$L$3:$L$1002,$A19,Conteneurs!$M$3:$M$1002,"Embarqué")/1000)</f>
        <v/>
      </c>
      <c r="K19" s="24" t="str">
        <f>IF(OR($A19="",$G19=""),"",$G19-$J19)</f>
        <v/>
      </c>
      <c r="L19" s="25" t="str">
        <f>IF(OR($A19="",N($G19)=0),"",$J19/$G19)</f>
        <v/>
      </c>
      <c r="M19" s="13"/>
    </row>
    <row r="20" spans="1:13" x14ac:dyDescent="0.35">
      <c r="A20" s="21"/>
      <c r="B20" s="13"/>
      <c r="C20" s="13"/>
      <c r="D20" s="13"/>
      <c r="E20" s="14"/>
      <c r="F20" s="14"/>
      <c r="G20" s="22"/>
      <c r="H20" s="22"/>
      <c r="I20" s="13"/>
      <c r="J20" s="23" t="str">
        <f>IF($A20="","",SUMIFS(Conteneurs!$H$3:$H$1002,Conteneurs!$L$3:$L$1002,$A20,Conteneurs!$M$3:$M$1002,"Embarqué")/1000)</f>
        <v/>
      </c>
      <c r="K20" s="24" t="str">
        <f>IF(OR($A20="",$G20=""),"",$G20-$J20)</f>
        <v/>
      </c>
      <c r="L20" s="25" t="str">
        <f>IF(OR($A20="",N($G20)=0),"",$J20/$G20)</f>
        <v/>
      </c>
      <c r="M20" s="13"/>
    </row>
    <row r="21" spans="1:13" x14ac:dyDescent="0.35">
      <c r="A21" s="21"/>
      <c r="B21" s="13"/>
      <c r="C21" s="13"/>
      <c r="D21" s="13"/>
      <c r="E21" s="14"/>
      <c r="F21" s="14"/>
      <c r="G21" s="22"/>
      <c r="H21" s="22"/>
      <c r="I21" s="13"/>
      <c r="J21" s="23" t="str">
        <f>IF($A21="","",SUMIFS(Conteneurs!$H$3:$H$1002,Conteneurs!$L$3:$L$1002,$A21,Conteneurs!$M$3:$M$1002,"Embarqué")/1000)</f>
        <v/>
      </c>
      <c r="K21" s="24" t="str">
        <f>IF(OR($A21="",$G21=""),"",$G21-$J21)</f>
        <v/>
      </c>
      <c r="L21" s="25" t="str">
        <f>IF(OR($A21="",N($G21)=0),"",$J21/$G21)</f>
        <v/>
      </c>
      <c r="M21" s="13"/>
    </row>
    <row r="22" spans="1:13" x14ac:dyDescent="0.35">
      <c r="A22" s="21"/>
      <c r="B22" s="13"/>
      <c r="C22" s="13"/>
      <c r="D22" s="13"/>
      <c r="E22" s="14"/>
      <c r="F22" s="14"/>
      <c r="G22" s="22"/>
      <c r="H22" s="22"/>
      <c r="I22" s="13"/>
      <c r="J22" s="23" t="str">
        <f>IF($A22="","",SUMIFS(Conteneurs!$H$3:$H$1002,Conteneurs!$L$3:$L$1002,$A22,Conteneurs!$M$3:$M$1002,"Embarqué")/1000)</f>
        <v/>
      </c>
      <c r="K22" s="24" t="str">
        <f>IF(OR($A22="",$G22=""),"",$G22-$J22)</f>
        <v/>
      </c>
      <c r="L22" s="25" t="str">
        <f>IF(OR($A22="",N($G22)=0),"",$J22/$G22)</f>
        <v/>
      </c>
      <c r="M22" s="13"/>
    </row>
    <row r="23" spans="1:13" x14ac:dyDescent="0.35">
      <c r="A23" s="21"/>
      <c r="B23" s="13"/>
      <c r="C23" s="13"/>
      <c r="D23" s="13"/>
      <c r="E23" s="14"/>
      <c r="F23" s="14"/>
      <c r="G23" s="22"/>
      <c r="H23" s="22"/>
      <c r="I23" s="13"/>
      <c r="J23" s="23" t="str">
        <f>IF($A23="","",SUMIFS(Conteneurs!$H$3:$H$1002,Conteneurs!$L$3:$L$1002,$A23,Conteneurs!$M$3:$M$1002,"Embarqué")/1000)</f>
        <v/>
      </c>
      <c r="K23" s="24" t="str">
        <f>IF(OR($A23="",$G23=""),"",$G23-$J23)</f>
        <v/>
      </c>
      <c r="L23" s="25" t="str">
        <f>IF(OR($A23="",N($G23)=0),"",$J23/$G23)</f>
        <v/>
      </c>
      <c r="M23" s="13"/>
    </row>
    <row r="24" spans="1:13" x14ac:dyDescent="0.35">
      <c r="A24" s="21"/>
      <c r="B24" s="13"/>
      <c r="C24" s="13"/>
      <c r="D24" s="13"/>
      <c r="E24" s="14"/>
      <c r="F24" s="14"/>
      <c r="G24" s="22"/>
      <c r="H24" s="22"/>
      <c r="I24" s="13"/>
      <c r="J24" s="23" t="str">
        <f>IF($A24="","",SUMIFS(Conteneurs!$H$3:$H$1002,Conteneurs!$L$3:$L$1002,$A24,Conteneurs!$M$3:$M$1002,"Embarqué")/1000)</f>
        <v/>
      </c>
      <c r="K24" s="24" t="str">
        <f>IF(OR($A24="",$G24=""),"",$G24-$J24)</f>
        <v/>
      </c>
      <c r="L24" s="25" t="str">
        <f>IF(OR($A24="",N($G24)=0),"",$J24/$G24)</f>
        <v/>
      </c>
      <c r="M24" s="13"/>
    </row>
    <row r="25" spans="1:13" x14ac:dyDescent="0.35">
      <c r="A25" s="21"/>
      <c r="B25" s="13"/>
      <c r="C25" s="13"/>
      <c r="D25" s="13"/>
      <c r="E25" s="14"/>
      <c r="F25" s="14"/>
      <c r="G25" s="22"/>
      <c r="H25" s="22"/>
      <c r="I25" s="13"/>
      <c r="J25" s="23" t="str">
        <f>IF($A25="","",SUMIFS(Conteneurs!$H$3:$H$1002,Conteneurs!$L$3:$L$1002,$A25,Conteneurs!$M$3:$M$1002,"Embarqué")/1000)</f>
        <v/>
      </c>
      <c r="K25" s="24" t="str">
        <f>IF(OR($A25="",$G25=""),"",$G25-$J25)</f>
        <v/>
      </c>
      <c r="L25" s="25" t="str">
        <f>IF(OR($A25="",N($G25)=0),"",$J25/$G25)</f>
        <v/>
      </c>
      <c r="M25" s="13"/>
    </row>
    <row r="26" spans="1:13" x14ac:dyDescent="0.35">
      <c r="A26" s="21"/>
      <c r="B26" s="13"/>
      <c r="C26" s="13"/>
      <c r="D26" s="13"/>
      <c r="E26" s="14"/>
      <c r="F26" s="14"/>
      <c r="G26" s="22"/>
      <c r="H26" s="22"/>
      <c r="I26" s="13"/>
      <c r="J26" s="23" t="str">
        <f>IF($A26="","",SUMIFS(Conteneurs!$H$3:$H$1002,Conteneurs!$L$3:$L$1002,$A26,Conteneurs!$M$3:$M$1002,"Embarqué")/1000)</f>
        <v/>
      </c>
      <c r="K26" s="24" t="str">
        <f>IF(OR($A26="",$G26=""),"",$G26-$J26)</f>
        <v/>
      </c>
      <c r="L26" s="25" t="str">
        <f>IF(OR($A26="",N($G26)=0),"",$J26/$G26)</f>
        <v/>
      </c>
      <c r="M26" s="13"/>
    </row>
    <row r="27" spans="1:13" x14ac:dyDescent="0.35">
      <c r="A27" s="21"/>
      <c r="B27" s="13"/>
      <c r="C27" s="13"/>
      <c r="D27" s="13"/>
      <c r="E27" s="14"/>
      <c r="F27" s="14"/>
      <c r="G27" s="22"/>
      <c r="H27" s="22"/>
      <c r="I27" s="13"/>
      <c r="J27" s="23" t="str">
        <f>IF($A27="","",SUMIFS(Conteneurs!$H$3:$H$1002,Conteneurs!$L$3:$L$1002,$A27,Conteneurs!$M$3:$M$1002,"Embarqué")/1000)</f>
        <v/>
      </c>
      <c r="K27" s="24" t="str">
        <f>IF(OR($A27="",$G27=""),"",$G27-$J27)</f>
        <v/>
      </c>
      <c r="L27" s="25" t="str">
        <f>IF(OR($A27="",N($G27)=0),"",$J27/$G27)</f>
        <v/>
      </c>
      <c r="M27" s="13"/>
    </row>
    <row r="28" spans="1:13" x14ac:dyDescent="0.35">
      <c r="A28" s="21"/>
      <c r="B28" s="13"/>
      <c r="C28" s="13"/>
      <c r="D28" s="13"/>
      <c r="E28" s="14"/>
      <c r="F28" s="14"/>
      <c r="G28" s="22"/>
      <c r="H28" s="22"/>
      <c r="I28" s="13"/>
      <c r="J28" s="23" t="str">
        <f>IF($A28="","",SUMIFS(Conteneurs!$H$3:$H$1002,Conteneurs!$L$3:$L$1002,$A28,Conteneurs!$M$3:$M$1002,"Embarqué")/1000)</f>
        <v/>
      </c>
      <c r="K28" s="24" t="str">
        <f>IF(OR($A28="",$G28=""),"",$G28-$J28)</f>
        <v/>
      </c>
      <c r="L28" s="25" t="str">
        <f>IF(OR($A28="",N($G28)=0),"",$J28/$G28)</f>
        <v/>
      </c>
      <c r="M28" s="13"/>
    </row>
    <row r="29" spans="1:13" x14ac:dyDescent="0.35">
      <c r="A29" s="21"/>
      <c r="B29" s="13"/>
      <c r="C29" s="13"/>
      <c r="D29" s="13"/>
      <c r="E29" s="14"/>
      <c r="F29" s="14"/>
      <c r="G29" s="22"/>
      <c r="H29" s="22"/>
      <c r="I29" s="13"/>
      <c r="J29" s="23" t="str">
        <f>IF($A29="","",SUMIFS(Conteneurs!$H$3:$H$1002,Conteneurs!$L$3:$L$1002,$A29,Conteneurs!$M$3:$M$1002,"Embarqué")/1000)</f>
        <v/>
      </c>
      <c r="K29" s="24" t="str">
        <f>IF(OR($A29="",$G29=""),"",$G29-$J29)</f>
        <v/>
      </c>
      <c r="L29" s="25" t="str">
        <f>IF(OR($A29="",N($G29)=0),"",$J29/$G29)</f>
        <v/>
      </c>
      <c r="M29" s="13"/>
    </row>
    <row r="30" spans="1:13" x14ac:dyDescent="0.35">
      <c r="A30" s="21"/>
      <c r="B30" s="13"/>
      <c r="C30" s="13"/>
      <c r="D30" s="13"/>
      <c r="E30" s="14"/>
      <c r="F30" s="14"/>
      <c r="G30" s="22"/>
      <c r="H30" s="22"/>
      <c r="I30" s="13"/>
      <c r="J30" s="23" t="str">
        <f>IF($A30="","",SUMIFS(Conteneurs!$H$3:$H$1002,Conteneurs!$L$3:$L$1002,$A30,Conteneurs!$M$3:$M$1002,"Embarqué")/1000)</f>
        <v/>
      </c>
      <c r="K30" s="24" t="str">
        <f>IF(OR($A30="",$G30=""),"",$G30-$J30)</f>
        <v/>
      </c>
      <c r="L30" s="25" t="str">
        <f>IF(OR($A30="",N($G30)=0),"",$J30/$G30)</f>
        <v/>
      </c>
      <c r="M30" s="13"/>
    </row>
    <row r="31" spans="1:13" x14ac:dyDescent="0.35">
      <c r="A31" s="21"/>
      <c r="B31" s="13"/>
      <c r="C31" s="13"/>
      <c r="D31" s="13"/>
      <c r="E31" s="14"/>
      <c r="F31" s="14"/>
      <c r="G31" s="22"/>
      <c r="H31" s="22"/>
      <c r="I31" s="13"/>
      <c r="J31" s="23" t="str">
        <f>IF($A31="","",SUMIFS(Conteneurs!$H$3:$H$1002,Conteneurs!$L$3:$L$1002,$A31,Conteneurs!$M$3:$M$1002,"Embarqué")/1000)</f>
        <v/>
      </c>
      <c r="K31" s="24" t="str">
        <f>IF(OR($A31="",$G31=""),"",$G31-$J31)</f>
        <v/>
      </c>
      <c r="L31" s="25" t="str">
        <f>IF(OR($A31="",N($G31)=0),"",$J31/$G31)</f>
        <v/>
      </c>
      <c r="M31" s="13"/>
    </row>
    <row r="32" spans="1:13" x14ac:dyDescent="0.35">
      <c r="A32" s="21"/>
      <c r="B32" s="13"/>
      <c r="C32" s="13"/>
      <c r="D32" s="13"/>
      <c r="E32" s="14"/>
      <c r="F32" s="14"/>
      <c r="G32" s="22"/>
      <c r="H32" s="22"/>
      <c r="I32" s="13"/>
      <c r="J32" s="23" t="str">
        <f>IF($A32="","",SUMIFS(Conteneurs!$H$3:$H$1002,Conteneurs!$L$3:$L$1002,$A32,Conteneurs!$M$3:$M$1002,"Embarqué")/1000)</f>
        <v/>
      </c>
      <c r="K32" s="24" t="str">
        <f>IF(OR($A32="",$G32=""),"",$G32-$J32)</f>
        <v/>
      </c>
      <c r="L32" s="25" t="str">
        <f>IF(OR($A32="",N($G32)=0),"",$J32/$G32)</f>
        <v/>
      </c>
      <c r="M32" s="13"/>
    </row>
    <row r="33" spans="1:13" x14ac:dyDescent="0.35">
      <c r="A33" s="21"/>
      <c r="B33" s="13"/>
      <c r="C33" s="13"/>
      <c r="D33" s="13"/>
      <c r="E33" s="14"/>
      <c r="F33" s="14"/>
      <c r="G33" s="22"/>
      <c r="H33" s="22"/>
      <c r="I33" s="13"/>
      <c r="J33" s="23" t="str">
        <f>IF($A33="","",SUMIFS(Conteneurs!$H$3:$H$1002,Conteneurs!$L$3:$L$1002,$A33,Conteneurs!$M$3:$M$1002,"Embarqué")/1000)</f>
        <v/>
      </c>
      <c r="K33" s="24" t="str">
        <f>IF(OR($A33="",$G33=""),"",$G33-$J33)</f>
        <v/>
      </c>
      <c r="L33" s="25" t="str">
        <f>IF(OR($A33="",N($G33)=0),"",$J33/$G33)</f>
        <v/>
      </c>
      <c r="M33" s="13"/>
    </row>
    <row r="34" spans="1:13" x14ac:dyDescent="0.35">
      <c r="A34" s="21"/>
      <c r="B34" s="13"/>
      <c r="C34" s="13"/>
      <c r="D34" s="13"/>
      <c r="E34" s="14"/>
      <c r="F34" s="14"/>
      <c r="G34" s="22"/>
      <c r="H34" s="22"/>
      <c r="I34" s="13"/>
      <c r="J34" s="23" t="str">
        <f>IF($A34="","",SUMIFS(Conteneurs!$H$3:$H$1002,Conteneurs!$L$3:$L$1002,$A34,Conteneurs!$M$3:$M$1002,"Embarqué")/1000)</f>
        <v/>
      </c>
      <c r="K34" s="24" t="str">
        <f>IF(OR($A34="",$G34=""),"",$G34-$J34)</f>
        <v/>
      </c>
      <c r="L34" s="25" t="str">
        <f>IF(OR($A34="",N($G34)=0),"",$J34/$G34)</f>
        <v/>
      </c>
      <c r="M34" s="13"/>
    </row>
    <row r="35" spans="1:13" x14ac:dyDescent="0.35">
      <c r="A35" s="21"/>
      <c r="B35" s="13"/>
      <c r="C35" s="13"/>
      <c r="D35" s="13"/>
      <c r="E35" s="14"/>
      <c r="F35" s="14"/>
      <c r="G35" s="22"/>
      <c r="H35" s="22"/>
      <c r="I35" s="13"/>
      <c r="J35" s="23" t="str">
        <f>IF($A35="","",SUMIFS(Conteneurs!$H$3:$H$1002,Conteneurs!$L$3:$L$1002,$A35,Conteneurs!$M$3:$M$1002,"Embarqué")/1000)</f>
        <v/>
      </c>
      <c r="K35" s="24" t="str">
        <f>IF(OR($A35="",$G35=""),"",$G35-$J35)</f>
        <v/>
      </c>
      <c r="L35" s="25" t="str">
        <f>IF(OR($A35="",N($G35)=0),"",$J35/$G35)</f>
        <v/>
      </c>
      <c r="M35" s="13"/>
    </row>
    <row r="36" spans="1:13" x14ac:dyDescent="0.35">
      <c r="A36" s="21"/>
      <c r="B36" s="13"/>
      <c r="C36" s="13"/>
      <c r="D36" s="13"/>
      <c r="E36" s="14"/>
      <c r="F36" s="14"/>
      <c r="G36" s="22"/>
      <c r="H36" s="22"/>
      <c r="I36" s="13"/>
      <c r="J36" s="23" t="str">
        <f>IF($A36="","",SUMIFS(Conteneurs!$H$3:$H$1002,Conteneurs!$L$3:$L$1002,$A36,Conteneurs!$M$3:$M$1002,"Embarqué")/1000)</f>
        <v/>
      </c>
      <c r="K36" s="24" t="str">
        <f>IF(OR($A36="",$G36=""),"",$G36-$J36)</f>
        <v/>
      </c>
      <c r="L36" s="25" t="str">
        <f>IF(OR($A36="",N($G36)=0),"",$J36/$G36)</f>
        <v/>
      </c>
      <c r="M36" s="13"/>
    </row>
    <row r="37" spans="1:13" x14ac:dyDescent="0.35">
      <c r="A37" s="21"/>
      <c r="B37" s="13"/>
      <c r="C37" s="13"/>
      <c r="D37" s="13"/>
      <c r="E37" s="14"/>
      <c r="F37" s="14"/>
      <c r="G37" s="22"/>
      <c r="H37" s="22"/>
      <c r="I37" s="13"/>
      <c r="J37" s="23" t="str">
        <f>IF($A37="","",SUMIFS(Conteneurs!$H$3:$H$1002,Conteneurs!$L$3:$L$1002,$A37,Conteneurs!$M$3:$M$1002,"Embarqué")/1000)</f>
        <v/>
      </c>
      <c r="K37" s="24" t="str">
        <f t="shared" ref="K37:K68" si="0">IF(OR($A37="",$G37=""),"",$G37-$J37)</f>
        <v/>
      </c>
      <c r="L37" s="25" t="str">
        <f t="shared" ref="L37:L68" si="1">IF(OR($A37="",N($G37)=0),"",$J37/$G37)</f>
        <v/>
      </c>
      <c r="M37" s="13"/>
    </row>
    <row r="38" spans="1:13" x14ac:dyDescent="0.35">
      <c r="A38" s="21"/>
      <c r="B38" s="13"/>
      <c r="C38" s="13"/>
      <c r="D38" s="13"/>
      <c r="E38" s="14"/>
      <c r="F38" s="14"/>
      <c r="G38" s="22"/>
      <c r="H38" s="22"/>
      <c r="I38" s="13"/>
      <c r="J38" s="23" t="str">
        <f>IF($A38="","",SUMIFS(Conteneurs!$H$3:$H$1002,Conteneurs!$L$3:$L$1002,$A38,Conteneurs!$M$3:$M$1002,"Embarqué")/1000)</f>
        <v/>
      </c>
      <c r="K38" s="24" t="str">
        <f t="shared" si="0"/>
        <v/>
      </c>
      <c r="L38" s="25" t="str">
        <f t="shared" si="1"/>
        <v/>
      </c>
      <c r="M38" s="13"/>
    </row>
    <row r="39" spans="1:13" x14ac:dyDescent="0.35">
      <c r="A39" s="21"/>
      <c r="B39" s="13"/>
      <c r="C39" s="13"/>
      <c r="D39" s="13"/>
      <c r="E39" s="14"/>
      <c r="F39" s="14"/>
      <c r="G39" s="22"/>
      <c r="H39" s="22"/>
      <c r="I39" s="13"/>
      <c r="J39" s="23" t="str">
        <f>IF($A39="","",SUMIFS(Conteneurs!$H$3:$H$1002,Conteneurs!$L$3:$L$1002,$A39,Conteneurs!$M$3:$M$1002,"Embarqué")/1000)</f>
        <v/>
      </c>
      <c r="K39" s="24" t="str">
        <f t="shared" si="0"/>
        <v/>
      </c>
      <c r="L39" s="25" t="str">
        <f t="shared" si="1"/>
        <v/>
      </c>
      <c r="M39" s="13"/>
    </row>
    <row r="40" spans="1:13" x14ac:dyDescent="0.35">
      <c r="A40" s="21"/>
      <c r="B40" s="13"/>
      <c r="C40" s="13"/>
      <c r="D40" s="13"/>
      <c r="E40" s="14"/>
      <c r="F40" s="14"/>
      <c r="G40" s="22"/>
      <c r="H40" s="22"/>
      <c r="I40" s="13"/>
      <c r="J40" s="23" t="str">
        <f>IF($A40="","",SUMIFS(Conteneurs!$H$3:$H$1002,Conteneurs!$L$3:$L$1002,$A40,Conteneurs!$M$3:$M$1002,"Embarqué")/1000)</f>
        <v/>
      </c>
      <c r="K40" s="24" t="str">
        <f t="shared" si="0"/>
        <v/>
      </c>
      <c r="L40" s="25" t="str">
        <f t="shared" si="1"/>
        <v/>
      </c>
      <c r="M40" s="13"/>
    </row>
    <row r="41" spans="1:13" x14ac:dyDescent="0.35">
      <c r="A41" s="21"/>
      <c r="B41" s="13"/>
      <c r="C41" s="13"/>
      <c r="D41" s="13"/>
      <c r="E41" s="14"/>
      <c r="F41" s="14"/>
      <c r="G41" s="22"/>
      <c r="H41" s="22"/>
      <c r="I41" s="13"/>
      <c r="J41" s="23" t="str">
        <f>IF($A41="","",SUMIFS(Conteneurs!$H$3:$H$1002,Conteneurs!$L$3:$L$1002,$A41,Conteneurs!$M$3:$M$1002,"Embarqué")/1000)</f>
        <v/>
      </c>
      <c r="K41" s="24" t="str">
        <f t="shared" si="0"/>
        <v/>
      </c>
      <c r="L41" s="25" t="str">
        <f t="shared" si="1"/>
        <v/>
      </c>
      <c r="M41" s="13"/>
    </row>
    <row r="42" spans="1:13" x14ac:dyDescent="0.35">
      <c r="A42" s="21"/>
      <c r="B42" s="13"/>
      <c r="C42" s="13"/>
      <c r="D42" s="13"/>
      <c r="E42" s="14"/>
      <c r="F42" s="14"/>
      <c r="G42" s="22"/>
      <c r="H42" s="22"/>
      <c r="I42" s="13"/>
      <c r="J42" s="23" t="str">
        <f>IF($A42="","",SUMIFS(Conteneurs!$H$3:$H$1002,Conteneurs!$L$3:$L$1002,$A42,Conteneurs!$M$3:$M$1002,"Embarqué")/1000)</f>
        <v/>
      </c>
      <c r="K42" s="24" t="str">
        <f t="shared" si="0"/>
        <v/>
      </c>
      <c r="L42" s="25" t="str">
        <f t="shared" si="1"/>
        <v/>
      </c>
      <c r="M42" s="13"/>
    </row>
    <row r="43" spans="1:13" x14ac:dyDescent="0.35">
      <c r="A43" s="21"/>
      <c r="B43" s="13"/>
      <c r="C43" s="13"/>
      <c r="D43" s="13"/>
      <c r="E43" s="14"/>
      <c r="F43" s="14"/>
      <c r="G43" s="22"/>
      <c r="H43" s="22"/>
      <c r="I43" s="13"/>
      <c r="J43" s="23" t="str">
        <f>IF($A43="","",SUMIFS(Conteneurs!$H$3:$H$1002,Conteneurs!$L$3:$L$1002,$A43,Conteneurs!$M$3:$M$1002,"Embarqué")/1000)</f>
        <v/>
      </c>
      <c r="K43" s="24" t="str">
        <f t="shared" si="0"/>
        <v/>
      </c>
      <c r="L43" s="25" t="str">
        <f t="shared" si="1"/>
        <v/>
      </c>
      <c r="M43" s="13"/>
    </row>
    <row r="44" spans="1:13" x14ac:dyDescent="0.35">
      <c r="A44" s="21"/>
      <c r="B44" s="13"/>
      <c r="C44" s="13"/>
      <c r="D44" s="13"/>
      <c r="E44" s="14"/>
      <c r="F44" s="14"/>
      <c r="G44" s="22"/>
      <c r="H44" s="22"/>
      <c r="I44" s="13"/>
      <c r="J44" s="23" t="str">
        <f>IF($A44="","",SUMIFS(Conteneurs!$H$3:$H$1002,Conteneurs!$L$3:$L$1002,$A44,Conteneurs!$M$3:$M$1002,"Embarqué")/1000)</f>
        <v/>
      </c>
      <c r="K44" s="24" t="str">
        <f t="shared" si="0"/>
        <v/>
      </c>
      <c r="L44" s="25" t="str">
        <f t="shared" si="1"/>
        <v/>
      </c>
      <c r="M44" s="13"/>
    </row>
    <row r="45" spans="1:13" x14ac:dyDescent="0.35">
      <c r="A45" s="21"/>
      <c r="B45" s="13"/>
      <c r="C45" s="13"/>
      <c r="D45" s="13"/>
      <c r="E45" s="14"/>
      <c r="F45" s="14"/>
      <c r="G45" s="22"/>
      <c r="H45" s="22"/>
      <c r="I45" s="13"/>
      <c r="J45" s="23" t="str">
        <f>IF($A45="","",SUMIFS(Conteneurs!$H$3:$H$1002,Conteneurs!$L$3:$L$1002,$A45,Conteneurs!$M$3:$M$1002,"Embarqué")/1000)</f>
        <v/>
      </c>
      <c r="K45" s="24" t="str">
        <f t="shared" si="0"/>
        <v/>
      </c>
      <c r="L45" s="25" t="str">
        <f t="shared" si="1"/>
        <v/>
      </c>
      <c r="M45" s="13"/>
    </row>
    <row r="46" spans="1:13" x14ac:dyDescent="0.35">
      <c r="A46" s="21"/>
      <c r="B46" s="13"/>
      <c r="C46" s="13"/>
      <c r="D46" s="13"/>
      <c r="E46" s="14"/>
      <c r="F46" s="14"/>
      <c r="G46" s="22"/>
      <c r="H46" s="22"/>
      <c r="I46" s="13"/>
      <c r="J46" s="23" t="str">
        <f>IF($A46="","",SUMIFS(Conteneurs!$H$3:$H$1002,Conteneurs!$L$3:$L$1002,$A46,Conteneurs!$M$3:$M$1002,"Embarqué")/1000)</f>
        <v/>
      </c>
      <c r="K46" s="24" t="str">
        <f t="shared" si="0"/>
        <v/>
      </c>
      <c r="L46" s="25" t="str">
        <f t="shared" si="1"/>
        <v/>
      </c>
      <c r="M46" s="13"/>
    </row>
    <row r="47" spans="1:13" x14ac:dyDescent="0.35">
      <c r="A47" s="21"/>
      <c r="B47" s="13"/>
      <c r="C47" s="13"/>
      <c r="D47" s="13"/>
      <c r="E47" s="14"/>
      <c r="F47" s="14"/>
      <c r="G47" s="22"/>
      <c r="H47" s="22"/>
      <c r="I47" s="13"/>
      <c r="J47" s="23" t="str">
        <f>IF($A47="","",SUMIFS(Conteneurs!$H$3:$H$1002,Conteneurs!$L$3:$L$1002,$A47,Conteneurs!$M$3:$M$1002,"Embarqué")/1000)</f>
        <v/>
      </c>
      <c r="K47" s="24" t="str">
        <f t="shared" si="0"/>
        <v/>
      </c>
      <c r="L47" s="25" t="str">
        <f t="shared" si="1"/>
        <v/>
      </c>
      <c r="M47" s="13"/>
    </row>
    <row r="48" spans="1:13" x14ac:dyDescent="0.35">
      <c r="A48" s="21"/>
      <c r="B48" s="13"/>
      <c r="C48" s="13"/>
      <c r="D48" s="13"/>
      <c r="E48" s="14"/>
      <c r="F48" s="14"/>
      <c r="G48" s="22"/>
      <c r="H48" s="22"/>
      <c r="I48" s="13"/>
      <c r="J48" s="23" t="str">
        <f>IF($A48="","",SUMIFS(Conteneurs!$H$3:$H$1002,Conteneurs!$L$3:$L$1002,$A48,Conteneurs!$M$3:$M$1002,"Embarqué")/1000)</f>
        <v/>
      </c>
      <c r="K48" s="24" t="str">
        <f t="shared" si="0"/>
        <v/>
      </c>
      <c r="L48" s="25" t="str">
        <f t="shared" si="1"/>
        <v/>
      </c>
      <c r="M48" s="13"/>
    </row>
    <row r="49" spans="1:13" x14ac:dyDescent="0.35">
      <c r="A49" s="21"/>
      <c r="B49" s="13"/>
      <c r="C49" s="13"/>
      <c r="D49" s="13"/>
      <c r="E49" s="14"/>
      <c r="F49" s="14"/>
      <c r="G49" s="22"/>
      <c r="H49" s="22"/>
      <c r="I49" s="13"/>
      <c r="J49" s="23" t="str">
        <f>IF($A49="","",SUMIFS(Conteneurs!$H$3:$H$1002,Conteneurs!$L$3:$L$1002,$A49,Conteneurs!$M$3:$M$1002,"Embarqué")/1000)</f>
        <v/>
      </c>
      <c r="K49" s="24" t="str">
        <f t="shared" si="0"/>
        <v/>
      </c>
      <c r="L49" s="25" t="str">
        <f t="shared" si="1"/>
        <v/>
      </c>
      <c r="M49" s="13"/>
    </row>
    <row r="50" spans="1:13" x14ac:dyDescent="0.35">
      <c r="A50" s="21"/>
      <c r="B50" s="13"/>
      <c r="C50" s="13"/>
      <c r="D50" s="13"/>
      <c r="E50" s="14"/>
      <c r="F50" s="14"/>
      <c r="G50" s="22"/>
      <c r="H50" s="22"/>
      <c r="I50" s="13"/>
      <c r="J50" s="23" t="str">
        <f>IF($A50="","",SUMIFS(Conteneurs!$H$3:$H$1002,Conteneurs!$L$3:$L$1002,$A50,Conteneurs!$M$3:$M$1002,"Embarqué")/1000)</f>
        <v/>
      </c>
      <c r="K50" s="24" t="str">
        <f t="shared" si="0"/>
        <v/>
      </c>
      <c r="L50" s="25" t="str">
        <f t="shared" si="1"/>
        <v/>
      </c>
      <c r="M50" s="13"/>
    </row>
    <row r="51" spans="1:13" x14ac:dyDescent="0.35">
      <c r="A51" s="21"/>
      <c r="B51" s="13"/>
      <c r="C51" s="13"/>
      <c r="D51" s="13"/>
      <c r="E51" s="14"/>
      <c r="F51" s="14"/>
      <c r="G51" s="22"/>
      <c r="H51" s="22"/>
      <c r="I51" s="13"/>
      <c r="J51" s="23" t="str">
        <f>IF($A51="","",SUMIFS(Conteneurs!$H$3:$H$1002,Conteneurs!$L$3:$L$1002,$A51,Conteneurs!$M$3:$M$1002,"Embarqué")/1000)</f>
        <v/>
      </c>
      <c r="K51" s="24" t="str">
        <f t="shared" si="0"/>
        <v/>
      </c>
      <c r="L51" s="25" t="str">
        <f t="shared" si="1"/>
        <v/>
      </c>
      <c r="M51" s="13"/>
    </row>
    <row r="52" spans="1:13" x14ac:dyDescent="0.35">
      <c r="A52" s="21"/>
      <c r="B52" s="13"/>
      <c r="C52" s="13"/>
      <c r="D52" s="13"/>
      <c r="E52" s="14"/>
      <c r="F52" s="14"/>
      <c r="G52" s="22"/>
      <c r="H52" s="22"/>
      <c r="I52" s="13"/>
      <c r="J52" s="23" t="str">
        <f>IF($A52="","",SUMIFS(Conteneurs!$H$3:$H$1002,Conteneurs!$L$3:$L$1002,$A52,Conteneurs!$M$3:$M$1002,"Embarqué")/1000)</f>
        <v/>
      </c>
      <c r="K52" s="24" t="str">
        <f t="shared" si="0"/>
        <v/>
      </c>
      <c r="L52" s="25" t="str">
        <f t="shared" si="1"/>
        <v/>
      </c>
      <c r="M52" s="13"/>
    </row>
    <row r="53" spans="1:13" x14ac:dyDescent="0.35">
      <c r="A53" s="21"/>
      <c r="B53" s="13"/>
      <c r="C53" s="13"/>
      <c r="D53" s="13"/>
      <c r="E53" s="14"/>
      <c r="F53" s="14"/>
      <c r="G53" s="22"/>
      <c r="H53" s="22"/>
      <c r="I53" s="13"/>
      <c r="J53" s="23" t="str">
        <f>IF($A53="","",SUMIFS(Conteneurs!$H$3:$H$1002,Conteneurs!$L$3:$L$1002,$A53,Conteneurs!$M$3:$M$1002,"Embarqué")/1000)</f>
        <v/>
      </c>
      <c r="K53" s="24" t="str">
        <f t="shared" si="0"/>
        <v/>
      </c>
      <c r="L53" s="25" t="str">
        <f t="shared" si="1"/>
        <v/>
      </c>
      <c r="M53" s="13"/>
    </row>
    <row r="54" spans="1:13" x14ac:dyDescent="0.35">
      <c r="A54" s="21"/>
      <c r="B54" s="13"/>
      <c r="C54" s="13"/>
      <c r="D54" s="13"/>
      <c r="E54" s="14"/>
      <c r="F54" s="14"/>
      <c r="G54" s="22"/>
      <c r="H54" s="22"/>
      <c r="I54" s="13"/>
      <c r="J54" s="23" t="str">
        <f>IF($A54="","",SUMIFS(Conteneurs!$H$3:$H$1002,Conteneurs!$L$3:$L$1002,$A54,Conteneurs!$M$3:$M$1002,"Embarqué")/1000)</f>
        <v/>
      </c>
      <c r="K54" s="24" t="str">
        <f t="shared" si="0"/>
        <v/>
      </c>
      <c r="L54" s="25" t="str">
        <f t="shared" si="1"/>
        <v/>
      </c>
      <c r="M54" s="13"/>
    </row>
    <row r="55" spans="1:13" x14ac:dyDescent="0.35">
      <c r="A55" s="21"/>
      <c r="B55" s="13"/>
      <c r="C55" s="13"/>
      <c r="D55" s="13"/>
      <c r="E55" s="14"/>
      <c r="F55" s="14"/>
      <c r="G55" s="22"/>
      <c r="H55" s="22"/>
      <c r="I55" s="13"/>
      <c r="J55" s="23" t="str">
        <f>IF($A55="","",SUMIFS(Conteneurs!$H$3:$H$1002,Conteneurs!$L$3:$L$1002,$A55,Conteneurs!$M$3:$M$1002,"Embarqué")/1000)</f>
        <v/>
      </c>
      <c r="K55" s="24" t="str">
        <f t="shared" si="0"/>
        <v/>
      </c>
      <c r="L55" s="25" t="str">
        <f t="shared" si="1"/>
        <v/>
      </c>
      <c r="M55" s="13"/>
    </row>
    <row r="56" spans="1:13" x14ac:dyDescent="0.35">
      <c r="A56" s="21"/>
      <c r="B56" s="13"/>
      <c r="C56" s="13"/>
      <c r="D56" s="13"/>
      <c r="E56" s="14"/>
      <c r="F56" s="14"/>
      <c r="G56" s="22"/>
      <c r="H56" s="22"/>
      <c r="I56" s="13"/>
      <c r="J56" s="23" t="str">
        <f>IF($A56="","",SUMIFS(Conteneurs!$H$3:$H$1002,Conteneurs!$L$3:$L$1002,$A56,Conteneurs!$M$3:$M$1002,"Embarqué")/1000)</f>
        <v/>
      </c>
      <c r="K56" s="24" t="str">
        <f t="shared" si="0"/>
        <v/>
      </c>
      <c r="L56" s="25" t="str">
        <f t="shared" si="1"/>
        <v/>
      </c>
      <c r="M56" s="13"/>
    </row>
    <row r="57" spans="1:13" x14ac:dyDescent="0.35">
      <c r="A57" s="21"/>
      <c r="B57" s="13"/>
      <c r="C57" s="13"/>
      <c r="D57" s="13"/>
      <c r="E57" s="14"/>
      <c r="F57" s="14"/>
      <c r="G57" s="22"/>
      <c r="H57" s="22"/>
      <c r="I57" s="13"/>
      <c r="J57" s="23" t="str">
        <f>IF($A57="","",SUMIFS(Conteneurs!$H$3:$H$1002,Conteneurs!$L$3:$L$1002,$A57,Conteneurs!$M$3:$M$1002,"Embarqué")/1000)</f>
        <v/>
      </c>
      <c r="K57" s="24" t="str">
        <f t="shared" si="0"/>
        <v/>
      </c>
      <c r="L57" s="25" t="str">
        <f t="shared" si="1"/>
        <v/>
      </c>
      <c r="M57" s="13"/>
    </row>
    <row r="58" spans="1:13" x14ac:dyDescent="0.35">
      <c r="A58" s="21"/>
      <c r="B58" s="13"/>
      <c r="C58" s="13"/>
      <c r="D58" s="13"/>
      <c r="E58" s="14"/>
      <c r="F58" s="14"/>
      <c r="G58" s="22"/>
      <c r="H58" s="22"/>
      <c r="I58" s="13"/>
      <c r="J58" s="23" t="str">
        <f>IF($A58="","",SUMIFS(Conteneurs!$H$3:$H$1002,Conteneurs!$L$3:$L$1002,$A58,Conteneurs!$M$3:$M$1002,"Embarqué")/1000)</f>
        <v/>
      </c>
      <c r="K58" s="24" t="str">
        <f t="shared" si="0"/>
        <v/>
      </c>
      <c r="L58" s="25" t="str">
        <f t="shared" si="1"/>
        <v/>
      </c>
      <c r="M58" s="13"/>
    </row>
    <row r="59" spans="1:13" x14ac:dyDescent="0.35">
      <c r="A59" s="21"/>
      <c r="B59" s="13"/>
      <c r="C59" s="13"/>
      <c r="D59" s="13"/>
      <c r="E59" s="14"/>
      <c r="F59" s="14"/>
      <c r="G59" s="22"/>
      <c r="H59" s="22"/>
      <c r="I59" s="13"/>
      <c r="J59" s="23" t="str">
        <f>IF($A59="","",SUMIFS(Conteneurs!$H$3:$H$1002,Conteneurs!$L$3:$L$1002,$A59,Conteneurs!$M$3:$M$1002,"Embarqué")/1000)</f>
        <v/>
      </c>
      <c r="K59" s="24" t="str">
        <f t="shared" si="0"/>
        <v/>
      </c>
      <c r="L59" s="25" t="str">
        <f t="shared" si="1"/>
        <v/>
      </c>
      <c r="M59" s="13"/>
    </row>
    <row r="60" spans="1:13" x14ac:dyDescent="0.35">
      <c r="A60" s="21"/>
      <c r="B60" s="13"/>
      <c r="C60" s="13"/>
      <c r="D60" s="13"/>
      <c r="E60" s="14"/>
      <c r="F60" s="14"/>
      <c r="G60" s="22"/>
      <c r="H60" s="22"/>
      <c r="I60" s="13"/>
      <c r="J60" s="23" t="str">
        <f>IF($A60="","",SUMIFS(Conteneurs!$H$3:$H$1002,Conteneurs!$L$3:$L$1002,$A60,Conteneurs!$M$3:$M$1002,"Embarqué")/1000)</f>
        <v/>
      </c>
      <c r="K60" s="24" t="str">
        <f t="shared" si="0"/>
        <v/>
      </c>
      <c r="L60" s="25" t="str">
        <f t="shared" si="1"/>
        <v/>
      </c>
      <c r="M60" s="13"/>
    </row>
    <row r="61" spans="1:13" x14ac:dyDescent="0.35">
      <c r="A61" s="21"/>
      <c r="B61" s="13"/>
      <c r="C61" s="13"/>
      <c r="D61" s="13"/>
      <c r="E61" s="14"/>
      <c r="F61" s="14"/>
      <c r="G61" s="22"/>
      <c r="H61" s="22"/>
      <c r="I61" s="13"/>
      <c r="J61" s="23" t="str">
        <f>IF($A61="","",SUMIFS(Conteneurs!$H$3:$H$1002,Conteneurs!$L$3:$L$1002,$A61,Conteneurs!$M$3:$M$1002,"Embarqué")/1000)</f>
        <v/>
      </c>
      <c r="K61" s="24" t="str">
        <f t="shared" si="0"/>
        <v/>
      </c>
      <c r="L61" s="25" t="str">
        <f t="shared" si="1"/>
        <v/>
      </c>
      <c r="M61" s="13"/>
    </row>
    <row r="62" spans="1:13" x14ac:dyDescent="0.35">
      <c r="A62" s="21"/>
      <c r="B62" s="13"/>
      <c r="C62" s="13"/>
      <c r="D62" s="13"/>
      <c r="E62" s="14"/>
      <c r="F62" s="14"/>
      <c r="G62" s="22"/>
      <c r="H62" s="22"/>
      <c r="I62" s="13"/>
      <c r="J62" s="23" t="str">
        <f>IF($A62="","",SUMIFS(Conteneurs!$H$3:$H$1002,Conteneurs!$L$3:$L$1002,$A62,Conteneurs!$M$3:$M$1002,"Embarqué")/1000)</f>
        <v/>
      </c>
      <c r="K62" s="24" t="str">
        <f t="shared" si="0"/>
        <v/>
      </c>
      <c r="L62" s="25" t="str">
        <f t="shared" si="1"/>
        <v/>
      </c>
      <c r="M62" s="13"/>
    </row>
    <row r="63" spans="1:13" x14ac:dyDescent="0.35">
      <c r="A63" s="21"/>
      <c r="B63" s="13"/>
      <c r="C63" s="13"/>
      <c r="D63" s="13"/>
      <c r="E63" s="14"/>
      <c r="F63" s="14"/>
      <c r="G63" s="22"/>
      <c r="H63" s="22"/>
      <c r="I63" s="13"/>
      <c r="J63" s="23" t="str">
        <f>IF($A63="","",SUMIFS(Conteneurs!$H$3:$H$1002,Conteneurs!$L$3:$L$1002,$A63,Conteneurs!$M$3:$M$1002,"Embarqué")/1000)</f>
        <v/>
      </c>
      <c r="K63" s="24" t="str">
        <f t="shared" si="0"/>
        <v/>
      </c>
      <c r="L63" s="25" t="str">
        <f t="shared" si="1"/>
        <v/>
      </c>
      <c r="M63" s="13"/>
    </row>
    <row r="64" spans="1:13" x14ac:dyDescent="0.35">
      <c r="A64" s="21"/>
      <c r="B64" s="13"/>
      <c r="C64" s="13"/>
      <c r="D64" s="13"/>
      <c r="E64" s="14"/>
      <c r="F64" s="14"/>
      <c r="G64" s="22"/>
      <c r="H64" s="22"/>
      <c r="I64" s="13"/>
      <c r="J64" s="23" t="str">
        <f>IF($A64="","",SUMIFS(Conteneurs!$H$3:$H$1002,Conteneurs!$L$3:$L$1002,$A64,Conteneurs!$M$3:$M$1002,"Embarqué")/1000)</f>
        <v/>
      </c>
      <c r="K64" s="24" t="str">
        <f t="shared" si="0"/>
        <v/>
      </c>
      <c r="L64" s="25" t="str">
        <f t="shared" si="1"/>
        <v/>
      </c>
      <c r="M64" s="13"/>
    </row>
    <row r="65" spans="1:13" x14ac:dyDescent="0.35">
      <c r="A65" s="21"/>
      <c r="B65" s="13"/>
      <c r="C65" s="13"/>
      <c r="D65" s="13"/>
      <c r="E65" s="14"/>
      <c r="F65" s="14"/>
      <c r="G65" s="22"/>
      <c r="H65" s="22"/>
      <c r="I65" s="13"/>
      <c r="J65" s="23" t="str">
        <f>IF($A65="","",SUMIFS(Conteneurs!$H$3:$H$1002,Conteneurs!$L$3:$L$1002,$A65,Conteneurs!$M$3:$M$1002,"Embarqué")/1000)</f>
        <v/>
      </c>
      <c r="K65" s="24" t="str">
        <f t="shared" si="0"/>
        <v/>
      </c>
      <c r="L65" s="25" t="str">
        <f t="shared" si="1"/>
        <v/>
      </c>
      <c r="M65" s="13"/>
    </row>
    <row r="66" spans="1:13" x14ac:dyDescent="0.35">
      <c r="A66" s="21"/>
      <c r="B66" s="13"/>
      <c r="C66" s="13"/>
      <c r="D66" s="13"/>
      <c r="E66" s="14"/>
      <c r="F66" s="14"/>
      <c r="G66" s="22"/>
      <c r="H66" s="22"/>
      <c r="I66" s="13"/>
      <c r="J66" s="23" t="str">
        <f>IF($A66="","",SUMIFS(Conteneurs!$H$3:$H$1002,Conteneurs!$L$3:$L$1002,$A66,Conteneurs!$M$3:$M$1002,"Embarqué")/1000)</f>
        <v/>
      </c>
      <c r="K66" s="24" t="str">
        <f t="shared" si="0"/>
        <v/>
      </c>
      <c r="L66" s="25" t="str">
        <f t="shared" si="1"/>
        <v/>
      </c>
      <c r="M66" s="13"/>
    </row>
    <row r="67" spans="1:13" x14ac:dyDescent="0.35">
      <c r="A67" s="21"/>
      <c r="B67" s="13"/>
      <c r="C67" s="13"/>
      <c r="D67" s="13"/>
      <c r="E67" s="14"/>
      <c r="F67" s="14"/>
      <c r="G67" s="22"/>
      <c r="H67" s="22"/>
      <c r="I67" s="13"/>
      <c r="J67" s="23" t="str">
        <f>IF($A67="","",SUMIFS(Conteneurs!$H$3:$H$1002,Conteneurs!$L$3:$L$1002,$A67,Conteneurs!$M$3:$M$1002,"Embarqué")/1000)</f>
        <v/>
      </c>
      <c r="K67" s="24" t="str">
        <f t="shared" si="0"/>
        <v/>
      </c>
      <c r="L67" s="25" t="str">
        <f t="shared" si="1"/>
        <v/>
      </c>
      <c r="M67" s="13"/>
    </row>
    <row r="68" spans="1:13" x14ac:dyDescent="0.35">
      <c r="A68" s="21"/>
      <c r="B68" s="13"/>
      <c r="C68" s="13"/>
      <c r="D68" s="13"/>
      <c r="E68" s="14"/>
      <c r="F68" s="14"/>
      <c r="G68" s="22"/>
      <c r="H68" s="22"/>
      <c r="I68" s="13"/>
      <c r="J68" s="23" t="str">
        <f>IF($A68="","",SUMIFS(Conteneurs!$H$3:$H$1002,Conteneurs!$L$3:$L$1002,$A68,Conteneurs!$M$3:$M$1002,"Embarqué")/1000)</f>
        <v/>
      </c>
      <c r="K68" s="24" t="str">
        <f t="shared" si="0"/>
        <v/>
      </c>
      <c r="L68" s="25" t="str">
        <f t="shared" si="1"/>
        <v/>
      </c>
      <c r="M68" s="13"/>
    </row>
    <row r="69" spans="1:13" x14ac:dyDescent="0.35">
      <c r="A69" s="21"/>
      <c r="B69" s="13"/>
      <c r="C69" s="13"/>
      <c r="D69" s="13"/>
      <c r="E69" s="14"/>
      <c r="F69" s="14"/>
      <c r="G69" s="22"/>
      <c r="H69" s="22"/>
      <c r="I69" s="13"/>
      <c r="J69" s="23" t="str">
        <f>IF($A69="","",SUMIFS(Conteneurs!$H$3:$H$1002,Conteneurs!$L$3:$L$1002,$A69,Conteneurs!$M$3:$M$1002,"Embarqué")/1000)</f>
        <v/>
      </c>
      <c r="K69" s="24" t="str">
        <f t="shared" ref="K69:K100" si="2">IF(OR($A69="",$G69=""),"",$G69-$J69)</f>
        <v/>
      </c>
      <c r="L69" s="25" t="str">
        <f t="shared" ref="L69:L100" si="3">IF(OR($A69="",N($G69)=0),"",$J69/$G69)</f>
        <v/>
      </c>
      <c r="M69" s="13"/>
    </row>
    <row r="70" spans="1:13" x14ac:dyDescent="0.35">
      <c r="A70" s="21"/>
      <c r="B70" s="13"/>
      <c r="C70" s="13"/>
      <c r="D70" s="13"/>
      <c r="E70" s="14"/>
      <c r="F70" s="14"/>
      <c r="G70" s="22"/>
      <c r="H70" s="22"/>
      <c r="I70" s="13"/>
      <c r="J70" s="23" t="str">
        <f>IF($A70="","",SUMIFS(Conteneurs!$H$3:$H$1002,Conteneurs!$L$3:$L$1002,$A70,Conteneurs!$M$3:$M$1002,"Embarqué")/1000)</f>
        <v/>
      </c>
      <c r="K70" s="24" t="str">
        <f t="shared" si="2"/>
        <v/>
      </c>
      <c r="L70" s="25" t="str">
        <f t="shared" si="3"/>
        <v/>
      </c>
      <c r="M70" s="13"/>
    </row>
    <row r="71" spans="1:13" x14ac:dyDescent="0.35">
      <c r="A71" s="21"/>
      <c r="B71" s="13"/>
      <c r="C71" s="13"/>
      <c r="D71" s="13"/>
      <c r="E71" s="14"/>
      <c r="F71" s="14"/>
      <c r="G71" s="22"/>
      <c r="H71" s="22"/>
      <c r="I71" s="13"/>
      <c r="J71" s="23" t="str">
        <f>IF($A71="","",SUMIFS(Conteneurs!$H$3:$H$1002,Conteneurs!$L$3:$L$1002,$A71,Conteneurs!$M$3:$M$1002,"Embarqué")/1000)</f>
        <v/>
      </c>
      <c r="K71" s="24" t="str">
        <f t="shared" si="2"/>
        <v/>
      </c>
      <c r="L71" s="25" t="str">
        <f t="shared" si="3"/>
        <v/>
      </c>
      <c r="M71" s="13"/>
    </row>
    <row r="72" spans="1:13" x14ac:dyDescent="0.35">
      <c r="A72" s="21"/>
      <c r="B72" s="13"/>
      <c r="C72" s="13"/>
      <c r="D72" s="13"/>
      <c r="E72" s="14"/>
      <c r="F72" s="14"/>
      <c r="G72" s="22"/>
      <c r="H72" s="22"/>
      <c r="I72" s="13"/>
      <c r="J72" s="23" t="str">
        <f>IF($A72="","",SUMIFS(Conteneurs!$H$3:$H$1002,Conteneurs!$L$3:$L$1002,$A72,Conteneurs!$M$3:$M$1002,"Embarqué")/1000)</f>
        <v/>
      </c>
      <c r="K72" s="24" t="str">
        <f t="shared" si="2"/>
        <v/>
      </c>
      <c r="L72" s="25" t="str">
        <f t="shared" si="3"/>
        <v/>
      </c>
      <c r="M72" s="13"/>
    </row>
    <row r="73" spans="1:13" x14ac:dyDescent="0.35">
      <c r="A73" s="21"/>
      <c r="B73" s="13"/>
      <c r="C73" s="13"/>
      <c r="D73" s="13"/>
      <c r="E73" s="14"/>
      <c r="F73" s="14"/>
      <c r="G73" s="22"/>
      <c r="H73" s="22"/>
      <c r="I73" s="13"/>
      <c r="J73" s="23" t="str">
        <f>IF($A73="","",SUMIFS(Conteneurs!$H$3:$H$1002,Conteneurs!$L$3:$L$1002,$A73,Conteneurs!$M$3:$M$1002,"Embarqué")/1000)</f>
        <v/>
      </c>
      <c r="K73" s="24" t="str">
        <f t="shared" si="2"/>
        <v/>
      </c>
      <c r="L73" s="25" t="str">
        <f t="shared" si="3"/>
        <v/>
      </c>
      <c r="M73" s="13"/>
    </row>
    <row r="74" spans="1:13" x14ac:dyDescent="0.35">
      <c r="A74" s="21"/>
      <c r="B74" s="13"/>
      <c r="C74" s="13"/>
      <c r="D74" s="13"/>
      <c r="E74" s="14"/>
      <c r="F74" s="14"/>
      <c r="G74" s="22"/>
      <c r="H74" s="22"/>
      <c r="I74" s="13"/>
      <c r="J74" s="23" t="str">
        <f>IF($A74="","",SUMIFS(Conteneurs!$H$3:$H$1002,Conteneurs!$L$3:$L$1002,$A74,Conteneurs!$M$3:$M$1002,"Embarqué")/1000)</f>
        <v/>
      </c>
      <c r="K74" s="24" t="str">
        <f t="shared" si="2"/>
        <v/>
      </c>
      <c r="L74" s="25" t="str">
        <f t="shared" si="3"/>
        <v/>
      </c>
      <c r="M74" s="13"/>
    </row>
    <row r="75" spans="1:13" x14ac:dyDescent="0.35">
      <c r="A75" s="21"/>
      <c r="B75" s="13"/>
      <c r="C75" s="13"/>
      <c r="D75" s="13"/>
      <c r="E75" s="14"/>
      <c r="F75" s="14"/>
      <c r="G75" s="22"/>
      <c r="H75" s="22"/>
      <c r="I75" s="13"/>
      <c r="J75" s="23" t="str">
        <f>IF($A75="","",SUMIFS(Conteneurs!$H$3:$H$1002,Conteneurs!$L$3:$L$1002,$A75,Conteneurs!$M$3:$M$1002,"Embarqué")/1000)</f>
        <v/>
      </c>
      <c r="K75" s="24" t="str">
        <f t="shared" si="2"/>
        <v/>
      </c>
      <c r="L75" s="25" t="str">
        <f t="shared" si="3"/>
        <v/>
      </c>
      <c r="M75" s="13"/>
    </row>
    <row r="76" spans="1:13" x14ac:dyDescent="0.35">
      <c r="A76" s="21"/>
      <c r="B76" s="13"/>
      <c r="C76" s="13"/>
      <c r="D76" s="13"/>
      <c r="E76" s="14"/>
      <c r="F76" s="14"/>
      <c r="G76" s="22"/>
      <c r="H76" s="22"/>
      <c r="I76" s="13"/>
      <c r="J76" s="23" t="str">
        <f>IF($A76="","",SUMIFS(Conteneurs!$H$3:$H$1002,Conteneurs!$L$3:$L$1002,$A76,Conteneurs!$M$3:$M$1002,"Embarqué")/1000)</f>
        <v/>
      </c>
      <c r="K76" s="24" t="str">
        <f t="shared" si="2"/>
        <v/>
      </c>
      <c r="L76" s="25" t="str">
        <f t="shared" si="3"/>
        <v/>
      </c>
      <c r="M76" s="13"/>
    </row>
    <row r="77" spans="1:13" x14ac:dyDescent="0.35">
      <c r="A77" s="21"/>
      <c r="B77" s="13"/>
      <c r="C77" s="13"/>
      <c r="D77" s="13"/>
      <c r="E77" s="14"/>
      <c r="F77" s="14"/>
      <c r="G77" s="22"/>
      <c r="H77" s="22"/>
      <c r="I77" s="13"/>
      <c r="J77" s="23" t="str">
        <f>IF($A77="","",SUMIFS(Conteneurs!$H$3:$H$1002,Conteneurs!$L$3:$L$1002,$A77,Conteneurs!$M$3:$M$1002,"Embarqué")/1000)</f>
        <v/>
      </c>
      <c r="K77" s="24" t="str">
        <f t="shared" si="2"/>
        <v/>
      </c>
      <c r="L77" s="25" t="str">
        <f t="shared" si="3"/>
        <v/>
      </c>
      <c r="M77" s="13"/>
    </row>
    <row r="78" spans="1:13" x14ac:dyDescent="0.35">
      <c r="A78" s="21"/>
      <c r="B78" s="13"/>
      <c r="C78" s="13"/>
      <c r="D78" s="13"/>
      <c r="E78" s="14"/>
      <c r="F78" s="14"/>
      <c r="G78" s="22"/>
      <c r="H78" s="22"/>
      <c r="I78" s="13"/>
      <c r="J78" s="23" t="str">
        <f>IF($A78="","",SUMIFS(Conteneurs!$H$3:$H$1002,Conteneurs!$L$3:$L$1002,$A78,Conteneurs!$M$3:$M$1002,"Embarqué")/1000)</f>
        <v/>
      </c>
      <c r="K78" s="24" t="str">
        <f t="shared" si="2"/>
        <v/>
      </c>
      <c r="L78" s="25" t="str">
        <f t="shared" si="3"/>
        <v/>
      </c>
      <c r="M78" s="13"/>
    </row>
    <row r="79" spans="1:13" x14ac:dyDescent="0.35">
      <c r="A79" s="21"/>
      <c r="B79" s="13"/>
      <c r="C79" s="13"/>
      <c r="D79" s="13"/>
      <c r="E79" s="14"/>
      <c r="F79" s="14"/>
      <c r="G79" s="22"/>
      <c r="H79" s="22"/>
      <c r="I79" s="13"/>
      <c r="J79" s="23" t="str">
        <f>IF($A79="","",SUMIFS(Conteneurs!$H$3:$H$1002,Conteneurs!$L$3:$L$1002,$A79,Conteneurs!$M$3:$M$1002,"Embarqué")/1000)</f>
        <v/>
      </c>
      <c r="K79" s="24" t="str">
        <f t="shared" si="2"/>
        <v/>
      </c>
      <c r="L79" s="25" t="str">
        <f t="shared" si="3"/>
        <v/>
      </c>
      <c r="M79" s="13"/>
    </row>
    <row r="80" spans="1:13" x14ac:dyDescent="0.35">
      <c r="A80" s="21"/>
      <c r="B80" s="13"/>
      <c r="C80" s="13"/>
      <c r="D80" s="13"/>
      <c r="E80" s="14"/>
      <c r="F80" s="14"/>
      <c r="G80" s="22"/>
      <c r="H80" s="22"/>
      <c r="I80" s="13"/>
      <c r="J80" s="23" t="str">
        <f>IF($A80="","",SUMIFS(Conteneurs!$H$3:$H$1002,Conteneurs!$L$3:$L$1002,$A80,Conteneurs!$M$3:$M$1002,"Embarqué")/1000)</f>
        <v/>
      </c>
      <c r="K80" s="24" t="str">
        <f t="shared" si="2"/>
        <v/>
      </c>
      <c r="L80" s="25" t="str">
        <f t="shared" si="3"/>
        <v/>
      </c>
      <c r="M80" s="13"/>
    </row>
    <row r="81" spans="1:13" x14ac:dyDescent="0.35">
      <c r="A81" s="21"/>
      <c r="B81" s="13"/>
      <c r="C81" s="13"/>
      <c r="D81" s="13"/>
      <c r="E81" s="14"/>
      <c r="F81" s="14"/>
      <c r="G81" s="22"/>
      <c r="H81" s="22"/>
      <c r="I81" s="13"/>
      <c r="J81" s="23" t="str">
        <f>IF($A81="","",SUMIFS(Conteneurs!$H$3:$H$1002,Conteneurs!$L$3:$L$1002,$A81,Conteneurs!$M$3:$M$1002,"Embarqué")/1000)</f>
        <v/>
      </c>
      <c r="K81" s="24" t="str">
        <f t="shared" si="2"/>
        <v/>
      </c>
      <c r="L81" s="25" t="str">
        <f t="shared" si="3"/>
        <v/>
      </c>
      <c r="M81" s="13"/>
    </row>
    <row r="82" spans="1:13" x14ac:dyDescent="0.35">
      <c r="A82" s="21"/>
      <c r="B82" s="13"/>
      <c r="C82" s="13"/>
      <c r="D82" s="13"/>
      <c r="E82" s="14"/>
      <c r="F82" s="14"/>
      <c r="G82" s="22"/>
      <c r="H82" s="22"/>
      <c r="I82" s="13"/>
      <c r="J82" s="23" t="str">
        <f>IF($A82="","",SUMIFS(Conteneurs!$H$3:$H$1002,Conteneurs!$L$3:$L$1002,$A82,Conteneurs!$M$3:$M$1002,"Embarqué")/1000)</f>
        <v/>
      </c>
      <c r="K82" s="24" t="str">
        <f t="shared" si="2"/>
        <v/>
      </c>
      <c r="L82" s="25" t="str">
        <f t="shared" si="3"/>
        <v/>
      </c>
      <c r="M82" s="13"/>
    </row>
    <row r="83" spans="1:13" x14ac:dyDescent="0.35">
      <c r="A83" s="21"/>
      <c r="B83" s="13"/>
      <c r="C83" s="13"/>
      <c r="D83" s="13"/>
      <c r="E83" s="14"/>
      <c r="F83" s="14"/>
      <c r="G83" s="22"/>
      <c r="H83" s="22"/>
      <c r="I83" s="13"/>
      <c r="J83" s="23" t="str">
        <f>IF($A83="","",SUMIFS(Conteneurs!$H$3:$H$1002,Conteneurs!$L$3:$L$1002,$A83,Conteneurs!$M$3:$M$1002,"Embarqué")/1000)</f>
        <v/>
      </c>
      <c r="K83" s="24" t="str">
        <f t="shared" si="2"/>
        <v/>
      </c>
      <c r="L83" s="25" t="str">
        <f t="shared" si="3"/>
        <v/>
      </c>
      <c r="M83" s="13"/>
    </row>
    <row r="84" spans="1:13" x14ac:dyDescent="0.35">
      <c r="A84" s="21"/>
      <c r="B84" s="13"/>
      <c r="C84" s="13"/>
      <c r="D84" s="13"/>
      <c r="E84" s="14"/>
      <c r="F84" s="14"/>
      <c r="G84" s="22"/>
      <c r="H84" s="22"/>
      <c r="I84" s="13"/>
      <c r="J84" s="23" t="str">
        <f>IF($A84="","",SUMIFS(Conteneurs!$H$3:$H$1002,Conteneurs!$L$3:$L$1002,$A84,Conteneurs!$M$3:$M$1002,"Embarqué")/1000)</f>
        <v/>
      </c>
      <c r="K84" s="24" t="str">
        <f t="shared" si="2"/>
        <v/>
      </c>
      <c r="L84" s="25" t="str">
        <f t="shared" si="3"/>
        <v/>
      </c>
      <c r="M84" s="13"/>
    </row>
    <row r="85" spans="1:13" x14ac:dyDescent="0.35">
      <c r="A85" s="21"/>
      <c r="B85" s="13"/>
      <c r="C85" s="13"/>
      <c r="D85" s="13"/>
      <c r="E85" s="14"/>
      <c r="F85" s="14"/>
      <c r="G85" s="22"/>
      <c r="H85" s="22"/>
      <c r="I85" s="13"/>
      <c r="J85" s="23" t="str">
        <f>IF($A85="","",SUMIFS(Conteneurs!$H$3:$H$1002,Conteneurs!$L$3:$L$1002,$A85,Conteneurs!$M$3:$M$1002,"Embarqué")/1000)</f>
        <v/>
      </c>
      <c r="K85" s="24" t="str">
        <f t="shared" si="2"/>
        <v/>
      </c>
      <c r="L85" s="25" t="str">
        <f t="shared" si="3"/>
        <v/>
      </c>
      <c r="M85" s="13"/>
    </row>
    <row r="86" spans="1:13" x14ac:dyDescent="0.35">
      <c r="A86" s="21"/>
      <c r="B86" s="13"/>
      <c r="C86" s="13"/>
      <c r="D86" s="13"/>
      <c r="E86" s="14"/>
      <c r="F86" s="14"/>
      <c r="G86" s="22"/>
      <c r="H86" s="22"/>
      <c r="I86" s="13"/>
      <c r="J86" s="23" t="str">
        <f>IF($A86="","",SUMIFS(Conteneurs!$H$3:$H$1002,Conteneurs!$L$3:$L$1002,$A86,Conteneurs!$M$3:$M$1002,"Embarqué")/1000)</f>
        <v/>
      </c>
      <c r="K86" s="24" t="str">
        <f t="shared" si="2"/>
        <v/>
      </c>
      <c r="L86" s="25" t="str">
        <f t="shared" si="3"/>
        <v/>
      </c>
      <c r="M86" s="13"/>
    </row>
    <row r="87" spans="1:13" x14ac:dyDescent="0.35">
      <c r="A87" s="21"/>
      <c r="B87" s="13"/>
      <c r="C87" s="13"/>
      <c r="D87" s="13"/>
      <c r="E87" s="14"/>
      <c r="F87" s="14"/>
      <c r="G87" s="22"/>
      <c r="H87" s="22"/>
      <c r="I87" s="13"/>
      <c r="J87" s="23" t="str">
        <f>IF($A87="","",SUMIFS(Conteneurs!$H$3:$H$1002,Conteneurs!$L$3:$L$1002,$A87,Conteneurs!$M$3:$M$1002,"Embarqué")/1000)</f>
        <v/>
      </c>
      <c r="K87" s="24" t="str">
        <f t="shared" si="2"/>
        <v/>
      </c>
      <c r="L87" s="25" t="str">
        <f t="shared" si="3"/>
        <v/>
      </c>
      <c r="M87" s="13"/>
    </row>
    <row r="88" spans="1:13" x14ac:dyDescent="0.35">
      <c r="A88" s="21"/>
      <c r="B88" s="13"/>
      <c r="C88" s="13"/>
      <c r="D88" s="13"/>
      <c r="E88" s="14"/>
      <c r="F88" s="14"/>
      <c r="G88" s="22"/>
      <c r="H88" s="22"/>
      <c r="I88" s="13"/>
      <c r="J88" s="23" t="str">
        <f>IF($A88="","",SUMIFS(Conteneurs!$H$3:$H$1002,Conteneurs!$L$3:$L$1002,$A88,Conteneurs!$M$3:$M$1002,"Embarqué")/1000)</f>
        <v/>
      </c>
      <c r="K88" s="24" t="str">
        <f t="shared" si="2"/>
        <v/>
      </c>
      <c r="L88" s="25" t="str">
        <f t="shared" si="3"/>
        <v/>
      </c>
      <c r="M88" s="13"/>
    </row>
    <row r="89" spans="1:13" x14ac:dyDescent="0.35">
      <c r="A89" s="21"/>
      <c r="B89" s="13"/>
      <c r="C89" s="13"/>
      <c r="D89" s="13"/>
      <c r="E89" s="14"/>
      <c r="F89" s="14"/>
      <c r="G89" s="22"/>
      <c r="H89" s="22"/>
      <c r="I89" s="13"/>
      <c r="J89" s="23" t="str">
        <f>IF($A89="","",SUMIFS(Conteneurs!$H$3:$H$1002,Conteneurs!$L$3:$L$1002,$A89,Conteneurs!$M$3:$M$1002,"Embarqué")/1000)</f>
        <v/>
      </c>
      <c r="K89" s="24" t="str">
        <f t="shared" si="2"/>
        <v/>
      </c>
      <c r="L89" s="25" t="str">
        <f t="shared" si="3"/>
        <v/>
      </c>
      <c r="M89" s="13"/>
    </row>
    <row r="90" spans="1:13" x14ac:dyDescent="0.35">
      <c r="A90" s="21"/>
      <c r="B90" s="13"/>
      <c r="C90" s="13"/>
      <c r="D90" s="13"/>
      <c r="E90" s="14"/>
      <c r="F90" s="14"/>
      <c r="G90" s="22"/>
      <c r="H90" s="22"/>
      <c r="I90" s="13"/>
      <c r="J90" s="23" t="str">
        <f>IF($A90="","",SUMIFS(Conteneurs!$H$3:$H$1002,Conteneurs!$L$3:$L$1002,$A90,Conteneurs!$M$3:$M$1002,"Embarqué")/1000)</f>
        <v/>
      </c>
      <c r="K90" s="24" t="str">
        <f t="shared" si="2"/>
        <v/>
      </c>
      <c r="L90" s="25" t="str">
        <f t="shared" si="3"/>
        <v/>
      </c>
      <c r="M90" s="13"/>
    </row>
    <row r="91" spans="1:13" x14ac:dyDescent="0.35">
      <c r="A91" s="21"/>
      <c r="B91" s="13"/>
      <c r="C91" s="13"/>
      <c r="D91" s="13"/>
      <c r="E91" s="14"/>
      <c r="F91" s="14"/>
      <c r="G91" s="22"/>
      <c r="H91" s="22"/>
      <c r="I91" s="13"/>
      <c r="J91" s="23" t="str">
        <f>IF($A91="","",SUMIFS(Conteneurs!$H$3:$H$1002,Conteneurs!$L$3:$L$1002,$A91,Conteneurs!$M$3:$M$1002,"Embarqué")/1000)</f>
        <v/>
      </c>
      <c r="K91" s="24" t="str">
        <f t="shared" si="2"/>
        <v/>
      </c>
      <c r="L91" s="25" t="str">
        <f t="shared" si="3"/>
        <v/>
      </c>
      <c r="M91" s="13"/>
    </row>
    <row r="92" spans="1:13" x14ac:dyDescent="0.35">
      <c r="A92" s="21"/>
      <c r="B92" s="13"/>
      <c r="C92" s="13"/>
      <c r="D92" s="13"/>
      <c r="E92" s="14"/>
      <c r="F92" s="14"/>
      <c r="G92" s="22"/>
      <c r="H92" s="22"/>
      <c r="I92" s="13"/>
      <c r="J92" s="23" t="str">
        <f>IF($A92="","",SUMIFS(Conteneurs!$H$3:$H$1002,Conteneurs!$L$3:$L$1002,$A92,Conteneurs!$M$3:$M$1002,"Embarqué")/1000)</f>
        <v/>
      </c>
      <c r="K92" s="24" t="str">
        <f t="shared" si="2"/>
        <v/>
      </c>
      <c r="L92" s="25" t="str">
        <f t="shared" si="3"/>
        <v/>
      </c>
      <c r="M92" s="13"/>
    </row>
    <row r="93" spans="1:13" x14ac:dyDescent="0.35">
      <c r="A93" s="21"/>
      <c r="B93" s="13"/>
      <c r="C93" s="13"/>
      <c r="D93" s="13"/>
      <c r="E93" s="14"/>
      <c r="F93" s="14"/>
      <c r="G93" s="22"/>
      <c r="H93" s="22"/>
      <c r="I93" s="13"/>
      <c r="J93" s="23" t="str">
        <f>IF($A93="","",SUMIFS(Conteneurs!$H$3:$H$1002,Conteneurs!$L$3:$L$1002,$A93,Conteneurs!$M$3:$M$1002,"Embarqué")/1000)</f>
        <v/>
      </c>
      <c r="K93" s="24" t="str">
        <f t="shared" si="2"/>
        <v/>
      </c>
      <c r="L93" s="25" t="str">
        <f t="shared" si="3"/>
        <v/>
      </c>
      <c r="M93" s="13"/>
    </row>
    <row r="94" spans="1:13" x14ac:dyDescent="0.35">
      <c r="A94" s="21"/>
      <c r="B94" s="13"/>
      <c r="C94" s="13"/>
      <c r="D94" s="13"/>
      <c r="E94" s="14"/>
      <c r="F94" s="14"/>
      <c r="G94" s="22"/>
      <c r="H94" s="22"/>
      <c r="I94" s="13"/>
      <c r="J94" s="23" t="str">
        <f>IF($A94="","",SUMIFS(Conteneurs!$H$3:$H$1002,Conteneurs!$L$3:$L$1002,$A94,Conteneurs!$M$3:$M$1002,"Embarqué")/1000)</f>
        <v/>
      </c>
      <c r="K94" s="24" t="str">
        <f t="shared" si="2"/>
        <v/>
      </c>
      <c r="L94" s="25" t="str">
        <f t="shared" si="3"/>
        <v/>
      </c>
      <c r="M94" s="13"/>
    </row>
    <row r="95" spans="1:13" x14ac:dyDescent="0.35">
      <c r="A95" s="21"/>
      <c r="B95" s="13"/>
      <c r="C95" s="13"/>
      <c r="D95" s="13"/>
      <c r="E95" s="14"/>
      <c r="F95" s="14"/>
      <c r="G95" s="22"/>
      <c r="H95" s="22"/>
      <c r="I95" s="13"/>
      <c r="J95" s="23" t="str">
        <f>IF($A95="","",SUMIFS(Conteneurs!$H$3:$H$1002,Conteneurs!$L$3:$L$1002,$A95,Conteneurs!$M$3:$M$1002,"Embarqué")/1000)</f>
        <v/>
      </c>
      <c r="K95" s="24" t="str">
        <f t="shared" si="2"/>
        <v/>
      </c>
      <c r="L95" s="25" t="str">
        <f t="shared" si="3"/>
        <v/>
      </c>
      <c r="M95" s="13"/>
    </row>
    <row r="96" spans="1:13" x14ac:dyDescent="0.35">
      <c r="A96" s="21"/>
      <c r="B96" s="13"/>
      <c r="C96" s="13"/>
      <c r="D96" s="13"/>
      <c r="E96" s="14"/>
      <c r="F96" s="14"/>
      <c r="G96" s="22"/>
      <c r="H96" s="22"/>
      <c r="I96" s="13"/>
      <c r="J96" s="23" t="str">
        <f>IF($A96="","",SUMIFS(Conteneurs!$H$3:$H$1002,Conteneurs!$L$3:$L$1002,$A96,Conteneurs!$M$3:$M$1002,"Embarqué")/1000)</f>
        <v/>
      </c>
      <c r="K96" s="24" t="str">
        <f t="shared" si="2"/>
        <v/>
      </c>
      <c r="L96" s="25" t="str">
        <f t="shared" si="3"/>
        <v/>
      </c>
      <c r="M96" s="13"/>
    </row>
    <row r="97" spans="1:13" x14ac:dyDescent="0.35">
      <c r="A97" s="21"/>
      <c r="B97" s="13"/>
      <c r="C97" s="13"/>
      <c r="D97" s="13"/>
      <c r="E97" s="14"/>
      <c r="F97" s="14"/>
      <c r="G97" s="22"/>
      <c r="H97" s="22"/>
      <c r="I97" s="13"/>
      <c r="J97" s="23" t="str">
        <f>IF($A97="","",SUMIFS(Conteneurs!$H$3:$H$1002,Conteneurs!$L$3:$L$1002,$A97,Conteneurs!$M$3:$M$1002,"Embarqué")/1000)</f>
        <v/>
      </c>
      <c r="K97" s="24" t="str">
        <f t="shared" si="2"/>
        <v/>
      </c>
      <c r="L97" s="25" t="str">
        <f t="shared" si="3"/>
        <v/>
      </c>
      <c r="M97" s="13"/>
    </row>
    <row r="98" spans="1:13" x14ac:dyDescent="0.35">
      <c r="A98" s="21"/>
      <c r="B98" s="13"/>
      <c r="C98" s="13"/>
      <c r="D98" s="13"/>
      <c r="E98" s="14"/>
      <c r="F98" s="14"/>
      <c r="G98" s="22"/>
      <c r="H98" s="22"/>
      <c r="I98" s="13"/>
      <c r="J98" s="23" t="str">
        <f>IF($A98="","",SUMIFS(Conteneurs!$H$3:$H$1002,Conteneurs!$L$3:$L$1002,$A98,Conteneurs!$M$3:$M$1002,"Embarqué")/1000)</f>
        <v/>
      </c>
      <c r="K98" s="24" t="str">
        <f t="shared" si="2"/>
        <v/>
      </c>
      <c r="L98" s="25" t="str">
        <f t="shared" si="3"/>
        <v/>
      </c>
      <c r="M98" s="13"/>
    </row>
    <row r="99" spans="1:13" x14ac:dyDescent="0.35">
      <c r="A99" s="21"/>
      <c r="B99" s="13"/>
      <c r="C99" s="13"/>
      <c r="D99" s="13"/>
      <c r="E99" s="14"/>
      <c r="F99" s="14"/>
      <c r="G99" s="22"/>
      <c r="H99" s="22"/>
      <c r="I99" s="13"/>
      <c r="J99" s="23" t="str">
        <f>IF($A99="","",SUMIFS(Conteneurs!$H$3:$H$1002,Conteneurs!$L$3:$L$1002,$A99,Conteneurs!$M$3:$M$1002,"Embarqué")/1000)</f>
        <v/>
      </c>
      <c r="K99" s="24" t="str">
        <f t="shared" si="2"/>
        <v/>
      </c>
      <c r="L99" s="25" t="str">
        <f t="shared" si="3"/>
        <v/>
      </c>
      <c r="M99" s="13"/>
    </row>
    <row r="100" spans="1:13" x14ac:dyDescent="0.35">
      <c r="A100" s="21"/>
      <c r="B100" s="13"/>
      <c r="C100" s="13"/>
      <c r="D100" s="13"/>
      <c r="E100" s="14"/>
      <c r="F100" s="14"/>
      <c r="G100" s="22"/>
      <c r="H100" s="22"/>
      <c r="I100" s="13"/>
      <c r="J100" s="23" t="str">
        <f>IF($A100="","",SUMIFS(Conteneurs!$H$3:$H$1002,Conteneurs!$L$3:$L$1002,$A100,Conteneurs!$M$3:$M$1002,"Embarqué")/1000)</f>
        <v/>
      </c>
      <c r="K100" s="24" t="str">
        <f t="shared" si="2"/>
        <v/>
      </c>
      <c r="L100" s="25" t="str">
        <f t="shared" si="3"/>
        <v/>
      </c>
      <c r="M100" s="13"/>
    </row>
    <row r="101" spans="1:13" x14ac:dyDescent="0.35">
      <c r="A101" s="21"/>
      <c r="B101" s="13"/>
      <c r="C101" s="13"/>
      <c r="D101" s="13"/>
      <c r="E101" s="14"/>
      <c r="F101" s="14"/>
      <c r="G101" s="22"/>
      <c r="H101" s="22"/>
      <c r="I101" s="13"/>
      <c r="J101" s="23" t="str">
        <f>IF($A101="","",SUMIFS(Conteneurs!$H$3:$H$1002,Conteneurs!$L$3:$L$1002,$A101,Conteneurs!$M$3:$M$1002,"Embarqué")/1000)</f>
        <v/>
      </c>
      <c r="K101" s="24" t="str">
        <f t="shared" ref="K101:K132" si="4">IF(OR($A101="",$G101=""),"",$G101-$J101)</f>
        <v/>
      </c>
      <c r="L101" s="25" t="str">
        <f t="shared" ref="L101:L132" si="5">IF(OR($A101="",N($G101)=0),"",$J101/$G101)</f>
        <v/>
      </c>
      <c r="M101" s="13"/>
    </row>
    <row r="102" spans="1:13" x14ac:dyDescent="0.35">
      <c r="A102" s="21"/>
      <c r="B102" s="13"/>
      <c r="C102" s="13"/>
      <c r="D102" s="13"/>
      <c r="E102" s="14"/>
      <c r="F102" s="14"/>
      <c r="G102" s="22"/>
      <c r="H102" s="22"/>
      <c r="I102" s="13"/>
      <c r="J102" s="23" t="str">
        <f>IF($A102="","",SUMIFS(Conteneurs!$H$3:$H$1002,Conteneurs!$L$3:$L$1002,$A102,Conteneurs!$M$3:$M$1002,"Embarqué")/1000)</f>
        <v/>
      </c>
      <c r="K102" s="24" t="str">
        <f t="shared" si="4"/>
        <v/>
      </c>
      <c r="L102" s="25" t="str">
        <f t="shared" si="5"/>
        <v/>
      </c>
      <c r="M102" s="13"/>
    </row>
    <row r="103" spans="1:13" x14ac:dyDescent="0.35">
      <c r="A103" s="21"/>
      <c r="B103" s="13"/>
      <c r="C103" s="13"/>
      <c r="D103" s="13"/>
      <c r="E103" s="14"/>
      <c r="F103" s="14"/>
      <c r="G103" s="22"/>
      <c r="H103" s="22"/>
      <c r="I103" s="13"/>
      <c r="J103" s="23" t="str">
        <f>IF($A103="","",SUMIFS(Conteneurs!$H$3:$H$1002,Conteneurs!$L$3:$L$1002,$A103,Conteneurs!$M$3:$M$1002,"Embarqué")/1000)</f>
        <v/>
      </c>
      <c r="K103" s="24" t="str">
        <f t="shared" si="4"/>
        <v/>
      </c>
      <c r="L103" s="25" t="str">
        <f t="shared" si="5"/>
        <v/>
      </c>
      <c r="M103" s="13"/>
    </row>
    <row r="104" spans="1:13" x14ac:dyDescent="0.35">
      <c r="A104" s="21"/>
      <c r="B104" s="13"/>
      <c r="C104" s="13"/>
      <c r="D104" s="13"/>
      <c r="E104" s="14"/>
      <c r="F104" s="14"/>
      <c r="G104" s="22"/>
      <c r="H104" s="22"/>
      <c r="I104" s="13"/>
      <c r="J104" s="23" t="str">
        <f>IF($A104="","",SUMIFS(Conteneurs!$H$3:$H$1002,Conteneurs!$L$3:$L$1002,$A104,Conteneurs!$M$3:$M$1002,"Embarqué")/1000)</f>
        <v/>
      </c>
      <c r="K104" s="24" t="str">
        <f t="shared" si="4"/>
        <v/>
      </c>
      <c r="L104" s="25" t="str">
        <f t="shared" si="5"/>
        <v/>
      </c>
      <c r="M104" s="13"/>
    </row>
    <row r="105" spans="1:13" x14ac:dyDescent="0.35">
      <c r="A105" s="21"/>
      <c r="B105" s="13"/>
      <c r="C105" s="13"/>
      <c r="D105" s="13"/>
      <c r="E105" s="14"/>
      <c r="F105" s="14"/>
      <c r="G105" s="22"/>
      <c r="H105" s="22"/>
      <c r="I105" s="13"/>
      <c r="J105" s="23" t="str">
        <f>IF($A105="","",SUMIFS(Conteneurs!$H$3:$H$1002,Conteneurs!$L$3:$L$1002,$A105,Conteneurs!$M$3:$M$1002,"Embarqué")/1000)</f>
        <v/>
      </c>
      <c r="K105" s="24" t="str">
        <f t="shared" si="4"/>
        <v/>
      </c>
      <c r="L105" s="25" t="str">
        <f t="shared" si="5"/>
        <v/>
      </c>
      <c r="M105" s="13"/>
    </row>
    <row r="106" spans="1:13" x14ac:dyDescent="0.35">
      <c r="A106" s="21"/>
      <c r="B106" s="13"/>
      <c r="C106" s="13"/>
      <c r="D106" s="13"/>
      <c r="E106" s="14"/>
      <c r="F106" s="14"/>
      <c r="G106" s="22"/>
      <c r="H106" s="22"/>
      <c r="I106" s="13"/>
      <c r="J106" s="23" t="str">
        <f>IF($A106="","",SUMIFS(Conteneurs!$H$3:$H$1002,Conteneurs!$L$3:$L$1002,$A106,Conteneurs!$M$3:$M$1002,"Embarqué")/1000)</f>
        <v/>
      </c>
      <c r="K106" s="24" t="str">
        <f t="shared" si="4"/>
        <v/>
      </c>
      <c r="L106" s="25" t="str">
        <f t="shared" si="5"/>
        <v/>
      </c>
      <c r="M106" s="13"/>
    </row>
    <row r="107" spans="1:13" x14ac:dyDescent="0.35">
      <c r="A107" s="21"/>
      <c r="B107" s="13"/>
      <c r="C107" s="13"/>
      <c r="D107" s="13"/>
      <c r="E107" s="14"/>
      <c r="F107" s="14"/>
      <c r="G107" s="22"/>
      <c r="H107" s="22"/>
      <c r="I107" s="13"/>
      <c r="J107" s="23" t="str">
        <f>IF($A107="","",SUMIFS(Conteneurs!$H$3:$H$1002,Conteneurs!$L$3:$L$1002,$A107,Conteneurs!$M$3:$M$1002,"Embarqué")/1000)</f>
        <v/>
      </c>
      <c r="K107" s="24" t="str">
        <f t="shared" si="4"/>
        <v/>
      </c>
      <c r="L107" s="25" t="str">
        <f t="shared" si="5"/>
        <v/>
      </c>
      <c r="M107" s="13"/>
    </row>
    <row r="108" spans="1:13" x14ac:dyDescent="0.35">
      <c r="A108" s="21"/>
      <c r="B108" s="13"/>
      <c r="C108" s="13"/>
      <c r="D108" s="13"/>
      <c r="E108" s="14"/>
      <c r="F108" s="14"/>
      <c r="G108" s="22"/>
      <c r="H108" s="22"/>
      <c r="I108" s="13"/>
      <c r="J108" s="23" t="str">
        <f>IF($A108="","",SUMIFS(Conteneurs!$H$3:$H$1002,Conteneurs!$L$3:$L$1002,$A108,Conteneurs!$M$3:$M$1002,"Embarqué")/1000)</f>
        <v/>
      </c>
      <c r="K108" s="24" t="str">
        <f t="shared" si="4"/>
        <v/>
      </c>
      <c r="L108" s="25" t="str">
        <f t="shared" si="5"/>
        <v/>
      </c>
      <c r="M108" s="13"/>
    </row>
    <row r="109" spans="1:13" x14ac:dyDescent="0.35">
      <c r="A109" s="21"/>
      <c r="B109" s="13"/>
      <c r="C109" s="13"/>
      <c r="D109" s="13"/>
      <c r="E109" s="14"/>
      <c r="F109" s="14"/>
      <c r="G109" s="22"/>
      <c r="H109" s="22"/>
      <c r="I109" s="13"/>
      <c r="J109" s="23" t="str">
        <f>IF($A109="","",SUMIFS(Conteneurs!$H$3:$H$1002,Conteneurs!$L$3:$L$1002,$A109,Conteneurs!$M$3:$M$1002,"Embarqué")/1000)</f>
        <v/>
      </c>
      <c r="K109" s="24" t="str">
        <f t="shared" si="4"/>
        <v/>
      </c>
      <c r="L109" s="25" t="str">
        <f t="shared" si="5"/>
        <v/>
      </c>
      <c r="M109" s="13"/>
    </row>
    <row r="110" spans="1:13" x14ac:dyDescent="0.35">
      <c r="A110" s="21"/>
      <c r="B110" s="13"/>
      <c r="C110" s="13"/>
      <c r="D110" s="13"/>
      <c r="E110" s="14"/>
      <c r="F110" s="14"/>
      <c r="G110" s="22"/>
      <c r="H110" s="22"/>
      <c r="I110" s="13"/>
      <c r="J110" s="23" t="str">
        <f>IF($A110="","",SUMIFS(Conteneurs!$H$3:$H$1002,Conteneurs!$L$3:$L$1002,$A110,Conteneurs!$M$3:$M$1002,"Embarqué")/1000)</f>
        <v/>
      </c>
      <c r="K110" s="24" t="str">
        <f t="shared" si="4"/>
        <v/>
      </c>
      <c r="L110" s="25" t="str">
        <f t="shared" si="5"/>
        <v/>
      </c>
      <c r="M110" s="13"/>
    </row>
    <row r="111" spans="1:13" x14ac:dyDescent="0.35">
      <c r="A111" s="21"/>
      <c r="B111" s="13"/>
      <c r="C111" s="13"/>
      <c r="D111" s="13"/>
      <c r="E111" s="14"/>
      <c r="F111" s="14"/>
      <c r="G111" s="22"/>
      <c r="H111" s="22"/>
      <c r="I111" s="13"/>
      <c r="J111" s="23" t="str">
        <f>IF($A111="","",SUMIFS(Conteneurs!$H$3:$H$1002,Conteneurs!$L$3:$L$1002,$A111,Conteneurs!$M$3:$M$1002,"Embarqué")/1000)</f>
        <v/>
      </c>
      <c r="K111" s="24" t="str">
        <f t="shared" si="4"/>
        <v/>
      </c>
      <c r="L111" s="25" t="str">
        <f t="shared" si="5"/>
        <v/>
      </c>
      <c r="M111" s="13"/>
    </row>
    <row r="112" spans="1:13" x14ac:dyDescent="0.35">
      <c r="A112" s="21"/>
      <c r="B112" s="13"/>
      <c r="C112" s="13"/>
      <c r="D112" s="13"/>
      <c r="E112" s="14"/>
      <c r="F112" s="14"/>
      <c r="G112" s="22"/>
      <c r="H112" s="22"/>
      <c r="I112" s="13"/>
      <c r="J112" s="23" t="str">
        <f>IF($A112="","",SUMIFS(Conteneurs!$H$3:$H$1002,Conteneurs!$L$3:$L$1002,$A112,Conteneurs!$M$3:$M$1002,"Embarqué")/1000)</f>
        <v/>
      </c>
      <c r="K112" s="24" t="str">
        <f t="shared" si="4"/>
        <v/>
      </c>
      <c r="L112" s="25" t="str">
        <f t="shared" si="5"/>
        <v/>
      </c>
      <c r="M112" s="13"/>
    </row>
    <row r="113" spans="1:13" x14ac:dyDescent="0.35">
      <c r="A113" s="21"/>
      <c r="B113" s="13"/>
      <c r="C113" s="13"/>
      <c r="D113" s="13"/>
      <c r="E113" s="14"/>
      <c r="F113" s="14"/>
      <c r="G113" s="22"/>
      <c r="H113" s="22"/>
      <c r="I113" s="13"/>
      <c r="J113" s="23" t="str">
        <f>IF($A113="","",SUMIFS(Conteneurs!$H$3:$H$1002,Conteneurs!$L$3:$L$1002,$A113,Conteneurs!$M$3:$M$1002,"Embarqué")/1000)</f>
        <v/>
      </c>
      <c r="K113" s="24" t="str">
        <f t="shared" si="4"/>
        <v/>
      </c>
      <c r="L113" s="25" t="str">
        <f t="shared" si="5"/>
        <v/>
      </c>
      <c r="M113" s="13"/>
    </row>
    <row r="114" spans="1:13" x14ac:dyDescent="0.35">
      <c r="A114" s="21"/>
      <c r="B114" s="13"/>
      <c r="C114" s="13"/>
      <c r="D114" s="13"/>
      <c r="E114" s="14"/>
      <c r="F114" s="14"/>
      <c r="G114" s="22"/>
      <c r="H114" s="22"/>
      <c r="I114" s="13"/>
      <c r="J114" s="23" t="str">
        <f>IF($A114="","",SUMIFS(Conteneurs!$H$3:$H$1002,Conteneurs!$L$3:$L$1002,$A114,Conteneurs!$M$3:$M$1002,"Embarqué")/1000)</f>
        <v/>
      </c>
      <c r="K114" s="24" t="str">
        <f t="shared" si="4"/>
        <v/>
      </c>
      <c r="L114" s="25" t="str">
        <f t="shared" si="5"/>
        <v/>
      </c>
      <c r="M114" s="13"/>
    </row>
    <row r="115" spans="1:13" x14ac:dyDescent="0.35">
      <c r="A115" s="21"/>
      <c r="B115" s="13"/>
      <c r="C115" s="13"/>
      <c r="D115" s="13"/>
      <c r="E115" s="14"/>
      <c r="F115" s="14"/>
      <c r="G115" s="22"/>
      <c r="H115" s="22"/>
      <c r="I115" s="13"/>
      <c r="J115" s="23" t="str">
        <f>IF($A115="","",SUMIFS(Conteneurs!$H$3:$H$1002,Conteneurs!$L$3:$L$1002,$A115,Conteneurs!$M$3:$M$1002,"Embarqué")/1000)</f>
        <v/>
      </c>
      <c r="K115" s="24" t="str">
        <f t="shared" si="4"/>
        <v/>
      </c>
      <c r="L115" s="25" t="str">
        <f t="shared" si="5"/>
        <v/>
      </c>
      <c r="M115" s="13"/>
    </row>
    <row r="116" spans="1:13" x14ac:dyDescent="0.35">
      <c r="A116" s="21"/>
      <c r="B116" s="13"/>
      <c r="C116" s="13"/>
      <c r="D116" s="13"/>
      <c r="E116" s="14"/>
      <c r="F116" s="14"/>
      <c r="G116" s="22"/>
      <c r="H116" s="22"/>
      <c r="I116" s="13"/>
      <c r="J116" s="23" t="str">
        <f>IF($A116="","",SUMIFS(Conteneurs!$H$3:$H$1002,Conteneurs!$L$3:$L$1002,$A116,Conteneurs!$M$3:$M$1002,"Embarqué")/1000)</f>
        <v/>
      </c>
      <c r="K116" s="24" t="str">
        <f t="shared" si="4"/>
        <v/>
      </c>
      <c r="L116" s="25" t="str">
        <f t="shared" si="5"/>
        <v/>
      </c>
      <c r="M116" s="13"/>
    </row>
    <row r="117" spans="1:13" x14ac:dyDescent="0.35">
      <c r="A117" s="21"/>
      <c r="B117" s="13"/>
      <c r="C117" s="13"/>
      <c r="D117" s="13"/>
      <c r="E117" s="14"/>
      <c r="F117" s="14"/>
      <c r="G117" s="22"/>
      <c r="H117" s="22"/>
      <c r="I117" s="13"/>
      <c r="J117" s="23" t="str">
        <f>IF($A117="","",SUMIFS(Conteneurs!$H$3:$H$1002,Conteneurs!$L$3:$L$1002,$A117,Conteneurs!$M$3:$M$1002,"Embarqué")/1000)</f>
        <v/>
      </c>
      <c r="K117" s="24" t="str">
        <f t="shared" si="4"/>
        <v/>
      </c>
      <c r="L117" s="25" t="str">
        <f t="shared" si="5"/>
        <v/>
      </c>
      <c r="M117" s="13"/>
    </row>
    <row r="118" spans="1:13" x14ac:dyDescent="0.35">
      <c r="A118" s="21"/>
      <c r="B118" s="13"/>
      <c r="C118" s="13"/>
      <c r="D118" s="13"/>
      <c r="E118" s="14"/>
      <c r="F118" s="14"/>
      <c r="G118" s="22"/>
      <c r="H118" s="22"/>
      <c r="I118" s="13"/>
      <c r="J118" s="23" t="str">
        <f>IF($A118="","",SUMIFS(Conteneurs!$H$3:$H$1002,Conteneurs!$L$3:$L$1002,$A118,Conteneurs!$M$3:$M$1002,"Embarqué")/1000)</f>
        <v/>
      </c>
      <c r="K118" s="24" t="str">
        <f t="shared" si="4"/>
        <v/>
      </c>
      <c r="L118" s="25" t="str">
        <f t="shared" si="5"/>
        <v/>
      </c>
      <c r="M118" s="13"/>
    </row>
    <row r="119" spans="1:13" x14ac:dyDescent="0.35">
      <c r="A119" s="21"/>
      <c r="B119" s="13"/>
      <c r="C119" s="13"/>
      <c r="D119" s="13"/>
      <c r="E119" s="14"/>
      <c r="F119" s="14"/>
      <c r="G119" s="22"/>
      <c r="H119" s="22"/>
      <c r="I119" s="13"/>
      <c r="J119" s="23" t="str">
        <f>IF($A119="","",SUMIFS(Conteneurs!$H$3:$H$1002,Conteneurs!$L$3:$L$1002,$A119,Conteneurs!$M$3:$M$1002,"Embarqué")/1000)</f>
        <v/>
      </c>
      <c r="K119" s="24" t="str">
        <f t="shared" si="4"/>
        <v/>
      </c>
      <c r="L119" s="25" t="str">
        <f t="shared" si="5"/>
        <v/>
      </c>
      <c r="M119" s="13"/>
    </row>
    <row r="120" spans="1:13" x14ac:dyDescent="0.35">
      <c r="A120" s="21"/>
      <c r="B120" s="13"/>
      <c r="C120" s="13"/>
      <c r="D120" s="13"/>
      <c r="E120" s="14"/>
      <c r="F120" s="14"/>
      <c r="G120" s="22"/>
      <c r="H120" s="22"/>
      <c r="I120" s="13"/>
      <c r="J120" s="23" t="str">
        <f>IF($A120="","",SUMIFS(Conteneurs!$H$3:$H$1002,Conteneurs!$L$3:$L$1002,$A120,Conteneurs!$M$3:$M$1002,"Embarqué")/1000)</f>
        <v/>
      </c>
      <c r="K120" s="24" t="str">
        <f t="shared" si="4"/>
        <v/>
      </c>
      <c r="L120" s="25" t="str">
        <f t="shared" si="5"/>
        <v/>
      </c>
      <c r="M120" s="13"/>
    </row>
    <row r="121" spans="1:13" x14ac:dyDescent="0.35">
      <c r="A121" s="21"/>
      <c r="B121" s="13"/>
      <c r="C121" s="13"/>
      <c r="D121" s="13"/>
      <c r="E121" s="14"/>
      <c r="F121" s="14"/>
      <c r="G121" s="22"/>
      <c r="H121" s="22"/>
      <c r="I121" s="13"/>
      <c r="J121" s="23" t="str">
        <f>IF($A121="","",SUMIFS(Conteneurs!$H$3:$H$1002,Conteneurs!$L$3:$L$1002,$A121,Conteneurs!$M$3:$M$1002,"Embarqué")/1000)</f>
        <v/>
      </c>
      <c r="K121" s="24" t="str">
        <f t="shared" si="4"/>
        <v/>
      </c>
      <c r="L121" s="25" t="str">
        <f t="shared" si="5"/>
        <v/>
      </c>
      <c r="M121" s="13"/>
    </row>
    <row r="122" spans="1:13" x14ac:dyDescent="0.35">
      <c r="A122" s="21"/>
      <c r="B122" s="13"/>
      <c r="C122" s="13"/>
      <c r="D122" s="13"/>
      <c r="E122" s="14"/>
      <c r="F122" s="14"/>
      <c r="G122" s="22"/>
      <c r="H122" s="22"/>
      <c r="I122" s="13"/>
      <c r="J122" s="23" t="str">
        <f>IF($A122="","",SUMIFS(Conteneurs!$H$3:$H$1002,Conteneurs!$L$3:$L$1002,$A122,Conteneurs!$M$3:$M$1002,"Embarqué")/1000)</f>
        <v/>
      </c>
      <c r="K122" s="24" t="str">
        <f t="shared" si="4"/>
        <v/>
      </c>
      <c r="L122" s="25" t="str">
        <f t="shared" si="5"/>
        <v/>
      </c>
      <c r="M122" s="13"/>
    </row>
    <row r="123" spans="1:13" x14ac:dyDescent="0.35">
      <c r="A123" s="21"/>
      <c r="B123" s="13"/>
      <c r="C123" s="13"/>
      <c r="D123" s="13"/>
      <c r="E123" s="14"/>
      <c r="F123" s="14"/>
      <c r="G123" s="22"/>
      <c r="H123" s="22"/>
      <c r="I123" s="13"/>
      <c r="J123" s="23" t="str">
        <f>IF($A123="","",SUMIFS(Conteneurs!$H$3:$H$1002,Conteneurs!$L$3:$L$1002,$A123,Conteneurs!$M$3:$M$1002,"Embarqué")/1000)</f>
        <v/>
      </c>
      <c r="K123" s="24" t="str">
        <f t="shared" si="4"/>
        <v/>
      </c>
      <c r="L123" s="25" t="str">
        <f t="shared" si="5"/>
        <v/>
      </c>
      <c r="M123" s="13"/>
    </row>
    <row r="124" spans="1:13" x14ac:dyDescent="0.35">
      <c r="A124" s="21"/>
      <c r="B124" s="13"/>
      <c r="C124" s="13"/>
      <c r="D124" s="13"/>
      <c r="E124" s="14"/>
      <c r="F124" s="14"/>
      <c r="G124" s="22"/>
      <c r="H124" s="22"/>
      <c r="I124" s="13"/>
      <c r="J124" s="23" t="str">
        <f>IF($A124="","",SUMIFS(Conteneurs!$H$3:$H$1002,Conteneurs!$L$3:$L$1002,$A124,Conteneurs!$M$3:$M$1002,"Embarqué")/1000)</f>
        <v/>
      </c>
      <c r="K124" s="24" t="str">
        <f t="shared" si="4"/>
        <v/>
      </c>
      <c r="L124" s="25" t="str">
        <f t="shared" si="5"/>
        <v/>
      </c>
      <c r="M124" s="13"/>
    </row>
    <row r="125" spans="1:13" x14ac:dyDescent="0.35">
      <c r="A125" s="21"/>
      <c r="B125" s="13"/>
      <c r="C125" s="13"/>
      <c r="D125" s="13"/>
      <c r="E125" s="14"/>
      <c r="F125" s="14"/>
      <c r="G125" s="22"/>
      <c r="H125" s="22"/>
      <c r="I125" s="13"/>
      <c r="J125" s="23" t="str">
        <f>IF($A125="","",SUMIFS(Conteneurs!$H$3:$H$1002,Conteneurs!$L$3:$L$1002,$A125,Conteneurs!$M$3:$M$1002,"Embarqué")/1000)</f>
        <v/>
      </c>
      <c r="K125" s="24" t="str">
        <f t="shared" si="4"/>
        <v/>
      </c>
      <c r="L125" s="25" t="str">
        <f t="shared" si="5"/>
        <v/>
      </c>
      <c r="M125" s="13"/>
    </row>
    <row r="126" spans="1:13" x14ac:dyDescent="0.35">
      <c r="A126" s="21"/>
      <c r="B126" s="13"/>
      <c r="C126" s="13"/>
      <c r="D126" s="13"/>
      <c r="E126" s="14"/>
      <c r="F126" s="14"/>
      <c r="G126" s="22"/>
      <c r="H126" s="22"/>
      <c r="I126" s="13"/>
      <c r="J126" s="23" t="str">
        <f>IF($A126="","",SUMIFS(Conteneurs!$H$3:$H$1002,Conteneurs!$L$3:$L$1002,$A126,Conteneurs!$M$3:$M$1002,"Embarqué")/1000)</f>
        <v/>
      </c>
      <c r="K126" s="24" t="str">
        <f t="shared" si="4"/>
        <v/>
      </c>
      <c r="L126" s="25" t="str">
        <f t="shared" si="5"/>
        <v/>
      </c>
      <c r="M126" s="13"/>
    </row>
    <row r="127" spans="1:13" x14ac:dyDescent="0.35">
      <c r="A127" s="21"/>
      <c r="B127" s="13"/>
      <c r="C127" s="13"/>
      <c r="D127" s="13"/>
      <c r="E127" s="14"/>
      <c r="F127" s="14"/>
      <c r="G127" s="22"/>
      <c r="H127" s="22"/>
      <c r="I127" s="13"/>
      <c r="J127" s="23" t="str">
        <f>IF($A127="","",SUMIFS(Conteneurs!$H$3:$H$1002,Conteneurs!$L$3:$L$1002,$A127,Conteneurs!$M$3:$M$1002,"Embarqué")/1000)</f>
        <v/>
      </c>
      <c r="K127" s="24" t="str">
        <f t="shared" si="4"/>
        <v/>
      </c>
      <c r="L127" s="25" t="str">
        <f t="shared" si="5"/>
        <v/>
      </c>
      <c r="M127" s="13"/>
    </row>
    <row r="128" spans="1:13" x14ac:dyDescent="0.35">
      <c r="A128" s="21"/>
      <c r="B128" s="13"/>
      <c r="C128" s="13"/>
      <c r="D128" s="13"/>
      <c r="E128" s="14"/>
      <c r="F128" s="14"/>
      <c r="G128" s="22"/>
      <c r="H128" s="22"/>
      <c r="I128" s="13"/>
      <c r="J128" s="23" t="str">
        <f>IF($A128="","",SUMIFS(Conteneurs!$H$3:$H$1002,Conteneurs!$L$3:$L$1002,$A128,Conteneurs!$M$3:$M$1002,"Embarqué")/1000)</f>
        <v/>
      </c>
      <c r="K128" s="24" t="str">
        <f t="shared" si="4"/>
        <v/>
      </c>
      <c r="L128" s="25" t="str">
        <f t="shared" si="5"/>
        <v/>
      </c>
      <c r="M128" s="13"/>
    </row>
    <row r="129" spans="1:13" x14ac:dyDescent="0.35">
      <c r="A129" s="21"/>
      <c r="B129" s="13"/>
      <c r="C129" s="13"/>
      <c r="D129" s="13"/>
      <c r="E129" s="14"/>
      <c r="F129" s="14"/>
      <c r="G129" s="22"/>
      <c r="H129" s="22"/>
      <c r="I129" s="13"/>
      <c r="J129" s="23" t="str">
        <f>IF($A129="","",SUMIFS(Conteneurs!$H$3:$H$1002,Conteneurs!$L$3:$L$1002,$A129,Conteneurs!$M$3:$M$1002,"Embarqué")/1000)</f>
        <v/>
      </c>
      <c r="K129" s="24" t="str">
        <f t="shared" si="4"/>
        <v/>
      </c>
      <c r="L129" s="25" t="str">
        <f t="shared" si="5"/>
        <v/>
      </c>
      <c r="M129" s="13"/>
    </row>
    <row r="130" spans="1:13" x14ac:dyDescent="0.35">
      <c r="A130" s="21"/>
      <c r="B130" s="13"/>
      <c r="C130" s="13"/>
      <c r="D130" s="13"/>
      <c r="E130" s="14"/>
      <c r="F130" s="14"/>
      <c r="G130" s="22"/>
      <c r="H130" s="22"/>
      <c r="I130" s="13"/>
      <c r="J130" s="23" t="str">
        <f>IF($A130="","",SUMIFS(Conteneurs!$H$3:$H$1002,Conteneurs!$L$3:$L$1002,$A130,Conteneurs!$M$3:$M$1002,"Embarqué")/1000)</f>
        <v/>
      </c>
      <c r="K130" s="24" t="str">
        <f t="shared" si="4"/>
        <v/>
      </c>
      <c r="L130" s="25" t="str">
        <f t="shared" si="5"/>
        <v/>
      </c>
      <c r="M130" s="13"/>
    </row>
    <row r="131" spans="1:13" x14ac:dyDescent="0.35">
      <c r="A131" s="21"/>
      <c r="B131" s="13"/>
      <c r="C131" s="13"/>
      <c r="D131" s="13"/>
      <c r="E131" s="14"/>
      <c r="F131" s="14"/>
      <c r="G131" s="22"/>
      <c r="H131" s="22"/>
      <c r="I131" s="13"/>
      <c r="J131" s="23" t="str">
        <f>IF($A131="","",SUMIFS(Conteneurs!$H$3:$H$1002,Conteneurs!$L$3:$L$1002,$A131,Conteneurs!$M$3:$M$1002,"Embarqué")/1000)</f>
        <v/>
      </c>
      <c r="K131" s="24" t="str">
        <f t="shared" si="4"/>
        <v/>
      </c>
      <c r="L131" s="25" t="str">
        <f t="shared" si="5"/>
        <v/>
      </c>
      <c r="M131" s="13"/>
    </row>
    <row r="132" spans="1:13" x14ac:dyDescent="0.35">
      <c r="A132" s="21"/>
      <c r="B132" s="13"/>
      <c r="C132" s="13"/>
      <c r="D132" s="13"/>
      <c r="E132" s="14"/>
      <c r="F132" s="14"/>
      <c r="G132" s="22"/>
      <c r="H132" s="22"/>
      <c r="I132" s="13"/>
      <c r="J132" s="23" t="str">
        <f>IF($A132="","",SUMIFS(Conteneurs!$H$3:$H$1002,Conteneurs!$L$3:$L$1002,$A132,Conteneurs!$M$3:$M$1002,"Embarqué")/1000)</f>
        <v/>
      </c>
      <c r="K132" s="24" t="str">
        <f t="shared" si="4"/>
        <v/>
      </c>
      <c r="L132" s="25" t="str">
        <f t="shared" si="5"/>
        <v/>
      </c>
      <c r="M132" s="13"/>
    </row>
    <row r="133" spans="1:13" x14ac:dyDescent="0.35">
      <c r="A133" s="21"/>
      <c r="B133" s="13"/>
      <c r="C133" s="13"/>
      <c r="D133" s="13"/>
      <c r="E133" s="14"/>
      <c r="F133" s="14"/>
      <c r="G133" s="22"/>
      <c r="H133" s="22"/>
      <c r="I133" s="13"/>
      <c r="J133" s="23" t="str">
        <f>IF($A133="","",SUMIFS(Conteneurs!$H$3:$H$1002,Conteneurs!$L$3:$L$1002,$A133,Conteneurs!$M$3:$M$1002,"Embarqué")/1000)</f>
        <v/>
      </c>
      <c r="K133" s="24" t="str">
        <f t="shared" ref="K133:K164" si="6">IF(OR($A133="",$G133=""),"",$G133-$J133)</f>
        <v/>
      </c>
      <c r="L133" s="25" t="str">
        <f t="shared" ref="L133:L164" si="7">IF(OR($A133="",N($G133)=0),"",$J133/$G133)</f>
        <v/>
      </c>
      <c r="M133" s="13"/>
    </row>
    <row r="134" spans="1:13" x14ac:dyDescent="0.35">
      <c r="A134" s="21"/>
      <c r="B134" s="13"/>
      <c r="C134" s="13"/>
      <c r="D134" s="13"/>
      <c r="E134" s="14"/>
      <c r="F134" s="14"/>
      <c r="G134" s="22"/>
      <c r="H134" s="22"/>
      <c r="I134" s="13"/>
      <c r="J134" s="23" t="str">
        <f>IF($A134="","",SUMIFS(Conteneurs!$H$3:$H$1002,Conteneurs!$L$3:$L$1002,$A134,Conteneurs!$M$3:$M$1002,"Embarqué")/1000)</f>
        <v/>
      </c>
      <c r="K134" s="24" t="str">
        <f t="shared" si="6"/>
        <v/>
      </c>
      <c r="L134" s="25" t="str">
        <f t="shared" si="7"/>
        <v/>
      </c>
      <c r="M134" s="13"/>
    </row>
    <row r="135" spans="1:13" x14ac:dyDescent="0.35">
      <c r="A135" s="21"/>
      <c r="B135" s="13"/>
      <c r="C135" s="13"/>
      <c r="D135" s="13"/>
      <c r="E135" s="14"/>
      <c r="F135" s="14"/>
      <c r="G135" s="22"/>
      <c r="H135" s="22"/>
      <c r="I135" s="13"/>
      <c r="J135" s="23" t="str">
        <f>IF($A135="","",SUMIFS(Conteneurs!$H$3:$H$1002,Conteneurs!$L$3:$L$1002,$A135,Conteneurs!$M$3:$M$1002,"Embarqué")/1000)</f>
        <v/>
      </c>
      <c r="K135" s="24" t="str">
        <f t="shared" si="6"/>
        <v/>
      </c>
      <c r="L135" s="25" t="str">
        <f t="shared" si="7"/>
        <v/>
      </c>
      <c r="M135" s="13"/>
    </row>
    <row r="136" spans="1:13" x14ac:dyDescent="0.35">
      <c r="A136" s="21"/>
      <c r="B136" s="13"/>
      <c r="C136" s="13"/>
      <c r="D136" s="13"/>
      <c r="E136" s="14"/>
      <c r="F136" s="14"/>
      <c r="G136" s="22"/>
      <c r="H136" s="22"/>
      <c r="I136" s="13"/>
      <c r="J136" s="23" t="str">
        <f>IF($A136="","",SUMIFS(Conteneurs!$H$3:$H$1002,Conteneurs!$L$3:$L$1002,$A136,Conteneurs!$M$3:$M$1002,"Embarqué")/1000)</f>
        <v/>
      </c>
      <c r="K136" s="24" t="str">
        <f t="shared" si="6"/>
        <v/>
      </c>
      <c r="L136" s="25" t="str">
        <f t="shared" si="7"/>
        <v/>
      </c>
      <c r="M136" s="13"/>
    </row>
    <row r="137" spans="1:13" x14ac:dyDescent="0.35">
      <c r="A137" s="21"/>
      <c r="B137" s="13"/>
      <c r="C137" s="13"/>
      <c r="D137" s="13"/>
      <c r="E137" s="14"/>
      <c r="F137" s="14"/>
      <c r="G137" s="22"/>
      <c r="H137" s="22"/>
      <c r="I137" s="13"/>
      <c r="J137" s="23" t="str">
        <f>IF($A137="","",SUMIFS(Conteneurs!$H$3:$H$1002,Conteneurs!$L$3:$L$1002,$A137,Conteneurs!$M$3:$M$1002,"Embarqué")/1000)</f>
        <v/>
      </c>
      <c r="K137" s="24" t="str">
        <f t="shared" si="6"/>
        <v/>
      </c>
      <c r="L137" s="25" t="str">
        <f t="shared" si="7"/>
        <v/>
      </c>
      <c r="M137" s="13"/>
    </row>
    <row r="138" spans="1:13" x14ac:dyDescent="0.35">
      <c r="A138" s="21"/>
      <c r="B138" s="13"/>
      <c r="C138" s="13"/>
      <c r="D138" s="13"/>
      <c r="E138" s="14"/>
      <c r="F138" s="14"/>
      <c r="G138" s="22"/>
      <c r="H138" s="22"/>
      <c r="I138" s="13"/>
      <c r="J138" s="23" t="str">
        <f>IF($A138="","",SUMIFS(Conteneurs!$H$3:$H$1002,Conteneurs!$L$3:$L$1002,$A138,Conteneurs!$M$3:$M$1002,"Embarqué")/1000)</f>
        <v/>
      </c>
      <c r="K138" s="24" t="str">
        <f t="shared" si="6"/>
        <v/>
      </c>
      <c r="L138" s="25" t="str">
        <f t="shared" si="7"/>
        <v/>
      </c>
      <c r="M138" s="13"/>
    </row>
    <row r="139" spans="1:13" x14ac:dyDescent="0.35">
      <c r="A139" s="21"/>
      <c r="B139" s="13"/>
      <c r="C139" s="13"/>
      <c r="D139" s="13"/>
      <c r="E139" s="14"/>
      <c r="F139" s="14"/>
      <c r="G139" s="22"/>
      <c r="H139" s="22"/>
      <c r="I139" s="13"/>
      <c r="J139" s="23" t="str">
        <f>IF($A139="","",SUMIFS(Conteneurs!$H$3:$H$1002,Conteneurs!$L$3:$L$1002,$A139,Conteneurs!$M$3:$M$1002,"Embarqué")/1000)</f>
        <v/>
      </c>
      <c r="K139" s="24" t="str">
        <f t="shared" si="6"/>
        <v/>
      </c>
      <c r="L139" s="25" t="str">
        <f t="shared" si="7"/>
        <v/>
      </c>
      <c r="M139" s="13"/>
    </row>
    <row r="140" spans="1:13" x14ac:dyDescent="0.35">
      <c r="A140" s="21"/>
      <c r="B140" s="13"/>
      <c r="C140" s="13"/>
      <c r="D140" s="13"/>
      <c r="E140" s="14"/>
      <c r="F140" s="14"/>
      <c r="G140" s="22"/>
      <c r="H140" s="22"/>
      <c r="I140" s="13"/>
      <c r="J140" s="23" t="str">
        <f>IF($A140="","",SUMIFS(Conteneurs!$H$3:$H$1002,Conteneurs!$L$3:$L$1002,$A140,Conteneurs!$M$3:$M$1002,"Embarqué")/1000)</f>
        <v/>
      </c>
      <c r="K140" s="24" t="str">
        <f t="shared" si="6"/>
        <v/>
      </c>
      <c r="L140" s="25" t="str">
        <f t="shared" si="7"/>
        <v/>
      </c>
      <c r="M140" s="13"/>
    </row>
    <row r="141" spans="1:13" x14ac:dyDescent="0.35">
      <c r="A141" s="21"/>
      <c r="B141" s="13"/>
      <c r="C141" s="13"/>
      <c r="D141" s="13"/>
      <c r="E141" s="14"/>
      <c r="F141" s="14"/>
      <c r="G141" s="22"/>
      <c r="H141" s="22"/>
      <c r="I141" s="13"/>
      <c r="J141" s="23" t="str">
        <f>IF($A141="","",SUMIFS(Conteneurs!$H$3:$H$1002,Conteneurs!$L$3:$L$1002,$A141,Conteneurs!$M$3:$M$1002,"Embarqué")/1000)</f>
        <v/>
      </c>
      <c r="K141" s="24" t="str">
        <f t="shared" si="6"/>
        <v/>
      </c>
      <c r="L141" s="25" t="str">
        <f t="shared" si="7"/>
        <v/>
      </c>
      <c r="M141" s="13"/>
    </row>
    <row r="142" spans="1:13" x14ac:dyDescent="0.35">
      <c r="A142" s="21"/>
      <c r="B142" s="13"/>
      <c r="C142" s="13"/>
      <c r="D142" s="13"/>
      <c r="E142" s="14"/>
      <c r="F142" s="14"/>
      <c r="G142" s="22"/>
      <c r="H142" s="22"/>
      <c r="I142" s="13"/>
      <c r="J142" s="23" t="str">
        <f>IF($A142="","",SUMIFS(Conteneurs!$H$3:$H$1002,Conteneurs!$L$3:$L$1002,$A142,Conteneurs!$M$3:$M$1002,"Embarqué")/1000)</f>
        <v/>
      </c>
      <c r="K142" s="24" t="str">
        <f t="shared" si="6"/>
        <v/>
      </c>
      <c r="L142" s="25" t="str">
        <f t="shared" si="7"/>
        <v/>
      </c>
      <c r="M142" s="13"/>
    </row>
    <row r="143" spans="1:13" x14ac:dyDescent="0.35">
      <c r="A143" s="21"/>
      <c r="B143" s="13"/>
      <c r="C143" s="13"/>
      <c r="D143" s="13"/>
      <c r="E143" s="14"/>
      <c r="F143" s="14"/>
      <c r="G143" s="22"/>
      <c r="H143" s="22"/>
      <c r="I143" s="13"/>
      <c r="J143" s="23" t="str">
        <f>IF($A143="","",SUMIFS(Conteneurs!$H$3:$H$1002,Conteneurs!$L$3:$L$1002,$A143,Conteneurs!$M$3:$M$1002,"Embarqué")/1000)</f>
        <v/>
      </c>
      <c r="K143" s="24" t="str">
        <f t="shared" si="6"/>
        <v/>
      </c>
      <c r="L143" s="25" t="str">
        <f t="shared" si="7"/>
        <v/>
      </c>
      <c r="M143" s="13"/>
    </row>
    <row r="144" spans="1:13" x14ac:dyDescent="0.35">
      <c r="A144" s="21"/>
      <c r="B144" s="13"/>
      <c r="C144" s="13"/>
      <c r="D144" s="13"/>
      <c r="E144" s="14"/>
      <c r="F144" s="14"/>
      <c r="G144" s="22"/>
      <c r="H144" s="22"/>
      <c r="I144" s="13"/>
      <c r="J144" s="23" t="str">
        <f>IF($A144="","",SUMIFS(Conteneurs!$H$3:$H$1002,Conteneurs!$L$3:$L$1002,$A144,Conteneurs!$M$3:$M$1002,"Embarqué")/1000)</f>
        <v/>
      </c>
      <c r="K144" s="24" t="str">
        <f t="shared" si="6"/>
        <v/>
      </c>
      <c r="L144" s="25" t="str">
        <f t="shared" si="7"/>
        <v/>
      </c>
      <c r="M144" s="13"/>
    </row>
    <row r="145" spans="1:13" x14ac:dyDescent="0.35">
      <c r="A145" s="21"/>
      <c r="B145" s="13"/>
      <c r="C145" s="13"/>
      <c r="D145" s="13"/>
      <c r="E145" s="14"/>
      <c r="F145" s="14"/>
      <c r="G145" s="22"/>
      <c r="H145" s="22"/>
      <c r="I145" s="13"/>
      <c r="J145" s="23" t="str">
        <f>IF($A145="","",SUMIFS(Conteneurs!$H$3:$H$1002,Conteneurs!$L$3:$L$1002,$A145,Conteneurs!$M$3:$M$1002,"Embarqué")/1000)</f>
        <v/>
      </c>
      <c r="K145" s="24" t="str">
        <f t="shared" si="6"/>
        <v/>
      </c>
      <c r="L145" s="25" t="str">
        <f t="shared" si="7"/>
        <v/>
      </c>
      <c r="M145" s="13"/>
    </row>
    <row r="146" spans="1:13" x14ac:dyDescent="0.35">
      <c r="A146" s="21"/>
      <c r="B146" s="13"/>
      <c r="C146" s="13"/>
      <c r="D146" s="13"/>
      <c r="E146" s="14"/>
      <c r="F146" s="14"/>
      <c r="G146" s="22"/>
      <c r="H146" s="22"/>
      <c r="I146" s="13"/>
      <c r="J146" s="23" t="str">
        <f>IF($A146="","",SUMIFS(Conteneurs!$H$3:$H$1002,Conteneurs!$L$3:$L$1002,$A146,Conteneurs!$M$3:$M$1002,"Embarqué")/1000)</f>
        <v/>
      </c>
      <c r="K146" s="24" t="str">
        <f t="shared" si="6"/>
        <v/>
      </c>
      <c r="L146" s="25" t="str">
        <f t="shared" si="7"/>
        <v/>
      </c>
      <c r="M146" s="13"/>
    </row>
    <row r="147" spans="1:13" x14ac:dyDescent="0.35">
      <c r="A147" s="21"/>
      <c r="B147" s="13"/>
      <c r="C147" s="13"/>
      <c r="D147" s="13"/>
      <c r="E147" s="14"/>
      <c r="F147" s="14"/>
      <c r="G147" s="22"/>
      <c r="H147" s="22"/>
      <c r="I147" s="13"/>
      <c r="J147" s="23" t="str">
        <f>IF($A147="","",SUMIFS(Conteneurs!$H$3:$H$1002,Conteneurs!$L$3:$L$1002,$A147,Conteneurs!$M$3:$M$1002,"Embarqué")/1000)</f>
        <v/>
      </c>
      <c r="K147" s="24" t="str">
        <f t="shared" si="6"/>
        <v/>
      </c>
      <c r="L147" s="25" t="str">
        <f t="shared" si="7"/>
        <v/>
      </c>
      <c r="M147" s="13"/>
    </row>
    <row r="148" spans="1:13" x14ac:dyDescent="0.35">
      <c r="A148" s="21"/>
      <c r="B148" s="13"/>
      <c r="C148" s="13"/>
      <c r="D148" s="13"/>
      <c r="E148" s="14"/>
      <c r="F148" s="14"/>
      <c r="G148" s="22"/>
      <c r="H148" s="22"/>
      <c r="I148" s="13"/>
      <c r="J148" s="23" t="str">
        <f>IF($A148="","",SUMIFS(Conteneurs!$H$3:$H$1002,Conteneurs!$L$3:$L$1002,$A148,Conteneurs!$M$3:$M$1002,"Embarqué")/1000)</f>
        <v/>
      </c>
      <c r="K148" s="24" t="str">
        <f t="shared" si="6"/>
        <v/>
      </c>
      <c r="L148" s="25" t="str">
        <f t="shared" si="7"/>
        <v/>
      </c>
      <c r="M148" s="13"/>
    </row>
    <row r="149" spans="1:13" x14ac:dyDescent="0.35">
      <c r="A149" s="21"/>
      <c r="B149" s="13"/>
      <c r="C149" s="13"/>
      <c r="D149" s="13"/>
      <c r="E149" s="14"/>
      <c r="F149" s="14"/>
      <c r="G149" s="22"/>
      <c r="H149" s="22"/>
      <c r="I149" s="13"/>
      <c r="J149" s="23" t="str">
        <f>IF($A149="","",SUMIFS(Conteneurs!$H$3:$H$1002,Conteneurs!$L$3:$L$1002,$A149,Conteneurs!$M$3:$M$1002,"Embarqué")/1000)</f>
        <v/>
      </c>
      <c r="K149" s="24" t="str">
        <f t="shared" si="6"/>
        <v/>
      </c>
      <c r="L149" s="25" t="str">
        <f t="shared" si="7"/>
        <v/>
      </c>
      <c r="M149" s="13"/>
    </row>
    <row r="150" spans="1:13" x14ac:dyDescent="0.35">
      <c r="A150" s="21"/>
      <c r="B150" s="13"/>
      <c r="C150" s="13"/>
      <c r="D150" s="13"/>
      <c r="E150" s="14"/>
      <c r="F150" s="14"/>
      <c r="G150" s="22"/>
      <c r="H150" s="22"/>
      <c r="I150" s="13"/>
      <c r="J150" s="23" t="str">
        <f>IF($A150="","",SUMIFS(Conteneurs!$H$3:$H$1002,Conteneurs!$L$3:$L$1002,$A150,Conteneurs!$M$3:$M$1002,"Embarqué")/1000)</f>
        <v/>
      </c>
      <c r="K150" s="24" t="str">
        <f t="shared" si="6"/>
        <v/>
      </c>
      <c r="L150" s="25" t="str">
        <f t="shared" si="7"/>
        <v/>
      </c>
      <c r="M150" s="13"/>
    </row>
    <row r="151" spans="1:13" x14ac:dyDescent="0.35">
      <c r="A151" s="21"/>
      <c r="B151" s="13"/>
      <c r="C151" s="13"/>
      <c r="D151" s="13"/>
      <c r="E151" s="14"/>
      <c r="F151" s="14"/>
      <c r="G151" s="22"/>
      <c r="H151" s="22"/>
      <c r="I151" s="13"/>
      <c r="J151" s="23" t="str">
        <f>IF($A151="","",SUMIFS(Conteneurs!$H$3:$H$1002,Conteneurs!$L$3:$L$1002,$A151,Conteneurs!$M$3:$M$1002,"Embarqué")/1000)</f>
        <v/>
      </c>
      <c r="K151" s="24" t="str">
        <f t="shared" si="6"/>
        <v/>
      </c>
      <c r="L151" s="25" t="str">
        <f t="shared" si="7"/>
        <v/>
      </c>
      <c r="M151" s="13"/>
    </row>
    <row r="152" spans="1:13" x14ac:dyDescent="0.35">
      <c r="A152" s="21"/>
      <c r="B152" s="13"/>
      <c r="C152" s="13"/>
      <c r="D152" s="13"/>
      <c r="E152" s="14"/>
      <c r="F152" s="14"/>
      <c r="G152" s="22"/>
      <c r="H152" s="22"/>
      <c r="I152" s="13"/>
      <c r="J152" s="23" t="str">
        <f>IF($A152="","",SUMIFS(Conteneurs!$H$3:$H$1002,Conteneurs!$L$3:$L$1002,$A152,Conteneurs!$M$3:$M$1002,"Embarqué")/1000)</f>
        <v/>
      </c>
      <c r="K152" s="24" t="str">
        <f t="shared" si="6"/>
        <v/>
      </c>
      <c r="L152" s="25" t="str">
        <f t="shared" si="7"/>
        <v/>
      </c>
      <c r="M152" s="13"/>
    </row>
    <row r="153" spans="1:13" x14ac:dyDescent="0.35">
      <c r="A153" s="21"/>
      <c r="B153" s="13"/>
      <c r="C153" s="13"/>
      <c r="D153" s="13"/>
      <c r="E153" s="14"/>
      <c r="F153" s="14"/>
      <c r="G153" s="22"/>
      <c r="H153" s="22"/>
      <c r="I153" s="13"/>
      <c r="J153" s="23" t="str">
        <f>IF($A153="","",SUMIFS(Conteneurs!$H$3:$H$1002,Conteneurs!$L$3:$L$1002,$A153,Conteneurs!$M$3:$M$1002,"Embarqué")/1000)</f>
        <v/>
      </c>
      <c r="K153" s="24" t="str">
        <f t="shared" si="6"/>
        <v/>
      </c>
      <c r="L153" s="25" t="str">
        <f t="shared" si="7"/>
        <v/>
      </c>
      <c r="M153" s="13"/>
    </row>
    <row r="154" spans="1:13" x14ac:dyDescent="0.35">
      <c r="A154" s="21"/>
      <c r="B154" s="13"/>
      <c r="C154" s="13"/>
      <c r="D154" s="13"/>
      <c r="E154" s="14"/>
      <c r="F154" s="14"/>
      <c r="G154" s="22"/>
      <c r="H154" s="22"/>
      <c r="I154" s="13"/>
      <c r="J154" s="23" t="str">
        <f>IF($A154="","",SUMIFS(Conteneurs!$H$3:$H$1002,Conteneurs!$L$3:$L$1002,$A154,Conteneurs!$M$3:$M$1002,"Embarqué")/1000)</f>
        <v/>
      </c>
      <c r="K154" s="24" t="str">
        <f t="shared" si="6"/>
        <v/>
      </c>
      <c r="L154" s="25" t="str">
        <f t="shared" si="7"/>
        <v/>
      </c>
      <c r="M154" s="13"/>
    </row>
    <row r="155" spans="1:13" x14ac:dyDescent="0.35">
      <c r="A155" s="21"/>
      <c r="B155" s="13"/>
      <c r="C155" s="13"/>
      <c r="D155" s="13"/>
      <c r="E155" s="14"/>
      <c r="F155" s="14"/>
      <c r="G155" s="22"/>
      <c r="H155" s="22"/>
      <c r="I155" s="13"/>
      <c r="J155" s="23" t="str">
        <f>IF($A155="","",SUMIFS(Conteneurs!$H$3:$H$1002,Conteneurs!$L$3:$L$1002,$A155,Conteneurs!$M$3:$M$1002,"Embarqué")/1000)</f>
        <v/>
      </c>
      <c r="K155" s="24" t="str">
        <f t="shared" si="6"/>
        <v/>
      </c>
      <c r="L155" s="25" t="str">
        <f t="shared" si="7"/>
        <v/>
      </c>
      <c r="M155" s="13"/>
    </row>
    <row r="156" spans="1:13" x14ac:dyDescent="0.35">
      <c r="A156" s="21"/>
      <c r="B156" s="13"/>
      <c r="C156" s="13"/>
      <c r="D156" s="13"/>
      <c r="E156" s="14"/>
      <c r="F156" s="14"/>
      <c r="G156" s="22"/>
      <c r="H156" s="22"/>
      <c r="I156" s="13"/>
      <c r="J156" s="23" t="str">
        <f>IF($A156="","",SUMIFS(Conteneurs!$H$3:$H$1002,Conteneurs!$L$3:$L$1002,$A156,Conteneurs!$M$3:$M$1002,"Embarqué")/1000)</f>
        <v/>
      </c>
      <c r="K156" s="24" t="str">
        <f t="shared" si="6"/>
        <v/>
      </c>
      <c r="L156" s="25" t="str">
        <f t="shared" si="7"/>
        <v/>
      </c>
      <c r="M156" s="13"/>
    </row>
    <row r="157" spans="1:13" x14ac:dyDescent="0.35">
      <c r="A157" s="21"/>
      <c r="B157" s="13"/>
      <c r="C157" s="13"/>
      <c r="D157" s="13"/>
      <c r="E157" s="14"/>
      <c r="F157" s="14"/>
      <c r="G157" s="22"/>
      <c r="H157" s="22"/>
      <c r="I157" s="13"/>
      <c r="J157" s="23" t="str">
        <f>IF($A157="","",SUMIFS(Conteneurs!$H$3:$H$1002,Conteneurs!$L$3:$L$1002,$A157,Conteneurs!$M$3:$M$1002,"Embarqué")/1000)</f>
        <v/>
      </c>
      <c r="K157" s="24" t="str">
        <f t="shared" si="6"/>
        <v/>
      </c>
      <c r="L157" s="25" t="str">
        <f t="shared" si="7"/>
        <v/>
      </c>
      <c r="M157" s="13"/>
    </row>
    <row r="158" spans="1:13" x14ac:dyDescent="0.35">
      <c r="A158" s="21"/>
      <c r="B158" s="13"/>
      <c r="C158" s="13"/>
      <c r="D158" s="13"/>
      <c r="E158" s="14"/>
      <c r="F158" s="14"/>
      <c r="G158" s="22"/>
      <c r="H158" s="22"/>
      <c r="I158" s="13"/>
      <c r="J158" s="23" t="str">
        <f>IF($A158="","",SUMIFS(Conteneurs!$H$3:$H$1002,Conteneurs!$L$3:$L$1002,$A158,Conteneurs!$M$3:$M$1002,"Embarqué")/1000)</f>
        <v/>
      </c>
      <c r="K158" s="24" t="str">
        <f t="shared" si="6"/>
        <v/>
      </c>
      <c r="L158" s="25" t="str">
        <f t="shared" si="7"/>
        <v/>
      </c>
      <c r="M158" s="13"/>
    </row>
    <row r="159" spans="1:13" x14ac:dyDescent="0.35">
      <c r="A159" s="21"/>
      <c r="B159" s="13"/>
      <c r="C159" s="13"/>
      <c r="D159" s="13"/>
      <c r="E159" s="14"/>
      <c r="F159" s="14"/>
      <c r="G159" s="22"/>
      <c r="H159" s="22"/>
      <c r="I159" s="13"/>
      <c r="J159" s="23" t="str">
        <f>IF($A159="","",SUMIFS(Conteneurs!$H$3:$H$1002,Conteneurs!$L$3:$L$1002,$A159,Conteneurs!$M$3:$M$1002,"Embarqué")/1000)</f>
        <v/>
      </c>
      <c r="K159" s="24" t="str">
        <f t="shared" si="6"/>
        <v/>
      </c>
      <c r="L159" s="25" t="str">
        <f t="shared" si="7"/>
        <v/>
      </c>
      <c r="M159" s="13"/>
    </row>
    <row r="160" spans="1:13" x14ac:dyDescent="0.35">
      <c r="A160" s="21"/>
      <c r="B160" s="13"/>
      <c r="C160" s="13"/>
      <c r="D160" s="13"/>
      <c r="E160" s="14"/>
      <c r="F160" s="14"/>
      <c r="G160" s="22"/>
      <c r="H160" s="22"/>
      <c r="I160" s="13"/>
      <c r="J160" s="23" t="str">
        <f>IF($A160="","",SUMIFS(Conteneurs!$H$3:$H$1002,Conteneurs!$L$3:$L$1002,$A160,Conteneurs!$M$3:$M$1002,"Embarqué")/1000)</f>
        <v/>
      </c>
      <c r="K160" s="24" t="str">
        <f t="shared" si="6"/>
        <v/>
      </c>
      <c r="L160" s="25" t="str">
        <f t="shared" si="7"/>
        <v/>
      </c>
      <c r="M160" s="13"/>
    </row>
    <row r="161" spans="1:13" x14ac:dyDescent="0.35">
      <c r="A161" s="21"/>
      <c r="B161" s="13"/>
      <c r="C161" s="13"/>
      <c r="D161" s="13"/>
      <c r="E161" s="14"/>
      <c r="F161" s="14"/>
      <c r="G161" s="22"/>
      <c r="H161" s="22"/>
      <c r="I161" s="13"/>
      <c r="J161" s="23" t="str">
        <f>IF($A161="","",SUMIFS(Conteneurs!$H$3:$H$1002,Conteneurs!$L$3:$L$1002,$A161,Conteneurs!$M$3:$M$1002,"Embarqué")/1000)</f>
        <v/>
      </c>
      <c r="K161" s="24" t="str">
        <f t="shared" si="6"/>
        <v/>
      </c>
      <c r="L161" s="25" t="str">
        <f t="shared" si="7"/>
        <v/>
      </c>
      <c r="M161" s="13"/>
    </row>
    <row r="162" spans="1:13" x14ac:dyDescent="0.35">
      <c r="A162" s="21"/>
      <c r="B162" s="13"/>
      <c r="C162" s="13"/>
      <c r="D162" s="13"/>
      <c r="E162" s="14"/>
      <c r="F162" s="14"/>
      <c r="G162" s="22"/>
      <c r="H162" s="22"/>
      <c r="I162" s="13"/>
      <c r="J162" s="23" t="str">
        <f>IF($A162="","",SUMIFS(Conteneurs!$H$3:$H$1002,Conteneurs!$L$3:$L$1002,$A162,Conteneurs!$M$3:$M$1002,"Embarqué")/1000)</f>
        <v/>
      </c>
      <c r="K162" s="24" t="str">
        <f t="shared" si="6"/>
        <v/>
      </c>
      <c r="L162" s="25" t="str">
        <f t="shared" si="7"/>
        <v/>
      </c>
      <c r="M162" s="13"/>
    </row>
    <row r="163" spans="1:13" x14ac:dyDescent="0.35">
      <c r="A163" s="21"/>
      <c r="B163" s="13"/>
      <c r="C163" s="13"/>
      <c r="D163" s="13"/>
      <c r="E163" s="14"/>
      <c r="F163" s="14"/>
      <c r="G163" s="22"/>
      <c r="H163" s="22"/>
      <c r="I163" s="13"/>
      <c r="J163" s="23" t="str">
        <f>IF($A163="","",SUMIFS(Conteneurs!$H$3:$H$1002,Conteneurs!$L$3:$L$1002,$A163,Conteneurs!$M$3:$M$1002,"Embarqué")/1000)</f>
        <v/>
      </c>
      <c r="K163" s="24" t="str">
        <f t="shared" si="6"/>
        <v/>
      </c>
      <c r="L163" s="25" t="str">
        <f t="shared" si="7"/>
        <v/>
      </c>
      <c r="M163" s="13"/>
    </row>
    <row r="164" spans="1:13" x14ac:dyDescent="0.35">
      <c r="A164" s="21"/>
      <c r="B164" s="13"/>
      <c r="C164" s="13"/>
      <c r="D164" s="13"/>
      <c r="E164" s="14"/>
      <c r="F164" s="14"/>
      <c r="G164" s="22"/>
      <c r="H164" s="22"/>
      <c r="I164" s="13"/>
      <c r="J164" s="23" t="str">
        <f>IF($A164="","",SUMIFS(Conteneurs!$H$3:$H$1002,Conteneurs!$L$3:$L$1002,$A164,Conteneurs!$M$3:$M$1002,"Embarqué")/1000)</f>
        <v/>
      </c>
      <c r="K164" s="24" t="str">
        <f t="shared" si="6"/>
        <v/>
      </c>
      <c r="L164" s="25" t="str">
        <f t="shared" si="7"/>
        <v/>
      </c>
      <c r="M164" s="13"/>
    </row>
    <row r="165" spans="1:13" x14ac:dyDescent="0.35">
      <c r="A165" s="21"/>
      <c r="B165" s="13"/>
      <c r="C165" s="13"/>
      <c r="D165" s="13"/>
      <c r="E165" s="14"/>
      <c r="F165" s="14"/>
      <c r="G165" s="22"/>
      <c r="H165" s="22"/>
      <c r="I165" s="13"/>
      <c r="J165" s="23" t="str">
        <f>IF($A165="","",SUMIFS(Conteneurs!$H$3:$H$1002,Conteneurs!$L$3:$L$1002,$A165,Conteneurs!$M$3:$M$1002,"Embarqué")/1000)</f>
        <v/>
      </c>
      <c r="K165" s="24" t="str">
        <f t="shared" ref="K165:K196" si="8">IF(OR($A165="",$G165=""),"",$G165-$J165)</f>
        <v/>
      </c>
      <c r="L165" s="25" t="str">
        <f t="shared" ref="L165:L196" si="9">IF(OR($A165="",N($G165)=0),"",$J165/$G165)</f>
        <v/>
      </c>
      <c r="M165" s="13"/>
    </row>
    <row r="166" spans="1:13" x14ac:dyDescent="0.35">
      <c r="A166" s="21"/>
      <c r="B166" s="13"/>
      <c r="C166" s="13"/>
      <c r="D166" s="13"/>
      <c r="E166" s="14"/>
      <c r="F166" s="14"/>
      <c r="G166" s="22"/>
      <c r="H166" s="22"/>
      <c r="I166" s="13"/>
      <c r="J166" s="23" t="str">
        <f>IF($A166="","",SUMIFS(Conteneurs!$H$3:$H$1002,Conteneurs!$L$3:$L$1002,$A166,Conteneurs!$M$3:$M$1002,"Embarqué")/1000)</f>
        <v/>
      </c>
      <c r="K166" s="24" t="str">
        <f t="shared" si="8"/>
        <v/>
      </c>
      <c r="L166" s="25" t="str">
        <f t="shared" si="9"/>
        <v/>
      </c>
      <c r="M166" s="13"/>
    </row>
    <row r="167" spans="1:13" x14ac:dyDescent="0.35">
      <c r="A167" s="21"/>
      <c r="B167" s="13"/>
      <c r="C167" s="13"/>
      <c r="D167" s="13"/>
      <c r="E167" s="14"/>
      <c r="F167" s="14"/>
      <c r="G167" s="22"/>
      <c r="H167" s="22"/>
      <c r="I167" s="13"/>
      <c r="J167" s="23" t="str">
        <f>IF($A167="","",SUMIFS(Conteneurs!$H$3:$H$1002,Conteneurs!$L$3:$L$1002,$A167,Conteneurs!$M$3:$M$1002,"Embarqué")/1000)</f>
        <v/>
      </c>
      <c r="K167" s="24" t="str">
        <f t="shared" si="8"/>
        <v/>
      </c>
      <c r="L167" s="25" t="str">
        <f t="shared" si="9"/>
        <v/>
      </c>
      <c r="M167" s="13"/>
    </row>
    <row r="168" spans="1:13" x14ac:dyDescent="0.35">
      <c r="A168" s="21"/>
      <c r="B168" s="13"/>
      <c r="C168" s="13"/>
      <c r="D168" s="13"/>
      <c r="E168" s="14"/>
      <c r="F168" s="14"/>
      <c r="G168" s="22"/>
      <c r="H168" s="22"/>
      <c r="I168" s="13"/>
      <c r="J168" s="23" t="str">
        <f>IF($A168="","",SUMIFS(Conteneurs!$H$3:$H$1002,Conteneurs!$L$3:$L$1002,$A168,Conteneurs!$M$3:$M$1002,"Embarqué")/1000)</f>
        <v/>
      </c>
      <c r="K168" s="24" t="str">
        <f t="shared" si="8"/>
        <v/>
      </c>
      <c r="L168" s="25" t="str">
        <f t="shared" si="9"/>
        <v/>
      </c>
      <c r="M168" s="13"/>
    </row>
    <row r="169" spans="1:13" x14ac:dyDescent="0.35">
      <c r="A169" s="21"/>
      <c r="B169" s="13"/>
      <c r="C169" s="13"/>
      <c r="D169" s="13"/>
      <c r="E169" s="14"/>
      <c r="F169" s="14"/>
      <c r="G169" s="22"/>
      <c r="H169" s="22"/>
      <c r="I169" s="13"/>
      <c r="J169" s="23" t="str">
        <f>IF($A169="","",SUMIFS(Conteneurs!$H$3:$H$1002,Conteneurs!$L$3:$L$1002,$A169,Conteneurs!$M$3:$M$1002,"Embarqué")/1000)</f>
        <v/>
      </c>
      <c r="K169" s="24" t="str">
        <f t="shared" si="8"/>
        <v/>
      </c>
      <c r="L169" s="25" t="str">
        <f t="shared" si="9"/>
        <v/>
      </c>
      <c r="M169" s="13"/>
    </row>
    <row r="170" spans="1:13" x14ac:dyDescent="0.35">
      <c r="A170" s="21"/>
      <c r="B170" s="13"/>
      <c r="C170" s="13"/>
      <c r="D170" s="13"/>
      <c r="E170" s="14"/>
      <c r="F170" s="14"/>
      <c r="G170" s="22"/>
      <c r="H170" s="22"/>
      <c r="I170" s="13"/>
      <c r="J170" s="23" t="str">
        <f>IF($A170="","",SUMIFS(Conteneurs!$H$3:$H$1002,Conteneurs!$L$3:$L$1002,$A170,Conteneurs!$M$3:$M$1002,"Embarqué")/1000)</f>
        <v/>
      </c>
      <c r="K170" s="24" t="str">
        <f t="shared" si="8"/>
        <v/>
      </c>
      <c r="L170" s="25" t="str">
        <f t="shared" si="9"/>
        <v/>
      </c>
      <c r="M170" s="13"/>
    </row>
    <row r="171" spans="1:13" x14ac:dyDescent="0.35">
      <c r="A171" s="21"/>
      <c r="B171" s="13"/>
      <c r="C171" s="13"/>
      <c r="D171" s="13"/>
      <c r="E171" s="14"/>
      <c r="F171" s="14"/>
      <c r="G171" s="22"/>
      <c r="H171" s="22"/>
      <c r="I171" s="13"/>
      <c r="J171" s="23" t="str">
        <f>IF($A171="","",SUMIFS(Conteneurs!$H$3:$H$1002,Conteneurs!$L$3:$L$1002,$A171,Conteneurs!$M$3:$M$1002,"Embarqué")/1000)</f>
        <v/>
      </c>
      <c r="K171" s="24" t="str">
        <f t="shared" si="8"/>
        <v/>
      </c>
      <c r="L171" s="25" t="str">
        <f t="shared" si="9"/>
        <v/>
      </c>
      <c r="M171" s="13"/>
    </row>
    <row r="172" spans="1:13" x14ac:dyDescent="0.35">
      <c r="A172" s="21"/>
      <c r="B172" s="13"/>
      <c r="C172" s="13"/>
      <c r="D172" s="13"/>
      <c r="E172" s="14"/>
      <c r="F172" s="14"/>
      <c r="G172" s="22"/>
      <c r="H172" s="22"/>
      <c r="I172" s="13"/>
      <c r="J172" s="23" t="str">
        <f>IF($A172="","",SUMIFS(Conteneurs!$H$3:$H$1002,Conteneurs!$L$3:$L$1002,$A172,Conteneurs!$M$3:$M$1002,"Embarqué")/1000)</f>
        <v/>
      </c>
      <c r="K172" s="24" t="str">
        <f t="shared" si="8"/>
        <v/>
      </c>
      <c r="L172" s="25" t="str">
        <f t="shared" si="9"/>
        <v/>
      </c>
      <c r="M172" s="13"/>
    </row>
    <row r="173" spans="1:13" x14ac:dyDescent="0.35">
      <c r="A173" s="21"/>
      <c r="B173" s="13"/>
      <c r="C173" s="13"/>
      <c r="D173" s="13"/>
      <c r="E173" s="14"/>
      <c r="F173" s="14"/>
      <c r="G173" s="22"/>
      <c r="H173" s="22"/>
      <c r="I173" s="13"/>
      <c r="J173" s="23" t="str">
        <f>IF($A173="","",SUMIFS(Conteneurs!$H$3:$H$1002,Conteneurs!$L$3:$L$1002,$A173,Conteneurs!$M$3:$M$1002,"Embarqué")/1000)</f>
        <v/>
      </c>
      <c r="K173" s="24" t="str">
        <f t="shared" si="8"/>
        <v/>
      </c>
      <c r="L173" s="25" t="str">
        <f t="shared" si="9"/>
        <v/>
      </c>
      <c r="M173" s="13"/>
    </row>
    <row r="174" spans="1:13" x14ac:dyDescent="0.35">
      <c r="A174" s="21"/>
      <c r="B174" s="13"/>
      <c r="C174" s="13"/>
      <c r="D174" s="13"/>
      <c r="E174" s="14"/>
      <c r="F174" s="14"/>
      <c r="G174" s="22"/>
      <c r="H174" s="22"/>
      <c r="I174" s="13"/>
      <c r="J174" s="23" t="str">
        <f>IF($A174="","",SUMIFS(Conteneurs!$H$3:$H$1002,Conteneurs!$L$3:$L$1002,$A174,Conteneurs!$M$3:$M$1002,"Embarqué")/1000)</f>
        <v/>
      </c>
      <c r="K174" s="24" t="str">
        <f t="shared" si="8"/>
        <v/>
      </c>
      <c r="L174" s="25" t="str">
        <f t="shared" si="9"/>
        <v/>
      </c>
      <c r="M174" s="13"/>
    </row>
    <row r="175" spans="1:13" x14ac:dyDescent="0.35">
      <c r="A175" s="21"/>
      <c r="B175" s="13"/>
      <c r="C175" s="13"/>
      <c r="D175" s="13"/>
      <c r="E175" s="14"/>
      <c r="F175" s="14"/>
      <c r="G175" s="22"/>
      <c r="H175" s="22"/>
      <c r="I175" s="13"/>
      <c r="J175" s="23" t="str">
        <f>IF($A175="","",SUMIFS(Conteneurs!$H$3:$H$1002,Conteneurs!$L$3:$L$1002,$A175,Conteneurs!$M$3:$M$1002,"Embarqué")/1000)</f>
        <v/>
      </c>
      <c r="K175" s="24" t="str">
        <f t="shared" si="8"/>
        <v/>
      </c>
      <c r="L175" s="25" t="str">
        <f t="shared" si="9"/>
        <v/>
      </c>
      <c r="M175" s="13"/>
    </row>
    <row r="176" spans="1:13" x14ac:dyDescent="0.35">
      <c r="A176" s="21"/>
      <c r="B176" s="13"/>
      <c r="C176" s="13"/>
      <c r="D176" s="13"/>
      <c r="E176" s="14"/>
      <c r="F176" s="14"/>
      <c r="G176" s="22"/>
      <c r="H176" s="22"/>
      <c r="I176" s="13"/>
      <c r="J176" s="23" t="str">
        <f>IF($A176="","",SUMIFS(Conteneurs!$H$3:$H$1002,Conteneurs!$L$3:$L$1002,$A176,Conteneurs!$M$3:$M$1002,"Embarqué")/1000)</f>
        <v/>
      </c>
      <c r="K176" s="24" t="str">
        <f t="shared" si="8"/>
        <v/>
      </c>
      <c r="L176" s="25" t="str">
        <f t="shared" si="9"/>
        <v/>
      </c>
      <c r="M176" s="13"/>
    </row>
    <row r="177" spans="1:13" x14ac:dyDescent="0.35">
      <c r="A177" s="21"/>
      <c r="B177" s="13"/>
      <c r="C177" s="13"/>
      <c r="D177" s="13"/>
      <c r="E177" s="14"/>
      <c r="F177" s="14"/>
      <c r="G177" s="22"/>
      <c r="H177" s="22"/>
      <c r="I177" s="13"/>
      <c r="J177" s="23" t="str">
        <f>IF($A177="","",SUMIFS(Conteneurs!$H$3:$H$1002,Conteneurs!$L$3:$L$1002,$A177,Conteneurs!$M$3:$M$1002,"Embarqué")/1000)</f>
        <v/>
      </c>
      <c r="K177" s="24" t="str">
        <f t="shared" si="8"/>
        <v/>
      </c>
      <c r="L177" s="25" t="str">
        <f t="shared" si="9"/>
        <v/>
      </c>
      <c r="M177" s="13"/>
    </row>
    <row r="178" spans="1:13" x14ac:dyDescent="0.35">
      <c r="A178" s="21"/>
      <c r="B178" s="13"/>
      <c r="C178" s="13"/>
      <c r="D178" s="13"/>
      <c r="E178" s="14"/>
      <c r="F178" s="14"/>
      <c r="G178" s="22"/>
      <c r="H178" s="22"/>
      <c r="I178" s="13"/>
      <c r="J178" s="23" t="str">
        <f>IF($A178="","",SUMIFS(Conteneurs!$H$3:$H$1002,Conteneurs!$L$3:$L$1002,$A178,Conteneurs!$M$3:$M$1002,"Embarqué")/1000)</f>
        <v/>
      </c>
      <c r="K178" s="24" t="str">
        <f t="shared" si="8"/>
        <v/>
      </c>
      <c r="L178" s="25" t="str">
        <f t="shared" si="9"/>
        <v/>
      </c>
      <c r="M178" s="13"/>
    </row>
    <row r="179" spans="1:13" x14ac:dyDescent="0.35">
      <c r="A179" s="21"/>
      <c r="B179" s="13"/>
      <c r="C179" s="13"/>
      <c r="D179" s="13"/>
      <c r="E179" s="14"/>
      <c r="F179" s="14"/>
      <c r="G179" s="22"/>
      <c r="H179" s="22"/>
      <c r="I179" s="13"/>
      <c r="J179" s="23" t="str">
        <f>IF($A179="","",SUMIFS(Conteneurs!$H$3:$H$1002,Conteneurs!$L$3:$L$1002,$A179,Conteneurs!$M$3:$M$1002,"Embarqué")/1000)</f>
        <v/>
      </c>
      <c r="K179" s="24" t="str">
        <f t="shared" si="8"/>
        <v/>
      </c>
      <c r="L179" s="25" t="str">
        <f t="shared" si="9"/>
        <v/>
      </c>
      <c r="M179" s="13"/>
    </row>
    <row r="180" spans="1:13" x14ac:dyDescent="0.35">
      <c r="A180" s="21"/>
      <c r="B180" s="13"/>
      <c r="C180" s="13"/>
      <c r="D180" s="13"/>
      <c r="E180" s="14"/>
      <c r="F180" s="14"/>
      <c r="G180" s="22"/>
      <c r="H180" s="22"/>
      <c r="I180" s="13"/>
      <c r="J180" s="23" t="str">
        <f>IF($A180="","",SUMIFS(Conteneurs!$H$3:$H$1002,Conteneurs!$L$3:$L$1002,$A180,Conteneurs!$M$3:$M$1002,"Embarqué")/1000)</f>
        <v/>
      </c>
      <c r="K180" s="24" t="str">
        <f t="shared" si="8"/>
        <v/>
      </c>
      <c r="L180" s="25" t="str">
        <f t="shared" si="9"/>
        <v/>
      </c>
      <c r="M180" s="13"/>
    </row>
    <row r="181" spans="1:13" x14ac:dyDescent="0.35">
      <c r="A181" s="21"/>
      <c r="B181" s="13"/>
      <c r="C181" s="13"/>
      <c r="D181" s="13"/>
      <c r="E181" s="14"/>
      <c r="F181" s="14"/>
      <c r="G181" s="22"/>
      <c r="H181" s="22"/>
      <c r="I181" s="13"/>
      <c r="J181" s="23" t="str">
        <f>IF($A181="","",SUMIFS(Conteneurs!$H$3:$H$1002,Conteneurs!$L$3:$L$1002,$A181,Conteneurs!$M$3:$M$1002,"Embarqué")/1000)</f>
        <v/>
      </c>
      <c r="K181" s="24" t="str">
        <f t="shared" si="8"/>
        <v/>
      </c>
      <c r="L181" s="25" t="str">
        <f t="shared" si="9"/>
        <v/>
      </c>
      <c r="M181" s="13"/>
    </row>
    <row r="182" spans="1:13" x14ac:dyDescent="0.35">
      <c r="A182" s="21"/>
      <c r="B182" s="13"/>
      <c r="C182" s="13"/>
      <c r="D182" s="13"/>
      <c r="E182" s="14"/>
      <c r="F182" s="14"/>
      <c r="G182" s="22"/>
      <c r="H182" s="22"/>
      <c r="I182" s="13"/>
      <c r="J182" s="23" t="str">
        <f>IF($A182="","",SUMIFS(Conteneurs!$H$3:$H$1002,Conteneurs!$L$3:$L$1002,$A182,Conteneurs!$M$3:$M$1002,"Embarqué")/1000)</f>
        <v/>
      </c>
      <c r="K182" s="24" t="str">
        <f t="shared" si="8"/>
        <v/>
      </c>
      <c r="L182" s="25" t="str">
        <f t="shared" si="9"/>
        <v/>
      </c>
      <c r="M182" s="13"/>
    </row>
    <row r="183" spans="1:13" x14ac:dyDescent="0.35">
      <c r="A183" s="21"/>
      <c r="B183" s="13"/>
      <c r="C183" s="13"/>
      <c r="D183" s="13"/>
      <c r="E183" s="14"/>
      <c r="F183" s="14"/>
      <c r="G183" s="22"/>
      <c r="H183" s="22"/>
      <c r="I183" s="13"/>
      <c r="J183" s="23" t="str">
        <f>IF($A183="","",SUMIFS(Conteneurs!$H$3:$H$1002,Conteneurs!$L$3:$L$1002,$A183,Conteneurs!$M$3:$M$1002,"Embarqué")/1000)</f>
        <v/>
      </c>
      <c r="K183" s="24" t="str">
        <f t="shared" si="8"/>
        <v/>
      </c>
      <c r="L183" s="25" t="str">
        <f t="shared" si="9"/>
        <v/>
      </c>
      <c r="M183" s="13"/>
    </row>
    <row r="184" spans="1:13" x14ac:dyDescent="0.35">
      <c r="A184" s="21"/>
      <c r="B184" s="13"/>
      <c r="C184" s="13"/>
      <c r="D184" s="13"/>
      <c r="E184" s="14"/>
      <c r="F184" s="14"/>
      <c r="G184" s="22"/>
      <c r="H184" s="22"/>
      <c r="I184" s="13"/>
      <c r="J184" s="23" t="str">
        <f>IF($A184="","",SUMIFS(Conteneurs!$H$3:$H$1002,Conteneurs!$L$3:$L$1002,$A184,Conteneurs!$M$3:$M$1002,"Embarqué")/1000)</f>
        <v/>
      </c>
      <c r="K184" s="24" t="str">
        <f t="shared" si="8"/>
        <v/>
      </c>
      <c r="L184" s="25" t="str">
        <f t="shared" si="9"/>
        <v/>
      </c>
      <c r="M184" s="13"/>
    </row>
    <row r="185" spans="1:13" x14ac:dyDescent="0.35">
      <c r="A185" s="21"/>
      <c r="B185" s="13"/>
      <c r="C185" s="13"/>
      <c r="D185" s="13"/>
      <c r="E185" s="14"/>
      <c r="F185" s="14"/>
      <c r="G185" s="22"/>
      <c r="H185" s="22"/>
      <c r="I185" s="13"/>
      <c r="J185" s="23" t="str">
        <f>IF($A185="","",SUMIFS(Conteneurs!$H$3:$H$1002,Conteneurs!$L$3:$L$1002,$A185,Conteneurs!$M$3:$M$1002,"Embarqué")/1000)</f>
        <v/>
      </c>
      <c r="K185" s="24" t="str">
        <f t="shared" si="8"/>
        <v/>
      </c>
      <c r="L185" s="25" t="str">
        <f t="shared" si="9"/>
        <v/>
      </c>
      <c r="M185" s="13"/>
    </row>
    <row r="186" spans="1:13" x14ac:dyDescent="0.35">
      <c r="A186" s="21"/>
      <c r="B186" s="13"/>
      <c r="C186" s="13"/>
      <c r="D186" s="13"/>
      <c r="E186" s="14"/>
      <c r="F186" s="14"/>
      <c r="G186" s="22"/>
      <c r="H186" s="22"/>
      <c r="I186" s="13"/>
      <c r="J186" s="23" t="str">
        <f>IF($A186="","",SUMIFS(Conteneurs!$H$3:$H$1002,Conteneurs!$L$3:$L$1002,$A186,Conteneurs!$M$3:$M$1002,"Embarqué")/1000)</f>
        <v/>
      </c>
      <c r="K186" s="24" t="str">
        <f t="shared" si="8"/>
        <v/>
      </c>
      <c r="L186" s="25" t="str">
        <f t="shared" si="9"/>
        <v/>
      </c>
      <c r="M186" s="13"/>
    </row>
    <row r="187" spans="1:13" x14ac:dyDescent="0.35">
      <c r="A187" s="21"/>
      <c r="B187" s="13"/>
      <c r="C187" s="13"/>
      <c r="D187" s="13"/>
      <c r="E187" s="14"/>
      <c r="F187" s="14"/>
      <c r="G187" s="22"/>
      <c r="H187" s="22"/>
      <c r="I187" s="13"/>
      <c r="J187" s="23" t="str">
        <f>IF($A187="","",SUMIFS(Conteneurs!$H$3:$H$1002,Conteneurs!$L$3:$L$1002,$A187,Conteneurs!$M$3:$M$1002,"Embarqué")/1000)</f>
        <v/>
      </c>
      <c r="K187" s="24" t="str">
        <f t="shared" si="8"/>
        <v/>
      </c>
      <c r="L187" s="25" t="str">
        <f t="shared" si="9"/>
        <v/>
      </c>
      <c r="M187" s="13"/>
    </row>
    <row r="188" spans="1:13" x14ac:dyDescent="0.35">
      <c r="A188" s="21"/>
      <c r="B188" s="13"/>
      <c r="C188" s="13"/>
      <c r="D188" s="13"/>
      <c r="E188" s="14"/>
      <c r="F188" s="14"/>
      <c r="G188" s="22"/>
      <c r="H188" s="22"/>
      <c r="I188" s="13"/>
      <c r="J188" s="23" t="str">
        <f>IF($A188="","",SUMIFS(Conteneurs!$H$3:$H$1002,Conteneurs!$L$3:$L$1002,$A188,Conteneurs!$M$3:$M$1002,"Embarqué")/1000)</f>
        <v/>
      </c>
      <c r="K188" s="24" t="str">
        <f t="shared" si="8"/>
        <v/>
      </c>
      <c r="L188" s="25" t="str">
        <f t="shared" si="9"/>
        <v/>
      </c>
      <c r="M188" s="13"/>
    </row>
    <row r="189" spans="1:13" x14ac:dyDescent="0.35">
      <c r="A189" s="21"/>
      <c r="B189" s="13"/>
      <c r="C189" s="13"/>
      <c r="D189" s="13"/>
      <c r="E189" s="14"/>
      <c r="F189" s="14"/>
      <c r="G189" s="22"/>
      <c r="H189" s="22"/>
      <c r="I189" s="13"/>
      <c r="J189" s="23" t="str">
        <f>IF($A189="","",SUMIFS(Conteneurs!$H$3:$H$1002,Conteneurs!$L$3:$L$1002,$A189,Conteneurs!$M$3:$M$1002,"Embarqué")/1000)</f>
        <v/>
      </c>
      <c r="K189" s="24" t="str">
        <f t="shared" si="8"/>
        <v/>
      </c>
      <c r="L189" s="25" t="str">
        <f t="shared" si="9"/>
        <v/>
      </c>
      <c r="M189" s="13"/>
    </row>
    <row r="190" spans="1:13" x14ac:dyDescent="0.35">
      <c r="A190" s="21"/>
      <c r="B190" s="13"/>
      <c r="C190" s="13"/>
      <c r="D190" s="13"/>
      <c r="E190" s="14"/>
      <c r="F190" s="14"/>
      <c r="G190" s="22"/>
      <c r="H190" s="22"/>
      <c r="I190" s="13"/>
      <c r="J190" s="23" t="str">
        <f>IF($A190="","",SUMIFS(Conteneurs!$H$3:$H$1002,Conteneurs!$L$3:$L$1002,$A190,Conteneurs!$M$3:$M$1002,"Embarqué")/1000)</f>
        <v/>
      </c>
      <c r="K190" s="24" t="str">
        <f t="shared" si="8"/>
        <v/>
      </c>
      <c r="L190" s="25" t="str">
        <f t="shared" si="9"/>
        <v/>
      </c>
      <c r="M190" s="13"/>
    </row>
    <row r="191" spans="1:13" x14ac:dyDescent="0.35">
      <c r="A191" s="21"/>
      <c r="B191" s="13"/>
      <c r="C191" s="13"/>
      <c r="D191" s="13"/>
      <c r="E191" s="14"/>
      <c r="F191" s="14"/>
      <c r="G191" s="22"/>
      <c r="H191" s="22"/>
      <c r="I191" s="13"/>
      <c r="J191" s="23" t="str">
        <f>IF($A191="","",SUMIFS(Conteneurs!$H$3:$H$1002,Conteneurs!$L$3:$L$1002,$A191,Conteneurs!$M$3:$M$1002,"Embarqué")/1000)</f>
        <v/>
      </c>
      <c r="K191" s="24" t="str">
        <f t="shared" si="8"/>
        <v/>
      </c>
      <c r="L191" s="25" t="str">
        <f t="shared" si="9"/>
        <v/>
      </c>
      <c r="M191" s="13"/>
    </row>
    <row r="192" spans="1:13" x14ac:dyDescent="0.35">
      <c r="A192" s="21"/>
      <c r="B192" s="13"/>
      <c r="C192" s="13"/>
      <c r="D192" s="13"/>
      <c r="E192" s="14"/>
      <c r="F192" s="14"/>
      <c r="G192" s="22"/>
      <c r="H192" s="22"/>
      <c r="I192" s="13"/>
      <c r="J192" s="23" t="str">
        <f>IF($A192="","",SUMIFS(Conteneurs!$H$3:$H$1002,Conteneurs!$L$3:$L$1002,$A192,Conteneurs!$M$3:$M$1002,"Embarqué")/1000)</f>
        <v/>
      </c>
      <c r="K192" s="24" t="str">
        <f t="shared" si="8"/>
        <v/>
      </c>
      <c r="L192" s="25" t="str">
        <f t="shared" si="9"/>
        <v/>
      </c>
      <c r="M192" s="13"/>
    </row>
    <row r="193" spans="1:13" x14ac:dyDescent="0.35">
      <c r="A193" s="21"/>
      <c r="B193" s="13"/>
      <c r="C193" s="13"/>
      <c r="D193" s="13"/>
      <c r="E193" s="14"/>
      <c r="F193" s="14"/>
      <c r="G193" s="22"/>
      <c r="H193" s="22"/>
      <c r="I193" s="13"/>
      <c r="J193" s="23" t="str">
        <f>IF($A193="","",SUMIFS(Conteneurs!$H$3:$H$1002,Conteneurs!$L$3:$L$1002,$A193,Conteneurs!$M$3:$M$1002,"Embarqué")/1000)</f>
        <v/>
      </c>
      <c r="K193" s="24" t="str">
        <f t="shared" si="8"/>
        <v/>
      </c>
      <c r="L193" s="25" t="str">
        <f t="shared" si="9"/>
        <v/>
      </c>
      <c r="M193" s="13"/>
    </row>
    <row r="194" spans="1:13" x14ac:dyDescent="0.35">
      <c r="A194" s="21"/>
      <c r="B194" s="13"/>
      <c r="C194" s="13"/>
      <c r="D194" s="13"/>
      <c r="E194" s="14"/>
      <c r="F194" s="14"/>
      <c r="G194" s="22"/>
      <c r="H194" s="22"/>
      <c r="I194" s="13"/>
      <c r="J194" s="23" t="str">
        <f>IF($A194="","",SUMIFS(Conteneurs!$H$3:$H$1002,Conteneurs!$L$3:$L$1002,$A194,Conteneurs!$M$3:$M$1002,"Embarqué")/1000)</f>
        <v/>
      </c>
      <c r="K194" s="24" t="str">
        <f t="shared" si="8"/>
        <v/>
      </c>
      <c r="L194" s="25" t="str">
        <f t="shared" si="9"/>
        <v/>
      </c>
      <c r="M194" s="13"/>
    </row>
    <row r="195" spans="1:13" x14ac:dyDescent="0.35">
      <c r="A195" s="21"/>
      <c r="B195" s="13"/>
      <c r="C195" s="13"/>
      <c r="D195" s="13"/>
      <c r="E195" s="14"/>
      <c r="F195" s="14"/>
      <c r="G195" s="22"/>
      <c r="H195" s="22"/>
      <c r="I195" s="13"/>
      <c r="J195" s="23" t="str">
        <f>IF($A195="","",SUMIFS(Conteneurs!$H$3:$H$1002,Conteneurs!$L$3:$L$1002,$A195,Conteneurs!$M$3:$M$1002,"Embarqué")/1000)</f>
        <v/>
      </c>
      <c r="K195" s="24" t="str">
        <f t="shared" si="8"/>
        <v/>
      </c>
      <c r="L195" s="25" t="str">
        <f t="shared" si="9"/>
        <v/>
      </c>
      <c r="M195" s="13"/>
    </row>
    <row r="196" spans="1:13" x14ac:dyDescent="0.35">
      <c r="A196" s="21"/>
      <c r="B196" s="13"/>
      <c r="C196" s="13"/>
      <c r="D196" s="13"/>
      <c r="E196" s="14"/>
      <c r="F196" s="14"/>
      <c r="G196" s="22"/>
      <c r="H196" s="22"/>
      <c r="I196" s="13"/>
      <c r="J196" s="23" t="str">
        <f>IF($A196="","",SUMIFS(Conteneurs!$H$3:$H$1002,Conteneurs!$L$3:$L$1002,$A196,Conteneurs!$M$3:$M$1002,"Embarqué")/1000)</f>
        <v/>
      </c>
      <c r="K196" s="24" t="str">
        <f t="shared" si="8"/>
        <v/>
      </c>
      <c r="L196" s="25" t="str">
        <f t="shared" si="9"/>
        <v/>
      </c>
      <c r="M196" s="13"/>
    </row>
    <row r="197" spans="1:13" x14ac:dyDescent="0.35">
      <c r="A197" s="21"/>
      <c r="B197" s="13"/>
      <c r="C197" s="13"/>
      <c r="D197" s="13"/>
      <c r="E197" s="14"/>
      <c r="F197" s="14"/>
      <c r="G197" s="22"/>
      <c r="H197" s="22"/>
      <c r="I197" s="13"/>
      <c r="J197" s="23" t="str">
        <f>IF($A197="","",SUMIFS(Conteneurs!$H$3:$H$1002,Conteneurs!$L$3:$L$1002,$A197,Conteneurs!$M$3:$M$1002,"Embarqué")/1000)</f>
        <v/>
      </c>
      <c r="K197" s="24" t="str">
        <f t="shared" ref="K197:K204" si="10">IF(OR($A197="",$G197=""),"",$G197-$J197)</f>
        <v/>
      </c>
      <c r="L197" s="25" t="str">
        <f t="shared" ref="L197:L204" si="11">IF(OR($A197="",N($G197)=0),"",$J197/$G197)</f>
        <v/>
      </c>
      <c r="M197" s="13"/>
    </row>
    <row r="198" spans="1:13" x14ac:dyDescent="0.35">
      <c r="A198" s="21"/>
      <c r="B198" s="13"/>
      <c r="C198" s="13"/>
      <c r="D198" s="13"/>
      <c r="E198" s="14"/>
      <c r="F198" s="14"/>
      <c r="G198" s="22"/>
      <c r="H198" s="22"/>
      <c r="I198" s="13"/>
      <c r="J198" s="23" t="str">
        <f>IF($A198="","",SUMIFS(Conteneurs!$H$3:$H$1002,Conteneurs!$L$3:$L$1002,$A198,Conteneurs!$M$3:$M$1002,"Embarqué")/1000)</f>
        <v/>
      </c>
      <c r="K198" s="24" t="str">
        <f t="shared" si="10"/>
        <v/>
      </c>
      <c r="L198" s="25" t="str">
        <f t="shared" si="11"/>
        <v/>
      </c>
      <c r="M198" s="13"/>
    </row>
    <row r="199" spans="1:13" x14ac:dyDescent="0.35">
      <c r="A199" s="21"/>
      <c r="B199" s="13"/>
      <c r="C199" s="13"/>
      <c r="D199" s="13"/>
      <c r="E199" s="14"/>
      <c r="F199" s="14"/>
      <c r="G199" s="22"/>
      <c r="H199" s="22"/>
      <c r="I199" s="13"/>
      <c r="J199" s="23" t="str">
        <f>IF($A199="","",SUMIFS(Conteneurs!$H$3:$H$1002,Conteneurs!$L$3:$L$1002,$A199,Conteneurs!$M$3:$M$1002,"Embarqué")/1000)</f>
        <v/>
      </c>
      <c r="K199" s="24" t="str">
        <f t="shared" si="10"/>
        <v/>
      </c>
      <c r="L199" s="25" t="str">
        <f t="shared" si="11"/>
        <v/>
      </c>
      <c r="M199" s="13"/>
    </row>
    <row r="200" spans="1:13" x14ac:dyDescent="0.35">
      <c r="A200" s="21"/>
      <c r="B200" s="13"/>
      <c r="C200" s="13"/>
      <c r="D200" s="13"/>
      <c r="E200" s="14"/>
      <c r="F200" s="14"/>
      <c r="G200" s="22"/>
      <c r="H200" s="22"/>
      <c r="I200" s="13"/>
      <c r="J200" s="23" t="str">
        <f>IF($A200="","",SUMIFS(Conteneurs!$H$3:$H$1002,Conteneurs!$L$3:$L$1002,$A200,Conteneurs!$M$3:$M$1002,"Embarqué")/1000)</f>
        <v/>
      </c>
      <c r="K200" s="24" t="str">
        <f t="shared" si="10"/>
        <v/>
      </c>
      <c r="L200" s="25" t="str">
        <f t="shared" si="11"/>
        <v/>
      </c>
      <c r="M200" s="13"/>
    </row>
    <row r="201" spans="1:13" x14ac:dyDescent="0.35">
      <c r="A201" s="21"/>
      <c r="B201" s="13"/>
      <c r="C201" s="13"/>
      <c r="D201" s="13"/>
      <c r="E201" s="14"/>
      <c r="F201" s="14"/>
      <c r="G201" s="22"/>
      <c r="H201" s="22"/>
      <c r="I201" s="13"/>
      <c r="J201" s="23" t="str">
        <f>IF($A201="","",SUMIFS(Conteneurs!$H$3:$H$1002,Conteneurs!$L$3:$L$1002,$A201,Conteneurs!$M$3:$M$1002,"Embarqué")/1000)</f>
        <v/>
      </c>
      <c r="K201" s="24" t="str">
        <f t="shared" si="10"/>
        <v/>
      </c>
      <c r="L201" s="25" t="str">
        <f t="shared" si="11"/>
        <v/>
      </c>
      <c r="M201" s="13"/>
    </row>
    <row r="202" spans="1:13" x14ac:dyDescent="0.35">
      <c r="A202" s="21"/>
      <c r="B202" s="13"/>
      <c r="C202" s="13"/>
      <c r="D202" s="13"/>
      <c r="E202" s="14"/>
      <c r="F202" s="14"/>
      <c r="G202" s="22"/>
      <c r="H202" s="22"/>
      <c r="I202" s="13"/>
      <c r="J202" s="23" t="str">
        <f>IF($A202="","",SUMIFS(Conteneurs!$H$3:$H$1002,Conteneurs!$L$3:$L$1002,$A202,Conteneurs!$M$3:$M$1002,"Embarqué")/1000)</f>
        <v/>
      </c>
      <c r="K202" s="24" t="str">
        <f t="shared" si="10"/>
        <v/>
      </c>
      <c r="L202" s="25" t="str">
        <f t="shared" si="11"/>
        <v/>
      </c>
      <c r="M202" s="13"/>
    </row>
    <row r="203" spans="1:13" x14ac:dyDescent="0.35">
      <c r="A203" s="21"/>
      <c r="B203" s="13"/>
      <c r="C203" s="13"/>
      <c r="D203" s="13"/>
      <c r="E203" s="14"/>
      <c r="F203" s="14"/>
      <c r="G203" s="22"/>
      <c r="H203" s="22"/>
      <c r="I203" s="13"/>
      <c r="J203" s="23" t="str">
        <f>IF($A203="","",SUMIFS(Conteneurs!$H$3:$H$1002,Conteneurs!$L$3:$L$1002,$A203,Conteneurs!$M$3:$M$1002,"Embarqué")/1000)</f>
        <v/>
      </c>
      <c r="K203" s="24" t="str">
        <f t="shared" si="10"/>
        <v/>
      </c>
      <c r="L203" s="25" t="str">
        <f t="shared" si="11"/>
        <v/>
      </c>
      <c r="M203" s="13"/>
    </row>
    <row r="204" spans="1:13" x14ac:dyDescent="0.35">
      <c r="A204" s="21"/>
      <c r="B204" s="13"/>
      <c r="C204" s="13"/>
      <c r="D204" s="13"/>
      <c r="E204" s="14"/>
      <c r="F204" s="14"/>
      <c r="G204" s="22"/>
      <c r="H204" s="22"/>
      <c r="I204" s="13"/>
      <c r="J204" s="23" t="str">
        <f>IF($A204="","",SUMIFS(Conteneurs!$H$3:$H$1002,Conteneurs!$L$3:$L$1002,$A204,Conteneurs!$M$3:$M$1002,"Embarqué")/1000)</f>
        <v/>
      </c>
      <c r="K204" s="24" t="str">
        <f t="shared" si="10"/>
        <v/>
      </c>
      <c r="L204" s="25" t="str">
        <f t="shared" si="11"/>
        <v/>
      </c>
      <c r="M204" s="13"/>
    </row>
  </sheetData>
  <mergeCells count="1">
    <mergeCell ref="A2:M2"/>
  </mergeCells>
  <dataValidations count="5">
    <dataValidation type="list" errorStyle="warning" allowBlank="1" showErrorMessage="1" errorTitle="Client absent de la liste" error="Ce client n'est pas dans la feuille Listes. Cliquez sur Oui pour le garder." sqref="B5:B204" xr:uid="{00000000-0002-0000-0200-000000000000}">
      <formula1>L_Clients</formula1>
    </dataValidation>
    <dataValidation type="list" errorStyle="warning" allowBlank="1" showErrorMessage="1" errorTitle="Produit absent de la liste" error="Ce produit n'est pas dans la feuille Listes. Cliquez sur Oui pour le garder." sqref="D5:D204" xr:uid="{00000000-0002-0000-0200-000001000000}">
      <formula1>L_Produits</formula1>
    </dataValidation>
    <dataValidation type="date" operator="greaterThan" allowBlank="1" showErrorMessage="1" errorTitle="Date non valide" error="Saisissez une date, par exemple 10/10/2026." sqref="E5:E204 F6:F204" xr:uid="{00000000-0002-0000-0200-000002000000}">
      <formula1>36526</formula1>
    </dataValidation>
    <dataValidation type="decimal" operator="greaterThanOrEqual" allowBlank="1" showErrorMessage="1" errorTitle="Valeur non valide" error="Saisissez un nombre positif, sans texte." sqref="G5:H204" xr:uid="{00000000-0002-0000-0200-000003000000}">
      <formula1>0</formula1>
    </dataValidation>
    <dataValidation type="list" errorStyle="warning" allowBlank="1" showErrorMessage="1" errorTitle="Incoterm absent de la liste" error="Cet incoterm n'est pas dans la feuille Listes. Cliquez sur Oui pour le garder." sqref="I5:I204" xr:uid="{00000000-0002-0000-0200-000005000000}">
      <formula1>L_Incoterms</formula1>
    </dataValidation>
  </dataValidations>
  <pageMargins left="0.75" right="0.75" top="1" bottom="1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greaterThan" allowBlank="1" showErrorMessage="1" errorTitle="Date non valide" error="Saisissez une date, par exemple 10/10/2026." xr:uid="{E4551896-009E-4791-A137-8300B5FB41DF}">
          <x14:formula1>
            <xm:f>Listes!$B$2:$B$5</xm:f>
          </x14:formula1>
          <xm:sqref>F5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  <pageSetUpPr fitToPage="1"/>
  </sheetPr>
  <dimension ref="A1:N202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16" sqref="B16"/>
    </sheetView>
  </sheetViews>
  <sheetFormatPr baseColWidth="10" defaultColWidth="8.7265625" defaultRowHeight="14.5" x14ac:dyDescent="0.35"/>
  <cols>
    <col min="1" max="1" width="18.90625" style="75" customWidth="1"/>
    <col min="2" max="2" width="14" style="58" customWidth="1"/>
    <col min="3" max="3" width="22" style="59" customWidth="1"/>
    <col min="4" max="4" width="20" style="59" customWidth="1"/>
    <col min="5" max="5" width="12" style="59" customWidth="1"/>
    <col min="6" max="6" width="21" style="58" customWidth="1"/>
    <col min="7" max="8" width="13" style="58" customWidth="1"/>
    <col min="9" max="9" width="16.7265625" style="59" customWidth="1"/>
    <col min="10" max="10" width="24" style="59" customWidth="1"/>
    <col min="11" max="11" width="28.08984375" style="59" customWidth="1"/>
    <col min="12" max="12" width="21.54296875" style="149" customWidth="1"/>
    <col min="13" max="13" width="24" style="59" customWidth="1"/>
    <col min="14" max="14" width="30" style="58" customWidth="1"/>
    <col min="15" max="16384" width="8.7265625" style="58"/>
  </cols>
  <sheetData>
    <row r="1" spans="1:14" ht="62" hidden="1" customHeight="1" x14ac:dyDescent="0.35">
      <c r="A1" s="60" t="s">
        <v>81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ht="36" customHeight="1" x14ac:dyDescent="0.35">
      <c r="A2" s="62" t="s">
        <v>53</v>
      </c>
      <c r="B2" s="63" t="s">
        <v>54</v>
      </c>
      <c r="C2" s="63" t="s">
        <v>82</v>
      </c>
      <c r="D2" s="63" t="s">
        <v>55</v>
      </c>
      <c r="E2" s="63" t="s">
        <v>83</v>
      </c>
      <c r="F2" s="63" t="s">
        <v>84</v>
      </c>
      <c r="G2" s="63" t="s">
        <v>42</v>
      </c>
      <c r="H2" s="63" t="s">
        <v>56</v>
      </c>
      <c r="I2" s="63" t="s">
        <v>85</v>
      </c>
      <c r="J2" s="64" t="s">
        <v>86</v>
      </c>
      <c r="K2" s="64" t="s">
        <v>59</v>
      </c>
      <c r="L2" s="65" t="s">
        <v>87</v>
      </c>
      <c r="M2" s="64" t="s">
        <v>88</v>
      </c>
      <c r="N2" s="63" t="s">
        <v>78</v>
      </c>
    </row>
    <row r="3" spans="1:14" x14ac:dyDescent="0.35">
      <c r="A3" s="66">
        <v>277243348</v>
      </c>
      <c r="B3" s="67">
        <v>4600063618</v>
      </c>
      <c r="C3" s="74" t="s">
        <v>178</v>
      </c>
      <c r="D3" s="69" t="s">
        <v>199</v>
      </c>
      <c r="E3" s="69" t="s">
        <v>200</v>
      </c>
      <c r="F3" s="70" t="s">
        <v>201</v>
      </c>
      <c r="G3" s="71">
        <v>46308</v>
      </c>
      <c r="H3" s="71">
        <v>46329</v>
      </c>
      <c r="I3" s="72">
        <v>6</v>
      </c>
      <c r="J3" s="73">
        <f>IF($A3="","",COUNTIFS(Conteneurs!$K$3:$K$1002,$A3))</f>
        <v>6</v>
      </c>
      <c r="K3" s="73">
        <v>0</v>
      </c>
      <c r="L3" s="147">
        <f ca="1">IF(G3="","",IF(G3-TODAY()&lt;0,"Départ passé",G3-TODAY()))</f>
        <v>1</v>
      </c>
      <c r="M3" s="148" t="str">
        <f t="shared" ref="M3:M34" ca="1" si="0">IF($A3="","",IF(AND(N($I3)&gt;0,$K3&gt;=$I3),"Embarqué complet",IF(AND($G3&lt;&gt;"",N($G3)&lt;TODAY()),"En retard (ETD dépassé)",IF($J3=0,"À préparer","En cours"))))</f>
        <v>En cours</v>
      </c>
      <c r="N3" s="68"/>
    </row>
    <row r="4" spans="1:14" x14ac:dyDescent="0.35">
      <c r="A4" s="66">
        <v>277243441</v>
      </c>
      <c r="B4" s="67">
        <v>4600063618</v>
      </c>
      <c r="C4" s="74" t="s">
        <v>179</v>
      </c>
      <c r="D4" s="69" t="s">
        <v>199</v>
      </c>
      <c r="E4" s="69" t="s">
        <v>200</v>
      </c>
      <c r="F4" s="70" t="s">
        <v>201</v>
      </c>
      <c r="G4" s="71">
        <v>46308</v>
      </c>
      <c r="H4" s="71">
        <v>46329</v>
      </c>
      <c r="I4" s="72">
        <v>6</v>
      </c>
      <c r="J4" s="73">
        <f>IF($A4="","",COUNTIFS(Conteneurs!$K$3:$K$1002,$A4))</f>
        <v>6</v>
      </c>
      <c r="K4" s="73">
        <f>IF($A4="","",COUNTIFS(Conteneurs!$K$3:$K$1002,$A4,Conteneurs!$M$3:$M$1002,"Embarqué"))</f>
        <v>0</v>
      </c>
      <c r="L4" s="147">
        <f t="shared" ref="L3:L34" ca="1" si="1">IF(OR($A4="",$G4=""),"",$G4-TODAY())</f>
        <v>1</v>
      </c>
      <c r="M4" s="148" t="str">
        <f t="shared" ca="1" si="0"/>
        <v>En cours</v>
      </c>
      <c r="N4" s="68"/>
    </row>
    <row r="5" spans="1:14" x14ac:dyDescent="0.35">
      <c r="A5" s="66">
        <v>277243505</v>
      </c>
      <c r="B5" s="67">
        <v>4600063618</v>
      </c>
      <c r="C5" s="74" t="s">
        <v>177</v>
      </c>
      <c r="D5" s="69" t="s">
        <v>199</v>
      </c>
      <c r="E5" s="69" t="s">
        <v>200</v>
      </c>
      <c r="F5" s="70" t="s">
        <v>201</v>
      </c>
      <c r="G5" s="71">
        <v>46308</v>
      </c>
      <c r="H5" s="71">
        <v>46329</v>
      </c>
      <c r="I5" s="72">
        <v>5</v>
      </c>
      <c r="J5" s="73">
        <f>IF($A5="","",COUNTIFS(Conteneurs!$K$3:$K$1002,$A5))</f>
        <v>5</v>
      </c>
      <c r="K5" s="73">
        <f>IF($A5="","",COUNTIFS(Conteneurs!$K$3:$K$1002,$A5,Conteneurs!$M$3:$M$1002,"Embarqué"))</f>
        <v>0</v>
      </c>
      <c r="L5" s="147">
        <f t="shared" ca="1" si="1"/>
        <v>1</v>
      </c>
      <c r="M5" s="148" t="str">
        <f t="shared" ca="1" si="0"/>
        <v>En cours</v>
      </c>
      <c r="N5" s="68"/>
    </row>
    <row r="6" spans="1:14" x14ac:dyDescent="0.35">
      <c r="A6" s="66">
        <v>277243596</v>
      </c>
      <c r="B6" s="67">
        <v>4600063618</v>
      </c>
      <c r="C6" s="74" t="s">
        <v>179</v>
      </c>
      <c r="D6" s="69" t="s">
        <v>199</v>
      </c>
      <c r="E6" s="74" t="s">
        <v>200</v>
      </c>
      <c r="F6" s="70" t="s">
        <v>201</v>
      </c>
      <c r="G6" s="71">
        <v>46308</v>
      </c>
      <c r="H6" s="71">
        <v>46329</v>
      </c>
      <c r="I6" s="72">
        <v>4</v>
      </c>
      <c r="J6" s="73">
        <f>IF($A6="","",COUNTIFS(Conteneurs!$K$3:$K$1002,$A6))</f>
        <v>4</v>
      </c>
      <c r="K6" s="73">
        <f>IF($A6="","",COUNTIFS(Conteneurs!$K$3:$K$1002,$A6,Conteneurs!$M$3:$M$1002,"Embarqué"))</f>
        <v>0</v>
      </c>
      <c r="L6" s="147">
        <f t="shared" ca="1" si="1"/>
        <v>1</v>
      </c>
      <c r="M6" s="148" t="str">
        <f t="shared" ca="1" si="0"/>
        <v>En cours</v>
      </c>
      <c r="N6" s="68"/>
    </row>
    <row r="7" spans="1:14" x14ac:dyDescent="0.35">
      <c r="A7" s="66">
        <v>277443031</v>
      </c>
      <c r="B7" s="67">
        <v>4600063618</v>
      </c>
      <c r="C7" s="74" t="s">
        <v>179</v>
      </c>
      <c r="D7" s="74" t="s">
        <v>199</v>
      </c>
      <c r="E7" s="74" t="s">
        <v>200</v>
      </c>
      <c r="F7" s="68" t="s">
        <v>201</v>
      </c>
      <c r="G7" s="71">
        <v>46309</v>
      </c>
      <c r="H7" s="71">
        <v>46329</v>
      </c>
      <c r="I7" s="72">
        <v>6</v>
      </c>
      <c r="J7" s="73">
        <f>IF($A7="","",COUNTIFS(Conteneurs!$K$3:$K$1002,$A7))</f>
        <v>6</v>
      </c>
      <c r="K7" s="73">
        <f>IF($A7="","",COUNTIFS(Conteneurs!$K$3:$K$1002,$A7,Conteneurs!$M$3:$M$1002,"Embarqué"))</f>
        <v>0</v>
      </c>
      <c r="L7" s="147">
        <f t="shared" ca="1" si="1"/>
        <v>2</v>
      </c>
      <c r="M7" s="148" t="str">
        <f t="shared" ca="1" si="0"/>
        <v>En cours</v>
      </c>
      <c r="N7" s="68"/>
    </row>
    <row r="8" spans="1:14" x14ac:dyDescent="0.35">
      <c r="A8" s="66">
        <v>277763418</v>
      </c>
      <c r="B8" s="67">
        <v>4600063618</v>
      </c>
      <c r="C8" s="74" t="s">
        <v>178</v>
      </c>
      <c r="D8" s="74" t="s">
        <v>199</v>
      </c>
      <c r="E8" s="74" t="s">
        <v>200</v>
      </c>
      <c r="F8" s="68" t="s">
        <v>201</v>
      </c>
      <c r="G8" s="71">
        <v>46309</v>
      </c>
      <c r="H8" s="71">
        <v>46329</v>
      </c>
      <c r="I8" s="72">
        <v>5</v>
      </c>
      <c r="J8" s="73">
        <f>IF($A8="","",COUNTIFS(Conteneurs!$K$3:$K$1002,$A8))</f>
        <v>5</v>
      </c>
      <c r="K8" s="73">
        <f>IF($A8="","",COUNTIFS(Conteneurs!$K$3:$K$1002,$A8,Conteneurs!$M$3:$M$1002,"Embarqué"))</f>
        <v>0</v>
      </c>
      <c r="L8" s="147">
        <f t="shared" ca="1" si="1"/>
        <v>2</v>
      </c>
      <c r="M8" s="148" t="str">
        <f t="shared" ca="1" si="0"/>
        <v>En cours</v>
      </c>
      <c r="N8" s="68"/>
    </row>
    <row r="9" spans="1:14" x14ac:dyDescent="0.35">
      <c r="A9" s="66">
        <v>277770098</v>
      </c>
      <c r="B9" s="67">
        <v>4600063618</v>
      </c>
      <c r="C9" s="74" t="s">
        <v>179</v>
      </c>
      <c r="D9" s="74" t="s">
        <v>199</v>
      </c>
      <c r="E9" s="74" t="s">
        <v>200</v>
      </c>
      <c r="F9" s="68" t="s">
        <v>201</v>
      </c>
      <c r="G9" s="71">
        <v>46309</v>
      </c>
      <c r="H9" s="71">
        <v>46329</v>
      </c>
      <c r="I9" s="72">
        <v>5</v>
      </c>
      <c r="J9" s="73">
        <f>IF($A9="","",COUNTIFS(Conteneurs!$K$3:$K$1002,$A9))</f>
        <v>5</v>
      </c>
      <c r="K9" s="73">
        <f>IF($A9="","",COUNTIFS(Conteneurs!$K$3:$K$1002,$A9,Conteneurs!$M$3:$M$1002,"Embarqué"))</f>
        <v>0</v>
      </c>
      <c r="L9" s="147">
        <f t="shared" ca="1" si="1"/>
        <v>2</v>
      </c>
      <c r="M9" s="148" t="str">
        <f t="shared" ca="1" si="0"/>
        <v>En cours</v>
      </c>
      <c r="N9" s="68"/>
    </row>
    <row r="10" spans="1:14" x14ac:dyDescent="0.35">
      <c r="A10" s="66">
        <v>277770206</v>
      </c>
      <c r="B10" s="67">
        <v>4600063618</v>
      </c>
      <c r="C10" s="74" t="s">
        <v>177</v>
      </c>
      <c r="D10" s="74" t="s">
        <v>202</v>
      </c>
      <c r="E10" s="74" t="s">
        <v>203</v>
      </c>
      <c r="F10" s="68" t="s">
        <v>201</v>
      </c>
      <c r="G10" s="71">
        <v>46314</v>
      </c>
      <c r="H10" s="71">
        <v>46343</v>
      </c>
      <c r="I10" s="72">
        <v>5</v>
      </c>
      <c r="J10" s="73">
        <f>IF($A10="","",COUNTIFS(Conteneurs!$K$3:$K$1002,$A10))</f>
        <v>5</v>
      </c>
      <c r="K10" s="73">
        <f>IF($A10="","",COUNTIFS(Conteneurs!$K$3:$K$1002,$A10,Conteneurs!$M$3:$M$1002,"Embarqué"))</f>
        <v>0</v>
      </c>
      <c r="L10" s="147">
        <f t="shared" ca="1" si="1"/>
        <v>7</v>
      </c>
      <c r="M10" s="148" t="str">
        <f t="shared" ca="1" si="0"/>
        <v>En cours</v>
      </c>
      <c r="N10" s="68"/>
    </row>
    <row r="11" spans="1:14" x14ac:dyDescent="0.35">
      <c r="A11" s="66">
        <v>278981635</v>
      </c>
      <c r="B11" s="67">
        <v>4600063618</v>
      </c>
      <c r="C11" s="74" t="s">
        <v>178</v>
      </c>
      <c r="D11" s="74" t="s">
        <v>199</v>
      </c>
      <c r="E11" s="74" t="s">
        <v>200</v>
      </c>
      <c r="F11" s="68" t="s">
        <v>201</v>
      </c>
      <c r="G11" s="71">
        <v>46309</v>
      </c>
      <c r="H11" s="71">
        <v>46329</v>
      </c>
      <c r="I11" s="72">
        <v>6</v>
      </c>
      <c r="J11" s="73">
        <f>IF($A11="","",COUNTIFS(Conteneurs!$K$3:$K$1002,$A11))</f>
        <v>6</v>
      </c>
      <c r="K11" s="73">
        <f>IF($A11="","",COUNTIFS(Conteneurs!$K$3:$K$1002,$A11,Conteneurs!$M$3:$M$1002,"Embarqué"))</f>
        <v>0</v>
      </c>
      <c r="L11" s="147">
        <f t="shared" ca="1" si="1"/>
        <v>2</v>
      </c>
      <c r="M11" s="148" t="str">
        <f t="shared" ca="1" si="0"/>
        <v>En cours</v>
      </c>
      <c r="N11" s="68"/>
    </row>
    <row r="12" spans="1:14" x14ac:dyDescent="0.35">
      <c r="A12" s="66">
        <v>279324047</v>
      </c>
      <c r="B12" s="67">
        <v>4600063618</v>
      </c>
      <c r="C12" s="74" t="s">
        <v>179</v>
      </c>
      <c r="D12" s="74" t="s">
        <v>202</v>
      </c>
      <c r="E12" s="74" t="s">
        <v>203</v>
      </c>
      <c r="F12" s="68" t="s">
        <v>201</v>
      </c>
      <c r="G12" s="71">
        <v>46314</v>
      </c>
      <c r="H12" s="71">
        <v>46343</v>
      </c>
      <c r="I12" s="72">
        <v>1</v>
      </c>
      <c r="J12" s="73">
        <f>IF($A12="","",COUNTIFS(Conteneurs!$K$3:$K$1002,$A12))</f>
        <v>1</v>
      </c>
      <c r="K12" s="73">
        <f>IF($A12="","",COUNTIFS(Conteneurs!$K$3:$K$1002,$A12,Conteneurs!$M$3:$M$1002,"Embarqué"))</f>
        <v>0</v>
      </c>
      <c r="L12" s="147">
        <f t="shared" ca="1" si="1"/>
        <v>7</v>
      </c>
      <c r="M12" s="148" t="str">
        <f t="shared" ca="1" si="0"/>
        <v>En cours</v>
      </c>
      <c r="N12" s="68"/>
    </row>
    <row r="13" spans="1:14" x14ac:dyDescent="0.35">
      <c r="A13" s="66"/>
      <c r="B13" s="67"/>
      <c r="C13" s="74"/>
      <c r="D13" s="74"/>
      <c r="E13" s="74"/>
      <c r="F13" s="68"/>
      <c r="G13" s="71"/>
      <c r="H13" s="71"/>
      <c r="I13" s="72"/>
      <c r="J13" s="73" t="str">
        <f>IF($A13="","",COUNTIFS(Conteneurs!$K$3:$K$1002,$A13))</f>
        <v/>
      </c>
      <c r="K13" s="73" t="str">
        <f>IF($A13="","",COUNTIFS(Conteneurs!$K$3:$K$1002,$A13,Conteneurs!$M$3:$M$1002,"Embarqué"))</f>
        <v/>
      </c>
      <c r="L13" s="147" t="str">
        <f t="shared" ca="1" si="1"/>
        <v/>
      </c>
      <c r="M13" s="148" t="str">
        <f t="shared" ca="1" si="0"/>
        <v/>
      </c>
      <c r="N13" s="68"/>
    </row>
    <row r="14" spans="1:14" x14ac:dyDescent="0.35">
      <c r="A14" s="66"/>
      <c r="B14" s="67"/>
      <c r="C14" s="74"/>
      <c r="D14" s="74"/>
      <c r="E14" s="74"/>
      <c r="F14" s="68"/>
      <c r="G14" s="71"/>
      <c r="H14" s="71"/>
      <c r="I14" s="72"/>
      <c r="J14" s="73" t="str">
        <f>IF($A14="","",COUNTIFS(Conteneurs!$K$3:$K$1002,$A14))</f>
        <v/>
      </c>
      <c r="K14" s="73" t="str">
        <f>IF($A14="","",COUNTIFS(Conteneurs!$K$3:$K$1002,$A14,Conteneurs!$M$3:$M$1002,"Embarqué"))</f>
        <v/>
      </c>
      <c r="L14" s="147" t="str">
        <f t="shared" ca="1" si="1"/>
        <v/>
      </c>
      <c r="M14" s="148" t="str">
        <f t="shared" ca="1" si="0"/>
        <v/>
      </c>
      <c r="N14" s="68"/>
    </row>
    <row r="15" spans="1:14" x14ac:dyDescent="0.35">
      <c r="A15" s="66"/>
      <c r="B15" s="67"/>
      <c r="C15" s="74"/>
      <c r="D15" s="74"/>
      <c r="E15" s="74"/>
      <c r="F15" s="68"/>
      <c r="G15" s="71"/>
      <c r="H15" s="71"/>
      <c r="I15" s="72"/>
      <c r="J15" s="73" t="str">
        <f>IF($A15="","",COUNTIFS(Conteneurs!$K$3:$K$1002,$A15))</f>
        <v/>
      </c>
      <c r="K15" s="73" t="str">
        <f>IF($A15="","",COUNTIFS(Conteneurs!$K$3:$K$1002,$A15,Conteneurs!$M$3:$M$1002,"Embarqué"))</f>
        <v/>
      </c>
      <c r="L15" s="147" t="str">
        <f t="shared" ca="1" si="1"/>
        <v/>
      </c>
      <c r="M15" s="148" t="str">
        <f t="shared" ca="1" si="0"/>
        <v/>
      </c>
      <c r="N15" s="68"/>
    </row>
    <row r="16" spans="1:14" x14ac:dyDescent="0.35">
      <c r="A16" s="66"/>
      <c r="B16" s="67"/>
      <c r="C16" s="74"/>
      <c r="D16" s="74"/>
      <c r="E16" s="74"/>
      <c r="F16" s="68"/>
      <c r="G16" s="71"/>
      <c r="H16" s="71"/>
      <c r="I16" s="72"/>
      <c r="J16" s="73" t="str">
        <f>IF($A16="","",COUNTIFS(Conteneurs!$K$3:$K$1002,$A16))</f>
        <v/>
      </c>
      <c r="K16" s="73" t="str">
        <f>IF($A16="","",COUNTIFS(Conteneurs!$K$3:$K$1002,$A16,Conteneurs!$M$3:$M$1002,"Embarqué"))</f>
        <v/>
      </c>
      <c r="L16" s="147" t="str">
        <f t="shared" ca="1" si="1"/>
        <v/>
      </c>
      <c r="M16" s="148" t="str">
        <f t="shared" ca="1" si="0"/>
        <v/>
      </c>
      <c r="N16" s="68"/>
    </row>
    <row r="17" spans="1:14" x14ac:dyDescent="0.35">
      <c r="A17" s="66"/>
      <c r="B17" s="67"/>
      <c r="C17" s="74"/>
      <c r="D17" s="74"/>
      <c r="E17" s="74"/>
      <c r="F17" s="68"/>
      <c r="G17" s="71"/>
      <c r="H17" s="71"/>
      <c r="I17" s="72"/>
      <c r="J17" s="73" t="str">
        <f>IF($A17="","",COUNTIFS(Conteneurs!$K$3:$K$1002,$A17))</f>
        <v/>
      </c>
      <c r="K17" s="73" t="str">
        <f>IF($A17="","",COUNTIFS(Conteneurs!$K$3:$K$1002,$A17,Conteneurs!$M$3:$M$1002,"Embarqué"))</f>
        <v/>
      </c>
      <c r="L17" s="147" t="str">
        <f t="shared" ca="1" si="1"/>
        <v/>
      </c>
      <c r="M17" s="148" t="str">
        <f t="shared" ca="1" si="0"/>
        <v/>
      </c>
      <c r="N17" s="68"/>
    </row>
    <row r="18" spans="1:14" x14ac:dyDescent="0.35">
      <c r="A18" s="66"/>
      <c r="B18" s="67"/>
      <c r="C18" s="74"/>
      <c r="D18" s="74"/>
      <c r="E18" s="74"/>
      <c r="F18" s="68"/>
      <c r="G18" s="71"/>
      <c r="H18" s="71"/>
      <c r="I18" s="72"/>
      <c r="J18" s="73" t="str">
        <f>IF($A18="","",COUNTIFS(Conteneurs!$K$3:$K$1002,$A18))</f>
        <v/>
      </c>
      <c r="K18" s="73" t="str">
        <f>IF($A18="","",COUNTIFS(Conteneurs!$K$3:$K$1002,$A18,Conteneurs!$M$3:$M$1002,"Embarqué"))</f>
        <v/>
      </c>
      <c r="L18" s="147" t="str">
        <f t="shared" ca="1" si="1"/>
        <v/>
      </c>
      <c r="M18" s="148" t="str">
        <f t="shared" ca="1" si="0"/>
        <v/>
      </c>
      <c r="N18" s="68"/>
    </row>
    <row r="19" spans="1:14" x14ac:dyDescent="0.35">
      <c r="A19" s="66"/>
      <c r="B19" s="67"/>
      <c r="C19" s="74"/>
      <c r="D19" s="74"/>
      <c r="E19" s="74"/>
      <c r="F19" s="68"/>
      <c r="G19" s="71"/>
      <c r="H19" s="71"/>
      <c r="I19" s="72"/>
      <c r="J19" s="73" t="str">
        <f>IF($A19="","",COUNTIFS(Conteneurs!$K$3:$K$1002,$A19))</f>
        <v/>
      </c>
      <c r="K19" s="73" t="str">
        <f>IF($A19="","",COUNTIFS(Conteneurs!$K$3:$K$1002,$A19,Conteneurs!$M$3:$M$1002,"Embarqué"))</f>
        <v/>
      </c>
      <c r="L19" s="147" t="str">
        <f t="shared" ca="1" si="1"/>
        <v/>
      </c>
      <c r="M19" s="148" t="str">
        <f t="shared" ca="1" si="0"/>
        <v/>
      </c>
      <c r="N19" s="68"/>
    </row>
    <row r="20" spans="1:14" x14ac:dyDescent="0.35">
      <c r="A20" s="66"/>
      <c r="B20" s="67"/>
      <c r="C20" s="74"/>
      <c r="D20" s="74"/>
      <c r="E20" s="74"/>
      <c r="F20" s="68"/>
      <c r="G20" s="71"/>
      <c r="H20" s="71"/>
      <c r="I20" s="72"/>
      <c r="J20" s="73" t="str">
        <f>IF($A20="","",COUNTIFS(Conteneurs!$K$3:$K$1002,$A20))</f>
        <v/>
      </c>
      <c r="K20" s="73" t="str">
        <f>IF($A20="","",COUNTIFS(Conteneurs!$K$3:$K$1002,$A20,Conteneurs!$M$3:$M$1002,"Embarqué"))</f>
        <v/>
      </c>
      <c r="L20" s="147" t="str">
        <f t="shared" ca="1" si="1"/>
        <v/>
      </c>
      <c r="M20" s="148" t="str">
        <f t="shared" ca="1" si="0"/>
        <v/>
      </c>
      <c r="N20" s="68"/>
    </row>
    <row r="21" spans="1:14" x14ac:dyDescent="0.35">
      <c r="A21" s="66"/>
      <c r="B21" s="67"/>
      <c r="C21" s="74"/>
      <c r="D21" s="74"/>
      <c r="E21" s="74"/>
      <c r="F21" s="68"/>
      <c r="G21" s="71"/>
      <c r="H21" s="71"/>
      <c r="I21" s="72"/>
      <c r="J21" s="73" t="str">
        <f>IF($A21="","",COUNTIFS(Conteneurs!$K$3:$K$1002,$A21))</f>
        <v/>
      </c>
      <c r="K21" s="73" t="str">
        <f>IF($A21="","",COUNTIFS(Conteneurs!$K$3:$K$1002,$A21,Conteneurs!$M$3:$M$1002,"Embarqué"))</f>
        <v/>
      </c>
      <c r="L21" s="147" t="str">
        <f t="shared" ca="1" si="1"/>
        <v/>
      </c>
      <c r="M21" s="148" t="str">
        <f t="shared" ca="1" si="0"/>
        <v/>
      </c>
      <c r="N21" s="68"/>
    </row>
    <row r="22" spans="1:14" x14ac:dyDescent="0.35">
      <c r="A22" s="66"/>
      <c r="B22" s="67"/>
      <c r="C22" s="74"/>
      <c r="D22" s="74"/>
      <c r="E22" s="74"/>
      <c r="F22" s="68"/>
      <c r="G22" s="71"/>
      <c r="H22" s="71"/>
      <c r="I22" s="72"/>
      <c r="J22" s="73" t="str">
        <f>IF($A22="","",COUNTIFS(Conteneurs!$K$3:$K$1002,$A22))</f>
        <v/>
      </c>
      <c r="K22" s="73" t="str">
        <f>IF($A22="","",COUNTIFS(Conteneurs!$K$3:$K$1002,$A22,Conteneurs!$M$3:$M$1002,"Embarqué"))</f>
        <v/>
      </c>
      <c r="L22" s="147" t="str">
        <f t="shared" ca="1" si="1"/>
        <v/>
      </c>
      <c r="M22" s="148" t="str">
        <f t="shared" ca="1" si="0"/>
        <v/>
      </c>
      <c r="N22" s="68"/>
    </row>
    <row r="23" spans="1:14" x14ac:dyDescent="0.35">
      <c r="A23" s="66"/>
      <c r="B23" s="67"/>
      <c r="C23" s="74"/>
      <c r="D23" s="74"/>
      <c r="E23" s="74"/>
      <c r="F23" s="68"/>
      <c r="G23" s="71"/>
      <c r="H23" s="71"/>
      <c r="I23" s="72"/>
      <c r="J23" s="73" t="str">
        <f>IF($A23="","",COUNTIFS(Conteneurs!$K$3:$K$1002,$A23))</f>
        <v/>
      </c>
      <c r="K23" s="73" t="str">
        <f>IF($A23="","",COUNTIFS(Conteneurs!$K$3:$K$1002,$A23,Conteneurs!$M$3:$M$1002,"Embarqué"))</f>
        <v/>
      </c>
      <c r="L23" s="147" t="str">
        <f t="shared" ca="1" si="1"/>
        <v/>
      </c>
      <c r="M23" s="148" t="str">
        <f t="shared" ca="1" si="0"/>
        <v/>
      </c>
      <c r="N23" s="68"/>
    </row>
    <row r="24" spans="1:14" x14ac:dyDescent="0.35">
      <c r="A24" s="66"/>
      <c r="B24" s="67"/>
      <c r="C24" s="74"/>
      <c r="D24" s="74"/>
      <c r="E24" s="74"/>
      <c r="F24" s="68"/>
      <c r="G24" s="71"/>
      <c r="H24" s="71"/>
      <c r="I24" s="72"/>
      <c r="J24" s="73" t="str">
        <f>IF($A24="","",COUNTIFS(Conteneurs!$K$3:$K$1002,$A24))</f>
        <v/>
      </c>
      <c r="K24" s="73" t="str">
        <f>IF($A24="","",COUNTIFS(Conteneurs!$K$3:$K$1002,$A24,Conteneurs!$M$3:$M$1002,"Embarqué"))</f>
        <v/>
      </c>
      <c r="L24" s="147" t="str">
        <f t="shared" ca="1" si="1"/>
        <v/>
      </c>
      <c r="M24" s="148" t="str">
        <f t="shared" ca="1" si="0"/>
        <v/>
      </c>
      <c r="N24" s="68"/>
    </row>
    <row r="25" spans="1:14" x14ac:dyDescent="0.35">
      <c r="A25" s="66"/>
      <c r="B25" s="67"/>
      <c r="C25" s="74"/>
      <c r="D25" s="74"/>
      <c r="E25" s="74"/>
      <c r="F25" s="68"/>
      <c r="G25" s="71"/>
      <c r="H25" s="71"/>
      <c r="I25" s="72"/>
      <c r="J25" s="73" t="str">
        <f>IF($A25="","",COUNTIFS(Conteneurs!$K$3:$K$1002,$A25))</f>
        <v/>
      </c>
      <c r="K25" s="73" t="str">
        <f>IF($A25="","",COUNTIFS(Conteneurs!$K$3:$K$1002,$A25,Conteneurs!$M$3:$M$1002,"Embarqué"))</f>
        <v/>
      </c>
      <c r="L25" s="147" t="str">
        <f t="shared" ca="1" si="1"/>
        <v/>
      </c>
      <c r="M25" s="148" t="str">
        <f t="shared" ca="1" si="0"/>
        <v/>
      </c>
      <c r="N25" s="68"/>
    </row>
    <row r="26" spans="1:14" x14ac:dyDescent="0.35">
      <c r="A26" s="66"/>
      <c r="B26" s="67"/>
      <c r="C26" s="74"/>
      <c r="D26" s="74"/>
      <c r="E26" s="74"/>
      <c r="F26" s="68"/>
      <c r="G26" s="71"/>
      <c r="H26" s="71"/>
      <c r="I26" s="72"/>
      <c r="J26" s="73" t="str">
        <f>IF($A26="","",COUNTIFS(Conteneurs!$K$3:$K$1002,$A26))</f>
        <v/>
      </c>
      <c r="K26" s="73" t="str">
        <f>IF($A26="","",COUNTIFS(Conteneurs!$K$3:$K$1002,$A26,Conteneurs!$M$3:$M$1002,"Embarqué"))</f>
        <v/>
      </c>
      <c r="L26" s="147" t="str">
        <f t="shared" ca="1" si="1"/>
        <v/>
      </c>
      <c r="M26" s="148" t="str">
        <f t="shared" ca="1" si="0"/>
        <v/>
      </c>
      <c r="N26" s="68"/>
    </row>
    <row r="27" spans="1:14" x14ac:dyDescent="0.35">
      <c r="A27" s="66"/>
      <c r="B27" s="67"/>
      <c r="C27" s="74"/>
      <c r="D27" s="74"/>
      <c r="E27" s="74"/>
      <c r="F27" s="68"/>
      <c r="G27" s="71"/>
      <c r="H27" s="71"/>
      <c r="I27" s="72"/>
      <c r="J27" s="73" t="str">
        <f>IF($A27="","",COUNTIFS(Conteneurs!$K$3:$K$1002,$A27))</f>
        <v/>
      </c>
      <c r="K27" s="73" t="str">
        <f>IF($A27="","",COUNTIFS(Conteneurs!$K$3:$K$1002,$A27,Conteneurs!$M$3:$M$1002,"Embarqué"))</f>
        <v/>
      </c>
      <c r="L27" s="147" t="str">
        <f t="shared" ca="1" si="1"/>
        <v/>
      </c>
      <c r="M27" s="148" t="str">
        <f t="shared" ca="1" si="0"/>
        <v/>
      </c>
      <c r="N27" s="68"/>
    </row>
    <row r="28" spans="1:14" x14ac:dyDescent="0.35">
      <c r="A28" s="66"/>
      <c r="B28" s="67"/>
      <c r="C28" s="74"/>
      <c r="D28" s="74"/>
      <c r="E28" s="74"/>
      <c r="F28" s="68"/>
      <c r="G28" s="71"/>
      <c r="H28" s="71"/>
      <c r="I28" s="72"/>
      <c r="J28" s="73" t="str">
        <f>IF($A28="","",COUNTIFS(Conteneurs!$K$3:$K$1002,$A28))</f>
        <v/>
      </c>
      <c r="K28" s="73" t="str">
        <f>IF($A28="","",COUNTIFS(Conteneurs!$K$3:$K$1002,$A28,Conteneurs!$M$3:$M$1002,"Embarqué"))</f>
        <v/>
      </c>
      <c r="L28" s="147" t="str">
        <f t="shared" ca="1" si="1"/>
        <v/>
      </c>
      <c r="M28" s="148" t="str">
        <f t="shared" ca="1" si="0"/>
        <v/>
      </c>
      <c r="N28" s="68"/>
    </row>
    <row r="29" spans="1:14" x14ac:dyDescent="0.35">
      <c r="A29" s="66"/>
      <c r="B29" s="67"/>
      <c r="C29" s="74"/>
      <c r="D29" s="74"/>
      <c r="E29" s="74"/>
      <c r="F29" s="68"/>
      <c r="G29" s="71"/>
      <c r="H29" s="71"/>
      <c r="I29" s="72"/>
      <c r="J29" s="73" t="str">
        <f>IF($A29="","",COUNTIFS(Conteneurs!$K$3:$K$1002,$A29))</f>
        <v/>
      </c>
      <c r="K29" s="73" t="str">
        <f>IF($A29="","",COUNTIFS(Conteneurs!$K$3:$K$1002,$A29,Conteneurs!$M$3:$M$1002,"Embarqué"))</f>
        <v/>
      </c>
      <c r="L29" s="147" t="str">
        <f t="shared" ca="1" si="1"/>
        <v/>
      </c>
      <c r="M29" s="148" t="str">
        <f t="shared" ca="1" si="0"/>
        <v/>
      </c>
      <c r="N29" s="68"/>
    </row>
    <row r="30" spans="1:14" x14ac:dyDescent="0.35">
      <c r="A30" s="66"/>
      <c r="B30" s="67"/>
      <c r="C30" s="74"/>
      <c r="D30" s="74"/>
      <c r="E30" s="74"/>
      <c r="F30" s="68"/>
      <c r="G30" s="71"/>
      <c r="H30" s="71"/>
      <c r="I30" s="72"/>
      <c r="J30" s="73" t="str">
        <f>IF($A30="","",COUNTIFS(Conteneurs!$K$3:$K$1002,$A30))</f>
        <v/>
      </c>
      <c r="K30" s="73" t="str">
        <f>IF($A30="","",COUNTIFS(Conteneurs!$K$3:$K$1002,$A30,Conteneurs!$M$3:$M$1002,"Embarqué"))</f>
        <v/>
      </c>
      <c r="L30" s="147" t="str">
        <f t="shared" ca="1" si="1"/>
        <v/>
      </c>
      <c r="M30" s="148" t="str">
        <f t="shared" ca="1" si="0"/>
        <v/>
      </c>
      <c r="N30" s="68"/>
    </row>
    <row r="31" spans="1:14" x14ac:dyDescent="0.35">
      <c r="A31" s="66"/>
      <c r="B31" s="67"/>
      <c r="C31" s="74"/>
      <c r="D31" s="74"/>
      <c r="E31" s="74"/>
      <c r="F31" s="68"/>
      <c r="G31" s="71"/>
      <c r="H31" s="71"/>
      <c r="I31" s="72"/>
      <c r="J31" s="73" t="str">
        <f>IF($A31="","",COUNTIFS(Conteneurs!$K$3:$K$1002,$A31))</f>
        <v/>
      </c>
      <c r="K31" s="73" t="str">
        <f>IF($A31="","",COUNTIFS(Conteneurs!$K$3:$K$1002,$A31,Conteneurs!$M$3:$M$1002,"Embarqué"))</f>
        <v/>
      </c>
      <c r="L31" s="147" t="str">
        <f t="shared" ca="1" si="1"/>
        <v/>
      </c>
      <c r="M31" s="148" t="str">
        <f t="shared" ca="1" si="0"/>
        <v/>
      </c>
      <c r="N31" s="68"/>
    </row>
    <row r="32" spans="1:14" x14ac:dyDescent="0.35">
      <c r="A32" s="66"/>
      <c r="B32" s="67"/>
      <c r="C32" s="74"/>
      <c r="D32" s="74"/>
      <c r="E32" s="74"/>
      <c r="F32" s="68"/>
      <c r="G32" s="71"/>
      <c r="H32" s="71"/>
      <c r="I32" s="72"/>
      <c r="J32" s="73" t="str">
        <f>IF($A32="","",COUNTIFS(Conteneurs!$K$3:$K$1002,$A32))</f>
        <v/>
      </c>
      <c r="K32" s="73" t="str">
        <f>IF($A32="","",COUNTIFS(Conteneurs!$K$3:$K$1002,$A32,Conteneurs!$M$3:$M$1002,"Embarqué"))</f>
        <v/>
      </c>
      <c r="L32" s="147" t="str">
        <f t="shared" ca="1" si="1"/>
        <v/>
      </c>
      <c r="M32" s="148" t="str">
        <f t="shared" ca="1" si="0"/>
        <v/>
      </c>
      <c r="N32" s="68"/>
    </row>
    <row r="33" spans="1:14" x14ac:dyDescent="0.35">
      <c r="A33" s="66"/>
      <c r="B33" s="67"/>
      <c r="C33" s="74"/>
      <c r="D33" s="74"/>
      <c r="E33" s="74"/>
      <c r="F33" s="68"/>
      <c r="G33" s="71"/>
      <c r="H33" s="71"/>
      <c r="I33" s="72"/>
      <c r="J33" s="73" t="str">
        <f>IF($A33="","",COUNTIFS(Conteneurs!$K$3:$K$1002,$A33))</f>
        <v/>
      </c>
      <c r="K33" s="73" t="str">
        <f>IF($A33="","",COUNTIFS(Conteneurs!$K$3:$K$1002,$A33,Conteneurs!$M$3:$M$1002,"Embarqué"))</f>
        <v/>
      </c>
      <c r="L33" s="147" t="str">
        <f t="shared" ca="1" si="1"/>
        <v/>
      </c>
      <c r="M33" s="148" t="str">
        <f t="shared" ca="1" si="0"/>
        <v/>
      </c>
      <c r="N33" s="68"/>
    </row>
    <row r="34" spans="1:14" x14ac:dyDescent="0.35">
      <c r="A34" s="66"/>
      <c r="B34" s="67"/>
      <c r="C34" s="74"/>
      <c r="D34" s="74"/>
      <c r="E34" s="74"/>
      <c r="F34" s="68"/>
      <c r="G34" s="71"/>
      <c r="H34" s="71"/>
      <c r="I34" s="72"/>
      <c r="J34" s="73" t="str">
        <f>IF($A34="","",COUNTIFS(Conteneurs!$K$3:$K$1002,$A34))</f>
        <v/>
      </c>
      <c r="K34" s="73" t="str">
        <f>IF($A34="","",COUNTIFS(Conteneurs!$K$3:$K$1002,$A34,Conteneurs!$M$3:$M$1002,"Embarqué"))</f>
        <v/>
      </c>
      <c r="L34" s="147" t="str">
        <f t="shared" ca="1" si="1"/>
        <v/>
      </c>
      <c r="M34" s="148" t="str">
        <f t="shared" ca="1" si="0"/>
        <v/>
      </c>
      <c r="N34" s="68"/>
    </row>
    <row r="35" spans="1:14" x14ac:dyDescent="0.35">
      <c r="A35" s="66"/>
      <c r="B35" s="67"/>
      <c r="C35" s="74"/>
      <c r="D35" s="74"/>
      <c r="E35" s="74"/>
      <c r="F35" s="68"/>
      <c r="G35" s="71"/>
      <c r="H35" s="71"/>
      <c r="I35" s="72"/>
      <c r="J35" s="73" t="str">
        <f>IF($A35="","",COUNTIFS(Conteneurs!$K$3:$K$1002,$A35))</f>
        <v/>
      </c>
      <c r="K35" s="73" t="str">
        <f>IF($A35="","",COUNTIFS(Conteneurs!$K$3:$K$1002,$A35,Conteneurs!$M$3:$M$1002,"Embarqué"))</f>
        <v/>
      </c>
      <c r="L35" s="147" t="str">
        <f t="shared" ref="L35:L66" ca="1" si="2">IF(OR($A35="",$G35=""),"",$G35-TODAY())</f>
        <v/>
      </c>
      <c r="M35" s="148" t="str">
        <f t="shared" ref="M35:M66" ca="1" si="3">IF($A35="","",IF(AND(N($I35)&gt;0,$K35&gt;=$I35),"Embarqué complet",IF(AND($G35&lt;&gt;"",N($G35)&lt;TODAY()),"En retard (ETD dépassé)",IF($J35=0,"À préparer","En cours"))))</f>
        <v/>
      </c>
      <c r="N35" s="68"/>
    </row>
    <row r="36" spans="1:14" x14ac:dyDescent="0.35">
      <c r="A36" s="66"/>
      <c r="B36" s="67"/>
      <c r="C36" s="74"/>
      <c r="D36" s="74"/>
      <c r="E36" s="74"/>
      <c r="F36" s="68"/>
      <c r="G36" s="71"/>
      <c r="H36" s="71"/>
      <c r="I36" s="72"/>
      <c r="J36" s="73" t="str">
        <f>IF($A36="","",COUNTIFS(Conteneurs!$K$3:$K$1002,$A36))</f>
        <v/>
      </c>
      <c r="K36" s="73" t="str">
        <f>IF($A36="","",COUNTIFS(Conteneurs!$K$3:$K$1002,$A36,Conteneurs!$M$3:$M$1002,"Embarqué"))</f>
        <v/>
      </c>
      <c r="L36" s="147" t="str">
        <f t="shared" ca="1" si="2"/>
        <v/>
      </c>
      <c r="M36" s="148" t="str">
        <f t="shared" ca="1" si="3"/>
        <v/>
      </c>
      <c r="N36" s="68"/>
    </row>
    <row r="37" spans="1:14" x14ac:dyDescent="0.35">
      <c r="A37" s="66"/>
      <c r="B37" s="67"/>
      <c r="C37" s="74"/>
      <c r="D37" s="74"/>
      <c r="E37" s="74"/>
      <c r="F37" s="68"/>
      <c r="G37" s="71"/>
      <c r="H37" s="71"/>
      <c r="I37" s="72"/>
      <c r="J37" s="73" t="str">
        <f>IF($A37="","",COUNTIFS(Conteneurs!$K$3:$K$1002,$A37))</f>
        <v/>
      </c>
      <c r="K37" s="73" t="str">
        <f>IF($A37="","",COUNTIFS(Conteneurs!$K$3:$K$1002,$A37,Conteneurs!$M$3:$M$1002,"Embarqué"))</f>
        <v/>
      </c>
      <c r="L37" s="147" t="str">
        <f t="shared" ca="1" si="2"/>
        <v/>
      </c>
      <c r="M37" s="148" t="str">
        <f t="shared" ca="1" si="3"/>
        <v/>
      </c>
      <c r="N37" s="68"/>
    </row>
    <row r="38" spans="1:14" x14ac:dyDescent="0.35">
      <c r="A38" s="66"/>
      <c r="B38" s="67"/>
      <c r="C38" s="74"/>
      <c r="D38" s="74"/>
      <c r="E38" s="74"/>
      <c r="F38" s="68"/>
      <c r="G38" s="71"/>
      <c r="H38" s="71"/>
      <c r="I38" s="72"/>
      <c r="J38" s="73" t="str">
        <f>IF($A38="","",COUNTIFS(Conteneurs!$K$3:$K$1002,$A38))</f>
        <v/>
      </c>
      <c r="K38" s="73" t="str">
        <f>IF($A38="","",COUNTIFS(Conteneurs!$K$3:$K$1002,$A38,Conteneurs!$M$3:$M$1002,"Embarqué"))</f>
        <v/>
      </c>
      <c r="L38" s="147" t="str">
        <f t="shared" ca="1" si="2"/>
        <v/>
      </c>
      <c r="M38" s="148" t="str">
        <f t="shared" ca="1" si="3"/>
        <v/>
      </c>
      <c r="N38" s="68"/>
    </row>
    <row r="39" spans="1:14" x14ac:dyDescent="0.35">
      <c r="A39" s="66"/>
      <c r="B39" s="67"/>
      <c r="C39" s="74"/>
      <c r="D39" s="74"/>
      <c r="E39" s="74"/>
      <c r="F39" s="68"/>
      <c r="G39" s="71"/>
      <c r="H39" s="71"/>
      <c r="I39" s="72"/>
      <c r="J39" s="73" t="str">
        <f>IF($A39="","",COUNTIFS(Conteneurs!$K$3:$K$1002,$A39))</f>
        <v/>
      </c>
      <c r="K39" s="73" t="str">
        <f>IF($A39="","",COUNTIFS(Conteneurs!$K$3:$K$1002,$A39,Conteneurs!$M$3:$M$1002,"Embarqué"))</f>
        <v/>
      </c>
      <c r="L39" s="147" t="str">
        <f t="shared" ca="1" si="2"/>
        <v/>
      </c>
      <c r="M39" s="148" t="str">
        <f t="shared" ca="1" si="3"/>
        <v/>
      </c>
      <c r="N39" s="68"/>
    </row>
    <row r="40" spans="1:14" x14ac:dyDescent="0.35">
      <c r="A40" s="66"/>
      <c r="B40" s="67"/>
      <c r="C40" s="74"/>
      <c r="D40" s="74"/>
      <c r="E40" s="74"/>
      <c r="F40" s="68"/>
      <c r="G40" s="71"/>
      <c r="H40" s="71"/>
      <c r="I40" s="72"/>
      <c r="J40" s="73" t="str">
        <f>IF($A40="","",COUNTIFS(Conteneurs!$K$3:$K$1002,$A40))</f>
        <v/>
      </c>
      <c r="K40" s="73" t="str">
        <f>IF($A40="","",COUNTIFS(Conteneurs!$K$3:$K$1002,$A40,Conteneurs!$M$3:$M$1002,"Embarqué"))</f>
        <v/>
      </c>
      <c r="L40" s="147" t="str">
        <f t="shared" ca="1" si="2"/>
        <v/>
      </c>
      <c r="M40" s="148" t="str">
        <f t="shared" ca="1" si="3"/>
        <v/>
      </c>
      <c r="N40" s="68"/>
    </row>
    <row r="41" spans="1:14" x14ac:dyDescent="0.35">
      <c r="A41" s="66"/>
      <c r="B41" s="67"/>
      <c r="C41" s="74"/>
      <c r="D41" s="74"/>
      <c r="E41" s="74"/>
      <c r="F41" s="68"/>
      <c r="G41" s="71"/>
      <c r="H41" s="71"/>
      <c r="I41" s="72"/>
      <c r="J41" s="73" t="str">
        <f>IF($A41="","",COUNTIFS(Conteneurs!$K$3:$K$1002,$A41))</f>
        <v/>
      </c>
      <c r="K41" s="73" t="str">
        <f>IF($A41="","",COUNTIFS(Conteneurs!$K$3:$K$1002,$A41,Conteneurs!$M$3:$M$1002,"Embarqué"))</f>
        <v/>
      </c>
      <c r="L41" s="147" t="str">
        <f t="shared" ca="1" si="2"/>
        <v/>
      </c>
      <c r="M41" s="148" t="str">
        <f t="shared" ca="1" si="3"/>
        <v/>
      </c>
      <c r="N41" s="68"/>
    </row>
    <row r="42" spans="1:14" x14ac:dyDescent="0.35">
      <c r="A42" s="66"/>
      <c r="B42" s="67"/>
      <c r="C42" s="74"/>
      <c r="D42" s="74"/>
      <c r="E42" s="74"/>
      <c r="F42" s="68"/>
      <c r="G42" s="71"/>
      <c r="H42" s="71"/>
      <c r="I42" s="72"/>
      <c r="J42" s="73" t="str">
        <f>IF($A42="","",COUNTIFS(Conteneurs!$K$3:$K$1002,$A42))</f>
        <v/>
      </c>
      <c r="K42" s="73" t="str">
        <f>IF($A42="","",COUNTIFS(Conteneurs!$K$3:$K$1002,$A42,Conteneurs!$M$3:$M$1002,"Embarqué"))</f>
        <v/>
      </c>
      <c r="L42" s="147" t="str">
        <f t="shared" ca="1" si="2"/>
        <v/>
      </c>
      <c r="M42" s="148" t="str">
        <f t="shared" ca="1" si="3"/>
        <v/>
      </c>
      <c r="N42" s="68"/>
    </row>
    <row r="43" spans="1:14" x14ac:dyDescent="0.35">
      <c r="A43" s="66"/>
      <c r="B43" s="67"/>
      <c r="C43" s="74"/>
      <c r="D43" s="74"/>
      <c r="E43" s="74"/>
      <c r="F43" s="68"/>
      <c r="G43" s="71"/>
      <c r="H43" s="71"/>
      <c r="I43" s="72"/>
      <c r="J43" s="73" t="str">
        <f>IF($A43="","",COUNTIFS(Conteneurs!$K$3:$K$1002,$A43))</f>
        <v/>
      </c>
      <c r="K43" s="73" t="str">
        <f>IF($A43="","",COUNTIFS(Conteneurs!$K$3:$K$1002,$A43,Conteneurs!$M$3:$M$1002,"Embarqué"))</f>
        <v/>
      </c>
      <c r="L43" s="147" t="str">
        <f t="shared" ca="1" si="2"/>
        <v/>
      </c>
      <c r="M43" s="148" t="str">
        <f t="shared" ca="1" si="3"/>
        <v/>
      </c>
      <c r="N43" s="68"/>
    </row>
    <row r="44" spans="1:14" x14ac:dyDescent="0.35">
      <c r="A44" s="66"/>
      <c r="B44" s="67"/>
      <c r="C44" s="74"/>
      <c r="D44" s="74"/>
      <c r="E44" s="74"/>
      <c r="F44" s="68"/>
      <c r="G44" s="71"/>
      <c r="H44" s="71"/>
      <c r="I44" s="72"/>
      <c r="J44" s="73" t="str">
        <f>IF($A44="","",COUNTIFS(Conteneurs!$K$3:$K$1002,$A44))</f>
        <v/>
      </c>
      <c r="K44" s="73" t="str">
        <f>IF($A44="","",COUNTIFS(Conteneurs!$K$3:$K$1002,$A44,Conteneurs!$M$3:$M$1002,"Embarqué"))</f>
        <v/>
      </c>
      <c r="L44" s="147" t="str">
        <f t="shared" ca="1" si="2"/>
        <v/>
      </c>
      <c r="M44" s="148" t="str">
        <f t="shared" ca="1" si="3"/>
        <v/>
      </c>
      <c r="N44" s="68"/>
    </row>
    <row r="45" spans="1:14" x14ac:dyDescent="0.35">
      <c r="A45" s="66"/>
      <c r="B45" s="67"/>
      <c r="C45" s="74"/>
      <c r="D45" s="74"/>
      <c r="E45" s="74"/>
      <c r="F45" s="68"/>
      <c r="G45" s="71"/>
      <c r="H45" s="71"/>
      <c r="I45" s="72"/>
      <c r="J45" s="73" t="str">
        <f>IF($A45="","",COUNTIFS(Conteneurs!$K$3:$K$1002,$A45))</f>
        <v/>
      </c>
      <c r="K45" s="73" t="str">
        <f>IF($A45="","",COUNTIFS(Conteneurs!$K$3:$K$1002,$A45,Conteneurs!$M$3:$M$1002,"Embarqué"))</f>
        <v/>
      </c>
      <c r="L45" s="147" t="str">
        <f t="shared" ca="1" si="2"/>
        <v/>
      </c>
      <c r="M45" s="148" t="str">
        <f t="shared" ca="1" si="3"/>
        <v/>
      </c>
      <c r="N45" s="68"/>
    </row>
    <row r="46" spans="1:14" x14ac:dyDescent="0.35">
      <c r="A46" s="66"/>
      <c r="B46" s="67"/>
      <c r="C46" s="74"/>
      <c r="D46" s="74"/>
      <c r="E46" s="74"/>
      <c r="F46" s="68"/>
      <c r="G46" s="71"/>
      <c r="H46" s="71"/>
      <c r="I46" s="72"/>
      <c r="J46" s="73" t="str">
        <f>IF($A46="","",COUNTIFS(Conteneurs!$K$3:$K$1002,$A46))</f>
        <v/>
      </c>
      <c r="K46" s="73" t="str">
        <f>IF($A46="","",COUNTIFS(Conteneurs!$K$3:$K$1002,$A46,Conteneurs!$M$3:$M$1002,"Embarqué"))</f>
        <v/>
      </c>
      <c r="L46" s="147" t="str">
        <f t="shared" ca="1" si="2"/>
        <v/>
      </c>
      <c r="M46" s="148" t="str">
        <f t="shared" ca="1" si="3"/>
        <v/>
      </c>
      <c r="N46" s="68"/>
    </row>
    <row r="47" spans="1:14" x14ac:dyDescent="0.35">
      <c r="A47" s="66"/>
      <c r="B47" s="67"/>
      <c r="C47" s="74"/>
      <c r="D47" s="74"/>
      <c r="E47" s="74"/>
      <c r="F47" s="68"/>
      <c r="G47" s="71"/>
      <c r="H47" s="71"/>
      <c r="I47" s="72"/>
      <c r="J47" s="73" t="str">
        <f>IF($A47="","",COUNTIFS(Conteneurs!$K$3:$K$1002,$A47))</f>
        <v/>
      </c>
      <c r="K47" s="73" t="str">
        <f>IF($A47="","",COUNTIFS(Conteneurs!$K$3:$K$1002,$A47,Conteneurs!$M$3:$M$1002,"Embarqué"))</f>
        <v/>
      </c>
      <c r="L47" s="147" t="str">
        <f t="shared" ca="1" si="2"/>
        <v/>
      </c>
      <c r="M47" s="148" t="str">
        <f t="shared" ca="1" si="3"/>
        <v/>
      </c>
      <c r="N47" s="68"/>
    </row>
    <row r="48" spans="1:14" x14ac:dyDescent="0.35">
      <c r="A48" s="66"/>
      <c r="B48" s="67"/>
      <c r="C48" s="74"/>
      <c r="D48" s="74"/>
      <c r="E48" s="74"/>
      <c r="F48" s="68"/>
      <c r="G48" s="71"/>
      <c r="H48" s="71"/>
      <c r="I48" s="72"/>
      <c r="J48" s="73" t="str">
        <f>IF($A48="","",COUNTIFS(Conteneurs!$K$3:$K$1002,$A48))</f>
        <v/>
      </c>
      <c r="K48" s="73" t="str">
        <f>IF($A48="","",COUNTIFS(Conteneurs!$K$3:$K$1002,$A48,Conteneurs!$M$3:$M$1002,"Embarqué"))</f>
        <v/>
      </c>
      <c r="L48" s="147" t="str">
        <f t="shared" ca="1" si="2"/>
        <v/>
      </c>
      <c r="M48" s="148" t="str">
        <f t="shared" ca="1" si="3"/>
        <v/>
      </c>
      <c r="N48" s="68"/>
    </row>
    <row r="49" spans="1:14" x14ac:dyDescent="0.35">
      <c r="A49" s="66"/>
      <c r="B49" s="67"/>
      <c r="C49" s="74"/>
      <c r="D49" s="74"/>
      <c r="E49" s="74"/>
      <c r="F49" s="68"/>
      <c r="G49" s="71"/>
      <c r="H49" s="71"/>
      <c r="I49" s="72"/>
      <c r="J49" s="73" t="str">
        <f>IF($A49="","",COUNTIFS(Conteneurs!$K$3:$K$1002,$A49))</f>
        <v/>
      </c>
      <c r="K49" s="73" t="str">
        <f>IF($A49="","",COUNTIFS(Conteneurs!$K$3:$K$1002,$A49,Conteneurs!$M$3:$M$1002,"Embarqué"))</f>
        <v/>
      </c>
      <c r="L49" s="147" t="str">
        <f t="shared" ca="1" si="2"/>
        <v/>
      </c>
      <c r="M49" s="148" t="str">
        <f t="shared" ca="1" si="3"/>
        <v/>
      </c>
      <c r="N49" s="68"/>
    </row>
    <row r="50" spans="1:14" x14ac:dyDescent="0.35">
      <c r="A50" s="66"/>
      <c r="B50" s="67"/>
      <c r="C50" s="74"/>
      <c r="D50" s="74"/>
      <c r="E50" s="74"/>
      <c r="F50" s="68"/>
      <c r="G50" s="71"/>
      <c r="H50" s="71"/>
      <c r="I50" s="72"/>
      <c r="J50" s="73" t="str">
        <f>IF($A50="","",COUNTIFS(Conteneurs!$K$3:$K$1002,$A50))</f>
        <v/>
      </c>
      <c r="K50" s="73" t="str">
        <f>IF($A50="","",COUNTIFS(Conteneurs!$K$3:$K$1002,$A50,Conteneurs!$M$3:$M$1002,"Embarqué"))</f>
        <v/>
      </c>
      <c r="L50" s="147" t="str">
        <f t="shared" ca="1" si="2"/>
        <v/>
      </c>
      <c r="M50" s="148" t="str">
        <f t="shared" ca="1" si="3"/>
        <v/>
      </c>
      <c r="N50" s="68"/>
    </row>
    <row r="51" spans="1:14" x14ac:dyDescent="0.35">
      <c r="A51" s="66"/>
      <c r="B51" s="67"/>
      <c r="C51" s="74"/>
      <c r="D51" s="74"/>
      <c r="E51" s="74"/>
      <c r="F51" s="68"/>
      <c r="G51" s="71"/>
      <c r="H51" s="71"/>
      <c r="I51" s="72"/>
      <c r="J51" s="73" t="str">
        <f>IF($A51="","",COUNTIFS(Conteneurs!$K$3:$K$1002,$A51))</f>
        <v/>
      </c>
      <c r="K51" s="73" t="str">
        <f>IF($A51="","",COUNTIFS(Conteneurs!$K$3:$K$1002,$A51,Conteneurs!$M$3:$M$1002,"Embarqué"))</f>
        <v/>
      </c>
      <c r="L51" s="147" t="str">
        <f t="shared" ca="1" si="2"/>
        <v/>
      </c>
      <c r="M51" s="148" t="str">
        <f t="shared" ca="1" si="3"/>
        <v/>
      </c>
      <c r="N51" s="68"/>
    </row>
    <row r="52" spans="1:14" x14ac:dyDescent="0.35">
      <c r="A52" s="66"/>
      <c r="B52" s="67"/>
      <c r="C52" s="74"/>
      <c r="D52" s="74"/>
      <c r="E52" s="74"/>
      <c r="F52" s="68"/>
      <c r="G52" s="71"/>
      <c r="H52" s="71"/>
      <c r="I52" s="72"/>
      <c r="J52" s="73" t="str">
        <f>IF($A52="","",COUNTIFS(Conteneurs!$K$3:$K$1002,$A52))</f>
        <v/>
      </c>
      <c r="K52" s="73" t="str">
        <f>IF($A52="","",COUNTIFS(Conteneurs!$K$3:$K$1002,$A52,Conteneurs!$M$3:$M$1002,"Embarqué"))</f>
        <v/>
      </c>
      <c r="L52" s="147" t="str">
        <f t="shared" ca="1" si="2"/>
        <v/>
      </c>
      <c r="M52" s="148" t="str">
        <f t="shared" ca="1" si="3"/>
        <v/>
      </c>
      <c r="N52" s="68"/>
    </row>
    <row r="53" spans="1:14" x14ac:dyDescent="0.35">
      <c r="A53" s="66"/>
      <c r="B53" s="67"/>
      <c r="C53" s="74"/>
      <c r="D53" s="74"/>
      <c r="E53" s="74"/>
      <c r="F53" s="68"/>
      <c r="G53" s="71"/>
      <c r="H53" s="71"/>
      <c r="I53" s="72"/>
      <c r="J53" s="73" t="str">
        <f>IF($A53="","",COUNTIFS(Conteneurs!$K$3:$K$1002,$A53))</f>
        <v/>
      </c>
      <c r="K53" s="73" t="str">
        <f>IF($A53="","",COUNTIFS(Conteneurs!$K$3:$K$1002,$A53,Conteneurs!$M$3:$M$1002,"Embarqué"))</f>
        <v/>
      </c>
      <c r="L53" s="147" t="str">
        <f t="shared" ca="1" si="2"/>
        <v/>
      </c>
      <c r="M53" s="148" t="str">
        <f t="shared" ca="1" si="3"/>
        <v/>
      </c>
      <c r="N53" s="68"/>
    </row>
    <row r="54" spans="1:14" x14ac:dyDescent="0.35">
      <c r="A54" s="66"/>
      <c r="B54" s="67"/>
      <c r="C54" s="74"/>
      <c r="D54" s="74"/>
      <c r="E54" s="74"/>
      <c r="F54" s="68"/>
      <c r="G54" s="71"/>
      <c r="H54" s="71"/>
      <c r="I54" s="72"/>
      <c r="J54" s="73" t="str">
        <f>IF($A54="","",COUNTIFS(Conteneurs!$K$3:$K$1002,$A54))</f>
        <v/>
      </c>
      <c r="K54" s="73" t="str">
        <f>IF($A54="","",COUNTIFS(Conteneurs!$K$3:$K$1002,$A54,Conteneurs!$M$3:$M$1002,"Embarqué"))</f>
        <v/>
      </c>
      <c r="L54" s="147" t="str">
        <f t="shared" ca="1" si="2"/>
        <v/>
      </c>
      <c r="M54" s="148" t="str">
        <f t="shared" ca="1" si="3"/>
        <v/>
      </c>
      <c r="N54" s="68"/>
    </row>
    <row r="55" spans="1:14" x14ac:dyDescent="0.35">
      <c r="A55" s="66"/>
      <c r="B55" s="67"/>
      <c r="C55" s="74"/>
      <c r="D55" s="74"/>
      <c r="E55" s="74"/>
      <c r="F55" s="68"/>
      <c r="G55" s="71"/>
      <c r="H55" s="71"/>
      <c r="I55" s="72"/>
      <c r="J55" s="73" t="str">
        <f>IF($A55="","",COUNTIFS(Conteneurs!$K$3:$K$1002,$A55))</f>
        <v/>
      </c>
      <c r="K55" s="73" t="str">
        <f>IF($A55="","",COUNTIFS(Conteneurs!$K$3:$K$1002,$A55,Conteneurs!$M$3:$M$1002,"Embarqué"))</f>
        <v/>
      </c>
      <c r="L55" s="147" t="str">
        <f t="shared" ca="1" si="2"/>
        <v/>
      </c>
      <c r="M55" s="148" t="str">
        <f t="shared" ca="1" si="3"/>
        <v/>
      </c>
      <c r="N55" s="68"/>
    </row>
    <row r="56" spans="1:14" x14ac:dyDescent="0.35">
      <c r="A56" s="66"/>
      <c r="B56" s="67"/>
      <c r="C56" s="74"/>
      <c r="D56" s="74"/>
      <c r="E56" s="74"/>
      <c r="F56" s="68"/>
      <c r="G56" s="71"/>
      <c r="H56" s="71"/>
      <c r="I56" s="72"/>
      <c r="J56" s="73" t="str">
        <f>IF($A56="","",COUNTIFS(Conteneurs!$K$3:$K$1002,$A56))</f>
        <v/>
      </c>
      <c r="K56" s="73" t="str">
        <f>IF($A56="","",COUNTIFS(Conteneurs!$K$3:$K$1002,$A56,Conteneurs!$M$3:$M$1002,"Embarqué"))</f>
        <v/>
      </c>
      <c r="L56" s="147" t="str">
        <f t="shared" ca="1" si="2"/>
        <v/>
      </c>
      <c r="M56" s="148" t="str">
        <f t="shared" ca="1" si="3"/>
        <v/>
      </c>
      <c r="N56" s="68"/>
    </row>
    <row r="57" spans="1:14" x14ac:dyDescent="0.35">
      <c r="A57" s="66"/>
      <c r="B57" s="67"/>
      <c r="C57" s="74"/>
      <c r="D57" s="74"/>
      <c r="E57" s="74"/>
      <c r="F57" s="68"/>
      <c r="G57" s="71"/>
      <c r="H57" s="71"/>
      <c r="I57" s="72"/>
      <c r="J57" s="73" t="str">
        <f>IF($A57="","",COUNTIFS(Conteneurs!$K$3:$K$1002,$A57))</f>
        <v/>
      </c>
      <c r="K57" s="73" t="str">
        <f>IF($A57="","",COUNTIFS(Conteneurs!$K$3:$K$1002,$A57,Conteneurs!$M$3:$M$1002,"Embarqué"))</f>
        <v/>
      </c>
      <c r="L57" s="147" t="str">
        <f t="shared" ca="1" si="2"/>
        <v/>
      </c>
      <c r="M57" s="148" t="str">
        <f t="shared" ca="1" si="3"/>
        <v/>
      </c>
      <c r="N57" s="68"/>
    </row>
    <row r="58" spans="1:14" x14ac:dyDescent="0.35">
      <c r="A58" s="66"/>
      <c r="B58" s="67"/>
      <c r="C58" s="74"/>
      <c r="D58" s="74"/>
      <c r="E58" s="74"/>
      <c r="F58" s="68"/>
      <c r="G58" s="71"/>
      <c r="H58" s="71"/>
      <c r="I58" s="72"/>
      <c r="J58" s="73" t="str">
        <f>IF($A58="","",COUNTIFS(Conteneurs!$K$3:$K$1002,$A58))</f>
        <v/>
      </c>
      <c r="K58" s="73" t="str">
        <f>IF($A58="","",COUNTIFS(Conteneurs!$K$3:$K$1002,$A58,Conteneurs!$M$3:$M$1002,"Embarqué"))</f>
        <v/>
      </c>
      <c r="L58" s="147" t="str">
        <f t="shared" ca="1" si="2"/>
        <v/>
      </c>
      <c r="M58" s="148" t="str">
        <f t="shared" ca="1" si="3"/>
        <v/>
      </c>
      <c r="N58" s="68"/>
    </row>
    <row r="59" spans="1:14" x14ac:dyDescent="0.35">
      <c r="A59" s="66"/>
      <c r="B59" s="67"/>
      <c r="C59" s="74"/>
      <c r="D59" s="74"/>
      <c r="E59" s="74"/>
      <c r="F59" s="68"/>
      <c r="G59" s="71"/>
      <c r="H59" s="71"/>
      <c r="I59" s="72"/>
      <c r="J59" s="73" t="str">
        <f>IF($A59="","",COUNTIFS(Conteneurs!$K$3:$K$1002,$A59))</f>
        <v/>
      </c>
      <c r="K59" s="73" t="str">
        <f>IF($A59="","",COUNTIFS(Conteneurs!$K$3:$K$1002,$A59,Conteneurs!$M$3:$M$1002,"Embarqué"))</f>
        <v/>
      </c>
      <c r="L59" s="147" t="str">
        <f t="shared" ca="1" si="2"/>
        <v/>
      </c>
      <c r="M59" s="148" t="str">
        <f t="shared" ca="1" si="3"/>
        <v/>
      </c>
      <c r="N59" s="68"/>
    </row>
    <row r="60" spans="1:14" x14ac:dyDescent="0.35">
      <c r="A60" s="66"/>
      <c r="B60" s="67"/>
      <c r="C60" s="74"/>
      <c r="D60" s="74"/>
      <c r="E60" s="74"/>
      <c r="F60" s="68"/>
      <c r="G60" s="71"/>
      <c r="H60" s="71"/>
      <c r="I60" s="72"/>
      <c r="J60" s="73" t="str">
        <f>IF($A60="","",COUNTIFS(Conteneurs!$K$3:$K$1002,$A60))</f>
        <v/>
      </c>
      <c r="K60" s="73" t="str">
        <f>IF($A60="","",COUNTIFS(Conteneurs!$K$3:$K$1002,$A60,Conteneurs!$M$3:$M$1002,"Embarqué"))</f>
        <v/>
      </c>
      <c r="L60" s="147" t="str">
        <f t="shared" ca="1" si="2"/>
        <v/>
      </c>
      <c r="M60" s="148" t="str">
        <f t="shared" ca="1" si="3"/>
        <v/>
      </c>
      <c r="N60" s="68"/>
    </row>
    <row r="61" spans="1:14" x14ac:dyDescent="0.35">
      <c r="A61" s="66"/>
      <c r="B61" s="67"/>
      <c r="C61" s="74"/>
      <c r="D61" s="74"/>
      <c r="E61" s="74"/>
      <c r="F61" s="68"/>
      <c r="G61" s="71"/>
      <c r="H61" s="71"/>
      <c r="I61" s="72"/>
      <c r="J61" s="73" t="str">
        <f>IF($A61="","",COUNTIFS(Conteneurs!$K$3:$K$1002,$A61))</f>
        <v/>
      </c>
      <c r="K61" s="73" t="str">
        <f>IF($A61="","",COUNTIFS(Conteneurs!$K$3:$K$1002,$A61,Conteneurs!$M$3:$M$1002,"Embarqué"))</f>
        <v/>
      </c>
      <c r="L61" s="147" t="str">
        <f t="shared" ca="1" si="2"/>
        <v/>
      </c>
      <c r="M61" s="148" t="str">
        <f t="shared" ca="1" si="3"/>
        <v/>
      </c>
      <c r="N61" s="68"/>
    </row>
    <row r="62" spans="1:14" x14ac:dyDescent="0.35">
      <c r="A62" s="66"/>
      <c r="B62" s="67"/>
      <c r="C62" s="74"/>
      <c r="D62" s="74"/>
      <c r="E62" s="74"/>
      <c r="F62" s="68"/>
      <c r="G62" s="71"/>
      <c r="H62" s="71"/>
      <c r="I62" s="72"/>
      <c r="J62" s="73" t="str">
        <f>IF($A62="","",COUNTIFS(Conteneurs!$K$3:$K$1002,$A62))</f>
        <v/>
      </c>
      <c r="K62" s="73" t="str">
        <f>IF($A62="","",COUNTIFS(Conteneurs!$K$3:$K$1002,$A62,Conteneurs!$M$3:$M$1002,"Embarqué"))</f>
        <v/>
      </c>
      <c r="L62" s="147" t="str">
        <f t="shared" ca="1" si="2"/>
        <v/>
      </c>
      <c r="M62" s="148" t="str">
        <f t="shared" ca="1" si="3"/>
        <v/>
      </c>
      <c r="N62" s="68"/>
    </row>
    <row r="63" spans="1:14" x14ac:dyDescent="0.35">
      <c r="A63" s="66"/>
      <c r="B63" s="67"/>
      <c r="C63" s="74"/>
      <c r="D63" s="74"/>
      <c r="E63" s="74"/>
      <c r="F63" s="68"/>
      <c r="G63" s="71"/>
      <c r="H63" s="71"/>
      <c r="I63" s="72"/>
      <c r="J63" s="73" t="str">
        <f>IF($A63="","",COUNTIFS(Conteneurs!$K$3:$K$1002,$A63))</f>
        <v/>
      </c>
      <c r="K63" s="73" t="str">
        <f>IF($A63="","",COUNTIFS(Conteneurs!$K$3:$K$1002,$A63,Conteneurs!$M$3:$M$1002,"Embarqué"))</f>
        <v/>
      </c>
      <c r="L63" s="147" t="str">
        <f t="shared" ca="1" si="2"/>
        <v/>
      </c>
      <c r="M63" s="148" t="str">
        <f t="shared" ca="1" si="3"/>
        <v/>
      </c>
      <c r="N63" s="68"/>
    </row>
    <row r="64" spans="1:14" x14ac:dyDescent="0.35">
      <c r="A64" s="66"/>
      <c r="B64" s="67"/>
      <c r="C64" s="74"/>
      <c r="D64" s="74"/>
      <c r="E64" s="74"/>
      <c r="F64" s="68"/>
      <c r="G64" s="71"/>
      <c r="H64" s="71"/>
      <c r="I64" s="72"/>
      <c r="J64" s="73" t="str">
        <f>IF($A64="","",COUNTIFS(Conteneurs!$K$3:$K$1002,$A64))</f>
        <v/>
      </c>
      <c r="K64" s="73" t="str">
        <f>IF($A64="","",COUNTIFS(Conteneurs!$K$3:$K$1002,$A64,Conteneurs!$M$3:$M$1002,"Embarqué"))</f>
        <v/>
      </c>
      <c r="L64" s="147" t="str">
        <f t="shared" ca="1" si="2"/>
        <v/>
      </c>
      <c r="M64" s="148" t="str">
        <f t="shared" ca="1" si="3"/>
        <v/>
      </c>
      <c r="N64" s="68"/>
    </row>
    <row r="65" spans="1:14" x14ac:dyDescent="0.35">
      <c r="A65" s="66"/>
      <c r="B65" s="67"/>
      <c r="C65" s="74"/>
      <c r="D65" s="74"/>
      <c r="E65" s="74"/>
      <c r="F65" s="68"/>
      <c r="G65" s="71"/>
      <c r="H65" s="71"/>
      <c r="I65" s="72"/>
      <c r="J65" s="73" t="str">
        <f>IF($A65="","",COUNTIFS(Conteneurs!$K$3:$K$1002,$A65))</f>
        <v/>
      </c>
      <c r="K65" s="73" t="str">
        <f>IF($A65="","",COUNTIFS(Conteneurs!$K$3:$K$1002,$A65,Conteneurs!$M$3:$M$1002,"Embarqué"))</f>
        <v/>
      </c>
      <c r="L65" s="147" t="str">
        <f t="shared" ca="1" si="2"/>
        <v/>
      </c>
      <c r="M65" s="148" t="str">
        <f t="shared" ca="1" si="3"/>
        <v/>
      </c>
      <c r="N65" s="68"/>
    </row>
    <row r="66" spans="1:14" x14ac:dyDescent="0.35">
      <c r="A66" s="66"/>
      <c r="B66" s="67"/>
      <c r="C66" s="74"/>
      <c r="D66" s="74"/>
      <c r="E66" s="74"/>
      <c r="F66" s="68"/>
      <c r="G66" s="71"/>
      <c r="H66" s="71"/>
      <c r="I66" s="72"/>
      <c r="J66" s="73" t="str">
        <f>IF($A66="","",COUNTIFS(Conteneurs!$K$3:$K$1002,$A66))</f>
        <v/>
      </c>
      <c r="K66" s="73" t="str">
        <f>IF($A66="","",COUNTIFS(Conteneurs!$K$3:$K$1002,$A66,Conteneurs!$M$3:$M$1002,"Embarqué"))</f>
        <v/>
      </c>
      <c r="L66" s="147" t="str">
        <f t="shared" ca="1" si="2"/>
        <v/>
      </c>
      <c r="M66" s="148" t="str">
        <f t="shared" ca="1" si="3"/>
        <v/>
      </c>
      <c r="N66" s="68"/>
    </row>
    <row r="67" spans="1:14" x14ac:dyDescent="0.35">
      <c r="A67" s="66"/>
      <c r="B67" s="67"/>
      <c r="C67" s="74"/>
      <c r="D67" s="74"/>
      <c r="E67" s="74"/>
      <c r="F67" s="68"/>
      <c r="G67" s="71"/>
      <c r="H67" s="71"/>
      <c r="I67" s="72"/>
      <c r="J67" s="73" t="str">
        <f>IF($A67="","",COUNTIFS(Conteneurs!$K$3:$K$1002,$A67))</f>
        <v/>
      </c>
      <c r="K67" s="73" t="str">
        <f>IF($A67="","",COUNTIFS(Conteneurs!$K$3:$K$1002,$A67,Conteneurs!$M$3:$M$1002,"Embarqué"))</f>
        <v/>
      </c>
      <c r="L67" s="147" t="str">
        <f t="shared" ref="L67:L98" ca="1" si="4">IF(OR($A67="",$G67=""),"",$G67-TODAY())</f>
        <v/>
      </c>
      <c r="M67" s="148" t="str">
        <f t="shared" ref="M67:M98" ca="1" si="5">IF($A67="","",IF(AND(N($I67)&gt;0,$K67&gt;=$I67),"Embarqué complet",IF(AND($G67&lt;&gt;"",N($G67)&lt;TODAY()),"En retard (ETD dépassé)",IF($J67=0,"À préparer","En cours"))))</f>
        <v/>
      </c>
      <c r="N67" s="68"/>
    </row>
    <row r="68" spans="1:14" x14ac:dyDescent="0.35">
      <c r="A68" s="66"/>
      <c r="B68" s="67"/>
      <c r="C68" s="74"/>
      <c r="D68" s="74"/>
      <c r="E68" s="74"/>
      <c r="F68" s="68"/>
      <c r="G68" s="71"/>
      <c r="H68" s="71"/>
      <c r="I68" s="72"/>
      <c r="J68" s="73" t="str">
        <f>IF($A68="","",COUNTIFS(Conteneurs!$K$3:$K$1002,$A68))</f>
        <v/>
      </c>
      <c r="K68" s="73" t="str">
        <f>IF($A68="","",COUNTIFS(Conteneurs!$K$3:$K$1002,$A68,Conteneurs!$M$3:$M$1002,"Embarqué"))</f>
        <v/>
      </c>
      <c r="L68" s="147" t="str">
        <f t="shared" ca="1" si="4"/>
        <v/>
      </c>
      <c r="M68" s="148" t="str">
        <f t="shared" ca="1" si="5"/>
        <v/>
      </c>
      <c r="N68" s="68"/>
    </row>
    <row r="69" spans="1:14" x14ac:dyDescent="0.35">
      <c r="A69" s="66"/>
      <c r="B69" s="67"/>
      <c r="C69" s="74"/>
      <c r="D69" s="74"/>
      <c r="E69" s="74"/>
      <c r="F69" s="68"/>
      <c r="G69" s="71"/>
      <c r="H69" s="71"/>
      <c r="I69" s="72"/>
      <c r="J69" s="73" t="str">
        <f>IF($A69="","",COUNTIFS(Conteneurs!$K$3:$K$1002,$A69))</f>
        <v/>
      </c>
      <c r="K69" s="73" t="str">
        <f>IF($A69="","",COUNTIFS(Conteneurs!$K$3:$K$1002,$A69,Conteneurs!$M$3:$M$1002,"Embarqué"))</f>
        <v/>
      </c>
      <c r="L69" s="147" t="str">
        <f t="shared" ca="1" si="4"/>
        <v/>
      </c>
      <c r="M69" s="148" t="str">
        <f t="shared" ca="1" si="5"/>
        <v/>
      </c>
      <c r="N69" s="68"/>
    </row>
    <row r="70" spans="1:14" x14ac:dyDescent="0.35">
      <c r="A70" s="66"/>
      <c r="B70" s="67"/>
      <c r="C70" s="74"/>
      <c r="D70" s="74"/>
      <c r="E70" s="74"/>
      <c r="F70" s="68"/>
      <c r="G70" s="71"/>
      <c r="H70" s="71"/>
      <c r="I70" s="72"/>
      <c r="J70" s="73" t="str">
        <f>IF($A70="","",COUNTIFS(Conteneurs!$K$3:$K$1002,$A70))</f>
        <v/>
      </c>
      <c r="K70" s="73" t="str">
        <f>IF($A70="","",COUNTIFS(Conteneurs!$K$3:$K$1002,$A70,Conteneurs!$M$3:$M$1002,"Embarqué"))</f>
        <v/>
      </c>
      <c r="L70" s="147" t="str">
        <f t="shared" ca="1" si="4"/>
        <v/>
      </c>
      <c r="M70" s="148" t="str">
        <f t="shared" ca="1" si="5"/>
        <v/>
      </c>
      <c r="N70" s="68"/>
    </row>
    <row r="71" spans="1:14" x14ac:dyDescent="0.35">
      <c r="A71" s="66"/>
      <c r="B71" s="67"/>
      <c r="C71" s="74"/>
      <c r="D71" s="74"/>
      <c r="E71" s="74"/>
      <c r="F71" s="68"/>
      <c r="G71" s="71"/>
      <c r="H71" s="71"/>
      <c r="I71" s="72"/>
      <c r="J71" s="73" t="str">
        <f>IF($A71="","",COUNTIFS(Conteneurs!$K$3:$K$1002,$A71))</f>
        <v/>
      </c>
      <c r="K71" s="73" t="str">
        <f>IF($A71="","",COUNTIFS(Conteneurs!$K$3:$K$1002,$A71,Conteneurs!$M$3:$M$1002,"Embarqué"))</f>
        <v/>
      </c>
      <c r="L71" s="147" t="str">
        <f t="shared" ca="1" si="4"/>
        <v/>
      </c>
      <c r="M71" s="148" t="str">
        <f t="shared" ca="1" si="5"/>
        <v/>
      </c>
      <c r="N71" s="68"/>
    </row>
    <row r="72" spans="1:14" x14ac:dyDescent="0.35">
      <c r="A72" s="66"/>
      <c r="B72" s="67"/>
      <c r="C72" s="74"/>
      <c r="D72" s="74"/>
      <c r="E72" s="74"/>
      <c r="F72" s="68"/>
      <c r="G72" s="71"/>
      <c r="H72" s="71"/>
      <c r="I72" s="72"/>
      <c r="J72" s="73" t="str">
        <f>IF($A72="","",COUNTIFS(Conteneurs!$K$3:$K$1002,$A72))</f>
        <v/>
      </c>
      <c r="K72" s="73" t="str">
        <f>IF($A72="","",COUNTIFS(Conteneurs!$K$3:$K$1002,$A72,Conteneurs!$M$3:$M$1002,"Embarqué"))</f>
        <v/>
      </c>
      <c r="L72" s="147" t="str">
        <f t="shared" ca="1" si="4"/>
        <v/>
      </c>
      <c r="M72" s="148" t="str">
        <f t="shared" ca="1" si="5"/>
        <v/>
      </c>
      <c r="N72" s="68"/>
    </row>
    <row r="73" spans="1:14" x14ac:dyDescent="0.35">
      <c r="A73" s="66"/>
      <c r="B73" s="67"/>
      <c r="C73" s="74"/>
      <c r="D73" s="74"/>
      <c r="E73" s="74"/>
      <c r="F73" s="68"/>
      <c r="G73" s="71"/>
      <c r="H73" s="71"/>
      <c r="I73" s="72"/>
      <c r="J73" s="73" t="str">
        <f>IF($A73="","",COUNTIFS(Conteneurs!$K$3:$K$1002,$A73))</f>
        <v/>
      </c>
      <c r="K73" s="73" t="str">
        <f>IF($A73="","",COUNTIFS(Conteneurs!$K$3:$K$1002,$A73,Conteneurs!$M$3:$M$1002,"Embarqué"))</f>
        <v/>
      </c>
      <c r="L73" s="147" t="str">
        <f t="shared" ca="1" si="4"/>
        <v/>
      </c>
      <c r="M73" s="148" t="str">
        <f t="shared" ca="1" si="5"/>
        <v/>
      </c>
      <c r="N73" s="68"/>
    </row>
    <row r="74" spans="1:14" x14ac:dyDescent="0.35">
      <c r="A74" s="66"/>
      <c r="B74" s="67"/>
      <c r="C74" s="74"/>
      <c r="D74" s="74"/>
      <c r="E74" s="74"/>
      <c r="F74" s="68"/>
      <c r="G74" s="71"/>
      <c r="H74" s="71"/>
      <c r="I74" s="72"/>
      <c r="J74" s="73" t="str">
        <f>IF($A74="","",COUNTIFS(Conteneurs!$K$3:$K$1002,$A74))</f>
        <v/>
      </c>
      <c r="K74" s="73" t="str">
        <f>IF($A74="","",COUNTIFS(Conteneurs!$K$3:$K$1002,$A74,Conteneurs!$M$3:$M$1002,"Embarqué"))</f>
        <v/>
      </c>
      <c r="L74" s="147" t="str">
        <f t="shared" ca="1" si="4"/>
        <v/>
      </c>
      <c r="M74" s="148" t="str">
        <f t="shared" ca="1" si="5"/>
        <v/>
      </c>
      <c r="N74" s="68"/>
    </row>
    <row r="75" spans="1:14" x14ac:dyDescent="0.35">
      <c r="A75" s="66"/>
      <c r="B75" s="67"/>
      <c r="C75" s="74"/>
      <c r="D75" s="74"/>
      <c r="E75" s="74"/>
      <c r="F75" s="68"/>
      <c r="G75" s="71"/>
      <c r="H75" s="71"/>
      <c r="I75" s="72"/>
      <c r="J75" s="73" t="str">
        <f>IF($A75="","",COUNTIFS(Conteneurs!$K$3:$K$1002,$A75))</f>
        <v/>
      </c>
      <c r="K75" s="73" t="str">
        <f>IF($A75="","",COUNTIFS(Conteneurs!$K$3:$K$1002,$A75,Conteneurs!$M$3:$M$1002,"Embarqué"))</f>
        <v/>
      </c>
      <c r="L75" s="147" t="str">
        <f t="shared" ca="1" si="4"/>
        <v/>
      </c>
      <c r="M75" s="148" t="str">
        <f t="shared" ca="1" si="5"/>
        <v/>
      </c>
      <c r="N75" s="68"/>
    </row>
    <row r="76" spans="1:14" x14ac:dyDescent="0.35">
      <c r="A76" s="66"/>
      <c r="B76" s="67"/>
      <c r="C76" s="74"/>
      <c r="D76" s="74"/>
      <c r="E76" s="74"/>
      <c r="F76" s="68"/>
      <c r="G76" s="71"/>
      <c r="H76" s="71"/>
      <c r="I76" s="72"/>
      <c r="J76" s="73" t="str">
        <f>IF($A76="","",COUNTIFS(Conteneurs!$K$3:$K$1002,$A76))</f>
        <v/>
      </c>
      <c r="K76" s="73" t="str">
        <f>IF($A76="","",COUNTIFS(Conteneurs!$K$3:$K$1002,$A76,Conteneurs!$M$3:$M$1002,"Embarqué"))</f>
        <v/>
      </c>
      <c r="L76" s="147" t="str">
        <f t="shared" ca="1" si="4"/>
        <v/>
      </c>
      <c r="M76" s="148" t="str">
        <f t="shared" ca="1" si="5"/>
        <v/>
      </c>
      <c r="N76" s="68"/>
    </row>
    <row r="77" spans="1:14" x14ac:dyDescent="0.35">
      <c r="A77" s="66"/>
      <c r="B77" s="67"/>
      <c r="C77" s="74"/>
      <c r="D77" s="74"/>
      <c r="E77" s="74"/>
      <c r="F77" s="68"/>
      <c r="G77" s="71"/>
      <c r="H77" s="71"/>
      <c r="I77" s="72"/>
      <c r="J77" s="73" t="str">
        <f>IF($A77="","",COUNTIFS(Conteneurs!$K$3:$K$1002,$A77))</f>
        <v/>
      </c>
      <c r="K77" s="73" t="str">
        <f>IF($A77="","",COUNTIFS(Conteneurs!$K$3:$K$1002,$A77,Conteneurs!$M$3:$M$1002,"Embarqué"))</f>
        <v/>
      </c>
      <c r="L77" s="147" t="str">
        <f t="shared" ca="1" si="4"/>
        <v/>
      </c>
      <c r="M77" s="148" t="str">
        <f t="shared" ca="1" si="5"/>
        <v/>
      </c>
      <c r="N77" s="68"/>
    </row>
    <row r="78" spans="1:14" x14ac:dyDescent="0.35">
      <c r="A78" s="66"/>
      <c r="B78" s="67"/>
      <c r="C78" s="74"/>
      <c r="D78" s="74"/>
      <c r="E78" s="74"/>
      <c r="F78" s="68"/>
      <c r="G78" s="71"/>
      <c r="H78" s="71"/>
      <c r="I78" s="72"/>
      <c r="J78" s="73" t="str">
        <f>IF($A78="","",COUNTIFS(Conteneurs!$K$3:$K$1002,$A78))</f>
        <v/>
      </c>
      <c r="K78" s="73" t="str">
        <f>IF($A78="","",COUNTIFS(Conteneurs!$K$3:$K$1002,$A78,Conteneurs!$M$3:$M$1002,"Embarqué"))</f>
        <v/>
      </c>
      <c r="L78" s="147" t="str">
        <f t="shared" ca="1" si="4"/>
        <v/>
      </c>
      <c r="M78" s="148" t="str">
        <f t="shared" ca="1" si="5"/>
        <v/>
      </c>
      <c r="N78" s="68"/>
    </row>
    <row r="79" spans="1:14" x14ac:dyDescent="0.35">
      <c r="A79" s="66"/>
      <c r="B79" s="67"/>
      <c r="C79" s="74"/>
      <c r="D79" s="74"/>
      <c r="E79" s="74"/>
      <c r="F79" s="68"/>
      <c r="G79" s="71"/>
      <c r="H79" s="71"/>
      <c r="I79" s="72"/>
      <c r="J79" s="73" t="str">
        <f>IF($A79="","",COUNTIFS(Conteneurs!$K$3:$K$1002,$A79))</f>
        <v/>
      </c>
      <c r="K79" s="73" t="str">
        <f>IF($A79="","",COUNTIFS(Conteneurs!$K$3:$K$1002,$A79,Conteneurs!$M$3:$M$1002,"Embarqué"))</f>
        <v/>
      </c>
      <c r="L79" s="147" t="str">
        <f t="shared" ca="1" si="4"/>
        <v/>
      </c>
      <c r="M79" s="148" t="str">
        <f t="shared" ca="1" si="5"/>
        <v/>
      </c>
      <c r="N79" s="68"/>
    </row>
    <row r="80" spans="1:14" x14ac:dyDescent="0.35">
      <c r="A80" s="66"/>
      <c r="B80" s="67"/>
      <c r="C80" s="74"/>
      <c r="D80" s="74"/>
      <c r="E80" s="74"/>
      <c r="F80" s="68"/>
      <c r="G80" s="71"/>
      <c r="H80" s="71"/>
      <c r="I80" s="72"/>
      <c r="J80" s="73" t="str">
        <f>IF($A80="","",COUNTIFS(Conteneurs!$K$3:$K$1002,$A80))</f>
        <v/>
      </c>
      <c r="K80" s="73" t="str">
        <f>IF($A80="","",COUNTIFS(Conteneurs!$K$3:$K$1002,$A80,Conteneurs!$M$3:$M$1002,"Embarqué"))</f>
        <v/>
      </c>
      <c r="L80" s="147" t="str">
        <f t="shared" ca="1" si="4"/>
        <v/>
      </c>
      <c r="M80" s="148" t="str">
        <f t="shared" ca="1" si="5"/>
        <v/>
      </c>
      <c r="N80" s="68"/>
    </row>
    <row r="81" spans="1:14" x14ac:dyDescent="0.35">
      <c r="A81" s="66"/>
      <c r="B81" s="67"/>
      <c r="C81" s="74"/>
      <c r="D81" s="74"/>
      <c r="E81" s="74"/>
      <c r="F81" s="68"/>
      <c r="G81" s="71"/>
      <c r="H81" s="71"/>
      <c r="I81" s="72"/>
      <c r="J81" s="73" t="str">
        <f>IF($A81="","",COUNTIFS(Conteneurs!$K$3:$K$1002,$A81))</f>
        <v/>
      </c>
      <c r="K81" s="73" t="str">
        <f>IF($A81="","",COUNTIFS(Conteneurs!$K$3:$K$1002,$A81,Conteneurs!$M$3:$M$1002,"Embarqué"))</f>
        <v/>
      </c>
      <c r="L81" s="147" t="str">
        <f t="shared" ca="1" si="4"/>
        <v/>
      </c>
      <c r="M81" s="148" t="str">
        <f t="shared" ca="1" si="5"/>
        <v/>
      </c>
      <c r="N81" s="68"/>
    </row>
    <row r="82" spans="1:14" x14ac:dyDescent="0.35">
      <c r="A82" s="66"/>
      <c r="B82" s="67"/>
      <c r="C82" s="74"/>
      <c r="D82" s="74"/>
      <c r="E82" s="74"/>
      <c r="F82" s="68"/>
      <c r="G82" s="71"/>
      <c r="H82" s="71"/>
      <c r="I82" s="72"/>
      <c r="J82" s="73" t="str">
        <f>IF($A82="","",COUNTIFS(Conteneurs!$K$3:$K$1002,$A82))</f>
        <v/>
      </c>
      <c r="K82" s="73" t="str">
        <f>IF($A82="","",COUNTIFS(Conteneurs!$K$3:$K$1002,$A82,Conteneurs!$M$3:$M$1002,"Embarqué"))</f>
        <v/>
      </c>
      <c r="L82" s="147" t="str">
        <f t="shared" ca="1" si="4"/>
        <v/>
      </c>
      <c r="M82" s="148" t="str">
        <f t="shared" ca="1" si="5"/>
        <v/>
      </c>
      <c r="N82" s="68"/>
    </row>
    <row r="83" spans="1:14" x14ac:dyDescent="0.35">
      <c r="A83" s="66"/>
      <c r="B83" s="67"/>
      <c r="C83" s="74"/>
      <c r="D83" s="74"/>
      <c r="E83" s="74"/>
      <c r="F83" s="68"/>
      <c r="G83" s="71"/>
      <c r="H83" s="71"/>
      <c r="I83" s="72"/>
      <c r="J83" s="73" t="str">
        <f>IF($A83="","",COUNTIFS(Conteneurs!$K$3:$K$1002,$A83))</f>
        <v/>
      </c>
      <c r="K83" s="73" t="str">
        <f>IF($A83="","",COUNTIFS(Conteneurs!$K$3:$K$1002,$A83,Conteneurs!$M$3:$M$1002,"Embarqué"))</f>
        <v/>
      </c>
      <c r="L83" s="147" t="str">
        <f t="shared" ca="1" si="4"/>
        <v/>
      </c>
      <c r="M83" s="148" t="str">
        <f t="shared" ca="1" si="5"/>
        <v/>
      </c>
      <c r="N83" s="68"/>
    </row>
    <row r="84" spans="1:14" x14ac:dyDescent="0.35">
      <c r="A84" s="66"/>
      <c r="B84" s="67"/>
      <c r="C84" s="74"/>
      <c r="D84" s="74"/>
      <c r="E84" s="74"/>
      <c r="F84" s="68"/>
      <c r="G84" s="71"/>
      <c r="H84" s="71"/>
      <c r="I84" s="72"/>
      <c r="J84" s="73" t="str">
        <f>IF($A84="","",COUNTIFS(Conteneurs!$K$3:$K$1002,$A84))</f>
        <v/>
      </c>
      <c r="K84" s="73" t="str">
        <f>IF($A84="","",COUNTIFS(Conteneurs!$K$3:$K$1002,$A84,Conteneurs!$M$3:$M$1002,"Embarqué"))</f>
        <v/>
      </c>
      <c r="L84" s="147" t="str">
        <f t="shared" ca="1" si="4"/>
        <v/>
      </c>
      <c r="M84" s="148" t="str">
        <f t="shared" ca="1" si="5"/>
        <v/>
      </c>
      <c r="N84" s="68"/>
    </row>
    <row r="85" spans="1:14" x14ac:dyDescent="0.35">
      <c r="A85" s="66"/>
      <c r="B85" s="67"/>
      <c r="C85" s="74"/>
      <c r="D85" s="74"/>
      <c r="E85" s="74"/>
      <c r="F85" s="68"/>
      <c r="G85" s="71"/>
      <c r="H85" s="71"/>
      <c r="I85" s="72"/>
      <c r="J85" s="73" t="str">
        <f>IF($A85="","",COUNTIFS(Conteneurs!$K$3:$K$1002,$A85))</f>
        <v/>
      </c>
      <c r="K85" s="73" t="str">
        <f>IF($A85="","",COUNTIFS(Conteneurs!$K$3:$K$1002,$A85,Conteneurs!$M$3:$M$1002,"Embarqué"))</f>
        <v/>
      </c>
      <c r="L85" s="147" t="str">
        <f t="shared" ca="1" si="4"/>
        <v/>
      </c>
      <c r="M85" s="148" t="str">
        <f t="shared" ca="1" si="5"/>
        <v/>
      </c>
      <c r="N85" s="68"/>
    </row>
    <row r="86" spans="1:14" x14ac:dyDescent="0.35">
      <c r="A86" s="66"/>
      <c r="B86" s="67"/>
      <c r="C86" s="74"/>
      <c r="D86" s="74"/>
      <c r="E86" s="74"/>
      <c r="F86" s="68"/>
      <c r="G86" s="71"/>
      <c r="H86" s="71"/>
      <c r="I86" s="72"/>
      <c r="J86" s="73" t="str">
        <f>IF($A86="","",COUNTIFS(Conteneurs!$K$3:$K$1002,$A86))</f>
        <v/>
      </c>
      <c r="K86" s="73" t="str">
        <f>IF($A86="","",COUNTIFS(Conteneurs!$K$3:$K$1002,$A86,Conteneurs!$M$3:$M$1002,"Embarqué"))</f>
        <v/>
      </c>
      <c r="L86" s="147" t="str">
        <f t="shared" ca="1" si="4"/>
        <v/>
      </c>
      <c r="M86" s="148" t="str">
        <f t="shared" ca="1" si="5"/>
        <v/>
      </c>
      <c r="N86" s="68"/>
    </row>
    <row r="87" spans="1:14" x14ac:dyDescent="0.35">
      <c r="A87" s="66"/>
      <c r="B87" s="67"/>
      <c r="C87" s="74"/>
      <c r="D87" s="74"/>
      <c r="E87" s="74"/>
      <c r="F87" s="68"/>
      <c r="G87" s="71"/>
      <c r="H87" s="71"/>
      <c r="I87" s="72"/>
      <c r="J87" s="73" t="str">
        <f>IF($A87="","",COUNTIFS(Conteneurs!$K$3:$K$1002,$A87))</f>
        <v/>
      </c>
      <c r="K87" s="73" t="str">
        <f>IF($A87="","",COUNTIFS(Conteneurs!$K$3:$K$1002,$A87,Conteneurs!$M$3:$M$1002,"Embarqué"))</f>
        <v/>
      </c>
      <c r="L87" s="147" t="str">
        <f t="shared" ca="1" si="4"/>
        <v/>
      </c>
      <c r="M87" s="148" t="str">
        <f t="shared" ca="1" si="5"/>
        <v/>
      </c>
      <c r="N87" s="68"/>
    </row>
    <row r="88" spans="1:14" x14ac:dyDescent="0.35">
      <c r="A88" s="66"/>
      <c r="B88" s="67"/>
      <c r="C88" s="74"/>
      <c r="D88" s="74"/>
      <c r="E88" s="74"/>
      <c r="F88" s="68"/>
      <c r="G88" s="71"/>
      <c r="H88" s="71"/>
      <c r="I88" s="72"/>
      <c r="J88" s="73" t="str">
        <f>IF($A88="","",COUNTIFS(Conteneurs!$K$3:$K$1002,$A88))</f>
        <v/>
      </c>
      <c r="K88" s="73" t="str">
        <f>IF($A88="","",COUNTIFS(Conteneurs!$K$3:$K$1002,$A88,Conteneurs!$M$3:$M$1002,"Embarqué"))</f>
        <v/>
      </c>
      <c r="L88" s="147" t="str">
        <f t="shared" ca="1" si="4"/>
        <v/>
      </c>
      <c r="M88" s="148" t="str">
        <f t="shared" ca="1" si="5"/>
        <v/>
      </c>
      <c r="N88" s="68"/>
    </row>
    <row r="89" spans="1:14" x14ac:dyDescent="0.35">
      <c r="A89" s="66"/>
      <c r="B89" s="67"/>
      <c r="C89" s="74"/>
      <c r="D89" s="74"/>
      <c r="E89" s="74"/>
      <c r="F89" s="68"/>
      <c r="G89" s="71"/>
      <c r="H89" s="71"/>
      <c r="I89" s="72"/>
      <c r="J89" s="73" t="str">
        <f>IF($A89="","",COUNTIFS(Conteneurs!$K$3:$K$1002,$A89))</f>
        <v/>
      </c>
      <c r="K89" s="73" t="str">
        <f>IF($A89="","",COUNTIFS(Conteneurs!$K$3:$K$1002,$A89,Conteneurs!$M$3:$M$1002,"Embarqué"))</f>
        <v/>
      </c>
      <c r="L89" s="147" t="str">
        <f t="shared" ca="1" si="4"/>
        <v/>
      </c>
      <c r="M89" s="148" t="str">
        <f t="shared" ca="1" si="5"/>
        <v/>
      </c>
      <c r="N89" s="68"/>
    </row>
    <row r="90" spans="1:14" x14ac:dyDescent="0.35">
      <c r="A90" s="66"/>
      <c r="B90" s="67"/>
      <c r="C90" s="74"/>
      <c r="D90" s="74"/>
      <c r="E90" s="74"/>
      <c r="F90" s="68"/>
      <c r="G90" s="71"/>
      <c r="H90" s="71"/>
      <c r="I90" s="72"/>
      <c r="J90" s="73" t="str">
        <f>IF($A90="","",COUNTIFS(Conteneurs!$K$3:$K$1002,$A90))</f>
        <v/>
      </c>
      <c r="K90" s="73" t="str">
        <f>IF($A90="","",COUNTIFS(Conteneurs!$K$3:$K$1002,$A90,Conteneurs!$M$3:$M$1002,"Embarqué"))</f>
        <v/>
      </c>
      <c r="L90" s="147" t="str">
        <f t="shared" ca="1" si="4"/>
        <v/>
      </c>
      <c r="M90" s="148" t="str">
        <f t="shared" ca="1" si="5"/>
        <v/>
      </c>
      <c r="N90" s="68"/>
    </row>
    <row r="91" spans="1:14" x14ac:dyDescent="0.35">
      <c r="A91" s="66"/>
      <c r="B91" s="67"/>
      <c r="C91" s="74"/>
      <c r="D91" s="74"/>
      <c r="E91" s="74"/>
      <c r="F91" s="68"/>
      <c r="G91" s="71"/>
      <c r="H91" s="71"/>
      <c r="I91" s="72"/>
      <c r="J91" s="73" t="str">
        <f>IF($A91="","",COUNTIFS(Conteneurs!$K$3:$K$1002,$A91))</f>
        <v/>
      </c>
      <c r="K91" s="73" t="str">
        <f>IF($A91="","",COUNTIFS(Conteneurs!$K$3:$K$1002,$A91,Conteneurs!$M$3:$M$1002,"Embarqué"))</f>
        <v/>
      </c>
      <c r="L91" s="147" t="str">
        <f t="shared" ca="1" si="4"/>
        <v/>
      </c>
      <c r="M91" s="148" t="str">
        <f t="shared" ca="1" si="5"/>
        <v/>
      </c>
      <c r="N91" s="68"/>
    </row>
    <row r="92" spans="1:14" x14ac:dyDescent="0.35">
      <c r="A92" s="66"/>
      <c r="B92" s="67"/>
      <c r="C92" s="74"/>
      <c r="D92" s="74"/>
      <c r="E92" s="74"/>
      <c r="F92" s="68"/>
      <c r="G92" s="71"/>
      <c r="H92" s="71"/>
      <c r="I92" s="72"/>
      <c r="J92" s="73" t="str">
        <f>IF($A92="","",COUNTIFS(Conteneurs!$K$3:$K$1002,$A92))</f>
        <v/>
      </c>
      <c r="K92" s="73" t="str">
        <f>IF($A92="","",COUNTIFS(Conteneurs!$K$3:$K$1002,$A92,Conteneurs!$M$3:$M$1002,"Embarqué"))</f>
        <v/>
      </c>
      <c r="L92" s="147" t="str">
        <f t="shared" ca="1" si="4"/>
        <v/>
      </c>
      <c r="M92" s="148" t="str">
        <f t="shared" ca="1" si="5"/>
        <v/>
      </c>
      <c r="N92" s="68"/>
    </row>
    <row r="93" spans="1:14" x14ac:dyDescent="0.35">
      <c r="A93" s="66"/>
      <c r="B93" s="67"/>
      <c r="C93" s="74"/>
      <c r="D93" s="74"/>
      <c r="E93" s="74"/>
      <c r="F93" s="68"/>
      <c r="G93" s="71"/>
      <c r="H93" s="71"/>
      <c r="I93" s="72"/>
      <c r="J93" s="73" t="str">
        <f>IF($A93="","",COUNTIFS(Conteneurs!$K$3:$K$1002,$A93))</f>
        <v/>
      </c>
      <c r="K93" s="73" t="str">
        <f>IF($A93="","",COUNTIFS(Conteneurs!$K$3:$K$1002,$A93,Conteneurs!$M$3:$M$1002,"Embarqué"))</f>
        <v/>
      </c>
      <c r="L93" s="147" t="str">
        <f t="shared" ca="1" si="4"/>
        <v/>
      </c>
      <c r="M93" s="148" t="str">
        <f t="shared" ca="1" si="5"/>
        <v/>
      </c>
      <c r="N93" s="68"/>
    </row>
    <row r="94" spans="1:14" x14ac:dyDescent="0.35">
      <c r="A94" s="66"/>
      <c r="B94" s="67"/>
      <c r="C94" s="74"/>
      <c r="D94" s="74"/>
      <c r="E94" s="74"/>
      <c r="F94" s="68"/>
      <c r="G94" s="71"/>
      <c r="H94" s="71"/>
      <c r="I94" s="72"/>
      <c r="J94" s="73" t="str">
        <f>IF($A94="","",COUNTIFS(Conteneurs!$K$3:$K$1002,$A94))</f>
        <v/>
      </c>
      <c r="K94" s="73" t="str">
        <f>IF($A94="","",COUNTIFS(Conteneurs!$K$3:$K$1002,$A94,Conteneurs!$M$3:$M$1002,"Embarqué"))</f>
        <v/>
      </c>
      <c r="L94" s="147" t="str">
        <f t="shared" ca="1" si="4"/>
        <v/>
      </c>
      <c r="M94" s="148" t="str">
        <f t="shared" ca="1" si="5"/>
        <v/>
      </c>
      <c r="N94" s="68"/>
    </row>
    <row r="95" spans="1:14" x14ac:dyDescent="0.35">
      <c r="A95" s="66"/>
      <c r="B95" s="67"/>
      <c r="C95" s="74"/>
      <c r="D95" s="74"/>
      <c r="E95" s="74"/>
      <c r="F95" s="68"/>
      <c r="G95" s="71"/>
      <c r="H95" s="71"/>
      <c r="I95" s="72"/>
      <c r="J95" s="73" t="str">
        <f>IF($A95="","",COUNTIFS(Conteneurs!$K$3:$K$1002,$A95))</f>
        <v/>
      </c>
      <c r="K95" s="73" t="str">
        <f>IF($A95="","",COUNTIFS(Conteneurs!$K$3:$K$1002,$A95,Conteneurs!$M$3:$M$1002,"Embarqué"))</f>
        <v/>
      </c>
      <c r="L95" s="147" t="str">
        <f t="shared" ca="1" si="4"/>
        <v/>
      </c>
      <c r="M95" s="148" t="str">
        <f t="shared" ca="1" si="5"/>
        <v/>
      </c>
      <c r="N95" s="68"/>
    </row>
    <row r="96" spans="1:14" x14ac:dyDescent="0.35">
      <c r="A96" s="66"/>
      <c r="B96" s="67"/>
      <c r="C96" s="74"/>
      <c r="D96" s="74"/>
      <c r="E96" s="74"/>
      <c r="F96" s="68"/>
      <c r="G96" s="71"/>
      <c r="H96" s="71"/>
      <c r="I96" s="72"/>
      <c r="J96" s="73" t="str">
        <f>IF($A96="","",COUNTIFS(Conteneurs!$K$3:$K$1002,$A96))</f>
        <v/>
      </c>
      <c r="K96" s="73" t="str">
        <f>IF($A96="","",COUNTIFS(Conteneurs!$K$3:$K$1002,$A96,Conteneurs!$M$3:$M$1002,"Embarqué"))</f>
        <v/>
      </c>
      <c r="L96" s="147" t="str">
        <f t="shared" ca="1" si="4"/>
        <v/>
      </c>
      <c r="M96" s="148" t="str">
        <f t="shared" ca="1" si="5"/>
        <v/>
      </c>
      <c r="N96" s="68"/>
    </row>
    <row r="97" spans="1:14" x14ac:dyDescent="0.35">
      <c r="A97" s="66"/>
      <c r="B97" s="67"/>
      <c r="C97" s="74"/>
      <c r="D97" s="74"/>
      <c r="E97" s="74"/>
      <c r="F97" s="68"/>
      <c r="G97" s="71"/>
      <c r="H97" s="71"/>
      <c r="I97" s="72"/>
      <c r="J97" s="73" t="str">
        <f>IF($A97="","",COUNTIFS(Conteneurs!$K$3:$K$1002,$A97))</f>
        <v/>
      </c>
      <c r="K97" s="73" t="str">
        <f>IF($A97="","",COUNTIFS(Conteneurs!$K$3:$K$1002,$A97,Conteneurs!$M$3:$M$1002,"Embarqué"))</f>
        <v/>
      </c>
      <c r="L97" s="147" t="str">
        <f t="shared" ca="1" si="4"/>
        <v/>
      </c>
      <c r="M97" s="148" t="str">
        <f t="shared" ca="1" si="5"/>
        <v/>
      </c>
      <c r="N97" s="68"/>
    </row>
    <row r="98" spans="1:14" x14ac:dyDescent="0.35">
      <c r="A98" s="66"/>
      <c r="B98" s="67"/>
      <c r="C98" s="74"/>
      <c r="D98" s="74"/>
      <c r="E98" s="74"/>
      <c r="F98" s="68"/>
      <c r="G98" s="71"/>
      <c r="H98" s="71"/>
      <c r="I98" s="72"/>
      <c r="J98" s="73" t="str">
        <f>IF($A98="","",COUNTIFS(Conteneurs!$K$3:$K$1002,$A98))</f>
        <v/>
      </c>
      <c r="K98" s="73" t="str">
        <f>IF($A98="","",COUNTIFS(Conteneurs!$K$3:$K$1002,$A98,Conteneurs!$M$3:$M$1002,"Embarqué"))</f>
        <v/>
      </c>
      <c r="L98" s="147" t="str">
        <f t="shared" ca="1" si="4"/>
        <v/>
      </c>
      <c r="M98" s="148" t="str">
        <f t="shared" ca="1" si="5"/>
        <v/>
      </c>
      <c r="N98" s="68"/>
    </row>
    <row r="99" spans="1:14" x14ac:dyDescent="0.35">
      <c r="A99" s="66"/>
      <c r="B99" s="67"/>
      <c r="C99" s="74"/>
      <c r="D99" s="74"/>
      <c r="E99" s="74"/>
      <c r="F99" s="68"/>
      <c r="G99" s="71"/>
      <c r="H99" s="71"/>
      <c r="I99" s="72"/>
      <c r="J99" s="73" t="str">
        <f>IF($A99="","",COUNTIFS(Conteneurs!$K$3:$K$1002,$A99))</f>
        <v/>
      </c>
      <c r="K99" s="73" t="str">
        <f>IF($A99="","",COUNTIFS(Conteneurs!$K$3:$K$1002,$A99,Conteneurs!$M$3:$M$1002,"Embarqué"))</f>
        <v/>
      </c>
      <c r="L99" s="147" t="str">
        <f t="shared" ref="L99:L130" ca="1" si="6">IF(OR($A99="",$G99=""),"",$G99-TODAY())</f>
        <v/>
      </c>
      <c r="M99" s="148" t="str">
        <f t="shared" ref="M99:M130" ca="1" si="7">IF($A99="","",IF(AND(N($I99)&gt;0,$K99&gt;=$I99),"Embarqué complet",IF(AND($G99&lt;&gt;"",N($G99)&lt;TODAY()),"En retard (ETD dépassé)",IF($J99=0,"À préparer","En cours"))))</f>
        <v/>
      </c>
      <c r="N99" s="68"/>
    </row>
    <row r="100" spans="1:14" x14ac:dyDescent="0.35">
      <c r="A100" s="66"/>
      <c r="B100" s="67"/>
      <c r="C100" s="74"/>
      <c r="D100" s="74"/>
      <c r="E100" s="74"/>
      <c r="F100" s="68"/>
      <c r="G100" s="71"/>
      <c r="H100" s="71"/>
      <c r="I100" s="72"/>
      <c r="J100" s="73" t="str">
        <f>IF($A100="","",COUNTIFS(Conteneurs!$K$3:$K$1002,$A100))</f>
        <v/>
      </c>
      <c r="K100" s="73" t="str">
        <f>IF($A100="","",COUNTIFS(Conteneurs!$K$3:$K$1002,$A100,Conteneurs!$M$3:$M$1002,"Embarqué"))</f>
        <v/>
      </c>
      <c r="L100" s="147" t="str">
        <f t="shared" ca="1" si="6"/>
        <v/>
      </c>
      <c r="M100" s="148" t="str">
        <f t="shared" ca="1" si="7"/>
        <v/>
      </c>
      <c r="N100" s="68"/>
    </row>
    <row r="101" spans="1:14" x14ac:dyDescent="0.35">
      <c r="A101" s="66"/>
      <c r="B101" s="67"/>
      <c r="C101" s="74"/>
      <c r="D101" s="74"/>
      <c r="E101" s="74"/>
      <c r="F101" s="68"/>
      <c r="G101" s="71"/>
      <c r="H101" s="71"/>
      <c r="I101" s="72"/>
      <c r="J101" s="73" t="str">
        <f>IF($A101="","",COUNTIFS(Conteneurs!$K$3:$K$1002,$A101))</f>
        <v/>
      </c>
      <c r="K101" s="73" t="str">
        <f>IF($A101="","",COUNTIFS(Conteneurs!$K$3:$K$1002,$A101,Conteneurs!$M$3:$M$1002,"Embarqué"))</f>
        <v/>
      </c>
      <c r="L101" s="147" t="str">
        <f t="shared" ca="1" si="6"/>
        <v/>
      </c>
      <c r="M101" s="148" t="str">
        <f t="shared" ca="1" si="7"/>
        <v/>
      </c>
      <c r="N101" s="68"/>
    </row>
    <row r="102" spans="1:14" x14ac:dyDescent="0.35">
      <c r="A102" s="66"/>
      <c r="B102" s="67"/>
      <c r="C102" s="74"/>
      <c r="D102" s="74"/>
      <c r="E102" s="74"/>
      <c r="F102" s="68"/>
      <c r="G102" s="71"/>
      <c r="H102" s="71"/>
      <c r="I102" s="72"/>
      <c r="J102" s="73" t="str">
        <f>IF($A102="","",COUNTIFS(Conteneurs!$K$3:$K$1002,$A102))</f>
        <v/>
      </c>
      <c r="K102" s="73" t="str">
        <f>IF($A102="","",COUNTIFS(Conteneurs!$K$3:$K$1002,$A102,Conteneurs!$M$3:$M$1002,"Embarqué"))</f>
        <v/>
      </c>
      <c r="L102" s="147" t="str">
        <f t="shared" ca="1" si="6"/>
        <v/>
      </c>
      <c r="M102" s="148" t="str">
        <f t="shared" ca="1" si="7"/>
        <v/>
      </c>
      <c r="N102" s="68"/>
    </row>
    <row r="103" spans="1:14" x14ac:dyDescent="0.35">
      <c r="A103" s="66"/>
      <c r="B103" s="67"/>
      <c r="C103" s="74"/>
      <c r="D103" s="74"/>
      <c r="E103" s="74"/>
      <c r="F103" s="68"/>
      <c r="G103" s="71"/>
      <c r="H103" s="71"/>
      <c r="I103" s="72"/>
      <c r="J103" s="73" t="str">
        <f>IF($A103="","",COUNTIFS(Conteneurs!$K$3:$K$1002,$A103))</f>
        <v/>
      </c>
      <c r="K103" s="73" t="str">
        <f>IF($A103="","",COUNTIFS(Conteneurs!$K$3:$K$1002,$A103,Conteneurs!$M$3:$M$1002,"Embarqué"))</f>
        <v/>
      </c>
      <c r="L103" s="147" t="str">
        <f t="shared" ca="1" si="6"/>
        <v/>
      </c>
      <c r="M103" s="148" t="str">
        <f t="shared" ca="1" si="7"/>
        <v/>
      </c>
      <c r="N103" s="68"/>
    </row>
    <row r="104" spans="1:14" x14ac:dyDescent="0.35">
      <c r="A104" s="66"/>
      <c r="B104" s="67"/>
      <c r="C104" s="74"/>
      <c r="D104" s="74"/>
      <c r="E104" s="74"/>
      <c r="F104" s="68"/>
      <c r="G104" s="71"/>
      <c r="H104" s="71"/>
      <c r="I104" s="72"/>
      <c r="J104" s="73" t="str">
        <f>IF($A104="","",COUNTIFS(Conteneurs!$K$3:$K$1002,$A104))</f>
        <v/>
      </c>
      <c r="K104" s="73" t="str">
        <f>IF($A104="","",COUNTIFS(Conteneurs!$K$3:$K$1002,$A104,Conteneurs!$M$3:$M$1002,"Embarqué"))</f>
        <v/>
      </c>
      <c r="L104" s="147" t="str">
        <f t="shared" ca="1" si="6"/>
        <v/>
      </c>
      <c r="M104" s="148" t="str">
        <f t="shared" ca="1" si="7"/>
        <v/>
      </c>
      <c r="N104" s="68"/>
    </row>
    <row r="105" spans="1:14" x14ac:dyDescent="0.35">
      <c r="A105" s="66"/>
      <c r="B105" s="67"/>
      <c r="C105" s="74"/>
      <c r="D105" s="74"/>
      <c r="E105" s="74"/>
      <c r="F105" s="68"/>
      <c r="G105" s="71"/>
      <c r="H105" s="71"/>
      <c r="I105" s="72"/>
      <c r="J105" s="73" t="str">
        <f>IF($A105="","",COUNTIFS(Conteneurs!$K$3:$K$1002,$A105))</f>
        <v/>
      </c>
      <c r="K105" s="73" t="str">
        <f>IF($A105="","",COUNTIFS(Conteneurs!$K$3:$K$1002,$A105,Conteneurs!$M$3:$M$1002,"Embarqué"))</f>
        <v/>
      </c>
      <c r="L105" s="147" t="str">
        <f t="shared" ca="1" si="6"/>
        <v/>
      </c>
      <c r="M105" s="148" t="str">
        <f t="shared" ca="1" si="7"/>
        <v/>
      </c>
      <c r="N105" s="68"/>
    </row>
    <row r="106" spans="1:14" x14ac:dyDescent="0.35">
      <c r="A106" s="66"/>
      <c r="B106" s="67"/>
      <c r="C106" s="74"/>
      <c r="D106" s="74"/>
      <c r="E106" s="74"/>
      <c r="F106" s="68"/>
      <c r="G106" s="71"/>
      <c r="H106" s="71"/>
      <c r="I106" s="72"/>
      <c r="J106" s="73" t="str">
        <f>IF($A106="","",COUNTIFS(Conteneurs!$K$3:$K$1002,$A106))</f>
        <v/>
      </c>
      <c r="K106" s="73" t="str">
        <f>IF($A106="","",COUNTIFS(Conteneurs!$K$3:$K$1002,$A106,Conteneurs!$M$3:$M$1002,"Embarqué"))</f>
        <v/>
      </c>
      <c r="L106" s="147" t="str">
        <f t="shared" ca="1" si="6"/>
        <v/>
      </c>
      <c r="M106" s="148" t="str">
        <f t="shared" ca="1" si="7"/>
        <v/>
      </c>
      <c r="N106" s="68"/>
    </row>
    <row r="107" spans="1:14" x14ac:dyDescent="0.35">
      <c r="A107" s="66"/>
      <c r="B107" s="67"/>
      <c r="C107" s="74"/>
      <c r="D107" s="74"/>
      <c r="E107" s="74"/>
      <c r="F107" s="68"/>
      <c r="G107" s="71"/>
      <c r="H107" s="71"/>
      <c r="I107" s="72"/>
      <c r="J107" s="73" t="str">
        <f>IF($A107="","",COUNTIFS(Conteneurs!$K$3:$K$1002,$A107))</f>
        <v/>
      </c>
      <c r="K107" s="73" t="str">
        <f>IF($A107="","",COUNTIFS(Conteneurs!$K$3:$K$1002,$A107,Conteneurs!$M$3:$M$1002,"Embarqué"))</f>
        <v/>
      </c>
      <c r="L107" s="147" t="str">
        <f t="shared" ca="1" si="6"/>
        <v/>
      </c>
      <c r="M107" s="148" t="str">
        <f t="shared" ca="1" si="7"/>
        <v/>
      </c>
      <c r="N107" s="68"/>
    </row>
    <row r="108" spans="1:14" x14ac:dyDescent="0.35">
      <c r="A108" s="66"/>
      <c r="B108" s="67"/>
      <c r="C108" s="74"/>
      <c r="D108" s="74"/>
      <c r="E108" s="74"/>
      <c r="F108" s="68"/>
      <c r="G108" s="71"/>
      <c r="H108" s="71"/>
      <c r="I108" s="72"/>
      <c r="J108" s="73" t="str">
        <f>IF($A108="","",COUNTIFS(Conteneurs!$K$3:$K$1002,$A108))</f>
        <v/>
      </c>
      <c r="K108" s="73" t="str">
        <f>IF($A108="","",COUNTIFS(Conteneurs!$K$3:$K$1002,$A108,Conteneurs!$M$3:$M$1002,"Embarqué"))</f>
        <v/>
      </c>
      <c r="L108" s="147" t="str">
        <f t="shared" ca="1" si="6"/>
        <v/>
      </c>
      <c r="M108" s="148" t="str">
        <f t="shared" ca="1" si="7"/>
        <v/>
      </c>
      <c r="N108" s="68"/>
    </row>
    <row r="109" spans="1:14" x14ac:dyDescent="0.35">
      <c r="A109" s="66"/>
      <c r="B109" s="67"/>
      <c r="C109" s="74"/>
      <c r="D109" s="74"/>
      <c r="E109" s="74"/>
      <c r="F109" s="68"/>
      <c r="G109" s="71"/>
      <c r="H109" s="71"/>
      <c r="I109" s="72"/>
      <c r="J109" s="73" t="str">
        <f>IF($A109="","",COUNTIFS(Conteneurs!$K$3:$K$1002,$A109))</f>
        <v/>
      </c>
      <c r="K109" s="73" t="str">
        <f>IF($A109="","",COUNTIFS(Conteneurs!$K$3:$K$1002,$A109,Conteneurs!$M$3:$M$1002,"Embarqué"))</f>
        <v/>
      </c>
      <c r="L109" s="147" t="str">
        <f t="shared" ca="1" si="6"/>
        <v/>
      </c>
      <c r="M109" s="148" t="str">
        <f t="shared" ca="1" si="7"/>
        <v/>
      </c>
      <c r="N109" s="68"/>
    </row>
    <row r="110" spans="1:14" x14ac:dyDescent="0.35">
      <c r="A110" s="66"/>
      <c r="B110" s="67"/>
      <c r="C110" s="74"/>
      <c r="D110" s="74"/>
      <c r="E110" s="74"/>
      <c r="F110" s="68"/>
      <c r="G110" s="71"/>
      <c r="H110" s="71"/>
      <c r="I110" s="72"/>
      <c r="J110" s="73" t="str">
        <f>IF($A110="","",COUNTIFS(Conteneurs!$K$3:$K$1002,$A110))</f>
        <v/>
      </c>
      <c r="K110" s="73" t="str">
        <f>IF($A110="","",COUNTIFS(Conteneurs!$K$3:$K$1002,$A110,Conteneurs!$M$3:$M$1002,"Embarqué"))</f>
        <v/>
      </c>
      <c r="L110" s="147" t="str">
        <f t="shared" ca="1" si="6"/>
        <v/>
      </c>
      <c r="M110" s="148" t="str">
        <f t="shared" ca="1" si="7"/>
        <v/>
      </c>
      <c r="N110" s="68"/>
    </row>
    <row r="111" spans="1:14" x14ac:dyDescent="0.35">
      <c r="A111" s="66"/>
      <c r="B111" s="67"/>
      <c r="C111" s="74"/>
      <c r="D111" s="74"/>
      <c r="E111" s="74"/>
      <c r="F111" s="68"/>
      <c r="G111" s="71"/>
      <c r="H111" s="71"/>
      <c r="I111" s="72"/>
      <c r="J111" s="73" t="str">
        <f>IF($A111="","",COUNTIFS(Conteneurs!$K$3:$K$1002,$A111))</f>
        <v/>
      </c>
      <c r="K111" s="73" t="str">
        <f>IF($A111="","",COUNTIFS(Conteneurs!$K$3:$K$1002,$A111,Conteneurs!$M$3:$M$1002,"Embarqué"))</f>
        <v/>
      </c>
      <c r="L111" s="147" t="str">
        <f t="shared" ca="1" si="6"/>
        <v/>
      </c>
      <c r="M111" s="148" t="str">
        <f t="shared" ca="1" si="7"/>
        <v/>
      </c>
      <c r="N111" s="68"/>
    </row>
    <row r="112" spans="1:14" x14ac:dyDescent="0.35">
      <c r="A112" s="66"/>
      <c r="B112" s="67"/>
      <c r="C112" s="74"/>
      <c r="D112" s="74"/>
      <c r="E112" s="74"/>
      <c r="F112" s="68"/>
      <c r="G112" s="71"/>
      <c r="H112" s="71"/>
      <c r="I112" s="72"/>
      <c r="J112" s="73" t="str">
        <f>IF($A112="","",COUNTIFS(Conteneurs!$K$3:$K$1002,$A112))</f>
        <v/>
      </c>
      <c r="K112" s="73" t="str">
        <f>IF($A112="","",COUNTIFS(Conteneurs!$K$3:$K$1002,$A112,Conteneurs!$M$3:$M$1002,"Embarqué"))</f>
        <v/>
      </c>
      <c r="L112" s="147" t="str">
        <f t="shared" ca="1" si="6"/>
        <v/>
      </c>
      <c r="M112" s="148" t="str">
        <f t="shared" ca="1" si="7"/>
        <v/>
      </c>
      <c r="N112" s="68"/>
    </row>
    <row r="113" spans="1:14" x14ac:dyDescent="0.35">
      <c r="A113" s="66"/>
      <c r="B113" s="67"/>
      <c r="C113" s="74"/>
      <c r="D113" s="74"/>
      <c r="E113" s="74"/>
      <c r="F113" s="68"/>
      <c r="G113" s="71"/>
      <c r="H113" s="71"/>
      <c r="I113" s="72"/>
      <c r="J113" s="73" t="str">
        <f>IF($A113="","",COUNTIFS(Conteneurs!$K$3:$K$1002,$A113))</f>
        <v/>
      </c>
      <c r="K113" s="73" t="str">
        <f>IF($A113="","",COUNTIFS(Conteneurs!$K$3:$K$1002,$A113,Conteneurs!$M$3:$M$1002,"Embarqué"))</f>
        <v/>
      </c>
      <c r="L113" s="147" t="str">
        <f t="shared" ca="1" si="6"/>
        <v/>
      </c>
      <c r="M113" s="148" t="str">
        <f t="shared" ca="1" si="7"/>
        <v/>
      </c>
      <c r="N113" s="68"/>
    </row>
    <row r="114" spans="1:14" x14ac:dyDescent="0.35">
      <c r="A114" s="66"/>
      <c r="B114" s="67"/>
      <c r="C114" s="74"/>
      <c r="D114" s="74"/>
      <c r="E114" s="74"/>
      <c r="F114" s="68"/>
      <c r="G114" s="71"/>
      <c r="H114" s="71"/>
      <c r="I114" s="72"/>
      <c r="J114" s="73" t="str">
        <f>IF($A114="","",COUNTIFS(Conteneurs!$K$3:$K$1002,$A114))</f>
        <v/>
      </c>
      <c r="K114" s="73" t="str">
        <f>IF($A114="","",COUNTIFS(Conteneurs!$K$3:$K$1002,$A114,Conteneurs!$M$3:$M$1002,"Embarqué"))</f>
        <v/>
      </c>
      <c r="L114" s="147" t="str">
        <f t="shared" ca="1" si="6"/>
        <v/>
      </c>
      <c r="M114" s="148" t="str">
        <f t="shared" ca="1" si="7"/>
        <v/>
      </c>
      <c r="N114" s="68"/>
    </row>
    <row r="115" spans="1:14" x14ac:dyDescent="0.35">
      <c r="A115" s="66"/>
      <c r="B115" s="67"/>
      <c r="C115" s="74"/>
      <c r="D115" s="74"/>
      <c r="E115" s="74"/>
      <c r="F115" s="68"/>
      <c r="G115" s="71"/>
      <c r="H115" s="71"/>
      <c r="I115" s="72"/>
      <c r="J115" s="73" t="str">
        <f>IF($A115="","",COUNTIFS(Conteneurs!$K$3:$K$1002,$A115))</f>
        <v/>
      </c>
      <c r="K115" s="73" t="str">
        <f>IF($A115="","",COUNTIFS(Conteneurs!$K$3:$K$1002,$A115,Conteneurs!$M$3:$M$1002,"Embarqué"))</f>
        <v/>
      </c>
      <c r="L115" s="147" t="str">
        <f t="shared" ca="1" si="6"/>
        <v/>
      </c>
      <c r="M115" s="148" t="str">
        <f t="shared" ca="1" si="7"/>
        <v/>
      </c>
      <c r="N115" s="68"/>
    </row>
    <row r="116" spans="1:14" x14ac:dyDescent="0.35">
      <c r="A116" s="66"/>
      <c r="B116" s="67"/>
      <c r="C116" s="74"/>
      <c r="D116" s="74"/>
      <c r="E116" s="74"/>
      <c r="F116" s="68"/>
      <c r="G116" s="71"/>
      <c r="H116" s="71"/>
      <c r="I116" s="72"/>
      <c r="J116" s="73" t="str">
        <f>IF($A116="","",COUNTIFS(Conteneurs!$K$3:$K$1002,$A116))</f>
        <v/>
      </c>
      <c r="K116" s="73" t="str">
        <f>IF($A116="","",COUNTIFS(Conteneurs!$K$3:$K$1002,$A116,Conteneurs!$M$3:$M$1002,"Embarqué"))</f>
        <v/>
      </c>
      <c r="L116" s="147" t="str">
        <f t="shared" ca="1" si="6"/>
        <v/>
      </c>
      <c r="M116" s="148" t="str">
        <f t="shared" ca="1" si="7"/>
        <v/>
      </c>
      <c r="N116" s="68"/>
    </row>
    <row r="117" spans="1:14" x14ac:dyDescent="0.35">
      <c r="A117" s="66"/>
      <c r="B117" s="67"/>
      <c r="C117" s="74"/>
      <c r="D117" s="74"/>
      <c r="E117" s="74"/>
      <c r="F117" s="68"/>
      <c r="G117" s="71"/>
      <c r="H117" s="71"/>
      <c r="I117" s="72"/>
      <c r="J117" s="73" t="str">
        <f>IF($A117="","",COUNTIFS(Conteneurs!$K$3:$K$1002,$A117))</f>
        <v/>
      </c>
      <c r="K117" s="73" t="str">
        <f>IF($A117="","",COUNTIFS(Conteneurs!$K$3:$K$1002,$A117,Conteneurs!$M$3:$M$1002,"Embarqué"))</f>
        <v/>
      </c>
      <c r="L117" s="147" t="str">
        <f t="shared" ca="1" si="6"/>
        <v/>
      </c>
      <c r="M117" s="148" t="str">
        <f t="shared" ca="1" si="7"/>
        <v/>
      </c>
      <c r="N117" s="68"/>
    </row>
    <row r="118" spans="1:14" x14ac:dyDescent="0.35">
      <c r="A118" s="66"/>
      <c r="B118" s="67"/>
      <c r="C118" s="74"/>
      <c r="D118" s="74"/>
      <c r="E118" s="74"/>
      <c r="F118" s="68"/>
      <c r="G118" s="71"/>
      <c r="H118" s="71"/>
      <c r="I118" s="72"/>
      <c r="J118" s="73" t="str">
        <f>IF($A118="","",COUNTIFS(Conteneurs!$K$3:$K$1002,$A118))</f>
        <v/>
      </c>
      <c r="K118" s="73" t="str">
        <f>IF($A118="","",COUNTIFS(Conteneurs!$K$3:$K$1002,$A118,Conteneurs!$M$3:$M$1002,"Embarqué"))</f>
        <v/>
      </c>
      <c r="L118" s="147" t="str">
        <f t="shared" ca="1" si="6"/>
        <v/>
      </c>
      <c r="M118" s="148" t="str">
        <f t="shared" ca="1" si="7"/>
        <v/>
      </c>
      <c r="N118" s="68"/>
    </row>
    <row r="119" spans="1:14" x14ac:dyDescent="0.35">
      <c r="A119" s="66"/>
      <c r="B119" s="67"/>
      <c r="C119" s="74"/>
      <c r="D119" s="74"/>
      <c r="E119" s="74"/>
      <c r="F119" s="68"/>
      <c r="G119" s="71"/>
      <c r="H119" s="71"/>
      <c r="I119" s="72"/>
      <c r="J119" s="73" t="str">
        <f>IF($A119="","",COUNTIFS(Conteneurs!$K$3:$K$1002,$A119))</f>
        <v/>
      </c>
      <c r="K119" s="73" t="str">
        <f>IF($A119="","",COUNTIFS(Conteneurs!$K$3:$K$1002,$A119,Conteneurs!$M$3:$M$1002,"Embarqué"))</f>
        <v/>
      </c>
      <c r="L119" s="147" t="str">
        <f t="shared" ca="1" si="6"/>
        <v/>
      </c>
      <c r="M119" s="148" t="str">
        <f t="shared" ca="1" si="7"/>
        <v/>
      </c>
      <c r="N119" s="68"/>
    </row>
    <row r="120" spans="1:14" x14ac:dyDescent="0.35">
      <c r="A120" s="66"/>
      <c r="B120" s="67"/>
      <c r="C120" s="74"/>
      <c r="D120" s="74"/>
      <c r="E120" s="74"/>
      <c r="F120" s="68"/>
      <c r="G120" s="71"/>
      <c r="H120" s="71"/>
      <c r="I120" s="72"/>
      <c r="J120" s="73" t="str">
        <f>IF($A120="","",COUNTIFS(Conteneurs!$K$3:$K$1002,$A120))</f>
        <v/>
      </c>
      <c r="K120" s="73" t="str">
        <f>IF($A120="","",COUNTIFS(Conteneurs!$K$3:$K$1002,$A120,Conteneurs!$M$3:$M$1002,"Embarqué"))</f>
        <v/>
      </c>
      <c r="L120" s="147" t="str">
        <f t="shared" ca="1" si="6"/>
        <v/>
      </c>
      <c r="M120" s="148" t="str">
        <f t="shared" ca="1" si="7"/>
        <v/>
      </c>
      <c r="N120" s="68"/>
    </row>
    <row r="121" spans="1:14" x14ac:dyDescent="0.35">
      <c r="A121" s="66"/>
      <c r="B121" s="67"/>
      <c r="C121" s="74"/>
      <c r="D121" s="74"/>
      <c r="E121" s="74"/>
      <c r="F121" s="68"/>
      <c r="G121" s="71"/>
      <c r="H121" s="71"/>
      <c r="I121" s="72"/>
      <c r="J121" s="73" t="str">
        <f>IF($A121="","",COUNTIFS(Conteneurs!$K$3:$K$1002,$A121))</f>
        <v/>
      </c>
      <c r="K121" s="73" t="str">
        <f>IF($A121="","",COUNTIFS(Conteneurs!$K$3:$K$1002,$A121,Conteneurs!$M$3:$M$1002,"Embarqué"))</f>
        <v/>
      </c>
      <c r="L121" s="147" t="str">
        <f t="shared" ca="1" si="6"/>
        <v/>
      </c>
      <c r="M121" s="148" t="str">
        <f t="shared" ca="1" si="7"/>
        <v/>
      </c>
      <c r="N121" s="68"/>
    </row>
    <row r="122" spans="1:14" x14ac:dyDescent="0.35">
      <c r="A122" s="66"/>
      <c r="B122" s="67"/>
      <c r="C122" s="74"/>
      <c r="D122" s="74"/>
      <c r="E122" s="74"/>
      <c r="F122" s="68"/>
      <c r="G122" s="71"/>
      <c r="H122" s="71"/>
      <c r="I122" s="72"/>
      <c r="J122" s="73" t="str">
        <f>IF($A122="","",COUNTIFS(Conteneurs!$K$3:$K$1002,$A122))</f>
        <v/>
      </c>
      <c r="K122" s="73" t="str">
        <f>IF($A122="","",COUNTIFS(Conteneurs!$K$3:$K$1002,$A122,Conteneurs!$M$3:$M$1002,"Embarqué"))</f>
        <v/>
      </c>
      <c r="L122" s="147" t="str">
        <f t="shared" ca="1" si="6"/>
        <v/>
      </c>
      <c r="M122" s="148" t="str">
        <f t="shared" ca="1" si="7"/>
        <v/>
      </c>
      <c r="N122" s="68"/>
    </row>
    <row r="123" spans="1:14" x14ac:dyDescent="0.35">
      <c r="A123" s="66"/>
      <c r="B123" s="67"/>
      <c r="C123" s="74"/>
      <c r="D123" s="74"/>
      <c r="E123" s="74"/>
      <c r="F123" s="68"/>
      <c r="G123" s="71"/>
      <c r="H123" s="71"/>
      <c r="I123" s="72"/>
      <c r="J123" s="73" t="str">
        <f>IF($A123="","",COUNTIFS(Conteneurs!$K$3:$K$1002,$A123))</f>
        <v/>
      </c>
      <c r="K123" s="73" t="str">
        <f>IF($A123="","",COUNTIFS(Conteneurs!$K$3:$K$1002,$A123,Conteneurs!$M$3:$M$1002,"Embarqué"))</f>
        <v/>
      </c>
      <c r="L123" s="147" t="str">
        <f t="shared" ca="1" si="6"/>
        <v/>
      </c>
      <c r="M123" s="148" t="str">
        <f t="shared" ca="1" si="7"/>
        <v/>
      </c>
      <c r="N123" s="68"/>
    </row>
    <row r="124" spans="1:14" x14ac:dyDescent="0.35">
      <c r="A124" s="66"/>
      <c r="B124" s="67"/>
      <c r="C124" s="74"/>
      <c r="D124" s="74"/>
      <c r="E124" s="74"/>
      <c r="F124" s="68"/>
      <c r="G124" s="71"/>
      <c r="H124" s="71"/>
      <c r="I124" s="72"/>
      <c r="J124" s="73" t="str">
        <f>IF($A124="","",COUNTIFS(Conteneurs!$K$3:$K$1002,$A124))</f>
        <v/>
      </c>
      <c r="K124" s="73" t="str">
        <f>IF($A124="","",COUNTIFS(Conteneurs!$K$3:$K$1002,$A124,Conteneurs!$M$3:$M$1002,"Embarqué"))</f>
        <v/>
      </c>
      <c r="L124" s="147" t="str">
        <f t="shared" ca="1" si="6"/>
        <v/>
      </c>
      <c r="M124" s="148" t="str">
        <f t="shared" ca="1" si="7"/>
        <v/>
      </c>
      <c r="N124" s="68"/>
    </row>
    <row r="125" spans="1:14" x14ac:dyDescent="0.35">
      <c r="A125" s="66"/>
      <c r="B125" s="67"/>
      <c r="C125" s="74"/>
      <c r="D125" s="74"/>
      <c r="E125" s="74"/>
      <c r="F125" s="68"/>
      <c r="G125" s="71"/>
      <c r="H125" s="71"/>
      <c r="I125" s="72"/>
      <c r="J125" s="73" t="str">
        <f>IF($A125="","",COUNTIFS(Conteneurs!$K$3:$K$1002,$A125))</f>
        <v/>
      </c>
      <c r="K125" s="73" t="str">
        <f>IF($A125="","",COUNTIFS(Conteneurs!$K$3:$K$1002,$A125,Conteneurs!$M$3:$M$1002,"Embarqué"))</f>
        <v/>
      </c>
      <c r="L125" s="147" t="str">
        <f t="shared" ca="1" si="6"/>
        <v/>
      </c>
      <c r="M125" s="148" t="str">
        <f t="shared" ca="1" si="7"/>
        <v/>
      </c>
      <c r="N125" s="68"/>
    </row>
    <row r="126" spans="1:14" x14ac:dyDescent="0.35">
      <c r="A126" s="66"/>
      <c r="B126" s="67"/>
      <c r="C126" s="74"/>
      <c r="D126" s="74"/>
      <c r="E126" s="74"/>
      <c r="F126" s="68"/>
      <c r="G126" s="71"/>
      <c r="H126" s="71"/>
      <c r="I126" s="72"/>
      <c r="J126" s="73" t="str">
        <f>IF($A126="","",COUNTIFS(Conteneurs!$K$3:$K$1002,$A126))</f>
        <v/>
      </c>
      <c r="K126" s="73" t="str">
        <f>IF($A126="","",COUNTIFS(Conteneurs!$K$3:$K$1002,$A126,Conteneurs!$M$3:$M$1002,"Embarqué"))</f>
        <v/>
      </c>
      <c r="L126" s="147" t="str">
        <f t="shared" ca="1" si="6"/>
        <v/>
      </c>
      <c r="M126" s="148" t="str">
        <f t="shared" ca="1" si="7"/>
        <v/>
      </c>
      <c r="N126" s="68"/>
    </row>
    <row r="127" spans="1:14" x14ac:dyDescent="0.35">
      <c r="A127" s="66"/>
      <c r="B127" s="67"/>
      <c r="C127" s="74"/>
      <c r="D127" s="74"/>
      <c r="E127" s="74"/>
      <c r="F127" s="68"/>
      <c r="G127" s="71"/>
      <c r="H127" s="71"/>
      <c r="I127" s="72"/>
      <c r="J127" s="73" t="str">
        <f>IF($A127="","",COUNTIFS(Conteneurs!$K$3:$K$1002,$A127))</f>
        <v/>
      </c>
      <c r="K127" s="73" t="str">
        <f>IF($A127="","",COUNTIFS(Conteneurs!$K$3:$K$1002,$A127,Conteneurs!$M$3:$M$1002,"Embarqué"))</f>
        <v/>
      </c>
      <c r="L127" s="147" t="str">
        <f t="shared" ca="1" si="6"/>
        <v/>
      </c>
      <c r="M127" s="148" t="str">
        <f t="shared" ca="1" si="7"/>
        <v/>
      </c>
      <c r="N127" s="68"/>
    </row>
    <row r="128" spans="1:14" x14ac:dyDescent="0.35">
      <c r="A128" s="66"/>
      <c r="B128" s="67"/>
      <c r="C128" s="74"/>
      <c r="D128" s="74"/>
      <c r="E128" s="74"/>
      <c r="F128" s="68"/>
      <c r="G128" s="71"/>
      <c r="H128" s="71"/>
      <c r="I128" s="72"/>
      <c r="J128" s="73" t="str">
        <f>IF($A128="","",COUNTIFS(Conteneurs!$K$3:$K$1002,$A128))</f>
        <v/>
      </c>
      <c r="K128" s="73" t="str">
        <f>IF($A128="","",COUNTIFS(Conteneurs!$K$3:$K$1002,$A128,Conteneurs!$M$3:$M$1002,"Embarqué"))</f>
        <v/>
      </c>
      <c r="L128" s="147" t="str">
        <f t="shared" ca="1" si="6"/>
        <v/>
      </c>
      <c r="M128" s="148" t="str">
        <f t="shared" ca="1" si="7"/>
        <v/>
      </c>
      <c r="N128" s="68"/>
    </row>
    <row r="129" spans="1:14" x14ac:dyDescent="0.35">
      <c r="A129" s="66"/>
      <c r="B129" s="67"/>
      <c r="C129" s="74"/>
      <c r="D129" s="74"/>
      <c r="E129" s="74"/>
      <c r="F129" s="68"/>
      <c r="G129" s="71"/>
      <c r="H129" s="71"/>
      <c r="I129" s="72"/>
      <c r="J129" s="73" t="str">
        <f>IF($A129="","",COUNTIFS(Conteneurs!$K$3:$K$1002,$A129))</f>
        <v/>
      </c>
      <c r="K129" s="73" t="str">
        <f>IF($A129="","",COUNTIFS(Conteneurs!$K$3:$K$1002,$A129,Conteneurs!$M$3:$M$1002,"Embarqué"))</f>
        <v/>
      </c>
      <c r="L129" s="147" t="str">
        <f t="shared" ca="1" si="6"/>
        <v/>
      </c>
      <c r="M129" s="148" t="str">
        <f t="shared" ca="1" si="7"/>
        <v/>
      </c>
      <c r="N129" s="68"/>
    </row>
    <row r="130" spans="1:14" x14ac:dyDescent="0.35">
      <c r="A130" s="66"/>
      <c r="B130" s="67"/>
      <c r="C130" s="74"/>
      <c r="D130" s="74"/>
      <c r="E130" s="74"/>
      <c r="F130" s="68"/>
      <c r="G130" s="71"/>
      <c r="H130" s="71"/>
      <c r="I130" s="72"/>
      <c r="J130" s="73" t="str">
        <f>IF($A130="","",COUNTIFS(Conteneurs!$K$3:$K$1002,$A130))</f>
        <v/>
      </c>
      <c r="K130" s="73" t="str">
        <f>IF($A130="","",COUNTIFS(Conteneurs!$K$3:$K$1002,$A130,Conteneurs!$M$3:$M$1002,"Embarqué"))</f>
        <v/>
      </c>
      <c r="L130" s="147" t="str">
        <f t="shared" ca="1" si="6"/>
        <v/>
      </c>
      <c r="M130" s="148" t="str">
        <f t="shared" ca="1" si="7"/>
        <v/>
      </c>
      <c r="N130" s="68"/>
    </row>
    <row r="131" spans="1:14" x14ac:dyDescent="0.35">
      <c r="A131" s="66"/>
      <c r="B131" s="67"/>
      <c r="C131" s="74"/>
      <c r="D131" s="74"/>
      <c r="E131" s="74"/>
      <c r="F131" s="68"/>
      <c r="G131" s="71"/>
      <c r="H131" s="71"/>
      <c r="I131" s="72"/>
      <c r="J131" s="73" t="str">
        <f>IF($A131="","",COUNTIFS(Conteneurs!$K$3:$K$1002,$A131))</f>
        <v/>
      </c>
      <c r="K131" s="73" t="str">
        <f>IF($A131="","",COUNTIFS(Conteneurs!$K$3:$K$1002,$A131,Conteneurs!$M$3:$M$1002,"Embarqué"))</f>
        <v/>
      </c>
      <c r="L131" s="147" t="str">
        <f t="shared" ref="L131:L162" ca="1" si="8">IF(OR($A131="",$G131=""),"",$G131-TODAY())</f>
        <v/>
      </c>
      <c r="M131" s="148" t="str">
        <f t="shared" ref="M131:M162" ca="1" si="9">IF($A131="","",IF(AND(N($I131)&gt;0,$K131&gt;=$I131),"Embarqué complet",IF(AND($G131&lt;&gt;"",N($G131)&lt;TODAY()),"En retard (ETD dépassé)",IF($J131=0,"À préparer","En cours"))))</f>
        <v/>
      </c>
      <c r="N131" s="68"/>
    </row>
    <row r="132" spans="1:14" x14ac:dyDescent="0.35">
      <c r="A132" s="66"/>
      <c r="B132" s="67"/>
      <c r="C132" s="74"/>
      <c r="D132" s="74"/>
      <c r="E132" s="74"/>
      <c r="F132" s="68"/>
      <c r="G132" s="71"/>
      <c r="H132" s="71"/>
      <c r="I132" s="72"/>
      <c r="J132" s="73" t="str">
        <f>IF($A132="","",COUNTIFS(Conteneurs!$K$3:$K$1002,$A132))</f>
        <v/>
      </c>
      <c r="K132" s="73" t="str">
        <f>IF($A132="","",COUNTIFS(Conteneurs!$K$3:$K$1002,$A132,Conteneurs!$M$3:$M$1002,"Embarqué"))</f>
        <v/>
      </c>
      <c r="L132" s="147" t="str">
        <f t="shared" ca="1" si="8"/>
        <v/>
      </c>
      <c r="M132" s="148" t="str">
        <f t="shared" ca="1" si="9"/>
        <v/>
      </c>
      <c r="N132" s="68"/>
    </row>
    <row r="133" spans="1:14" x14ac:dyDescent="0.35">
      <c r="A133" s="66"/>
      <c r="B133" s="67"/>
      <c r="C133" s="74"/>
      <c r="D133" s="74"/>
      <c r="E133" s="74"/>
      <c r="F133" s="68"/>
      <c r="G133" s="71"/>
      <c r="H133" s="71"/>
      <c r="I133" s="72"/>
      <c r="J133" s="73" t="str">
        <f>IF($A133="","",COUNTIFS(Conteneurs!$K$3:$K$1002,$A133))</f>
        <v/>
      </c>
      <c r="K133" s="73" t="str">
        <f>IF($A133="","",COUNTIFS(Conteneurs!$K$3:$K$1002,$A133,Conteneurs!$M$3:$M$1002,"Embarqué"))</f>
        <v/>
      </c>
      <c r="L133" s="147" t="str">
        <f t="shared" ca="1" si="8"/>
        <v/>
      </c>
      <c r="M133" s="148" t="str">
        <f t="shared" ca="1" si="9"/>
        <v/>
      </c>
      <c r="N133" s="68"/>
    </row>
    <row r="134" spans="1:14" x14ac:dyDescent="0.35">
      <c r="A134" s="66"/>
      <c r="B134" s="67"/>
      <c r="C134" s="74"/>
      <c r="D134" s="74"/>
      <c r="E134" s="74"/>
      <c r="F134" s="68"/>
      <c r="G134" s="71"/>
      <c r="H134" s="71"/>
      <c r="I134" s="72"/>
      <c r="J134" s="73" t="str">
        <f>IF($A134="","",COUNTIFS(Conteneurs!$K$3:$K$1002,$A134))</f>
        <v/>
      </c>
      <c r="K134" s="73" t="str">
        <f>IF($A134="","",COUNTIFS(Conteneurs!$K$3:$K$1002,$A134,Conteneurs!$M$3:$M$1002,"Embarqué"))</f>
        <v/>
      </c>
      <c r="L134" s="147" t="str">
        <f t="shared" ca="1" si="8"/>
        <v/>
      </c>
      <c r="M134" s="148" t="str">
        <f t="shared" ca="1" si="9"/>
        <v/>
      </c>
      <c r="N134" s="68"/>
    </row>
    <row r="135" spans="1:14" x14ac:dyDescent="0.35">
      <c r="A135" s="66"/>
      <c r="B135" s="67"/>
      <c r="C135" s="74"/>
      <c r="D135" s="74"/>
      <c r="E135" s="74"/>
      <c r="F135" s="68"/>
      <c r="G135" s="71"/>
      <c r="H135" s="71"/>
      <c r="I135" s="72"/>
      <c r="J135" s="73" t="str">
        <f>IF($A135="","",COUNTIFS(Conteneurs!$K$3:$K$1002,$A135))</f>
        <v/>
      </c>
      <c r="K135" s="73" t="str">
        <f>IF($A135="","",COUNTIFS(Conteneurs!$K$3:$K$1002,$A135,Conteneurs!$M$3:$M$1002,"Embarqué"))</f>
        <v/>
      </c>
      <c r="L135" s="147" t="str">
        <f t="shared" ca="1" si="8"/>
        <v/>
      </c>
      <c r="M135" s="148" t="str">
        <f t="shared" ca="1" si="9"/>
        <v/>
      </c>
      <c r="N135" s="68"/>
    </row>
    <row r="136" spans="1:14" x14ac:dyDescent="0.35">
      <c r="A136" s="66"/>
      <c r="B136" s="67"/>
      <c r="C136" s="74"/>
      <c r="D136" s="74"/>
      <c r="E136" s="74"/>
      <c r="F136" s="68"/>
      <c r="G136" s="71"/>
      <c r="H136" s="71"/>
      <c r="I136" s="72"/>
      <c r="J136" s="73" t="str">
        <f>IF($A136="","",COUNTIFS(Conteneurs!$K$3:$K$1002,$A136))</f>
        <v/>
      </c>
      <c r="K136" s="73" t="str">
        <f>IF($A136="","",COUNTIFS(Conteneurs!$K$3:$K$1002,$A136,Conteneurs!$M$3:$M$1002,"Embarqué"))</f>
        <v/>
      </c>
      <c r="L136" s="147" t="str">
        <f t="shared" ca="1" si="8"/>
        <v/>
      </c>
      <c r="M136" s="148" t="str">
        <f t="shared" ca="1" si="9"/>
        <v/>
      </c>
      <c r="N136" s="68"/>
    </row>
    <row r="137" spans="1:14" x14ac:dyDescent="0.35">
      <c r="A137" s="66"/>
      <c r="B137" s="67"/>
      <c r="C137" s="74"/>
      <c r="D137" s="74"/>
      <c r="E137" s="74"/>
      <c r="F137" s="68"/>
      <c r="G137" s="71"/>
      <c r="H137" s="71"/>
      <c r="I137" s="72"/>
      <c r="J137" s="73" t="str">
        <f>IF($A137="","",COUNTIFS(Conteneurs!$K$3:$K$1002,$A137))</f>
        <v/>
      </c>
      <c r="K137" s="73" t="str">
        <f>IF($A137="","",COUNTIFS(Conteneurs!$K$3:$K$1002,$A137,Conteneurs!$M$3:$M$1002,"Embarqué"))</f>
        <v/>
      </c>
      <c r="L137" s="147" t="str">
        <f t="shared" ca="1" si="8"/>
        <v/>
      </c>
      <c r="M137" s="148" t="str">
        <f t="shared" ca="1" si="9"/>
        <v/>
      </c>
      <c r="N137" s="68"/>
    </row>
    <row r="138" spans="1:14" x14ac:dyDescent="0.35">
      <c r="A138" s="66"/>
      <c r="B138" s="67"/>
      <c r="C138" s="74"/>
      <c r="D138" s="74"/>
      <c r="E138" s="74"/>
      <c r="F138" s="68"/>
      <c r="G138" s="71"/>
      <c r="H138" s="71"/>
      <c r="I138" s="72"/>
      <c r="J138" s="73" t="str">
        <f>IF($A138="","",COUNTIFS(Conteneurs!$K$3:$K$1002,$A138))</f>
        <v/>
      </c>
      <c r="K138" s="73" t="str">
        <f>IF($A138="","",COUNTIFS(Conteneurs!$K$3:$K$1002,$A138,Conteneurs!$M$3:$M$1002,"Embarqué"))</f>
        <v/>
      </c>
      <c r="L138" s="147" t="str">
        <f t="shared" ca="1" si="8"/>
        <v/>
      </c>
      <c r="M138" s="148" t="str">
        <f t="shared" ca="1" si="9"/>
        <v/>
      </c>
      <c r="N138" s="68"/>
    </row>
    <row r="139" spans="1:14" x14ac:dyDescent="0.35">
      <c r="A139" s="66"/>
      <c r="B139" s="67"/>
      <c r="C139" s="74"/>
      <c r="D139" s="74"/>
      <c r="E139" s="74"/>
      <c r="F139" s="68"/>
      <c r="G139" s="71"/>
      <c r="H139" s="71"/>
      <c r="I139" s="72"/>
      <c r="J139" s="73" t="str">
        <f>IF($A139="","",COUNTIFS(Conteneurs!$K$3:$K$1002,$A139))</f>
        <v/>
      </c>
      <c r="K139" s="73" t="str">
        <f>IF($A139="","",COUNTIFS(Conteneurs!$K$3:$K$1002,$A139,Conteneurs!$M$3:$M$1002,"Embarqué"))</f>
        <v/>
      </c>
      <c r="L139" s="147" t="str">
        <f t="shared" ca="1" si="8"/>
        <v/>
      </c>
      <c r="M139" s="148" t="str">
        <f t="shared" ca="1" si="9"/>
        <v/>
      </c>
      <c r="N139" s="68"/>
    </row>
    <row r="140" spans="1:14" x14ac:dyDescent="0.35">
      <c r="A140" s="66"/>
      <c r="B140" s="67"/>
      <c r="C140" s="74"/>
      <c r="D140" s="74"/>
      <c r="E140" s="74"/>
      <c r="F140" s="68"/>
      <c r="G140" s="71"/>
      <c r="H140" s="71"/>
      <c r="I140" s="72"/>
      <c r="J140" s="73" t="str">
        <f>IF($A140="","",COUNTIFS(Conteneurs!$K$3:$K$1002,$A140))</f>
        <v/>
      </c>
      <c r="K140" s="73" t="str">
        <f>IF($A140="","",COUNTIFS(Conteneurs!$K$3:$K$1002,$A140,Conteneurs!$M$3:$M$1002,"Embarqué"))</f>
        <v/>
      </c>
      <c r="L140" s="147" t="str">
        <f t="shared" ca="1" si="8"/>
        <v/>
      </c>
      <c r="M140" s="148" t="str">
        <f t="shared" ca="1" si="9"/>
        <v/>
      </c>
      <c r="N140" s="68"/>
    </row>
    <row r="141" spans="1:14" x14ac:dyDescent="0.35">
      <c r="A141" s="66"/>
      <c r="B141" s="67"/>
      <c r="C141" s="74"/>
      <c r="D141" s="74"/>
      <c r="E141" s="74"/>
      <c r="F141" s="68"/>
      <c r="G141" s="71"/>
      <c r="H141" s="71"/>
      <c r="I141" s="72"/>
      <c r="J141" s="73" t="str">
        <f>IF($A141="","",COUNTIFS(Conteneurs!$K$3:$K$1002,$A141))</f>
        <v/>
      </c>
      <c r="K141" s="73" t="str">
        <f>IF($A141="","",COUNTIFS(Conteneurs!$K$3:$K$1002,$A141,Conteneurs!$M$3:$M$1002,"Embarqué"))</f>
        <v/>
      </c>
      <c r="L141" s="147" t="str">
        <f t="shared" ca="1" si="8"/>
        <v/>
      </c>
      <c r="M141" s="148" t="str">
        <f t="shared" ca="1" si="9"/>
        <v/>
      </c>
      <c r="N141" s="68"/>
    </row>
    <row r="142" spans="1:14" x14ac:dyDescent="0.35">
      <c r="A142" s="66"/>
      <c r="B142" s="67"/>
      <c r="C142" s="74"/>
      <c r="D142" s="74"/>
      <c r="E142" s="74"/>
      <c r="F142" s="68"/>
      <c r="G142" s="71"/>
      <c r="H142" s="71"/>
      <c r="I142" s="72"/>
      <c r="J142" s="73" t="str">
        <f>IF($A142="","",COUNTIFS(Conteneurs!$K$3:$K$1002,$A142))</f>
        <v/>
      </c>
      <c r="K142" s="73" t="str">
        <f>IF($A142="","",COUNTIFS(Conteneurs!$K$3:$K$1002,$A142,Conteneurs!$M$3:$M$1002,"Embarqué"))</f>
        <v/>
      </c>
      <c r="L142" s="147" t="str">
        <f t="shared" ca="1" si="8"/>
        <v/>
      </c>
      <c r="M142" s="148" t="str">
        <f t="shared" ca="1" si="9"/>
        <v/>
      </c>
      <c r="N142" s="68"/>
    </row>
    <row r="143" spans="1:14" x14ac:dyDescent="0.35">
      <c r="A143" s="66"/>
      <c r="B143" s="67"/>
      <c r="C143" s="74"/>
      <c r="D143" s="74"/>
      <c r="E143" s="74"/>
      <c r="F143" s="68"/>
      <c r="G143" s="71"/>
      <c r="H143" s="71"/>
      <c r="I143" s="72"/>
      <c r="J143" s="73" t="str">
        <f>IF($A143="","",COUNTIFS(Conteneurs!$K$3:$K$1002,$A143))</f>
        <v/>
      </c>
      <c r="K143" s="73" t="str">
        <f>IF($A143="","",COUNTIFS(Conteneurs!$K$3:$K$1002,$A143,Conteneurs!$M$3:$M$1002,"Embarqué"))</f>
        <v/>
      </c>
      <c r="L143" s="147" t="str">
        <f t="shared" ca="1" si="8"/>
        <v/>
      </c>
      <c r="M143" s="148" t="str">
        <f t="shared" ca="1" si="9"/>
        <v/>
      </c>
      <c r="N143" s="68"/>
    </row>
    <row r="144" spans="1:14" x14ac:dyDescent="0.35">
      <c r="A144" s="66"/>
      <c r="B144" s="67"/>
      <c r="C144" s="74"/>
      <c r="D144" s="74"/>
      <c r="E144" s="74"/>
      <c r="F144" s="68"/>
      <c r="G144" s="71"/>
      <c r="H144" s="71"/>
      <c r="I144" s="72"/>
      <c r="J144" s="73" t="str">
        <f>IF($A144="","",COUNTIFS(Conteneurs!$K$3:$K$1002,$A144))</f>
        <v/>
      </c>
      <c r="K144" s="73" t="str">
        <f>IF($A144="","",COUNTIFS(Conteneurs!$K$3:$K$1002,$A144,Conteneurs!$M$3:$M$1002,"Embarqué"))</f>
        <v/>
      </c>
      <c r="L144" s="147" t="str">
        <f t="shared" ca="1" si="8"/>
        <v/>
      </c>
      <c r="M144" s="148" t="str">
        <f t="shared" ca="1" si="9"/>
        <v/>
      </c>
      <c r="N144" s="68"/>
    </row>
    <row r="145" spans="1:14" x14ac:dyDescent="0.35">
      <c r="A145" s="66"/>
      <c r="B145" s="67"/>
      <c r="C145" s="74"/>
      <c r="D145" s="74"/>
      <c r="E145" s="74"/>
      <c r="F145" s="68"/>
      <c r="G145" s="71"/>
      <c r="H145" s="71"/>
      <c r="I145" s="72"/>
      <c r="J145" s="73" t="str">
        <f>IF($A145="","",COUNTIFS(Conteneurs!$K$3:$K$1002,$A145))</f>
        <v/>
      </c>
      <c r="K145" s="73" t="str">
        <f>IF($A145="","",COUNTIFS(Conteneurs!$K$3:$K$1002,$A145,Conteneurs!$M$3:$M$1002,"Embarqué"))</f>
        <v/>
      </c>
      <c r="L145" s="147" t="str">
        <f t="shared" ca="1" si="8"/>
        <v/>
      </c>
      <c r="M145" s="148" t="str">
        <f t="shared" ca="1" si="9"/>
        <v/>
      </c>
      <c r="N145" s="68"/>
    </row>
    <row r="146" spans="1:14" x14ac:dyDescent="0.35">
      <c r="A146" s="66"/>
      <c r="B146" s="67"/>
      <c r="C146" s="74"/>
      <c r="D146" s="74"/>
      <c r="E146" s="74"/>
      <c r="F146" s="68"/>
      <c r="G146" s="71"/>
      <c r="H146" s="71"/>
      <c r="I146" s="72"/>
      <c r="J146" s="73" t="str">
        <f>IF($A146="","",COUNTIFS(Conteneurs!$K$3:$K$1002,$A146))</f>
        <v/>
      </c>
      <c r="K146" s="73" t="str">
        <f>IF($A146="","",COUNTIFS(Conteneurs!$K$3:$K$1002,$A146,Conteneurs!$M$3:$M$1002,"Embarqué"))</f>
        <v/>
      </c>
      <c r="L146" s="147" t="str">
        <f t="shared" ca="1" si="8"/>
        <v/>
      </c>
      <c r="M146" s="148" t="str">
        <f t="shared" ca="1" si="9"/>
        <v/>
      </c>
      <c r="N146" s="68"/>
    </row>
    <row r="147" spans="1:14" x14ac:dyDescent="0.35">
      <c r="A147" s="66"/>
      <c r="B147" s="67"/>
      <c r="C147" s="74"/>
      <c r="D147" s="74"/>
      <c r="E147" s="74"/>
      <c r="F147" s="68"/>
      <c r="G147" s="71"/>
      <c r="H147" s="71"/>
      <c r="I147" s="72"/>
      <c r="J147" s="73" t="str">
        <f>IF($A147="","",COUNTIFS(Conteneurs!$K$3:$K$1002,$A147))</f>
        <v/>
      </c>
      <c r="K147" s="73" t="str">
        <f>IF($A147="","",COUNTIFS(Conteneurs!$K$3:$K$1002,$A147,Conteneurs!$M$3:$M$1002,"Embarqué"))</f>
        <v/>
      </c>
      <c r="L147" s="147" t="str">
        <f t="shared" ca="1" si="8"/>
        <v/>
      </c>
      <c r="M147" s="148" t="str">
        <f t="shared" ca="1" si="9"/>
        <v/>
      </c>
      <c r="N147" s="68"/>
    </row>
    <row r="148" spans="1:14" x14ac:dyDescent="0.35">
      <c r="A148" s="66"/>
      <c r="B148" s="67"/>
      <c r="C148" s="74"/>
      <c r="D148" s="74"/>
      <c r="E148" s="74"/>
      <c r="F148" s="68"/>
      <c r="G148" s="71"/>
      <c r="H148" s="71"/>
      <c r="I148" s="72"/>
      <c r="J148" s="73" t="str">
        <f>IF($A148="","",COUNTIFS(Conteneurs!$K$3:$K$1002,$A148))</f>
        <v/>
      </c>
      <c r="K148" s="73" t="str">
        <f>IF($A148="","",COUNTIFS(Conteneurs!$K$3:$K$1002,$A148,Conteneurs!$M$3:$M$1002,"Embarqué"))</f>
        <v/>
      </c>
      <c r="L148" s="147" t="str">
        <f t="shared" ca="1" si="8"/>
        <v/>
      </c>
      <c r="M148" s="148" t="str">
        <f t="shared" ca="1" si="9"/>
        <v/>
      </c>
      <c r="N148" s="68"/>
    </row>
    <row r="149" spans="1:14" x14ac:dyDescent="0.35">
      <c r="A149" s="66"/>
      <c r="B149" s="67"/>
      <c r="C149" s="74"/>
      <c r="D149" s="74"/>
      <c r="E149" s="74"/>
      <c r="F149" s="68"/>
      <c r="G149" s="71"/>
      <c r="H149" s="71"/>
      <c r="I149" s="72"/>
      <c r="J149" s="73" t="str">
        <f>IF($A149="","",COUNTIFS(Conteneurs!$K$3:$K$1002,$A149))</f>
        <v/>
      </c>
      <c r="K149" s="73" t="str">
        <f>IF($A149="","",COUNTIFS(Conteneurs!$K$3:$K$1002,$A149,Conteneurs!$M$3:$M$1002,"Embarqué"))</f>
        <v/>
      </c>
      <c r="L149" s="147" t="str">
        <f t="shared" ca="1" si="8"/>
        <v/>
      </c>
      <c r="M149" s="148" t="str">
        <f t="shared" ca="1" si="9"/>
        <v/>
      </c>
      <c r="N149" s="68"/>
    </row>
    <row r="150" spans="1:14" x14ac:dyDescent="0.35">
      <c r="A150" s="66"/>
      <c r="B150" s="67"/>
      <c r="C150" s="74"/>
      <c r="D150" s="74"/>
      <c r="E150" s="74"/>
      <c r="F150" s="68"/>
      <c r="G150" s="71"/>
      <c r="H150" s="71"/>
      <c r="I150" s="72"/>
      <c r="J150" s="73" t="str">
        <f>IF($A150="","",COUNTIFS(Conteneurs!$K$3:$K$1002,$A150))</f>
        <v/>
      </c>
      <c r="K150" s="73" t="str">
        <f>IF($A150="","",COUNTIFS(Conteneurs!$K$3:$K$1002,$A150,Conteneurs!$M$3:$M$1002,"Embarqué"))</f>
        <v/>
      </c>
      <c r="L150" s="147" t="str">
        <f t="shared" ca="1" si="8"/>
        <v/>
      </c>
      <c r="M150" s="148" t="str">
        <f t="shared" ca="1" si="9"/>
        <v/>
      </c>
      <c r="N150" s="68"/>
    </row>
    <row r="151" spans="1:14" x14ac:dyDescent="0.35">
      <c r="A151" s="66"/>
      <c r="B151" s="67"/>
      <c r="C151" s="74"/>
      <c r="D151" s="74"/>
      <c r="E151" s="74"/>
      <c r="F151" s="68"/>
      <c r="G151" s="71"/>
      <c r="H151" s="71"/>
      <c r="I151" s="72"/>
      <c r="J151" s="73" t="str">
        <f>IF($A151="","",COUNTIFS(Conteneurs!$K$3:$K$1002,$A151))</f>
        <v/>
      </c>
      <c r="K151" s="73" t="str">
        <f>IF($A151="","",COUNTIFS(Conteneurs!$K$3:$K$1002,$A151,Conteneurs!$M$3:$M$1002,"Embarqué"))</f>
        <v/>
      </c>
      <c r="L151" s="147" t="str">
        <f t="shared" ca="1" si="8"/>
        <v/>
      </c>
      <c r="M151" s="148" t="str">
        <f t="shared" ca="1" si="9"/>
        <v/>
      </c>
      <c r="N151" s="68"/>
    </row>
    <row r="152" spans="1:14" x14ac:dyDescent="0.35">
      <c r="A152" s="66"/>
      <c r="B152" s="67"/>
      <c r="C152" s="74"/>
      <c r="D152" s="74"/>
      <c r="E152" s="74"/>
      <c r="F152" s="68"/>
      <c r="G152" s="71"/>
      <c r="H152" s="71"/>
      <c r="I152" s="72"/>
      <c r="J152" s="73" t="str">
        <f>IF($A152="","",COUNTIFS(Conteneurs!$K$3:$K$1002,$A152))</f>
        <v/>
      </c>
      <c r="K152" s="73" t="str">
        <f>IF($A152="","",COUNTIFS(Conteneurs!$K$3:$K$1002,$A152,Conteneurs!$M$3:$M$1002,"Embarqué"))</f>
        <v/>
      </c>
      <c r="L152" s="147" t="str">
        <f t="shared" ca="1" si="8"/>
        <v/>
      </c>
      <c r="M152" s="148" t="str">
        <f t="shared" ca="1" si="9"/>
        <v/>
      </c>
      <c r="N152" s="68"/>
    </row>
    <row r="153" spans="1:14" x14ac:dyDescent="0.35">
      <c r="A153" s="66"/>
      <c r="B153" s="67"/>
      <c r="C153" s="74"/>
      <c r="D153" s="74"/>
      <c r="E153" s="74"/>
      <c r="F153" s="68"/>
      <c r="G153" s="71"/>
      <c r="H153" s="71"/>
      <c r="I153" s="72"/>
      <c r="J153" s="73" t="str">
        <f>IF($A153="","",COUNTIFS(Conteneurs!$K$3:$K$1002,$A153))</f>
        <v/>
      </c>
      <c r="K153" s="73" t="str">
        <f>IF($A153="","",COUNTIFS(Conteneurs!$K$3:$K$1002,$A153,Conteneurs!$M$3:$M$1002,"Embarqué"))</f>
        <v/>
      </c>
      <c r="L153" s="147" t="str">
        <f t="shared" ca="1" si="8"/>
        <v/>
      </c>
      <c r="M153" s="148" t="str">
        <f t="shared" ca="1" si="9"/>
        <v/>
      </c>
      <c r="N153" s="68"/>
    </row>
    <row r="154" spans="1:14" x14ac:dyDescent="0.35">
      <c r="A154" s="66"/>
      <c r="B154" s="67"/>
      <c r="C154" s="74"/>
      <c r="D154" s="74"/>
      <c r="E154" s="74"/>
      <c r="F154" s="68"/>
      <c r="G154" s="71"/>
      <c r="H154" s="71"/>
      <c r="I154" s="72"/>
      <c r="J154" s="73" t="str">
        <f>IF($A154="","",COUNTIFS(Conteneurs!$K$3:$K$1002,$A154))</f>
        <v/>
      </c>
      <c r="K154" s="73" t="str">
        <f>IF($A154="","",COUNTIFS(Conteneurs!$K$3:$K$1002,$A154,Conteneurs!$M$3:$M$1002,"Embarqué"))</f>
        <v/>
      </c>
      <c r="L154" s="147" t="str">
        <f t="shared" ca="1" si="8"/>
        <v/>
      </c>
      <c r="M154" s="148" t="str">
        <f t="shared" ca="1" si="9"/>
        <v/>
      </c>
      <c r="N154" s="68"/>
    </row>
    <row r="155" spans="1:14" x14ac:dyDescent="0.35">
      <c r="A155" s="66"/>
      <c r="B155" s="67"/>
      <c r="C155" s="74"/>
      <c r="D155" s="74"/>
      <c r="E155" s="74"/>
      <c r="F155" s="68"/>
      <c r="G155" s="71"/>
      <c r="H155" s="71"/>
      <c r="I155" s="72"/>
      <c r="J155" s="73" t="str">
        <f>IF($A155="","",COUNTIFS(Conteneurs!$K$3:$K$1002,$A155))</f>
        <v/>
      </c>
      <c r="K155" s="73" t="str">
        <f>IF($A155="","",COUNTIFS(Conteneurs!$K$3:$K$1002,$A155,Conteneurs!$M$3:$M$1002,"Embarqué"))</f>
        <v/>
      </c>
      <c r="L155" s="147" t="str">
        <f t="shared" ca="1" si="8"/>
        <v/>
      </c>
      <c r="M155" s="148" t="str">
        <f t="shared" ca="1" si="9"/>
        <v/>
      </c>
      <c r="N155" s="68"/>
    </row>
    <row r="156" spans="1:14" x14ac:dyDescent="0.35">
      <c r="A156" s="66"/>
      <c r="B156" s="67"/>
      <c r="C156" s="74"/>
      <c r="D156" s="74"/>
      <c r="E156" s="74"/>
      <c r="F156" s="68"/>
      <c r="G156" s="71"/>
      <c r="H156" s="71"/>
      <c r="I156" s="72"/>
      <c r="J156" s="73" t="str">
        <f>IF($A156="","",COUNTIFS(Conteneurs!$K$3:$K$1002,$A156))</f>
        <v/>
      </c>
      <c r="K156" s="73" t="str">
        <f>IF($A156="","",COUNTIFS(Conteneurs!$K$3:$K$1002,$A156,Conteneurs!$M$3:$M$1002,"Embarqué"))</f>
        <v/>
      </c>
      <c r="L156" s="147" t="str">
        <f t="shared" ca="1" si="8"/>
        <v/>
      </c>
      <c r="M156" s="148" t="str">
        <f t="shared" ca="1" si="9"/>
        <v/>
      </c>
      <c r="N156" s="68"/>
    </row>
    <row r="157" spans="1:14" x14ac:dyDescent="0.35">
      <c r="A157" s="66"/>
      <c r="B157" s="67"/>
      <c r="C157" s="74"/>
      <c r="D157" s="74"/>
      <c r="E157" s="74"/>
      <c r="F157" s="68"/>
      <c r="G157" s="71"/>
      <c r="H157" s="71"/>
      <c r="I157" s="72"/>
      <c r="J157" s="73" t="str">
        <f>IF($A157="","",COUNTIFS(Conteneurs!$K$3:$K$1002,$A157))</f>
        <v/>
      </c>
      <c r="K157" s="73" t="str">
        <f>IF($A157="","",COUNTIFS(Conteneurs!$K$3:$K$1002,$A157,Conteneurs!$M$3:$M$1002,"Embarqué"))</f>
        <v/>
      </c>
      <c r="L157" s="147" t="str">
        <f t="shared" ca="1" si="8"/>
        <v/>
      </c>
      <c r="M157" s="148" t="str">
        <f t="shared" ca="1" si="9"/>
        <v/>
      </c>
      <c r="N157" s="68"/>
    </row>
    <row r="158" spans="1:14" x14ac:dyDescent="0.35">
      <c r="A158" s="66"/>
      <c r="B158" s="67"/>
      <c r="C158" s="74"/>
      <c r="D158" s="74"/>
      <c r="E158" s="74"/>
      <c r="F158" s="68"/>
      <c r="G158" s="71"/>
      <c r="H158" s="71"/>
      <c r="I158" s="72"/>
      <c r="J158" s="73" t="str">
        <f>IF($A158="","",COUNTIFS(Conteneurs!$K$3:$K$1002,$A158))</f>
        <v/>
      </c>
      <c r="K158" s="73" t="str">
        <f>IF($A158="","",COUNTIFS(Conteneurs!$K$3:$K$1002,$A158,Conteneurs!$M$3:$M$1002,"Embarqué"))</f>
        <v/>
      </c>
      <c r="L158" s="147" t="str">
        <f t="shared" ca="1" si="8"/>
        <v/>
      </c>
      <c r="M158" s="148" t="str">
        <f t="shared" ca="1" si="9"/>
        <v/>
      </c>
      <c r="N158" s="68"/>
    </row>
    <row r="159" spans="1:14" x14ac:dyDescent="0.35">
      <c r="A159" s="66"/>
      <c r="B159" s="67"/>
      <c r="C159" s="74"/>
      <c r="D159" s="74"/>
      <c r="E159" s="74"/>
      <c r="F159" s="68"/>
      <c r="G159" s="71"/>
      <c r="H159" s="71"/>
      <c r="I159" s="72"/>
      <c r="J159" s="73" t="str">
        <f>IF($A159="","",COUNTIFS(Conteneurs!$K$3:$K$1002,$A159))</f>
        <v/>
      </c>
      <c r="K159" s="73" t="str">
        <f>IF($A159="","",COUNTIFS(Conteneurs!$K$3:$K$1002,$A159,Conteneurs!$M$3:$M$1002,"Embarqué"))</f>
        <v/>
      </c>
      <c r="L159" s="147" t="str">
        <f t="shared" ca="1" si="8"/>
        <v/>
      </c>
      <c r="M159" s="148" t="str">
        <f t="shared" ca="1" si="9"/>
        <v/>
      </c>
      <c r="N159" s="68"/>
    </row>
    <row r="160" spans="1:14" x14ac:dyDescent="0.35">
      <c r="A160" s="66"/>
      <c r="B160" s="67"/>
      <c r="C160" s="74"/>
      <c r="D160" s="74"/>
      <c r="E160" s="74"/>
      <c r="F160" s="68"/>
      <c r="G160" s="71"/>
      <c r="H160" s="71"/>
      <c r="I160" s="72"/>
      <c r="J160" s="73" t="str">
        <f>IF($A160="","",COUNTIFS(Conteneurs!$K$3:$K$1002,$A160))</f>
        <v/>
      </c>
      <c r="K160" s="73" t="str">
        <f>IF($A160="","",COUNTIFS(Conteneurs!$K$3:$K$1002,$A160,Conteneurs!$M$3:$M$1002,"Embarqué"))</f>
        <v/>
      </c>
      <c r="L160" s="147" t="str">
        <f t="shared" ca="1" si="8"/>
        <v/>
      </c>
      <c r="M160" s="148" t="str">
        <f t="shared" ca="1" si="9"/>
        <v/>
      </c>
      <c r="N160" s="68"/>
    </row>
    <row r="161" spans="1:14" x14ac:dyDescent="0.35">
      <c r="A161" s="66"/>
      <c r="B161" s="67"/>
      <c r="C161" s="74"/>
      <c r="D161" s="74"/>
      <c r="E161" s="74"/>
      <c r="F161" s="68"/>
      <c r="G161" s="71"/>
      <c r="H161" s="71"/>
      <c r="I161" s="72"/>
      <c r="J161" s="73" t="str">
        <f>IF($A161="","",COUNTIFS(Conteneurs!$K$3:$K$1002,$A161))</f>
        <v/>
      </c>
      <c r="K161" s="73" t="str">
        <f>IF($A161="","",COUNTIFS(Conteneurs!$K$3:$K$1002,$A161,Conteneurs!$M$3:$M$1002,"Embarqué"))</f>
        <v/>
      </c>
      <c r="L161" s="147" t="str">
        <f t="shared" ca="1" si="8"/>
        <v/>
      </c>
      <c r="M161" s="148" t="str">
        <f t="shared" ca="1" si="9"/>
        <v/>
      </c>
      <c r="N161" s="68"/>
    </row>
    <row r="162" spans="1:14" x14ac:dyDescent="0.35">
      <c r="A162" s="66"/>
      <c r="B162" s="67"/>
      <c r="C162" s="74"/>
      <c r="D162" s="74"/>
      <c r="E162" s="74"/>
      <c r="F162" s="68"/>
      <c r="G162" s="71"/>
      <c r="H162" s="71"/>
      <c r="I162" s="72"/>
      <c r="J162" s="73" t="str">
        <f>IF($A162="","",COUNTIFS(Conteneurs!$K$3:$K$1002,$A162))</f>
        <v/>
      </c>
      <c r="K162" s="73" t="str">
        <f>IF($A162="","",COUNTIFS(Conteneurs!$K$3:$K$1002,$A162,Conteneurs!$M$3:$M$1002,"Embarqué"))</f>
        <v/>
      </c>
      <c r="L162" s="147" t="str">
        <f t="shared" ca="1" si="8"/>
        <v/>
      </c>
      <c r="M162" s="148" t="str">
        <f t="shared" ca="1" si="9"/>
        <v/>
      </c>
      <c r="N162" s="68"/>
    </row>
    <row r="163" spans="1:14" x14ac:dyDescent="0.35">
      <c r="A163" s="66"/>
      <c r="B163" s="67"/>
      <c r="C163" s="74"/>
      <c r="D163" s="74"/>
      <c r="E163" s="74"/>
      <c r="F163" s="68"/>
      <c r="G163" s="71"/>
      <c r="H163" s="71"/>
      <c r="I163" s="72"/>
      <c r="J163" s="73" t="str">
        <f>IF($A163="","",COUNTIFS(Conteneurs!$K$3:$K$1002,$A163))</f>
        <v/>
      </c>
      <c r="K163" s="73" t="str">
        <f>IF($A163="","",COUNTIFS(Conteneurs!$K$3:$K$1002,$A163,Conteneurs!$M$3:$M$1002,"Embarqué"))</f>
        <v/>
      </c>
      <c r="L163" s="147" t="str">
        <f t="shared" ref="L163:L194" ca="1" si="10">IF(OR($A163="",$G163=""),"",$G163-TODAY())</f>
        <v/>
      </c>
      <c r="M163" s="148" t="str">
        <f t="shared" ref="M163:M194" ca="1" si="11">IF($A163="","",IF(AND(N($I163)&gt;0,$K163&gt;=$I163),"Embarqué complet",IF(AND($G163&lt;&gt;"",N($G163)&lt;TODAY()),"En retard (ETD dépassé)",IF($J163=0,"À préparer","En cours"))))</f>
        <v/>
      </c>
      <c r="N163" s="68"/>
    </row>
    <row r="164" spans="1:14" x14ac:dyDescent="0.35">
      <c r="A164" s="66"/>
      <c r="B164" s="67"/>
      <c r="C164" s="74"/>
      <c r="D164" s="74"/>
      <c r="E164" s="74"/>
      <c r="F164" s="68"/>
      <c r="G164" s="71"/>
      <c r="H164" s="71"/>
      <c r="I164" s="72"/>
      <c r="J164" s="73" t="str">
        <f>IF($A164="","",COUNTIFS(Conteneurs!$K$3:$K$1002,$A164))</f>
        <v/>
      </c>
      <c r="K164" s="73" t="str">
        <f>IF($A164="","",COUNTIFS(Conteneurs!$K$3:$K$1002,$A164,Conteneurs!$M$3:$M$1002,"Embarqué"))</f>
        <v/>
      </c>
      <c r="L164" s="147" t="str">
        <f t="shared" ca="1" si="10"/>
        <v/>
      </c>
      <c r="M164" s="148" t="str">
        <f t="shared" ca="1" si="11"/>
        <v/>
      </c>
      <c r="N164" s="68"/>
    </row>
    <row r="165" spans="1:14" x14ac:dyDescent="0.35">
      <c r="A165" s="66"/>
      <c r="B165" s="67"/>
      <c r="C165" s="74"/>
      <c r="D165" s="74"/>
      <c r="E165" s="74"/>
      <c r="F165" s="68"/>
      <c r="G165" s="71"/>
      <c r="H165" s="71"/>
      <c r="I165" s="72"/>
      <c r="J165" s="73" t="str">
        <f>IF($A165="","",COUNTIFS(Conteneurs!$K$3:$K$1002,$A165))</f>
        <v/>
      </c>
      <c r="K165" s="73" t="str">
        <f>IF($A165="","",COUNTIFS(Conteneurs!$K$3:$K$1002,$A165,Conteneurs!$M$3:$M$1002,"Embarqué"))</f>
        <v/>
      </c>
      <c r="L165" s="147" t="str">
        <f t="shared" ca="1" si="10"/>
        <v/>
      </c>
      <c r="M165" s="148" t="str">
        <f t="shared" ca="1" si="11"/>
        <v/>
      </c>
      <c r="N165" s="68"/>
    </row>
    <row r="166" spans="1:14" x14ac:dyDescent="0.35">
      <c r="A166" s="66"/>
      <c r="B166" s="67"/>
      <c r="C166" s="74"/>
      <c r="D166" s="74"/>
      <c r="E166" s="74"/>
      <c r="F166" s="68"/>
      <c r="G166" s="71"/>
      <c r="H166" s="71"/>
      <c r="I166" s="72"/>
      <c r="J166" s="73" t="str">
        <f>IF($A166="","",COUNTIFS(Conteneurs!$K$3:$K$1002,$A166))</f>
        <v/>
      </c>
      <c r="K166" s="73" t="str">
        <f>IF($A166="","",COUNTIFS(Conteneurs!$K$3:$K$1002,$A166,Conteneurs!$M$3:$M$1002,"Embarqué"))</f>
        <v/>
      </c>
      <c r="L166" s="147" t="str">
        <f t="shared" ca="1" si="10"/>
        <v/>
      </c>
      <c r="M166" s="148" t="str">
        <f t="shared" ca="1" si="11"/>
        <v/>
      </c>
      <c r="N166" s="68"/>
    </row>
    <row r="167" spans="1:14" x14ac:dyDescent="0.35">
      <c r="A167" s="66"/>
      <c r="B167" s="67"/>
      <c r="C167" s="74"/>
      <c r="D167" s="74"/>
      <c r="E167" s="74"/>
      <c r="F167" s="68"/>
      <c r="G167" s="71"/>
      <c r="H167" s="71"/>
      <c r="I167" s="72"/>
      <c r="J167" s="73" t="str">
        <f>IF($A167="","",COUNTIFS(Conteneurs!$K$3:$K$1002,$A167))</f>
        <v/>
      </c>
      <c r="K167" s="73" t="str">
        <f>IF($A167="","",COUNTIFS(Conteneurs!$K$3:$K$1002,$A167,Conteneurs!$M$3:$M$1002,"Embarqué"))</f>
        <v/>
      </c>
      <c r="L167" s="147" t="str">
        <f t="shared" ca="1" si="10"/>
        <v/>
      </c>
      <c r="M167" s="148" t="str">
        <f t="shared" ca="1" si="11"/>
        <v/>
      </c>
      <c r="N167" s="68"/>
    </row>
    <row r="168" spans="1:14" x14ac:dyDescent="0.35">
      <c r="A168" s="66"/>
      <c r="B168" s="67"/>
      <c r="C168" s="74"/>
      <c r="D168" s="74"/>
      <c r="E168" s="74"/>
      <c r="F168" s="68"/>
      <c r="G168" s="71"/>
      <c r="H168" s="71"/>
      <c r="I168" s="72"/>
      <c r="J168" s="73" t="str">
        <f>IF($A168="","",COUNTIFS(Conteneurs!$K$3:$K$1002,$A168))</f>
        <v/>
      </c>
      <c r="K168" s="73" t="str">
        <f>IF($A168="","",COUNTIFS(Conteneurs!$K$3:$K$1002,$A168,Conteneurs!$M$3:$M$1002,"Embarqué"))</f>
        <v/>
      </c>
      <c r="L168" s="147" t="str">
        <f t="shared" ca="1" si="10"/>
        <v/>
      </c>
      <c r="M168" s="148" t="str">
        <f t="shared" ca="1" si="11"/>
        <v/>
      </c>
      <c r="N168" s="68"/>
    </row>
    <row r="169" spans="1:14" x14ac:dyDescent="0.35">
      <c r="A169" s="66"/>
      <c r="B169" s="67"/>
      <c r="C169" s="74"/>
      <c r="D169" s="74"/>
      <c r="E169" s="74"/>
      <c r="F169" s="68"/>
      <c r="G169" s="71"/>
      <c r="H169" s="71"/>
      <c r="I169" s="72"/>
      <c r="J169" s="73" t="str">
        <f>IF($A169="","",COUNTIFS(Conteneurs!$K$3:$K$1002,$A169))</f>
        <v/>
      </c>
      <c r="K169" s="73" t="str">
        <f>IF($A169="","",COUNTIFS(Conteneurs!$K$3:$K$1002,$A169,Conteneurs!$M$3:$M$1002,"Embarqué"))</f>
        <v/>
      </c>
      <c r="L169" s="147" t="str">
        <f t="shared" ca="1" si="10"/>
        <v/>
      </c>
      <c r="M169" s="148" t="str">
        <f t="shared" ca="1" si="11"/>
        <v/>
      </c>
      <c r="N169" s="68"/>
    </row>
    <row r="170" spans="1:14" x14ac:dyDescent="0.35">
      <c r="A170" s="66"/>
      <c r="B170" s="67"/>
      <c r="C170" s="74"/>
      <c r="D170" s="74"/>
      <c r="E170" s="74"/>
      <c r="F170" s="68"/>
      <c r="G170" s="71"/>
      <c r="H170" s="71"/>
      <c r="I170" s="72"/>
      <c r="J170" s="73" t="str">
        <f>IF($A170="","",COUNTIFS(Conteneurs!$K$3:$K$1002,$A170))</f>
        <v/>
      </c>
      <c r="K170" s="73" t="str">
        <f>IF($A170="","",COUNTIFS(Conteneurs!$K$3:$K$1002,$A170,Conteneurs!$M$3:$M$1002,"Embarqué"))</f>
        <v/>
      </c>
      <c r="L170" s="147" t="str">
        <f t="shared" ca="1" si="10"/>
        <v/>
      </c>
      <c r="M170" s="148" t="str">
        <f t="shared" ca="1" si="11"/>
        <v/>
      </c>
      <c r="N170" s="68"/>
    </row>
    <row r="171" spans="1:14" x14ac:dyDescent="0.35">
      <c r="A171" s="66"/>
      <c r="B171" s="67"/>
      <c r="C171" s="74"/>
      <c r="D171" s="74"/>
      <c r="E171" s="74"/>
      <c r="F171" s="68"/>
      <c r="G171" s="71"/>
      <c r="H171" s="71"/>
      <c r="I171" s="72"/>
      <c r="J171" s="73" t="str">
        <f>IF($A171="","",COUNTIFS(Conteneurs!$K$3:$K$1002,$A171))</f>
        <v/>
      </c>
      <c r="K171" s="73" t="str">
        <f>IF($A171="","",COUNTIFS(Conteneurs!$K$3:$K$1002,$A171,Conteneurs!$M$3:$M$1002,"Embarqué"))</f>
        <v/>
      </c>
      <c r="L171" s="147" t="str">
        <f t="shared" ca="1" si="10"/>
        <v/>
      </c>
      <c r="M171" s="148" t="str">
        <f t="shared" ca="1" si="11"/>
        <v/>
      </c>
      <c r="N171" s="68"/>
    </row>
    <row r="172" spans="1:14" x14ac:dyDescent="0.35">
      <c r="A172" s="66"/>
      <c r="B172" s="67"/>
      <c r="C172" s="74"/>
      <c r="D172" s="74"/>
      <c r="E172" s="74"/>
      <c r="F172" s="68"/>
      <c r="G172" s="71"/>
      <c r="H172" s="71"/>
      <c r="I172" s="72"/>
      <c r="J172" s="73" t="str">
        <f>IF($A172="","",COUNTIFS(Conteneurs!$K$3:$K$1002,$A172))</f>
        <v/>
      </c>
      <c r="K172" s="73" t="str">
        <f>IF($A172="","",COUNTIFS(Conteneurs!$K$3:$K$1002,$A172,Conteneurs!$M$3:$M$1002,"Embarqué"))</f>
        <v/>
      </c>
      <c r="L172" s="147" t="str">
        <f t="shared" ca="1" si="10"/>
        <v/>
      </c>
      <c r="M172" s="148" t="str">
        <f t="shared" ca="1" si="11"/>
        <v/>
      </c>
      <c r="N172" s="68"/>
    </row>
    <row r="173" spans="1:14" x14ac:dyDescent="0.35">
      <c r="A173" s="66"/>
      <c r="B173" s="67"/>
      <c r="C173" s="74"/>
      <c r="D173" s="74"/>
      <c r="E173" s="74"/>
      <c r="F173" s="68"/>
      <c r="G173" s="71"/>
      <c r="H173" s="71"/>
      <c r="I173" s="72"/>
      <c r="J173" s="73" t="str">
        <f>IF($A173="","",COUNTIFS(Conteneurs!$K$3:$K$1002,$A173))</f>
        <v/>
      </c>
      <c r="K173" s="73" t="str">
        <f>IF($A173="","",COUNTIFS(Conteneurs!$K$3:$K$1002,$A173,Conteneurs!$M$3:$M$1002,"Embarqué"))</f>
        <v/>
      </c>
      <c r="L173" s="147" t="str">
        <f t="shared" ca="1" si="10"/>
        <v/>
      </c>
      <c r="M173" s="148" t="str">
        <f t="shared" ca="1" si="11"/>
        <v/>
      </c>
      <c r="N173" s="68"/>
    </row>
    <row r="174" spans="1:14" x14ac:dyDescent="0.35">
      <c r="A174" s="66"/>
      <c r="B174" s="67"/>
      <c r="C174" s="74"/>
      <c r="D174" s="74"/>
      <c r="E174" s="74"/>
      <c r="F174" s="68"/>
      <c r="G174" s="71"/>
      <c r="H174" s="71"/>
      <c r="I174" s="72"/>
      <c r="J174" s="73" t="str">
        <f>IF($A174="","",COUNTIFS(Conteneurs!$K$3:$K$1002,$A174))</f>
        <v/>
      </c>
      <c r="K174" s="73" t="str">
        <f>IF($A174="","",COUNTIFS(Conteneurs!$K$3:$K$1002,$A174,Conteneurs!$M$3:$M$1002,"Embarqué"))</f>
        <v/>
      </c>
      <c r="L174" s="147" t="str">
        <f t="shared" ca="1" si="10"/>
        <v/>
      </c>
      <c r="M174" s="148" t="str">
        <f t="shared" ca="1" si="11"/>
        <v/>
      </c>
      <c r="N174" s="68"/>
    </row>
    <row r="175" spans="1:14" x14ac:dyDescent="0.35">
      <c r="A175" s="66"/>
      <c r="B175" s="67"/>
      <c r="C175" s="74"/>
      <c r="D175" s="74"/>
      <c r="E175" s="74"/>
      <c r="F175" s="68"/>
      <c r="G175" s="71"/>
      <c r="H175" s="71"/>
      <c r="I175" s="72"/>
      <c r="J175" s="73" t="str">
        <f>IF($A175="","",COUNTIFS(Conteneurs!$K$3:$K$1002,$A175))</f>
        <v/>
      </c>
      <c r="K175" s="73" t="str">
        <f>IF($A175="","",COUNTIFS(Conteneurs!$K$3:$K$1002,$A175,Conteneurs!$M$3:$M$1002,"Embarqué"))</f>
        <v/>
      </c>
      <c r="L175" s="147" t="str">
        <f t="shared" ca="1" si="10"/>
        <v/>
      </c>
      <c r="M175" s="148" t="str">
        <f t="shared" ca="1" si="11"/>
        <v/>
      </c>
      <c r="N175" s="68"/>
    </row>
    <row r="176" spans="1:14" x14ac:dyDescent="0.35">
      <c r="A176" s="66"/>
      <c r="B176" s="67"/>
      <c r="C176" s="74"/>
      <c r="D176" s="74"/>
      <c r="E176" s="74"/>
      <c r="F176" s="68"/>
      <c r="G176" s="71"/>
      <c r="H176" s="71"/>
      <c r="I176" s="72"/>
      <c r="J176" s="73" t="str">
        <f>IF($A176="","",COUNTIFS(Conteneurs!$K$3:$K$1002,$A176))</f>
        <v/>
      </c>
      <c r="K176" s="73" t="str">
        <f>IF($A176="","",COUNTIFS(Conteneurs!$K$3:$K$1002,$A176,Conteneurs!$M$3:$M$1002,"Embarqué"))</f>
        <v/>
      </c>
      <c r="L176" s="147" t="str">
        <f t="shared" ca="1" si="10"/>
        <v/>
      </c>
      <c r="M176" s="148" t="str">
        <f t="shared" ca="1" si="11"/>
        <v/>
      </c>
      <c r="N176" s="68"/>
    </row>
    <row r="177" spans="1:14" x14ac:dyDescent="0.35">
      <c r="A177" s="66"/>
      <c r="B177" s="67"/>
      <c r="C177" s="74"/>
      <c r="D177" s="74"/>
      <c r="E177" s="74"/>
      <c r="F177" s="68"/>
      <c r="G177" s="71"/>
      <c r="H177" s="71"/>
      <c r="I177" s="72"/>
      <c r="J177" s="73" t="str">
        <f>IF($A177="","",COUNTIFS(Conteneurs!$K$3:$K$1002,$A177))</f>
        <v/>
      </c>
      <c r="K177" s="73" t="str">
        <f>IF($A177="","",COUNTIFS(Conteneurs!$K$3:$K$1002,$A177,Conteneurs!$M$3:$M$1002,"Embarqué"))</f>
        <v/>
      </c>
      <c r="L177" s="147" t="str">
        <f t="shared" ca="1" si="10"/>
        <v/>
      </c>
      <c r="M177" s="148" t="str">
        <f t="shared" ca="1" si="11"/>
        <v/>
      </c>
      <c r="N177" s="68"/>
    </row>
    <row r="178" spans="1:14" x14ac:dyDescent="0.35">
      <c r="A178" s="66"/>
      <c r="B178" s="67"/>
      <c r="C178" s="74"/>
      <c r="D178" s="74"/>
      <c r="E178" s="74"/>
      <c r="F178" s="68"/>
      <c r="G178" s="71"/>
      <c r="H178" s="71"/>
      <c r="I178" s="72"/>
      <c r="J178" s="73" t="str">
        <f>IF($A178="","",COUNTIFS(Conteneurs!$K$3:$K$1002,$A178))</f>
        <v/>
      </c>
      <c r="K178" s="73" t="str">
        <f>IF($A178="","",COUNTIFS(Conteneurs!$K$3:$K$1002,$A178,Conteneurs!$M$3:$M$1002,"Embarqué"))</f>
        <v/>
      </c>
      <c r="L178" s="147" t="str">
        <f t="shared" ca="1" si="10"/>
        <v/>
      </c>
      <c r="M178" s="148" t="str">
        <f t="shared" ca="1" si="11"/>
        <v/>
      </c>
      <c r="N178" s="68"/>
    </row>
    <row r="179" spans="1:14" x14ac:dyDescent="0.35">
      <c r="A179" s="66"/>
      <c r="B179" s="67"/>
      <c r="C179" s="74"/>
      <c r="D179" s="74"/>
      <c r="E179" s="74"/>
      <c r="F179" s="68"/>
      <c r="G179" s="71"/>
      <c r="H179" s="71"/>
      <c r="I179" s="72"/>
      <c r="J179" s="73" t="str">
        <f>IF($A179="","",COUNTIFS(Conteneurs!$K$3:$K$1002,$A179))</f>
        <v/>
      </c>
      <c r="K179" s="73" t="str">
        <f>IF($A179="","",COUNTIFS(Conteneurs!$K$3:$K$1002,$A179,Conteneurs!$M$3:$M$1002,"Embarqué"))</f>
        <v/>
      </c>
      <c r="L179" s="147" t="str">
        <f t="shared" ca="1" si="10"/>
        <v/>
      </c>
      <c r="M179" s="148" t="str">
        <f t="shared" ca="1" si="11"/>
        <v/>
      </c>
      <c r="N179" s="68"/>
    </row>
    <row r="180" spans="1:14" x14ac:dyDescent="0.35">
      <c r="A180" s="66"/>
      <c r="B180" s="67"/>
      <c r="C180" s="74"/>
      <c r="D180" s="74"/>
      <c r="E180" s="74"/>
      <c r="F180" s="68"/>
      <c r="G180" s="71"/>
      <c r="H180" s="71"/>
      <c r="I180" s="72"/>
      <c r="J180" s="73" t="str">
        <f>IF($A180="","",COUNTIFS(Conteneurs!$K$3:$K$1002,$A180))</f>
        <v/>
      </c>
      <c r="K180" s="73" t="str">
        <f>IF($A180="","",COUNTIFS(Conteneurs!$K$3:$K$1002,$A180,Conteneurs!$M$3:$M$1002,"Embarqué"))</f>
        <v/>
      </c>
      <c r="L180" s="147" t="str">
        <f t="shared" ca="1" si="10"/>
        <v/>
      </c>
      <c r="M180" s="148" t="str">
        <f t="shared" ca="1" si="11"/>
        <v/>
      </c>
      <c r="N180" s="68"/>
    </row>
    <row r="181" spans="1:14" x14ac:dyDescent="0.35">
      <c r="A181" s="66"/>
      <c r="B181" s="67"/>
      <c r="C181" s="74"/>
      <c r="D181" s="74"/>
      <c r="E181" s="74"/>
      <c r="F181" s="68"/>
      <c r="G181" s="71"/>
      <c r="H181" s="71"/>
      <c r="I181" s="72"/>
      <c r="J181" s="73" t="str">
        <f>IF($A181="","",COUNTIFS(Conteneurs!$K$3:$K$1002,$A181))</f>
        <v/>
      </c>
      <c r="K181" s="73" t="str">
        <f>IF($A181="","",COUNTIFS(Conteneurs!$K$3:$K$1002,$A181,Conteneurs!$M$3:$M$1002,"Embarqué"))</f>
        <v/>
      </c>
      <c r="L181" s="147" t="str">
        <f t="shared" ca="1" si="10"/>
        <v/>
      </c>
      <c r="M181" s="148" t="str">
        <f t="shared" ca="1" si="11"/>
        <v/>
      </c>
      <c r="N181" s="68"/>
    </row>
    <row r="182" spans="1:14" x14ac:dyDescent="0.35">
      <c r="A182" s="66"/>
      <c r="B182" s="67"/>
      <c r="C182" s="74"/>
      <c r="D182" s="74"/>
      <c r="E182" s="74"/>
      <c r="F182" s="68"/>
      <c r="G182" s="71"/>
      <c r="H182" s="71"/>
      <c r="I182" s="72"/>
      <c r="J182" s="73" t="str">
        <f>IF($A182="","",COUNTIFS(Conteneurs!$K$3:$K$1002,$A182))</f>
        <v/>
      </c>
      <c r="K182" s="73" t="str">
        <f>IF($A182="","",COUNTIFS(Conteneurs!$K$3:$K$1002,$A182,Conteneurs!$M$3:$M$1002,"Embarqué"))</f>
        <v/>
      </c>
      <c r="L182" s="147" t="str">
        <f t="shared" ca="1" si="10"/>
        <v/>
      </c>
      <c r="M182" s="148" t="str">
        <f t="shared" ca="1" si="11"/>
        <v/>
      </c>
      <c r="N182" s="68"/>
    </row>
    <row r="183" spans="1:14" x14ac:dyDescent="0.35">
      <c r="A183" s="66"/>
      <c r="B183" s="67"/>
      <c r="C183" s="74"/>
      <c r="D183" s="74"/>
      <c r="E183" s="74"/>
      <c r="F183" s="68"/>
      <c r="G183" s="71"/>
      <c r="H183" s="71"/>
      <c r="I183" s="72"/>
      <c r="J183" s="73" t="str">
        <f>IF($A183="","",COUNTIFS(Conteneurs!$K$3:$K$1002,$A183))</f>
        <v/>
      </c>
      <c r="K183" s="73" t="str">
        <f>IF($A183="","",COUNTIFS(Conteneurs!$K$3:$K$1002,$A183,Conteneurs!$M$3:$M$1002,"Embarqué"))</f>
        <v/>
      </c>
      <c r="L183" s="147" t="str">
        <f t="shared" ca="1" si="10"/>
        <v/>
      </c>
      <c r="M183" s="148" t="str">
        <f t="shared" ca="1" si="11"/>
        <v/>
      </c>
      <c r="N183" s="68"/>
    </row>
    <row r="184" spans="1:14" x14ac:dyDescent="0.35">
      <c r="A184" s="66"/>
      <c r="B184" s="67"/>
      <c r="C184" s="74"/>
      <c r="D184" s="74"/>
      <c r="E184" s="74"/>
      <c r="F184" s="68"/>
      <c r="G184" s="71"/>
      <c r="H184" s="71"/>
      <c r="I184" s="72"/>
      <c r="J184" s="73" t="str">
        <f>IF($A184="","",COUNTIFS(Conteneurs!$K$3:$K$1002,$A184))</f>
        <v/>
      </c>
      <c r="K184" s="73" t="str">
        <f>IF($A184="","",COUNTIFS(Conteneurs!$K$3:$K$1002,$A184,Conteneurs!$M$3:$M$1002,"Embarqué"))</f>
        <v/>
      </c>
      <c r="L184" s="147" t="str">
        <f t="shared" ca="1" si="10"/>
        <v/>
      </c>
      <c r="M184" s="148" t="str">
        <f t="shared" ca="1" si="11"/>
        <v/>
      </c>
      <c r="N184" s="68"/>
    </row>
    <row r="185" spans="1:14" x14ac:dyDescent="0.35">
      <c r="A185" s="66"/>
      <c r="B185" s="67"/>
      <c r="C185" s="74"/>
      <c r="D185" s="74"/>
      <c r="E185" s="74"/>
      <c r="F185" s="68"/>
      <c r="G185" s="71"/>
      <c r="H185" s="71"/>
      <c r="I185" s="72"/>
      <c r="J185" s="73" t="str">
        <f>IF($A185="","",COUNTIFS(Conteneurs!$K$3:$K$1002,$A185))</f>
        <v/>
      </c>
      <c r="K185" s="73" t="str">
        <f>IF($A185="","",COUNTIFS(Conteneurs!$K$3:$K$1002,$A185,Conteneurs!$M$3:$M$1002,"Embarqué"))</f>
        <v/>
      </c>
      <c r="L185" s="147" t="str">
        <f t="shared" ca="1" si="10"/>
        <v/>
      </c>
      <c r="M185" s="148" t="str">
        <f t="shared" ca="1" si="11"/>
        <v/>
      </c>
      <c r="N185" s="68"/>
    </row>
    <row r="186" spans="1:14" x14ac:dyDescent="0.35">
      <c r="A186" s="66"/>
      <c r="B186" s="67"/>
      <c r="C186" s="74"/>
      <c r="D186" s="74"/>
      <c r="E186" s="74"/>
      <c r="F186" s="68"/>
      <c r="G186" s="71"/>
      <c r="H186" s="71"/>
      <c r="I186" s="72"/>
      <c r="J186" s="73" t="str">
        <f>IF($A186="","",COUNTIFS(Conteneurs!$K$3:$K$1002,$A186))</f>
        <v/>
      </c>
      <c r="K186" s="73" t="str">
        <f>IF($A186="","",COUNTIFS(Conteneurs!$K$3:$K$1002,$A186,Conteneurs!$M$3:$M$1002,"Embarqué"))</f>
        <v/>
      </c>
      <c r="L186" s="147" t="str">
        <f t="shared" ca="1" si="10"/>
        <v/>
      </c>
      <c r="M186" s="148" t="str">
        <f t="shared" ca="1" si="11"/>
        <v/>
      </c>
      <c r="N186" s="68"/>
    </row>
    <row r="187" spans="1:14" x14ac:dyDescent="0.35">
      <c r="A187" s="66"/>
      <c r="B187" s="67"/>
      <c r="C187" s="74"/>
      <c r="D187" s="74"/>
      <c r="E187" s="74"/>
      <c r="F187" s="68"/>
      <c r="G187" s="71"/>
      <c r="H187" s="71"/>
      <c r="I187" s="72"/>
      <c r="J187" s="73" t="str">
        <f>IF($A187="","",COUNTIFS(Conteneurs!$K$3:$K$1002,$A187))</f>
        <v/>
      </c>
      <c r="K187" s="73" t="str">
        <f>IF($A187="","",COUNTIFS(Conteneurs!$K$3:$K$1002,$A187,Conteneurs!$M$3:$M$1002,"Embarqué"))</f>
        <v/>
      </c>
      <c r="L187" s="147" t="str">
        <f t="shared" ca="1" si="10"/>
        <v/>
      </c>
      <c r="M187" s="148" t="str">
        <f t="shared" ca="1" si="11"/>
        <v/>
      </c>
      <c r="N187" s="68"/>
    </row>
    <row r="188" spans="1:14" x14ac:dyDescent="0.35">
      <c r="A188" s="66"/>
      <c r="B188" s="67"/>
      <c r="C188" s="74"/>
      <c r="D188" s="74"/>
      <c r="E188" s="74"/>
      <c r="F188" s="68"/>
      <c r="G188" s="71"/>
      <c r="H188" s="71"/>
      <c r="I188" s="72"/>
      <c r="J188" s="73" t="str">
        <f>IF($A188="","",COUNTIFS(Conteneurs!$K$3:$K$1002,$A188))</f>
        <v/>
      </c>
      <c r="K188" s="73" t="str">
        <f>IF($A188="","",COUNTIFS(Conteneurs!$K$3:$K$1002,$A188,Conteneurs!$M$3:$M$1002,"Embarqué"))</f>
        <v/>
      </c>
      <c r="L188" s="147" t="str">
        <f t="shared" ca="1" si="10"/>
        <v/>
      </c>
      <c r="M188" s="148" t="str">
        <f t="shared" ca="1" si="11"/>
        <v/>
      </c>
      <c r="N188" s="68"/>
    </row>
    <row r="189" spans="1:14" x14ac:dyDescent="0.35">
      <c r="A189" s="66"/>
      <c r="B189" s="67"/>
      <c r="C189" s="74"/>
      <c r="D189" s="74"/>
      <c r="E189" s="74"/>
      <c r="F189" s="68"/>
      <c r="G189" s="71"/>
      <c r="H189" s="71"/>
      <c r="I189" s="72"/>
      <c r="J189" s="73" t="str">
        <f>IF($A189="","",COUNTIFS(Conteneurs!$K$3:$K$1002,$A189))</f>
        <v/>
      </c>
      <c r="K189" s="73" t="str">
        <f>IF($A189="","",COUNTIFS(Conteneurs!$K$3:$K$1002,$A189,Conteneurs!$M$3:$M$1002,"Embarqué"))</f>
        <v/>
      </c>
      <c r="L189" s="147" t="str">
        <f t="shared" ca="1" si="10"/>
        <v/>
      </c>
      <c r="M189" s="148" t="str">
        <f t="shared" ca="1" si="11"/>
        <v/>
      </c>
      <c r="N189" s="68"/>
    </row>
    <row r="190" spans="1:14" x14ac:dyDescent="0.35">
      <c r="A190" s="66"/>
      <c r="B190" s="67"/>
      <c r="C190" s="74"/>
      <c r="D190" s="74"/>
      <c r="E190" s="74"/>
      <c r="F190" s="68"/>
      <c r="G190" s="71"/>
      <c r="H190" s="71"/>
      <c r="I190" s="72"/>
      <c r="J190" s="73" t="str">
        <f>IF($A190="","",COUNTIFS(Conteneurs!$K$3:$K$1002,$A190))</f>
        <v/>
      </c>
      <c r="K190" s="73" t="str">
        <f>IF($A190="","",COUNTIFS(Conteneurs!$K$3:$K$1002,$A190,Conteneurs!$M$3:$M$1002,"Embarqué"))</f>
        <v/>
      </c>
      <c r="L190" s="147" t="str">
        <f t="shared" ca="1" si="10"/>
        <v/>
      </c>
      <c r="M190" s="148" t="str">
        <f t="shared" ca="1" si="11"/>
        <v/>
      </c>
      <c r="N190" s="68"/>
    </row>
    <row r="191" spans="1:14" x14ac:dyDescent="0.35">
      <c r="A191" s="66"/>
      <c r="B191" s="67"/>
      <c r="C191" s="74"/>
      <c r="D191" s="74"/>
      <c r="E191" s="74"/>
      <c r="F191" s="68"/>
      <c r="G191" s="71"/>
      <c r="H191" s="71"/>
      <c r="I191" s="72"/>
      <c r="J191" s="73" t="str">
        <f>IF($A191="","",COUNTIFS(Conteneurs!$K$3:$K$1002,$A191))</f>
        <v/>
      </c>
      <c r="K191" s="73" t="str">
        <f>IF($A191="","",COUNTIFS(Conteneurs!$K$3:$K$1002,$A191,Conteneurs!$M$3:$M$1002,"Embarqué"))</f>
        <v/>
      </c>
      <c r="L191" s="147" t="str">
        <f t="shared" ca="1" si="10"/>
        <v/>
      </c>
      <c r="M191" s="148" t="str">
        <f t="shared" ca="1" si="11"/>
        <v/>
      </c>
      <c r="N191" s="68"/>
    </row>
    <row r="192" spans="1:14" x14ac:dyDescent="0.35">
      <c r="A192" s="66"/>
      <c r="B192" s="67"/>
      <c r="C192" s="74"/>
      <c r="D192" s="74"/>
      <c r="E192" s="74"/>
      <c r="F192" s="68"/>
      <c r="G192" s="71"/>
      <c r="H192" s="71"/>
      <c r="I192" s="72"/>
      <c r="J192" s="73" t="str">
        <f>IF($A192="","",COUNTIFS(Conteneurs!$K$3:$K$1002,$A192))</f>
        <v/>
      </c>
      <c r="K192" s="73" t="str">
        <f>IF($A192="","",COUNTIFS(Conteneurs!$K$3:$K$1002,$A192,Conteneurs!$M$3:$M$1002,"Embarqué"))</f>
        <v/>
      </c>
      <c r="L192" s="147" t="str">
        <f t="shared" ca="1" si="10"/>
        <v/>
      </c>
      <c r="M192" s="148" t="str">
        <f t="shared" ca="1" si="11"/>
        <v/>
      </c>
      <c r="N192" s="68"/>
    </row>
    <row r="193" spans="1:14" x14ac:dyDescent="0.35">
      <c r="A193" s="66"/>
      <c r="B193" s="67"/>
      <c r="C193" s="74"/>
      <c r="D193" s="74"/>
      <c r="E193" s="74"/>
      <c r="F193" s="68"/>
      <c r="G193" s="71"/>
      <c r="H193" s="71"/>
      <c r="I193" s="72"/>
      <c r="J193" s="73" t="str">
        <f>IF($A193="","",COUNTIFS(Conteneurs!$K$3:$K$1002,$A193))</f>
        <v/>
      </c>
      <c r="K193" s="73" t="str">
        <f>IF($A193="","",COUNTIFS(Conteneurs!$K$3:$K$1002,$A193,Conteneurs!$M$3:$M$1002,"Embarqué"))</f>
        <v/>
      </c>
      <c r="L193" s="147" t="str">
        <f t="shared" ca="1" si="10"/>
        <v/>
      </c>
      <c r="M193" s="148" t="str">
        <f t="shared" ca="1" si="11"/>
        <v/>
      </c>
      <c r="N193" s="68"/>
    </row>
    <row r="194" spans="1:14" x14ac:dyDescent="0.35">
      <c r="A194" s="66"/>
      <c r="B194" s="67"/>
      <c r="C194" s="74"/>
      <c r="D194" s="74"/>
      <c r="E194" s="74"/>
      <c r="F194" s="68"/>
      <c r="G194" s="71"/>
      <c r="H194" s="71"/>
      <c r="I194" s="72"/>
      <c r="J194" s="73" t="str">
        <f>IF($A194="","",COUNTIFS(Conteneurs!$K$3:$K$1002,$A194))</f>
        <v/>
      </c>
      <c r="K194" s="73" t="str">
        <f>IF($A194="","",COUNTIFS(Conteneurs!$K$3:$K$1002,$A194,Conteneurs!$M$3:$M$1002,"Embarqué"))</f>
        <v/>
      </c>
      <c r="L194" s="147" t="str">
        <f t="shared" ca="1" si="10"/>
        <v/>
      </c>
      <c r="M194" s="148" t="str">
        <f t="shared" ca="1" si="11"/>
        <v/>
      </c>
      <c r="N194" s="68"/>
    </row>
    <row r="195" spans="1:14" x14ac:dyDescent="0.35">
      <c r="A195" s="66"/>
      <c r="B195" s="67"/>
      <c r="C195" s="74"/>
      <c r="D195" s="74"/>
      <c r="E195" s="74"/>
      <c r="F195" s="68"/>
      <c r="G195" s="71"/>
      <c r="H195" s="71"/>
      <c r="I195" s="72"/>
      <c r="J195" s="73" t="str">
        <f>IF($A195="","",COUNTIFS(Conteneurs!$K$3:$K$1002,$A195))</f>
        <v/>
      </c>
      <c r="K195" s="73" t="str">
        <f>IF($A195="","",COUNTIFS(Conteneurs!$K$3:$K$1002,$A195,Conteneurs!$M$3:$M$1002,"Embarqué"))</f>
        <v/>
      </c>
      <c r="L195" s="147" t="str">
        <f t="shared" ref="L195:L202" ca="1" si="12">IF(OR($A195="",$G195=""),"",$G195-TODAY())</f>
        <v/>
      </c>
      <c r="M195" s="148" t="str">
        <f t="shared" ref="M195:M202" ca="1" si="13">IF($A195="","",IF(AND(N($I195)&gt;0,$K195&gt;=$I195),"Embarqué complet",IF(AND($G195&lt;&gt;"",N($G195)&lt;TODAY()),"En retard (ETD dépassé)",IF($J195=0,"À préparer","En cours"))))</f>
        <v/>
      </c>
      <c r="N195" s="68"/>
    </row>
    <row r="196" spans="1:14" x14ac:dyDescent="0.35">
      <c r="A196" s="66"/>
      <c r="B196" s="67"/>
      <c r="C196" s="74"/>
      <c r="D196" s="74"/>
      <c r="E196" s="74"/>
      <c r="F196" s="68"/>
      <c r="G196" s="71"/>
      <c r="H196" s="71"/>
      <c r="I196" s="72"/>
      <c r="J196" s="73" t="str">
        <f>IF($A196="","",COUNTIFS(Conteneurs!$K$3:$K$1002,$A196))</f>
        <v/>
      </c>
      <c r="K196" s="73" t="str">
        <f>IF($A196="","",COUNTIFS(Conteneurs!$K$3:$K$1002,$A196,Conteneurs!$M$3:$M$1002,"Embarqué"))</f>
        <v/>
      </c>
      <c r="L196" s="147" t="str">
        <f t="shared" ca="1" si="12"/>
        <v/>
      </c>
      <c r="M196" s="148" t="str">
        <f t="shared" ca="1" si="13"/>
        <v/>
      </c>
      <c r="N196" s="68"/>
    </row>
    <row r="197" spans="1:14" x14ac:dyDescent="0.35">
      <c r="A197" s="66"/>
      <c r="B197" s="67"/>
      <c r="C197" s="74"/>
      <c r="D197" s="74"/>
      <c r="E197" s="74"/>
      <c r="F197" s="68"/>
      <c r="G197" s="71"/>
      <c r="H197" s="71"/>
      <c r="I197" s="72"/>
      <c r="J197" s="73" t="str">
        <f>IF($A197="","",COUNTIFS(Conteneurs!$K$3:$K$1002,$A197))</f>
        <v/>
      </c>
      <c r="K197" s="73" t="str">
        <f>IF($A197="","",COUNTIFS(Conteneurs!$K$3:$K$1002,$A197,Conteneurs!$M$3:$M$1002,"Embarqué"))</f>
        <v/>
      </c>
      <c r="L197" s="147" t="str">
        <f t="shared" ca="1" si="12"/>
        <v/>
      </c>
      <c r="M197" s="148" t="str">
        <f t="shared" ca="1" si="13"/>
        <v/>
      </c>
      <c r="N197" s="68"/>
    </row>
    <row r="198" spans="1:14" x14ac:dyDescent="0.35">
      <c r="A198" s="66"/>
      <c r="B198" s="67"/>
      <c r="C198" s="74"/>
      <c r="D198" s="74"/>
      <c r="E198" s="74"/>
      <c r="F198" s="68"/>
      <c r="G198" s="71"/>
      <c r="H198" s="71"/>
      <c r="I198" s="72"/>
      <c r="J198" s="73" t="str">
        <f>IF($A198="","",COUNTIFS(Conteneurs!$K$3:$K$1002,$A198))</f>
        <v/>
      </c>
      <c r="K198" s="73" t="str">
        <f>IF($A198="","",COUNTIFS(Conteneurs!$K$3:$K$1002,$A198,Conteneurs!$M$3:$M$1002,"Embarqué"))</f>
        <v/>
      </c>
      <c r="L198" s="147" t="str">
        <f t="shared" ca="1" si="12"/>
        <v/>
      </c>
      <c r="M198" s="148" t="str">
        <f t="shared" ca="1" si="13"/>
        <v/>
      </c>
      <c r="N198" s="68"/>
    </row>
    <row r="199" spans="1:14" x14ac:dyDescent="0.35">
      <c r="A199" s="66"/>
      <c r="B199" s="67"/>
      <c r="C199" s="74"/>
      <c r="D199" s="74"/>
      <c r="E199" s="74"/>
      <c r="F199" s="68"/>
      <c r="G199" s="71"/>
      <c r="H199" s="71"/>
      <c r="I199" s="72"/>
      <c r="J199" s="73" t="str">
        <f>IF($A199="","",COUNTIFS(Conteneurs!$K$3:$K$1002,$A199))</f>
        <v/>
      </c>
      <c r="K199" s="73" t="str">
        <f>IF($A199="","",COUNTIFS(Conteneurs!$K$3:$K$1002,$A199,Conteneurs!$M$3:$M$1002,"Embarqué"))</f>
        <v/>
      </c>
      <c r="L199" s="147" t="str">
        <f t="shared" ca="1" si="12"/>
        <v/>
      </c>
      <c r="M199" s="148" t="str">
        <f t="shared" ca="1" si="13"/>
        <v/>
      </c>
      <c r="N199" s="68"/>
    </row>
    <row r="200" spans="1:14" x14ac:dyDescent="0.35">
      <c r="A200" s="66"/>
      <c r="B200" s="67"/>
      <c r="C200" s="74"/>
      <c r="D200" s="74"/>
      <c r="E200" s="74"/>
      <c r="F200" s="68"/>
      <c r="G200" s="71"/>
      <c r="H200" s="71"/>
      <c r="I200" s="72"/>
      <c r="J200" s="73" t="str">
        <f>IF($A200="","",COUNTIFS(Conteneurs!$K$3:$K$1002,$A200))</f>
        <v/>
      </c>
      <c r="K200" s="73" t="str">
        <f>IF($A200="","",COUNTIFS(Conteneurs!$K$3:$K$1002,$A200,Conteneurs!$M$3:$M$1002,"Embarqué"))</f>
        <v/>
      </c>
      <c r="L200" s="147" t="str">
        <f t="shared" ca="1" si="12"/>
        <v/>
      </c>
      <c r="M200" s="148" t="str">
        <f t="shared" ca="1" si="13"/>
        <v/>
      </c>
      <c r="N200" s="68"/>
    </row>
    <row r="201" spans="1:14" x14ac:dyDescent="0.35">
      <c r="A201" s="66"/>
      <c r="B201" s="67"/>
      <c r="C201" s="74"/>
      <c r="D201" s="74"/>
      <c r="E201" s="74"/>
      <c r="F201" s="68"/>
      <c r="G201" s="71"/>
      <c r="H201" s="71"/>
      <c r="I201" s="72"/>
      <c r="J201" s="73" t="str">
        <f>IF($A201="","",COUNTIFS(Conteneurs!$K$3:$K$1002,$A201))</f>
        <v/>
      </c>
      <c r="K201" s="73" t="str">
        <f>IF($A201="","",COUNTIFS(Conteneurs!$K$3:$K$1002,$A201,Conteneurs!$M$3:$M$1002,"Embarqué"))</f>
        <v/>
      </c>
      <c r="L201" s="147" t="str">
        <f t="shared" ca="1" si="12"/>
        <v/>
      </c>
      <c r="M201" s="148" t="str">
        <f t="shared" ca="1" si="13"/>
        <v/>
      </c>
      <c r="N201" s="68"/>
    </row>
    <row r="202" spans="1:14" x14ac:dyDescent="0.35">
      <c r="A202" s="66"/>
      <c r="B202" s="67"/>
      <c r="C202" s="74"/>
      <c r="D202" s="74"/>
      <c r="E202" s="74"/>
      <c r="F202" s="68"/>
      <c r="G202" s="71"/>
      <c r="H202" s="71"/>
      <c r="I202" s="72"/>
      <c r="J202" s="73" t="str">
        <f>IF($A202="","",COUNTIFS(Conteneurs!$K$3:$K$1002,$A202))</f>
        <v/>
      </c>
      <c r="K202" s="73" t="str">
        <f>IF($A202="","",COUNTIFS(Conteneurs!$K$3:$K$1002,$A202,Conteneurs!$M$3:$M$1002,"Embarqué"))</f>
        <v/>
      </c>
      <c r="L202" s="147" t="str">
        <f t="shared" ca="1" si="12"/>
        <v/>
      </c>
      <c r="M202" s="148" t="str">
        <f t="shared" ca="1" si="13"/>
        <v/>
      </c>
      <c r="N202" s="68"/>
    </row>
  </sheetData>
  <mergeCells count="1">
    <mergeCell ref="A1:N1"/>
  </mergeCells>
  <phoneticPr fontId="18" type="noConversion"/>
  <conditionalFormatting sqref="M3:M202">
    <cfRule type="cellIs" dxfId="22" priority="1" operator="equal">
      <formula>"Embarqué complet"</formula>
    </cfRule>
    <cfRule type="cellIs" dxfId="21" priority="2" operator="equal">
      <formula>"En retard (ETD dépassé)"</formula>
    </cfRule>
    <cfRule type="cellIs" dxfId="20" priority="3" operator="equal">
      <formula>"En cours"</formula>
    </cfRule>
    <cfRule type="cellIs" dxfId="19" priority="4" operator="equal">
      <formula>"À préparer"</formula>
    </cfRule>
  </conditionalFormatting>
  <dataValidations count="4">
    <dataValidation type="list" allowBlank="1" showErrorMessage="1" errorTitle="Contrat inconnu" error="Ce contrat introuvable. Ajoutez-le d'abord dans la feuille Contrats." sqref="B3:B202" xr:uid="{00000000-0002-0000-0300-000000000000}">
      <formula1>L_Contrats</formula1>
    </dataValidation>
    <dataValidation type="list" errorStyle="warning" allowBlank="1" showErrorMessage="1" errorTitle="Transitaire absent de la liste" error="Ce transitaire n'est pas dans la feuille Listes. Cliquez sur Oui pour le garder." sqref="C3:C202" xr:uid="{00000000-0002-0000-0300-000001000000}">
      <formula1>L_Transitaires</formula1>
    </dataValidation>
    <dataValidation type="date" operator="greaterThan" allowBlank="1" showErrorMessage="1" errorTitle="Date non valide" error="Saisissez une date, par exemple 10/10/2026." sqref="G3:H202" xr:uid="{00000000-0002-0000-0300-000002000000}">
      <formula1>36526</formula1>
    </dataValidation>
    <dataValidation type="decimal" operator="greaterThanOrEqual" allowBlank="1" showErrorMessage="1" errorTitle="Valeur non valide" error="Saisissez un nombre positif, sans texte." sqref="I3:I202" xr:uid="{00000000-0002-0000-0300-000004000000}">
      <formula1>0</formula1>
    </dataValidation>
  </dataValidation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  <pageSetUpPr fitToPage="1"/>
  </sheetPr>
  <dimension ref="A1:L202"/>
  <sheetViews>
    <sheetView workbookViewId="0">
      <pane xSplit="1" ySplit="2" topLeftCell="G3" activePane="bottomRight" state="frozen"/>
      <selection pane="topRight"/>
      <selection pane="bottomLeft"/>
      <selection pane="bottomRight" activeCell="L17" sqref="L17"/>
    </sheetView>
  </sheetViews>
  <sheetFormatPr baseColWidth="10" defaultColWidth="8.7265625" defaultRowHeight="14.5" x14ac:dyDescent="0.35"/>
  <cols>
    <col min="1" max="2" width="14" customWidth="1"/>
    <col min="3" max="3" width="13" customWidth="1"/>
    <col min="4" max="4" width="23.54296875" style="79" customWidth="1"/>
    <col min="5" max="5" width="21.36328125" style="79" customWidth="1"/>
    <col min="6" max="6" width="26.36328125" customWidth="1"/>
    <col min="7" max="7" width="14" customWidth="1"/>
    <col min="8" max="8" width="23" customWidth="1"/>
    <col min="9" max="9" width="26.7265625" customWidth="1"/>
    <col min="10" max="10" width="22.90625" customWidth="1"/>
    <col min="11" max="11" width="30" style="55" customWidth="1"/>
    <col min="12" max="12" width="30" customWidth="1"/>
  </cols>
  <sheetData>
    <row r="1" spans="1:12" ht="62" hidden="1" customHeight="1" x14ac:dyDescent="0.35">
      <c r="A1" s="49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36" customHeight="1" x14ac:dyDescent="0.35">
      <c r="A2" s="12" t="s">
        <v>39</v>
      </c>
      <c r="B2" s="12" t="s">
        <v>53</v>
      </c>
      <c r="C2" s="12" t="s">
        <v>90</v>
      </c>
      <c r="D2" s="78" t="s">
        <v>91</v>
      </c>
      <c r="E2" s="78" t="s">
        <v>92</v>
      </c>
      <c r="F2" s="12" t="s">
        <v>93</v>
      </c>
      <c r="G2" s="20" t="s">
        <v>54</v>
      </c>
      <c r="H2" s="20" t="s">
        <v>86</v>
      </c>
      <c r="I2" s="20" t="s">
        <v>94</v>
      </c>
      <c r="J2" s="20" t="s">
        <v>60</v>
      </c>
      <c r="K2" s="20" t="s">
        <v>95</v>
      </c>
      <c r="L2" s="12" t="s">
        <v>78</v>
      </c>
    </row>
    <row r="3" spans="1:12" x14ac:dyDescent="0.35">
      <c r="A3" s="76">
        <v>277243348</v>
      </c>
      <c r="B3" s="76">
        <v>277243348</v>
      </c>
      <c r="C3" s="14"/>
      <c r="D3" s="80">
        <v>126140</v>
      </c>
      <c r="E3" s="80">
        <v>125300</v>
      </c>
      <c r="F3" s="57">
        <v>6</v>
      </c>
      <c r="G3" s="7">
        <f>IF($B3="","",IFERROR(INDEX(Bookings!$B$3:$B$202,MATCH($B3,Bookings!$A$3:$A$202,0)),""))</f>
        <v>4600063618</v>
      </c>
      <c r="H3" s="26">
        <f>IF($A3="","",COUNTIFS(Conteneurs!$B$3:$B$1002,$A3))</f>
        <v>6</v>
      </c>
      <c r="I3" s="26">
        <f>IF($A3="","",SUMIFS(Conteneurs!$H$3:$H$1002,Conteneurs!$B$3:$B$1002,$A3))</f>
        <v>125300</v>
      </c>
      <c r="J3" s="28">
        <f t="shared" ref="J3:J34" si="0">IF(OR($A3="",$E3=""),"",$E3-$I3)</f>
        <v>0</v>
      </c>
      <c r="K3" s="77" t="str">
        <f t="shared" ref="K3:K34" si="1">IF($A3="","",IF(AND(OR($F3="",$H3=$F3),OR($E3="",ABS(N($E3)-$I3)&lt;=0.5)),"OK","Écart : "&amp;TRIM(IF(AND($F3&lt;&gt;"",$H3&lt;&gt;$F3),"nb conteneurs ","")&amp;IF(AND($E3&lt;&gt;"",ABS(N($E3)-$I3)&gt;0.5),"poids net",""))))</f>
        <v>OK</v>
      </c>
      <c r="L3" s="13"/>
    </row>
    <row r="4" spans="1:12" x14ac:dyDescent="0.35">
      <c r="A4" s="76">
        <v>277243441</v>
      </c>
      <c r="B4" s="76">
        <v>277243441</v>
      </c>
      <c r="C4" s="14"/>
      <c r="D4" s="80">
        <v>128940</v>
      </c>
      <c r="E4" s="80">
        <v>128340</v>
      </c>
      <c r="F4" s="57">
        <v>6</v>
      </c>
      <c r="G4" s="7">
        <f>IF($B4="","",IFERROR(INDEX(Bookings!$B$3:$B$202,MATCH($B4,Bookings!$A$3:$A$202,0)),""))</f>
        <v>4600063618</v>
      </c>
      <c r="H4" s="26">
        <f>IF($A4="","",COUNTIFS(Conteneurs!$B$3:$B$1002,$A4))</f>
        <v>6</v>
      </c>
      <c r="I4" s="26">
        <f>IF($A4="","",SUMIFS(Conteneurs!$H$3:$H$1002,Conteneurs!$B$3:$B$1002,$A4))</f>
        <v>128340</v>
      </c>
      <c r="J4" s="28">
        <f t="shared" si="0"/>
        <v>0</v>
      </c>
      <c r="K4" s="77" t="str">
        <f>IF($A4="","",IF(AND(OR($F4="",$H4=$F4),OR($E4="",ABS(N($E4)-$I4)&lt;=0.5)),"OK","Écart : "&amp;TRIM(IF(AND($F4&lt;&gt;"",$H4&lt;&gt;$F4),"nb conteneurs ","")&amp;IF(AND($E4&lt;&gt;"",ABS(N($E4)-$I4)&gt;0.5),"poids net",""))))</f>
        <v>OK</v>
      </c>
      <c r="L4" s="13"/>
    </row>
    <row r="5" spans="1:12" x14ac:dyDescent="0.35">
      <c r="A5" s="76">
        <v>277243505</v>
      </c>
      <c r="B5" s="76">
        <v>277243505</v>
      </c>
      <c r="C5" s="14"/>
      <c r="D5" s="80">
        <v>107460</v>
      </c>
      <c r="E5" s="80">
        <v>106760</v>
      </c>
      <c r="F5" s="57">
        <v>5</v>
      </c>
      <c r="G5" s="7">
        <f>IF($B5="","",IFERROR(INDEX(Bookings!$B$3:$B$202,MATCH($B5,Bookings!$A$3:$A$202,0)),""))</f>
        <v>4600063618</v>
      </c>
      <c r="H5" s="26">
        <f>IF($A5="","",COUNTIFS(Conteneurs!$B$3:$B$1002,$A5))</f>
        <v>5</v>
      </c>
      <c r="I5" s="26">
        <f>IF($A5="","",SUMIFS(Conteneurs!$H$3:$H$1002,Conteneurs!$B$3:$B$1002,$A5))</f>
        <v>106760</v>
      </c>
      <c r="J5" s="28">
        <f t="shared" si="0"/>
        <v>0</v>
      </c>
      <c r="K5" s="77" t="str">
        <f t="shared" si="1"/>
        <v>OK</v>
      </c>
      <c r="L5" s="13"/>
    </row>
    <row r="6" spans="1:12" x14ac:dyDescent="0.35">
      <c r="A6" s="76">
        <v>277243596</v>
      </c>
      <c r="B6" s="76">
        <v>277243596</v>
      </c>
      <c r="C6" s="14"/>
      <c r="D6" s="80">
        <v>86160</v>
      </c>
      <c r="E6" s="80">
        <v>85600</v>
      </c>
      <c r="F6" s="57">
        <v>4</v>
      </c>
      <c r="G6" s="7">
        <f>IF($B6="","",IFERROR(INDEX(Bookings!$B$3:$B$202,MATCH($B6,Bookings!$A$3:$A$202,0)),""))</f>
        <v>4600063618</v>
      </c>
      <c r="H6" s="26">
        <f>IF($A6="","",COUNTIFS(Conteneurs!$B$3:$B$1002,$A6))</f>
        <v>4</v>
      </c>
      <c r="I6" s="26">
        <f>IF($A6="","",SUMIFS(Conteneurs!$H$3:$H$1002,Conteneurs!$B$3:$B$1002,$A6))</f>
        <v>85600</v>
      </c>
      <c r="J6" s="28">
        <f t="shared" si="0"/>
        <v>0</v>
      </c>
      <c r="K6" s="77" t="str">
        <f t="shared" si="1"/>
        <v>OK</v>
      </c>
      <c r="L6" s="13"/>
    </row>
    <row r="7" spans="1:12" x14ac:dyDescent="0.35">
      <c r="A7" s="76">
        <v>277443031</v>
      </c>
      <c r="B7" s="76">
        <v>277443031</v>
      </c>
      <c r="C7" s="14"/>
      <c r="D7" s="80">
        <v>128600</v>
      </c>
      <c r="E7" s="80">
        <v>127760</v>
      </c>
      <c r="F7" s="57">
        <v>6</v>
      </c>
      <c r="G7" s="7">
        <f>IF($B7="","",IFERROR(INDEX(Bookings!$B$3:$B$202,MATCH($B7,Bookings!$A$3:$A$202,0)),""))</f>
        <v>4600063618</v>
      </c>
      <c r="H7" s="26">
        <f>IF($A7="","",COUNTIFS(Conteneurs!$B$3:$B$1002,$A7))</f>
        <v>6</v>
      </c>
      <c r="I7" s="26">
        <f>IF($A7="","",SUMIFS(Conteneurs!$H$3:$H$1002,Conteneurs!$B$3:$B$1002,$A7))</f>
        <v>127760</v>
      </c>
      <c r="J7" s="28">
        <f t="shared" si="0"/>
        <v>0</v>
      </c>
      <c r="K7" s="77" t="str">
        <f t="shared" si="1"/>
        <v>OK</v>
      </c>
      <c r="L7" s="13"/>
    </row>
    <row r="8" spans="1:12" x14ac:dyDescent="0.35">
      <c r="A8" s="76">
        <v>277763418</v>
      </c>
      <c r="B8" s="76">
        <v>277763418</v>
      </c>
      <c r="C8" s="14"/>
      <c r="D8" s="80">
        <v>107720</v>
      </c>
      <c r="E8" s="80">
        <v>107020</v>
      </c>
      <c r="F8" s="57">
        <v>5</v>
      </c>
      <c r="G8" s="7">
        <f>IF($B8="","",IFERROR(INDEX(Bookings!$B$3:$B$202,MATCH($B8,Bookings!$A$3:$A$202,0)),""))</f>
        <v>4600063618</v>
      </c>
      <c r="H8" s="26">
        <f>IF($A8="","",COUNTIFS(Conteneurs!$B$3:$B$1002,$A8))</f>
        <v>5</v>
      </c>
      <c r="I8" s="26">
        <f>IF($A8="","",SUMIFS(Conteneurs!$H$3:$H$1002,Conteneurs!$B$3:$B$1002,$A8))</f>
        <v>107020</v>
      </c>
      <c r="J8" s="28">
        <f t="shared" si="0"/>
        <v>0</v>
      </c>
      <c r="K8" s="77" t="str">
        <f t="shared" si="1"/>
        <v>OK</v>
      </c>
      <c r="L8" s="13"/>
    </row>
    <row r="9" spans="1:12" x14ac:dyDescent="0.35">
      <c r="A9" s="76">
        <v>277770098</v>
      </c>
      <c r="B9" s="76">
        <v>277770098</v>
      </c>
      <c r="C9" s="14"/>
      <c r="D9" s="80">
        <v>128880</v>
      </c>
      <c r="E9" s="80">
        <v>128040</v>
      </c>
      <c r="F9" s="57">
        <v>5</v>
      </c>
      <c r="G9" s="7">
        <f>IF($B9="","",IFERROR(INDEX(Bookings!$B$3:$B$202,MATCH($B9,Bookings!$A$3:$A$202,0)),""))</f>
        <v>4600063618</v>
      </c>
      <c r="H9" s="26">
        <f>IF($A9="","",COUNTIFS(Conteneurs!$B$3:$B$1002,$A9))</f>
        <v>5</v>
      </c>
      <c r="I9" s="26">
        <f>IF($A9="","",SUMIFS(Conteneurs!$H$3:$H$1002,Conteneurs!$B$3:$B$1002,$A9))</f>
        <v>106640</v>
      </c>
      <c r="J9" s="28">
        <f t="shared" si="0"/>
        <v>21400</v>
      </c>
      <c r="K9" s="77" t="str">
        <f t="shared" si="1"/>
        <v>Écart : poids net</v>
      </c>
      <c r="L9" s="13" t="s">
        <v>303</v>
      </c>
    </row>
    <row r="10" spans="1:12" x14ac:dyDescent="0.35">
      <c r="A10" s="76">
        <v>277770206</v>
      </c>
      <c r="B10" s="76">
        <v>277770206</v>
      </c>
      <c r="C10" s="14"/>
      <c r="D10" s="80">
        <v>105040</v>
      </c>
      <c r="E10" s="80">
        <v>104340</v>
      </c>
      <c r="F10" s="57">
        <v>5</v>
      </c>
      <c r="G10" s="7">
        <f>IF($B10="","",IFERROR(INDEX(Bookings!$B$3:$B$202,MATCH($B10,Bookings!$A$3:$A$202,0)),""))</f>
        <v>4600063618</v>
      </c>
      <c r="H10" s="26">
        <f>IF($A10="","",COUNTIFS(Conteneurs!$B$3:$B$1002,$A10))</f>
        <v>5</v>
      </c>
      <c r="I10" s="26">
        <f>IF($A10="","",SUMIFS(Conteneurs!$H$3:$H$1002,Conteneurs!$B$3:$B$1002,$A10))</f>
        <v>104340</v>
      </c>
      <c r="J10" s="28">
        <f t="shared" si="0"/>
        <v>0</v>
      </c>
      <c r="K10" s="77" t="str">
        <f t="shared" si="1"/>
        <v>OK</v>
      </c>
      <c r="L10" s="13"/>
    </row>
    <row r="11" spans="1:12" x14ac:dyDescent="0.35">
      <c r="A11" s="76">
        <v>278981635</v>
      </c>
      <c r="B11" s="76">
        <v>278981635</v>
      </c>
      <c r="C11" s="14"/>
      <c r="D11" s="80">
        <v>127620</v>
      </c>
      <c r="E11" s="80">
        <v>126780</v>
      </c>
      <c r="F11" s="57">
        <v>6</v>
      </c>
      <c r="G11" s="7">
        <f>IF($B11="","",IFERROR(INDEX(Bookings!$B$3:$B$202,MATCH($B11,Bookings!$A$3:$A$202,0)),""))</f>
        <v>4600063618</v>
      </c>
      <c r="H11" s="26">
        <f>IF($A11="","",COUNTIFS(Conteneurs!$B$3:$B$1002,$A11))</f>
        <v>6</v>
      </c>
      <c r="I11" s="26">
        <f>IF($A11="","",SUMIFS(Conteneurs!$H$3:$H$1002,Conteneurs!$B$3:$B$1002,$A11))</f>
        <v>126780</v>
      </c>
      <c r="J11" s="28">
        <f t="shared" si="0"/>
        <v>0</v>
      </c>
      <c r="K11" s="77" t="str">
        <f t="shared" si="1"/>
        <v>OK</v>
      </c>
      <c r="L11" s="13"/>
    </row>
    <row r="12" spans="1:12" x14ac:dyDescent="0.35">
      <c r="A12" s="76">
        <v>279324047</v>
      </c>
      <c r="B12" s="76">
        <v>279324047</v>
      </c>
      <c r="C12" s="14"/>
      <c r="D12" s="80">
        <v>32620</v>
      </c>
      <c r="E12" s="80">
        <v>21400</v>
      </c>
      <c r="F12" s="57">
        <v>1</v>
      </c>
      <c r="G12" s="7">
        <f>IF($B12="","",IFERROR(INDEX(Bookings!$B$3:$B$202,MATCH($B12,Bookings!$A$3:$A$202,0)),""))</f>
        <v>4600063618</v>
      </c>
      <c r="H12" s="26">
        <f>IF($A12="","",COUNTIFS(Conteneurs!$B$3:$B$1002,$A12))</f>
        <v>1</v>
      </c>
      <c r="I12" s="26">
        <f>IF($A12="","",SUMIFS(Conteneurs!$H$3:$H$1002,Conteneurs!$B$3:$B$1002,$A12))</f>
        <v>21400</v>
      </c>
      <c r="J12" s="28">
        <f t="shared" si="0"/>
        <v>0</v>
      </c>
      <c r="K12" s="77" t="str">
        <f t="shared" si="1"/>
        <v>OK</v>
      </c>
      <c r="L12" s="13"/>
    </row>
    <row r="13" spans="1:12" x14ac:dyDescent="0.35">
      <c r="A13" s="21"/>
      <c r="B13" s="21"/>
      <c r="C13" s="14"/>
      <c r="D13" s="80"/>
      <c r="E13" s="80"/>
      <c r="F13" s="22"/>
      <c r="G13" s="7" t="str">
        <f>IF($B13="","",IFERROR(INDEX(Bookings!$B$3:$B$202,MATCH($B13,Bookings!$A$3:$A$202,0)),""))</f>
        <v/>
      </c>
      <c r="H13" s="26" t="str">
        <f>IF($A13="","",COUNTIFS(Conteneurs!$B$3:$B$1002,$A13))</f>
        <v/>
      </c>
      <c r="I13" s="26" t="str">
        <f>IF($A13="","",SUMIFS(Conteneurs!$H$3:$H$1002,Conteneurs!$B$3:$B$1002,$A13))</f>
        <v/>
      </c>
      <c r="J13" s="28" t="str">
        <f t="shared" si="0"/>
        <v/>
      </c>
      <c r="K13" s="77" t="str">
        <f t="shared" si="1"/>
        <v/>
      </c>
      <c r="L13" s="13"/>
    </row>
    <row r="14" spans="1:12" x14ac:dyDescent="0.35">
      <c r="A14" s="21"/>
      <c r="B14" s="21"/>
      <c r="C14" s="14"/>
      <c r="D14" s="80"/>
      <c r="E14" s="80"/>
      <c r="F14" s="22"/>
      <c r="G14" s="7" t="str">
        <f>IF($B14="","",IFERROR(INDEX(Bookings!$B$3:$B$202,MATCH($B14,Bookings!$A$3:$A$202,0)),""))</f>
        <v/>
      </c>
      <c r="H14" s="26" t="str">
        <f>IF($A14="","",COUNTIFS(Conteneurs!$B$3:$B$1002,$A14))</f>
        <v/>
      </c>
      <c r="I14" s="26" t="str">
        <f>IF($A14="","",SUMIFS(Conteneurs!$H$3:$H$1002,Conteneurs!$B$3:$B$1002,$A14))</f>
        <v/>
      </c>
      <c r="J14" s="28" t="str">
        <f t="shared" si="0"/>
        <v/>
      </c>
      <c r="K14" s="77" t="str">
        <f t="shared" si="1"/>
        <v/>
      </c>
      <c r="L14" s="13"/>
    </row>
    <row r="15" spans="1:12" x14ac:dyDescent="0.35">
      <c r="A15" s="21"/>
      <c r="B15" s="21"/>
      <c r="C15" s="14"/>
      <c r="D15" s="80"/>
      <c r="E15" s="80"/>
      <c r="F15" s="22"/>
      <c r="G15" s="7" t="str">
        <f>IF($B15="","",IFERROR(INDEX(Bookings!$B$3:$B$202,MATCH($B15,Bookings!$A$3:$A$202,0)),""))</f>
        <v/>
      </c>
      <c r="H15" s="26" t="str">
        <f>IF($A15="","",COUNTIFS(Conteneurs!$B$3:$B$1002,$A15))</f>
        <v/>
      </c>
      <c r="I15" s="26" t="str">
        <f>IF($A15="","",SUMIFS(Conteneurs!$H$3:$H$1002,Conteneurs!$B$3:$B$1002,$A15))</f>
        <v/>
      </c>
      <c r="J15" s="28" t="str">
        <f t="shared" si="0"/>
        <v/>
      </c>
      <c r="K15" s="77"/>
      <c r="L15" s="13"/>
    </row>
    <row r="16" spans="1:12" x14ac:dyDescent="0.35">
      <c r="A16" s="21"/>
      <c r="B16" s="21"/>
      <c r="C16" s="14"/>
      <c r="D16" s="80"/>
      <c r="E16" s="80"/>
      <c r="F16" s="22"/>
      <c r="G16" s="7" t="str">
        <f>IF($B16="","",IFERROR(INDEX(Bookings!$B$3:$B$202,MATCH($B16,Bookings!$A$3:$A$202,0)),""))</f>
        <v/>
      </c>
      <c r="H16" s="26" t="str">
        <f>IF($A16="","",COUNTIFS(Conteneurs!$B$3:$B$1002,$A16))</f>
        <v/>
      </c>
      <c r="I16" s="26" t="str">
        <f>IF($A16="","",SUMIFS(Conteneurs!$H$3:$H$1002,Conteneurs!$B$3:$B$1002,$A16))</f>
        <v/>
      </c>
      <c r="J16" s="28" t="str">
        <f t="shared" si="0"/>
        <v/>
      </c>
      <c r="K16" s="77" t="str">
        <f t="shared" si="1"/>
        <v/>
      </c>
      <c r="L16" s="13"/>
    </row>
    <row r="17" spans="1:12" x14ac:dyDescent="0.35">
      <c r="A17" s="21"/>
      <c r="B17" s="21"/>
      <c r="C17" s="14"/>
      <c r="D17" s="80"/>
      <c r="E17" s="80"/>
      <c r="F17" s="22"/>
      <c r="G17" s="7" t="str">
        <f>IF($B17="","",IFERROR(INDEX(Bookings!$B$3:$B$202,MATCH($B17,Bookings!$A$3:$A$202,0)),""))</f>
        <v/>
      </c>
      <c r="H17" s="26" t="str">
        <f>IF($A17="","",COUNTIFS(Conteneurs!$B$3:$B$1002,$A17))</f>
        <v/>
      </c>
      <c r="I17" s="26" t="str">
        <f>IF($A17="","",SUMIFS(Conteneurs!$H$3:$H$1002,Conteneurs!$B$3:$B$1002,$A17))</f>
        <v/>
      </c>
      <c r="J17" s="28" t="str">
        <f t="shared" si="0"/>
        <v/>
      </c>
      <c r="K17" s="77" t="str">
        <f t="shared" si="1"/>
        <v/>
      </c>
      <c r="L17" s="13"/>
    </row>
    <row r="18" spans="1:12" x14ac:dyDescent="0.35">
      <c r="A18" s="21"/>
      <c r="B18" s="21"/>
      <c r="C18" s="14"/>
      <c r="D18" s="80"/>
      <c r="E18" s="80"/>
      <c r="F18" s="22"/>
      <c r="G18" s="7" t="str">
        <f>IF($B18="","",IFERROR(INDEX(Bookings!$B$3:$B$202,MATCH($B18,Bookings!$A$3:$A$202,0)),""))</f>
        <v/>
      </c>
      <c r="H18" s="26" t="str">
        <f>IF($A18="","",COUNTIFS(Conteneurs!$B$3:$B$1002,$A18))</f>
        <v/>
      </c>
      <c r="I18" s="26" t="str">
        <f>IF($A18="","",SUMIFS(Conteneurs!$H$3:$H$1002,Conteneurs!$B$3:$B$1002,$A18))</f>
        <v/>
      </c>
      <c r="J18" s="28" t="str">
        <f t="shared" si="0"/>
        <v/>
      </c>
      <c r="K18" s="77" t="str">
        <f t="shared" si="1"/>
        <v/>
      </c>
      <c r="L18" s="13"/>
    </row>
    <row r="19" spans="1:12" x14ac:dyDescent="0.35">
      <c r="A19" s="21"/>
      <c r="B19" s="21"/>
      <c r="C19" s="14"/>
      <c r="D19" s="80"/>
      <c r="E19" s="80"/>
      <c r="F19" s="22"/>
      <c r="G19" s="7" t="str">
        <f>IF($B19="","",IFERROR(INDEX(Bookings!$B$3:$B$202,MATCH($B19,Bookings!$A$3:$A$202,0)),""))</f>
        <v/>
      </c>
      <c r="H19" s="26" t="str">
        <f>IF($A19="","",COUNTIFS(Conteneurs!$B$3:$B$1002,$A19))</f>
        <v/>
      </c>
      <c r="I19" s="28" t="str">
        <f>IF($A19="","",SUMIFS(Conteneurs!$H$3:$H$1002,Conteneurs!$B$3:$B$1002,$A19))</f>
        <v/>
      </c>
      <c r="J19" s="28" t="str">
        <f t="shared" si="0"/>
        <v/>
      </c>
      <c r="K19" s="77" t="str">
        <f t="shared" si="1"/>
        <v/>
      </c>
      <c r="L19" s="13"/>
    </row>
    <row r="20" spans="1:12" x14ac:dyDescent="0.35">
      <c r="A20" s="21"/>
      <c r="B20" s="21"/>
      <c r="C20" s="14"/>
      <c r="D20" s="80"/>
      <c r="E20" s="80"/>
      <c r="F20" s="22"/>
      <c r="G20" s="7" t="str">
        <f>IF($B20="","",IFERROR(INDEX(Bookings!$B$3:$B$202,MATCH($B20,Bookings!$A$3:$A$202,0)),""))</f>
        <v/>
      </c>
      <c r="H20" s="26" t="str">
        <f>IF($A20="","",COUNTIFS(Conteneurs!$B$3:$B$1002,$A20))</f>
        <v/>
      </c>
      <c r="I20" s="26" t="str">
        <f>IF($A20="","",SUMIFS(Conteneurs!$H$3:$H$1002,Conteneurs!$B$3:$B$1002,$A20))</f>
        <v/>
      </c>
      <c r="J20" s="28" t="str">
        <f t="shared" si="0"/>
        <v/>
      </c>
      <c r="K20" s="77" t="str">
        <f t="shared" si="1"/>
        <v/>
      </c>
      <c r="L20" s="13"/>
    </row>
    <row r="21" spans="1:12" x14ac:dyDescent="0.35">
      <c r="A21" s="21"/>
      <c r="B21" s="21"/>
      <c r="C21" s="14"/>
      <c r="D21" s="80"/>
      <c r="E21" s="80"/>
      <c r="F21" s="22"/>
      <c r="G21" s="7" t="str">
        <f>IF($B21="","",IFERROR(INDEX(Bookings!$B$3:$B$202,MATCH($B21,Bookings!$A$3:$A$202,0)),""))</f>
        <v/>
      </c>
      <c r="H21" s="26" t="str">
        <f>IF($A21="","",COUNTIFS(Conteneurs!$B$3:$B$1002,$A21))</f>
        <v/>
      </c>
      <c r="I21" s="26" t="str">
        <f>IF($A21="","",SUMIFS(Conteneurs!$H$3:$H$1002,Conteneurs!$B$3:$B$1002,$A21))</f>
        <v/>
      </c>
      <c r="J21" s="28" t="str">
        <f t="shared" si="0"/>
        <v/>
      </c>
      <c r="K21" s="77" t="str">
        <f t="shared" si="1"/>
        <v/>
      </c>
      <c r="L21" s="13"/>
    </row>
    <row r="22" spans="1:12" x14ac:dyDescent="0.35">
      <c r="A22" s="21"/>
      <c r="B22" s="21"/>
      <c r="C22" s="14"/>
      <c r="D22" s="80"/>
      <c r="E22" s="80"/>
      <c r="F22" s="22"/>
      <c r="G22" s="7" t="str">
        <f>IF($B22="","",IFERROR(INDEX(Bookings!$B$3:$B$202,MATCH($B22,Bookings!$A$3:$A$202,0)),""))</f>
        <v/>
      </c>
      <c r="H22" s="26" t="str">
        <f>IF($A22="","",COUNTIFS(Conteneurs!$B$3:$B$1002,$A22))</f>
        <v/>
      </c>
      <c r="I22" s="26" t="str">
        <f>IF($A22="","",SUMIFS(Conteneurs!$H$3:$H$1002,Conteneurs!$B$3:$B$1002,$A22))</f>
        <v/>
      </c>
      <c r="J22" s="28" t="str">
        <f t="shared" si="0"/>
        <v/>
      </c>
      <c r="K22" s="77" t="str">
        <f t="shared" si="1"/>
        <v/>
      </c>
      <c r="L22" s="13"/>
    </row>
    <row r="23" spans="1:12" x14ac:dyDescent="0.35">
      <c r="A23" s="21"/>
      <c r="B23" s="21"/>
      <c r="C23" s="14"/>
      <c r="D23" s="80"/>
      <c r="E23" s="80"/>
      <c r="F23" s="22"/>
      <c r="G23" s="7" t="str">
        <f>IF($B23="","",IFERROR(INDEX(Bookings!$B$3:$B$202,MATCH($B23,Bookings!$A$3:$A$202,0)),""))</f>
        <v/>
      </c>
      <c r="H23" s="26" t="str">
        <f>IF($A23="","",COUNTIFS(Conteneurs!$B$3:$B$1002,$A23))</f>
        <v/>
      </c>
      <c r="I23" s="26" t="str">
        <f>IF($A23="","",SUMIFS(Conteneurs!$H$3:$H$1002,Conteneurs!$B$3:$B$1002,$A23))</f>
        <v/>
      </c>
      <c r="J23" s="28" t="str">
        <f t="shared" si="0"/>
        <v/>
      </c>
      <c r="K23" s="77" t="str">
        <f t="shared" si="1"/>
        <v/>
      </c>
      <c r="L23" s="13"/>
    </row>
    <row r="24" spans="1:12" x14ac:dyDescent="0.35">
      <c r="A24" s="21"/>
      <c r="B24" s="21"/>
      <c r="C24" s="14"/>
      <c r="D24" s="80"/>
      <c r="E24" s="80"/>
      <c r="F24" s="22"/>
      <c r="G24" s="7" t="str">
        <f>IF($B24="","",IFERROR(INDEX(Bookings!$B$3:$B$202,MATCH($B24,Bookings!$A$3:$A$202,0)),""))</f>
        <v/>
      </c>
      <c r="H24" s="26" t="str">
        <f>IF($A24="","",COUNTIFS(Conteneurs!$B$3:$B$1002,$A24))</f>
        <v/>
      </c>
      <c r="I24" s="26" t="str">
        <f>IF($A24="","",SUMIFS(Conteneurs!$H$3:$H$1002,Conteneurs!$B$3:$B$1002,$A24))</f>
        <v/>
      </c>
      <c r="J24" s="28" t="str">
        <f t="shared" si="0"/>
        <v/>
      </c>
      <c r="K24" s="77" t="str">
        <f t="shared" si="1"/>
        <v/>
      </c>
      <c r="L24" s="13"/>
    </row>
    <row r="25" spans="1:12" x14ac:dyDescent="0.35">
      <c r="A25" s="21"/>
      <c r="B25" s="21"/>
      <c r="C25" s="14"/>
      <c r="D25" s="80"/>
      <c r="E25" s="80"/>
      <c r="F25" s="22"/>
      <c r="G25" s="7" t="str">
        <f>IF($B25="","",IFERROR(INDEX(Bookings!$B$3:$B$202,MATCH($B25,Bookings!$A$3:$A$202,0)),""))</f>
        <v/>
      </c>
      <c r="H25" s="26" t="str">
        <f>IF($A25="","",COUNTIFS(Conteneurs!$B$3:$B$1002,$A25))</f>
        <v/>
      </c>
      <c r="I25" s="26" t="str">
        <f>IF($A25="","",SUMIFS(Conteneurs!$H$3:$H$1002,Conteneurs!$B$3:$B$1002,$A25))</f>
        <v/>
      </c>
      <c r="J25" s="28" t="str">
        <f t="shared" si="0"/>
        <v/>
      </c>
      <c r="K25" s="77" t="str">
        <f t="shared" si="1"/>
        <v/>
      </c>
      <c r="L25" s="13"/>
    </row>
    <row r="26" spans="1:12" x14ac:dyDescent="0.35">
      <c r="A26" s="21"/>
      <c r="B26" s="21"/>
      <c r="C26" s="14"/>
      <c r="D26" s="80"/>
      <c r="E26" s="80"/>
      <c r="F26" s="22"/>
      <c r="G26" s="7" t="str">
        <f>IF($B26="","",IFERROR(INDEX(Bookings!$B$3:$B$202,MATCH($B26,Bookings!$A$3:$A$202,0)),""))</f>
        <v/>
      </c>
      <c r="H26" s="26" t="str">
        <f>IF($A26="","",COUNTIFS(Conteneurs!$B$3:$B$1002,$A26))</f>
        <v/>
      </c>
      <c r="I26" s="26" t="str">
        <f>IF($A26="","",SUMIFS(Conteneurs!$H$3:$H$1002,Conteneurs!$B$3:$B$1002,$A26))</f>
        <v/>
      </c>
      <c r="J26" s="28" t="str">
        <f t="shared" si="0"/>
        <v/>
      </c>
      <c r="K26" s="77" t="str">
        <f t="shared" si="1"/>
        <v/>
      </c>
      <c r="L26" s="13"/>
    </row>
    <row r="27" spans="1:12" x14ac:dyDescent="0.35">
      <c r="A27" s="21"/>
      <c r="B27" s="21"/>
      <c r="C27" s="14"/>
      <c r="D27" s="80"/>
      <c r="E27" s="80"/>
      <c r="F27" s="22"/>
      <c r="G27" s="7" t="str">
        <f>IF($B27="","",IFERROR(INDEX(Bookings!$B$3:$B$202,MATCH($B27,Bookings!$A$3:$A$202,0)),""))</f>
        <v/>
      </c>
      <c r="H27" s="26" t="str">
        <f>IF($A27="","",COUNTIFS(Conteneurs!$B$3:$B$1002,$A27))</f>
        <v/>
      </c>
      <c r="I27" s="26" t="str">
        <f>IF($A27="","",SUMIFS(Conteneurs!$H$3:$H$1002,Conteneurs!$B$3:$B$1002,$A27))</f>
        <v/>
      </c>
      <c r="J27" s="28" t="str">
        <f t="shared" si="0"/>
        <v/>
      </c>
      <c r="K27" s="77" t="str">
        <f t="shared" si="1"/>
        <v/>
      </c>
      <c r="L27" s="13"/>
    </row>
    <row r="28" spans="1:12" x14ac:dyDescent="0.35">
      <c r="A28" s="21"/>
      <c r="B28" s="21"/>
      <c r="C28" s="14"/>
      <c r="D28" s="80"/>
      <c r="E28" s="80"/>
      <c r="F28" s="22"/>
      <c r="G28" s="7" t="str">
        <f>IF($B28="","",IFERROR(INDEX(Bookings!$B$3:$B$202,MATCH($B28,Bookings!$A$3:$A$202,0)),""))</f>
        <v/>
      </c>
      <c r="H28" s="26" t="str">
        <f>IF($A28="","",COUNTIFS(Conteneurs!$B$3:$B$1002,$A28))</f>
        <v/>
      </c>
      <c r="I28" s="26" t="str">
        <f>IF($A28="","",SUMIFS(Conteneurs!$H$3:$H$1002,Conteneurs!$B$3:$B$1002,$A28))</f>
        <v/>
      </c>
      <c r="J28" s="28" t="str">
        <f t="shared" si="0"/>
        <v/>
      </c>
      <c r="K28" s="77" t="str">
        <f t="shared" si="1"/>
        <v/>
      </c>
      <c r="L28" s="13"/>
    </row>
    <row r="29" spans="1:12" x14ac:dyDescent="0.35">
      <c r="A29" s="21"/>
      <c r="B29" s="21"/>
      <c r="C29" s="14"/>
      <c r="D29" s="80"/>
      <c r="E29" s="80"/>
      <c r="F29" s="22"/>
      <c r="G29" s="7" t="str">
        <f>IF($B29="","",IFERROR(INDEX(Bookings!$B$3:$B$202,MATCH($B29,Bookings!$A$3:$A$202,0)),""))</f>
        <v/>
      </c>
      <c r="H29" s="26" t="str">
        <f>IF($A29="","",COUNTIFS(Conteneurs!$B$3:$B$1002,$A29))</f>
        <v/>
      </c>
      <c r="I29" s="26" t="str">
        <f>IF($A29="","",SUMIFS(Conteneurs!$H$3:$H$1002,Conteneurs!$B$3:$B$1002,$A29))</f>
        <v/>
      </c>
      <c r="J29" s="28" t="str">
        <f t="shared" si="0"/>
        <v/>
      </c>
      <c r="K29" s="77" t="str">
        <f t="shared" si="1"/>
        <v/>
      </c>
      <c r="L29" s="13"/>
    </row>
    <row r="30" spans="1:12" x14ac:dyDescent="0.35">
      <c r="A30" s="21"/>
      <c r="B30" s="21"/>
      <c r="C30" s="14"/>
      <c r="D30" s="80"/>
      <c r="E30" s="80"/>
      <c r="F30" s="22"/>
      <c r="G30" s="7" t="str">
        <f>IF($B30="","",IFERROR(INDEX(Bookings!$B$3:$B$202,MATCH($B30,Bookings!$A$3:$A$202,0)),""))</f>
        <v/>
      </c>
      <c r="H30" s="26" t="str">
        <f>IF($A30="","",COUNTIFS(Conteneurs!$B$3:$B$1002,$A30))</f>
        <v/>
      </c>
      <c r="I30" s="26" t="str">
        <f>IF($A30="","",SUMIFS(Conteneurs!$H$3:$H$1002,Conteneurs!$B$3:$B$1002,$A30))</f>
        <v/>
      </c>
      <c r="J30" s="28" t="str">
        <f t="shared" si="0"/>
        <v/>
      </c>
      <c r="K30" s="77" t="str">
        <f t="shared" si="1"/>
        <v/>
      </c>
      <c r="L30" s="13"/>
    </row>
    <row r="31" spans="1:12" x14ac:dyDescent="0.35">
      <c r="A31" s="21"/>
      <c r="B31" s="21"/>
      <c r="C31" s="14"/>
      <c r="D31" s="80"/>
      <c r="E31" s="80"/>
      <c r="F31" s="22"/>
      <c r="G31" s="7" t="str">
        <f>IF($B31="","",IFERROR(INDEX(Bookings!$B$3:$B$202,MATCH($B31,Bookings!$A$3:$A$202,0)),""))</f>
        <v/>
      </c>
      <c r="H31" s="26" t="str">
        <f>IF($A31="","",COUNTIFS(Conteneurs!$B$3:$B$1002,$A31))</f>
        <v/>
      </c>
      <c r="I31" s="26" t="str">
        <f>IF($A31="","",SUMIFS(Conteneurs!$H$3:$H$1002,Conteneurs!$B$3:$B$1002,$A31))</f>
        <v/>
      </c>
      <c r="J31" s="28" t="str">
        <f t="shared" si="0"/>
        <v/>
      </c>
      <c r="K31" s="77" t="str">
        <f t="shared" si="1"/>
        <v/>
      </c>
      <c r="L31" s="13"/>
    </row>
    <row r="32" spans="1:12" x14ac:dyDescent="0.35">
      <c r="A32" s="21"/>
      <c r="B32" s="21"/>
      <c r="C32" s="14"/>
      <c r="D32" s="80"/>
      <c r="E32" s="80"/>
      <c r="F32" s="22"/>
      <c r="G32" s="7" t="str">
        <f>IF($B32="","",IFERROR(INDEX(Bookings!$B$3:$B$202,MATCH($B32,Bookings!$A$3:$A$202,0)),""))</f>
        <v/>
      </c>
      <c r="H32" s="26" t="str">
        <f>IF($A32="","",COUNTIFS(Conteneurs!$B$3:$B$1002,$A32))</f>
        <v/>
      </c>
      <c r="I32" s="26" t="str">
        <f>IF($A32="","",SUMIFS(Conteneurs!$H$3:$H$1002,Conteneurs!$B$3:$B$1002,$A32))</f>
        <v/>
      </c>
      <c r="J32" s="28" t="str">
        <f t="shared" si="0"/>
        <v/>
      </c>
      <c r="K32" s="77" t="str">
        <f t="shared" si="1"/>
        <v/>
      </c>
      <c r="L32" s="13"/>
    </row>
    <row r="33" spans="1:12" x14ac:dyDescent="0.35">
      <c r="A33" s="21"/>
      <c r="B33" s="21"/>
      <c r="C33" s="14"/>
      <c r="D33" s="80"/>
      <c r="E33" s="80"/>
      <c r="F33" s="22"/>
      <c r="G33" s="7" t="str">
        <f>IF($B33="","",IFERROR(INDEX(Bookings!$B$3:$B$202,MATCH($B33,Bookings!$A$3:$A$202,0)),""))</f>
        <v/>
      </c>
      <c r="H33" s="26" t="str">
        <f>IF($A33="","",COUNTIFS(Conteneurs!$B$3:$B$1002,$A33))</f>
        <v/>
      </c>
      <c r="I33" s="26" t="str">
        <f>IF($A33="","",SUMIFS(Conteneurs!$H$3:$H$1002,Conteneurs!$B$3:$B$1002,$A33))</f>
        <v/>
      </c>
      <c r="J33" s="28" t="str">
        <f t="shared" si="0"/>
        <v/>
      </c>
      <c r="K33" s="77" t="str">
        <f t="shared" si="1"/>
        <v/>
      </c>
      <c r="L33" s="13"/>
    </row>
    <row r="34" spans="1:12" x14ac:dyDescent="0.35">
      <c r="A34" s="21"/>
      <c r="B34" s="21"/>
      <c r="C34" s="14"/>
      <c r="D34" s="80"/>
      <c r="E34" s="80"/>
      <c r="F34" s="22"/>
      <c r="G34" s="7" t="str">
        <f>IF($B34="","",IFERROR(INDEX(Bookings!$B$3:$B$202,MATCH($B34,Bookings!$A$3:$A$202,0)),""))</f>
        <v/>
      </c>
      <c r="H34" s="26" t="str">
        <f>IF($A34="","",COUNTIFS(Conteneurs!$B$3:$B$1002,$A34))</f>
        <v/>
      </c>
      <c r="I34" s="26" t="str">
        <f>IF($A34="","",SUMIFS(Conteneurs!$H$3:$H$1002,Conteneurs!$B$3:$B$1002,$A34))</f>
        <v/>
      </c>
      <c r="J34" s="28" t="str">
        <f t="shared" si="0"/>
        <v/>
      </c>
      <c r="K34" s="77" t="str">
        <f t="shared" si="1"/>
        <v/>
      </c>
      <c r="L34" s="13"/>
    </row>
    <row r="35" spans="1:12" x14ac:dyDescent="0.35">
      <c r="A35" s="21"/>
      <c r="B35" s="21"/>
      <c r="C35" s="14"/>
      <c r="D35" s="80"/>
      <c r="E35" s="80"/>
      <c r="F35" s="22"/>
      <c r="G35" s="7" t="str">
        <f>IF($B35="","",IFERROR(INDEX(Bookings!$B$3:$B$202,MATCH($B35,Bookings!$A$3:$A$202,0)),""))</f>
        <v/>
      </c>
      <c r="H35" s="26" t="str">
        <f>IF($A35="","",COUNTIFS(Conteneurs!$B$3:$B$1002,$A35))</f>
        <v/>
      </c>
      <c r="I35" s="26" t="str">
        <f>IF($A35="","",SUMIFS(Conteneurs!$H$3:$H$1002,Conteneurs!$B$3:$B$1002,$A35))</f>
        <v/>
      </c>
      <c r="J35" s="28" t="str">
        <f t="shared" ref="J35:J66" si="2">IF(OR($A35="",$E35=""),"",$E35-$I35)</f>
        <v/>
      </c>
      <c r="K35" s="77" t="str">
        <f t="shared" ref="K35:K66" si="3">IF($A35="","",IF(AND(OR($F35="",$H35=$F35),OR($E35="",ABS(N($E35)-$I35)&lt;=0.5)),"OK","Écart : "&amp;TRIM(IF(AND($F35&lt;&gt;"",$H35&lt;&gt;$F35),"nb conteneurs ","")&amp;IF(AND($E35&lt;&gt;"",ABS(N($E35)-$I35)&gt;0.5),"poids net",""))))</f>
        <v/>
      </c>
      <c r="L35" s="13"/>
    </row>
    <row r="36" spans="1:12" x14ac:dyDescent="0.35">
      <c r="A36" s="21"/>
      <c r="B36" s="21"/>
      <c r="C36" s="14"/>
      <c r="D36" s="80"/>
      <c r="E36" s="80"/>
      <c r="F36" s="22"/>
      <c r="G36" s="7" t="str">
        <f>IF($B36="","",IFERROR(INDEX(Bookings!$B$3:$B$202,MATCH($B36,Bookings!$A$3:$A$202,0)),""))</f>
        <v/>
      </c>
      <c r="H36" s="26" t="str">
        <f>IF($A36="","",COUNTIFS(Conteneurs!$B$3:$B$1002,$A36))</f>
        <v/>
      </c>
      <c r="I36" s="26" t="str">
        <f>IF($A36="","",SUMIFS(Conteneurs!$H$3:$H$1002,Conteneurs!$B$3:$B$1002,$A36))</f>
        <v/>
      </c>
      <c r="J36" s="28" t="str">
        <f t="shared" si="2"/>
        <v/>
      </c>
      <c r="K36" s="77" t="str">
        <f t="shared" si="3"/>
        <v/>
      </c>
      <c r="L36" s="13"/>
    </row>
    <row r="37" spans="1:12" x14ac:dyDescent="0.35">
      <c r="A37" s="21"/>
      <c r="B37" s="21"/>
      <c r="C37" s="14"/>
      <c r="D37" s="80"/>
      <c r="E37" s="80"/>
      <c r="F37" s="22"/>
      <c r="G37" s="7" t="str">
        <f>IF($B37="","",IFERROR(INDEX(Bookings!$B$3:$B$202,MATCH($B37,Bookings!$A$3:$A$202,0)),""))</f>
        <v/>
      </c>
      <c r="H37" s="26" t="str">
        <f>IF($A37="","",COUNTIFS(Conteneurs!$B$3:$B$1002,$A37))</f>
        <v/>
      </c>
      <c r="I37" s="26" t="str">
        <f>IF($A37="","",SUMIFS(Conteneurs!$H$3:$H$1002,Conteneurs!$B$3:$B$1002,$A37))</f>
        <v/>
      </c>
      <c r="J37" s="28" t="str">
        <f t="shared" si="2"/>
        <v/>
      </c>
      <c r="K37" s="77" t="str">
        <f t="shared" si="3"/>
        <v/>
      </c>
      <c r="L37" s="13"/>
    </row>
    <row r="38" spans="1:12" x14ac:dyDescent="0.35">
      <c r="A38" s="21"/>
      <c r="B38" s="21"/>
      <c r="C38" s="14"/>
      <c r="D38" s="80"/>
      <c r="E38" s="80"/>
      <c r="F38" s="22"/>
      <c r="G38" s="7" t="str">
        <f>IF($B38="","",IFERROR(INDEX(Bookings!$B$3:$B$202,MATCH($B38,Bookings!$A$3:$A$202,0)),""))</f>
        <v/>
      </c>
      <c r="H38" s="26" t="str">
        <f>IF($A38="","",COUNTIFS(Conteneurs!$B$3:$B$1002,$A38))</f>
        <v/>
      </c>
      <c r="I38" s="26" t="str">
        <f>IF($A38="","",SUMIFS(Conteneurs!$H$3:$H$1002,Conteneurs!$B$3:$B$1002,$A38))</f>
        <v/>
      </c>
      <c r="J38" s="28" t="str">
        <f t="shared" si="2"/>
        <v/>
      </c>
      <c r="K38" s="77" t="str">
        <f t="shared" si="3"/>
        <v/>
      </c>
      <c r="L38" s="13"/>
    </row>
    <row r="39" spans="1:12" x14ac:dyDescent="0.35">
      <c r="A39" s="21"/>
      <c r="B39" s="21"/>
      <c r="C39" s="14"/>
      <c r="D39" s="80"/>
      <c r="E39" s="80"/>
      <c r="F39" s="22"/>
      <c r="G39" s="7" t="str">
        <f>IF($B39="","",IFERROR(INDEX(Bookings!$B$3:$B$202,MATCH($B39,Bookings!$A$3:$A$202,0)),""))</f>
        <v/>
      </c>
      <c r="H39" s="26" t="str">
        <f>IF($A39="","",COUNTIFS(Conteneurs!$B$3:$B$1002,$A39))</f>
        <v/>
      </c>
      <c r="I39" s="26" t="str">
        <f>IF($A39="","",SUMIFS(Conteneurs!$H$3:$H$1002,Conteneurs!$B$3:$B$1002,$A39))</f>
        <v/>
      </c>
      <c r="J39" s="28" t="str">
        <f t="shared" si="2"/>
        <v/>
      </c>
      <c r="K39" s="77" t="str">
        <f t="shared" si="3"/>
        <v/>
      </c>
      <c r="L39" s="13"/>
    </row>
    <row r="40" spans="1:12" x14ac:dyDescent="0.35">
      <c r="A40" s="21"/>
      <c r="B40" s="21"/>
      <c r="C40" s="14"/>
      <c r="D40" s="80"/>
      <c r="E40" s="80"/>
      <c r="F40" s="22"/>
      <c r="G40" s="7" t="str">
        <f>IF($B40="","",IFERROR(INDEX(Bookings!$B$3:$B$202,MATCH($B40,Bookings!$A$3:$A$202,0)),""))</f>
        <v/>
      </c>
      <c r="H40" s="26" t="str">
        <f>IF($A40="","",COUNTIFS(Conteneurs!$B$3:$B$1002,$A40))</f>
        <v/>
      </c>
      <c r="I40" s="26" t="str">
        <f>IF($A40="","",SUMIFS(Conteneurs!$H$3:$H$1002,Conteneurs!$B$3:$B$1002,$A40))</f>
        <v/>
      </c>
      <c r="J40" s="28" t="str">
        <f t="shared" si="2"/>
        <v/>
      </c>
      <c r="K40" s="77" t="str">
        <f t="shared" si="3"/>
        <v/>
      </c>
      <c r="L40" s="13"/>
    </row>
    <row r="41" spans="1:12" x14ac:dyDescent="0.35">
      <c r="A41" s="21"/>
      <c r="B41" s="21"/>
      <c r="C41" s="14"/>
      <c r="D41" s="80"/>
      <c r="E41" s="80"/>
      <c r="F41" s="22"/>
      <c r="G41" s="7" t="str">
        <f>IF($B41="","",IFERROR(INDEX(Bookings!$B$3:$B$202,MATCH($B41,Bookings!$A$3:$A$202,0)),""))</f>
        <v/>
      </c>
      <c r="H41" s="26" t="str">
        <f>IF($A41="","",COUNTIFS(Conteneurs!$B$3:$B$1002,$A41))</f>
        <v/>
      </c>
      <c r="I41" s="26" t="str">
        <f>IF($A41="","",SUMIFS(Conteneurs!$H$3:$H$1002,Conteneurs!$B$3:$B$1002,$A41))</f>
        <v/>
      </c>
      <c r="J41" s="28" t="str">
        <f t="shared" si="2"/>
        <v/>
      </c>
      <c r="K41" s="77" t="str">
        <f t="shared" si="3"/>
        <v/>
      </c>
      <c r="L41" s="13"/>
    </row>
    <row r="42" spans="1:12" x14ac:dyDescent="0.35">
      <c r="A42" s="21"/>
      <c r="B42" s="21"/>
      <c r="C42" s="14"/>
      <c r="D42" s="80"/>
      <c r="E42" s="80"/>
      <c r="F42" s="22"/>
      <c r="G42" s="7" t="str">
        <f>IF($B42="","",IFERROR(INDEX(Bookings!$B$3:$B$202,MATCH($B42,Bookings!$A$3:$A$202,0)),""))</f>
        <v/>
      </c>
      <c r="H42" s="26" t="str">
        <f>IF($A42="","",COUNTIFS(Conteneurs!$B$3:$B$1002,$A42))</f>
        <v/>
      </c>
      <c r="I42" s="26" t="str">
        <f>IF($A42="","",SUMIFS(Conteneurs!$H$3:$H$1002,Conteneurs!$B$3:$B$1002,$A42))</f>
        <v/>
      </c>
      <c r="J42" s="28" t="str">
        <f t="shared" si="2"/>
        <v/>
      </c>
      <c r="K42" s="77" t="str">
        <f t="shared" si="3"/>
        <v/>
      </c>
      <c r="L42" s="13"/>
    </row>
    <row r="43" spans="1:12" x14ac:dyDescent="0.35">
      <c r="A43" s="21"/>
      <c r="B43" s="21"/>
      <c r="C43" s="14"/>
      <c r="D43" s="80"/>
      <c r="E43" s="80"/>
      <c r="F43" s="22"/>
      <c r="G43" s="7" t="str">
        <f>IF($B43="","",IFERROR(INDEX(Bookings!$B$3:$B$202,MATCH($B43,Bookings!$A$3:$A$202,0)),""))</f>
        <v/>
      </c>
      <c r="H43" s="26" t="str">
        <f>IF($A43="","",COUNTIFS(Conteneurs!$B$3:$B$1002,$A43))</f>
        <v/>
      </c>
      <c r="I43" s="26" t="str">
        <f>IF($A43="","",SUMIFS(Conteneurs!$H$3:$H$1002,Conteneurs!$B$3:$B$1002,$A43))</f>
        <v/>
      </c>
      <c r="J43" s="28" t="str">
        <f t="shared" si="2"/>
        <v/>
      </c>
      <c r="K43" s="77" t="str">
        <f t="shared" si="3"/>
        <v/>
      </c>
      <c r="L43" s="13"/>
    </row>
    <row r="44" spans="1:12" x14ac:dyDescent="0.35">
      <c r="A44" s="21"/>
      <c r="B44" s="21"/>
      <c r="C44" s="14"/>
      <c r="D44" s="80"/>
      <c r="E44" s="80"/>
      <c r="F44" s="22"/>
      <c r="G44" s="7" t="str">
        <f>IF($B44="","",IFERROR(INDEX(Bookings!$B$3:$B$202,MATCH($B44,Bookings!$A$3:$A$202,0)),""))</f>
        <v/>
      </c>
      <c r="H44" s="26" t="str">
        <f>IF($A44="","",COUNTIFS(Conteneurs!$B$3:$B$1002,$A44))</f>
        <v/>
      </c>
      <c r="I44" s="26" t="str">
        <f>IF($A44="","",SUMIFS(Conteneurs!$H$3:$H$1002,Conteneurs!$B$3:$B$1002,$A44))</f>
        <v/>
      </c>
      <c r="J44" s="28" t="str">
        <f t="shared" si="2"/>
        <v/>
      </c>
      <c r="K44" s="77" t="str">
        <f t="shared" si="3"/>
        <v/>
      </c>
      <c r="L44" s="13"/>
    </row>
    <row r="45" spans="1:12" x14ac:dyDescent="0.35">
      <c r="A45" s="21"/>
      <c r="B45" s="21"/>
      <c r="C45" s="14"/>
      <c r="D45" s="80"/>
      <c r="E45" s="80"/>
      <c r="F45" s="22"/>
      <c r="G45" s="7" t="str">
        <f>IF($B45="","",IFERROR(INDEX(Bookings!$B$3:$B$202,MATCH($B45,Bookings!$A$3:$A$202,0)),""))</f>
        <v/>
      </c>
      <c r="H45" s="26" t="str">
        <f>IF($A45="","",COUNTIFS(Conteneurs!$B$3:$B$1002,$A45))</f>
        <v/>
      </c>
      <c r="I45" s="26" t="str">
        <f>IF($A45="","",SUMIFS(Conteneurs!$H$3:$H$1002,Conteneurs!$B$3:$B$1002,$A45))</f>
        <v/>
      </c>
      <c r="J45" s="28" t="str">
        <f t="shared" si="2"/>
        <v/>
      </c>
      <c r="K45" s="77" t="str">
        <f t="shared" si="3"/>
        <v/>
      </c>
      <c r="L45" s="13"/>
    </row>
    <row r="46" spans="1:12" x14ac:dyDescent="0.35">
      <c r="A46" s="21"/>
      <c r="B46" s="21"/>
      <c r="C46" s="14"/>
      <c r="D46" s="80"/>
      <c r="E46" s="80"/>
      <c r="F46" s="22"/>
      <c r="G46" s="7" t="str">
        <f>IF($B46="","",IFERROR(INDEX(Bookings!$B$3:$B$202,MATCH($B46,Bookings!$A$3:$A$202,0)),""))</f>
        <v/>
      </c>
      <c r="H46" s="26" t="str">
        <f>IF($A46="","",COUNTIFS(Conteneurs!$B$3:$B$1002,$A46))</f>
        <v/>
      </c>
      <c r="I46" s="26" t="str">
        <f>IF($A46="","",SUMIFS(Conteneurs!$H$3:$H$1002,Conteneurs!$B$3:$B$1002,$A46))</f>
        <v/>
      </c>
      <c r="J46" s="28" t="str">
        <f t="shared" si="2"/>
        <v/>
      </c>
      <c r="K46" s="77" t="str">
        <f t="shared" si="3"/>
        <v/>
      </c>
      <c r="L46" s="13"/>
    </row>
    <row r="47" spans="1:12" x14ac:dyDescent="0.35">
      <c r="A47" s="21"/>
      <c r="B47" s="21"/>
      <c r="C47" s="14"/>
      <c r="D47" s="80"/>
      <c r="E47" s="80"/>
      <c r="F47" s="22"/>
      <c r="G47" s="7" t="str">
        <f>IF($B47="","",IFERROR(INDEX(Bookings!$B$3:$B$202,MATCH($B47,Bookings!$A$3:$A$202,0)),""))</f>
        <v/>
      </c>
      <c r="H47" s="26" t="str">
        <f>IF($A47="","",COUNTIFS(Conteneurs!$B$3:$B$1002,$A47))</f>
        <v/>
      </c>
      <c r="I47" s="26" t="str">
        <f>IF($A47="","",SUMIFS(Conteneurs!$H$3:$H$1002,Conteneurs!$B$3:$B$1002,$A47))</f>
        <v/>
      </c>
      <c r="J47" s="28" t="str">
        <f t="shared" si="2"/>
        <v/>
      </c>
      <c r="K47" s="77" t="str">
        <f t="shared" si="3"/>
        <v/>
      </c>
      <c r="L47" s="13"/>
    </row>
    <row r="48" spans="1:12" x14ac:dyDescent="0.35">
      <c r="A48" s="21"/>
      <c r="B48" s="21"/>
      <c r="C48" s="14"/>
      <c r="D48" s="80"/>
      <c r="E48" s="80"/>
      <c r="F48" s="22"/>
      <c r="G48" s="7" t="str">
        <f>IF($B48="","",IFERROR(INDEX(Bookings!$B$3:$B$202,MATCH($B48,Bookings!$A$3:$A$202,0)),""))</f>
        <v/>
      </c>
      <c r="H48" s="26" t="str">
        <f>IF($A48="","",COUNTIFS(Conteneurs!$B$3:$B$1002,$A48))</f>
        <v/>
      </c>
      <c r="I48" s="26" t="str">
        <f>IF($A48="","",SUMIFS(Conteneurs!$H$3:$H$1002,Conteneurs!$B$3:$B$1002,$A48))</f>
        <v/>
      </c>
      <c r="J48" s="28" t="str">
        <f t="shared" si="2"/>
        <v/>
      </c>
      <c r="K48" s="77" t="str">
        <f t="shared" si="3"/>
        <v/>
      </c>
      <c r="L48" s="13"/>
    </row>
    <row r="49" spans="1:12" x14ac:dyDescent="0.35">
      <c r="A49" s="21"/>
      <c r="B49" s="21"/>
      <c r="C49" s="14"/>
      <c r="D49" s="80"/>
      <c r="E49" s="80"/>
      <c r="F49" s="22"/>
      <c r="G49" s="7" t="str">
        <f>IF($B49="","",IFERROR(INDEX(Bookings!$B$3:$B$202,MATCH($B49,Bookings!$A$3:$A$202,0)),""))</f>
        <v/>
      </c>
      <c r="H49" s="26" t="str">
        <f>IF($A49="","",COUNTIFS(Conteneurs!$B$3:$B$1002,$A49))</f>
        <v/>
      </c>
      <c r="I49" s="26" t="str">
        <f>IF($A49="","",SUMIFS(Conteneurs!$H$3:$H$1002,Conteneurs!$B$3:$B$1002,$A49))</f>
        <v/>
      </c>
      <c r="J49" s="28" t="str">
        <f t="shared" si="2"/>
        <v/>
      </c>
      <c r="K49" s="77" t="str">
        <f t="shared" si="3"/>
        <v/>
      </c>
      <c r="L49" s="13"/>
    </row>
    <row r="50" spans="1:12" x14ac:dyDescent="0.35">
      <c r="A50" s="21"/>
      <c r="B50" s="21"/>
      <c r="C50" s="14"/>
      <c r="D50" s="80"/>
      <c r="E50" s="80"/>
      <c r="F50" s="22"/>
      <c r="G50" s="7" t="str">
        <f>IF($B50="","",IFERROR(INDEX(Bookings!$B$3:$B$202,MATCH($B50,Bookings!$A$3:$A$202,0)),""))</f>
        <v/>
      </c>
      <c r="H50" s="26" t="str">
        <f>IF($A50="","",COUNTIFS(Conteneurs!$B$3:$B$1002,$A50))</f>
        <v/>
      </c>
      <c r="I50" s="26" t="str">
        <f>IF($A50="","",SUMIFS(Conteneurs!$H$3:$H$1002,Conteneurs!$B$3:$B$1002,$A50))</f>
        <v/>
      </c>
      <c r="J50" s="28" t="str">
        <f t="shared" si="2"/>
        <v/>
      </c>
      <c r="K50" s="77" t="str">
        <f t="shared" si="3"/>
        <v/>
      </c>
      <c r="L50" s="13"/>
    </row>
    <row r="51" spans="1:12" x14ac:dyDescent="0.35">
      <c r="A51" s="21"/>
      <c r="B51" s="21"/>
      <c r="C51" s="14"/>
      <c r="D51" s="80"/>
      <c r="E51" s="80"/>
      <c r="F51" s="22"/>
      <c r="G51" s="7" t="str">
        <f>IF($B51="","",IFERROR(INDEX(Bookings!$B$3:$B$202,MATCH($B51,Bookings!$A$3:$A$202,0)),""))</f>
        <v/>
      </c>
      <c r="H51" s="26" t="str">
        <f>IF($A51="","",COUNTIFS(Conteneurs!$B$3:$B$1002,$A51))</f>
        <v/>
      </c>
      <c r="I51" s="26" t="str">
        <f>IF($A51="","",SUMIFS(Conteneurs!$H$3:$H$1002,Conteneurs!$B$3:$B$1002,$A51))</f>
        <v/>
      </c>
      <c r="J51" s="28" t="str">
        <f t="shared" si="2"/>
        <v/>
      </c>
      <c r="K51" s="77" t="str">
        <f t="shared" si="3"/>
        <v/>
      </c>
      <c r="L51" s="13"/>
    </row>
    <row r="52" spans="1:12" x14ac:dyDescent="0.35">
      <c r="A52" s="21"/>
      <c r="B52" s="21"/>
      <c r="C52" s="14"/>
      <c r="D52" s="80"/>
      <c r="E52" s="80"/>
      <c r="F52" s="22"/>
      <c r="G52" s="7" t="str">
        <f>IF($B52="","",IFERROR(INDEX(Bookings!$B$3:$B$202,MATCH($B52,Bookings!$A$3:$A$202,0)),""))</f>
        <v/>
      </c>
      <c r="H52" s="26" t="str">
        <f>IF($A52="","",COUNTIFS(Conteneurs!$B$3:$B$1002,$A52))</f>
        <v/>
      </c>
      <c r="I52" s="26" t="str">
        <f>IF($A52="","",SUMIFS(Conteneurs!$H$3:$H$1002,Conteneurs!$B$3:$B$1002,$A52))</f>
        <v/>
      </c>
      <c r="J52" s="28" t="str">
        <f t="shared" si="2"/>
        <v/>
      </c>
      <c r="K52" s="77" t="str">
        <f t="shared" si="3"/>
        <v/>
      </c>
      <c r="L52" s="13"/>
    </row>
    <row r="53" spans="1:12" x14ac:dyDescent="0.35">
      <c r="A53" s="21"/>
      <c r="B53" s="21"/>
      <c r="C53" s="14"/>
      <c r="D53" s="80"/>
      <c r="E53" s="80"/>
      <c r="F53" s="22"/>
      <c r="G53" s="7" t="str">
        <f>IF($B53="","",IFERROR(INDEX(Bookings!$B$3:$B$202,MATCH($B53,Bookings!$A$3:$A$202,0)),""))</f>
        <v/>
      </c>
      <c r="H53" s="26" t="str">
        <f>IF($A53="","",COUNTIFS(Conteneurs!$B$3:$B$1002,$A53))</f>
        <v/>
      </c>
      <c r="I53" s="26" t="str">
        <f>IF($A53="","",SUMIFS(Conteneurs!$H$3:$H$1002,Conteneurs!$B$3:$B$1002,$A53))</f>
        <v/>
      </c>
      <c r="J53" s="28" t="str">
        <f t="shared" si="2"/>
        <v/>
      </c>
      <c r="K53" s="77" t="str">
        <f t="shared" si="3"/>
        <v/>
      </c>
      <c r="L53" s="13"/>
    </row>
    <row r="54" spans="1:12" x14ac:dyDescent="0.35">
      <c r="A54" s="21"/>
      <c r="B54" s="21"/>
      <c r="C54" s="14"/>
      <c r="D54" s="80"/>
      <c r="E54" s="80"/>
      <c r="F54" s="22"/>
      <c r="G54" s="7" t="str">
        <f>IF($B54="","",IFERROR(INDEX(Bookings!$B$3:$B$202,MATCH($B54,Bookings!$A$3:$A$202,0)),""))</f>
        <v/>
      </c>
      <c r="H54" s="26" t="str">
        <f>IF($A54="","",COUNTIFS(Conteneurs!$B$3:$B$1002,$A54))</f>
        <v/>
      </c>
      <c r="I54" s="26" t="str">
        <f>IF($A54="","",SUMIFS(Conteneurs!$H$3:$H$1002,Conteneurs!$B$3:$B$1002,$A54))</f>
        <v/>
      </c>
      <c r="J54" s="28" t="str">
        <f t="shared" si="2"/>
        <v/>
      </c>
      <c r="K54" s="77" t="str">
        <f t="shared" si="3"/>
        <v/>
      </c>
      <c r="L54" s="13"/>
    </row>
    <row r="55" spans="1:12" x14ac:dyDescent="0.35">
      <c r="A55" s="21"/>
      <c r="B55" s="21"/>
      <c r="C55" s="14"/>
      <c r="D55" s="80"/>
      <c r="E55" s="80"/>
      <c r="F55" s="22"/>
      <c r="G55" s="7" t="str">
        <f>IF($B55="","",IFERROR(INDEX(Bookings!$B$3:$B$202,MATCH($B55,Bookings!$A$3:$A$202,0)),""))</f>
        <v/>
      </c>
      <c r="H55" s="26" t="str">
        <f>IF($A55="","",COUNTIFS(Conteneurs!$B$3:$B$1002,$A55))</f>
        <v/>
      </c>
      <c r="I55" s="26" t="str">
        <f>IF($A55="","",SUMIFS(Conteneurs!$H$3:$H$1002,Conteneurs!$B$3:$B$1002,$A55))</f>
        <v/>
      </c>
      <c r="J55" s="28" t="str">
        <f t="shared" si="2"/>
        <v/>
      </c>
      <c r="K55" s="77" t="str">
        <f t="shared" si="3"/>
        <v/>
      </c>
      <c r="L55" s="13"/>
    </row>
    <row r="56" spans="1:12" x14ac:dyDescent="0.35">
      <c r="A56" s="21"/>
      <c r="B56" s="21"/>
      <c r="C56" s="14"/>
      <c r="D56" s="80"/>
      <c r="E56" s="80"/>
      <c r="F56" s="22"/>
      <c r="G56" s="7" t="str">
        <f>IF($B56="","",IFERROR(INDEX(Bookings!$B$3:$B$202,MATCH($B56,Bookings!$A$3:$A$202,0)),""))</f>
        <v/>
      </c>
      <c r="H56" s="26" t="str">
        <f>IF($A56="","",COUNTIFS(Conteneurs!$B$3:$B$1002,$A56))</f>
        <v/>
      </c>
      <c r="I56" s="26" t="str">
        <f>IF($A56="","",SUMIFS(Conteneurs!$H$3:$H$1002,Conteneurs!$B$3:$B$1002,$A56))</f>
        <v/>
      </c>
      <c r="J56" s="28" t="str">
        <f t="shared" si="2"/>
        <v/>
      </c>
      <c r="K56" s="77" t="str">
        <f t="shared" si="3"/>
        <v/>
      </c>
      <c r="L56" s="13"/>
    </row>
    <row r="57" spans="1:12" x14ac:dyDescent="0.35">
      <c r="A57" s="21"/>
      <c r="B57" s="21"/>
      <c r="C57" s="14"/>
      <c r="D57" s="80"/>
      <c r="E57" s="80"/>
      <c r="F57" s="22"/>
      <c r="G57" s="7" t="str">
        <f>IF($B57="","",IFERROR(INDEX(Bookings!$B$3:$B$202,MATCH($B57,Bookings!$A$3:$A$202,0)),""))</f>
        <v/>
      </c>
      <c r="H57" s="26" t="str">
        <f>IF($A57="","",COUNTIFS(Conteneurs!$B$3:$B$1002,$A57))</f>
        <v/>
      </c>
      <c r="I57" s="26" t="str">
        <f>IF($A57="","",SUMIFS(Conteneurs!$H$3:$H$1002,Conteneurs!$B$3:$B$1002,$A57))</f>
        <v/>
      </c>
      <c r="J57" s="28" t="str">
        <f t="shared" si="2"/>
        <v/>
      </c>
      <c r="K57" s="77" t="str">
        <f t="shared" si="3"/>
        <v/>
      </c>
      <c r="L57" s="13"/>
    </row>
    <row r="58" spans="1:12" x14ac:dyDescent="0.35">
      <c r="A58" s="21"/>
      <c r="B58" s="21"/>
      <c r="C58" s="14"/>
      <c r="D58" s="80"/>
      <c r="E58" s="80"/>
      <c r="F58" s="22"/>
      <c r="G58" s="7" t="str">
        <f>IF($B58="","",IFERROR(INDEX(Bookings!$B$3:$B$202,MATCH($B58,Bookings!$A$3:$A$202,0)),""))</f>
        <v/>
      </c>
      <c r="H58" s="26" t="str">
        <f>IF($A58="","",COUNTIFS(Conteneurs!$B$3:$B$1002,$A58))</f>
        <v/>
      </c>
      <c r="I58" s="26" t="str">
        <f>IF($A58="","",SUMIFS(Conteneurs!$H$3:$H$1002,Conteneurs!$B$3:$B$1002,$A58))</f>
        <v/>
      </c>
      <c r="J58" s="28" t="str">
        <f t="shared" si="2"/>
        <v/>
      </c>
      <c r="K58" s="77" t="str">
        <f t="shared" si="3"/>
        <v/>
      </c>
      <c r="L58" s="13"/>
    </row>
    <row r="59" spans="1:12" x14ac:dyDescent="0.35">
      <c r="A59" s="21"/>
      <c r="B59" s="21"/>
      <c r="C59" s="14"/>
      <c r="D59" s="80"/>
      <c r="E59" s="80"/>
      <c r="F59" s="22"/>
      <c r="G59" s="7" t="str">
        <f>IF($B59="","",IFERROR(INDEX(Bookings!$B$3:$B$202,MATCH($B59,Bookings!$A$3:$A$202,0)),""))</f>
        <v/>
      </c>
      <c r="H59" s="26" t="str">
        <f>IF($A59="","",COUNTIFS(Conteneurs!$B$3:$B$1002,$A59))</f>
        <v/>
      </c>
      <c r="I59" s="26" t="str">
        <f>IF($A59="","",SUMIFS(Conteneurs!$H$3:$H$1002,Conteneurs!$B$3:$B$1002,$A59))</f>
        <v/>
      </c>
      <c r="J59" s="28" t="str">
        <f t="shared" si="2"/>
        <v/>
      </c>
      <c r="K59" s="77" t="str">
        <f t="shared" si="3"/>
        <v/>
      </c>
      <c r="L59" s="13"/>
    </row>
    <row r="60" spans="1:12" x14ac:dyDescent="0.35">
      <c r="A60" s="21"/>
      <c r="B60" s="21"/>
      <c r="C60" s="14"/>
      <c r="D60" s="80"/>
      <c r="E60" s="80"/>
      <c r="F60" s="22"/>
      <c r="G60" s="7" t="str">
        <f>IF($B60="","",IFERROR(INDEX(Bookings!$B$3:$B$202,MATCH($B60,Bookings!$A$3:$A$202,0)),""))</f>
        <v/>
      </c>
      <c r="H60" s="26" t="str">
        <f>IF($A60="","",COUNTIFS(Conteneurs!$B$3:$B$1002,$A60))</f>
        <v/>
      </c>
      <c r="I60" s="26" t="str">
        <f>IF($A60="","",SUMIFS(Conteneurs!$H$3:$H$1002,Conteneurs!$B$3:$B$1002,$A60))</f>
        <v/>
      </c>
      <c r="J60" s="28" t="str">
        <f t="shared" si="2"/>
        <v/>
      </c>
      <c r="K60" s="77" t="str">
        <f t="shared" si="3"/>
        <v/>
      </c>
      <c r="L60" s="13"/>
    </row>
    <row r="61" spans="1:12" x14ac:dyDescent="0.35">
      <c r="A61" s="21"/>
      <c r="B61" s="21"/>
      <c r="C61" s="14"/>
      <c r="D61" s="80"/>
      <c r="E61" s="80"/>
      <c r="F61" s="22"/>
      <c r="G61" s="7" t="str">
        <f>IF($B61="","",IFERROR(INDEX(Bookings!$B$3:$B$202,MATCH($B61,Bookings!$A$3:$A$202,0)),""))</f>
        <v/>
      </c>
      <c r="H61" s="26" t="str">
        <f>IF($A61="","",COUNTIFS(Conteneurs!$B$3:$B$1002,$A61))</f>
        <v/>
      </c>
      <c r="I61" s="26" t="str">
        <f>IF($A61="","",SUMIFS(Conteneurs!$H$3:$H$1002,Conteneurs!$B$3:$B$1002,$A61))</f>
        <v/>
      </c>
      <c r="J61" s="28" t="str">
        <f t="shared" si="2"/>
        <v/>
      </c>
      <c r="K61" s="77" t="str">
        <f t="shared" si="3"/>
        <v/>
      </c>
      <c r="L61" s="13"/>
    </row>
    <row r="62" spans="1:12" x14ac:dyDescent="0.35">
      <c r="A62" s="21"/>
      <c r="B62" s="21"/>
      <c r="C62" s="14"/>
      <c r="D62" s="80"/>
      <c r="E62" s="80"/>
      <c r="F62" s="22"/>
      <c r="G62" s="7" t="str">
        <f>IF($B62="","",IFERROR(INDEX(Bookings!$B$3:$B$202,MATCH($B62,Bookings!$A$3:$A$202,0)),""))</f>
        <v/>
      </c>
      <c r="H62" s="26" t="str">
        <f>IF($A62="","",COUNTIFS(Conteneurs!$B$3:$B$1002,$A62))</f>
        <v/>
      </c>
      <c r="I62" s="26" t="str">
        <f>IF($A62="","",SUMIFS(Conteneurs!$H$3:$H$1002,Conteneurs!$B$3:$B$1002,$A62))</f>
        <v/>
      </c>
      <c r="J62" s="28" t="str">
        <f t="shared" si="2"/>
        <v/>
      </c>
      <c r="K62" s="77" t="str">
        <f t="shared" si="3"/>
        <v/>
      </c>
      <c r="L62" s="13"/>
    </row>
    <row r="63" spans="1:12" x14ac:dyDescent="0.35">
      <c r="A63" s="21"/>
      <c r="B63" s="21"/>
      <c r="C63" s="14"/>
      <c r="D63" s="80"/>
      <c r="E63" s="80"/>
      <c r="F63" s="22"/>
      <c r="G63" s="7" t="str">
        <f>IF($B63="","",IFERROR(INDEX(Bookings!$B$3:$B$202,MATCH($B63,Bookings!$A$3:$A$202,0)),""))</f>
        <v/>
      </c>
      <c r="H63" s="26" t="str">
        <f>IF($A63="","",COUNTIFS(Conteneurs!$B$3:$B$1002,$A63))</f>
        <v/>
      </c>
      <c r="I63" s="26" t="str">
        <f>IF($A63="","",SUMIFS(Conteneurs!$H$3:$H$1002,Conteneurs!$B$3:$B$1002,$A63))</f>
        <v/>
      </c>
      <c r="J63" s="28" t="str">
        <f t="shared" si="2"/>
        <v/>
      </c>
      <c r="K63" s="77" t="str">
        <f t="shared" si="3"/>
        <v/>
      </c>
      <c r="L63" s="13"/>
    </row>
    <row r="64" spans="1:12" x14ac:dyDescent="0.35">
      <c r="A64" s="21"/>
      <c r="B64" s="21"/>
      <c r="C64" s="14"/>
      <c r="D64" s="80"/>
      <c r="E64" s="80"/>
      <c r="F64" s="22"/>
      <c r="G64" s="7" t="str">
        <f>IF($B64="","",IFERROR(INDEX(Bookings!$B$3:$B$202,MATCH($B64,Bookings!$A$3:$A$202,0)),""))</f>
        <v/>
      </c>
      <c r="H64" s="26" t="str">
        <f>IF($A64="","",COUNTIFS(Conteneurs!$B$3:$B$1002,$A64))</f>
        <v/>
      </c>
      <c r="I64" s="26" t="str">
        <f>IF($A64="","",SUMIFS(Conteneurs!$H$3:$H$1002,Conteneurs!$B$3:$B$1002,$A64))</f>
        <v/>
      </c>
      <c r="J64" s="28" t="str">
        <f t="shared" si="2"/>
        <v/>
      </c>
      <c r="K64" s="77" t="str">
        <f t="shared" si="3"/>
        <v/>
      </c>
      <c r="L64" s="13"/>
    </row>
    <row r="65" spans="1:12" x14ac:dyDescent="0.35">
      <c r="A65" s="21"/>
      <c r="B65" s="21"/>
      <c r="C65" s="14"/>
      <c r="D65" s="80"/>
      <c r="E65" s="80"/>
      <c r="F65" s="22"/>
      <c r="G65" s="7" t="str">
        <f>IF($B65="","",IFERROR(INDEX(Bookings!$B$3:$B$202,MATCH($B65,Bookings!$A$3:$A$202,0)),""))</f>
        <v/>
      </c>
      <c r="H65" s="26" t="str">
        <f>IF($A65="","",COUNTIFS(Conteneurs!$B$3:$B$1002,$A65))</f>
        <v/>
      </c>
      <c r="I65" s="26" t="str">
        <f>IF($A65="","",SUMIFS(Conteneurs!$H$3:$H$1002,Conteneurs!$B$3:$B$1002,$A65))</f>
        <v/>
      </c>
      <c r="J65" s="28" t="str">
        <f t="shared" si="2"/>
        <v/>
      </c>
      <c r="K65" s="77" t="str">
        <f t="shared" si="3"/>
        <v/>
      </c>
      <c r="L65" s="13"/>
    </row>
    <row r="66" spans="1:12" x14ac:dyDescent="0.35">
      <c r="A66" s="21"/>
      <c r="B66" s="21"/>
      <c r="C66" s="14"/>
      <c r="D66" s="80"/>
      <c r="E66" s="80"/>
      <c r="F66" s="22"/>
      <c r="G66" s="7" t="str">
        <f>IF($B66="","",IFERROR(INDEX(Bookings!$B$3:$B$202,MATCH($B66,Bookings!$A$3:$A$202,0)),""))</f>
        <v/>
      </c>
      <c r="H66" s="26" t="str">
        <f>IF($A66="","",COUNTIFS(Conteneurs!$B$3:$B$1002,$A66))</f>
        <v/>
      </c>
      <c r="I66" s="26" t="str">
        <f>IF($A66="","",SUMIFS(Conteneurs!$H$3:$H$1002,Conteneurs!$B$3:$B$1002,$A66))</f>
        <v/>
      </c>
      <c r="J66" s="28" t="str">
        <f t="shared" si="2"/>
        <v/>
      </c>
      <c r="K66" s="77" t="str">
        <f t="shared" si="3"/>
        <v/>
      </c>
      <c r="L66" s="13"/>
    </row>
    <row r="67" spans="1:12" x14ac:dyDescent="0.35">
      <c r="A67" s="21"/>
      <c r="B67" s="21"/>
      <c r="C67" s="14"/>
      <c r="D67" s="80"/>
      <c r="E67" s="80"/>
      <c r="F67" s="22"/>
      <c r="G67" s="7" t="str">
        <f>IF($B67="","",IFERROR(INDEX(Bookings!$B$3:$B$202,MATCH($B67,Bookings!$A$3:$A$202,0)),""))</f>
        <v/>
      </c>
      <c r="H67" s="26" t="str">
        <f>IF($A67="","",COUNTIFS(Conteneurs!$B$3:$B$1002,$A67))</f>
        <v/>
      </c>
      <c r="I67" s="26" t="str">
        <f>IF($A67="","",SUMIFS(Conteneurs!$H$3:$H$1002,Conteneurs!$B$3:$B$1002,$A67))</f>
        <v/>
      </c>
      <c r="J67" s="28" t="str">
        <f t="shared" ref="J67:J98" si="4">IF(OR($A67="",$E67=""),"",$E67-$I67)</f>
        <v/>
      </c>
      <c r="K67" s="77" t="str">
        <f t="shared" ref="K67:K98" si="5">IF($A67="","",IF(AND(OR($F67="",$H67=$F67),OR($E67="",ABS(N($E67)-$I67)&lt;=0.5)),"OK","Écart : "&amp;TRIM(IF(AND($F67&lt;&gt;"",$H67&lt;&gt;$F67),"nb conteneurs ","")&amp;IF(AND($E67&lt;&gt;"",ABS(N($E67)-$I67)&gt;0.5),"poids net",""))))</f>
        <v/>
      </c>
      <c r="L67" s="13"/>
    </row>
    <row r="68" spans="1:12" x14ac:dyDescent="0.35">
      <c r="A68" s="21"/>
      <c r="B68" s="21"/>
      <c r="C68" s="14"/>
      <c r="D68" s="80"/>
      <c r="E68" s="80"/>
      <c r="F68" s="22"/>
      <c r="G68" s="7" t="str">
        <f>IF($B68="","",IFERROR(INDEX(Bookings!$B$3:$B$202,MATCH($B68,Bookings!$A$3:$A$202,0)),""))</f>
        <v/>
      </c>
      <c r="H68" s="26" t="str">
        <f>IF($A68="","",COUNTIFS(Conteneurs!$B$3:$B$1002,$A68))</f>
        <v/>
      </c>
      <c r="I68" s="26" t="str">
        <f>IF($A68="","",SUMIFS(Conteneurs!$H$3:$H$1002,Conteneurs!$B$3:$B$1002,$A68))</f>
        <v/>
      </c>
      <c r="J68" s="28" t="str">
        <f t="shared" si="4"/>
        <v/>
      </c>
      <c r="K68" s="77" t="str">
        <f t="shared" si="5"/>
        <v/>
      </c>
      <c r="L68" s="13"/>
    </row>
    <row r="69" spans="1:12" x14ac:dyDescent="0.35">
      <c r="A69" s="21"/>
      <c r="B69" s="21"/>
      <c r="C69" s="14"/>
      <c r="D69" s="80"/>
      <c r="E69" s="80"/>
      <c r="F69" s="22"/>
      <c r="G69" s="7" t="str">
        <f>IF($B69="","",IFERROR(INDEX(Bookings!$B$3:$B$202,MATCH($B69,Bookings!$A$3:$A$202,0)),""))</f>
        <v/>
      </c>
      <c r="H69" s="26" t="str">
        <f>IF($A69="","",COUNTIFS(Conteneurs!$B$3:$B$1002,$A69))</f>
        <v/>
      </c>
      <c r="I69" s="26" t="str">
        <f>IF($A69="","",SUMIFS(Conteneurs!$H$3:$H$1002,Conteneurs!$B$3:$B$1002,$A69))</f>
        <v/>
      </c>
      <c r="J69" s="28" t="str">
        <f t="shared" si="4"/>
        <v/>
      </c>
      <c r="K69" s="77" t="str">
        <f t="shared" si="5"/>
        <v/>
      </c>
      <c r="L69" s="13"/>
    </row>
    <row r="70" spans="1:12" x14ac:dyDescent="0.35">
      <c r="A70" s="21"/>
      <c r="B70" s="21"/>
      <c r="C70" s="14"/>
      <c r="D70" s="80"/>
      <c r="E70" s="80"/>
      <c r="F70" s="22"/>
      <c r="G70" s="7" t="str">
        <f>IF($B70="","",IFERROR(INDEX(Bookings!$B$3:$B$202,MATCH($B70,Bookings!$A$3:$A$202,0)),""))</f>
        <v/>
      </c>
      <c r="H70" s="26" t="str">
        <f>IF($A70="","",COUNTIFS(Conteneurs!$B$3:$B$1002,$A70))</f>
        <v/>
      </c>
      <c r="I70" s="26" t="str">
        <f>IF($A70="","",SUMIFS(Conteneurs!$H$3:$H$1002,Conteneurs!$B$3:$B$1002,$A70))</f>
        <v/>
      </c>
      <c r="J70" s="28" t="str">
        <f t="shared" si="4"/>
        <v/>
      </c>
      <c r="K70" s="77" t="str">
        <f t="shared" si="5"/>
        <v/>
      </c>
      <c r="L70" s="13"/>
    </row>
    <row r="71" spans="1:12" x14ac:dyDescent="0.35">
      <c r="A71" s="21"/>
      <c r="B71" s="21"/>
      <c r="C71" s="14"/>
      <c r="D71" s="80"/>
      <c r="E71" s="80"/>
      <c r="F71" s="22"/>
      <c r="G71" s="7" t="str">
        <f>IF($B71="","",IFERROR(INDEX(Bookings!$B$3:$B$202,MATCH($B71,Bookings!$A$3:$A$202,0)),""))</f>
        <v/>
      </c>
      <c r="H71" s="26" t="str">
        <f>IF($A71="","",COUNTIFS(Conteneurs!$B$3:$B$1002,$A71))</f>
        <v/>
      </c>
      <c r="I71" s="26" t="str">
        <f>IF($A71="","",SUMIFS(Conteneurs!$H$3:$H$1002,Conteneurs!$B$3:$B$1002,$A71))</f>
        <v/>
      </c>
      <c r="J71" s="28" t="str">
        <f t="shared" si="4"/>
        <v/>
      </c>
      <c r="K71" s="77" t="str">
        <f t="shared" si="5"/>
        <v/>
      </c>
      <c r="L71" s="13"/>
    </row>
    <row r="72" spans="1:12" x14ac:dyDescent="0.35">
      <c r="A72" s="21"/>
      <c r="B72" s="21"/>
      <c r="C72" s="14"/>
      <c r="D72" s="80"/>
      <c r="E72" s="80"/>
      <c r="F72" s="22"/>
      <c r="G72" s="7" t="str">
        <f>IF($B72="","",IFERROR(INDEX(Bookings!$B$3:$B$202,MATCH($B72,Bookings!$A$3:$A$202,0)),""))</f>
        <v/>
      </c>
      <c r="H72" s="26" t="str">
        <f>IF($A72="","",COUNTIFS(Conteneurs!$B$3:$B$1002,$A72))</f>
        <v/>
      </c>
      <c r="I72" s="26" t="str">
        <f>IF($A72="","",SUMIFS(Conteneurs!$H$3:$H$1002,Conteneurs!$B$3:$B$1002,$A72))</f>
        <v/>
      </c>
      <c r="J72" s="28" t="str">
        <f t="shared" si="4"/>
        <v/>
      </c>
      <c r="K72" s="77" t="str">
        <f t="shared" si="5"/>
        <v/>
      </c>
      <c r="L72" s="13"/>
    </row>
    <row r="73" spans="1:12" x14ac:dyDescent="0.35">
      <c r="A73" s="21"/>
      <c r="B73" s="21"/>
      <c r="C73" s="14"/>
      <c r="D73" s="80"/>
      <c r="E73" s="80"/>
      <c r="F73" s="22"/>
      <c r="G73" s="7" t="str">
        <f>IF($B73="","",IFERROR(INDEX(Bookings!$B$3:$B$202,MATCH($B73,Bookings!$A$3:$A$202,0)),""))</f>
        <v/>
      </c>
      <c r="H73" s="26" t="str">
        <f>IF($A73="","",COUNTIFS(Conteneurs!$B$3:$B$1002,$A73))</f>
        <v/>
      </c>
      <c r="I73" s="26" t="str">
        <f>IF($A73="","",SUMIFS(Conteneurs!$H$3:$H$1002,Conteneurs!$B$3:$B$1002,$A73))</f>
        <v/>
      </c>
      <c r="J73" s="28" t="str">
        <f t="shared" si="4"/>
        <v/>
      </c>
      <c r="K73" s="77" t="str">
        <f t="shared" si="5"/>
        <v/>
      </c>
      <c r="L73" s="13"/>
    </row>
    <row r="74" spans="1:12" x14ac:dyDescent="0.35">
      <c r="A74" s="21"/>
      <c r="B74" s="21"/>
      <c r="C74" s="14"/>
      <c r="D74" s="80"/>
      <c r="E74" s="80"/>
      <c r="F74" s="22"/>
      <c r="G74" s="7" t="str">
        <f>IF($B74="","",IFERROR(INDEX(Bookings!$B$3:$B$202,MATCH($B74,Bookings!$A$3:$A$202,0)),""))</f>
        <v/>
      </c>
      <c r="H74" s="26" t="str">
        <f>IF($A74="","",COUNTIFS(Conteneurs!$B$3:$B$1002,$A74))</f>
        <v/>
      </c>
      <c r="I74" s="26" t="str">
        <f>IF($A74="","",SUMIFS(Conteneurs!$H$3:$H$1002,Conteneurs!$B$3:$B$1002,$A74))</f>
        <v/>
      </c>
      <c r="J74" s="28" t="str">
        <f t="shared" si="4"/>
        <v/>
      </c>
      <c r="K74" s="77" t="str">
        <f t="shared" si="5"/>
        <v/>
      </c>
      <c r="L74" s="13"/>
    </row>
    <row r="75" spans="1:12" x14ac:dyDescent="0.35">
      <c r="A75" s="21"/>
      <c r="B75" s="21"/>
      <c r="C75" s="14"/>
      <c r="D75" s="80"/>
      <c r="E75" s="80"/>
      <c r="F75" s="22"/>
      <c r="G75" s="7" t="str">
        <f>IF($B75="","",IFERROR(INDEX(Bookings!$B$3:$B$202,MATCH($B75,Bookings!$A$3:$A$202,0)),""))</f>
        <v/>
      </c>
      <c r="H75" s="26" t="str">
        <f>IF($A75="","",COUNTIFS(Conteneurs!$B$3:$B$1002,$A75))</f>
        <v/>
      </c>
      <c r="I75" s="26" t="str">
        <f>IF($A75="","",SUMIFS(Conteneurs!$H$3:$H$1002,Conteneurs!$B$3:$B$1002,$A75))</f>
        <v/>
      </c>
      <c r="J75" s="28" t="str">
        <f t="shared" si="4"/>
        <v/>
      </c>
      <c r="K75" s="77" t="str">
        <f t="shared" si="5"/>
        <v/>
      </c>
      <c r="L75" s="13"/>
    </row>
    <row r="76" spans="1:12" x14ac:dyDescent="0.35">
      <c r="A76" s="21"/>
      <c r="B76" s="21"/>
      <c r="C76" s="14"/>
      <c r="D76" s="80"/>
      <c r="E76" s="80"/>
      <c r="F76" s="22"/>
      <c r="G76" s="7" t="str">
        <f>IF($B76="","",IFERROR(INDEX(Bookings!$B$3:$B$202,MATCH($B76,Bookings!$A$3:$A$202,0)),""))</f>
        <v/>
      </c>
      <c r="H76" s="26" t="str">
        <f>IF($A76="","",COUNTIFS(Conteneurs!$B$3:$B$1002,$A76))</f>
        <v/>
      </c>
      <c r="I76" s="26" t="str">
        <f>IF($A76="","",SUMIFS(Conteneurs!$H$3:$H$1002,Conteneurs!$B$3:$B$1002,$A76))</f>
        <v/>
      </c>
      <c r="J76" s="28" t="str">
        <f t="shared" si="4"/>
        <v/>
      </c>
      <c r="K76" s="77" t="str">
        <f t="shared" si="5"/>
        <v/>
      </c>
      <c r="L76" s="13"/>
    </row>
    <row r="77" spans="1:12" x14ac:dyDescent="0.35">
      <c r="A77" s="21"/>
      <c r="B77" s="21"/>
      <c r="C77" s="14"/>
      <c r="D77" s="80"/>
      <c r="E77" s="80"/>
      <c r="F77" s="22"/>
      <c r="G77" s="7" t="str">
        <f>IF($B77="","",IFERROR(INDEX(Bookings!$B$3:$B$202,MATCH($B77,Bookings!$A$3:$A$202,0)),""))</f>
        <v/>
      </c>
      <c r="H77" s="26" t="str">
        <f>IF($A77="","",COUNTIFS(Conteneurs!$B$3:$B$1002,$A77))</f>
        <v/>
      </c>
      <c r="I77" s="26" t="str">
        <f>IF($A77="","",SUMIFS(Conteneurs!$H$3:$H$1002,Conteneurs!$B$3:$B$1002,$A77))</f>
        <v/>
      </c>
      <c r="J77" s="28" t="str">
        <f t="shared" si="4"/>
        <v/>
      </c>
      <c r="K77" s="77" t="str">
        <f t="shared" si="5"/>
        <v/>
      </c>
      <c r="L77" s="13"/>
    </row>
    <row r="78" spans="1:12" x14ac:dyDescent="0.35">
      <c r="A78" s="21"/>
      <c r="B78" s="21"/>
      <c r="C78" s="14"/>
      <c r="D78" s="80"/>
      <c r="E78" s="80"/>
      <c r="F78" s="22"/>
      <c r="G78" s="7" t="str">
        <f>IF($B78="","",IFERROR(INDEX(Bookings!$B$3:$B$202,MATCH($B78,Bookings!$A$3:$A$202,0)),""))</f>
        <v/>
      </c>
      <c r="H78" s="26" t="str">
        <f>IF($A78="","",COUNTIFS(Conteneurs!$B$3:$B$1002,$A78))</f>
        <v/>
      </c>
      <c r="I78" s="26" t="str">
        <f>IF($A78="","",SUMIFS(Conteneurs!$H$3:$H$1002,Conteneurs!$B$3:$B$1002,$A78))</f>
        <v/>
      </c>
      <c r="J78" s="28" t="str">
        <f t="shared" si="4"/>
        <v/>
      </c>
      <c r="K78" s="77" t="str">
        <f t="shared" si="5"/>
        <v/>
      </c>
      <c r="L78" s="13"/>
    </row>
    <row r="79" spans="1:12" x14ac:dyDescent="0.35">
      <c r="A79" s="21"/>
      <c r="B79" s="21"/>
      <c r="C79" s="14"/>
      <c r="D79" s="80"/>
      <c r="E79" s="80"/>
      <c r="F79" s="22"/>
      <c r="G79" s="7" t="str">
        <f>IF($B79="","",IFERROR(INDEX(Bookings!$B$3:$B$202,MATCH($B79,Bookings!$A$3:$A$202,0)),""))</f>
        <v/>
      </c>
      <c r="H79" s="26" t="str">
        <f>IF($A79="","",COUNTIFS(Conteneurs!$B$3:$B$1002,$A79))</f>
        <v/>
      </c>
      <c r="I79" s="26" t="str">
        <f>IF($A79="","",SUMIFS(Conteneurs!$H$3:$H$1002,Conteneurs!$B$3:$B$1002,$A79))</f>
        <v/>
      </c>
      <c r="J79" s="28" t="str">
        <f t="shared" si="4"/>
        <v/>
      </c>
      <c r="K79" s="77" t="str">
        <f t="shared" si="5"/>
        <v/>
      </c>
      <c r="L79" s="13"/>
    </row>
    <row r="80" spans="1:12" x14ac:dyDescent="0.35">
      <c r="A80" s="21"/>
      <c r="B80" s="21"/>
      <c r="C80" s="14"/>
      <c r="D80" s="80"/>
      <c r="E80" s="80"/>
      <c r="F80" s="22"/>
      <c r="G80" s="7" t="str">
        <f>IF($B80="","",IFERROR(INDEX(Bookings!$B$3:$B$202,MATCH($B80,Bookings!$A$3:$A$202,0)),""))</f>
        <v/>
      </c>
      <c r="H80" s="26" t="str">
        <f>IF($A80="","",COUNTIFS(Conteneurs!$B$3:$B$1002,$A80))</f>
        <v/>
      </c>
      <c r="I80" s="26" t="str">
        <f>IF($A80="","",SUMIFS(Conteneurs!$H$3:$H$1002,Conteneurs!$B$3:$B$1002,$A80))</f>
        <v/>
      </c>
      <c r="J80" s="28" t="str">
        <f t="shared" si="4"/>
        <v/>
      </c>
      <c r="K80" s="77" t="str">
        <f t="shared" si="5"/>
        <v/>
      </c>
      <c r="L80" s="13"/>
    </row>
    <row r="81" spans="1:12" x14ac:dyDescent="0.35">
      <c r="A81" s="21"/>
      <c r="B81" s="21"/>
      <c r="C81" s="14"/>
      <c r="D81" s="80"/>
      <c r="E81" s="80"/>
      <c r="F81" s="22"/>
      <c r="G81" s="7" t="str">
        <f>IF($B81="","",IFERROR(INDEX(Bookings!$B$3:$B$202,MATCH($B81,Bookings!$A$3:$A$202,0)),""))</f>
        <v/>
      </c>
      <c r="H81" s="26" t="str">
        <f>IF($A81="","",COUNTIFS(Conteneurs!$B$3:$B$1002,$A81))</f>
        <v/>
      </c>
      <c r="I81" s="26" t="str">
        <f>IF($A81="","",SUMIFS(Conteneurs!$H$3:$H$1002,Conteneurs!$B$3:$B$1002,$A81))</f>
        <v/>
      </c>
      <c r="J81" s="28" t="str">
        <f t="shared" si="4"/>
        <v/>
      </c>
      <c r="K81" s="77" t="str">
        <f t="shared" si="5"/>
        <v/>
      </c>
      <c r="L81" s="13"/>
    </row>
    <row r="82" spans="1:12" x14ac:dyDescent="0.35">
      <c r="A82" s="21"/>
      <c r="B82" s="21"/>
      <c r="C82" s="14"/>
      <c r="D82" s="80"/>
      <c r="E82" s="80"/>
      <c r="F82" s="22"/>
      <c r="G82" s="7" t="str">
        <f>IF($B82="","",IFERROR(INDEX(Bookings!$B$3:$B$202,MATCH($B82,Bookings!$A$3:$A$202,0)),""))</f>
        <v/>
      </c>
      <c r="H82" s="26" t="str">
        <f>IF($A82="","",COUNTIFS(Conteneurs!$B$3:$B$1002,$A82))</f>
        <v/>
      </c>
      <c r="I82" s="26" t="str">
        <f>IF($A82="","",SUMIFS(Conteneurs!$H$3:$H$1002,Conteneurs!$B$3:$B$1002,$A82))</f>
        <v/>
      </c>
      <c r="J82" s="28" t="str">
        <f t="shared" si="4"/>
        <v/>
      </c>
      <c r="K82" s="77" t="str">
        <f t="shared" si="5"/>
        <v/>
      </c>
      <c r="L82" s="13"/>
    </row>
    <row r="83" spans="1:12" x14ac:dyDescent="0.35">
      <c r="A83" s="21"/>
      <c r="B83" s="21"/>
      <c r="C83" s="14"/>
      <c r="D83" s="80"/>
      <c r="E83" s="80"/>
      <c r="F83" s="22"/>
      <c r="G83" s="7" t="str">
        <f>IF($B83="","",IFERROR(INDEX(Bookings!$B$3:$B$202,MATCH($B83,Bookings!$A$3:$A$202,0)),""))</f>
        <v/>
      </c>
      <c r="H83" s="26" t="str">
        <f>IF($A83="","",COUNTIFS(Conteneurs!$B$3:$B$1002,$A83))</f>
        <v/>
      </c>
      <c r="I83" s="26" t="str">
        <f>IF($A83="","",SUMIFS(Conteneurs!$H$3:$H$1002,Conteneurs!$B$3:$B$1002,$A83))</f>
        <v/>
      </c>
      <c r="J83" s="28" t="str">
        <f t="shared" si="4"/>
        <v/>
      </c>
      <c r="K83" s="77" t="str">
        <f t="shared" si="5"/>
        <v/>
      </c>
      <c r="L83" s="13"/>
    </row>
    <row r="84" spans="1:12" x14ac:dyDescent="0.35">
      <c r="A84" s="21"/>
      <c r="B84" s="21"/>
      <c r="C84" s="14"/>
      <c r="D84" s="80"/>
      <c r="E84" s="80"/>
      <c r="F84" s="22"/>
      <c r="G84" s="7" t="str">
        <f>IF($B84="","",IFERROR(INDEX(Bookings!$B$3:$B$202,MATCH($B84,Bookings!$A$3:$A$202,0)),""))</f>
        <v/>
      </c>
      <c r="H84" s="26" t="str">
        <f>IF($A84="","",COUNTIFS(Conteneurs!$B$3:$B$1002,$A84))</f>
        <v/>
      </c>
      <c r="I84" s="26" t="str">
        <f>IF($A84="","",SUMIFS(Conteneurs!$H$3:$H$1002,Conteneurs!$B$3:$B$1002,$A84))</f>
        <v/>
      </c>
      <c r="J84" s="28" t="str">
        <f t="shared" si="4"/>
        <v/>
      </c>
      <c r="K84" s="77" t="str">
        <f t="shared" si="5"/>
        <v/>
      </c>
      <c r="L84" s="13"/>
    </row>
    <row r="85" spans="1:12" x14ac:dyDescent="0.35">
      <c r="A85" s="21"/>
      <c r="B85" s="21"/>
      <c r="C85" s="14"/>
      <c r="D85" s="80"/>
      <c r="E85" s="80"/>
      <c r="F85" s="22"/>
      <c r="G85" s="7" t="str">
        <f>IF($B85="","",IFERROR(INDEX(Bookings!$B$3:$B$202,MATCH($B85,Bookings!$A$3:$A$202,0)),""))</f>
        <v/>
      </c>
      <c r="H85" s="26" t="str">
        <f>IF($A85="","",COUNTIFS(Conteneurs!$B$3:$B$1002,$A85))</f>
        <v/>
      </c>
      <c r="I85" s="26" t="str">
        <f>IF($A85="","",SUMIFS(Conteneurs!$H$3:$H$1002,Conteneurs!$B$3:$B$1002,$A85))</f>
        <v/>
      </c>
      <c r="J85" s="28" t="str">
        <f t="shared" si="4"/>
        <v/>
      </c>
      <c r="K85" s="77" t="str">
        <f t="shared" si="5"/>
        <v/>
      </c>
      <c r="L85" s="13"/>
    </row>
    <row r="86" spans="1:12" x14ac:dyDescent="0.35">
      <c r="A86" s="21"/>
      <c r="B86" s="21"/>
      <c r="C86" s="14"/>
      <c r="D86" s="80"/>
      <c r="E86" s="80"/>
      <c r="F86" s="22"/>
      <c r="G86" s="7" t="str">
        <f>IF($B86="","",IFERROR(INDEX(Bookings!$B$3:$B$202,MATCH($B86,Bookings!$A$3:$A$202,0)),""))</f>
        <v/>
      </c>
      <c r="H86" s="26" t="str">
        <f>IF($A86="","",COUNTIFS(Conteneurs!$B$3:$B$1002,$A86))</f>
        <v/>
      </c>
      <c r="I86" s="26" t="str">
        <f>IF($A86="","",SUMIFS(Conteneurs!$H$3:$H$1002,Conteneurs!$B$3:$B$1002,$A86))</f>
        <v/>
      </c>
      <c r="J86" s="28" t="str">
        <f t="shared" si="4"/>
        <v/>
      </c>
      <c r="K86" s="77" t="str">
        <f t="shared" si="5"/>
        <v/>
      </c>
      <c r="L86" s="13"/>
    </row>
    <row r="87" spans="1:12" x14ac:dyDescent="0.35">
      <c r="A87" s="21"/>
      <c r="B87" s="21"/>
      <c r="C87" s="14"/>
      <c r="D87" s="80"/>
      <c r="E87" s="80"/>
      <c r="F87" s="22"/>
      <c r="G87" s="7" t="str">
        <f>IF($B87="","",IFERROR(INDEX(Bookings!$B$3:$B$202,MATCH($B87,Bookings!$A$3:$A$202,0)),""))</f>
        <v/>
      </c>
      <c r="H87" s="26" t="str">
        <f>IF($A87="","",COUNTIFS(Conteneurs!$B$3:$B$1002,$A87))</f>
        <v/>
      </c>
      <c r="I87" s="26" t="str">
        <f>IF($A87="","",SUMIFS(Conteneurs!$H$3:$H$1002,Conteneurs!$B$3:$B$1002,$A87))</f>
        <v/>
      </c>
      <c r="J87" s="28" t="str">
        <f t="shared" si="4"/>
        <v/>
      </c>
      <c r="K87" s="77" t="str">
        <f t="shared" si="5"/>
        <v/>
      </c>
      <c r="L87" s="13"/>
    </row>
    <row r="88" spans="1:12" x14ac:dyDescent="0.35">
      <c r="A88" s="21"/>
      <c r="B88" s="21"/>
      <c r="C88" s="14"/>
      <c r="D88" s="80"/>
      <c r="E88" s="80"/>
      <c r="F88" s="22"/>
      <c r="G88" s="7" t="str">
        <f>IF($B88="","",IFERROR(INDEX(Bookings!$B$3:$B$202,MATCH($B88,Bookings!$A$3:$A$202,0)),""))</f>
        <v/>
      </c>
      <c r="H88" s="26" t="str">
        <f>IF($A88="","",COUNTIFS(Conteneurs!$B$3:$B$1002,$A88))</f>
        <v/>
      </c>
      <c r="I88" s="26" t="str">
        <f>IF($A88="","",SUMIFS(Conteneurs!$H$3:$H$1002,Conteneurs!$B$3:$B$1002,$A88))</f>
        <v/>
      </c>
      <c r="J88" s="28" t="str">
        <f t="shared" si="4"/>
        <v/>
      </c>
      <c r="K88" s="77" t="str">
        <f t="shared" si="5"/>
        <v/>
      </c>
      <c r="L88" s="13"/>
    </row>
    <row r="89" spans="1:12" x14ac:dyDescent="0.35">
      <c r="A89" s="21"/>
      <c r="B89" s="21"/>
      <c r="C89" s="14"/>
      <c r="D89" s="80"/>
      <c r="E89" s="80"/>
      <c r="F89" s="22"/>
      <c r="G89" s="7" t="str">
        <f>IF($B89="","",IFERROR(INDEX(Bookings!$B$3:$B$202,MATCH($B89,Bookings!$A$3:$A$202,0)),""))</f>
        <v/>
      </c>
      <c r="H89" s="26" t="str">
        <f>IF($A89="","",COUNTIFS(Conteneurs!$B$3:$B$1002,$A89))</f>
        <v/>
      </c>
      <c r="I89" s="26" t="str">
        <f>IF($A89="","",SUMIFS(Conteneurs!$H$3:$H$1002,Conteneurs!$B$3:$B$1002,$A89))</f>
        <v/>
      </c>
      <c r="J89" s="28" t="str">
        <f t="shared" si="4"/>
        <v/>
      </c>
      <c r="K89" s="77" t="str">
        <f t="shared" si="5"/>
        <v/>
      </c>
      <c r="L89" s="13"/>
    </row>
    <row r="90" spans="1:12" x14ac:dyDescent="0.35">
      <c r="A90" s="21"/>
      <c r="B90" s="21"/>
      <c r="C90" s="14"/>
      <c r="D90" s="80"/>
      <c r="E90" s="80"/>
      <c r="F90" s="22"/>
      <c r="G90" s="7" t="str">
        <f>IF($B90="","",IFERROR(INDEX(Bookings!$B$3:$B$202,MATCH($B90,Bookings!$A$3:$A$202,0)),""))</f>
        <v/>
      </c>
      <c r="H90" s="26" t="str">
        <f>IF($A90="","",COUNTIFS(Conteneurs!$B$3:$B$1002,$A90))</f>
        <v/>
      </c>
      <c r="I90" s="26" t="str">
        <f>IF($A90="","",SUMIFS(Conteneurs!$H$3:$H$1002,Conteneurs!$B$3:$B$1002,$A90))</f>
        <v/>
      </c>
      <c r="J90" s="28" t="str">
        <f t="shared" si="4"/>
        <v/>
      </c>
      <c r="K90" s="77" t="str">
        <f t="shared" si="5"/>
        <v/>
      </c>
      <c r="L90" s="13"/>
    </row>
    <row r="91" spans="1:12" x14ac:dyDescent="0.35">
      <c r="A91" s="21"/>
      <c r="B91" s="21"/>
      <c r="C91" s="14"/>
      <c r="D91" s="80"/>
      <c r="E91" s="80"/>
      <c r="F91" s="22"/>
      <c r="G91" s="7" t="str">
        <f>IF($B91="","",IFERROR(INDEX(Bookings!$B$3:$B$202,MATCH($B91,Bookings!$A$3:$A$202,0)),""))</f>
        <v/>
      </c>
      <c r="H91" s="26" t="str">
        <f>IF($A91="","",COUNTIFS(Conteneurs!$B$3:$B$1002,$A91))</f>
        <v/>
      </c>
      <c r="I91" s="26" t="str">
        <f>IF($A91="","",SUMIFS(Conteneurs!$H$3:$H$1002,Conteneurs!$B$3:$B$1002,$A91))</f>
        <v/>
      </c>
      <c r="J91" s="28" t="str">
        <f t="shared" si="4"/>
        <v/>
      </c>
      <c r="K91" s="77" t="str">
        <f t="shared" si="5"/>
        <v/>
      </c>
      <c r="L91" s="13"/>
    </row>
    <row r="92" spans="1:12" x14ac:dyDescent="0.35">
      <c r="A92" s="21"/>
      <c r="B92" s="21"/>
      <c r="C92" s="14"/>
      <c r="D92" s="80"/>
      <c r="E92" s="80"/>
      <c r="F92" s="22"/>
      <c r="G92" s="7" t="str">
        <f>IF($B92="","",IFERROR(INDEX(Bookings!$B$3:$B$202,MATCH($B92,Bookings!$A$3:$A$202,0)),""))</f>
        <v/>
      </c>
      <c r="H92" s="26" t="str">
        <f>IF($A92="","",COUNTIFS(Conteneurs!$B$3:$B$1002,$A92))</f>
        <v/>
      </c>
      <c r="I92" s="26" t="str">
        <f>IF($A92="","",SUMIFS(Conteneurs!$H$3:$H$1002,Conteneurs!$B$3:$B$1002,$A92))</f>
        <v/>
      </c>
      <c r="J92" s="28" t="str">
        <f t="shared" si="4"/>
        <v/>
      </c>
      <c r="K92" s="77" t="str">
        <f t="shared" si="5"/>
        <v/>
      </c>
      <c r="L92" s="13"/>
    </row>
    <row r="93" spans="1:12" x14ac:dyDescent="0.35">
      <c r="A93" s="21"/>
      <c r="B93" s="21"/>
      <c r="C93" s="14"/>
      <c r="D93" s="80"/>
      <c r="E93" s="80"/>
      <c r="F93" s="22"/>
      <c r="G93" s="7" t="str">
        <f>IF($B93="","",IFERROR(INDEX(Bookings!$B$3:$B$202,MATCH($B93,Bookings!$A$3:$A$202,0)),""))</f>
        <v/>
      </c>
      <c r="H93" s="26" t="str">
        <f>IF($A93="","",COUNTIFS(Conteneurs!$B$3:$B$1002,$A93))</f>
        <v/>
      </c>
      <c r="I93" s="26" t="str">
        <f>IF($A93="","",SUMIFS(Conteneurs!$H$3:$H$1002,Conteneurs!$B$3:$B$1002,$A93))</f>
        <v/>
      </c>
      <c r="J93" s="28" t="str">
        <f t="shared" si="4"/>
        <v/>
      </c>
      <c r="K93" s="77" t="str">
        <f t="shared" si="5"/>
        <v/>
      </c>
      <c r="L93" s="13"/>
    </row>
    <row r="94" spans="1:12" x14ac:dyDescent="0.35">
      <c r="A94" s="21"/>
      <c r="B94" s="21"/>
      <c r="C94" s="14"/>
      <c r="D94" s="80"/>
      <c r="E94" s="80"/>
      <c r="F94" s="22"/>
      <c r="G94" s="7" t="str">
        <f>IF($B94="","",IFERROR(INDEX(Bookings!$B$3:$B$202,MATCH($B94,Bookings!$A$3:$A$202,0)),""))</f>
        <v/>
      </c>
      <c r="H94" s="26" t="str">
        <f>IF($A94="","",COUNTIFS(Conteneurs!$B$3:$B$1002,$A94))</f>
        <v/>
      </c>
      <c r="I94" s="26" t="str">
        <f>IF($A94="","",SUMIFS(Conteneurs!$H$3:$H$1002,Conteneurs!$B$3:$B$1002,$A94))</f>
        <v/>
      </c>
      <c r="J94" s="28" t="str">
        <f t="shared" si="4"/>
        <v/>
      </c>
      <c r="K94" s="77" t="str">
        <f t="shared" si="5"/>
        <v/>
      </c>
      <c r="L94" s="13"/>
    </row>
    <row r="95" spans="1:12" x14ac:dyDescent="0.35">
      <c r="A95" s="21"/>
      <c r="B95" s="21"/>
      <c r="C95" s="14"/>
      <c r="D95" s="80"/>
      <c r="E95" s="80"/>
      <c r="F95" s="22"/>
      <c r="G95" s="7" t="str">
        <f>IF($B95="","",IFERROR(INDEX(Bookings!$B$3:$B$202,MATCH($B95,Bookings!$A$3:$A$202,0)),""))</f>
        <v/>
      </c>
      <c r="H95" s="26" t="str">
        <f>IF($A95="","",COUNTIFS(Conteneurs!$B$3:$B$1002,$A95))</f>
        <v/>
      </c>
      <c r="I95" s="26" t="str">
        <f>IF($A95="","",SUMIFS(Conteneurs!$H$3:$H$1002,Conteneurs!$B$3:$B$1002,$A95))</f>
        <v/>
      </c>
      <c r="J95" s="28" t="str">
        <f t="shared" si="4"/>
        <v/>
      </c>
      <c r="K95" s="77" t="str">
        <f t="shared" si="5"/>
        <v/>
      </c>
      <c r="L95" s="13"/>
    </row>
    <row r="96" spans="1:12" x14ac:dyDescent="0.35">
      <c r="A96" s="21"/>
      <c r="B96" s="21"/>
      <c r="C96" s="14"/>
      <c r="D96" s="80"/>
      <c r="E96" s="80"/>
      <c r="F96" s="22"/>
      <c r="G96" s="7" t="str">
        <f>IF($B96="","",IFERROR(INDEX(Bookings!$B$3:$B$202,MATCH($B96,Bookings!$A$3:$A$202,0)),""))</f>
        <v/>
      </c>
      <c r="H96" s="26" t="str">
        <f>IF($A96="","",COUNTIFS(Conteneurs!$B$3:$B$1002,$A96))</f>
        <v/>
      </c>
      <c r="I96" s="26" t="str">
        <f>IF($A96="","",SUMIFS(Conteneurs!$H$3:$H$1002,Conteneurs!$B$3:$B$1002,$A96))</f>
        <v/>
      </c>
      <c r="J96" s="28" t="str">
        <f t="shared" si="4"/>
        <v/>
      </c>
      <c r="K96" s="77" t="str">
        <f t="shared" si="5"/>
        <v/>
      </c>
      <c r="L96" s="13"/>
    </row>
    <row r="97" spans="1:12" x14ac:dyDescent="0.35">
      <c r="A97" s="21"/>
      <c r="B97" s="21"/>
      <c r="C97" s="14"/>
      <c r="D97" s="80"/>
      <c r="E97" s="80"/>
      <c r="F97" s="22"/>
      <c r="G97" s="7" t="str">
        <f>IF($B97="","",IFERROR(INDEX(Bookings!$B$3:$B$202,MATCH($B97,Bookings!$A$3:$A$202,0)),""))</f>
        <v/>
      </c>
      <c r="H97" s="26" t="str">
        <f>IF($A97="","",COUNTIFS(Conteneurs!$B$3:$B$1002,$A97))</f>
        <v/>
      </c>
      <c r="I97" s="26" t="str">
        <f>IF($A97="","",SUMIFS(Conteneurs!$H$3:$H$1002,Conteneurs!$B$3:$B$1002,$A97))</f>
        <v/>
      </c>
      <c r="J97" s="28" t="str">
        <f t="shared" si="4"/>
        <v/>
      </c>
      <c r="K97" s="77" t="str">
        <f t="shared" si="5"/>
        <v/>
      </c>
      <c r="L97" s="13"/>
    </row>
    <row r="98" spans="1:12" x14ac:dyDescent="0.35">
      <c r="A98" s="21"/>
      <c r="B98" s="21"/>
      <c r="C98" s="14"/>
      <c r="D98" s="80"/>
      <c r="E98" s="80"/>
      <c r="F98" s="22"/>
      <c r="G98" s="7" t="str">
        <f>IF($B98="","",IFERROR(INDEX(Bookings!$B$3:$B$202,MATCH($B98,Bookings!$A$3:$A$202,0)),""))</f>
        <v/>
      </c>
      <c r="H98" s="26" t="str">
        <f>IF($A98="","",COUNTIFS(Conteneurs!$B$3:$B$1002,$A98))</f>
        <v/>
      </c>
      <c r="I98" s="26" t="str">
        <f>IF($A98="","",SUMIFS(Conteneurs!$H$3:$H$1002,Conteneurs!$B$3:$B$1002,$A98))</f>
        <v/>
      </c>
      <c r="J98" s="28" t="str">
        <f t="shared" si="4"/>
        <v/>
      </c>
      <c r="K98" s="77" t="str">
        <f t="shared" si="5"/>
        <v/>
      </c>
      <c r="L98" s="13"/>
    </row>
    <row r="99" spans="1:12" x14ac:dyDescent="0.35">
      <c r="A99" s="21"/>
      <c r="B99" s="21"/>
      <c r="C99" s="14"/>
      <c r="D99" s="80"/>
      <c r="E99" s="80"/>
      <c r="F99" s="22"/>
      <c r="G99" s="7" t="str">
        <f>IF($B99="","",IFERROR(INDEX(Bookings!$B$3:$B$202,MATCH($B99,Bookings!$A$3:$A$202,0)),""))</f>
        <v/>
      </c>
      <c r="H99" s="26" t="str">
        <f>IF($A99="","",COUNTIFS(Conteneurs!$B$3:$B$1002,$A99))</f>
        <v/>
      </c>
      <c r="I99" s="26" t="str">
        <f>IF($A99="","",SUMIFS(Conteneurs!$H$3:$H$1002,Conteneurs!$B$3:$B$1002,$A99))</f>
        <v/>
      </c>
      <c r="J99" s="28" t="str">
        <f t="shared" ref="J99:J130" si="6">IF(OR($A99="",$E99=""),"",$E99-$I99)</f>
        <v/>
      </c>
      <c r="K99" s="77" t="str">
        <f t="shared" ref="K99:K130" si="7">IF($A99="","",IF(AND(OR($F99="",$H99=$F99),OR($E99="",ABS(N($E99)-$I99)&lt;=0.5)),"OK","Écart : "&amp;TRIM(IF(AND($F99&lt;&gt;"",$H99&lt;&gt;$F99),"nb conteneurs ","")&amp;IF(AND($E99&lt;&gt;"",ABS(N($E99)-$I99)&gt;0.5),"poids net",""))))</f>
        <v/>
      </c>
      <c r="L99" s="13"/>
    </row>
    <row r="100" spans="1:12" x14ac:dyDescent="0.35">
      <c r="A100" s="21"/>
      <c r="B100" s="21"/>
      <c r="C100" s="14"/>
      <c r="D100" s="80"/>
      <c r="E100" s="80"/>
      <c r="F100" s="22"/>
      <c r="G100" s="7" t="str">
        <f>IF($B100="","",IFERROR(INDEX(Bookings!$B$3:$B$202,MATCH($B100,Bookings!$A$3:$A$202,0)),""))</f>
        <v/>
      </c>
      <c r="H100" s="26" t="str">
        <f>IF($A100="","",COUNTIFS(Conteneurs!$B$3:$B$1002,$A100))</f>
        <v/>
      </c>
      <c r="I100" s="26" t="str">
        <f>IF($A100="","",SUMIFS(Conteneurs!$H$3:$H$1002,Conteneurs!$B$3:$B$1002,$A100))</f>
        <v/>
      </c>
      <c r="J100" s="28" t="str">
        <f t="shared" si="6"/>
        <v/>
      </c>
      <c r="K100" s="77" t="str">
        <f t="shared" si="7"/>
        <v/>
      </c>
      <c r="L100" s="13"/>
    </row>
    <row r="101" spans="1:12" x14ac:dyDescent="0.35">
      <c r="A101" s="21"/>
      <c r="B101" s="21"/>
      <c r="C101" s="14"/>
      <c r="D101" s="80"/>
      <c r="E101" s="80"/>
      <c r="F101" s="22"/>
      <c r="G101" s="7" t="str">
        <f>IF($B101="","",IFERROR(INDEX(Bookings!$B$3:$B$202,MATCH($B101,Bookings!$A$3:$A$202,0)),""))</f>
        <v/>
      </c>
      <c r="H101" s="26" t="str">
        <f>IF($A101="","",COUNTIFS(Conteneurs!$B$3:$B$1002,$A101))</f>
        <v/>
      </c>
      <c r="I101" s="26" t="str">
        <f>IF($A101="","",SUMIFS(Conteneurs!$H$3:$H$1002,Conteneurs!$B$3:$B$1002,$A101))</f>
        <v/>
      </c>
      <c r="J101" s="28" t="str">
        <f t="shared" si="6"/>
        <v/>
      </c>
      <c r="K101" s="77" t="str">
        <f t="shared" si="7"/>
        <v/>
      </c>
      <c r="L101" s="13"/>
    </row>
    <row r="102" spans="1:12" x14ac:dyDescent="0.35">
      <c r="A102" s="21"/>
      <c r="B102" s="21"/>
      <c r="C102" s="14"/>
      <c r="D102" s="80"/>
      <c r="E102" s="80"/>
      <c r="F102" s="22"/>
      <c r="G102" s="7" t="str">
        <f>IF($B102="","",IFERROR(INDEX(Bookings!$B$3:$B$202,MATCH($B102,Bookings!$A$3:$A$202,0)),""))</f>
        <v/>
      </c>
      <c r="H102" s="26" t="str">
        <f>IF($A102="","",COUNTIFS(Conteneurs!$B$3:$B$1002,$A102))</f>
        <v/>
      </c>
      <c r="I102" s="26" t="str">
        <f>IF($A102="","",SUMIFS(Conteneurs!$H$3:$H$1002,Conteneurs!$B$3:$B$1002,$A102))</f>
        <v/>
      </c>
      <c r="J102" s="28" t="str">
        <f t="shared" si="6"/>
        <v/>
      </c>
      <c r="K102" s="77" t="str">
        <f t="shared" si="7"/>
        <v/>
      </c>
      <c r="L102" s="13"/>
    </row>
    <row r="103" spans="1:12" x14ac:dyDescent="0.35">
      <c r="A103" s="21"/>
      <c r="B103" s="21"/>
      <c r="C103" s="14"/>
      <c r="D103" s="80"/>
      <c r="E103" s="80"/>
      <c r="F103" s="22"/>
      <c r="G103" s="7" t="str">
        <f>IF($B103="","",IFERROR(INDEX(Bookings!$B$3:$B$202,MATCH($B103,Bookings!$A$3:$A$202,0)),""))</f>
        <v/>
      </c>
      <c r="H103" s="26" t="str">
        <f>IF($A103="","",COUNTIFS(Conteneurs!$B$3:$B$1002,$A103))</f>
        <v/>
      </c>
      <c r="I103" s="26" t="str">
        <f>IF($A103="","",SUMIFS(Conteneurs!$H$3:$H$1002,Conteneurs!$B$3:$B$1002,$A103))</f>
        <v/>
      </c>
      <c r="J103" s="28" t="str">
        <f t="shared" si="6"/>
        <v/>
      </c>
      <c r="K103" s="77" t="str">
        <f t="shared" si="7"/>
        <v/>
      </c>
      <c r="L103" s="13"/>
    </row>
    <row r="104" spans="1:12" x14ac:dyDescent="0.35">
      <c r="A104" s="21"/>
      <c r="B104" s="21"/>
      <c r="C104" s="14"/>
      <c r="D104" s="80"/>
      <c r="E104" s="80"/>
      <c r="F104" s="22"/>
      <c r="G104" s="7" t="str">
        <f>IF($B104="","",IFERROR(INDEX(Bookings!$B$3:$B$202,MATCH($B104,Bookings!$A$3:$A$202,0)),""))</f>
        <v/>
      </c>
      <c r="H104" s="26" t="str">
        <f>IF($A104="","",COUNTIFS(Conteneurs!$B$3:$B$1002,$A104))</f>
        <v/>
      </c>
      <c r="I104" s="26" t="str">
        <f>IF($A104="","",SUMIFS(Conteneurs!$H$3:$H$1002,Conteneurs!$B$3:$B$1002,$A104))</f>
        <v/>
      </c>
      <c r="J104" s="28" t="str">
        <f t="shared" si="6"/>
        <v/>
      </c>
      <c r="K104" s="77" t="str">
        <f t="shared" si="7"/>
        <v/>
      </c>
      <c r="L104" s="13"/>
    </row>
    <row r="105" spans="1:12" x14ac:dyDescent="0.35">
      <c r="A105" s="21"/>
      <c r="B105" s="21"/>
      <c r="C105" s="14"/>
      <c r="D105" s="80"/>
      <c r="E105" s="80"/>
      <c r="F105" s="22"/>
      <c r="G105" s="7" t="str">
        <f>IF($B105="","",IFERROR(INDEX(Bookings!$B$3:$B$202,MATCH($B105,Bookings!$A$3:$A$202,0)),""))</f>
        <v/>
      </c>
      <c r="H105" s="26" t="str">
        <f>IF($A105="","",COUNTIFS(Conteneurs!$B$3:$B$1002,$A105))</f>
        <v/>
      </c>
      <c r="I105" s="26" t="str">
        <f>IF($A105="","",SUMIFS(Conteneurs!$H$3:$H$1002,Conteneurs!$B$3:$B$1002,$A105))</f>
        <v/>
      </c>
      <c r="J105" s="28" t="str">
        <f t="shared" si="6"/>
        <v/>
      </c>
      <c r="K105" s="77" t="str">
        <f t="shared" si="7"/>
        <v/>
      </c>
      <c r="L105" s="13"/>
    </row>
    <row r="106" spans="1:12" x14ac:dyDescent="0.35">
      <c r="A106" s="21"/>
      <c r="B106" s="21"/>
      <c r="C106" s="14"/>
      <c r="D106" s="80"/>
      <c r="E106" s="80"/>
      <c r="F106" s="22"/>
      <c r="G106" s="7" t="str">
        <f>IF($B106="","",IFERROR(INDEX(Bookings!$B$3:$B$202,MATCH($B106,Bookings!$A$3:$A$202,0)),""))</f>
        <v/>
      </c>
      <c r="H106" s="26" t="str">
        <f>IF($A106="","",COUNTIFS(Conteneurs!$B$3:$B$1002,$A106))</f>
        <v/>
      </c>
      <c r="I106" s="26" t="str">
        <f>IF($A106="","",SUMIFS(Conteneurs!$H$3:$H$1002,Conteneurs!$B$3:$B$1002,$A106))</f>
        <v/>
      </c>
      <c r="J106" s="28" t="str">
        <f t="shared" si="6"/>
        <v/>
      </c>
      <c r="K106" s="77" t="str">
        <f t="shared" si="7"/>
        <v/>
      </c>
      <c r="L106" s="13"/>
    </row>
    <row r="107" spans="1:12" x14ac:dyDescent="0.35">
      <c r="A107" s="21"/>
      <c r="B107" s="21"/>
      <c r="C107" s="14"/>
      <c r="D107" s="80"/>
      <c r="E107" s="80"/>
      <c r="F107" s="22"/>
      <c r="G107" s="7" t="str">
        <f>IF($B107="","",IFERROR(INDEX(Bookings!$B$3:$B$202,MATCH($B107,Bookings!$A$3:$A$202,0)),""))</f>
        <v/>
      </c>
      <c r="H107" s="26" t="str">
        <f>IF($A107="","",COUNTIFS(Conteneurs!$B$3:$B$1002,$A107))</f>
        <v/>
      </c>
      <c r="I107" s="26" t="str">
        <f>IF($A107="","",SUMIFS(Conteneurs!$H$3:$H$1002,Conteneurs!$B$3:$B$1002,$A107))</f>
        <v/>
      </c>
      <c r="J107" s="28" t="str">
        <f t="shared" si="6"/>
        <v/>
      </c>
      <c r="K107" s="77" t="str">
        <f t="shared" si="7"/>
        <v/>
      </c>
      <c r="L107" s="13"/>
    </row>
    <row r="108" spans="1:12" x14ac:dyDescent="0.35">
      <c r="A108" s="21"/>
      <c r="B108" s="21"/>
      <c r="C108" s="14"/>
      <c r="D108" s="80"/>
      <c r="E108" s="80"/>
      <c r="F108" s="22"/>
      <c r="G108" s="7" t="str">
        <f>IF($B108="","",IFERROR(INDEX(Bookings!$B$3:$B$202,MATCH($B108,Bookings!$A$3:$A$202,0)),""))</f>
        <v/>
      </c>
      <c r="H108" s="26" t="str">
        <f>IF($A108="","",COUNTIFS(Conteneurs!$B$3:$B$1002,$A108))</f>
        <v/>
      </c>
      <c r="I108" s="26" t="str">
        <f>IF($A108="","",SUMIFS(Conteneurs!$H$3:$H$1002,Conteneurs!$B$3:$B$1002,$A108))</f>
        <v/>
      </c>
      <c r="J108" s="28" t="str">
        <f t="shared" si="6"/>
        <v/>
      </c>
      <c r="K108" s="77" t="str">
        <f t="shared" si="7"/>
        <v/>
      </c>
      <c r="L108" s="13"/>
    </row>
    <row r="109" spans="1:12" x14ac:dyDescent="0.35">
      <c r="A109" s="21"/>
      <c r="B109" s="21"/>
      <c r="C109" s="14"/>
      <c r="D109" s="80"/>
      <c r="E109" s="80"/>
      <c r="F109" s="22"/>
      <c r="G109" s="7" t="str">
        <f>IF($B109="","",IFERROR(INDEX(Bookings!$B$3:$B$202,MATCH($B109,Bookings!$A$3:$A$202,0)),""))</f>
        <v/>
      </c>
      <c r="H109" s="26" t="str">
        <f>IF($A109="","",COUNTIFS(Conteneurs!$B$3:$B$1002,$A109))</f>
        <v/>
      </c>
      <c r="I109" s="26" t="str">
        <f>IF($A109="","",SUMIFS(Conteneurs!$H$3:$H$1002,Conteneurs!$B$3:$B$1002,$A109))</f>
        <v/>
      </c>
      <c r="J109" s="28" t="str">
        <f t="shared" si="6"/>
        <v/>
      </c>
      <c r="K109" s="77" t="str">
        <f t="shared" si="7"/>
        <v/>
      </c>
      <c r="L109" s="13"/>
    </row>
    <row r="110" spans="1:12" x14ac:dyDescent="0.35">
      <c r="A110" s="21"/>
      <c r="B110" s="21"/>
      <c r="C110" s="14"/>
      <c r="D110" s="80"/>
      <c r="E110" s="80"/>
      <c r="F110" s="22"/>
      <c r="G110" s="7" t="str">
        <f>IF($B110="","",IFERROR(INDEX(Bookings!$B$3:$B$202,MATCH($B110,Bookings!$A$3:$A$202,0)),""))</f>
        <v/>
      </c>
      <c r="H110" s="26" t="str">
        <f>IF($A110="","",COUNTIFS(Conteneurs!$B$3:$B$1002,$A110))</f>
        <v/>
      </c>
      <c r="I110" s="26" t="str">
        <f>IF($A110="","",SUMIFS(Conteneurs!$H$3:$H$1002,Conteneurs!$B$3:$B$1002,$A110))</f>
        <v/>
      </c>
      <c r="J110" s="28" t="str">
        <f t="shared" si="6"/>
        <v/>
      </c>
      <c r="K110" s="77" t="str">
        <f t="shared" si="7"/>
        <v/>
      </c>
      <c r="L110" s="13"/>
    </row>
    <row r="111" spans="1:12" x14ac:dyDescent="0.35">
      <c r="A111" s="21"/>
      <c r="B111" s="21"/>
      <c r="C111" s="14"/>
      <c r="D111" s="80"/>
      <c r="E111" s="80"/>
      <c r="F111" s="22"/>
      <c r="G111" s="7" t="str">
        <f>IF($B111="","",IFERROR(INDEX(Bookings!$B$3:$B$202,MATCH($B111,Bookings!$A$3:$A$202,0)),""))</f>
        <v/>
      </c>
      <c r="H111" s="26" t="str">
        <f>IF($A111="","",COUNTIFS(Conteneurs!$B$3:$B$1002,$A111))</f>
        <v/>
      </c>
      <c r="I111" s="26" t="str">
        <f>IF($A111="","",SUMIFS(Conteneurs!$H$3:$H$1002,Conteneurs!$B$3:$B$1002,$A111))</f>
        <v/>
      </c>
      <c r="J111" s="28" t="str">
        <f t="shared" si="6"/>
        <v/>
      </c>
      <c r="K111" s="77" t="str">
        <f t="shared" si="7"/>
        <v/>
      </c>
      <c r="L111" s="13"/>
    </row>
    <row r="112" spans="1:12" x14ac:dyDescent="0.35">
      <c r="A112" s="21"/>
      <c r="B112" s="21"/>
      <c r="C112" s="14"/>
      <c r="D112" s="80"/>
      <c r="E112" s="80"/>
      <c r="F112" s="22"/>
      <c r="G112" s="7" t="str">
        <f>IF($B112="","",IFERROR(INDEX(Bookings!$B$3:$B$202,MATCH($B112,Bookings!$A$3:$A$202,0)),""))</f>
        <v/>
      </c>
      <c r="H112" s="26" t="str">
        <f>IF($A112="","",COUNTIFS(Conteneurs!$B$3:$B$1002,$A112))</f>
        <v/>
      </c>
      <c r="I112" s="26" t="str">
        <f>IF($A112="","",SUMIFS(Conteneurs!$H$3:$H$1002,Conteneurs!$B$3:$B$1002,$A112))</f>
        <v/>
      </c>
      <c r="J112" s="28" t="str">
        <f t="shared" si="6"/>
        <v/>
      </c>
      <c r="K112" s="77" t="str">
        <f t="shared" si="7"/>
        <v/>
      </c>
      <c r="L112" s="13"/>
    </row>
    <row r="113" spans="1:12" x14ac:dyDescent="0.35">
      <c r="A113" s="21"/>
      <c r="B113" s="21"/>
      <c r="C113" s="14"/>
      <c r="D113" s="80"/>
      <c r="E113" s="80"/>
      <c r="F113" s="22"/>
      <c r="G113" s="7" t="str">
        <f>IF($B113="","",IFERROR(INDEX(Bookings!$B$3:$B$202,MATCH($B113,Bookings!$A$3:$A$202,0)),""))</f>
        <v/>
      </c>
      <c r="H113" s="26" t="str">
        <f>IF($A113="","",COUNTIFS(Conteneurs!$B$3:$B$1002,$A113))</f>
        <v/>
      </c>
      <c r="I113" s="26" t="str">
        <f>IF($A113="","",SUMIFS(Conteneurs!$H$3:$H$1002,Conteneurs!$B$3:$B$1002,$A113))</f>
        <v/>
      </c>
      <c r="J113" s="28" t="str">
        <f t="shared" si="6"/>
        <v/>
      </c>
      <c r="K113" s="77" t="str">
        <f t="shared" si="7"/>
        <v/>
      </c>
      <c r="L113" s="13"/>
    </row>
    <row r="114" spans="1:12" x14ac:dyDescent="0.35">
      <c r="A114" s="21"/>
      <c r="B114" s="21"/>
      <c r="C114" s="14"/>
      <c r="D114" s="80"/>
      <c r="E114" s="80"/>
      <c r="F114" s="22"/>
      <c r="G114" s="7" t="str">
        <f>IF($B114="","",IFERROR(INDEX(Bookings!$B$3:$B$202,MATCH($B114,Bookings!$A$3:$A$202,0)),""))</f>
        <v/>
      </c>
      <c r="H114" s="26" t="str">
        <f>IF($A114="","",COUNTIFS(Conteneurs!$B$3:$B$1002,$A114))</f>
        <v/>
      </c>
      <c r="I114" s="26" t="str">
        <f>IF($A114="","",SUMIFS(Conteneurs!$H$3:$H$1002,Conteneurs!$B$3:$B$1002,$A114))</f>
        <v/>
      </c>
      <c r="J114" s="28" t="str">
        <f t="shared" si="6"/>
        <v/>
      </c>
      <c r="K114" s="77" t="str">
        <f t="shared" si="7"/>
        <v/>
      </c>
      <c r="L114" s="13"/>
    </row>
    <row r="115" spans="1:12" x14ac:dyDescent="0.35">
      <c r="A115" s="21"/>
      <c r="B115" s="21"/>
      <c r="C115" s="14"/>
      <c r="D115" s="80"/>
      <c r="E115" s="80"/>
      <c r="F115" s="22"/>
      <c r="G115" s="7" t="str">
        <f>IF($B115="","",IFERROR(INDEX(Bookings!$B$3:$B$202,MATCH($B115,Bookings!$A$3:$A$202,0)),""))</f>
        <v/>
      </c>
      <c r="H115" s="26" t="str">
        <f>IF($A115="","",COUNTIFS(Conteneurs!$B$3:$B$1002,$A115))</f>
        <v/>
      </c>
      <c r="I115" s="26" t="str">
        <f>IF($A115="","",SUMIFS(Conteneurs!$H$3:$H$1002,Conteneurs!$B$3:$B$1002,$A115))</f>
        <v/>
      </c>
      <c r="J115" s="28" t="str">
        <f t="shared" si="6"/>
        <v/>
      </c>
      <c r="K115" s="77" t="str">
        <f t="shared" si="7"/>
        <v/>
      </c>
      <c r="L115" s="13"/>
    </row>
    <row r="116" spans="1:12" x14ac:dyDescent="0.35">
      <c r="A116" s="21"/>
      <c r="B116" s="21"/>
      <c r="C116" s="14"/>
      <c r="D116" s="80"/>
      <c r="E116" s="80"/>
      <c r="F116" s="22"/>
      <c r="G116" s="7" t="str">
        <f>IF($B116="","",IFERROR(INDEX(Bookings!$B$3:$B$202,MATCH($B116,Bookings!$A$3:$A$202,0)),""))</f>
        <v/>
      </c>
      <c r="H116" s="26" t="str">
        <f>IF($A116="","",COUNTIFS(Conteneurs!$B$3:$B$1002,$A116))</f>
        <v/>
      </c>
      <c r="I116" s="26" t="str">
        <f>IF($A116="","",SUMIFS(Conteneurs!$H$3:$H$1002,Conteneurs!$B$3:$B$1002,$A116))</f>
        <v/>
      </c>
      <c r="J116" s="28" t="str">
        <f t="shared" si="6"/>
        <v/>
      </c>
      <c r="K116" s="77" t="str">
        <f t="shared" si="7"/>
        <v/>
      </c>
      <c r="L116" s="13"/>
    </row>
    <row r="117" spans="1:12" x14ac:dyDescent="0.35">
      <c r="A117" s="21"/>
      <c r="B117" s="21"/>
      <c r="C117" s="14"/>
      <c r="D117" s="80"/>
      <c r="E117" s="80"/>
      <c r="F117" s="22"/>
      <c r="G117" s="7" t="str">
        <f>IF($B117="","",IFERROR(INDEX(Bookings!$B$3:$B$202,MATCH($B117,Bookings!$A$3:$A$202,0)),""))</f>
        <v/>
      </c>
      <c r="H117" s="26" t="str">
        <f>IF($A117="","",COUNTIFS(Conteneurs!$B$3:$B$1002,$A117))</f>
        <v/>
      </c>
      <c r="I117" s="26" t="str">
        <f>IF($A117="","",SUMIFS(Conteneurs!$H$3:$H$1002,Conteneurs!$B$3:$B$1002,$A117))</f>
        <v/>
      </c>
      <c r="J117" s="28" t="str">
        <f t="shared" si="6"/>
        <v/>
      </c>
      <c r="K117" s="77" t="str">
        <f t="shared" si="7"/>
        <v/>
      </c>
      <c r="L117" s="13"/>
    </row>
    <row r="118" spans="1:12" x14ac:dyDescent="0.35">
      <c r="A118" s="21"/>
      <c r="B118" s="21"/>
      <c r="C118" s="14"/>
      <c r="D118" s="80"/>
      <c r="E118" s="80"/>
      <c r="F118" s="22"/>
      <c r="G118" s="7" t="str">
        <f>IF($B118="","",IFERROR(INDEX(Bookings!$B$3:$B$202,MATCH($B118,Bookings!$A$3:$A$202,0)),""))</f>
        <v/>
      </c>
      <c r="H118" s="26" t="str">
        <f>IF($A118="","",COUNTIFS(Conteneurs!$B$3:$B$1002,$A118))</f>
        <v/>
      </c>
      <c r="I118" s="26" t="str">
        <f>IF($A118="","",SUMIFS(Conteneurs!$H$3:$H$1002,Conteneurs!$B$3:$B$1002,$A118))</f>
        <v/>
      </c>
      <c r="J118" s="28" t="str">
        <f t="shared" si="6"/>
        <v/>
      </c>
      <c r="K118" s="77" t="str">
        <f t="shared" si="7"/>
        <v/>
      </c>
      <c r="L118" s="13"/>
    </row>
    <row r="119" spans="1:12" x14ac:dyDescent="0.35">
      <c r="A119" s="21"/>
      <c r="B119" s="21"/>
      <c r="C119" s="14"/>
      <c r="D119" s="80"/>
      <c r="E119" s="80"/>
      <c r="F119" s="22"/>
      <c r="G119" s="7" t="str">
        <f>IF($B119="","",IFERROR(INDEX(Bookings!$B$3:$B$202,MATCH($B119,Bookings!$A$3:$A$202,0)),""))</f>
        <v/>
      </c>
      <c r="H119" s="26" t="str">
        <f>IF($A119="","",COUNTIFS(Conteneurs!$B$3:$B$1002,$A119))</f>
        <v/>
      </c>
      <c r="I119" s="26" t="str">
        <f>IF($A119="","",SUMIFS(Conteneurs!$H$3:$H$1002,Conteneurs!$B$3:$B$1002,$A119))</f>
        <v/>
      </c>
      <c r="J119" s="28" t="str">
        <f t="shared" si="6"/>
        <v/>
      </c>
      <c r="K119" s="77" t="str">
        <f t="shared" si="7"/>
        <v/>
      </c>
      <c r="L119" s="13"/>
    </row>
    <row r="120" spans="1:12" x14ac:dyDescent="0.35">
      <c r="A120" s="21"/>
      <c r="B120" s="21"/>
      <c r="C120" s="14"/>
      <c r="D120" s="80"/>
      <c r="E120" s="80"/>
      <c r="F120" s="22"/>
      <c r="G120" s="7" t="str">
        <f>IF($B120="","",IFERROR(INDEX(Bookings!$B$3:$B$202,MATCH($B120,Bookings!$A$3:$A$202,0)),""))</f>
        <v/>
      </c>
      <c r="H120" s="26" t="str">
        <f>IF($A120="","",COUNTIFS(Conteneurs!$B$3:$B$1002,$A120))</f>
        <v/>
      </c>
      <c r="I120" s="26" t="str">
        <f>IF($A120="","",SUMIFS(Conteneurs!$H$3:$H$1002,Conteneurs!$B$3:$B$1002,$A120))</f>
        <v/>
      </c>
      <c r="J120" s="28" t="str">
        <f t="shared" si="6"/>
        <v/>
      </c>
      <c r="K120" s="77" t="str">
        <f t="shared" si="7"/>
        <v/>
      </c>
      <c r="L120" s="13"/>
    </row>
    <row r="121" spans="1:12" x14ac:dyDescent="0.35">
      <c r="A121" s="21"/>
      <c r="B121" s="21"/>
      <c r="C121" s="14"/>
      <c r="D121" s="80"/>
      <c r="E121" s="80"/>
      <c r="F121" s="22"/>
      <c r="G121" s="7" t="str">
        <f>IF($B121="","",IFERROR(INDEX(Bookings!$B$3:$B$202,MATCH($B121,Bookings!$A$3:$A$202,0)),""))</f>
        <v/>
      </c>
      <c r="H121" s="26" t="str">
        <f>IF($A121="","",COUNTIFS(Conteneurs!$B$3:$B$1002,$A121))</f>
        <v/>
      </c>
      <c r="I121" s="26" t="str">
        <f>IF($A121="","",SUMIFS(Conteneurs!$H$3:$H$1002,Conteneurs!$B$3:$B$1002,$A121))</f>
        <v/>
      </c>
      <c r="J121" s="28" t="str">
        <f t="shared" si="6"/>
        <v/>
      </c>
      <c r="K121" s="77" t="str">
        <f t="shared" si="7"/>
        <v/>
      </c>
      <c r="L121" s="13"/>
    </row>
    <row r="122" spans="1:12" x14ac:dyDescent="0.35">
      <c r="A122" s="21"/>
      <c r="B122" s="21"/>
      <c r="C122" s="14"/>
      <c r="D122" s="80"/>
      <c r="E122" s="80"/>
      <c r="F122" s="22"/>
      <c r="G122" s="7" t="str">
        <f>IF($B122="","",IFERROR(INDEX(Bookings!$B$3:$B$202,MATCH($B122,Bookings!$A$3:$A$202,0)),""))</f>
        <v/>
      </c>
      <c r="H122" s="26" t="str">
        <f>IF($A122="","",COUNTIFS(Conteneurs!$B$3:$B$1002,$A122))</f>
        <v/>
      </c>
      <c r="I122" s="26" t="str">
        <f>IF($A122="","",SUMIFS(Conteneurs!$H$3:$H$1002,Conteneurs!$B$3:$B$1002,$A122))</f>
        <v/>
      </c>
      <c r="J122" s="28" t="str">
        <f t="shared" si="6"/>
        <v/>
      </c>
      <c r="K122" s="77" t="str">
        <f t="shared" si="7"/>
        <v/>
      </c>
      <c r="L122" s="13"/>
    </row>
    <row r="123" spans="1:12" x14ac:dyDescent="0.35">
      <c r="A123" s="21"/>
      <c r="B123" s="21"/>
      <c r="C123" s="14"/>
      <c r="D123" s="80"/>
      <c r="E123" s="80"/>
      <c r="F123" s="22"/>
      <c r="G123" s="7" t="str">
        <f>IF($B123="","",IFERROR(INDEX(Bookings!$B$3:$B$202,MATCH($B123,Bookings!$A$3:$A$202,0)),""))</f>
        <v/>
      </c>
      <c r="H123" s="26" t="str">
        <f>IF($A123="","",COUNTIFS(Conteneurs!$B$3:$B$1002,$A123))</f>
        <v/>
      </c>
      <c r="I123" s="26" t="str">
        <f>IF($A123="","",SUMIFS(Conteneurs!$H$3:$H$1002,Conteneurs!$B$3:$B$1002,$A123))</f>
        <v/>
      </c>
      <c r="J123" s="28" t="str">
        <f t="shared" si="6"/>
        <v/>
      </c>
      <c r="K123" s="77" t="str">
        <f t="shared" si="7"/>
        <v/>
      </c>
      <c r="L123" s="13"/>
    </row>
    <row r="124" spans="1:12" x14ac:dyDescent="0.35">
      <c r="A124" s="21"/>
      <c r="B124" s="21"/>
      <c r="C124" s="14"/>
      <c r="D124" s="80"/>
      <c r="E124" s="80"/>
      <c r="F124" s="22"/>
      <c r="G124" s="7" t="str">
        <f>IF($B124="","",IFERROR(INDEX(Bookings!$B$3:$B$202,MATCH($B124,Bookings!$A$3:$A$202,0)),""))</f>
        <v/>
      </c>
      <c r="H124" s="26" t="str">
        <f>IF($A124="","",COUNTIFS(Conteneurs!$B$3:$B$1002,$A124))</f>
        <v/>
      </c>
      <c r="I124" s="26" t="str">
        <f>IF($A124="","",SUMIFS(Conteneurs!$H$3:$H$1002,Conteneurs!$B$3:$B$1002,$A124))</f>
        <v/>
      </c>
      <c r="J124" s="28" t="str">
        <f t="shared" si="6"/>
        <v/>
      </c>
      <c r="K124" s="77" t="str">
        <f t="shared" si="7"/>
        <v/>
      </c>
      <c r="L124" s="13"/>
    </row>
    <row r="125" spans="1:12" x14ac:dyDescent="0.35">
      <c r="A125" s="21"/>
      <c r="B125" s="21"/>
      <c r="C125" s="14"/>
      <c r="D125" s="80"/>
      <c r="E125" s="80"/>
      <c r="F125" s="22"/>
      <c r="G125" s="7" t="str">
        <f>IF($B125="","",IFERROR(INDEX(Bookings!$B$3:$B$202,MATCH($B125,Bookings!$A$3:$A$202,0)),""))</f>
        <v/>
      </c>
      <c r="H125" s="26" t="str">
        <f>IF($A125="","",COUNTIFS(Conteneurs!$B$3:$B$1002,$A125))</f>
        <v/>
      </c>
      <c r="I125" s="26" t="str">
        <f>IF($A125="","",SUMIFS(Conteneurs!$H$3:$H$1002,Conteneurs!$B$3:$B$1002,$A125))</f>
        <v/>
      </c>
      <c r="J125" s="28" t="str">
        <f t="shared" si="6"/>
        <v/>
      </c>
      <c r="K125" s="77" t="str">
        <f t="shared" si="7"/>
        <v/>
      </c>
      <c r="L125" s="13"/>
    </row>
    <row r="126" spans="1:12" x14ac:dyDescent="0.35">
      <c r="A126" s="21"/>
      <c r="B126" s="21"/>
      <c r="C126" s="14"/>
      <c r="D126" s="80"/>
      <c r="E126" s="80"/>
      <c r="F126" s="22"/>
      <c r="G126" s="7" t="str">
        <f>IF($B126="","",IFERROR(INDEX(Bookings!$B$3:$B$202,MATCH($B126,Bookings!$A$3:$A$202,0)),""))</f>
        <v/>
      </c>
      <c r="H126" s="26" t="str">
        <f>IF($A126="","",COUNTIFS(Conteneurs!$B$3:$B$1002,$A126))</f>
        <v/>
      </c>
      <c r="I126" s="26" t="str">
        <f>IF($A126="","",SUMIFS(Conteneurs!$H$3:$H$1002,Conteneurs!$B$3:$B$1002,$A126))</f>
        <v/>
      </c>
      <c r="J126" s="28" t="str">
        <f t="shared" si="6"/>
        <v/>
      </c>
      <c r="K126" s="77" t="str">
        <f t="shared" si="7"/>
        <v/>
      </c>
      <c r="L126" s="13"/>
    </row>
    <row r="127" spans="1:12" x14ac:dyDescent="0.35">
      <c r="A127" s="21"/>
      <c r="B127" s="21"/>
      <c r="C127" s="14"/>
      <c r="D127" s="80"/>
      <c r="E127" s="80"/>
      <c r="F127" s="22"/>
      <c r="G127" s="7" t="str">
        <f>IF($B127="","",IFERROR(INDEX(Bookings!$B$3:$B$202,MATCH($B127,Bookings!$A$3:$A$202,0)),""))</f>
        <v/>
      </c>
      <c r="H127" s="26" t="str">
        <f>IF($A127="","",COUNTIFS(Conteneurs!$B$3:$B$1002,$A127))</f>
        <v/>
      </c>
      <c r="I127" s="26" t="str">
        <f>IF($A127="","",SUMIFS(Conteneurs!$H$3:$H$1002,Conteneurs!$B$3:$B$1002,$A127))</f>
        <v/>
      </c>
      <c r="J127" s="28" t="str">
        <f t="shared" si="6"/>
        <v/>
      </c>
      <c r="K127" s="77" t="str">
        <f t="shared" si="7"/>
        <v/>
      </c>
      <c r="L127" s="13"/>
    </row>
    <row r="128" spans="1:12" x14ac:dyDescent="0.35">
      <c r="A128" s="21"/>
      <c r="B128" s="21"/>
      <c r="C128" s="14"/>
      <c r="D128" s="80"/>
      <c r="E128" s="80"/>
      <c r="F128" s="22"/>
      <c r="G128" s="7" t="str">
        <f>IF($B128="","",IFERROR(INDEX(Bookings!$B$3:$B$202,MATCH($B128,Bookings!$A$3:$A$202,0)),""))</f>
        <v/>
      </c>
      <c r="H128" s="26" t="str">
        <f>IF($A128="","",COUNTIFS(Conteneurs!$B$3:$B$1002,$A128))</f>
        <v/>
      </c>
      <c r="I128" s="26" t="str">
        <f>IF($A128="","",SUMIFS(Conteneurs!$H$3:$H$1002,Conteneurs!$B$3:$B$1002,$A128))</f>
        <v/>
      </c>
      <c r="J128" s="28" t="str">
        <f t="shared" si="6"/>
        <v/>
      </c>
      <c r="K128" s="77" t="str">
        <f t="shared" si="7"/>
        <v/>
      </c>
      <c r="L128" s="13"/>
    </row>
    <row r="129" spans="1:12" x14ac:dyDescent="0.35">
      <c r="A129" s="21"/>
      <c r="B129" s="21"/>
      <c r="C129" s="14"/>
      <c r="D129" s="80"/>
      <c r="E129" s="80"/>
      <c r="F129" s="22"/>
      <c r="G129" s="7" t="str">
        <f>IF($B129="","",IFERROR(INDEX(Bookings!$B$3:$B$202,MATCH($B129,Bookings!$A$3:$A$202,0)),""))</f>
        <v/>
      </c>
      <c r="H129" s="26" t="str">
        <f>IF($A129="","",COUNTIFS(Conteneurs!$B$3:$B$1002,$A129))</f>
        <v/>
      </c>
      <c r="I129" s="26" t="str">
        <f>IF($A129="","",SUMIFS(Conteneurs!$H$3:$H$1002,Conteneurs!$B$3:$B$1002,$A129))</f>
        <v/>
      </c>
      <c r="J129" s="28" t="str">
        <f t="shared" si="6"/>
        <v/>
      </c>
      <c r="K129" s="77" t="str">
        <f t="shared" si="7"/>
        <v/>
      </c>
      <c r="L129" s="13"/>
    </row>
    <row r="130" spans="1:12" x14ac:dyDescent="0.35">
      <c r="A130" s="21"/>
      <c r="B130" s="21"/>
      <c r="C130" s="14"/>
      <c r="D130" s="80"/>
      <c r="E130" s="80"/>
      <c r="F130" s="22"/>
      <c r="G130" s="7" t="str">
        <f>IF($B130="","",IFERROR(INDEX(Bookings!$B$3:$B$202,MATCH($B130,Bookings!$A$3:$A$202,0)),""))</f>
        <v/>
      </c>
      <c r="H130" s="26" t="str">
        <f>IF($A130="","",COUNTIFS(Conteneurs!$B$3:$B$1002,$A130))</f>
        <v/>
      </c>
      <c r="I130" s="26" t="str">
        <f>IF($A130="","",SUMIFS(Conteneurs!$H$3:$H$1002,Conteneurs!$B$3:$B$1002,$A130))</f>
        <v/>
      </c>
      <c r="J130" s="28" t="str">
        <f t="shared" si="6"/>
        <v/>
      </c>
      <c r="K130" s="77" t="str">
        <f t="shared" si="7"/>
        <v/>
      </c>
      <c r="L130" s="13"/>
    </row>
    <row r="131" spans="1:12" x14ac:dyDescent="0.35">
      <c r="A131" s="21"/>
      <c r="B131" s="21"/>
      <c r="C131" s="14"/>
      <c r="D131" s="80"/>
      <c r="E131" s="80"/>
      <c r="F131" s="22"/>
      <c r="G131" s="7" t="str">
        <f>IF($B131="","",IFERROR(INDEX(Bookings!$B$3:$B$202,MATCH($B131,Bookings!$A$3:$A$202,0)),""))</f>
        <v/>
      </c>
      <c r="H131" s="26" t="str">
        <f>IF($A131="","",COUNTIFS(Conteneurs!$B$3:$B$1002,$A131))</f>
        <v/>
      </c>
      <c r="I131" s="26" t="str">
        <f>IF($A131="","",SUMIFS(Conteneurs!$H$3:$H$1002,Conteneurs!$B$3:$B$1002,$A131))</f>
        <v/>
      </c>
      <c r="J131" s="28" t="str">
        <f t="shared" ref="J131:J162" si="8">IF(OR($A131="",$E131=""),"",$E131-$I131)</f>
        <v/>
      </c>
      <c r="K131" s="77" t="str">
        <f t="shared" ref="K131:K162" si="9">IF($A131="","",IF(AND(OR($F131="",$H131=$F131),OR($E131="",ABS(N($E131)-$I131)&lt;=0.5)),"OK","Écart : "&amp;TRIM(IF(AND($F131&lt;&gt;"",$H131&lt;&gt;$F131),"nb conteneurs ","")&amp;IF(AND($E131&lt;&gt;"",ABS(N($E131)-$I131)&gt;0.5),"poids net",""))))</f>
        <v/>
      </c>
      <c r="L131" s="13"/>
    </row>
    <row r="132" spans="1:12" x14ac:dyDescent="0.35">
      <c r="A132" s="21"/>
      <c r="B132" s="21"/>
      <c r="C132" s="14"/>
      <c r="D132" s="80"/>
      <c r="E132" s="80"/>
      <c r="F132" s="22"/>
      <c r="G132" s="7" t="str">
        <f>IF($B132="","",IFERROR(INDEX(Bookings!$B$3:$B$202,MATCH($B132,Bookings!$A$3:$A$202,0)),""))</f>
        <v/>
      </c>
      <c r="H132" s="26" t="str">
        <f>IF($A132="","",COUNTIFS(Conteneurs!$B$3:$B$1002,$A132))</f>
        <v/>
      </c>
      <c r="I132" s="26" t="str">
        <f>IF($A132="","",SUMIFS(Conteneurs!$H$3:$H$1002,Conteneurs!$B$3:$B$1002,$A132))</f>
        <v/>
      </c>
      <c r="J132" s="28" t="str">
        <f t="shared" si="8"/>
        <v/>
      </c>
      <c r="K132" s="77" t="str">
        <f t="shared" si="9"/>
        <v/>
      </c>
      <c r="L132" s="13"/>
    </row>
    <row r="133" spans="1:12" x14ac:dyDescent="0.35">
      <c r="A133" s="21"/>
      <c r="B133" s="21"/>
      <c r="C133" s="14"/>
      <c r="D133" s="80"/>
      <c r="E133" s="80"/>
      <c r="F133" s="22"/>
      <c r="G133" s="7" t="str">
        <f>IF($B133="","",IFERROR(INDEX(Bookings!$B$3:$B$202,MATCH($B133,Bookings!$A$3:$A$202,0)),""))</f>
        <v/>
      </c>
      <c r="H133" s="26" t="str">
        <f>IF($A133="","",COUNTIFS(Conteneurs!$B$3:$B$1002,$A133))</f>
        <v/>
      </c>
      <c r="I133" s="26" t="str">
        <f>IF($A133="","",SUMIFS(Conteneurs!$H$3:$H$1002,Conteneurs!$B$3:$B$1002,$A133))</f>
        <v/>
      </c>
      <c r="J133" s="28" t="str">
        <f t="shared" si="8"/>
        <v/>
      </c>
      <c r="K133" s="77" t="str">
        <f t="shared" si="9"/>
        <v/>
      </c>
      <c r="L133" s="13"/>
    </row>
    <row r="134" spans="1:12" x14ac:dyDescent="0.35">
      <c r="A134" s="21"/>
      <c r="B134" s="21"/>
      <c r="C134" s="14"/>
      <c r="D134" s="80"/>
      <c r="E134" s="80"/>
      <c r="F134" s="22"/>
      <c r="G134" s="7" t="str">
        <f>IF($B134="","",IFERROR(INDEX(Bookings!$B$3:$B$202,MATCH($B134,Bookings!$A$3:$A$202,0)),""))</f>
        <v/>
      </c>
      <c r="H134" s="26" t="str">
        <f>IF($A134="","",COUNTIFS(Conteneurs!$B$3:$B$1002,$A134))</f>
        <v/>
      </c>
      <c r="I134" s="26" t="str">
        <f>IF($A134="","",SUMIFS(Conteneurs!$H$3:$H$1002,Conteneurs!$B$3:$B$1002,$A134))</f>
        <v/>
      </c>
      <c r="J134" s="28" t="str">
        <f t="shared" si="8"/>
        <v/>
      </c>
      <c r="K134" s="77" t="str">
        <f t="shared" si="9"/>
        <v/>
      </c>
      <c r="L134" s="13"/>
    </row>
    <row r="135" spans="1:12" x14ac:dyDescent="0.35">
      <c r="A135" s="21"/>
      <c r="B135" s="21"/>
      <c r="C135" s="14"/>
      <c r="D135" s="80"/>
      <c r="E135" s="80"/>
      <c r="F135" s="22"/>
      <c r="G135" s="7" t="str">
        <f>IF($B135="","",IFERROR(INDEX(Bookings!$B$3:$B$202,MATCH($B135,Bookings!$A$3:$A$202,0)),""))</f>
        <v/>
      </c>
      <c r="H135" s="26" t="str">
        <f>IF($A135="","",COUNTIFS(Conteneurs!$B$3:$B$1002,$A135))</f>
        <v/>
      </c>
      <c r="I135" s="26" t="str">
        <f>IF($A135="","",SUMIFS(Conteneurs!$H$3:$H$1002,Conteneurs!$B$3:$B$1002,$A135))</f>
        <v/>
      </c>
      <c r="J135" s="28" t="str">
        <f t="shared" si="8"/>
        <v/>
      </c>
      <c r="K135" s="77" t="str">
        <f t="shared" si="9"/>
        <v/>
      </c>
      <c r="L135" s="13"/>
    </row>
    <row r="136" spans="1:12" x14ac:dyDescent="0.35">
      <c r="A136" s="21"/>
      <c r="B136" s="21"/>
      <c r="C136" s="14"/>
      <c r="D136" s="80"/>
      <c r="E136" s="80"/>
      <c r="F136" s="22"/>
      <c r="G136" s="7" t="str">
        <f>IF($B136="","",IFERROR(INDEX(Bookings!$B$3:$B$202,MATCH($B136,Bookings!$A$3:$A$202,0)),""))</f>
        <v/>
      </c>
      <c r="H136" s="26" t="str">
        <f>IF($A136="","",COUNTIFS(Conteneurs!$B$3:$B$1002,$A136))</f>
        <v/>
      </c>
      <c r="I136" s="26" t="str">
        <f>IF($A136="","",SUMIFS(Conteneurs!$H$3:$H$1002,Conteneurs!$B$3:$B$1002,$A136))</f>
        <v/>
      </c>
      <c r="J136" s="28" t="str">
        <f t="shared" si="8"/>
        <v/>
      </c>
      <c r="K136" s="77" t="str">
        <f t="shared" si="9"/>
        <v/>
      </c>
      <c r="L136" s="13"/>
    </row>
    <row r="137" spans="1:12" x14ac:dyDescent="0.35">
      <c r="A137" s="21"/>
      <c r="B137" s="21"/>
      <c r="C137" s="14"/>
      <c r="D137" s="80"/>
      <c r="E137" s="80"/>
      <c r="F137" s="22"/>
      <c r="G137" s="7" t="str">
        <f>IF($B137="","",IFERROR(INDEX(Bookings!$B$3:$B$202,MATCH($B137,Bookings!$A$3:$A$202,0)),""))</f>
        <v/>
      </c>
      <c r="H137" s="26" t="str">
        <f>IF($A137="","",COUNTIFS(Conteneurs!$B$3:$B$1002,$A137))</f>
        <v/>
      </c>
      <c r="I137" s="26" t="str">
        <f>IF($A137="","",SUMIFS(Conteneurs!$H$3:$H$1002,Conteneurs!$B$3:$B$1002,$A137))</f>
        <v/>
      </c>
      <c r="J137" s="28" t="str">
        <f t="shared" si="8"/>
        <v/>
      </c>
      <c r="K137" s="77" t="str">
        <f t="shared" si="9"/>
        <v/>
      </c>
      <c r="L137" s="13"/>
    </row>
    <row r="138" spans="1:12" x14ac:dyDescent="0.35">
      <c r="A138" s="21"/>
      <c r="B138" s="21"/>
      <c r="C138" s="14"/>
      <c r="D138" s="80"/>
      <c r="E138" s="80"/>
      <c r="F138" s="22"/>
      <c r="G138" s="7" t="str">
        <f>IF($B138="","",IFERROR(INDEX(Bookings!$B$3:$B$202,MATCH($B138,Bookings!$A$3:$A$202,0)),""))</f>
        <v/>
      </c>
      <c r="H138" s="26" t="str">
        <f>IF($A138="","",COUNTIFS(Conteneurs!$B$3:$B$1002,$A138))</f>
        <v/>
      </c>
      <c r="I138" s="26" t="str">
        <f>IF($A138="","",SUMIFS(Conteneurs!$H$3:$H$1002,Conteneurs!$B$3:$B$1002,$A138))</f>
        <v/>
      </c>
      <c r="J138" s="28" t="str">
        <f t="shared" si="8"/>
        <v/>
      </c>
      <c r="K138" s="77" t="str">
        <f t="shared" si="9"/>
        <v/>
      </c>
      <c r="L138" s="13"/>
    </row>
    <row r="139" spans="1:12" x14ac:dyDescent="0.35">
      <c r="A139" s="21"/>
      <c r="B139" s="21"/>
      <c r="C139" s="14"/>
      <c r="D139" s="80"/>
      <c r="E139" s="80"/>
      <c r="F139" s="22"/>
      <c r="G139" s="7" t="str">
        <f>IF($B139="","",IFERROR(INDEX(Bookings!$B$3:$B$202,MATCH($B139,Bookings!$A$3:$A$202,0)),""))</f>
        <v/>
      </c>
      <c r="H139" s="26" t="str">
        <f>IF($A139="","",COUNTIFS(Conteneurs!$B$3:$B$1002,$A139))</f>
        <v/>
      </c>
      <c r="I139" s="26" t="str">
        <f>IF($A139="","",SUMIFS(Conteneurs!$H$3:$H$1002,Conteneurs!$B$3:$B$1002,$A139))</f>
        <v/>
      </c>
      <c r="J139" s="28" t="str">
        <f t="shared" si="8"/>
        <v/>
      </c>
      <c r="K139" s="77" t="str">
        <f t="shared" si="9"/>
        <v/>
      </c>
      <c r="L139" s="13"/>
    </row>
    <row r="140" spans="1:12" x14ac:dyDescent="0.35">
      <c r="A140" s="21"/>
      <c r="B140" s="21"/>
      <c r="C140" s="14"/>
      <c r="D140" s="80"/>
      <c r="E140" s="80"/>
      <c r="F140" s="22"/>
      <c r="G140" s="7" t="str">
        <f>IF($B140="","",IFERROR(INDEX(Bookings!$B$3:$B$202,MATCH($B140,Bookings!$A$3:$A$202,0)),""))</f>
        <v/>
      </c>
      <c r="H140" s="26" t="str">
        <f>IF($A140="","",COUNTIFS(Conteneurs!$B$3:$B$1002,$A140))</f>
        <v/>
      </c>
      <c r="I140" s="26" t="str">
        <f>IF($A140="","",SUMIFS(Conteneurs!$H$3:$H$1002,Conteneurs!$B$3:$B$1002,$A140))</f>
        <v/>
      </c>
      <c r="J140" s="28" t="str">
        <f t="shared" si="8"/>
        <v/>
      </c>
      <c r="K140" s="77" t="str">
        <f t="shared" si="9"/>
        <v/>
      </c>
      <c r="L140" s="13"/>
    </row>
    <row r="141" spans="1:12" x14ac:dyDescent="0.35">
      <c r="A141" s="21"/>
      <c r="B141" s="21"/>
      <c r="C141" s="14"/>
      <c r="D141" s="80"/>
      <c r="E141" s="80"/>
      <c r="F141" s="22"/>
      <c r="G141" s="7" t="str">
        <f>IF($B141="","",IFERROR(INDEX(Bookings!$B$3:$B$202,MATCH($B141,Bookings!$A$3:$A$202,0)),""))</f>
        <v/>
      </c>
      <c r="H141" s="26" t="str">
        <f>IF($A141="","",COUNTIFS(Conteneurs!$B$3:$B$1002,$A141))</f>
        <v/>
      </c>
      <c r="I141" s="26" t="str">
        <f>IF($A141="","",SUMIFS(Conteneurs!$H$3:$H$1002,Conteneurs!$B$3:$B$1002,$A141))</f>
        <v/>
      </c>
      <c r="J141" s="28" t="str">
        <f t="shared" si="8"/>
        <v/>
      </c>
      <c r="K141" s="77" t="str">
        <f t="shared" si="9"/>
        <v/>
      </c>
      <c r="L141" s="13"/>
    </row>
    <row r="142" spans="1:12" x14ac:dyDescent="0.35">
      <c r="A142" s="21"/>
      <c r="B142" s="21"/>
      <c r="C142" s="14"/>
      <c r="D142" s="80"/>
      <c r="E142" s="80"/>
      <c r="F142" s="22"/>
      <c r="G142" s="7" t="str">
        <f>IF($B142="","",IFERROR(INDEX(Bookings!$B$3:$B$202,MATCH($B142,Bookings!$A$3:$A$202,0)),""))</f>
        <v/>
      </c>
      <c r="H142" s="26" t="str">
        <f>IF($A142="","",COUNTIFS(Conteneurs!$B$3:$B$1002,$A142))</f>
        <v/>
      </c>
      <c r="I142" s="26" t="str">
        <f>IF($A142="","",SUMIFS(Conteneurs!$H$3:$H$1002,Conteneurs!$B$3:$B$1002,$A142))</f>
        <v/>
      </c>
      <c r="J142" s="28" t="str">
        <f t="shared" si="8"/>
        <v/>
      </c>
      <c r="K142" s="77" t="str">
        <f t="shared" si="9"/>
        <v/>
      </c>
      <c r="L142" s="13"/>
    </row>
    <row r="143" spans="1:12" x14ac:dyDescent="0.35">
      <c r="A143" s="21"/>
      <c r="B143" s="21"/>
      <c r="C143" s="14"/>
      <c r="D143" s="80"/>
      <c r="E143" s="80"/>
      <c r="F143" s="22"/>
      <c r="G143" s="7" t="str">
        <f>IF($B143="","",IFERROR(INDEX(Bookings!$B$3:$B$202,MATCH($B143,Bookings!$A$3:$A$202,0)),""))</f>
        <v/>
      </c>
      <c r="H143" s="26" t="str">
        <f>IF($A143="","",COUNTIFS(Conteneurs!$B$3:$B$1002,$A143))</f>
        <v/>
      </c>
      <c r="I143" s="26" t="str">
        <f>IF($A143="","",SUMIFS(Conteneurs!$H$3:$H$1002,Conteneurs!$B$3:$B$1002,$A143))</f>
        <v/>
      </c>
      <c r="J143" s="28" t="str">
        <f t="shared" si="8"/>
        <v/>
      </c>
      <c r="K143" s="77" t="str">
        <f t="shared" si="9"/>
        <v/>
      </c>
      <c r="L143" s="13"/>
    </row>
    <row r="144" spans="1:12" x14ac:dyDescent="0.35">
      <c r="A144" s="21"/>
      <c r="B144" s="21"/>
      <c r="C144" s="14"/>
      <c r="D144" s="80"/>
      <c r="E144" s="80"/>
      <c r="F144" s="22"/>
      <c r="G144" s="7" t="str">
        <f>IF($B144="","",IFERROR(INDEX(Bookings!$B$3:$B$202,MATCH($B144,Bookings!$A$3:$A$202,0)),""))</f>
        <v/>
      </c>
      <c r="H144" s="26" t="str">
        <f>IF($A144="","",COUNTIFS(Conteneurs!$B$3:$B$1002,$A144))</f>
        <v/>
      </c>
      <c r="I144" s="26" t="str">
        <f>IF($A144="","",SUMIFS(Conteneurs!$H$3:$H$1002,Conteneurs!$B$3:$B$1002,$A144))</f>
        <v/>
      </c>
      <c r="J144" s="28" t="str">
        <f t="shared" si="8"/>
        <v/>
      </c>
      <c r="K144" s="77" t="str">
        <f t="shared" si="9"/>
        <v/>
      </c>
      <c r="L144" s="13"/>
    </row>
    <row r="145" spans="1:12" x14ac:dyDescent="0.35">
      <c r="A145" s="21"/>
      <c r="B145" s="21"/>
      <c r="C145" s="14"/>
      <c r="D145" s="80"/>
      <c r="E145" s="80"/>
      <c r="F145" s="22"/>
      <c r="G145" s="7" t="str">
        <f>IF($B145="","",IFERROR(INDEX(Bookings!$B$3:$B$202,MATCH($B145,Bookings!$A$3:$A$202,0)),""))</f>
        <v/>
      </c>
      <c r="H145" s="26" t="str">
        <f>IF($A145="","",COUNTIFS(Conteneurs!$B$3:$B$1002,$A145))</f>
        <v/>
      </c>
      <c r="I145" s="26" t="str">
        <f>IF($A145="","",SUMIFS(Conteneurs!$H$3:$H$1002,Conteneurs!$B$3:$B$1002,$A145))</f>
        <v/>
      </c>
      <c r="J145" s="28" t="str">
        <f t="shared" si="8"/>
        <v/>
      </c>
      <c r="K145" s="77" t="str">
        <f t="shared" si="9"/>
        <v/>
      </c>
      <c r="L145" s="13"/>
    </row>
    <row r="146" spans="1:12" x14ac:dyDescent="0.35">
      <c r="A146" s="21"/>
      <c r="B146" s="21"/>
      <c r="C146" s="14"/>
      <c r="D146" s="80"/>
      <c r="E146" s="80"/>
      <c r="F146" s="22"/>
      <c r="G146" s="7" t="str">
        <f>IF($B146="","",IFERROR(INDEX(Bookings!$B$3:$B$202,MATCH($B146,Bookings!$A$3:$A$202,0)),""))</f>
        <v/>
      </c>
      <c r="H146" s="26" t="str">
        <f>IF($A146="","",COUNTIFS(Conteneurs!$B$3:$B$1002,$A146))</f>
        <v/>
      </c>
      <c r="I146" s="26" t="str">
        <f>IF($A146="","",SUMIFS(Conteneurs!$H$3:$H$1002,Conteneurs!$B$3:$B$1002,$A146))</f>
        <v/>
      </c>
      <c r="J146" s="28" t="str">
        <f t="shared" si="8"/>
        <v/>
      </c>
      <c r="K146" s="77" t="str">
        <f t="shared" si="9"/>
        <v/>
      </c>
      <c r="L146" s="13"/>
    </row>
    <row r="147" spans="1:12" x14ac:dyDescent="0.35">
      <c r="A147" s="21"/>
      <c r="B147" s="21"/>
      <c r="C147" s="14"/>
      <c r="D147" s="80"/>
      <c r="E147" s="80"/>
      <c r="F147" s="22"/>
      <c r="G147" s="7" t="str">
        <f>IF($B147="","",IFERROR(INDEX(Bookings!$B$3:$B$202,MATCH($B147,Bookings!$A$3:$A$202,0)),""))</f>
        <v/>
      </c>
      <c r="H147" s="26" t="str">
        <f>IF($A147="","",COUNTIFS(Conteneurs!$B$3:$B$1002,$A147))</f>
        <v/>
      </c>
      <c r="I147" s="26" t="str">
        <f>IF($A147="","",SUMIFS(Conteneurs!$H$3:$H$1002,Conteneurs!$B$3:$B$1002,$A147))</f>
        <v/>
      </c>
      <c r="J147" s="28" t="str">
        <f t="shared" si="8"/>
        <v/>
      </c>
      <c r="K147" s="77" t="str">
        <f t="shared" si="9"/>
        <v/>
      </c>
      <c r="L147" s="13"/>
    </row>
    <row r="148" spans="1:12" x14ac:dyDescent="0.35">
      <c r="A148" s="21"/>
      <c r="B148" s="21"/>
      <c r="C148" s="14"/>
      <c r="D148" s="80"/>
      <c r="E148" s="80"/>
      <c r="F148" s="22"/>
      <c r="G148" s="7" t="str">
        <f>IF($B148="","",IFERROR(INDEX(Bookings!$B$3:$B$202,MATCH($B148,Bookings!$A$3:$A$202,0)),""))</f>
        <v/>
      </c>
      <c r="H148" s="26" t="str">
        <f>IF($A148="","",COUNTIFS(Conteneurs!$B$3:$B$1002,$A148))</f>
        <v/>
      </c>
      <c r="I148" s="26" t="str">
        <f>IF($A148="","",SUMIFS(Conteneurs!$H$3:$H$1002,Conteneurs!$B$3:$B$1002,$A148))</f>
        <v/>
      </c>
      <c r="J148" s="28" t="str">
        <f t="shared" si="8"/>
        <v/>
      </c>
      <c r="K148" s="77" t="str">
        <f t="shared" si="9"/>
        <v/>
      </c>
      <c r="L148" s="13"/>
    </row>
    <row r="149" spans="1:12" x14ac:dyDescent="0.35">
      <c r="A149" s="21"/>
      <c r="B149" s="21"/>
      <c r="C149" s="14"/>
      <c r="D149" s="80"/>
      <c r="E149" s="80"/>
      <c r="F149" s="22"/>
      <c r="G149" s="7" t="str">
        <f>IF($B149="","",IFERROR(INDEX(Bookings!$B$3:$B$202,MATCH($B149,Bookings!$A$3:$A$202,0)),""))</f>
        <v/>
      </c>
      <c r="H149" s="26" t="str">
        <f>IF($A149="","",COUNTIFS(Conteneurs!$B$3:$B$1002,$A149))</f>
        <v/>
      </c>
      <c r="I149" s="26" t="str">
        <f>IF($A149="","",SUMIFS(Conteneurs!$H$3:$H$1002,Conteneurs!$B$3:$B$1002,$A149))</f>
        <v/>
      </c>
      <c r="J149" s="28" t="str">
        <f t="shared" si="8"/>
        <v/>
      </c>
      <c r="K149" s="77" t="str">
        <f t="shared" si="9"/>
        <v/>
      </c>
      <c r="L149" s="13"/>
    </row>
    <row r="150" spans="1:12" x14ac:dyDescent="0.35">
      <c r="A150" s="21"/>
      <c r="B150" s="21"/>
      <c r="C150" s="14"/>
      <c r="D150" s="80"/>
      <c r="E150" s="80"/>
      <c r="F150" s="22"/>
      <c r="G150" s="7" t="str">
        <f>IF($B150="","",IFERROR(INDEX(Bookings!$B$3:$B$202,MATCH($B150,Bookings!$A$3:$A$202,0)),""))</f>
        <v/>
      </c>
      <c r="H150" s="26" t="str">
        <f>IF($A150="","",COUNTIFS(Conteneurs!$B$3:$B$1002,$A150))</f>
        <v/>
      </c>
      <c r="I150" s="26" t="str">
        <f>IF($A150="","",SUMIFS(Conteneurs!$H$3:$H$1002,Conteneurs!$B$3:$B$1002,$A150))</f>
        <v/>
      </c>
      <c r="J150" s="28" t="str">
        <f t="shared" si="8"/>
        <v/>
      </c>
      <c r="K150" s="77" t="str">
        <f t="shared" si="9"/>
        <v/>
      </c>
      <c r="L150" s="13"/>
    </row>
    <row r="151" spans="1:12" x14ac:dyDescent="0.35">
      <c r="A151" s="21"/>
      <c r="B151" s="21"/>
      <c r="C151" s="14"/>
      <c r="D151" s="80"/>
      <c r="E151" s="80"/>
      <c r="F151" s="22"/>
      <c r="G151" s="7" t="str">
        <f>IF($B151="","",IFERROR(INDEX(Bookings!$B$3:$B$202,MATCH($B151,Bookings!$A$3:$A$202,0)),""))</f>
        <v/>
      </c>
      <c r="H151" s="26" t="str">
        <f>IF($A151="","",COUNTIFS(Conteneurs!$B$3:$B$1002,$A151))</f>
        <v/>
      </c>
      <c r="I151" s="26" t="str">
        <f>IF($A151="","",SUMIFS(Conteneurs!$H$3:$H$1002,Conteneurs!$B$3:$B$1002,$A151))</f>
        <v/>
      </c>
      <c r="J151" s="28" t="str">
        <f t="shared" si="8"/>
        <v/>
      </c>
      <c r="K151" s="77" t="str">
        <f t="shared" si="9"/>
        <v/>
      </c>
      <c r="L151" s="13"/>
    </row>
    <row r="152" spans="1:12" x14ac:dyDescent="0.35">
      <c r="A152" s="21"/>
      <c r="B152" s="21"/>
      <c r="C152" s="14"/>
      <c r="D152" s="80"/>
      <c r="E152" s="80"/>
      <c r="F152" s="22"/>
      <c r="G152" s="7" t="str">
        <f>IF($B152="","",IFERROR(INDEX(Bookings!$B$3:$B$202,MATCH($B152,Bookings!$A$3:$A$202,0)),""))</f>
        <v/>
      </c>
      <c r="H152" s="26" t="str">
        <f>IF($A152="","",COUNTIFS(Conteneurs!$B$3:$B$1002,$A152))</f>
        <v/>
      </c>
      <c r="I152" s="26" t="str">
        <f>IF($A152="","",SUMIFS(Conteneurs!$H$3:$H$1002,Conteneurs!$B$3:$B$1002,$A152))</f>
        <v/>
      </c>
      <c r="J152" s="28" t="str">
        <f t="shared" si="8"/>
        <v/>
      </c>
      <c r="K152" s="77" t="str">
        <f t="shared" si="9"/>
        <v/>
      </c>
      <c r="L152" s="13"/>
    </row>
    <row r="153" spans="1:12" x14ac:dyDescent="0.35">
      <c r="A153" s="21"/>
      <c r="B153" s="21"/>
      <c r="C153" s="14"/>
      <c r="D153" s="80"/>
      <c r="E153" s="80"/>
      <c r="F153" s="22"/>
      <c r="G153" s="7" t="str">
        <f>IF($B153="","",IFERROR(INDEX(Bookings!$B$3:$B$202,MATCH($B153,Bookings!$A$3:$A$202,0)),""))</f>
        <v/>
      </c>
      <c r="H153" s="26" t="str">
        <f>IF($A153="","",COUNTIFS(Conteneurs!$B$3:$B$1002,$A153))</f>
        <v/>
      </c>
      <c r="I153" s="26" t="str">
        <f>IF($A153="","",SUMIFS(Conteneurs!$H$3:$H$1002,Conteneurs!$B$3:$B$1002,$A153))</f>
        <v/>
      </c>
      <c r="J153" s="28" t="str">
        <f t="shared" si="8"/>
        <v/>
      </c>
      <c r="K153" s="77" t="str">
        <f t="shared" si="9"/>
        <v/>
      </c>
      <c r="L153" s="13"/>
    </row>
    <row r="154" spans="1:12" x14ac:dyDescent="0.35">
      <c r="A154" s="21"/>
      <c r="B154" s="21"/>
      <c r="C154" s="14"/>
      <c r="D154" s="80"/>
      <c r="E154" s="80"/>
      <c r="F154" s="22"/>
      <c r="G154" s="7" t="str">
        <f>IF($B154="","",IFERROR(INDEX(Bookings!$B$3:$B$202,MATCH($B154,Bookings!$A$3:$A$202,0)),""))</f>
        <v/>
      </c>
      <c r="H154" s="26" t="str">
        <f>IF($A154="","",COUNTIFS(Conteneurs!$B$3:$B$1002,$A154))</f>
        <v/>
      </c>
      <c r="I154" s="26" t="str">
        <f>IF($A154="","",SUMIFS(Conteneurs!$H$3:$H$1002,Conteneurs!$B$3:$B$1002,$A154))</f>
        <v/>
      </c>
      <c r="J154" s="28" t="str">
        <f t="shared" si="8"/>
        <v/>
      </c>
      <c r="K154" s="77" t="str">
        <f t="shared" si="9"/>
        <v/>
      </c>
      <c r="L154" s="13"/>
    </row>
    <row r="155" spans="1:12" x14ac:dyDescent="0.35">
      <c r="A155" s="21"/>
      <c r="B155" s="21"/>
      <c r="C155" s="14"/>
      <c r="D155" s="80"/>
      <c r="E155" s="80"/>
      <c r="F155" s="22"/>
      <c r="G155" s="7" t="str">
        <f>IF($B155="","",IFERROR(INDEX(Bookings!$B$3:$B$202,MATCH($B155,Bookings!$A$3:$A$202,0)),""))</f>
        <v/>
      </c>
      <c r="H155" s="26" t="str">
        <f>IF($A155="","",COUNTIFS(Conteneurs!$B$3:$B$1002,$A155))</f>
        <v/>
      </c>
      <c r="I155" s="26" t="str">
        <f>IF($A155="","",SUMIFS(Conteneurs!$H$3:$H$1002,Conteneurs!$B$3:$B$1002,$A155))</f>
        <v/>
      </c>
      <c r="J155" s="28" t="str">
        <f t="shared" si="8"/>
        <v/>
      </c>
      <c r="K155" s="77" t="str">
        <f t="shared" si="9"/>
        <v/>
      </c>
      <c r="L155" s="13"/>
    </row>
    <row r="156" spans="1:12" x14ac:dyDescent="0.35">
      <c r="A156" s="21"/>
      <c r="B156" s="21"/>
      <c r="C156" s="14"/>
      <c r="D156" s="80"/>
      <c r="E156" s="80"/>
      <c r="F156" s="22"/>
      <c r="G156" s="7" t="str">
        <f>IF($B156="","",IFERROR(INDEX(Bookings!$B$3:$B$202,MATCH($B156,Bookings!$A$3:$A$202,0)),""))</f>
        <v/>
      </c>
      <c r="H156" s="26" t="str">
        <f>IF($A156="","",COUNTIFS(Conteneurs!$B$3:$B$1002,$A156))</f>
        <v/>
      </c>
      <c r="I156" s="26" t="str">
        <f>IF($A156="","",SUMIFS(Conteneurs!$H$3:$H$1002,Conteneurs!$B$3:$B$1002,$A156))</f>
        <v/>
      </c>
      <c r="J156" s="28" t="str">
        <f t="shared" si="8"/>
        <v/>
      </c>
      <c r="K156" s="77" t="str">
        <f t="shared" si="9"/>
        <v/>
      </c>
      <c r="L156" s="13"/>
    </row>
    <row r="157" spans="1:12" x14ac:dyDescent="0.35">
      <c r="A157" s="21"/>
      <c r="B157" s="21"/>
      <c r="C157" s="14"/>
      <c r="D157" s="80"/>
      <c r="E157" s="80"/>
      <c r="F157" s="22"/>
      <c r="G157" s="7" t="str">
        <f>IF($B157="","",IFERROR(INDEX(Bookings!$B$3:$B$202,MATCH($B157,Bookings!$A$3:$A$202,0)),""))</f>
        <v/>
      </c>
      <c r="H157" s="26" t="str">
        <f>IF($A157="","",COUNTIFS(Conteneurs!$B$3:$B$1002,$A157))</f>
        <v/>
      </c>
      <c r="I157" s="26" t="str">
        <f>IF($A157="","",SUMIFS(Conteneurs!$H$3:$H$1002,Conteneurs!$B$3:$B$1002,$A157))</f>
        <v/>
      </c>
      <c r="J157" s="28" t="str">
        <f t="shared" si="8"/>
        <v/>
      </c>
      <c r="K157" s="77" t="str">
        <f t="shared" si="9"/>
        <v/>
      </c>
      <c r="L157" s="13"/>
    </row>
    <row r="158" spans="1:12" x14ac:dyDescent="0.35">
      <c r="A158" s="21"/>
      <c r="B158" s="21"/>
      <c r="C158" s="14"/>
      <c r="D158" s="80"/>
      <c r="E158" s="80"/>
      <c r="F158" s="22"/>
      <c r="G158" s="7" t="str">
        <f>IF($B158="","",IFERROR(INDEX(Bookings!$B$3:$B$202,MATCH($B158,Bookings!$A$3:$A$202,0)),""))</f>
        <v/>
      </c>
      <c r="H158" s="26" t="str">
        <f>IF($A158="","",COUNTIFS(Conteneurs!$B$3:$B$1002,$A158))</f>
        <v/>
      </c>
      <c r="I158" s="26" t="str">
        <f>IF($A158="","",SUMIFS(Conteneurs!$H$3:$H$1002,Conteneurs!$B$3:$B$1002,$A158))</f>
        <v/>
      </c>
      <c r="J158" s="28" t="str">
        <f t="shared" si="8"/>
        <v/>
      </c>
      <c r="K158" s="77" t="str">
        <f t="shared" si="9"/>
        <v/>
      </c>
      <c r="L158" s="13"/>
    </row>
    <row r="159" spans="1:12" x14ac:dyDescent="0.35">
      <c r="A159" s="21"/>
      <c r="B159" s="21"/>
      <c r="C159" s="14"/>
      <c r="D159" s="80"/>
      <c r="E159" s="80"/>
      <c r="F159" s="22"/>
      <c r="G159" s="7" t="str">
        <f>IF($B159="","",IFERROR(INDEX(Bookings!$B$3:$B$202,MATCH($B159,Bookings!$A$3:$A$202,0)),""))</f>
        <v/>
      </c>
      <c r="H159" s="26" t="str">
        <f>IF($A159="","",COUNTIFS(Conteneurs!$B$3:$B$1002,$A159))</f>
        <v/>
      </c>
      <c r="I159" s="26" t="str">
        <f>IF($A159="","",SUMIFS(Conteneurs!$H$3:$H$1002,Conteneurs!$B$3:$B$1002,$A159))</f>
        <v/>
      </c>
      <c r="J159" s="28" t="str">
        <f t="shared" si="8"/>
        <v/>
      </c>
      <c r="K159" s="77" t="str">
        <f t="shared" si="9"/>
        <v/>
      </c>
      <c r="L159" s="13"/>
    </row>
    <row r="160" spans="1:12" x14ac:dyDescent="0.35">
      <c r="A160" s="21"/>
      <c r="B160" s="21"/>
      <c r="C160" s="14"/>
      <c r="D160" s="80"/>
      <c r="E160" s="80"/>
      <c r="F160" s="22"/>
      <c r="G160" s="7" t="str">
        <f>IF($B160="","",IFERROR(INDEX(Bookings!$B$3:$B$202,MATCH($B160,Bookings!$A$3:$A$202,0)),""))</f>
        <v/>
      </c>
      <c r="H160" s="26" t="str">
        <f>IF($A160="","",COUNTIFS(Conteneurs!$B$3:$B$1002,$A160))</f>
        <v/>
      </c>
      <c r="I160" s="26" t="str">
        <f>IF($A160="","",SUMIFS(Conteneurs!$H$3:$H$1002,Conteneurs!$B$3:$B$1002,$A160))</f>
        <v/>
      </c>
      <c r="J160" s="28" t="str">
        <f t="shared" si="8"/>
        <v/>
      </c>
      <c r="K160" s="77" t="str">
        <f t="shared" si="9"/>
        <v/>
      </c>
      <c r="L160" s="13"/>
    </row>
    <row r="161" spans="1:12" x14ac:dyDescent="0.35">
      <c r="A161" s="21"/>
      <c r="B161" s="21"/>
      <c r="C161" s="14"/>
      <c r="D161" s="80"/>
      <c r="E161" s="80"/>
      <c r="F161" s="22"/>
      <c r="G161" s="7" t="str">
        <f>IF($B161="","",IFERROR(INDEX(Bookings!$B$3:$B$202,MATCH($B161,Bookings!$A$3:$A$202,0)),""))</f>
        <v/>
      </c>
      <c r="H161" s="26" t="str">
        <f>IF($A161="","",COUNTIFS(Conteneurs!$B$3:$B$1002,$A161))</f>
        <v/>
      </c>
      <c r="I161" s="26" t="str">
        <f>IF($A161="","",SUMIFS(Conteneurs!$H$3:$H$1002,Conteneurs!$B$3:$B$1002,$A161))</f>
        <v/>
      </c>
      <c r="J161" s="28" t="str">
        <f t="shared" si="8"/>
        <v/>
      </c>
      <c r="K161" s="77" t="str">
        <f t="shared" si="9"/>
        <v/>
      </c>
      <c r="L161" s="13"/>
    </row>
    <row r="162" spans="1:12" x14ac:dyDescent="0.35">
      <c r="A162" s="21"/>
      <c r="B162" s="21"/>
      <c r="C162" s="14"/>
      <c r="D162" s="80"/>
      <c r="E162" s="80"/>
      <c r="F162" s="22"/>
      <c r="G162" s="7" t="str">
        <f>IF($B162="","",IFERROR(INDEX(Bookings!$B$3:$B$202,MATCH($B162,Bookings!$A$3:$A$202,0)),""))</f>
        <v/>
      </c>
      <c r="H162" s="26" t="str">
        <f>IF($A162="","",COUNTIFS(Conteneurs!$B$3:$B$1002,$A162))</f>
        <v/>
      </c>
      <c r="I162" s="26" t="str">
        <f>IF($A162="","",SUMIFS(Conteneurs!$H$3:$H$1002,Conteneurs!$B$3:$B$1002,$A162))</f>
        <v/>
      </c>
      <c r="J162" s="28" t="str">
        <f t="shared" si="8"/>
        <v/>
      </c>
      <c r="K162" s="77" t="str">
        <f t="shared" si="9"/>
        <v/>
      </c>
      <c r="L162" s="13"/>
    </row>
    <row r="163" spans="1:12" x14ac:dyDescent="0.35">
      <c r="A163" s="21"/>
      <c r="B163" s="21"/>
      <c r="C163" s="14"/>
      <c r="D163" s="80"/>
      <c r="E163" s="80"/>
      <c r="F163" s="22"/>
      <c r="G163" s="7" t="str">
        <f>IF($B163="","",IFERROR(INDEX(Bookings!$B$3:$B$202,MATCH($B163,Bookings!$A$3:$A$202,0)),""))</f>
        <v/>
      </c>
      <c r="H163" s="26" t="str">
        <f>IF($A163="","",COUNTIFS(Conteneurs!$B$3:$B$1002,$A163))</f>
        <v/>
      </c>
      <c r="I163" s="26" t="str">
        <f>IF($A163="","",SUMIFS(Conteneurs!$H$3:$H$1002,Conteneurs!$B$3:$B$1002,$A163))</f>
        <v/>
      </c>
      <c r="J163" s="28" t="str">
        <f t="shared" ref="J163:J194" si="10">IF(OR($A163="",$E163=""),"",$E163-$I163)</f>
        <v/>
      </c>
      <c r="K163" s="77" t="str">
        <f t="shared" ref="K163:K194" si="11">IF($A163="","",IF(AND(OR($F163="",$H163=$F163),OR($E163="",ABS(N($E163)-$I163)&lt;=0.5)),"OK","Écart : "&amp;TRIM(IF(AND($F163&lt;&gt;"",$H163&lt;&gt;$F163),"nb conteneurs ","")&amp;IF(AND($E163&lt;&gt;"",ABS(N($E163)-$I163)&gt;0.5),"poids net",""))))</f>
        <v/>
      </c>
      <c r="L163" s="13"/>
    </row>
    <row r="164" spans="1:12" x14ac:dyDescent="0.35">
      <c r="A164" s="21"/>
      <c r="B164" s="21"/>
      <c r="C164" s="14"/>
      <c r="D164" s="80"/>
      <c r="E164" s="80"/>
      <c r="F164" s="22"/>
      <c r="G164" s="7" t="str">
        <f>IF($B164="","",IFERROR(INDEX(Bookings!$B$3:$B$202,MATCH($B164,Bookings!$A$3:$A$202,0)),""))</f>
        <v/>
      </c>
      <c r="H164" s="26" t="str">
        <f>IF($A164="","",COUNTIFS(Conteneurs!$B$3:$B$1002,$A164))</f>
        <v/>
      </c>
      <c r="I164" s="26" t="str">
        <f>IF($A164="","",SUMIFS(Conteneurs!$H$3:$H$1002,Conteneurs!$B$3:$B$1002,$A164))</f>
        <v/>
      </c>
      <c r="J164" s="28" t="str">
        <f t="shared" si="10"/>
        <v/>
      </c>
      <c r="K164" s="77" t="str">
        <f t="shared" si="11"/>
        <v/>
      </c>
      <c r="L164" s="13"/>
    </row>
    <row r="165" spans="1:12" x14ac:dyDescent="0.35">
      <c r="A165" s="21"/>
      <c r="B165" s="21"/>
      <c r="C165" s="14"/>
      <c r="D165" s="80"/>
      <c r="E165" s="80"/>
      <c r="F165" s="22"/>
      <c r="G165" s="7" t="str">
        <f>IF($B165="","",IFERROR(INDEX(Bookings!$B$3:$B$202,MATCH($B165,Bookings!$A$3:$A$202,0)),""))</f>
        <v/>
      </c>
      <c r="H165" s="26" t="str">
        <f>IF($A165="","",COUNTIFS(Conteneurs!$B$3:$B$1002,$A165))</f>
        <v/>
      </c>
      <c r="I165" s="26" t="str">
        <f>IF($A165="","",SUMIFS(Conteneurs!$H$3:$H$1002,Conteneurs!$B$3:$B$1002,$A165))</f>
        <v/>
      </c>
      <c r="J165" s="28" t="str">
        <f t="shared" si="10"/>
        <v/>
      </c>
      <c r="K165" s="77" t="str">
        <f t="shared" si="11"/>
        <v/>
      </c>
      <c r="L165" s="13"/>
    </row>
    <row r="166" spans="1:12" x14ac:dyDescent="0.35">
      <c r="A166" s="21"/>
      <c r="B166" s="21"/>
      <c r="C166" s="14"/>
      <c r="D166" s="80"/>
      <c r="E166" s="80"/>
      <c r="F166" s="22"/>
      <c r="G166" s="7" t="str">
        <f>IF($B166="","",IFERROR(INDEX(Bookings!$B$3:$B$202,MATCH($B166,Bookings!$A$3:$A$202,0)),""))</f>
        <v/>
      </c>
      <c r="H166" s="26" t="str">
        <f>IF($A166="","",COUNTIFS(Conteneurs!$B$3:$B$1002,$A166))</f>
        <v/>
      </c>
      <c r="I166" s="26" t="str">
        <f>IF($A166="","",SUMIFS(Conteneurs!$H$3:$H$1002,Conteneurs!$B$3:$B$1002,$A166))</f>
        <v/>
      </c>
      <c r="J166" s="28" t="str">
        <f t="shared" si="10"/>
        <v/>
      </c>
      <c r="K166" s="77" t="str">
        <f t="shared" si="11"/>
        <v/>
      </c>
      <c r="L166" s="13"/>
    </row>
    <row r="167" spans="1:12" x14ac:dyDescent="0.35">
      <c r="A167" s="21"/>
      <c r="B167" s="21"/>
      <c r="C167" s="14"/>
      <c r="D167" s="80"/>
      <c r="E167" s="80"/>
      <c r="F167" s="22"/>
      <c r="G167" s="7" t="str">
        <f>IF($B167="","",IFERROR(INDEX(Bookings!$B$3:$B$202,MATCH($B167,Bookings!$A$3:$A$202,0)),""))</f>
        <v/>
      </c>
      <c r="H167" s="26" t="str">
        <f>IF($A167="","",COUNTIFS(Conteneurs!$B$3:$B$1002,$A167))</f>
        <v/>
      </c>
      <c r="I167" s="26" t="str">
        <f>IF($A167="","",SUMIFS(Conteneurs!$H$3:$H$1002,Conteneurs!$B$3:$B$1002,$A167))</f>
        <v/>
      </c>
      <c r="J167" s="28" t="str">
        <f t="shared" si="10"/>
        <v/>
      </c>
      <c r="K167" s="77" t="str">
        <f t="shared" si="11"/>
        <v/>
      </c>
      <c r="L167" s="13"/>
    </row>
    <row r="168" spans="1:12" x14ac:dyDescent="0.35">
      <c r="A168" s="21"/>
      <c r="B168" s="21"/>
      <c r="C168" s="14"/>
      <c r="D168" s="80"/>
      <c r="E168" s="80"/>
      <c r="F168" s="22"/>
      <c r="G168" s="7" t="str">
        <f>IF($B168="","",IFERROR(INDEX(Bookings!$B$3:$B$202,MATCH($B168,Bookings!$A$3:$A$202,0)),""))</f>
        <v/>
      </c>
      <c r="H168" s="26" t="str">
        <f>IF($A168="","",COUNTIFS(Conteneurs!$B$3:$B$1002,$A168))</f>
        <v/>
      </c>
      <c r="I168" s="26" t="str">
        <f>IF($A168="","",SUMIFS(Conteneurs!$H$3:$H$1002,Conteneurs!$B$3:$B$1002,$A168))</f>
        <v/>
      </c>
      <c r="J168" s="28" t="str">
        <f t="shared" si="10"/>
        <v/>
      </c>
      <c r="K168" s="77" t="str">
        <f t="shared" si="11"/>
        <v/>
      </c>
      <c r="L168" s="13"/>
    </row>
    <row r="169" spans="1:12" x14ac:dyDescent="0.35">
      <c r="A169" s="21"/>
      <c r="B169" s="21"/>
      <c r="C169" s="14"/>
      <c r="D169" s="80"/>
      <c r="E169" s="80"/>
      <c r="F169" s="22"/>
      <c r="G169" s="7" t="str">
        <f>IF($B169="","",IFERROR(INDEX(Bookings!$B$3:$B$202,MATCH($B169,Bookings!$A$3:$A$202,0)),""))</f>
        <v/>
      </c>
      <c r="H169" s="26" t="str">
        <f>IF($A169="","",COUNTIFS(Conteneurs!$B$3:$B$1002,$A169))</f>
        <v/>
      </c>
      <c r="I169" s="26" t="str">
        <f>IF($A169="","",SUMIFS(Conteneurs!$H$3:$H$1002,Conteneurs!$B$3:$B$1002,$A169))</f>
        <v/>
      </c>
      <c r="J169" s="28" t="str">
        <f t="shared" si="10"/>
        <v/>
      </c>
      <c r="K169" s="77" t="str">
        <f t="shared" si="11"/>
        <v/>
      </c>
      <c r="L169" s="13"/>
    </row>
    <row r="170" spans="1:12" x14ac:dyDescent="0.35">
      <c r="A170" s="21"/>
      <c r="B170" s="21"/>
      <c r="C170" s="14"/>
      <c r="D170" s="80"/>
      <c r="E170" s="80"/>
      <c r="F170" s="22"/>
      <c r="G170" s="7" t="str">
        <f>IF($B170="","",IFERROR(INDEX(Bookings!$B$3:$B$202,MATCH($B170,Bookings!$A$3:$A$202,0)),""))</f>
        <v/>
      </c>
      <c r="H170" s="26" t="str">
        <f>IF($A170="","",COUNTIFS(Conteneurs!$B$3:$B$1002,$A170))</f>
        <v/>
      </c>
      <c r="I170" s="26" t="str">
        <f>IF($A170="","",SUMIFS(Conteneurs!$H$3:$H$1002,Conteneurs!$B$3:$B$1002,$A170))</f>
        <v/>
      </c>
      <c r="J170" s="28" t="str">
        <f t="shared" si="10"/>
        <v/>
      </c>
      <c r="K170" s="77" t="str">
        <f t="shared" si="11"/>
        <v/>
      </c>
      <c r="L170" s="13"/>
    </row>
    <row r="171" spans="1:12" x14ac:dyDescent="0.35">
      <c r="A171" s="21"/>
      <c r="B171" s="21"/>
      <c r="C171" s="14"/>
      <c r="D171" s="80"/>
      <c r="E171" s="80"/>
      <c r="F171" s="22"/>
      <c r="G171" s="7" t="str">
        <f>IF($B171="","",IFERROR(INDEX(Bookings!$B$3:$B$202,MATCH($B171,Bookings!$A$3:$A$202,0)),""))</f>
        <v/>
      </c>
      <c r="H171" s="26" t="str">
        <f>IF($A171="","",COUNTIFS(Conteneurs!$B$3:$B$1002,$A171))</f>
        <v/>
      </c>
      <c r="I171" s="26" t="str">
        <f>IF($A171="","",SUMIFS(Conteneurs!$H$3:$H$1002,Conteneurs!$B$3:$B$1002,$A171))</f>
        <v/>
      </c>
      <c r="J171" s="28" t="str">
        <f t="shared" si="10"/>
        <v/>
      </c>
      <c r="K171" s="77" t="str">
        <f t="shared" si="11"/>
        <v/>
      </c>
      <c r="L171" s="13"/>
    </row>
    <row r="172" spans="1:12" x14ac:dyDescent="0.35">
      <c r="A172" s="21"/>
      <c r="B172" s="21"/>
      <c r="C172" s="14"/>
      <c r="D172" s="80"/>
      <c r="E172" s="80"/>
      <c r="F172" s="22"/>
      <c r="G172" s="7" t="str">
        <f>IF($B172="","",IFERROR(INDEX(Bookings!$B$3:$B$202,MATCH($B172,Bookings!$A$3:$A$202,0)),""))</f>
        <v/>
      </c>
      <c r="H172" s="26" t="str">
        <f>IF($A172="","",COUNTIFS(Conteneurs!$B$3:$B$1002,$A172))</f>
        <v/>
      </c>
      <c r="I172" s="26" t="str">
        <f>IF($A172="","",SUMIFS(Conteneurs!$H$3:$H$1002,Conteneurs!$B$3:$B$1002,$A172))</f>
        <v/>
      </c>
      <c r="J172" s="28" t="str">
        <f t="shared" si="10"/>
        <v/>
      </c>
      <c r="K172" s="77" t="str">
        <f t="shared" si="11"/>
        <v/>
      </c>
      <c r="L172" s="13"/>
    </row>
    <row r="173" spans="1:12" x14ac:dyDescent="0.35">
      <c r="A173" s="21"/>
      <c r="B173" s="21"/>
      <c r="C173" s="14"/>
      <c r="D173" s="80"/>
      <c r="E173" s="80"/>
      <c r="F173" s="22"/>
      <c r="G173" s="7" t="str">
        <f>IF($B173="","",IFERROR(INDEX(Bookings!$B$3:$B$202,MATCH($B173,Bookings!$A$3:$A$202,0)),""))</f>
        <v/>
      </c>
      <c r="H173" s="26" t="str">
        <f>IF($A173="","",COUNTIFS(Conteneurs!$B$3:$B$1002,$A173))</f>
        <v/>
      </c>
      <c r="I173" s="26" t="str">
        <f>IF($A173="","",SUMIFS(Conteneurs!$H$3:$H$1002,Conteneurs!$B$3:$B$1002,$A173))</f>
        <v/>
      </c>
      <c r="J173" s="28" t="str">
        <f t="shared" si="10"/>
        <v/>
      </c>
      <c r="K173" s="77" t="str">
        <f t="shared" si="11"/>
        <v/>
      </c>
      <c r="L173" s="13"/>
    </row>
    <row r="174" spans="1:12" x14ac:dyDescent="0.35">
      <c r="A174" s="21"/>
      <c r="B174" s="21"/>
      <c r="C174" s="14"/>
      <c r="D174" s="80"/>
      <c r="E174" s="80"/>
      <c r="F174" s="22"/>
      <c r="G174" s="7" t="str">
        <f>IF($B174="","",IFERROR(INDEX(Bookings!$B$3:$B$202,MATCH($B174,Bookings!$A$3:$A$202,0)),""))</f>
        <v/>
      </c>
      <c r="H174" s="26" t="str">
        <f>IF($A174="","",COUNTIFS(Conteneurs!$B$3:$B$1002,$A174))</f>
        <v/>
      </c>
      <c r="I174" s="26" t="str">
        <f>IF($A174="","",SUMIFS(Conteneurs!$H$3:$H$1002,Conteneurs!$B$3:$B$1002,$A174))</f>
        <v/>
      </c>
      <c r="J174" s="28" t="str">
        <f t="shared" si="10"/>
        <v/>
      </c>
      <c r="K174" s="77" t="str">
        <f t="shared" si="11"/>
        <v/>
      </c>
      <c r="L174" s="13"/>
    </row>
    <row r="175" spans="1:12" x14ac:dyDescent="0.35">
      <c r="A175" s="21"/>
      <c r="B175" s="21"/>
      <c r="C175" s="14"/>
      <c r="D175" s="80"/>
      <c r="E175" s="80"/>
      <c r="F175" s="22"/>
      <c r="G175" s="7" t="str">
        <f>IF($B175="","",IFERROR(INDEX(Bookings!$B$3:$B$202,MATCH($B175,Bookings!$A$3:$A$202,0)),""))</f>
        <v/>
      </c>
      <c r="H175" s="26" t="str">
        <f>IF($A175="","",COUNTIFS(Conteneurs!$B$3:$B$1002,$A175))</f>
        <v/>
      </c>
      <c r="I175" s="26" t="str">
        <f>IF($A175="","",SUMIFS(Conteneurs!$H$3:$H$1002,Conteneurs!$B$3:$B$1002,$A175))</f>
        <v/>
      </c>
      <c r="J175" s="28" t="str">
        <f t="shared" si="10"/>
        <v/>
      </c>
      <c r="K175" s="77" t="str">
        <f t="shared" si="11"/>
        <v/>
      </c>
      <c r="L175" s="13"/>
    </row>
    <row r="176" spans="1:12" x14ac:dyDescent="0.35">
      <c r="A176" s="21"/>
      <c r="B176" s="21"/>
      <c r="C176" s="14"/>
      <c r="D176" s="80"/>
      <c r="E176" s="80"/>
      <c r="F176" s="22"/>
      <c r="G176" s="7" t="str">
        <f>IF($B176="","",IFERROR(INDEX(Bookings!$B$3:$B$202,MATCH($B176,Bookings!$A$3:$A$202,0)),""))</f>
        <v/>
      </c>
      <c r="H176" s="26" t="str">
        <f>IF($A176="","",COUNTIFS(Conteneurs!$B$3:$B$1002,$A176))</f>
        <v/>
      </c>
      <c r="I176" s="26" t="str">
        <f>IF($A176="","",SUMIFS(Conteneurs!$H$3:$H$1002,Conteneurs!$B$3:$B$1002,$A176))</f>
        <v/>
      </c>
      <c r="J176" s="28" t="str">
        <f t="shared" si="10"/>
        <v/>
      </c>
      <c r="K176" s="77" t="str">
        <f t="shared" si="11"/>
        <v/>
      </c>
      <c r="L176" s="13"/>
    </row>
    <row r="177" spans="1:12" x14ac:dyDescent="0.35">
      <c r="A177" s="21"/>
      <c r="B177" s="21"/>
      <c r="C177" s="14"/>
      <c r="D177" s="80"/>
      <c r="E177" s="80"/>
      <c r="F177" s="22"/>
      <c r="G177" s="7" t="str">
        <f>IF($B177="","",IFERROR(INDEX(Bookings!$B$3:$B$202,MATCH($B177,Bookings!$A$3:$A$202,0)),""))</f>
        <v/>
      </c>
      <c r="H177" s="26" t="str">
        <f>IF($A177="","",COUNTIFS(Conteneurs!$B$3:$B$1002,$A177))</f>
        <v/>
      </c>
      <c r="I177" s="26" t="str">
        <f>IF($A177="","",SUMIFS(Conteneurs!$H$3:$H$1002,Conteneurs!$B$3:$B$1002,$A177))</f>
        <v/>
      </c>
      <c r="J177" s="28" t="str">
        <f t="shared" si="10"/>
        <v/>
      </c>
      <c r="K177" s="77" t="str">
        <f t="shared" si="11"/>
        <v/>
      </c>
      <c r="L177" s="13"/>
    </row>
    <row r="178" spans="1:12" x14ac:dyDescent="0.35">
      <c r="A178" s="21"/>
      <c r="B178" s="21"/>
      <c r="C178" s="14"/>
      <c r="D178" s="80"/>
      <c r="E178" s="80"/>
      <c r="F178" s="22"/>
      <c r="G178" s="7" t="str">
        <f>IF($B178="","",IFERROR(INDEX(Bookings!$B$3:$B$202,MATCH($B178,Bookings!$A$3:$A$202,0)),""))</f>
        <v/>
      </c>
      <c r="H178" s="26" t="str">
        <f>IF($A178="","",COUNTIFS(Conteneurs!$B$3:$B$1002,$A178))</f>
        <v/>
      </c>
      <c r="I178" s="26" t="str">
        <f>IF($A178="","",SUMIFS(Conteneurs!$H$3:$H$1002,Conteneurs!$B$3:$B$1002,$A178))</f>
        <v/>
      </c>
      <c r="J178" s="28" t="str">
        <f t="shared" si="10"/>
        <v/>
      </c>
      <c r="K178" s="77" t="str">
        <f t="shared" si="11"/>
        <v/>
      </c>
      <c r="L178" s="13"/>
    </row>
    <row r="179" spans="1:12" x14ac:dyDescent="0.35">
      <c r="A179" s="21"/>
      <c r="B179" s="21"/>
      <c r="C179" s="14"/>
      <c r="D179" s="80"/>
      <c r="E179" s="80"/>
      <c r="F179" s="22"/>
      <c r="G179" s="7" t="str">
        <f>IF($B179="","",IFERROR(INDEX(Bookings!$B$3:$B$202,MATCH($B179,Bookings!$A$3:$A$202,0)),""))</f>
        <v/>
      </c>
      <c r="H179" s="26" t="str">
        <f>IF($A179="","",COUNTIFS(Conteneurs!$B$3:$B$1002,$A179))</f>
        <v/>
      </c>
      <c r="I179" s="26" t="str">
        <f>IF($A179="","",SUMIFS(Conteneurs!$H$3:$H$1002,Conteneurs!$B$3:$B$1002,$A179))</f>
        <v/>
      </c>
      <c r="J179" s="28" t="str">
        <f t="shared" si="10"/>
        <v/>
      </c>
      <c r="K179" s="77" t="str">
        <f t="shared" si="11"/>
        <v/>
      </c>
      <c r="L179" s="13"/>
    </row>
    <row r="180" spans="1:12" x14ac:dyDescent="0.35">
      <c r="A180" s="21"/>
      <c r="B180" s="21"/>
      <c r="C180" s="14"/>
      <c r="D180" s="80"/>
      <c r="E180" s="80"/>
      <c r="F180" s="22"/>
      <c r="G180" s="7" t="str">
        <f>IF($B180="","",IFERROR(INDEX(Bookings!$B$3:$B$202,MATCH($B180,Bookings!$A$3:$A$202,0)),""))</f>
        <v/>
      </c>
      <c r="H180" s="26" t="str">
        <f>IF($A180="","",COUNTIFS(Conteneurs!$B$3:$B$1002,$A180))</f>
        <v/>
      </c>
      <c r="I180" s="26" t="str">
        <f>IF($A180="","",SUMIFS(Conteneurs!$H$3:$H$1002,Conteneurs!$B$3:$B$1002,$A180))</f>
        <v/>
      </c>
      <c r="J180" s="28" t="str">
        <f t="shared" si="10"/>
        <v/>
      </c>
      <c r="K180" s="77" t="str">
        <f t="shared" si="11"/>
        <v/>
      </c>
      <c r="L180" s="13"/>
    </row>
    <row r="181" spans="1:12" x14ac:dyDescent="0.35">
      <c r="A181" s="21"/>
      <c r="B181" s="21"/>
      <c r="C181" s="14"/>
      <c r="D181" s="80"/>
      <c r="E181" s="80"/>
      <c r="F181" s="22"/>
      <c r="G181" s="7" t="str">
        <f>IF($B181="","",IFERROR(INDEX(Bookings!$B$3:$B$202,MATCH($B181,Bookings!$A$3:$A$202,0)),""))</f>
        <v/>
      </c>
      <c r="H181" s="26" t="str">
        <f>IF($A181="","",COUNTIFS(Conteneurs!$B$3:$B$1002,$A181))</f>
        <v/>
      </c>
      <c r="I181" s="26" t="str">
        <f>IF($A181="","",SUMIFS(Conteneurs!$H$3:$H$1002,Conteneurs!$B$3:$B$1002,$A181))</f>
        <v/>
      </c>
      <c r="J181" s="28" t="str">
        <f t="shared" si="10"/>
        <v/>
      </c>
      <c r="K181" s="77" t="str">
        <f t="shared" si="11"/>
        <v/>
      </c>
      <c r="L181" s="13"/>
    </row>
    <row r="182" spans="1:12" x14ac:dyDescent="0.35">
      <c r="A182" s="21"/>
      <c r="B182" s="21"/>
      <c r="C182" s="14"/>
      <c r="D182" s="80"/>
      <c r="E182" s="80"/>
      <c r="F182" s="22"/>
      <c r="G182" s="7" t="str">
        <f>IF($B182="","",IFERROR(INDEX(Bookings!$B$3:$B$202,MATCH($B182,Bookings!$A$3:$A$202,0)),""))</f>
        <v/>
      </c>
      <c r="H182" s="26" t="str">
        <f>IF($A182="","",COUNTIFS(Conteneurs!$B$3:$B$1002,$A182))</f>
        <v/>
      </c>
      <c r="I182" s="26" t="str">
        <f>IF($A182="","",SUMIFS(Conteneurs!$H$3:$H$1002,Conteneurs!$B$3:$B$1002,$A182))</f>
        <v/>
      </c>
      <c r="J182" s="28" t="str">
        <f t="shared" si="10"/>
        <v/>
      </c>
      <c r="K182" s="77" t="str">
        <f t="shared" si="11"/>
        <v/>
      </c>
      <c r="L182" s="13"/>
    </row>
    <row r="183" spans="1:12" x14ac:dyDescent="0.35">
      <c r="A183" s="21"/>
      <c r="B183" s="21"/>
      <c r="C183" s="14"/>
      <c r="D183" s="80"/>
      <c r="E183" s="80"/>
      <c r="F183" s="22"/>
      <c r="G183" s="7" t="str">
        <f>IF($B183="","",IFERROR(INDEX(Bookings!$B$3:$B$202,MATCH($B183,Bookings!$A$3:$A$202,0)),""))</f>
        <v/>
      </c>
      <c r="H183" s="26" t="str">
        <f>IF($A183="","",COUNTIFS(Conteneurs!$B$3:$B$1002,$A183))</f>
        <v/>
      </c>
      <c r="I183" s="26" t="str">
        <f>IF($A183="","",SUMIFS(Conteneurs!$H$3:$H$1002,Conteneurs!$B$3:$B$1002,$A183))</f>
        <v/>
      </c>
      <c r="J183" s="28" t="str">
        <f t="shared" si="10"/>
        <v/>
      </c>
      <c r="K183" s="77" t="str">
        <f t="shared" si="11"/>
        <v/>
      </c>
      <c r="L183" s="13"/>
    </row>
    <row r="184" spans="1:12" x14ac:dyDescent="0.35">
      <c r="A184" s="21"/>
      <c r="B184" s="21"/>
      <c r="C184" s="14"/>
      <c r="D184" s="80"/>
      <c r="E184" s="80"/>
      <c r="F184" s="22"/>
      <c r="G184" s="7" t="str">
        <f>IF($B184="","",IFERROR(INDEX(Bookings!$B$3:$B$202,MATCH($B184,Bookings!$A$3:$A$202,0)),""))</f>
        <v/>
      </c>
      <c r="H184" s="26" t="str">
        <f>IF($A184="","",COUNTIFS(Conteneurs!$B$3:$B$1002,$A184))</f>
        <v/>
      </c>
      <c r="I184" s="26" t="str">
        <f>IF($A184="","",SUMIFS(Conteneurs!$H$3:$H$1002,Conteneurs!$B$3:$B$1002,$A184))</f>
        <v/>
      </c>
      <c r="J184" s="28" t="str">
        <f t="shared" si="10"/>
        <v/>
      </c>
      <c r="K184" s="77" t="str">
        <f t="shared" si="11"/>
        <v/>
      </c>
      <c r="L184" s="13"/>
    </row>
    <row r="185" spans="1:12" x14ac:dyDescent="0.35">
      <c r="A185" s="21"/>
      <c r="B185" s="21"/>
      <c r="C185" s="14"/>
      <c r="D185" s="80"/>
      <c r="E185" s="80"/>
      <c r="F185" s="22"/>
      <c r="G185" s="7" t="str">
        <f>IF($B185="","",IFERROR(INDEX(Bookings!$B$3:$B$202,MATCH($B185,Bookings!$A$3:$A$202,0)),""))</f>
        <v/>
      </c>
      <c r="H185" s="26" t="str">
        <f>IF($A185="","",COUNTIFS(Conteneurs!$B$3:$B$1002,$A185))</f>
        <v/>
      </c>
      <c r="I185" s="26" t="str">
        <f>IF($A185="","",SUMIFS(Conteneurs!$H$3:$H$1002,Conteneurs!$B$3:$B$1002,$A185))</f>
        <v/>
      </c>
      <c r="J185" s="28" t="str">
        <f t="shared" si="10"/>
        <v/>
      </c>
      <c r="K185" s="77" t="str">
        <f t="shared" si="11"/>
        <v/>
      </c>
      <c r="L185" s="13"/>
    </row>
    <row r="186" spans="1:12" x14ac:dyDescent="0.35">
      <c r="A186" s="21"/>
      <c r="B186" s="21"/>
      <c r="C186" s="14"/>
      <c r="D186" s="80"/>
      <c r="E186" s="80"/>
      <c r="F186" s="22"/>
      <c r="G186" s="7" t="str">
        <f>IF($B186="","",IFERROR(INDEX(Bookings!$B$3:$B$202,MATCH($B186,Bookings!$A$3:$A$202,0)),""))</f>
        <v/>
      </c>
      <c r="H186" s="26" t="str">
        <f>IF($A186="","",COUNTIFS(Conteneurs!$B$3:$B$1002,$A186))</f>
        <v/>
      </c>
      <c r="I186" s="26" t="str">
        <f>IF($A186="","",SUMIFS(Conteneurs!$H$3:$H$1002,Conteneurs!$B$3:$B$1002,$A186))</f>
        <v/>
      </c>
      <c r="J186" s="28" t="str">
        <f t="shared" si="10"/>
        <v/>
      </c>
      <c r="K186" s="77" t="str">
        <f t="shared" si="11"/>
        <v/>
      </c>
      <c r="L186" s="13"/>
    </row>
    <row r="187" spans="1:12" x14ac:dyDescent="0.35">
      <c r="A187" s="21"/>
      <c r="B187" s="21"/>
      <c r="C187" s="14"/>
      <c r="D187" s="80"/>
      <c r="E187" s="80"/>
      <c r="F187" s="22"/>
      <c r="G187" s="7" t="str">
        <f>IF($B187="","",IFERROR(INDEX(Bookings!$B$3:$B$202,MATCH($B187,Bookings!$A$3:$A$202,0)),""))</f>
        <v/>
      </c>
      <c r="H187" s="26" t="str">
        <f>IF($A187="","",COUNTIFS(Conteneurs!$B$3:$B$1002,$A187))</f>
        <v/>
      </c>
      <c r="I187" s="26" t="str">
        <f>IF($A187="","",SUMIFS(Conteneurs!$H$3:$H$1002,Conteneurs!$B$3:$B$1002,$A187))</f>
        <v/>
      </c>
      <c r="J187" s="28" t="str">
        <f t="shared" si="10"/>
        <v/>
      </c>
      <c r="K187" s="77" t="str">
        <f t="shared" si="11"/>
        <v/>
      </c>
      <c r="L187" s="13"/>
    </row>
    <row r="188" spans="1:12" x14ac:dyDescent="0.35">
      <c r="A188" s="21"/>
      <c r="B188" s="21"/>
      <c r="C188" s="14"/>
      <c r="D188" s="80"/>
      <c r="E188" s="80"/>
      <c r="F188" s="22"/>
      <c r="G188" s="7" t="str">
        <f>IF($B188="","",IFERROR(INDEX(Bookings!$B$3:$B$202,MATCH($B188,Bookings!$A$3:$A$202,0)),""))</f>
        <v/>
      </c>
      <c r="H188" s="26" t="str">
        <f>IF($A188="","",COUNTIFS(Conteneurs!$B$3:$B$1002,$A188))</f>
        <v/>
      </c>
      <c r="I188" s="26" t="str">
        <f>IF($A188="","",SUMIFS(Conteneurs!$H$3:$H$1002,Conteneurs!$B$3:$B$1002,$A188))</f>
        <v/>
      </c>
      <c r="J188" s="28" t="str">
        <f t="shared" si="10"/>
        <v/>
      </c>
      <c r="K188" s="77" t="str">
        <f t="shared" si="11"/>
        <v/>
      </c>
      <c r="L188" s="13"/>
    </row>
    <row r="189" spans="1:12" x14ac:dyDescent="0.35">
      <c r="A189" s="21"/>
      <c r="B189" s="21"/>
      <c r="C189" s="14"/>
      <c r="D189" s="80"/>
      <c r="E189" s="80"/>
      <c r="F189" s="22"/>
      <c r="G189" s="7" t="str">
        <f>IF($B189="","",IFERROR(INDEX(Bookings!$B$3:$B$202,MATCH($B189,Bookings!$A$3:$A$202,0)),""))</f>
        <v/>
      </c>
      <c r="H189" s="26" t="str">
        <f>IF($A189="","",COUNTIFS(Conteneurs!$B$3:$B$1002,$A189))</f>
        <v/>
      </c>
      <c r="I189" s="26" t="str">
        <f>IF($A189="","",SUMIFS(Conteneurs!$H$3:$H$1002,Conteneurs!$B$3:$B$1002,$A189))</f>
        <v/>
      </c>
      <c r="J189" s="28" t="str">
        <f t="shared" si="10"/>
        <v/>
      </c>
      <c r="K189" s="77" t="str">
        <f t="shared" si="11"/>
        <v/>
      </c>
      <c r="L189" s="13"/>
    </row>
    <row r="190" spans="1:12" x14ac:dyDescent="0.35">
      <c r="A190" s="21"/>
      <c r="B190" s="21"/>
      <c r="C190" s="14"/>
      <c r="D190" s="80"/>
      <c r="E190" s="80"/>
      <c r="F190" s="22"/>
      <c r="G190" s="7" t="str">
        <f>IF($B190="","",IFERROR(INDEX(Bookings!$B$3:$B$202,MATCH($B190,Bookings!$A$3:$A$202,0)),""))</f>
        <v/>
      </c>
      <c r="H190" s="26" t="str">
        <f>IF($A190="","",COUNTIFS(Conteneurs!$B$3:$B$1002,$A190))</f>
        <v/>
      </c>
      <c r="I190" s="26" t="str">
        <f>IF($A190="","",SUMIFS(Conteneurs!$H$3:$H$1002,Conteneurs!$B$3:$B$1002,$A190))</f>
        <v/>
      </c>
      <c r="J190" s="28" t="str">
        <f t="shared" si="10"/>
        <v/>
      </c>
      <c r="K190" s="77" t="str">
        <f t="shared" si="11"/>
        <v/>
      </c>
      <c r="L190" s="13"/>
    </row>
    <row r="191" spans="1:12" x14ac:dyDescent="0.35">
      <c r="A191" s="21"/>
      <c r="B191" s="21"/>
      <c r="C191" s="14"/>
      <c r="D191" s="80"/>
      <c r="E191" s="80"/>
      <c r="F191" s="22"/>
      <c r="G191" s="7" t="str">
        <f>IF($B191="","",IFERROR(INDEX(Bookings!$B$3:$B$202,MATCH($B191,Bookings!$A$3:$A$202,0)),""))</f>
        <v/>
      </c>
      <c r="H191" s="26" t="str">
        <f>IF($A191="","",COUNTIFS(Conteneurs!$B$3:$B$1002,$A191))</f>
        <v/>
      </c>
      <c r="I191" s="26" t="str">
        <f>IF($A191="","",SUMIFS(Conteneurs!$H$3:$H$1002,Conteneurs!$B$3:$B$1002,$A191))</f>
        <v/>
      </c>
      <c r="J191" s="28" t="str">
        <f t="shared" si="10"/>
        <v/>
      </c>
      <c r="K191" s="77" t="str">
        <f t="shared" si="11"/>
        <v/>
      </c>
      <c r="L191" s="13"/>
    </row>
    <row r="192" spans="1:12" x14ac:dyDescent="0.35">
      <c r="A192" s="21"/>
      <c r="B192" s="21"/>
      <c r="C192" s="14"/>
      <c r="D192" s="80"/>
      <c r="E192" s="80"/>
      <c r="F192" s="22"/>
      <c r="G192" s="7" t="str">
        <f>IF($B192="","",IFERROR(INDEX(Bookings!$B$3:$B$202,MATCH($B192,Bookings!$A$3:$A$202,0)),""))</f>
        <v/>
      </c>
      <c r="H192" s="26" t="str">
        <f>IF($A192="","",COUNTIFS(Conteneurs!$B$3:$B$1002,$A192))</f>
        <v/>
      </c>
      <c r="I192" s="26" t="str">
        <f>IF($A192="","",SUMIFS(Conteneurs!$H$3:$H$1002,Conteneurs!$B$3:$B$1002,$A192))</f>
        <v/>
      </c>
      <c r="J192" s="28" t="str">
        <f t="shared" si="10"/>
        <v/>
      </c>
      <c r="K192" s="77" t="str">
        <f t="shared" si="11"/>
        <v/>
      </c>
      <c r="L192" s="13"/>
    </row>
    <row r="193" spans="1:12" x14ac:dyDescent="0.35">
      <c r="A193" s="21"/>
      <c r="B193" s="21"/>
      <c r="C193" s="14"/>
      <c r="D193" s="80"/>
      <c r="E193" s="80"/>
      <c r="F193" s="22"/>
      <c r="G193" s="7" t="str">
        <f>IF($B193="","",IFERROR(INDEX(Bookings!$B$3:$B$202,MATCH($B193,Bookings!$A$3:$A$202,0)),""))</f>
        <v/>
      </c>
      <c r="H193" s="26" t="str">
        <f>IF($A193="","",COUNTIFS(Conteneurs!$B$3:$B$1002,$A193))</f>
        <v/>
      </c>
      <c r="I193" s="26" t="str">
        <f>IF($A193="","",SUMIFS(Conteneurs!$H$3:$H$1002,Conteneurs!$B$3:$B$1002,$A193))</f>
        <v/>
      </c>
      <c r="J193" s="28" t="str">
        <f t="shared" si="10"/>
        <v/>
      </c>
      <c r="K193" s="77" t="str">
        <f t="shared" si="11"/>
        <v/>
      </c>
      <c r="L193" s="13"/>
    </row>
    <row r="194" spans="1:12" x14ac:dyDescent="0.35">
      <c r="A194" s="21"/>
      <c r="B194" s="21"/>
      <c r="C194" s="14"/>
      <c r="D194" s="80"/>
      <c r="E194" s="80"/>
      <c r="F194" s="22"/>
      <c r="G194" s="7" t="str">
        <f>IF($B194="","",IFERROR(INDEX(Bookings!$B$3:$B$202,MATCH($B194,Bookings!$A$3:$A$202,0)),""))</f>
        <v/>
      </c>
      <c r="H194" s="26" t="str">
        <f>IF($A194="","",COUNTIFS(Conteneurs!$B$3:$B$1002,$A194))</f>
        <v/>
      </c>
      <c r="I194" s="26" t="str">
        <f>IF($A194="","",SUMIFS(Conteneurs!$H$3:$H$1002,Conteneurs!$B$3:$B$1002,$A194))</f>
        <v/>
      </c>
      <c r="J194" s="28" t="str">
        <f t="shared" si="10"/>
        <v/>
      </c>
      <c r="K194" s="77" t="str">
        <f t="shared" si="11"/>
        <v/>
      </c>
      <c r="L194" s="13"/>
    </row>
    <row r="195" spans="1:12" x14ac:dyDescent="0.35">
      <c r="A195" s="21"/>
      <c r="B195" s="21"/>
      <c r="C195" s="14"/>
      <c r="D195" s="80"/>
      <c r="E195" s="80"/>
      <c r="F195" s="22"/>
      <c r="G195" s="7" t="str">
        <f>IF($B195="","",IFERROR(INDEX(Bookings!$B$3:$B$202,MATCH($B195,Bookings!$A$3:$A$202,0)),""))</f>
        <v/>
      </c>
      <c r="H195" s="26" t="str">
        <f>IF($A195="","",COUNTIFS(Conteneurs!$B$3:$B$1002,$A195))</f>
        <v/>
      </c>
      <c r="I195" s="26" t="str">
        <f>IF($A195="","",SUMIFS(Conteneurs!$H$3:$H$1002,Conteneurs!$B$3:$B$1002,$A195))</f>
        <v/>
      </c>
      <c r="J195" s="28" t="str">
        <f t="shared" ref="J195:J202" si="12">IF(OR($A195="",$E195=""),"",$E195-$I195)</f>
        <v/>
      </c>
      <c r="K195" s="77" t="str">
        <f t="shared" ref="K195:K202" si="13">IF($A195="","",IF(AND(OR($F195="",$H195=$F195),OR($E195="",ABS(N($E195)-$I195)&lt;=0.5)),"OK","Écart : "&amp;TRIM(IF(AND($F195&lt;&gt;"",$H195&lt;&gt;$F195),"nb conteneurs ","")&amp;IF(AND($E195&lt;&gt;"",ABS(N($E195)-$I195)&gt;0.5),"poids net",""))))</f>
        <v/>
      </c>
      <c r="L195" s="13"/>
    </row>
    <row r="196" spans="1:12" x14ac:dyDescent="0.35">
      <c r="A196" s="21"/>
      <c r="B196" s="21"/>
      <c r="C196" s="14"/>
      <c r="D196" s="80"/>
      <c r="E196" s="80"/>
      <c r="F196" s="22"/>
      <c r="G196" s="7" t="str">
        <f>IF($B196="","",IFERROR(INDEX(Bookings!$B$3:$B$202,MATCH($B196,Bookings!$A$3:$A$202,0)),""))</f>
        <v/>
      </c>
      <c r="H196" s="26" t="str">
        <f>IF($A196="","",COUNTIFS(Conteneurs!$B$3:$B$1002,$A196))</f>
        <v/>
      </c>
      <c r="I196" s="26" t="str">
        <f>IF($A196="","",SUMIFS(Conteneurs!$H$3:$H$1002,Conteneurs!$B$3:$B$1002,$A196))</f>
        <v/>
      </c>
      <c r="J196" s="28" t="str">
        <f t="shared" si="12"/>
        <v/>
      </c>
      <c r="K196" s="77" t="str">
        <f t="shared" si="13"/>
        <v/>
      </c>
      <c r="L196" s="13"/>
    </row>
    <row r="197" spans="1:12" x14ac:dyDescent="0.35">
      <c r="A197" s="21"/>
      <c r="B197" s="21"/>
      <c r="C197" s="14"/>
      <c r="D197" s="80"/>
      <c r="E197" s="80"/>
      <c r="F197" s="22"/>
      <c r="G197" s="7" t="str">
        <f>IF($B197="","",IFERROR(INDEX(Bookings!$B$3:$B$202,MATCH($B197,Bookings!$A$3:$A$202,0)),""))</f>
        <v/>
      </c>
      <c r="H197" s="26" t="str">
        <f>IF($A197="","",COUNTIFS(Conteneurs!$B$3:$B$1002,$A197))</f>
        <v/>
      </c>
      <c r="I197" s="26" t="str">
        <f>IF($A197="","",SUMIFS(Conteneurs!$H$3:$H$1002,Conteneurs!$B$3:$B$1002,$A197))</f>
        <v/>
      </c>
      <c r="J197" s="28" t="str">
        <f t="shared" si="12"/>
        <v/>
      </c>
      <c r="K197" s="77" t="str">
        <f t="shared" si="13"/>
        <v/>
      </c>
      <c r="L197" s="13"/>
    </row>
    <row r="198" spans="1:12" x14ac:dyDescent="0.35">
      <c r="A198" s="21"/>
      <c r="B198" s="21"/>
      <c r="C198" s="14"/>
      <c r="D198" s="80"/>
      <c r="E198" s="80"/>
      <c r="F198" s="22"/>
      <c r="G198" s="7" t="str">
        <f>IF($B198="","",IFERROR(INDEX(Bookings!$B$3:$B$202,MATCH($B198,Bookings!$A$3:$A$202,0)),""))</f>
        <v/>
      </c>
      <c r="H198" s="26" t="str">
        <f>IF($A198="","",COUNTIFS(Conteneurs!$B$3:$B$1002,$A198))</f>
        <v/>
      </c>
      <c r="I198" s="26" t="str">
        <f>IF($A198="","",SUMIFS(Conteneurs!$H$3:$H$1002,Conteneurs!$B$3:$B$1002,$A198))</f>
        <v/>
      </c>
      <c r="J198" s="28" t="str">
        <f t="shared" si="12"/>
        <v/>
      </c>
      <c r="K198" s="77" t="str">
        <f t="shared" si="13"/>
        <v/>
      </c>
      <c r="L198" s="13"/>
    </row>
    <row r="199" spans="1:12" x14ac:dyDescent="0.35">
      <c r="A199" s="21"/>
      <c r="B199" s="21"/>
      <c r="C199" s="14"/>
      <c r="D199" s="80"/>
      <c r="E199" s="80"/>
      <c r="F199" s="22"/>
      <c r="G199" s="7" t="str">
        <f>IF($B199="","",IFERROR(INDEX(Bookings!$B$3:$B$202,MATCH($B199,Bookings!$A$3:$A$202,0)),""))</f>
        <v/>
      </c>
      <c r="H199" s="26" t="str">
        <f>IF($A199="","",COUNTIFS(Conteneurs!$B$3:$B$1002,$A199))</f>
        <v/>
      </c>
      <c r="I199" s="26" t="str">
        <f>IF($A199="","",SUMIFS(Conteneurs!$H$3:$H$1002,Conteneurs!$B$3:$B$1002,$A199))</f>
        <v/>
      </c>
      <c r="J199" s="28" t="str">
        <f t="shared" si="12"/>
        <v/>
      </c>
      <c r="K199" s="77" t="str">
        <f t="shared" si="13"/>
        <v/>
      </c>
      <c r="L199" s="13"/>
    </row>
    <row r="200" spans="1:12" x14ac:dyDescent="0.35">
      <c r="A200" s="21"/>
      <c r="B200" s="21"/>
      <c r="C200" s="14"/>
      <c r="D200" s="80"/>
      <c r="E200" s="80"/>
      <c r="F200" s="22"/>
      <c r="G200" s="7" t="str">
        <f>IF($B200="","",IFERROR(INDEX(Bookings!$B$3:$B$202,MATCH($B200,Bookings!$A$3:$A$202,0)),""))</f>
        <v/>
      </c>
      <c r="H200" s="26" t="str">
        <f>IF($A200="","",COUNTIFS(Conteneurs!$B$3:$B$1002,$A200))</f>
        <v/>
      </c>
      <c r="I200" s="26" t="str">
        <f>IF($A200="","",SUMIFS(Conteneurs!$H$3:$H$1002,Conteneurs!$B$3:$B$1002,$A200))</f>
        <v/>
      </c>
      <c r="J200" s="28" t="str">
        <f t="shared" si="12"/>
        <v/>
      </c>
      <c r="K200" s="77" t="str">
        <f t="shared" si="13"/>
        <v/>
      </c>
      <c r="L200" s="13"/>
    </row>
    <row r="201" spans="1:12" x14ac:dyDescent="0.35">
      <c r="A201" s="21"/>
      <c r="B201" s="21"/>
      <c r="C201" s="14"/>
      <c r="D201" s="80"/>
      <c r="E201" s="80"/>
      <c r="F201" s="22"/>
      <c r="G201" s="7" t="str">
        <f>IF($B201="","",IFERROR(INDEX(Bookings!$B$3:$B$202,MATCH($B201,Bookings!$A$3:$A$202,0)),""))</f>
        <v/>
      </c>
      <c r="H201" s="26" t="str">
        <f>IF($A201="","",COUNTIFS(Conteneurs!$B$3:$B$1002,$A201))</f>
        <v/>
      </c>
      <c r="I201" s="26" t="str">
        <f>IF($A201="","",SUMIFS(Conteneurs!$H$3:$H$1002,Conteneurs!$B$3:$B$1002,$A201))</f>
        <v/>
      </c>
      <c r="J201" s="28" t="str">
        <f t="shared" si="12"/>
        <v/>
      </c>
      <c r="K201" s="77" t="str">
        <f t="shared" si="13"/>
        <v/>
      </c>
      <c r="L201" s="13"/>
    </row>
    <row r="202" spans="1:12" x14ac:dyDescent="0.35">
      <c r="A202" s="21"/>
      <c r="B202" s="21"/>
      <c r="C202" s="14"/>
      <c r="D202" s="80"/>
      <c r="E202" s="80"/>
      <c r="F202" s="22"/>
      <c r="G202" s="7" t="str">
        <f>IF($B202="","",IFERROR(INDEX(Bookings!$B$3:$B$202,MATCH($B202,Bookings!$A$3:$A$202,0)),""))</f>
        <v/>
      </c>
      <c r="H202" s="26" t="str">
        <f>IF($A202="","",COUNTIFS(Conteneurs!$B$3:$B$1002,$A202))</f>
        <v/>
      </c>
      <c r="I202" s="26" t="str">
        <f>IF($A202="","",SUMIFS(Conteneurs!$H$3:$H$1002,Conteneurs!$B$3:$B$1002,$A202))</f>
        <v/>
      </c>
      <c r="J202" s="28" t="str">
        <f t="shared" si="12"/>
        <v/>
      </c>
      <c r="K202" s="77" t="str">
        <f t="shared" si="13"/>
        <v/>
      </c>
      <c r="L202" s="13"/>
    </row>
  </sheetData>
  <mergeCells count="1">
    <mergeCell ref="A1:L1"/>
  </mergeCells>
  <conditionalFormatting sqref="K3:K202">
    <cfRule type="cellIs" dxfId="18" priority="1" operator="equal">
      <formula>"OK"</formula>
    </cfRule>
    <cfRule type="expression" dxfId="17" priority="2">
      <formula>AND($K3&lt;&gt;"",$K3&lt;&gt;"OK")</formula>
    </cfRule>
  </conditionalFormatting>
  <dataValidations count="3">
    <dataValidation type="list" allowBlank="1" showErrorMessage="1" errorTitle="Booking inconnu" error="Ce booking introuvable. Ajoutez-le d'abord dans la feuille Bookings." sqref="B13:B202" xr:uid="{00000000-0002-0000-0400-000000000000}">
      <formula1>L_Bookings</formula1>
    </dataValidation>
    <dataValidation type="date" operator="greaterThan" allowBlank="1" showErrorMessage="1" errorTitle="Date non valide" error="Saisissez une date, par exemple 10/10/2026." sqref="C3:C202" xr:uid="{00000000-0002-0000-0400-000001000000}">
      <formula1>36526</formula1>
    </dataValidation>
    <dataValidation type="decimal" operator="greaterThanOrEqual" allowBlank="1" showErrorMessage="1" errorTitle="Valeur non valide" error="Saisissez un nombre positif, sans texte." sqref="D3:F202" xr:uid="{00000000-0002-0000-0400-000002000000}">
      <formula1>0</formula1>
    </dataValidation>
  </dataValidation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375623"/>
    <pageSetUpPr fitToPage="1"/>
  </sheetPr>
  <dimension ref="A1:Q13628"/>
  <sheetViews>
    <sheetView workbookViewId="0">
      <pane xSplit="1" ySplit="2" topLeftCell="G31" activePane="bottomRight" state="frozen"/>
      <selection pane="topRight"/>
      <selection pane="bottomLeft"/>
      <selection pane="bottomRight" activeCell="K13635" sqref="K13635"/>
    </sheetView>
  </sheetViews>
  <sheetFormatPr baseColWidth="10" defaultColWidth="8.7265625" defaultRowHeight="14.5" x14ac:dyDescent="0.35"/>
  <cols>
    <col min="1" max="1" width="16" style="55" customWidth="1"/>
    <col min="2" max="2" width="14" style="55" customWidth="1"/>
    <col min="3" max="3" width="14" customWidth="1"/>
    <col min="4" max="4" width="18.08984375" style="55" customWidth="1"/>
    <col min="5" max="5" width="17.54296875" customWidth="1"/>
    <col min="6" max="6" width="13" customWidth="1"/>
    <col min="7" max="7" width="18.7265625" customWidth="1"/>
    <col min="8" max="8" width="13" style="82" customWidth="1"/>
    <col min="9" max="9" width="13" style="79" customWidth="1"/>
    <col min="10" max="10" width="19.81640625" style="79" customWidth="1"/>
    <col min="11" max="12" width="13" customWidth="1"/>
    <col min="13" max="13" width="17.81640625" customWidth="1"/>
    <col min="14" max="14" width="34" customWidth="1"/>
    <col min="15" max="15" width="39.08984375" customWidth="1"/>
    <col min="16" max="16" width="6" hidden="1" customWidth="1"/>
    <col min="17" max="17" width="9" hidden="1" customWidth="1"/>
  </cols>
  <sheetData>
    <row r="1" spans="1:17" ht="64" hidden="1" customHeight="1" x14ac:dyDescent="0.35">
      <c r="A1" s="49" t="s">
        <v>96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s="123" customFormat="1" ht="36" customHeight="1" x14ac:dyDescent="0.35">
      <c r="A2" s="98" t="s">
        <v>38</v>
      </c>
      <c r="B2" s="98" t="s">
        <v>39</v>
      </c>
      <c r="C2" s="98" t="s">
        <v>97</v>
      </c>
      <c r="D2" s="98" t="s">
        <v>98</v>
      </c>
      <c r="E2" s="98" t="s">
        <v>99</v>
      </c>
      <c r="F2" s="98" t="s">
        <v>100</v>
      </c>
      <c r="G2" s="98" t="s">
        <v>101</v>
      </c>
      <c r="H2" s="99" t="s">
        <v>102</v>
      </c>
      <c r="I2" s="100" t="s">
        <v>216</v>
      </c>
      <c r="J2" s="100" t="s">
        <v>103</v>
      </c>
      <c r="K2" s="98" t="s">
        <v>53</v>
      </c>
      <c r="L2" s="98" t="s">
        <v>54</v>
      </c>
      <c r="M2" s="98" t="s">
        <v>104</v>
      </c>
      <c r="N2" s="98" t="s">
        <v>41</v>
      </c>
      <c r="O2" s="98" t="s">
        <v>78</v>
      </c>
      <c r="P2" s="122" t="s">
        <v>105</v>
      </c>
      <c r="Q2" s="122" t="s">
        <v>106</v>
      </c>
    </row>
    <row r="3" spans="1:17" hidden="1" x14ac:dyDescent="0.35">
      <c r="A3" s="91" t="s">
        <v>204</v>
      </c>
      <c r="B3" s="91">
        <v>277243348</v>
      </c>
      <c r="C3" s="92" t="s">
        <v>210</v>
      </c>
      <c r="D3" s="93" t="s">
        <v>187</v>
      </c>
      <c r="E3" s="94"/>
      <c r="F3" s="94"/>
      <c r="G3" s="94"/>
      <c r="H3" s="95">
        <f>J3-I3</f>
        <v>21080</v>
      </c>
      <c r="I3" s="96">
        <v>15280</v>
      </c>
      <c r="J3" s="96">
        <v>36360</v>
      </c>
      <c r="K3" s="97">
        <f>IF($B3="","",IFERROR(INDEX(Connaissements!$B$3:$B$202,MATCH($B3,Connaissements!$A$3:$A$202,0)),""))</f>
        <v>277243348</v>
      </c>
      <c r="L3" s="97">
        <f>IF($B3="","",IFERROR(INDEX(Connaissements!$G$3:$G$202,MATCH($B3,Connaissements!$A$3:$A$202,0)),""))</f>
        <v>4600063618</v>
      </c>
      <c r="M3" s="7" t="str">
        <f t="shared" ref="M3:M66" si="0">IF($A3="","",IF($G3&lt;&gt;"","Embarqué",IF($F3&lt;&gt;"","Gate-In fait",IF($E3&lt;&gt;"","Empoté","À empoter"))))</f>
        <v>À empoter</v>
      </c>
      <c r="N3" s="7" t="str">
        <f ca="1">IF(OR($A3="",$G3&lt;&gt;""),"",IF(AND($Q3&lt;&gt;"",N($Q3)&lt;TODAY()),"RETARD : ETD dépassé, pas embarqué",IF(AND($Q3&lt;&gt;"",N($Q3)-TODAY()&lt;=P_AlerteETD,$F3=""),"Gate-In à faire (ETD proche)",IF(AND($E3&lt;&gt;"",$H3=""),"Poids net à saisir",""))))</f>
        <v/>
      </c>
      <c r="O3" s="97"/>
      <c r="P3" s="29"/>
      <c r="Q3" s="30"/>
    </row>
    <row r="4" spans="1:17" hidden="1" x14ac:dyDescent="0.35">
      <c r="A4" s="91" t="s">
        <v>205</v>
      </c>
      <c r="B4" s="91">
        <v>277243348</v>
      </c>
      <c r="C4" s="92" t="s">
        <v>211</v>
      </c>
      <c r="D4" s="93" t="s">
        <v>187</v>
      </c>
      <c r="E4" s="94"/>
      <c r="F4" s="94"/>
      <c r="G4" s="94"/>
      <c r="H4" s="95">
        <f t="shared" ref="H4:H67" si="1">J4-I4</f>
        <v>21040</v>
      </c>
      <c r="I4" s="96">
        <v>15000</v>
      </c>
      <c r="J4" s="96">
        <v>36040</v>
      </c>
      <c r="K4" s="97">
        <f>IF($B4="","",IFERROR(INDEX(Connaissements!$B$3:$B$202,MATCH($B4,Connaissements!$A$3:$A$202,0)),""))</f>
        <v>277243348</v>
      </c>
      <c r="L4" s="97">
        <f>IF($B4="","",IFERROR(INDEX(Connaissements!$G$3:$G$202,MATCH($B4,Connaissements!$A$3:$A$202,0)),""))</f>
        <v>4600063618</v>
      </c>
      <c r="M4" s="7" t="str">
        <f t="shared" si="0"/>
        <v>À empoter</v>
      </c>
      <c r="N4" s="7" t="str">
        <f ca="1">IF(OR($A4="",$G4&lt;&gt;""),"",IF(AND($Q4&lt;&gt;"",N($Q4)&lt;TODAY()),"RETARD : ETD dépassé, pas embarqué",IF(AND($Q4&lt;&gt;"",N($Q4)-TODAY()&lt;=P_AlerteETD,$F4=""),"Gate-In à faire (ETD proche)",IF(AND($E4&lt;&gt;"",$H4=""),"Poids net à saisir",""))))</f>
        <v/>
      </c>
      <c r="O4" s="97"/>
      <c r="P4" s="29"/>
      <c r="Q4" s="30"/>
    </row>
    <row r="5" spans="1:17" hidden="1" x14ac:dyDescent="0.35">
      <c r="A5" s="91" t="s">
        <v>206</v>
      </c>
      <c r="B5" s="91">
        <v>277243348</v>
      </c>
      <c r="C5" s="92" t="s">
        <v>212</v>
      </c>
      <c r="D5" s="93" t="s">
        <v>187</v>
      </c>
      <c r="E5" s="94"/>
      <c r="F5" s="94"/>
      <c r="G5" s="94"/>
      <c r="H5" s="95">
        <f t="shared" si="1"/>
        <v>20500</v>
      </c>
      <c r="I5" s="96">
        <v>15200</v>
      </c>
      <c r="J5" s="96">
        <v>35700</v>
      </c>
      <c r="K5" s="97">
        <f>IF($B5="","",IFERROR(INDEX(Connaissements!$B$3:$B$202,MATCH($B5,Connaissements!$A$3:$A$202,0)),""))</f>
        <v>277243348</v>
      </c>
      <c r="L5" s="97">
        <f>IF($B5="","",IFERROR(INDEX(Connaissements!$G$3:$G$202,MATCH($B5,Connaissements!$A$3:$A$202,0)),""))</f>
        <v>4600063618</v>
      </c>
      <c r="M5" s="7" t="str">
        <f t="shared" si="0"/>
        <v>À empoter</v>
      </c>
      <c r="N5" s="7" t="str">
        <f ca="1">IF(OR($A5="",$G5&lt;&gt;""),"",IF(AND($Q5&lt;&gt;"",N($Q5)&lt;TODAY()),"RETARD : ETD dépassé, pas embarqué",IF(AND($Q5&lt;&gt;"",N($Q5)-TODAY()&lt;=P_AlerteETD,$F5=""),"Gate-In à faire (ETD proche)",IF(AND($E5&lt;&gt;"",$H5=""),"Poids net à saisir",""))))</f>
        <v>Gate-In à faire (ETD proche)</v>
      </c>
      <c r="O5" s="97"/>
      <c r="P5" s="29">
        <f t="shared" ref="P3:P66" ca="1" si="2">IF($N5&lt;&gt;"",1,"")</f>
        <v>1</v>
      </c>
      <c r="Q5" s="30">
        <f>IF($K5="","",IFERROR(IF(INDEX(Bookings!$G$3:$G$202,MATCH($K5,Bookings!$A$3:$A$202,0))="","",INDEX(Bookings!$G$3:$G$202,MATCH($K5,Bookings!$A$3:$A$202,0))),""))</f>
        <v>46308</v>
      </c>
    </row>
    <row r="6" spans="1:17" hidden="1" x14ac:dyDescent="0.35">
      <c r="A6" s="91" t="s">
        <v>207</v>
      </c>
      <c r="B6" s="91">
        <v>277243348</v>
      </c>
      <c r="C6" s="92" t="s">
        <v>213</v>
      </c>
      <c r="D6" s="93" t="s">
        <v>187</v>
      </c>
      <c r="E6" s="94"/>
      <c r="F6" s="94"/>
      <c r="G6" s="94"/>
      <c r="H6" s="95">
        <f t="shared" si="1"/>
        <v>20520</v>
      </c>
      <c r="I6" s="96">
        <v>15560</v>
      </c>
      <c r="J6" s="96">
        <v>36080</v>
      </c>
      <c r="K6" s="97">
        <f>IF($B6="","",IFERROR(INDEX(Connaissements!$B$3:$B$202,MATCH($B6,Connaissements!$A$3:$A$202,0)),""))</f>
        <v>277243348</v>
      </c>
      <c r="L6" s="97">
        <f>IF($B6="","",IFERROR(INDEX(Connaissements!$G$3:$G$202,MATCH($B6,Connaissements!$A$3:$A$202,0)),""))</f>
        <v>4600063618</v>
      </c>
      <c r="M6" s="7" t="str">
        <f t="shared" si="0"/>
        <v>À empoter</v>
      </c>
      <c r="N6" s="7" t="str">
        <f ca="1">IF(OR($A6="",$G6&lt;&gt;""),"",IF(AND($Q6&lt;&gt;"",N($Q6)&lt;TODAY()),"RETARD : ETD dépassé, pas embarqué",IF(AND($Q6&lt;&gt;"",N($Q6)-TODAY()&lt;=P_AlerteETD,$F6=""),"Gate-In à faire (ETD proche)",IF(AND($E6&lt;&gt;"",$H6=""),"Poids net à saisir",""))))</f>
        <v>Gate-In à faire (ETD proche)</v>
      </c>
      <c r="O6" s="97"/>
      <c r="P6" s="29">
        <f t="shared" ca="1" si="2"/>
        <v>1</v>
      </c>
      <c r="Q6" s="30">
        <f>IF($K6="","",IFERROR(IF(INDEX(Bookings!$G$3:$G$202,MATCH($K6,Bookings!$A$3:$A$202,0))="","",INDEX(Bookings!$G$3:$G$202,MATCH($K6,Bookings!$A$3:$A$202,0))),""))</f>
        <v>46308</v>
      </c>
    </row>
    <row r="7" spans="1:17" hidden="1" x14ac:dyDescent="0.35">
      <c r="A7" s="91" t="s">
        <v>208</v>
      </c>
      <c r="B7" s="91">
        <v>277243348</v>
      </c>
      <c r="C7" s="92" t="s">
        <v>214</v>
      </c>
      <c r="D7" s="93" t="s">
        <v>187</v>
      </c>
      <c r="E7" s="94"/>
      <c r="F7" s="94"/>
      <c r="G7" s="94"/>
      <c r="H7" s="95">
        <f t="shared" si="1"/>
        <v>21340</v>
      </c>
      <c r="I7" s="96">
        <v>15100</v>
      </c>
      <c r="J7" s="96">
        <v>36440</v>
      </c>
      <c r="K7" s="97">
        <f>IF($B7="","",IFERROR(INDEX(Connaissements!$B$3:$B$202,MATCH($B7,Connaissements!$A$3:$A$202,0)),""))</f>
        <v>277243348</v>
      </c>
      <c r="L7" s="97">
        <f>IF($B7="","",IFERROR(INDEX(Connaissements!$G$3:$G$202,MATCH($B7,Connaissements!$A$3:$A$202,0)),""))</f>
        <v>4600063618</v>
      </c>
      <c r="M7" s="7" t="str">
        <f t="shared" si="0"/>
        <v>À empoter</v>
      </c>
      <c r="N7" s="7" t="str">
        <f ca="1">IF(OR($A7="",$G7&lt;&gt;""),"",IF(AND($Q7&lt;&gt;"",N($Q7)&lt;TODAY()),"RETARD : ETD dépassé, pas embarqué",IF(AND($Q7&lt;&gt;"",N($Q7)-TODAY()&lt;=P_AlerteETD,$F7=""),"Gate-In à faire (ETD proche)",IF(AND($E7&lt;&gt;"",$H7=""),"Poids net à saisir",""))))</f>
        <v>Gate-In à faire (ETD proche)</v>
      </c>
      <c r="O7" s="97"/>
      <c r="P7" s="29">
        <f t="shared" ca="1" si="2"/>
        <v>1</v>
      </c>
      <c r="Q7" s="30">
        <f>IF($K7="","",IFERROR(IF(INDEX(Bookings!$G$3:$G$202,MATCH($K7,Bookings!$A$3:$A$202,0))="","",INDEX(Bookings!$G$3:$G$202,MATCH($K7,Bookings!$A$3:$A$202,0))),""))</f>
        <v>46308</v>
      </c>
    </row>
    <row r="8" spans="1:17" hidden="1" x14ac:dyDescent="0.35">
      <c r="A8" s="91" t="s">
        <v>209</v>
      </c>
      <c r="B8" s="91">
        <v>277243348</v>
      </c>
      <c r="C8" s="92" t="s">
        <v>215</v>
      </c>
      <c r="D8" s="93" t="s">
        <v>187</v>
      </c>
      <c r="E8" s="94"/>
      <c r="F8" s="94"/>
      <c r="G8" s="94"/>
      <c r="H8" s="95">
        <f t="shared" si="1"/>
        <v>20820</v>
      </c>
      <c r="I8" s="96">
        <v>15560</v>
      </c>
      <c r="J8" s="96">
        <v>36380</v>
      </c>
      <c r="K8" s="97">
        <f>IF($B8="","",IFERROR(INDEX(Connaissements!$B$3:$B$202,MATCH($B8,Connaissements!$A$3:$A$202,0)),""))</f>
        <v>277243348</v>
      </c>
      <c r="L8" s="97">
        <f>IF($B8="","",IFERROR(INDEX(Connaissements!$G$3:$G$202,MATCH($B8,Connaissements!$A$3:$A$202,0)),""))</f>
        <v>4600063618</v>
      </c>
      <c r="M8" s="7" t="str">
        <f t="shared" si="0"/>
        <v>À empoter</v>
      </c>
      <c r="N8" s="7" t="str">
        <f ca="1">IF(OR($A8="",$G8&lt;&gt;""),"",IF(AND($Q8&lt;&gt;"",N($Q8)&lt;TODAY()),"RETARD : ETD dépassé, pas embarqué",IF(AND($Q8&lt;&gt;"",N($Q8)-TODAY()&lt;=P_AlerteETD,$F8=""),"Gate-In à faire (ETD proche)",IF(AND($E8&lt;&gt;"",$H8=""),"Poids net à saisir",""))))</f>
        <v>Gate-In à faire (ETD proche)</v>
      </c>
      <c r="O8" s="97"/>
      <c r="P8" s="29">
        <f t="shared" ca="1" si="2"/>
        <v>1</v>
      </c>
      <c r="Q8" s="30">
        <f>IF($K8="","",IFERROR(IF(INDEX(Bookings!$G$3:$G$202,MATCH($K8,Bookings!$A$3:$A$202,0))="","",INDEX(Bookings!$G$3:$G$202,MATCH($K8,Bookings!$A$3:$A$202,0))),""))</f>
        <v>46308</v>
      </c>
    </row>
    <row r="9" spans="1:17" hidden="1" x14ac:dyDescent="0.35">
      <c r="A9" s="84" t="s">
        <v>217</v>
      </c>
      <c r="B9" s="84">
        <v>277243441</v>
      </c>
      <c r="C9" s="85" t="s">
        <v>223</v>
      </c>
      <c r="D9" s="86" t="s">
        <v>187</v>
      </c>
      <c r="E9" s="87"/>
      <c r="F9" s="87"/>
      <c r="G9" s="87"/>
      <c r="H9" s="88">
        <f t="shared" si="1"/>
        <v>21500</v>
      </c>
      <c r="I9" s="89">
        <v>14080</v>
      </c>
      <c r="J9" s="89">
        <v>35580</v>
      </c>
      <c r="K9" s="90">
        <f>IF($B9="","",IFERROR(INDEX(Connaissements!$B$3:$B$202,MATCH($B9,Connaissements!$A$3:$A$202,0)),""))</f>
        <v>277243441</v>
      </c>
      <c r="L9" s="90">
        <f>IF($B9="","",IFERROR(INDEX(Connaissements!$G$3:$G$202,MATCH($B9,Connaissements!$A$3:$A$202,0)),""))</f>
        <v>4600063618</v>
      </c>
      <c r="M9" s="7" t="str">
        <f t="shared" si="0"/>
        <v>À empoter</v>
      </c>
      <c r="N9" s="7" t="str">
        <f ca="1">IF(OR($A9="",$G9&lt;&gt;""),"",IF(AND($Q9&lt;&gt;"",N($Q9)&lt;TODAY()),"RETARD : ETD dépassé, pas embarqué",IF(AND($Q9&lt;&gt;"",N($Q9)-TODAY()&lt;=P_AlerteETD,$F9=""),"Gate-In à faire (ETD proche)",IF(AND($E9&lt;&gt;"",$H9=""),"Poids net à saisir",""))))</f>
        <v>Gate-In à faire (ETD proche)</v>
      </c>
      <c r="O9" s="90"/>
      <c r="P9" s="29">
        <f t="shared" ca="1" si="2"/>
        <v>1</v>
      </c>
      <c r="Q9" s="30">
        <f>IF($K9="","",IFERROR(IF(INDEX(Bookings!$G$3:$G$202,MATCH($K9,Bookings!$A$3:$A$202,0))="","",INDEX(Bookings!$G$3:$G$202,MATCH($K9,Bookings!$A$3:$A$202,0))),""))</f>
        <v>46308</v>
      </c>
    </row>
    <row r="10" spans="1:17" hidden="1" x14ac:dyDescent="0.35">
      <c r="A10" s="84" t="s">
        <v>218</v>
      </c>
      <c r="B10" s="84">
        <v>277243441</v>
      </c>
      <c r="C10" s="85" t="s">
        <v>224</v>
      </c>
      <c r="D10" s="86" t="s">
        <v>187</v>
      </c>
      <c r="E10" s="87"/>
      <c r="F10" s="87"/>
      <c r="G10" s="87"/>
      <c r="H10" s="88">
        <f t="shared" si="1"/>
        <v>21280</v>
      </c>
      <c r="I10" s="89">
        <v>16120</v>
      </c>
      <c r="J10" s="89">
        <v>37400</v>
      </c>
      <c r="K10" s="90">
        <f>IF($B10="","",IFERROR(INDEX(Connaissements!$B$3:$B$202,MATCH($B10,Connaissements!$A$3:$A$202,0)),""))</f>
        <v>277243441</v>
      </c>
      <c r="L10" s="90">
        <f>IF($B10="","",IFERROR(INDEX(Connaissements!$G$3:$G$202,MATCH($B10,Connaissements!$A$3:$A$202,0)),""))</f>
        <v>4600063618</v>
      </c>
      <c r="M10" s="7" t="str">
        <f t="shared" si="0"/>
        <v>À empoter</v>
      </c>
      <c r="N10" s="7" t="str">
        <f ca="1">IF(OR($A10="",$G10&lt;&gt;""),"",IF(AND($Q10&lt;&gt;"",N($Q10)&lt;TODAY()),"RETARD : ETD dépassé, pas embarqué",IF(AND($Q10&lt;&gt;"",N($Q10)-TODAY()&lt;=P_AlerteETD,$F10=""),"Gate-In à faire (ETD proche)",IF(AND($E10&lt;&gt;"",$H10=""),"Poids net à saisir",""))))</f>
        <v>Gate-In à faire (ETD proche)</v>
      </c>
      <c r="O10" s="90"/>
      <c r="P10" s="29">
        <f t="shared" ca="1" si="2"/>
        <v>1</v>
      </c>
      <c r="Q10" s="30">
        <f>IF($K10="","",IFERROR(IF(INDEX(Bookings!$G$3:$G$202,MATCH($K10,Bookings!$A$3:$A$202,0))="","",INDEX(Bookings!$G$3:$G$202,MATCH($K10,Bookings!$A$3:$A$202,0))),""))</f>
        <v>46308</v>
      </c>
    </row>
    <row r="11" spans="1:17" hidden="1" x14ac:dyDescent="0.35">
      <c r="A11" s="84" t="s">
        <v>219</v>
      </c>
      <c r="B11" s="84">
        <v>277243441</v>
      </c>
      <c r="C11" s="85" t="s">
        <v>225</v>
      </c>
      <c r="D11" s="86" t="s">
        <v>187</v>
      </c>
      <c r="E11" s="87"/>
      <c r="F11" s="87"/>
      <c r="G11" s="87"/>
      <c r="H11" s="88">
        <f t="shared" si="1"/>
        <v>21440</v>
      </c>
      <c r="I11" s="89">
        <v>11200</v>
      </c>
      <c r="J11" s="89">
        <v>32640</v>
      </c>
      <c r="K11" s="90">
        <f>IF($B11="","",IFERROR(INDEX(Connaissements!$B$3:$B$202,MATCH($B11,Connaissements!$A$3:$A$202,0)),""))</f>
        <v>277243441</v>
      </c>
      <c r="L11" s="90">
        <f>IF($B11="","",IFERROR(INDEX(Connaissements!$G$3:$G$202,MATCH($B11,Connaissements!$A$3:$A$202,0)),""))</f>
        <v>4600063618</v>
      </c>
      <c r="M11" s="7" t="str">
        <f t="shared" si="0"/>
        <v>À empoter</v>
      </c>
      <c r="N11" s="7" t="str">
        <f ca="1">IF(OR($A11="",$G11&lt;&gt;""),"",IF(AND($Q11&lt;&gt;"",N($Q11)&lt;TODAY()),"RETARD : ETD dépassé, pas embarqué",IF(AND($Q11&lt;&gt;"",N($Q11)-TODAY()&lt;=P_AlerteETD,$F11=""),"Gate-In à faire (ETD proche)",IF(AND($E11&lt;&gt;"",$H11=""),"Poids net à saisir",""))))</f>
        <v>Gate-In à faire (ETD proche)</v>
      </c>
      <c r="O11" s="90"/>
      <c r="P11" s="29">
        <f t="shared" ca="1" si="2"/>
        <v>1</v>
      </c>
      <c r="Q11" s="30">
        <f>IF($K11="","",IFERROR(IF(INDEX(Bookings!$G$3:$G$202,MATCH($K11,Bookings!$A$3:$A$202,0))="","",INDEX(Bookings!$G$3:$G$202,MATCH($K11,Bookings!$A$3:$A$202,0))),""))</f>
        <v>46308</v>
      </c>
    </row>
    <row r="12" spans="1:17" hidden="1" x14ac:dyDescent="0.35">
      <c r="A12" s="84" t="s">
        <v>220</v>
      </c>
      <c r="B12" s="84">
        <v>277243441</v>
      </c>
      <c r="C12" s="85" t="s">
        <v>226</v>
      </c>
      <c r="D12" s="86" t="s">
        <v>187</v>
      </c>
      <c r="E12" s="87"/>
      <c r="F12" s="87"/>
      <c r="G12" s="87"/>
      <c r="H12" s="88">
        <f t="shared" si="1"/>
        <v>21460</v>
      </c>
      <c r="I12" s="89">
        <v>14300</v>
      </c>
      <c r="J12" s="89">
        <v>35760</v>
      </c>
      <c r="K12" s="90">
        <f>IF($B12="","",IFERROR(INDEX(Connaissements!$B$3:$B$202,MATCH($B12,Connaissements!$A$3:$A$202,0)),""))</f>
        <v>277243441</v>
      </c>
      <c r="L12" s="90">
        <f>IF($B12="","",IFERROR(INDEX(Connaissements!$G$3:$G$202,MATCH($B12,Connaissements!$A$3:$A$202,0)),""))</f>
        <v>4600063618</v>
      </c>
      <c r="M12" s="7" t="str">
        <f t="shared" si="0"/>
        <v>À empoter</v>
      </c>
      <c r="N12" s="7" t="str">
        <f ca="1">IF(OR($A12="",$G12&lt;&gt;""),"",IF(AND($Q12&lt;&gt;"",N($Q12)&lt;TODAY()),"RETARD : ETD dépassé, pas embarqué",IF(AND($Q12&lt;&gt;"",N($Q12)-TODAY()&lt;=P_AlerteETD,$F12=""),"Gate-In à faire (ETD proche)",IF(AND($E12&lt;&gt;"",$H12=""),"Poids net à saisir",""))))</f>
        <v>Gate-In à faire (ETD proche)</v>
      </c>
      <c r="O12" s="90"/>
      <c r="P12" s="29">
        <f t="shared" ca="1" si="2"/>
        <v>1</v>
      </c>
      <c r="Q12" s="30">
        <f>IF($K12="","",IFERROR(IF(INDEX(Bookings!$G$3:$G$202,MATCH($K12,Bookings!$A$3:$A$202,0))="","",INDEX(Bookings!$G$3:$G$202,MATCH($K12,Bookings!$A$3:$A$202,0))),""))</f>
        <v>46308</v>
      </c>
    </row>
    <row r="13" spans="1:17" hidden="1" x14ac:dyDescent="0.35">
      <c r="A13" s="84" t="s">
        <v>221</v>
      </c>
      <c r="B13" s="84">
        <v>277243441</v>
      </c>
      <c r="C13" s="85" t="s">
        <v>227</v>
      </c>
      <c r="D13" s="86" t="s">
        <v>187</v>
      </c>
      <c r="E13" s="87"/>
      <c r="F13" s="87"/>
      <c r="G13" s="87"/>
      <c r="H13" s="88">
        <f t="shared" si="1"/>
        <v>21380</v>
      </c>
      <c r="I13" s="89">
        <v>14160</v>
      </c>
      <c r="J13" s="89">
        <v>35540</v>
      </c>
      <c r="K13" s="90">
        <f>IF($B13="","",IFERROR(INDEX(Connaissements!$B$3:$B$202,MATCH($B13,Connaissements!$A$3:$A$202,0)),""))</f>
        <v>277243441</v>
      </c>
      <c r="L13" s="90">
        <f>IF($B13="","",IFERROR(INDEX(Connaissements!$G$3:$G$202,MATCH($B13,Connaissements!$A$3:$A$202,0)),""))</f>
        <v>4600063618</v>
      </c>
      <c r="M13" s="7" t="str">
        <f t="shared" si="0"/>
        <v>À empoter</v>
      </c>
      <c r="N13" s="7" t="str">
        <f ca="1">IF(OR($A13="",$G13&lt;&gt;""),"",IF(AND($Q13&lt;&gt;"",N($Q13)&lt;TODAY()),"RETARD : ETD dépassé, pas embarqué",IF(AND($Q13&lt;&gt;"",N($Q13)-TODAY()&lt;=P_AlerteETD,$F13=""),"Gate-In à faire (ETD proche)",IF(AND($E13&lt;&gt;"",$H13=""),"Poids net à saisir",""))))</f>
        <v>Gate-In à faire (ETD proche)</v>
      </c>
      <c r="O13" s="90"/>
      <c r="P13" s="29">
        <f t="shared" ca="1" si="2"/>
        <v>1</v>
      </c>
      <c r="Q13" s="30">
        <f>IF($K13="","",IFERROR(IF(INDEX(Bookings!$G$3:$G$202,MATCH($K13,Bookings!$A$3:$A$202,0))="","",INDEX(Bookings!$G$3:$G$202,MATCH($K13,Bookings!$A$3:$A$202,0))),""))</f>
        <v>46308</v>
      </c>
    </row>
    <row r="14" spans="1:17" hidden="1" x14ac:dyDescent="0.35">
      <c r="A14" s="84" t="s">
        <v>222</v>
      </c>
      <c r="B14" s="84">
        <v>277243441</v>
      </c>
      <c r="C14" s="85" t="s">
        <v>228</v>
      </c>
      <c r="D14" s="86" t="s">
        <v>187</v>
      </c>
      <c r="E14" s="87"/>
      <c r="F14" s="87"/>
      <c r="G14" s="87"/>
      <c r="H14" s="88">
        <f t="shared" si="1"/>
        <v>21280</v>
      </c>
      <c r="I14" s="89">
        <v>16340</v>
      </c>
      <c r="J14" s="89">
        <v>37620</v>
      </c>
      <c r="K14" s="90">
        <f>IF($B14="","",IFERROR(INDEX(Connaissements!$B$3:$B$202,MATCH($B14,Connaissements!$A$3:$A$202,0)),""))</f>
        <v>277243441</v>
      </c>
      <c r="L14" s="90">
        <f>IF($B14="","",IFERROR(INDEX(Connaissements!$G$3:$G$202,MATCH($B14,Connaissements!$A$3:$A$202,0)),""))</f>
        <v>4600063618</v>
      </c>
      <c r="M14" s="7" t="str">
        <f t="shared" si="0"/>
        <v>À empoter</v>
      </c>
      <c r="N14" s="7" t="str">
        <f ca="1">IF(OR($A14="",$G14&lt;&gt;""),"",IF(AND($Q14&lt;&gt;"",N($Q14)&lt;TODAY()),"RETARD : ETD dépassé, pas embarqué",IF(AND($Q14&lt;&gt;"",N($Q14)-TODAY()&lt;=P_AlerteETD,$F14=""),"Gate-In à faire (ETD proche)",IF(AND($E14&lt;&gt;"",$H14=""),"Poids net à saisir",""))))</f>
        <v>Gate-In à faire (ETD proche)</v>
      </c>
      <c r="O14" s="90"/>
      <c r="P14" s="29">
        <f t="shared" ca="1" si="2"/>
        <v>1</v>
      </c>
      <c r="Q14" s="30">
        <f>IF($K14="","",IFERROR(IF(INDEX(Bookings!$G$3:$G$202,MATCH($K14,Bookings!$A$3:$A$202,0))="","",INDEX(Bookings!$G$3:$G$202,MATCH($K14,Bookings!$A$3:$A$202,0))),""))</f>
        <v>46308</v>
      </c>
    </row>
    <row r="15" spans="1:17" hidden="1" x14ac:dyDescent="0.35">
      <c r="A15" s="101" t="s">
        <v>229</v>
      </c>
      <c r="B15" s="101">
        <v>277243505</v>
      </c>
      <c r="C15" s="102" t="s">
        <v>234</v>
      </c>
      <c r="D15" s="103" t="s">
        <v>187</v>
      </c>
      <c r="E15" s="104"/>
      <c r="F15" s="104"/>
      <c r="G15" s="104"/>
      <c r="H15" s="105">
        <f t="shared" si="1"/>
        <v>21440</v>
      </c>
      <c r="I15" s="106">
        <v>41800</v>
      </c>
      <c r="J15" s="106">
        <v>63240</v>
      </c>
      <c r="K15" s="107">
        <f>IF($B15="","",IFERROR(INDEX(Connaissements!$B$3:$B$202,MATCH($B15,Connaissements!$A$3:$A$202,0)),""))</f>
        <v>277243505</v>
      </c>
      <c r="L15" s="107">
        <f>IF($B15="","",IFERROR(INDEX(Connaissements!$G$3:$G$202,MATCH($B15,Connaissements!$A$3:$A$202,0)),""))</f>
        <v>4600063618</v>
      </c>
      <c r="M15" s="7" t="str">
        <f t="shared" si="0"/>
        <v>À empoter</v>
      </c>
      <c r="N15" s="7" t="str">
        <f ca="1">IF(OR($A15="",$G15&lt;&gt;""),"",IF(AND($Q15&lt;&gt;"",N($Q15)&lt;TODAY()),"RETARD : ETD dépassé, pas embarqué",IF(AND($Q15&lt;&gt;"",N($Q15)-TODAY()&lt;=P_AlerteETD,$F15=""),"Gate-In à faire (ETD proche)",IF(AND($E15&lt;&gt;"",$H15=""),"Poids net à saisir",""))))</f>
        <v>Gate-In à faire (ETD proche)</v>
      </c>
      <c r="O15" s="107"/>
      <c r="P15" s="29">
        <f t="shared" ca="1" si="2"/>
        <v>1</v>
      </c>
      <c r="Q15" s="30">
        <f>IF($K15="","",IFERROR(IF(INDEX(Bookings!$G$3:$G$202,MATCH($K15,Bookings!$A$3:$A$202,0))="","",INDEX(Bookings!$G$3:$G$202,MATCH($K15,Bookings!$A$3:$A$202,0))),""))</f>
        <v>46308</v>
      </c>
    </row>
    <row r="16" spans="1:17" hidden="1" x14ac:dyDescent="0.35">
      <c r="A16" s="101" t="s">
        <v>230</v>
      </c>
      <c r="B16" s="101">
        <v>277243505</v>
      </c>
      <c r="C16" s="102" t="s">
        <v>235</v>
      </c>
      <c r="D16" s="103" t="s">
        <v>187</v>
      </c>
      <c r="E16" s="104"/>
      <c r="F16" s="104"/>
      <c r="G16" s="104"/>
      <c r="H16" s="105">
        <f t="shared" si="1"/>
        <v>21200</v>
      </c>
      <c r="I16" s="106">
        <v>38280</v>
      </c>
      <c r="J16" s="106">
        <v>59480</v>
      </c>
      <c r="K16" s="107">
        <f>IF($B16="","",IFERROR(INDEX(Connaissements!$B$3:$B$202,MATCH($B16,Connaissements!$A$3:$A$202,0)),""))</f>
        <v>277243505</v>
      </c>
      <c r="L16" s="107">
        <f>IF($B16="","",IFERROR(INDEX(Connaissements!$G$3:$G$202,MATCH($B16,Connaissements!$A$3:$A$202,0)),""))</f>
        <v>4600063618</v>
      </c>
      <c r="M16" s="7" t="str">
        <f t="shared" si="0"/>
        <v>À empoter</v>
      </c>
      <c r="N16" s="7" t="str">
        <f ca="1">IF(OR($A16="",$G16&lt;&gt;""),"",IF(AND($Q16&lt;&gt;"",N($Q16)&lt;TODAY()),"RETARD : ETD dépassé, pas embarqué",IF(AND($Q16&lt;&gt;"",N($Q16)-TODAY()&lt;=P_AlerteETD,$F16=""),"Gate-In à faire (ETD proche)",IF(AND($E16&lt;&gt;"",$H16=""),"Poids net à saisir",""))))</f>
        <v>Gate-In à faire (ETD proche)</v>
      </c>
      <c r="O16" s="107"/>
      <c r="P16" s="29">
        <f t="shared" ca="1" si="2"/>
        <v>1</v>
      </c>
      <c r="Q16" s="30">
        <f>IF($K16="","",IFERROR(IF(INDEX(Bookings!$G$3:$G$202,MATCH($K16,Bookings!$A$3:$A$202,0))="","",INDEX(Bookings!$G$3:$G$202,MATCH($K16,Bookings!$A$3:$A$202,0))),""))</f>
        <v>46308</v>
      </c>
    </row>
    <row r="17" spans="1:17" hidden="1" x14ac:dyDescent="0.35">
      <c r="A17" s="101" t="s">
        <v>231</v>
      </c>
      <c r="B17" s="101">
        <v>277243505</v>
      </c>
      <c r="C17" s="102" t="s">
        <v>236</v>
      </c>
      <c r="D17" s="103" t="s">
        <v>187</v>
      </c>
      <c r="E17" s="104"/>
      <c r="F17" s="104"/>
      <c r="G17" s="104"/>
      <c r="H17" s="105">
        <f t="shared" si="1"/>
        <v>21440</v>
      </c>
      <c r="I17" s="106">
        <v>16840</v>
      </c>
      <c r="J17" s="106">
        <v>38280</v>
      </c>
      <c r="K17" s="107">
        <f>IF($B17="","",IFERROR(INDEX(Connaissements!$B$3:$B$202,MATCH($B17,Connaissements!$A$3:$A$202,0)),""))</f>
        <v>277243505</v>
      </c>
      <c r="L17" s="107">
        <f>IF($B17="","",IFERROR(INDEX(Connaissements!$G$3:$G$202,MATCH($B17,Connaissements!$A$3:$A$202,0)),""))</f>
        <v>4600063618</v>
      </c>
      <c r="M17" s="7" t="str">
        <f t="shared" si="0"/>
        <v>À empoter</v>
      </c>
      <c r="N17" s="7" t="str">
        <f ca="1">IF(OR($A17="",$G17&lt;&gt;""),"",IF(AND($Q17&lt;&gt;"",N($Q17)&lt;TODAY()),"RETARD : ETD dépassé, pas embarqué",IF(AND($Q17&lt;&gt;"",N($Q17)-TODAY()&lt;=P_AlerteETD,$F17=""),"Gate-In à faire (ETD proche)",IF(AND($E17&lt;&gt;"",$H17=""),"Poids net à saisir",""))))</f>
        <v>Gate-In à faire (ETD proche)</v>
      </c>
      <c r="O17" s="107"/>
      <c r="P17" s="29">
        <f t="shared" ca="1" si="2"/>
        <v>1</v>
      </c>
      <c r="Q17" s="30">
        <f>IF($K17="","",IFERROR(IF(INDEX(Bookings!$G$3:$G$202,MATCH($K17,Bookings!$A$3:$A$202,0))="","",INDEX(Bookings!$G$3:$G$202,MATCH($K17,Bookings!$A$3:$A$202,0))),""))</f>
        <v>46308</v>
      </c>
    </row>
    <row r="18" spans="1:17" hidden="1" x14ac:dyDescent="0.35">
      <c r="A18" s="101" t="s">
        <v>232</v>
      </c>
      <c r="B18" s="101">
        <v>277243505</v>
      </c>
      <c r="C18" s="102" t="s">
        <v>237</v>
      </c>
      <c r="D18" s="103" t="s">
        <v>187</v>
      </c>
      <c r="E18" s="104"/>
      <c r="F18" s="104"/>
      <c r="G18" s="104"/>
      <c r="H18" s="105">
        <f t="shared" si="1"/>
        <v>21300</v>
      </c>
      <c r="I18" s="106">
        <v>20500</v>
      </c>
      <c r="J18" s="106">
        <v>41800</v>
      </c>
      <c r="K18" s="107">
        <f>IF($B18="","",IFERROR(INDEX(Connaissements!$B$3:$B$202,MATCH($B18,Connaissements!$A$3:$A$202,0)),""))</f>
        <v>277243505</v>
      </c>
      <c r="L18" s="107">
        <f>IF($B18="","",IFERROR(INDEX(Connaissements!$G$3:$G$202,MATCH($B18,Connaissements!$A$3:$A$202,0)),""))</f>
        <v>4600063618</v>
      </c>
      <c r="M18" s="7" t="str">
        <f t="shared" si="0"/>
        <v>À empoter</v>
      </c>
      <c r="N18" s="7" t="str">
        <f ca="1">IF(OR($A18="",$G18&lt;&gt;""),"",IF(AND($Q18&lt;&gt;"",N($Q18)&lt;TODAY()),"RETARD : ETD dépassé, pas embarqué",IF(AND($Q18&lt;&gt;"",N($Q18)-TODAY()&lt;=P_AlerteETD,$F18=""),"Gate-In à faire (ETD proche)",IF(AND($E18&lt;&gt;"",$H18=""),"Poids net à saisir",""))))</f>
        <v>Gate-In à faire (ETD proche)</v>
      </c>
      <c r="O18" s="107"/>
      <c r="P18" s="29">
        <f t="shared" ca="1" si="2"/>
        <v>1</v>
      </c>
      <c r="Q18" s="30">
        <f>IF($K18="","",IFERROR(IF(INDEX(Bookings!$G$3:$G$202,MATCH($K18,Bookings!$A$3:$A$202,0))="","",INDEX(Bookings!$G$3:$G$202,MATCH($K18,Bookings!$A$3:$A$202,0))),""))</f>
        <v>46308</v>
      </c>
    </row>
    <row r="19" spans="1:17" hidden="1" x14ac:dyDescent="0.35">
      <c r="A19" s="101" t="s">
        <v>233</v>
      </c>
      <c r="B19" s="101">
        <v>277243505</v>
      </c>
      <c r="C19" s="102" t="s">
        <v>238</v>
      </c>
      <c r="D19" s="103" t="s">
        <v>187</v>
      </c>
      <c r="E19" s="104"/>
      <c r="F19" s="104"/>
      <c r="G19" s="104"/>
      <c r="H19" s="105">
        <f t="shared" si="1"/>
        <v>21380</v>
      </c>
      <c r="I19" s="106">
        <v>14660</v>
      </c>
      <c r="J19" s="106">
        <v>36040</v>
      </c>
      <c r="K19" s="107">
        <f>IF($B19="","",IFERROR(INDEX(Connaissements!$B$3:$B$202,MATCH($B19,Connaissements!$A$3:$A$202,0)),""))</f>
        <v>277243505</v>
      </c>
      <c r="L19" s="107">
        <f>IF($B19="","",IFERROR(INDEX(Connaissements!$G$3:$G$202,MATCH($B19,Connaissements!$A$3:$A$202,0)),""))</f>
        <v>4600063618</v>
      </c>
      <c r="M19" s="7" t="str">
        <f t="shared" si="0"/>
        <v>À empoter</v>
      </c>
      <c r="N19" s="7" t="str">
        <f ca="1">IF(OR($A19="",$G19&lt;&gt;""),"",IF(AND($Q19&lt;&gt;"",N($Q19)&lt;TODAY()),"RETARD : ETD dépassé, pas embarqué",IF(AND($Q19&lt;&gt;"",N($Q19)-TODAY()&lt;=P_AlerteETD,$F19=""),"Gate-In à faire (ETD proche)",IF(AND($E19&lt;&gt;"",$H19=""),"Poids net à saisir",""))))</f>
        <v>Gate-In à faire (ETD proche)</v>
      </c>
      <c r="O19" s="107"/>
      <c r="P19" s="29">
        <f t="shared" ca="1" si="2"/>
        <v>1</v>
      </c>
      <c r="Q19" s="30">
        <f>IF($K19="","",IFERROR(IF(INDEX(Bookings!$G$3:$G$202,MATCH($K19,Bookings!$A$3:$A$202,0))="","",INDEX(Bookings!$G$3:$G$202,MATCH($K19,Bookings!$A$3:$A$202,0))),""))</f>
        <v>46308</v>
      </c>
    </row>
    <row r="20" spans="1:17" hidden="1" x14ac:dyDescent="0.35">
      <c r="A20" s="81" t="s">
        <v>239</v>
      </c>
      <c r="B20" s="81">
        <v>277243596</v>
      </c>
      <c r="C20" s="21" t="s">
        <v>243</v>
      </c>
      <c r="D20" s="56" t="s">
        <v>187</v>
      </c>
      <c r="E20" s="14"/>
      <c r="F20" s="14"/>
      <c r="G20" s="14"/>
      <c r="H20" s="83">
        <f t="shared" si="1"/>
        <v>21320</v>
      </c>
      <c r="I20" s="80">
        <v>14700</v>
      </c>
      <c r="J20" s="80">
        <v>36020</v>
      </c>
      <c r="K20" s="7">
        <f>IF($B20="","",IFERROR(INDEX(Connaissements!$B$3:$B$202,MATCH($B20,Connaissements!$A$3:$A$202,0)),""))</f>
        <v>277243596</v>
      </c>
      <c r="L20" s="7">
        <f>IF($B20="","",IFERROR(INDEX(Connaissements!$G$3:$G$202,MATCH($B20,Connaissements!$A$3:$A$202,0)),""))</f>
        <v>4600063618</v>
      </c>
      <c r="M20" s="7" t="str">
        <f t="shared" si="0"/>
        <v>À empoter</v>
      </c>
      <c r="N20" s="7" t="str">
        <f ca="1">IF(OR($A20="",$G20&lt;&gt;""),"",IF(AND($Q20&lt;&gt;"",N($Q20)&lt;TODAY()),"RETARD : ETD dépassé, pas embarqué",IF(AND($Q20&lt;&gt;"",N($Q20)-TODAY()&lt;=P_AlerteETD,$F20=""),"Gate-In à faire (ETD proche)",IF(AND($E20&lt;&gt;"",$H20=""),"Poids net à saisir",""))))</f>
        <v>Gate-In à faire (ETD proche)</v>
      </c>
      <c r="O20" s="13"/>
      <c r="P20" s="29">
        <f t="shared" ca="1" si="2"/>
        <v>1</v>
      </c>
      <c r="Q20" s="30">
        <f>IF($K20="","",IFERROR(IF(INDEX(Bookings!$G$3:$G$202,MATCH($K20,Bookings!$A$3:$A$202,0))="","",INDEX(Bookings!$G$3:$G$202,MATCH($K20,Bookings!$A$3:$A$202,0))),""))</f>
        <v>46308</v>
      </c>
    </row>
    <row r="21" spans="1:17" hidden="1" x14ac:dyDescent="0.35">
      <c r="A21" s="81" t="s">
        <v>240</v>
      </c>
      <c r="B21" s="81">
        <v>277243596</v>
      </c>
      <c r="C21" s="21" t="s">
        <v>244</v>
      </c>
      <c r="D21" s="56" t="s">
        <v>187</v>
      </c>
      <c r="E21" s="14"/>
      <c r="F21" s="14"/>
      <c r="G21" s="14"/>
      <c r="H21" s="83">
        <f t="shared" si="1"/>
        <v>21200</v>
      </c>
      <c r="I21" s="80">
        <v>13400</v>
      </c>
      <c r="J21" s="80">
        <v>34600</v>
      </c>
      <c r="K21" s="7">
        <f>IF($B21="","",IFERROR(INDEX(Connaissements!$B$3:$B$202,MATCH($B21,Connaissements!$A$3:$A$202,0)),""))</f>
        <v>277243596</v>
      </c>
      <c r="L21" s="7">
        <f>IF($B21="","",IFERROR(INDEX(Connaissements!$G$3:$G$202,MATCH($B21,Connaissements!$A$3:$A$202,0)),""))</f>
        <v>4600063618</v>
      </c>
      <c r="M21" s="7" t="str">
        <f t="shared" si="0"/>
        <v>À empoter</v>
      </c>
      <c r="N21" s="7" t="str">
        <f ca="1">IF(OR($A21="",$G21&lt;&gt;""),"",IF(AND($Q21&lt;&gt;"",N($Q21)&lt;TODAY()),"RETARD : ETD dépassé, pas embarqué",IF(AND($Q21&lt;&gt;"",N($Q21)-TODAY()&lt;=P_AlerteETD,$F21=""),"Gate-In à faire (ETD proche)",IF(AND($E21&lt;&gt;"",$H21=""),"Poids net à saisir",""))))</f>
        <v>Gate-In à faire (ETD proche)</v>
      </c>
      <c r="O21" s="13"/>
      <c r="P21" s="29">
        <f t="shared" ca="1" si="2"/>
        <v>1</v>
      </c>
      <c r="Q21" s="30">
        <f>IF($K21="","",IFERROR(IF(INDEX(Bookings!$G$3:$G$202,MATCH($K21,Bookings!$A$3:$A$202,0))="","",INDEX(Bookings!$G$3:$G$202,MATCH($K21,Bookings!$A$3:$A$202,0))),""))</f>
        <v>46308</v>
      </c>
    </row>
    <row r="22" spans="1:17" hidden="1" x14ac:dyDescent="0.35">
      <c r="A22" s="81" t="s">
        <v>241</v>
      </c>
      <c r="B22" s="81">
        <v>277243596</v>
      </c>
      <c r="C22" s="21" t="s">
        <v>245</v>
      </c>
      <c r="D22" s="56" t="s">
        <v>187</v>
      </c>
      <c r="E22" s="14"/>
      <c r="F22" s="14"/>
      <c r="G22" s="14"/>
      <c r="H22" s="83">
        <f t="shared" si="1"/>
        <v>21740</v>
      </c>
      <c r="I22" s="80">
        <v>9420</v>
      </c>
      <c r="J22" s="80">
        <v>31160</v>
      </c>
      <c r="K22" s="7">
        <f>IF($B22="","",IFERROR(INDEX(Connaissements!$B$3:$B$202,MATCH($B22,Connaissements!$A$3:$A$202,0)),""))</f>
        <v>277243596</v>
      </c>
      <c r="L22" s="7">
        <f>IF($B22="","",IFERROR(INDEX(Connaissements!$G$3:$G$202,MATCH($B22,Connaissements!$A$3:$A$202,0)),""))</f>
        <v>4600063618</v>
      </c>
      <c r="M22" s="7" t="str">
        <f t="shared" si="0"/>
        <v>À empoter</v>
      </c>
      <c r="N22" s="7" t="str">
        <f ca="1">IF(OR($A22="",$G22&lt;&gt;""),"",IF(AND($Q22&lt;&gt;"",N($Q22)&lt;TODAY()),"RETARD : ETD dépassé, pas embarqué",IF(AND($Q22&lt;&gt;"",N($Q22)-TODAY()&lt;=P_AlerteETD,$F22=""),"Gate-In à faire (ETD proche)",IF(AND($E22&lt;&gt;"",$H22=""),"Poids net à saisir",""))))</f>
        <v>Gate-In à faire (ETD proche)</v>
      </c>
      <c r="O22" s="13"/>
      <c r="P22" s="29">
        <f t="shared" ca="1" si="2"/>
        <v>1</v>
      </c>
      <c r="Q22" s="30">
        <f>IF($K22="","",IFERROR(IF(INDEX(Bookings!$G$3:$G$202,MATCH($K22,Bookings!$A$3:$A$202,0))="","",INDEX(Bookings!$G$3:$G$202,MATCH($K22,Bookings!$A$3:$A$202,0))),""))</f>
        <v>46308</v>
      </c>
    </row>
    <row r="23" spans="1:17" hidden="1" x14ac:dyDescent="0.35">
      <c r="A23" s="81" t="s">
        <v>242</v>
      </c>
      <c r="B23" s="81">
        <v>277243596</v>
      </c>
      <c r="C23" s="21" t="s">
        <v>246</v>
      </c>
      <c r="D23" s="56" t="s">
        <v>187</v>
      </c>
      <c r="E23" s="14"/>
      <c r="F23" s="14"/>
      <c r="G23" s="14"/>
      <c r="H23" s="83">
        <f t="shared" si="1"/>
        <v>21340</v>
      </c>
      <c r="I23" s="80">
        <v>11200</v>
      </c>
      <c r="J23" s="80">
        <v>32540</v>
      </c>
      <c r="K23" s="7">
        <f>IF($B23="","",IFERROR(INDEX(Connaissements!$B$3:$B$202,MATCH($B23,Connaissements!$A$3:$A$202,0)),""))</f>
        <v>277243596</v>
      </c>
      <c r="L23" s="7">
        <f>IF($B23="","",IFERROR(INDEX(Connaissements!$G$3:$G$202,MATCH($B23,Connaissements!$A$3:$A$202,0)),""))</f>
        <v>4600063618</v>
      </c>
      <c r="M23" s="7" t="str">
        <f t="shared" si="0"/>
        <v>À empoter</v>
      </c>
      <c r="N23" s="7" t="str">
        <f ca="1">IF(OR($A23="",$G23&lt;&gt;""),"",IF(AND($Q23&lt;&gt;"",N($Q23)&lt;TODAY()),"RETARD : ETD dépassé, pas embarqué",IF(AND($Q23&lt;&gt;"",N($Q23)-TODAY()&lt;=P_AlerteETD,$F23=""),"Gate-In à faire (ETD proche)",IF(AND($E23&lt;&gt;"",$H23=""),"Poids net à saisir",""))))</f>
        <v>Gate-In à faire (ETD proche)</v>
      </c>
      <c r="O23" s="13"/>
      <c r="P23" s="29">
        <f t="shared" ca="1" si="2"/>
        <v>1</v>
      </c>
      <c r="Q23" s="30">
        <f>IF($K23="","",IFERROR(IF(INDEX(Bookings!$G$3:$G$202,MATCH($K23,Bookings!$A$3:$A$202,0))="","",INDEX(Bookings!$G$3:$G$202,MATCH($K23,Bookings!$A$3:$A$202,0))),""))</f>
        <v>46308</v>
      </c>
    </row>
    <row r="24" spans="1:17" hidden="1" x14ac:dyDescent="0.35">
      <c r="A24" s="108" t="s">
        <v>247</v>
      </c>
      <c r="B24" s="108">
        <v>277443031</v>
      </c>
      <c r="C24" s="109" t="s">
        <v>253</v>
      </c>
      <c r="D24" s="110" t="s">
        <v>187</v>
      </c>
      <c r="E24" s="111"/>
      <c r="F24" s="111"/>
      <c r="G24" s="111"/>
      <c r="H24" s="112">
        <f t="shared" si="1"/>
        <v>21300</v>
      </c>
      <c r="I24" s="113">
        <v>13400</v>
      </c>
      <c r="J24" s="113">
        <v>34700</v>
      </c>
      <c r="K24" s="114">
        <f>IF($B24="","",IFERROR(INDEX(Connaissements!$B$3:$B$202,MATCH($B24,Connaissements!$A$3:$A$202,0)),""))</f>
        <v>277443031</v>
      </c>
      <c r="L24" s="114">
        <f>IF($B24="","",IFERROR(INDEX(Connaissements!$G$3:$G$202,MATCH($B24,Connaissements!$A$3:$A$202,0)),""))</f>
        <v>4600063618</v>
      </c>
      <c r="M24" s="7" t="str">
        <f t="shared" si="0"/>
        <v>À empoter</v>
      </c>
      <c r="N24" s="7" t="str">
        <f ca="1">IF(OR($A24="",$G24&lt;&gt;""),"",IF(AND($Q24&lt;&gt;"",N($Q24)&lt;TODAY()),"RETARD : ETD dépassé, pas embarqué",IF(AND($Q24&lt;&gt;"",N($Q24)-TODAY()&lt;=P_AlerteETD,$F24=""),"Gate-In à faire (ETD proche)",IF(AND($E24&lt;&gt;"",$H24=""),"Poids net à saisir",""))))</f>
        <v>Gate-In à faire (ETD proche)</v>
      </c>
      <c r="O24" s="114"/>
      <c r="P24" s="29">
        <f t="shared" ca="1" si="2"/>
        <v>1</v>
      </c>
      <c r="Q24" s="30">
        <f>IF($K24="","",IFERROR(IF(INDEX(Bookings!$G$3:$G$202,MATCH($K24,Bookings!$A$3:$A$202,0))="","",INDEX(Bookings!$G$3:$G$202,MATCH($K24,Bookings!$A$3:$A$202,0))),""))</f>
        <v>46309</v>
      </c>
    </row>
    <row r="25" spans="1:17" hidden="1" x14ac:dyDescent="0.35">
      <c r="A25" s="108" t="s">
        <v>248</v>
      </c>
      <c r="B25" s="108">
        <v>277443031</v>
      </c>
      <c r="C25" s="109" t="s">
        <v>254</v>
      </c>
      <c r="D25" s="110" t="s">
        <v>187</v>
      </c>
      <c r="E25" s="111"/>
      <c r="F25" s="111"/>
      <c r="G25" s="111"/>
      <c r="H25" s="112">
        <f t="shared" si="1"/>
        <v>21240</v>
      </c>
      <c r="I25" s="113">
        <v>11340</v>
      </c>
      <c r="J25" s="113">
        <v>32580</v>
      </c>
      <c r="K25" s="114">
        <f>IF($B25="","",IFERROR(INDEX(Connaissements!$B$3:$B$202,MATCH($B25,Connaissements!$A$3:$A$202,0)),""))</f>
        <v>277443031</v>
      </c>
      <c r="L25" s="114">
        <f>IF($B25="","",IFERROR(INDEX(Connaissements!$G$3:$G$202,MATCH($B25,Connaissements!$A$3:$A$202,0)),""))</f>
        <v>4600063618</v>
      </c>
      <c r="M25" s="7" t="str">
        <f t="shared" si="0"/>
        <v>À empoter</v>
      </c>
      <c r="N25" s="7" t="str">
        <f ca="1">IF(OR($A25="",$G25&lt;&gt;""),"",IF(AND($Q25&lt;&gt;"",N($Q25)&lt;TODAY()),"RETARD : ETD dépassé, pas embarqué",IF(AND($Q25&lt;&gt;"",N($Q25)-TODAY()&lt;=P_AlerteETD,$F25=""),"Gate-In à faire (ETD proche)",IF(AND($E25&lt;&gt;"",$H25=""),"Poids net à saisir",""))))</f>
        <v>Gate-In à faire (ETD proche)</v>
      </c>
      <c r="O25" s="114"/>
      <c r="P25" s="29">
        <f t="shared" ca="1" si="2"/>
        <v>1</v>
      </c>
      <c r="Q25" s="30">
        <f>IF($K25="","",IFERROR(IF(INDEX(Bookings!$G$3:$G$202,MATCH($K25,Bookings!$A$3:$A$202,0))="","",INDEX(Bookings!$G$3:$G$202,MATCH($K25,Bookings!$A$3:$A$202,0))),""))</f>
        <v>46309</v>
      </c>
    </row>
    <row r="26" spans="1:17" hidden="1" x14ac:dyDescent="0.35">
      <c r="A26" s="108" t="s">
        <v>249</v>
      </c>
      <c r="B26" s="108">
        <v>277443031</v>
      </c>
      <c r="C26" s="109" t="s">
        <v>255</v>
      </c>
      <c r="D26" s="110" t="s">
        <v>187</v>
      </c>
      <c r="E26" s="111"/>
      <c r="F26" s="111"/>
      <c r="G26" s="111"/>
      <c r="H26" s="112">
        <f t="shared" si="1"/>
        <v>21260</v>
      </c>
      <c r="I26" s="113">
        <v>14180</v>
      </c>
      <c r="J26" s="113">
        <v>35440</v>
      </c>
      <c r="K26" s="114">
        <f>IF($B26="","",IFERROR(INDEX(Connaissements!$B$3:$B$202,MATCH($B26,Connaissements!$A$3:$A$202,0)),""))</f>
        <v>277443031</v>
      </c>
      <c r="L26" s="114">
        <f>IF($B26="","",IFERROR(INDEX(Connaissements!$G$3:$G$202,MATCH($B26,Connaissements!$A$3:$A$202,0)),""))</f>
        <v>4600063618</v>
      </c>
      <c r="M26" s="7" t="str">
        <f t="shared" si="0"/>
        <v>À empoter</v>
      </c>
      <c r="N26" s="7" t="str">
        <f ca="1">IF(OR($A26="",$G26&lt;&gt;""),"",IF(AND($Q26&lt;&gt;"",N($Q26)&lt;TODAY()),"RETARD : ETD dépassé, pas embarqué",IF(AND($Q26&lt;&gt;"",N($Q26)-TODAY()&lt;=P_AlerteETD,$F26=""),"Gate-In à faire (ETD proche)",IF(AND($E26&lt;&gt;"",$H26=""),"Poids net à saisir",""))))</f>
        <v>Gate-In à faire (ETD proche)</v>
      </c>
      <c r="O26" s="114"/>
      <c r="P26" s="29">
        <f t="shared" ca="1" si="2"/>
        <v>1</v>
      </c>
      <c r="Q26" s="30">
        <f>IF($K26="","",IFERROR(IF(INDEX(Bookings!$G$3:$G$202,MATCH($K26,Bookings!$A$3:$A$202,0))="","",INDEX(Bookings!$G$3:$G$202,MATCH($K26,Bookings!$A$3:$A$202,0))),""))</f>
        <v>46309</v>
      </c>
    </row>
    <row r="27" spans="1:17" hidden="1" x14ac:dyDescent="0.35">
      <c r="A27" s="108" t="s">
        <v>250</v>
      </c>
      <c r="B27" s="108">
        <v>277443031</v>
      </c>
      <c r="C27" s="109" t="s">
        <v>256</v>
      </c>
      <c r="D27" s="110" t="s">
        <v>187</v>
      </c>
      <c r="E27" s="111"/>
      <c r="F27" s="111"/>
      <c r="G27" s="111"/>
      <c r="H27" s="112">
        <f t="shared" si="1"/>
        <v>21440</v>
      </c>
      <c r="I27" s="113">
        <v>16320</v>
      </c>
      <c r="J27" s="113">
        <v>37760</v>
      </c>
      <c r="K27" s="114">
        <f>IF($B27="","",IFERROR(INDEX(Connaissements!$B$3:$B$202,MATCH($B27,Connaissements!$A$3:$A$202,0)),""))</f>
        <v>277443031</v>
      </c>
      <c r="L27" s="114">
        <f>IF($B27="","",IFERROR(INDEX(Connaissements!$G$3:$G$202,MATCH($B27,Connaissements!$A$3:$A$202,0)),""))</f>
        <v>4600063618</v>
      </c>
      <c r="M27" s="7" t="str">
        <f t="shared" si="0"/>
        <v>À empoter</v>
      </c>
      <c r="N27" s="7" t="str">
        <f ca="1">IF(OR($A27="",$G27&lt;&gt;""),"",IF(AND($Q27&lt;&gt;"",N($Q27)&lt;TODAY()),"RETARD : ETD dépassé, pas embarqué",IF(AND($Q27&lt;&gt;"",N($Q27)-TODAY()&lt;=P_AlerteETD,$F27=""),"Gate-In à faire (ETD proche)",IF(AND($E27&lt;&gt;"",$H27=""),"Poids net à saisir",""))))</f>
        <v>Gate-In à faire (ETD proche)</v>
      </c>
      <c r="O27" s="114"/>
      <c r="P27" s="29">
        <f t="shared" ca="1" si="2"/>
        <v>1</v>
      </c>
      <c r="Q27" s="30">
        <f>IF($K27="","",IFERROR(IF(INDEX(Bookings!$G$3:$G$202,MATCH($K27,Bookings!$A$3:$A$202,0))="","",INDEX(Bookings!$G$3:$G$202,MATCH($K27,Bookings!$A$3:$A$202,0))),""))</f>
        <v>46309</v>
      </c>
    </row>
    <row r="28" spans="1:17" hidden="1" x14ac:dyDescent="0.35">
      <c r="A28" s="108" t="s">
        <v>251</v>
      </c>
      <c r="B28" s="108">
        <v>277443031</v>
      </c>
      <c r="C28" s="109" t="s">
        <v>257</v>
      </c>
      <c r="D28" s="110" t="s">
        <v>187</v>
      </c>
      <c r="E28" s="111"/>
      <c r="F28" s="111"/>
      <c r="G28" s="111"/>
      <c r="H28" s="112">
        <f t="shared" si="1"/>
        <v>21240</v>
      </c>
      <c r="I28" s="113">
        <v>11180</v>
      </c>
      <c r="J28" s="113">
        <v>32420</v>
      </c>
      <c r="K28" s="114">
        <f>IF($B28="","",IFERROR(INDEX(Connaissements!$B$3:$B$202,MATCH($B28,Connaissements!$A$3:$A$202,0)),""))</f>
        <v>277443031</v>
      </c>
      <c r="L28" s="114">
        <f>IF($B28="","",IFERROR(INDEX(Connaissements!$G$3:$G$202,MATCH($B28,Connaissements!$A$3:$A$202,0)),""))</f>
        <v>4600063618</v>
      </c>
      <c r="M28" s="7" t="str">
        <f t="shared" si="0"/>
        <v>À empoter</v>
      </c>
      <c r="N28" s="7" t="str">
        <f ca="1">IF(OR($A28="",$G28&lt;&gt;""),"",IF(AND($Q28&lt;&gt;"",N($Q28)&lt;TODAY()),"RETARD : ETD dépassé, pas embarqué",IF(AND($Q28&lt;&gt;"",N($Q28)-TODAY()&lt;=P_AlerteETD,$F28=""),"Gate-In à faire (ETD proche)",IF(AND($E28&lt;&gt;"",$H28=""),"Poids net à saisir",""))))</f>
        <v>Gate-In à faire (ETD proche)</v>
      </c>
      <c r="O28" s="114"/>
      <c r="P28" s="29">
        <f t="shared" ca="1" si="2"/>
        <v>1</v>
      </c>
      <c r="Q28" s="30">
        <f>IF($K28="","",IFERROR(IF(INDEX(Bookings!$G$3:$G$202,MATCH($K28,Bookings!$A$3:$A$202,0))="","",INDEX(Bookings!$G$3:$G$202,MATCH($K28,Bookings!$A$3:$A$202,0))),""))</f>
        <v>46309</v>
      </c>
    </row>
    <row r="29" spans="1:17" hidden="1" x14ac:dyDescent="0.35">
      <c r="A29" s="108" t="s">
        <v>252</v>
      </c>
      <c r="B29" s="108">
        <v>277443031</v>
      </c>
      <c r="C29" s="109" t="s">
        <v>258</v>
      </c>
      <c r="D29" s="110" t="s">
        <v>187</v>
      </c>
      <c r="E29" s="111"/>
      <c r="F29" s="111"/>
      <c r="G29" s="111"/>
      <c r="H29" s="112">
        <f t="shared" si="1"/>
        <v>21280</v>
      </c>
      <c r="I29" s="113">
        <v>13380</v>
      </c>
      <c r="J29" s="113">
        <v>34660</v>
      </c>
      <c r="K29" s="114">
        <f>IF($B29="","",IFERROR(INDEX(Connaissements!$B$3:$B$202,MATCH($B29,Connaissements!$A$3:$A$202,0)),""))</f>
        <v>277443031</v>
      </c>
      <c r="L29" s="114">
        <f>IF($B29="","",IFERROR(INDEX(Connaissements!$G$3:$G$202,MATCH($B29,Connaissements!$A$3:$A$202,0)),""))</f>
        <v>4600063618</v>
      </c>
      <c r="M29" s="7" t="str">
        <f t="shared" si="0"/>
        <v>À empoter</v>
      </c>
      <c r="N29" s="7" t="str">
        <f ca="1">IF(OR($A29="",$G29&lt;&gt;""),"",IF(AND($Q29&lt;&gt;"",N($Q29)&lt;TODAY()),"RETARD : ETD dépassé, pas embarqué",IF(AND($Q29&lt;&gt;"",N($Q29)-TODAY()&lt;=P_AlerteETD,$F29=""),"Gate-In à faire (ETD proche)",IF(AND($E29&lt;&gt;"",$H29=""),"Poids net à saisir",""))))</f>
        <v>Gate-In à faire (ETD proche)</v>
      </c>
      <c r="O29" s="114"/>
      <c r="P29" s="29">
        <f t="shared" ca="1" si="2"/>
        <v>1</v>
      </c>
      <c r="Q29" s="30">
        <f>IF($K29="","",IFERROR(IF(INDEX(Bookings!$G$3:$G$202,MATCH($K29,Bookings!$A$3:$A$202,0))="","",INDEX(Bookings!$G$3:$G$202,MATCH($K29,Bookings!$A$3:$A$202,0))),""))</f>
        <v>46309</v>
      </c>
    </row>
    <row r="30" spans="1:17" hidden="1" x14ac:dyDescent="0.35">
      <c r="A30" s="115" t="s">
        <v>259</v>
      </c>
      <c r="B30" s="115">
        <v>277763418</v>
      </c>
      <c r="C30" s="116" t="s">
        <v>264</v>
      </c>
      <c r="D30" s="117" t="s">
        <v>187</v>
      </c>
      <c r="E30" s="118"/>
      <c r="F30" s="118"/>
      <c r="G30" s="118"/>
      <c r="H30" s="119">
        <f t="shared" si="1"/>
        <v>21540</v>
      </c>
      <c r="I30" s="120">
        <v>15260</v>
      </c>
      <c r="J30" s="120">
        <v>36800</v>
      </c>
      <c r="K30" s="121">
        <f>IF($B30="","",IFERROR(INDEX(Connaissements!$B$3:$B$202,MATCH($B30,Connaissements!$A$3:$A$202,0)),""))</f>
        <v>277763418</v>
      </c>
      <c r="L30" s="121">
        <f>IF($B30="","",IFERROR(INDEX(Connaissements!$G$3:$G$202,MATCH($B30,Connaissements!$A$3:$A$202,0)),""))</f>
        <v>4600063618</v>
      </c>
      <c r="M30" s="7" t="str">
        <f t="shared" si="0"/>
        <v>À empoter</v>
      </c>
      <c r="N30" s="7" t="str">
        <f ca="1">IF(OR($A30="",$G30&lt;&gt;""),"",IF(AND($Q30&lt;&gt;"",N($Q30)&lt;TODAY()),"RETARD : ETD dépassé, pas embarqué",IF(AND($Q30&lt;&gt;"",N($Q30)-TODAY()&lt;=P_AlerteETD,$F30=""),"Gate-In à faire (ETD proche)",IF(AND($E30&lt;&gt;"",$H30=""),"Poids net à saisir",""))))</f>
        <v>Gate-In à faire (ETD proche)</v>
      </c>
      <c r="O30" s="121"/>
      <c r="P30" s="29">
        <f t="shared" ca="1" si="2"/>
        <v>1</v>
      </c>
      <c r="Q30" s="30">
        <f>IF($K30="","",IFERROR(IF(INDEX(Bookings!$G$3:$G$202,MATCH($K30,Bookings!$A$3:$A$202,0))="","",INDEX(Bookings!$G$3:$G$202,MATCH($K30,Bookings!$A$3:$A$202,0))),""))</f>
        <v>46309</v>
      </c>
    </row>
    <row r="31" spans="1:17" hidden="1" x14ac:dyDescent="0.35">
      <c r="A31" s="115" t="s">
        <v>260</v>
      </c>
      <c r="B31" s="115">
        <v>277763418</v>
      </c>
      <c r="C31" s="116" t="s">
        <v>265</v>
      </c>
      <c r="D31" s="117" t="s">
        <v>187</v>
      </c>
      <c r="E31" s="118"/>
      <c r="F31" s="118"/>
      <c r="G31" s="118"/>
      <c r="H31" s="119">
        <f t="shared" si="1"/>
        <v>21400</v>
      </c>
      <c r="I31" s="120">
        <v>15060</v>
      </c>
      <c r="J31" s="120">
        <v>36460</v>
      </c>
      <c r="K31" s="121">
        <f>IF($B31="","",IFERROR(INDEX(Connaissements!$B$3:$B$202,MATCH($B31,Connaissements!$A$3:$A$202,0)),""))</f>
        <v>277763418</v>
      </c>
      <c r="L31" s="121">
        <f>IF($B31="","",IFERROR(INDEX(Connaissements!$G$3:$G$202,MATCH($B31,Connaissements!$A$3:$A$202,0)),""))</f>
        <v>4600063618</v>
      </c>
      <c r="M31" s="7" t="str">
        <f t="shared" si="0"/>
        <v>À empoter</v>
      </c>
      <c r="N31" s="7" t="str">
        <f ca="1">IF(OR($A31="",$G31&lt;&gt;""),"",IF(AND($Q31&lt;&gt;"",N($Q31)&lt;TODAY()),"RETARD : ETD dépassé, pas embarqué",IF(AND($Q31&lt;&gt;"",N($Q31)-TODAY()&lt;=P_AlerteETD,$F31=""),"Gate-In à faire (ETD proche)",IF(AND($E31&lt;&gt;"",$H31=""),"Poids net à saisir",""))))</f>
        <v>Gate-In à faire (ETD proche)</v>
      </c>
      <c r="O31" s="121"/>
      <c r="P31" s="29">
        <f t="shared" ca="1" si="2"/>
        <v>1</v>
      </c>
      <c r="Q31" s="30">
        <f>IF($K31="","",IFERROR(IF(INDEX(Bookings!$G$3:$G$202,MATCH($K31,Bookings!$A$3:$A$202,0))="","",INDEX(Bookings!$G$3:$G$202,MATCH($K31,Bookings!$A$3:$A$202,0))),""))</f>
        <v>46309</v>
      </c>
    </row>
    <row r="32" spans="1:17" hidden="1" x14ac:dyDescent="0.35">
      <c r="A32" s="115" t="s">
        <v>261</v>
      </c>
      <c r="B32" s="115">
        <v>277763418</v>
      </c>
      <c r="C32" s="116" t="s">
        <v>266</v>
      </c>
      <c r="D32" s="117" t="s">
        <v>187</v>
      </c>
      <c r="E32" s="118"/>
      <c r="F32" s="118"/>
      <c r="G32" s="118"/>
      <c r="H32" s="119">
        <f t="shared" si="1"/>
        <v>21400</v>
      </c>
      <c r="I32" s="120">
        <v>15120</v>
      </c>
      <c r="J32" s="120">
        <v>36520</v>
      </c>
      <c r="K32" s="121">
        <f>IF($B32="","",IFERROR(INDEX(Connaissements!$B$3:$B$202,MATCH($B32,Connaissements!$A$3:$A$202,0)),""))</f>
        <v>277763418</v>
      </c>
      <c r="L32" s="121">
        <f>IF($B32="","",IFERROR(INDEX(Connaissements!$G$3:$G$202,MATCH($B32,Connaissements!$A$3:$A$202,0)),""))</f>
        <v>4600063618</v>
      </c>
      <c r="M32" s="7" t="str">
        <f t="shared" si="0"/>
        <v>À empoter</v>
      </c>
      <c r="N32" s="7" t="str">
        <f ca="1">IF(OR($A32="",$G32&lt;&gt;""),"",IF(AND($Q32&lt;&gt;"",N($Q32)&lt;TODAY()),"RETARD : ETD dépassé, pas embarqué",IF(AND($Q32&lt;&gt;"",N($Q32)-TODAY()&lt;=P_AlerteETD,$F32=""),"Gate-In à faire (ETD proche)",IF(AND($E32&lt;&gt;"",$H32=""),"Poids net à saisir",""))))</f>
        <v>Gate-In à faire (ETD proche)</v>
      </c>
      <c r="O32" s="121"/>
      <c r="P32" s="29">
        <f t="shared" ca="1" si="2"/>
        <v>1</v>
      </c>
      <c r="Q32" s="30">
        <f>IF($K32="","",IFERROR(IF(INDEX(Bookings!$G$3:$G$202,MATCH($K32,Bookings!$A$3:$A$202,0))="","",INDEX(Bookings!$G$3:$G$202,MATCH($K32,Bookings!$A$3:$A$202,0))),""))</f>
        <v>46309</v>
      </c>
    </row>
    <row r="33" spans="1:17" hidden="1" x14ac:dyDescent="0.35">
      <c r="A33" s="115" t="s">
        <v>262</v>
      </c>
      <c r="B33" s="115">
        <v>277763418</v>
      </c>
      <c r="C33" s="116" t="s">
        <v>267</v>
      </c>
      <c r="D33" s="117" t="s">
        <v>187</v>
      </c>
      <c r="E33" s="118"/>
      <c r="F33" s="118"/>
      <c r="G33" s="118"/>
      <c r="H33" s="119">
        <f t="shared" si="1"/>
        <v>21380</v>
      </c>
      <c r="I33" s="120">
        <v>15500</v>
      </c>
      <c r="J33" s="120">
        <v>36880</v>
      </c>
      <c r="K33" s="121">
        <f>IF($B33="","",IFERROR(INDEX(Connaissements!$B$3:$B$202,MATCH($B33,Connaissements!$A$3:$A$202,0)),""))</f>
        <v>277763418</v>
      </c>
      <c r="L33" s="121">
        <f>IF($B33="","",IFERROR(INDEX(Connaissements!$G$3:$G$202,MATCH($B33,Connaissements!$A$3:$A$202,0)),""))</f>
        <v>4600063618</v>
      </c>
      <c r="M33" s="7" t="str">
        <f t="shared" si="0"/>
        <v>À empoter</v>
      </c>
      <c r="N33" s="7" t="str">
        <f ca="1">IF(OR($A33="",$G33&lt;&gt;""),"",IF(AND($Q33&lt;&gt;"",N($Q33)&lt;TODAY()),"RETARD : ETD dépassé, pas embarqué",IF(AND($Q33&lt;&gt;"",N($Q33)-TODAY()&lt;=P_AlerteETD,$F33=""),"Gate-In à faire (ETD proche)",IF(AND($E33&lt;&gt;"",$H33=""),"Poids net à saisir",""))))</f>
        <v>Gate-In à faire (ETD proche)</v>
      </c>
      <c r="O33" s="121"/>
      <c r="P33" s="29">
        <f t="shared" ca="1" si="2"/>
        <v>1</v>
      </c>
      <c r="Q33" s="30">
        <f>IF($K33="","",IFERROR(IF(INDEX(Bookings!$G$3:$G$202,MATCH($K33,Bookings!$A$3:$A$202,0))="","",INDEX(Bookings!$G$3:$G$202,MATCH($K33,Bookings!$A$3:$A$202,0))),""))</f>
        <v>46309</v>
      </c>
    </row>
    <row r="34" spans="1:17" hidden="1" x14ac:dyDescent="0.35">
      <c r="A34" s="115" t="s">
        <v>263</v>
      </c>
      <c r="B34" s="115">
        <v>277763418</v>
      </c>
      <c r="C34" s="116" t="s">
        <v>268</v>
      </c>
      <c r="D34" s="117" t="s">
        <v>187</v>
      </c>
      <c r="E34" s="118"/>
      <c r="F34" s="118"/>
      <c r="G34" s="118"/>
      <c r="H34" s="119">
        <f t="shared" si="1"/>
        <v>21300</v>
      </c>
      <c r="I34" s="120">
        <v>15460</v>
      </c>
      <c r="J34" s="120">
        <v>36760</v>
      </c>
      <c r="K34" s="121">
        <f>IF($B34="","",IFERROR(INDEX(Connaissements!$B$3:$B$202,MATCH($B34,Connaissements!$A$3:$A$202,0)),""))</f>
        <v>277763418</v>
      </c>
      <c r="L34" s="121">
        <f>IF($B34="","",IFERROR(INDEX(Connaissements!$G$3:$G$202,MATCH($B34,Connaissements!$A$3:$A$202,0)),""))</f>
        <v>4600063618</v>
      </c>
      <c r="M34" s="7" t="str">
        <f t="shared" si="0"/>
        <v>À empoter</v>
      </c>
      <c r="N34" s="7" t="str">
        <f ca="1">IF(OR($A34="",$G34&lt;&gt;""),"",IF(AND($Q34&lt;&gt;"",N($Q34)&lt;TODAY()),"RETARD : ETD dépassé, pas embarqué",IF(AND($Q34&lt;&gt;"",N($Q34)-TODAY()&lt;=P_AlerteETD,$F34=""),"Gate-In à faire (ETD proche)",IF(AND($E34&lt;&gt;"",$H34=""),"Poids net à saisir",""))))</f>
        <v>Gate-In à faire (ETD proche)</v>
      </c>
      <c r="O34" s="121"/>
      <c r="P34" s="29">
        <f t="shared" ca="1" si="2"/>
        <v>1</v>
      </c>
      <c r="Q34" s="30">
        <f>IF($K34="","",IFERROR(IF(INDEX(Bookings!$G$3:$G$202,MATCH($K34,Bookings!$A$3:$A$202,0))="","",INDEX(Bookings!$G$3:$G$202,MATCH($K34,Bookings!$A$3:$A$202,0))),""))</f>
        <v>46309</v>
      </c>
    </row>
    <row r="35" spans="1:17" x14ac:dyDescent="0.35">
      <c r="A35" s="124" t="s">
        <v>269</v>
      </c>
      <c r="B35" s="124">
        <v>277770098</v>
      </c>
      <c r="C35" s="125" t="s">
        <v>274</v>
      </c>
      <c r="D35" s="126" t="s">
        <v>187</v>
      </c>
      <c r="E35" s="127"/>
      <c r="F35" s="127"/>
      <c r="G35" s="127"/>
      <c r="H35" s="128">
        <f t="shared" si="1"/>
        <v>21360</v>
      </c>
      <c r="I35" s="129">
        <v>14160</v>
      </c>
      <c r="J35" s="129">
        <v>35520</v>
      </c>
      <c r="K35" s="130">
        <f>IF($B35="","",IFERROR(INDEX(Connaissements!$B$3:$B$202,MATCH($B35,Connaissements!$A$3:$A$202,0)),""))</f>
        <v>277770098</v>
      </c>
      <c r="L35" s="130">
        <f>IF($B35="","",IFERROR(INDEX(Connaissements!$G$3:$G$202,MATCH($B35,Connaissements!$A$3:$A$202,0)),""))</f>
        <v>4600063618</v>
      </c>
      <c r="M35" s="7" t="str">
        <f t="shared" si="0"/>
        <v>À empoter</v>
      </c>
      <c r="N35" s="7" t="str">
        <f ca="1">IF(OR($A35="",$G35&lt;&gt;""),"",IF(AND($Q35&lt;&gt;"",N($Q35)&lt;TODAY()),"RETARD : ETD dépassé, pas embarqué",IF(AND($Q35&lt;&gt;"",N($Q35)-TODAY()&lt;=P_AlerteETD,$F35=""),"Gate-In à faire (ETD proche)",IF(AND($E35&lt;&gt;"",$H35=""),"Poids net à saisir",""))))</f>
        <v>Gate-In à faire (ETD proche)</v>
      </c>
      <c r="O35" s="130"/>
      <c r="P35" s="29">
        <f t="shared" ca="1" si="2"/>
        <v>1</v>
      </c>
      <c r="Q35" s="30">
        <f>IF($K35="","",IFERROR(IF(INDEX(Bookings!$G$3:$G$202,MATCH($K35,Bookings!$A$3:$A$202,0))="","",INDEX(Bookings!$G$3:$G$202,MATCH($K35,Bookings!$A$3:$A$202,0))),""))</f>
        <v>46309</v>
      </c>
    </row>
    <row r="36" spans="1:17" x14ac:dyDescent="0.35">
      <c r="A36" s="124" t="s">
        <v>270</v>
      </c>
      <c r="B36" s="124">
        <v>277770098</v>
      </c>
      <c r="C36" s="125" t="s">
        <v>275</v>
      </c>
      <c r="D36" s="126" t="s">
        <v>187</v>
      </c>
      <c r="E36" s="127"/>
      <c r="F36" s="127"/>
      <c r="G36" s="127"/>
      <c r="H36" s="128">
        <f t="shared" si="1"/>
        <v>21180</v>
      </c>
      <c r="I36" s="129">
        <v>14660</v>
      </c>
      <c r="J36" s="129">
        <v>35840</v>
      </c>
      <c r="K36" s="130">
        <f>IF($B36="","",IFERROR(INDEX(Connaissements!$B$3:$B$202,MATCH($B36,Connaissements!$A$3:$A$202,0)),""))</f>
        <v>277770098</v>
      </c>
      <c r="L36" s="130">
        <f>IF($B36="","",IFERROR(INDEX(Connaissements!$G$3:$G$202,MATCH($B36,Connaissements!$A$3:$A$202,0)),""))</f>
        <v>4600063618</v>
      </c>
      <c r="M36" s="7" t="str">
        <f t="shared" si="0"/>
        <v>À empoter</v>
      </c>
      <c r="N36" s="7" t="str">
        <f ca="1">IF(OR($A36="",$G36&lt;&gt;""),"",IF(AND($Q36&lt;&gt;"",N($Q36)&lt;TODAY()),"RETARD : ETD dépassé, pas embarqué",IF(AND($Q36&lt;&gt;"",N($Q36)-TODAY()&lt;=P_AlerteETD,$F36=""),"Gate-In à faire (ETD proche)",IF(AND($E36&lt;&gt;"",$H36=""),"Poids net à saisir",""))))</f>
        <v>Gate-In à faire (ETD proche)</v>
      </c>
      <c r="O36" s="130"/>
      <c r="P36" s="29">
        <f t="shared" ca="1" si="2"/>
        <v>1</v>
      </c>
      <c r="Q36" s="30">
        <f>IF($K36="","",IFERROR(IF(INDEX(Bookings!$G$3:$G$202,MATCH($K36,Bookings!$A$3:$A$202,0))="","",INDEX(Bookings!$G$3:$G$202,MATCH($K36,Bookings!$A$3:$A$202,0))),""))</f>
        <v>46309</v>
      </c>
    </row>
    <row r="37" spans="1:17" x14ac:dyDescent="0.35">
      <c r="A37" s="124" t="s">
        <v>271</v>
      </c>
      <c r="B37" s="124">
        <v>277770098</v>
      </c>
      <c r="C37" s="125" t="s">
        <v>276</v>
      </c>
      <c r="D37" s="126" t="s">
        <v>187</v>
      </c>
      <c r="E37" s="127"/>
      <c r="F37" s="127"/>
      <c r="G37" s="127"/>
      <c r="H37" s="128">
        <f t="shared" si="1"/>
        <v>21360</v>
      </c>
      <c r="I37" s="129">
        <v>11240</v>
      </c>
      <c r="J37" s="129">
        <v>32600</v>
      </c>
      <c r="K37" s="130">
        <f>IF($B37="","",IFERROR(INDEX(Connaissements!$B$3:$B$202,MATCH($B37,Connaissements!$A$3:$A$202,0)),""))</f>
        <v>277770098</v>
      </c>
      <c r="L37" s="130">
        <f>IF($B37="","",IFERROR(INDEX(Connaissements!$G$3:$G$202,MATCH($B37,Connaissements!$A$3:$A$202,0)),""))</f>
        <v>4600063618</v>
      </c>
      <c r="M37" s="7" t="str">
        <f t="shared" si="0"/>
        <v>À empoter</v>
      </c>
      <c r="N37" s="7" t="str">
        <f ca="1">IF(OR($A37="",$G37&lt;&gt;""),"",IF(AND($Q37&lt;&gt;"",N($Q37)&lt;TODAY()),"RETARD : ETD dépassé, pas embarqué",IF(AND($Q37&lt;&gt;"",N($Q37)-TODAY()&lt;=P_AlerteETD,$F37=""),"Gate-In à faire (ETD proche)",IF(AND($E37&lt;&gt;"",$H37=""),"Poids net à saisir",""))))</f>
        <v>Gate-In à faire (ETD proche)</v>
      </c>
      <c r="O37" s="130"/>
      <c r="P37" s="29">
        <f t="shared" ca="1" si="2"/>
        <v>1</v>
      </c>
      <c r="Q37" s="30">
        <f>IF($K37="","",IFERROR(IF(INDEX(Bookings!$G$3:$G$202,MATCH($K37,Bookings!$A$3:$A$202,0))="","",INDEX(Bookings!$G$3:$G$202,MATCH($K37,Bookings!$A$3:$A$202,0))),""))</f>
        <v>46309</v>
      </c>
    </row>
    <row r="38" spans="1:17" x14ac:dyDescent="0.35">
      <c r="A38" s="124" t="s">
        <v>272</v>
      </c>
      <c r="B38" s="124">
        <v>277770098</v>
      </c>
      <c r="C38" s="125" t="s">
        <v>277</v>
      </c>
      <c r="D38" s="126" t="s">
        <v>187</v>
      </c>
      <c r="E38" s="127"/>
      <c r="F38" s="127"/>
      <c r="G38" s="127"/>
      <c r="H38" s="128">
        <f t="shared" si="1"/>
        <v>21280</v>
      </c>
      <c r="I38" s="129">
        <v>14460</v>
      </c>
      <c r="J38" s="129">
        <v>35740</v>
      </c>
      <c r="K38" s="130">
        <f>IF($B38="","",IFERROR(INDEX(Connaissements!$B$3:$B$202,MATCH($B38,Connaissements!$A$3:$A$202,0)),""))</f>
        <v>277770098</v>
      </c>
      <c r="L38" s="130">
        <f>IF($B38="","",IFERROR(INDEX(Connaissements!$G$3:$G$202,MATCH($B38,Connaissements!$A$3:$A$202,0)),""))</f>
        <v>4600063618</v>
      </c>
      <c r="M38" s="7" t="str">
        <f t="shared" si="0"/>
        <v>À empoter</v>
      </c>
      <c r="N38" s="7" t="str">
        <f ca="1">IF(OR($A38="",$G38&lt;&gt;""),"",IF(AND($Q38&lt;&gt;"",N($Q38)&lt;TODAY()),"RETARD : ETD dépassé, pas embarqué",IF(AND($Q38&lt;&gt;"",N($Q38)-TODAY()&lt;=P_AlerteETD,$F38=""),"Gate-In à faire (ETD proche)",IF(AND($E38&lt;&gt;"",$H38=""),"Poids net à saisir",""))))</f>
        <v>Gate-In à faire (ETD proche)</v>
      </c>
      <c r="O38" s="130"/>
      <c r="P38" s="29">
        <f t="shared" ca="1" si="2"/>
        <v>1</v>
      </c>
      <c r="Q38" s="30">
        <f>IF($K38="","",IFERROR(IF(INDEX(Bookings!$G$3:$G$202,MATCH($K38,Bookings!$A$3:$A$202,0))="","",INDEX(Bookings!$G$3:$G$202,MATCH($K38,Bookings!$A$3:$A$202,0))),""))</f>
        <v>46309</v>
      </c>
    </row>
    <row r="39" spans="1:17" x14ac:dyDescent="0.35">
      <c r="A39" s="124" t="s">
        <v>273</v>
      </c>
      <c r="B39" s="124">
        <v>277770098</v>
      </c>
      <c r="C39" s="125" t="s">
        <v>278</v>
      </c>
      <c r="D39" s="126" t="s">
        <v>187</v>
      </c>
      <c r="E39" s="127"/>
      <c r="F39" s="127"/>
      <c r="G39" s="127"/>
      <c r="H39" s="128">
        <f t="shared" si="1"/>
        <v>21460</v>
      </c>
      <c r="I39" s="129">
        <v>14640</v>
      </c>
      <c r="J39" s="129">
        <v>36100</v>
      </c>
      <c r="K39" s="130">
        <f>IF($B39="","",IFERROR(INDEX(Connaissements!$B$3:$B$202,MATCH($B39,Connaissements!$A$3:$A$202,0)),""))</f>
        <v>277770098</v>
      </c>
      <c r="L39" s="130">
        <f>IF($B39="","",IFERROR(INDEX(Connaissements!$G$3:$G$202,MATCH($B39,Connaissements!$A$3:$A$202,0)),""))</f>
        <v>4600063618</v>
      </c>
      <c r="M39" s="7" t="str">
        <f t="shared" si="0"/>
        <v>À empoter</v>
      </c>
      <c r="N39" s="7" t="str">
        <f ca="1">IF(OR($A39="",$G39&lt;&gt;""),"",IF(AND($Q39&lt;&gt;"",N($Q39)&lt;TODAY()),"RETARD : ETD dépassé, pas embarqué",IF(AND($Q39&lt;&gt;"",N($Q39)-TODAY()&lt;=P_AlerteETD,$F39=""),"Gate-In à faire (ETD proche)",IF(AND($E39&lt;&gt;"",$H39=""),"Poids net à saisir",""))))</f>
        <v>Gate-In à faire (ETD proche)</v>
      </c>
      <c r="O39" s="130"/>
      <c r="P39" s="29">
        <f t="shared" ca="1" si="2"/>
        <v>1</v>
      </c>
      <c r="Q39" s="30">
        <f>IF($K39="","",IFERROR(IF(INDEX(Bookings!$G$3:$G$202,MATCH($K39,Bookings!$A$3:$A$202,0))="","",INDEX(Bookings!$G$3:$G$202,MATCH($K39,Bookings!$A$3:$A$202,0))),""))</f>
        <v>46309</v>
      </c>
    </row>
    <row r="40" spans="1:17" hidden="1" x14ac:dyDescent="0.35">
      <c r="A40" s="131" t="s">
        <v>279</v>
      </c>
      <c r="B40" s="131">
        <v>277770206</v>
      </c>
      <c r="C40" s="132" t="s">
        <v>284</v>
      </c>
      <c r="D40" s="133" t="s">
        <v>187</v>
      </c>
      <c r="E40" s="134"/>
      <c r="F40" s="134"/>
      <c r="G40" s="134"/>
      <c r="H40" s="135">
        <f t="shared" si="1"/>
        <v>21440</v>
      </c>
      <c r="I40" s="136">
        <v>16840</v>
      </c>
      <c r="J40" s="136">
        <v>38280</v>
      </c>
      <c r="K40" s="137">
        <f>IF($B40="","",IFERROR(INDEX(Connaissements!$B$3:$B$202,MATCH($B40,Connaissements!$A$3:$A$202,0)),""))</f>
        <v>277770206</v>
      </c>
      <c r="L40" s="137">
        <f>IF($B40="","",IFERROR(INDEX(Connaissements!$G$3:$G$202,MATCH($B40,Connaissements!$A$3:$A$202,0)),""))</f>
        <v>4600063618</v>
      </c>
      <c r="M40" s="7" t="str">
        <f t="shared" si="0"/>
        <v>À empoter</v>
      </c>
      <c r="N40" s="7" t="str">
        <f ca="1">IF(OR($A40="",$G40&lt;&gt;""),"",IF(AND($Q40&lt;&gt;"",N($Q40)&lt;TODAY()),"RETARD : ETD dépassé, pas embarqué",IF(AND($Q40&lt;&gt;"",N($Q40)-TODAY()&lt;=P_AlerteETD,$F40=""),"Gate-In à faire (ETD proche)",IF(AND($E40&lt;&gt;"",$H40=""),"Poids net à saisir",""))))</f>
        <v/>
      </c>
      <c r="O40" s="137"/>
      <c r="P40" s="29" t="str">
        <f t="shared" ca="1" si="2"/>
        <v/>
      </c>
      <c r="Q40" s="30">
        <f>IF($K40="","",IFERROR(IF(INDEX(Bookings!$G$3:$G$202,MATCH($K40,Bookings!$A$3:$A$202,0))="","",INDEX(Bookings!$G$3:$G$202,MATCH($K40,Bookings!$A$3:$A$202,0))),""))</f>
        <v>46314</v>
      </c>
    </row>
    <row r="41" spans="1:17" hidden="1" x14ac:dyDescent="0.35">
      <c r="A41" s="131" t="s">
        <v>280</v>
      </c>
      <c r="B41" s="131">
        <v>277770206</v>
      </c>
      <c r="C41" s="132" t="s">
        <v>285</v>
      </c>
      <c r="D41" s="133" t="s">
        <v>187</v>
      </c>
      <c r="E41" s="134"/>
      <c r="F41" s="134"/>
      <c r="G41" s="134"/>
      <c r="H41" s="135">
        <f t="shared" si="1"/>
        <v>21440</v>
      </c>
      <c r="I41" s="136">
        <v>38280</v>
      </c>
      <c r="J41" s="136">
        <v>59720</v>
      </c>
      <c r="K41" s="137">
        <f>IF($B41="","",IFERROR(INDEX(Connaissements!$B$3:$B$202,MATCH($B41,Connaissements!$A$3:$A$202,0)),""))</f>
        <v>277770206</v>
      </c>
      <c r="L41" s="137">
        <f>IF($B41="","",IFERROR(INDEX(Connaissements!$G$3:$G$202,MATCH($B41,Connaissements!$A$3:$A$202,0)),""))</f>
        <v>4600063618</v>
      </c>
      <c r="M41" s="7" t="str">
        <f t="shared" si="0"/>
        <v>À empoter</v>
      </c>
      <c r="N41" s="7" t="str">
        <f ca="1">IF(OR($A41="",$G41&lt;&gt;""),"",IF(AND($Q41&lt;&gt;"",N($Q41)&lt;TODAY()),"RETARD : ETD dépassé, pas embarqué",IF(AND($Q41&lt;&gt;"",N($Q41)-TODAY()&lt;=P_AlerteETD,$F41=""),"Gate-In à faire (ETD proche)",IF(AND($E41&lt;&gt;"",$H41=""),"Poids net à saisir",""))))</f>
        <v/>
      </c>
      <c r="O41" s="137"/>
      <c r="P41" s="29" t="str">
        <f t="shared" ca="1" si="2"/>
        <v/>
      </c>
      <c r="Q41" s="30">
        <f>IF($K41="","",IFERROR(IF(INDEX(Bookings!$G$3:$G$202,MATCH($K41,Bookings!$A$3:$A$202,0))="","",INDEX(Bookings!$G$3:$G$202,MATCH($K41,Bookings!$A$3:$A$202,0))),""))</f>
        <v>46314</v>
      </c>
    </row>
    <row r="42" spans="1:17" hidden="1" x14ac:dyDescent="0.35">
      <c r="A42" s="131" t="s">
        <v>281</v>
      </c>
      <c r="B42" s="131">
        <v>277770206</v>
      </c>
      <c r="C42" s="132" t="s">
        <v>286</v>
      </c>
      <c r="D42" s="133" t="s">
        <v>187</v>
      </c>
      <c r="E42" s="134"/>
      <c r="F42" s="134"/>
      <c r="G42" s="134"/>
      <c r="H42" s="135">
        <f t="shared" si="1"/>
        <v>21400</v>
      </c>
      <c r="I42" s="136">
        <v>20500</v>
      </c>
      <c r="J42" s="136">
        <v>41900</v>
      </c>
      <c r="K42" s="137">
        <f>IF($B42="","",IFERROR(INDEX(Connaissements!$B$3:$B$202,MATCH($B42,Connaissements!$A$3:$A$202,0)),""))</f>
        <v>277770206</v>
      </c>
      <c r="L42" s="137">
        <f>IF($B42="","",IFERROR(INDEX(Connaissements!$G$3:$G$202,MATCH($B42,Connaissements!$A$3:$A$202,0)),""))</f>
        <v>4600063618</v>
      </c>
      <c r="M42" s="7" t="str">
        <f t="shared" si="0"/>
        <v>À empoter</v>
      </c>
      <c r="N42" s="7" t="str">
        <f ca="1">IF(OR($A42="",$G42&lt;&gt;""),"",IF(AND($Q42&lt;&gt;"",N($Q42)&lt;TODAY()),"RETARD : ETD dépassé, pas embarqué",IF(AND($Q42&lt;&gt;"",N($Q42)-TODAY()&lt;=P_AlerteETD,$F42=""),"Gate-In à faire (ETD proche)",IF(AND($E42&lt;&gt;"",$H42=""),"Poids net à saisir",""))))</f>
        <v/>
      </c>
      <c r="O42" s="137"/>
      <c r="P42" s="29" t="str">
        <f t="shared" ca="1" si="2"/>
        <v/>
      </c>
      <c r="Q42" s="30">
        <f>IF($K42="","",IFERROR(IF(INDEX(Bookings!$G$3:$G$202,MATCH($K42,Bookings!$A$3:$A$202,0))="","",INDEX(Bookings!$G$3:$G$202,MATCH($K42,Bookings!$A$3:$A$202,0))),""))</f>
        <v>46314</v>
      </c>
    </row>
    <row r="43" spans="1:17" hidden="1" x14ac:dyDescent="0.35">
      <c r="A43" s="131" t="s">
        <v>282</v>
      </c>
      <c r="B43" s="131">
        <v>277770206</v>
      </c>
      <c r="C43" s="132" t="s">
        <v>287</v>
      </c>
      <c r="D43" s="133" t="s">
        <v>187</v>
      </c>
      <c r="E43" s="134"/>
      <c r="F43" s="134"/>
      <c r="G43" s="134"/>
      <c r="H43" s="135">
        <f t="shared" si="1"/>
        <v>21440</v>
      </c>
      <c r="I43" s="136">
        <v>41900</v>
      </c>
      <c r="J43" s="136">
        <v>63340</v>
      </c>
      <c r="K43" s="137">
        <f>IF($B43="","",IFERROR(INDEX(Connaissements!$B$3:$B$202,MATCH($B43,Connaissements!$A$3:$A$202,0)),""))</f>
        <v>277770206</v>
      </c>
      <c r="L43" s="137">
        <f>IF($B43="","",IFERROR(INDEX(Connaissements!$G$3:$G$202,MATCH($B43,Connaissements!$A$3:$A$202,0)),""))</f>
        <v>4600063618</v>
      </c>
      <c r="M43" s="7" t="str">
        <f t="shared" si="0"/>
        <v>À empoter</v>
      </c>
      <c r="N43" s="7" t="str">
        <f ca="1">IF(OR($A43="",$G43&lt;&gt;""),"",IF(AND($Q43&lt;&gt;"",N($Q43)&lt;TODAY()),"RETARD : ETD dépassé, pas embarqué",IF(AND($Q43&lt;&gt;"",N($Q43)-TODAY()&lt;=P_AlerteETD,$F43=""),"Gate-In à faire (ETD proche)",IF(AND($E43&lt;&gt;"",$H43=""),"Poids net à saisir",""))))</f>
        <v/>
      </c>
      <c r="O43" s="137"/>
      <c r="P43" s="29" t="str">
        <f t="shared" ca="1" si="2"/>
        <v/>
      </c>
      <c r="Q43" s="30">
        <f>IF($K43="","",IFERROR(IF(INDEX(Bookings!$G$3:$G$202,MATCH($K43,Bookings!$A$3:$A$202,0))="","",INDEX(Bookings!$G$3:$G$202,MATCH($K43,Bookings!$A$3:$A$202,0))),""))</f>
        <v>46314</v>
      </c>
    </row>
    <row r="44" spans="1:17" hidden="1" x14ac:dyDescent="0.35">
      <c r="A44" s="131" t="s">
        <v>283</v>
      </c>
      <c r="B44" s="131">
        <v>277770206</v>
      </c>
      <c r="C44" s="132" t="s">
        <v>288</v>
      </c>
      <c r="D44" s="133" t="s">
        <v>187</v>
      </c>
      <c r="E44" s="134"/>
      <c r="F44" s="134"/>
      <c r="G44" s="134"/>
      <c r="H44" s="135">
        <f t="shared" si="1"/>
        <v>18620</v>
      </c>
      <c r="I44" s="136">
        <v>16400</v>
      </c>
      <c r="J44" s="136">
        <v>35020</v>
      </c>
      <c r="K44" s="137">
        <f>IF($B44="","",IFERROR(INDEX(Connaissements!$B$3:$B$202,MATCH($B44,Connaissements!$A$3:$A$202,0)),""))</f>
        <v>277770206</v>
      </c>
      <c r="L44" s="137">
        <f>IF($B44="","",IFERROR(INDEX(Connaissements!$G$3:$G$202,MATCH($B44,Connaissements!$A$3:$A$202,0)),""))</f>
        <v>4600063618</v>
      </c>
      <c r="M44" s="7" t="str">
        <f t="shared" si="0"/>
        <v>À empoter</v>
      </c>
      <c r="N44" s="7" t="str">
        <f ca="1">IF(OR($A44="",$G44&lt;&gt;""),"",IF(AND($Q44&lt;&gt;"",N($Q44)&lt;TODAY()),"RETARD : ETD dépassé, pas embarqué",IF(AND($Q44&lt;&gt;"",N($Q44)-TODAY()&lt;=P_AlerteETD,$F44=""),"Gate-In à faire (ETD proche)",IF(AND($E44&lt;&gt;"",$H44=""),"Poids net à saisir",""))))</f>
        <v/>
      </c>
      <c r="O44" s="137"/>
      <c r="P44" s="29" t="str">
        <f t="shared" ca="1" si="2"/>
        <v/>
      </c>
      <c r="Q44" s="30">
        <f>IF($K44="","",IFERROR(IF(INDEX(Bookings!$G$3:$G$202,MATCH($K44,Bookings!$A$3:$A$202,0))="","",INDEX(Bookings!$G$3:$G$202,MATCH($K44,Bookings!$A$3:$A$202,0))),""))</f>
        <v>46314</v>
      </c>
    </row>
    <row r="45" spans="1:17" hidden="1" x14ac:dyDescent="0.35">
      <c r="A45" s="138" t="s">
        <v>289</v>
      </c>
      <c r="B45" s="138">
        <v>279324047</v>
      </c>
      <c r="C45" s="139" t="s">
        <v>290</v>
      </c>
      <c r="D45" s="140" t="s">
        <v>187</v>
      </c>
      <c r="E45" s="141"/>
      <c r="F45" s="141"/>
      <c r="G45" s="141"/>
      <c r="H45" s="142">
        <f t="shared" si="1"/>
        <v>21400</v>
      </c>
      <c r="I45" s="143">
        <v>11220</v>
      </c>
      <c r="J45" s="143">
        <v>32620</v>
      </c>
      <c r="K45" s="144">
        <f>IF($B45="","",IFERROR(INDEX(Connaissements!$B$3:$B$202,MATCH($B45,Connaissements!$A$3:$A$202,0)),""))</f>
        <v>279324047</v>
      </c>
      <c r="L45" s="144">
        <f>IF($B45="","",IFERROR(INDEX(Connaissements!$G$3:$G$202,MATCH($B45,Connaissements!$A$3:$A$202,0)),""))</f>
        <v>4600063618</v>
      </c>
      <c r="M45" s="7" t="str">
        <f t="shared" si="0"/>
        <v>À empoter</v>
      </c>
      <c r="N45" s="7" t="str">
        <f ca="1">IF(OR($A45="",$G45&lt;&gt;""),"",IF(AND($Q45&lt;&gt;"",N($Q45)&lt;TODAY()),"RETARD : ETD dépassé, pas embarqué",IF(AND($Q45&lt;&gt;"",N($Q45)-TODAY()&lt;=P_AlerteETD,$F45=""),"Gate-In à faire (ETD proche)",IF(AND($E45&lt;&gt;"",$H45=""),"Poids net à saisir",""))))</f>
        <v/>
      </c>
      <c r="O45" s="144"/>
      <c r="P45" s="29" t="str">
        <f t="shared" ca="1" si="2"/>
        <v/>
      </c>
      <c r="Q45" s="30">
        <f>IF($K45="","",IFERROR(IF(INDEX(Bookings!$G$3:$G$202,MATCH($K45,Bookings!$A$3:$A$202,0))="","",INDEX(Bookings!$G$3:$G$202,MATCH($K45,Bookings!$A$3:$A$202,0))),""))</f>
        <v>46314</v>
      </c>
    </row>
    <row r="46" spans="1:17" hidden="1" x14ac:dyDescent="0.35">
      <c r="A46" s="81" t="s">
        <v>291</v>
      </c>
      <c r="B46" s="81">
        <v>278981635</v>
      </c>
      <c r="C46" s="21" t="s">
        <v>297</v>
      </c>
      <c r="D46" s="56" t="s">
        <v>187</v>
      </c>
      <c r="E46" s="14"/>
      <c r="F46" s="14"/>
      <c r="G46" s="14"/>
      <c r="H46" s="83">
        <f t="shared" si="1"/>
        <v>22020</v>
      </c>
      <c r="I46" s="80">
        <v>14180</v>
      </c>
      <c r="J46" s="80">
        <v>36200</v>
      </c>
      <c r="K46" s="7">
        <f>IF($B46="","",IFERROR(INDEX(Connaissements!$B$3:$B$202,MATCH($B46,Connaissements!$A$3:$A$202,0)),""))</f>
        <v>278981635</v>
      </c>
      <c r="L46" s="7">
        <f>IF($B46="","",IFERROR(INDEX(Connaissements!$G$3:$G$202,MATCH($B46,Connaissements!$A$3:$A$202,0)),""))</f>
        <v>4600063618</v>
      </c>
      <c r="M46" s="7" t="str">
        <f t="shared" si="0"/>
        <v>À empoter</v>
      </c>
      <c r="N46" s="7" t="str">
        <f ca="1">IF(OR($A46="",$G46&lt;&gt;""),"",IF(AND($Q46&lt;&gt;"",N($Q46)&lt;TODAY()),"RETARD : ETD dépassé, pas embarqué",IF(AND($Q46&lt;&gt;"",N($Q46)-TODAY()&lt;=P_AlerteETD,$F46=""),"Gate-In à faire (ETD proche)",IF(AND($E46&lt;&gt;"",$H46=""),"Poids net à saisir",""))))</f>
        <v>Gate-In à faire (ETD proche)</v>
      </c>
      <c r="O46" s="13"/>
      <c r="P46" s="29">
        <f t="shared" ca="1" si="2"/>
        <v>1</v>
      </c>
      <c r="Q46" s="30">
        <f>IF($K46="","",IFERROR(IF(INDEX(Bookings!$G$3:$G$202,MATCH($K46,Bookings!$A$3:$A$202,0))="","",INDEX(Bookings!$G$3:$G$202,MATCH($K46,Bookings!$A$3:$A$202,0))),""))</f>
        <v>46309</v>
      </c>
    </row>
    <row r="47" spans="1:17" hidden="1" x14ac:dyDescent="0.35">
      <c r="A47" s="81" t="s">
        <v>292</v>
      </c>
      <c r="B47" s="81">
        <v>278981635</v>
      </c>
      <c r="C47" s="21" t="s">
        <v>298</v>
      </c>
      <c r="D47" s="56" t="s">
        <v>187</v>
      </c>
      <c r="E47" s="14"/>
      <c r="F47" s="14"/>
      <c r="G47" s="14"/>
      <c r="H47" s="83">
        <f t="shared" si="1"/>
        <v>19020</v>
      </c>
      <c r="I47" s="80">
        <v>14980</v>
      </c>
      <c r="J47" s="80">
        <v>34000</v>
      </c>
      <c r="K47" s="7">
        <f>IF($B47="","",IFERROR(INDEX(Connaissements!$B$3:$B$202,MATCH($B47,Connaissements!$A$3:$A$202,0)),""))</f>
        <v>278981635</v>
      </c>
      <c r="L47" s="7">
        <f>IF($B47="","",IFERROR(INDEX(Connaissements!$G$3:$G$202,MATCH($B47,Connaissements!$A$3:$A$202,0)),""))</f>
        <v>4600063618</v>
      </c>
      <c r="M47" s="7" t="str">
        <f t="shared" si="0"/>
        <v>À empoter</v>
      </c>
      <c r="N47" s="7" t="str">
        <f ca="1">IF(OR($A47="",$G47&lt;&gt;""),"",IF(AND($Q47&lt;&gt;"",N($Q47)&lt;TODAY()),"RETARD : ETD dépassé, pas embarqué",IF(AND($Q47&lt;&gt;"",N($Q47)-TODAY()&lt;=P_AlerteETD,$F47=""),"Gate-In à faire (ETD proche)",IF(AND($E47&lt;&gt;"",$H47=""),"Poids net à saisir",""))))</f>
        <v>Gate-In à faire (ETD proche)</v>
      </c>
      <c r="O47" s="13"/>
      <c r="P47" s="29">
        <f t="shared" ca="1" si="2"/>
        <v>1</v>
      </c>
      <c r="Q47" s="30">
        <f>IF($K47="","",IFERROR(IF(INDEX(Bookings!$G$3:$G$202,MATCH($K47,Bookings!$A$3:$A$202,0))="","",INDEX(Bookings!$G$3:$G$202,MATCH($K47,Bookings!$A$3:$A$202,0))),""))</f>
        <v>46309</v>
      </c>
    </row>
    <row r="48" spans="1:17" hidden="1" x14ac:dyDescent="0.35">
      <c r="A48" s="81" t="s">
        <v>293</v>
      </c>
      <c r="B48" s="81">
        <v>278981635</v>
      </c>
      <c r="C48" s="21" t="s">
        <v>299</v>
      </c>
      <c r="D48" s="56" t="s">
        <v>187</v>
      </c>
      <c r="E48" s="14"/>
      <c r="F48" s="14"/>
      <c r="G48" s="14"/>
      <c r="H48" s="83">
        <f t="shared" si="1"/>
        <v>21400</v>
      </c>
      <c r="I48" s="80">
        <v>15140</v>
      </c>
      <c r="J48" s="80">
        <v>36540</v>
      </c>
      <c r="K48" s="7">
        <f>IF($B48="","",IFERROR(INDEX(Connaissements!$B$3:$B$202,MATCH($B48,Connaissements!$A$3:$A$202,0)),""))</f>
        <v>278981635</v>
      </c>
      <c r="L48" s="7">
        <f>IF($B48="","",IFERROR(INDEX(Connaissements!$G$3:$G$202,MATCH($B48,Connaissements!$A$3:$A$202,0)),""))</f>
        <v>4600063618</v>
      </c>
      <c r="M48" s="7" t="str">
        <f t="shared" si="0"/>
        <v>À empoter</v>
      </c>
      <c r="N48" s="7" t="str">
        <f ca="1">IF(OR($A48="",$G48&lt;&gt;""),"",IF(AND($Q48&lt;&gt;"",N($Q48)&lt;TODAY()),"RETARD : ETD dépassé, pas embarqué",IF(AND($Q48&lt;&gt;"",N($Q48)-TODAY()&lt;=P_AlerteETD,$F48=""),"Gate-In à faire (ETD proche)",IF(AND($E48&lt;&gt;"",$H48=""),"Poids net à saisir",""))))</f>
        <v>Gate-In à faire (ETD proche)</v>
      </c>
      <c r="O48" s="13"/>
      <c r="P48" s="29">
        <f t="shared" ca="1" si="2"/>
        <v>1</v>
      </c>
      <c r="Q48" s="30">
        <f>IF($K48="","",IFERROR(IF(INDEX(Bookings!$G$3:$G$202,MATCH($K48,Bookings!$A$3:$A$202,0))="","",INDEX(Bookings!$G$3:$G$202,MATCH($K48,Bookings!$A$3:$A$202,0))),""))</f>
        <v>46309</v>
      </c>
    </row>
    <row r="49" spans="1:17" hidden="1" x14ac:dyDescent="0.35">
      <c r="A49" s="81" t="s">
        <v>294</v>
      </c>
      <c r="B49" s="81">
        <v>278981635</v>
      </c>
      <c r="C49" s="21" t="s">
        <v>300</v>
      </c>
      <c r="D49" s="56" t="s">
        <v>187</v>
      </c>
      <c r="E49" s="14"/>
      <c r="F49" s="14"/>
      <c r="G49" s="14"/>
      <c r="H49" s="83">
        <f t="shared" si="1"/>
        <v>22140</v>
      </c>
      <c r="I49" s="80">
        <v>15520</v>
      </c>
      <c r="J49" s="80">
        <v>37660</v>
      </c>
      <c r="K49" s="7">
        <f>IF($B49="","",IFERROR(INDEX(Connaissements!$B$3:$B$202,MATCH($B49,Connaissements!$A$3:$A$202,0)),""))</f>
        <v>278981635</v>
      </c>
      <c r="L49" s="7">
        <f>IF($B49="","",IFERROR(INDEX(Connaissements!$G$3:$G$202,MATCH($B49,Connaissements!$A$3:$A$202,0)),""))</f>
        <v>4600063618</v>
      </c>
      <c r="M49" s="7" t="str">
        <f t="shared" si="0"/>
        <v>À empoter</v>
      </c>
      <c r="N49" s="7" t="str">
        <f ca="1">IF(OR($A49="",$G49&lt;&gt;""),"",IF(AND($Q49&lt;&gt;"",N($Q49)&lt;TODAY()),"RETARD : ETD dépassé, pas embarqué",IF(AND($Q49&lt;&gt;"",N($Q49)-TODAY()&lt;=P_AlerteETD,$F49=""),"Gate-In à faire (ETD proche)",IF(AND($E49&lt;&gt;"",$H49=""),"Poids net à saisir",""))))</f>
        <v>Gate-In à faire (ETD proche)</v>
      </c>
      <c r="O49" s="13"/>
      <c r="P49" s="29">
        <f t="shared" ca="1" si="2"/>
        <v>1</v>
      </c>
      <c r="Q49" s="30">
        <f>IF($K49="","",IFERROR(IF(INDEX(Bookings!$G$3:$G$202,MATCH($K49,Bookings!$A$3:$A$202,0))="","",INDEX(Bookings!$G$3:$G$202,MATCH($K49,Bookings!$A$3:$A$202,0))),""))</f>
        <v>46309</v>
      </c>
    </row>
    <row r="50" spans="1:17" hidden="1" x14ac:dyDescent="0.35">
      <c r="A50" s="81" t="s">
        <v>295</v>
      </c>
      <c r="B50" s="81">
        <v>278981635</v>
      </c>
      <c r="C50" s="21" t="s">
        <v>301</v>
      </c>
      <c r="D50" s="56" t="s">
        <v>187</v>
      </c>
      <c r="E50" s="14"/>
      <c r="F50" s="14"/>
      <c r="G50" s="14"/>
      <c r="H50" s="83">
        <f t="shared" si="1"/>
        <v>21380</v>
      </c>
      <c r="I50" s="80">
        <v>15460</v>
      </c>
      <c r="J50" s="80">
        <v>36840</v>
      </c>
      <c r="K50" s="7">
        <f>IF($B50="","",IFERROR(INDEX(Connaissements!$B$3:$B$202,MATCH($B50,Connaissements!$A$3:$A$202,0)),""))</f>
        <v>278981635</v>
      </c>
      <c r="L50" s="7">
        <f>IF($B50="","",IFERROR(INDEX(Connaissements!$G$3:$G$202,MATCH($B50,Connaissements!$A$3:$A$202,0)),""))</f>
        <v>4600063618</v>
      </c>
      <c r="M50" s="7" t="str">
        <f t="shared" si="0"/>
        <v>À empoter</v>
      </c>
      <c r="N50" s="7" t="str">
        <f ca="1">IF(OR($A50="",$G50&lt;&gt;""),"",IF(AND($Q50&lt;&gt;"",N($Q50)&lt;TODAY()),"RETARD : ETD dépassé, pas embarqué",IF(AND($Q50&lt;&gt;"",N($Q50)-TODAY()&lt;=P_AlerteETD,$F50=""),"Gate-In à faire (ETD proche)",IF(AND($E50&lt;&gt;"",$H50=""),"Poids net à saisir",""))))</f>
        <v>Gate-In à faire (ETD proche)</v>
      </c>
      <c r="O50" s="13"/>
      <c r="P50" s="29">
        <f t="shared" ca="1" si="2"/>
        <v>1</v>
      </c>
      <c r="Q50" s="30">
        <f>IF($K50="","",IFERROR(IF(INDEX(Bookings!$G$3:$G$202,MATCH($K50,Bookings!$A$3:$A$202,0))="","",INDEX(Bookings!$G$3:$G$202,MATCH($K50,Bookings!$A$3:$A$202,0))),""))</f>
        <v>46309</v>
      </c>
    </row>
    <row r="51" spans="1:17" hidden="1" x14ac:dyDescent="0.35">
      <c r="A51" s="81" t="s">
        <v>296</v>
      </c>
      <c r="B51" s="81">
        <v>278981635</v>
      </c>
      <c r="C51" s="21" t="s">
        <v>302</v>
      </c>
      <c r="D51" s="56" t="s">
        <v>187</v>
      </c>
      <c r="E51" s="14"/>
      <c r="F51" s="14"/>
      <c r="G51" s="14"/>
      <c r="H51" s="83">
        <f t="shared" si="1"/>
        <v>20820</v>
      </c>
      <c r="I51" s="80">
        <v>15160</v>
      </c>
      <c r="J51" s="80">
        <v>35980</v>
      </c>
      <c r="K51" s="7">
        <f>IF($B51="","",IFERROR(INDEX(Connaissements!$B$3:$B$202,MATCH($B51,Connaissements!$A$3:$A$202,0)),""))</f>
        <v>278981635</v>
      </c>
      <c r="L51" s="7">
        <f>IF($B51="","",IFERROR(INDEX(Connaissements!$G$3:$G$202,MATCH($B51,Connaissements!$A$3:$A$202,0)),""))</f>
        <v>4600063618</v>
      </c>
      <c r="M51" s="7" t="str">
        <f t="shared" si="0"/>
        <v>À empoter</v>
      </c>
      <c r="N51" s="7" t="str">
        <f ca="1">IF(OR($A51="",$G51&lt;&gt;""),"",IF(AND($Q51&lt;&gt;"",N($Q51)&lt;TODAY()),"RETARD : ETD dépassé, pas embarqué",IF(AND($Q51&lt;&gt;"",N($Q51)-TODAY()&lt;=P_AlerteETD,$F51=""),"Gate-In à faire (ETD proche)",IF(AND($E51&lt;&gt;"",$H51=""),"Poids net à saisir",""))))</f>
        <v>Gate-In à faire (ETD proche)</v>
      </c>
      <c r="O51" s="13"/>
      <c r="P51" s="29">
        <f t="shared" ca="1" si="2"/>
        <v>1</v>
      </c>
      <c r="Q51" s="30">
        <f>IF($K51="","",IFERROR(IF(INDEX(Bookings!$G$3:$G$202,MATCH($K51,Bookings!$A$3:$A$202,0))="","",INDEX(Bookings!$G$3:$G$202,MATCH($K51,Bookings!$A$3:$A$202,0))),""))</f>
        <v>46309</v>
      </c>
    </row>
    <row r="52" spans="1:17" hidden="1" x14ac:dyDescent="0.35">
      <c r="A52" s="81"/>
      <c r="B52" s="81"/>
      <c r="C52" s="21"/>
      <c r="D52" s="56"/>
      <c r="E52" s="14"/>
      <c r="F52" s="14"/>
      <c r="G52" s="14"/>
      <c r="H52" s="83">
        <f t="shared" si="1"/>
        <v>0</v>
      </c>
      <c r="I52" s="80"/>
      <c r="J52" s="80"/>
      <c r="K52" s="7" t="str">
        <f>IF($B52="","",IFERROR(INDEX(Connaissements!$B$3:$B$202,MATCH($B52,Connaissements!$A$3:$A$202,0)),""))</f>
        <v/>
      </c>
      <c r="L52" s="7" t="str">
        <f>IF($B52="","",IFERROR(INDEX(Connaissements!$G$3:$G$202,MATCH($B52,Connaissements!$A$3:$A$202,0)),""))</f>
        <v/>
      </c>
      <c r="M52" s="7" t="str">
        <f t="shared" si="0"/>
        <v/>
      </c>
      <c r="N52" s="7" t="str">
        <f ca="1">IF(OR($A52="",$G52&lt;&gt;""),"",IF(AND($Q52&lt;&gt;"",N($Q52)&lt;TODAY()),"RETARD : ETD dépassé, pas embarqué",IF(AND($Q52&lt;&gt;"",N($Q52)-TODAY()&lt;=P_AlerteETD,$F52=""),"Gate-In à faire (ETD proche)",IF(AND($E52&lt;&gt;"",$H52=""),"Poids net à saisir",""))))</f>
        <v/>
      </c>
      <c r="O52" s="13"/>
      <c r="P52" s="29" t="str">
        <f t="shared" ca="1" si="2"/>
        <v/>
      </c>
      <c r="Q52" s="30" t="str">
        <f>IF($K52="","",IFERROR(IF(INDEX(Bookings!$G$3:$G$202,MATCH($K52,Bookings!$A$3:$A$202,0))="","",INDEX(Bookings!$G$3:$G$202,MATCH($K52,Bookings!$A$3:$A$202,0))),""))</f>
        <v/>
      </c>
    </row>
    <row r="53" spans="1:17" hidden="1" x14ac:dyDescent="0.35">
      <c r="A53" s="81"/>
      <c r="B53" s="81"/>
      <c r="C53" s="21"/>
      <c r="D53" s="56"/>
      <c r="E53" s="14"/>
      <c r="F53" s="14"/>
      <c r="G53" s="14"/>
      <c r="H53" s="83">
        <f t="shared" si="1"/>
        <v>0</v>
      </c>
      <c r="I53" s="80"/>
      <c r="J53" s="80"/>
      <c r="K53" s="7" t="str">
        <f>IF($B53="","",IFERROR(INDEX(Connaissements!$B$3:$B$202,MATCH($B53,Connaissements!$A$3:$A$202,0)),""))</f>
        <v/>
      </c>
      <c r="L53" s="7" t="str">
        <f>IF($B53="","",IFERROR(INDEX(Connaissements!$G$3:$G$202,MATCH($B53,Connaissements!$A$3:$A$202,0)),""))</f>
        <v/>
      </c>
      <c r="M53" s="7" t="str">
        <f t="shared" si="0"/>
        <v/>
      </c>
      <c r="N53" s="7" t="str">
        <f ca="1">IF(OR($A53="",$G53&lt;&gt;""),"",IF(AND($Q53&lt;&gt;"",N($Q53)&lt;TODAY()),"RETARD : ETD dépassé, pas embarqué",IF(AND($Q53&lt;&gt;"",N($Q53)-TODAY()&lt;=P_AlerteETD,$F53=""),"Gate-In à faire (ETD proche)",IF(AND($E53&lt;&gt;"",$H53=""),"Poids net à saisir",""))))</f>
        <v/>
      </c>
      <c r="O53" s="13"/>
      <c r="P53" s="29" t="str">
        <f t="shared" ca="1" si="2"/>
        <v/>
      </c>
      <c r="Q53" s="30" t="str">
        <f>IF($K53="","",IFERROR(IF(INDEX(Bookings!$G$3:$G$202,MATCH($K53,Bookings!$A$3:$A$202,0))="","",INDEX(Bookings!$G$3:$G$202,MATCH($K53,Bookings!$A$3:$A$202,0))),""))</f>
        <v/>
      </c>
    </row>
    <row r="54" spans="1:17" hidden="1" x14ac:dyDescent="0.35">
      <c r="A54" s="81"/>
      <c r="B54" s="81"/>
      <c r="C54" s="21"/>
      <c r="D54" s="56"/>
      <c r="E54" s="14"/>
      <c r="F54" s="14"/>
      <c r="G54" s="14"/>
      <c r="H54" s="83">
        <f t="shared" si="1"/>
        <v>0</v>
      </c>
      <c r="I54" s="80"/>
      <c r="J54" s="80"/>
      <c r="K54" s="7" t="str">
        <f>IF($B54="","",IFERROR(INDEX(Connaissements!$B$3:$B$202,MATCH($B54,Connaissements!$A$3:$A$202,0)),""))</f>
        <v/>
      </c>
      <c r="L54" s="7" t="str">
        <f>IF($B54="","",IFERROR(INDEX(Connaissements!$G$3:$G$202,MATCH($B54,Connaissements!$A$3:$A$202,0)),""))</f>
        <v/>
      </c>
      <c r="M54" s="7" t="str">
        <f t="shared" si="0"/>
        <v/>
      </c>
      <c r="N54" s="7" t="str">
        <f ca="1">IF(OR($A54="",$G54&lt;&gt;""),"",IF(AND($Q54&lt;&gt;"",N($Q54)&lt;TODAY()),"RETARD : ETD dépassé, pas embarqué",IF(AND($Q54&lt;&gt;"",N($Q54)-TODAY()&lt;=P_AlerteETD,$F54=""),"Gate-In à faire (ETD proche)",IF(AND($E54&lt;&gt;"",$H54=""),"Poids net à saisir",""))))</f>
        <v/>
      </c>
      <c r="O54" s="13"/>
      <c r="P54" s="29" t="str">
        <f t="shared" ca="1" si="2"/>
        <v/>
      </c>
      <c r="Q54" s="30" t="str">
        <f>IF($K54="","",IFERROR(IF(INDEX(Bookings!$G$3:$G$202,MATCH($K54,Bookings!$A$3:$A$202,0))="","",INDEX(Bookings!$G$3:$G$202,MATCH($K54,Bookings!$A$3:$A$202,0))),""))</f>
        <v/>
      </c>
    </row>
    <row r="55" spans="1:17" hidden="1" x14ac:dyDescent="0.35">
      <c r="A55" s="81"/>
      <c r="B55" s="81"/>
      <c r="C55" s="21"/>
      <c r="D55" s="56"/>
      <c r="E55" s="14"/>
      <c r="F55" s="14"/>
      <c r="G55" s="14"/>
      <c r="H55" s="83">
        <f t="shared" si="1"/>
        <v>0</v>
      </c>
      <c r="I55" s="80"/>
      <c r="J55" s="80"/>
      <c r="K55" s="7" t="str">
        <f>IF($B55="","",IFERROR(INDEX(Connaissements!$B$3:$B$202,MATCH($B55,Connaissements!$A$3:$A$202,0)),""))</f>
        <v/>
      </c>
      <c r="L55" s="7" t="str">
        <f>IF($B55="","",IFERROR(INDEX(Connaissements!$G$3:$G$202,MATCH($B55,Connaissements!$A$3:$A$202,0)),""))</f>
        <v/>
      </c>
      <c r="M55" s="7" t="str">
        <f t="shared" si="0"/>
        <v/>
      </c>
      <c r="N55" s="7" t="str">
        <f ca="1">IF(OR($A55="",$G55&lt;&gt;""),"",IF(AND($Q55&lt;&gt;"",N($Q55)&lt;TODAY()),"RETARD : ETD dépassé, pas embarqué",IF(AND($Q55&lt;&gt;"",N($Q55)-TODAY()&lt;=P_AlerteETD,$F55=""),"Gate-In à faire (ETD proche)",IF(AND($E55&lt;&gt;"",$H55=""),"Poids net à saisir",""))))</f>
        <v/>
      </c>
      <c r="O55" s="13"/>
      <c r="P55" s="29" t="str">
        <f t="shared" ca="1" si="2"/>
        <v/>
      </c>
      <c r="Q55" s="30" t="str">
        <f>IF($K55="","",IFERROR(IF(INDEX(Bookings!$G$3:$G$202,MATCH($K55,Bookings!$A$3:$A$202,0))="","",INDEX(Bookings!$G$3:$G$202,MATCH($K55,Bookings!$A$3:$A$202,0))),""))</f>
        <v/>
      </c>
    </row>
    <row r="56" spans="1:17" hidden="1" x14ac:dyDescent="0.35">
      <c r="A56" s="81"/>
      <c r="B56" s="81"/>
      <c r="C56" s="21"/>
      <c r="D56" s="56"/>
      <c r="E56" s="14"/>
      <c r="F56" s="14"/>
      <c r="G56" s="14"/>
      <c r="H56" s="83">
        <f t="shared" si="1"/>
        <v>0</v>
      </c>
      <c r="I56" s="80"/>
      <c r="J56" s="80"/>
      <c r="K56" s="7" t="str">
        <f>IF($B56="","",IFERROR(INDEX(Connaissements!$B$3:$B$202,MATCH($B56,Connaissements!$A$3:$A$202,0)),""))</f>
        <v/>
      </c>
      <c r="L56" s="7" t="str">
        <f>IF($B56="","",IFERROR(INDEX(Connaissements!$G$3:$G$202,MATCH($B56,Connaissements!$A$3:$A$202,0)),""))</f>
        <v/>
      </c>
      <c r="M56" s="7" t="str">
        <f t="shared" si="0"/>
        <v/>
      </c>
      <c r="N56" s="7" t="str">
        <f ca="1">IF(OR($A56="",$G56&lt;&gt;""),"",IF(AND($Q56&lt;&gt;"",N($Q56)&lt;TODAY()),"RETARD : ETD dépassé, pas embarqué",IF(AND($Q56&lt;&gt;"",N($Q56)-TODAY()&lt;=P_AlerteETD,$F56=""),"Gate-In à faire (ETD proche)",IF(AND($E56&lt;&gt;"",$H56=""),"Poids net à saisir",""))))</f>
        <v/>
      </c>
      <c r="O56" s="13"/>
      <c r="P56" s="29" t="str">
        <f t="shared" ca="1" si="2"/>
        <v/>
      </c>
      <c r="Q56" s="30" t="str">
        <f>IF($K56="","",IFERROR(IF(INDEX(Bookings!$G$3:$G$202,MATCH($K56,Bookings!$A$3:$A$202,0))="","",INDEX(Bookings!$G$3:$G$202,MATCH($K56,Bookings!$A$3:$A$202,0))),""))</f>
        <v/>
      </c>
    </row>
    <row r="57" spans="1:17" hidden="1" x14ac:dyDescent="0.35">
      <c r="A57" s="81"/>
      <c r="B57" s="81"/>
      <c r="C57" s="21"/>
      <c r="D57" s="56"/>
      <c r="E57" s="14"/>
      <c r="F57" s="14"/>
      <c r="G57" s="14"/>
      <c r="H57" s="83">
        <f t="shared" si="1"/>
        <v>0</v>
      </c>
      <c r="I57" s="80"/>
      <c r="J57" s="80"/>
      <c r="K57" s="7" t="str">
        <f>IF($B57="","",IFERROR(INDEX(Connaissements!$B$3:$B$202,MATCH($B57,Connaissements!$A$3:$A$202,0)),""))</f>
        <v/>
      </c>
      <c r="L57" s="7" t="str">
        <f>IF($B57="","",IFERROR(INDEX(Connaissements!$G$3:$G$202,MATCH($B57,Connaissements!$A$3:$A$202,0)),""))</f>
        <v/>
      </c>
      <c r="M57" s="7" t="str">
        <f t="shared" si="0"/>
        <v/>
      </c>
      <c r="N57" s="7" t="str">
        <f ca="1">IF(OR($A57="",$G57&lt;&gt;""),"",IF(AND($Q57&lt;&gt;"",N($Q57)&lt;TODAY()),"RETARD : ETD dépassé, pas embarqué",IF(AND($Q57&lt;&gt;"",N($Q57)-TODAY()&lt;=P_AlerteETD,$F57=""),"Gate-In à faire (ETD proche)",IF(AND($E57&lt;&gt;"",$H57=""),"Poids net à saisir",""))))</f>
        <v/>
      </c>
      <c r="O57" s="13"/>
      <c r="P57" s="29" t="str">
        <f t="shared" ca="1" si="2"/>
        <v/>
      </c>
      <c r="Q57" s="30" t="str">
        <f>IF($K57="","",IFERROR(IF(INDEX(Bookings!$G$3:$G$202,MATCH($K57,Bookings!$A$3:$A$202,0))="","",INDEX(Bookings!$G$3:$G$202,MATCH($K57,Bookings!$A$3:$A$202,0))),""))</f>
        <v/>
      </c>
    </row>
    <row r="58" spans="1:17" hidden="1" x14ac:dyDescent="0.35">
      <c r="A58" s="81"/>
      <c r="B58" s="81"/>
      <c r="C58" s="21"/>
      <c r="D58" s="56"/>
      <c r="E58" s="14"/>
      <c r="F58" s="14"/>
      <c r="G58" s="14"/>
      <c r="H58" s="83">
        <f t="shared" si="1"/>
        <v>0</v>
      </c>
      <c r="I58" s="80"/>
      <c r="J58" s="80"/>
      <c r="K58" s="7" t="str">
        <f>IF($B58="","",IFERROR(INDEX(Connaissements!$B$3:$B$202,MATCH($B58,Connaissements!$A$3:$A$202,0)),""))</f>
        <v/>
      </c>
      <c r="L58" s="7" t="str">
        <f>IF($B58="","",IFERROR(INDEX(Connaissements!$G$3:$G$202,MATCH($B58,Connaissements!$A$3:$A$202,0)),""))</f>
        <v/>
      </c>
      <c r="M58" s="7" t="str">
        <f t="shared" si="0"/>
        <v/>
      </c>
      <c r="N58" s="7" t="str">
        <f ca="1">IF(OR($A58="",$G58&lt;&gt;""),"",IF(AND($Q58&lt;&gt;"",N($Q58)&lt;TODAY()),"RETARD : ETD dépassé, pas embarqué",IF(AND($Q58&lt;&gt;"",N($Q58)-TODAY()&lt;=P_AlerteETD,$F58=""),"Gate-In à faire (ETD proche)",IF(AND($E58&lt;&gt;"",$H58=""),"Poids net à saisir",""))))</f>
        <v/>
      </c>
      <c r="O58" s="13"/>
      <c r="P58" s="29" t="str">
        <f t="shared" ca="1" si="2"/>
        <v/>
      </c>
      <c r="Q58" s="30" t="str">
        <f>IF($K58="","",IFERROR(IF(INDEX(Bookings!$G$3:$G$202,MATCH($K58,Bookings!$A$3:$A$202,0))="","",INDEX(Bookings!$G$3:$G$202,MATCH($K58,Bookings!$A$3:$A$202,0))),""))</f>
        <v/>
      </c>
    </row>
    <row r="59" spans="1:17" hidden="1" x14ac:dyDescent="0.35">
      <c r="A59" s="81"/>
      <c r="B59" s="81"/>
      <c r="C59" s="21"/>
      <c r="D59" s="56"/>
      <c r="E59" s="14"/>
      <c r="F59" s="14"/>
      <c r="G59" s="14"/>
      <c r="H59" s="83">
        <f t="shared" si="1"/>
        <v>0</v>
      </c>
      <c r="I59" s="80"/>
      <c r="J59" s="80"/>
      <c r="K59" s="7" t="str">
        <f>IF($B59="","",IFERROR(INDEX(Connaissements!$B$3:$B$202,MATCH($B59,Connaissements!$A$3:$A$202,0)),""))</f>
        <v/>
      </c>
      <c r="L59" s="7" t="str">
        <f>IF($B59="","",IFERROR(INDEX(Connaissements!$G$3:$G$202,MATCH($B59,Connaissements!$A$3:$A$202,0)),""))</f>
        <v/>
      </c>
      <c r="M59" s="7" t="str">
        <f t="shared" si="0"/>
        <v/>
      </c>
      <c r="N59" s="7" t="str">
        <f ca="1">IF(OR($A59="",$G59&lt;&gt;""),"",IF(AND($Q59&lt;&gt;"",N($Q59)&lt;TODAY()),"RETARD : ETD dépassé, pas embarqué",IF(AND($Q59&lt;&gt;"",N($Q59)-TODAY()&lt;=P_AlerteETD,$F59=""),"Gate-In à faire (ETD proche)",IF(AND($E59&lt;&gt;"",$H59=""),"Poids net à saisir",""))))</f>
        <v/>
      </c>
      <c r="O59" s="13"/>
      <c r="P59" s="29" t="str">
        <f t="shared" ca="1" si="2"/>
        <v/>
      </c>
      <c r="Q59" s="30" t="str">
        <f>IF($K59="","",IFERROR(IF(INDEX(Bookings!$G$3:$G$202,MATCH($K59,Bookings!$A$3:$A$202,0))="","",INDEX(Bookings!$G$3:$G$202,MATCH($K59,Bookings!$A$3:$A$202,0))),""))</f>
        <v/>
      </c>
    </row>
    <row r="60" spans="1:17" hidden="1" x14ac:dyDescent="0.35">
      <c r="A60" s="81"/>
      <c r="B60" s="81"/>
      <c r="C60" s="21"/>
      <c r="D60" s="56"/>
      <c r="E60" s="14"/>
      <c r="F60" s="14"/>
      <c r="G60" s="14"/>
      <c r="H60" s="83">
        <f t="shared" si="1"/>
        <v>0</v>
      </c>
      <c r="I60" s="80"/>
      <c r="J60" s="80"/>
      <c r="K60" s="7" t="str">
        <f>IF($B60="","",IFERROR(INDEX(Connaissements!$B$3:$B$202,MATCH($B60,Connaissements!$A$3:$A$202,0)),""))</f>
        <v/>
      </c>
      <c r="L60" s="7" t="str">
        <f>IF($B60="","",IFERROR(INDEX(Connaissements!$G$3:$G$202,MATCH($B60,Connaissements!$A$3:$A$202,0)),""))</f>
        <v/>
      </c>
      <c r="M60" s="7" t="str">
        <f t="shared" si="0"/>
        <v/>
      </c>
      <c r="N60" s="7" t="str">
        <f ca="1">IF(OR($A60="",$G60&lt;&gt;""),"",IF(AND($Q60&lt;&gt;"",N($Q60)&lt;TODAY()),"RETARD : ETD dépassé, pas embarqué",IF(AND($Q60&lt;&gt;"",N($Q60)-TODAY()&lt;=P_AlerteETD,$F60=""),"Gate-In à faire (ETD proche)",IF(AND($E60&lt;&gt;"",$H60=""),"Poids net à saisir",""))))</f>
        <v/>
      </c>
      <c r="O60" s="13"/>
      <c r="P60" s="29" t="str">
        <f t="shared" ca="1" si="2"/>
        <v/>
      </c>
      <c r="Q60" s="30" t="str">
        <f>IF($K60="","",IFERROR(IF(INDEX(Bookings!$G$3:$G$202,MATCH($K60,Bookings!$A$3:$A$202,0))="","",INDEX(Bookings!$G$3:$G$202,MATCH($K60,Bookings!$A$3:$A$202,0))),""))</f>
        <v/>
      </c>
    </row>
    <row r="61" spans="1:17" hidden="1" x14ac:dyDescent="0.35">
      <c r="A61" s="81"/>
      <c r="B61" s="81"/>
      <c r="C61" s="21"/>
      <c r="D61" s="56"/>
      <c r="E61" s="14"/>
      <c r="F61" s="14"/>
      <c r="G61" s="14"/>
      <c r="H61" s="83">
        <f t="shared" si="1"/>
        <v>0</v>
      </c>
      <c r="I61" s="80"/>
      <c r="J61" s="80"/>
      <c r="K61" s="7" t="str">
        <f>IF($B61="","",IFERROR(INDEX(Connaissements!$B$3:$B$202,MATCH($B61,Connaissements!$A$3:$A$202,0)),""))</f>
        <v/>
      </c>
      <c r="L61" s="7" t="str">
        <f>IF($B61="","",IFERROR(INDEX(Connaissements!$G$3:$G$202,MATCH($B61,Connaissements!$A$3:$A$202,0)),""))</f>
        <v/>
      </c>
      <c r="M61" s="7" t="str">
        <f t="shared" si="0"/>
        <v/>
      </c>
      <c r="N61" s="7" t="str">
        <f ca="1">IF(OR($A61="",$G61&lt;&gt;""),"",IF(AND($Q61&lt;&gt;"",N($Q61)&lt;TODAY()),"RETARD : ETD dépassé, pas embarqué",IF(AND($Q61&lt;&gt;"",N($Q61)-TODAY()&lt;=P_AlerteETD,$F61=""),"Gate-In à faire (ETD proche)",IF(AND($E61&lt;&gt;"",$H61=""),"Poids net à saisir",""))))</f>
        <v/>
      </c>
      <c r="O61" s="13"/>
      <c r="P61" s="29" t="str">
        <f t="shared" ca="1" si="2"/>
        <v/>
      </c>
      <c r="Q61" s="30" t="str">
        <f>IF($K61="","",IFERROR(IF(INDEX(Bookings!$G$3:$G$202,MATCH($K61,Bookings!$A$3:$A$202,0))="","",INDEX(Bookings!$G$3:$G$202,MATCH($K61,Bookings!$A$3:$A$202,0))),""))</f>
        <v/>
      </c>
    </row>
    <row r="62" spans="1:17" hidden="1" x14ac:dyDescent="0.35">
      <c r="A62" s="81"/>
      <c r="B62" s="81"/>
      <c r="C62" s="21"/>
      <c r="D62" s="56"/>
      <c r="E62" s="14"/>
      <c r="F62" s="14"/>
      <c r="G62" s="14"/>
      <c r="H62" s="83">
        <f t="shared" si="1"/>
        <v>0</v>
      </c>
      <c r="I62" s="80"/>
      <c r="J62" s="80"/>
      <c r="K62" s="7" t="str">
        <f>IF($B62="","",IFERROR(INDEX(Connaissements!$B$3:$B$202,MATCH($B62,Connaissements!$A$3:$A$202,0)),""))</f>
        <v/>
      </c>
      <c r="L62" s="7" t="str">
        <f>IF($B62="","",IFERROR(INDEX(Connaissements!$G$3:$G$202,MATCH($B62,Connaissements!$A$3:$A$202,0)),""))</f>
        <v/>
      </c>
      <c r="M62" s="7" t="str">
        <f t="shared" si="0"/>
        <v/>
      </c>
      <c r="N62" s="7" t="str">
        <f ca="1">IF(OR($A62="",$G62&lt;&gt;""),"",IF(AND($Q62&lt;&gt;"",N($Q62)&lt;TODAY()),"RETARD : ETD dépassé, pas embarqué",IF(AND($Q62&lt;&gt;"",N($Q62)-TODAY()&lt;=P_AlerteETD,$F62=""),"Gate-In à faire (ETD proche)",IF(AND($E62&lt;&gt;"",$H62=""),"Poids net à saisir",""))))</f>
        <v/>
      </c>
      <c r="O62" s="13"/>
      <c r="P62" s="29" t="str">
        <f t="shared" ca="1" si="2"/>
        <v/>
      </c>
      <c r="Q62" s="30" t="str">
        <f>IF($K62="","",IFERROR(IF(INDEX(Bookings!$G$3:$G$202,MATCH($K62,Bookings!$A$3:$A$202,0))="","",INDEX(Bookings!$G$3:$G$202,MATCH($K62,Bookings!$A$3:$A$202,0))),""))</f>
        <v/>
      </c>
    </row>
    <row r="63" spans="1:17" hidden="1" x14ac:dyDescent="0.35">
      <c r="A63" s="81"/>
      <c r="B63" s="81"/>
      <c r="C63" s="21"/>
      <c r="D63" s="56"/>
      <c r="E63" s="14"/>
      <c r="F63" s="14"/>
      <c r="G63" s="14"/>
      <c r="H63" s="83">
        <f t="shared" si="1"/>
        <v>0</v>
      </c>
      <c r="I63" s="80"/>
      <c r="J63" s="80"/>
      <c r="K63" s="7" t="str">
        <f>IF($B63="","",IFERROR(INDEX(Connaissements!$B$3:$B$202,MATCH($B63,Connaissements!$A$3:$A$202,0)),""))</f>
        <v/>
      </c>
      <c r="L63" s="7" t="str">
        <f>IF($B63="","",IFERROR(INDEX(Connaissements!$G$3:$G$202,MATCH($B63,Connaissements!$A$3:$A$202,0)),""))</f>
        <v/>
      </c>
      <c r="M63" s="7" t="str">
        <f t="shared" si="0"/>
        <v/>
      </c>
      <c r="N63" s="7" t="str">
        <f ca="1">IF(OR($A63="",$G63&lt;&gt;""),"",IF(AND($Q63&lt;&gt;"",N($Q63)&lt;TODAY()),"RETARD : ETD dépassé, pas embarqué",IF(AND($Q63&lt;&gt;"",N($Q63)-TODAY()&lt;=P_AlerteETD,$F63=""),"Gate-In à faire (ETD proche)",IF(AND($E63&lt;&gt;"",$H63=""),"Poids net à saisir",""))))</f>
        <v/>
      </c>
      <c r="O63" s="13"/>
      <c r="P63" s="29" t="str">
        <f t="shared" ca="1" si="2"/>
        <v/>
      </c>
      <c r="Q63" s="30" t="str">
        <f>IF($K63="","",IFERROR(IF(INDEX(Bookings!$G$3:$G$202,MATCH($K63,Bookings!$A$3:$A$202,0))="","",INDEX(Bookings!$G$3:$G$202,MATCH($K63,Bookings!$A$3:$A$202,0))),""))</f>
        <v/>
      </c>
    </row>
    <row r="64" spans="1:17" hidden="1" x14ac:dyDescent="0.35">
      <c r="A64" s="81"/>
      <c r="B64" s="81"/>
      <c r="C64" s="21"/>
      <c r="D64" s="56"/>
      <c r="E64" s="14"/>
      <c r="F64" s="14"/>
      <c r="G64" s="14"/>
      <c r="H64" s="83">
        <f t="shared" si="1"/>
        <v>0</v>
      </c>
      <c r="I64" s="80"/>
      <c r="J64" s="80"/>
      <c r="K64" s="7" t="str">
        <f>IF($B64="","",IFERROR(INDEX(Connaissements!$B$3:$B$202,MATCH($B64,Connaissements!$A$3:$A$202,0)),""))</f>
        <v/>
      </c>
      <c r="L64" s="7" t="str">
        <f>IF($B64="","",IFERROR(INDEX(Connaissements!$G$3:$G$202,MATCH($B64,Connaissements!$A$3:$A$202,0)),""))</f>
        <v/>
      </c>
      <c r="M64" s="7" t="str">
        <f t="shared" si="0"/>
        <v/>
      </c>
      <c r="N64" s="7" t="str">
        <f ca="1">IF(OR($A64="",$G64&lt;&gt;""),"",IF(AND($Q64&lt;&gt;"",N($Q64)&lt;TODAY()),"RETARD : ETD dépassé, pas embarqué",IF(AND($Q64&lt;&gt;"",N($Q64)-TODAY()&lt;=P_AlerteETD,$F64=""),"Gate-In à faire (ETD proche)",IF(AND($E64&lt;&gt;"",$H64=""),"Poids net à saisir",""))))</f>
        <v/>
      </c>
      <c r="O64" s="13"/>
      <c r="P64" s="29" t="str">
        <f t="shared" ca="1" si="2"/>
        <v/>
      </c>
      <c r="Q64" s="30" t="str">
        <f>IF($K64="","",IFERROR(IF(INDEX(Bookings!$G$3:$G$202,MATCH($K64,Bookings!$A$3:$A$202,0))="","",INDEX(Bookings!$G$3:$G$202,MATCH($K64,Bookings!$A$3:$A$202,0))),""))</f>
        <v/>
      </c>
    </row>
    <row r="65" spans="1:17" hidden="1" x14ac:dyDescent="0.35">
      <c r="A65" s="81"/>
      <c r="B65" s="81"/>
      <c r="C65" s="21"/>
      <c r="D65" s="56"/>
      <c r="E65" s="14"/>
      <c r="F65" s="14"/>
      <c r="G65" s="14"/>
      <c r="H65" s="83">
        <f t="shared" si="1"/>
        <v>0</v>
      </c>
      <c r="I65" s="80"/>
      <c r="J65" s="80"/>
      <c r="K65" s="7" t="str">
        <f>IF($B65="","",IFERROR(INDEX(Connaissements!$B$3:$B$202,MATCH($B65,Connaissements!$A$3:$A$202,0)),""))</f>
        <v/>
      </c>
      <c r="L65" s="7" t="str">
        <f>IF($B65="","",IFERROR(INDEX(Connaissements!$G$3:$G$202,MATCH($B65,Connaissements!$A$3:$A$202,0)),""))</f>
        <v/>
      </c>
      <c r="M65" s="7" t="str">
        <f t="shared" si="0"/>
        <v/>
      </c>
      <c r="N65" s="7" t="str">
        <f ca="1">IF(OR($A65="",$G65&lt;&gt;""),"",IF(AND($Q65&lt;&gt;"",N($Q65)&lt;TODAY()),"RETARD : ETD dépassé, pas embarqué",IF(AND($Q65&lt;&gt;"",N($Q65)-TODAY()&lt;=P_AlerteETD,$F65=""),"Gate-In à faire (ETD proche)",IF(AND($E65&lt;&gt;"",$H65=""),"Poids net à saisir",""))))</f>
        <v/>
      </c>
      <c r="O65" s="13"/>
      <c r="P65" s="29" t="str">
        <f t="shared" ca="1" si="2"/>
        <v/>
      </c>
      <c r="Q65" s="30" t="str">
        <f>IF($K65="","",IFERROR(IF(INDEX(Bookings!$G$3:$G$202,MATCH($K65,Bookings!$A$3:$A$202,0))="","",INDEX(Bookings!$G$3:$G$202,MATCH($K65,Bookings!$A$3:$A$202,0))),""))</f>
        <v/>
      </c>
    </row>
    <row r="66" spans="1:17" hidden="1" x14ac:dyDescent="0.35">
      <c r="A66" s="81"/>
      <c r="B66" s="81"/>
      <c r="C66" s="21"/>
      <c r="D66" s="56"/>
      <c r="E66" s="14"/>
      <c r="F66" s="14"/>
      <c r="G66" s="14"/>
      <c r="H66" s="83">
        <f t="shared" si="1"/>
        <v>0</v>
      </c>
      <c r="I66" s="80"/>
      <c r="J66" s="80"/>
      <c r="K66" s="7" t="str">
        <f>IF($B66="","",IFERROR(INDEX(Connaissements!$B$3:$B$202,MATCH($B66,Connaissements!$A$3:$A$202,0)),""))</f>
        <v/>
      </c>
      <c r="L66" s="7" t="str">
        <f>IF($B66="","",IFERROR(INDEX(Connaissements!$G$3:$G$202,MATCH($B66,Connaissements!$A$3:$A$202,0)),""))</f>
        <v/>
      </c>
      <c r="M66" s="7" t="str">
        <f t="shared" si="0"/>
        <v/>
      </c>
      <c r="N66" s="7" t="str">
        <f ca="1">IF(OR($A66="",$G66&lt;&gt;""),"",IF(AND($Q66&lt;&gt;"",N($Q66)&lt;TODAY()),"RETARD : ETD dépassé, pas embarqué",IF(AND($Q66&lt;&gt;"",N($Q66)-TODAY()&lt;=P_AlerteETD,$F66=""),"Gate-In à faire (ETD proche)",IF(AND($E66&lt;&gt;"",$H66=""),"Poids net à saisir",""))))</f>
        <v/>
      </c>
      <c r="O66" s="13"/>
      <c r="P66" s="29" t="str">
        <f t="shared" ca="1" si="2"/>
        <v/>
      </c>
      <c r="Q66" s="30" t="str">
        <f>IF($K66="","",IFERROR(IF(INDEX(Bookings!$G$3:$G$202,MATCH($K66,Bookings!$A$3:$A$202,0))="","",INDEX(Bookings!$G$3:$G$202,MATCH($K66,Bookings!$A$3:$A$202,0))),""))</f>
        <v/>
      </c>
    </row>
    <row r="67" spans="1:17" hidden="1" x14ac:dyDescent="0.35">
      <c r="A67" s="81"/>
      <c r="B67" s="81"/>
      <c r="C67" s="21"/>
      <c r="D67" s="56"/>
      <c r="E67" s="14"/>
      <c r="F67" s="14"/>
      <c r="G67" s="14"/>
      <c r="H67" s="83">
        <f t="shared" si="1"/>
        <v>0</v>
      </c>
      <c r="I67" s="80"/>
      <c r="J67" s="80"/>
      <c r="K67" s="7" t="str">
        <f>IF($B67="","",IFERROR(INDEX(Connaissements!$B$3:$B$202,MATCH($B67,Connaissements!$A$3:$A$202,0)),""))</f>
        <v/>
      </c>
      <c r="L67" s="7" t="str">
        <f>IF($B67="","",IFERROR(INDEX(Connaissements!$G$3:$G$202,MATCH($B67,Connaissements!$A$3:$A$202,0)),""))</f>
        <v/>
      </c>
      <c r="M67" s="7" t="str">
        <f t="shared" ref="M67:M130" si="3">IF($A67="","",IF($G67&lt;&gt;"","Embarqué",IF($F67&lt;&gt;"","Gate-In fait",IF($E67&lt;&gt;"","Empoté","À empoter"))))</f>
        <v/>
      </c>
      <c r="N67" s="7" t="str">
        <f t="shared" ref="N67:N130" ca="1" si="4">IF(OR($A67="",$G67&lt;&gt;""),"",IF(AND($Q67&lt;&gt;"",N($Q67)&lt;TODAY()),"RETARD : ETD dépassé, pas embarqué",IF(AND($Q67&lt;&gt;"",N($Q67)-TODAY()&lt;=P_AlerteETD,$F67=""),"Gate-In à faire (ETD proche)",IF(AND($E67&lt;&gt;"",$H67=""),"Poids net à saisir",""))))</f>
        <v/>
      </c>
      <c r="O67" s="13"/>
      <c r="P67" s="29" t="str">
        <f t="shared" ref="P67:P130" ca="1" si="5">IF($N67&lt;&gt;"",1,"")</f>
        <v/>
      </c>
      <c r="Q67" s="30" t="str">
        <f>IF($K67="","",IFERROR(IF(INDEX(Bookings!$G$3:$G$202,MATCH($K67,Bookings!$A$3:$A$202,0))="","",INDEX(Bookings!$G$3:$G$202,MATCH($K67,Bookings!$A$3:$A$202,0))),""))</f>
        <v/>
      </c>
    </row>
    <row r="68" spans="1:17" hidden="1" x14ac:dyDescent="0.35">
      <c r="A68" s="81"/>
      <c r="B68" s="81"/>
      <c r="C68" s="21"/>
      <c r="D68" s="56"/>
      <c r="E68" s="14"/>
      <c r="F68" s="14"/>
      <c r="G68" s="14"/>
      <c r="H68" s="83">
        <f t="shared" ref="H68:H131" si="6">J68-I68</f>
        <v>0</v>
      </c>
      <c r="I68" s="80"/>
      <c r="J68" s="80"/>
      <c r="K68" s="7" t="str">
        <f>IF($B68="","",IFERROR(INDEX(Connaissements!$B$3:$B$202,MATCH($B68,Connaissements!$A$3:$A$202,0)),""))</f>
        <v/>
      </c>
      <c r="L68" s="7" t="str">
        <f>IF($B68="","",IFERROR(INDEX(Connaissements!$G$3:$G$202,MATCH($B68,Connaissements!$A$3:$A$202,0)),""))</f>
        <v/>
      </c>
      <c r="M68" s="7" t="str">
        <f t="shared" si="3"/>
        <v/>
      </c>
      <c r="N68" s="7" t="str">
        <f t="shared" ca="1" si="4"/>
        <v/>
      </c>
      <c r="O68" s="13"/>
      <c r="P68" s="29" t="str">
        <f t="shared" ca="1" si="5"/>
        <v/>
      </c>
      <c r="Q68" s="30" t="str">
        <f>IF($K68="","",IFERROR(IF(INDEX(Bookings!$G$3:$G$202,MATCH($K68,Bookings!$A$3:$A$202,0))="","",INDEX(Bookings!$G$3:$G$202,MATCH($K68,Bookings!$A$3:$A$202,0))),""))</f>
        <v/>
      </c>
    </row>
    <row r="69" spans="1:17" hidden="1" x14ac:dyDescent="0.35">
      <c r="A69" s="81"/>
      <c r="B69" s="81"/>
      <c r="C69" s="21"/>
      <c r="D69" s="56"/>
      <c r="E69" s="14"/>
      <c r="F69" s="14"/>
      <c r="G69" s="14"/>
      <c r="H69" s="83">
        <f t="shared" si="6"/>
        <v>0</v>
      </c>
      <c r="I69" s="80"/>
      <c r="J69" s="80"/>
      <c r="K69" s="7" t="str">
        <f>IF($B69="","",IFERROR(INDEX(Connaissements!$B$3:$B$202,MATCH($B69,Connaissements!$A$3:$A$202,0)),""))</f>
        <v/>
      </c>
      <c r="L69" s="7" t="str">
        <f>IF($B69="","",IFERROR(INDEX(Connaissements!$G$3:$G$202,MATCH($B69,Connaissements!$A$3:$A$202,0)),""))</f>
        <v/>
      </c>
      <c r="M69" s="7" t="str">
        <f t="shared" si="3"/>
        <v/>
      </c>
      <c r="N69" s="7" t="str">
        <f t="shared" ca="1" si="4"/>
        <v/>
      </c>
      <c r="O69" s="13"/>
      <c r="P69" s="29" t="str">
        <f t="shared" ca="1" si="5"/>
        <v/>
      </c>
      <c r="Q69" s="30" t="str">
        <f>IF($K69="","",IFERROR(IF(INDEX(Bookings!$G$3:$G$202,MATCH($K69,Bookings!$A$3:$A$202,0))="","",INDEX(Bookings!$G$3:$G$202,MATCH($K69,Bookings!$A$3:$A$202,0))),""))</f>
        <v/>
      </c>
    </row>
    <row r="70" spans="1:17" hidden="1" x14ac:dyDescent="0.35">
      <c r="A70" s="81"/>
      <c r="B70" s="81"/>
      <c r="C70" s="21"/>
      <c r="D70" s="56"/>
      <c r="E70" s="14"/>
      <c r="F70" s="14"/>
      <c r="G70" s="14"/>
      <c r="H70" s="83">
        <f t="shared" si="6"/>
        <v>0</v>
      </c>
      <c r="I70" s="80"/>
      <c r="J70" s="80"/>
      <c r="K70" s="7" t="str">
        <f>IF($B70="","",IFERROR(INDEX(Connaissements!$B$3:$B$202,MATCH($B70,Connaissements!$A$3:$A$202,0)),""))</f>
        <v/>
      </c>
      <c r="L70" s="7" t="str">
        <f>IF($B70="","",IFERROR(INDEX(Connaissements!$G$3:$G$202,MATCH($B70,Connaissements!$A$3:$A$202,0)),""))</f>
        <v/>
      </c>
      <c r="M70" s="7" t="str">
        <f t="shared" si="3"/>
        <v/>
      </c>
      <c r="N70" s="7" t="str">
        <f t="shared" ca="1" si="4"/>
        <v/>
      </c>
      <c r="O70" s="13"/>
      <c r="P70" s="29" t="str">
        <f t="shared" ca="1" si="5"/>
        <v/>
      </c>
      <c r="Q70" s="30" t="str">
        <f>IF($K70="","",IFERROR(IF(INDEX(Bookings!$G$3:$G$202,MATCH($K70,Bookings!$A$3:$A$202,0))="","",INDEX(Bookings!$G$3:$G$202,MATCH($K70,Bookings!$A$3:$A$202,0))),""))</f>
        <v/>
      </c>
    </row>
    <row r="71" spans="1:17" hidden="1" x14ac:dyDescent="0.35">
      <c r="A71" s="81"/>
      <c r="B71" s="81"/>
      <c r="C71" s="21"/>
      <c r="D71" s="56"/>
      <c r="E71" s="14"/>
      <c r="F71" s="14"/>
      <c r="G71" s="14"/>
      <c r="H71" s="83">
        <f t="shared" si="6"/>
        <v>0</v>
      </c>
      <c r="I71" s="80"/>
      <c r="J71" s="80"/>
      <c r="K71" s="7" t="str">
        <f>IF($B71="","",IFERROR(INDEX(Connaissements!$B$3:$B$202,MATCH($B71,Connaissements!$A$3:$A$202,0)),""))</f>
        <v/>
      </c>
      <c r="L71" s="7" t="str">
        <f>IF($B71="","",IFERROR(INDEX(Connaissements!$G$3:$G$202,MATCH($B71,Connaissements!$A$3:$A$202,0)),""))</f>
        <v/>
      </c>
      <c r="M71" s="7" t="str">
        <f t="shared" si="3"/>
        <v/>
      </c>
      <c r="N71" s="7" t="str">
        <f t="shared" ca="1" si="4"/>
        <v/>
      </c>
      <c r="O71" s="13"/>
      <c r="P71" s="29" t="str">
        <f t="shared" ca="1" si="5"/>
        <v/>
      </c>
      <c r="Q71" s="30" t="str">
        <f>IF($K71="","",IFERROR(IF(INDEX(Bookings!$G$3:$G$202,MATCH($K71,Bookings!$A$3:$A$202,0))="","",INDEX(Bookings!$G$3:$G$202,MATCH($K71,Bookings!$A$3:$A$202,0))),""))</f>
        <v/>
      </c>
    </row>
    <row r="72" spans="1:17" hidden="1" x14ac:dyDescent="0.35">
      <c r="A72" s="81"/>
      <c r="B72" s="81"/>
      <c r="C72" s="21"/>
      <c r="D72" s="56"/>
      <c r="E72" s="14"/>
      <c r="F72" s="14"/>
      <c r="G72" s="14"/>
      <c r="H72" s="83">
        <f t="shared" si="6"/>
        <v>0</v>
      </c>
      <c r="I72" s="80"/>
      <c r="J72" s="80"/>
      <c r="K72" s="7" t="str">
        <f>IF($B72="","",IFERROR(INDEX(Connaissements!$B$3:$B$202,MATCH($B72,Connaissements!$A$3:$A$202,0)),""))</f>
        <v/>
      </c>
      <c r="L72" s="7" t="str">
        <f>IF($B72="","",IFERROR(INDEX(Connaissements!$G$3:$G$202,MATCH($B72,Connaissements!$A$3:$A$202,0)),""))</f>
        <v/>
      </c>
      <c r="M72" s="7" t="str">
        <f t="shared" si="3"/>
        <v/>
      </c>
      <c r="N72" s="7" t="str">
        <f t="shared" ca="1" si="4"/>
        <v/>
      </c>
      <c r="O72" s="13"/>
      <c r="P72" s="29" t="str">
        <f t="shared" ca="1" si="5"/>
        <v/>
      </c>
      <c r="Q72" s="30" t="str">
        <f>IF($K72="","",IFERROR(IF(INDEX(Bookings!$G$3:$G$202,MATCH($K72,Bookings!$A$3:$A$202,0))="","",INDEX(Bookings!$G$3:$G$202,MATCH($K72,Bookings!$A$3:$A$202,0))),""))</f>
        <v/>
      </c>
    </row>
    <row r="73" spans="1:17" hidden="1" x14ac:dyDescent="0.35">
      <c r="A73" s="81"/>
      <c r="B73" s="81"/>
      <c r="C73" s="21"/>
      <c r="D73" s="56"/>
      <c r="E73" s="14"/>
      <c r="F73" s="14"/>
      <c r="G73" s="14"/>
      <c r="H73" s="83">
        <f t="shared" si="6"/>
        <v>0</v>
      </c>
      <c r="I73" s="80"/>
      <c r="J73" s="80"/>
      <c r="K73" s="7" t="str">
        <f>IF($B73="","",IFERROR(INDEX(Connaissements!$B$3:$B$202,MATCH($B73,Connaissements!$A$3:$A$202,0)),""))</f>
        <v/>
      </c>
      <c r="L73" s="7" t="str">
        <f>IF($B73="","",IFERROR(INDEX(Connaissements!$G$3:$G$202,MATCH($B73,Connaissements!$A$3:$A$202,0)),""))</f>
        <v/>
      </c>
      <c r="M73" s="7" t="str">
        <f t="shared" si="3"/>
        <v/>
      </c>
      <c r="N73" s="7" t="str">
        <f t="shared" ca="1" si="4"/>
        <v/>
      </c>
      <c r="O73" s="13"/>
      <c r="P73" s="29" t="str">
        <f t="shared" ca="1" si="5"/>
        <v/>
      </c>
      <c r="Q73" s="30" t="str">
        <f>IF($K73="","",IFERROR(IF(INDEX(Bookings!$G$3:$G$202,MATCH($K73,Bookings!$A$3:$A$202,0))="","",INDEX(Bookings!$G$3:$G$202,MATCH($K73,Bookings!$A$3:$A$202,0))),""))</f>
        <v/>
      </c>
    </row>
    <row r="74" spans="1:17" hidden="1" x14ac:dyDescent="0.35">
      <c r="A74" s="81"/>
      <c r="B74" s="81"/>
      <c r="C74" s="21"/>
      <c r="D74" s="56"/>
      <c r="E74" s="14"/>
      <c r="F74" s="14"/>
      <c r="G74" s="14"/>
      <c r="H74" s="83">
        <f t="shared" si="6"/>
        <v>0</v>
      </c>
      <c r="I74" s="80"/>
      <c r="J74" s="80"/>
      <c r="K74" s="7" t="str">
        <f>IF($B74="","",IFERROR(INDEX(Connaissements!$B$3:$B$202,MATCH($B74,Connaissements!$A$3:$A$202,0)),""))</f>
        <v/>
      </c>
      <c r="L74" s="7" t="str">
        <f>IF($B74="","",IFERROR(INDEX(Connaissements!$G$3:$G$202,MATCH($B74,Connaissements!$A$3:$A$202,0)),""))</f>
        <v/>
      </c>
      <c r="M74" s="7" t="str">
        <f t="shared" si="3"/>
        <v/>
      </c>
      <c r="N74" s="7" t="str">
        <f t="shared" ca="1" si="4"/>
        <v/>
      </c>
      <c r="O74" s="13"/>
      <c r="P74" s="29" t="str">
        <f t="shared" ca="1" si="5"/>
        <v/>
      </c>
      <c r="Q74" s="30" t="str">
        <f>IF($K74="","",IFERROR(IF(INDEX(Bookings!$G$3:$G$202,MATCH($K74,Bookings!$A$3:$A$202,0))="","",INDEX(Bookings!$G$3:$G$202,MATCH($K74,Bookings!$A$3:$A$202,0))),""))</f>
        <v/>
      </c>
    </row>
    <row r="75" spans="1:17" hidden="1" x14ac:dyDescent="0.35">
      <c r="A75" s="81"/>
      <c r="B75" s="81"/>
      <c r="C75" s="21"/>
      <c r="D75" s="56"/>
      <c r="E75" s="14"/>
      <c r="F75" s="14"/>
      <c r="G75" s="14"/>
      <c r="H75" s="83">
        <f t="shared" si="6"/>
        <v>0</v>
      </c>
      <c r="I75" s="80"/>
      <c r="J75" s="80"/>
      <c r="K75" s="7" t="str">
        <f>IF($B75="","",IFERROR(INDEX(Connaissements!$B$3:$B$202,MATCH($B75,Connaissements!$A$3:$A$202,0)),""))</f>
        <v/>
      </c>
      <c r="L75" s="7" t="str">
        <f>IF($B75="","",IFERROR(INDEX(Connaissements!$G$3:$G$202,MATCH($B75,Connaissements!$A$3:$A$202,0)),""))</f>
        <v/>
      </c>
      <c r="M75" s="7" t="str">
        <f t="shared" si="3"/>
        <v/>
      </c>
      <c r="N75" s="7" t="str">
        <f t="shared" ca="1" si="4"/>
        <v/>
      </c>
      <c r="O75" s="13"/>
      <c r="P75" s="29" t="str">
        <f t="shared" ca="1" si="5"/>
        <v/>
      </c>
      <c r="Q75" s="30" t="str">
        <f>IF($K75="","",IFERROR(IF(INDEX(Bookings!$G$3:$G$202,MATCH($K75,Bookings!$A$3:$A$202,0))="","",INDEX(Bookings!$G$3:$G$202,MATCH($K75,Bookings!$A$3:$A$202,0))),""))</f>
        <v/>
      </c>
    </row>
    <row r="76" spans="1:17" hidden="1" x14ac:dyDescent="0.35">
      <c r="A76" s="81"/>
      <c r="B76" s="81"/>
      <c r="C76" s="21"/>
      <c r="D76" s="56"/>
      <c r="E76" s="14"/>
      <c r="F76" s="14"/>
      <c r="G76" s="14"/>
      <c r="H76" s="83">
        <f t="shared" si="6"/>
        <v>0</v>
      </c>
      <c r="I76" s="80"/>
      <c r="J76" s="80"/>
      <c r="K76" s="7" t="str">
        <f>IF($B76="","",IFERROR(INDEX(Connaissements!$B$3:$B$202,MATCH($B76,Connaissements!$A$3:$A$202,0)),""))</f>
        <v/>
      </c>
      <c r="L76" s="7" t="str">
        <f>IF($B76="","",IFERROR(INDEX(Connaissements!$G$3:$G$202,MATCH($B76,Connaissements!$A$3:$A$202,0)),""))</f>
        <v/>
      </c>
      <c r="M76" s="7" t="str">
        <f t="shared" si="3"/>
        <v/>
      </c>
      <c r="N76" s="7" t="str">
        <f t="shared" ca="1" si="4"/>
        <v/>
      </c>
      <c r="O76" s="13"/>
      <c r="P76" s="29" t="str">
        <f t="shared" ca="1" si="5"/>
        <v/>
      </c>
      <c r="Q76" s="30" t="str">
        <f>IF($K76="","",IFERROR(IF(INDEX(Bookings!$G$3:$G$202,MATCH($K76,Bookings!$A$3:$A$202,0))="","",INDEX(Bookings!$G$3:$G$202,MATCH($K76,Bookings!$A$3:$A$202,0))),""))</f>
        <v/>
      </c>
    </row>
    <row r="77" spans="1:17" hidden="1" x14ac:dyDescent="0.35">
      <c r="A77" s="81"/>
      <c r="B77" s="81"/>
      <c r="C77" s="21"/>
      <c r="D77" s="56"/>
      <c r="E77" s="14"/>
      <c r="F77" s="14"/>
      <c r="G77" s="14"/>
      <c r="H77" s="83">
        <f t="shared" si="6"/>
        <v>0</v>
      </c>
      <c r="I77" s="80"/>
      <c r="J77" s="80"/>
      <c r="K77" s="7" t="str">
        <f>IF($B77="","",IFERROR(INDEX(Connaissements!$B$3:$B$202,MATCH($B77,Connaissements!$A$3:$A$202,0)),""))</f>
        <v/>
      </c>
      <c r="L77" s="7" t="str">
        <f>IF($B77="","",IFERROR(INDEX(Connaissements!$G$3:$G$202,MATCH($B77,Connaissements!$A$3:$A$202,0)),""))</f>
        <v/>
      </c>
      <c r="M77" s="7" t="str">
        <f t="shared" si="3"/>
        <v/>
      </c>
      <c r="N77" s="7" t="str">
        <f t="shared" ca="1" si="4"/>
        <v/>
      </c>
      <c r="O77" s="13"/>
      <c r="P77" s="29" t="str">
        <f t="shared" ca="1" si="5"/>
        <v/>
      </c>
      <c r="Q77" s="30" t="str">
        <f>IF($K77="","",IFERROR(IF(INDEX(Bookings!$G$3:$G$202,MATCH($K77,Bookings!$A$3:$A$202,0))="","",INDEX(Bookings!$G$3:$G$202,MATCH($K77,Bookings!$A$3:$A$202,0))),""))</f>
        <v/>
      </c>
    </row>
    <row r="78" spans="1:17" hidden="1" x14ac:dyDescent="0.35">
      <c r="A78" s="81"/>
      <c r="B78" s="81"/>
      <c r="C78" s="21"/>
      <c r="D78" s="56"/>
      <c r="E78" s="14"/>
      <c r="F78" s="14"/>
      <c r="G78" s="14"/>
      <c r="H78" s="83">
        <f t="shared" si="6"/>
        <v>0</v>
      </c>
      <c r="I78" s="80"/>
      <c r="J78" s="80"/>
      <c r="K78" s="7" t="str">
        <f>IF($B78="","",IFERROR(INDEX(Connaissements!$B$3:$B$202,MATCH($B78,Connaissements!$A$3:$A$202,0)),""))</f>
        <v/>
      </c>
      <c r="L78" s="7" t="str">
        <f>IF($B78="","",IFERROR(INDEX(Connaissements!$G$3:$G$202,MATCH($B78,Connaissements!$A$3:$A$202,0)),""))</f>
        <v/>
      </c>
      <c r="M78" s="7" t="str">
        <f t="shared" si="3"/>
        <v/>
      </c>
      <c r="N78" s="7" t="str">
        <f t="shared" ca="1" si="4"/>
        <v/>
      </c>
      <c r="O78" s="13"/>
      <c r="P78" s="29" t="str">
        <f t="shared" ca="1" si="5"/>
        <v/>
      </c>
      <c r="Q78" s="30" t="str">
        <f>IF($K78="","",IFERROR(IF(INDEX(Bookings!$G$3:$G$202,MATCH($K78,Bookings!$A$3:$A$202,0))="","",INDEX(Bookings!$G$3:$G$202,MATCH($K78,Bookings!$A$3:$A$202,0))),""))</f>
        <v/>
      </c>
    </row>
    <row r="79" spans="1:17" hidden="1" x14ac:dyDescent="0.35">
      <c r="A79" s="81"/>
      <c r="B79" s="81"/>
      <c r="C79" s="21"/>
      <c r="D79" s="56"/>
      <c r="E79" s="14"/>
      <c r="F79" s="14"/>
      <c r="G79" s="14"/>
      <c r="H79" s="83">
        <f t="shared" si="6"/>
        <v>0</v>
      </c>
      <c r="I79" s="80"/>
      <c r="J79" s="80"/>
      <c r="K79" s="7" t="str">
        <f>IF($B79="","",IFERROR(INDEX(Connaissements!$B$3:$B$202,MATCH($B79,Connaissements!$A$3:$A$202,0)),""))</f>
        <v/>
      </c>
      <c r="L79" s="7" t="str">
        <f>IF($B79="","",IFERROR(INDEX(Connaissements!$G$3:$G$202,MATCH($B79,Connaissements!$A$3:$A$202,0)),""))</f>
        <v/>
      </c>
      <c r="M79" s="7" t="str">
        <f t="shared" si="3"/>
        <v/>
      </c>
      <c r="N79" s="7" t="str">
        <f t="shared" ca="1" si="4"/>
        <v/>
      </c>
      <c r="O79" s="13"/>
      <c r="P79" s="29" t="str">
        <f t="shared" ca="1" si="5"/>
        <v/>
      </c>
      <c r="Q79" s="30" t="str">
        <f>IF($K79="","",IFERROR(IF(INDEX(Bookings!$G$3:$G$202,MATCH($K79,Bookings!$A$3:$A$202,0))="","",INDEX(Bookings!$G$3:$G$202,MATCH($K79,Bookings!$A$3:$A$202,0))),""))</f>
        <v/>
      </c>
    </row>
    <row r="80" spans="1:17" hidden="1" x14ac:dyDescent="0.35">
      <c r="A80" s="81"/>
      <c r="B80" s="81"/>
      <c r="C80" s="21"/>
      <c r="D80" s="56"/>
      <c r="E80" s="14"/>
      <c r="F80" s="14"/>
      <c r="G80" s="14"/>
      <c r="H80" s="83">
        <f t="shared" si="6"/>
        <v>0</v>
      </c>
      <c r="I80" s="80"/>
      <c r="J80" s="80"/>
      <c r="K80" s="7" t="str">
        <f>IF($B80="","",IFERROR(INDEX(Connaissements!$B$3:$B$202,MATCH($B80,Connaissements!$A$3:$A$202,0)),""))</f>
        <v/>
      </c>
      <c r="L80" s="7" t="str">
        <f>IF($B80="","",IFERROR(INDEX(Connaissements!$G$3:$G$202,MATCH($B80,Connaissements!$A$3:$A$202,0)),""))</f>
        <v/>
      </c>
      <c r="M80" s="7" t="str">
        <f t="shared" si="3"/>
        <v/>
      </c>
      <c r="N80" s="7" t="str">
        <f t="shared" ca="1" si="4"/>
        <v/>
      </c>
      <c r="O80" s="13"/>
      <c r="P80" s="29" t="str">
        <f t="shared" ca="1" si="5"/>
        <v/>
      </c>
      <c r="Q80" s="30" t="str">
        <f>IF($K80="","",IFERROR(IF(INDEX(Bookings!$G$3:$G$202,MATCH($K80,Bookings!$A$3:$A$202,0))="","",INDEX(Bookings!$G$3:$G$202,MATCH($K80,Bookings!$A$3:$A$202,0))),""))</f>
        <v/>
      </c>
    </row>
    <row r="81" spans="1:17" hidden="1" x14ac:dyDescent="0.35">
      <c r="A81" s="81"/>
      <c r="B81" s="81"/>
      <c r="C81" s="21"/>
      <c r="D81" s="56"/>
      <c r="E81" s="14"/>
      <c r="F81" s="14"/>
      <c r="G81" s="14"/>
      <c r="H81" s="83">
        <f t="shared" si="6"/>
        <v>0</v>
      </c>
      <c r="I81" s="80"/>
      <c r="J81" s="80"/>
      <c r="K81" s="7" t="str">
        <f>IF($B81="","",IFERROR(INDEX(Connaissements!$B$3:$B$202,MATCH($B81,Connaissements!$A$3:$A$202,0)),""))</f>
        <v/>
      </c>
      <c r="L81" s="7" t="str">
        <f>IF($B81="","",IFERROR(INDEX(Connaissements!$G$3:$G$202,MATCH($B81,Connaissements!$A$3:$A$202,0)),""))</f>
        <v/>
      </c>
      <c r="M81" s="7" t="str">
        <f t="shared" si="3"/>
        <v/>
      </c>
      <c r="N81" s="7" t="str">
        <f t="shared" ca="1" si="4"/>
        <v/>
      </c>
      <c r="O81" s="13"/>
      <c r="P81" s="29" t="str">
        <f t="shared" ca="1" si="5"/>
        <v/>
      </c>
      <c r="Q81" s="30" t="str">
        <f>IF($K81="","",IFERROR(IF(INDEX(Bookings!$G$3:$G$202,MATCH($K81,Bookings!$A$3:$A$202,0))="","",INDEX(Bookings!$G$3:$G$202,MATCH($K81,Bookings!$A$3:$A$202,0))),""))</f>
        <v/>
      </c>
    </row>
    <row r="82" spans="1:17" hidden="1" x14ac:dyDescent="0.35">
      <c r="A82" s="81"/>
      <c r="B82" s="81"/>
      <c r="C82" s="21"/>
      <c r="D82" s="56"/>
      <c r="E82" s="14"/>
      <c r="F82" s="14"/>
      <c r="G82" s="14"/>
      <c r="H82" s="83">
        <f t="shared" si="6"/>
        <v>0</v>
      </c>
      <c r="I82" s="80"/>
      <c r="J82" s="80"/>
      <c r="K82" s="7" t="str">
        <f>IF($B82="","",IFERROR(INDEX(Connaissements!$B$3:$B$202,MATCH($B82,Connaissements!$A$3:$A$202,0)),""))</f>
        <v/>
      </c>
      <c r="L82" s="7" t="str">
        <f>IF($B82="","",IFERROR(INDEX(Connaissements!$G$3:$G$202,MATCH($B82,Connaissements!$A$3:$A$202,0)),""))</f>
        <v/>
      </c>
      <c r="M82" s="7" t="str">
        <f t="shared" si="3"/>
        <v/>
      </c>
      <c r="N82" s="7" t="str">
        <f t="shared" ca="1" si="4"/>
        <v/>
      </c>
      <c r="O82" s="13"/>
      <c r="P82" s="29" t="str">
        <f t="shared" ca="1" si="5"/>
        <v/>
      </c>
      <c r="Q82" s="30" t="str">
        <f>IF($K82="","",IFERROR(IF(INDEX(Bookings!$G$3:$G$202,MATCH($K82,Bookings!$A$3:$A$202,0))="","",INDEX(Bookings!$G$3:$G$202,MATCH($K82,Bookings!$A$3:$A$202,0))),""))</f>
        <v/>
      </c>
    </row>
    <row r="83" spans="1:17" hidden="1" x14ac:dyDescent="0.35">
      <c r="A83" s="81"/>
      <c r="B83" s="81"/>
      <c r="C83" s="21"/>
      <c r="D83" s="56"/>
      <c r="E83" s="14"/>
      <c r="F83" s="14"/>
      <c r="G83" s="14"/>
      <c r="H83" s="83">
        <f t="shared" si="6"/>
        <v>0</v>
      </c>
      <c r="I83" s="80"/>
      <c r="J83" s="80"/>
      <c r="K83" s="7" t="str">
        <f>IF($B83="","",IFERROR(INDEX(Connaissements!$B$3:$B$202,MATCH($B83,Connaissements!$A$3:$A$202,0)),""))</f>
        <v/>
      </c>
      <c r="L83" s="7" t="str">
        <f>IF($B83="","",IFERROR(INDEX(Connaissements!$G$3:$G$202,MATCH($B83,Connaissements!$A$3:$A$202,0)),""))</f>
        <v/>
      </c>
      <c r="M83" s="7" t="str">
        <f t="shared" si="3"/>
        <v/>
      </c>
      <c r="N83" s="7" t="str">
        <f t="shared" ca="1" si="4"/>
        <v/>
      </c>
      <c r="O83" s="13"/>
      <c r="P83" s="29" t="str">
        <f t="shared" ca="1" si="5"/>
        <v/>
      </c>
      <c r="Q83" s="30" t="str">
        <f>IF($K83="","",IFERROR(IF(INDEX(Bookings!$G$3:$G$202,MATCH($K83,Bookings!$A$3:$A$202,0))="","",INDEX(Bookings!$G$3:$G$202,MATCH($K83,Bookings!$A$3:$A$202,0))),""))</f>
        <v/>
      </c>
    </row>
    <row r="84" spans="1:17" hidden="1" x14ac:dyDescent="0.35">
      <c r="A84" s="81"/>
      <c r="B84" s="81"/>
      <c r="C84" s="21"/>
      <c r="D84" s="56"/>
      <c r="E84" s="14"/>
      <c r="F84" s="14"/>
      <c r="G84" s="14"/>
      <c r="H84" s="83">
        <f t="shared" si="6"/>
        <v>0</v>
      </c>
      <c r="I84" s="80"/>
      <c r="J84" s="80"/>
      <c r="K84" s="7" t="str">
        <f>IF($B84="","",IFERROR(INDEX(Connaissements!$B$3:$B$202,MATCH($B84,Connaissements!$A$3:$A$202,0)),""))</f>
        <v/>
      </c>
      <c r="L84" s="7" t="str">
        <f>IF($B84="","",IFERROR(INDEX(Connaissements!$G$3:$G$202,MATCH($B84,Connaissements!$A$3:$A$202,0)),""))</f>
        <v/>
      </c>
      <c r="M84" s="7" t="str">
        <f t="shared" si="3"/>
        <v/>
      </c>
      <c r="N84" s="7" t="str">
        <f t="shared" ca="1" si="4"/>
        <v/>
      </c>
      <c r="O84" s="13"/>
      <c r="P84" s="29" t="str">
        <f t="shared" ca="1" si="5"/>
        <v/>
      </c>
      <c r="Q84" s="30" t="str">
        <f>IF($K84="","",IFERROR(IF(INDEX(Bookings!$G$3:$G$202,MATCH($K84,Bookings!$A$3:$A$202,0))="","",INDEX(Bookings!$G$3:$G$202,MATCH($K84,Bookings!$A$3:$A$202,0))),""))</f>
        <v/>
      </c>
    </row>
    <row r="85" spans="1:17" hidden="1" x14ac:dyDescent="0.35">
      <c r="A85" s="81"/>
      <c r="B85" s="81"/>
      <c r="C85" s="21"/>
      <c r="D85" s="56"/>
      <c r="E85" s="14"/>
      <c r="F85" s="14"/>
      <c r="G85" s="14"/>
      <c r="H85" s="83">
        <f t="shared" si="6"/>
        <v>0</v>
      </c>
      <c r="I85" s="80"/>
      <c r="J85" s="80"/>
      <c r="K85" s="7" t="str">
        <f>IF($B85="","",IFERROR(INDEX(Connaissements!$B$3:$B$202,MATCH($B85,Connaissements!$A$3:$A$202,0)),""))</f>
        <v/>
      </c>
      <c r="L85" s="7" t="str">
        <f>IF($B85="","",IFERROR(INDEX(Connaissements!$G$3:$G$202,MATCH($B85,Connaissements!$A$3:$A$202,0)),""))</f>
        <v/>
      </c>
      <c r="M85" s="7" t="str">
        <f t="shared" si="3"/>
        <v/>
      </c>
      <c r="N85" s="7" t="str">
        <f t="shared" ca="1" si="4"/>
        <v/>
      </c>
      <c r="O85" s="13"/>
      <c r="P85" s="29" t="str">
        <f t="shared" ca="1" si="5"/>
        <v/>
      </c>
      <c r="Q85" s="30" t="str">
        <f>IF($K85="","",IFERROR(IF(INDEX(Bookings!$G$3:$G$202,MATCH($K85,Bookings!$A$3:$A$202,0))="","",INDEX(Bookings!$G$3:$G$202,MATCH($K85,Bookings!$A$3:$A$202,0))),""))</f>
        <v/>
      </c>
    </row>
    <row r="86" spans="1:17" hidden="1" x14ac:dyDescent="0.35">
      <c r="A86" s="81"/>
      <c r="B86" s="81"/>
      <c r="C86" s="21"/>
      <c r="D86" s="56"/>
      <c r="E86" s="14"/>
      <c r="F86" s="14"/>
      <c r="G86" s="14"/>
      <c r="H86" s="83">
        <f t="shared" si="6"/>
        <v>0</v>
      </c>
      <c r="I86" s="80"/>
      <c r="J86" s="80"/>
      <c r="K86" s="7" t="str">
        <f>IF($B86="","",IFERROR(INDEX(Connaissements!$B$3:$B$202,MATCH($B86,Connaissements!$A$3:$A$202,0)),""))</f>
        <v/>
      </c>
      <c r="L86" s="7" t="str">
        <f>IF($B86="","",IFERROR(INDEX(Connaissements!$G$3:$G$202,MATCH($B86,Connaissements!$A$3:$A$202,0)),""))</f>
        <v/>
      </c>
      <c r="M86" s="7" t="str">
        <f t="shared" si="3"/>
        <v/>
      </c>
      <c r="N86" s="7" t="str">
        <f t="shared" ca="1" si="4"/>
        <v/>
      </c>
      <c r="O86" s="13"/>
      <c r="P86" s="29" t="str">
        <f t="shared" ca="1" si="5"/>
        <v/>
      </c>
      <c r="Q86" s="30" t="str">
        <f>IF($K86="","",IFERROR(IF(INDEX(Bookings!$G$3:$G$202,MATCH($K86,Bookings!$A$3:$A$202,0))="","",INDEX(Bookings!$G$3:$G$202,MATCH($K86,Bookings!$A$3:$A$202,0))),""))</f>
        <v/>
      </c>
    </row>
    <row r="87" spans="1:17" hidden="1" x14ac:dyDescent="0.35">
      <c r="A87" s="81"/>
      <c r="B87" s="81"/>
      <c r="C87" s="21"/>
      <c r="D87" s="56"/>
      <c r="E87" s="14"/>
      <c r="F87" s="14"/>
      <c r="G87" s="14"/>
      <c r="H87" s="83">
        <f t="shared" si="6"/>
        <v>0</v>
      </c>
      <c r="I87" s="80"/>
      <c r="J87" s="80"/>
      <c r="K87" s="7" t="str">
        <f>IF($B87="","",IFERROR(INDEX(Connaissements!$B$3:$B$202,MATCH($B87,Connaissements!$A$3:$A$202,0)),""))</f>
        <v/>
      </c>
      <c r="L87" s="7" t="str">
        <f>IF($B87="","",IFERROR(INDEX(Connaissements!$G$3:$G$202,MATCH($B87,Connaissements!$A$3:$A$202,0)),""))</f>
        <v/>
      </c>
      <c r="M87" s="7" t="str">
        <f t="shared" si="3"/>
        <v/>
      </c>
      <c r="N87" s="7" t="str">
        <f t="shared" ca="1" si="4"/>
        <v/>
      </c>
      <c r="O87" s="13"/>
      <c r="P87" s="29" t="str">
        <f t="shared" ca="1" si="5"/>
        <v/>
      </c>
      <c r="Q87" s="30" t="str">
        <f>IF($K87="","",IFERROR(IF(INDEX(Bookings!$G$3:$G$202,MATCH($K87,Bookings!$A$3:$A$202,0))="","",INDEX(Bookings!$G$3:$G$202,MATCH($K87,Bookings!$A$3:$A$202,0))),""))</f>
        <v/>
      </c>
    </row>
    <row r="88" spans="1:17" hidden="1" x14ac:dyDescent="0.35">
      <c r="A88" s="81"/>
      <c r="B88" s="81"/>
      <c r="C88" s="21"/>
      <c r="D88" s="56"/>
      <c r="E88" s="14"/>
      <c r="F88" s="14"/>
      <c r="G88" s="14"/>
      <c r="H88" s="83">
        <f t="shared" si="6"/>
        <v>0</v>
      </c>
      <c r="I88" s="80"/>
      <c r="J88" s="80"/>
      <c r="K88" s="7" t="str">
        <f>IF($B88="","",IFERROR(INDEX(Connaissements!$B$3:$B$202,MATCH($B88,Connaissements!$A$3:$A$202,0)),""))</f>
        <v/>
      </c>
      <c r="L88" s="7" t="str">
        <f>IF($B88="","",IFERROR(INDEX(Connaissements!$G$3:$G$202,MATCH($B88,Connaissements!$A$3:$A$202,0)),""))</f>
        <v/>
      </c>
      <c r="M88" s="7" t="str">
        <f t="shared" si="3"/>
        <v/>
      </c>
      <c r="N88" s="7" t="str">
        <f t="shared" ca="1" si="4"/>
        <v/>
      </c>
      <c r="O88" s="13"/>
      <c r="P88" s="29" t="str">
        <f t="shared" ca="1" si="5"/>
        <v/>
      </c>
      <c r="Q88" s="30" t="str">
        <f>IF($K88="","",IFERROR(IF(INDEX(Bookings!$G$3:$G$202,MATCH($K88,Bookings!$A$3:$A$202,0))="","",INDEX(Bookings!$G$3:$G$202,MATCH($K88,Bookings!$A$3:$A$202,0))),""))</f>
        <v/>
      </c>
    </row>
    <row r="89" spans="1:17" hidden="1" x14ac:dyDescent="0.35">
      <c r="A89" s="81"/>
      <c r="B89" s="81"/>
      <c r="C89" s="21"/>
      <c r="D89" s="56"/>
      <c r="E89" s="14"/>
      <c r="F89" s="14"/>
      <c r="G89" s="14"/>
      <c r="H89" s="83">
        <f t="shared" si="6"/>
        <v>0</v>
      </c>
      <c r="I89" s="80"/>
      <c r="J89" s="80"/>
      <c r="K89" s="7" t="str">
        <f>IF($B89="","",IFERROR(INDEX(Connaissements!$B$3:$B$202,MATCH($B89,Connaissements!$A$3:$A$202,0)),""))</f>
        <v/>
      </c>
      <c r="L89" s="7" t="str">
        <f>IF($B89="","",IFERROR(INDEX(Connaissements!$G$3:$G$202,MATCH($B89,Connaissements!$A$3:$A$202,0)),""))</f>
        <v/>
      </c>
      <c r="M89" s="7" t="str">
        <f t="shared" si="3"/>
        <v/>
      </c>
      <c r="N89" s="7" t="str">
        <f t="shared" ca="1" si="4"/>
        <v/>
      </c>
      <c r="O89" s="13"/>
      <c r="P89" s="29" t="str">
        <f t="shared" ca="1" si="5"/>
        <v/>
      </c>
      <c r="Q89" s="30" t="str">
        <f>IF($K89="","",IFERROR(IF(INDEX(Bookings!$G$3:$G$202,MATCH($K89,Bookings!$A$3:$A$202,0))="","",INDEX(Bookings!$G$3:$G$202,MATCH($K89,Bookings!$A$3:$A$202,0))),""))</f>
        <v/>
      </c>
    </row>
    <row r="90" spans="1:17" hidden="1" x14ac:dyDescent="0.35">
      <c r="A90" s="81"/>
      <c r="B90" s="81"/>
      <c r="C90" s="21"/>
      <c r="D90" s="56"/>
      <c r="E90" s="14"/>
      <c r="F90" s="14"/>
      <c r="G90" s="14"/>
      <c r="H90" s="83">
        <f t="shared" si="6"/>
        <v>0</v>
      </c>
      <c r="I90" s="80"/>
      <c r="J90" s="80"/>
      <c r="K90" s="7" t="str">
        <f>IF($B90="","",IFERROR(INDEX(Connaissements!$B$3:$B$202,MATCH($B90,Connaissements!$A$3:$A$202,0)),""))</f>
        <v/>
      </c>
      <c r="L90" s="7" t="str">
        <f>IF($B90="","",IFERROR(INDEX(Connaissements!$G$3:$G$202,MATCH($B90,Connaissements!$A$3:$A$202,0)),""))</f>
        <v/>
      </c>
      <c r="M90" s="7" t="str">
        <f t="shared" si="3"/>
        <v/>
      </c>
      <c r="N90" s="7" t="str">
        <f t="shared" ca="1" si="4"/>
        <v/>
      </c>
      <c r="O90" s="13"/>
      <c r="P90" s="29" t="str">
        <f t="shared" ca="1" si="5"/>
        <v/>
      </c>
      <c r="Q90" s="30" t="str">
        <f>IF($K90="","",IFERROR(IF(INDEX(Bookings!$G$3:$G$202,MATCH($K90,Bookings!$A$3:$A$202,0))="","",INDEX(Bookings!$G$3:$G$202,MATCH($K90,Bookings!$A$3:$A$202,0))),""))</f>
        <v/>
      </c>
    </row>
    <row r="91" spans="1:17" hidden="1" x14ac:dyDescent="0.35">
      <c r="A91" s="81"/>
      <c r="B91" s="81"/>
      <c r="C91" s="21"/>
      <c r="D91" s="56"/>
      <c r="E91" s="14"/>
      <c r="F91" s="14"/>
      <c r="G91" s="14"/>
      <c r="H91" s="83">
        <f t="shared" si="6"/>
        <v>0</v>
      </c>
      <c r="I91" s="80"/>
      <c r="J91" s="80"/>
      <c r="K91" s="7" t="str">
        <f>IF($B91="","",IFERROR(INDEX(Connaissements!$B$3:$B$202,MATCH($B91,Connaissements!$A$3:$A$202,0)),""))</f>
        <v/>
      </c>
      <c r="L91" s="7" t="str">
        <f>IF($B91="","",IFERROR(INDEX(Connaissements!$G$3:$G$202,MATCH($B91,Connaissements!$A$3:$A$202,0)),""))</f>
        <v/>
      </c>
      <c r="M91" s="7" t="str">
        <f t="shared" si="3"/>
        <v/>
      </c>
      <c r="N91" s="7" t="str">
        <f t="shared" ca="1" si="4"/>
        <v/>
      </c>
      <c r="O91" s="13"/>
      <c r="P91" s="29" t="str">
        <f t="shared" ca="1" si="5"/>
        <v/>
      </c>
      <c r="Q91" s="30" t="str">
        <f>IF($K91="","",IFERROR(IF(INDEX(Bookings!$G$3:$G$202,MATCH($K91,Bookings!$A$3:$A$202,0))="","",INDEX(Bookings!$G$3:$G$202,MATCH($K91,Bookings!$A$3:$A$202,0))),""))</f>
        <v/>
      </c>
    </row>
    <row r="92" spans="1:17" hidden="1" x14ac:dyDescent="0.35">
      <c r="A92" s="81"/>
      <c r="B92" s="81"/>
      <c r="C92" s="21"/>
      <c r="D92" s="56"/>
      <c r="E92" s="14"/>
      <c r="F92" s="14"/>
      <c r="G92" s="14"/>
      <c r="H92" s="83">
        <f t="shared" si="6"/>
        <v>0</v>
      </c>
      <c r="I92" s="80"/>
      <c r="J92" s="80"/>
      <c r="K92" s="7" t="str">
        <f>IF($B92="","",IFERROR(INDEX(Connaissements!$B$3:$B$202,MATCH($B92,Connaissements!$A$3:$A$202,0)),""))</f>
        <v/>
      </c>
      <c r="L92" s="7" t="str">
        <f>IF($B92="","",IFERROR(INDEX(Connaissements!$G$3:$G$202,MATCH($B92,Connaissements!$A$3:$A$202,0)),""))</f>
        <v/>
      </c>
      <c r="M92" s="7" t="str">
        <f t="shared" si="3"/>
        <v/>
      </c>
      <c r="N92" s="7" t="str">
        <f t="shared" ca="1" si="4"/>
        <v/>
      </c>
      <c r="O92" s="13"/>
      <c r="P92" s="29" t="str">
        <f t="shared" ca="1" si="5"/>
        <v/>
      </c>
      <c r="Q92" s="30" t="str">
        <f>IF($K92="","",IFERROR(IF(INDEX(Bookings!$G$3:$G$202,MATCH($K92,Bookings!$A$3:$A$202,0))="","",INDEX(Bookings!$G$3:$G$202,MATCH($K92,Bookings!$A$3:$A$202,0))),""))</f>
        <v/>
      </c>
    </row>
    <row r="93" spans="1:17" hidden="1" x14ac:dyDescent="0.35">
      <c r="A93" s="81"/>
      <c r="B93" s="81"/>
      <c r="C93" s="21"/>
      <c r="D93" s="56"/>
      <c r="E93" s="14"/>
      <c r="F93" s="14"/>
      <c r="G93" s="14"/>
      <c r="H93" s="83">
        <f t="shared" si="6"/>
        <v>0</v>
      </c>
      <c r="I93" s="80"/>
      <c r="J93" s="80"/>
      <c r="K93" s="7" t="str">
        <f>IF($B93="","",IFERROR(INDEX(Connaissements!$B$3:$B$202,MATCH($B93,Connaissements!$A$3:$A$202,0)),""))</f>
        <v/>
      </c>
      <c r="L93" s="7" t="str">
        <f>IF($B93="","",IFERROR(INDEX(Connaissements!$G$3:$G$202,MATCH($B93,Connaissements!$A$3:$A$202,0)),""))</f>
        <v/>
      </c>
      <c r="M93" s="7" t="str">
        <f t="shared" si="3"/>
        <v/>
      </c>
      <c r="N93" s="7" t="str">
        <f t="shared" ca="1" si="4"/>
        <v/>
      </c>
      <c r="O93" s="13"/>
      <c r="P93" s="29" t="str">
        <f t="shared" ca="1" si="5"/>
        <v/>
      </c>
      <c r="Q93" s="30" t="str">
        <f>IF($K93="","",IFERROR(IF(INDEX(Bookings!$G$3:$G$202,MATCH($K93,Bookings!$A$3:$A$202,0))="","",INDEX(Bookings!$G$3:$G$202,MATCH($K93,Bookings!$A$3:$A$202,0))),""))</f>
        <v/>
      </c>
    </row>
    <row r="94" spans="1:17" hidden="1" x14ac:dyDescent="0.35">
      <c r="A94" s="81"/>
      <c r="B94" s="81"/>
      <c r="C94" s="21"/>
      <c r="D94" s="56"/>
      <c r="E94" s="14"/>
      <c r="F94" s="14"/>
      <c r="G94" s="14"/>
      <c r="H94" s="83">
        <f t="shared" si="6"/>
        <v>0</v>
      </c>
      <c r="I94" s="80"/>
      <c r="J94" s="80"/>
      <c r="K94" s="7" t="str">
        <f>IF($B94="","",IFERROR(INDEX(Connaissements!$B$3:$B$202,MATCH($B94,Connaissements!$A$3:$A$202,0)),""))</f>
        <v/>
      </c>
      <c r="L94" s="7" t="str">
        <f>IF($B94="","",IFERROR(INDEX(Connaissements!$G$3:$G$202,MATCH($B94,Connaissements!$A$3:$A$202,0)),""))</f>
        <v/>
      </c>
      <c r="M94" s="7" t="str">
        <f t="shared" si="3"/>
        <v/>
      </c>
      <c r="N94" s="7" t="str">
        <f t="shared" ca="1" si="4"/>
        <v/>
      </c>
      <c r="O94" s="13"/>
      <c r="P94" s="29" t="str">
        <f t="shared" ca="1" si="5"/>
        <v/>
      </c>
      <c r="Q94" s="30" t="str">
        <f>IF($K94="","",IFERROR(IF(INDEX(Bookings!$G$3:$G$202,MATCH($K94,Bookings!$A$3:$A$202,0))="","",INDEX(Bookings!$G$3:$G$202,MATCH($K94,Bookings!$A$3:$A$202,0))),""))</f>
        <v/>
      </c>
    </row>
    <row r="95" spans="1:17" hidden="1" x14ac:dyDescent="0.35">
      <c r="A95" s="81"/>
      <c r="B95" s="81"/>
      <c r="C95" s="21"/>
      <c r="D95" s="56"/>
      <c r="E95" s="14"/>
      <c r="F95" s="14"/>
      <c r="G95" s="14"/>
      <c r="H95" s="83">
        <f t="shared" si="6"/>
        <v>0</v>
      </c>
      <c r="I95" s="80"/>
      <c r="J95" s="80"/>
      <c r="K95" s="7" t="str">
        <f>IF($B95="","",IFERROR(INDEX(Connaissements!$B$3:$B$202,MATCH($B95,Connaissements!$A$3:$A$202,0)),""))</f>
        <v/>
      </c>
      <c r="L95" s="7" t="str">
        <f>IF($B95="","",IFERROR(INDEX(Connaissements!$G$3:$G$202,MATCH($B95,Connaissements!$A$3:$A$202,0)),""))</f>
        <v/>
      </c>
      <c r="M95" s="7" t="str">
        <f t="shared" si="3"/>
        <v/>
      </c>
      <c r="N95" s="7" t="str">
        <f t="shared" ca="1" si="4"/>
        <v/>
      </c>
      <c r="O95" s="13"/>
      <c r="P95" s="29" t="str">
        <f t="shared" ca="1" si="5"/>
        <v/>
      </c>
      <c r="Q95" s="30" t="str">
        <f>IF($K95="","",IFERROR(IF(INDEX(Bookings!$G$3:$G$202,MATCH($K95,Bookings!$A$3:$A$202,0))="","",INDEX(Bookings!$G$3:$G$202,MATCH($K95,Bookings!$A$3:$A$202,0))),""))</f>
        <v/>
      </c>
    </row>
    <row r="96" spans="1:17" hidden="1" x14ac:dyDescent="0.35">
      <c r="A96" s="81"/>
      <c r="B96" s="81"/>
      <c r="C96" s="21"/>
      <c r="D96" s="56"/>
      <c r="E96" s="14"/>
      <c r="F96" s="14"/>
      <c r="G96" s="14"/>
      <c r="H96" s="83">
        <f t="shared" si="6"/>
        <v>0</v>
      </c>
      <c r="I96" s="80"/>
      <c r="J96" s="80"/>
      <c r="K96" s="7" t="str">
        <f>IF($B96="","",IFERROR(INDEX(Connaissements!$B$3:$B$202,MATCH($B96,Connaissements!$A$3:$A$202,0)),""))</f>
        <v/>
      </c>
      <c r="L96" s="7" t="str">
        <f>IF($B96="","",IFERROR(INDEX(Connaissements!$G$3:$G$202,MATCH($B96,Connaissements!$A$3:$A$202,0)),""))</f>
        <v/>
      </c>
      <c r="M96" s="7" t="str">
        <f t="shared" si="3"/>
        <v/>
      </c>
      <c r="N96" s="7" t="str">
        <f t="shared" ca="1" si="4"/>
        <v/>
      </c>
      <c r="O96" s="13"/>
      <c r="P96" s="29" t="str">
        <f t="shared" ca="1" si="5"/>
        <v/>
      </c>
      <c r="Q96" s="30" t="str">
        <f>IF($K96="","",IFERROR(IF(INDEX(Bookings!$G$3:$G$202,MATCH($K96,Bookings!$A$3:$A$202,0))="","",INDEX(Bookings!$G$3:$G$202,MATCH($K96,Bookings!$A$3:$A$202,0))),""))</f>
        <v/>
      </c>
    </row>
    <row r="97" spans="1:17" hidden="1" x14ac:dyDescent="0.35">
      <c r="A97" s="81"/>
      <c r="B97" s="81"/>
      <c r="C97" s="21"/>
      <c r="D97" s="56"/>
      <c r="E97" s="14"/>
      <c r="F97" s="14"/>
      <c r="G97" s="14"/>
      <c r="H97" s="83">
        <f t="shared" si="6"/>
        <v>0</v>
      </c>
      <c r="I97" s="80"/>
      <c r="J97" s="80"/>
      <c r="K97" s="7" t="str">
        <f>IF($B97="","",IFERROR(INDEX(Connaissements!$B$3:$B$202,MATCH($B97,Connaissements!$A$3:$A$202,0)),""))</f>
        <v/>
      </c>
      <c r="L97" s="7" t="str">
        <f>IF($B97="","",IFERROR(INDEX(Connaissements!$G$3:$G$202,MATCH($B97,Connaissements!$A$3:$A$202,0)),""))</f>
        <v/>
      </c>
      <c r="M97" s="7" t="str">
        <f t="shared" si="3"/>
        <v/>
      </c>
      <c r="N97" s="7" t="str">
        <f t="shared" ca="1" si="4"/>
        <v/>
      </c>
      <c r="O97" s="13"/>
      <c r="P97" s="29" t="str">
        <f t="shared" ca="1" si="5"/>
        <v/>
      </c>
      <c r="Q97" s="30" t="str">
        <f>IF($K97="","",IFERROR(IF(INDEX(Bookings!$G$3:$G$202,MATCH($K97,Bookings!$A$3:$A$202,0))="","",INDEX(Bookings!$G$3:$G$202,MATCH($K97,Bookings!$A$3:$A$202,0))),""))</f>
        <v/>
      </c>
    </row>
    <row r="98" spans="1:17" hidden="1" x14ac:dyDescent="0.35">
      <c r="A98" s="81"/>
      <c r="B98" s="81"/>
      <c r="C98" s="21"/>
      <c r="D98" s="56"/>
      <c r="E98" s="14"/>
      <c r="F98" s="14"/>
      <c r="G98" s="14"/>
      <c r="H98" s="83">
        <f t="shared" si="6"/>
        <v>0</v>
      </c>
      <c r="I98" s="80"/>
      <c r="J98" s="80"/>
      <c r="K98" s="7" t="str">
        <f>IF($B98="","",IFERROR(INDEX(Connaissements!$B$3:$B$202,MATCH($B98,Connaissements!$A$3:$A$202,0)),""))</f>
        <v/>
      </c>
      <c r="L98" s="7" t="str">
        <f>IF($B98="","",IFERROR(INDEX(Connaissements!$G$3:$G$202,MATCH($B98,Connaissements!$A$3:$A$202,0)),""))</f>
        <v/>
      </c>
      <c r="M98" s="7" t="str">
        <f t="shared" si="3"/>
        <v/>
      </c>
      <c r="N98" s="7" t="str">
        <f t="shared" ca="1" si="4"/>
        <v/>
      </c>
      <c r="O98" s="13"/>
      <c r="P98" s="29" t="str">
        <f t="shared" ca="1" si="5"/>
        <v/>
      </c>
      <c r="Q98" s="30" t="str">
        <f>IF($K98="","",IFERROR(IF(INDEX(Bookings!$G$3:$G$202,MATCH($K98,Bookings!$A$3:$A$202,0))="","",INDEX(Bookings!$G$3:$G$202,MATCH($K98,Bookings!$A$3:$A$202,0))),""))</f>
        <v/>
      </c>
    </row>
    <row r="99" spans="1:17" hidden="1" x14ac:dyDescent="0.35">
      <c r="A99" s="81"/>
      <c r="B99" s="81"/>
      <c r="C99" s="21"/>
      <c r="D99" s="56"/>
      <c r="E99" s="14"/>
      <c r="F99" s="14"/>
      <c r="G99" s="14"/>
      <c r="H99" s="83">
        <f t="shared" si="6"/>
        <v>0</v>
      </c>
      <c r="I99" s="80"/>
      <c r="J99" s="80"/>
      <c r="K99" s="7" t="str">
        <f>IF($B99="","",IFERROR(INDEX(Connaissements!$B$3:$B$202,MATCH($B99,Connaissements!$A$3:$A$202,0)),""))</f>
        <v/>
      </c>
      <c r="L99" s="7" t="str">
        <f>IF($B99="","",IFERROR(INDEX(Connaissements!$G$3:$G$202,MATCH($B99,Connaissements!$A$3:$A$202,0)),""))</f>
        <v/>
      </c>
      <c r="M99" s="7" t="str">
        <f t="shared" si="3"/>
        <v/>
      </c>
      <c r="N99" s="7" t="str">
        <f t="shared" ca="1" si="4"/>
        <v/>
      </c>
      <c r="O99" s="13"/>
      <c r="P99" s="29" t="str">
        <f t="shared" ca="1" si="5"/>
        <v/>
      </c>
      <c r="Q99" s="30" t="str">
        <f>IF($K99="","",IFERROR(IF(INDEX(Bookings!$G$3:$G$202,MATCH($K99,Bookings!$A$3:$A$202,0))="","",INDEX(Bookings!$G$3:$G$202,MATCH($K99,Bookings!$A$3:$A$202,0))),""))</f>
        <v/>
      </c>
    </row>
    <row r="100" spans="1:17" hidden="1" x14ac:dyDescent="0.35">
      <c r="A100" s="81"/>
      <c r="B100" s="81"/>
      <c r="C100" s="21"/>
      <c r="D100" s="56"/>
      <c r="E100" s="14"/>
      <c r="F100" s="14"/>
      <c r="G100" s="14"/>
      <c r="H100" s="83">
        <f t="shared" si="6"/>
        <v>0</v>
      </c>
      <c r="I100" s="80"/>
      <c r="J100" s="80"/>
      <c r="K100" s="7" t="str">
        <f>IF($B100="","",IFERROR(INDEX(Connaissements!$B$3:$B$202,MATCH($B100,Connaissements!$A$3:$A$202,0)),""))</f>
        <v/>
      </c>
      <c r="L100" s="7" t="str">
        <f>IF($B100="","",IFERROR(INDEX(Connaissements!$G$3:$G$202,MATCH($B100,Connaissements!$A$3:$A$202,0)),""))</f>
        <v/>
      </c>
      <c r="M100" s="7" t="str">
        <f t="shared" si="3"/>
        <v/>
      </c>
      <c r="N100" s="7" t="str">
        <f t="shared" ca="1" si="4"/>
        <v/>
      </c>
      <c r="O100" s="13"/>
      <c r="P100" s="29" t="str">
        <f t="shared" ca="1" si="5"/>
        <v/>
      </c>
      <c r="Q100" s="30" t="str">
        <f>IF($K100="","",IFERROR(IF(INDEX(Bookings!$G$3:$G$202,MATCH($K100,Bookings!$A$3:$A$202,0))="","",INDEX(Bookings!$G$3:$G$202,MATCH($K100,Bookings!$A$3:$A$202,0))),""))</f>
        <v/>
      </c>
    </row>
    <row r="101" spans="1:17" hidden="1" x14ac:dyDescent="0.35">
      <c r="A101" s="81"/>
      <c r="B101" s="81"/>
      <c r="C101" s="21"/>
      <c r="D101" s="56"/>
      <c r="E101" s="14"/>
      <c r="F101" s="14"/>
      <c r="G101" s="14"/>
      <c r="H101" s="83">
        <f t="shared" si="6"/>
        <v>0</v>
      </c>
      <c r="I101" s="80"/>
      <c r="J101" s="80"/>
      <c r="K101" s="7" t="str">
        <f>IF($B101="","",IFERROR(INDEX(Connaissements!$B$3:$B$202,MATCH($B101,Connaissements!$A$3:$A$202,0)),""))</f>
        <v/>
      </c>
      <c r="L101" s="7" t="str">
        <f>IF($B101="","",IFERROR(INDEX(Connaissements!$G$3:$G$202,MATCH($B101,Connaissements!$A$3:$A$202,0)),""))</f>
        <v/>
      </c>
      <c r="M101" s="7" t="str">
        <f t="shared" si="3"/>
        <v/>
      </c>
      <c r="N101" s="7" t="str">
        <f t="shared" ca="1" si="4"/>
        <v/>
      </c>
      <c r="O101" s="13"/>
      <c r="P101" s="29" t="str">
        <f t="shared" ca="1" si="5"/>
        <v/>
      </c>
      <c r="Q101" s="30" t="str">
        <f>IF($K101="","",IFERROR(IF(INDEX(Bookings!$G$3:$G$202,MATCH($K101,Bookings!$A$3:$A$202,0))="","",INDEX(Bookings!$G$3:$G$202,MATCH($K101,Bookings!$A$3:$A$202,0))),""))</f>
        <v/>
      </c>
    </row>
    <row r="102" spans="1:17" hidden="1" x14ac:dyDescent="0.35">
      <c r="A102" s="81"/>
      <c r="B102" s="81"/>
      <c r="C102" s="21"/>
      <c r="D102" s="56"/>
      <c r="E102" s="14"/>
      <c r="F102" s="14"/>
      <c r="G102" s="14"/>
      <c r="H102" s="83">
        <f t="shared" si="6"/>
        <v>0</v>
      </c>
      <c r="I102" s="80"/>
      <c r="J102" s="80"/>
      <c r="K102" s="7" t="str">
        <f>IF($B102="","",IFERROR(INDEX(Connaissements!$B$3:$B$202,MATCH($B102,Connaissements!$A$3:$A$202,0)),""))</f>
        <v/>
      </c>
      <c r="L102" s="7" t="str">
        <f>IF($B102="","",IFERROR(INDEX(Connaissements!$G$3:$G$202,MATCH($B102,Connaissements!$A$3:$A$202,0)),""))</f>
        <v/>
      </c>
      <c r="M102" s="7" t="str">
        <f t="shared" si="3"/>
        <v/>
      </c>
      <c r="N102" s="7" t="str">
        <f t="shared" ca="1" si="4"/>
        <v/>
      </c>
      <c r="O102" s="13"/>
      <c r="P102" s="29" t="str">
        <f t="shared" ca="1" si="5"/>
        <v/>
      </c>
      <c r="Q102" s="30" t="str">
        <f>IF($K102="","",IFERROR(IF(INDEX(Bookings!$G$3:$G$202,MATCH($K102,Bookings!$A$3:$A$202,0))="","",INDEX(Bookings!$G$3:$G$202,MATCH($K102,Bookings!$A$3:$A$202,0))),""))</f>
        <v/>
      </c>
    </row>
    <row r="103" spans="1:17" hidden="1" x14ac:dyDescent="0.35">
      <c r="A103" s="81"/>
      <c r="B103" s="81"/>
      <c r="C103" s="21"/>
      <c r="D103" s="56"/>
      <c r="E103" s="14"/>
      <c r="F103" s="14"/>
      <c r="G103" s="14"/>
      <c r="H103" s="83">
        <f t="shared" si="6"/>
        <v>0</v>
      </c>
      <c r="I103" s="80"/>
      <c r="J103" s="80"/>
      <c r="K103" s="7" t="str">
        <f>IF($B103="","",IFERROR(INDEX(Connaissements!$B$3:$B$202,MATCH($B103,Connaissements!$A$3:$A$202,0)),""))</f>
        <v/>
      </c>
      <c r="L103" s="7" t="str">
        <f>IF($B103="","",IFERROR(INDEX(Connaissements!$G$3:$G$202,MATCH($B103,Connaissements!$A$3:$A$202,0)),""))</f>
        <v/>
      </c>
      <c r="M103" s="7" t="str">
        <f t="shared" si="3"/>
        <v/>
      </c>
      <c r="N103" s="7" t="str">
        <f t="shared" ca="1" si="4"/>
        <v/>
      </c>
      <c r="O103" s="13"/>
      <c r="P103" s="29" t="str">
        <f t="shared" ca="1" si="5"/>
        <v/>
      </c>
      <c r="Q103" s="30" t="str">
        <f>IF($K103="","",IFERROR(IF(INDEX(Bookings!$G$3:$G$202,MATCH($K103,Bookings!$A$3:$A$202,0))="","",INDEX(Bookings!$G$3:$G$202,MATCH($K103,Bookings!$A$3:$A$202,0))),""))</f>
        <v/>
      </c>
    </row>
    <row r="104" spans="1:17" hidden="1" x14ac:dyDescent="0.35">
      <c r="A104" s="81"/>
      <c r="B104" s="81"/>
      <c r="C104" s="21"/>
      <c r="D104" s="56"/>
      <c r="E104" s="14"/>
      <c r="F104" s="14"/>
      <c r="G104" s="14"/>
      <c r="H104" s="83">
        <f t="shared" si="6"/>
        <v>0</v>
      </c>
      <c r="I104" s="80"/>
      <c r="J104" s="80"/>
      <c r="K104" s="7" t="str">
        <f>IF($B104="","",IFERROR(INDEX(Connaissements!$B$3:$B$202,MATCH($B104,Connaissements!$A$3:$A$202,0)),""))</f>
        <v/>
      </c>
      <c r="L104" s="7" t="str">
        <f>IF($B104="","",IFERROR(INDEX(Connaissements!$G$3:$G$202,MATCH($B104,Connaissements!$A$3:$A$202,0)),""))</f>
        <v/>
      </c>
      <c r="M104" s="7" t="str">
        <f t="shared" si="3"/>
        <v/>
      </c>
      <c r="N104" s="7" t="str">
        <f t="shared" ca="1" si="4"/>
        <v/>
      </c>
      <c r="O104" s="13"/>
      <c r="P104" s="29" t="str">
        <f t="shared" ca="1" si="5"/>
        <v/>
      </c>
      <c r="Q104" s="30" t="str">
        <f>IF($K104="","",IFERROR(IF(INDEX(Bookings!$G$3:$G$202,MATCH($K104,Bookings!$A$3:$A$202,0))="","",INDEX(Bookings!$G$3:$G$202,MATCH($K104,Bookings!$A$3:$A$202,0))),""))</f>
        <v/>
      </c>
    </row>
    <row r="105" spans="1:17" hidden="1" x14ac:dyDescent="0.35">
      <c r="A105" s="81"/>
      <c r="B105" s="81"/>
      <c r="C105" s="21"/>
      <c r="D105" s="56"/>
      <c r="E105" s="14"/>
      <c r="F105" s="14"/>
      <c r="G105" s="14"/>
      <c r="H105" s="83">
        <f t="shared" si="6"/>
        <v>0</v>
      </c>
      <c r="I105" s="80"/>
      <c r="J105" s="80"/>
      <c r="K105" s="7" t="str">
        <f>IF($B105="","",IFERROR(INDEX(Connaissements!$B$3:$B$202,MATCH($B105,Connaissements!$A$3:$A$202,0)),""))</f>
        <v/>
      </c>
      <c r="L105" s="7" t="str">
        <f>IF($B105="","",IFERROR(INDEX(Connaissements!$G$3:$G$202,MATCH($B105,Connaissements!$A$3:$A$202,0)),""))</f>
        <v/>
      </c>
      <c r="M105" s="7" t="str">
        <f t="shared" si="3"/>
        <v/>
      </c>
      <c r="N105" s="7" t="str">
        <f t="shared" ca="1" si="4"/>
        <v/>
      </c>
      <c r="O105" s="13"/>
      <c r="P105" s="29" t="str">
        <f t="shared" ca="1" si="5"/>
        <v/>
      </c>
      <c r="Q105" s="30" t="str">
        <f>IF($K105="","",IFERROR(IF(INDEX(Bookings!$G$3:$G$202,MATCH($K105,Bookings!$A$3:$A$202,0))="","",INDEX(Bookings!$G$3:$G$202,MATCH($K105,Bookings!$A$3:$A$202,0))),""))</f>
        <v/>
      </c>
    </row>
    <row r="106" spans="1:17" hidden="1" x14ac:dyDescent="0.35">
      <c r="A106" s="81"/>
      <c r="B106" s="81"/>
      <c r="C106" s="21"/>
      <c r="D106" s="56"/>
      <c r="E106" s="14"/>
      <c r="F106" s="14"/>
      <c r="G106" s="14"/>
      <c r="H106" s="83">
        <f t="shared" si="6"/>
        <v>0</v>
      </c>
      <c r="I106" s="80"/>
      <c r="J106" s="80"/>
      <c r="K106" s="7" t="str">
        <f>IF($B106="","",IFERROR(INDEX(Connaissements!$B$3:$B$202,MATCH($B106,Connaissements!$A$3:$A$202,0)),""))</f>
        <v/>
      </c>
      <c r="L106" s="7" t="str">
        <f>IF($B106="","",IFERROR(INDEX(Connaissements!$G$3:$G$202,MATCH($B106,Connaissements!$A$3:$A$202,0)),""))</f>
        <v/>
      </c>
      <c r="M106" s="7" t="str">
        <f t="shared" si="3"/>
        <v/>
      </c>
      <c r="N106" s="7" t="str">
        <f t="shared" ca="1" si="4"/>
        <v/>
      </c>
      <c r="O106" s="13"/>
      <c r="P106" s="29" t="str">
        <f t="shared" ca="1" si="5"/>
        <v/>
      </c>
      <c r="Q106" s="30" t="str">
        <f>IF($K106="","",IFERROR(IF(INDEX(Bookings!$G$3:$G$202,MATCH($K106,Bookings!$A$3:$A$202,0))="","",INDEX(Bookings!$G$3:$G$202,MATCH($K106,Bookings!$A$3:$A$202,0))),""))</f>
        <v/>
      </c>
    </row>
    <row r="107" spans="1:17" hidden="1" x14ac:dyDescent="0.35">
      <c r="A107" s="81"/>
      <c r="B107" s="81"/>
      <c r="C107" s="21"/>
      <c r="D107" s="56"/>
      <c r="E107" s="14"/>
      <c r="F107" s="14"/>
      <c r="G107" s="14"/>
      <c r="H107" s="83">
        <f t="shared" si="6"/>
        <v>0</v>
      </c>
      <c r="I107" s="80"/>
      <c r="J107" s="80"/>
      <c r="K107" s="7" t="str">
        <f>IF($B107="","",IFERROR(INDEX(Connaissements!$B$3:$B$202,MATCH($B107,Connaissements!$A$3:$A$202,0)),""))</f>
        <v/>
      </c>
      <c r="L107" s="7" t="str">
        <f>IF($B107="","",IFERROR(INDEX(Connaissements!$G$3:$G$202,MATCH($B107,Connaissements!$A$3:$A$202,0)),""))</f>
        <v/>
      </c>
      <c r="M107" s="7" t="str">
        <f t="shared" si="3"/>
        <v/>
      </c>
      <c r="N107" s="7" t="str">
        <f t="shared" ca="1" si="4"/>
        <v/>
      </c>
      <c r="O107" s="13"/>
      <c r="P107" s="29" t="str">
        <f t="shared" ca="1" si="5"/>
        <v/>
      </c>
      <c r="Q107" s="30" t="str">
        <f>IF($K107="","",IFERROR(IF(INDEX(Bookings!$G$3:$G$202,MATCH($K107,Bookings!$A$3:$A$202,0))="","",INDEX(Bookings!$G$3:$G$202,MATCH($K107,Bookings!$A$3:$A$202,0))),""))</f>
        <v/>
      </c>
    </row>
    <row r="108" spans="1:17" hidden="1" x14ac:dyDescent="0.35">
      <c r="A108" s="81"/>
      <c r="B108" s="81"/>
      <c r="C108" s="21"/>
      <c r="D108" s="56"/>
      <c r="E108" s="14"/>
      <c r="F108" s="14"/>
      <c r="G108" s="14"/>
      <c r="H108" s="83">
        <f t="shared" si="6"/>
        <v>0</v>
      </c>
      <c r="I108" s="80"/>
      <c r="J108" s="80"/>
      <c r="K108" s="7" t="str">
        <f>IF($B108="","",IFERROR(INDEX(Connaissements!$B$3:$B$202,MATCH($B108,Connaissements!$A$3:$A$202,0)),""))</f>
        <v/>
      </c>
      <c r="L108" s="7" t="str">
        <f>IF($B108="","",IFERROR(INDEX(Connaissements!$G$3:$G$202,MATCH($B108,Connaissements!$A$3:$A$202,0)),""))</f>
        <v/>
      </c>
      <c r="M108" s="7" t="str">
        <f t="shared" si="3"/>
        <v/>
      </c>
      <c r="N108" s="7" t="str">
        <f t="shared" ca="1" si="4"/>
        <v/>
      </c>
      <c r="O108" s="13"/>
      <c r="P108" s="29" t="str">
        <f t="shared" ca="1" si="5"/>
        <v/>
      </c>
      <c r="Q108" s="30" t="str">
        <f>IF($K108="","",IFERROR(IF(INDEX(Bookings!$G$3:$G$202,MATCH($K108,Bookings!$A$3:$A$202,0))="","",INDEX(Bookings!$G$3:$G$202,MATCH($K108,Bookings!$A$3:$A$202,0))),""))</f>
        <v/>
      </c>
    </row>
    <row r="109" spans="1:17" hidden="1" x14ac:dyDescent="0.35">
      <c r="A109" s="81"/>
      <c r="B109" s="81"/>
      <c r="C109" s="21"/>
      <c r="D109" s="56"/>
      <c r="E109" s="14"/>
      <c r="F109" s="14"/>
      <c r="G109" s="14"/>
      <c r="H109" s="83">
        <f t="shared" si="6"/>
        <v>0</v>
      </c>
      <c r="I109" s="80"/>
      <c r="J109" s="80"/>
      <c r="K109" s="7" t="str">
        <f>IF($B109="","",IFERROR(INDEX(Connaissements!$B$3:$B$202,MATCH($B109,Connaissements!$A$3:$A$202,0)),""))</f>
        <v/>
      </c>
      <c r="L109" s="7" t="str">
        <f>IF($B109="","",IFERROR(INDEX(Connaissements!$G$3:$G$202,MATCH($B109,Connaissements!$A$3:$A$202,0)),""))</f>
        <v/>
      </c>
      <c r="M109" s="7" t="str">
        <f t="shared" si="3"/>
        <v/>
      </c>
      <c r="N109" s="7" t="str">
        <f t="shared" ca="1" si="4"/>
        <v/>
      </c>
      <c r="O109" s="13"/>
      <c r="P109" s="29" t="str">
        <f t="shared" ca="1" si="5"/>
        <v/>
      </c>
      <c r="Q109" s="30" t="str">
        <f>IF($K109="","",IFERROR(IF(INDEX(Bookings!$G$3:$G$202,MATCH($K109,Bookings!$A$3:$A$202,0))="","",INDEX(Bookings!$G$3:$G$202,MATCH($K109,Bookings!$A$3:$A$202,0))),""))</f>
        <v/>
      </c>
    </row>
    <row r="110" spans="1:17" hidden="1" x14ac:dyDescent="0.35">
      <c r="A110" s="81"/>
      <c r="B110" s="81"/>
      <c r="C110" s="21"/>
      <c r="D110" s="56"/>
      <c r="E110" s="14"/>
      <c r="F110" s="14"/>
      <c r="G110" s="14"/>
      <c r="H110" s="83">
        <f t="shared" si="6"/>
        <v>0</v>
      </c>
      <c r="I110" s="80"/>
      <c r="J110" s="80"/>
      <c r="K110" s="7" t="str">
        <f>IF($B110="","",IFERROR(INDEX(Connaissements!$B$3:$B$202,MATCH($B110,Connaissements!$A$3:$A$202,0)),""))</f>
        <v/>
      </c>
      <c r="L110" s="7" t="str">
        <f>IF($B110="","",IFERROR(INDEX(Connaissements!$G$3:$G$202,MATCH($B110,Connaissements!$A$3:$A$202,0)),""))</f>
        <v/>
      </c>
      <c r="M110" s="7" t="str">
        <f t="shared" si="3"/>
        <v/>
      </c>
      <c r="N110" s="7" t="str">
        <f t="shared" ca="1" si="4"/>
        <v/>
      </c>
      <c r="O110" s="13"/>
      <c r="P110" s="29" t="str">
        <f t="shared" ca="1" si="5"/>
        <v/>
      </c>
      <c r="Q110" s="30" t="str">
        <f>IF($K110="","",IFERROR(IF(INDEX(Bookings!$G$3:$G$202,MATCH($K110,Bookings!$A$3:$A$202,0))="","",INDEX(Bookings!$G$3:$G$202,MATCH($K110,Bookings!$A$3:$A$202,0))),""))</f>
        <v/>
      </c>
    </row>
    <row r="111" spans="1:17" hidden="1" x14ac:dyDescent="0.35">
      <c r="A111" s="81"/>
      <c r="B111" s="81"/>
      <c r="C111" s="21"/>
      <c r="D111" s="56"/>
      <c r="E111" s="14"/>
      <c r="F111" s="14"/>
      <c r="G111" s="14"/>
      <c r="H111" s="83">
        <f t="shared" si="6"/>
        <v>0</v>
      </c>
      <c r="I111" s="80"/>
      <c r="J111" s="80"/>
      <c r="K111" s="7" t="str">
        <f>IF($B111="","",IFERROR(INDEX(Connaissements!$B$3:$B$202,MATCH($B111,Connaissements!$A$3:$A$202,0)),""))</f>
        <v/>
      </c>
      <c r="L111" s="7" t="str">
        <f>IF($B111="","",IFERROR(INDEX(Connaissements!$G$3:$G$202,MATCH($B111,Connaissements!$A$3:$A$202,0)),""))</f>
        <v/>
      </c>
      <c r="M111" s="7" t="str">
        <f t="shared" si="3"/>
        <v/>
      </c>
      <c r="N111" s="7" t="str">
        <f t="shared" ca="1" si="4"/>
        <v/>
      </c>
      <c r="O111" s="13"/>
      <c r="P111" s="29" t="str">
        <f t="shared" ca="1" si="5"/>
        <v/>
      </c>
      <c r="Q111" s="30" t="str">
        <f>IF($K111="","",IFERROR(IF(INDEX(Bookings!$G$3:$G$202,MATCH($K111,Bookings!$A$3:$A$202,0))="","",INDEX(Bookings!$G$3:$G$202,MATCH($K111,Bookings!$A$3:$A$202,0))),""))</f>
        <v/>
      </c>
    </row>
    <row r="112" spans="1:17" hidden="1" x14ac:dyDescent="0.35">
      <c r="A112" s="81"/>
      <c r="B112" s="81"/>
      <c r="C112" s="21"/>
      <c r="D112" s="56"/>
      <c r="E112" s="14"/>
      <c r="F112" s="14"/>
      <c r="G112" s="14"/>
      <c r="H112" s="83">
        <f t="shared" si="6"/>
        <v>0</v>
      </c>
      <c r="I112" s="80"/>
      <c r="J112" s="80"/>
      <c r="K112" s="7" t="str">
        <f>IF($B112="","",IFERROR(INDEX(Connaissements!$B$3:$B$202,MATCH($B112,Connaissements!$A$3:$A$202,0)),""))</f>
        <v/>
      </c>
      <c r="L112" s="7" t="str">
        <f>IF($B112="","",IFERROR(INDEX(Connaissements!$G$3:$G$202,MATCH($B112,Connaissements!$A$3:$A$202,0)),""))</f>
        <v/>
      </c>
      <c r="M112" s="7" t="str">
        <f t="shared" si="3"/>
        <v/>
      </c>
      <c r="N112" s="7" t="str">
        <f t="shared" ca="1" si="4"/>
        <v/>
      </c>
      <c r="O112" s="13"/>
      <c r="P112" s="29" t="str">
        <f t="shared" ca="1" si="5"/>
        <v/>
      </c>
      <c r="Q112" s="30" t="str">
        <f>IF($K112="","",IFERROR(IF(INDEX(Bookings!$G$3:$G$202,MATCH($K112,Bookings!$A$3:$A$202,0))="","",INDEX(Bookings!$G$3:$G$202,MATCH($K112,Bookings!$A$3:$A$202,0))),""))</f>
        <v/>
      </c>
    </row>
    <row r="113" spans="1:17" hidden="1" x14ac:dyDescent="0.35">
      <c r="A113" s="81"/>
      <c r="B113" s="81"/>
      <c r="C113" s="21"/>
      <c r="D113" s="56"/>
      <c r="E113" s="14"/>
      <c r="F113" s="14"/>
      <c r="G113" s="14"/>
      <c r="H113" s="83">
        <f t="shared" si="6"/>
        <v>0</v>
      </c>
      <c r="I113" s="80"/>
      <c r="J113" s="80"/>
      <c r="K113" s="7" t="str">
        <f>IF($B113="","",IFERROR(INDEX(Connaissements!$B$3:$B$202,MATCH($B113,Connaissements!$A$3:$A$202,0)),""))</f>
        <v/>
      </c>
      <c r="L113" s="7" t="str">
        <f>IF($B113="","",IFERROR(INDEX(Connaissements!$G$3:$G$202,MATCH($B113,Connaissements!$A$3:$A$202,0)),""))</f>
        <v/>
      </c>
      <c r="M113" s="7" t="str">
        <f t="shared" si="3"/>
        <v/>
      </c>
      <c r="N113" s="7" t="str">
        <f t="shared" ca="1" si="4"/>
        <v/>
      </c>
      <c r="O113" s="13"/>
      <c r="P113" s="29" t="str">
        <f t="shared" ca="1" si="5"/>
        <v/>
      </c>
      <c r="Q113" s="30" t="str">
        <f>IF($K113="","",IFERROR(IF(INDEX(Bookings!$G$3:$G$202,MATCH($K113,Bookings!$A$3:$A$202,0))="","",INDEX(Bookings!$G$3:$G$202,MATCH($K113,Bookings!$A$3:$A$202,0))),""))</f>
        <v/>
      </c>
    </row>
    <row r="114" spans="1:17" hidden="1" x14ac:dyDescent="0.35">
      <c r="A114" s="81"/>
      <c r="B114" s="81"/>
      <c r="C114" s="21"/>
      <c r="D114" s="56"/>
      <c r="E114" s="14"/>
      <c r="F114" s="14"/>
      <c r="G114" s="14"/>
      <c r="H114" s="83">
        <f t="shared" si="6"/>
        <v>0</v>
      </c>
      <c r="I114" s="80"/>
      <c r="J114" s="80"/>
      <c r="K114" s="7" t="str">
        <f>IF($B114="","",IFERROR(INDEX(Connaissements!$B$3:$B$202,MATCH($B114,Connaissements!$A$3:$A$202,0)),""))</f>
        <v/>
      </c>
      <c r="L114" s="7" t="str">
        <f>IF($B114="","",IFERROR(INDEX(Connaissements!$G$3:$G$202,MATCH($B114,Connaissements!$A$3:$A$202,0)),""))</f>
        <v/>
      </c>
      <c r="M114" s="7" t="str">
        <f t="shared" si="3"/>
        <v/>
      </c>
      <c r="N114" s="7" t="str">
        <f t="shared" ca="1" si="4"/>
        <v/>
      </c>
      <c r="O114" s="13"/>
      <c r="P114" s="29" t="str">
        <f t="shared" ca="1" si="5"/>
        <v/>
      </c>
      <c r="Q114" s="30" t="str">
        <f>IF($K114="","",IFERROR(IF(INDEX(Bookings!$G$3:$G$202,MATCH($K114,Bookings!$A$3:$A$202,0))="","",INDEX(Bookings!$G$3:$G$202,MATCH($K114,Bookings!$A$3:$A$202,0))),""))</f>
        <v/>
      </c>
    </row>
    <row r="115" spans="1:17" hidden="1" x14ac:dyDescent="0.35">
      <c r="A115" s="81"/>
      <c r="B115" s="81"/>
      <c r="C115" s="21"/>
      <c r="D115" s="56"/>
      <c r="E115" s="14"/>
      <c r="F115" s="14"/>
      <c r="G115" s="14"/>
      <c r="H115" s="83">
        <f t="shared" si="6"/>
        <v>0</v>
      </c>
      <c r="I115" s="80"/>
      <c r="J115" s="80"/>
      <c r="K115" s="7" t="str">
        <f>IF($B115="","",IFERROR(INDEX(Connaissements!$B$3:$B$202,MATCH($B115,Connaissements!$A$3:$A$202,0)),""))</f>
        <v/>
      </c>
      <c r="L115" s="7" t="str">
        <f>IF($B115="","",IFERROR(INDEX(Connaissements!$G$3:$G$202,MATCH($B115,Connaissements!$A$3:$A$202,0)),""))</f>
        <v/>
      </c>
      <c r="M115" s="7" t="str">
        <f t="shared" si="3"/>
        <v/>
      </c>
      <c r="N115" s="7" t="str">
        <f t="shared" ca="1" si="4"/>
        <v/>
      </c>
      <c r="O115" s="13"/>
      <c r="P115" s="29" t="str">
        <f t="shared" ca="1" si="5"/>
        <v/>
      </c>
      <c r="Q115" s="30" t="str">
        <f>IF($K115="","",IFERROR(IF(INDEX(Bookings!$G$3:$G$202,MATCH($K115,Bookings!$A$3:$A$202,0))="","",INDEX(Bookings!$G$3:$G$202,MATCH($K115,Bookings!$A$3:$A$202,0))),""))</f>
        <v/>
      </c>
    </row>
    <row r="116" spans="1:17" hidden="1" x14ac:dyDescent="0.35">
      <c r="A116" s="81"/>
      <c r="B116" s="81"/>
      <c r="C116" s="21"/>
      <c r="D116" s="56"/>
      <c r="E116" s="14"/>
      <c r="F116" s="14"/>
      <c r="G116" s="14"/>
      <c r="H116" s="83">
        <f t="shared" si="6"/>
        <v>0</v>
      </c>
      <c r="I116" s="80"/>
      <c r="J116" s="80"/>
      <c r="K116" s="7" t="str">
        <f>IF($B116="","",IFERROR(INDEX(Connaissements!$B$3:$B$202,MATCH($B116,Connaissements!$A$3:$A$202,0)),""))</f>
        <v/>
      </c>
      <c r="L116" s="7" t="str">
        <f>IF($B116="","",IFERROR(INDEX(Connaissements!$G$3:$G$202,MATCH($B116,Connaissements!$A$3:$A$202,0)),""))</f>
        <v/>
      </c>
      <c r="M116" s="7" t="str">
        <f t="shared" si="3"/>
        <v/>
      </c>
      <c r="N116" s="7" t="str">
        <f t="shared" ca="1" si="4"/>
        <v/>
      </c>
      <c r="O116" s="13"/>
      <c r="P116" s="29" t="str">
        <f t="shared" ca="1" si="5"/>
        <v/>
      </c>
      <c r="Q116" s="30" t="str">
        <f>IF($K116="","",IFERROR(IF(INDEX(Bookings!$G$3:$G$202,MATCH($K116,Bookings!$A$3:$A$202,0))="","",INDEX(Bookings!$G$3:$G$202,MATCH($K116,Bookings!$A$3:$A$202,0))),""))</f>
        <v/>
      </c>
    </row>
    <row r="117" spans="1:17" hidden="1" x14ac:dyDescent="0.35">
      <c r="A117" s="81"/>
      <c r="B117" s="81"/>
      <c r="C117" s="21"/>
      <c r="D117" s="56"/>
      <c r="E117" s="14"/>
      <c r="F117" s="14"/>
      <c r="G117" s="14"/>
      <c r="H117" s="83">
        <f t="shared" si="6"/>
        <v>0</v>
      </c>
      <c r="I117" s="80"/>
      <c r="J117" s="80"/>
      <c r="K117" s="7" t="str">
        <f>IF($B117="","",IFERROR(INDEX(Connaissements!$B$3:$B$202,MATCH($B117,Connaissements!$A$3:$A$202,0)),""))</f>
        <v/>
      </c>
      <c r="L117" s="7" t="str">
        <f>IF($B117="","",IFERROR(INDEX(Connaissements!$G$3:$G$202,MATCH($B117,Connaissements!$A$3:$A$202,0)),""))</f>
        <v/>
      </c>
      <c r="M117" s="7" t="str">
        <f t="shared" si="3"/>
        <v/>
      </c>
      <c r="N117" s="7" t="str">
        <f t="shared" ca="1" si="4"/>
        <v/>
      </c>
      <c r="O117" s="13"/>
      <c r="P117" s="29" t="str">
        <f t="shared" ca="1" si="5"/>
        <v/>
      </c>
      <c r="Q117" s="30" t="str">
        <f>IF($K117="","",IFERROR(IF(INDEX(Bookings!$G$3:$G$202,MATCH($K117,Bookings!$A$3:$A$202,0))="","",INDEX(Bookings!$G$3:$G$202,MATCH($K117,Bookings!$A$3:$A$202,0))),""))</f>
        <v/>
      </c>
    </row>
    <row r="118" spans="1:17" hidden="1" x14ac:dyDescent="0.35">
      <c r="A118" s="81"/>
      <c r="B118" s="81"/>
      <c r="C118" s="21"/>
      <c r="D118" s="56"/>
      <c r="E118" s="14"/>
      <c r="F118" s="14"/>
      <c r="G118" s="14"/>
      <c r="H118" s="83">
        <f t="shared" si="6"/>
        <v>0</v>
      </c>
      <c r="I118" s="80"/>
      <c r="J118" s="80"/>
      <c r="K118" s="7" t="str">
        <f>IF($B118="","",IFERROR(INDEX(Connaissements!$B$3:$B$202,MATCH($B118,Connaissements!$A$3:$A$202,0)),""))</f>
        <v/>
      </c>
      <c r="L118" s="7" t="str">
        <f>IF($B118="","",IFERROR(INDEX(Connaissements!$G$3:$G$202,MATCH($B118,Connaissements!$A$3:$A$202,0)),""))</f>
        <v/>
      </c>
      <c r="M118" s="7" t="str">
        <f t="shared" si="3"/>
        <v/>
      </c>
      <c r="N118" s="7" t="str">
        <f t="shared" ca="1" si="4"/>
        <v/>
      </c>
      <c r="O118" s="13"/>
      <c r="P118" s="29" t="str">
        <f t="shared" ca="1" si="5"/>
        <v/>
      </c>
      <c r="Q118" s="30" t="str">
        <f>IF($K118="","",IFERROR(IF(INDEX(Bookings!$G$3:$G$202,MATCH($K118,Bookings!$A$3:$A$202,0))="","",INDEX(Bookings!$G$3:$G$202,MATCH($K118,Bookings!$A$3:$A$202,0))),""))</f>
        <v/>
      </c>
    </row>
    <row r="119" spans="1:17" hidden="1" x14ac:dyDescent="0.35">
      <c r="A119" s="81"/>
      <c r="B119" s="81"/>
      <c r="C119" s="21"/>
      <c r="D119" s="56"/>
      <c r="E119" s="14"/>
      <c r="F119" s="14"/>
      <c r="G119" s="14"/>
      <c r="H119" s="83">
        <f t="shared" si="6"/>
        <v>0</v>
      </c>
      <c r="I119" s="80"/>
      <c r="J119" s="80"/>
      <c r="K119" s="7" t="str">
        <f>IF($B119="","",IFERROR(INDEX(Connaissements!$B$3:$B$202,MATCH($B119,Connaissements!$A$3:$A$202,0)),""))</f>
        <v/>
      </c>
      <c r="L119" s="7" t="str">
        <f>IF($B119="","",IFERROR(INDEX(Connaissements!$G$3:$G$202,MATCH($B119,Connaissements!$A$3:$A$202,0)),""))</f>
        <v/>
      </c>
      <c r="M119" s="7" t="str">
        <f t="shared" si="3"/>
        <v/>
      </c>
      <c r="N119" s="7" t="str">
        <f t="shared" ca="1" si="4"/>
        <v/>
      </c>
      <c r="O119" s="13"/>
      <c r="P119" s="29" t="str">
        <f t="shared" ca="1" si="5"/>
        <v/>
      </c>
      <c r="Q119" s="30" t="str">
        <f>IF($K119="","",IFERROR(IF(INDEX(Bookings!$G$3:$G$202,MATCH($K119,Bookings!$A$3:$A$202,0))="","",INDEX(Bookings!$G$3:$G$202,MATCH($K119,Bookings!$A$3:$A$202,0))),""))</f>
        <v/>
      </c>
    </row>
    <row r="120" spans="1:17" hidden="1" x14ac:dyDescent="0.35">
      <c r="A120" s="81"/>
      <c r="B120" s="81"/>
      <c r="C120" s="21"/>
      <c r="D120" s="56"/>
      <c r="E120" s="14"/>
      <c r="F120" s="14"/>
      <c r="G120" s="14"/>
      <c r="H120" s="83">
        <f t="shared" si="6"/>
        <v>0</v>
      </c>
      <c r="I120" s="80"/>
      <c r="J120" s="80"/>
      <c r="K120" s="7" t="str">
        <f>IF($B120="","",IFERROR(INDEX(Connaissements!$B$3:$B$202,MATCH($B120,Connaissements!$A$3:$A$202,0)),""))</f>
        <v/>
      </c>
      <c r="L120" s="7" t="str">
        <f>IF($B120="","",IFERROR(INDEX(Connaissements!$G$3:$G$202,MATCH($B120,Connaissements!$A$3:$A$202,0)),""))</f>
        <v/>
      </c>
      <c r="M120" s="7" t="str">
        <f t="shared" si="3"/>
        <v/>
      </c>
      <c r="N120" s="7" t="str">
        <f t="shared" ca="1" si="4"/>
        <v/>
      </c>
      <c r="O120" s="13"/>
      <c r="P120" s="29" t="str">
        <f t="shared" ca="1" si="5"/>
        <v/>
      </c>
      <c r="Q120" s="30" t="str">
        <f>IF($K120="","",IFERROR(IF(INDEX(Bookings!$G$3:$G$202,MATCH($K120,Bookings!$A$3:$A$202,0))="","",INDEX(Bookings!$G$3:$G$202,MATCH($K120,Bookings!$A$3:$A$202,0))),""))</f>
        <v/>
      </c>
    </row>
    <row r="121" spans="1:17" hidden="1" x14ac:dyDescent="0.35">
      <c r="A121" s="81"/>
      <c r="B121" s="81"/>
      <c r="C121" s="21"/>
      <c r="D121" s="56"/>
      <c r="E121" s="14"/>
      <c r="F121" s="14"/>
      <c r="G121" s="14"/>
      <c r="H121" s="83">
        <f t="shared" si="6"/>
        <v>0</v>
      </c>
      <c r="I121" s="80"/>
      <c r="J121" s="80"/>
      <c r="K121" s="7" t="str">
        <f>IF($B121="","",IFERROR(INDEX(Connaissements!$B$3:$B$202,MATCH($B121,Connaissements!$A$3:$A$202,0)),""))</f>
        <v/>
      </c>
      <c r="L121" s="7" t="str">
        <f>IF($B121="","",IFERROR(INDEX(Connaissements!$G$3:$G$202,MATCH($B121,Connaissements!$A$3:$A$202,0)),""))</f>
        <v/>
      </c>
      <c r="M121" s="7" t="str">
        <f t="shared" si="3"/>
        <v/>
      </c>
      <c r="N121" s="7" t="str">
        <f t="shared" ca="1" si="4"/>
        <v/>
      </c>
      <c r="O121" s="13"/>
      <c r="P121" s="29" t="str">
        <f t="shared" ca="1" si="5"/>
        <v/>
      </c>
      <c r="Q121" s="30" t="str">
        <f>IF($K121="","",IFERROR(IF(INDEX(Bookings!$G$3:$G$202,MATCH($K121,Bookings!$A$3:$A$202,0))="","",INDEX(Bookings!$G$3:$G$202,MATCH($K121,Bookings!$A$3:$A$202,0))),""))</f>
        <v/>
      </c>
    </row>
    <row r="122" spans="1:17" hidden="1" x14ac:dyDescent="0.35">
      <c r="A122" s="81"/>
      <c r="B122" s="81"/>
      <c r="C122" s="21"/>
      <c r="D122" s="56"/>
      <c r="E122" s="14"/>
      <c r="F122" s="14"/>
      <c r="G122" s="14"/>
      <c r="H122" s="83">
        <f t="shared" si="6"/>
        <v>0</v>
      </c>
      <c r="I122" s="80"/>
      <c r="J122" s="80"/>
      <c r="K122" s="7" t="str">
        <f>IF($B122="","",IFERROR(INDEX(Connaissements!$B$3:$B$202,MATCH($B122,Connaissements!$A$3:$A$202,0)),""))</f>
        <v/>
      </c>
      <c r="L122" s="7" t="str">
        <f>IF($B122="","",IFERROR(INDEX(Connaissements!$G$3:$G$202,MATCH($B122,Connaissements!$A$3:$A$202,0)),""))</f>
        <v/>
      </c>
      <c r="M122" s="7" t="str">
        <f t="shared" si="3"/>
        <v/>
      </c>
      <c r="N122" s="7" t="str">
        <f t="shared" ca="1" si="4"/>
        <v/>
      </c>
      <c r="O122" s="13"/>
      <c r="P122" s="29" t="str">
        <f t="shared" ca="1" si="5"/>
        <v/>
      </c>
      <c r="Q122" s="30" t="str">
        <f>IF($K122="","",IFERROR(IF(INDEX(Bookings!$G$3:$G$202,MATCH($K122,Bookings!$A$3:$A$202,0))="","",INDEX(Bookings!$G$3:$G$202,MATCH($K122,Bookings!$A$3:$A$202,0))),""))</f>
        <v/>
      </c>
    </row>
    <row r="123" spans="1:17" hidden="1" x14ac:dyDescent="0.35">
      <c r="A123" s="81"/>
      <c r="B123" s="81"/>
      <c r="C123" s="21"/>
      <c r="D123" s="56"/>
      <c r="E123" s="14"/>
      <c r="F123" s="14"/>
      <c r="G123" s="14"/>
      <c r="H123" s="83">
        <f t="shared" si="6"/>
        <v>0</v>
      </c>
      <c r="I123" s="80"/>
      <c r="J123" s="80"/>
      <c r="K123" s="7" t="str">
        <f>IF($B123="","",IFERROR(INDEX(Connaissements!$B$3:$B$202,MATCH($B123,Connaissements!$A$3:$A$202,0)),""))</f>
        <v/>
      </c>
      <c r="L123" s="7" t="str">
        <f>IF($B123="","",IFERROR(INDEX(Connaissements!$G$3:$G$202,MATCH($B123,Connaissements!$A$3:$A$202,0)),""))</f>
        <v/>
      </c>
      <c r="M123" s="7" t="str">
        <f t="shared" si="3"/>
        <v/>
      </c>
      <c r="N123" s="7" t="str">
        <f t="shared" ca="1" si="4"/>
        <v/>
      </c>
      <c r="O123" s="13"/>
      <c r="P123" s="29" t="str">
        <f t="shared" ca="1" si="5"/>
        <v/>
      </c>
      <c r="Q123" s="30" t="str">
        <f>IF($K123="","",IFERROR(IF(INDEX(Bookings!$G$3:$G$202,MATCH($K123,Bookings!$A$3:$A$202,0))="","",INDEX(Bookings!$G$3:$G$202,MATCH($K123,Bookings!$A$3:$A$202,0))),""))</f>
        <v/>
      </c>
    </row>
    <row r="124" spans="1:17" hidden="1" x14ac:dyDescent="0.35">
      <c r="A124" s="81"/>
      <c r="B124" s="81"/>
      <c r="C124" s="21"/>
      <c r="D124" s="56"/>
      <c r="E124" s="14"/>
      <c r="F124" s="14"/>
      <c r="G124" s="14"/>
      <c r="H124" s="83">
        <f t="shared" si="6"/>
        <v>0</v>
      </c>
      <c r="I124" s="80"/>
      <c r="J124" s="80"/>
      <c r="K124" s="7" t="str">
        <f>IF($B124="","",IFERROR(INDEX(Connaissements!$B$3:$B$202,MATCH($B124,Connaissements!$A$3:$A$202,0)),""))</f>
        <v/>
      </c>
      <c r="L124" s="7" t="str">
        <f>IF($B124="","",IFERROR(INDEX(Connaissements!$G$3:$G$202,MATCH($B124,Connaissements!$A$3:$A$202,0)),""))</f>
        <v/>
      </c>
      <c r="M124" s="7" t="str">
        <f t="shared" si="3"/>
        <v/>
      </c>
      <c r="N124" s="7" t="str">
        <f t="shared" ca="1" si="4"/>
        <v/>
      </c>
      <c r="O124" s="13"/>
      <c r="P124" s="29" t="str">
        <f t="shared" ca="1" si="5"/>
        <v/>
      </c>
      <c r="Q124" s="30" t="str">
        <f>IF($K124="","",IFERROR(IF(INDEX(Bookings!$G$3:$G$202,MATCH($K124,Bookings!$A$3:$A$202,0))="","",INDEX(Bookings!$G$3:$G$202,MATCH($K124,Bookings!$A$3:$A$202,0))),""))</f>
        <v/>
      </c>
    </row>
    <row r="125" spans="1:17" hidden="1" x14ac:dyDescent="0.35">
      <c r="A125" s="81"/>
      <c r="B125" s="81"/>
      <c r="C125" s="21"/>
      <c r="D125" s="56"/>
      <c r="E125" s="14"/>
      <c r="F125" s="14"/>
      <c r="G125" s="14"/>
      <c r="H125" s="83">
        <f t="shared" si="6"/>
        <v>0</v>
      </c>
      <c r="I125" s="80"/>
      <c r="J125" s="80"/>
      <c r="K125" s="7" t="str">
        <f>IF($B125="","",IFERROR(INDEX(Connaissements!$B$3:$B$202,MATCH($B125,Connaissements!$A$3:$A$202,0)),""))</f>
        <v/>
      </c>
      <c r="L125" s="7" t="str">
        <f>IF($B125="","",IFERROR(INDEX(Connaissements!$G$3:$G$202,MATCH($B125,Connaissements!$A$3:$A$202,0)),""))</f>
        <v/>
      </c>
      <c r="M125" s="7" t="str">
        <f t="shared" si="3"/>
        <v/>
      </c>
      <c r="N125" s="7" t="str">
        <f t="shared" ca="1" si="4"/>
        <v/>
      </c>
      <c r="O125" s="13"/>
      <c r="P125" s="29" t="str">
        <f t="shared" ca="1" si="5"/>
        <v/>
      </c>
      <c r="Q125" s="30" t="str">
        <f>IF($K125="","",IFERROR(IF(INDEX(Bookings!$G$3:$G$202,MATCH($K125,Bookings!$A$3:$A$202,0))="","",INDEX(Bookings!$G$3:$G$202,MATCH($K125,Bookings!$A$3:$A$202,0))),""))</f>
        <v/>
      </c>
    </row>
    <row r="126" spans="1:17" hidden="1" x14ac:dyDescent="0.35">
      <c r="A126" s="81"/>
      <c r="B126" s="81"/>
      <c r="C126" s="21"/>
      <c r="D126" s="56"/>
      <c r="E126" s="14"/>
      <c r="F126" s="14"/>
      <c r="G126" s="14"/>
      <c r="H126" s="83">
        <f t="shared" si="6"/>
        <v>0</v>
      </c>
      <c r="I126" s="80"/>
      <c r="J126" s="80"/>
      <c r="K126" s="7" t="str">
        <f>IF($B126="","",IFERROR(INDEX(Connaissements!$B$3:$B$202,MATCH($B126,Connaissements!$A$3:$A$202,0)),""))</f>
        <v/>
      </c>
      <c r="L126" s="7" t="str">
        <f>IF($B126="","",IFERROR(INDEX(Connaissements!$G$3:$G$202,MATCH($B126,Connaissements!$A$3:$A$202,0)),""))</f>
        <v/>
      </c>
      <c r="M126" s="7" t="str">
        <f t="shared" si="3"/>
        <v/>
      </c>
      <c r="N126" s="7" t="str">
        <f t="shared" ca="1" si="4"/>
        <v/>
      </c>
      <c r="O126" s="13"/>
      <c r="P126" s="29" t="str">
        <f t="shared" ca="1" si="5"/>
        <v/>
      </c>
      <c r="Q126" s="30" t="str">
        <f>IF($K126="","",IFERROR(IF(INDEX(Bookings!$G$3:$G$202,MATCH($K126,Bookings!$A$3:$A$202,0))="","",INDEX(Bookings!$G$3:$G$202,MATCH($K126,Bookings!$A$3:$A$202,0))),""))</f>
        <v/>
      </c>
    </row>
    <row r="127" spans="1:17" hidden="1" x14ac:dyDescent="0.35">
      <c r="A127" s="81"/>
      <c r="B127" s="81"/>
      <c r="C127" s="21"/>
      <c r="D127" s="56"/>
      <c r="E127" s="14"/>
      <c r="F127" s="14"/>
      <c r="G127" s="14"/>
      <c r="H127" s="83">
        <f t="shared" si="6"/>
        <v>0</v>
      </c>
      <c r="I127" s="80"/>
      <c r="J127" s="80"/>
      <c r="K127" s="7" t="str">
        <f>IF($B127="","",IFERROR(INDEX(Connaissements!$B$3:$B$202,MATCH($B127,Connaissements!$A$3:$A$202,0)),""))</f>
        <v/>
      </c>
      <c r="L127" s="7" t="str">
        <f>IF($B127="","",IFERROR(INDEX(Connaissements!$G$3:$G$202,MATCH($B127,Connaissements!$A$3:$A$202,0)),""))</f>
        <v/>
      </c>
      <c r="M127" s="7" t="str">
        <f t="shared" si="3"/>
        <v/>
      </c>
      <c r="N127" s="7" t="str">
        <f t="shared" ca="1" si="4"/>
        <v/>
      </c>
      <c r="O127" s="13"/>
      <c r="P127" s="29" t="str">
        <f t="shared" ca="1" si="5"/>
        <v/>
      </c>
      <c r="Q127" s="30" t="str">
        <f>IF($K127="","",IFERROR(IF(INDEX(Bookings!$G$3:$G$202,MATCH($K127,Bookings!$A$3:$A$202,0))="","",INDEX(Bookings!$G$3:$G$202,MATCH($K127,Bookings!$A$3:$A$202,0))),""))</f>
        <v/>
      </c>
    </row>
    <row r="128" spans="1:17" hidden="1" x14ac:dyDescent="0.35">
      <c r="A128" s="81"/>
      <c r="B128" s="81"/>
      <c r="C128" s="21"/>
      <c r="D128" s="56"/>
      <c r="E128" s="14"/>
      <c r="F128" s="14"/>
      <c r="G128" s="14"/>
      <c r="H128" s="83">
        <f t="shared" si="6"/>
        <v>0</v>
      </c>
      <c r="I128" s="80"/>
      <c r="J128" s="80"/>
      <c r="K128" s="7" t="str">
        <f>IF($B128="","",IFERROR(INDEX(Connaissements!$B$3:$B$202,MATCH($B128,Connaissements!$A$3:$A$202,0)),""))</f>
        <v/>
      </c>
      <c r="L128" s="7" t="str">
        <f>IF($B128="","",IFERROR(INDEX(Connaissements!$G$3:$G$202,MATCH($B128,Connaissements!$A$3:$A$202,0)),""))</f>
        <v/>
      </c>
      <c r="M128" s="7" t="str">
        <f t="shared" si="3"/>
        <v/>
      </c>
      <c r="N128" s="7" t="str">
        <f t="shared" ca="1" si="4"/>
        <v/>
      </c>
      <c r="O128" s="13"/>
      <c r="P128" s="29" t="str">
        <f t="shared" ca="1" si="5"/>
        <v/>
      </c>
      <c r="Q128" s="30" t="str">
        <f>IF($K128="","",IFERROR(IF(INDEX(Bookings!$G$3:$G$202,MATCH($K128,Bookings!$A$3:$A$202,0))="","",INDEX(Bookings!$G$3:$G$202,MATCH($K128,Bookings!$A$3:$A$202,0))),""))</f>
        <v/>
      </c>
    </row>
    <row r="129" spans="1:17" hidden="1" x14ac:dyDescent="0.35">
      <c r="A129" s="81"/>
      <c r="B129" s="81"/>
      <c r="C129" s="21"/>
      <c r="D129" s="56"/>
      <c r="E129" s="14"/>
      <c r="F129" s="14"/>
      <c r="G129" s="14"/>
      <c r="H129" s="83">
        <f t="shared" si="6"/>
        <v>0</v>
      </c>
      <c r="I129" s="80"/>
      <c r="J129" s="80"/>
      <c r="K129" s="7" t="str">
        <f>IF($B129="","",IFERROR(INDEX(Connaissements!$B$3:$B$202,MATCH($B129,Connaissements!$A$3:$A$202,0)),""))</f>
        <v/>
      </c>
      <c r="L129" s="7" t="str">
        <f>IF($B129="","",IFERROR(INDEX(Connaissements!$G$3:$G$202,MATCH($B129,Connaissements!$A$3:$A$202,0)),""))</f>
        <v/>
      </c>
      <c r="M129" s="7" t="str">
        <f t="shared" si="3"/>
        <v/>
      </c>
      <c r="N129" s="7" t="str">
        <f t="shared" ca="1" si="4"/>
        <v/>
      </c>
      <c r="O129" s="13"/>
      <c r="P129" s="29" t="str">
        <f t="shared" ca="1" si="5"/>
        <v/>
      </c>
      <c r="Q129" s="30" t="str">
        <f>IF($K129="","",IFERROR(IF(INDEX(Bookings!$G$3:$G$202,MATCH($K129,Bookings!$A$3:$A$202,0))="","",INDEX(Bookings!$G$3:$G$202,MATCH($K129,Bookings!$A$3:$A$202,0))),""))</f>
        <v/>
      </c>
    </row>
    <row r="130" spans="1:17" hidden="1" x14ac:dyDescent="0.35">
      <c r="A130" s="81"/>
      <c r="B130" s="81"/>
      <c r="C130" s="21"/>
      <c r="D130" s="56"/>
      <c r="E130" s="14"/>
      <c r="F130" s="14"/>
      <c r="G130" s="14"/>
      <c r="H130" s="83">
        <f t="shared" si="6"/>
        <v>0</v>
      </c>
      <c r="I130" s="80"/>
      <c r="J130" s="80"/>
      <c r="K130" s="7" t="str">
        <f>IF($B130="","",IFERROR(INDEX(Connaissements!$B$3:$B$202,MATCH($B130,Connaissements!$A$3:$A$202,0)),""))</f>
        <v/>
      </c>
      <c r="L130" s="7" t="str">
        <f>IF($B130="","",IFERROR(INDEX(Connaissements!$G$3:$G$202,MATCH($B130,Connaissements!$A$3:$A$202,0)),""))</f>
        <v/>
      </c>
      <c r="M130" s="7" t="str">
        <f t="shared" si="3"/>
        <v/>
      </c>
      <c r="N130" s="7" t="str">
        <f t="shared" ca="1" si="4"/>
        <v/>
      </c>
      <c r="O130" s="13"/>
      <c r="P130" s="29" t="str">
        <f t="shared" ca="1" si="5"/>
        <v/>
      </c>
      <c r="Q130" s="30" t="str">
        <f>IF($K130="","",IFERROR(IF(INDEX(Bookings!$G$3:$G$202,MATCH($K130,Bookings!$A$3:$A$202,0))="","",INDEX(Bookings!$G$3:$G$202,MATCH($K130,Bookings!$A$3:$A$202,0))),""))</f>
        <v/>
      </c>
    </row>
    <row r="131" spans="1:17" hidden="1" x14ac:dyDescent="0.35">
      <c r="A131" s="81"/>
      <c r="B131" s="81"/>
      <c r="C131" s="21"/>
      <c r="D131" s="56"/>
      <c r="E131" s="14"/>
      <c r="F131" s="14"/>
      <c r="G131" s="14"/>
      <c r="H131" s="83">
        <f t="shared" si="6"/>
        <v>0</v>
      </c>
      <c r="I131" s="80"/>
      <c r="J131" s="80"/>
      <c r="K131" s="7" t="str">
        <f>IF($B131="","",IFERROR(INDEX(Connaissements!$B$3:$B$202,MATCH($B131,Connaissements!$A$3:$A$202,0)),""))</f>
        <v/>
      </c>
      <c r="L131" s="7" t="str">
        <f>IF($B131="","",IFERROR(INDEX(Connaissements!$G$3:$G$202,MATCH($B131,Connaissements!$A$3:$A$202,0)),""))</f>
        <v/>
      </c>
      <c r="M131" s="7" t="str">
        <f t="shared" ref="M131:M194" si="7">IF($A131="","",IF($G131&lt;&gt;"","Embarqué",IF($F131&lt;&gt;"","Gate-In fait",IF($E131&lt;&gt;"","Empoté","À empoter"))))</f>
        <v/>
      </c>
      <c r="N131" s="7" t="str">
        <f t="shared" ref="N131:N194" ca="1" si="8">IF(OR($A131="",$G131&lt;&gt;""),"",IF(AND($Q131&lt;&gt;"",N($Q131)&lt;TODAY()),"RETARD : ETD dépassé, pas embarqué",IF(AND($Q131&lt;&gt;"",N($Q131)-TODAY()&lt;=P_AlerteETD,$F131=""),"Gate-In à faire (ETD proche)",IF(AND($E131&lt;&gt;"",$H131=""),"Poids net à saisir",""))))</f>
        <v/>
      </c>
      <c r="O131" s="13"/>
      <c r="P131" s="29" t="str">
        <f t="shared" ref="P131:P194" ca="1" si="9">IF($N131&lt;&gt;"",1,"")</f>
        <v/>
      </c>
      <c r="Q131" s="30" t="str">
        <f>IF($K131="","",IFERROR(IF(INDEX(Bookings!$G$3:$G$202,MATCH($K131,Bookings!$A$3:$A$202,0))="","",INDEX(Bookings!$G$3:$G$202,MATCH($K131,Bookings!$A$3:$A$202,0))),""))</f>
        <v/>
      </c>
    </row>
    <row r="132" spans="1:17" hidden="1" x14ac:dyDescent="0.35">
      <c r="A132" s="81"/>
      <c r="B132" s="81"/>
      <c r="C132" s="21"/>
      <c r="D132" s="56"/>
      <c r="E132" s="14"/>
      <c r="F132" s="14"/>
      <c r="G132" s="14"/>
      <c r="H132" s="83">
        <f t="shared" ref="H132:H195" si="10">J132-I132</f>
        <v>0</v>
      </c>
      <c r="I132" s="80"/>
      <c r="J132" s="80"/>
      <c r="K132" s="7" t="str">
        <f>IF($B132="","",IFERROR(INDEX(Connaissements!$B$3:$B$202,MATCH($B132,Connaissements!$A$3:$A$202,0)),""))</f>
        <v/>
      </c>
      <c r="L132" s="7" t="str">
        <f>IF($B132="","",IFERROR(INDEX(Connaissements!$G$3:$G$202,MATCH($B132,Connaissements!$A$3:$A$202,0)),""))</f>
        <v/>
      </c>
      <c r="M132" s="7" t="str">
        <f t="shared" si="7"/>
        <v/>
      </c>
      <c r="N132" s="7" t="str">
        <f t="shared" ca="1" si="8"/>
        <v/>
      </c>
      <c r="O132" s="13"/>
      <c r="P132" s="29" t="str">
        <f t="shared" ca="1" si="9"/>
        <v/>
      </c>
      <c r="Q132" s="30" t="str">
        <f>IF($K132="","",IFERROR(IF(INDEX(Bookings!$G$3:$G$202,MATCH($K132,Bookings!$A$3:$A$202,0))="","",INDEX(Bookings!$G$3:$G$202,MATCH($K132,Bookings!$A$3:$A$202,0))),""))</f>
        <v/>
      </c>
    </row>
    <row r="133" spans="1:17" hidden="1" x14ac:dyDescent="0.35">
      <c r="A133" s="81"/>
      <c r="B133" s="81"/>
      <c r="C133" s="21"/>
      <c r="D133" s="56"/>
      <c r="E133" s="14"/>
      <c r="F133" s="14"/>
      <c r="G133" s="14"/>
      <c r="H133" s="83">
        <f t="shared" si="10"/>
        <v>0</v>
      </c>
      <c r="I133" s="80"/>
      <c r="J133" s="80"/>
      <c r="K133" s="7" t="str">
        <f>IF($B133="","",IFERROR(INDEX(Connaissements!$B$3:$B$202,MATCH($B133,Connaissements!$A$3:$A$202,0)),""))</f>
        <v/>
      </c>
      <c r="L133" s="7" t="str">
        <f>IF($B133="","",IFERROR(INDEX(Connaissements!$G$3:$G$202,MATCH($B133,Connaissements!$A$3:$A$202,0)),""))</f>
        <v/>
      </c>
      <c r="M133" s="7" t="str">
        <f t="shared" si="7"/>
        <v/>
      </c>
      <c r="N133" s="7" t="str">
        <f t="shared" ca="1" si="8"/>
        <v/>
      </c>
      <c r="O133" s="13"/>
      <c r="P133" s="29" t="str">
        <f t="shared" ca="1" si="9"/>
        <v/>
      </c>
      <c r="Q133" s="30" t="str">
        <f>IF($K133="","",IFERROR(IF(INDEX(Bookings!$G$3:$G$202,MATCH($K133,Bookings!$A$3:$A$202,0))="","",INDEX(Bookings!$G$3:$G$202,MATCH($K133,Bookings!$A$3:$A$202,0))),""))</f>
        <v/>
      </c>
    </row>
    <row r="134" spans="1:17" hidden="1" x14ac:dyDescent="0.35">
      <c r="A134" s="81"/>
      <c r="B134" s="81"/>
      <c r="C134" s="21"/>
      <c r="D134" s="56"/>
      <c r="E134" s="14"/>
      <c r="F134" s="14"/>
      <c r="G134" s="14"/>
      <c r="H134" s="83">
        <f t="shared" si="10"/>
        <v>0</v>
      </c>
      <c r="I134" s="80"/>
      <c r="J134" s="80"/>
      <c r="K134" s="7" t="str">
        <f>IF($B134="","",IFERROR(INDEX(Connaissements!$B$3:$B$202,MATCH($B134,Connaissements!$A$3:$A$202,0)),""))</f>
        <v/>
      </c>
      <c r="L134" s="7" t="str">
        <f>IF($B134="","",IFERROR(INDEX(Connaissements!$G$3:$G$202,MATCH($B134,Connaissements!$A$3:$A$202,0)),""))</f>
        <v/>
      </c>
      <c r="M134" s="7" t="str">
        <f t="shared" si="7"/>
        <v/>
      </c>
      <c r="N134" s="7" t="str">
        <f t="shared" ca="1" si="8"/>
        <v/>
      </c>
      <c r="O134" s="13"/>
      <c r="P134" s="29" t="str">
        <f t="shared" ca="1" si="9"/>
        <v/>
      </c>
      <c r="Q134" s="30" t="str">
        <f>IF($K134="","",IFERROR(IF(INDEX(Bookings!$G$3:$G$202,MATCH($K134,Bookings!$A$3:$A$202,0))="","",INDEX(Bookings!$G$3:$G$202,MATCH($K134,Bookings!$A$3:$A$202,0))),""))</f>
        <v/>
      </c>
    </row>
    <row r="135" spans="1:17" hidden="1" x14ac:dyDescent="0.35">
      <c r="A135" s="81"/>
      <c r="B135" s="81"/>
      <c r="C135" s="21"/>
      <c r="D135" s="56"/>
      <c r="E135" s="14"/>
      <c r="F135" s="14"/>
      <c r="G135" s="14"/>
      <c r="H135" s="83">
        <f t="shared" si="10"/>
        <v>0</v>
      </c>
      <c r="I135" s="80"/>
      <c r="J135" s="80"/>
      <c r="K135" s="7" t="str">
        <f>IF($B135="","",IFERROR(INDEX(Connaissements!$B$3:$B$202,MATCH($B135,Connaissements!$A$3:$A$202,0)),""))</f>
        <v/>
      </c>
      <c r="L135" s="7" t="str">
        <f>IF($B135="","",IFERROR(INDEX(Connaissements!$G$3:$G$202,MATCH($B135,Connaissements!$A$3:$A$202,0)),""))</f>
        <v/>
      </c>
      <c r="M135" s="7" t="str">
        <f t="shared" si="7"/>
        <v/>
      </c>
      <c r="N135" s="7" t="str">
        <f t="shared" ca="1" si="8"/>
        <v/>
      </c>
      <c r="O135" s="13"/>
      <c r="P135" s="29" t="str">
        <f t="shared" ca="1" si="9"/>
        <v/>
      </c>
      <c r="Q135" s="30" t="str">
        <f>IF($K135="","",IFERROR(IF(INDEX(Bookings!$G$3:$G$202,MATCH($K135,Bookings!$A$3:$A$202,0))="","",INDEX(Bookings!$G$3:$G$202,MATCH($K135,Bookings!$A$3:$A$202,0))),""))</f>
        <v/>
      </c>
    </row>
    <row r="136" spans="1:17" hidden="1" x14ac:dyDescent="0.35">
      <c r="A136" s="81"/>
      <c r="B136" s="81"/>
      <c r="C136" s="21"/>
      <c r="D136" s="56"/>
      <c r="E136" s="14"/>
      <c r="F136" s="14"/>
      <c r="G136" s="14"/>
      <c r="H136" s="83">
        <f t="shared" si="10"/>
        <v>0</v>
      </c>
      <c r="I136" s="80"/>
      <c r="J136" s="80"/>
      <c r="K136" s="7" t="str">
        <f>IF($B136="","",IFERROR(INDEX(Connaissements!$B$3:$B$202,MATCH($B136,Connaissements!$A$3:$A$202,0)),""))</f>
        <v/>
      </c>
      <c r="L136" s="7" t="str">
        <f>IF($B136="","",IFERROR(INDEX(Connaissements!$G$3:$G$202,MATCH($B136,Connaissements!$A$3:$A$202,0)),""))</f>
        <v/>
      </c>
      <c r="M136" s="7" t="str">
        <f t="shared" si="7"/>
        <v/>
      </c>
      <c r="N136" s="7" t="str">
        <f t="shared" ca="1" si="8"/>
        <v/>
      </c>
      <c r="O136" s="13"/>
      <c r="P136" s="29" t="str">
        <f t="shared" ca="1" si="9"/>
        <v/>
      </c>
      <c r="Q136" s="30" t="str">
        <f>IF($K136="","",IFERROR(IF(INDEX(Bookings!$G$3:$G$202,MATCH($K136,Bookings!$A$3:$A$202,0))="","",INDEX(Bookings!$G$3:$G$202,MATCH($K136,Bookings!$A$3:$A$202,0))),""))</f>
        <v/>
      </c>
    </row>
    <row r="137" spans="1:17" hidden="1" x14ac:dyDescent="0.35">
      <c r="A137" s="81"/>
      <c r="B137" s="81"/>
      <c r="C137" s="21"/>
      <c r="D137" s="56"/>
      <c r="E137" s="14"/>
      <c r="F137" s="14"/>
      <c r="G137" s="14"/>
      <c r="H137" s="83">
        <f t="shared" si="10"/>
        <v>0</v>
      </c>
      <c r="I137" s="80"/>
      <c r="J137" s="80"/>
      <c r="K137" s="7" t="str">
        <f>IF($B137="","",IFERROR(INDEX(Connaissements!$B$3:$B$202,MATCH($B137,Connaissements!$A$3:$A$202,0)),""))</f>
        <v/>
      </c>
      <c r="L137" s="7" t="str">
        <f>IF($B137="","",IFERROR(INDEX(Connaissements!$G$3:$G$202,MATCH($B137,Connaissements!$A$3:$A$202,0)),""))</f>
        <v/>
      </c>
      <c r="M137" s="7" t="str">
        <f t="shared" si="7"/>
        <v/>
      </c>
      <c r="N137" s="7" t="str">
        <f t="shared" ca="1" si="8"/>
        <v/>
      </c>
      <c r="O137" s="13"/>
      <c r="P137" s="29" t="str">
        <f t="shared" ca="1" si="9"/>
        <v/>
      </c>
      <c r="Q137" s="30" t="str">
        <f>IF($K137="","",IFERROR(IF(INDEX(Bookings!$G$3:$G$202,MATCH($K137,Bookings!$A$3:$A$202,0))="","",INDEX(Bookings!$G$3:$G$202,MATCH($K137,Bookings!$A$3:$A$202,0))),""))</f>
        <v/>
      </c>
    </row>
    <row r="138" spans="1:17" hidden="1" x14ac:dyDescent="0.35">
      <c r="A138" s="81"/>
      <c r="B138" s="81"/>
      <c r="C138" s="21"/>
      <c r="D138" s="56"/>
      <c r="E138" s="14"/>
      <c r="F138" s="14"/>
      <c r="G138" s="14"/>
      <c r="H138" s="83">
        <f t="shared" si="10"/>
        <v>0</v>
      </c>
      <c r="I138" s="80"/>
      <c r="J138" s="80"/>
      <c r="K138" s="7" t="str">
        <f>IF($B138="","",IFERROR(INDEX(Connaissements!$B$3:$B$202,MATCH($B138,Connaissements!$A$3:$A$202,0)),""))</f>
        <v/>
      </c>
      <c r="L138" s="7" t="str">
        <f>IF($B138="","",IFERROR(INDEX(Connaissements!$G$3:$G$202,MATCH($B138,Connaissements!$A$3:$A$202,0)),""))</f>
        <v/>
      </c>
      <c r="M138" s="7" t="str">
        <f t="shared" si="7"/>
        <v/>
      </c>
      <c r="N138" s="7" t="str">
        <f t="shared" ca="1" si="8"/>
        <v/>
      </c>
      <c r="O138" s="13"/>
      <c r="P138" s="29" t="str">
        <f t="shared" ca="1" si="9"/>
        <v/>
      </c>
      <c r="Q138" s="30" t="str">
        <f>IF($K138="","",IFERROR(IF(INDEX(Bookings!$G$3:$G$202,MATCH($K138,Bookings!$A$3:$A$202,0))="","",INDEX(Bookings!$G$3:$G$202,MATCH($K138,Bookings!$A$3:$A$202,0))),""))</f>
        <v/>
      </c>
    </row>
    <row r="139" spans="1:17" hidden="1" x14ac:dyDescent="0.35">
      <c r="A139" s="81"/>
      <c r="B139" s="81"/>
      <c r="C139" s="21"/>
      <c r="D139" s="56"/>
      <c r="E139" s="14"/>
      <c r="F139" s="14"/>
      <c r="G139" s="14"/>
      <c r="H139" s="83">
        <f t="shared" si="10"/>
        <v>0</v>
      </c>
      <c r="I139" s="80"/>
      <c r="J139" s="80"/>
      <c r="K139" s="7" t="str">
        <f>IF($B139="","",IFERROR(INDEX(Connaissements!$B$3:$B$202,MATCH($B139,Connaissements!$A$3:$A$202,0)),""))</f>
        <v/>
      </c>
      <c r="L139" s="7" t="str">
        <f>IF($B139="","",IFERROR(INDEX(Connaissements!$G$3:$G$202,MATCH($B139,Connaissements!$A$3:$A$202,0)),""))</f>
        <v/>
      </c>
      <c r="M139" s="7" t="str">
        <f t="shared" si="7"/>
        <v/>
      </c>
      <c r="N139" s="7" t="str">
        <f t="shared" ca="1" si="8"/>
        <v/>
      </c>
      <c r="O139" s="13"/>
      <c r="P139" s="29" t="str">
        <f t="shared" ca="1" si="9"/>
        <v/>
      </c>
      <c r="Q139" s="30" t="str">
        <f>IF($K139="","",IFERROR(IF(INDEX(Bookings!$G$3:$G$202,MATCH($K139,Bookings!$A$3:$A$202,0))="","",INDEX(Bookings!$G$3:$G$202,MATCH($K139,Bookings!$A$3:$A$202,0))),""))</f>
        <v/>
      </c>
    </row>
    <row r="140" spans="1:17" hidden="1" x14ac:dyDescent="0.35">
      <c r="A140" s="81"/>
      <c r="B140" s="81"/>
      <c r="C140" s="21"/>
      <c r="D140" s="56"/>
      <c r="E140" s="14"/>
      <c r="F140" s="14"/>
      <c r="G140" s="14"/>
      <c r="H140" s="83">
        <f t="shared" si="10"/>
        <v>0</v>
      </c>
      <c r="I140" s="80"/>
      <c r="J140" s="80"/>
      <c r="K140" s="7" t="str">
        <f>IF($B140="","",IFERROR(INDEX(Connaissements!$B$3:$B$202,MATCH($B140,Connaissements!$A$3:$A$202,0)),""))</f>
        <v/>
      </c>
      <c r="L140" s="7" t="str">
        <f>IF($B140="","",IFERROR(INDEX(Connaissements!$G$3:$G$202,MATCH($B140,Connaissements!$A$3:$A$202,0)),""))</f>
        <v/>
      </c>
      <c r="M140" s="7" t="str">
        <f t="shared" si="7"/>
        <v/>
      </c>
      <c r="N140" s="7" t="str">
        <f t="shared" ca="1" si="8"/>
        <v/>
      </c>
      <c r="O140" s="13"/>
      <c r="P140" s="29" t="str">
        <f t="shared" ca="1" si="9"/>
        <v/>
      </c>
      <c r="Q140" s="30" t="str">
        <f>IF($K140="","",IFERROR(IF(INDEX(Bookings!$G$3:$G$202,MATCH($K140,Bookings!$A$3:$A$202,0))="","",INDEX(Bookings!$G$3:$G$202,MATCH($K140,Bookings!$A$3:$A$202,0))),""))</f>
        <v/>
      </c>
    </row>
    <row r="141" spans="1:17" hidden="1" x14ac:dyDescent="0.35">
      <c r="A141" s="81"/>
      <c r="B141" s="81"/>
      <c r="C141" s="21"/>
      <c r="D141" s="56"/>
      <c r="E141" s="14"/>
      <c r="F141" s="14"/>
      <c r="G141" s="14"/>
      <c r="H141" s="83">
        <f t="shared" si="10"/>
        <v>0</v>
      </c>
      <c r="I141" s="80"/>
      <c r="J141" s="80"/>
      <c r="K141" s="7" t="str">
        <f>IF($B141="","",IFERROR(INDEX(Connaissements!$B$3:$B$202,MATCH($B141,Connaissements!$A$3:$A$202,0)),""))</f>
        <v/>
      </c>
      <c r="L141" s="7" t="str">
        <f>IF($B141="","",IFERROR(INDEX(Connaissements!$G$3:$G$202,MATCH($B141,Connaissements!$A$3:$A$202,0)),""))</f>
        <v/>
      </c>
      <c r="M141" s="7" t="str">
        <f t="shared" si="7"/>
        <v/>
      </c>
      <c r="N141" s="7" t="str">
        <f t="shared" ca="1" si="8"/>
        <v/>
      </c>
      <c r="O141" s="13"/>
      <c r="P141" s="29" t="str">
        <f t="shared" ca="1" si="9"/>
        <v/>
      </c>
      <c r="Q141" s="30" t="str">
        <f>IF($K141="","",IFERROR(IF(INDEX(Bookings!$G$3:$G$202,MATCH($K141,Bookings!$A$3:$A$202,0))="","",INDEX(Bookings!$G$3:$G$202,MATCH($K141,Bookings!$A$3:$A$202,0))),""))</f>
        <v/>
      </c>
    </row>
    <row r="142" spans="1:17" hidden="1" x14ac:dyDescent="0.35">
      <c r="A142" s="81"/>
      <c r="B142" s="81"/>
      <c r="C142" s="21"/>
      <c r="D142" s="56"/>
      <c r="E142" s="14"/>
      <c r="F142" s="14"/>
      <c r="G142" s="14"/>
      <c r="H142" s="83">
        <f t="shared" si="10"/>
        <v>0</v>
      </c>
      <c r="I142" s="80"/>
      <c r="J142" s="80"/>
      <c r="K142" s="7" t="str">
        <f>IF($B142="","",IFERROR(INDEX(Connaissements!$B$3:$B$202,MATCH($B142,Connaissements!$A$3:$A$202,0)),""))</f>
        <v/>
      </c>
      <c r="L142" s="7" t="str">
        <f>IF($B142="","",IFERROR(INDEX(Connaissements!$G$3:$G$202,MATCH($B142,Connaissements!$A$3:$A$202,0)),""))</f>
        <v/>
      </c>
      <c r="M142" s="7" t="str">
        <f t="shared" si="7"/>
        <v/>
      </c>
      <c r="N142" s="7" t="str">
        <f t="shared" ca="1" si="8"/>
        <v/>
      </c>
      <c r="O142" s="13"/>
      <c r="P142" s="29" t="str">
        <f t="shared" ca="1" si="9"/>
        <v/>
      </c>
      <c r="Q142" s="30" t="str">
        <f>IF($K142="","",IFERROR(IF(INDEX(Bookings!$G$3:$G$202,MATCH($K142,Bookings!$A$3:$A$202,0))="","",INDEX(Bookings!$G$3:$G$202,MATCH($K142,Bookings!$A$3:$A$202,0))),""))</f>
        <v/>
      </c>
    </row>
    <row r="143" spans="1:17" hidden="1" x14ac:dyDescent="0.35">
      <c r="A143" s="81"/>
      <c r="B143" s="81"/>
      <c r="C143" s="21"/>
      <c r="D143" s="56"/>
      <c r="E143" s="14"/>
      <c r="F143" s="14"/>
      <c r="G143" s="14"/>
      <c r="H143" s="83">
        <f t="shared" si="10"/>
        <v>0</v>
      </c>
      <c r="I143" s="80"/>
      <c r="J143" s="80"/>
      <c r="K143" s="7" t="str">
        <f>IF($B143="","",IFERROR(INDEX(Connaissements!$B$3:$B$202,MATCH($B143,Connaissements!$A$3:$A$202,0)),""))</f>
        <v/>
      </c>
      <c r="L143" s="7" t="str">
        <f>IF($B143="","",IFERROR(INDEX(Connaissements!$G$3:$G$202,MATCH($B143,Connaissements!$A$3:$A$202,0)),""))</f>
        <v/>
      </c>
      <c r="M143" s="7" t="str">
        <f t="shared" si="7"/>
        <v/>
      </c>
      <c r="N143" s="7" t="str">
        <f t="shared" ca="1" si="8"/>
        <v/>
      </c>
      <c r="O143" s="13"/>
      <c r="P143" s="29" t="str">
        <f t="shared" ca="1" si="9"/>
        <v/>
      </c>
      <c r="Q143" s="30" t="str">
        <f>IF($K143="","",IFERROR(IF(INDEX(Bookings!$G$3:$G$202,MATCH($K143,Bookings!$A$3:$A$202,0))="","",INDEX(Bookings!$G$3:$G$202,MATCH($K143,Bookings!$A$3:$A$202,0))),""))</f>
        <v/>
      </c>
    </row>
    <row r="144" spans="1:17" hidden="1" x14ac:dyDescent="0.35">
      <c r="A144" s="81"/>
      <c r="B144" s="81"/>
      <c r="C144" s="21"/>
      <c r="D144" s="56"/>
      <c r="E144" s="14"/>
      <c r="F144" s="14"/>
      <c r="G144" s="14"/>
      <c r="H144" s="83">
        <f t="shared" si="10"/>
        <v>0</v>
      </c>
      <c r="I144" s="80"/>
      <c r="J144" s="80"/>
      <c r="K144" s="7" t="str">
        <f>IF($B144="","",IFERROR(INDEX(Connaissements!$B$3:$B$202,MATCH($B144,Connaissements!$A$3:$A$202,0)),""))</f>
        <v/>
      </c>
      <c r="L144" s="7" t="str">
        <f>IF($B144="","",IFERROR(INDEX(Connaissements!$G$3:$G$202,MATCH($B144,Connaissements!$A$3:$A$202,0)),""))</f>
        <v/>
      </c>
      <c r="M144" s="7" t="str">
        <f t="shared" si="7"/>
        <v/>
      </c>
      <c r="N144" s="7" t="str">
        <f t="shared" ca="1" si="8"/>
        <v/>
      </c>
      <c r="O144" s="13"/>
      <c r="P144" s="29" t="str">
        <f t="shared" ca="1" si="9"/>
        <v/>
      </c>
      <c r="Q144" s="30" t="str">
        <f>IF($K144="","",IFERROR(IF(INDEX(Bookings!$G$3:$G$202,MATCH($K144,Bookings!$A$3:$A$202,0))="","",INDEX(Bookings!$G$3:$G$202,MATCH($K144,Bookings!$A$3:$A$202,0))),""))</f>
        <v/>
      </c>
    </row>
    <row r="145" spans="1:17" hidden="1" x14ac:dyDescent="0.35">
      <c r="A145" s="81"/>
      <c r="B145" s="81"/>
      <c r="C145" s="21"/>
      <c r="D145" s="56"/>
      <c r="E145" s="14"/>
      <c r="F145" s="14"/>
      <c r="G145" s="14"/>
      <c r="H145" s="83">
        <f t="shared" si="10"/>
        <v>0</v>
      </c>
      <c r="I145" s="80"/>
      <c r="J145" s="80"/>
      <c r="K145" s="7" t="str">
        <f>IF($B145="","",IFERROR(INDEX(Connaissements!$B$3:$B$202,MATCH($B145,Connaissements!$A$3:$A$202,0)),""))</f>
        <v/>
      </c>
      <c r="L145" s="7" t="str">
        <f>IF($B145="","",IFERROR(INDEX(Connaissements!$G$3:$G$202,MATCH($B145,Connaissements!$A$3:$A$202,0)),""))</f>
        <v/>
      </c>
      <c r="M145" s="7" t="str">
        <f t="shared" si="7"/>
        <v/>
      </c>
      <c r="N145" s="7" t="str">
        <f t="shared" ca="1" si="8"/>
        <v/>
      </c>
      <c r="O145" s="13"/>
      <c r="P145" s="29" t="str">
        <f t="shared" ca="1" si="9"/>
        <v/>
      </c>
      <c r="Q145" s="30" t="str">
        <f>IF($K145="","",IFERROR(IF(INDEX(Bookings!$G$3:$G$202,MATCH($K145,Bookings!$A$3:$A$202,0))="","",INDEX(Bookings!$G$3:$G$202,MATCH($K145,Bookings!$A$3:$A$202,0))),""))</f>
        <v/>
      </c>
    </row>
    <row r="146" spans="1:17" hidden="1" x14ac:dyDescent="0.35">
      <c r="A146" s="81"/>
      <c r="B146" s="81"/>
      <c r="C146" s="21"/>
      <c r="D146" s="56"/>
      <c r="E146" s="14"/>
      <c r="F146" s="14"/>
      <c r="G146" s="14"/>
      <c r="H146" s="83">
        <f t="shared" si="10"/>
        <v>0</v>
      </c>
      <c r="I146" s="80"/>
      <c r="J146" s="80"/>
      <c r="K146" s="7" t="str">
        <f>IF($B146="","",IFERROR(INDEX(Connaissements!$B$3:$B$202,MATCH($B146,Connaissements!$A$3:$A$202,0)),""))</f>
        <v/>
      </c>
      <c r="L146" s="7" t="str">
        <f>IF($B146="","",IFERROR(INDEX(Connaissements!$G$3:$G$202,MATCH($B146,Connaissements!$A$3:$A$202,0)),""))</f>
        <v/>
      </c>
      <c r="M146" s="7" t="str">
        <f t="shared" si="7"/>
        <v/>
      </c>
      <c r="N146" s="7" t="str">
        <f t="shared" ca="1" si="8"/>
        <v/>
      </c>
      <c r="O146" s="13"/>
      <c r="P146" s="29" t="str">
        <f t="shared" ca="1" si="9"/>
        <v/>
      </c>
      <c r="Q146" s="30" t="str">
        <f>IF($K146="","",IFERROR(IF(INDEX(Bookings!$G$3:$G$202,MATCH($K146,Bookings!$A$3:$A$202,0))="","",INDEX(Bookings!$G$3:$G$202,MATCH($K146,Bookings!$A$3:$A$202,0))),""))</f>
        <v/>
      </c>
    </row>
    <row r="147" spans="1:17" hidden="1" x14ac:dyDescent="0.35">
      <c r="A147" s="81"/>
      <c r="B147" s="81"/>
      <c r="C147" s="21"/>
      <c r="D147" s="56"/>
      <c r="E147" s="14"/>
      <c r="F147" s="14"/>
      <c r="G147" s="14"/>
      <c r="H147" s="83">
        <f t="shared" si="10"/>
        <v>0</v>
      </c>
      <c r="I147" s="80"/>
      <c r="J147" s="80"/>
      <c r="K147" s="7" t="str">
        <f>IF($B147="","",IFERROR(INDEX(Connaissements!$B$3:$B$202,MATCH($B147,Connaissements!$A$3:$A$202,0)),""))</f>
        <v/>
      </c>
      <c r="L147" s="7" t="str">
        <f>IF($B147="","",IFERROR(INDEX(Connaissements!$G$3:$G$202,MATCH($B147,Connaissements!$A$3:$A$202,0)),""))</f>
        <v/>
      </c>
      <c r="M147" s="7" t="str">
        <f t="shared" si="7"/>
        <v/>
      </c>
      <c r="N147" s="7" t="str">
        <f t="shared" ca="1" si="8"/>
        <v/>
      </c>
      <c r="O147" s="13"/>
      <c r="P147" s="29" t="str">
        <f t="shared" ca="1" si="9"/>
        <v/>
      </c>
      <c r="Q147" s="30" t="str">
        <f>IF($K147="","",IFERROR(IF(INDEX(Bookings!$G$3:$G$202,MATCH($K147,Bookings!$A$3:$A$202,0))="","",INDEX(Bookings!$G$3:$G$202,MATCH($K147,Bookings!$A$3:$A$202,0))),""))</f>
        <v/>
      </c>
    </row>
    <row r="148" spans="1:17" hidden="1" x14ac:dyDescent="0.35">
      <c r="A148" s="81"/>
      <c r="B148" s="81"/>
      <c r="C148" s="21"/>
      <c r="D148" s="56"/>
      <c r="E148" s="14"/>
      <c r="F148" s="14"/>
      <c r="G148" s="14"/>
      <c r="H148" s="83">
        <f t="shared" si="10"/>
        <v>0</v>
      </c>
      <c r="I148" s="80"/>
      <c r="J148" s="80"/>
      <c r="K148" s="7" t="str">
        <f>IF($B148="","",IFERROR(INDEX(Connaissements!$B$3:$B$202,MATCH($B148,Connaissements!$A$3:$A$202,0)),""))</f>
        <v/>
      </c>
      <c r="L148" s="7" t="str">
        <f>IF($B148="","",IFERROR(INDEX(Connaissements!$G$3:$G$202,MATCH($B148,Connaissements!$A$3:$A$202,0)),""))</f>
        <v/>
      </c>
      <c r="M148" s="7" t="str">
        <f t="shared" si="7"/>
        <v/>
      </c>
      <c r="N148" s="7" t="str">
        <f t="shared" ca="1" si="8"/>
        <v/>
      </c>
      <c r="O148" s="13"/>
      <c r="P148" s="29" t="str">
        <f t="shared" ca="1" si="9"/>
        <v/>
      </c>
      <c r="Q148" s="30" t="str">
        <f>IF($K148="","",IFERROR(IF(INDEX(Bookings!$G$3:$G$202,MATCH($K148,Bookings!$A$3:$A$202,0))="","",INDEX(Bookings!$G$3:$G$202,MATCH($K148,Bookings!$A$3:$A$202,0))),""))</f>
        <v/>
      </c>
    </row>
    <row r="149" spans="1:17" hidden="1" x14ac:dyDescent="0.35">
      <c r="A149" s="81"/>
      <c r="B149" s="81"/>
      <c r="C149" s="21"/>
      <c r="D149" s="56"/>
      <c r="E149" s="14"/>
      <c r="F149" s="14"/>
      <c r="G149" s="14"/>
      <c r="H149" s="83">
        <f t="shared" si="10"/>
        <v>0</v>
      </c>
      <c r="I149" s="80"/>
      <c r="J149" s="80"/>
      <c r="K149" s="7" t="str">
        <f>IF($B149="","",IFERROR(INDEX(Connaissements!$B$3:$B$202,MATCH($B149,Connaissements!$A$3:$A$202,0)),""))</f>
        <v/>
      </c>
      <c r="L149" s="7" t="str">
        <f>IF($B149="","",IFERROR(INDEX(Connaissements!$G$3:$G$202,MATCH($B149,Connaissements!$A$3:$A$202,0)),""))</f>
        <v/>
      </c>
      <c r="M149" s="7" t="str">
        <f t="shared" si="7"/>
        <v/>
      </c>
      <c r="N149" s="7" t="str">
        <f t="shared" ca="1" si="8"/>
        <v/>
      </c>
      <c r="O149" s="13"/>
      <c r="P149" s="29" t="str">
        <f t="shared" ca="1" si="9"/>
        <v/>
      </c>
      <c r="Q149" s="30" t="str">
        <f>IF($K149="","",IFERROR(IF(INDEX(Bookings!$G$3:$G$202,MATCH($K149,Bookings!$A$3:$A$202,0))="","",INDEX(Bookings!$G$3:$G$202,MATCH($K149,Bookings!$A$3:$A$202,0))),""))</f>
        <v/>
      </c>
    </row>
    <row r="150" spans="1:17" hidden="1" x14ac:dyDescent="0.35">
      <c r="A150" s="81"/>
      <c r="B150" s="81"/>
      <c r="C150" s="21"/>
      <c r="D150" s="56"/>
      <c r="E150" s="14"/>
      <c r="F150" s="14"/>
      <c r="G150" s="14"/>
      <c r="H150" s="83">
        <f t="shared" si="10"/>
        <v>0</v>
      </c>
      <c r="I150" s="80"/>
      <c r="J150" s="80"/>
      <c r="K150" s="7" t="str">
        <f>IF($B150="","",IFERROR(INDEX(Connaissements!$B$3:$B$202,MATCH($B150,Connaissements!$A$3:$A$202,0)),""))</f>
        <v/>
      </c>
      <c r="L150" s="7" t="str">
        <f>IF($B150="","",IFERROR(INDEX(Connaissements!$G$3:$G$202,MATCH($B150,Connaissements!$A$3:$A$202,0)),""))</f>
        <v/>
      </c>
      <c r="M150" s="7" t="str">
        <f t="shared" si="7"/>
        <v/>
      </c>
      <c r="N150" s="7" t="str">
        <f t="shared" ca="1" si="8"/>
        <v/>
      </c>
      <c r="O150" s="13"/>
      <c r="P150" s="29" t="str">
        <f t="shared" ca="1" si="9"/>
        <v/>
      </c>
      <c r="Q150" s="30" t="str">
        <f>IF($K150="","",IFERROR(IF(INDEX(Bookings!$G$3:$G$202,MATCH($K150,Bookings!$A$3:$A$202,0))="","",INDEX(Bookings!$G$3:$G$202,MATCH($K150,Bookings!$A$3:$A$202,0))),""))</f>
        <v/>
      </c>
    </row>
    <row r="151" spans="1:17" hidden="1" x14ac:dyDescent="0.35">
      <c r="A151" s="81"/>
      <c r="B151" s="81"/>
      <c r="C151" s="21"/>
      <c r="D151" s="56"/>
      <c r="E151" s="14"/>
      <c r="F151" s="14"/>
      <c r="G151" s="14"/>
      <c r="H151" s="83">
        <f t="shared" si="10"/>
        <v>0</v>
      </c>
      <c r="I151" s="80"/>
      <c r="J151" s="80"/>
      <c r="K151" s="7" t="str">
        <f>IF($B151="","",IFERROR(INDEX(Connaissements!$B$3:$B$202,MATCH($B151,Connaissements!$A$3:$A$202,0)),""))</f>
        <v/>
      </c>
      <c r="L151" s="7" t="str">
        <f>IF($B151="","",IFERROR(INDEX(Connaissements!$G$3:$G$202,MATCH($B151,Connaissements!$A$3:$A$202,0)),""))</f>
        <v/>
      </c>
      <c r="M151" s="7" t="str">
        <f t="shared" si="7"/>
        <v/>
      </c>
      <c r="N151" s="7" t="str">
        <f t="shared" ca="1" si="8"/>
        <v/>
      </c>
      <c r="O151" s="13"/>
      <c r="P151" s="29" t="str">
        <f t="shared" ca="1" si="9"/>
        <v/>
      </c>
      <c r="Q151" s="30" t="str">
        <f>IF($K151="","",IFERROR(IF(INDEX(Bookings!$G$3:$G$202,MATCH($K151,Bookings!$A$3:$A$202,0))="","",INDEX(Bookings!$G$3:$G$202,MATCH($K151,Bookings!$A$3:$A$202,0))),""))</f>
        <v/>
      </c>
    </row>
    <row r="152" spans="1:17" hidden="1" x14ac:dyDescent="0.35">
      <c r="A152" s="81"/>
      <c r="B152" s="81"/>
      <c r="C152" s="21"/>
      <c r="D152" s="56"/>
      <c r="E152" s="14"/>
      <c r="F152" s="14"/>
      <c r="G152" s="14"/>
      <c r="H152" s="83">
        <f t="shared" si="10"/>
        <v>0</v>
      </c>
      <c r="I152" s="80"/>
      <c r="J152" s="80"/>
      <c r="K152" s="7" t="str">
        <f>IF($B152="","",IFERROR(INDEX(Connaissements!$B$3:$B$202,MATCH($B152,Connaissements!$A$3:$A$202,0)),""))</f>
        <v/>
      </c>
      <c r="L152" s="7" t="str">
        <f>IF($B152="","",IFERROR(INDEX(Connaissements!$G$3:$G$202,MATCH($B152,Connaissements!$A$3:$A$202,0)),""))</f>
        <v/>
      </c>
      <c r="M152" s="7" t="str">
        <f t="shared" si="7"/>
        <v/>
      </c>
      <c r="N152" s="7" t="str">
        <f t="shared" ca="1" si="8"/>
        <v/>
      </c>
      <c r="O152" s="13"/>
      <c r="P152" s="29" t="str">
        <f t="shared" ca="1" si="9"/>
        <v/>
      </c>
      <c r="Q152" s="30" t="str">
        <f>IF($K152="","",IFERROR(IF(INDEX(Bookings!$G$3:$G$202,MATCH($K152,Bookings!$A$3:$A$202,0))="","",INDEX(Bookings!$G$3:$G$202,MATCH($K152,Bookings!$A$3:$A$202,0))),""))</f>
        <v/>
      </c>
    </row>
    <row r="153" spans="1:17" hidden="1" x14ac:dyDescent="0.35">
      <c r="A153" s="81"/>
      <c r="B153" s="81"/>
      <c r="C153" s="21"/>
      <c r="D153" s="56"/>
      <c r="E153" s="14"/>
      <c r="F153" s="14"/>
      <c r="G153" s="14"/>
      <c r="H153" s="83">
        <f t="shared" si="10"/>
        <v>0</v>
      </c>
      <c r="I153" s="80"/>
      <c r="J153" s="80"/>
      <c r="K153" s="7" t="str">
        <f>IF($B153="","",IFERROR(INDEX(Connaissements!$B$3:$B$202,MATCH($B153,Connaissements!$A$3:$A$202,0)),""))</f>
        <v/>
      </c>
      <c r="L153" s="7" t="str">
        <f>IF($B153="","",IFERROR(INDEX(Connaissements!$G$3:$G$202,MATCH($B153,Connaissements!$A$3:$A$202,0)),""))</f>
        <v/>
      </c>
      <c r="M153" s="7" t="str">
        <f t="shared" si="7"/>
        <v/>
      </c>
      <c r="N153" s="7" t="str">
        <f t="shared" ca="1" si="8"/>
        <v/>
      </c>
      <c r="O153" s="13"/>
      <c r="P153" s="29" t="str">
        <f t="shared" ca="1" si="9"/>
        <v/>
      </c>
      <c r="Q153" s="30" t="str">
        <f>IF($K153="","",IFERROR(IF(INDEX(Bookings!$G$3:$G$202,MATCH($K153,Bookings!$A$3:$A$202,0))="","",INDEX(Bookings!$G$3:$G$202,MATCH($K153,Bookings!$A$3:$A$202,0))),""))</f>
        <v/>
      </c>
    </row>
    <row r="154" spans="1:17" hidden="1" x14ac:dyDescent="0.35">
      <c r="A154" s="81"/>
      <c r="B154" s="81"/>
      <c r="C154" s="21"/>
      <c r="D154" s="56"/>
      <c r="E154" s="14"/>
      <c r="F154" s="14"/>
      <c r="G154" s="14"/>
      <c r="H154" s="83">
        <f t="shared" si="10"/>
        <v>0</v>
      </c>
      <c r="I154" s="80"/>
      <c r="J154" s="80"/>
      <c r="K154" s="7" t="str">
        <f>IF($B154="","",IFERROR(INDEX(Connaissements!$B$3:$B$202,MATCH($B154,Connaissements!$A$3:$A$202,0)),""))</f>
        <v/>
      </c>
      <c r="L154" s="7" t="str">
        <f>IF($B154="","",IFERROR(INDEX(Connaissements!$G$3:$G$202,MATCH($B154,Connaissements!$A$3:$A$202,0)),""))</f>
        <v/>
      </c>
      <c r="M154" s="7" t="str">
        <f t="shared" si="7"/>
        <v/>
      </c>
      <c r="N154" s="7" t="str">
        <f t="shared" ca="1" si="8"/>
        <v/>
      </c>
      <c r="O154" s="13"/>
      <c r="P154" s="29" t="str">
        <f t="shared" ca="1" si="9"/>
        <v/>
      </c>
      <c r="Q154" s="30" t="str">
        <f>IF($K154="","",IFERROR(IF(INDEX(Bookings!$G$3:$G$202,MATCH($K154,Bookings!$A$3:$A$202,0))="","",INDEX(Bookings!$G$3:$G$202,MATCH($K154,Bookings!$A$3:$A$202,0))),""))</f>
        <v/>
      </c>
    </row>
    <row r="155" spans="1:17" hidden="1" x14ac:dyDescent="0.35">
      <c r="A155" s="81"/>
      <c r="B155" s="81"/>
      <c r="C155" s="21"/>
      <c r="D155" s="56"/>
      <c r="E155" s="14"/>
      <c r="F155" s="14"/>
      <c r="G155" s="14"/>
      <c r="H155" s="83">
        <f t="shared" si="10"/>
        <v>0</v>
      </c>
      <c r="I155" s="80"/>
      <c r="J155" s="80"/>
      <c r="K155" s="7" t="str">
        <f>IF($B155="","",IFERROR(INDEX(Connaissements!$B$3:$B$202,MATCH($B155,Connaissements!$A$3:$A$202,0)),""))</f>
        <v/>
      </c>
      <c r="L155" s="7" t="str">
        <f>IF($B155="","",IFERROR(INDEX(Connaissements!$G$3:$G$202,MATCH($B155,Connaissements!$A$3:$A$202,0)),""))</f>
        <v/>
      </c>
      <c r="M155" s="7" t="str">
        <f t="shared" si="7"/>
        <v/>
      </c>
      <c r="N155" s="7" t="str">
        <f t="shared" ca="1" si="8"/>
        <v/>
      </c>
      <c r="O155" s="13"/>
      <c r="P155" s="29" t="str">
        <f t="shared" ca="1" si="9"/>
        <v/>
      </c>
      <c r="Q155" s="30" t="str">
        <f>IF($K155="","",IFERROR(IF(INDEX(Bookings!$G$3:$G$202,MATCH($K155,Bookings!$A$3:$A$202,0))="","",INDEX(Bookings!$G$3:$G$202,MATCH($K155,Bookings!$A$3:$A$202,0))),""))</f>
        <v/>
      </c>
    </row>
    <row r="156" spans="1:17" hidden="1" x14ac:dyDescent="0.35">
      <c r="A156" s="81"/>
      <c r="B156" s="81"/>
      <c r="C156" s="21"/>
      <c r="D156" s="56"/>
      <c r="E156" s="14"/>
      <c r="F156" s="14"/>
      <c r="G156" s="14"/>
      <c r="H156" s="83">
        <f t="shared" si="10"/>
        <v>0</v>
      </c>
      <c r="I156" s="80"/>
      <c r="J156" s="80"/>
      <c r="K156" s="7" t="str">
        <f>IF($B156="","",IFERROR(INDEX(Connaissements!$B$3:$B$202,MATCH($B156,Connaissements!$A$3:$A$202,0)),""))</f>
        <v/>
      </c>
      <c r="L156" s="7" t="str">
        <f>IF($B156="","",IFERROR(INDEX(Connaissements!$G$3:$G$202,MATCH($B156,Connaissements!$A$3:$A$202,0)),""))</f>
        <v/>
      </c>
      <c r="M156" s="7" t="str">
        <f t="shared" si="7"/>
        <v/>
      </c>
      <c r="N156" s="7" t="str">
        <f t="shared" ca="1" si="8"/>
        <v/>
      </c>
      <c r="O156" s="13"/>
      <c r="P156" s="29" t="str">
        <f t="shared" ca="1" si="9"/>
        <v/>
      </c>
      <c r="Q156" s="30" t="str">
        <f>IF($K156="","",IFERROR(IF(INDEX(Bookings!$G$3:$G$202,MATCH($K156,Bookings!$A$3:$A$202,0))="","",INDEX(Bookings!$G$3:$G$202,MATCH($K156,Bookings!$A$3:$A$202,0))),""))</f>
        <v/>
      </c>
    </row>
    <row r="157" spans="1:17" hidden="1" x14ac:dyDescent="0.35">
      <c r="A157" s="81"/>
      <c r="B157" s="81"/>
      <c r="C157" s="21"/>
      <c r="D157" s="56"/>
      <c r="E157" s="14"/>
      <c r="F157" s="14"/>
      <c r="G157" s="14"/>
      <c r="H157" s="83">
        <f t="shared" si="10"/>
        <v>0</v>
      </c>
      <c r="I157" s="80"/>
      <c r="J157" s="80"/>
      <c r="K157" s="7" t="str">
        <f>IF($B157="","",IFERROR(INDEX(Connaissements!$B$3:$B$202,MATCH($B157,Connaissements!$A$3:$A$202,0)),""))</f>
        <v/>
      </c>
      <c r="L157" s="7" t="str">
        <f>IF($B157="","",IFERROR(INDEX(Connaissements!$G$3:$G$202,MATCH($B157,Connaissements!$A$3:$A$202,0)),""))</f>
        <v/>
      </c>
      <c r="M157" s="7" t="str">
        <f t="shared" si="7"/>
        <v/>
      </c>
      <c r="N157" s="7" t="str">
        <f t="shared" ca="1" si="8"/>
        <v/>
      </c>
      <c r="O157" s="13"/>
      <c r="P157" s="29" t="str">
        <f t="shared" ca="1" si="9"/>
        <v/>
      </c>
      <c r="Q157" s="30" t="str">
        <f>IF($K157="","",IFERROR(IF(INDEX(Bookings!$G$3:$G$202,MATCH($K157,Bookings!$A$3:$A$202,0))="","",INDEX(Bookings!$G$3:$G$202,MATCH($K157,Bookings!$A$3:$A$202,0))),""))</f>
        <v/>
      </c>
    </row>
    <row r="158" spans="1:17" hidden="1" x14ac:dyDescent="0.35">
      <c r="A158" s="81"/>
      <c r="B158" s="81"/>
      <c r="C158" s="21"/>
      <c r="D158" s="56"/>
      <c r="E158" s="14"/>
      <c r="F158" s="14"/>
      <c r="G158" s="14"/>
      <c r="H158" s="83">
        <f t="shared" si="10"/>
        <v>0</v>
      </c>
      <c r="I158" s="80"/>
      <c r="J158" s="80"/>
      <c r="K158" s="7" t="str">
        <f>IF($B158="","",IFERROR(INDEX(Connaissements!$B$3:$B$202,MATCH($B158,Connaissements!$A$3:$A$202,0)),""))</f>
        <v/>
      </c>
      <c r="L158" s="7" t="str">
        <f>IF($B158="","",IFERROR(INDEX(Connaissements!$G$3:$G$202,MATCH($B158,Connaissements!$A$3:$A$202,0)),""))</f>
        <v/>
      </c>
      <c r="M158" s="7" t="str">
        <f t="shared" si="7"/>
        <v/>
      </c>
      <c r="N158" s="7" t="str">
        <f t="shared" ca="1" si="8"/>
        <v/>
      </c>
      <c r="O158" s="13"/>
      <c r="P158" s="29" t="str">
        <f t="shared" ca="1" si="9"/>
        <v/>
      </c>
      <c r="Q158" s="30" t="str">
        <f>IF($K158="","",IFERROR(IF(INDEX(Bookings!$G$3:$G$202,MATCH($K158,Bookings!$A$3:$A$202,0))="","",INDEX(Bookings!$G$3:$G$202,MATCH($K158,Bookings!$A$3:$A$202,0))),""))</f>
        <v/>
      </c>
    </row>
    <row r="159" spans="1:17" hidden="1" x14ac:dyDescent="0.35">
      <c r="A159" s="81"/>
      <c r="B159" s="81"/>
      <c r="C159" s="21"/>
      <c r="D159" s="56"/>
      <c r="E159" s="14"/>
      <c r="F159" s="14"/>
      <c r="G159" s="14"/>
      <c r="H159" s="83">
        <f t="shared" si="10"/>
        <v>0</v>
      </c>
      <c r="I159" s="80"/>
      <c r="J159" s="80"/>
      <c r="K159" s="7" t="str">
        <f>IF($B159="","",IFERROR(INDEX(Connaissements!$B$3:$B$202,MATCH($B159,Connaissements!$A$3:$A$202,0)),""))</f>
        <v/>
      </c>
      <c r="L159" s="7" t="str">
        <f>IF($B159="","",IFERROR(INDEX(Connaissements!$G$3:$G$202,MATCH($B159,Connaissements!$A$3:$A$202,0)),""))</f>
        <v/>
      </c>
      <c r="M159" s="7" t="str">
        <f t="shared" si="7"/>
        <v/>
      </c>
      <c r="N159" s="7" t="str">
        <f t="shared" ca="1" si="8"/>
        <v/>
      </c>
      <c r="O159" s="13"/>
      <c r="P159" s="29" t="str">
        <f t="shared" ca="1" si="9"/>
        <v/>
      </c>
      <c r="Q159" s="30" t="str">
        <f>IF($K159="","",IFERROR(IF(INDEX(Bookings!$G$3:$G$202,MATCH($K159,Bookings!$A$3:$A$202,0))="","",INDEX(Bookings!$G$3:$G$202,MATCH($K159,Bookings!$A$3:$A$202,0))),""))</f>
        <v/>
      </c>
    </row>
    <row r="160" spans="1:17" hidden="1" x14ac:dyDescent="0.35">
      <c r="A160" s="81"/>
      <c r="B160" s="81"/>
      <c r="C160" s="21"/>
      <c r="D160" s="56"/>
      <c r="E160" s="14"/>
      <c r="F160" s="14"/>
      <c r="G160" s="14"/>
      <c r="H160" s="83">
        <f t="shared" si="10"/>
        <v>0</v>
      </c>
      <c r="I160" s="80"/>
      <c r="J160" s="80"/>
      <c r="K160" s="7" t="str">
        <f>IF($B160="","",IFERROR(INDEX(Connaissements!$B$3:$B$202,MATCH($B160,Connaissements!$A$3:$A$202,0)),""))</f>
        <v/>
      </c>
      <c r="L160" s="7" t="str">
        <f>IF($B160="","",IFERROR(INDEX(Connaissements!$G$3:$G$202,MATCH($B160,Connaissements!$A$3:$A$202,0)),""))</f>
        <v/>
      </c>
      <c r="M160" s="7" t="str">
        <f t="shared" si="7"/>
        <v/>
      </c>
      <c r="N160" s="7" t="str">
        <f t="shared" ca="1" si="8"/>
        <v/>
      </c>
      <c r="O160" s="13"/>
      <c r="P160" s="29" t="str">
        <f t="shared" ca="1" si="9"/>
        <v/>
      </c>
      <c r="Q160" s="30" t="str">
        <f>IF($K160="","",IFERROR(IF(INDEX(Bookings!$G$3:$G$202,MATCH($K160,Bookings!$A$3:$A$202,0))="","",INDEX(Bookings!$G$3:$G$202,MATCH($K160,Bookings!$A$3:$A$202,0))),""))</f>
        <v/>
      </c>
    </row>
    <row r="161" spans="1:17" hidden="1" x14ac:dyDescent="0.35">
      <c r="A161" s="81"/>
      <c r="B161" s="81"/>
      <c r="C161" s="21"/>
      <c r="D161" s="56"/>
      <c r="E161" s="14"/>
      <c r="F161" s="14"/>
      <c r="G161" s="14"/>
      <c r="H161" s="83">
        <f t="shared" si="10"/>
        <v>0</v>
      </c>
      <c r="I161" s="80"/>
      <c r="J161" s="80"/>
      <c r="K161" s="7" t="str">
        <f>IF($B161="","",IFERROR(INDEX(Connaissements!$B$3:$B$202,MATCH($B161,Connaissements!$A$3:$A$202,0)),""))</f>
        <v/>
      </c>
      <c r="L161" s="7" t="str">
        <f>IF($B161="","",IFERROR(INDEX(Connaissements!$G$3:$G$202,MATCH($B161,Connaissements!$A$3:$A$202,0)),""))</f>
        <v/>
      </c>
      <c r="M161" s="7" t="str">
        <f t="shared" si="7"/>
        <v/>
      </c>
      <c r="N161" s="7" t="str">
        <f t="shared" ca="1" si="8"/>
        <v/>
      </c>
      <c r="O161" s="13"/>
      <c r="P161" s="29" t="str">
        <f t="shared" ca="1" si="9"/>
        <v/>
      </c>
      <c r="Q161" s="30" t="str">
        <f>IF($K161="","",IFERROR(IF(INDEX(Bookings!$G$3:$G$202,MATCH($K161,Bookings!$A$3:$A$202,0))="","",INDEX(Bookings!$G$3:$G$202,MATCH($K161,Bookings!$A$3:$A$202,0))),""))</f>
        <v/>
      </c>
    </row>
    <row r="162" spans="1:17" hidden="1" x14ac:dyDescent="0.35">
      <c r="A162" s="81"/>
      <c r="B162" s="81"/>
      <c r="C162" s="21"/>
      <c r="D162" s="56"/>
      <c r="E162" s="14"/>
      <c r="F162" s="14"/>
      <c r="G162" s="14"/>
      <c r="H162" s="83">
        <f t="shared" si="10"/>
        <v>0</v>
      </c>
      <c r="I162" s="80"/>
      <c r="J162" s="80"/>
      <c r="K162" s="7" t="str">
        <f>IF($B162="","",IFERROR(INDEX(Connaissements!$B$3:$B$202,MATCH($B162,Connaissements!$A$3:$A$202,0)),""))</f>
        <v/>
      </c>
      <c r="L162" s="7" t="str">
        <f>IF($B162="","",IFERROR(INDEX(Connaissements!$G$3:$G$202,MATCH($B162,Connaissements!$A$3:$A$202,0)),""))</f>
        <v/>
      </c>
      <c r="M162" s="7" t="str">
        <f t="shared" si="7"/>
        <v/>
      </c>
      <c r="N162" s="7" t="str">
        <f t="shared" ca="1" si="8"/>
        <v/>
      </c>
      <c r="O162" s="13"/>
      <c r="P162" s="29" t="str">
        <f t="shared" ca="1" si="9"/>
        <v/>
      </c>
      <c r="Q162" s="30" t="str">
        <f>IF($K162="","",IFERROR(IF(INDEX(Bookings!$G$3:$G$202,MATCH($K162,Bookings!$A$3:$A$202,0))="","",INDEX(Bookings!$G$3:$G$202,MATCH($K162,Bookings!$A$3:$A$202,0))),""))</f>
        <v/>
      </c>
    </row>
    <row r="163" spans="1:17" hidden="1" x14ac:dyDescent="0.35">
      <c r="A163" s="81"/>
      <c r="B163" s="81"/>
      <c r="C163" s="21"/>
      <c r="D163" s="56"/>
      <c r="E163" s="14"/>
      <c r="F163" s="14"/>
      <c r="G163" s="14"/>
      <c r="H163" s="83">
        <f t="shared" si="10"/>
        <v>0</v>
      </c>
      <c r="I163" s="80"/>
      <c r="J163" s="80"/>
      <c r="K163" s="7" t="str">
        <f>IF($B163="","",IFERROR(INDEX(Connaissements!$B$3:$B$202,MATCH($B163,Connaissements!$A$3:$A$202,0)),""))</f>
        <v/>
      </c>
      <c r="L163" s="7" t="str">
        <f>IF($B163="","",IFERROR(INDEX(Connaissements!$G$3:$G$202,MATCH($B163,Connaissements!$A$3:$A$202,0)),""))</f>
        <v/>
      </c>
      <c r="M163" s="7" t="str">
        <f t="shared" si="7"/>
        <v/>
      </c>
      <c r="N163" s="7" t="str">
        <f t="shared" ca="1" si="8"/>
        <v/>
      </c>
      <c r="O163" s="13"/>
      <c r="P163" s="29" t="str">
        <f t="shared" ca="1" si="9"/>
        <v/>
      </c>
      <c r="Q163" s="30" t="str">
        <f>IF($K163="","",IFERROR(IF(INDEX(Bookings!$G$3:$G$202,MATCH($K163,Bookings!$A$3:$A$202,0))="","",INDEX(Bookings!$G$3:$G$202,MATCH($K163,Bookings!$A$3:$A$202,0))),""))</f>
        <v/>
      </c>
    </row>
    <row r="164" spans="1:17" hidden="1" x14ac:dyDescent="0.35">
      <c r="A164" s="81"/>
      <c r="B164" s="81"/>
      <c r="C164" s="21"/>
      <c r="D164" s="56"/>
      <c r="E164" s="14"/>
      <c r="F164" s="14"/>
      <c r="G164" s="14"/>
      <c r="H164" s="83">
        <f t="shared" si="10"/>
        <v>0</v>
      </c>
      <c r="I164" s="80"/>
      <c r="J164" s="80"/>
      <c r="K164" s="7" t="str">
        <f>IF($B164="","",IFERROR(INDEX(Connaissements!$B$3:$B$202,MATCH($B164,Connaissements!$A$3:$A$202,0)),""))</f>
        <v/>
      </c>
      <c r="L164" s="7" t="str">
        <f>IF($B164="","",IFERROR(INDEX(Connaissements!$G$3:$G$202,MATCH($B164,Connaissements!$A$3:$A$202,0)),""))</f>
        <v/>
      </c>
      <c r="M164" s="7" t="str">
        <f t="shared" si="7"/>
        <v/>
      </c>
      <c r="N164" s="7" t="str">
        <f t="shared" ca="1" si="8"/>
        <v/>
      </c>
      <c r="O164" s="13"/>
      <c r="P164" s="29" t="str">
        <f t="shared" ca="1" si="9"/>
        <v/>
      </c>
      <c r="Q164" s="30" t="str">
        <f>IF($K164="","",IFERROR(IF(INDEX(Bookings!$G$3:$G$202,MATCH($K164,Bookings!$A$3:$A$202,0))="","",INDEX(Bookings!$G$3:$G$202,MATCH($K164,Bookings!$A$3:$A$202,0))),""))</f>
        <v/>
      </c>
    </row>
    <row r="165" spans="1:17" hidden="1" x14ac:dyDescent="0.35">
      <c r="A165" s="81"/>
      <c r="B165" s="81"/>
      <c r="C165" s="21"/>
      <c r="D165" s="56"/>
      <c r="E165" s="14"/>
      <c r="F165" s="14"/>
      <c r="G165" s="14"/>
      <c r="H165" s="83">
        <f t="shared" si="10"/>
        <v>0</v>
      </c>
      <c r="I165" s="80"/>
      <c r="J165" s="80"/>
      <c r="K165" s="7" t="str">
        <f>IF($B165="","",IFERROR(INDEX(Connaissements!$B$3:$B$202,MATCH($B165,Connaissements!$A$3:$A$202,0)),""))</f>
        <v/>
      </c>
      <c r="L165" s="7" t="str">
        <f>IF($B165="","",IFERROR(INDEX(Connaissements!$G$3:$G$202,MATCH($B165,Connaissements!$A$3:$A$202,0)),""))</f>
        <v/>
      </c>
      <c r="M165" s="7" t="str">
        <f t="shared" si="7"/>
        <v/>
      </c>
      <c r="N165" s="7" t="str">
        <f t="shared" ca="1" si="8"/>
        <v/>
      </c>
      <c r="O165" s="13"/>
      <c r="P165" s="29" t="str">
        <f t="shared" ca="1" si="9"/>
        <v/>
      </c>
      <c r="Q165" s="30" t="str">
        <f>IF($K165="","",IFERROR(IF(INDEX(Bookings!$G$3:$G$202,MATCH($K165,Bookings!$A$3:$A$202,0))="","",INDEX(Bookings!$G$3:$G$202,MATCH($K165,Bookings!$A$3:$A$202,0))),""))</f>
        <v/>
      </c>
    </row>
    <row r="166" spans="1:17" hidden="1" x14ac:dyDescent="0.35">
      <c r="A166" s="81"/>
      <c r="B166" s="81"/>
      <c r="C166" s="21"/>
      <c r="D166" s="56"/>
      <c r="E166" s="14"/>
      <c r="F166" s="14"/>
      <c r="G166" s="14"/>
      <c r="H166" s="83">
        <f t="shared" si="10"/>
        <v>0</v>
      </c>
      <c r="I166" s="80"/>
      <c r="J166" s="80"/>
      <c r="K166" s="7" t="str">
        <f>IF($B166="","",IFERROR(INDEX(Connaissements!$B$3:$B$202,MATCH($B166,Connaissements!$A$3:$A$202,0)),""))</f>
        <v/>
      </c>
      <c r="L166" s="7" t="str">
        <f>IF($B166="","",IFERROR(INDEX(Connaissements!$G$3:$G$202,MATCH($B166,Connaissements!$A$3:$A$202,0)),""))</f>
        <v/>
      </c>
      <c r="M166" s="7" t="str">
        <f t="shared" si="7"/>
        <v/>
      </c>
      <c r="N166" s="7" t="str">
        <f t="shared" ca="1" si="8"/>
        <v/>
      </c>
      <c r="O166" s="13"/>
      <c r="P166" s="29" t="str">
        <f t="shared" ca="1" si="9"/>
        <v/>
      </c>
      <c r="Q166" s="30" t="str">
        <f>IF($K166="","",IFERROR(IF(INDEX(Bookings!$G$3:$G$202,MATCH($K166,Bookings!$A$3:$A$202,0))="","",INDEX(Bookings!$G$3:$G$202,MATCH($K166,Bookings!$A$3:$A$202,0))),""))</f>
        <v/>
      </c>
    </row>
    <row r="167" spans="1:17" hidden="1" x14ac:dyDescent="0.35">
      <c r="A167" s="81"/>
      <c r="B167" s="81"/>
      <c r="C167" s="21"/>
      <c r="D167" s="56"/>
      <c r="E167" s="14"/>
      <c r="F167" s="14"/>
      <c r="G167" s="14"/>
      <c r="H167" s="83">
        <f t="shared" si="10"/>
        <v>0</v>
      </c>
      <c r="I167" s="80"/>
      <c r="J167" s="80"/>
      <c r="K167" s="7" t="str">
        <f>IF($B167="","",IFERROR(INDEX(Connaissements!$B$3:$B$202,MATCH($B167,Connaissements!$A$3:$A$202,0)),""))</f>
        <v/>
      </c>
      <c r="L167" s="7" t="str">
        <f>IF($B167="","",IFERROR(INDEX(Connaissements!$G$3:$G$202,MATCH($B167,Connaissements!$A$3:$A$202,0)),""))</f>
        <v/>
      </c>
      <c r="M167" s="7" t="str">
        <f t="shared" si="7"/>
        <v/>
      </c>
      <c r="N167" s="7" t="str">
        <f t="shared" ca="1" si="8"/>
        <v/>
      </c>
      <c r="O167" s="13"/>
      <c r="P167" s="29" t="str">
        <f t="shared" ca="1" si="9"/>
        <v/>
      </c>
      <c r="Q167" s="30" t="str">
        <f>IF($K167="","",IFERROR(IF(INDEX(Bookings!$G$3:$G$202,MATCH($K167,Bookings!$A$3:$A$202,0))="","",INDEX(Bookings!$G$3:$G$202,MATCH($K167,Bookings!$A$3:$A$202,0))),""))</f>
        <v/>
      </c>
    </row>
    <row r="168" spans="1:17" hidden="1" x14ac:dyDescent="0.35">
      <c r="A168" s="81"/>
      <c r="B168" s="81"/>
      <c r="C168" s="21"/>
      <c r="D168" s="56"/>
      <c r="E168" s="14"/>
      <c r="F168" s="14"/>
      <c r="G168" s="14"/>
      <c r="H168" s="83">
        <f t="shared" si="10"/>
        <v>0</v>
      </c>
      <c r="I168" s="80"/>
      <c r="J168" s="80"/>
      <c r="K168" s="7" t="str">
        <f>IF($B168="","",IFERROR(INDEX(Connaissements!$B$3:$B$202,MATCH($B168,Connaissements!$A$3:$A$202,0)),""))</f>
        <v/>
      </c>
      <c r="L168" s="7" t="str">
        <f>IF($B168="","",IFERROR(INDEX(Connaissements!$G$3:$G$202,MATCH($B168,Connaissements!$A$3:$A$202,0)),""))</f>
        <v/>
      </c>
      <c r="M168" s="7" t="str">
        <f t="shared" si="7"/>
        <v/>
      </c>
      <c r="N168" s="7" t="str">
        <f t="shared" ca="1" si="8"/>
        <v/>
      </c>
      <c r="O168" s="13"/>
      <c r="P168" s="29" t="str">
        <f t="shared" ca="1" si="9"/>
        <v/>
      </c>
      <c r="Q168" s="30" t="str">
        <f>IF($K168="","",IFERROR(IF(INDEX(Bookings!$G$3:$G$202,MATCH($K168,Bookings!$A$3:$A$202,0))="","",INDEX(Bookings!$G$3:$G$202,MATCH($K168,Bookings!$A$3:$A$202,0))),""))</f>
        <v/>
      </c>
    </row>
    <row r="169" spans="1:17" hidden="1" x14ac:dyDescent="0.35">
      <c r="A169" s="81"/>
      <c r="B169" s="81"/>
      <c r="C169" s="21"/>
      <c r="D169" s="56"/>
      <c r="E169" s="14"/>
      <c r="F169" s="14"/>
      <c r="G169" s="14"/>
      <c r="H169" s="83">
        <f t="shared" si="10"/>
        <v>0</v>
      </c>
      <c r="I169" s="80"/>
      <c r="J169" s="80"/>
      <c r="K169" s="7" t="str">
        <f>IF($B169="","",IFERROR(INDEX(Connaissements!$B$3:$B$202,MATCH($B169,Connaissements!$A$3:$A$202,0)),""))</f>
        <v/>
      </c>
      <c r="L169" s="7" t="str">
        <f>IF($B169="","",IFERROR(INDEX(Connaissements!$G$3:$G$202,MATCH($B169,Connaissements!$A$3:$A$202,0)),""))</f>
        <v/>
      </c>
      <c r="M169" s="7" t="str">
        <f t="shared" si="7"/>
        <v/>
      </c>
      <c r="N169" s="7" t="str">
        <f t="shared" ca="1" si="8"/>
        <v/>
      </c>
      <c r="O169" s="13"/>
      <c r="P169" s="29" t="str">
        <f t="shared" ca="1" si="9"/>
        <v/>
      </c>
      <c r="Q169" s="30" t="str">
        <f>IF($K169="","",IFERROR(IF(INDEX(Bookings!$G$3:$G$202,MATCH($K169,Bookings!$A$3:$A$202,0))="","",INDEX(Bookings!$G$3:$G$202,MATCH($K169,Bookings!$A$3:$A$202,0))),""))</f>
        <v/>
      </c>
    </row>
    <row r="170" spans="1:17" hidden="1" x14ac:dyDescent="0.35">
      <c r="A170" s="81"/>
      <c r="B170" s="81"/>
      <c r="C170" s="21"/>
      <c r="D170" s="56"/>
      <c r="E170" s="14"/>
      <c r="F170" s="14"/>
      <c r="G170" s="14"/>
      <c r="H170" s="83">
        <f t="shared" si="10"/>
        <v>0</v>
      </c>
      <c r="I170" s="80"/>
      <c r="J170" s="80"/>
      <c r="K170" s="7" t="str">
        <f>IF($B170="","",IFERROR(INDEX(Connaissements!$B$3:$B$202,MATCH($B170,Connaissements!$A$3:$A$202,0)),""))</f>
        <v/>
      </c>
      <c r="L170" s="7" t="str">
        <f>IF($B170="","",IFERROR(INDEX(Connaissements!$G$3:$G$202,MATCH($B170,Connaissements!$A$3:$A$202,0)),""))</f>
        <v/>
      </c>
      <c r="M170" s="7" t="str">
        <f t="shared" si="7"/>
        <v/>
      </c>
      <c r="N170" s="7" t="str">
        <f t="shared" ca="1" si="8"/>
        <v/>
      </c>
      <c r="O170" s="13"/>
      <c r="P170" s="29" t="str">
        <f t="shared" ca="1" si="9"/>
        <v/>
      </c>
      <c r="Q170" s="30" t="str">
        <f>IF($K170="","",IFERROR(IF(INDEX(Bookings!$G$3:$G$202,MATCH($K170,Bookings!$A$3:$A$202,0))="","",INDEX(Bookings!$G$3:$G$202,MATCH($K170,Bookings!$A$3:$A$202,0))),""))</f>
        <v/>
      </c>
    </row>
    <row r="171" spans="1:17" hidden="1" x14ac:dyDescent="0.35">
      <c r="A171" s="81"/>
      <c r="B171" s="81"/>
      <c r="C171" s="21"/>
      <c r="D171" s="56"/>
      <c r="E171" s="14"/>
      <c r="F171" s="14"/>
      <c r="G171" s="14"/>
      <c r="H171" s="83">
        <f t="shared" si="10"/>
        <v>0</v>
      </c>
      <c r="I171" s="80"/>
      <c r="J171" s="80"/>
      <c r="K171" s="7" t="str">
        <f>IF($B171="","",IFERROR(INDEX(Connaissements!$B$3:$B$202,MATCH($B171,Connaissements!$A$3:$A$202,0)),""))</f>
        <v/>
      </c>
      <c r="L171" s="7" t="str">
        <f>IF($B171="","",IFERROR(INDEX(Connaissements!$G$3:$G$202,MATCH($B171,Connaissements!$A$3:$A$202,0)),""))</f>
        <v/>
      </c>
      <c r="M171" s="7" t="str">
        <f t="shared" si="7"/>
        <v/>
      </c>
      <c r="N171" s="7" t="str">
        <f t="shared" ca="1" si="8"/>
        <v/>
      </c>
      <c r="O171" s="13"/>
      <c r="P171" s="29" t="str">
        <f t="shared" ca="1" si="9"/>
        <v/>
      </c>
      <c r="Q171" s="30" t="str">
        <f>IF($K171="","",IFERROR(IF(INDEX(Bookings!$G$3:$G$202,MATCH($K171,Bookings!$A$3:$A$202,0))="","",INDEX(Bookings!$G$3:$G$202,MATCH($K171,Bookings!$A$3:$A$202,0))),""))</f>
        <v/>
      </c>
    </row>
    <row r="172" spans="1:17" hidden="1" x14ac:dyDescent="0.35">
      <c r="A172" s="81"/>
      <c r="B172" s="81"/>
      <c r="C172" s="21"/>
      <c r="D172" s="56"/>
      <c r="E172" s="14"/>
      <c r="F172" s="14"/>
      <c r="G172" s="14"/>
      <c r="H172" s="83">
        <f t="shared" si="10"/>
        <v>0</v>
      </c>
      <c r="I172" s="80"/>
      <c r="J172" s="80"/>
      <c r="K172" s="7" t="str">
        <f>IF($B172="","",IFERROR(INDEX(Connaissements!$B$3:$B$202,MATCH($B172,Connaissements!$A$3:$A$202,0)),""))</f>
        <v/>
      </c>
      <c r="L172" s="7" t="str">
        <f>IF($B172="","",IFERROR(INDEX(Connaissements!$G$3:$G$202,MATCH($B172,Connaissements!$A$3:$A$202,0)),""))</f>
        <v/>
      </c>
      <c r="M172" s="7" t="str">
        <f t="shared" si="7"/>
        <v/>
      </c>
      <c r="N172" s="7" t="str">
        <f t="shared" ca="1" si="8"/>
        <v/>
      </c>
      <c r="O172" s="13"/>
      <c r="P172" s="29" t="str">
        <f t="shared" ca="1" si="9"/>
        <v/>
      </c>
      <c r="Q172" s="30" t="str">
        <f>IF($K172="","",IFERROR(IF(INDEX(Bookings!$G$3:$G$202,MATCH($K172,Bookings!$A$3:$A$202,0))="","",INDEX(Bookings!$G$3:$G$202,MATCH($K172,Bookings!$A$3:$A$202,0))),""))</f>
        <v/>
      </c>
    </row>
    <row r="173" spans="1:17" hidden="1" x14ac:dyDescent="0.35">
      <c r="A173" s="81"/>
      <c r="B173" s="81"/>
      <c r="C173" s="21"/>
      <c r="D173" s="56"/>
      <c r="E173" s="14"/>
      <c r="F173" s="14"/>
      <c r="G173" s="14"/>
      <c r="H173" s="83">
        <f t="shared" si="10"/>
        <v>0</v>
      </c>
      <c r="I173" s="80"/>
      <c r="J173" s="80"/>
      <c r="K173" s="7" t="str">
        <f>IF($B173="","",IFERROR(INDEX(Connaissements!$B$3:$B$202,MATCH($B173,Connaissements!$A$3:$A$202,0)),""))</f>
        <v/>
      </c>
      <c r="L173" s="7" t="str">
        <f>IF($B173="","",IFERROR(INDEX(Connaissements!$G$3:$G$202,MATCH($B173,Connaissements!$A$3:$A$202,0)),""))</f>
        <v/>
      </c>
      <c r="M173" s="7" t="str">
        <f t="shared" si="7"/>
        <v/>
      </c>
      <c r="N173" s="7" t="str">
        <f t="shared" ca="1" si="8"/>
        <v/>
      </c>
      <c r="O173" s="13"/>
      <c r="P173" s="29" t="str">
        <f t="shared" ca="1" si="9"/>
        <v/>
      </c>
      <c r="Q173" s="30" t="str">
        <f>IF($K173="","",IFERROR(IF(INDEX(Bookings!$G$3:$G$202,MATCH($K173,Bookings!$A$3:$A$202,0))="","",INDEX(Bookings!$G$3:$G$202,MATCH($K173,Bookings!$A$3:$A$202,0))),""))</f>
        <v/>
      </c>
    </row>
    <row r="174" spans="1:17" hidden="1" x14ac:dyDescent="0.35">
      <c r="A174" s="81"/>
      <c r="B174" s="81"/>
      <c r="C174" s="21"/>
      <c r="D174" s="56"/>
      <c r="E174" s="14"/>
      <c r="F174" s="14"/>
      <c r="G174" s="14"/>
      <c r="H174" s="83">
        <f t="shared" si="10"/>
        <v>0</v>
      </c>
      <c r="I174" s="80"/>
      <c r="J174" s="80"/>
      <c r="K174" s="7" t="str">
        <f>IF($B174="","",IFERROR(INDEX(Connaissements!$B$3:$B$202,MATCH($B174,Connaissements!$A$3:$A$202,0)),""))</f>
        <v/>
      </c>
      <c r="L174" s="7" t="str">
        <f>IF($B174="","",IFERROR(INDEX(Connaissements!$G$3:$G$202,MATCH($B174,Connaissements!$A$3:$A$202,0)),""))</f>
        <v/>
      </c>
      <c r="M174" s="7" t="str">
        <f t="shared" si="7"/>
        <v/>
      </c>
      <c r="N174" s="7" t="str">
        <f t="shared" ca="1" si="8"/>
        <v/>
      </c>
      <c r="O174" s="13"/>
      <c r="P174" s="29" t="str">
        <f t="shared" ca="1" si="9"/>
        <v/>
      </c>
      <c r="Q174" s="30" t="str">
        <f>IF($K174="","",IFERROR(IF(INDEX(Bookings!$G$3:$G$202,MATCH($K174,Bookings!$A$3:$A$202,0))="","",INDEX(Bookings!$G$3:$G$202,MATCH($K174,Bookings!$A$3:$A$202,0))),""))</f>
        <v/>
      </c>
    </row>
    <row r="175" spans="1:17" hidden="1" x14ac:dyDescent="0.35">
      <c r="A175" s="81"/>
      <c r="B175" s="81"/>
      <c r="C175" s="21"/>
      <c r="D175" s="56"/>
      <c r="E175" s="14"/>
      <c r="F175" s="14"/>
      <c r="G175" s="14"/>
      <c r="H175" s="83">
        <f t="shared" si="10"/>
        <v>0</v>
      </c>
      <c r="I175" s="80"/>
      <c r="J175" s="80"/>
      <c r="K175" s="7" t="str">
        <f>IF($B175="","",IFERROR(INDEX(Connaissements!$B$3:$B$202,MATCH($B175,Connaissements!$A$3:$A$202,0)),""))</f>
        <v/>
      </c>
      <c r="L175" s="7" t="str">
        <f>IF($B175="","",IFERROR(INDEX(Connaissements!$G$3:$G$202,MATCH($B175,Connaissements!$A$3:$A$202,0)),""))</f>
        <v/>
      </c>
      <c r="M175" s="7" t="str">
        <f t="shared" si="7"/>
        <v/>
      </c>
      <c r="N175" s="7" t="str">
        <f t="shared" ca="1" si="8"/>
        <v/>
      </c>
      <c r="O175" s="13"/>
      <c r="P175" s="29" t="str">
        <f t="shared" ca="1" si="9"/>
        <v/>
      </c>
      <c r="Q175" s="30" t="str">
        <f>IF($K175="","",IFERROR(IF(INDEX(Bookings!$G$3:$G$202,MATCH($K175,Bookings!$A$3:$A$202,0))="","",INDEX(Bookings!$G$3:$G$202,MATCH($K175,Bookings!$A$3:$A$202,0))),""))</f>
        <v/>
      </c>
    </row>
    <row r="176" spans="1:17" hidden="1" x14ac:dyDescent="0.35">
      <c r="A176" s="81"/>
      <c r="B176" s="81"/>
      <c r="C176" s="21"/>
      <c r="D176" s="56"/>
      <c r="E176" s="14"/>
      <c r="F176" s="14"/>
      <c r="G176" s="14"/>
      <c r="H176" s="83">
        <f t="shared" si="10"/>
        <v>0</v>
      </c>
      <c r="I176" s="80"/>
      <c r="J176" s="80"/>
      <c r="K176" s="7" t="str">
        <f>IF($B176="","",IFERROR(INDEX(Connaissements!$B$3:$B$202,MATCH($B176,Connaissements!$A$3:$A$202,0)),""))</f>
        <v/>
      </c>
      <c r="L176" s="7" t="str">
        <f>IF($B176="","",IFERROR(INDEX(Connaissements!$G$3:$G$202,MATCH($B176,Connaissements!$A$3:$A$202,0)),""))</f>
        <v/>
      </c>
      <c r="M176" s="7" t="str">
        <f t="shared" si="7"/>
        <v/>
      </c>
      <c r="N176" s="7" t="str">
        <f t="shared" ca="1" si="8"/>
        <v/>
      </c>
      <c r="O176" s="13"/>
      <c r="P176" s="29" t="str">
        <f t="shared" ca="1" si="9"/>
        <v/>
      </c>
      <c r="Q176" s="30" t="str">
        <f>IF($K176="","",IFERROR(IF(INDEX(Bookings!$G$3:$G$202,MATCH($K176,Bookings!$A$3:$A$202,0))="","",INDEX(Bookings!$G$3:$G$202,MATCH($K176,Bookings!$A$3:$A$202,0))),""))</f>
        <v/>
      </c>
    </row>
    <row r="177" spans="1:17" hidden="1" x14ac:dyDescent="0.35">
      <c r="A177" s="81"/>
      <c r="B177" s="81"/>
      <c r="C177" s="21"/>
      <c r="D177" s="56"/>
      <c r="E177" s="14"/>
      <c r="F177" s="14"/>
      <c r="G177" s="14"/>
      <c r="H177" s="83">
        <f t="shared" si="10"/>
        <v>0</v>
      </c>
      <c r="I177" s="80"/>
      <c r="J177" s="80"/>
      <c r="K177" s="7" t="str">
        <f>IF($B177="","",IFERROR(INDEX(Connaissements!$B$3:$B$202,MATCH($B177,Connaissements!$A$3:$A$202,0)),""))</f>
        <v/>
      </c>
      <c r="L177" s="7" t="str">
        <f>IF($B177="","",IFERROR(INDEX(Connaissements!$G$3:$G$202,MATCH($B177,Connaissements!$A$3:$A$202,0)),""))</f>
        <v/>
      </c>
      <c r="M177" s="7" t="str">
        <f t="shared" si="7"/>
        <v/>
      </c>
      <c r="N177" s="7" t="str">
        <f t="shared" ca="1" si="8"/>
        <v/>
      </c>
      <c r="O177" s="13"/>
      <c r="P177" s="29" t="str">
        <f t="shared" ca="1" si="9"/>
        <v/>
      </c>
      <c r="Q177" s="30" t="str">
        <f>IF($K177="","",IFERROR(IF(INDEX(Bookings!$G$3:$G$202,MATCH($K177,Bookings!$A$3:$A$202,0))="","",INDEX(Bookings!$G$3:$G$202,MATCH($K177,Bookings!$A$3:$A$202,0))),""))</f>
        <v/>
      </c>
    </row>
    <row r="178" spans="1:17" hidden="1" x14ac:dyDescent="0.35">
      <c r="A178" s="81"/>
      <c r="B178" s="81"/>
      <c r="C178" s="21"/>
      <c r="D178" s="56"/>
      <c r="E178" s="14"/>
      <c r="F178" s="14"/>
      <c r="G178" s="14"/>
      <c r="H178" s="83">
        <f t="shared" si="10"/>
        <v>0</v>
      </c>
      <c r="I178" s="80"/>
      <c r="J178" s="80"/>
      <c r="K178" s="7" t="str">
        <f>IF($B178="","",IFERROR(INDEX(Connaissements!$B$3:$B$202,MATCH($B178,Connaissements!$A$3:$A$202,0)),""))</f>
        <v/>
      </c>
      <c r="L178" s="7" t="str">
        <f>IF($B178="","",IFERROR(INDEX(Connaissements!$G$3:$G$202,MATCH($B178,Connaissements!$A$3:$A$202,0)),""))</f>
        <v/>
      </c>
      <c r="M178" s="7" t="str">
        <f t="shared" si="7"/>
        <v/>
      </c>
      <c r="N178" s="7" t="str">
        <f t="shared" ca="1" si="8"/>
        <v/>
      </c>
      <c r="O178" s="13"/>
      <c r="P178" s="29" t="str">
        <f t="shared" ca="1" si="9"/>
        <v/>
      </c>
      <c r="Q178" s="30" t="str">
        <f>IF($K178="","",IFERROR(IF(INDEX(Bookings!$G$3:$G$202,MATCH($K178,Bookings!$A$3:$A$202,0))="","",INDEX(Bookings!$G$3:$G$202,MATCH($K178,Bookings!$A$3:$A$202,0))),""))</f>
        <v/>
      </c>
    </row>
    <row r="179" spans="1:17" hidden="1" x14ac:dyDescent="0.35">
      <c r="A179" s="81"/>
      <c r="B179" s="81"/>
      <c r="C179" s="21"/>
      <c r="D179" s="56"/>
      <c r="E179" s="14"/>
      <c r="F179" s="14"/>
      <c r="G179" s="14"/>
      <c r="H179" s="83">
        <f t="shared" si="10"/>
        <v>0</v>
      </c>
      <c r="I179" s="80"/>
      <c r="J179" s="80"/>
      <c r="K179" s="7" t="str">
        <f>IF($B179="","",IFERROR(INDEX(Connaissements!$B$3:$B$202,MATCH($B179,Connaissements!$A$3:$A$202,0)),""))</f>
        <v/>
      </c>
      <c r="L179" s="7" t="str">
        <f>IF($B179="","",IFERROR(INDEX(Connaissements!$G$3:$G$202,MATCH($B179,Connaissements!$A$3:$A$202,0)),""))</f>
        <v/>
      </c>
      <c r="M179" s="7" t="str">
        <f t="shared" si="7"/>
        <v/>
      </c>
      <c r="N179" s="7" t="str">
        <f t="shared" ca="1" si="8"/>
        <v/>
      </c>
      <c r="O179" s="13"/>
      <c r="P179" s="29" t="str">
        <f t="shared" ca="1" si="9"/>
        <v/>
      </c>
      <c r="Q179" s="30" t="str">
        <f>IF($K179="","",IFERROR(IF(INDEX(Bookings!$G$3:$G$202,MATCH($K179,Bookings!$A$3:$A$202,0))="","",INDEX(Bookings!$G$3:$G$202,MATCH($K179,Bookings!$A$3:$A$202,0))),""))</f>
        <v/>
      </c>
    </row>
    <row r="180" spans="1:17" hidden="1" x14ac:dyDescent="0.35">
      <c r="A180" s="81"/>
      <c r="B180" s="81"/>
      <c r="C180" s="21"/>
      <c r="D180" s="56"/>
      <c r="E180" s="14"/>
      <c r="F180" s="14"/>
      <c r="G180" s="14"/>
      <c r="H180" s="83">
        <f t="shared" si="10"/>
        <v>0</v>
      </c>
      <c r="I180" s="80"/>
      <c r="J180" s="80"/>
      <c r="K180" s="7" t="str">
        <f>IF($B180="","",IFERROR(INDEX(Connaissements!$B$3:$B$202,MATCH($B180,Connaissements!$A$3:$A$202,0)),""))</f>
        <v/>
      </c>
      <c r="L180" s="7" t="str">
        <f>IF($B180="","",IFERROR(INDEX(Connaissements!$G$3:$G$202,MATCH($B180,Connaissements!$A$3:$A$202,0)),""))</f>
        <v/>
      </c>
      <c r="M180" s="7" t="str">
        <f t="shared" si="7"/>
        <v/>
      </c>
      <c r="N180" s="7" t="str">
        <f t="shared" ca="1" si="8"/>
        <v/>
      </c>
      <c r="O180" s="13"/>
      <c r="P180" s="29" t="str">
        <f t="shared" ca="1" si="9"/>
        <v/>
      </c>
      <c r="Q180" s="30" t="str">
        <f>IF($K180="","",IFERROR(IF(INDEX(Bookings!$G$3:$G$202,MATCH($K180,Bookings!$A$3:$A$202,0))="","",INDEX(Bookings!$G$3:$G$202,MATCH($K180,Bookings!$A$3:$A$202,0))),""))</f>
        <v/>
      </c>
    </row>
    <row r="181" spans="1:17" hidden="1" x14ac:dyDescent="0.35">
      <c r="A181" s="81"/>
      <c r="B181" s="81"/>
      <c r="C181" s="21"/>
      <c r="D181" s="56"/>
      <c r="E181" s="14"/>
      <c r="F181" s="14"/>
      <c r="G181" s="14"/>
      <c r="H181" s="83">
        <f t="shared" si="10"/>
        <v>0</v>
      </c>
      <c r="I181" s="80"/>
      <c r="J181" s="80"/>
      <c r="K181" s="7" t="str">
        <f>IF($B181="","",IFERROR(INDEX(Connaissements!$B$3:$B$202,MATCH($B181,Connaissements!$A$3:$A$202,0)),""))</f>
        <v/>
      </c>
      <c r="L181" s="7" t="str">
        <f>IF($B181="","",IFERROR(INDEX(Connaissements!$G$3:$G$202,MATCH($B181,Connaissements!$A$3:$A$202,0)),""))</f>
        <v/>
      </c>
      <c r="M181" s="7" t="str">
        <f t="shared" si="7"/>
        <v/>
      </c>
      <c r="N181" s="7" t="str">
        <f t="shared" ca="1" si="8"/>
        <v/>
      </c>
      <c r="O181" s="13"/>
      <c r="P181" s="29" t="str">
        <f t="shared" ca="1" si="9"/>
        <v/>
      </c>
      <c r="Q181" s="30" t="str">
        <f>IF($K181="","",IFERROR(IF(INDEX(Bookings!$G$3:$G$202,MATCH($K181,Bookings!$A$3:$A$202,0))="","",INDEX(Bookings!$G$3:$G$202,MATCH($K181,Bookings!$A$3:$A$202,0))),""))</f>
        <v/>
      </c>
    </row>
    <row r="182" spans="1:17" hidden="1" x14ac:dyDescent="0.35">
      <c r="A182" s="81"/>
      <c r="B182" s="81"/>
      <c r="C182" s="21"/>
      <c r="D182" s="56"/>
      <c r="E182" s="14"/>
      <c r="F182" s="14"/>
      <c r="G182" s="14"/>
      <c r="H182" s="83">
        <f t="shared" si="10"/>
        <v>0</v>
      </c>
      <c r="I182" s="80"/>
      <c r="J182" s="80"/>
      <c r="K182" s="7" t="str">
        <f>IF($B182="","",IFERROR(INDEX(Connaissements!$B$3:$B$202,MATCH($B182,Connaissements!$A$3:$A$202,0)),""))</f>
        <v/>
      </c>
      <c r="L182" s="7" t="str">
        <f>IF($B182="","",IFERROR(INDEX(Connaissements!$G$3:$G$202,MATCH($B182,Connaissements!$A$3:$A$202,0)),""))</f>
        <v/>
      </c>
      <c r="M182" s="7" t="str">
        <f t="shared" si="7"/>
        <v/>
      </c>
      <c r="N182" s="7" t="str">
        <f t="shared" ca="1" si="8"/>
        <v/>
      </c>
      <c r="O182" s="13"/>
      <c r="P182" s="29" t="str">
        <f t="shared" ca="1" si="9"/>
        <v/>
      </c>
      <c r="Q182" s="30" t="str">
        <f>IF($K182="","",IFERROR(IF(INDEX(Bookings!$G$3:$G$202,MATCH($K182,Bookings!$A$3:$A$202,0))="","",INDEX(Bookings!$G$3:$G$202,MATCH($K182,Bookings!$A$3:$A$202,0))),""))</f>
        <v/>
      </c>
    </row>
    <row r="183" spans="1:17" hidden="1" x14ac:dyDescent="0.35">
      <c r="A183" s="81"/>
      <c r="B183" s="81"/>
      <c r="C183" s="21"/>
      <c r="D183" s="56"/>
      <c r="E183" s="14"/>
      <c r="F183" s="14"/>
      <c r="G183" s="14"/>
      <c r="H183" s="83">
        <f t="shared" si="10"/>
        <v>0</v>
      </c>
      <c r="I183" s="80"/>
      <c r="J183" s="80"/>
      <c r="K183" s="7" t="str">
        <f>IF($B183="","",IFERROR(INDEX(Connaissements!$B$3:$B$202,MATCH($B183,Connaissements!$A$3:$A$202,0)),""))</f>
        <v/>
      </c>
      <c r="L183" s="7" t="str">
        <f>IF($B183="","",IFERROR(INDEX(Connaissements!$G$3:$G$202,MATCH($B183,Connaissements!$A$3:$A$202,0)),""))</f>
        <v/>
      </c>
      <c r="M183" s="7" t="str">
        <f t="shared" si="7"/>
        <v/>
      </c>
      <c r="N183" s="7" t="str">
        <f t="shared" ca="1" si="8"/>
        <v/>
      </c>
      <c r="O183" s="13"/>
      <c r="P183" s="29" t="str">
        <f t="shared" ca="1" si="9"/>
        <v/>
      </c>
      <c r="Q183" s="30" t="str">
        <f>IF($K183="","",IFERROR(IF(INDEX(Bookings!$G$3:$G$202,MATCH($K183,Bookings!$A$3:$A$202,0))="","",INDEX(Bookings!$G$3:$G$202,MATCH($K183,Bookings!$A$3:$A$202,0))),""))</f>
        <v/>
      </c>
    </row>
    <row r="184" spans="1:17" hidden="1" x14ac:dyDescent="0.35">
      <c r="A184" s="81"/>
      <c r="B184" s="81"/>
      <c r="C184" s="21"/>
      <c r="D184" s="56"/>
      <c r="E184" s="14"/>
      <c r="F184" s="14"/>
      <c r="G184" s="14"/>
      <c r="H184" s="83">
        <f t="shared" si="10"/>
        <v>0</v>
      </c>
      <c r="I184" s="80"/>
      <c r="J184" s="80"/>
      <c r="K184" s="7" t="str">
        <f>IF($B184="","",IFERROR(INDEX(Connaissements!$B$3:$B$202,MATCH($B184,Connaissements!$A$3:$A$202,0)),""))</f>
        <v/>
      </c>
      <c r="L184" s="7" t="str">
        <f>IF($B184="","",IFERROR(INDEX(Connaissements!$G$3:$G$202,MATCH($B184,Connaissements!$A$3:$A$202,0)),""))</f>
        <v/>
      </c>
      <c r="M184" s="7" t="str">
        <f t="shared" si="7"/>
        <v/>
      </c>
      <c r="N184" s="7" t="str">
        <f t="shared" ca="1" si="8"/>
        <v/>
      </c>
      <c r="O184" s="13"/>
      <c r="P184" s="29" t="str">
        <f t="shared" ca="1" si="9"/>
        <v/>
      </c>
      <c r="Q184" s="30" t="str">
        <f>IF($K184="","",IFERROR(IF(INDEX(Bookings!$G$3:$G$202,MATCH($K184,Bookings!$A$3:$A$202,0))="","",INDEX(Bookings!$G$3:$G$202,MATCH($K184,Bookings!$A$3:$A$202,0))),""))</f>
        <v/>
      </c>
    </row>
    <row r="185" spans="1:17" hidden="1" x14ac:dyDescent="0.35">
      <c r="A185" s="81"/>
      <c r="B185" s="81"/>
      <c r="C185" s="21"/>
      <c r="D185" s="56"/>
      <c r="E185" s="14"/>
      <c r="F185" s="14"/>
      <c r="G185" s="14"/>
      <c r="H185" s="83">
        <f t="shared" si="10"/>
        <v>0</v>
      </c>
      <c r="I185" s="80"/>
      <c r="J185" s="80"/>
      <c r="K185" s="7" t="str">
        <f>IF($B185="","",IFERROR(INDEX(Connaissements!$B$3:$B$202,MATCH($B185,Connaissements!$A$3:$A$202,0)),""))</f>
        <v/>
      </c>
      <c r="L185" s="7" t="str">
        <f>IF($B185="","",IFERROR(INDEX(Connaissements!$G$3:$G$202,MATCH($B185,Connaissements!$A$3:$A$202,0)),""))</f>
        <v/>
      </c>
      <c r="M185" s="7" t="str">
        <f t="shared" si="7"/>
        <v/>
      </c>
      <c r="N185" s="7" t="str">
        <f t="shared" ca="1" si="8"/>
        <v/>
      </c>
      <c r="O185" s="13"/>
      <c r="P185" s="29" t="str">
        <f t="shared" ca="1" si="9"/>
        <v/>
      </c>
      <c r="Q185" s="30" t="str">
        <f>IF($K185="","",IFERROR(IF(INDEX(Bookings!$G$3:$G$202,MATCH($K185,Bookings!$A$3:$A$202,0))="","",INDEX(Bookings!$G$3:$G$202,MATCH($K185,Bookings!$A$3:$A$202,0))),""))</f>
        <v/>
      </c>
    </row>
    <row r="186" spans="1:17" hidden="1" x14ac:dyDescent="0.35">
      <c r="A186" s="81"/>
      <c r="B186" s="81"/>
      <c r="C186" s="21"/>
      <c r="D186" s="56"/>
      <c r="E186" s="14"/>
      <c r="F186" s="14"/>
      <c r="G186" s="14"/>
      <c r="H186" s="83">
        <f t="shared" si="10"/>
        <v>0</v>
      </c>
      <c r="I186" s="80"/>
      <c r="J186" s="80"/>
      <c r="K186" s="7" t="str">
        <f>IF($B186="","",IFERROR(INDEX(Connaissements!$B$3:$B$202,MATCH($B186,Connaissements!$A$3:$A$202,0)),""))</f>
        <v/>
      </c>
      <c r="L186" s="7" t="str">
        <f>IF($B186="","",IFERROR(INDEX(Connaissements!$G$3:$G$202,MATCH($B186,Connaissements!$A$3:$A$202,0)),""))</f>
        <v/>
      </c>
      <c r="M186" s="7" t="str">
        <f t="shared" si="7"/>
        <v/>
      </c>
      <c r="N186" s="7" t="str">
        <f t="shared" ca="1" si="8"/>
        <v/>
      </c>
      <c r="O186" s="13"/>
      <c r="P186" s="29" t="str">
        <f t="shared" ca="1" si="9"/>
        <v/>
      </c>
      <c r="Q186" s="30" t="str">
        <f>IF($K186="","",IFERROR(IF(INDEX(Bookings!$G$3:$G$202,MATCH($K186,Bookings!$A$3:$A$202,0))="","",INDEX(Bookings!$G$3:$G$202,MATCH($K186,Bookings!$A$3:$A$202,0))),""))</f>
        <v/>
      </c>
    </row>
    <row r="187" spans="1:17" hidden="1" x14ac:dyDescent="0.35">
      <c r="A187" s="81"/>
      <c r="B187" s="81"/>
      <c r="C187" s="21"/>
      <c r="D187" s="56"/>
      <c r="E187" s="14"/>
      <c r="F187" s="14"/>
      <c r="G187" s="14"/>
      <c r="H187" s="83">
        <f t="shared" si="10"/>
        <v>0</v>
      </c>
      <c r="I187" s="80"/>
      <c r="J187" s="80"/>
      <c r="K187" s="7" t="str">
        <f>IF($B187="","",IFERROR(INDEX(Connaissements!$B$3:$B$202,MATCH($B187,Connaissements!$A$3:$A$202,0)),""))</f>
        <v/>
      </c>
      <c r="L187" s="7" t="str">
        <f>IF($B187="","",IFERROR(INDEX(Connaissements!$G$3:$G$202,MATCH($B187,Connaissements!$A$3:$A$202,0)),""))</f>
        <v/>
      </c>
      <c r="M187" s="7" t="str">
        <f t="shared" si="7"/>
        <v/>
      </c>
      <c r="N187" s="7" t="str">
        <f t="shared" ca="1" si="8"/>
        <v/>
      </c>
      <c r="O187" s="13"/>
      <c r="P187" s="29" t="str">
        <f t="shared" ca="1" si="9"/>
        <v/>
      </c>
      <c r="Q187" s="30" t="str">
        <f>IF($K187="","",IFERROR(IF(INDEX(Bookings!$G$3:$G$202,MATCH($K187,Bookings!$A$3:$A$202,0))="","",INDEX(Bookings!$G$3:$G$202,MATCH($K187,Bookings!$A$3:$A$202,0))),""))</f>
        <v/>
      </c>
    </row>
    <row r="188" spans="1:17" hidden="1" x14ac:dyDescent="0.35">
      <c r="A188" s="81"/>
      <c r="B188" s="81"/>
      <c r="C188" s="21"/>
      <c r="D188" s="56"/>
      <c r="E188" s="14"/>
      <c r="F188" s="14"/>
      <c r="G188" s="14"/>
      <c r="H188" s="83">
        <f t="shared" si="10"/>
        <v>0</v>
      </c>
      <c r="I188" s="80"/>
      <c r="J188" s="80"/>
      <c r="K188" s="7" t="str">
        <f>IF($B188="","",IFERROR(INDEX(Connaissements!$B$3:$B$202,MATCH($B188,Connaissements!$A$3:$A$202,0)),""))</f>
        <v/>
      </c>
      <c r="L188" s="7" t="str">
        <f>IF($B188="","",IFERROR(INDEX(Connaissements!$G$3:$G$202,MATCH($B188,Connaissements!$A$3:$A$202,0)),""))</f>
        <v/>
      </c>
      <c r="M188" s="7" t="str">
        <f t="shared" si="7"/>
        <v/>
      </c>
      <c r="N188" s="7" t="str">
        <f t="shared" ca="1" si="8"/>
        <v/>
      </c>
      <c r="O188" s="13"/>
      <c r="P188" s="29" t="str">
        <f t="shared" ca="1" si="9"/>
        <v/>
      </c>
      <c r="Q188" s="30" t="str">
        <f>IF($K188="","",IFERROR(IF(INDEX(Bookings!$G$3:$G$202,MATCH($K188,Bookings!$A$3:$A$202,0))="","",INDEX(Bookings!$G$3:$G$202,MATCH($K188,Bookings!$A$3:$A$202,0))),""))</f>
        <v/>
      </c>
    </row>
    <row r="189" spans="1:17" hidden="1" x14ac:dyDescent="0.35">
      <c r="A189" s="81"/>
      <c r="B189" s="81"/>
      <c r="C189" s="21"/>
      <c r="D189" s="56"/>
      <c r="E189" s="14"/>
      <c r="F189" s="14"/>
      <c r="G189" s="14"/>
      <c r="H189" s="83">
        <f t="shared" si="10"/>
        <v>0</v>
      </c>
      <c r="I189" s="80"/>
      <c r="J189" s="80"/>
      <c r="K189" s="7" t="str">
        <f>IF($B189="","",IFERROR(INDEX(Connaissements!$B$3:$B$202,MATCH($B189,Connaissements!$A$3:$A$202,0)),""))</f>
        <v/>
      </c>
      <c r="L189" s="7" t="str">
        <f>IF($B189="","",IFERROR(INDEX(Connaissements!$G$3:$G$202,MATCH($B189,Connaissements!$A$3:$A$202,0)),""))</f>
        <v/>
      </c>
      <c r="M189" s="7" t="str">
        <f t="shared" si="7"/>
        <v/>
      </c>
      <c r="N189" s="7" t="str">
        <f t="shared" ca="1" si="8"/>
        <v/>
      </c>
      <c r="O189" s="13"/>
      <c r="P189" s="29" t="str">
        <f t="shared" ca="1" si="9"/>
        <v/>
      </c>
      <c r="Q189" s="30" t="str">
        <f>IF($K189="","",IFERROR(IF(INDEX(Bookings!$G$3:$G$202,MATCH($K189,Bookings!$A$3:$A$202,0))="","",INDEX(Bookings!$G$3:$G$202,MATCH($K189,Bookings!$A$3:$A$202,0))),""))</f>
        <v/>
      </c>
    </row>
    <row r="190" spans="1:17" hidden="1" x14ac:dyDescent="0.35">
      <c r="A190" s="81"/>
      <c r="B190" s="81"/>
      <c r="C190" s="21"/>
      <c r="D190" s="56"/>
      <c r="E190" s="14"/>
      <c r="F190" s="14"/>
      <c r="G190" s="14"/>
      <c r="H190" s="83">
        <f t="shared" si="10"/>
        <v>0</v>
      </c>
      <c r="I190" s="80"/>
      <c r="J190" s="80"/>
      <c r="K190" s="7" t="str">
        <f>IF($B190="","",IFERROR(INDEX(Connaissements!$B$3:$B$202,MATCH($B190,Connaissements!$A$3:$A$202,0)),""))</f>
        <v/>
      </c>
      <c r="L190" s="7" t="str">
        <f>IF($B190="","",IFERROR(INDEX(Connaissements!$G$3:$G$202,MATCH($B190,Connaissements!$A$3:$A$202,0)),""))</f>
        <v/>
      </c>
      <c r="M190" s="7" t="str">
        <f t="shared" si="7"/>
        <v/>
      </c>
      <c r="N190" s="7" t="str">
        <f t="shared" ca="1" si="8"/>
        <v/>
      </c>
      <c r="O190" s="13"/>
      <c r="P190" s="29" t="str">
        <f t="shared" ca="1" si="9"/>
        <v/>
      </c>
      <c r="Q190" s="30" t="str">
        <f>IF($K190="","",IFERROR(IF(INDEX(Bookings!$G$3:$G$202,MATCH($K190,Bookings!$A$3:$A$202,0))="","",INDEX(Bookings!$G$3:$G$202,MATCH($K190,Bookings!$A$3:$A$202,0))),""))</f>
        <v/>
      </c>
    </row>
    <row r="191" spans="1:17" hidden="1" x14ac:dyDescent="0.35">
      <c r="A191" s="81"/>
      <c r="B191" s="81"/>
      <c r="C191" s="21"/>
      <c r="D191" s="56"/>
      <c r="E191" s="14"/>
      <c r="F191" s="14"/>
      <c r="G191" s="14"/>
      <c r="H191" s="83">
        <f t="shared" si="10"/>
        <v>0</v>
      </c>
      <c r="I191" s="80"/>
      <c r="J191" s="80"/>
      <c r="K191" s="7" t="str">
        <f>IF($B191="","",IFERROR(INDEX(Connaissements!$B$3:$B$202,MATCH($B191,Connaissements!$A$3:$A$202,0)),""))</f>
        <v/>
      </c>
      <c r="L191" s="7" t="str">
        <f>IF($B191="","",IFERROR(INDEX(Connaissements!$G$3:$G$202,MATCH($B191,Connaissements!$A$3:$A$202,0)),""))</f>
        <v/>
      </c>
      <c r="M191" s="7" t="str">
        <f t="shared" si="7"/>
        <v/>
      </c>
      <c r="N191" s="7" t="str">
        <f t="shared" ca="1" si="8"/>
        <v/>
      </c>
      <c r="O191" s="13"/>
      <c r="P191" s="29" t="str">
        <f t="shared" ca="1" si="9"/>
        <v/>
      </c>
      <c r="Q191" s="30" t="str">
        <f>IF($K191="","",IFERROR(IF(INDEX(Bookings!$G$3:$G$202,MATCH($K191,Bookings!$A$3:$A$202,0))="","",INDEX(Bookings!$G$3:$G$202,MATCH($K191,Bookings!$A$3:$A$202,0))),""))</f>
        <v/>
      </c>
    </row>
    <row r="192" spans="1:17" hidden="1" x14ac:dyDescent="0.35">
      <c r="A192" s="81"/>
      <c r="B192" s="81"/>
      <c r="C192" s="21"/>
      <c r="D192" s="56"/>
      <c r="E192" s="14"/>
      <c r="F192" s="14"/>
      <c r="G192" s="14"/>
      <c r="H192" s="83">
        <f t="shared" si="10"/>
        <v>0</v>
      </c>
      <c r="I192" s="80"/>
      <c r="J192" s="80"/>
      <c r="K192" s="7" t="str">
        <f>IF($B192="","",IFERROR(INDEX(Connaissements!$B$3:$B$202,MATCH($B192,Connaissements!$A$3:$A$202,0)),""))</f>
        <v/>
      </c>
      <c r="L192" s="7" t="str">
        <f>IF($B192="","",IFERROR(INDEX(Connaissements!$G$3:$G$202,MATCH($B192,Connaissements!$A$3:$A$202,0)),""))</f>
        <v/>
      </c>
      <c r="M192" s="7" t="str">
        <f t="shared" si="7"/>
        <v/>
      </c>
      <c r="N192" s="7" t="str">
        <f t="shared" ca="1" si="8"/>
        <v/>
      </c>
      <c r="O192" s="13"/>
      <c r="P192" s="29" t="str">
        <f t="shared" ca="1" si="9"/>
        <v/>
      </c>
      <c r="Q192" s="30" t="str">
        <f>IF($K192="","",IFERROR(IF(INDEX(Bookings!$G$3:$G$202,MATCH($K192,Bookings!$A$3:$A$202,0))="","",INDEX(Bookings!$G$3:$G$202,MATCH($K192,Bookings!$A$3:$A$202,0))),""))</f>
        <v/>
      </c>
    </row>
    <row r="193" spans="1:17" hidden="1" x14ac:dyDescent="0.35">
      <c r="A193" s="81"/>
      <c r="B193" s="81"/>
      <c r="C193" s="21"/>
      <c r="D193" s="56"/>
      <c r="E193" s="14"/>
      <c r="F193" s="14"/>
      <c r="G193" s="14"/>
      <c r="H193" s="83">
        <f t="shared" si="10"/>
        <v>0</v>
      </c>
      <c r="I193" s="80"/>
      <c r="J193" s="80"/>
      <c r="K193" s="7" t="str">
        <f>IF($B193="","",IFERROR(INDEX(Connaissements!$B$3:$B$202,MATCH($B193,Connaissements!$A$3:$A$202,0)),""))</f>
        <v/>
      </c>
      <c r="L193" s="7" t="str">
        <f>IF($B193="","",IFERROR(INDEX(Connaissements!$G$3:$G$202,MATCH($B193,Connaissements!$A$3:$A$202,0)),""))</f>
        <v/>
      </c>
      <c r="M193" s="7" t="str">
        <f t="shared" si="7"/>
        <v/>
      </c>
      <c r="N193" s="7" t="str">
        <f t="shared" ca="1" si="8"/>
        <v/>
      </c>
      <c r="O193" s="13"/>
      <c r="P193" s="29" t="str">
        <f t="shared" ca="1" si="9"/>
        <v/>
      </c>
      <c r="Q193" s="30" t="str">
        <f>IF($K193="","",IFERROR(IF(INDEX(Bookings!$G$3:$G$202,MATCH($K193,Bookings!$A$3:$A$202,0))="","",INDEX(Bookings!$G$3:$G$202,MATCH($K193,Bookings!$A$3:$A$202,0))),""))</f>
        <v/>
      </c>
    </row>
    <row r="194" spans="1:17" hidden="1" x14ac:dyDescent="0.35">
      <c r="A194" s="81"/>
      <c r="B194" s="81"/>
      <c r="C194" s="21"/>
      <c r="D194" s="56"/>
      <c r="E194" s="14"/>
      <c r="F194" s="14"/>
      <c r="G194" s="14"/>
      <c r="H194" s="83">
        <f t="shared" si="10"/>
        <v>0</v>
      </c>
      <c r="I194" s="80"/>
      <c r="J194" s="80"/>
      <c r="K194" s="7" t="str">
        <f>IF($B194="","",IFERROR(INDEX(Connaissements!$B$3:$B$202,MATCH($B194,Connaissements!$A$3:$A$202,0)),""))</f>
        <v/>
      </c>
      <c r="L194" s="7" t="str">
        <f>IF($B194="","",IFERROR(INDEX(Connaissements!$G$3:$G$202,MATCH($B194,Connaissements!$A$3:$A$202,0)),""))</f>
        <v/>
      </c>
      <c r="M194" s="7" t="str">
        <f t="shared" si="7"/>
        <v/>
      </c>
      <c r="N194" s="7" t="str">
        <f t="shared" ca="1" si="8"/>
        <v/>
      </c>
      <c r="O194" s="13"/>
      <c r="P194" s="29" t="str">
        <f t="shared" ca="1" si="9"/>
        <v/>
      </c>
      <c r="Q194" s="30" t="str">
        <f>IF($K194="","",IFERROR(IF(INDEX(Bookings!$G$3:$G$202,MATCH($K194,Bookings!$A$3:$A$202,0))="","",INDEX(Bookings!$G$3:$G$202,MATCH($K194,Bookings!$A$3:$A$202,0))),""))</f>
        <v/>
      </c>
    </row>
    <row r="195" spans="1:17" hidden="1" x14ac:dyDescent="0.35">
      <c r="A195" s="81"/>
      <c r="B195" s="81"/>
      <c r="C195" s="21"/>
      <c r="D195" s="56"/>
      <c r="E195" s="14"/>
      <c r="F195" s="14"/>
      <c r="G195" s="14"/>
      <c r="H195" s="83">
        <f t="shared" si="10"/>
        <v>0</v>
      </c>
      <c r="I195" s="80"/>
      <c r="J195" s="80"/>
      <c r="K195" s="7" t="str">
        <f>IF($B195="","",IFERROR(INDEX(Connaissements!$B$3:$B$202,MATCH($B195,Connaissements!$A$3:$A$202,0)),""))</f>
        <v/>
      </c>
      <c r="L195" s="7" t="str">
        <f>IF($B195="","",IFERROR(INDEX(Connaissements!$G$3:$G$202,MATCH($B195,Connaissements!$A$3:$A$202,0)),""))</f>
        <v/>
      </c>
      <c r="M195" s="7" t="str">
        <f t="shared" ref="M195:M258" si="11">IF($A195="","",IF($G195&lt;&gt;"","Embarqué",IF($F195&lt;&gt;"","Gate-In fait",IF($E195&lt;&gt;"","Empoté","À empoter"))))</f>
        <v/>
      </c>
      <c r="N195" s="7" t="str">
        <f t="shared" ref="N195:N258" ca="1" si="12">IF(OR($A195="",$G195&lt;&gt;""),"",IF(AND($Q195&lt;&gt;"",N($Q195)&lt;TODAY()),"RETARD : ETD dépassé, pas embarqué",IF(AND($Q195&lt;&gt;"",N($Q195)-TODAY()&lt;=P_AlerteETD,$F195=""),"Gate-In à faire (ETD proche)",IF(AND($E195&lt;&gt;"",$H195=""),"Poids net à saisir",""))))</f>
        <v/>
      </c>
      <c r="O195" s="13"/>
      <c r="P195" s="29" t="str">
        <f t="shared" ref="P195:P258" ca="1" si="13">IF($N195&lt;&gt;"",1,"")</f>
        <v/>
      </c>
      <c r="Q195" s="30" t="str">
        <f>IF($K195="","",IFERROR(IF(INDEX(Bookings!$G$3:$G$202,MATCH($K195,Bookings!$A$3:$A$202,0))="","",INDEX(Bookings!$G$3:$G$202,MATCH($K195,Bookings!$A$3:$A$202,0))),""))</f>
        <v/>
      </c>
    </row>
    <row r="196" spans="1:17" hidden="1" x14ac:dyDescent="0.35">
      <c r="A196" s="81"/>
      <c r="B196" s="81"/>
      <c r="C196" s="21"/>
      <c r="D196" s="56"/>
      <c r="E196" s="14"/>
      <c r="F196" s="14"/>
      <c r="G196" s="14"/>
      <c r="H196" s="83">
        <f t="shared" ref="H196:H259" si="14">J196-I196</f>
        <v>0</v>
      </c>
      <c r="I196" s="80"/>
      <c r="J196" s="80"/>
      <c r="K196" s="7" t="str">
        <f>IF($B196="","",IFERROR(INDEX(Connaissements!$B$3:$B$202,MATCH($B196,Connaissements!$A$3:$A$202,0)),""))</f>
        <v/>
      </c>
      <c r="L196" s="7" t="str">
        <f>IF($B196="","",IFERROR(INDEX(Connaissements!$G$3:$G$202,MATCH($B196,Connaissements!$A$3:$A$202,0)),""))</f>
        <v/>
      </c>
      <c r="M196" s="7" t="str">
        <f t="shared" si="11"/>
        <v/>
      </c>
      <c r="N196" s="7" t="str">
        <f t="shared" ca="1" si="12"/>
        <v/>
      </c>
      <c r="O196" s="13"/>
      <c r="P196" s="29" t="str">
        <f t="shared" ca="1" si="13"/>
        <v/>
      </c>
      <c r="Q196" s="30" t="str">
        <f>IF($K196="","",IFERROR(IF(INDEX(Bookings!$G$3:$G$202,MATCH($K196,Bookings!$A$3:$A$202,0))="","",INDEX(Bookings!$G$3:$G$202,MATCH($K196,Bookings!$A$3:$A$202,0))),""))</f>
        <v/>
      </c>
    </row>
    <row r="197" spans="1:17" hidden="1" x14ac:dyDescent="0.35">
      <c r="A197" s="81"/>
      <c r="B197" s="81"/>
      <c r="C197" s="21"/>
      <c r="D197" s="56"/>
      <c r="E197" s="14"/>
      <c r="F197" s="14"/>
      <c r="G197" s="14"/>
      <c r="H197" s="83">
        <f t="shared" si="14"/>
        <v>0</v>
      </c>
      <c r="I197" s="80"/>
      <c r="J197" s="80"/>
      <c r="K197" s="7" t="str">
        <f>IF($B197="","",IFERROR(INDEX(Connaissements!$B$3:$B$202,MATCH($B197,Connaissements!$A$3:$A$202,0)),""))</f>
        <v/>
      </c>
      <c r="L197" s="7" t="str">
        <f>IF($B197="","",IFERROR(INDEX(Connaissements!$G$3:$G$202,MATCH($B197,Connaissements!$A$3:$A$202,0)),""))</f>
        <v/>
      </c>
      <c r="M197" s="7" t="str">
        <f t="shared" si="11"/>
        <v/>
      </c>
      <c r="N197" s="7" t="str">
        <f t="shared" ca="1" si="12"/>
        <v/>
      </c>
      <c r="O197" s="13"/>
      <c r="P197" s="29" t="str">
        <f t="shared" ca="1" si="13"/>
        <v/>
      </c>
      <c r="Q197" s="30" t="str">
        <f>IF($K197="","",IFERROR(IF(INDEX(Bookings!$G$3:$G$202,MATCH($K197,Bookings!$A$3:$A$202,0))="","",INDEX(Bookings!$G$3:$G$202,MATCH($K197,Bookings!$A$3:$A$202,0))),""))</f>
        <v/>
      </c>
    </row>
    <row r="198" spans="1:17" hidden="1" x14ac:dyDescent="0.35">
      <c r="A198" s="81"/>
      <c r="B198" s="81"/>
      <c r="C198" s="21"/>
      <c r="D198" s="56"/>
      <c r="E198" s="14"/>
      <c r="F198" s="14"/>
      <c r="G198" s="14"/>
      <c r="H198" s="83">
        <f t="shared" si="14"/>
        <v>0</v>
      </c>
      <c r="I198" s="80"/>
      <c r="J198" s="80"/>
      <c r="K198" s="7" t="str">
        <f>IF($B198="","",IFERROR(INDEX(Connaissements!$B$3:$B$202,MATCH($B198,Connaissements!$A$3:$A$202,0)),""))</f>
        <v/>
      </c>
      <c r="L198" s="7" t="str">
        <f>IF($B198="","",IFERROR(INDEX(Connaissements!$G$3:$G$202,MATCH($B198,Connaissements!$A$3:$A$202,0)),""))</f>
        <v/>
      </c>
      <c r="M198" s="7" t="str">
        <f t="shared" si="11"/>
        <v/>
      </c>
      <c r="N198" s="7" t="str">
        <f t="shared" ca="1" si="12"/>
        <v/>
      </c>
      <c r="O198" s="13"/>
      <c r="P198" s="29" t="str">
        <f t="shared" ca="1" si="13"/>
        <v/>
      </c>
      <c r="Q198" s="30" t="str">
        <f>IF($K198="","",IFERROR(IF(INDEX(Bookings!$G$3:$G$202,MATCH($K198,Bookings!$A$3:$A$202,0))="","",INDEX(Bookings!$G$3:$G$202,MATCH($K198,Bookings!$A$3:$A$202,0))),""))</f>
        <v/>
      </c>
    </row>
    <row r="199" spans="1:17" hidden="1" x14ac:dyDescent="0.35">
      <c r="A199" s="81"/>
      <c r="B199" s="81"/>
      <c r="C199" s="21"/>
      <c r="D199" s="56"/>
      <c r="E199" s="14"/>
      <c r="F199" s="14"/>
      <c r="G199" s="14"/>
      <c r="H199" s="83">
        <f t="shared" si="14"/>
        <v>0</v>
      </c>
      <c r="I199" s="80"/>
      <c r="J199" s="80"/>
      <c r="K199" s="7" t="str">
        <f>IF($B199="","",IFERROR(INDEX(Connaissements!$B$3:$B$202,MATCH($B199,Connaissements!$A$3:$A$202,0)),""))</f>
        <v/>
      </c>
      <c r="L199" s="7" t="str">
        <f>IF($B199="","",IFERROR(INDEX(Connaissements!$G$3:$G$202,MATCH($B199,Connaissements!$A$3:$A$202,0)),""))</f>
        <v/>
      </c>
      <c r="M199" s="7" t="str">
        <f t="shared" si="11"/>
        <v/>
      </c>
      <c r="N199" s="7" t="str">
        <f t="shared" ca="1" si="12"/>
        <v/>
      </c>
      <c r="O199" s="13"/>
      <c r="P199" s="29" t="str">
        <f t="shared" ca="1" si="13"/>
        <v/>
      </c>
      <c r="Q199" s="30" t="str">
        <f>IF($K199="","",IFERROR(IF(INDEX(Bookings!$G$3:$G$202,MATCH($K199,Bookings!$A$3:$A$202,0))="","",INDEX(Bookings!$G$3:$G$202,MATCH($K199,Bookings!$A$3:$A$202,0))),""))</f>
        <v/>
      </c>
    </row>
    <row r="200" spans="1:17" hidden="1" x14ac:dyDescent="0.35">
      <c r="A200" s="81"/>
      <c r="B200" s="81"/>
      <c r="C200" s="21"/>
      <c r="D200" s="56"/>
      <c r="E200" s="14"/>
      <c r="F200" s="14"/>
      <c r="G200" s="14"/>
      <c r="H200" s="83">
        <f t="shared" si="14"/>
        <v>0</v>
      </c>
      <c r="I200" s="80"/>
      <c r="J200" s="80"/>
      <c r="K200" s="7" t="str">
        <f>IF($B200="","",IFERROR(INDEX(Connaissements!$B$3:$B$202,MATCH($B200,Connaissements!$A$3:$A$202,0)),""))</f>
        <v/>
      </c>
      <c r="L200" s="7" t="str">
        <f>IF($B200="","",IFERROR(INDEX(Connaissements!$G$3:$G$202,MATCH($B200,Connaissements!$A$3:$A$202,0)),""))</f>
        <v/>
      </c>
      <c r="M200" s="7" t="str">
        <f t="shared" si="11"/>
        <v/>
      </c>
      <c r="N200" s="7" t="str">
        <f t="shared" ca="1" si="12"/>
        <v/>
      </c>
      <c r="O200" s="13"/>
      <c r="P200" s="29" t="str">
        <f t="shared" ca="1" si="13"/>
        <v/>
      </c>
      <c r="Q200" s="30" t="str">
        <f>IF($K200="","",IFERROR(IF(INDEX(Bookings!$G$3:$G$202,MATCH($K200,Bookings!$A$3:$A$202,0))="","",INDEX(Bookings!$G$3:$G$202,MATCH($K200,Bookings!$A$3:$A$202,0))),""))</f>
        <v/>
      </c>
    </row>
    <row r="201" spans="1:17" hidden="1" x14ac:dyDescent="0.35">
      <c r="A201" s="81"/>
      <c r="B201" s="81"/>
      <c r="C201" s="21"/>
      <c r="D201" s="56"/>
      <c r="E201" s="14"/>
      <c r="F201" s="14"/>
      <c r="G201" s="14"/>
      <c r="H201" s="83">
        <f t="shared" si="14"/>
        <v>0</v>
      </c>
      <c r="I201" s="80"/>
      <c r="J201" s="80"/>
      <c r="K201" s="7" t="str">
        <f>IF($B201="","",IFERROR(INDEX(Connaissements!$B$3:$B$202,MATCH($B201,Connaissements!$A$3:$A$202,0)),""))</f>
        <v/>
      </c>
      <c r="L201" s="7" t="str">
        <f>IF($B201="","",IFERROR(INDEX(Connaissements!$G$3:$G$202,MATCH($B201,Connaissements!$A$3:$A$202,0)),""))</f>
        <v/>
      </c>
      <c r="M201" s="7" t="str">
        <f t="shared" si="11"/>
        <v/>
      </c>
      <c r="N201" s="7" t="str">
        <f t="shared" ca="1" si="12"/>
        <v/>
      </c>
      <c r="O201" s="13"/>
      <c r="P201" s="29" t="str">
        <f t="shared" ca="1" si="13"/>
        <v/>
      </c>
      <c r="Q201" s="30" t="str">
        <f>IF($K201="","",IFERROR(IF(INDEX(Bookings!$G$3:$G$202,MATCH($K201,Bookings!$A$3:$A$202,0))="","",INDEX(Bookings!$G$3:$G$202,MATCH($K201,Bookings!$A$3:$A$202,0))),""))</f>
        <v/>
      </c>
    </row>
    <row r="202" spans="1:17" hidden="1" x14ac:dyDescent="0.35">
      <c r="A202" s="81"/>
      <c r="B202" s="81"/>
      <c r="C202" s="21"/>
      <c r="D202" s="56"/>
      <c r="E202" s="14"/>
      <c r="F202" s="14"/>
      <c r="G202" s="14"/>
      <c r="H202" s="83">
        <f t="shared" si="14"/>
        <v>0</v>
      </c>
      <c r="I202" s="80"/>
      <c r="J202" s="80"/>
      <c r="K202" s="7" t="str">
        <f>IF($B202="","",IFERROR(INDEX(Connaissements!$B$3:$B$202,MATCH($B202,Connaissements!$A$3:$A$202,0)),""))</f>
        <v/>
      </c>
      <c r="L202" s="7" t="str">
        <f>IF($B202="","",IFERROR(INDEX(Connaissements!$G$3:$G$202,MATCH($B202,Connaissements!$A$3:$A$202,0)),""))</f>
        <v/>
      </c>
      <c r="M202" s="7" t="str">
        <f t="shared" si="11"/>
        <v/>
      </c>
      <c r="N202" s="7" t="str">
        <f t="shared" ca="1" si="12"/>
        <v/>
      </c>
      <c r="O202" s="13"/>
      <c r="P202" s="29" t="str">
        <f t="shared" ca="1" si="13"/>
        <v/>
      </c>
      <c r="Q202" s="30" t="str">
        <f>IF($K202="","",IFERROR(IF(INDEX(Bookings!$G$3:$G$202,MATCH($K202,Bookings!$A$3:$A$202,0))="","",INDEX(Bookings!$G$3:$G$202,MATCH($K202,Bookings!$A$3:$A$202,0))),""))</f>
        <v/>
      </c>
    </row>
    <row r="203" spans="1:17" hidden="1" x14ac:dyDescent="0.35">
      <c r="A203" s="81"/>
      <c r="B203" s="81"/>
      <c r="C203" s="21"/>
      <c r="D203" s="56"/>
      <c r="E203" s="14"/>
      <c r="F203" s="14"/>
      <c r="G203" s="14"/>
      <c r="H203" s="83">
        <f t="shared" si="14"/>
        <v>0</v>
      </c>
      <c r="I203" s="80"/>
      <c r="J203" s="80"/>
      <c r="K203" s="7" t="str">
        <f>IF($B203="","",IFERROR(INDEX(Connaissements!$B$3:$B$202,MATCH($B203,Connaissements!$A$3:$A$202,0)),""))</f>
        <v/>
      </c>
      <c r="L203" s="7" t="str">
        <f>IF($B203="","",IFERROR(INDEX(Connaissements!$G$3:$G$202,MATCH($B203,Connaissements!$A$3:$A$202,0)),""))</f>
        <v/>
      </c>
      <c r="M203" s="7" t="str">
        <f t="shared" si="11"/>
        <v/>
      </c>
      <c r="N203" s="7" t="str">
        <f t="shared" ca="1" si="12"/>
        <v/>
      </c>
      <c r="O203" s="13"/>
      <c r="P203" s="29" t="str">
        <f t="shared" ca="1" si="13"/>
        <v/>
      </c>
      <c r="Q203" s="30" t="str">
        <f>IF($K203="","",IFERROR(IF(INDEX(Bookings!$G$3:$G$202,MATCH($K203,Bookings!$A$3:$A$202,0))="","",INDEX(Bookings!$G$3:$G$202,MATCH($K203,Bookings!$A$3:$A$202,0))),""))</f>
        <v/>
      </c>
    </row>
    <row r="204" spans="1:17" hidden="1" x14ac:dyDescent="0.35">
      <c r="A204" s="81"/>
      <c r="B204" s="81"/>
      <c r="C204" s="21"/>
      <c r="D204" s="56"/>
      <c r="E204" s="14"/>
      <c r="F204" s="14"/>
      <c r="G204" s="14"/>
      <c r="H204" s="83">
        <f t="shared" si="14"/>
        <v>0</v>
      </c>
      <c r="I204" s="80"/>
      <c r="J204" s="80"/>
      <c r="K204" s="7" t="str">
        <f>IF($B204="","",IFERROR(INDEX(Connaissements!$B$3:$B$202,MATCH($B204,Connaissements!$A$3:$A$202,0)),""))</f>
        <v/>
      </c>
      <c r="L204" s="7" t="str">
        <f>IF($B204="","",IFERROR(INDEX(Connaissements!$G$3:$G$202,MATCH($B204,Connaissements!$A$3:$A$202,0)),""))</f>
        <v/>
      </c>
      <c r="M204" s="7" t="str">
        <f t="shared" si="11"/>
        <v/>
      </c>
      <c r="N204" s="7" t="str">
        <f t="shared" ca="1" si="12"/>
        <v/>
      </c>
      <c r="O204" s="13"/>
      <c r="P204" s="29" t="str">
        <f t="shared" ca="1" si="13"/>
        <v/>
      </c>
      <c r="Q204" s="30" t="str">
        <f>IF($K204="","",IFERROR(IF(INDEX(Bookings!$G$3:$G$202,MATCH($K204,Bookings!$A$3:$A$202,0))="","",INDEX(Bookings!$G$3:$G$202,MATCH($K204,Bookings!$A$3:$A$202,0))),""))</f>
        <v/>
      </c>
    </row>
    <row r="205" spans="1:17" hidden="1" x14ac:dyDescent="0.35">
      <c r="A205" s="81"/>
      <c r="B205" s="81"/>
      <c r="C205" s="21"/>
      <c r="D205" s="56"/>
      <c r="E205" s="14"/>
      <c r="F205" s="14"/>
      <c r="G205" s="14"/>
      <c r="H205" s="83">
        <f t="shared" si="14"/>
        <v>0</v>
      </c>
      <c r="I205" s="80"/>
      <c r="J205" s="80"/>
      <c r="K205" s="7" t="str">
        <f>IF($B205="","",IFERROR(INDEX(Connaissements!$B$3:$B$202,MATCH($B205,Connaissements!$A$3:$A$202,0)),""))</f>
        <v/>
      </c>
      <c r="L205" s="7" t="str">
        <f>IF($B205="","",IFERROR(INDEX(Connaissements!$G$3:$G$202,MATCH($B205,Connaissements!$A$3:$A$202,0)),""))</f>
        <v/>
      </c>
      <c r="M205" s="7" t="str">
        <f t="shared" si="11"/>
        <v/>
      </c>
      <c r="N205" s="7" t="str">
        <f t="shared" ca="1" si="12"/>
        <v/>
      </c>
      <c r="O205" s="13"/>
      <c r="P205" s="29" t="str">
        <f t="shared" ca="1" si="13"/>
        <v/>
      </c>
      <c r="Q205" s="30" t="str">
        <f>IF($K205="","",IFERROR(IF(INDEX(Bookings!$G$3:$G$202,MATCH($K205,Bookings!$A$3:$A$202,0))="","",INDEX(Bookings!$G$3:$G$202,MATCH($K205,Bookings!$A$3:$A$202,0))),""))</f>
        <v/>
      </c>
    </row>
    <row r="206" spans="1:17" hidden="1" x14ac:dyDescent="0.35">
      <c r="A206" s="81"/>
      <c r="B206" s="81"/>
      <c r="C206" s="21"/>
      <c r="D206" s="56"/>
      <c r="E206" s="14"/>
      <c r="F206" s="14"/>
      <c r="G206" s="14"/>
      <c r="H206" s="83">
        <f t="shared" si="14"/>
        <v>0</v>
      </c>
      <c r="I206" s="80"/>
      <c r="J206" s="80"/>
      <c r="K206" s="7" t="str">
        <f>IF($B206="","",IFERROR(INDEX(Connaissements!$B$3:$B$202,MATCH($B206,Connaissements!$A$3:$A$202,0)),""))</f>
        <v/>
      </c>
      <c r="L206" s="7" t="str">
        <f>IF($B206="","",IFERROR(INDEX(Connaissements!$G$3:$G$202,MATCH($B206,Connaissements!$A$3:$A$202,0)),""))</f>
        <v/>
      </c>
      <c r="M206" s="7" t="str">
        <f t="shared" si="11"/>
        <v/>
      </c>
      <c r="N206" s="7" t="str">
        <f t="shared" ca="1" si="12"/>
        <v/>
      </c>
      <c r="O206" s="13"/>
      <c r="P206" s="29" t="str">
        <f t="shared" ca="1" si="13"/>
        <v/>
      </c>
      <c r="Q206" s="30" t="str">
        <f>IF($K206="","",IFERROR(IF(INDEX(Bookings!$G$3:$G$202,MATCH($K206,Bookings!$A$3:$A$202,0))="","",INDEX(Bookings!$G$3:$G$202,MATCH($K206,Bookings!$A$3:$A$202,0))),""))</f>
        <v/>
      </c>
    </row>
    <row r="207" spans="1:17" hidden="1" x14ac:dyDescent="0.35">
      <c r="A207" s="81"/>
      <c r="B207" s="81"/>
      <c r="C207" s="21"/>
      <c r="D207" s="56"/>
      <c r="E207" s="14"/>
      <c r="F207" s="14"/>
      <c r="G207" s="14"/>
      <c r="H207" s="83">
        <f t="shared" si="14"/>
        <v>0</v>
      </c>
      <c r="I207" s="80"/>
      <c r="J207" s="80"/>
      <c r="K207" s="7" t="str">
        <f>IF($B207="","",IFERROR(INDEX(Connaissements!$B$3:$B$202,MATCH($B207,Connaissements!$A$3:$A$202,0)),""))</f>
        <v/>
      </c>
      <c r="L207" s="7" t="str">
        <f>IF($B207="","",IFERROR(INDEX(Connaissements!$G$3:$G$202,MATCH($B207,Connaissements!$A$3:$A$202,0)),""))</f>
        <v/>
      </c>
      <c r="M207" s="7" t="str">
        <f t="shared" si="11"/>
        <v/>
      </c>
      <c r="N207" s="7" t="str">
        <f t="shared" ca="1" si="12"/>
        <v/>
      </c>
      <c r="O207" s="13"/>
      <c r="P207" s="29" t="str">
        <f t="shared" ca="1" si="13"/>
        <v/>
      </c>
      <c r="Q207" s="30" t="str">
        <f>IF($K207="","",IFERROR(IF(INDEX(Bookings!$G$3:$G$202,MATCH($K207,Bookings!$A$3:$A$202,0))="","",INDEX(Bookings!$G$3:$G$202,MATCH($K207,Bookings!$A$3:$A$202,0))),""))</f>
        <v/>
      </c>
    </row>
    <row r="208" spans="1:17" hidden="1" x14ac:dyDescent="0.35">
      <c r="A208" s="81"/>
      <c r="B208" s="81"/>
      <c r="C208" s="21"/>
      <c r="D208" s="56"/>
      <c r="E208" s="14"/>
      <c r="F208" s="14"/>
      <c r="G208" s="14"/>
      <c r="H208" s="83">
        <f t="shared" si="14"/>
        <v>0</v>
      </c>
      <c r="I208" s="80"/>
      <c r="J208" s="80"/>
      <c r="K208" s="7" t="str">
        <f>IF($B208="","",IFERROR(INDEX(Connaissements!$B$3:$B$202,MATCH($B208,Connaissements!$A$3:$A$202,0)),""))</f>
        <v/>
      </c>
      <c r="L208" s="7" t="str">
        <f>IF($B208="","",IFERROR(INDEX(Connaissements!$G$3:$G$202,MATCH($B208,Connaissements!$A$3:$A$202,0)),""))</f>
        <v/>
      </c>
      <c r="M208" s="7" t="str">
        <f t="shared" si="11"/>
        <v/>
      </c>
      <c r="N208" s="7" t="str">
        <f t="shared" ca="1" si="12"/>
        <v/>
      </c>
      <c r="O208" s="13"/>
      <c r="P208" s="29" t="str">
        <f t="shared" ca="1" si="13"/>
        <v/>
      </c>
      <c r="Q208" s="30" t="str">
        <f>IF($K208="","",IFERROR(IF(INDEX(Bookings!$G$3:$G$202,MATCH($K208,Bookings!$A$3:$A$202,0))="","",INDEX(Bookings!$G$3:$G$202,MATCH($K208,Bookings!$A$3:$A$202,0))),""))</f>
        <v/>
      </c>
    </row>
    <row r="209" spans="1:17" hidden="1" x14ac:dyDescent="0.35">
      <c r="A209" s="81"/>
      <c r="B209" s="81"/>
      <c r="C209" s="21"/>
      <c r="D209" s="56"/>
      <c r="E209" s="14"/>
      <c r="F209" s="14"/>
      <c r="G209" s="14"/>
      <c r="H209" s="83">
        <f t="shared" si="14"/>
        <v>0</v>
      </c>
      <c r="I209" s="80"/>
      <c r="J209" s="80"/>
      <c r="K209" s="7" t="str">
        <f>IF($B209="","",IFERROR(INDEX(Connaissements!$B$3:$B$202,MATCH($B209,Connaissements!$A$3:$A$202,0)),""))</f>
        <v/>
      </c>
      <c r="L209" s="7" t="str">
        <f>IF($B209="","",IFERROR(INDEX(Connaissements!$G$3:$G$202,MATCH($B209,Connaissements!$A$3:$A$202,0)),""))</f>
        <v/>
      </c>
      <c r="M209" s="7" t="str">
        <f t="shared" si="11"/>
        <v/>
      </c>
      <c r="N209" s="7" t="str">
        <f t="shared" ca="1" si="12"/>
        <v/>
      </c>
      <c r="O209" s="13"/>
      <c r="P209" s="29" t="str">
        <f t="shared" ca="1" si="13"/>
        <v/>
      </c>
      <c r="Q209" s="30" t="str">
        <f>IF($K209="","",IFERROR(IF(INDEX(Bookings!$G$3:$G$202,MATCH($K209,Bookings!$A$3:$A$202,0))="","",INDEX(Bookings!$G$3:$G$202,MATCH($K209,Bookings!$A$3:$A$202,0))),""))</f>
        <v/>
      </c>
    </row>
    <row r="210" spans="1:17" hidden="1" x14ac:dyDescent="0.35">
      <c r="A210" s="81"/>
      <c r="B210" s="81"/>
      <c r="C210" s="21"/>
      <c r="D210" s="56"/>
      <c r="E210" s="14"/>
      <c r="F210" s="14"/>
      <c r="G210" s="14"/>
      <c r="H210" s="83">
        <f t="shared" si="14"/>
        <v>0</v>
      </c>
      <c r="I210" s="80"/>
      <c r="J210" s="80"/>
      <c r="K210" s="7" t="str">
        <f>IF($B210="","",IFERROR(INDEX(Connaissements!$B$3:$B$202,MATCH($B210,Connaissements!$A$3:$A$202,0)),""))</f>
        <v/>
      </c>
      <c r="L210" s="7" t="str">
        <f>IF($B210="","",IFERROR(INDEX(Connaissements!$G$3:$G$202,MATCH($B210,Connaissements!$A$3:$A$202,0)),""))</f>
        <v/>
      </c>
      <c r="M210" s="7" t="str">
        <f t="shared" si="11"/>
        <v/>
      </c>
      <c r="N210" s="7" t="str">
        <f t="shared" ca="1" si="12"/>
        <v/>
      </c>
      <c r="O210" s="13"/>
      <c r="P210" s="29" t="str">
        <f t="shared" ca="1" si="13"/>
        <v/>
      </c>
      <c r="Q210" s="30" t="str">
        <f>IF($K210="","",IFERROR(IF(INDEX(Bookings!$G$3:$G$202,MATCH($K210,Bookings!$A$3:$A$202,0))="","",INDEX(Bookings!$G$3:$G$202,MATCH($K210,Bookings!$A$3:$A$202,0))),""))</f>
        <v/>
      </c>
    </row>
    <row r="211" spans="1:17" hidden="1" x14ac:dyDescent="0.35">
      <c r="A211" s="81"/>
      <c r="B211" s="81"/>
      <c r="C211" s="21"/>
      <c r="D211" s="56"/>
      <c r="E211" s="14"/>
      <c r="F211" s="14"/>
      <c r="G211" s="14"/>
      <c r="H211" s="83">
        <f t="shared" si="14"/>
        <v>0</v>
      </c>
      <c r="I211" s="80"/>
      <c r="J211" s="80"/>
      <c r="K211" s="7" t="str">
        <f>IF($B211="","",IFERROR(INDEX(Connaissements!$B$3:$B$202,MATCH($B211,Connaissements!$A$3:$A$202,0)),""))</f>
        <v/>
      </c>
      <c r="L211" s="7" t="str">
        <f>IF($B211="","",IFERROR(INDEX(Connaissements!$G$3:$G$202,MATCH($B211,Connaissements!$A$3:$A$202,0)),""))</f>
        <v/>
      </c>
      <c r="M211" s="7" t="str">
        <f t="shared" si="11"/>
        <v/>
      </c>
      <c r="N211" s="7" t="str">
        <f t="shared" ca="1" si="12"/>
        <v/>
      </c>
      <c r="O211" s="13"/>
      <c r="P211" s="29" t="str">
        <f t="shared" ca="1" si="13"/>
        <v/>
      </c>
      <c r="Q211" s="30" t="str">
        <f>IF($K211="","",IFERROR(IF(INDEX(Bookings!$G$3:$G$202,MATCH($K211,Bookings!$A$3:$A$202,0))="","",INDEX(Bookings!$G$3:$G$202,MATCH($K211,Bookings!$A$3:$A$202,0))),""))</f>
        <v/>
      </c>
    </row>
    <row r="212" spans="1:17" hidden="1" x14ac:dyDescent="0.35">
      <c r="A212" s="81"/>
      <c r="B212" s="81"/>
      <c r="C212" s="21"/>
      <c r="D212" s="56"/>
      <c r="E212" s="14"/>
      <c r="F212" s="14"/>
      <c r="G212" s="14"/>
      <c r="H212" s="83">
        <f t="shared" si="14"/>
        <v>0</v>
      </c>
      <c r="I212" s="80"/>
      <c r="J212" s="80"/>
      <c r="K212" s="7" t="str">
        <f>IF($B212="","",IFERROR(INDEX(Connaissements!$B$3:$B$202,MATCH($B212,Connaissements!$A$3:$A$202,0)),""))</f>
        <v/>
      </c>
      <c r="L212" s="7" t="str">
        <f>IF($B212="","",IFERROR(INDEX(Connaissements!$G$3:$G$202,MATCH($B212,Connaissements!$A$3:$A$202,0)),""))</f>
        <v/>
      </c>
      <c r="M212" s="7" t="str">
        <f t="shared" si="11"/>
        <v/>
      </c>
      <c r="N212" s="7" t="str">
        <f t="shared" ca="1" si="12"/>
        <v/>
      </c>
      <c r="O212" s="13"/>
      <c r="P212" s="29" t="str">
        <f t="shared" ca="1" si="13"/>
        <v/>
      </c>
      <c r="Q212" s="30" t="str">
        <f>IF($K212="","",IFERROR(IF(INDEX(Bookings!$G$3:$G$202,MATCH($K212,Bookings!$A$3:$A$202,0))="","",INDEX(Bookings!$G$3:$G$202,MATCH($K212,Bookings!$A$3:$A$202,0))),""))</f>
        <v/>
      </c>
    </row>
    <row r="213" spans="1:17" hidden="1" x14ac:dyDescent="0.35">
      <c r="A213" s="81"/>
      <c r="B213" s="81"/>
      <c r="C213" s="21"/>
      <c r="D213" s="56"/>
      <c r="E213" s="14"/>
      <c r="F213" s="14"/>
      <c r="G213" s="14"/>
      <c r="H213" s="83">
        <f t="shared" si="14"/>
        <v>0</v>
      </c>
      <c r="I213" s="80"/>
      <c r="J213" s="80"/>
      <c r="K213" s="7" t="str">
        <f>IF($B213="","",IFERROR(INDEX(Connaissements!$B$3:$B$202,MATCH($B213,Connaissements!$A$3:$A$202,0)),""))</f>
        <v/>
      </c>
      <c r="L213" s="7" t="str">
        <f>IF($B213="","",IFERROR(INDEX(Connaissements!$G$3:$G$202,MATCH($B213,Connaissements!$A$3:$A$202,0)),""))</f>
        <v/>
      </c>
      <c r="M213" s="7" t="str">
        <f t="shared" si="11"/>
        <v/>
      </c>
      <c r="N213" s="7" t="str">
        <f t="shared" ca="1" si="12"/>
        <v/>
      </c>
      <c r="O213" s="13"/>
      <c r="P213" s="29" t="str">
        <f t="shared" ca="1" si="13"/>
        <v/>
      </c>
      <c r="Q213" s="30" t="str">
        <f>IF($K213="","",IFERROR(IF(INDEX(Bookings!$G$3:$G$202,MATCH($K213,Bookings!$A$3:$A$202,0))="","",INDEX(Bookings!$G$3:$G$202,MATCH($K213,Bookings!$A$3:$A$202,0))),""))</f>
        <v/>
      </c>
    </row>
    <row r="214" spans="1:17" hidden="1" x14ac:dyDescent="0.35">
      <c r="A214" s="81"/>
      <c r="B214" s="81"/>
      <c r="C214" s="21"/>
      <c r="D214" s="56"/>
      <c r="E214" s="14"/>
      <c r="F214" s="14"/>
      <c r="G214" s="14"/>
      <c r="H214" s="83">
        <f t="shared" si="14"/>
        <v>0</v>
      </c>
      <c r="I214" s="80"/>
      <c r="J214" s="80"/>
      <c r="K214" s="7" t="str">
        <f>IF($B214="","",IFERROR(INDEX(Connaissements!$B$3:$B$202,MATCH($B214,Connaissements!$A$3:$A$202,0)),""))</f>
        <v/>
      </c>
      <c r="L214" s="7" t="str">
        <f>IF($B214="","",IFERROR(INDEX(Connaissements!$G$3:$G$202,MATCH($B214,Connaissements!$A$3:$A$202,0)),""))</f>
        <v/>
      </c>
      <c r="M214" s="7" t="str">
        <f t="shared" si="11"/>
        <v/>
      </c>
      <c r="N214" s="7" t="str">
        <f t="shared" ca="1" si="12"/>
        <v/>
      </c>
      <c r="O214" s="13"/>
      <c r="P214" s="29" t="str">
        <f t="shared" ca="1" si="13"/>
        <v/>
      </c>
      <c r="Q214" s="30" t="str">
        <f>IF($K214="","",IFERROR(IF(INDEX(Bookings!$G$3:$G$202,MATCH($K214,Bookings!$A$3:$A$202,0))="","",INDEX(Bookings!$G$3:$G$202,MATCH($K214,Bookings!$A$3:$A$202,0))),""))</f>
        <v/>
      </c>
    </row>
    <row r="215" spans="1:17" hidden="1" x14ac:dyDescent="0.35">
      <c r="A215" s="81"/>
      <c r="B215" s="81"/>
      <c r="C215" s="21"/>
      <c r="D215" s="56"/>
      <c r="E215" s="14"/>
      <c r="F215" s="14"/>
      <c r="G215" s="14"/>
      <c r="H215" s="83">
        <f t="shared" si="14"/>
        <v>0</v>
      </c>
      <c r="I215" s="80"/>
      <c r="J215" s="80"/>
      <c r="K215" s="7" t="str">
        <f>IF($B215="","",IFERROR(INDEX(Connaissements!$B$3:$B$202,MATCH($B215,Connaissements!$A$3:$A$202,0)),""))</f>
        <v/>
      </c>
      <c r="L215" s="7" t="str">
        <f>IF($B215="","",IFERROR(INDEX(Connaissements!$G$3:$G$202,MATCH($B215,Connaissements!$A$3:$A$202,0)),""))</f>
        <v/>
      </c>
      <c r="M215" s="7" t="str">
        <f t="shared" si="11"/>
        <v/>
      </c>
      <c r="N215" s="7" t="str">
        <f t="shared" ca="1" si="12"/>
        <v/>
      </c>
      <c r="O215" s="13"/>
      <c r="P215" s="29" t="str">
        <f t="shared" ca="1" si="13"/>
        <v/>
      </c>
      <c r="Q215" s="30" t="str">
        <f>IF($K215="","",IFERROR(IF(INDEX(Bookings!$G$3:$G$202,MATCH($K215,Bookings!$A$3:$A$202,0))="","",INDEX(Bookings!$G$3:$G$202,MATCH($K215,Bookings!$A$3:$A$202,0))),""))</f>
        <v/>
      </c>
    </row>
    <row r="216" spans="1:17" hidden="1" x14ac:dyDescent="0.35">
      <c r="A216" s="81"/>
      <c r="B216" s="81"/>
      <c r="C216" s="21"/>
      <c r="D216" s="56"/>
      <c r="E216" s="14"/>
      <c r="F216" s="14"/>
      <c r="G216" s="14"/>
      <c r="H216" s="83">
        <f t="shared" si="14"/>
        <v>0</v>
      </c>
      <c r="I216" s="80"/>
      <c r="J216" s="80"/>
      <c r="K216" s="7" t="str">
        <f>IF($B216="","",IFERROR(INDEX(Connaissements!$B$3:$B$202,MATCH($B216,Connaissements!$A$3:$A$202,0)),""))</f>
        <v/>
      </c>
      <c r="L216" s="7" t="str">
        <f>IF($B216="","",IFERROR(INDEX(Connaissements!$G$3:$G$202,MATCH($B216,Connaissements!$A$3:$A$202,0)),""))</f>
        <v/>
      </c>
      <c r="M216" s="7" t="str">
        <f t="shared" si="11"/>
        <v/>
      </c>
      <c r="N216" s="7" t="str">
        <f t="shared" ca="1" si="12"/>
        <v/>
      </c>
      <c r="O216" s="13"/>
      <c r="P216" s="29" t="str">
        <f t="shared" ca="1" si="13"/>
        <v/>
      </c>
      <c r="Q216" s="30" t="str">
        <f>IF($K216="","",IFERROR(IF(INDEX(Bookings!$G$3:$G$202,MATCH($K216,Bookings!$A$3:$A$202,0))="","",INDEX(Bookings!$G$3:$G$202,MATCH($K216,Bookings!$A$3:$A$202,0))),""))</f>
        <v/>
      </c>
    </row>
    <row r="217" spans="1:17" hidden="1" x14ac:dyDescent="0.35">
      <c r="A217" s="81"/>
      <c r="B217" s="81"/>
      <c r="C217" s="21"/>
      <c r="D217" s="56"/>
      <c r="E217" s="14"/>
      <c r="F217" s="14"/>
      <c r="G217" s="14"/>
      <c r="H217" s="83">
        <f t="shared" si="14"/>
        <v>0</v>
      </c>
      <c r="I217" s="80"/>
      <c r="J217" s="80"/>
      <c r="K217" s="7" t="str">
        <f>IF($B217="","",IFERROR(INDEX(Connaissements!$B$3:$B$202,MATCH($B217,Connaissements!$A$3:$A$202,0)),""))</f>
        <v/>
      </c>
      <c r="L217" s="7" t="str">
        <f>IF($B217="","",IFERROR(INDEX(Connaissements!$G$3:$G$202,MATCH($B217,Connaissements!$A$3:$A$202,0)),""))</f>
        <v/>
      </c>
      <c r="M217" s="7" t="str">
        <f t="shared" si="11"/>
        <v/>
      </c>
      <c r="N217" s="7" t="str">
        <f t="shared" ca="1" si="12"/>
        <v/>
      </c>
      <c r="O217" s="13"/>
      <c r="P217" s="29" t="str">
        <f t="shared" ca="1" si="13"/>
        <v/>
      </c>
      <c r="Q217" s="30" t="str">
        <f>IF($K217="","",IFERROR(IF(INDEX(Bookings!$G$3:$G$202,MATCH($K217,Bookings!$A$3:$A$202,0))="","",INDEX(Bookings!$G$3:$G$202,MATCH($K217,Bookings!$A$3:$A$202,0))),""))</f>
        <v/>
      </c>
    </row>
    <row r="218" spans="1:17" hidden="1" x14ac:dyDescent="0.35">
      <c r="A218" s="81"/>
      <c r="B218" s="81"/>
      <c r="C218" s="21"/>
      <c r="D218" s="56"/>
      <c r="E218" s="14"/>
      <c r="F218" s="14"/>
      <c r="G218" s="14"/>
      <c r="H218" s="83">
        <f t="shared" si="14"/>
        <v>0</v>
      </c>
      <c r="I218" s="80"/>
      <c r="J218" s="80"/>
      <c r="K218" s="7" t="str">
        <f>IF($B218="","",IFERROR(INDEX(Connaissements!$B$3:$B$202,MATCH($B218,Connaissements!$A$3:$A$202,0)),""))</f>
        <v/>
      </c>
      <c r="L218" s="7" t="str">
        <f>IF($B218="","",IFERROR(INDEX(Connaissements!$G$3:$G$202,MATCH($B218,Connaissements!$A$3:$A$202,0)),""))</f>
        <v/>
      </c>
      <c r="M218" s="7" t="str">
        <f t="shared" si="11"/>
        <v/>
      </c>
      <c r="N218" s="7" t="str">
        <f t="shared" ca="1" si="12"/>
        <v/>
      </c>
      <c r="O218" s="13"/>
      <c r="P218" s="29" t="str">
        <f t="shared" ca="1" si="13"/>
        <v/>
      </c>
      <c r="Q218" s="30" t="str">
        <f>IF($K218="","",IFERROR(IF(INDEX(Bookings!$G$3:$G$202,MATCH($K218,Bookings!$A$3:$A$202,0))="","",INDEX(Bookings!$G$3:$G$202,MATCH($K218,Bookings!$A$3:$A$202,0))),""))</f>
        <v/>
      </c>
    </row>
    <row r="219" spans="1:17" hidden="1" x14ac:dyDescent="0.35">
      <c r="A219" s="81"/>
      <c r="B219" s="81"/>
      <c r="C219" s="21"/>
      <c r="D219" s="56"/>
      <c r="E219" s="14"/>
      <c r="F219" s="14"/>
      <c r="G219" s="14"/>
      <c r="H219" s="83">
        <f t="shared" si="14"/>
        <v>0</v>
      </c>
      <c r="I219" s="80"/>
      <c r="J219" s="80"/>
      <c r="K219" s="7" t="str">
        <f>IF($B219="","",IFERROR(INDEX(Connaissements!$B$3:$B$202,MATCH($B219,Connaissements!$A$3:$A$202,0)),""))</f>
        <v/>
      </c>
      <c r="L219" s="7" t="str">
        <f>IF($B219="","",IFERROR(INDEX(Connaissements!$G$3:$G$202,MATCH($B219,Connaissements!$A$3:$A$202,0)),""))</f>
        <v/>
      </c>
      <c r="M219" s="7" t="str">
        <f t="shared" si="11"/>
        <v/>
      </c>
      <c r="N219" s="7" t="str">
        <f t="shared" ca="1" si="12"/>
        <v/>
      </c>
      <c r="O219" s="13"/>
      <c r="P219" s="29" t="str">
        <f t="shared" ca="1" si="13"/>
        <v/>
      </c>
      <c r="Q219" s="30" t="str">
        <f>IF($K219="","",IFERROR(IF(INDEX(Bookings!$G$3:$G$202,MATCH($K219,Bookings!$A$3:$A$202,0))="","",INDEX(Bookings!$G$3:$G$202,MATCH($K219,Bookings!$A$3:$A$202,0))),""))</f>
        <v/>
      </c>
    </row>
    <row r="220" spans="1:17" hidden="1" x14ac:dyDescent="0.35">
      <c r="A220" s="81"/>
      <c r="B220" s="81"/>
      <c r="C220" s="21"/>
      <c r="D220" s="56"/>
      <c r="E220" s="14"/>
      <c r="F220" s="14"/>
      <c r="G220" s="14"/>
      <c r="H220" s="83">
        <f t="shared" si="14"/>
        <v>0</v>
      </c>
      <c r="I220" s="80"/>
      <c r="J220" s="80"/>
      <c r="K220" s="7" t="str">
        <f>IF($B220="","",IFERROR(INDEX(Connaissements!$B$3:$B$202,MATCH($B220,Connaissements!$A$3:$A$202,0)),""))</f>
        <v/>
      </c>
      <c r="L220" s="7" t="str">
        <f>IF($B220="","",IFERROR(INDEX(Connaissements!$G$3:$G$202,MATCH($B220,Connaissements!$A$3:$A$202,0)),""))</f>
        <v/>
      </c>
      <c r="M220" s="7" t="str">
        <f t="shared" si="11"/>
        <v/>
      </c>
      <c r="N220" s="7" t="str">
        <f t="shared" ca="1" si="12"/>
        <v/>
      </c>
      <c r="O220" s="13"/>
      <c r="P220" s="29" t="str">
        <f t="shared" ca="1" si="13"/>
        <v/>
      </c>
      <c r="Q220" s="30" t="str">
        <f>IF($K220="","",IFERROR(IF(INDEX(Bookings!$G$3:$G$202,MATCH($K220,Bookings!$A$3:$A$202,0))="","",INDEX(Bookings!$G$3:$G$202,MATCH($K220,Bookings!$A$3:$A$202,0))),""))</f>
        <v/>
      </c>
    </row>
    <row r="221" spans="1:17" hidden="1" x14ac:dyDescent="0.35">
      <c r="A221" s="81"/>
      <c r="B221" s="81"/>
      <c r="C221" s="21"/>
      <c r="D221" s="56"/>
      <c r="E221" s="14"/>
      <c r="F221" s="14"/>
      <c r="G221" s="14"/>
      <c r="H221" s="83">
        <f t="shared" si="14"/>
        <v>0</v>
      </c>
      <c r="I221" s="80"/>
      <c r="J221" s="80"/>
      <c r="K221" s="7" t="str">
        <f>IF($B221="","",IFERROR(INDEX(Connaissements!$B$3:$B$202,MATCH($B221,Connaissements!$A$3:$A$202,0)),""))</f>
        <v/>
      </c>
      <c r="L221" s="7" t="str">
        <f>IF($B221="","",IFERROR(INDEX(Connaissements!$G$3:$G$202,MATCH($B221,Connaissements!$A$3:$A$202,0)),""))</f>
        <v/>
      </c>
      <c r="M221" s="7" t="str">
        <f t="shared" si="11"/>
        <v/>
      </c>
      <c r="N221" s="7" t="str">
        <f t="shared" ca="1" si="12"/>
        <v/>
      </c>
      <c r="O221" s="13"/>
      <c r="P221" s="29" t="str">
        <f t="shared" ca="1" si="13"/>
        <v/>
      </c>
      <c r="Q221" s="30" t="str">
        <f>IF($K221="","",IFERROR(IF(INDEX(Bookings!$G$3:$G$202,MATCH($K221,Bookings!$A$3:$A$202,0))="","",INDEX(Bookings!$G$3:$G$202,MATCH($K221,Bookings!$A$3:$A$202,0))),""))</f>
        <v/>
      </c>
    </row>
    <row r="222" spans="1:17" hidden="1" x14ac:dyDescent="0.35">
      <c r="A222" s="81"/>
      <c r="B222" s="81"/>
      <c r="C222" s="21"/>
      <c r="D222" s="56"/>
      <c r="E222" s="14"/>
      <c r="F222" s="14"/>
      <c r="G222" s="14"/>
      <c r="H222" s="83">
        <f t="shared" si="14"/>
        <v>0</v>
      </c>
      <c r="I222" s="80"/>
      <c r="J222" s="80"/>
      <c r="K222" s="7" t="str">
        <f>IF($B222="","",IFERROR(INDEX(Connaissements!$B$3:$B$202,MATCH($B222,Connaissements!$A$3:$A$202,0)),""))</f>
        <v/>
      </c>
      <c r="L222" s="7" t="str">
        <f>IF($B222="","",IFERROR(INDEX(Connaissements!$G$3:$G$202,MATCH($B222,Connaissements!$A$3:$A$202,0)),""))</f>
        <v/>
      </c>
      <c r="M222" s="7" t="str">
        <f t="shared" si="11"/>
        <v/>
      </c>
      <c r="N222" s="7" t="str">
        <f t="shared" ca="1" si="12"/>
        <v/>
      </c>
      <c r="O222" s="13"/>
      <c r="P222" s="29" t="str">
        <f t="shared" ca="1" si="13"/>
        <v/>
      </c>
      <c r="Q222" s="30" t="str">
        <f>IF($K222="","",IFERROR(IF(INDEX(Bookings!$G$3:$G$202,MATCH($K222,Bookings!$A$3:$A$202,0))="","",INDEX(Bookings!$G$3:$G$202,MATCH($K222,Bookings!$A$3:$A$202,0))),""))</f>
        <v/>
      </c>
    </row>
    <row r="223" spans="1:17" hidden="1" x14ac:dyDescent="0.35">
      <c r="A223" s="81"/>
      <c r="B223" s="81"/>
      <c r="C223" s="21"/>
      <c r="D223" s="56"/>
      <c r="E223" s="14"/>
      <c r="F223" s="14"/>
      <c r="G223" s="14"/>
      <c r="H223" s="83">
        <f t="shared" si="14"/>
        <v>0</v>
      </c>
      <c r="I223" s="80"/>
      <c r="J223" s="80"/>
      <c r="K223" s="7" t="str">
        <f>IF($B223="","",IFERROR(INDEX(Connaissements!$B$3:$B$202,MATCH($B223,Connaissements!$A$3:$A$202,0)),""))</f>
        <v/>
      </c>
      <c r="L223" s="7" t="str">
        <f>IF($B223="","",IFERROR(INDEX(Connaissements!$G$3:$G$202,MATCH($B223,Connaissements!$A$3:$A$202,0)),""))</f>
        <v/>
      </c>
      <c r="M223" s="7" t="str">
        <f t="shared" si="11"/>
        <v/>
      </c>
      <c r="N223" s="7" t="str">
        <f t="shared" ca="1" si="12"/>
        <v/>
      </c>
      <c r="O223" s="13"/>
      <c r="P223" s="29" t="str">
        <f t="shared" ca="1" si="13"/>
        <v/>
      </c>
      <c r="Q223" s="30" t="str">
        <f>IF($K223="","",IFERROR(IF(INDEX(Bookings!$G$3:$G$202,MATCH($K223,Bookings!$A$3:$A$202,0))="","",INDEX(Bookings!$G$3:$G$202,MATCH($K223,Bookings!$A$3:$A$202,0))),""))</f>
        <v/>
      </c>
    </row>
    <row r="224" spans="1:17" hidden="1" x14ac:dyDescent="0.35">
      <c r="A224" s="81"/>
      <c r="B224" s="81"/>
      <c r="C224" s="21"/>
      <c r="D224" s="56"/>
      <c r="E224" s="14"/>
      <c r="F224" s="14"/>
      <c r="G224" s="14"/>
      <c r="H224" s="83">
        <f t="shared" si="14"/>
        <v>0</v>
      </c>
      <c r="I224" s="80"/>
      <c r="J224" s="80"/>
      <c r="K224" s="7" t="str">
        <f>IF($B224="","",IFERROR(INDEX(Connaissements!$B$3:$B$202,MATCH($B224,Connaissements!$A$3:$A$202,0)),""))</f>
        <v/>
      </c>
      <c r="L224" s="7" t="str">
        <f>IF($B224="","",IFERROR(INDEX(Connaissements!$G$3:$G$202,MATCH($B224,Connaissements!$A$3:$A$202,0)),""))</f>
        <v/>
      </c>
      <c r="M224" s="7" t="str">
        <f t="shared" si="11"/>
        <v/>
      </c>
      <c r="N224" s="7" t="str">
        <f t="shared" ca="1" si="12"/>
        <v/>
      </c>
      <c r="O224" s="13"/>
      <c r="P224" s="29" t="str">
        <f t="shared" ca="1" si="13"/>
        <v/>
      </c>
      <c r="Q224" s="30" t="str">
        <f>IF($K224="","",IFERROR(IF(INDEX(Bookings!$G$3:$G$202,MATCH($K224,Bookings!$A$3:$A$202,0))="","",INDEX(Bookings!$G$3:$G$202,MATCH($K224,Bookings!$A$3:$A$202,0))),""))</f>
        <v/>
      </c>
    </row>
    <row r="225" spans="1:17" hidden="1" x14ac:dyDescent="0.35">
      <c r="A225" s="81"/>
      <c r="B225" s="81"/>
      <c r="C225" s="21"/>
      <c r="D225" s="56"/>
      <c r="E225" s="14"/>
      <c r="F225" s="14"/>
      <c r="G225" s="14"/>
      <c r="H225" s="83">
        <f t="shared" si="14"/>
        <v>0</v>
      </c>
      <c r="I225" s="80"/>
      <c r="J225" s="80"/>
      <c r="K225" s="7" t="str">
        <f>IF($B225="","",IFERROR(INDEX(Connaissements!$B$3:$B$202,MATCH($B225,Connaissements!$A$3:$A$202,0)),""))</f>
        <v/>
      </c>
      <c r="L225" s="7" t="str">
        <f>IF($B225="","",IFERROR(INDEX(Connaissements!$G$3:$G$202,MATCH($B225,Connaissements!$A$3:$A$202,0)),""))</f>
        <v/>
      </c>
      <c r="M225" s="7" t="str">
        <f t="shared" si="11"/>
        <v/>
      </c>
      <c r="N225" s="7" t="str">
        <f t="shared" ca="1" si="12"/>
        <v/>
      </c>
      <c r="O225" s="13"/>
      <c r="P225" s="29" t="str">
        <f t="shared" ca="1" si="13"/>
        <v/>
      </c>
      <c r="Q225" s="30" t="str">
        <f>IF($K225="","",IFERROR(IF(INDEX(Bookings!$G$3:$G$202,MATCH($K225,Bookings!$A$3:$A$202,0))="","",INDEX(Bookings!$G$3:$G$202,MATCH($K225,Bookings!$A$3:$A$202,0))),""))</f>
        <v/>
      </c>
    </row>
    <row r="226" spans="1:17" hidden="1" x14ac:dyDescent="0.35">
      <c r="A226" s="81"/>
      <c r="B226" s="81"/>
      <c r="C226" s="21"/>
      <c r="D226" s="56"/>
      <c r="E226" s="14"/>
      <c r="F226" s="14"/>
      <c r="G226" s="14"/>
      <c r="H226" s="83">
        <f t="shared" si="14"/>
        <v>0</v>
      </c>
      <c r="I226" s="80"/>
      <c r="J226" s="80"/>
      <c r="K226" s="7" t="str">
        <f>IF($B226="","",IFERROR(INDEX(Connaissements!$B$3:$B$202,MATCH($B226,Connaissements!$A$3:$A$202,0)),""))</f>
        <v/>
      </c>
      <c r="L226" s="7" t="str">
        <f>IF($B226="","",IFERROR(INDEX(Connaissements!$G$3:$G$202,MATCH($B226,Connaissements!$A$3:$A$202,0)),""))</f>
        <v/>
      </c>
      <c r="M226" s="7" t="str">
        <f t="shared" si="11"/>
        <v/>
      </c>
      <c r="N226" s="7" t="str">
        <f t="shared" ca="1" si="12"/>
        <v/>
      </c>
      <c r="O226" s="13"/>
      <c r="P226" s="29" t="str">
        <f t="shared" ca="1" si="13"/>
        <v/>
      </c>
      <c r="Q226" s="30" t="str">
        <f>IF($K226="","",IFERROR(IF(INDEX(Bookings!$G$3:$G$202,MATCH($K226,Bookings!$A$3:$A$202,0))="","",INDEX(Bookings!$G$3:$G$202,MATCH($K226,Bookings!$A$3:$A$202,0))),""))</f>
        <v/>
      </c>
    </row>
    <row r="227" spans="1:17" hidden="1" x14ac:dyDescent="0.35">
      <c r="A227" s="81"/>
      <c r="B227" s="81"/>
      <c r="C227" s="21"/>
      <c r="D227" s="56"/>
      <c r="E227" s="14"/>
      <c r="F227" s="14"/>
      <c r="G227" s="14"/>
      <c r="H227" s="83">
        <f t="shared" si="14"/>
        <v>0</v>
      </c>
      <c r="I227" s="80"/>
      <c r="J227" s="80"/>
      <c r="K227" s="7" t="str">
        <f>IF($B227="","",IFERROR(INDEX(Connaissements!$B$3:$B$202,MATCH($B227,Connaissements!$A$3:$A$202,0)),""))</f>
        <v/>
      </c>
      <c r="L227" s="7" t="str">
        <f>IF($B227="","",IFERROR(INDEX(Connaissements!$G$3:$G$202,MATCH($B227,Connaissements!$A$3:$A$202,0)),""))</f>
        <v/>
      </c>
      <c r="M227" s="7" t="str">
        <f t="shared" si="11"/>
        <v/>
      </c>
      <c r="N227" s="7" t="str">
        <f t="shared" ca="1" si="12"/>
        <v/>
      </c>
      <c r="O227" s="13"/>
      <c r="P227" s="29" t="str">
        <f t="shared" ca="1" si="13"/>
        <v/>
      </c>
      <c r="Q227" s="30" t="str">
        <f>IF($K227="","",IFERROR(IF(INDEX(Bookings!$G$3:$G$202,MATCH($K227,Bookings!$A$3:$A$202,0))="","",INDEX(Bookings!$G$3:$G$202,MATCH($K227,Bookings!$A$3:$A$202,0))),""))</f>
        <v/>
      </c>
    </row>
    <row r="228" spans="1:17" hidden="1" x14ac:dyDescent="0.35">
      <c r="A228" s="81"/>
      <c r="B228" s="81"/>
      <c r="C228" s="21"/>
      <c r="D228" s="56"/>
      <c r="E228" s="14"/>
      <c r="F228" s="14"/>
      <c r="G228" s="14"/>
      <c r="H228" s="83">
        <f t="shared" si="14"/>
        <v>0</v>
      </c>
      <c r="I228" s="80"/>
      <c r="J228" s="80"/>
      <c r="K228" s="7" t="str">
        <f>IF($B228="","",IFERROR(INDEX(Connaissements!$B$3:$B$202,MATCH($B228,Connaissements!$A$3:$A$202,0)),""))</f>
        <v/>
      </c>
      <c r="L228" s="7" t="str">
        <f>IF($B228="","",IFERROR(INDEX(Connaissements!$G$3:$G$202,MATCH($B228,Connaissements!$A$3:$A$202,0)),""))</f>
        <v/>
      </c>
      <c r="M228" s="7" t="str">
        <f t="shared" si="11"/>
        <v/>
      </c>
      <c r="N228" s="7" t="str">
        <f t="shared" ca="1" si="12"/>
        <v/>
      </c>
      <c r="O228" s="13"/>
      <c r="P228" s="29" t="str">
        <f t="shared" ca="1" si="13"/>
        <v/>
      </c>
      <c r="Q228" s="30" t="str">
        <f>IF($K228="","",IFERROR(IF(INDEX(Bookings!$G$3:$G$202,MATCH($K228,Bookings!$A$3:$A$202,0))="","",INDEX(Bookings!$G$3:$G$202,MATCH($K228,Bookings!$A$3:$A$202,0))),""))</f>
        <v/>
      </c>
    </row>
    <row r="229" spans="1:17" hidden="1" x14ac:dyDescent="0.35">
      <c r="A229" s="81"/>
      <c r="B229" s="81"/>
      <c r="C229" s="21"/>
      <c r="D229" s="56"/>
      <c r="E229" s="14"/>
      <c r="F229" s="14"/>
      <c r="G229" s="14"/>
      <c r="H229" s="83">
        <f t="shared" si="14"/>
        <v>0</v>
      </c>
      <c r="I229" s="80"/>
      <c r="J229" s="80"/>
      <c r="K229" s="7" t="str">
        <f>IF($B229="","",IFERROR(INDEX(Connaissements!$B$3:$B$202,MATCH($B229,Connaissements!$A$3:$A$202,0)),""))</f>
        <v/>
      </c>
      <c r="L229" s="7" t="str">
        <f>IF($B229="","",IFERROR(INDEX(Connaissements!$G$3:$G$202,MATCH($B229,Connaissements!$A$3:$A$202,0)),""))</f>
        <v/>
      </c>
      <c r="M229" s="7" t="str">
        <f t="shared" si="11"/>
        <v/>
      </c>
      <c r="N229" s="7" t="str">
        <f t="shared" ca="1" si="12"/>
        <v/>
      </c>
      <c r="O229" s="13"/>
      <c r="P229" s="29" t="str">
        <f t="shared" ca="1" si="13"/>
        <v/>
      </c>
      <c r="Q229" s="30" t="str">
        <f>IF($K229="","",IFERROR(IF(INDEX(Bookings!$G$3:$G$202,MATCH($K229,Bookings!$A$3:$A$202,0))="","",INDEX(Bookings!$G$3:$G$202,MATCH($K229,Bookings!$A$3:$A$202,0))),""))</f>
        <v/>
      </c>
    </row>
    <row r="230" spans="1:17" hidden="1" x14ac:dyDescent="0.35">
      <c r="A230" s="81"/>
      <c r="B230" s="81"/>
      <c r="C230" s="21"/>
      <c r="D230" s="56"/>
      <c r="E230" s="14"/>
      <c r="F230" s="14"/>
      <c r="G230" s="14"/>
      <c r="H230" s="83">
        <f t="shared" si="14"/>
        <v>0</v>
      </c>
      <c r="I230" s="80"/>
      <c r="J230" s="80"/>
      <c r="K230" s="7" t="str">
        <f>IF($B230="","",IFERROR(INDEX(Connaissements!$B$3:$B$202,MATCH($B230,Connaissements!$A$3:$A$202,0)),""))</f>
        <v/>
      </c>
      <c r="L230" s="7" t="str">
        <f>IF($B230="","",IFERROR(INDEX(Connaissements!$G$3:$G$202,MATCH($B230,Connaissements!$A$3:$A$202,0)),""))</f>
        <v/>
      </c>
      <c r="M230" s="7" t="str">
        <f t="shared" si="11"/>
        <v/>
      </c>
      <c r="N230" s="7" t="str">
        <f t="shared" ca="1" si="12"/>
        <v/>
      </c>
      <c r="O230" s="13"/>
      <c r="P230" s="29" t="str">
        <f t="shared" ca="1" si="13"/>
        <v/>
      </c>
      <c r="Q230" s="30" t="str">
        <f>IF($K230="","",IFERROR(IF(INDEX(Bookings!$G$3:$G$202,MATCH($K230,Bookings!$A$3:$A$202,0))="","",INDEX(Bookings!$G$3:$G$202,MATCH($K230,Bookings!$A$3:$A$202,0))),""))</f>
        <v/>
      </c>
    </row>
    <row r="231" spans="1:17" hidden="1" x14ac:dyDescent="0.35">
      <c r="A231" s="81"/>
      <c r="B231" s="81"/>
      <c r="C231" s="21"/>
      <c r="D231" s="56"/>
      <c r="E231" s="14"/>
      <c r="F231" s="14"/>
      <c r="G231" s="14"/>
      <c r="H231" s="83">
        <f t="shared" si="14"/>
        <v>0</v>
      </c>
      <c r="I231" s="80"/>
      <c r="J231" s="80"/>
      <c r="K231" s="7" t="str">
        <f>IF($B231="","",IFERROR(INDEX(Connaissements!$B$3:$B$202,MATCH($B231,Connaissements!$A$3:$A$202,0)),""))</f>
        <v/>
      </c>
      <c r="L231" s="7" t="str">
        <f>IF($B231="","",IFERROR(INDEX(Connaissements!$G$3:$G$202,MATCH($B231,Connaissements!$A$3:$A$202,0)),""))</f>
        <v/>
      </c>
      <c r="M231" s="7" t="str">
        <f t="shared" si="11"/>
        <v/>
      </c>
      <c r="N231" s="7" t="str">
        <f t="shared" ca="1" si="12"/>
        <v/>
      </c>
      <c r="O231" s="13"/>
      <c r="P231" s="29" t="str">
        <f t="shared" ca="1" si="13"/>
        <v/>
      </c>
      <c r="Q231" s="30" t="str">
        <f>IF($K231="","",IFERROR(IF(INDEX(Bookings!$G$3:$G$202,MATCH($K231,Bookings!$A$3:$A$202,0))="","",INDEX(Bookings!$G$3:$G$202,MATCH($K231,Bookings!$A$3:$A$202,0))),""))</f>
        <v/>
      </c>
    </row>
    <row r="232" spans="1:17" hidden="1" x14ac:dyDescent="0.35">
      <c r="A232" s="81"/>
      <c r="B232" s="81"/>
      <c r="C232" s="21"/>
      <c r="D232" s="56"/>
      <c r="E232" s="14"/>
      <c r="F232" s="14"/>
      <c r="G232" s="14"/>
      <c r="H232" s="83">
        <f t="shared" si="14"/>
        <v>0</v>
      </c>
      <c r="I232" s="80"/>
      <c r="J232" s="80"/>
      <c r="K232" s="7" t="str">
        <f>IF($B232="","",IFERROR(INDEX(Connaissements!$B$3:$B$202,MATCH($B232,Connaissements!$A$3:$A$202,0)),""))</f>
        <v/>
      </c>
      <c r="L232" s="7" t="str">
        <f>IF($B232="","",IFERROR(INDEX(Connaissements!$G$3:$G$202,MATCH($B232,Connaissements!$A$3:$A$202,0)),""))</f>
        <v/>
      </c>
      <c r="M232" s="7" t="str">
        <f t="shared" si="11"/>
        <v/>
      </c>
      <c r="N232" s="7" t="str">
        <f t="shared" ca="1" si="12"/>
        <v/>
      </c>
      <c r="O232" s="13"/>
      <c r="P232" s="29" t="str">
        <f t="shared" ca="1" si="13"/>
        <v/>
      </c>
      <c r="Q232" s="30" t="str">
        <f>IF($K232="","",IFERROR(IF(INDEX(Bookings!$G$3:$G$202,MATCH($K232,Bookings!$A$3:$A$202,0))="","",INDEX(Bookings!$G$3:$G$202,MATCH($K232,Bookings!$A$3:$A$202,0))),""))</f>
        <v/>
      </c>
    </row>
    <row r="233" spans="1:17" hidden="1" x14ac:dyDescent="0.35">
      <c r="A233" s="81"/>
      <c r="B233" s="81"/>
      <c r="C233" s="21"/>
      <c r="D233" s="56"/>
      <c r="E233" s="14"/>
      <c r="F233" s="14"/>
      <c r="G233" s="14"/>
      <c r="H233" s="83">
        <f t="shared" si="14"/>
        <v>0</v>
      </c>
      <c r="I233" s="80"/>
      <c r="J233" s="80"/>
      <c r="K233" s="7" t="str">
        <f>IF($B233="","",IFERROR(INDEX(Connaissements!$B$3:$B$202,MATCH($B233,Connaissements!$A$3:$A$202,0)),""))</f>
        <v/>
      </c>
      <c r="L233" s="7" t="str">
        <f>IF($B233="","",IFERROR(INDEX(Connaissements!$G$3:$G$202,MATCH($B233,Connaissements!$A$3:$A$202,0)),""))</f>
        <v/>
      </c>
      <c r="M233" s="7" t="str">
        <f t="shared" si="11"/>
        <v/>
      </c>
      <c r="N233" s="7" t="str">
        <f t="shared" ca="1" si="12"/>
        <v/>
      </c>
      <c r="O233" s="13"/>
      <c r="P233" s="29" t="str">
        <f t="shared" ca="1" si="13"/>
        <v/>
      </c>
      <c r="Q233" s="30" t="str">
        <f>IF($K233="","",IFERROR(IF(INDEX(Bookings!$G$3:$G$202,MATCH($K233,Bookings!$A$3:$A$202,0))="","",INDEX(Bookings!$G$3:$G$202,MATCH($K233,Bookings!$A$3:$A$202,0))),""))</f>
        <v/>
      </c>
    </row>
    <row r="234" spans="1:17" hidden="1" x14ac:dyDescent="0.35">
      <c r="A234" s="81"/>
      <c r="B234" s="81"/>
      <c r="C234" s="21"/>
      <c r="D234" s="56"/>
      <c r="E234" s="14"/>
      <c r="F234" s="14"/>
      <c r="G234" s="14"/>
      <c r="H234" s="83">
        <f t="shared" si="14"/>
        <v>0</v>
      </c>
      <c r="I234" s="80"/>
      <c r="J234" s="80"/>
      <c r="K234" s="7" t="str">
        <f>IF($B234="","",IFERROR(INDEX(Connaissements!$B$3:$B$202,MATCH($B234,Connaissements!$A$3:$A$202,0)),""))</f>
        <v/>
      </c>
      <c r="L234" s="7" t="str">
        <f>IF($B234="","",IFERROR(INDEX(Connaissements!$G$3:$G$202,MATCH($B234,Connaissements!$A$3:$A$202,0)),""))</f>
        <v/>
      </c>
      <c r="M234" s="7" t="str">
        <f t="shared" si="11"/>
        <v/>
      </c>
      <c r="N234" s="7" t="str">
        <f t="shared" ca="1" si="12"/>
        <v/>
      </c>
      <c r="O234" s="13"/>
      <c r="P234" s="29" t="str">
        <f t="shared" ca="1" si="13"/>
        <v/>
      </c>
      <c r="Q234" s="30" t="str">
        <f>IF($K234="","",IFERROR(IF(INDEX(Bookings!$G$3:$G$202,MATCH($K234,Bookings!$A$3:$A$202,0))="","",INDEX(Bookings!$G$3:$G$202,MATCH($K234,Bookings!$A$3:$A$202,0))),""))</f>
        <v/>
      </c>
    </row>
    <row r="235" spans="1:17" hidden="1" x14ac:dyDescent="0.35">
      <c r="A235" s="81"/>
      <c r="B235" s="81"/>
      <c r="C235" s="21"/>
      <c r="D235" s="56"/>
      <c r="E235" s="14"/>
      <c r="F235" s="14"/>
      <c r="G235" s="14"/>
      <c r="H235" s="83">
        <f t="shared" si="14"/>
        <v>0</v>
      </c>
      <c r="I235" s="80"/>
      <c r="J235" s="80"/>
      <c r="K235" s="7" t="str">
        <f>IF($B235="","",IFERROR(INDEX(Connaissements!$B$3:$B$202,MATCH($B235,Connaissements!$A$3:$A$202,0)),""))</f>
        <v/>
      </c>
      <c r="L235" s="7" t="str">
        <f>IF($B235="","",IFERROR(INDEX(Connaissements!$G$3:$G$202,MATCH($B235,Connaissements!$A$3:$A$202,0)),""))</f>
        <v/>
      </c>
      <c r="M235" s="7" t="str">
        <f t="shared" si="11"/>
        <v/>
      </c>
      <c r="N235" s="7" t="str">
        <f t="shared" ca="1" si="12"/>
        <v/>
      </c>
      <c r="O235" s="13"/>
      <c r="P235" s="29" t="str">
        <f t="shared" ca="1" si="13"/>
        <v/>
      </c>
      <c r="Q235" s="30" t="str">
        <f>IF($K235="","",IFERROR(IF(INDEX(Bookings!$G$3:$G$202,MATCH($K235,Bookings!$A$3:$A$202,0))="","",INDEX(Bookings!$G$3:$G$202,MATCH($K235,Bookings!$A$3:$A$202,0))),""))</f>
        <v/>
      </c>
    </row>
    <row r="236" spans="1:17" hidden="1" x14ac:dyDescent="0.35">
      <c r="A236" s="81"/>
      <c r="B236" s="81"/>
      <c r="C236" s="21"/>
      <c r="D236" s="56"/>
      <c r="E236" s="14"/>
      <c r="F236" s="14"/>
      <c r="G236" s="14"/>
      <c r="H236" s="83">
        <f t="shared" si="14"/>
        <v>0</v>
      </c>
      <c r="I236" s="80"/>
      <c r="J236" s="80"/>
      <c r="K236" s="7" t="str">
        <f>IF($B236="","",IFERROR(INDEX(Connaissements!$B$3:$B$202,MATCH($B236,Connaissements!$A$3:$A$202,0)),""))</f>
        <v/>
      </c>
      <c r="L236" s="7" t="str">
        <f>IF($B236="","",IFERROR(INDEX(Connaissements!$G$3:$G$202,MATCH($B236,Connaissements!$A$3:$A$202,0)),""))</f>
        <v/>
      </c>
      <c r="M236" s="7" t="str">
        <f t="shared" si="11"/>
        <v/>
      </c>
      <c r="N236" s="7" t="str">
        <f t="shared" ca="1" si="12"/>
        <v/>
      </c>
      <c r="O236" s="13"/>
      <c r="P236" s="29" t="str">
        <f t="shared" ca="1" si="13"/>
        <v/>
      </c>
      <c r="Q236" s="30" t="str">
        <f>IF($K236="","",IFERROR(IF(INDEX(Bookings!$G$3:$G$202,MATCH($K236,Bookings!$A$3:$A$202,0))="","",INDEX(Bookings!$G$3:$G$202,MATCH($K236,Bookings!$A$3:$A$202,0))),""))</f>
        <v/>
      </c>
    </row>
    <row r="237" spans="1:17" hidden="1" x14ac:dyDescent="0.35">
      <c r="A237" s="81"/>
      <c r="B237" s="81"/>
      <c r="C237" s="21"/>
      <c r="D237" s="56"/>
      <c r="E237" s="14"/>
      <c r="F237" s="14"/>
      <c r="G237" s="14"/>
      <c r="H237" s="83">
        <f t="shared" si="14"/>
        <v>0</v>
      </c>
      <c r="I237" s="80"/>
      <c r="J237" s="80"/>
      <c r="K237" s="7" t="str">
        <f>IF($B237="","",IFERROR(INDEX(Connaissements!$B$3:$B$202,MATCH($B237,Connaissements!$A$3:$A$202,0)),""))</f>
        <v/>
      </c>
      <c r="L237" s="7" t="str">
        <f>IF($B237="","",IFERROR(INDEX(Connaissements!$G$3:$G$202,MATCH($B237,Connaissements!$A$3:$A$202,0)),""))</f>
        <v/>
      </c>
      <c r="M237" s="7" t="str">
        <f t="shared" si="11"/>
        <v/>
      </c>
      <c r="N237" s="7" t="str">
        <f t="shared" ca="1" si="12"/>
        <v/>
      </c>
      <c r="O237" s="13"/>
      <c r="P237" s="29" t="str">
        <f t="shared" ca="1" si="13"/>
        <v/>
      </c>
      <c r="Q237" s="30" t="str">
        <f>IF($K237="","",IFERROR(IF(INDEX(Bookings!$G$3:$G$202,MATCH($K237,Bookings!$A$3:$A$202,0))="","",INDEX(Bookings!$G$3:$G$202,MATCH($K237,Bookings!$A$3:$A$202,0))),""))</f>
        <v/>
      </c>
    </row>
    <row r="238" spans="1:17" hidden="1" x14ac:dyDescent="0.35">
      <c r="A238" s="81"/>
      <c r="B238" s="81"/>
      <c r="C238" s="21"/>
      <c r="D238" s="56"/>
      <c r="E238" s="14"/>
      <c r="F238" s="14"/>
      <c r="G238" s="14"/>
      <c r="H238" s="83">
        <f t="shared" si="14"/>
        <v>0</v>
      </c>
      <c r="I238" s="80"/>
      <c r="J238" s="80"/>
      <c r="K238" s="7" t="str">
        <f>IF($B238="","",IFERROR(INDEX(Connaissements!$B$3:$B$202,MATCH($B238,Connaissements!$A$3:$A$202,0)),""))</f>
        <v/>
      </c>
      <c r="L238" s="7" t="str">
        <f>IF($B238="","",IFERROR(INDEX(Connaissements!$G$3:$G$202,MATCH($B238,Connaissements!$A$3:$A$202,0)),""))</f>
        <v/>
      </c>
      <c r="M238" s="7" t="str">
        <f t="shared" si="11"/>
        <v/>
      </c>
      <c r="N238" s="7" t="str">
        <f t="shared" ca="1" si="12"/>
        <v/>
      </c>
      <c r="O238" s="13"/>
      <c r="P238" s="29" t="str">
        <f t="shared" ca="1" si="13"/>
        <v/>
      </c>
      <c r="Q238" s="30" t="str">
        <f>IF($K238="","",IFERROR(IF(INDEX(Bookings!$G$3:$G$202,MATCH($K238,Bookings!$A$3:$A$202,0))="","",INDEX(Bookings!$G$3:$G$202,MATCH($K238,Bookings!$A$3:$A$202,0))),""))</f>
        <v/>
      </c>
    </row>
    <row r="239" spans="1:17" hidden="1" x14ac:dyDescent="0.35">
      <c r="A239" s="81"/>
      <c r="B239" s="81"/>
      <c r="C239" s="21"/>
      <c r="D239" s="56"/>
      <c r="E239" s="14"/>
      <c r="F239" s="14"/>
      <c r="G239" s="14"/>
      <c r="H239" s="83">
        <f t="shared" si="14"/>
        <v>0</v>
      </c>
      <c r="I239" s="80"/>
      <c r="J239" s="80"/>
      <c r="K239" s="7" t="str">
        <f>IF($B239="","",IFERROR(INDEX(Connaissements!$B$3:$B$202,MATCH($B239,Connaissements!$A$3:$A$202,0)),""))</f>
        <v/>
      </c>
      <c r="L239" s="7" t="str">
        <f>IF($B239="","",IFERROR(INDEX(Connaissements!$G$3:$G$202,MATCH($B239,Connaissements!$A$3:$A$202,0)),""))</f>
        <v/>
      </c>
      <c r="M239" s="7" t="str">
        <f t="shared" si="11"/>
        <v/>
      </c>
      <c r="N239" s="7" t="str">
        <f t="shared" ca="1" si="12"/>
        <v/>
      </c>
      <c r="O239" s="13"/>
      <c r="P239" s="29" t="str">
        <f t="shared" ca="1" si="13"/>
        <v/>
      </c>
      <c r="Q239" s="30" t="str">
        <f>IF($K239="","",IFERROR(IF(INDEX(Bookings!$G$3:$G$202,MATCH($K239,Bookings!$A$3:$A$202,0))="","",INDEX(Bookings!$G$3:$G$202,MATCH($K239,Bookings!$A$3:$A$202,0))),""))</f>
        <v/>
      </c>
    </row>
    <row r="240" spans="1:17" hidden="1" x14ac:dyDescent="0.35">
      <c r="A240" s="81"/>
      <c r="B240" s="81"/>
      <c r="C240" s="21"/>
      <c r="D240" s="56"/>
      <c r="E240" s="14"/>
      <c r="F240" s="14"/>
      <c r="G240" s="14"/>
      <c r="H240" s="83">
        <f t="shared" si="14"/>
        <v>0</v>
      </c>
      <c r="I240" s="80"/>
      <c r="J240" s="80"/>
      <c r="K240" s="7" t="str">
        <f>IF($B240="","",IFERROR(INDEX(Connaissements!$B$3:$B$202,MATCH($B240,Connaissements!$A$3:$A$202,0)),""))</f>
        <v/>
      </c>
      <c r="L240" s="7" t="str">
        <f>IF($B240="","",IFERROR(INDEX(Connaissements!$G$3:$G$202,MATCH($B240,Connaissements!$A$3:$A$202,0)),""))</f>
        <v/>
      </c>
      <c r="M240" s="7" t="str">
        <f t="shared" si="11"/>
        <v/>
      </c>
      <c r="N240" s="7" t="str">
        <f t="shared" ca="1" si="12"/>
        <v/>
      </c>
      <c r="O240" s="13"/>
      <c r="P240" s="29" t="str">
        <f t="shared" ca="1" si="13"/>
        <v/>
      </c>
      <c r="Q240" s="30" t="str">
        <f>IF($K240="","",IFERROR(IF(INDEX(Bookings!$G$3:$G$202,MATCH($K240,Bookings!$A$3:$A$202,0))="","",INDEX(Bookings!$G$3:$G$202,MATCH($K240,Bookings!$A$3:$A$202,0))),""))</f>
        <v/>
      </c>
    </row>
    <row r="241" spans="1:17" hidden="1" x14ac:dyDescent="0.35">
      <c r="A241" s="81"/>
      <c r="B241" s="81"/>
      <c r="C241" s="21"/>
      <c r="D241" s="56"/>
      <c r="E241" s="14"/>
      <c r="F241" s="14"/>
      <c r="G241" s="14"/>
      <c r="H241" s="83">
        <f t="shared" si="14"/>
        <v>0</v>
      </c>
      <c r="I241" s="80"/>
      <c r="J241" s="80"/>
      <c r="K241" s="7" t="str">
        <f>IF($B241="","",IFERROR(INDEX(Connaissements!$B$3:$B$202,MATCH($B241,Connaissements!$A$3:$A$202,0)),""))</f>
        <v/>
      </c>
      <c r="L241" s="7" t="str">
        <f>IF($B241="","",IFERROR(INDEX(Connaissements!$G$3:$G$202,MATCH($B241,Connaissements!$A$3:$A$202,0)),""))</f>
        <v/>
      </c>
      <c r="M241" s="7" t="str">
        <f t="shared" si="11"/>
        <v/>
      </c>
      <c r="N241" s="7" t="str">
        <f t="shared" ca="1" si="12"/>
        <v/>
      </c>
      <c r="O241" s="13"/>
      <c r="P241" s="29" t="str">
        <f t="shared" ca="1" si="13"/>
        <v/>
      </c>
      <c r="Q241" s="30" t="str">
        <f>IF($K241="","",IFERROR(IF(INDEX(Bookings!$G$3:$G$202,MATCH($K241,Bookings!$A$3:$A$202,0))="","",INDEX(Bookings!$G$3:$G$202,MATCH($K241,Bookings!$A$3:$A$202,0))),""))</f>
        <v/>
      </c>
    </row>
    <row r="242" spans="1:17" hidden="1" x14ac:dyDescent="0.35">
      <c r="A242" s="81"/>
      <c r="B242" s="81"/>
      <c r="C242" s="21"/>
      <c r="D242" s="56"/>
      <c r="E242" s="14"/>
      <c r="F242" s="14"/>
      <c r="G242" s="14"/>
      <c r="H242" s="83">
        <f t="shared" si="14"/>
        <v>0</v>
      </c>
      <c r="I242" s="80"/>
      <c r="J242" s="80"/>
      <c r="K242" s="7" t="str">
        <f>IF($B242="","",IFERROR(INDEX(Connaissements!$B$3:$B$202,MATCH($B242,Connaissements!$A$3:$A$202,0)),""))</f>
        <v/>
      </c>
      <c r="L242" s="7" t="str">
        <f>IF($B242="","",IFERROR(INDEX(Connaissements!$G$3:$G$202,MATCH($B242,Connaissements!$A$3:$A$202,0)),""))</f>
        <v/>
      </c>
      <c r="M242" s="7" t="str">
        <f t="shared" si="11"/>
        <v/>
      </c>
      <c r="N242" s="7" t="str">
        <f t="shared" ca="1" si="12"/>
        <v/>
      </c>
      <c r="O242" s="13"/>
      <c r="P242" s="29" t="str">
        <f t="shared" ca="1" si="13"/>
        <v/>
      </c>
      <c r="Q242" s="30" t="str">
        <f>IF($K242="","",IFERROR(IF(INDEX(Bookings!$G$3:$G$202,MATCH($K242,Bookings!$A$3:$A$202,0))="","",INDEX(Bookings!$G$3:$G$202,MATCH($K242,Bookings!$A$3:$A$202,0))),""))</f>
        <v/>
      </c>
    </row>
    <row r="243" spans="1:17" hidden="1" x14ac:dyDescent="0.35">
      <c r="A243" s="81"/>
      <c r="B243" s="81"/>
      <c r="C243" s="21"/>
      <c r="D243" s="56"/>
      <c r="E243" s="14"/>
      <c r="F243" s="14"/>
      <c r="G243" s="14"/>
      <c r="H243" s="83">
        <f t="shared" si="14"/>
        <v>0</v>
      </c>
      <c r="I243" s="80"/>
      <c r="J243" s="80"/>
      <c r="K243" s="7" t="str">
        <f>IF($B243="","",IFERROR(INDEX(Connaissements!$B$3:$B$202,MATCH($B243,Connaissements!$A$3:$A$202,0)),""))</f>
        <v/>
      </c>
      <c r="L243" s="7" t="str">
        <f>IF($B243="","",IFERROR(INDEX(Connaissements!$G$3:$G$202,MATCH($B243,Connaissements!$A$3:$A$202,0)),""))</f>
        <v/>
      </c>
      <c r="M243" s="7" t="str">
        <f t="shared" si="11"/>
        <v/>
      </c>
      <c r="N243" s="7" t="str">
        <f t="shared" ca="1" si="12"/>
        <v/>
      </c>
      <c r="O243" s="13"/>
      <c r="P243" s="29" t="str">
        <f t="shared" ca="1" si="13"/>
        <v/>
      </c>
      <c r="Q243" s="30" t="str">
        <f>IF($K243="","",IFERROR(IF(INDEX(Bookings!$G$3:$G$202,MATCH($K243,Bookings!$A$3:$A$202,0))="","",INDEX(Bookings!$G$3:$G$202,MATCH($K243,Bookings!$A$3:$A$202,0))),""))</f>
        <v/>
      </c>
    </row>
    <row r="244" spans="1:17" hidden="1" x14ac:dyDescent="0.35">
      <c r="A244" s="81"/>
      <c r="B244" s="81"/>
      <c r="C244" s="21"/>
      <c r="D244" s="56"/>
      <c r="E244" s="14"/>
      <c r="F244" s="14"/>
      <c r="G244" s="14"/>
      <c r="H244" s="83">
        <f t="shared" si="14"/>
        <v>0</v>
      </c>
      <c r="I244" s="80"/>
      <c r="J244" s="80"/>
      <c r="K244" s="7" t="str">
        <f>IF($B244="","",IFERROR(INDEX(Connaissements!$B$3:$B$202,MATCH($B244,Connaissements!$A$3:$A$202,0)),""))</f>
        <v/>
      </c>
      <c r="L244" s="7" t="str">
        <f>IF($B244="","",IFERROR(INDEX(Connaissements!$G$3:$G$202,MATCH($B244,Connaissements!$A$3:$A$202,0)),""))</f>
        <v/>
      </c>
      <c r="M244" s="7" t="str">
        <f t="shared" si="11"/>
        <v/>
      </c>
      <c r="N244" s="7" t="str">
        <f t="shared" ca="1" si="12"/>
        <v/>
      </c>
      <c r="O244" s="13"/>
      <c r="P244" s="29" t="str">
        <f t="shared" ca="1" si="13"/>
        <v/>
      </c>
      <c r="Q244" s="30" t="str">
        <f>IF($K244="","",IFERROR(IF(INDEX(Bookings!$G$3:$G$202,MATCH($K244,Bookings!$A$3:$A$202,0))="","",INDEX(Bookings!$G$3:$G$202,MATCH($K244,Bookings!$A$3:$A$202,0))),""))</f>
        <v/>
      </c>
    </row>
    <row r="245" spans="1:17" hidden="1" x14ac:dyDescent="0.35">
      <c r="A245" s="81"/>
      <c r="B245" s="81"/>
      <c r="C245" s="21"/>
      <c r="D245" s="56"/>
      <c r="E245" s="14"/>
      <c r="F245" s="14"/>
      <c r="G245" s="14"/>
      <c r="H245" s="83">
        <f t="shared" si="14"/>
        <v>0</v>
      </c>
      <c r="I245" s="80"/>
      <c r="J245" s="80"/>
      <c r="K245" s="7" t="str">
        <f>IF($B245="","",IFERROR(INDEX(Connaissements!$B$3:$B$202,MATCH($B245,Connaissements!$A$3:$A$202,0)),""))</f>
        <v/>
      </c>
      <c r="L245" s="7" t="str">
        <f>IF($B245="","",IFERROR(INDEX(Connaissements!$G$3:$G$202,MATCH($B245,Connaissements!$A$3:$A$202,0)),""))</f>
        <v/>
      </c>
      <c r="M245" s="7" t="str">
        <f t="shared" si="11"/>
        <v/>
      </c>
      <c r="N245" s="7" t="str">
        <f t="shared" ca="1" si="12"/>
        <v/>
      </c>
      <c r="O245" s="13"/>
      <c r="P245" s="29" t="str">
        <f t="shared" ca="1" si="13"/>
        <v/>
      </c>
      <c r="Q245" s="30" t="str">
        <f>IF($K245="","",IFERROR(IF(INDEX(Bookings!$G$3:$G$202,MATCH($K245,Bookings!$A$3:$A$202,0))="","",INDEX(Bookings!$G$3:$G$202,MATCH($K245,Bookings!$A$3:$A$202,0))),""))</f>
        <v/>
      </c>
    </row>
    <row r="246" spans="1:17" hidden="1" x14ac:dyDescent="0.35">
      <c r="A246" s="81"/>
      <c r="B246" s="81"/>
      <c r="C246" s="21"/>
      <c r="D246" s="56"/>
      <c r="E246" s="14"/>
      <c r="F246" s="14"/>
      <c r="G246" s="14"/>
      <c r="H246" s="83">
        <f t="shared" si="14"/>
        <v>0</v>
      </c>
      <c r="I246" s="80"/>
      <c r="J246" s="80"/>
      <c r="K246" s="7" t="str">
        <f>IF($B246="","",IFERROR(INDEX(Connaissements!$B$3:$B$202,MATCH($B246,Connaissements!$A$3:$A$202,0)),""))</f>
        <v/>
      </c>
      <c r="L246" s="7" t="str">
        <f>IF($B246="","",IFERROR(INDEX(Connaissements!$G$3:$G$202,MATCH($B246,Connaissements!$A$3:$A$202,0)),""))</f>
        <v/>
      </c>
      <c r="M246" s="7" t="str">
        <f t="shared" si="11"/>
        <v/>
      </c>
      <c r="N246" s="7" t="str">
        <f t="shared" ca="1" si="12"/>
        <v/>
      </c>
      <c r="O246" s="13"/>
      <c r="P246" s="29" t="str">
        <f t="shared" ca="1" si="13"/>
        <v/>
      </c>
      <c r="Q246" s="30" t="str">
        <f>IF($K246="","",IFERROR(IF(INDEX(Bookings!$G$3:$G$202,MATCH($K246,Bookings!$A$3:$A$202,0))="","",INDEX(Bookings!$G$3:$G$202,MATCH($K246,Bookings!$A$3:$A$202,0))),""))</f>
        <v/>
      </c>
    </row>
    <row r="247" spans="1:17" hidden="1" x14ac:dyDescent="0.35">
      <c r="A247" s="81"/>
      <c r="B247" s="81"/>
      <c r="C247" s="21"/>
      <c r="D247" s="56"/>
      <c r="E247" s="14"/>
      <c r="F247" s="14"/>
      <c r="G247" s="14"/>
      <c r="H247" s="83">
        <f t="shared" si="14"/>
        <v>0</v>
      </c>
      <c r="I247" s="80"/>
      <c r="J247" s="80"/>
      <c r="K247" s="7" t="str">
        <f>IF($B247="","",IFERROR(INDEX(Connaissements!$B$3:$B$202,MATCH($B247,Connaissements!$A$3:$A$202,0)),""))</f>
        <v/>
      </c>
      <c r="L247" s="7" t="str">
        <f>IF($B247="","",IFERROR(INDEX(Connaissements!$G$3:$G$202,MATCH($B247,Connaissements!$A$3:$A$202,0)),""))</f>
        <v/>
      </c>
      <c r="M247" s="7" t="str">
        <f t="shared" si="11"/>
        <v/>
      </c>
      <c r="N247" s="7" t="str">
        <f t="shared" ca="1" si="12"/>
        <v/>
      </c>
      <c r="O247" s="13"/>
      <c r="P247" s="29" t="str">
        <f t="shared" ca="1" si="13"/>
        <v/>
      </c>
      <c r="Q247" s="30" t="str">
        <f>IF($K247="","",IFERROR(IF(INDEX(Bookings!$G$3:$G$202,MATCH($K247,Bookings!$A$3:$A$202,0))="","",INDEX(Bookings!$G$3:$G$202,MATCH($K247,Bookings!$A$3:$A$202,0))),""))</f>
        <v/>
      </c>
    </row>
    <row r="248" spans="1:17" hidden="1" x14ac:dyDescent="0.35">
      <c r="A248" s="81"/>
      <c r="B248" s="81"/>
      <c r="C248" s="21"/>
      <c r="D248" s="56"/>
      <c r="E248" s="14"/>
      <c r="F248" s="14"/>
      <c r="G248" s="14"/>
      <c r="H248" s="83">
        <f t="shared" si="14"/>
        <v>0</v>
      </c>
      <c r="I248" s="80"/>
      <c r="J248" s="80"/>
      <c r="K248" s="7" t="str">
        <f>IF($B248="","",IFERROR(INDEX(Connaissements!$B$3:$B$202,MATCH($B248,Connaissements!$A$3:$A$202,0)),""))</f>
        <v/>
      </c>
      <c r="L248" s="7" t="str">
        <f>IF($B248="","",IFERROR(INDEX(Connaissements!$G$3:$G$202,MATCH($B248,Connaissements!$A$3:$A$202,0)),""))</f>
        <v/>
      </c>
      <c r="M248" s="7" t="str">
        <f t="shared" si="11"/>
        <v/>
      </c>
      <c r="N248" s="7" t="str">
        <f t="shared" ca="1" si="12"/>
        <v/>
      </c>
      <c r="O248" s="13"/>
      <c r="P248" s="29" t="str">
        <f t="shared" ca="1" si="13"/>
        <v/>
      </c>
      <c r="Q248" s="30" t="str">
        <f>IF($K248="","",IFERROR(IF(INDEX(Bookings!$G$3:$G$202,MATCH($K248,Bookings!$A$3:$A$202,0))="","",INDEX(Bookings!$G$3:$G$202,MATCH($K248,Bookings!$A$3:$A$202,0))),""))</f>
        <v/>
      </c>
    </row>
    <row r="249" spans="1:17" hidden="1" x14ac:dyDescent="0.35">
      <c r="A249" s="81"/>
      <c r="B249" s="81"/>
      <c r="C249" s="21"/>
      <c r="D249" s="56"/>
      <c r="E249" s="14"/>
      <c r="F249" s="14"/>
      <c r="G249" s="14"/>
      <c r="H249" s="83">
        <f t="shared" si="14"/>
        <v>0</v>
      </c>
      <c r="I249" s="80"/>
      <c r="J249" s="80"/>
      <c r="K249" s="7" t="str">
        <f>IF($B249="","",IFERROR(INDEX(Connaissements!$B$3:$B$202,MATCH($B249,Connaissements!$A$3:$A$202,0)),""))</f>
        <v/>
      </c>
      <c r="L249" s="7" t="str">
        <f>IF($B249="","",IFERROR(INDEX(Connaissements!$G$3:$G$202,MATCH($B249,Connaissements!$A$3:$A$202,0)),""))</f>
        <v/>
      </c>
      <c r="M249" s="7" t="str">
        <f t="shared" si="11"/>
        <v/>
      </c>
      <c r="N249" s="7" t="str">
        <f t="shared" ca="1" si="12"/>
        <v/>
      </c>
      <c r="O249" s="13"/>
      <c r="P249" s="29" t="str">
        <f t="shared" ca="1" si="13"/>
        <v/>
      </c>
      <c r="Q249" s="30" t="str">
        <f>IF($K249="","",IFERROR(IF(INDEX(Bookings!$G$3:$G$202,MATCH($K249,Bookings!$A$3:$A$202,0))="","",INDEX(Bookings!$G$3:$G$202,MATCH($K249,Bookings!$A$3:$A$202,0))),""))</f>
        <v/>
      </c>
    </row>
    <row r="250" spans="1:17" hidden="1" x14ac:dyDescent="0.35">
      <c r="A250" s="81"/>
      <c r="B250" s="81"/>
      <c r="C250" s="21"/>
      <c r="D250" s="56"/>
      <c r="E250" s="14"/>
      <c r="F250" s="14"/>
      <c r="G250" s="14"/>
      <c r="H250" s="83">
        <f t="shared" si="14"/>
        <v>0</v>
      </c>
      <c r="I250" s="80"/>
      <c r="J250" s="80"/>
      <c r="K250" s="7" t="str">
        <f>IF($B250="","",IFERROR(INDEX(Connaissements!$B$3:$B$202,MATCH($B250,Connaissements!$A$3:$A$202,0)),""))</f>
        <v/>
      </c>
      <c r="L250" s="7" t="str">
        <f>IF($B250="","",IFERROR(INDEX(Connaissements!$G$3:$G$202,MATCH($B250,Connaissements!$A$3:$A$202,0)),""))</f>
        <v/>
      </c>
      <c r="M250" s="7" t="str">
        <f t="shared" si="11"/>
        <v/>
      </c>
      <c r="N250" s="7" t="str">
        <f t="shared" ca="1" si="12"/>
        <v/>
      </c>
      <c r="O250" s="13"/>
      <c r="P250" s="29" t="str">
        <f t="shared" ca="1" si="13"/>
        <v/>
      </c>
      <c r="Q250" s="30" t="str">
        <f>IF($K250="","",IFERROR(IF(INDEX(Bookings!$G$3:$G$202,MATCH($K250,Bookings!$A$3:$A$202,0))="","",INDEX(Bookings!$G$3:$G$202,MATCH($K250,Bookings!$A$3:$A$202,0))),""))</f>
        <v/>
      </c>
    </row>
    <row r="251" spans="1:17" hidden="1" x14ac:dyDescent="0.35">
      <c r="A251" s="81"/>
      <c r="B251" s="81"/>
      <c r="C251" s="21"/>
      <c r="D251" s="56"/>
      <c r="E251" s="14"/>
      <c r="F251" s="14"/>
      <c r="G251" s="14"/>
      <c r="H251" s="83">
        <f t="shared" si="14"/>
        <v>0</v>
      </c>
      <c r="I251" s="80"/>
      <c r="J251" s="80"/>
      <c r="K251" s="7" t="str">
        <f>IF($B251="","",IFERROR(INDEX(Connaissements!$B$3:$B$202,MATCH($B251,Connaissements!$A$3:$A$202,0)),""))</f>
        <v/>
      </c>
      <c r="L251" s="7" t="str">
        <f>IF($B251="","",IFERROR(INDEX(Connaissements!$G$3:$G$202,MATCH($B251,Connaissements!$A$3:$A$202,0)),""))</f>
        <v/>
      </c>
      <c r="M251" s="7" t="str">
        <f t="shared" si="11"/>
        <v/>
      </c>
      <c r="N251" s="7" t="str">
        <f t="shared" ca="1" si="12"/>
        <v/>
      </c>
      <c r="O251" s="13"/>
      <c r="P251" s="29" t="str">
        <f t="shared" ca="1" si="13"/>
        <v/>
      </c>
      <c r="Q251" s="30" t="str">
        <f>IF($K251="","",IFERROR(IF(INDEX(Bookings!$G$3:$G$202,MATCH($K251,Bookings!$A$3:$A$202,0))="","",INDEX(Bookings!$G$3:$G$202,MATCH($K251,Bookings!$A$3:$A$202,0))),""))</f>
        <v/>
      </c>
    </row>
    <row r="252" spans="1:17" hidden="1" x14ac:dyDescent="0.35">
      <c r="A252" s="81"/>
      <c r="B252" s="81"/>
      <c r="C252" s="21"/>
      <c r="D252" s="56"/>
      <c r="E252" s="14"/>
      <c r="F252" s="14"/>
      <c r="G252" s="14"/>
      <c r="H252" s="83">
        <f t="shared" si="14"/>
        <v>0</v>
      </c>
      <c r="I252" s="80"/>
      <c r="J252" s="80"/>
      <c r="K252" s="7" t="str">
        <f>IF($B252="","",IFERROR(INDEX(Connaissements!$B$3:$B$202,MATCH($B252,Connaissements!$A$3:$A$202,0)),""))</f>
        <v/>
      </c>
      <c r="L252" s="7" t="str">
        <f>IF($B252="","",IFERROR(INDEX(Connaissements!$G$3:$G$202,MATCH($B252,Connaissements!$A$3:$A$202,0)),""))</f>
        <v/>
      </c>
      <c r="M252" s="7" t="str">
        <f t="shared" si="11"/>
        <v/>
      </c>
      <c r="N252" s="7" t="str">
        <f t="shared" ca="1" si="12"/>
        <v/>
      </c>
      <c r="O252" s="13"/>
      <c r="P252" s="29" t="str">
        <f t="shared" ca="1" si="13"/>
        <v/>
      </c>
      <c r="Q252" s="30" t="str">
        <f>IF($K252="","",IFERROR(IF(INDEX(Bookings!$G$3:$G$202,MATCH($K252,Bookings!$A$3:$A$202,0))="","",INDEX(Bookings!$G$3:$G$202,MATCH($K252,Bookings!$A$3:$A$202,0))),""))</f>
        <v/>
      </c>
    </row>
    <row r="253" spans="1:17" hidden="1" x14ac:dyDescent="0.35">
      <c r="A253" s="81"/>
      <c r="B253" s="81"/>
      <c r="C253" s="21"/>
      <c r="D253" s="56"/>
      <c r="E253" s="14"/>
      <c r="F253" s="14"/>
      <c r="G253" s="14"/>
      <c r="H253" s="83">
        <f t="shared" si="14"/>
        <v>0</v>
      </c>
      <c r="I253" s="80"/>
      <c r="J253" s="80"/>
      <c r="K253" s="7" t="str">
        <f>IF($B253="","",IFERROR(INDEX(Connaissements!$B$3:$B$202,MATCH($B253,Connaissements!$A$3:$A$202,0)),""))</f>
        <v/>
      </c>
      <c r="L253" s="7" t="str">
        <f>IF($B253="","",IFERROR(INDEX(Connaissements!$G$3:$G$202,MATCH($B253,Connaissements!$A$3:$A$202,0)),""))</f>
        <v/>
      </c>
      <c r="M253" s="7" t="str">
        <f t="shared" si="11"/>
        <v/>
      </c>
      <c r="N253" s="7" t="str">
        <f t="shared" ca="1" si="12"/>
        <v/>
      </c>
      <c r="O253" s="13"/>
      <c r="P253" s="29" t="str">
        <f t="shared" ca="1" si="13"/>
        <v/>
      </c>
      <c r="Q253" s="30" t="str">
        <f>IF($K253="","",IFERROR(IF(INDEX(Bookings!$G$3:$G$202,MATCH($K253,Bookings!$A$3:$A$202,0))="","",INDEX(Bookings!$G$3:$G$202,MATCH($K253,Bookings!$A$3:$A$202,0))),""))</f>
        <v/>
      </c>
    </row>
    <row r="254" spans="1:17" hidden="1" x14ac:dyDescent="0.35">
      <c r="A254" s="81"/>
      <c r="B254" s="81"/>
      <c r="C254" s="21"/>
      <c r="D254" s="56"/>
      <c r="E254" s="14"/>
      <c r="F254" s="14"/>
      <c r="G254" s="14"/>
      <c r="H254" s="83">
        <f t="shared" si="14"/>
        <v>0</v>
      </c>
      <c r="I254" s="80"/>
      <c r="J254" s="80"/>
      <c r="K254" s="7" t="str">
        <f>IF($B254="","",IFERROR(INDEX(Connaissements!$B$3:$B$202,MATCH($B254,Connaissements!$A$3:$A$202,0)),""))</f>
        <v/>
      </c>
      <c r="L254" s="7" t="str">
        <f>IF($B254="","",IFERROR(INDEX(Connaissements!$G$3:$G$202,MATCH($B254,Connaissements!$A$3:$A$202,0)),""))</f>
        <v/>
      </c>
      <c r="M254" s="7" t="str">
        <f t="shared" si="11"/>
        <v/>
      </c>
      <c r="N254" s="7" t="str">
        <f t="shared" ca="1" si="12"/>
        <v/>
      </c>
      <c r="O254" s="13"/>
      <c r="P254" s="29" t="str">
        <f t="shared" ca="1" si="13"/>
        <v/>
      </c>
      <c r="Q254" s="30" t="str">
        <f>IF($K254="","",IFERROR(IF(INDEX(Bookings!$G$3:$G$202,MATCH($K254,Bookings!$A$3:$A$202,0))="","",INDEX(Bookings!$G$3:$G$202,MATCH($K254,Bookings!$A$3:$A$202,0))),""))</f>
        <v/>
      </c>
    </row>
    <row r="255" spans="1:17" hidden="1" x14ac:dyDescent="0.35">
      <c r="A255" s="81"/>
      <c r="B255" s="81"/>
      <c r="C255" s="21"/>
      <c r="D255" s="56"/>
      <c r="E255" s="14"/>
      <c r="F255" s="14"/>
      <c r="G255" s="14"/>
      <c r="H255" s="83">
        <f t="shared" si="14"/>
        <v>0</v>
      </c>
      <c r="I255" s="80"/>
      <c r="J255" s="80"/>
      <c r="K255" s="7" t="str">
        <f>IF($B255="","",IFERROR(INDEX(Connaissements!$B$3:$B$202,MATCH($B255,Connaissements!$A$3:$A$202,0)),""))</f>
        <v/>
      </c>
      <c r="L255" s="7" t="str">
        <f>IF($B255="","",IFERROR(INDEX(Connaissements!$G$3:$G$202,MATCH($B255,Connaissements!$A$3:$A$202,0)),""))</f>
        <v/>
      </c>
      <c r="M255" s="7" t="str">
        <f t="shared" si="11"/>
        <v/>
      </c>
      <c r="N255" s="7" t="str">
        <f t="shared" ca="1" si="12"/>
        <v/>
      </c>
      <c r="O255" s="13"/>
      <c r="P255" s="29" t="str">
        <f t="shared" ca="1" si="13"/>
        <v/>
      </c>
      <c r="Q255" s="30" t="str">
        <f>IF($K255="","",IFERROR(IF(INDEX(Bookings!$G$3:$G$202,MATCH($K255,Bookings!$A$3:$A$202,0))="","",INDEX(Bookings!$G$3:$G$202,MATCH($K255,Bookings!$A$3:$A$202,0))),""))</f>
        <v/>
      </c>
    </row>
    <row r="256" spans="1:17" hidden="1" x14ac:dyDescent="0.35">
      <c r="A256" s="81"/>
      <c r="B256" s="81"/>
      <c r="C256" s="21"/>
      <c r="D256" s="56"/>
      <c r="E256" s="14"/>
      <c r="F256" s="14"/>
      <c r="G256" s="14"/>
      <c r="H256" s="83">
        <f t="shared" si="14"/>
        <v>0</v>
      </c>
      <c r="I256" s="80"/>
      <c r="J256" s="80"/>
      <c r="K256" s="7" t="str">
        <f>IF($B256="","",IFERROR(INDEX(Connaissements!$B$3:$B$202,MATCH($B256,Connaissements!$A$3:$A$202,0)),""))</f>
        <v/>
      </c>
      <c r="L256" s="7" t="str">
        <f>IF($B256="","",IFERROR(INDEX(Connaissements!$G$3:$G$202,MATCH($B256,Connaissements!$A$3:$A$202,0)),""))</f>
        <v/>
      </c>
      <c r="M256" s="7" t="str">
        <f t="shared" si="11"/>
        <v/>
      </c>
      <c r="N256" s="7" t="str">
        <f t="shared" ca="1" si="12"/>
        <v/>
      </c>
      <c r="O256" s="13"/>
      <c r="P256" s="29" t="str">
        <f t="shared" ca="1" si="13"/>
        <v/>
      </c>
      <c r="Q256" s="30" t="str">
        <f>IF($K256="","",IFERROR(IF(INDEX(Bookings!$G$3:$G$202,MATCH($K256,Bookings!$A$3:$A$202,0))="","",INDEX(Bookings!$G$3:$G$202,MATCH($K256,Bookings!$A$3:$A$202,0))),""))</f>
        <v/>
      </c>
    </row>
    <row r="257" spans="1:17" hidden="1" x14ac:dyDescent="0.35">
      <c r="A257" s="81"/>
      <c r="B257" s="81"/>
      <c r="C257" s="21"/>
      <c r="D257" s="56"/>
      <c r="E257" s="14"/>
      <c r="F257" s="14"/>
      <c r="G257" s="14"/>
      <c r="H257" s="83">
        <f t="shared" si="14"/>
        <v>0</v>
      </c>
      <c r="I257" s="80"/>
      <c r="J257" s="80"/>
      <c r="K257" s="7" t="str">
        <f>IF($B257="","",IFERROR(INDEX(Connaissements!$B$3:$B$202,MATCH($B257,Connaissements!$A$3:$A$202,0)),""))</f>
        <v/>
      </c>
      <c r="L257" s="7" t="str">
        <f>IF($B257="","",IFERROR(INDEX(Connaissements!$G$3:$G$202,MATCH($B257,Connaissements!$A$3:$A$202,0)),""))</f>
        <v/>
      </c>
      <c r="M257" s="7" t="str">
        <f t="shared" si="11"/>
        <v/>
      </c>
      <c r="N257" s="7" t="str">
        <f t="shared" ca="1" si="12"/>
        <v/>
      </c>
      <c r="O257" s="13"/>
      <c r="P257" s="29" t="str">
        <f t="shared" ca="1" si="13"/>
        <v/>
      </c>
      <c r="Q257" s="30" t="str">
        <f>IF($K257="","",IFERROR(IF(INDEX(Bookings!$G$3:$G$202,MATCH($K257,Bookings!$A$3:$A$202,0))="","",INDEX(Bookings!$G$3:$G$202,MATCH($K257,Bookings!$A$3:$A$202,0))),""))</f>
        <v/>
      </c>
    </row>
    <row r="258" spans="1:17" hidden="1" x14ac:dyDescent="0.35">
      <c r="A258" s="81"/>
      <c r="B258" s="81"/>
      <c r="C258" s="21"/>
      <c r="D258" s="56"/>
      <c r="E258" s="14"/>
      <c r="F258" s="14"/>
      <c r="G258" s="14"/>
      <c r="H258" s="83">
        <f t="shared" si="14"/>
        <v>0</v>
      </c>
      <c r="I258" s="80"/>
      <c r="J258" s="80"/>
      <c r="K258" s="7" t="str">
        <f>IF($B258="","",IFERROR(INDEX(Connaissements!$B$3:$B$202,MATCH($B258,Connaissements!$A$3:$A$202,0)),""))</f>
        <v/>
      </c>
      <c r="L258" s="7" t="str">
        <f>IF($B258="","",IFERROR(INDEX(Connaissements!$G$3:$G$202,MATCH($B258,Connaissements!$A$3:$A$202,0)),""))</f>
        <v/>
      </c>
      <c r="M258" s="7" t="str">
        <f t="shared" si="11"/>
        <v/>
      </c>
      <c r="N258" s="7" t="str">
        <f t="shared" ca="1" si="12"/>
        <v/>
      </c>
      <c r="O258" s="13"/>
      <c r="P258" s="29" t="str">
        <f t="shared" ca="1" si="13"/>
        <v/>
      </c>
      <c r="Q258" s="30" t="str">
        <f>IF($K258="","",IFERROR(IF(INDEX(Bookings!$G$3:$G$202,MATCH($K258,Bookings!$A$3:$A$202,0))="","",INDEX(Bookings!$G$3:$G$202,MATCH($K258,Bookings!$A$3:$A$202,0))),""))</f>
        <v/>
      </c>
    </row>
    <row r="259" spans="1:17" hidden="1" x14ac:dyDescent="0.35">
      <c r="A259" s="81"/>
      <c r="B259" s="81"/>
      <c r="C259" s="21"/>
      <c r="D259" s="56"/>
      <c r="E259" s="14"/>
      <c r="F259" s="14"/>
      <c r="G259" s="14"/>
      <c r="H259" s="83">
        <f t="shared" si="14"/>
        <v>0</v>
      </c>
      <c r="I259" s="80"/>
      <c r="J259" s="80"/>
      <c r="K259" s="7" t="str">
        <f>IF($B259="","",IFERROR(INDEX(Connaissements!$B$3:$B$202,MATCH($B259,Connaissements!$A$3:$A$202,0)),""))</f>
        <v/>
      </c>
      <c r="L259" s="7" t="str">
        <f>IF($B259="","",IFERROR(INDEX(Connaissements!$G$3:$G$202,MATCH($B259,Connaissements!$A$3:$A$202,0)),""))</f>
        <v/>
      </c>
      <c r="M259" s="7" t="str">
        <f t="shared" ref="M259:M322" si="15">IF($A259="","",IF($G259&lt;&gt;"","Embarqué",IF($F259&lt;&gt;"","Gate-In fait",IF($E259&lt;&gt;"","Empoté","À empoter"))))</f>
        <v/>
      </c>
      <c r="N259" s="7" t="str">
        <f t="shared" ref="N259:N322" ca="1" si="16">IF(OR($A259="",$G259&lt;&gt;""),"",IF(AND($Q259&lt;&gt;"",N($Q259)&lt;TODAY()),"RETARD : ETD dépassé, pas embarqué",IF(AND($Q259&lt;&gt;"",N($Q259)-TODAY()&lt;=P_AlerteETD,$F259=""),"Gate-In à faire (ETD proche)",IF(AND($E259&lt;&gt;"",$H259=""),"Poids net à saisir",""))))</f>
        <v/>
      </c>
      <c r="O259" s="13"/>
      <c r="P259" s="29" t="str">
        <f t="shared" ref="P259:P322" ca="1" si="17">IF($N259&lt;&gt;"",1,"")</f>
        <v/>
      </c>
      <c r="Q259" s="30" t="str">
        <f>IF($K259="","",IFERROR(IF(INDEX(Bookings!$G$3:$G$202,MATCH($K259,Bookings!$A$3:$A$202,0))="","",INDEX(Bookings!$G$3:$G$202,MATCH($K259,Bookings!$A$3:$A$202,0))),""))</f>
        <v/>
      </c>
    </row>
    <row r="260" spans="1:17" hidden="1" x14ac:dyDescent="0.35">
      <c r="A260" s="81"/>
      <c r="B260" s="81"/>
      <c r="C260" s="21"/>
      <c r="D260" s="56"/>
      <c r="E260" s="14"/>
      <c r="F260" s="14"/>
      <c r="G260" s="14"/>
      <c r="H260" s="83">
        <f t="shared" ref="H260:H323" si="18">J260-I260</f>
        <v>0</v>
      </c>
      <c r="I260" s="80"/>
      <c r="J260" s="80"/>
      <c r="K260" s="7" t="str">
        <f>IF($B260="","",IFERROR(INDEX(Connaissements!$B$3:$B$202,MATCH($B260,Connaissements!$A$3:$A$202,0)),""))</f>
        <v/>
      </c>
      <c r="L260" s="7" t="str">
        <f>IF($B260="","",IFERROR(INDEX(Connaissements!$G$3:$G$202,MATCH($B260,Connaissements!$A$3:$A$202,0)),""))</f>
        <v/>
      </c>
      <c r="M260" s="7" t="str">
        <f t="shared" si="15"/>
        <v/>
      </c>
      <c r="N260" s="7" t="str">
        <f t="shared" ca="1" si="16"/>
        <v/>
      </c>
      <c r="O260" s="13"/>
      <c r="P260" s="29" t="str">
        <f t="shared" ca="1" si="17"/>
        <v/>
      </c>
      <c r="Q260" s="30" t="str">
        <f>IF($K260="","",IFERROR(IF(INDEX(Bookings!$G$3:$G$202,MATCH($K260,Bookings!$A$3:$A$202,0))="","",INDEX(Bookings!$G$3:$G$202,MATCH($K260,Bookings!$A$3:$A$202,0))),""))</f>
        <v/>
      </c>
    </row>
    <row r="261" spans="1:17" hidden="1" x14ac:dyDescent="0.35">
      <c r="A261" s="81"/>
      <c r="B261" s="81"/>
      <c r="C261" s="21"/>
      <c r="D261" s="56"/>
      <c r="E261" s="14"/>
      <c r="F261" s="14"/>
      <c r="G261" s="14"/>
      <c r="H261" s="83">
        <f t="shared" si="18"/>
        <v>0</v>
      </c>
      <c r="I261" s="80"/>
      <c r="J261" s="80"/>
      <c r="K261" s="7" t="str">
        <f>IF($B261="","",IFERROR(INDEX(Connaissements!$B$3:$B$202,MATCH($B261,Connaissements!$A$3:$A$202,0)),""))</f>
        <v/>
      </c>
      <c r="L261" s="7" t="str">
        <f>IF($B261="","",IFERROR(INDEX(Connaissements!$G$3:$G$202,MATCH($B261,Connaissements!$A$3:$A$202,0)),""))</f>
        <v/>
      </c>
      <c r="M261" s="7" t="str">
        <f t="shared" si="15"/>
        <v/>
      </c>
      <c r="N261" s="7" t="str">
        <f t="shared" ca="1" si="16"/>
        <v/>
      </c>
      <c r="O261" s="13"/>
      <c r="P261" s="29" t="str">
        <f t="shared" ca="1" si="17"/>
        <v/>
      </c>
      <c r="Q261" s="30" t="str">
        <f>IF($K261="","",IFERROR(IF(INDEX(Bookings!$G$3:$G$202,MATCH($K261,Bookings!$A$3:$A$202,0))="","",INDEX(Bookings!$G$3:$G$202,MATCH($K261,Bookings!$A$3:$A$202,0))),""))</f>
        <v/>
      </c>
    </row>
    <row r="262" spans="1:17" hidden="1" x14ac:dyDescent="0.35">
      <c r="A262" s="81"/>
      <c r="B262" s="81"/>
      <c r="C262" s="21"/>
      <c r="D262" s="56"/>
      <c r="E262" s="14"/>
      <c r="F262" s="14"/>
      <c r="G262" s="14"/>
      <c r="H262" s="83">
        <f t="shared" si="18"/>
        <v>0</v>
      </c>
      <c r="I262" s="80"/>
      <c r="J262" s="80"/>
      <c r="K262" s="7" t="str">
        <f>IF($B262="","",IFERROR(INDEX(Connaissements!$B$3:$B$202,MATCH($B262,Connaissements!$A$3:$A$202,0)),""))</f>
        <v/>
      </c>
      <c r="L262" s="7" t="str">
        <f>IF($B262="","",IFERROR(INDEX(Connaissements!$G$3:$G$202,MATCH($B262,Connaissements!$A$3:$A$202,0)),""))</f>
        <v/>
      </c>
      <c r="M262" s="7" t="str">
        <f t="shared" si="15"/>
        <v/>
      </c>
      <c r="N262" s="7" t="str">
        <f t="shared" ca="1" si="16"/>
        <v/>
      </c>
      <c r="O262" s="13"/>
      <c r="P262" s="29" t="str">
        <f t="shared" ca="1" si="17"/>
        <v/>
      </c>
      <c r="Q262" s="30" t="str">
        <f>IF($K262="","",IFERROR(IF(INDEX(Bookings!$G$3:$G$202,MATCH($K262,Bookings!$A$3:$A$202,0))="","",INDEX(Bookings!$G$3:$G$202,MATCH($K262,Bookings!$A$3:$A$202,0))),""))</f>
        <v/>
      </c>
    </row>
    <row r="263" spans="1:17" hidden="1" x14ac:dyDescent="0.35">
      <c r="A263" s="81"/>
      <c r="B263" s="81"/>
      <c r="C263" s="21"/>
      <c r="D263" s="56"/>
      <c r="E263" s="14"/>
      <c r="F263" s="14"/>
      <c r="G263" s="14"/>
      <c r="H263" s="83">
        <f t="shared" si="18"/>
        <v>0</v>
      </c>
      <c r="I263" s="80"/>
      <c r="J263" s="80"/>
      <c r="K263" s="7" t="str">
        <f>IF($B263="","",IFERROR(INDEX(Connaissements!$B$3:$B$202,MATCH($B263,Connaissements!$A$3:$A$202,0)),""))</f>
        <v/>
      </c>
      <c r="L263" s="7" t="str">
        <f>IF($B263="","",IFERROR(INDEX(Connaissements!$G$3:$G$202,MATCH($B263,Connaissements!$A$3:$A$202,0)),""))</f>
        <v/>
      </c>
      <c r="M263" s="7" t="str">
        <f t="shared" si="15"/>
        <v/>
      </c>
      <c r="N263" s="7" t="str">
        <f t="shared" ca="1" si="16"/>
        <v/>
      </c>
      <c r="O263" s="13"/>
      <c r="P263" s="29" t="str">
        <f t="shared" ca="1" si="17"/>
        <v/>
      </c>
      <c r="Q263" s="30" t="str">
        <f>IF($K263="","",IFERROR(IF(INDEX(Bookings!$G$3:$G$202,MATCH($K263,Bookings!$A$3:$A$202,0))="","",INDEX(Bookings!$G$3:$G$202,MATCH($K263,Bookings!$A$3:$A$202,0))),""))</f>
        <v/>
      </c>
    </row>
    <row r="264" spans="1:17" hidden="1" x14ac:dyDescent="0.35">
      <c r="A264" s="81"/>
      <c r="B264" s="81"/>
      <c r="C264" s="21"/>
      <c r="D264" s="56"/>
      <c r="E264" s="14"/>
      <c r="F264" s="14"/>
      <c r="G264" s="14"/>
      <c r="H264" s="83">
        <f t="shared" si="18"/>
        <v>0</v>
      </c>
      <c r="I264" s="80"/>
      <c r="J264" s="80"/>
      <c r="K264" s="7" t="str">
        <f>IF($B264="","",IFERROR(INDEX(Connaissements!$B$3:$B$202,MATCH($B264,Connaissements!$A$3:$A$202,0)),""))</f>
        <v/>
      </c>
      <c r="L264" s="7" t="str">
        <f>IF($B264="","",IFERROR(INDEX(Connaissements!$G$3:$G$202,MATCH($B264,Connaissements!$A$3:$A$202,0)),""))</f>
        <v/>
      </c>
      <c r="M264" s="7" t="str">
        <f t="shared" si="15"/>
        <v/>
      </c>
      <c r="N264" s="7" t="str">
        <f t="shared" ca="1" si="16"/>
        <v/>
      </c>
      <c r="O264" s="13"/>
      <c r="P264" s="29" t="str">
        <f t="shared" ca="1" si="17"/>
        <v/>
      </c>
      <c r="Q264" s="30" t="str">
        <f>IF($K264="","",IFERROR(IF(INDEX(Bookings!$G$3:$G$202,MATCH($K264,Bookings!$A$3:$A$202,0))="","",INDEX(Bookings!$G$3:$G$202,MATCH($K264,Bookings!$A$3:$A$202,0))),""))</f>
        <v/>
      </c>
    </row>
    <row r="265" spans="1:17" hidden="1" x14ac:dyDescent="0.35">
      <c r="A265" s="81"/>
      <c r="B265" s="81"/>
      <c r="C265" s="21"/>
      <c r="D265" s="56"/>
      <c r="E265" s="14"/>
      <c r="F265" s="14"/>
      <c r="G265" s="14"/>
      <c r="H265" s="83">
        <f t="shared" si="18"/>
        <v>0</v>
      </c>
      <c r="I265" s="80"/>
      <c r="J265" s="80"/>
      <c r="K265" s="7" t="str">
        <f>IF($B265="","",IFERROR(INDEX(Connaissements!$B$3:$B$202,MATCH($B265,Connaissements!$A$3:$A$202,0)),""))</f>
        <v/>
      </c>
      <c r="L265" s="7" t="str">
        <f>IF($B265="","",IFERROR(INDEX(Connaissements!$G$3:$G$202,MATCH($B265,Connaissements!$A$3:$A$202,0)),""))</f>
        <v/>
      </c>
      <c r="M265" s="7" t="str">
        <f t="shared" si="15"/>
        <v/>
      </c>
      <c r="N265" s="7" t="str">
        <f t="shared" ca="1" si="16"/>
        <v/>
      </c>
      <c r="O265" s="13"/>
      <c r="P265" s="29" t="str">
        <f t="shared" ca="1" si="17"/>
        <v/>
      </c>
      <c r="Q265" s="30" t="str">
        <f>IF($K265="","",IFERROR(IF(INDEX(Bookings!$G$3:$G$202,MATCH($K265,Bookings!$A$3:$A$202,0))="","",INDEX(Bookings!$G$3:$G$202,MATCH($K265,Bookings!$A$3:$A$202,0))),""))</f>
        <v/>
      </c>
    </row>
    <row r="266" spans="1:17" hidden="1" x14ac:dyDescent="0.35">
      <c r="A266" s="81"/>
      <c r="B266" s="81"/>
      <c r="C266" s="21"/>
      <c r="D266" s="56"/>
      <c r="E266" s="14"/>
      <c r="F266" s="14"/>
      <c r="G266" s="14"/>
      <c r="H266" s="83">
        <f t="shared" si="18"/>
        <v>0</v>
      </c>
      <c r="I266" s="80"/>
      <c r="J266" s="80"/>
      <c r="K266" s="7" t="str">
        <f>IF($B266="","",IFERROR(INDEX(Connaissements!$B$3:$B$202,MATCH($B266,Connaissements!$A$3:$A$202,0)),""))</f>
        <v/>
      </c>
      <c r="L266" s="7" t="str">
        <f>IF($B266="","",IFERROR(INDEX(Connaissements!$G$3:$G$202,MATCH($B266,Connaissements!$A$3:$A$202,0)),""))</f>
        <v/>
      </c>
      <c r="M266" s="7" t="str">
        <f t="shared" si="15"/>
        <v/>
      </c>
      <c r="N266" s="7" t="str">
        <f t="shared" ca="1" si="16"/>
        <v/>
      </c>
      <c r="O266" s="13"/>
      <c r="P266" s="29" t="str">
        <f t="shared" ca="1" si="17"/>
        <v/>
      </c>
      <c r="Q266" s="30" t="str">
        <f>IF($K266="","",IFERROR(IF(INDEX(Bookings!$G$3:$G$202,MATCH($K266,Bookings!$A$3:$A$202,0))="","",INDEX(Bookings!$G$3:$G$202,MATCH($K266,Bookings!$A$3:$A$202,0))),""))</f>
        <v/>
      </c>
    </row>
    <row r="267" spans="1:17" hidden="1" x14ac:dyDescent="0.35">
      <c r="A267" s="81"/>
      <c r="B267" s="81"/>
      <c r="C267" s="21"/>
      <c r="D267" s="56"/>
      <c r="E267" s="14"/>
      <c r="F267" s="14"/>
      <c r="G267" s="14"/>
      <c r="H267" s="83">
        <f t="shared" si="18"/>
        <v>0</v>
      </c>
      <c r="I267" s="80"/>
      <c r="J267" s="80"/>
      <c r="K267" s="7" t="str">
        <f>IF($B267="","",IFERROR(INDEX(Connaissements!$B$3:$B$202,MATCH($B267,Connaissements!$A$3:$A$202,0)),""))</f>
        <v/>
      </c>
      <c r="L267" s="7" t="str">
        <f>IF($B267="","",IFERROR(INDEX(Connaissements!$G$3:$G$202,MATCH($B267,Connaissements!$A$3:$A$202,0)),""))</f>
        <v/>
      </c>
      <c r="M267" s="7" t="str">
        <f t="shared" si="15"/>
        <v/>
      </c>
      <c r="N267" s="7" t="str">
        <f t="shared" ca="1" si="16"/>
        <v/>
      </c>
      <c r="O267" s="13"/>
      <c r="P267" s="29" t="str">
        <f t="shared" ca="1" si="17"/>
        <v/>
      </c>
      <c r="Q267" s="30" t="str">
        <f>IF($K267="","",IFERROR(IF(INDEX(Bookings!$G$3:$G$202,MATCH($K267,Bookings!$A$3:$A$202,0))="","",INDEX(Bookings!$G$3:$G$202,MATCH($K267,Bookings!$A$3:$A$202,0))),""))</f>
        <v/>
      </c>
    </row>
    <row r="268" spans="1:17" hidden="1" x14ac:dyDescent="0.35">
      <c r="A268" s="81"/>
      <c r="B268" s="81"/>
      <c r="C268" s="21"/>
      <c r="D268" s="56"/>
      <c r="E268" s="14"/>
      <c r="F268" s="14"/>
      <c r="G268" s="14"/>
      <c r="H268" s="83">
        <f t="shared" si="18"/>
        <v>0</v>
      </c>
      <c r="I268" s="80"/>
      <c r="J268" s="80"/>
      <c r="K268" s="7" t="str">
        <f>IF($B268="","",IFERROR(INDEX(Connaissements!$B$3:$B$202,MATCH($B268,Connaissements!$A$3:$A$202,0)),""))</f>
        <v/>
      </c>
      <c r="L268" s="7" t="str">
        <f>IF($B268="","",IFERROR(INDEX(Connaissements!$G$3:$G$202,MATCH($B268,Connaissements!$A$3:$A$202,0)),""))</f>
        <v/>
      </c>
      <c r="M268" s="7" t="str">
        <f t="shared" si="15"/>
        <v/>
      </c>
      <c r="N268" s="7" t="str">
        <f t="shared" ca="1" si="16"/>
        <v/>
      </c>
      <c r="O268" s="13"/>
      <c r="P268" s="29" t="str">
        <f t="shared" ca="1" si="17"/>
        <v/>
      </c>
      <c r="Q268" s="30" t="str">
        <f>IF($K268="","",IFERROR(IF(INDEX(Bookings!$G$3:$G$202,MATCH($K268,Bookings!$A$3:$A$202,0))="","",INDEX(Bookings!$G$3:$G$202,MATCH($K268,Bookings!$A$3:$A$202,0))),""))</f>
        <v/>
      </c>
    </row>
    <row r="269" spans="1:17" hidden="1" x14ac:dyDescent="0.35">
      <c r="A269" s="81"/>
      <c r="B269" s="81"/>
      <c r="C269" s="21"/>
      <c r="D269" s="56"/>
      <c r="E269" s="14"/>
      <c r="F269" s="14"/>
      <c r="G269" s="14"/>
      <c r="H269" s="83">
        <f t="shared" si="18"/>
        <v>0</v>
      </c>
      <c r="I269" s="80"/>
      <c r="J269" s="80"/>
      <c r="K269" s="7" t="str">
        <f>IF($B269="","",IFERROR(INDEX(Connaissements!$B$3:$B$202,MATCH($B269,Connaissements!$A$3:$A$202,0)),""))</f>
        <v/>
      </c>
      <c r="L269" s="7" t="str">
        <f>IF($B269="","",IFERROR(INDEX(Connaissements!$G$3:$G$202,MATCH($B269,Connaissements!$A$3:$A$202,0)),""))</f>
        <v/>
      </c>
      <c r="M269" s="7" t="str">
        <f t="shared" si="15"/>
        <v/>
      </c>
      <c r="N269" s="7" t="str">
        <f t="shared" ca="1" si="16"/>
        <v/>
      </c>
      <c r="O269" s="13"/>
      <c r="P269" s="29" t="str">
        <f t="shared" ca="1" si="17"/>
        <v/>
      </c>
      <c r="Q269" s="30" t="str">
        <f>IF($K269="","",IFERROR(IF(INDEX(Bookings!$G$3:$G$202,MATCH($K269,Bookings!$A$3:$A$202,0))="","",INDEX(Bookings!$G$3:$G$202,MATCH($K269,Bookings!$A$3:$A$202,0))),""))</f>
        <v/>
      </c>
    </row>
    <row r="270" spans="1:17" hidden="1" x14ac:dyDescent="0.35">
      <c r="A270" s="81"/>
      <c r="B270" s="81"/>
      <c r="C270" s="21"/>
      <c r="D270" s="56"/>
      <c r="E270" s="14"/>
      <c r="F270" s="14"/>
      <c r="G270" s="14"/>
      <c r="H270" s="83">
        <f t="shared" si="18"/>
        <v>0</v>
      </c>
      <c r="I270" s="80"/>
      <c r="J270" s="80"/>
      <c r="K270" s="7" t="str">
        <f>IF($B270="","",IFERROR(INDEX(Connaissements!$B$3:$B$202,MATCH($B270,Connaissements!$A$3:$A$202,0)),""))</f>
        <v/>
      </c>
      <c r="L270" s="7" t="str">
        <f>IF($B270="","",IFERROR(INDEX(Connaissements!$G$3:$G$202,MATCH($B270,Connaissements!$A$3:$A$202,0)),""))</f>
        <v/>
      </c>
      <c r="M270" s="7" t="str">
        <f t="shared" si="15"/>
        <v/>
      </c>
      <c r="N270" s="7" t="str">
        <f t="shared" ca="1" si="16"/>
        <v/>
      </c>
      <c r="O270" s="13"/>
      <c r="P270" s="29" t="str">
        <f t="shared" ca="1" si="17"/>
        <v/>
      </c>
      <c r="Q270" s="30" t="str">
        <f>IF($K270="","",IFERROR(IF(INDEX(Bookings!$G$3:$G$202,MATCH($K270,Bookings!$A$3:$A$202,0))="","",INDEX(Bookings!$G$3:$G$202,MATCH($K270,Bookings!$A$3:$A$202,0))),""))</f>
        <v/>
      </c>
    </row>
    <row r="271" spans="1:17" hidden="1" x14ac:dyDescent="0.35">
      <c r="A271" s="81"/>
      <c r="B271" s="81"/>
      <c r="C271" s="21"/>
      <c r="D271" s="56"/>
      <c r="E271" s="14"/>
      <c r="F271" s="14"/>
      <c r="G271" s="14"/>
      <c r="H271" s="83">
        <f t="shared" si="18"/>
        <v>0</v>
      </c>
      <c r="I271" s="80"/>
      <c r="J271" s="80"/>
      <c r="K271" s="7" t="str">
        <f>IF($B271="","",IFERROR(INDEX(Connaissements!$B$3:$B$202,MATCH($B271,Connaissements!$A$3:$A$202,0)),""))</f>
        <v/>
      </c>
      <c r="L271" s="7" t="str">
        <f>IF($B271="","",IFERROR(INDEX(Connaissements!$G$3:$G$202,MATCH($B271,Connaissements!$A$3:$A$202,0)),""))</f>
        <v/>
      </c>
      <c r="M271" s="7" t="str">
        <f t="shared" si="15"/>
        <v/>
      </c>
      <c r="N271" s="7" t="str">
        <f t="shared" ca="1" si="16"/>
        <v/>
      </c>
      <c r="O271" s="13"/>
      <c r="P271" s="29" t="str">
        <f t="shared" ca="1" si="17"/>
        <v/>
      </c>
      <c r="Q271" s="30" t="str">
        <f>IF($K271="","",IFERROR(IF(INDEX(Bookings!$G$3:$G$202,MATCH($K271,Bookings!$A$3:$A$202,0))="","",INDEX(Bookings!$G$3:$G$202,MATCH($K271,Bookings!$A$3:$A$202,0))),""))</f>
        <v/>
      </c>
    </row>
    <row r="272" spans="1:17" hidden="1" x14ac:dyDescent="0.35">
      <c r="A272" s="81"/>
      <c r="B272" s="81"/>
      <c r="C272" s="21"/>
      <c r="D272" s="56"/>
      <c r="E272" s="14"/>
      <c r="F272" s="14"/>
      <c r="G272" s="14"/>
      <c r="H272" s="83">
        <f t="shared" si="18"/>
        <v>0</v>
      </c>
      <c r="I272" s="80"/>
      <c r="J272" s="80"/>
      <c r="K272" s="7" t="str">
        <f>IF($B272="","",IFERROR(INDEX(Connaissements!$B$3:$B$202,MATCH($B272,Connaissements!$A$3:$A$202,0)),""))</f>
        <v/>
      </c>
      <c r="L272" s="7" t="str">
        <f>IF($B272="","",IFERROR(INDEX(Connaissements!$G$3:$G$202,MATCH($B272,Connaissements!$A$3:$A$202,0)),""))</f>
        <v/>
      </c>
      <c r="M272" s="7" t="str">
        <f t="shared" si="15"/>
        <v/>
      </c>
      <c r="N272" s="7" t="str">
        <f t="shared" ca="1" si="16"/>
        <v/>
      </c>
      <c r="O272" s="13"/>
      <c r="P272" s="29" t="str">
        <f t="shared" ca="1" si="17"/>
        <v/>
      </c>
      <c r="Q272" s="30" t="str">
        <f>IF($K272="","",IFERROR(IF(INDEX(Bookings!$G$3:$G$202,MATCH($K272,Bookings!$A$3:$A$202,0))="","",INDEX(Bookings!$G$3:$G$202,MATCH($K272,Bookings!$A$3:$A$202,0))),""))</f>
        <v/>
      </c>
    </row>
    <row r="273" spans="1:17" hidden="1" x14ac:dyDescent="0.35">
      <c r="A273" s="81"/>
      <c r="B273" s="81"/>
      <c r="C273" s="21"/>
      <c r="D273" s="56"/>
      <c r="E273" s="14"/>
      <c r="F273" s="14"/>
      <c r="G273" s="14"/>
      <c r="H273" s="83">
        <f t="shared" si="18"/>
        <v>0</v>
      </c>
      <c r="I273" s="80"/>
      <c r="J273" s="80"/>
      <c r="K273" s="7" t="str">
        <f>IF($B273="","",IFERROR(INDEX(Connaissements!$B$3:$B$202,MATCH($B273,Connaissements!$A$3:$A$202,0)),""))</f>
        <v/>
      </c>
      <c r="L273" s="7" t="str">
        <f>IF($B273="","",IFERROR(INDEX(Connaissements!$G$3:$G$202,MATCH($B273,Connaissements!$A$3:$A$202,0)),""))</f>
        <v/>
      </c>
      <c r="M273" s="7" t="str">
        <f t="shared" si="15"/>
        <v/>
      </c>
      <c r="N273" s="7" t="str">
        <f t="shared" ca="1" si="16"/>
        <v/>
      </c>
      <c r="O273" s="13"/>
      <c r="P273" s="29" t="str">
        <f t="shared" ca="1" si="17"/>
        <v/>
      </c>
      <c r="Q273" s="30" t="str">
        <f>IF($K273="","",IFERROR(IF(INDEX(Bookings!$G$3:$G$202,MATCH($K273,Bookings!$A$3:$A$202,0))="","",INDEX(Bookings!$G$3:$G$202,MATCH($K273,Bookings!$A$3:$A$202,0))),""))</f>
        <v/>
      </c>
    </row>
    <row r="274" spans="1:17" hidden="1" x14ac:dyDescent="0.35">
      <c r="A274" s="81"/>
      <c r="B274" s="81"/>
      <c r="C274" s="21"/>
      <c r="D274" s="56"/>
      <c r="E274" s="14"/>
      <c r="F274" s="14"/>
      <c r="G274" s="14"/>
      <c r="H274" s="83">
        <f t="shared" si="18"/>
        <v>0</v>
      </c>
      <c r="I274" s="80"/>
      <c r="J274" s="80"/>
      <c r="K274" s="7" t="str">
        <f>IF($B274="","",IFERROR(INDEX(Connaissements!$B$3:$B$202,MATCH($B274,Connaissements!$A$3:$A$202,0)),""))</f>
        <v/>
      </c>
      <c r="L274" s="7" t="str">
        <f>IF($B274="","",IFERROR(INDEX(Connaissements!$G$3:$G$202,MATCH($B274,Connaissements!$A$3:$A$202,0)),""))</f>
        <v/>
      </c>
      <c r="M274" s="7" t="str">
        <f t="shared" si="15"/>
        <v/>
      </c>
      <c r="N274" s="7" t="str">
        <f t="shared" ca="1" si="16"/>
        <v/>
      </c>
      <c r="O274" s="13"/>
      <c r="P274" s="29" t="str">
        <f t="shared" ca="1" si="17"/>
        <v/>
      </c>
      <c r="Q274" s="30" t="str">
        <f>IF($K274="","",IFERROR(IF(INDEX(Bookings!$G$3:$G$202,MATCH($K274,Bookings!$A$3:$A$202,0))="","",INDEX(Bookings!$G$3:$G$202,MATCH($K274,Bookings!$A$3:$A$202,0))),""))</f>
        <v/>
      </c>
    </row>
    <row r="275" spans="1:17" hidden="1" x14ac:dyDescent="0.35">
      <c r="A275" s="81"/>
      <c r="B275" s="81"/>
      <c r="C275" s="21"/>
      <c r="D275" s="56"/>
      <c r="E275" s="14"/>
      <c r="F275" s="14"/>
      <c r="G275" s="14"/>
      <c r="H275" s="83">
        <f t="shared" si="18"/>
        <v>0</v>
      </c>
      <c r="I275" s="80"/>
      <c r="J275" s="80"/>
      <c r="K275" s="7" t="str">
        <f>IF($B275="","",IFERROR(INDEX(Connaissements!$B$3:$B$202,MATCH($B275,Connaissements!$A$3:$A$202,0)),""))</f>
        <v/>
      </c>
      <c r="L275" s="7" t="str">
        <f>IF($B275="","",IFERROR(INDEX(Connaissements!$G$3:$G$202,MATCH($B275,Connaissements!$A$3:$A$202,0)),""))</f>
        <v/>
      </c>
      <c r="M275" s="7" t="str">
        <f t="shared" si="15"/>
        <v/>
      </c>
      <c r="N275" s="7" t="str">
        <f t="shared" ca="1" si="16"/>
        <v/>
      </c>
      <c r="O275" s="13"/>
      <c r="P275" s="29" t="str">
        <f t="shared" ca="1" si="17"/>
        <v/>
      </c>
      <c r="Q275" s="30" t="str">
        <f>IF($K275="","",IFERROR(IF(INDEX(Bookings!$G$3:$G$202,MATCH($K275,Bookings!$A$3:$A$202,0))="","",INDEX(Bookings!$G$3:$G$202,MATCH($K275,Bookings!$A$3:$A$202,0))),""))</f>
        <v/>
      </c>
    </row>
    <row r="276" spans="1:17" hidden="1" x14ac:dyDescent="0.35">
      <c r="A276" s="81"/>
      <c r="B276" s="81"/>
      <c r="C276" s="21"/>
      <c r="D276" s="56"/>
      <c r="E276" s="14"/>
      <c r="F276" s="14"/>
      <c r="G276" s="14"/>
      <c r="H276" s="83">
        <f t="shared" si="18"/>
        <v>0</v>
      </c>
      <c r="I276" s="80"/>
      <c r="J276" s="80"/>
      <c r="K276" s="7" t="str">
        <f>IF($B276="","",IFERROR(INDEX(Connaissements!$B$3:$B$202,MATCH($B276,Connaissements!$A$3:$A$202,0)),""))</f>
        <v/>
      </c>
      <c r="L276" s="7" t="str">
        <f>IF($B276="","",IFERROR(INDEX(Connaissements!$G$3:$G$202,MATCH($B276,Connaissements!$A$3:$A$202,0)),""))</f>
        <v/>
      </c>
      <c r="M276" s="7" t="str">
        <f t="shared" si="15"/>
        <v/>
      </c>
      <c r="N276" s="7" t="str">
        <f t="shared" ca="1" si="16"/>
        <v/>
      </c>
      <c r="O276" s="13"/>
      <c r="P276" s="29" t="str">
        <f t="shared" ca="1" si="17"/>
        <v/>
      </c>
      <c r="Q276" s="30" t="str">
        <f>IF($K276="","",IFERROR(IF(INDEX(Bookings!$G$3:$G$202,MATCH($K276,Bookings!$A$3:$A$202,0))="","",INDEX(Bookings!$G$3:$G$202,MATCH($K276,Bookings!$A$3:$A$202,0))),""))</f>
        <v/>
      </c>
    </row>
    <row r="277" spans="1:17" hidden="1" x14ac:dyDescent="0.35">
      <c r="A277" s="81"/>
      <c r="B277" s="81"/>
      <c r="C277" s="21"/>
      <c r="D277" s="56"/>
      <c r="E277" s="14"/>
      <c r="F277" s="14"/>
      <c r="G277" s="14"/>
      <c r="H277" s="83">
        <f t="shared" si="18"/>
        <v>0</v>
      </c>
      <c r="I277" s="80"/>
      <c r="J277" s="80"/>
      <c r="K277" s="7" t="str">
        <f>IF($B277="","",IFERROR(INDEX(Connaissements!$B$3:$B$202,MATCH($B277,Connaissements!$A$3:$A$202,0)),""))</f>
        <v/>
      </c>
      <c r="L277" s="7" t="str">
        <f>IF($B277="","",IFERROR(INDEX(Connaissements!$G$3:$G$202,MATCH($B277,Connaissements!$A$3:$A$202,0)),""))</f>
        <v/>
      </c>
      <c r="M277" s="7" t="str">
        <f t="shared" si="15"/>
        <v/>
      </c>
      <c r="N277" s="7" t="str">
        <f t="shared" ca="1" si="16"/>
        <v/>
      </c>
      <c r="O277" s="13"/>
      <c r="P277" s="29" t="str">
        <f t="shared" ca="1" si="17"/>
        <v/>
      </c>
      <c r="Q277" s="30" t="str">
        <f>IF($K277="","",IFERROR(IF(INDEX(Bookings!$G$3:$G$202,MATCH($K277,Bookings!$A$3:$A$202,0))="","",INDEX(Bookings!$G$3:$G$202,MATCH($K277,Bookings!$A$3:$A$202,0))),""))</f>
        <v/>
      </c>
    </row>
    <row r="278" spans="1:17" hidden="1" x14ac:dyDescent="0.35">
      <c r="A278" s="81"/>
      <c r="B278" s="81"/>
      <c r="C278" s="21"/>
      <c r="D278" s="56"/>
      <c r="E278" s="14"/>
      <c r="F278" s="14"/>
      <c r="G278" s="14"/>
      <c r="H278" s="83">
        <f t="shared" si="18"/>
        <v>0</v>
      </c>
      <c r="I278" s="80"/>
      <c r="J278" s="80"/>
      <c r="K278" s="7" t="str">
        <f>IF($B278="","",IFERROR(INDEX(Connaissements!$B$3:$B$202,MATCH($B278,Connaissements!$A$3:$A$202,0)),""))</f>
        <v/>
      </c>
      <c r="L278" s="7" t="str">
        <f>IF($B278="","",IFERROR(INDEX(Connaissements!$G$3:$G$202,MATCH($B278,Connaissements!$A$3:$A$202,0)),""))</f>
        <v/>
      </c>
      <c r="M278" s="7" t="str">
        <f t="shared" si="15"/>
        <v/>
      </c>
      <c r="N278" s="7" t="str">
        <f t="shared" ca="1" si="16"/>
        <v/>
      </c>
      <c r="O278" s="13"/>
      <c r="P278" s="29" t="str">
        <f t="shared" ca="1" si="17"/>
        <v/>
      </c>
      <c r="Q278" s="30" t="str">
        <f>IF($K278="","",IFERROR(IF(INDEX(Bookings!$G$3:$G$202,MATCH($K278,Bookings!$A$3:$A$202,0))="","",INDEX(Bookings!$G$3:$G$202,MATCH($K278,Bookings!$A$3:$A$202,0))),""))</f>
        <v/>
      </c>
    </row>
    <row r="279" spans="1:17" hidden="1" x14ac:dyDescent="0.35">
      <c r="A279" s="81"/>
      <c r="B279" s="81"/>
      <c r="C279" s="21"/>
      <c r="D279" s="56"/>
      <c r="E279" s="14"/>
      <c r="F279" s="14"/>
      <c r="G279" s="14"/>
      <c r="H279" s="83">
        <f t="shared" si="18"/>
        <v>0</v>
      </c>
      <c r="I279" s="80"/>
      <c r="J279" s="80"/>
      <c r="K279" s="7" t="str">
        <f>IF($B279="","",IFERROR(INDEX(Connaissements!$B$3:$B$202,MATCH($B279,Connaissements!$A$3:$A$202,0)),""))</f>
        <v/>
      </c>
      <c r="L279" s="7" t="str">
        <f>IF($B279="","",IFERROR(INDEX(Connaissements!$G$3:$G$202,MATCH($B279,Connaissements!$A$3:$A$202,0)),""))</f>
        <v/>
      </c>
      <c r="M279" s="7" t="str">
        <f t="shared" si="15"/>
        <v/>
      </c>
      <c r="N279" s="7" t="str">
        <f t="shared" ca="1" si="16"/>
        <v/>
      </c>
      <c r="O279" s="13"/>
      <c r="P279" s="29" t="str">
        <f t="shared" ca="1" si="17"/>
        <v/>
      </c>
      <c r="Q279" s="30" t="str">
        <f>IF($K279="","",IFERROR(IF(INDEX(Bookings!$G$3:$G$202,MATCH($K279,Bookings!$A$3:$A$202,0))="","",INDEX(Bookings!$G$3:$G$202,MATCH($K279,Bookings!$A$3:$A$202,0))),""))</f>
        <v/>
      </c>
    </row>
    <row r="280" spans="1:17" hidden="1" x14ac:dyDescent="0.35">
      <c r="A280" s="81"/>
      <c r="B280" s="81"/>
      <c r="C280" s="21"/>
      <c r="D280" s="56"/>
      <c r="E280" s="14"/>
      <c r="F280" s="14"/>
      <c r="G280" s="14"/>
      <c r="H280" s="83">
        <f t="shared" si="18"/>
        <v>0</v>
      </c>
      <c r="I280" s="80"/>
      <c r="J280" s="80"/>
      <c r="K280" s="7" t="str">
        <f>IF($B280="","",IFERROR(INDEX(Connaissements!$B$3:$B$202,MATCH($B280,Connaissements!$A$3:$A$202,0)),""))</f>
        <v/>
      </c>
      <c r="L280" s="7" t="str">
        <f>IF($B280="","",IFERROR(INDEX(Connaissements!$G$3:$G$202,MATCH($B280,Connaissements!$A$3:$A$202,0)),""))</f>
        <v/>
      </c>
      <c r="M280" s="7" t="str">
        <f t="shared" si="15"/>
        <v/>
      </c>
      <c r="N280" s="7" t="str">
        <f t="shared" ca="1" si="16"/>
        <v/>
      </c>
      <c r="O280" s="13"/>
      <c r="P280" s="29" t="str">
        <f t="shared" ca="1" si="17"/>
        <v/>
      </c>
      <c r="Q280" s="30" t="str">
        <f>IF($K280="","",IFERROR(IF(INDEX(Bookings!$G$3:$G$202,MATCH($K280,Bookings!$A$3:$A$202,0))="","",INDEX(Bookings!$G$3:$G$202,MATCH($K280,Bookings!$A$3:$A$202,0))),""))</f>
        <v/>
      </c>
    </row>
    <row r="281" spans="1:17" hidden="1" x14ac:dyDescent="0.35">
      <c r="A281" s="81"/>
      <c r="B281" s="81"/>
      <c r="C281" s="21"/>
      <c r="D281" s="56"/>
      <c r="E281" s="14"/>
      <c r="F281" s="14"/>
      <c r="G281" s="14"/>
      <c r="H281" s="83">
        <f t="shared" si="18"/>
        <v>0</v>
      </c>
      <c r="I281" s="80"/>
      <c r="J281" s="80"/>
      <c r="K281" s="7" t="str">
        <f>IF($B281="","",IFERROR(INDEX(Connaissements!$B$3:$B$202,MATCH($B281,Connaissements!$A$3:$A$202,0)),""))</f>
        <v/>
      </c>
      <c r="L281" s="7" t="str">
        <f>IF($B281="","",IFERROR(INDEX(Connaissements!$G$3:$G$202,MATCH($B281,Connaissements!$A$3:$A$202,0)),""))</f>
        <v/>
      </c>
      <c r="M281" s="7" t="str">
        <f t="shared" si="15"/>
        <v/>
      </c>
      <c r="N281" s="7" t="str">
        <f t="shared" ca="1" si="16"/>
        <v/>
      </c>
      <c r="O281" s="13"/>
      <c r="P281" s="29" t="str">
        <f t="shared" ca="1" si="17"/>
        <v/>
      </c>
      <c r="Q281" s="30" t="str">
        <f>IF($K281="","",IFERROR(IF(INDEX(Bookings!$G$3:$G$202,MATCH($K281,Bookings!$A$3:$A$202,0))="","",INDEX(Bookings!$G$3:$G$202,MATCH($K281,Bookings!$A$3:$A$202,0))),""))</f>
        <v/>
      </c>
    </row>
    <row r="282" spans="1:17" hidden="1" x14ac:dyDescent="0.35">
      <c r="A282" s="81"/>
      <c r="B282" s="81"/>
      <c r="C282" s="21"/>
      <c r="D282" s="56"/>
      <c r="E282" s="14"/>
      <c r="F282" s="14"/>
      <c r="G282" s="14"/>
      <c r="H282" s="83">
        <f t="shared" si="18"/>
        <v>0</v>
      </c>
      <c r="I282" s="80"/>
      <c r="J282" s="80"/>
      <c r="K282" s="7" t="str">
        <f>IF($B282="","",IFERROR(INDEX(Connaissements!$B$3:$B$202,MATCH($B282,Connaissements!$A$3:$A$202,0)),""))</f>
        <v/>
      </c>
      <c r="L282" s="7" t="str">
        <f>IF($B282="","",IFERROR(INDEX(Connaissements!$G$3:$G$202,MATCH($B282,Connaissements!$A$3:$A$202,0)),""))</f>
        <v/>
      </c>
      <c r="M282" s="7" t="str">
        <f t="shared" si="15"/>
        <v/>
      </c>
      <c r="N282" s="7" t="str">
        <f t="shared" ca="1" si="16"/>
        <v/>
      </c>
      <c r="O282" s="13"/>
      <c r="P282" s="29" t="str">
        <f t="shared" ca="1" si="17"/>
        <v/>
      </c>
      <c r="Q282" s="30" t="str">
        <f>IF($K282="","",IFERROR(IF(INDEX(Bookings!$G$3:$G$202,MATCH($K282,Bookings!$A$3:$A$202,0))="","",INDEX(Bookings!$G$3:$G$202,MATCH($K282,Bookings!$A$3:$A$202,0))),""))</f>
        <v/>
      </c>
    </row>
    <row r="283" spans="1:17" hidden="1" x14ac:dyDescent="0.35">
      <c r="A283" s="81"/>
      <c r="B283" s="81"/>
      <c r="C283" s="21"/>
      <c r="D283" s="56"/>
      <c r="E283" s="14"/>
      <c r="F283" s="14"/>
      <c r="G283" s="14"/>
      <c r="H283" s="83">
        <f t="shared" si="18"/>
        <v>0</v>
      </c>
      <c r="I283" s="80"/>
      <c r="J283" s="80"/>
      <c r="K283" s="7" t="str">
        <f>IF($B283="","",IFERROR(INDEX(Connaissements!$B$3:$B$202,MATCH($B283,Connaissements!$A$3:$A$202,0)),""))</f>
        <v/>
      </c>
      <c r="L283" s="7" t="str">
        <f>IF($B283="","",IFERROR(INDEX(Connaissements!$G$3:$G$202,MATCH($B283,Connaissements!$A$3:$A$202,0)),""))</f>
        <v/>
      </c>
      <c r="M283" s="7" t="str">
        <f t="shared" si="15"/>
        <v/>
      </c>
      <c r="N283" s="7" t="str">
        <f t="shared" ca="1" si="16"/>
        <v/>
      </c>
      <c r="O283" s="13"/>
      <c r="P283" s="29" t="str">
        <f t="shared" ca="1" si="17"/>
        <v/>
      </c>
      <c r="Q283" s="30" t="str">
        <f>IF($K283="","",IFERROR(IF(INDEX(Bookings!$G$3:$G$202,MATCH($K283,Bookings!$A$3:$A$202,0))="","",INDEX(Bookings!$G$3:$G$202,MATCH($K283,Bookings!$A$3:$A$202,0))),""))</f>
        <v/>
      </c>
    </row>
    <row r="284" spans="1:17" hidden="1" x14ac:dyDescent="0.35">
      <c r="A284" s="81"/>
      <c r="B284" s="81"/>
      <c r="C284" s="21"/>
      <c r="D284" s="56"/>
      <c r="E284" s="14"/>
      <c r="F284" s="14"/>
      <c r="G284" s="14"/>
      <c r="H284" s="83">
        <f t="shared" si="18"/>
        <v>0</v>
      </c>
      <c r="I284" s="80"/>
      <c r="J284" s="80"/>
      <c r="K284" s="7" t="str">
        <f>IF($B284="","",IFERROR(INDEX(Connaissements!$B$3:$B$202,MATCH($B284,Connaissements!$A$3:$A$202,0)),""))</f>
        <v/>
      </c>
      <c r="L284" s="7" t="str">
        <f>IF($B284="","",IFERROR(INDEX(Connaissements!$G$3:$G$202,MATCH($B284,Connaissements!$A$3:$A$202,0)),""))</f>
        <v/>
      </c>
      <c r="M284" s="7" t="str">
        <f t="shared" si="15"/>
        <v/>
      </c>
      <c r="N284" s="7" t="str">
        <f t="shared" ca="1" si="16"/>
        <v/>
      </c>
      <c r="O284" s="13"/>
      <c r="P284" s="29" t="str">
        <f t="shared" ca="1" si="17"/>
        <v/>
      </c>
      <c r="Q284" s="30" t="str">
        <f>IF($K284="","",IFERROR(IF(INDEX(Bookings!$G$3:$G$202,MATCH($K284,Bookings!$A$3:$A$202,0))="","",INDEX(Bookings!$G$3:$G$202,MATCH($K284,Bookings!$A$3:$A$202,0))),""))</f>
        <v/>
      </c>
    </row>
    <row r="285" spans="1:17" hidden="1" x14ac:dyDescent="0.35">
      <c r="A285" s="81"/>
      <c r="B285" s="81"/>
      <c r="C285" s="21"/>
      <c r="D285" s="56"/>
      <c r="E285" s="14"/>
      <c r="F285" s="14"/>
      <c r="G285" s="14"/>
      <c r="H285" s="83">
        <f t="shared" si="18"/>
        <v>0</v>
      </c>
      <c r="I285" s="80"/>
      <c r="J285" s="80"/>
      <c r="K285" s="7" t="str">
        <f>IF($B285="","",IFERROR(INDEX(Connaissements!$B$3:$B$202,MATCH($B285,Connaissements!$A$3:$A$202,0)),""))</f>
        <v/>
      </c>
      <c r="L285" s="7" t="str">
        <f>IF($B285="","",IFERROR(INDEX(Connaissements!$G$3:$G$202,MATCH($B285,Connaissements!$A$3:$A$202,0)),""))</f>
        <v/>
      </c>
      <c r="M285" s="7" t="str">
        <f t="shared" si="15"/>
        <v/>
      </c>
      <c r="N285" s="7" t="str">
        <f t="shared" ca="1" si="16"/>
        <v/>
      </c>
      <c r="O285" s="13"/>
      <c r="P285" s="29" t="str">
        <f t="shared" ca="1" si="17"/>
        <v/>
      </c>
      <c r="Q285" s="30" t="str">
        <f>IF($K285="","",IFERROR(IF(INDEX(Bookings!$G$3:$G$202,MATCH($K285,Bookings!$A$3:$A$202,0))="","",INDEX(Bookings!$G$3:$G$202,MATCH($K285,Bookings!$A$3:$A$202,0))),""))</f>
        <v/>
      </c>
    </row>
    <row r="286" spans="1:17" hidden="1" x14ac:dyDescent="0.35">
      <c r="A286" s="81"/>
      <c r="B286" s="81"/>
      <c r="C286" s="21"/>
      <c r="D286" s="56"/>
      <c r="E286" s="14"/>
      <c r="F286" s="14"/>
      <c r="G286" s="14"/>
      <c r="H286" s="83">
        <f t="shared" si="18"/>
        <v>0</v>
      </c>
      <c r="I286" s="80"/>
      <c r="J286" s="80"/>
      <c r="K286" s="7" t="str">
        <f>IF($B286="","",IFERROR(INDEX(Connaissements!$B$3:$B$202,MATCH($B286,Connaissements!$A$3:$A$202,0)),""))</f>
        <v/>
      </c>
      <c r="L286" s="7" t="str">
        <f>IF($B286="","",IFERROR(INDEX(Connaissements!$G$3:$G$202,MATCH($B286,Connaissements!$A$3:$A$202,0)),""))</f>
        <v/>
      </c>
      <c r="M286" s="7" t="str">
        <f t="shared" si="15"/>
        <v/>
      </c>
      <c r="N286" s="7" t="str">
        <f t="shared" ca="1" si="16"/>
        <v/>
      </c>
      <c r="O286" s="13"/>
      <c r="P286" s="29" t="str">
        <f t="shared" ca="1" si="17"/>
        <v/>
      </c>
      <c r="Q286" s="30" t="str">
        <f>IF($K286="","",IFERROR(IF(INDEX(Bookings!$G$3:$G$202,MATCH($K286,Bookings!$A$3:$A$202,0))="","",INDEX(Bookings!$G$3:$G$202,MATCH($K286,Bookings!$A$3:$A$202,0))),""))</f>
        <v/>
      </c>
    </row>
    <row r="287" spans="1:17" hidden="1" x14ac:dyDescent="0.35">
      <c r="A287" s="81"/>
      <c r="B287" s="81"/>
      <c r="C287" s="21"/>
      <c r="D287" s="56"/>
      <c r="E287" s="14"/>
      <c r="F287" s="14"/>
      <c r="G287" s="14"/>
      <c r="H287" s="83">
        <f t="shared" si="18"/>
        <v>0</v>
      </c>
      <c r="I287" s="80"/>
      <c r="J287" s="80"/>
      <c r="K287" s="7" t="str">
        <f>IF($B287="","",IFERROR(INDEX(Connaissements!$B$3:$B$202,MATCH($B287,Connaissements!$A$3:$A$202,0)),""))</f>
        <v/>
      </c>
      <c r="L287" s="7" t="str">
        <f>IF($B287="","",IFERROR(INDEX(Connaissements!$G$3:$G$202,MATCH($B287,Connaissements!$A$3:$A$202,0)),""))</f>
        <v/>
      </c>
      <c r="M287" s="7" t="str">
        <f t="shared" si="15"/>
        <v/>
      </c>
      <c r="N287" s="7" t="str">
        <f t="shared" ca="1" si="16"/>
        <v/>
      </c>
      <c r="O287" s="13"/>
      <c r="P287" s="29" t="str">
        <f t="shared" ca="1" si="17"/>
        <v/>
      </c>
      <c r="Q287" s="30" t="str">
        <f>IF($K287="","",IFERROR(IF(INDEX(Bookings!$G$3:$G$202,MATCH($K287,Bookings!$A$3:$A$202,0))="","",INDEX(Bookings!$G$3:$G$202,MATCH($K287,Bookings!$A$3:$A$202,0))),""))</f>
        <v/>
      </c>
    </row>
    <row r="288" spans="1:17" hidden="1" x14ac:dyDescent="0.35">
      <c r="A288" s="81"/>
      <c r="B288" s="81"/>
      <c r="C288" s="21"/>
      <c r="D288" s="56"/>
      <c r="E288" s="14"/>
      <c r="F288" s="14"/>
      <c r="G288" s="14"/>
      <c r="H288" s="83">
        <f t="shared" si="18"/>
        <v>0</v>
      </c>
      <c r="I288" s="80"/>
      <c r="J288" s="80"/>
      <c r="K288" s="7" t="str">
        <f>IF($B288="","",IFERROR(INDEX(Connaissements!$B$3:$B$202,MATCH($B288,Connaissements!$A$3:$A$202,0)),""))</f>
        <v/>
      </c>
      <c r="L288" s="7" t="str">
        <f>IF($B288="","",IFERROR(INDEX(Connaissements!$G$3:$G$202,MATCH($B288,Connaissements!$A$3:$A$202,0)),""))</f>
        <v/>
      </c>
      <c r="M288" s="7" t="str">
        <f t="shared" si="15"/>
        <v/>
      </c>
      <c r="N288" s="7" t="str">
        <f t="shared" ca="1" si="16"/>
        <v/>
      </c>
      <c r="O288" s="13"/>
      <c r="P288" s="29" t="str">
        <f t="shared" ca="1" si="17"/>
        <v/>
      </c>
      <c r="Q288" s="30" t="str">
        <f>IF($K288="","",IFERROR(IF(INDEX(Bookings!$G$3:$G$202,MATCH($K288,Bookings!$A$3:$A$202,0))="","",INDEX(Bookings!$G$3:$G$202,MATCH($K288,Bookings!$A$3:$A$202,0))),""))</f>
        <v/>
      </c>
    </row>
    <row r="289" spans="1:17" hidden="1" x14ac:dyDescent="0.35">
      <c r="A289" s="81"/>
      <c r="B289" s="81"/>
      <c r="C289" s="21"/>
      <c r="D289" s="56"/>
      <c r="E289" s="14"/>
      <c r="F289" s="14"/>
      <c r="G289" s="14"/>
      <c r="H289" s="83">
        <f t="shared" si="18"/>
        <v>0</v>
      </c>
      <c r="I289" s="80"/>
      <c r="J289" s="80"/>
      <c r="K289" s="7" t="str">
        <f>IF($B289="","",IFERROR(INDEX(Connaissements!$B$3:$B$202,MATCH($B289,Connaissements!$A$3:$A$202,0)),""))</f>
        <v/>
      </c>
      <c r="L289" s="7" t="str">
        <f>IF($B289="","",IFERROR(INDEX(Connaissements!$G$3:$G$202,MATCH($B289,Connaissements!$A$3:$A$202,0)),""))</f>
        <v/>
      </c>
      <c r="M289" s="7" t="str">
        <f t="shared" si="15"/>
        <v/>
      </c>
      <c r="N289" s="7" t="str">
        <f t="shared" ca="1" si="16"/>
        <v/>
      </c>
      <c r="O289" s="13"/>
      <c r="P289" s="29" t="str">
        <f t="shared" ca="1" si="17"/>
        <v/>
      </c>
      <c r="Q289" s="30" t="str">
        <f>IF($K289="","",IFERROR(IF(INDEX(Bookings!$G$3:$G$202,MATCH($K289,Bookings!$A$3:$A$202,0))="","",INDEX(Bookings!$G$3:$G$202,MATCH($K289,Bookings!$A$3:$A$202,0))),""))</f>
        <v/>
      </c>
    </row>
    <row r="290" spans="1:17" hidden="1" x14ac:dyDescent="0.35">
      <c r="A290" s="81"/>
      <c r="B290" s="81"/>
      <c r="C290" s="21"/>
      <c r="D290" s="56"/>
      <c r="E290" s="14"/>
      <c r="F290" s="14"/>
      <c r="G290" s="14"/>
      <c r="H290" s="83">
        <f t="shared" si="18"/>
        <v>0</v>
      </c>
      <c r="I290" s="80"/>
      <c r="J290" s="80"/>
      <c r="K290" s="7" t="str">
        <f>IF($B290="","",IFERROR(INDEX(Connaissements!$B$3:$B$202,MATCH($B290,Connaissements!$A$3:$A$202,0)),""))</f>
        <v/>
      </c>
      <c r="L290" s="7" t="str">
        <f>IF($B290="","",IFERROR(INDEX(Connaissements!$G$3:$G$202,MATCH($B290,Connaissements!$A$3:$A$202,0)),""))</f>
        <v/>
      </c>
      <c r="M290" s="7" t="str">
        <f t="shared" si="15"/>
        <v/>
      </c>
      <c r="N290" s="7" t="str">
        <f t="shared" ca="1" si="16"/>
        <v/>
      </c>
      <c r="O290" s="13"/>
      <c r="P290" s="29" t="str">
        <f t="shared" ca="1" si="17"/>
        <v/>
      </c>
      <c r="Q290" s="30" t="str">
        <f>IF($K290="","",IFERROR(IF(INDEX(Bookings!$G$3:$G$202,MATCH($K290,Bookings!$A$3:$A$202,0))="","",INDEX(Bookings!$G$3:$G$202,MATCH($K290,Bookings!$A$3:$A$202,0))),""))</f>
        <v/>
      </c>
    </row>
    <row r="291" spans="1:17" hidden="1" x14ac:dyDescent="0.35">
      <c r="A291" s="81"/>
      <c r="B291" s="81"/>
      <c r="C291" s="21"/>
      <c r="D291" s="56"/>
      <c r="E291" s="14"/>
      <c r="F291" s="14"/>
      <c r="G291" s="14"/>
      <c r="H291" s="83">
        <f t="shared" si="18"/>
        <v>0</v>
      </c>
      <c r="I291" s="80"/>
      <c r="J291" s="80"/>
      <c r="K291" s="7" t="str">
        <f>IF($B291="","",IFERROR(INDEX(Connaissements!$B$3:$B$202,MATCH($B291,Connaissements!$A$3:$A$202,0)),""))</f>
        <v/>
      </c>
      <c r="L291" s="7" t="str">
        <f>IF($B291="","",IFERROR(INDEX(Connaissements!$G$3:$G$202,MATCH($B291,Connaissements!$A$3:$A$202,0)),""))</f>
        <v/>
      </c>
      <c r="M291" s="7" t="str">
        <f t="shared" si="15"/>
        <v/>
      </c>
      <c r="N291" s="7" t="str">
        <f t="shared" ca="1" si="16"/>
        <v/>
      </c>
      <c r="O291" s="13"/>
      <c r="P291" s="29" t="str">
        <f t="shared" ca="1" si="17"/>
        <v/>
      </c>
      <c r="Q291" s="30" t="str">
        <f>IF($K291="","",IFERROR(IF(INDEX(Bookings!$G$3:$G$202,MATCH($K291,Bookings!$A$3:$A$202,0))="","",INDEX(Bookings!$G$3:$G$202,MATCH($K291,Bookings!$A$3:$A$202,0))),""))</f>
        <v/>
      </c>
    </row>
    <row r="292" spans="1:17" hidden="1" x14ac:dyDescent="0.35">
      <c r="A292" s="81"/>
      <c r="B292" s="81"/>
      <c r="C292" s="21"/>
      <c r="D292" s="56"/>
      <c r="E292" s="14"/>
      <c r="F292" s="14"/>
      <c r="G292" s="14"/>
      <c r="H292" s="83">
        <f t="shared" si="18"/>
        <v>0</v>
      </c>
      <c r="I292" s="80"/>
      <c r="J292" s="80"/>
      <c r="K292" s="7" t="str">
        <f>IF($B292="","",IFERROR(INDEX(Connaissements!$B$3:$B$202,MATCH($B292,Connaissements!$A$3:$A$202,0)),""))</f>
        <v/>
      </c>
      <c r="L292" s="7" t="str">
        <f>IF($B292="","",IFERROR(INDEX(Connaissements!$G$3:$G$202,MATCH($B292,Connaissements!$A$3:$A$202,0)),""))</f>
        <v/>
      </c>
      <c r="M292" s="7" t="str">
        <f t="shared" si="15"/>
        <v/>
      </c>
      <c r="N292" s="7" t="str">
        <f t="shared" ca="1" si="16"/>
        <v/>
      </c>
      <c r="O292" s="13"/>
      <c r="P292" s="29" t="str">
        <f t="shared" ca="1" si="17"/>
        <v/>
      </c>
      <c r="Q292" s="30" t="str">
        <f>IF($K292="","",IFERROR(IF(INDEX(Bookings!$G$3:$G$202,MATCH($K292,Bookings!$A$3:$A$202,0))="","",INDEX(Bookings!$G$3:$G$202,MATCH($K292,Bookings!$A$3:$A$202,0))),""))</f>
        <v/>
      </c>
    </row>
    <row r="293" spans="1:17" hidden="1" x14ac:dyDescent="0.35">
      <c r="A293" s="81"/>
      <c r="B293" s="81"/>
      <c r="C293" s="21"/>
      <c r="D293" s="56"/>
      <c r="E293" s="14"/>
      <c r="F293" s="14"/>
      <c r="G293" s="14"/>
      <c r="H293" s="83">
        <f t="shared" si="18"/>
        <v>0</v>
      </c>
      <c r="I293" s="80"/>
      <c r="J293" s="80"/>
      <c r="K293" s="7" t="str">
        <f>IF($B293="","",IFERROR(INDEX(Connaissements!$B$3:$B$202,MATCH($B293,Connaissements!$A$3:$A$202,0)),""))</f>
        <v/>
      </c>
      <c r="L293" s="7" t="str">
        <f>IF($B293="","",IFERROR(INDEX(Connaissements!$G$3:$G$202,MATCH($B293,Connaissements!$A$3:$A$202,0)),""))</f>
        <v/>
      </c>
      <c r="M293" s="7" t="str">
        <f t="shared" si="15"/>
        <v/>
      </c>
      <c r="N293" s="7" t="str">
        <f t="shared" ca="1" si="16"/>
        <v/>
      </c>
      <c r="O293" s="13"/>
      <c r="P293" s="29" t="str">
        <f t="shared" ca="1" si="17"/>
        <v/>
      </c>
      <c r="Q293" s="30" t="str">
        <f>IF($K293="","",IFERROR(IF(INDEX(Bookings!$G$3:$G$202,MATCH($K293,Bookings!$A$3:$A$202,0))="","",INDEX(Bookings!$G$3:$G$202,MATCH($K293,Bookings!$A$3:$A$202,0))),""))</f>
        <v/>
      </c>
    </row>
    <row r="294" spans="1:17" hidden="1" x14ac:dyDescent="0.35">
      <c r="A294" s="81"/>
      <c r="B294" s="81"/>
      <c r="C294" s="21"/>
      <c r="D294" s="56"/>
      <c r="E294" s="14"/>
      <c r="F294" s="14"/>
      <c r="G294" s="14"/>
      <c r="H294" s="83">
        <f t="shared" si="18"/>
        <v>0</v>
      </c>
      <c r="I294" s="80"/>
      <c r="J294" s="80"/>
      <c r="K294" s="7" t="str">
        <f>IF($B294="","",IFERROR(INDEX(Connaissements!$B$3:$B$202,MATCH($B294,Connaissements!$A$3:$A$202,0)),""))</f>
        <v/>
      </c>
      <c r="L294" s="7" t="str">
        <f>IF($B294="","",IFERROR(INDEX(Connaissements!$G$3:$G$202,MATCH($B294,Connaissements!$A$3:$A$202,0)),""))</f>
        <v/>
      </c>
      <c r="M294" s="7" t="str">
        <f t="shared" si="15"/>
        <v/>
      </c>
      <c r="N294" s="7" t="str">
        <f t="shared" ca="1" si="16"/>
        <v/>
      </c>
      <c r="O294" s="13"/>
      <c r="P294" s="29" t="str">
        <f t="shared" ca="1" si="17"/>
        <v/>
      </c>
      <c r="Q294" s="30" t="str">
        <f>IF($K294="","",IFERROR(IF(INDEX(Bookings!$G$3:$G$202,MATCH($K294,Bookings!$A$3:$A$202,0))="","",INDEX(Bookings!$G$3:$G$202,MATCH($K294,Bookings!$A$3:$A$202,0))),""))</f>
        <v/>
      </c>
    </row>
    <row r="295" spans="1:17" hidden="1" x14ac:dyDescent="0.35">
      <c r="A295" s="81"/>
      <c r="B295" s="81"/>
      <c r="C295" s="21"/>
      <c r="D295" s="56"/>
      <c r="E295" s="14"/>
      <c r="F295" s="14"/>
      <c r="G295" s="14"/>
      <c r="H295" s="83">
        <f t="shared" si="18"/>
        <v>0</v>
      </c>
      <c r="I295" s="80"/>
      <c r="J295" s="80"/>
      <c r="K295" s="7" t="str">
        <f>IF($B295="","",IFERROR(INDEX(Connaissements!$B$3:$B$202,MATCH($B295,Connaissements!$A$3:$A$202,0)),""))</f>
        <v/>
      </c>
      <c r="L295" s="7" t="str">
        <f>IF($B295="","",IFERROR(INDEX(Connaissements!$G$3:$G$202,MATCH($B295,Connaissements!$A$3:$A$202,0)),""))</f>
        <v/>
      </c>
      <c r="M295" s="7" t="str">
        <f t="shared" si="15"/>
        <v/>
      </c>
      <c r="N295" s="7" t="str">
        <f t="shared" ca="1" si="16"/>
        <v/>
      </c>
      <c r="O295" s="13"/>
      <c r="P295" s="29" t="str">
        <f t="shared" ca="1" si="17"/>
        <v/>
      </c>
      <c r="Q295" s="30" t="str">
        <f>IF($K295="","",IFERROR(IF(INDEX(Bookings!$G$3:$G$202,MATCH($K295,Bookings!$A$3:$A$202,0))="","",INDEX(Bookings!$G$3:$G$202,MATCH($K295,Bookings!$A$3:$A$202,0))),""))</f>
        <v/>
      </c>
    </row>
    <row r="296" spans="1:17" hidden="1" x14ac:dyDescent="0.35">
      <c r="A296" s="81"/>
      <c r="B296" s="81"/>
      <c r="C296" s="21"/>
      <c r="D296" s="56"/>
      <c r="E296" s="14"/>
      <c r="F296" s="14"/>
      <c r="G296" s="14"/>
      <c r="H296" s="83">
        <f t="shared" si="18"/>
        <v>0</v>
      </c>
      <c r="I296" s="80"/>
      <c r="J296" s="80"/>
      <c r="K296" s="7" t="str">
        <f>IF($B296="","",IFERROR(INDEX(Connaissements!$B$3:$B$202,MATCH($B296,Connaissements!$A$3:$A$202,0)),""))</f>
        <v/>
      </c>
      <c r="L296" s="7" t="str">
        <f>IF($B296="","",IFERROR(INDEX(Connaissements!$G$3:$G$202,MATCH($B296,Connaissements!$A$3:$A$202,0)),""))</f>
        <v/>
      </c>
      <c r="M296" s="7" t="str">
        <f t="shared" si="15"/>
        <v/>
      </c>
      <c r="N296" s="7" t="str">
        <f t="shared" ca="1" si="16"/>
        <v/>
      </c>
      <c r="O296" s="13"/>
      <c r="P296" s="29" t="str">
        <f t="shared" ca="1" si="17"/>
        <v/>
      </c>
      <c r="Q296" s="30" t="str">
        <f>IF($K296="","",IFERROR(IF(INDEX(Bookings!$G$3:$G$202,MATCH($K296,Bookings!$A$3:$A$202,0))="","",INDEX(Bookings!$G$3:$G$202,MATCH($K296,Bookings!$A$3:$A$202,0))),""))</f>
        <v/>
      </c>
    </row>
    <row r="297" spans="1:17" hidden="1" x14ac:dyDescent="0.35">
      <c r="A297" s="81"/>
      <c r="B297" s="81"/>
      <c r="C297" s="21"/>
      <c r="D297" s="56"/>
      <c r="E297" s="14"/>
      <c r="F297" s="14"/>
      <c r="G297" s="14"/>
      <c r="H297" s="83">
        <f t="shared" si="18"/>
        <v>0</v>
      </c>
      <c r="I297" s="80"/>
      <c r="J297" s="80"/>
      <c r="K297" s="7" t="str">
        <f>IF($B297="","",IFERROR(INDEX(Connaissements!$B$3:$B$202,MATCH($B297,Connaissements!$A$3:$A$202,0)),""))</f>
        <v/>
      </c>
      <c r="L297" s="7" t="str">
        <f>IF($B297="","",IFERROR(INDEX(Connaissements!$G$3:$G$202,MATCH($B297,Connaissements!$A$3:$A$202,0)),""))</f>
        <v/>
      </c>
      <c r="M297" s="7" t="str">
        <f t="shared" si="15"/>
        <v/>
      </c>
      <c r="N297" s="7" t="str">
        <f t="shared" ca="1" si="16"/>
        <v/>
      </c>
      <c r="O297" s="13"/>
      <c r="P297" s="29" t="str">
        <f t="shared" ca="1" si="17"/>
        <v/>
      </c>
      <c r="Q297" s="30" t="str">
        <f>IF($K297="","",IFERROR(IF(INDEX(Bookings!$G$3:$G$202,MATCH($K297,Bookings!$A$3:$A$202,0))="","",INDEX(Bookings!$G$3:$G$202,MATCH($K297,Bookings!$A$3:$A$202,0))),""))</f>
        <v/>
      </c>
    </row>
    <row r="298" spans="1:17" hidden="1" x14ac:dyDescent="0.35">
      <c r="A298" s="81"/>
      <c r="B298" s="81"/>
      <c r="C298" s="21"/>
      <c r="D298" s="56"/>
      <c r="E298" s="14"/>
      <c r="F298" s="14"/>
      <c r="G298" s="14"/>
      <c r="H298" s="83">
        <f t="shared" si="18"/>
        <v>0</v>
      </c>
      <c r="I298" s="80"/>
      <c r="J298" s="80"/>
      <c r="K298" s="7" t="str">
        <f>IF($B298="","",IFERROR(INDEX(Connaissements!$B$3:$B$202,MATCH($B298,Connaissements!$A$3:$A$202,0)),""))</f>
        <v/>
      </c>
      <c r="L298" s="7" t="str">
        <f>IF($B298="","",IFERROR(INDEX(Connaissements!$G$3:$G$202,MATCH($B298,Connaissements!$A$3:$A$202,0)),""))</f>
        <v/>
      </c>
      <c r="M298" s="7" t="str">
        <f t="shared" si="15"/>
        <v/>
      </c>
      <c r="N298" s="7" t="str">
        <f t="shared" ca="1" si="16"/>
        <v/>
      </c>
      <c r="O298" s="13"/>
      <c r="P298" s="29" t="str">
        <f t="shared" ca="1" si="17"/>
        <v/>
      </c>
      <c r="Q298" s="30" t="str">
        <f>IF($K298="","",IFERROR(IF(INDEX(Bookings!$G$3:$G$202,MATCH($K298,Bookings!$A$3:$A$202,0))="","",INDEX(Bookings!$G$3:$G$202,MATCH($K298,Bookings!$A$3:$A$202,0))),""))</f>
        <v/>
      </c>
    </row>
    <row r="299" spans="1:17" hidden="1" x14ac:dyDescent="0.35">
      <c r="A299" s="81"/>
      <c r="B299" s="81"/>
      <c r="C299" s="21"/>
      <c r="D299" s="56"/>
      <c r="E299" s="14"/>
      <c r="F299" s="14"/>
      <c r="G299" s="14"/>
      <c r="H299" s="83">
        <f t="shared" si="18"/>
        <v>0</v>
      </c>
      <c r="I299" s="80"/>
      <c r="J299" s="80"/>
      <c r="K299" s="7" t="str">
        <f>IF($B299="","",IFERROR(INDEX(Connaissements!$B$3:$B$202,MATCH($B299,Connaissements!$A$3:$A$202,0)),""))</f>
        <v/>
      </c>
      <c r="L299" s="7" t="str">
        <f>IF($B299="","",IFERROR(INDEX(Connaissements!$G$3:$G$202,MATCH($B299,Connaissements!$A$3:$A$202,0)),""))</f>
        <v/>
      </c>
      <c r="M299" s="7" t="str">
        <f t="shared" si="15"/>
        <v/>
      </c>
      <c r="N299" s="7" t="str">
        <f t="shared" ca="1" si="16"/>
        <v/>
      </c>
      <c r="O299" s="13"/>
      <c r="P299" s="29" t="str">
        <f t="shared" ca="1" si="17"/>
        <v/>
      </c>
      <c r="Q299" s="30" t="str">
        <f>IF($K299="","",IFERROR(IF(INDEX(Bookings!$G$3:$G$202,MATCH($K299,Bookings!$A$3:$A$202,0))="","",INDEX(Bookings!$G$3:$G$202,MATCH($K299,Bookings!$A$3:$A$202,0))),""))</f>
        <v/>
      </c>
    </row>
    <row r="300" spans="1:17" hidden="1" x14ac:dyDescent="0.35">
      <c r="A300" s="81"/>
      <c r="B300" s="81"/>
      <c r="C300" s="21"/>
      <c r="D300" s="56"/>
      <c r="E300" s="14"/>
      <c r="F300" s="14"/>
      <c r="G300" s="14"/>
      <c r="H300" s="83">
        <f t="shared" si="18"/>
        <v>0</v>
      </c>
      <c r="I300" s="80"/>
      <c r="J300" s="80"/>
      <c r="K300" s="7" t="str">
        <f>IF($B300="","",IFERROR(INDEX(Connaissements!$B$3:$B$202,MATCH($B300,Connaissements!$A$3:$A$202,0)),""))</f>
        <v/>
      </c>
      <c r="L300" s="7" t="str">
        <f>IF($B300="","",IFERROR(INDEX(Connaissements!$G$3:$G$202,MATCH($B300,Connaissements!$A$3:$A$202,0)),""))</f>
        <v/>
      </c>
      <c r="M300" s="7" t="str">
        <f t="shared" si="15"/>
        <v/>
      </c>
      <c r="N300" s="7" t="str">
        <f t="shared" ca="1" si="16"/>
        <v/>
      </c>
      <c r="O300" s="13"/>
      <c r="P300" s="29" t="str">
        <f t="shared" ca="1" si="17"/>
        <v/>
      </c>
      <c r="Q300" s="30" t="str">
        <f>IF($K300="","",IFERROR(IF(INDEX(Bookings!$G$3:$G$202,MATCH($K300,Bookings!$A$3:$A$202,0))="","",INDEX(Bookings!$G$3:$G$202,MATCH($K300,Bookings!$A$3:$A$202,0))),""))</f>
        <v/>
      </c>
    </row>
    <row r="301" spans="1:17" hidden="1" x14ac:dyDescent="0.35">
      <c r="A301" s="81"/>
      <c r="B301" s="81"/>
      <c r="C301" s="21"/>
      <c r="D301" s="56"/>
      <c r="E301" s="14"/>
      <c r="F301" s="14"/>
      <c r="G301" s="14"/>
      <c r="H301" s="83">
        <f t="shared" si="18"/>
        <v>0</v>
      </c>
      <c r="I301" s="80"/>
      <c r="J301" s="80"/>
      <c r="K301" s="7" t="str">
        <f>IF($B301="","",IFERROR(INDEX(Connaissements!$B$3:$B$202,MATCH($B301,Connaissements!$A$3:$A$202,0)),""))</f>
        <v/>
      </c>
      <c r="L301" s="7" t="str">
        <f>IF($B301="","",IFERROR(INDEX(Connaissements!$G$3:$G$202,MATCH($B301,Connaissements!$A$3:$A$202,0)),""))</f>
        <v/>
      </c>
      <c r="M301" s="7" t="str">
        <f t="shared" si="15"/>
        <v/>
      </c>
      <c r="N301" s="7" t="str">
        <f t="shared" ca="1" si="16"/>
        <v/>
      </c>
      <c r="O301" s="13"/>
      <c r="P301" s="29" t="str">
        <f t="shared" ca="1" si="17"/>
        <v/>
      </c>
      <c r="Q301" s="30" t="str">
        <f>IF($K301="","",IFERROR(IF(INDEX(Bookings!$G$3:$G$202,MATCH($K301,Bookings!$A$3:$A$202,0))="","",INDEX(Bookings!$G$3:$G$202,MATCH($K301,Bookings!$A$3:$A$202,0))),""))</f>
        <v/>
      </c>
    </row>
    <row r="302" spans="1:17" hidden="1" x14ac:dyDescent="0.35">
      <c r="A302" s="81"/>
      <c r="B302" s="81"/>
      <c r="C302" s="21"/>
      <c r="D302" s="56"/>
      <c r="E302" s="14"/>
      <c r="F302" s="14"/>
      <c r="G302" s="14"/>
      <c r="H302" s="83">
        <f t="shared" si="18"/>
        <v>0</v>
      </c>
      <c r="I302" s="80"/>
      <c r="J302" s="80"/>
      <c r="K302" s="7" t="str">
        <f>IF($B302="","",IFERROR(INDEX(Connaissements!$B$3:$B$202,MATCH($B302,Connaissements!$A$3:$A$202,0)),""))</f>
        <v/>
      </c>
      <c r="L302" s="7" t="str">
        <f>IF($B302="","",IFERROR(INDEX(Connaissements!$G$3:$G$202,MATCH($B302,Connaissements!$A$3:$A$202,0)),""))</f>
        <v/>
      </c>
      <c r="M302" s="7" t="str">
        <f t="shared" si="15"/>
        <v/>
      </c>
      <c r="N302" s="7" t="str">
        <f t="shared" ca="1" si="16"/>
        <v/>
      </c>
      <c r="O302" s="13"/>
      <c r="P302" s="29" t="str">
        <f t="shared" ca="1" si="17"/>
        <v/>
      </c>
      <c r="Q302" s="30" t="str">
        <f>IF($K302="","",IFERROR(IF(INDEX(Bookings!$G$3:$G$202,MATCH($K302,Bookings!$A$3:$A$202,0))="","",INDEX(Bookings!$G$3:$G$202,MATCH($K302,Bookings!$A$3:$A$202,0))),""))</f>
        <v/>
      </c>
    </row>
    <row r="303" spans="1:17" hidden="1" x14ac:dyDescent="0.35">
      <c r="A303" s="81"/>
      <c r="B303" s="81"/>
      <c r="C303" s="21"/>
      <c r="D303" s="56"/>
      <c r="E303" s="14"/>
      <c r="F303" s="14"/>
      <c r="G303" s="14"/>
      <c r="H303" s="83">
        <f t="shared" si="18"/>
        <v>0</v>
      </c>
      <c r="I303" s="80"/>
      <c r="J303" s="80"/>
      <c r="K303" s="7" t="str">
        <f>IF($B303="","",IFERROR(INDEX(Connaissements!$B$3:$B$202,MATCH($B303,Connaissements!$A$3:$A$202,0)),""))</f>
        <v/>
      </c>
      <c r="L303" s="7" t="str">
        <f>IF($B303="","",IFERROR(INDEX(Connaissements!$G$3:$G$202,MATCH($B303,Connaissements!$A$3:$A$202,0)),""))</f>
        <v/>
      </c>
      <c r="M303" s="7" t="str">
        <f t="shared" si="15"/>
        <v/>
      </c>
      <c r="N303" s="7" t="str">
        <f t="shared" ca="1" si="16"/>
        <v/>
      </c>
      <c r="O303" s="13"/>
      <c r="P303" s="29" t="str">
        <f t="shared" ca="1" si="17"/>
        <v/>
      </c>
      <c r="Q303" s="30" t="str">
        <f>IF($K303="","",IFERROR(IF(INDEX(Bookings!$G$3:$G$202,MATCH($K303,Bookings!$A$3:$A$202,0))="","",INDEX(Bookings!$G$3:$G$202,MATCH($K303,Bookings!$A$3:$A$202,0))),""))</f>
        <v/>
      </c>
    </row>
    <row r="304" spans="1:17" hidden="1" x14ac:dyDescent="0.35">
      <c r="A304" s="81"/>
      <c r="B304" s="81"/>
      <c r="C304" s="21"/>
      <c r="D304" s="56"/>
      <c r="E304" s="14"/>
      <c r="F304" s="14"/>
      <c r="G304" s="14"/>
      <c r="H304" s="83">
        <f t="shared" si="18"/>
        <v>0</v>
      </c>
      <c r="I304" s="80"/>
      <c r="J304" s="80"/>
      <c r="K304" s="7" t="str">
        <f>IF($B304="","",IFERROR(INDEX(Connaissements!$B$3:$B$202,MATCH($B304,Connaissements!$A$3:$A$202,0)),""))</f>
        <v/>
      </c>
      <c r="L304" s="7" t="str">
        <f>IF($B304="","",IFERROR(INDEX(Connaissements!$G$3:$G$202,MATCH($B304,Connaissements!$A$3:$A$202,0)),""))</f>
        <v/>
      </c>
      <c r="M304" s="7" t="str">
        <f t="shared" si="15"/>
        <v/>
      </c>
      <c r="N304" s="7" t="str">
        <f t="shared" ca="1" si="16"/>
        <v/>
      </c>
      <c r="O304" s="13"/>
      <c r="P304" s="29" t="str">
        <f t="shared" ca="1" si="17"/>
        <v/>
      </c>
      <c r="Q304" s="30" t="str">
        <f>IF($K304="","",IFERROR(IF(INDEX(Bookings!$G$3:$G$202,MATCH($K304,Bookings!$A$3:$A$202,0))="","",INDEX(Bookings!$G$3:$G$202,MATCH($K304,Bookings!$A$3:$A$202,0))),""))</f>
        <v/>
      </c>
    </row>
    <row r="305" spans="1:17" hidden="1" x14ac:dyDescent="0.35">
      <c r="A305" s="81"/>
      <c r="B305" s="81"/>
      <c r="C305" s="21"/>
      <c r="D305" s="56"/>
      <c r="E305" s="14"/>
      <c r="F305" s="14"/>
      <c r="G305" s="14"/>
      <c r="H305" s="83">
        <f t="shared" si="18"/>
        <v>0</v>
      </c>
      <c r="I305" s="80"/>
      <c r="J305" s="80"/>
      <c r="K305" s="7" t="str">
        <f>IF($B305="","",IFERROR(INDEX(Connaissements!$B$3:$B$202,MATCH($B305,Connaissements!$A$3:$A$202,0)),""))</f>
        <v/>
      </c>
      <c r="L305" s="7" t="str">
        <f>IF($B305="","",IFERROR(INDEX(Connaissements!$G$3:$G$202,MATCH($B305,Connaissements!$A$3:$A$202,0)),""))</f>
        <v/>
      </c>
      <c r="M305" s="7" t="str">
        <f t="shared" si="15"/>
        <v/>
      </c>
      <c r="N305" s="7" t="str">
        <f t="shared" ca="1" si="16"/>
        <v/>
      </c>
      <c r="O305" s="13"/>
      <c r="P305" s="29" t="str">
        <f t="shared" ca="1" si="17"/>
        <v/>
      </c>
      <c r="Q305" s="30" t="str">
        <f>IF($K305="","",IFERROR(IF(INDEX(Bookings!$G$3:$G$202,MATCH($K305,Bookings!$A$3:$A$202,0))="","",INDEX(Bookings!$G$3:$G$202,MATCH($K305,Bookings!$A$3:$A$202,0))),""))</f>
        <v/>
      </c>
    </row>
    <row r="306" spans="1:17" hidden="1" x14ac:dyDescent="0.35">
      <c r="A306" s="81"/>
      <c r="B306" s="81"/>
      <c r="C306" s="21"/>
      <c r="D306" s="56"/>
      <c r="E306" s="14"/>
      <c r="F306" s="14"/>
      <c r="G306" s="14"/>
      <c r="H306" s="83">
        <f t="shared" si="18"/>
        <v>0</v>
      </c>
      <c r="I306" s="80"/>
      <c r="J306" s="80"/>
      <c r="K306" s="7" t="str">
        <f>IF($B306="","",IFERROR(INDEX(Connaissements!$B$3:$B$202,MATCH($B306,Connaissements!$A$3:$A$202,0)),""))</f>
        <v/>
      </c>
      <c r="L306" s="7" t="str">
        <f>IF($B306="","",IFERROR(INDEX(Connaissements!$G$3:$G$202,MATCH($B306,Connaissements!$A$3:$A$202,0)),""))</f>
        <v/>
      </c>
      <c r="M306" s="7" t="str">
        <f t="shared" si="15"/>
        <v/>
      </c>
      <c r="N306" s="7" t="str">
        <f t="shared" ca="1" si="16"/>
        <v/>
      </c>
      <c r="O306" s="13"/>
      <c r="P306" s="29" t="str">
        <f t="shared" ca="1" si="17"/>
        <v/>
      </c>
      <c r="Q306" s="30" t="str">
        <f>IF($K306="","",IFERROR(IF(INDEX(Bookings!$G$3:$G$202,MATCH($K306,Bookings!$A$3:$A$202,0))="","",INDEX(Bookings!$G$3:$G$202,MATCH($K306,Bookings!$A$3:$A$202,0))),""))</f>
        <v/>
      </c>
    </row>
    <row r="307" spans="1:17" hidden="1" x14ac:dyDescent="0.35">
      <c r="A307" s="81"/>
      <c r="B307" s="81"/>
      <c r="C307" s="21"/>
      <c r="D307" s="56"/>
      <c r="E307" s="14"/>
      <c r="F307" s="14"/>
      <c r="G307" s="14"/>
      <c r="H307" s="83">
        <f t="shared" si="18"/>
        <v>0</v>
      </c>
      <c r="I307" s="80"/>
      <c r="J307" s="80"/>
      <c r="K307" s="7" t="str">
        <f>IF($B307="","",IFERROR(INDEX(Connaissements!$B$3:$B$202,MATCH($B307,Connaissements!$A$3:$A$202,0)),""))</f>
        <v/>
      </c>
      <c r="L307" s="7" t="str">
        <f>IF($B307="","",IFERROR(INDEX(Connaissements!$G$3:$G$202,MATCH($B307,Connaissements!$A$3:$A$202,0)),""))</f>
        <v/>
      </c>
      <c r="M307" s="7" t="str">
        <f t="shared" si="15"/>
        <v/>
      </c>
      <c r="N307" s="7" t="str">
        <f t="shared" ca="1" si="16"/>
        <v/>
      </c>
      <c r="O307" s="13"/>
      <c r="P307" s="29" t="str">
        <f t="shared" ca="1" si="17"/>
        <v/>
      </c>
      <c r="Q307" s="30" t="str">
        <f>IF($K307="","",IFERROR(IF(INDEX(Bookings!$G$3:$G$202,MATCH($K307,Bookings!$A$3:$A$202,0))="","",INDEX(Bookings!$G$3:$G$202,MATCH($K307,Bookings!$A$3:$A$202,0))),""))</f>
        <v/>
      </c>
    </row>
    <row r="308" spans="1:17" hidden="1" x14ac:dyDescent="0.35">
      <c r="A308" s="81"/>
      <c r="B308" s="81"/>
      <c r="C308" s="21"/>
      <c r="D308" s="56"/>
      <c r="E308" s="14"/>
      <c r="F308" s="14"/>
      <c r="G308" s="14"/>
      <c r="H308" s="83">
        <f t="shared" si="18"/>
        <v>0</v>
      </c>
      <c r="I308" s="80"/>
      <c r="J308" s="80"/>
      <c r="K308" s="7" t="str">
        <f>IF($B308="","",IFERROR(INDEX(Connaissements!$B$3:$B$202,MATCH($B308,Connaissements!$A$3:$A$202,0)),""))</f>
        <v/>
      </c>
      <c r="L308" s="7" t="str">
        <f>IF($B308="","",IFERROR(INDEX(Connaissements!$G$3:$G$202,MATCH($B308,Connaissements!$A$3:$A$202,0)),""))</f>
        <v/>
      </c>
      <c r="M308" s="7" t="str">
        <f t="shared" si="15"/>
        <v/>
      </c>
      <c r="N308" s="7" t="str">
        <f t="shared" ca="1" si="16"/>
        <v/>
      </c>
      <c r="O308" s="13"/>
      <c r="P308" s="29" t="str">
        <f t="shared" ca="1" si="17"/>
        <v/>
      </c>
      <c r="Q308" s="30" t="str">
        <f>IF($K308="","",IFERROR(IF(INDEX(Bookings!$G$3:$G$202,MATCH($K308,Bookings!$A$3:$A$202,0))="","",INDEX(Bookings!$G$3:$G$202,MATCH($K308,Bookings!$A$3:$A$202,0))),""))</f>
        <v/>
      </c>
    </row>
    <row r="309" spans="1:17" hidden="1" x14ac:dyDescent="0.35">
      <c r="A309" s="81"/>
      <c r="B309" s="81"/>
      <c r="C309" s="21"/>
      <c r="D309" s="56"/>
      <c r="E309" s="14"/>
      <c r="F309" s="14"/>
      <c r="G309" s="14"/>
      <c r="H309" s="83">
        <f t="shared" si="18"/>
        <v>0</v>
      </c>
      <c r="I309" s="80"/>
      <c r="J309" s="80"/>
      <c r="K309" s="7" t="str">
        <f>IF($B309="","",IFERROR(INDEX(Connaissements!$B$3:$B$202,MATCH($B309,Connaissements!$A$3:$A$202,0)),""))</f>
        <v/>
      </c>
      <c r="L309" s="7" t="str">
        <f>IF($B309="","",IFERROR(INDEX(Connaissements!$G$3:$G$202,MATCH($B309,Connaissements!$A$3:$A$202,0)),""))</f>
        <v/>
      </c>
      <c r="M309" s="7" t="str">
        <f t="shared" si="15"/>
        <v/>
      </c>
      <c r="N309" s="7" t="str">
        <f t="shared" ca="1" si="16"/>
        <v/>
      </c>
      <c r="O309" s="13"/>
      <c r="P309" s="29" t="str">
        <f t="shared" ca="1" si="17"/>
        <v/>
      </c>
      <c r="Q309" s="30" t="str">
        <f>IF($K309="","",IFERROR(IF(INDEX(Bookings!$G$3:$G$202,MATCH($K309,Bookings!$A$3:$A$202,0))="","",INDEX(Bookings!$G$3:$G$202,MATCH($K309,Bookings!$A$3:$A$202,0))),""))</f>
        <v/>
      </c>
    </row>
    <row r="310" spans="1:17" hidden="1" x14ac:dyDescent="0.35">
      <c r="A310" s="81"/>
      <c r="B310" s="81"/>
      <c r="C310" s="21"/>
      <c r="D310" s="56"/>
      <c r="E310" s="14"/>
      <c r="F310" s="14"/>
      <c r="G310" s="14"/>
      <c r="H310" s="83">
        <f t="shared" si="18"/>
        <v>0</v>
      </c>
      <c r="I310" s="80"/>
      <c r="J310" s="80"/>
      <c r="K310" s="7" t="str">
        <f>IF($B310="","",IFERROR(INDEX(Connaissements!$B$3:$B$202,MATCH($B310,Connaissements!$A$3:$A$202,0)),""))</f>
        <v/>
      </c>
      <c r="L310" s="7" t="str">
        <f>IF($B310="","",IFERROR(INDEX(Connaissements!$G$3:$G$202,MATCH($B310,Connaissements!$A$3:$A$202,0)),""))</f>
        <v/>
      </c>
      <c r="M310" s="7" t="str">
        <f t="shared" si="15"/>
        <v/>
      </c>
      <c r="N310" s="7" t="str">
        <f t="shared" ca="1" si="16"/>
        <v/>
      </c>
      <c r="O310" s="13"/>
      <c r="P310" s="29" t="str">
        <f t="shared" ca="1" si="17"/>
        <v/>
      </c>
      <c r="Q310" s="30" t="str">
        <f>IF($K310="","",IFERROR(IF(INDEX(Bookings!$G$3:$G$202,MATCH($K310,Bookings!$A$3:$A$202,0))="","",INDEX(Bookings!$G$3:$G$202,MATCH($K310,Bookings!$A$3:$A$202,0))),""))</f>
        <v/>
      </c>
    </row>
    <row r="311" spans="1:17" hidden="1" x14ac:dyDescent="0.35">
      <c r="A311" s="81"/>
      <c r="B311" s="81"/>
      <c r="C311" s="21"/>
      <c r="D311" s="56"/>
      <c r="E311" s="14"/>
      <c r="F311" s="14"/>
      <c r="G311" s="14"/>
      <c r="H311" s="83">
        <f t="shared" si="18"/>
        <v>0</v>
      </c>
      <c r="I311" s="80"/>
      <c r="J311" s="80"/>
      <c r="K311" s="7" t="str">
        <f>IF($B311="","",IFERROR(INDEX(Connaissements!$B$3:$B$202,MATCH($B311,Connaissements!$A$3:$A$202,0)),""))</f>
        <v/>
      </c>
      <c r="L311" s="7" t="str">
        <f>IF($B311="","",IFERROR(INDEX(Connaissements!$G$3:$G$202,MATCH($B311,Connaissements!$A$3:$A$202,0)),""))</f>
        <v/>
      </c>
      <c r="M311" s="7" t="str">
        <f t="shared" si="15"/>
        <v/>
      </c>
      <c r="N311" s="7" t="str">
        <f t="shared" ca="1" si="16"/>
        <v/>
      </c>
      <c r="O311" s="13"/>
      <c r="P311" s="29" t="str">
        <f t="shared" ca="1" si="17"/>
        <v/>
      </c>
      <c r="Q311" s="30" t="str">
        <f>IF($K311="","",IFERROR(IF(INDEX(Bookings!$G$3:$G$202,MATCH($K311,Bookings!$A$3:$A$202,0))="","",INDEX(Bookings!$G$3:$G$202,MATCH($K311,Bookings!$A$3:$A$202,0))),""))</f>
        <v/>
      </c>
    </row>
    <row r="312" spans="1:17" hidden="1" x14ac:dyDescent="0.35">
      <c r="A312" s="81"/>
      <c r="B312" s="81"/>
      <c r="C312" s="21"/>
      <c r="D312" s="56"/>
      <c r="E312" s="14"/>
      <c r="F312" s="14"/>
      <c r="G312" s="14"/>
      <c r="H312" s="83">
        <f t="shared" si="18"/>
        <v>0</v>
      </c>
      <c r="I312" s="80"/>
      <c r="J312" s="80"/>
      <c r="K312" s="7" t="str">
        <f>IF($B312="","",IFERROR(INDEX(Connaissements!$B$3:$B$202,MATCH($B312,Connaissements!$A$3:$A$202,0)),""))</f>
        <v/>
      </c>
      <c r="L312" s="7" t="str">
        <f>IF($B312="","",IFERROR(INDEX(Connaissements!$G$3:$G$202,MATCH($B312,Connaissements!$A$3:$A$202,0)),""))</f>
        <v/>
      </c>
      <c r="M312" s="7" t="str">
        <f t="shared" si="15"/>
        <v/>
      </c>
      <c r="N312" s="7" t="str">
        <f t="shared" ca="1" si="16"/>
        <v/>
      </c>
      <c r="O312" s="13"/>
      <c r="P312" s="29" t="str">
        <f t="shared" ca="1" si="17"/>
        <v/>
      </c>
      <c r="Q312" s="30" t="str">
        <f>IF($K312="","",IFERROR(IF(INDEX(Bookings!$G$3:$G$202,MATCH($K312,Bookings!$A$3:$A$202,0))="","",INDEX(Bookings!$G$3:$G$202,MATCH($K312,Bookings!$A$3:$A$202,0))),""))</f>
        <v/>
      </c>
    </row>
    <row r="313" spans="1:17" hidden="1" x14ac:dyDescent="0.35">
      <c r="A313" s="81"/>
      <c r="B313" s="81"/>
      <c r="C313" s="21"/>
      <c r="D313" s="56"/>
      <c r="E313" s="14"/>
      <c r="F313" s="14"/>
      <c r="G313" s="14"/>
      <c r="H313" s="83">
        <f t="shared" si="18"/>
        <v>0</v>
      </c>
      <c r="I313" s="80"/>
      <c r="J313" s="80"/>
      <c r="K313" s="7" t="str">
        <f>IF($B313="","",IFERROR(INDEX(Connaissements!$B$3:$B$202,MATCH($B313,Connaissements!$A$3:$A$202,0)),""))</f>
        <v/>
      </c>
      <c r="L313" s="7" t="str">
        <f>IF($B313="","",IFERROR(INDEX(Connaissements!$G$3:$G$202,MATCH($B313,Connaissements!$A$3:$A$202,0)),""))</f>
        <v/>
      </c>
      <c r="M313" s="7" t="str">
        <f t="shared" si="15"/>
        <v/>
      </c>
      <c r="N313" s="7" t="str">
        <f t="shared" ca="1" si="16"/>
        <v/>
      </c>
      <c r="O313" s="13"/>
      <c r="P313" s="29" t="str">
        <f t="shared" ca="1" si="17"/>
        <v/>
      </c>
      <c r="Q313" s="30" t="str">
        <f>IF($K313="","",IFERROR(IF(INDEX(Bookings!$G$3:$G$202,MATCH($K313,Bookings!$A$3:$A$202,0))="","",INDEX(Bookings!$G$3:$G$202,MATCH($K313,Bookings!$A$3:$A$202,0))),""))</f>
        <v/>
      </c>
    </row>
    <row r="314" spans="1:17" hidden="1" x14ac:dyDescent="0.35">
      <c r="A314" s="81"/>
      <c r="B314" s="81"/>
      <c r="C314" s="21"/>
      <c r="D314" s="56"/>
      <c r="E314" s="14"/>
      <c r="F314" s="14"/>
      <c r="G314" s="14"/>
      <c r="H314" s="83">
        <f t="shared" si="18"/>
        <v>0</v>
      </c>
      <c r="I314" s="80"/>
      <c r="J314" s="80"/>
      <c r="K314" s="7" t="str">
        <f>IF($B314="","",IFERROR(INDEX(Connaissements!$B$3:$B$202,MATCH($B314,Connaissements!$A$3:$A$202,0)),""))</f>
        <v/>
      </c>
      <c r="L314" s="7" t="str">
        <f>IF($B314="","",IFERROR(INDEX(Connaissements!$G$3:$G$202,MATCH($B314,Connaissements!$A$3:$A$202,0)),""))</f>
        <v/>
      </c>
      <c r="M314" s="7" t="str">
        <f t="shared" si="15"/>
        <v/>
      </c>
      <c r="N314" s="7" t="str">
        <f t="shared" ca="1" si="16"/>
        <v/>
      </c>
      <c r="O314" s="13"/>
      <c r="P314" s="29" t="str">
        <f t="shared" ca="1" si="17"/>
        <v/>
      </c>
      <c r="Q314" s="30" t="str">
        <f>IF($K314="","",IFERROR(IF(INDEX(Bookings!$G$3:$G$202,MATCH($K314,Bookings!$A$3:$A$202,0))="","",INDEX(Bookings!$G$3:$G$202,MATCH($K314,Bookings!$A$3:$A$202,0))),""))</f>
        <v/>
      </c>
    </row>
    <row r="315" spans="1:17" hidden="1" x14ac:dyDescent="0.35">
      <c r="A315" s="81"/>
      <c r="B315" s="81"/>
      <c r="C315" s="21"/>
      <c r="D315" s="56"/>
      <c r="E315" s="14"/>
      <c r="F315" s="14"/>
      <c r="G315" s="14"/>
      <c r="H315" s="83">
        <f t="shared" si="18"/>
        <v>0</v>
      </c>
      <c r="I315" s="80"/>
      <c r="J315" s="80"/>
      <c r="K315" s="7" t="str">
        <f>IF($B315="","",IFERROR(INDEX(Connaissements!$B$3:$B$202,MATCH($B315,Connaissements!$A$3:$A$202,0)),""))</f>
        <v/>
      </c>
      <c r="L315" s="7" t="str">
        <f>IF($B315="","",IFERROR(INDEX(Connaissements!$G$3:$G$202,MATCH($B315,Connaissements!$A$3:$A$202,0)),""))</f>
        <v/>
      </c>
      <c r="M315" s="7" t="str">
        <f t="shared" si="15"/>
        <v/>
      </c>
      <c r="N315" s="7" t="str">
        <f t="shared" ca="1" si="16"/>
        <v/>
      </c>
      <c r="O315" s="13"/>
      <c r="P315" s="29" t="str">
        <f t="shared" ca="1" si="17"/>
        <v/>
      </c>
      <c r="Q315" s="30" t="str">
        <f>IF($K315="","",IFERROR(IF(INDEX(Bookings!$G$3:$G$202,MATCH($K315,Bookings!$A$3:$A$202,0))="","",INDEX(Bookings!$G$3:$G$202,MATCH($K315,Bookings!$A$3:$A$202,0))),""))</f>
        <v/>
      </c>
    </row>
    <row r="316" spans="1:17" hidden="1" x14ac:dyDescent="0.35">
      <c r="A316" s="81"/>
      <c r="B316" s="81"/>
      <c r="C316" s="21"/>
      <c r="D316" s="56"/>
      <c r="E316" s="14"/>
      <c r="F316" s="14"/>
      <c r="G316" s="14"/>
      <c r="H316" s="83">
        <f t="shared" si="18"/>
        <v>0</v>
      </c>
      <c r="I316" s="80"/>
      <c r="J316" s="80"/>
      <c r="K316" s="7" t="str">
        <f>IF($B316="","",IFERROR(INDEX(Connaissements!$B$3:$B$202,MATCH($B316,Connaissements!$A$3:$A$202,0)),""))</f>
        <v/>
      </c>
      <c r="L316" s="7" t="str">
        <f>IF($B316="","",IFERROR(INDEX(Connaissements!$G$3:$G$202,MATCH($B316,Connaissements!$A$3:$A$202,0)),""))</f>
        <v/>
      </c>
      <c r="M316" s="7" t="str">
        <f t="shared" si="15"/>
        <v/>
      </c>
      <c r="N316" s="7" t="str">
        <f t="shared" ca="1" si="16"/>
        <v/>
      </c>
      <c r="O316" s="13"/>
      <c r="P316" s="29" t="str">
        <f t="shared" ca="1" si="17"/>
        <v/>
      </c>
      <c r="Q316" s="30" t="str">
        <f>IF($K316="","",IFERROR(IF(INDEX(Bookings!$G$3:$G$202,MATCH($K316,Bookings!$A$3:$A$202,0))="","",INDEX(Bookings!$G$3:$G$202,MATCH($K316,Bookings!$A$3:$A$202,0))),""))</f>
        <v/>
      </c>
    </row>
    <row r="317" spans="1:17" hidden="1" x14ac:dyDescent="0.35">
      <c r="A317" s="81"/>
      <c r="B317" s="81"/>
      <c r="C317" s="21"/>
      <c r="D317" s="56"/>
      <c r="E317" s="14"/>
      <c r="F317" s="14"/>
      <c r="G317" s="14"/>
      <c r="H317" s="83">
        <f t="shared" si="18"/>
        <v>0</v>
      </c>
      <c r="I317" s="80"/>
      <c r="J317" s="80"/>
      <c r="K317" s="7" t="str">
        <f>IF($B317="","",IFERROR(INDEX(Connaissements!$B$3:$B$202,MATCH($B317,Connaissements!$A$3:$A$202,0)),""))</f>
        <v/>
      </c>
      <c r="L317" s="7" t="str">
        <f>IF($B317="","",IFERROR(INDEX(Connaissements!$G$3:$G$202,MATCH($B317,Connaissements!$A$3:$A$202,0)),""))</f>
        <v/>
      </c>
      <c r="M317" s="7" t="str">
        <f t="shared" si="15"/>
        <v/>
      </c>
      <c r="N317" s="7" t="str">
        <f t="shared" ca="1" si="16"/>
        <v/>
      </c>
      <c r="O317" s="13"/>
      <c r="P317" s="29" t="str">
        <f t="shared" ca="1" si="17"/>
        <v/>
      </c>
      <c r="Q317" s="30" t="str">
        <f>IF($K317="","",IFERROR(IF(INDEX(Bookings!$G$3:$G$202,MATCH($K317,Bookings!$A$3:$A$202,0))="","",INDEX(Bookings!$G$3:$G$202,MATCH($K317,Bookings!$A$3:$A$202,0))),""))</f>
        <v/>
      </c>
    </row>
    <row r="318" spans="1:17" hidden="1" x14ac:dyDescent="0.35">
      <c r="A318" s="81"/>
      <c r="B318" s="81"/>
      <c r="C318" s="21"/>
      <c r="D318" s="56"/>
      <c r="E318" s="14"/>
      <c r="F318" s="14"/>
      <c r="G318" s="14"/>
      <c r="H318" s="83">
        <f t="shared" si="18"/>
        <v>0</v>
      </c>
      <c r="I318" s="80"/>
      <c r="J318" s="80"/>
      <c r="K318" s="7" t="str">
        <f>IF($B318="","",IFERROR(INDEX(Connaissements!$B$3:$B$202,MATCH($B318,Connaissements!$A$3:$A$202,0)),""))</f>
        <v/>
      </c>
      <c r="L318" s="7" t="str">
        <f>IF($B318="","",IFERROR(INDEX(Connaissements!$G$3:$G$202,MATCH($B318,Connaissements!$A$3:$A$202,0)),""))</f>
        <v/>
      </c>
      <c r="M318" s="7" t="str">
        <f t="shared" si="15"/>
        <v/>
      </c>
      <c r="N318" s="7" t="str">
        <f t="shared" ca="1" si="16"/>
        <v/>
      </c>
      <c r="O318" s="13"/>
      <c r="P318" s="29" t="str">
        <f t="shared" ca="1" si="17"/>
        <v/>
      </c>
      <c r="Q318" s="30" t="str">
        <f>IF($K318="","",IFERROR(IF(INDEX(Bookings!$G$3:$G$202,MATCH($K318,Bookings!$A$3:$A$202,0))="","",INDEX(Bookings!$G$3:$G$202,MATCH($K318,Bookings!$A$3:$A$202,0))),""))</f>
        <v/>
      </c>
    </row>
    <row r="319" spans="1:17" hidden="1" x14ac:dyDescent="0.35">
      <c r="A319" s="81"/>
      <c r="B319" s="81"/>
      <c r="C319" s="21"/>
      <c r="D319" s="56"/>
      <c r="E319" s="14"/>
      <c r="F319" s="14"/>
      <c r="G319" s="14"/>
      <c r="H319" s="83">
        <f t="shared" si="18"/>
        <v>0</v>
      </c>
      <c r="I319" s="80"/>
      <c r="J319" s="80"/>
      <c r="K319" s="7" t="str">
        <f>IF($B319="","",IFERROR(INDEX(Connaissements!$B$3:$B$202,MATCH($B319,Connaissements!$A$3:$A$202,0)),""))</f>
        <v/>
      </c>
      <c r="L319" s="7" t="str">
        <f>IF($B319="","",IFERROR(INDEX(Connaissements!$G$3:$G$202,MATCH($B319,Connaissements!$A$3:$A$202,0)),""))</f>
        <v/>
      </c>
      <c r="M319" s="7" t="str">
        <f t="shared" si="15"/>
        <v/>
      </c>
      <c r="N319" s="7" t="str">
        <f t="shared" ca="1" si="16"/>
        <v/>
      </c>
      <c r="O319" s="13"/>
      <c r="P319" s="29" t="str">
        <f t="shared" ca="1" si="17"/>
        <v/>
      </c>
      <c r="Q319" s="30" t="str">
        <f>IF($K319="","",IFERROR(IF(INDEX(Bookings!$G$3:$G$202,MATCH($K319,Bookings!$A$3:$A$202,0))="","",INDEX(Bookings!$G$3:$G$202,MATCH($K319,Bookings!$A$3:$A$202,0))),""))</f>
        <v/>
      </c>
    </row>
    <row r="320" spans="1:17" hidden="1" x14ac:dyDescent="0.35">
      <c r="A320" s="81"/>
      <c r="B320" s="81"/>
      <c r="C320" s="21"/>
      <c r="D320" s="56"/>
      <c r="E320" s="14"/>
      <c r="F320" s="14"/>
      <c r="G320" s="14"/>
      <c r="H320" s="83">
        <f t="shared" si="18"/>
        <v>0</v>
      </c>
      <c r="I320" s="80"/>
      <c r="J320" s="80"/>
      <c r="K320" s="7" t="str">
        <f>IF($B320="","",IFERROR(INDEX(Connaissements!$B$3:$B$202,MATCH($B320,Connaissements!$A$3:$A$202,0)),""))</f>
        <v/>
      </c>
      <c r="L320" s="7" t="str">
        <f>IF($B320="","",IFERROR(INDEX(Connaissements!$G$3:$G$202,MATCH($B320,Connaissements!$A$3:$A$202,0)),""))</f>
        <v/>
      </c>
      <c r="M320" s="7" t="str">
        <f t="shared" si="15"/>
        <v/>
      </c>
      <c r="N320" s="7" t="str">
        <f t="shared" ca="1" si="16"/>
        <v/>
      </c>
      <c r="O320" s="13"/>
      <c r="P320" s="29" t="str">
        <f t="shared" ca="1" si="17"/>
        <v/>
      </c>
      <c r="Q320" s="30" t="str">
        <f>IF($K320="","",IFERROR(IF(INDEX(Bookings!$G$3:$G$202,MATCH($K320,Bookings!$A$3:$A$202,0))="","",INDEX(Bookings!$G$3:$G$202,MATCH($K320,Bookings!$A$3:$A$202,0))),""))</f>
        <v/>
      </c>
    </row>
    <row r="321" spans="1:17" hidden="1" x14ac:dyDescent="0.35">
      <c r="A321" s="81"/>
      <c r="B321" s="81"/>
      <c r="C321" s="21"/>
      <c r="D321" s="56"/>
      <c r="E321" s="14"/>
      <c r="F321" s="14"/>
      <c r="G321" s="14"/>
      <c r="H321" s="83">
        <f t="shared" si="18"/>
        <v>0</v>
      </c>
      <c r="I321" s="80"/>
      <c r="J321" s="80"/>
      <c r="K321" s="7" t="str">
        <f>IF($B321="","",IFERROR(INDEX(Connaissements!$B$3:$B$202,MATCH($B321,Connaissements!$A$3:$A$202,0)),""))</f>
        <v/>
      </c>
      <c r="L321" s="7" t="str">
        <f>IF($B321="","",IFERROR(INDEX(Connaissements!$G$3:$G$202,MATCH($B321,Connaissements!$A$3:$A$202,0)),""))</f>
        <v/>
      </c>
      <c r="M321" s="7" t="str">
        <f t="shared" si="15"/>
        <v/>
      </c>
      <c r="N321" s="7" t="str">
        <f t="shared" ca="1" si="16"/>
        <v/>
      </c>
      <c r="O321" s="13"/>
      <c r="P321" s="29" t="str">
        <f t="shared" ca="1" si="17"/>
        <v/>
      </c>
      <c r="Q321" s="30" t="str">
        <f>IF($K321="","",IFERROR(IF(INDEX(Bookings!$G$3:$G$202,MATCH($K321,Bookings!$A$3:$A$202,0))="","",INDEX(Bookings!$G$3:$G$202,MATCH($K321,Bookings!$A$3:$A$202,0))),""))</f>
        <v/>
      </c>
    </row>
    <row r="322" spans="1:17" hidden="1" x14ac:dyDescent="0.35">
      <c r="A322" s="81"/>
      <c r="B322" s="81"/>
      <c r="C322" s="21"/>
      <c r="D322" s="56"/>
      <c r="E322" s="14"/>
      <c r="F322" s="14"/>
      <c r="G322" s="14"/>
      <c r="H322" s="83">
        <f t="shared" si="18"/>
        <v>0</v>
      </c>
      <c r="I322" s="80"/>
      <c r="J322" s="80"/>
      <c r="K322" s="7" t="str">
        <f>IF($B322="","",IFERROR(INDEX(Connaissements!$B$3:$B$202,MATCH($B322,Connaissements!$A$3:$A$202,0)),""))</f>
        <v/>
      </c>
      <c r="L322" s="7" t="str">
        <f>IF($B322="","",IFERROR(INDEX(Connaissements!$G$3:$G$202,MATCH($B322,Connaissements!$A$3:$A$202,0)),""))</f>
        <v/>
      </c>
      <c r="M322" s="7" t="str">
        <f t="shared" si="15"/>
        <v/>
      </c>
      <c r="N322" s="7" t="str">
        <f t="shared" ca="1" si="16"/>
        <v/>
      </c>
      <c r="O322" s="13"/>
      <c r="P322" s="29" t="str">
        <f t="shared" ca="1" si="17"/>
        <v/>
      </c>
      <c r="Q322" s="30" t="str">
        <f>IF($K322="","",IFERROR(IF(INDEX(Bookings!$G$3:$G$202,MATCH($K322,Bookings!$A$3:$A$202,0))="","",INDEX(Bookings!$G$3:$G$202,MATCH($K322,Bookings!$A$3:$A$202,0))),""))</f>
        <v/>
      </c>
    </row>
    <row r="323" spans="1:17" hidden="1" x14ac:dyDescent="0.35">
      <c r="A323" s="81"/>
      <c r="B323" s="81"/>
      <c r="C323" s="21"/>
      <c r="D323" s="56"/>
      <c r="E323" s="14"/>
      <c r="F323" s="14"/>
      <c r="G323" s="14"/>
      <c r="H323" s="83">
        <f t="shared" si="18"/>
        <v>0</v>
      </c>
      <c r="I323" s="80"/>
      <c r="J323" s="80"/>
      <c r="K323" s="7" t="str">
        <f>IF($B323="","",IFERROR(INDEX(Connaissements!$B$3:$B$202,MATCH($B323,Connaissements!$A$3:$A$202,0)),""))</f>
        <v/>
      </c>
      <c r="L323" s="7" t="str">
        <f>IF($B323="","",IFERROR(INDEX(Connaissements!$G$3:$G$202,MATCH($B323,Connaissements!$A$3:$A$202,0)),""))</f>
        <v/>
      </c>
      <c r="M323" s="7" t="str">
        <f t="shared" ref="M323:M386" si="19">IF($A323="","",IF($G323&lt;&gt;"","Embarqué",IF($F323&lt;&gt;"","Gate-In fait",IF($E323&lt;&gt;"","Empoté","À empoter"))))</f>
        <v/>
      </c>
      <c r="N323" s="7" t="str">
        <f t="shared" ref="N323:N386" ca="1" si="20">IF(OR($A323="",$G323&lt;&gt;""),"",IF(AND($Q323&lt;&gt;"",N($Q323)&lt;TODAY()),"RETARD : ETD dépassé, pas embarqué",IF(AND($Q323&lt;&gt;"",N($Q323)-TODAY()&lt;=P_AlerteETD,$F323=""),"Gate-In à faire (ETD proche)",IF(AND($E323&lt;&gt;"",$H323=""),"Poids net à saisir",""))))</f>
        <v/>
      </c>
      <c r="O323" s="13"/>
      <c r="P323" s="29" t="str">
        <f t="shared" ref="P323:P386" ca="1" si="21">IF($N323&lt;&gt;"",1,"")</f>
        <v/>
      </c>
      <c r="Q323" s="30" t="str">
        <f>IF($K323="","",IFERROR(IF(INDEX(Bookings!$G$3:$G$202,MATCH($K323,Bookings!$A$3:$A$202,0))="","",INDEX(Bookings!$G$3:$G$202,MATCH($K323,Bookings!$A$3:$A$202,0))),""))</f>
        <v/>
      </c>
    </row>
    <row r="324" spans="1:17" hidden="1" x14ac:dyDescent="0.35">
      <c r="A324" s="81"/>
      <c r="B324" s="81"/>
      <c r="C324" s="21"/>
      <c r="D324" s="56"/>
      <c r="E324" s="14"/>
      <c r="F324" s="14"/>
      <c r="G324" s="14"/>
      <c r="H324" s="83">
        <f t="shared" ref="H324:H387" si="22">J324-I324</f>
        <v>0</v>
      </c>
      <c r="I324" s="80"/>
      <c r="J324" s="80"/>
      <c r="K324" s="7" t="str">
        <f>IF($B324="","",IFERROR(INDEX(Connaissements!$B$3:$B$202,MATCH($B324,Connaissements!$A$3:$A$202,0)),""))</f>
        <v/>
      </c>
      <c r="L324" s="7" t="str">
        <f>IF($B324="","",IFERROR(INDEX(Connaissements!$G$3:$G$202,MATCH($B324,Connaissements!$A$3:$A$202,0)),""))</f>
        <v/>
      </c>
      <c r="M324" s="7" t="str">
        <f t="shared" si="19"/>
        <v/>
      </c>
      <c r="N324" s="7" t="str">
        <f t="shared" ca="1" si="20"/>
        <v/>
      </c>
      <c r="O324" s="13"/>
      <c r="P324" s="29" t="str">
        <f t="shared" ca="1" si="21"/>
        <v/>
      </c>
      <c r="Q324" s="30" t="str">
        <f>IF($K324="","",IFERROR(IF(INDEX(Bookings!$G$3:$G$202,MATCH($K324,Bookings!$A$3:$A$202,0))="","",INDEX(Bookings!$G$3:$G$202,MATCH($K324,Bookings!$A$3:$A$202,0))),""))</f>
        <v/>
      </c>
    </row>
    <row r="325" spans="1:17" hidden="1" x14ac:dyDescent="0.35">
      <c r="A325" s="81"/>
      <c r="B325" s="81"/>
      <c r="C325" s="21"/>
      <c r="D325" s="56"/>
      <c r="E325" s="14"/>
      <c r="F325" s="14"/>
      <c r="G325" s="14"/>
      <c r="H325" s="83">
        <f t="shared" si="22"/>
        <v>0</v>
      </c>
      <c r="I325" s="80"/>
      <c r="J325" s="80"/>
      <c r="K325" s="7" t="str">
        <f>IF($B325="","",IFERROR(INDEX(Connaissements!$B$3:$B$202,MATCH($B325,Connaissements!$A$3:$A$202,0)),""))</f>
        <v/>
      </c>
      <c r="L325" s="7" t="str">
        <f>IF($B325="","",IFERROR(INDEX(Connaissements!$G$3:$G$202,MATCH($B325,Connaissements!$A$3:$A$202,0)),""))</f>
        <v/>
      </c>
      <c r="M325" s="7" t="str">
        <f t="shared" si="19"/>
        <v/>
      </c>
      <c r="N325" s="7" t="str">
        <f t="shared" ca="1" si="20"/>
        <v/>
      </c>
      <c r="O325" s="13"/>
      <c r="P325" s="29" t="str">
        <f t="shared" ca="1" si="21"/>
        <v/>
      </c>
      <c r="Q325" s="30" t="str">
        <f>IF($K325="","",IFERROR(IF(INDEX(Bookings!$G$3:$G$202,MATCH($K325,Bookings!$A$3:$A$202,0))="","",INDEX(Bookings!$G$3:$G$202,MATCH($K325,Bookings!$A$3:$A$202,0))),""))</f>
        <v/>
      </c>
    </row>
    <row r="326" spans="1:17" hidden="1" x14ac:dyDescent="0.35">
      <c r="A326" s="81"/>
      <c r="B326" s="81"/>
      <c r="C326" s="21"/>
      <c r="D326" s="56"/>
      <c r="E326" s="14"/>
      <c r="F326" s="14"/>
      <c r="G326" s="14"/>
      <c r="H326" s="83">
        <f t="shared" si="22"/>
        <v>0</v>
      </c>
      <c r="I326" s="80"/>
      <c r="J326" s="80"/>
      <c r="K326" s="7" t="str">
        <f>IF($B326="","",IFERROR(INDEX(Connaissements!$B$3:$B$202,MATCH($B326,Connaissements!$A$3:$A$202,0)),""))</f>
        <v/>
      </c>
      <c r="L326" s="7" t="str">
        <f>IF($B326="","",IFERROR(INDEX(Connaissements!$G$3:$G$202,MATCH($B326,Connaissements!$A$3:$A$202,0)),""))</f>
        <v/>
      </c>
      <c r="M326" s="7" t="str">
        <f t="shared" si="19"/>
        <v/>
      </c>
      <c r="N326" s="7" t="str">
        <f t="shared" ca="1" si="20"/>
        <v/>
      </c>
      <c r="O326" s="13"/>
      <c r="P326" s="29" t="str">
        <f t="shared" ca="1" si="21"/>
        <v/>
      </c>
      <c r="Q326" s="30" t="str">
        <f>IF($K326="","",IFERROR(IF(INDEX(Bookings!$G$3:$G$202,MATCH($K326,Bookings!$A$3:$A$202,0))="","",INDEX(Bookings!$G$3:$G$202,MATCH($K326,Bookings!$A$3:$A$202,0))),""))</f>
        <v/>
      </c>
    </row>
    <row r="327" spans="1:17" hidden="1" x14ac:dyDescent="0.35">
      <c r="A327" s="81"/>
      <c r="B327" s="81"/>
      <c r="C327" s="21"/>
      <c r="D327" s="56"/>
      <c r="E327" s="14"/>
      <c r="F327" s="14"/>
      <c r="G327" s="14"/>
      <c r="H327" s="83">
        <f t="shared" si="22"/>
        <v>0</v>
      </c>
      <c r="I327" s="80"/>
      <c r="J327" s="80"/>
      <c r="K327" s="7" t="str">
        <f>IF($B327="","",IFERROR(INDEX(Connaissements!$B$3:$B$202,MATCH($B327,Connaissements!$A$3:$A$202,0)),""))</f>
        <v/>
      </c>
      <c r="L327" s="7" t="str">
        <f>IF($B327="","",IFERROR(INDEX(Connaissements!$G$3:$G$202,MATCH($B327,Connaissements!$A$3:$A$202,0)),""))</f>
        <v/>
      </c>
      <c r="M327" s="7" t="str">
        <f t="shared" si="19"/>
        <v/>
      </c>
      <c r="N327" s="7" t="str">
        <f t="shared" ca="1" si="20"/>
        <v/>
      </c>
      <c r="O327" s="13"/>
      <c r="P327" s="29" t="str">
        <f t="shared" ca="1" si="21"/>
        <v/>
      </c>
      <c r="Q327" s="30" t="str">
        <f>IF($K327="","",IFERROR(IF(INDEX(Bookings!$G$3:$G$202,MATCH($K327,Bookings!$A$3:$A$202,0))="","",INDEX(Bookings!$G$3:$G$202,MATCH($K327,Bookings!$A$3:$A$202,0))),""))</f>
        <v/>
      </c>
    </row>
    <row r="328" spans="1:17" hidden="1" x14ac:dyDescent="0.35">
      <c r="A328" s="81"/>
      <c r="B328" s="81"/>
      <c r="C328" s="21"/>
      <c r="D328" s="56"/>
      <c r="E328" s="14"/>
      <c r="F328" s="14"/>
      <c r="G328" s="14"/>
      <c r="H328" s="83">
        <f t="shared" si="22"/>
        <v>0</v>
      </c>
      <c r="I328" s="80"/>
      <c r="J328" s="80"/>
      <c r="K328" s="7" t="str">
        <f>IF($B328="","",IFERROR(INDEX(Connaissements!$B$3:$B$202,MATCH($B328,Connaissements!$A$3:$A$202,0)),""))</f>
        <v/>
      </c>
      <c r="L328" s="7" t="str">
        <f>IF($B328="","",IFERROR(INDEX(Connaissements!$G$3:$G$202,MATCH($B328,Connaissements!$A$3:$A$202,0)),""))</f>
        <v/>
      </c>
      <c r="M328" s="7" t="str">
        <f t="shared" si="19"/>
        <v/>
      </c>
      <c r="N328" s="7" t="str">
        <f t="shared" ca="1" si="20"/>
        <v/>
      </c>
      <c r="O328" s="13"/>
      <c r="P328" s="29" t="str">
        <f t="shared" ca="1" si="21"/>
        <v/>
      </c>
      <c r="Q328" s="30" t="str">
        <f>IF($K328="","",IFERROR(IF(INDEX(Bookings!$G$3:$G$202,MATCH($K328,Bookings!$A$3:$A$202,0))="","",INDEX(Bookings!$G$3:$G$202,MATCH($K328,Bookings!$A$3:$A$202,0))),""))</f>
        <v/>
      </c>
    </row>
    <row r="329" spans="1:17" hidden="1" x14ac:dyDescent="0.35">
      <c r="A329" s="81"/>
      <c r="B329" s="81"/>
      <c r="C329" s="21"/>
      <c r="D329" s="56"/>
      <c r="E329" s="14"/>
      <c r="F329" s="14"/>
      <c r="G329" s="14"/>
      <c r="H329" s="83">
        <f t="shared" si="22"/>
        <v>0</v>
      </c>
      <c r="I329" s="80"/>
      <c r="J329" s="80"/>
      <c r="K329" s="7" t="str">
        <f>IF($B329="","",IFERROR(INDEX(Connaissements!$B$3:$B$202,MATCH($B329,Connaissements!$A$3:$A$202,0)),""))</f>
        <v/>
      </c>
      <c r="L329" s="7" t="str">
        <f>IF($B329="","",IFERROR(INDEX(Connaissements!$G$3:$G$202,MATCH($B329,Connaissements!$A$3:$A$202,0)),""))</f>
        <v/>
      </c>
      <c r="M329" s="7" t="str">
        <f t="shared" si="19"/>
        <v/>
      </c>
      <c r="N329" s="7" t="str">
        <f t="shared" ca="1" si="20"/>
        <v/>
      </c>
      <c r="O329" s="13"/>
      <c r="P329" s="29" t="str">
        <f t="shared" ca="1" si="21"/>
        <v/>
      </c>
      <c r="Q329" s="30" t="str">
        <f>IF($K329="","",IFERROR(IF(INDEX(Bookings!$G$3:$G$202,MATCH($K329,Bookings!$A$3:$A$202,0))="","",INDEX(Bookings!$G$3:$G$202,MATCH($K329,Bookings!$A$3:$A$202,0))),""))</f>
        <v/>
      </c>
    </row>
    <row r="330" spans="1:17" hidden="1" x14ac:dyDescent="0.35">
      <c r="A330" s="81"/>
      <c r="B330" s="81"/>
      <c r="C330" s="21"/>
      <c r="D330" s="56"/>
      <c r="E330" s="14"/>
      <c r="F330" s="14"/>
      <c r="G330" s="14"/>
      <c r="H330" s="83">
        <f t="shared" si="22"/>
        <v>0</v>
      </c>
      <c r="I330" s="80"/>
      <c r="J330" s="80"/>
      <c r="K330" s="7" t="str">
        <f>IF($B330="","",IFERROR(INDEX(Connaissements!$B$3:$B$202,MATCH($B330,Connaissements!$A$3:$A$202,0)),""))</f>
        <v/>
      </c>
      <c r="L330" s="7" t="str">
        <f>IF($B330="","",IFERROR(INDEX(Connaissements!$G$3:$G$202,MATCH($B330,Connaissements!$A$3:$A$202,0)),""))</f>
        <v/>
      </c>
      <c r="M330" s="7" t="str">
        <f t="shared" si="19"/>
        <v/>
      </c>
      <c r="N330" s="7" t="str">
        <f t="shared" ca="1" si="20"/>
        <v/>
      </c>
      <c r="O330" s="13"/>
      <c r="P330" s="29" t="str">
        <f t="shared" ca="1" si="21"/>
        <v/>
      </c>
      <c r="Q330" s="30" t="str">
        <f>IF($K330="","",IFERROR(IF(INDEX(Bookings!$G$3:$G$202,MATCH($K330,Bookings!$A$3:$A$202,0))="","",INDEX(Bookings!$G$3:$G$202,MATCH($K330,Bookings!$A$3:$A$202,0))),""))</f>
        <v/>
      </c>
    </row>
    <row r="331" spans="1:17" hidden="1" x14ac:dyDescent="0.35">
      <c r="A331" s="81"/>
      <c r="B331" s="81"/>
      <c r="C331" s="21"/>
      <c r="D331" s="56"/>
      <c r="E331" s="14"/>
      <c r="F331" s="14"/>
      <c r="G331" s="14"/>
      <c r="H331" s="83">
        <f t="shared" si="22"/>
        <v>0</v>
      </c>
      <c r="I331" s="80"/>
      <c r="J331" s="80"/>
      <c r="K331" s="7" t="str">
        <f>IF($B331="","",IFERROR(INDEX(Connaissements!$B$3:$B$202,MATCH($B331,Connaissements!$A$3:$A$202,0)),""))</f>
        <v/>
      </c>
      <c r="L331" s="7" t="str">
        <f>IF($B331="","",IFERROR(INDEX(Connaissements!$G$3:$G$202,MATCH($B331,Connaissements!$A$3:$A$202,0)),""))</f>
        <v/>
      </c>
      <c r="M331" s="7" t="str">
        <f t="shared" si="19"/>
        <v/>
      </c>
      <c r="N331" s="7" t="str">
        <f t="shared" ca="1" si="20"/>
        <v/>
      </c>
      <c r="O331" s="13"/>
      <c r="P331" s="29" t="str">
        <f t="shared" ca="1" si="21"/>
        <v/>
      </c>
      <c r="Q331" s="30" t="str">
        <f>IF($K331="","",IFERROR(IF(INDEX(Bookings!$G$3:$G$202,MATCH($K331,Bookings!$A$3:$A$202,0))="","",INDEX(Bookings!$G$3:$G$202,MATCH($K331,Bookings!$A$3:$A$202,0))),""))</f>
        <v/>
      </c>
    </row>
    <row r="332" spans="1:17" hidden="1" x14ac:dyDescent="0.35">
      <c r="A332" s="81"/>
      <c r="B332" s="81"/>
      <c r="C332" s="21"/>
      <c r="D332" s="56"/>
      <c r="E332" s="14"/>
      <c r="F332" s="14"/>
      <c r="G332" s="14"/>
      <c r="H332" s="83">
        <f t="shared" si="22"/>
        <v>0</v>
      </c>
      <c r="I332" s="80"/>
      <c r="J332" s="80"/>
      <c r="K332" s="7" t="str">
        <f>IF($B332="","",IFERROR(INDEX(Connaissements!$B$3:$B$202,MATCH($B332,Connaissements!$A$3:$A$202,0)),""))</f>
        <v/>
      </c>
      <c r="L332" s="7" t="str">
        <f>IF($B332="","",IFERROR(INDEX(Connaissements!$G$3:$G$202,MATCH($B332,Connaissements!$A$3:$A$202,0)),""))</f>
        <v/>
      </c>
      <c r="M332" s="7" t="str">
        <f t="shared" si="19"/>
        <v/>
      </c>
      <c r="N332" s="7" t="str">
        <f t="shared" ca="1" si="20"/>
        <v/>
      </c>
      <c r="O332" s="13"/>
      <c r="P332" s="29" t="str">
        <f t="shared" ca="1" si="21"/>
        <v/>
      </c>
      <c r="Q332" s="30" t="str">
        <f>IF($K332="","",IFERROR(IF(INDEX(Bookings!$G$3:$G$202,MATCH($K332,Bookings!$A$3:$A$202,0))="","",INDEX(Bookings!$G$3:$G$202,MATCH($K332,Bookings!$A$3:$A$202,0))),""))</f>
        <v/>
      </c>
    </row>
    <row r="333" spans="1:17" hidden="1" x14ac:dyDescent="0.35">
      <c r="A333" s="81"/>
      <c r="B333" s="81"/>
      <c r="C333" s="21"/>
      <c r="D333" s="56"/>
      <c r="E333" s="14"/>
      <c r="F333" s="14"/>
      <c r="G333" s="14"/>
      <c r="H333" s="83">
        <f t="shared" si="22"/>
        <v>0</v>
      </c>
      <c r="I333" s="80"/>
      <c r="J333" s="80"/>
      <c r="K333" s="7" t="str">
        <f>IF($B333="","",IFERROR(INDEX(Connaissements!$B$3:$B$202,MATCH($B333,Connaissements!$A$3:$A$202,0)),""))</f>
        <v/>
      </c>
      <c r="L333" s="7" t="str">
        <f>IF($B333="","",IFERROR(INDEX(Connaissements!$G$3:$G$202,MATCH($B333,Connaissements!$A$3:$A$202,0)),""))</f>
        <v/>
      </c>
      <c r="M333" s="7" t="str">
        <f t="shared" si="19"/>
        <v/>
      </c>
      <c r="N333" s="7" t="str">
        <f t="shared" ca="1" si="20"/>
        <v/>
      </c>
      <c r="O333" s="13"/>
      <c r="P333" s="29" t="str">
        <f t="shared" ca="1" si="21"/>
        <v/>
      </c>
      <c r="Q333" s="30" t="str">
        <f>IF($K333="","",IFERROR(IF(INDEX(Bookings!$G$3:$G$202,MATCH($K333,Bookings!$A$3:$A$202,0))="","",INDEX(Bookings!$G$3:$G$202,MATCH($K333,Bookings!$A$3:$A$202,0))),""))</f>
        <v/>
      </c>
    </row>
    <row r="334" spans="1:17" hidden="1" x14ac:dyDescent="0.35">
      <c r="A334" s="81"/>
      <c r="B334" s="81"/>
      <c r="C334" s="21"/>
      <c r="D334" s="56"/>
      <c r="E334" s="14"/>
      <c r="F334" s="14"/>
      <c r="G334" s="14"/>
      <c r="H334" s="83">
        <f t="shared" si="22"/>
        <v>0</v>
      </c>
      <c r="I334" s="80"/>
      <c r="J334" s="80"/>
      <c r="K334" s="7" t="str">
        <f>IF($B334="","",IFERROR(INDEX(Connaissements!$B$3:$B$202,MATCH($B334,Connaissements!$A$3:$A$202,0)),""))</f>
        <v/>
      </c>
      <c r="L334" s="7" t="str">
        <f>IF($B334="","",IFERROR(INDEX(Connaissements!$G$3:$G$202,MATCH($B334,Connaissements!$A$3:$A$202,0)),""))</f>
        <v/>
      </c>
      <c r="M334" s="7" t="str">
        <f t="shared" si="19"/>
        <v/>
      </c>
      <c r="N334" s="7" t="str">
        <f t="shared" ca="1" si="20"/>
        <v/>
      </c>
      <c r="O334" s="13"/>
      <c r="P334" s="29" t="str">
        <f t="shared" ca="1" si="21"/>
        <v/>
      </c>
      <c r="Q334" s="30" t="str">
        <f>IF($K334="","",IFERROR(IF(INDEX(Bookings!$G$3:$G$202,MATCH($K334,Bookings!$A$3:$A$202,0))="","",INDEX(Bookings!$G$3:$G$202,MATCH($K334,Bookings!$A$3:$A$202,0))),""))</f>
        <v/>
      </c>
    </row>
    <row r="335" spans="1:17" hidden="1" x14ac:dyDescent="0.35">
      <c r="A335" s="81"/>
      <c r="B335" s="81"/>
      <c r="C335" s="21"/>
      <c r="D335" s="56"/>
      <c r="E335" s="14"/>
      <c r="F335" s="14"/>
      <c r="G335" s="14"/>
      <c r="H335" s="83">
        <f t="shared" si="22"/>
        <v>0</v>
      </c>
      <c r="I335" s="80"/>
      <c r="J335" s="80"/>
      <c r="K335" s="7" t="str">
        <f>IF($B335="","",IFERROR(INDEX(Connaissements!$B$3:$B$202,MATCH($B335,Connaissements!$A$3:$A$202,0)),""))</f>
        <v/>
      </c>
      <c r="L335" s="7" t="str">
        <f>IF($B335="","",IFERROR(INDEX(Connaissements!$G$3:$G$202,MATCH($B335,Connaissements!$A$3:$A$202,0)),""))</f>
        <v/>
      </c>
      <c r="M335" s="7" t="str">
        <f t="shared" si="19"/>
        <v/>
      </c>
      <c r="N335" s="7" t="str">
        <f t="shared" ca="1" si="20"/>
        <v/>
      </c>
      <c r="O335" s="13"/>
      <c r="P335" s="29" t="str">
        <f t="shared" ca="1" si="21"/>
        <v/>
      </c>
      <c r="Q335" s="30" t="str">
        <f>IF($K335="","",IFERROR(IF(INDEX(Bookings!$G$3:$G$202,MATCH($K335,Bookings!$A$3:$A$202,0))="","",INDEX(Bookings!$G$3:$G$202,MATCH($K335,Bookings!$A$3:$A$202,0))),""))</f>
        <v/>
      </c>
    </row>
    <row r="336" spans="1:17" hidden="1" x14ac:dyDescent="0.35">
      <c r="A336" s="81"/>
      <c r="B336" s="81"/>
      <c r="C336" s="21"/>
      <c r="D336" s="56"/>
      <c r="E336" s="14"/>
      <c r="F336" s="14"/>
      <c r="G336" s="14"/>
      <c r="H336" s="83">
        <f t="shared" si="22"/>
        <v>0</v>
      </c>
      <c r="I336" s="80"/>
      <c r="J336" s="80"/>
      <c r="K336" s="7" t="str">
        <f>IF($B336="","",IFERROR(INDEX(Connaissements!$B$3:$B$202,MATCH($B336,Connaissements!$A$3:$A$202,0)),""))</f>
        <v/>
      </c>
      <c r="L336" s="7" t="str">
        <f>IF($B336="","",IFERROR(INDEX(Connaissements!$G$3:$G$202,MATCH($B336,Connaissements!$A$3:$A$202,0)),""))</f>
        <v/>
      </c>
      <c r="M336" s="7" t="str">
        <f t="shared" si="19"/>
        <v/>
      </c>
      <c r="N336" s="7" t="str">
        <f t="shared" ca="1" si="20"/>
        <v/>
      </c>
      <c r="O336" s="13"/>
      <c r="P336" s="29" t="str">
        <f t="shared" ca="1" si="21"/>
        <v/>
      </c>
      <c r="Q336" s="30" t="str">
        <f>IF($K336="","",IFERROR(IF(INDEX(Bookings!$G$3:$G$202,MATCH($K336,Bookings!$A$3:$A$202,0))="","",INDEX(Bookings!$G$3:$G$202,MATCH($K336,Bookings!$A$3:$A$202,0))),""))</f>
        <v/>
      </c>
    </row>
    <row r="337" spans="1:17" hidden="1" x14ac:dyDescent="0.35">
      <c r="A337" s="81"/>
      <c r="B337" s="81"/>
      <c r="C337" s="21"/>
      <c r="D337" s="56"/>
      <c r="E337" s="14"/>
      <c r="F337" s="14"/>
      <c r="G337" s="14"/>
      <c r="H337" s="83">
        <f t="shared" si="22"/>
        <v>0</v>
      </c>
      <c r="I337" s="80"/>
      <c r="J337" s="80"/>
      <c r="K337" s="7" t="str">
        <f>IF($B337="","",IFERROR(INDEX(Connaissements!$B$3:$B$202,MATCH($B337,Connaissements!$A$3:$A$202,0)),""))</f>
        <v/>
      </c>
      <c r="L337" s="7" t="str">
        <f>IF($B337="","",IFERROR(INDEX(Connaissements!$G$3:$G$202,MATCH($B337,Connaissements!$A$3:$A$202,0)),""))</f>
        <v/>
      </c>
      <c r="M337" s="7" t="str">
        <f t="shared" si="19"/>
        <v/>
      </c>
      <c r="N337" s="7" t="str">
        <f t="shared" ca="1" si="20"/>
        <v/>
      </c>
      <c r="O337" s="13"/>
      <c r="P337" s="29" t="str">
        <f t="shared" ca="1" si="21"/>
        <v/>
      </c>
      <c r="Q337" s="30" t="str">
        <f>IF($K337="","",IFERROR(IF(INDEX(Bookings!$G$3:$G$202,MATCH($K337,Bookings!$A$3:$A$202,0))="","",INDEX(Bookings!$G$3:$G$202,MATCH($K337,Bookings!$A$3:$A$202,0))),""))</f>
        <v/>
      </c>
    </row>
    <row r="338" spans="1:17" hidden="1" x14ac:dyDescent="0.35">
      <c r="A338" s="81"/>
      <c r="B338" s="81"/>
      <c r="C338" s="21"/>
      <c r="D338" s="56"/>
      <c r="E338" s="14"/>
      <c r="F338" s="14"/>
      <c r="G338" s="14"/>
      <c r="H338" s="83">
        <f t="shared" si="22"/>
        <v>0</v>
      </c>
      <c r="I338" s="80"/>
      <c r="J338" s="80"/>
      <c r="K338" s="7" t="str">
        <f>IF($B338="","",IFERROR(INDEX(Connaissements!$B$3:$B$202,MATCH($B338,Connaissements!$A$3:$A$202,0)),""))</f>
        <v/>
      </c>
      <c r="L338" s="7" t="str">
        <f>IF($B338="","",IFERROR(INDEX(Connaissements!$G$3:$G$202,MATCH($B338,Connaissements!$A$3:$A$202,0)),""))</f>
        <v/>
      </c>
      <c r="M338" s="7" t="str">
        <f t="shared" si="19"/>
        <v/>
      </c>
      <c r="N338" s="7" t="str">
        <f t="shared" ca="1" si="20"/>
        <v/>
      </c>
      <c r="O338" s="13"/>
      <c r="P338" s="29" t="str">
        <f t="shared" ca="1" si="21"/>
        <v/>
      </c>
      <c r="Q338" s="30" t="str">
        <f>IF($K338="","",IFERROR(IF(INDEX(Bookings!$G$3:$G$202,MATCH($K338,Bookings!$A$3:$A$202,0))="","",INDEX(Bookings!$G$3:$G$202,MATCH($K338,Bookings!$A$3:$A$202,0))),""))</f>
        <v/>
      </c>
    </row>
    <row r="339" spans="1:17" hidden="1" x14ac:dyDescent="0.35">
      <c r="A339" s="81"/>
      <c r="B339" s="81"/>
      <c r="C339" s="21"/>
      <c r="D339" s="56"/>
      <c r="E339" s="14"/>
      <c r="F339" s="14"/>
      <c r="G339" s="14"/>
      <c r="H339" s="83">
        <f t="shared" si="22"/>
        <v>0</v>
      </c>
      <c r="I339" s="80"/>
      <c r="J339" s="80"/>
      <c r="K339" s="7" t="str">
        <f>IF($B339="","",IFERROR(INDEX(Connaissements!$B$3:$B$202,MATCH($B339,Connaissements!$A$3:$A$202,0)),""))</f>
        <v/>
      </c>
      <c r="L339" s="7" t="str">
        <f>IF($B339="","",IFERROR(INDEX(Connaissements!$G$3:$G$202,MATCH($B339,Connaissements!$A$3:$A$202,0)),""))</f>
        <v/>
      </c>
      <c r="M339" s="7" t="str">
        <f t="shared" si="19"/>
        <v/>
      </c>
      <c r="N339" s="7" t="str">
        <f t="shared" ca="1" si="20"/>
        <v/>
      </c>
      <c r="O339" s="13"/>
      <c r="P339" s="29" t="str">
        <f t="shared" ca="1" si="21"/>
        <v/>
      </c>
      <c r="Q339" s="30" t="str">
        <f>IF($K339="","",IFERROR(IF(INDEX(Bookings!$G$3:$G$202,MATCH($K339,Bookings!$A$3:$A$202,0))="","",INDEX(Bookings!$G$3:$G$202,MATCH($K339,Bookings!$A$3:$A$202,0))),""))</f>
        <v/>
      </c>
    </row>
    <row r="340" spans="1:17" hidden="1" x14ac:dyDescent="0.35">
      <c r="A340" s="81"/>
      <c r="B340" s="81"/>
      <c r="C340" s="21"/>
      <c r="D340" s="56"/>
      <c r="E340" s="14"/>
      <c r="F340" s="14"/>
      <c r="G340" s="14"/>
      <c r="H340" s="83">
        <f t="shared" si="22"/>
        <v>0</v>
      </c>
      <c r="I340" s="80"/>
      <c r="J340" s="80"/>
      <c r="K340" s="7" t="str">
        <f>IF($B340="","",IFERROR(INDEX(Connaissements!$B$3:$B$202,MATCH($B340,Connaissements!$A$3:$A$202,0)),""))</f>
        <v/>
      </c>
      <c r="L340" s="7" t="str">
        <f>IF($B340="","",IFERROR(INDEX(Connaissements!$G$3:$G$202,MATCH($B340,Connaissements!$A$3:$A$202,0)),""))</f>
        <v/>
      </c>
      <c r="M340" s="7" t="str">
        <f t="shared" si="19"/>
        <v/>
      </c>
      <c r="N340" s="7" t="str">
        <f t="shared" ca="1" si="20"/>
        <v/>
      </c>
      <c r="O340" s="13"/>
      <c r="P340" s="29" t="str">
        <f t="shared" ca="1" si="21"/>
        <v/>
      </c>
      <c r="Q340" s="30" t="str">
        <f>IF($K340="","",IFERROR(IF(INDEX(Bookings!$G$3:$G$202,MATCH($K340,Bookings!$A$3:$A$202,0))="","",INDEX(Bookings!$G$3:$G$202,MATCH($K340,Bookings!$A$3:$A$202,0))),""))</f>
        <v/>
      </c>
    </row>
    <row r="341" spans="1:17" hidden="1" x14ac:dyDescent="0.35">
      <c r="A341" s="81"/>
      <c r="B341" s="81"/>
      <c r="C341" s="21"/>
      <c r="D341" s="56"/>
      <c r="E341" s="14"/>
      <c r="F341" s="14"/>
      <c r="G341" s="14"/>
      <c r="H341" s="83">
        <f t="shared" si="22"/>
        <v>0</v>
      </c>
      <c r="I341" s="80"/>
      <c r="J341" s="80"/>
      <c r="K341" s="7" t="str">
        <f>IF($B341="","",IFERROR(INDEX(Connaissements!$B$3:$B$202,MATCH($B341,Connaissements!$A$3:$A$202,0)),""))</f>
        <v/>
      </c>
      <c r="L341" s="7" t="str">
        <f>IF($B341="","",IFERROR(INDEX(Connaissements!$G$3:$G$202,MATCH($B341,Connaissements!$A$3:$A$202,0)),""))</f>
        <v/>
      </c>
      <c r="M341" s="7" t="str">
        <f t="shared" si="19"/>
        <v/>
      </c>
      <c r="N341" s="7" t="str">
        <f t="shared" ca="1" si="20"/>
        <v/>
      </c>
      <c r="O341" s="13"/>
      <c r="P341" s="29" t="str">
        <f t="shared" ca="1" si="21"/>
        <v/>
      </c>
      <c r="Q341" s="30" t="str">
        <f>IF($K341="","",IFERROR(IF(INDEX(Bookings!$G$3:$G$202,MATCH($K341,Bookings!$A$3:$A$202,0))="","",INDEX(Bookings!$G$3:$G$202,MATCH($K341,Bookings!$A$3:$A$202,0))),""))</f>
        <v/>
      </c>
    </row>
    <row r="342" spans="1:17" hidden="1" x14ac:dyDescent="0.35">
      <c r="A342" s="81"/>
      <c r="B342" s="81"/>
      <c r="C342" s="21"/>
      <c r="D342" s="56"/>
      <c r="E342" s="14"/>
      <c r="F342" s="14"/>
      <c r="G342" s="14"/>
      <c r="H342" s="83">
        <f t="shared" si="22"/>
        <v>0</v>
      </c>
      <c r="I342" s="80"/>
      <c r="J342" s="80"/>
      <c r="K342" s="7" t="str">
        <f>IF($B342="","",IFERROR(INDEX(Connaissements!$B$3:$B$202,MATCH($B342,Connaissements!$A$3:$A$202,0)),""))</f>
        <v/>
      </c>
      <c r="L342" s="7" t="str">
        <f>IF($B342="","",IFERROR(INDEX(Connaissements!$G$3:$G$202,MATCH($B342,Connaissements!$A$3:$A$202,0)),""))</f>
        <v/>
      </c>
      <c r="M342" s="7" t="str">
        <f t="shared" si="19"/>
        <v/>
      </c>
      <c r="N342" s="7" t="str">
        <f t="shared" ca="1" si="20"/>
        <v/>
      </c>
      <c r="O342" s="13"/>
      <c r="P342" s="29" t="str">
        <f t="shared" ca="1" si="21"/>
        <v/>
      </c>
      <c r="Q342" s="30" t="str">
        <f>IF($K342="","",IFERROR(IF(INDEX(Bookings!$G$3:$G$202,MATCH($K342,Bookings!$A$3:$A$202,0))="","",INDEX(Bookings!$G$3:$G$202,MATCH($K342,Bookings!$A$3:$A$202,0))),""))</f>
        <v/>
      </c>
    </row>
    <row r="343" spans="1:17" hidden="1" x14ac:dyDescent="0.35">
      <c r="A343" s="81"/>
      <c r="B343" s="81"/>
      <c r="C343" s="21"/>
      <c r="D343" s="56"/>
      <c r="E343" s="14"/>
      <c r="F343" s="14"/>
      <c r="G343" s="14"/>
      <c r="H343" s="83">
        <f t="shared" si="22"/>
        <v>0</v>
      </c>
      <c r="I343" s="80"/>
      <c r="J343" s="80"/>
      <c r="K343" s="7" t="str">
        <f>IF($B343="","",IFERROR(INDEX(Connaissements!$B$3:$B$202,MATCH($B343,Connaissements!$A$3:$A$202,0)),""))</f>
        <v/>
      </c>
      <c r="L343" s="7" t="str">
        <f>IF($B343="","",IFERROR(INDEX(Connaissements!$G$3:$G$202,MATCH($B343,Connaissements!$A$3:$A$202,0)),""))</f>
        <v/>
      </c>
      <c r="M343" s="7" t="str">
        <f t="shared" si="19"/>
        <v/>
      </c>
      <c r="N343" s="7" t="str">
        <f t="shared" ca="1" si="20"/>
        <v/>
      </c>
      <c r="O343" s="13"/>
      <c r="P343" s="29" t="str">
        <f t="shared" ca="1" si="21"/>
        <v/>
      </c>
      <c r="Q343" s="30" t="str">
        <f>IF($K343="","",IFERROR(IF(INDEX(Bookings!$G$3:$G$202,MATCH($K343,Bookings!$A$3:$A$202,0))="","",INDEX(Bookings!$G$3:$G$202,MATCH($K343,Bookings!$A$3:$A$202,0))),""))</f>
        <v/>
      </c>
    </row>
    <row r="344" spans="1:17" hidden="1" x14ac:dyDescent="0.35">
      <c r="A344" s="81"/>
      <c r="B344" s="81"/>
      <c r="C344" s="21"/>
      <c r="D344" s="56"/>
      <c r="E344" s="14"/>
      <c r="F344" s="14"/>
      <c r="G344" s="14"/>
      <c r="H344" s="83">
        <f t="shared" si="22"/>
        <v>0</v>
      </c>
      <c r="I344" s="80"/>
      <c r="J344" s="80"/>
      <c r="K344" s="7" t="str">
        <f>IF($B344="","",IFERROR(INDEX(Connaissements!$B$3:$B$202,MATCH($B344,Connaissements!$A$3:$A$202,0)),""))</f>
        <v/>
      </c>
      <c r="L344" s="7" t="str">
        <f>IF($B344="","",IFERROR(INDEX(Connaissements!$G$3:$G$202,MATCH($B344,Connaissements!$A$3:$A$202,0)),""))</f>
        <v/>
      </c>
      <c r="M344" s="7" t="str">
        <f t="shared" si="19"/>
        <v/>
      </c>
      <c r="N344" s="7" t="str">
        <f t="shared" ca="1" si="20"/>
        <v/>
      </c>
      <c r="O344" s="13"/>
      <c r="P344" s="29" t="str">
        <f t="shared" ca="1" si="21"/>
        <v/>
      </c>
      <c r="Q344" s="30" t="str">
        <f>IF($K344="","",IFERROR(IF(INDEX(Bookings!$G$3:$G$202,MATCH($K344,Bookings!$A$3:$A$202,0))="","",INDEX(Bookings!$G$3:$G$202,MATCH($K344,Bookings!$A$3:$A$202,0))),""))</f>
        <v/>
      </c>
    </row>
    <row r="345" spans="1:17" hidden="1" x14ac:dyDescent="0.35">
      <c r="A345" s="81"/>
      <c r="B345" s="81"/>
      <c r="C345" s="21"/>
      <c r="D345" s="56"/>
      <c r="E345" s="14"/>
      <c r="F345" s="14"/>
      <c r="G345" s="14"/>
      <c r="H345" s="83">
        <f t="shared" si="22"/>
        <v>0</v>
      </c>
      <c r="I345" s="80"/>
      <c r="J345" s="80"/>
      <c r="K345" s="7" t="str">
        <f>IF($B345="","",IFERROR(INDEX(Connaissements!$B$3:$B$202,MATCH($B345,Connaissements!$A$3:$A$202,0)),""))</f>
        <v/>
      </c>
      <c r="L345" s="7" t="str">
        <f>IF($B345="","",IFERROR(INDEX(Connaissements!$G$3:$G$202,MATCH($B345,Connaissements!$A$3:$A$202,0)),""))</f>
        <v/>
      </c>
      <c r="M345" s="7" t="str">
        <f t="shared" si="19"/>
        <v/>
      </c>
      <c r="N345" s="7" t="str">
        <f t="shared" ca="1" si="20"/>
        <v/>
      </c>
      <c r="O345" s="13"/>
      <c r="P345" s="29" t="str">
        <f t="shared" ca="1" si="21"/>
        <v/>
      </c>
      <c r="Q345" s="30" t="str">
        <f>IF($K345="","",IFERROR(IF(INDEX(Bookings!$G$3:$G$202,MATCH($K345,Bookings!$A$3:$A$202,0))="","",INDEX(Bookings!$G$3:$G$202,MATCH($K345,Bookings!$A$3:$A$202,0))),""))</f>
        <v/>
      </c>
    </row>
    <row r="346" spans="1:17" hidden="1" x14ac:dyDescent="0.35">
      <c r="A346" s="81"/>
      <c r="B346" s="81"/>
      <c r="C346" s="21"/>
      <c r="D346" s="56"/>
      <c r="E346" s="14"/>
      <c r="F346" s="14"/>
      <c r="G346" s="14"/>
      <c r="H346" s="83">
        <f t="shared" si="22"/>
        <v>0</v>
      </c>
      <c r="I346" s="80"/>
      <c r="J346" s="80"/>
      <c r="K346" s="7" t="str">
        <f>IF($B346="","",IFERROR(INDEX(Connaissements!$B$3:$B$202,MATCH($B346,Connaissements!$A$3:$A$202,0)),""))</f>
        <v/>
      </c>
      <c r="L346" s="7" t="str">
        <f>IF($B346="","",IFERROR(INDEX(Connaissements!$G$3:$G$202,MATCH($B346,Connaissements!$A$3:$A$202,0)),""))</f>
        <v/>
      </c>
      <c r="M346" s="7" t="str">
        <f t="shared" si="19"/>
        <v/>
      </c>
      <c r="N346" s="7" t="str">
        <f t="shared" ca="1" si="20"/>
        <v/>
      </c>
      <c r="O346" s="13"/>
      <c r="P346" s="29" t="str">
        <f t="shared" ca="1" si="21"/>
        <v/>
      </c>
      <c r="Q346" s="30" t="str">
        <f>IF($K346="","",IFERROR(IF(INDEX(Bookings!$G$3:$G$202,MATCH($K346,Bookings!$A$3:$A$202,0))="","",INDEX(Bookings!$G$3:$G$202,MATCH($K346,Bookings!$A$3:$A$202,0))),""))</f>
        <v/>
      </c>
    </row>
    <row r="347" spans="1:17" hidden="1" x14ac:dyDescent="0.35">
      <c r="A347" s="81"/>
      <c r="B347" s="81"/>
      <c r="C347" s="21"/>
      <c r="D347" s="56"/>
      <c r="E347" s="14"/>
      <c r="F347" s="14"/>
      <c r="G347" s="14"/>
      <c r="H347" s="83">
        <f t="shared" si="22"/>
        <v>0</v>
      </c>
      <c r="I347" s="80"/>
      <c r="J347" s="80"/>
      <c r="K347" s="7" t="str">
        <f>IF($B347="","",IFERROR(INDEX(Connaissements!$B$3:$B$202,MATCH($B347,Connaissements!$A$3:$A$202,0)),""))</f>
        <v/>
      </c>
      <c r="L347" s="7" t="str">
        <f>IF($B347="","",IFERROR(INDEX(Connaissements!$G$3:$G$202,MATCH($B347,Connaissements!$A$3:$A$202,0)),""))</f>
        <v/>
      </c>
      <c r="M347" s="7" t="str">
        <f t="shared" si="19"/>
        <v/>
      </c>
      <c r="N347" s="7" t="str">
        <f t="shared" ca="1" si="20"/>
        <v/>
      </c>
      <c r="O347" s="13"/>
      <c r="P347" s="29" t="str">
        <f t="shared" ca="1" si="21"/>
        <v/>
      </c>
      <c r="Q347" s="30" t="str">
        <f>IF($K347="","",IFERROR(IF(INDEX(Bookings!$G$3:$G$202,MATCH($K347,Bookings!$A$3:$A$202,0))="","",INDEX(Bookings!$G$3:$G$202,MATCH($K347,Bookings!$A$3:$A$202,0))),""))</f>
        <v/>
      </c>
    </row>
    <row r="348" spans="1:17" hidden="1" x14ac:dyDescent="0.35">
      <c r="A348" s="81"/>
      <c r="B348" s="81"/>
      <c r="C348" s="21"/>
      <c r="D348" s="56"/>
      <c r="E348" s="14"/>
      <c r="F348" s="14"/>
      <c r="G348" s="14"/>
      <c r="H348" s="83">
        <f t="shared" si="22"/>
        <v>0</v>
      </c>
      <c r="I348" s="80"/>
      <c r="J348" s="80"/>
      <c r="K348" s="7" t="str">
        <f>IF($B348="","",IFERROR(INDEX(Connaissements!$B$3:$B$202,MATCH($B348,Connaissements!$A$3:$A$202,0)),""))</f>
        <v/>
      </c>
      <c r="L348" s="7" t="str">
        <f>IF($B348="","",IFERROR(INDEX(Connaissements!$G$3:$G$202,MATCH($B348,Connaissements!$A$3:$A$202,0)),""))</f>
        <v/>
      </c>
      <c r="M348" s="7" t="str">
        <f t="shared" si="19"/>
        <v/>
      </c>
      <c r="N348" s="7" t="str">
        <f t="shared" ca="1" si="20"/>
        <v/>
      </c>
      <c r="O348" s="13"/>
      <c r="P348" s="29" t="str">
        <f t="shared" ca="1" si="21"/>
        <v/>
      </c>
      <c r="Q348" s="30" t="str">
        <f>IF($K348="","",IFERROR(IF(INDEX(Bookings!$G$3:$G$202,MATCH($K348,Bookings!$A$3:$A$202,0))="","",INDEX(Bookings!$G$3:$G$202,MATCH($K348,Bookings!$A$3:$A$202,0))),""))</f>
        <v/>
      </c>
    </row>
    <row r="349" spans="1:17" hidden="1" x14ac:dyDescent="0.35">
      <c r="A349" s="81"/>
      <c r="B349" s="81"/>
      <c r="C349" s="21"/>
      <c r="D349" s="56"/>
      <c r="E349" s="14"/>
      <c r="F349" s="14"/>
      <c r="G349" s="14"/>
      <c r="H349" s="83">
        <f t="shared" si="22"/>
        <v>0</v>
      </c>
      <c r="I349" s="80"/>
      <c r="J349" s="80"/>
      <c r="K349" s="7" t="str">
        <f>IF($B349="","",IFERROR(INDEX(Connaissements!$B$3:$B$202,MATCH($B349,Connaissements!$A$3:$A$202,0)),""))</f>
        <v/>
      </c>
      <c r="L349" s="7" t="str">
        <f>IF($B349="","",IFERROR(INDEX(Connaissements!$G$3:$G$202,MATCH($B349,Connaissements!$A$3:$A$202,0)),""))</f>
        <v/>
      </c>
      <c r="M349" s="7" t="str">
        <f t="shared" si="19"/>
        <v/>
      </c>
      <c r="N349" s="7" t="str">
        <f t="shared" ca="1" si="20"/>
        <v/>
      </c>
      <c r="O349" s="13"/>
      <c r="P349" s="29" t="str">
        <f t="shared" ca="1" si="21"/>
        <v/>
      </c>
      <c r="Q349" s="30" t="str">
        <f>IF($K349="","",IFERROR(IF(INDEX(Bookings!$G$3:$G$202,MATCH($K349,Bookings!$A$3:$A$202,0))="","",INDEX(Bookings!$G$3:$G$202,MATCH($K349,Bookings!$A$3:$A$202,0))),""))</f>
        <v/>
      </c>
    </row>
    <row r="350" spans="1:17" hidden="1" x14ac:dyDescent="0.35">
      <c r="A350" s="81"/>
      <c r="B350" s="81"/>
      <c r="C350" s="21"/>
      <c r="D350" s="56"/>
      <c r="E350" s="14"/>
      <c r="F350" s="14"/>
      <c r="G350" s="14"/>
      <c r="H350" s="83">
        <f t="shared" si="22"/>
        <v>0</v>
      </c>
      <c r="I350" s="80"/>
      <c r="J350" s="80"/>
      <c r="K350" s="7" t="str">
        <f>IF($B350="","",IFERROR(INDEX(Connaissements!$B$3:$B$202,MATCH($B350,Connaissements!$A$3:$A$202,0)),""))</f>
        <v/>
      </c>
      <c r="L350" s="7" t="str">
        <f>IF($B350="","",IFERROR(INDEX(Connaissements!$G$3:$G$202,MATCH($B350,Connaissements!$A$3:$A$202,0)),""))</f>
        <v/>
      </c>
      <c r="M350" s="7" t="str">
        <f t="shared" si="19"/>
        <v/>
      </c>
      <c r="N350" s="7" t="str">
        <f t="shared" ca="1" si="20"/>
        <v/>
      </c>
      <c r="O350" s="13"/>
      <c r="P350" s="29" t="str">
        <f t="shared" ca="1" si="21"/>
        <v/>
      </c>
      <c r="Q350" s="30" t="str">
        <f>IF($K350="","",IFERROR(IF(INDEX(Bookings!$G$3:$G$202,MATCH($K350,Bookings!$A$3:$A$202,0))="","",INDEX(Bookings!$G$3:$G$202,MATCH($K350,Bookings!$A$3:$A$202,0))),""))</f>
        <v/>
      </c>
    </row>
    <row r="351" spans="1:17" hidden="1" x14ac:dyDescent="0.35">
      <c r="A351" s="81"/>
      <c r="B351" s="81"/>
      <c r="C351" s="21"/>
      <c r="D351" s="56"/>
      <c r="E351" s="14"/>
      <c r="F351" s="14"/>
      <c r="G351" s="14"/>
      <c r="H351" s="83">
        <f t="shared" si="22"/>
        <v>0</v>
      </c>
      <c r="I351" s="80"/>
      <c r="J351" s="80"/>
      <c r="K351" s="7" t="str">
        <f>IF($B351="","",IFERROR(INDEX(Connaissements!$B$3:$B$202,MATCH($B351,Connaissements!$A$3:$A$202,0)),""))</f>
        <v/>
      </c>
      <c r="L351" s="7" t="str">
        <f>IF($B351="","",IFERROR(INDEX(Connaissements!$G$3:$G$202,MATCH($B351,Connaissements!$A$3:$A$202,0)),""))</f>
        <v/>
      </c>
      <c r="M351" s="7" t="str">
        <f t="shared" si="19"/>
        <v/>
      </c>
      <c r="N351" s="7" t="str">
        <f t="shared" ca="1" si="20"/>
        <v/>
      </c>
      <c r="O351" s="13"/>
      <c r="P351" s="29" t="str">
        <f t="shared" ca="1" si="21"/>
        <v/>
      </c>
      <c r="Q351" s="30" t="str">
        <f>IF($K351="","",IFERROR(IF(INDEX(Bookings!$G$3:$G$202,MATCH($K351,Bookings!$A$3:$A$202,0))="","",INDEX(Bookings!$G$3:$G$202,MATCH($K351,Bookings!$A$3:$A$202,0))),""))</f>
        <v/>
      </c>
    </row>
    <row r="352" spans="1:17" hidden="1" x14ac:dyDescent="0.35">
      <c r="A352" s="81"/>
      <c r="B352" s="81"/>
      <c r="C352" s="21"/>
      <c r="D352" s="56"/>
      <c r="E352" s="14"/>
      <c r="F352" s="14"/>
      <c r="G352" s="14"/>
      <c r="H352" s="83">
        <f t="shared" si="22"/>
        <v>0</v>
      </c>
      <c r="I352" s="80"/>
      <c r="J352" s="80"/>
      <c r="K352" s="7" t="str">
        <f>IF($B352="","",IFERROR(INDEX(Connaissements!$B$3:$B$202,MATCH($B352,Connaissements!$A$3:$A$202,0)),""))</f>
        <v/>
      </c>
      <c r="L352" s="7" t="str">
        <f>IF($B352="","",IFERROR(INDEX(Connaissements!$G$3:$G$202,MATCH($B352,Connaissements!$A$3:$A$202,0)),""))</f>
        <v/>
      </c>
      <c r="M352" s="7" t="str">
        <f t="shared" si="19"/>
        <v/>
      </c>
      <c r="N352" s="7" t="str">
        <f t="shared" ca="1" si="20"/>
        <v/>
      </c>
      <c r="O352" s="13"/>
      <c r="P352" s="29" t="str">
        <f t="shared" ca="1" si="21"/>
        <v/>
      </c>
      <c r="Q352" s="30" t="str">
        <f>IF($K352="","",IFERROR(IF(INDEX(Bookings!$G$3:$G$202,MATCH($K352,Bookings!$A$3:$A$202,0))="","",INDEX(Bookings!$G$3:$G$202,MATCH($K352,Bookings!$A$3:$A$202,0))),""))</f>
        <v/>
      </c>
    </row>
    <row r="353" spans="1:17" hidden="1" x14ac:dyDescent="0.35">
      <c r="A353" s="81"/>
      <c r="B353" s="81"/>
      <c r="C353" s="21"/>
      <c r="D353" s="56"/>
      <c r="E353" s="14"/>
      <c r="F353" s="14"/>
      <c r="G353" s="14"/>
      <c r="H353" s="83">
        <f t="shared" si="22"/>
        <v>0</v>
      </c>
      <c r="I353" s="80"/>
      <c r="J353" s="80"/>
      <c r="K353" s="7" t="str">
        <f>IF($B353="","",IFERROR(INDEX(Connaissements!$B$3:$B$202,MATCH($B353,Connaissements!$A$3:$A$202,0)),""))</f>
        <v/>
      </c>
      <c r="L353" s="7" t="str">
        <f>IF($B353="","",IFERROR(INDEX(Connaissements!$G$3:$G$202,MATCH($B353,Connaissements!$A$3:$A$202,0)),""))</f>
        <v/>
      </c>
      <c r="M353" s="7" t="str">
        <f t="shared" si="19"/>
        <v/>
      </c>
      <c r="N353" s="7" t="str">
        <f t="shared" ca="1" si="20"/>
        <v/>
      </c>
      <c r="O353" s="13"/>
      <c r="P353" s="29" t="str">
        <f t="shared" ca="1" si="21"/>
        <v/>
      </c>
      <c r="Q353" s="30" t="str">
        <f>IF($K353="","",IFERROR(IF(INDEX(Bookings!$G$3:$G$202,MATCH($K353,Bookings!$A$3:$A$202,0))="","",INDEX(Bookings!$G$3:$G$202,MATCH($K353,Bookings!$A$3:$A$202,0))),""))</f>
        <v/>
      </c>
    </row>
    <row r="354" spans="1:17" hidden="1" x14ac:dyDescent="0.35">
      <c r="A354" s="81"/>
      <c r="B354" s="81"/>
      <c r="C354" s="21"/>
      <c r="D354" s="56"/>
      <c r="E354" s="14"/>
      <c r="F354" s="14"/>
      <c r="G354" s="14"/>
      <c r="H354" s="83">
        <f t="shared" si="22"/>
        <v>0</v>
      </c>
      <c r="I354" s="80"/>
      <c r="J354" s="80"/>
      <c r="K354" s="7" t="str">
        <f>IF($B354="","",IFERROR(INDEX(Connaissements!$B$3:$B$202,MATCH($B354,Connaissements!$A$3:$A$202,0)),""))</f>
        <v/>
      </c>
      <c r="L354" s="7" t="str">
        <f>IF($B354="","",IFERROR(INDEX(Connaissements!$G$3:$G$202,MATCH($B354,Connaissements!$A$3:$A$202,0)),""))</f>
        <v/>
      </c>
      <c r="M354" s="7" t="str">
        <f t="shared" si="19"/>
        <v/>
      </c>
      <c r="N354" s="7" t="str">
        <f t="shared" ca="1" si="20"/>
        <v/>
      </c>
      <c r="O354" s="13"/>
      <c r="P354" s="29" t="str">
        <f t="shared" ca="1" si="21"/>
        <v/>
      </c>
      <c r="Q354" s="30" t="str">
        <f>IF($K354="","",IFERROR(IF(INDEX(Bookings!$G$3:$G$202,MATCH($K354,Bookings!$A$3:$A$202,0))="","",INDEX(Bookings!$G$3:$G$202,MATCH($K354,Bookings!$A$3:$A$202,0))),""))</f>
        <v/>
      </c>
    </row>
    <row r="355" spans="1:17" hidden="1" x14ac:dyDescent="0.35">
      <c r="A355" s="81"/>
      <c r="B355" s="81"/>
      <c r="C355" s="21"/>
      <c r="D355" s="56"/>
      <c r="E355" s="14"/>
      <c r="F355" s="14"/>
      <c r="G355" s="14"/>
      <c r="H355" s="83">
        <f t="shared" si="22"/>
        <v>0</v>
      </c>
      <c r="I355" s="80"/>
      <c r="J355" s="80"/>
      <c r="K355" s="7" t="str">
        <f>IF($B355="","",IFERROR(INDEX(Connaissements!$B$3:$B$202,MATCH($B355,Connaissements!$A$3:$A$202,0)),""))</f>
        <v/>
      </c>
      <c r="L355" s="7" t="str">
        <f>IF($B355="","",IFERROR(INDEX(Connaissements!$G$3:$G$202,MATCH($B355,Connaissements!$A$3:$A$202,0)),""))</f>
        <v/>
      </c>
      <c r="M355" s="7" t="str">
        <f t="shared" si="19"/>
        <v/>
      </c>
      <c r="N355" s="7" t="str">
        <f t="shared" ca="1" si="20"/>
        <v/>
      </c>
      <c r="O355" s="13"/>
      <c r="P355" s="29" t="str">
        <f t="shared" ca="1" si="21"/>
        <v/>
      </c>
      <c r="Q355" s="30" t="str">
        <f>IF($K355="","",IFERROR(IF(INDEX(Bookings!$G$3:$G$202,MATCH($K355,Bookings!$A$3:$A$202,0))="","",INDEX(Bookings!$G$3:$G$202,MATCH($K355,Bookings!$A$3:$A$202,0))),""))</f>
        <v/>
      </c>
    </row>
    <row r="356" spans="1:17" hidden="1" x14ac:dyDescent="0.35">
      <c r="A356" s="81"/>
      <c r="B356" s="81"/>
      <c r="C356" s="21"/>
      <c r="D356" s="56"/>
      <c r="E356" s="14"/>
      <c r="F356" s="14"/>
      <c r="G356" s="14"/>
      <c r="H356" s="83">
        <f t="shared" si="22"/>
        <v>0</v>
      </c>
      <c r="I356" s="80"/>
      <c r="J356" s="80"/>
      <c r="K356" s="7" t="str">
        <f>IF($B356="","",IFERROR(INDEX(Connaissements!$B$3:$B$202,MATCH($B356,Connaissements!$A$3:$A$202,0)),""))</f>
        <v/>
      </c>
      <c r="L356" s="7" t="str">
        <f>IF($B356="","",IFERROR(INDEX(Connaissements!$G$3:$G$202,MATCH($B356,Connaissements!$A$3:$A$202,0)),""))</f>
        <v/>
      </c>
      <c r="M356" s="7" t="str">
        <f t="shared" si="19"/>
        <v/>
      </c>
      <c r="N356" s="7" t="str">
        <f t="shared" ca="1" si="20"/>
        <v/>
      </c>
      <c r="O356" s="13"/>
      <c r="P356" s="29" t="str">
        <f t="shared" ca="1" si="21"/>
        <v/>
      </c>
      <c r="Q356" s="30" t="str">
        <f>IF($K356="","",IFERROR(IF(INDEX(Bookings!$G$3:$G$202,MATCH($K356,Bookings!$A$3:$A$202,0))="","",INDEX(Bookings!$G$3:$G$202,MATCH($K356,Bookings!$A$3:$A$202,0))),""))</f>
        <v/>
      </c>
    </row>
    <row r="357" spans="1:17" hidden="1" x14ac:dyDescent="0.35">
      <c r="A357" s="81"/>
      <c r="B357" s="81"/>
      <c r="C357" s="21"/>
      <c r="D357" s="56"/>
      <c r="E357" s="14"/>
      <c r="F357" s="14"/>
      <c r="G357" s="14"/>
      <c r="H357" s="83">
        <f t="shared" si="22"/>
        <v>0</v>
      </c>
      <c r="I357" s="80"/>
      <c r="J357" s="80"/>
      <c r="K357" s="7" t="str">
        <f>IF($B357="","",IFERROR(INDEX(Connaissements!$B$3:$B$202,MATCH($B357,Connaissements!$A$3:$A$202,0)),""))</f>
        <v/>
      </c>
      <c r="L357" s="7" t="str">
        <f>IF($B357="","",IFERROR(INDEX(Connaissements!$G$3:$G$202,MATCH($B357,Connaissements!$A$3:$A$202,0)),""))</f>
        <v/>
      </c>
      <c r="M357" s="7" t="str">
        <f t="shared" si="19"/>
        <v/>
      </c>
      <c r="N357" s="7" t="str">
        <f t="shared" ca="1" si="20"/>
        <v/>
      </c>
      <c r="O357" s="13"/>
      <c r="P357" s="29" t="str">
        <f t="shared" ca="1" si="21"/>
        <v/>
      </c>
      <c r="Q357" s="30" t="str">
        <f>IF($K357="","",IFERROR(IF(INDEX(Bookings!$G$3:$G$202,MATCH($K357,Bookings!$A$3:$A$202,0))="","",INDEX(Bookings!$G$3:$G$202,MATCH($K357,Bookings!$A$3:$A$202,0))),""))</f>
        <v/>
      </c>
    </row>
    <row r="358" spans="1:17" hidden="1" x14ac:dyDescent="0.35">
      <c r="A358" s="81"/>
      <c r="B358" s="81"/>
      <c r="C358" s="21"/>
      <c r="D358" s="56"/>
      <c r="E358" s="14"/>
      <c r="F358" s="14"/>
      <c r="G358" s="14"/>
      <c r="H358" s="83">
        <f t="shared" si="22"/>
        <v>0</v>
      </c>
      <c r="I358" s="80"/>
      <c r="J358" s="80"/>
      <c r="K358" s="7" t="str">
        <f>IF($B358="","",IFERROR(INDEX(Connaissements!$B$3:$B$202,MATCH($B358,Connaissements!$A$3:$A$202,0)),""))</f>
        <v/>
      </c>
      <c r="L358" s="7" t="str">
        <f>IF($B358="","",IFERROR(INDEX(Connaissements!$G$3:$G$202,MATCH($B358,Connaissements!$A$3:$A$202,0)),""))</f>
        <v/>
      </c>
      <c r="M358" s="7" t="str">
        <f t="shared" si="19"/>
        <v/>
      </c>
      <c r="N358" s="7" t="str">
        <f t="shared" ca="1" si="20"/>
        <v/>
      </c>
      <c r="O358" s="13"/>
      <c r="P358" s="29" t="str">
        <f t="shared" ca="1" si="21"/>
        <v/>
      </c>
      <c r="Q358" s="30" t="str">
        <f>IF($K358="","",IFERROR(IF(INDEX(Bookings!$G$3:$G$202,MATCH($K358,Bookings!$A$3:$A$202,0))="","",INDEX(Bookings!$G$3:$G$202,MATCH($K358,Bookings!$A$3:$A$202,0))),""))</f>
        <v/>
      </c>
    </row>
    <row r="359" spans="1:17" hidden="1" x14ac:dyDescent="0.35">
      <c r="A359" s="81"/>
      <c r="B359" s="81"/>
      <c r="C359" s="21"/>
      <c r="D359" s="56"/>
      <c r="E359" s="14"/>
      <c r="F359" s="14"/>
      <c r="G359" s="14"/>
      <c r="H359" s="83">
        <f t="shared" si="22"/>
        <v>0</v>
      </c>
      <c r="I359" s="80"/>
      <c r="J359" s="80"/>
      <c r="K359" s="7" t="str">
        <f>IF($B359="","",IFERROR(INDEX(Connaissements!$B$3:$B$202,MATCH($B359,Connaissements!$A$3:$A$202,0)),""))</f>
        <v/>
      </c>
      <c r="L359" s="7" t="str">
        <f>IF($B359="","",IFERROR(INDEX(Connaissements!$G$3:$G$202,MATCH($B359,Connaissements!$A$3:$A$202,0)),""))</f>
        <v/>
      </c>
      <c r="M359" s="7" t="str">
        <f t="shared" si="19"/>
        <v/>
      </c>
      <c r="N359" s="7" t="str">
        <f t="shared" ca="1" si="20"/>
        <v/>
      </c>
      <c r="O359" s="13"/>
      <c r="P359" s="29" t="str">
        <f t="shared" ca="1" si="21"/>
        <v/>
      </c>
      <c r="Q359" s="30" t="str">
        <f>IF($K359="","",IFERROR(IF(INDEX(Bookings!$G$3:$G$202,MATCH($K359,Bookings!$A$3:$A$202,0))="","",INDEX(Bookings!$G$3:$G$202,MATCH($K359,Bookings!$A$3:$A$202,0))),""))</f>
        <v/>
      </c>
    </row>
    <row r="360" spans="1:17" hidden="1" x14ac:dyDescent="0.35">
      <c r="A360" s="81"/>
      <c r="B360" s="81"/>
      <c r="C360" s="21"/>
      <c r="D360" s="56"/>
      <c r="E360" s="14"/>
      <c r="F360" s="14"/>
      <c r="G360" s="14"/>
      <c r="H360" s="83">
        <f t="shared" si="22"/>
        <v>0</v>
      </c>
      <c r="I360" s="80"/>
      <c r="J360" s="80"/>
      <c r="K360" s="7" t="str">
        <f>IF($B360="","",IFERROR(INDEX(Connaissements!$B$3:$B$202,MATCH($B360,Connaissements!$A$3:$A$202,0)),""))</f>
        <v/>
      </c>
      <c r="L360" s="7" t="str">
        <f>IF($B360="","",IFERROR(INDEX(Connaissements!$G$3:$G$202,MATCH($B360,Connaissements!$A$3:$A$202,0)),""))</f>
        <v/>
      </c>
      <c r="M360" s="7" t="str">
        <f t="shared" si="19"/>
        <v/>
      </c>
      <c r="N360" s="7" t="str">
        <f t="shared" ca="1" si="20"/>
        <v/>
      </c>
      <c r="O360" s="13"/>
      <c r="P360" s="29" t="str">
        <f t="shared" ca="1" si="21"/>
        <v/>
      </c>
      <c r="Q360" s="30" t="str">
        <f>IF($K360="","",IFERROR(IF(INDEX(Bookings!$G$3:$G$202,MATCH($K360,Bookings!$A$3:$A$202,0))="","",INDEX(Bookings!$G$3:$G$202,MATCH($K360,Bookings!$A$3:$A$202,0))),""))</f>
        <v/>
      </c>
    </row>
    <row r="361" spans="1:17" hidden="1" x14ac:dyDescent="0.35">
      <c r="A361" s="81"/>
      <c r="B361" s="81"/>
      <c r="C361" s="21"/>
      <c r="D361" s="56"/>
      <c r="E361" s="14"/>
      <c r="F361" s="14"/>
      <c r="G361" s="14"/>
      <c r="H361" s="83">
        <f t="shared" si="22"/>
        <v>0</v>
      </c>
      <c r="I361" s="80"/>
      <c r="J361" s="80"/>
      <c r="K361" s="7" t="str">
        <f>IF($B361="","",IFERROR(INDEX(Connaissements!$B$3:$B$202,MATCH($B361,Connaissements!$A$3:$A$202,0)),""))</f>
        <v/>
      </c>
      <c r="L361" s="7" t="str">
        <f>IF($B361="","",IFERROR(INDEX(Connaissements!$G$3:$G$202,MATCH($B361,Connaissements!$A$3:$A$202,0)),""))</f>
        <v/>
      </c>
      <c r="M361" s="7" t="str">
        <f t="shared" si="19"/>
        <v/>
      </c>
      <c r="N361" s="7" t="str">
        <f t="shared" ca="1" si="20"/>
        <v/>
      </c>
      <c r="O361" s="13"/>
      <c r="P361" s="29" t="str">
        <f t="shared" ca="1" si="21"/>
        <v/>
      </c>
      <c r="Q361" s="30" t="str">
        <f>IF($K361="","",IFERROR(IF(INDEX(Bookings!$G$3:$G$202,MATCH($K361,Bookings!$A$3:$A$202,0))="","",INDEX(Bookings!$G$3:$G$202,MATCH($K361,Bookings!$A$3:$A$202,0))),""))</f>
        <v/>
      </c>
    </row>
    <row r="362" spans="1:17" hidden="1" x14ac:dyDescent="0.35">
      <c r="A362" s="81"/>
      <c r="B362" s="81"/>
      <c r="C362" s="21"/>
      <c r="D362" s="56"/>
      <c r="E362" s="14"/>
      <c r="F362" s="14"/>
      <c r="G362" s="14"/>
      <c r="H362" s="83">
        <f t="shared" si="22"/>
        <v>0</v>
      </c>
      <c r="I362" s="80"/>
      <c r="J362" s="80"/>
      <c r="K362" s="7" t="str">
        <f>IF($B362="","",IFERROR(INDEX(Connaissements!$B$3:$B$202,MATCH($B362,Connaissements!$A$3:$A$202,0)),""))</f>
        <v/>
      </c>
      <c r="L362" s="7" t="str">
        <f>IF($B362="","",IFERROR(INDEX(Connaissements!$G$3:$G$202,MATCH($B362,Connaissements!$A$3:$A$202,0)),""))</f>
        <v/>
      </c>
      <c r="M362" s="7" t="str">
        <f t="shared" si="19"/>
        <v/>
      </c>
      <c r="N362" s="7" t="str">
        <f t="shared" ca="1" si="20"/>
        <v/>
      </c>
      <c r="O362" s="13"/>
      <c r="P362" s="29" t="str">
        <f t="shared" ca="1" si="21"/>
        <v/>
      </c>
      <c r="Q362" s="30" t="str">
        <f>IF($K362="","",IFERROR(IF(INDEX(Bookings!$G$3:$G$202,MATCH($K362,Bookings!$A$3:$A$202,0))="","",INDEX(Bookings!$G$3:$G$202,MATCH($K362,Bookings!$A$3:$A$202,0))),""))</f>
        <v/>
      </c>
    </row>
    <row r="363" spans="1:17" hidden="1" x14ac:dyDescent="0.35">
      <c r="A363" s="81"/>
      <c r="B363" s="81"/>
      <c r="C363" s="21"/>
      <c r="D363" s="56"/>
      <c r="E363" s="14"/>
      <c r="F363" s="14"/>
      <c r="G363" s="14"/>
      <c r="H363" s="83">
        <f t="shared" si="22"/>
        <v>0</v>
      </c>
      <c r="I363" s="80"/>
      <c r="J363" s="80"/>
      <c r="K363" s="7" t="str">
        <f>IF($B363="","",IFERROR(INDEX(Connaissements!$B$3:$B$202,MATCH($B363,Connaissements!$A$3:$A$202,0)),""))</f>
        <v/>
      </c>
      <c r="L363" s="7" t="str">
        <f>IF($B363="","",IFERROR(INDEX(Connaissements!$G$3:$G$202,MATCH($B363,Connaissements!$A$3:$A$202,0)),""))</f>
        <v/>
      </c>
      <c r="M363" s="7" t="str">
        <f t="shared" si="19"/>
        <v/>
      </c>
      <c r="N363" s="7" t="str">
        <f t="shared" ca="1" si="20"/>
        <v/>
      </c>
      <c r="O363" s="13"/>
      <c r="P363" s="29" t="str">
        <f t="shared" ca="1" si="21"/>
        <v/>
      </c>
      <c r="Q363" s="30" t="str">
        <f>IF($K363="","",IFERROR(IF(INDEX(Bookings!$G$3:$G$202,MATCH($K363,Bookings!$A$3:$A$202,0))="","",INDEX(Bookings!$G$3:$G$202,MATCH($K363,Bookings!$A$3:$A$202,0))),""))</f>
        <v/>
      </c>
    </row>
    <row r="364" spans="1:17" hidden="1" x14ac:dyDescent="0.35">
      <c r="A364" s="81"/>
      <c r="B364" s="81"/>
      <c r="C364" s="21"/>
      <c r="D364" s="56"/>
      <c r="E364" s="14"/>
      <c r="F364" s="14"/>
      <c r="G364" s="14"/>
      <c r="H364" s="83">
        <f t="shared" si="22"/>
        <v>0</v>
      </c>
      <c r="I364" s="80"/>
      <c r="J364" s="80"/>
      <c r="K364" s="7" t="str">
        <f>IF($B364="","",IFERROR(INDEX(Connaissements!$B$3:$B$202,MATCH($B364,Connaissements!$A$3:$A$202,0)),""))</f>
        <v/>
      </c>
      <c r="L364" s="7" t="str">
        <f>IF($B364="","",IFERROR(INDEX(Connaissements!$G$3:$G$202,MATCH($B364,Connaissements!$A$3:$A$202,0)),""))</f>
        <v/>
      </c>
      <c r="M364" s="7" t="str">
        <f t="shared" si="19"/>
        <v/>
      </c>
      <c r="N364" s="7" t="str">
        <f t="shared" ca="1" si="20"/>
        <v/>
      </c>
      <c r="O364" s="13"/>
      <c r="P364" s="29" t="str">
        <f t="shared" ca="1" si="21"/>
        <v/>
      </c>
      <c r="Q364" s="30" t="str">
        <f>IF($K364="","",IFERROR(IF(INDEX(Bookings!$G$3:$G$202,MATCH($K364,Bookings!$A$3:$A$202,0))="","",INDEX(Bookings!$G$3:$G$202,MATCH($K364,Bookings!$A$3:$A$202,0))),""))</f>
        <v/>
      </c>
    </row>
    <row r="365" spans="1:17" hidden="1" x14ac:dyDescent="0.35">
      <c r="A365" s="81"/>
      <c r="B365" s="81"/>
      <c r="C365" s="21"/>
      <c r="D365" s="56"/>
      <c r="E365" s="14"/>
      <c r="F365" s="14"/>
      <c r="G365" s="14"/>
      <c r="H365" s="83">
        <f t="shared" si="22"/>
        <v>0</v>
      </c>
      <c r="I365" s="80"/>
      <c r="J365" s="80"/>
      <c r="K365" s="7" t="str">
        <f>IF($B365="","",IFERROR(INDEX(Connaissements!$B$3:$B$202,MATCH($B365,Connaissements!$A$3:$A$202,0)),""))</f>
        <v/>
      </c>
      <c r="L365" s="7" t="str">
        <f>IF($B365="","",IFERROR(INDEX(Connaissements!$G$3:$G$202,MATCH($B365,Connaissements!$A$3:$A$202,0)),""))</f>
        <v/>
      </c>
      <c r="M365" s="7" t="str">
        <f t="shared" si="19"/>
        <v/>
      </c>
      <c r="N365" s="7" t="str">
        <f t="shared" ca="1" si="20"/>
        <v/>
      </c>
      <c r="O365" s="13"/>
      <c r="P365" s="29" t="str">
        <f t="shared" ca="1" si="21"/>
        <v/>
      </c>
      <c r="Q365" s="30" t="str">
        <f>IF($K365="","",IFERROR(IF(INDEX(Bookings!$G$3:$G$202,MATCH($K365,Bookings!$A$3:$A$202,0))="","",INDEX(Bookings!$G$3:$G$202,MATCH($K365,Bookings!$A$3:$A$202,0))),""))</f>
        <v/>
      </c>
    </row>
    <row r="366" spans="1:17" hidden="1" x14ac:dyDescent="0.35">
      <c r="A366" s="81"/>
      <c r="B366" s="81"/>
      <c r="C366" s="21"/>
      <c r="D366" s="56"/>
      <c r="E366" s="14"/>
      <c r="F366" s="14"/>
      <c r="G366" s="14"/>
      <c r="H366" s="83">
        <f t="shared" si="22"/>
        <v>0</v>
      </c>
      <c r="I366" s="80"/>
      <c r="J366" s="80"/>
      <c r="K366" s="7" t="str">
        <f>IF($B366="","",IFERROR(INDEX(Connaissements!$B$3:$B$202,MATCH($B366,Connaissements!$A$3:$A$202,0)),""))</f>
        <v/>
      </c>
      <c r="L366" s="7" t="str">
        <f>IF($B366="","",IFERROR(INDEX(Connaissements!$G$3:$G$202,MATCH($B366,Connaissements!$A$3:$A$202,0)),""))</f>
        <v/>
      </c>
      <c r="M366" s="7" t="str">
        <f t="shared" si="19"/>
        <v/>
      </c>
      <c r="N366" s="7" t="str">
        <f t="shared" ca="1" si="20"/>
        <v/>
      </c>
      <c r="O366" s="13"/>
      <c r="P366" s="29" t="str">
        <f t="shared" ca="1" si="21"/>
        <v/>
      </c>
      <c r="Q366" s="30" t="str">
        <f>IF($K366="","",IFERROR(IF(INDEX(Bookings!$G$3:$G$202,MATCH($K366,Bookings!$A$3:$A$202,0))="","",INDEX(Bookings!$G$3:$G$202,MATCH($K366,Bookings!$A$3:$A$202,0))),""))</f>
        <v/>
      </c>
    </row>
    <row r="367" spans="1:17" hidden="1" x14ac:dyDescent="0.35">
      <c r="A367" s="81"/>
      <c r="B367" s="81"/>
      <c r="C367" s="21"/>
      <c r="D367" s="56"/>
      <c r="E367" s="14"/>
      <c r="F367" s="14"/>
      <c r="G367" s="14"/>
      <c r="H367" s="83">
        <f t="shared" si="22"/>
        <v>0</v>
      </c>
      <c r="I367" s="80"/>
      <c r="J367" s="80"/>
      <c r="K367" s="7" t="str">
        <f>IF($B367="","",IFERROR(INDEX(Connaissements!$B$3:$B$202,MATCH($B367,Connaissements!$A$3:$A$202,0)),""))</f>
        <v/>
      </c>
      <c r="L367" s="7" t="str">
        <f>IF($B367="","",IFERROR(INDEX(Connaissements!$G$3:$G$202,MATCH($B367,Connaissements!$A$3:$A$202,0)),""))</f>
        <v/>
      </c>
      <c r="M367" s="7" t="str">
        <f t="shared" si="19"/>
        <v/>
      </c>
      <c r="N367" s="7" t="str">
        <f t="shared" ca="1" si="20"/>
        <v/>
      </c>
      <c r="O367" s="13"/>
      <c r="P367" s="29" t="str">
        <f t="shared" ca="1" si="21"/>
        <v/>
      </c>
      <c r="Q367" s="30" t="str">
        <f>IF($K367="","",IFERROR(IF(INDEX(Bookings!$G$3:$G$202,MATCH($K367,Bookings!$A$3:$A$202,0))="","",INDEX(Bookings!$G$3:$G$202,MATCH($K367,Bookings!$A$3:$A$202,0))),""))</f>
        <v/>
      </c>
    </row>
    <row r="368" spans="1:17" hidden="1" x14ac:dyDescent="0.35">
      <c r="A368" s="81"/>
      <c r="B368" s="81"/>
      <c r="C368" s="21"/>
      <c r="D368" s="56"/>
      <c r="E368" s="14"/>
      <c r="F368" s="14"/>
      <c r="G368" s="14"/>
      <c r="H368" s="83">
        <f t="shared" si="22"/>
        <v>0</v>
      </c>
      <c r="I368" s="80"/>
      <c r="J368" s="80"/>
      <c r="K368" s="7" t="str">
        <f>IF($B368="","",IFERROR(INDEX(Connaissements!$B$3:$B$202,MATCH($B368,Connaissements!$A$3:$A$202,0)),""))</f>
        <v/>
      </c>
      <c r="L368" s="7" t="str">
        <f>IF($B368="","",IFERROR(INDEX(Connaissements!$G$3:$G$202,MATCH($B368,Connaissements!$A$3:$A$202,0)),""))</f>
        <v/>
      </c>
      <c r="M368" s="7" t="str">
        <f t="shared" si="19"/>
        <v/>
      </c>
      <c r="N368" s="7" t="str">
        <f t="shared" ca="1" si="20"/>
        <v/>
      </c>
      <c r="O368" s="13"/>
      <c r="P368" s="29" t="str">
        <f t="shared" ca="1" si="21"/>
        <v/>
      </c>
      <c r="Q368" s="30" t="str">
        <f>IF($K368="","",IFERROR(IF(INDEX(Bookings!$G$3:$G$202,MATCH($K368,Bookings!$A$3:$A$202,0))="","",INDEX(Bookings!$G$3:$G$202,MATCH($K368,Bookings!$A$3:$A$202,0))),""))</f>
        <v/>
      </c>
    </row>
    <row r="369" spans="1:17" hidden="1" x14ac:dyDescent="0.35">
      <c r="A369" s="81"/>
      <c r="B369" s="81"/>
      <c r="C369" s="21"/>
      <c r="D369" s="56"/>
      <c r="E369" s="14"/>
      <c r="F369" s="14"/>
      <c r="G369" s="14"/>
      <c r="H369" s="83">
        <f t="shared" si="22"/>
        <v>0</v>
      </c>
      <c r="I369" s="80"/>
      <c r="J369" s="80"/>
      <c r="K369" s="7" t="str">
        <f>IF($B369="","",IFERROR(INDEX(Connaissements!$B$3:$B$202,MATCH($B369,Connaissements!$A$3:$A$202,0)),""))</f>
        <v/>
      </c>
      <c r="L369" s="7" t="str">
        <f>IF($B369="","",IFERROR(INDEX(Connaissements!$G$3:$G$202,MATCH($B369,Connaissements!$A$3:$A$202,0)),""))</f>
        <v/>
      </c>
      <c r="M369" s="7" t="str">
        <f t="shared" si="19"/>
        <v/>
      </c>
      <c r="N369" s="7" t="str">
        <f t="shared" ca="1" si="20"/>
        <v/>
      </c>
      <c r="O369" s="13"/>
      <c r="P369" s="29" t="str">
        <f t="shared" ca="1" si="21"/>
        <v/>
      </c>
      <c r="Q369" s="30" t="str">
        <f>IF($K369="","",IFERROR(IF(INDEX(Bookings!$G$3:$G$202,MATCH($K369,Bookings!$A$3:$A$202,0))="","",INDEX(Bookings!$G$3:$G$202,MATCH($K369,Bookings!$A$3:$A$202,0))),""))</f>
        <v/>
      </c>
    </row>
    <row r="370" spans="1:17" hidden="1" x14ac:dyDescent="0.35">
      <c r="A370" s="81"/>
      <c r="B370" s="81"/>
      <c r="C370" s="21"/>
      <c r="D370" s="56"/>
      <c r="E370" s="14"/>
      <c r="F370" s="14"/>
      <c r="G370" s="14"/>
      <c r="H370" s="83">
        <f t="shared" si="22"/>
        <v>0</v>
      </c>
      <c r="I370" s="80"/>
      <c r="J370" s="80"/>
      <c r="K370" s="7" t="str">
        <f>IF($B370="","",IFERROR(INDEX(Connaissements!$B$3:$B$202,MATCH($B370,Connaissements!$A$3:$A$202,0)),""))</f>
        <v/>
      </c>
      <c r="L370" s="7" t="str">
        <f>IF($B370="","",IFERROR(INDEX(Connaissements!$G$3:$G$202,MATCH($B370,Connaissements!$A$3:$A$202,0)),""))</f>
        <v/>
      </c>
      <c r="M370" s="7" t="str">
        <f t="shared" si="19"/>
        <v/>
      </c>
      <c r="N370" s="7" t="str">
        <f t="shared" ca="1" si="20"/>
        <v/>
      </c>
      <c r="O370" s="13"/>
      <c r="P370" s="29" t="str">
        <f t="shared" ca="1" si="21"/>
        <v/>
      </c>
      <c r="Q370" s="30" t="str">
        <f>IF($K370="","",IFERROR(IF(INDEX(Bookings!$G$3:$G$202,MATCH($K370,Bookings!$A$3:$A$202,0))="","",INDEX(Bookings!$G$3:$G$202,MATCH($K370,Bookings!$A$3:$A$202,0))),""))</f>
        <v/>
      </c>
    </row>
    <row r="371" spans="1:17" hidden="1" x14ac:dyDescent="0.35">
      <c r="A371" s="81"/>
      <c r="B371" s="81"/>
      <c r="C371" s="21"/>
      <c r="D371" s="56"/>
      <c r="E371" s="14"/>
      <c r="F371" s="14"/>
      <c r="G371" s="14"/>
      <c r="H371" s="83">
        <f t="shared" si="22"/>
        <v>0</v>
      </c>
      <c r="I371" s="80"/>
      <c r="J371" s="80"/>
      <c r="K371" s="7" t="str">
        <f>IF($B371="","",IFERROR(INDEX(Connaissements!$B$3:$B$202,MATCH($B371,Connaissements!$A$3:$A$202,0)),""))</f>
        <v/>
      </c>
      <c r="L371" s="7" t="str">
        <f>IF($B371="","",IFERROR(INDEX(Connaissements!$G$3:$G$202,MATCH($B371,Connaissements!$A$3:$A$202,0)),""))</f>
        <v/>
      </c>
      <c r="M371" s="7" t="str">
        <f t="shared" si="19"/>
        <v/>
      </c>
      <c r="N371" s="7" t="str">
        <f t="shared" ca="1" si="20"/>
        <v/>
      </c>
      <c r="O371" s="13"/>
      <c r="P371" s="29" t="str">
        <f t="shared" ca="1" si="21"/>
        <v/>
      </c>
      <c r="Q371" s="30" t="str">
        <f>IF($K371="","",IFERROR(IF(INDEX(Bookings!$G$3:$G$202,MATCH($K371,Bookings!$A$3:$A$202,0))="","",INDEX(Bookings!$G$3:$G$202,MATCH($K371,Bookings!$A$3:$A$202,0))),""))</f>
        <v/>
      </c>
    </row>
    <row r="372" spans="1:17" hidden="1" x14ac:dyDescent="0.35">
      <c r="A372" s="81"/>
      <c r="B372" s="81"/>
      <c r="C372" s="21"/>
      <c r="D372" s="56"/>
      <c r="E372" s="14"/>
      <c r="F372" s="14"/>
      <c r="G372" s="14"/>
      <c r="H372" s="83">
        <f t="shared" si="22"/>
        <v>0</v>
      </c>
      <c r="I372" s="80"/>
      <c r="J372" s="80"/>
      <c r="K372" s="7" t="str">
        <f>IF($B372="","",IFERROR(INDEX(Connaissements!$B$3:$B$202,MATCH($B372,Connaissements!$A$3:$A$202,0)),""))</f>
        <v/>
      </c>
      <c r="L372" s="7" t="str">
        <f>IF($B372="","",IFERROR(INDEX(Connaissements!$G$3:$G$202,MATCH($B372,Connaissements!$A$3:$A$202,0)),""))</f>
        <v/>
      </c>
      <c r="M372" s="7" t="str">
        <f t="shared" si="19"/>
        <v/>
      </c>
      <c r="N372" s="7" t="str">
        <f t="shared" ca="1" si="20"/>
        <v/>
      </c>
      <c r="O372" s="13"/>
      <c r="P372" s="29" t="str">
        <f t="shared" ca="1" si="21"/>
        <v/>
      </c>
      <c r="Q372" s="30" t="str">
        <f>IF($K372="","",IFERROR(IF(INDEX(Bookings!$G$3:$G$202,MATCH($K372,Bookings!$A$3:$A$202,0))="","",INDEX(Bookings!$G$3:$G$202,MATCH($K372,Bookings!$A$3:$A$202,0))),""))</f>
        <v/>
      </c>
    </row>
    <row r="373" spans="1:17" hidden="1" x14ac:dyDescent="0.35">
      <c r="A373" s="81"/>
      <c r="B373" s="81"/>
      <c r="C373" s="21"/>
      <c r="D373" s="56"/>
      <c r="E373" s="14"/>
      <c r="F373" s="14"/>
      <c r="G373" s="14"/>
      <c r="H373" s="83">
        <f t="shared" si="22"/>
        <v>0</v>
      </c>
      <c r="I373" s="80"/>
      <c r="J373" s="80"/>
      <c r="K373" s="7" t="str">
        <f>IF($B373="","",IFERROR(INDEX(Connaissements!$B$3:$B$202,MATCH($B373,Connaissements!$A$3:$A$202,0)),""))</f>
        <v/>
      </c>
      <c r="L373" s="7" t="str">
        <f>IF($B373="","",IFERROR(INDEX(Connaissements!$G$3:$G$202,MATCH($B373,Connaissements!$A$3:$A$202,0)),""))</f>
        <v/>
      </c>
      <c r="M373" s="7" t="str">
        <f t="shared" si="19"/>
        <v/>
      </c>
      <c r="N373" s="7" t="str">
        <f t="shared" ca="1" si="20"/>
        <v/>
      </c>
      <c r="O373" s="13"/>
      <c r="P373" s="29" t="str">
        <f t="shared" ca="1" si="21"/>
        <v/>
      </c>
      <c r="Q373" s="30" t="str">
        <f>IF($K373="","",IFERROR(IF(INDEX(Bookings!$G$3:$G$202,MATCH($K373,Bookings!$A$3:$A$202,0))="","",INDEX(Bookings!$G$3:$G$202,MATCH($K373,Bookings!$A$3:$A$202,0))),""))</f>
        <v/>
      </c>
    </row>
    <row r="374" spans="1:17" hidden="1" x14ac:dyDescent="0.35">
      <c r="A374" s="81"/>
      <c r="B374" s="81"/>
      <c r="C374" s="21"/>
      <c r="D374" s="56"/>
      <c r="E374" s="14"/>
      <c r="F374" s="14"/>
      <c r="G374" s="14"/>
      <c r="H374" s="83">
        <f t="shared" si="22"/>
        <v>0</v>
      </c>
      <c r="I374" s="80"/>
      <c r="J374" s="80"/>
      <c r="K374" s="7" t="str">
        <f>IF($B374="","",IFERROR(INDEX(Connaissements!$B$3:$B$202,MATCH($B374,Connaissements!$A$3:$A$202,0)),""))</f>
        <v/>
      </c>
      <c r="L374" s="7" t="str">
        <f>IF($B374="","",IFERROR(INDEX(Connaissements!$G$3:$G$202,MATCH($B374,Connaissements!$A$3:$A$202,0)),""))</f>
        <v/>
      </c>
      <c r="M374" s="7" t="str">
        <f t="shared" si="19"/>
        <v/>
      </c>
      <c r="N374" s="7" t="str">
        <f t="shared" ca="1" si="20"/>
        <v/>
      </c>
      <c r="O374" s="13"/>
      <c r="P374" s="29" t="str">
        <f t="shared" ca="1" si="21"/>
        <v/>
      </c>
      <c r="Q374" s="30" t="str">
        <f>IF($K374="","",IFERROR(IF(INDEX(Bookings!$G$3:$G$202,MATCH($K374,Bookings!$A$3:$A$202,0))="","",INDEX(Bookings!$G$3:$G$202,MATCH($K374,Bookings!$A$3:$A$202,0))),""))</f>
        <v/>
      </c>
    </row>
    <row r="375" spans="1:17" hidden="1" x14ac:dyDescent="0.35">
      <c r="A375" s="81"/>
      <c r="B375" s="81"/>
      <c r="C375" s="21"/>
      <c r="D375" s="56"/>
      <c r="E375" s="14"/>
      <c r="F375" s="14"/>
      <c r="G375" s="14"/>
      <c r="H375" s="83">
        <f t="shared" si="22"/>
        <v>0</v>
      </c>
      <c r="I375" s="80"/>
      <c r="J375" s="80"/>
      <c r="K375" s="7" t="str">
        <f>IF($B375="","",IFERROR(INDEX(Connaissements!$B$3:$B$202,MATCH($B375,Connaissements!$A$3:$A$202,0)),""))</f>
        <v/>
      </c>
      <c r="L375" s="7" t="str">
        <f>IF($B375="","",IFERROR(INDEX(Connaissements!$G$3:$G$202,MATCH($B375,Connaissements!$A$3:$A$202,0)),""))</f>
        <v/>
      </c>
      <c r="M375" s="7" t="str">
        <f t="shared" si="19"/>
        <v/>
      </c>
      <c r="N375" s="7" t="str">
        <f t="shared" ca="1" si="20"/>
        <v/>
      </c>
      <c r="O375" s="13"/>
      <c r="P375" s="29" t="str">
        <f t="shared" ca="1" si="21"/>
        <v/>
      </c>
      <c r="Q375" s="30" t="str">
        <f>IF($K375="","",IFERROR(IF(INDEX(Bookings!$G$3:$G$202,MATCH($K375,Bookings!$A$3:$A$202,0))="","",INDEX(Bookings!$G$3:$G$202,MATCH($K375,Bookings!$A$3:$A$202,0))),""))</f>
        <v/>
      </c>
    </row>
    <row r="376" spans="1:17" hidden="1" x14ac:dyDescent="0.35">
      <c r="A376" s="81"/>
      <c r="B376" s="81"/>
      <c r="C376" s="21"/>
      <c r="D376" s="56"/>
      <c r="E376" s="14"/>
      <c r="F376" s="14"/>
      <c r="G376" s="14"/>
      <c r="H376" s="83">
        <f t="shared" si="22"/>
        <v>0</v>
      </c>
      <c r="I376" s="80"/>
      <c r="J376" s="80"/>
      <c r="K376" s="7" t="str">
        <f>IF($B376="","",IFERROR(INDEX(Connaissements!$B$3:$B$202,MATCH($B376,Connaissements!$A$3:$A$202,0)),""))</f>
        <v/>
      </c>
      <c r="L376" s="7" t="str">
        <f>IF($B376="","",IFERROR(INDEX(Connaissements!$G$3:$G$202,MATCH($B376,Connaissements!$A$3:$A$202,0)),""))</f>
        <v/>
      </c>
      <c r="M376" s="7" t="str">
        <f t="shared" si="19"/>
        <v/>
      </c>
      <c r="N376" s="7" t="str">
        <f t="shared" ca="1" si="20"/>
        <v/>
      </c>
      <c r="O376" s="13"/>
      <c r="P376" s="29" t="str">
        <f t="shared" ca="1" si="21"/>
        <v/>
      </c>
      <c r="Q376" s="30" t="str">
        <f>IF($K376="","",IFERROR(IF(INDEX(Bookings!$G$3:$G$202,MATCH($K376,Bookings!$A$3:$A$202,0))="","",INDEX(Bookings!$G$3:$G$202,MATCH($K376,Bookings!$A$3:$A$202,0))),""))</f>
        <v/>
      </c>
    </row>
    <row r="377" spans="1:17" hidden="1" x14ac:dyDescent="0.35">
      <c r="A377" s="81"/>
      <c r="B377" s="81"/>
      <c r="C377" s="21"/>
      <c r="D377" s="56"/>
      <c r="E377" s="14"/>
      <c r="F377" s="14"/>
      <c r="G377" s="14"/>
      <c r="H377" s="83">
        <f t="shared" si="22"/>
        <v>0</v>
      </c>
      <c r="I377" s="80"/>
      <c r="J377" s="80"/>
      <c r="K377" s="7" t="str">
        <f>IF($B377="","",IFERROR(INDEX(Connaissements!$B$3:$B$202,MATCH($B377,Connaissements!$A$3:$A$202,0)),""))</f>
        <v/>
      </c>
      <c r="L377" s="7" t="str">
        <f>IF($B377="","",IFERROR(INDEX(Connaissements!$G$3:$G$202,MATCH($B377,Connaissements!$A$3:$A$202,0)),""))</f>
        <v/>
      </c>
      <c r="M377" s="7" t="str">
        <f t="shared" si="19"/>
        <v/>
      </c>
      <c r="N377" s="7" t="str">
        <f t="shared" ca="1" si="20"/>
        <v/>
      </c>
      <c r="O377" s="13"/>
      <c r="P377" s="29" t="str">
        <f t="shared" ca="1" si="21"/>
        <v/>
      </c>
      <c r="Q377" s="30" t="str">
        <f>IF($K377="","",IFERROR(IF(INDEX(Bookings!$G$3:$G$202,MATCH($K377,Bookings!$A$3:$A$202,0))="","",INDEX(Bookings!$G$3:$G$202,MATCH($K377,Bookings!$A$3:$A$202,0))),""))</f>
        <v/>
      </c>
    </row>
    <row r="378" spans="1:17" hidden="1" x14ac:dyDescent="0.35">
      <c r="A378" s="81"/>
      <c r="B378" s="81"/>
      <c r="C378" s="21"/>
      <c r="D378" s="56"/>
      <c r="E378" s="14"/>
      <c r="F378" s="14"/>
      <c r="G378" s="14"/>
      <c r="H378" s="83">
        <f t="shared" si="22"/>
        <v>0</v>
      </c>
      <c r="I378" s="80"/>
      <c r="J378" s="80"/>
      <c r="K378" s="7" t="str">
        <f>IF($B378="","",IFERROR(INDEX(Connaissements!$B$3:$B$202,MATCH($B378,Connaissements!$A$3:$A$202,0)),""))</f>
        <v/>
      </c>
      <c r="L378" s="7" t="str">
        <f>IF($B378="","",IFERROR(INDEX(Connaissements!$G$3:$G$202,MATCH($B378,Connaissements!$A$3:$A$202,0)),""))</f>
        <v/>
      </c>
      <c r="M378" s="7" t="str">
        <f t="shared" si="19"/>
        <v/>
      </c>
      <c r="N378" s="7" t="str">
        <f t="shared" ca="1" si="20"/>
        <v/>
      </c>
      <c r="O378" s="13"/>
      <c r="P378" s="29" t="str">
        <f t="shared" ca="1" si="21"/>
        <v/>
      </c>
      <c r="Q378" s="30" t="str">
        <f>IF($K378="","",IFERROR(IF(INDEX(Bookings!$G$3:$G$202,MATCH($K378,Bookings!$A$3:$A$202,0))="","",INDEX(Bookings!$G$3:$G$202,MATCH($K378,Bookings!$A$3:$A$202,0))),""))</f>
        <v/>
      </c>
    </row>
    <row r="379" spans="1:17" hidden="1" x14ac:dyDescent="0.35">
      <c r="A379" s="81"/>
      <c r="B379" s="81"/>
      <c r="C379" s="21"/>
      <c r="D379" s="56"/>
      <c r="E379" s="14"/>
      <c r="F379" s="14"/>
      <c r="G379" s="14"/>
      <c r="H379" s="83">
        <f t="shared" si="22"/>
        <v>0</v>
      </c>
      <c r="I379" s="80"/>
      <c r="J379" s="80"/>
      <c r="K379" s="7" t="str">
        <f>IF($B379="","",IFERROR(INDEX(Connaissements!$B$3:$B$202,MATCH($B379,Connaissements!$A$3:$A$202,0)),""))</f>
        <v/>
      </c>
      <c r="L379" s="7" t="str">
        <f>IF($B379="","",IFERROR(INDEX(Connaissements!$G$3:$G$202,MATCH($B379,Connaissements!$A$3:$A$202,0)),""))</f>
        <v/>
      </c>
      <c r="M379" s="7" t="str">
        <f t="shared" si="19"/>
        <v/>
      </c>
      <c r="N379" s="7" t="str">
        <f t="shared" ca="1" si="20"/>
        <v/>
      </c>
      <c r="O379" s="13"/>
      <c r="P379" s="29" t="str">
        <f t="shared" ca="1" si="21"/>
        <v/>
      </c>
      <c r="Q379" s="30" t="str">
        <f>IF($K379="","",IFERROR(IF(INDEX(Bookings!$G$3:$G$202,MATCH($K379,Bookings!$A$3:$A$202,0))="","",INDEX(Bookings!$G$3:$G$202,MATCH($K379,Bookings!$A$3:$A$202,0))),""))</f>
        <v/>
      </c>
    </row>
    <row r="380" spans="1:17" hidden="1" x14ac:dyDescent="0.35">
      <c r="A380" s="81"/>
      <c r="B380" s="81"/>
      <c r="C380" s="21"/>
      <c r="D380" s="56"/>
      <c r="E380" s="14"/>
      <c r="F380" s="14"/>
      <c r="G380" s="14"/>
      <c r="H380" s="83">
        <f t="shared" si="22"/>
        <v>0</v>
      </c>
      <c r="I380" s="80"/>
      <c r="J380" s="80"/>
      <c r="K380" s="7" t="str">
        <f>IF($B380="","",IFERROR(INDEX(Connaissements!$B$3:$B$202,MATCH($B380,Connaissements!$A$3:$A$202,0)),""))</f>
        <v/>
      </c>
      <c r="L380" s="7" t="str">
        <f>IF($B380="","",IFERROR(INDEX(Connaissements!$G$3:$G$202,MATCH($B380,Connaissements!$A$3:$A$202,0)),""))</f>
        <v/>
      </c>
      <c r="M380" s="7" t="str">
        <f t="shared" si="19"/>
        <v/>
      </c>
      <c r="N380" s="7" t="str">
        <f t="shared" ca="1" si="20"/>
        <v/>
      </c>
      <c r="O380" s="13"/>
      <c r="P380" s="29" t="str">
        <f t="shared" ca="1" si="21"/>
        <v/>
      </c>
      <c r="Q380" s="30" t="str">
        <f>IF($K380="","",IFERROR(IF(INDEX(Bookings!$G$3:$G$202,MATCH($K380,Bookings!$A$3:$A$202,0))="","",INDEX(Bookings!$G$3:$G$202,MATCH($K380,Bookings!$A$3:$A$202,0))),""))</f>
        <v/>
      </c>
    </row>
    <row r="381" spans="1:17" hidden="1" x14ac:dyDescent="0.35">
      <c r="A381" s="81"/>
      <c r="B381" s="81"/>
      <c r="C381" s="21"/>
      <c r="D381" s="56"/>
      <c r="E381" s="14"/>
      <c r="F381" s="14"/>
      <c r="G381" s="14"/>
      <c r="H381" s="83">
        <f t="shared" si="22"/>
        <v>0</v>
      </c>
      <c r="I381" s="80"/>
      <c r="J381" s="80"/>
      <c r="K381" s="7" t="str">
        <f>IF($B381="","",IFERROR(INDEX(Connaissements!$B$3:$B$202,MATCH($B381,Connaissements!$A$3:$A$202,0)),""))</f>
        <v/>
      </c>
      <c r="L381" s="7" t="str">
        <f>IF($B381="","",IFERROR(INDEX(Connaissements!$G$3:$G$202,MATCH($B381,Connaissements!$A$3:$A$202,0)),""))</f>
        <v/>
      </c>
      <c r="M381" s="7" t="str">
        <f t="shared" si="19"/>
        <v/>
      </c>
      <c r="N381" s="7" t="str">
        <f t="shared" ca="1" si="20"/>
        <v/>
      </c>
      <c r="O381" s="13"/>
      <c r="P381" s="29" t="str">
        <f t="shared" ca="1" si="21"/>
        <v/>
      </c>
      <c r="Q381" s="30" t="str">
        <f>IF($K381="","",IFERROR(IF(INDEX(Bookings!$G$3:$G$202,MATCH($K381,Bookings!$A$3:$A$202,0))="","",INDEX(Bookings!$G$3:$G$202,MATCH($K381,Bookings!$A$3:$A$202,0))),""))</f>
        <v/>
      </c>
    </row>
    <row r="382" spans="1:17" hidden="1" x14ac:dyDescent="0.35">
      <c r="A382" s="81"/>
      <c r="B382" s="81"/>
      <c r="C382" s="21"/>
      <c r="D382" s="56"/>
      <c r="E382" s="14"/>
      <c r="F382" s="14"/>
      <c r="G382" s="14"/>
      <c r="H382" s="83">
        <f t="shared" si="22"/>
        <v>0</v>
      </c>
      <c r="I382" s="80"/>
      <c r="J382" s="80"/>
      <c r="K382" s="7" t="str">
        <f>IF($B382="","",IFERROR(INDEX(Connaissements!$B$3:$B$202,MATCH($B382,Connaissements!$A$3:$A$202,0)),""))</f>
        <v/>
      </c>
      <c r="L382" s="7" t="str">
        <f>IF($B382="","",IFERROR(INDEX(Connaissements!$G$3:$G$202,MATCH($B382,Connaissements!$A$3:$A$202,0)),""))</f>
        <v/>
      </c>
      <c r="M382" s="7" t="str">
        <f t="shared" si="19"/>
        <v/>
      </c>
      <c r="N382" s="7" t="str">
        <f t="shared" ca="1" si="20"/>
        <v/>
      </c>
      <c r="O382" s="13"/>
      <c r="P382" s="29" t="str">
        <f t="shared" ca="1" si="21"/>
        <v/>
      </c>
      <c r="Q382" s="30" t="str">
        <f>IF($K382="","",IFERROR(IF(INDEX(Bookings!$G$3:$G$202,MATCH($K382,Bookings!$A$3:$A$202,0))="","",INDEX(Bookings!$G$3:$G$202,MATCH($K382,Bookings!$A$3:$A$202,0))),""))</f>
        <v/>
      </c>
    </row>
    <row r="383" spans="1:17" hidden="1" x14ac:dyDescent="0.35">
      <c r="A383" s="81"/>
      <c r="B383" s="81"/>
      <c r="C383" s="21"/>
      <c r="D383" s="56"/>
      <c r="E383" s="14"/>
      <c r="F383" s="14"/>
      <c r="G383" s="14"/>
      <c r="H383" s="83">
        <f t="shared" si="22"/>
        <v>0</v>
      </c>
      <c r="I383" s="80"/>
      <c r="J383" s="80"/>
      <c r="K383" s="7" t="str">
        <f>IF($B383="","",IFERROR(INDEX(Connaissements!$B$3:$B$202,MATCH($B383,Connaissements!$A$3:$A$202,0)),""))</f>
        <v/>
      </c>
      <c r="L383" s="7" t="str">
        <f>IF($B383="","",IFERROR(INDEX(Connaissements!$G$3:$G$202,MATCH($B383,Connaissements!$A$3:$A$202,0)),""))</f>
        <v/>
      </c>
      <c r="M383" s="7" t="str">
        <f t="shared" si="19"/>
        <v/>
      </c>
      <c r="N383" s="7" t="str">
        <f t="shared" ca="1" si="20"/>
        <v/>
      </c>
      <c r="O383" s="13"/>
      <c r="P383" s="29" t="str">
        <f t="shared" ca="1" si="21"/>
        <v/>
      </c>
      <c r="Q383" s="30" t="str">
        <f>IF($K383="","",IFERROR(IF(INDEX(Bookings!$G$3:$G$202,MATCH($K383,Bookings!$A$3:$A$202,0))="","",INDEX(Bookings!$G$3:$G$202,MATCH($K383,Bookings!$A$3:$A$202,0))),""))</f>
        <v/>
      </c>
    </row>
    <row r="384" spans="1:17" hidden="1" x14ac:dyDescent="0.35">
      <c r="A384" s="81"/>
      <c r="B384" s="81"/>
      <c r="C384" s="21"/>
      <c r="D384" s="56"/>
      <c r="E384" s="14"/>
      <c r="F384" s="14"/>
      <c r="G384" s="14"/>
      <c r="H384" s="83">
        <f t="shared" si="22"/>
        <v>0</v>
      </c>
      <c r="I384" s="80"/>
      <c r="J384" s="80"/>
      <c r="K384" s="7" t="str">
        <f>IF($B384="","",IFERROR(INDEX(Connaissements!$B$3:$B$202,MATCH($B384,Connaissements!$A$3:$A$202,0)),""))</f>
        <v/>
      </c>
      <c r="L384" s="7" t="str">
        <f>IF($B384="","",IFERROR(INDEX(Connaissements!$G$3:$G$202,MATCH($B384,Connaissements!$A$3:$A$202,0)),""))</f>
        <v/>
      </c>
      <c r="M384" s="7" t="str">
        <f t="shared" si="19"/>
        <v/>
      </c>
      <c r="N384" s="7" t="str">
        <f t="shared" ca="1" si="20"/>
        <v/>
      </c>
      <c r="O384" s="13"/>
      <c r="P384" s="29" t="str">
        <f t="shared" ca="1" si="21"/>
        <v/>
      </c>
      <c r="Q384" s="30" t="str">
        <f>IF($K384="","",IFERROR(IF(INDEX(Bookings!$G$3:$G$202,MATCH($K384,Bookings!$A$3:$A$202,0))="","",INDEX(Bookings!$G$3:$G$202,MATCH($K384,Bookings!$A$3:$A$202,0))),""))</f>
        <v/>
      </c>
    </row>
    <row r="385" spans="1:17" hidden="1" x14ac:dyDescent="0.35">
      <c r="A385" s="81"/>
      <c r="B385" s="81"/>
      <c r="C385" s="21"/>
      <c r="D385" s="56"/>
      <c r="E385" s="14"/>
      <c r="F385" s="14"/>
      <c r="G385" s="14"/>
      <c r="H385" s="83">
        <f t="shared" si="22"/>
        <v>0</v>
      </c>
      <c r="I385" s="80"/>
      <c r="J385" s="80"/>
      <c r="K385" s="7" t="str">
        <f>IF($B385="","",IFERROR(INDEX(Connaissements!$B$3:$B$202,MATCH($B385,Connaissements!$A$3:$A$202,0)),""))</f>
        <v/>
      </c>
      <c r="L385" s="7" t="str">
        <f>IF($B385="","",IFERROR(INDEX(Connaissements!$G$3:$G$202,MATCH($B385,Connaissements!$A$3:$A$202,0)),""))</f>
        <v/>
      </c>
      <c r="M385" s="7" t="str">
        <f t="shared" si="19"/>
        <v/>
      </c>
      <c r="N385" s="7" t="str">
        <f t="shared" ca="1" si="20"/>
        <v/>
      </c>
      <c r="O385" s="13"/>
      <c r="P385" s="29" t="str">
        <f t="shared" ca="1" si="21"/>
        <v/>
      </c>
      <c r="Q385" s="30" t="str">
        <f>IF($K385="","",IFERROR(IF(INDEX(Bookings!$G$3:$G$202,MATCH($K385,Bookings!$A$3:$A$202,0))="","",INDEX(Bookings!$G$3:$G$202,MATCH($K385,Bookings!$A$3:$A$202,0))),""))</f>
        <v/>
      </c>
    </row>
    <row r="386" spans="1:17" hidden="1" x14ac:dyDescent="0.35">
      <c r="A386" s="81"/>
      <c r="B386" s="81"/>
      <c r="C386" s="21"/>
      <c r="D386" s="56"/>
      <c r="E386" s="14"/>
      <c r="F386" s="14"/>
      <c r="G386" s="14"/>
      <c r="H386" s="83">
        <f t="shared" si="22"/>
        <v>0</v>
      </c>
      <c r="I386" s="80"/>
      <c r="J386" s="80"/>
      <c r="K386" s="7" t="str">
        <f>IF($B386="","",IFERROR(INDEX(Connaissements!$B$3:$B$202,MATCH($B386,Connaissements!$A$3:$A$202,0)),""))</f>
        <v/>
      </c>
      <c r="L386" s="7" t="str">
        <f>IF($B386="","",IFERROR(INDEX(Connaissements!$G$3:$G$202,MATCH($B386,Connaissements!$A$3:$A$202,0)),""))</f>
        <v/>
      </c>
      <c r="M386" s="7" t="str">
        <f t="shared" si="19"/>
        <v/>
      </c>
      <c r="N386" s="7" t="str">
        <f t="shared" ca="1" si="20"/>
        <v/>
      </c>
      <c r="O386" s="13"/>
      <c r="P386" s="29" t="str">
        <f t="shared" ca="1" si="21"/>
        <v/>
      </c>
      <c r="Q386" s="30" t="str">
        <f>IF($K386="","",IFERROR(IF(INDEX(Bookings!$G$3:$G$202,MATCH($K386,Bookings!$A$3:$A$202,0))="","",INDEX(Bookings!$G$3:$G$202,MATCH($K386,Bookings!$A$3:$A$202,0))),""))</f>
        <v/>
      </c>
    </row>
    <row r="387" spans="1:17" hidden="1" x14ac:dyDescent="0.35">
      <c r="A387" s="81"/>
      <c r="B387" s="81"/>
      <c r="C387" s="21"/>
      <c r="D387" s="56"/>
      <c r="E387" s="14"/>
      <c r="F387" s="14"/>
      <c r="G387" s="14"/>
      <c r="H387" s="83">
        <f t="shared" si="22"/>
        <v>0</v>
      </c>
      <c r="I387" s="80"/>
      <c r="J387" s="80"/>
      <c r="K387" s="7" t="str">
        <f>IF($B387="","",IFERROR(INDEX(Connaissements!$B$3:$B$202,MATCH($B387,Connaissements!$A$3:$A$202,0)),""))</f>
        <v/>
      </c>
      <c r="L387" s="7" t="str">
        <f>IF($B387="","",IFERROR(INDEX(Connaissements!$G$3:$G$202,MATCH($B387,Connaissements!$A$3:$A$202,0)),""))</f>
        <v/>
      </c>
      <c r="M387" s="7" t="str">
        <f t="shared" ref="M387:M450" si="23">IF($A387="","",IF($G387&lt;&gt;"","Embarqué",IF($F387&lt;&gt;"","Gate-In fait",IF($E387&lt;&gt;"","Empoté","À empoter"))))</f>
        <v/>
      </c>
      <c r="N387" s="7" t="str">
        <f t="shared" ref="N387:N450" ca="1" si="24">IF(OR($A387="",$G387&lt;&gt;""),"",IF(AND($Q387&lt;&gt;"",N($Q387)&lt;TODAY()),"RETARD : ETD dépassé, pas embarqué",IF(AND($Q387&lt;&gt;"",N($Q387)-TODAY()&lt;=P_AlerteETD,$F387=""),"Gate-In à faire (ETD proche)",IF(AND($E387&lt;&gt;"",$H387=""),"Poids net à saisir",""))))</f>
        <v/>
      </c>
      <c r="O387" s="13"/>
      <c r="P387" s="29" t="str">
        <f t="shared" ref="P387:P450" ca="1" si="25">IF($N387&lt;&gt;"",1,"")</f>
        <v/>
      </c>
      <c r="Q387" s="30" t="str">
        <f>IF($K387="","",IFERROR(IF(INDEX(Bookings!$G$3:$G$202,MATCH($K387,Bookings!$A$3:$A$202,0))="","",INDEX(Bookings!$G$3:$G$202,MATCH($K387,Bookings!$A$3:$A$202,0))),""))</f>
        <v/>
      </c>
    </row>
    <row r="388" spans="1:17" hidden="1" x14ac:dyDescent="0.35">
      <c r="A388" s="81"/>
      <c r="B388" s="81"/>
      <c r="C388" s="21"/>
      <c r="D388" s="56"/>
      <c r="E388" s="14"/>
      <c r="F388" s="14"/>
      <c r="G388" s="14"/>
      <c r="H388" s="83">
        <f t="shared" ref="H388:H451" si="26">J388-I388</f>
        <v>0</v>
      </c>
      <c r="I388" s="80"/>
      <c r="J388" s="80"/>
      <c r="K388" s="7" t="str">
        <f>IF($B388="","",IFERROR(INDEX(Connaissements!$B$3:$B$202,MATCH($B388,Connaissements!$A$3:$A$202,0)),""))</f>
        <v/>
      </c>
      <c r="L388" s="7" t="str">
        <f>IF($B388="","",IFERROR(INDEX(Connaissements!$G$3:$G$202,MATCH($B388,Connaissements!$A$3:$A$202,0)),""))</f>
        <v/>
      </c>
      <c r="M388" s="7" t="str">
        <f t="shared" si="23"/>
        <v/>
      </c>
      <c r="N388" s="7" t="str">
        <f t="shared" ca="1" si="24"/>
        <v/>
      </c>
      <c r="O388" s="13"/>
      <c r="P388" s="29" t="str">
        <f t="shared" ca="1" si="25"/>
        <v/>
      </c>
      <c r="Q388" s="30" t="str">
        <f>IF($K388="","",IFERROR(IF(INDEX(Bookings!$G$3:$G$202,MATCH($K388,Bookings!$A$3:$A$202,0))="","",INDEX(Bookings!$G$3:$G$202,MATCH($K388,Bookings!$A$3:$A$202,0))),""))</f>
        <v/>
      </c>
    </row>
    <row r="389" spans="1:17" hidden="1" x14ac:dyDescent="0.35">
      <c r="A389" s="81"/>
      <c r="B389" s="81"/>
      <c r="C389" s="21"/>
      <c r="D389" s="56"/>
      <c r="E389" s="14"/>
      <c r="F389" s="14"/>
      <c r="G389" s="14"/>
      <c r="H389" s="83">
        <f t="shared" si="26"/>
        <v>0</v>
      </c>
      <c r="I389" s="80"/>
      <c r="J389" s="80"/>
      <c r="K389" s="7" t="str">
        <f>IF($B389="","",IFERROR(INDEX(Connaissements!$B$3:$B$202,MATCH($B389,Connaissements!$A$3:$A$202,0)),""))</f>
        <v/>
      </c>
      <c r="L389" s="7" t="str">
        <f>IF($B389="","",IFERROR(INDEX(Connaissements!$G$3:$G$202,MATCH($B389,Connaissements!$A$3:$A$202,0)),""))</f>
        <v/>
      </c>
      <c r="M389" s="7" t="str">
        <f t="shared" si="23"/>
        <v/>
      </c>
      <c r="N389" s="7" t="str">
        <f t="shared" ca="1" si="24"/>
        <v/>
      </c>
      <c r="O389" s="13"/>
      <c r="P389" s="29" t="str">
        <f t="shared" ca="1" si="25"/>
        <v/>
      </c>
      <c r="Q389" s="30" t="str">
        <f>IF($K389="","",IFERROR(IF(INDEX(Bookings!$G$3:$G$202,MATCH($K389,Bookings!$A$3:$A$202,0))="","",INDEX(Bookings!$G$3:$G$202,MATCH($K389,Bookings!$A$3:$A$202,0))),""))</f>
        <v/>
      </c>
    </row>
    <row r="390" spans="1:17" hidden="1" x14ac:dyDescent="0.35">
      <c r="A390" s="81"/>
      <c r="B390" s="81"/>
      <c r="C390" s="21"/>
      <c r="D390" s="56"/>
      <c r="E390" s="14"/>
      <c r="F390" s="14"/>
      <c r="G390" s="14"/>
      <c r="H390" s="83">
        <f t="shared" si="26"/>
        <v>0</v>
      </c>
      <c r="I390" s="80"/>
      <c r="J390" s="80"/>
      <c r="K390" s="7" t="str">
        <f>IF($B390="","",IFERROR(INDEX(Connaissements!$B$3:$B$202,MATCH($B390,Connaissements!$A$3:$A$202,0)),""))</f>
        <v/>
      </c>
      <c r="L390" s="7" t="str">
        <f>IF($B390="","",IFERROR(INDEX(Connaissements!$G$3:$G$202,MATCH($B390,Connaissements!$A$3:$A$202,0)),""))</f>
        <v/>
      </c>
      <c r="M390" s="7" t="str">
        <f t="shared" si="23"/>
        <v/>
      </c>
      <c r="N390" s="7" t="str">
        <f t="shared" ca="1" si="24"/>
        <v/>
      </c>
      <c r="O390" s="13"/>
      <c r="P390" s="29" t="str">
        <f t="shared" ca="1" si="25"/>
        <v/>
      </c>
      <c r="Q390" s="30" t="str">
        <f>IF($K390="","",IFERROR(IF(INDEX(Bookings!$G$3:$G$202,MATCH($K390,Bookings!$A$3:$A$202,0))="","",INDEX(Bookings!$G$3:$G$202,MATCH($K390,Bookings!$A$3:$A$202,0))),""))</f>
        <v/>
      </c>
    </row>
    <row r="391" spans="1:17" hidden="1" x14ac:dyDescent="0.35">
      <c r="A391" s="81"/>
      <c r="B391" s="81"/>
      <c r="C391" s="21"/>
      <c r="D391" s="56"/>
      <c r="E391" s="14"/>
      <c r="F391" s="14"/>
      <c r="G391" s="14"/>
      <c r="H391" s="83">
        <f t="shared" si="26"/>
        <v>0</v>
      </c>
      <c r="I391" s="80"/>
      <c r="J391" s="80"/>
      <c r="K391" s="7" t="str">
        <f>IF($B391="","",IFERROR(INDEX(Connaissements!$B$3:$B$202,MATCH($B391,Connaissements!$A$3:$A$202,0)),""))</f>
        <v/>
      </c>
      <c r="L391" s="7" t="str">
        <f>IF($B391="","",IFERROR(INDEX(Connaissements!$G$3:$G$202,MATCH($B391,Connaissements!$A$3:$A$202,0)),""))</f>
        <v/>
      </c>
      <c r="M391" s="7" t="str">
        <f t="shared" si="23"/>
        <v/>
      </c>
      <c r="N391" s="7" t="str">
        <f t="shared" ca="1" si="24"/>
        <v/>
      </c>
      <c r="O391" s="13"/>
      <c r="P391" s="29" t="str">
        <f t="shared" ca="1" si="25"/>
        <v/>
      </c>
      <c r="Q391" s="30" t="str">
        <f>IF($K391="","",IFERROR(IF(INDEX(Bookings!$G$3:$G$202,MATCH($K391,Bookings!$A$3:$A$202,0))="","",INDEX(Bookings!$G$3:$G$202,MATCH($K391,Bookings!$A$3:$A$202,0))),""))</f>
        <v/>
      </c>
    </row>
    <row r="392" spans="1:17" hidden="1" x14ac:dyDescent="0.35">
      <c r="A392" s="81"/>
      <c r="B392" s="81"/>
      <c r="C392" s="21"/>
      <c r="D392" s="56"/>
      <c r="E392" s="14"/>
      <c r="F392" s="14"/>
      <c r="G392" s="14"/>
      <c r="H392" s="83">
        <f t="shared" si="26"/>
        <v>0</v>
      </c>
      <c r="I392" s="80"/>
      <c r="J392" s="80"/>
      <c r="K392" s="7" t="str">
        <f>IF($B392="","",IFERROR(INDEX(Connaissements!$B$3:$B$202,MATCH($B392,Connaissements!$A$3:$A$202,0)),""))</f>
        <v/>
      </c>
      <c r="L392" s="7" t="str">
        <f>IF($B392="","",IFERROR(INDEX(Connaissements!$G$3:$G$202,MATCH($B392,Connaissements!$A$3:$A$202,0)),""))</f>
        <v/>
      </c>
      <c r="M392" s="7" t="str">
        <f t="shared" si="23"/>
        <v/>
      </c>
      <c r="N392" s="7" t="str">
        <f t="shared" ca="1" si="24"/>
        <v/>
      </c>
      <c r="O392" s="13"/>
      <c r="P392" s="29" t="str">
        <f t="shared" ca="1" si="25"/>
        <v/>
      </c>
      <c r="Q392" s="30" t="str">
        <f>IF($K392="","",IFERROR(IF(INDEX(Bookings!$G$3:$G$202,MATCH($K392,Bookings!$A$3:$A$202,0))="","",INDEX(Bookings!$G$3:$G$202,MATCH($K392,Bookings!$A$3:$A$202,0))),""))</f>
        <v/>
      </c>
    </row>
    <row r="393" spans="1:17" hidden="1" x14ac:dyDescent="0.35">
      <c r="A393" s="81"/>
      <c r="B393" s="81"/>
      <c r="C393" s="21"/>
      <c r="D393" s="56"/>
      <c r="E393" s="14"/>
      <c r="F393" s="14"/>
      <c r="G393" s="14"/>
      <c r="H393" s="83">
        <f t="shared" si="26"/>
        <v>0</v>
      </c>
      <c r="I393" s="80"/>
      <c r="J393" s="80"/>
      <c r="K393" s="7" t="str">
        <f>IF($B393="","",IFERROR(INDEX(Connaissements!$B$3:$B$202,MATCH($B393,Connaissements!$A$3:$A$202,0)),""))</f>
        <v/>
      </c>
      <c r="L393" s="7" t="str">
        <f>IF($B393="","",IFERROR(INDEX(Connaissements!$G$3:$G$202,MATCH($B393,Connaissements!$A$3:$A$202,0)),""))</f>
        <v/>
      </c>
      <c r="M393" s="7" t="str">
        <f t="shared" si="23"/>
        <v/>
      </c>
      <c r="N393" s="7" t="str">
        <f t="shared" ca="1" si="24"/>
        <v/>
      </c>
      <c r="O393" s="13"/>
      <c r="P393" s="29" t="str">
        <f t="shared" ca="1" si="25"/>
        <v/>
      </c>
      <c r="Q393" s="30" t="str">
        <f>IF($K393="","",IFERROR(IF(INDEX(Bookings!$G$3:$G$202,MATCH($K393,Bookings!$A$3:$A$202,0))="","",INDEX(Bookings!$G$3:$G$202,MATCH($K393,Bookings!$A$3:$A$202,0))),""))</f>
        <v/>
      </c>
    </row>
    <row r="394" spans="1:17" hidden="1" x14ac:dyDescent="0.35">
      <c r="A394" s="81"/>
      <c r="B394" s="81"/>
      <c r="C394" s="21"/>
      <c r="D394" s="56"/>
      <c r="E394" s="14"/>
      <c r="F394" s="14"/>
      <c r="G394" s="14"/>
      <c r="H394" s="83">
        <f t="shared" si="26"/>
        <v>0</v>
      </c>
      <c r="I394" s="80"/>
      <c r="J394" s="80"/>
      <c r="K394" s="7" t="str">
        <f>IF($B394="","",IFERROR(INDEX(Connaissements!$B$3:$B$202,MATCH($B394,Connaissements!$A$3:$A$202,0)),""))</f>
        <v/>
      </c>
      <c r="L394" s="7" t="str">
        <f>IF($B394="","",IFERROR(INDEX(Connaissements!$G$3:$G$202,MATCH($B394,Connaissements!$A$3:$A$202,0)),""))</f>
        <v/>
      </c>
      <c r="M394" s="7" t="str">
        <f t="shared" si="23"/>
        <v/>
      </c>
      <c r="N394" s="7" t="str">
        <f t="shared" ca="1" si="24"/>
        <v/>
      </c>
      <c r="O394" s="13"/>
      <c r="P394" s="29" t="str">
        <f t="shared" ca="1" si="25"/>
        <v/>
      </c>
      <c r="Q394" s="30" t="str">
        <f>IF($K394="","",IFERROR(IF(INDEX(Bookings!$G$3:$G$202,MATCH($K394,Bookings!$A$3:$A$202,0))="","",INDEX(Bookings!$G$3:$G$202,MATCH($K394,Bookings!$A$3:$A$202,0))),""))</f>
        <v/>
      </c>
    </row>
    <row r="395" spans="1:17" hidden="1" x14ac:dyDescent="0.35">
      <c r="A395" s="81"/>
      <c r="B395" s="81"/>
      <c r="C395" s="21"/>
      <c r="D395" s="56"/>
      <c r="E395" s="14"/>
      <c r="F395" s="14"/>
      <c r="G395" s="14"/>
      <c r="H395" s="83">
        <f t="shared" si="26"/>
        <v>0</v>
      </c>
      <c r="I395" s="80"/>
      <c r="J395" s="80"/>
      <c r="K395" s="7" t="str">
        <f>IF($B395="","",IFERROR(INDEX(Connaissements!$B$3:$B$202,MATCH($B395,Connaissements!$A$3:$A$202,0)),""))</f>
        <v/>
      </c>
      <c r="L395" s="7" t="str">
        <f>IF($B395="","",IFERROR(INDEX(Connaissements!$G$3:$G$202,MATCH($B395,Connaissements!$A$3:$A$202,0)),""))</f>
        <v/>
      </c>
      <c r="M395" s="7" t="str">
        <f t="shared" si="23"/>
        <v/>
      </c>
      <c r="N395" s="7" t="str">
        <f t="shared" ca="1" si="24"/>
        <v/>
      </c>
      <c r="O395" s="13"/>
      <c r="P395" s="29" t="str">
        <f t="shared" ca="1" si="25"/>
        <v/>
      </c>
      <c r="Q395" s="30" t="str">
        <f>IF($K395="","",IFERROR(IF(INDEX(Bookings!$G$3:$G$202,MATCH($K395,Bookings!$A$3:$A$202,0))="","",INDEX(Bookings!$G$3:$G$202,MATCH($K395,Bookings!$A$3:$A$202,0))),""))</f>
        <v/>
      </c>
    </row>
    <row r="396" spans="1:17" hidden="1" x14ac:dyDescent="0.35">
      <c r="A396" s="81"/>
      <c r="B396" s="81"/>
      <c r="C396" s="21"/>
      <c r="D396" s="56"/>
      <c r="E396" s="14"/>
      <c r="F396" s="14"/>
      <c r="G396" s="14"/>
      <c r="H396" s="83">
        <f t="shared" si="26"/>
        <v>0</v>
      </c>
      <c r="I396" s="80"/>
      <c r="J396" s="80"/>
      <c r="K396" s="7" t="str">
        <f>IF($B396="","",IFERROR(INDEX(Connaissements!$B$3:$B$202,MATCH($B396,Connaissements!$A$3:$A$202,0)),""))</f>
        <v/>
      </c>
      <c r="L396" s="7" t="str">
        <f>IF($B396="","",IFERROR(INDEX(Connaissements!$G$3:$G$202,MATCH($B396,Connaissements!$A$3:$A$202,0)),""))</f>
        <v/>
      </c>
      <c r="M396" s="7" t="str">
        <f t="shared" si="23"/>
        <v/>
      </c>
      <c r="N396" s="7" t="str">
        <f t="shared" ca="1" si="24"/>
        <v/>
      </c>
      <c r="O396" s="13"/>
      <c r="P396" s="29" t="str">
        <f t="shared" ca="1" si="25"/>
        <v/>
      </c>
      <c r="Q396" s="30" t="str">
        <f>IF($K396="","",IFERROR(IF(INDEX(Bookings!$G$3:$G$202,MATCH($K396,Bookings!$A$3:$A$202,0))="","",INDEX(Bookings!$G$3:$G$202,MATCH($K396,Bookings!$A$3:$A$202,0))),""))</f>
        <v/>
      </c>
    </row>
    <row r="397" spans="1:17" hidden="1" x14ac:dyDescent="0.35">
      <c r="A397" s="81"/>
      <c r="B397" s="81"/>
      <c r="C397" s="21"/>
      <c r="D397" s="56"/>
      <c r="E397" s="14"/>
      <c r="F397" s="14"/>
      <c r="G397" s="14"/>
      <c r="H397" s="83">
        <f t="shared" si="26"/>
        <v>0</v>
      </c>
      <c r="I397" s="80"/>
      <c r="J397" s="80"/>
      <c r="K397" s="7" t="str">
        <f>IF($B397="","",IFERROR(INDEX(Connaissements!$B$3:$B$202,MATCH($B397,Connaissements!$A$3:$A$202,0)),""))</f>
        <v/>
      </c>
      <c r="L397" s="7" t="str">
        <f>IF($B397="","",IFERROR(INDEX(Connaissements!$G$3:$G$202,MATCH($B397,Connaissements!$A$3:$A$202,0)),""))</f>
        <v/>
      </c>
      <c r="M397" s="7" t="str">
        <f t="shared" si="23"/>
        <v/>
      </c>
      <c r="N397" s="7" t="str">
        <f t="shared" ca="1" si="24"/>
        <v/>
      </c>
      <c r="O397" s="13"/>
      <c r="P397" s="29" t="str">
        <f t="shared" ca="1" si="25"/>
        <v/>
      </c>
      <c r="Q397" s="30" t="str">
        <f>IF($K397="","",IFERROR(IF(INDEX(Bookings!$G$3:$G$202,MATCH($K397,Bookings!$A$3:$A$202,0))="","",INDEX(Bookings!$G$3:$G$202,MATCH($K397,Bookings!$A$3:$A$202,0))),""))</f>
        <v/>
      </c>
    </row>
    <row r="398" spans="1:17" hidden="1" x14ac:dyDescent="0.35">
      <c r="A398" s="81"/>
      <c r="B398" s="81"/>
      <c r="C398" s="21"/>
      <c r="D398" s="56"/>
      <c r="E398" s="14"/>
      <c r="F398" s="14"/>
      <c r="G398" s="14"/>
      <c r="H398" s="83">
        <f t="shared" si="26"/>
        <v>0</v>
      </c>
      <c r="I398" s="80"/>
      <c r="J398" s="80"/>
      <c r="K398" s="7" t="str">
        <f>IF($B398="","",IFERROR(INDEX(Connaissements!$B$3:$B$202,MATCH($B398,Connaissements!$A$3:$A$202,0)),""))</f>
        <v/>
      </c>
      <c r="L398" s="7" t="str">
        <f>IF($B398="","",IFERROR(INDEX(Connaissements!$G$3:$G$202,MATCH($B398,Connaissements!$A$3:$A$202,0)),""))</f>
        <v/>
      </c>
      <c r="M398" s="7" t="str">
        <f t="shared" si="23"/>
        <v/>
      </c>
      <c r="N398" s="7" t="str">
        <f t="shared" ca="1" si="24"/>
        <v/>
      </c>
      <c r="O398" s="13"/>
      <c r="P398" s="29" t="str">
        <f t="shared" ca="1" si="25"/>
        <v/>
      </c>
      <c r="Q398" s="30" t="str">
        <f>IF($K398="","",IFERROR(IF(INDEX(Bookings!$G$3:$G$202,MATCH($K398,Bookings!$A$3:$A$202,0))="","",INDEX(Bookings!$G$3:$G$202,MATCH($K398,Bookings!$A$3:$A$202,0))),""))</f>
        <v/>
      </c>
    </row>
    <row r="399" spans="1:17" hidden="1" x14ac:dyDescent="0.35">
      <c r="A399" s="81"/>
      <c r="B399" s="81"/>
      <c r="C399" s="21"/>
      <c r="D399" s="56"/>
      <c r="E399" s="14"/>
      <c r="F399" s="14"/>
      <c r="G399" s="14"/>
      <c r="H399" s="83">
        <f t="shared" si="26"/>
        <v>0</v>
      </c>
      <c r="I399" s="80"/>
      <c r="J399" s="80"/>
      <c r="K399" s="7" t="str">
        <f>IF($B399="","",IFERROR(INDEX(Connaissements!$B$3:$B$202,MATCH($B399,Connaissements!$A$3:$A$202,0)),""))</f>
        <v/>
      </c>
      <c r="L399" s="7" t="str">
        <f>IF($B399="","",IFERROR(INDEX(Connaissements!$G$3:$G$202,MATCH($B399,Connaissements!$A$3:$A$202,0)),""))</f>
        <v/>
      </c>
      <c r="M399" s="7" t="str">
        <f t="shared" si="23"/>
        <v/>
      </c>
      <c r="N399" s="7" t="str">
        <f t="shared" ca="1" si="24"/>
        <v/>
      </c>
      <c r="O399" s="13"/>
      <c r="P399" s="29" t="str">
        <f t="shared" ca="1" si="25"/>
        <v/>
      </c>
      <c r="Q399" s="30" t="str">
        <f>IF($K399="","",IFERROR(IF(INDEX(Bookings!$G$3:$G$202,MATCH($K399,Bookings!$A$3:$A$202,0))="","",INDEX(Bookings!$G$3:$G$202,MATCH($K399,Bookings!$A$3:$A$202,0))),""))</f>
        <v/>
      </c>
    </row>
    <row r="400" spans="1:17" hidden="1" x14ac:dyDescent="0.35">
      <c r="A400" s="81"/>
      <c r="B400" s="81"/>
      <c r="C400" s="21"/>
      <c r="D400" s="56"/>
      <c r="E400" s="14"/>
      <c r="F400" s="14"/>
      <c r="G400" s="14"/>
      <c r="H400" s="83">
        <f t="shared" si="26"/>
        <v>0</v>
      </c>
      <c r="I400" s="80"/>
      <c r="J400" s="80"/>
      <c r="K400" s="7" t="str">
        <f>IF($B400="","",IFERROR(INDEX(Connaissements!$B$3:$B$202,MATCH($B400,Connaissements!$A$3:$A$202,0)),""))</f>
        <v/>
      </c>
      <c r="L400" s="7" t="str">
        <f>IF($B400="","",IFERROR(INDEX(Connaissements!$G$3:$G$202,MATCH($B400,Connaissements!$A$3:$A$202,0)),""))</f>
        <v/>
      </c>
      <c r="M400" s="7" t="str">
        <f t="shared" si="23"/>
        <v/>
      </c>
      <c r="N400" s="7" t="str">
        <f t="shared" ca="1" si="24"/>
        <v/>
      </c>
      <c r="O400" s="13"/>
      <c r="P400" s="29" t="str">
        <f t="shared" ca="1" si="25"/>
        <v/>
      </c>
      <c r="Q400" s="30" t="str">
        <f>IF($K400="","",IFERROR(IF(INDEX(Bookings!$G$3:$G$202,MATCH($K400,Bookings!$A$3:$A$202,0))="","",INDEX(Bookings!$G$3:$G$202,MATCH($K400,Bookings!$A$3:$A$202,0))),""))</f>
        <v/>
      </c>
    </row>
    <row r="401" spans="1:17" hidden="1" x14ac:dyDescent="0.35">
      <c r="A401" s="81"/>
      <c r="B401" s="81"/>
      <c r="C401" s="21"/>
      <c r="D401" s="56"/>
      <c r="E401" s="14"/>
      <c r="F401" s="14"/>
      <c r="G401" s="14"/>
      <c r="H401" s="83">
        <f t="shared" si="26"/>
        <v>0</v>
      </c>
      <c r="I401" s="80"/>
      <c r="J401" s="80"/>
      <c r="K401" s="7" t="str">
        <f>IF($B401="","",IFERROR(INDEX(Connaissements!$B$3:$B$202,MATCH($B401,Connaissements!$A$3:$A$202,0)),""))</f>
        <v/>
      </c>
      <c r="L401" s="7" t="str">
        <f>IF($B401="","",IFERROR(INDEX(Connaissements!$G$3:$G$202,MATCH($B401,Connaissements!$A$3:$A$202,0)),""))</f>
        <v/>
      </c>
      <c r="M401" s="7" t="str">
        <f t="shared" si="23"/>
        <v/>
      </c>
      <c r="N401" s="7" t="str">
        <f t="shared" ca="1" si="24"/>
        <v/>
      </c>
      <c r="O401" s="13"/>
      <c r="P401" s="29" t="str">
        <f t="shared" ca="1" si="25"/>
        <v/>
      </c>
      <c r="Q401" s="30" t="str">
        <f>IF($K401="","",IFERROR(IF(INDEX(Bookings!$G$3:$G$202,MATCH($K401,Bookings!$A$3:$A$202,0))="","",INDEX(Bookings!$G$3:$G$202,MATCH($K401,Bookings!$A$3:$A$202,0))),""))</f>
        <v/>
      </c>
    </row>
    <row r="402" spans="1:17" hidden="1" x14ac:dyDescent="0.35">
      <c r="A402" s="81"/>
      <c r="B402" s="81"/>
      <c r="C402" s="21"/>
      <c r="D402" s="56"/>
      <c r="E402" s="14"/>
      <c r="F402" s="14"/>
      <c r="G402" s="14"/>
      <c r="H402" s="83">
        <f t="shared" si="26"/>
        <v>0</v>
      </c>
      <c r="I402" s="80"/>
      <c r="J402" s="80"/>
      <c r="K402" s="7" t="str">
        <f>IF($B402="","",IFERROR(INDEX(Connaissements!$B$3:$B$202,MATCH($B402,Connaissements!$A$3:$A$202,0)),""))</f>
        <v/>
      </c>
      <c r="L402" s="7" t="str">
        <f>IF($B402="","",IFERROR(INDEX(Connaissements!$G$3:$G$202,MATCH($B402,Connaissements!$A$3:$A$202,0)),""))</f>
        <v/>
      </c>
      <c r="M402" s="7" t="str">
        <f t="shared" si="23"/>
        <v/>
      </c>
      <c r="N402" s="7" t="str">
        <f t="shared" ca="1" si="24"/>
        <v/>
      </c>
      <c r="O402" s="13"/>
      <c r="P402" s="29" t="str">
        <f t="shared" ca="1" si="25"/>
        <v/>
      </c>
      <c r="Q402" s="30" t="str">
        <f>IF($K402="","",IFERROR(IF(INDEX(Bookings!$G$3:$G$202,MATCH($K402,Bookings!$A$3:$A$202,0))="","",INDEX(Bookings!$G$3:$G$202,MATCH($K402,Bookings!$A$3:$A$202,0))),""))</f>
        <v/>
      </c>
    </row>
    <row r="403" spans="1:17" hidden="1" x14ac:dyDescent="0.35">
      <c r="A403" s="81"/>
      <c r="B403" s="81"/>
      <c r="C403" s="21"/>
      <c r="D403" s="56"/>
      <c r="E403" s="14"/>
      <c r="F403" s="14"/>
      <c r="G403" s="14"/>
      <c r="H403" s="83">
        <f t="shared" si="26"/>
        <v>0</v>
      </c>
      <c r="I403" s="80"/>
      <c r="J403" s="80"/>
      <c r="K403" s="7" t="str">
        <f>IF($B403="","",IFERROR(INDEX(Connaissements!$B$3:$B$202,MATCH($B403,Connaissements!$A$3:$A$202,0)),""))</f>
        <v/>
      </c>
      <c r="L403" s="7" t="str">
        <f>IF($B403="","",IFERROR(INDEX(Connaissements!$G$3:$G$202,MATCH($B403,Connaissements!$A$3:$A$202,0)),""))</f>
        <v/>
      </c>
      <c r="M403" s="7" t="str">
        <f t="shared" si="23"/>
        <v/>
      </c>
      <c r="N403" s="7" t="str">
        <f t="shared" ca="1" si="24"/>
        <v/>
      </c>
      <c r="O403" s="13"/>
      <c r="P403" s="29" t="str">
        <f t="shared" ca="1" si="25"/>
        <v/>
      </c>
      <c r="Q403" s="30" t="str">
        <f>IF($K403="","",IFERROR(IF(INDEX(Bookings!$G$3:$G$202,MATCH($K403,Bookings!$A$3:$A$202,0))="","",INDEX(Bookings!$G$3:$G$202,MATCH($K403,Bookings!$A$3:$A$202,0))),""))</f>
        <v/>
      </c>
    </row>
    <row r="404" spans="1:17" hidden="1" x14ac:dyDescent="0.35">
      <c r="A404" s="81"/>
      <c r="B404" s="81"/>
      <c r="C404" s="21"/>
      <c r="D404" s="56"/>
      <c r="E404" s="14"/>
      <c r="F404" s="14"/>
      <c r="G404" s="14"/>
      <c r="H404" s="83">
        <f t="shared" si="26"/>
        <v>0</v>
      </c>
      <c r="I404" s="80"/>
      <c r="J404" s="80"/>
      <c r="K404" s="7" t="str">
        <f>IF($B404="","",IFERROR(INDEX(Connaissements!$B$3:$B$202,MATCH($B404,Connaissements!$A$3:$A$202,0)),""))</f>
        <v/>
      </c>
      <c r="L404" s="7" t="str">
        <f>IF($B404="","",IFERROR(INDEX(Connaissements!$G$3:$G$202,MATCH($B404,Connaissements!$A$3:$A$202,0)),""))</f>
        <v/>
      </c>
      <c r="M404" s="7" t="str">
        <f t="shared" si="23"/>
        <v/>
      </c>
      <c r="N404" s="7" t="str">
        <f t="shared" ca="1" si="24"/>
        <v/>
      </c>
      <c r="O404" s="13"/>
      <c r="P404" s="29" t="str">
        <f t="shared" ca="1" si="25"/>
        <v/>
      </c>
      <c r="Q404" s="30" t="str">
        <f>IF($K404="","",IFERROR(IF(INDEX(Bookings!$G$3:$G$202,MATCH($K404,Bookings!$A$3:$A$202,0))="","",INDEX(Bookings!$G$3:$G$202,MATCH($K404,Bookings!$A$3:$A$202,0))),""))</f>
        <v/>
      </c>
    </row>
    <row r="405" spans="1:17" hidden="1" x14ac:dyDescent="0.35">
      <c r="A405" s="81"/>
      <c r="B405" s="81"/>
      <c r="C405" s="21"/>
      <c r="D405" s="56"/>
      <c r="E405" s="14"/>
      <c r="F405" s="14"/>
      <c r="G405" s="14"/>
      <c r="H405" s="83">
        <f t="shared" si="26"/>
        <v>0</v>
      </c>
      <c r="I405" s="80"/>
      <c r="J405" s="80"/>
      <c r="K405" s="7" t="str">
        <f>IF($B405="","",IFERROR(INDEX(Connaissements!$B$3:$B$202,MATCH($B405,Connaissements!$A$3:$A$202,0)),""))</f>
        <v/>
      </c>
      <c r="L405" s="7" t="str">
        <f>IF($B405="","",IFERROR(INDEX(Connaissements!$G$3:$G$202,MATCH($B405,Connaissements!$A$3:$A$202,0)),""))</f>
        <v/>
      </c>
      <c r="M405" s="7" t="str">
        <f t="shared" si="23"/>
        <v/>
      </c>
      <c r="N405" s="7" t="str">
        <f t="shared" ca="1" si="24"/>
        <v/>
      </c>
      <c r="O405" s="13"/>
      <c r="P405" s="29" t="str">
        <f t="shared" ca="1" si="25"/>
        <v/>
      </c>
      <c r="Q405" s="30" t="str">
        <f>IF($K405="","",IFERROR(IF(INDEX(Bookings!$G$3:$G$202,MATCH($K405,Bookings!$A$3:$A$202,0))="","",INDEX(Bookings!$G$3:$G$202,MATCH($K405,Bookings!$A$3:$A$202,0))),""))</f>
        <v/>
      </c>
    </row>
    <row r="406" spans="1:17" hidden="1" x14ac:dyDescent="0.35">
      <c r="A406" s="81"/>
      <c r="B406" s="81"/>
      <c r="C406" s="21"/>
      <c r="D406" s="56"/>
      <c r="E406" s="14"/>
      <c r="F406" s="14"/>
      <c r="G406" s="14"/>
      <c r="H406" s="83">
        <f t="shared" si="26"/>
        <v>0</v>
      </c>
      <c r="I406" s="80"/>
      <c r="J406" s="80"/>
      <c r="K406" s="7" t="str">
        <f>IF($B406="","",IFERROR(INDEX(Connaissements!$B$3:$B$202,MATCH($B406,Connaissements!$A$3:$A$202,0)),""))</f>
        <v/>
      </c>
      <c r="L406" s="7" t="str">
        <f>IF($B406="","",IFERROR(INDEX(Connaissements!$G$3:$G$202,MATCH($B406,Connaissements!$A$3:$A$202,0)),""))</f>
        <v/>
      </c>
      <c r="M406" s="7" t="str">
        <f t="shared" si="23"/>
        <v/>
      </c>
      <c r="N406" s="7" t="str">
        <f t="shared" ca="1" si="24"/>
        <v/>
      </c>
      <c r="O406" s="13"/>
      <c r="P406" s="29" t="str">
        <f t="shared" ca="1" si="25"/>
        <v/>
      </c>
      <c r="Q406" s="30" t="str">
        <f>IF($K406="","",IFERROR(IF(INDEX(Bookings!$G$3:$G$202,MATCH($K406,Bookings!$A$3:$A$202,0))="","",INDEX(Bookings!$G$3:$G$202,MATCH($K406,Bookings!$A$3:$A$202,0))),""))</f>
        <v/>
      </c>
    </row>
    <row r="407" spans="1:17" hidden="1" x14ac:dyDescent="0.35">
      <c r="A407" s="81"/>
      <c r="B407" s="81"/>
      <c r="C407" s="21"/>
      <c r="D407" s="56"/>
      <c r="E407" s="14"/>
      <c r="F407" s="14"/>
      <c r="G407" s="14"/>
      <c r="H407" s="83">
        <f t="shared" si="26"/>
        <v>0</v>
      </c>
      <c r="I407" s="80"/>
      <c r="J407" s="80"/>
      <c r="K407" s="7" t="str">
        <f>IF($B407="","",IFERROR(INDEX(Connaissements!$B$3:$B$202,MATCH($B407,Connaissements!$A$3:$A$202,0)),""))</f>
        <v/>
      </c>
      <c r="L407" s="7" t="str">
        <f>IF($B407="","",IFERROR(INDEX(Connaissements!$G$3:$G$202,MATCH($B407,Connaissements!$A$3:$A$202,0)),""))</f>
        <v/>
      </c>
      <c r="M407" s="7" t="str">
        <f t="shared" si="23"/>
        <v/>
      </c>
      <c r="N407" s="7" t="str">
        <f t="shared" ca="1" si="24"/>
        <v/>
      </c>
      <c r="O407" s="13"/>
      <c r="P407" s="29" t="str">
        <f t="shared" ca="1" si="25"/>
        <v/>
      </c>
      <c r="Q407" s="30" t="str">
        <f>IF($K407="","",IFERROR(IF(INDEX(Bookings!$G$3:$G$202,MATCH($K407,Bookings!$A$3:$A$202,0))="","",INDEX(Bookings!$G$3:$G$202,MATCH($K407,Bookings!$A$3:$A$202,0))),""))</f>
        <v/>
      </c>
    </row>
    <row r="408" spans="1:17" hidden="1" x14ac:dyDescent="0.35">
      <c r="A408" s="81"/>
      <c r="B408" s="81"/>
      <c r="C408" s="21"/>
      <c r="D408" s="56"/>
      <c r="E408" s="14"/>
      <c r="F408" s="14"/>
      <c r="G408" s="14"/>
      <c r="H408" s="83">
        <f t="shared" si="26"/>
        <v>0</v>
      </c>
      <c r="I408" s="80"/>
      <c r="J408" s="80"/>
      <c r="K408" s="7" t="str">
        <f>IF($B408="","",IFERROR(INDEX(Connaissements!$B$3:$B$202,MATCH($B408,Connaissements!$A$3:$A$202,0)),""))</f>
        <v/>
      </c>
      <c r="L408" s="7" t="str">
        <f>IF($B408="","",IFERROR(INDEX(Connaissements!$G$3:$G$202,MATCH($B408,Connaissements!$A$3:$A$202,0)),""))</f>
        <v/>
      </c>
      <c r="M408" s="7" t="str">
        <f t="shared" si="23"/>
        <v/>
      </c>
      <c r="N408" s="7" t="str">
        <f t="shared" ca="1" si="24"/>
        <v/>
      </c>
      <c r="O408" s="13"/>
      <c r="P408" s="29" t="str">
        <f t="shared" ca="1" si="25"/>
        <v/>
      </c>
      <c r="Q408" s="30" t="str">
        <f>IF($K408="","",IFERROR(IF(INDEX(Bookings!$G$3:$G$202,MATCH($K408,Bookings!$A$3:$A$202,0))="","",INDEX(Bookings!$G$3:$G$202,MATCH($K408,Bookings!$A$3:$A$202,0))),""))</f>
        <v/>
      </c>
    </row>
    <row r="409" spans="1:17" hidden="1" x14ac:dyDescent="0.35">
      <c r="A409" s="81"/>
      <c r="B409" s="81"/>
      <c r="C409" s="21"/>
      <c r="D409" s="56"/>
      <c r="E409" s="14"/>
      <c r="F409" s="14"/>
      <c r="G409" s="14"/>
      <c r="H409" s="83">
        <f t="shared" si="26"/>
        <v>0</v>
      </c>
      <c r="I409" s="80"/>
      <c r="J409" s="80"/>
      <c r="K409" s="7" t="str">
        <f>IF($B409="","",IFERROR(INDEX(Connaissements!$B$3:$B$202,MATCH($B409,Connaissements!$A$3:$A$202,0)),""))</f>
        <v/>
      </c>
      <c r="L409" s="7" t="str">
        <f>IF($B409="","",IFERROR(INDEX(Connaissements!$G$3:$G$202,MATCH($B409,Connaissements!$A$3:$A$202,0)),""))</f>
        <v/>
      </c>
      <c r="M409" s="7" t="str">
        <f t="shared" si="23"/>
        <v/>
      </c>
      <c r="N409" s="7" t="str">
        <f t="shared" ca="1" si="24"/>
        <v/>
      </c>
      <c r="O409" s="13"/>
      <c r="P409" s="29" t="str">
        <f t="shared" ca="1" si="25"/>
        <v/>
      </c>
      <c r="Q409" s="30" t="str">
        <f>IF($K409="","",IFERROR(IF(INDEX(Bookings!$G$3:$G$202,MATCH($K409,Bookings!$A$3:$A$202,0))="","",INDEX(Bookings!$G$3:$G$202,MATCH($K409,Bookings!$A$3:$A$202,0))),""))</f>
        <v/>
      </c>
    </row>
    <row r="410" spans="1:17" hidden="1" x14ac:dyDescent="0.35">
      <c r="A410" s="81"/>
      <c r="B410" s="81"/>
      <c r="C410" s="21"/>
      <c r="D410" s="56"/>
      <c r="E410" s="14"/>
      <c r="F410" s="14"/>
      <c r="G410" s="14"/>
      <c r="H410" s="83">
        <f t="shared" si="26"/>
        <v>0</v>
      </c>
      <c r="I410" s="80"/>
      <c r="J410" s="80"/>
      <c r="K410" s="7" t="str">
        <f>IF($B410="","",IFERROR(INDEX(Connaissements!$B$3:$B$202,MATCH($B410,Connaissements!$A$3:$A$202,0)),""))</f>
        <v/>
      </c>
      <c r="L410" s="7" t="str">
        <f>IF($B410="","",IFERROR(INDEX(Connaissements!$G$3:$G$202,MATCH($B410,Connaissements!$A$3:$A$202,0)),""))</f>
        <v/>
      </c>
      <c r="M410" s="7" t="str">
        <f t="shared" si="23"/>
        <v/>
      </c>
      <c r="N410" s="7" t="str">
        <f t="shared" ca="1" si="24"/>
        <v/>
      </c>
      <c r="O410" s="13"/>
      <c r="P410" s="29" t="str">
        <f t="shared" ca="1" si="25"/>
        <v/>
      </c>
      <c r="Q410" s="30" t="str">
        <f>IF($K410="","",IFERROR(IF(INDEX(Bookings!$G$3:$G$202,MATCH($K410,Bookings!$A$3:$A$202,0))="","",INDEX(Bookings!$G$3:$G$202,MATCH($K410,Bookings!$A$3:$A$202,0))),""))</f>
        <v/>
      </c>
    </row>
    <row r="411" spans="1:17" hidden="1" x14ac:dyDescent="0.35">
      <c r="A411" s="81"/>
      <c r="B411" s="81"/>
      <c r="C411" s="21"/>
      <c r="D411" s="56"/>
      <c r="E411" s="14"/>
      <c r="F411" s="14"/>
      <c r="G411" s="14"/>
      <c r="H411" s="83">
        <f t="shared" si="26"/>
        <v>0</v>
      </c>
      <c r="I411" s="80"/>
      <c r="J411" s="80"/>
      <c r="K411" s="7" t="str">
        <f>IF($B411="","",IFERROR(INDEX(Connaissements!$B$3:$B$202,MATCH($B411,Connaissements!$A$3:$A$202,0)),""))</f>
        <v/>
      </c>
      <c r="L411" s="7" t="str">
        <f>IF($B411="","",IFERROR(INDEX(Connaissements!$G$3:$G$202,MATCH($B411,Connaissements!$A$3:$A$202,0)),""))</f>
        <v/>
      </c>
      <c r="M411" s="7" t="str">
        <f t="shared" si="23"/>
        <v/>
      </c>
      <c r="N411" s="7" t="str">
        <f t="shared" ca="1" si="24"/>
        <v/>
      </c>
      <c r="O411" s="13"/>
      <c r="P411" s="29" t="str">
        <f t="shared" ca="1" si="25"/>
        <v/>
      </c>
      <c r="Q411" s="30" t="str">
        <f>IF($K411="","",IFERROR(IF(INDEX(Bookings!$G$3:$G$202,MATCH($K411,Bookings!$A$3:$A$202,0))="","",INDEX(Bookings!$G$3:$G$202,MATCH($K411,Bookings!$A$3:$A$202,0))),""))</f>
        <v/>
      </c>
    </row>
    <row r="412" spans="1:17" hidden="1" x14ac:dyDescent="0.35">
      <c r="A412" s="81"/>
      <c r="B412" s="81"/>
      <c r="C412" s="21"/>
      <c r="D412" s="56"/>
      <c r="E412" s="14"/>
      <c r="F412" s="14"/>
      <c r="G412" s="14"/>
      <c r="H412" s="83">
        <f t="shared" si="26"/>
        <v>0</v>
      </c>
      <c r="I412" s="80"/>
      <c r="J412" s="80"/>
      <c r="K412" s="7" t="str">
        <f>IF($B412="","",IFERROR(INDEX(Connaissements!$B$3:$B$202,MATCH($B412,Connaissements!$A$3:$A$202,0)),""))</f>
        <v/>
      </c>
      <c r="L412" s="7" t="str">
        <f>IF($B412="","",IFERROR(INDEX(Connaissements!$G$3:$G$202,MATCH($B412,Connaissements!$A$3:$A$202,0)),""))</f>
        <v/>
      </c>
      <c r="M412" s="7" t="str">
        <f t="shared" si="23"/>
        <v/>
      </c>
      <c r="N412" s="7" t="str">
        <f t="shared" ca="1" si="24"/>
        <v/>
      </c>
      <c r="O412" s="13"/>
      <c r="P412" s="29" t="str">
        <f t="shared" ca="1" si="25"/>
        <v/>
      </c>
      <c r="Q412" s="30" t="str">
        <f>IF($K412="","",IFERROR(IF(INDEX(Bookings!$G$3:$G$202,MATCH($K412,Bookings!$A$3:$A$202,0))="","",INDEX(Bookings!$G$3:$G$202,MATCH($K412,Bookings!$A$3:$A$202,0))),""))</f>
        <v/>
      </c>
    </row>
    <row r="413" spans="1:17" hidden="1" x14ac:dyDescent="0.35">
      <c r="A413" s="81"/>
      <c r="B413" s="81"/>
      <c r="C413" s="21"/>
      <c r="D413" s="56"/>
      <c r="E413" s="14"/>
      <c r="F413" s="14"/>
      <c r="G413" s="14"/>
      <c r="H413" s="83">
        <f t="shared" si="26"/>
        <v>0</v>
      </c>
      <c r="I413" s="80"/>
      <c r="J413" s="80"/>
      <c r="K413" s="7" t="str">
        <f>IF($B413="","",IFERROR(INDEX(Connaissements!$B$3:$B$202,MATCH($B413,Connaissements!$A$3:$A$202,0)),""))</f>
        <v/>
      </c>
      <c r="L413" s="7" t="str">
        <f>IF($B413="","",IFERROR(INDEX(Connaissements!$G$3:$G$202,MATCH($B413,Connaissements!$A$3:$A$202,0)),""))</f>
        <v/>
      </c>
      <c r="M413" s="7" t="str">
        <f t="shared" si="23"/>
        <v/>
      </c>
      <c r="N413" s="7" t="str">
        <f t="shared" ca="1" si="24"/>
        <v/>
      </c>
      <c r="O413" s="13"/>
      <c r="P413" s="29" t="str">
        <f t="shared" ca="1" si="25"/>
        <v/>
      </c>
      <c r="Q413" s="30" t="str">
        <f>IF($K413="","",IFERROR(IF(INDEX(Bookings!$G$3:$G$202,MATCH($K413,Bookings!$A$3:$A$202,0))="","",INDEX(Bookings!$G$3:$G$202,MATCH($K413,Bookings!$A$3:$A$202,0))),""))</f>
        <v/>
      </c>
    </row>
    <row r="414" spans="1:17" hidden="1" x14ac:dyDescent="0.35">
      <c r="A414" s="81"/>
      <c r="B414" s="81"/>
      <c r="C414" s="21"/>
      <c r="D414" s="56"/>
      <c r="E414" s="14"/>
      <c r="F414" s="14"/>
      <c r="G414" s="14"/>
      <c r="H414" s="83">
        <f t="shared" si="26"/>
        <v>0</v>
      </c>
      <c r="I414" s="80"/>
      <c r="J414" s="80"/>
      <c r="K414" s="7" t="str">
        <f>IF($B414="","",IFERROR(INDEX(Connaissements!$B$3:$B$202,MATCH($B414,Connaissements!$A$3:$A$202,0)),""))</f>
        <v/>
      </c>
      <c r="L414" s="7" t="str">
        <f>IF($B414="","",IFERROR(INDEX(Connaissements!$G$3:$G$202,MATCH($B414,Connaissements!$A$3:$A$202,0)),""))</f>
        <v/>
      </c>
      <c r="M414" s="7" t="str">
        <f t="shared" si="23"/>
        <v/>
      </c>
      <c r="N414" s="7" t="str">
        <f t="shared" ca="1" si="24"/>
        <v/>
      </c>
      <c r="O414" s="13"/>
      <c r="P414" s="29" t="str">
        <f t="shared" ca="1" si="25"/>
        <v/>
      </c>
      <c r="Q414" s="30" t="str">
        <f>IF($K414="","",IFERROR(IF(INDEX(Bookings!$G$3:$G$202,MATCH($K414,Bookings!$A$3:$A$202,0))="","",INDEX(Bookings!$G$3:$G$202,MATCH($K414,Bookings!$A$3:$A$202,0))),""))</f>
        <v/>
      </c>
    </row>
    <row r="415" spans="1:17" hidden="1" x14ac:dyDescent="0.35">
      <c r="A415" s="81"/>
      <c r="B415" s="81"/>
      <c r="C415" s="21"/>
      <c r="D415" s="56"/>
      <c r="E415" s="14"/>
      <c r="F415" s="14"/>
      <c r="G415" s="14"/>
      <c r="H415" s="83">
        <f t="shared" si="26"/>
        <v>0</v>
      </c>
      <c r="I415" s="80"/>
      <c r="J415" s="80"/>
      <c r="K415" s="7" t="str">
        <f>IF($B415="","",IFERROR(INDEX(Connaissements!$B$3:$B$202,MATCH($B415,Connaissements!$A$3:$A$202,0)),""))</f>
        <v/>
      </c>
      <c r="L415" s="7" t="str">
        <f>IF($B415="","",IFERROR(INDEX(Connaissements!$G$3:$G$202,MATCH($B415,Connaissements!$A$3:$A$202,0)),""))</f>
        <v/>
      </c>
      <c r="M415" s="7" t="str">
        <f t="shared" si="23"/>
        <v/>
      </c>
      <c r="N415" s="7" t="str">
        <f t="shared" ca="1" si="24"/>
        <v/>
      </c>
      <c r="O415" s="13"/>
      <c r="P415" s="29" t="str">
        <f t="shared" ca="1" si="25"/>
        <v/>
      </c>
      <c r="Q415" s="30" t="str">
        <f>IF($K415="","",IFERROR(IF(INDEX(Bookings!$G$3:$G$202,MATCH($K415,Bookings!$A$3:$A$202,0))="","",INDEX(Bookings!$G$3:$G$202,MATCH($K415,Bookings!$A$3:$A$202,0))),""))</f>
        <v/>
      </c>
    </row>
    <row r="416" spans="1:17" hidden="1" x14ac:dyDescent="0.35">
      <c r="A416" s="81"/>
      <c r="B416" s="81"/>
      <c r="C416" s="21"/>
      <c r="D416" s="56"/>
      <c r="E416" s="14"/>
      <c r="F416" s="14"/>
      <c r="G416" s="14"/>
      <c r="H416" s="83">
        <f t="shared" si="26"/>
        <v>0</v>
      </c>
      <c r="I416" s="80"/>
      <c r="J416" s="80"/>
      <c r="K416" s="7" t="str">
        <f>IF($B416="","",IFERROR(INDEX(Connaissements!$B$3:$B$202,MATCH($B416,Connaissements!$A$3:$A$202,0)),""))</f>
        <v/>
      </c>
      <c r="L416" s="7" t="str">
        <f>IF($B416="","",IFERROR(INDEX(Connaissements!$G$3:$G$202,MATCH($B416,Connaissements!$A$3:$A$202,0)),""))</f>
        <v/>
      </c>
      <c r="M416" s="7" t="str">
        <f t="shared" si="23"/>
        <v/>
      </c>
      <c r="N416" s="7" t="str">
        <f t="shared" ca="1" si="24"/>
        <v/>
      </c>
      <c r="O416" s="13"/>
      <c r="P416" s="29" t="str">
        <f t="shared" ca="1" si="25"/>
        <v/>
      </c>
      <c r="Q416" s="30" t="str">
        <f>IF($K416="","",IFERROR(IF(INDEX(Bookings!$G$3:$G$202,MATCH($K416,Bookings!$A$3:$A$202,0))="","",INDEX(Bookings!$G$3:$G$202,MATCH($K416,Bookings!$A$3:$A$202,0))),""))</f>
        <v/>
      </c>
    </row>
    <row r="417" spans="1:17" hidden="1" x14ac:dyDescent="0.35">
      <c r="A417" s="81"/>
      <c r="B417" s="81"/>
      <c r="C417" s="21"/>
      <c r="D417" s="56"/>
      <c r="E417" s="14"/>
      <c r="F417" s="14"/>
      <c r="G417" s="14"/>
      <c r="H417" s="83">
        <f t="shared" si="26"/>
        <v>0</v>
      </c>
      <c r="I417" s="80"/>
      <c r="J417" s="80"/>
      <c r="K417" s="7" t="str">
        <f>IF($B417="","",IFERROR(INDEX(Connaissements!$B$3:$B$202,MATCH($B417,Connaissements!$A$3:$A$202,0)),""))</f>
        <v/>
      </c>
      <c r="L417" s="7" t="str">
        <f>IF($B417="","",IFERROR(INDEX(Connaissements!$G$3:$G$202,MATCH($B417,Connaissements!$A$3:$A$202,0)),""))</f>
        <v/>
      </c>
      <c r="M417" s="7" t="str">
        <f t="shared" si="23"/>
        <v/>
      </c>
      <c r="N417" s="7" t="str">
        <f t="shared" ca="1" si="24"/>
        <v/>
      </c>
      <c r="O417" s="13"/>
      <c r="P417" s="29" t="str">
        <f t="shared" ca="1" si="25"/>
        <v/>
      </c>
      <c r="Q417" s="30" t="str">
        <f>IF($K417="","",IFERROR(IF(INDEX(Bookings!$G$3:$G$202,MATCH($K417,Bookings!$A$3:$A$202,0))="","",INDEX(Bookings!$G$3:$G$202,MATCH($K417,Bookings!$A$3:$A$202,0))),""))</f>
        <v/>
      </c>
    </row>
    <row r="418" spans="1:17" hidden="1" x14ac:dyDescent="0.35">
      <c r="A418" s="81"/>
      <c r="B418" s="81"/>
      <c r="C418" s="21"/>
      <c r="D418" s="56"/>
      <c r="E418" s="14"/>
      <c r="F418" s="14"/>
      <c r="G418" s="14"/>
      <c r="H418" s="83">
        <f t="shared" si="26"/>
        <v>0</v>
      </c>
      <c r="I418" s="80"/>
      <c r="J418" s="80"/>
      <c r="K418" s="7" t="str">
        <f>IF($B418="","",IFERROR(INDEX(Connaissements!$B$3:$B$202,MATCH($B418,Connaissements!$A$3:$A$202,0)),""))</f>
        <v/>
      </c>
      <c r="L418" s="7" t="str">
        <f>IF($B418="","",IFERROR(INDEX(Connaissements!$G$3:$G$202,MATCH($B418,Connaissements!$A$3:$A$202,0)),""))</f>
        <v/>
      </c>
      <c r="M418" s="7" t="str">
        <f t="shared" si="23"/>
        <v/>
      </c>
      <c r="N418" s="7" t="str">
        <f t="shared" ca="1" si="24"/>
        <v/>
      </c>
      <c r="O418" s="13"/>
      <c r="P418" s="29" t="str">
        <f t="shared" ca="1" si="25"/>
        <v/>
      </c>
      <c r="Q418" s="30" t="str">
        <f>IF($K418="","",IFERROR(IF(INDEX(Bookings!$G$3:$G$202,MATCH($K418,Bookings!$A$3:$A$202,0))="","",INDEX(Bookings!$G$3:$G$202,MATCH($K418,Bookings!$A$3:$A$202,0))),""))</f>
        <v/>
      </c>
    </row>
    <row r="419" spans="1:17" hidden="1" x14ac:dyDescent="0.35">
      <c r="A419" s="81"/>
      <c r="B419" s="81"/>
      <c r="C419" s="21"/>
      <c r="D419" s="56"/>
      <c r="E419" s="14"/>
      <c r="F419" s="14"/>
      <c r="G419" s="14"/>
      <c r="H419" s="83">
        <f t="shared" si="26"/>
        <v>0</v>
      </c>
      <c r="I419" s="80"/>
      <c r="J419" s="80"/>
      <c r="K419" s="7" t="str">
        <f>IF($B419="","",IFERROR(INDEX(Connaissements!$B$3:$B$202,MATCH($B419,Connaissements!$A$3:$A$202,0)),""))</f>
        <v/>
      </c>
      <c r="L419" s="7" t="str">
        <f>IF($B419="","",IFERROR(INDEX(Connaissements!$G$3:$G$202,MATCH($B419,Connaissements!$A$3:$A$202,0)),""))</f>
        <v/>
      </c>
      <c r="M419" s="7" t="str">
        <f t="shared" si="23"/>
        <v/>
      </c>
      <c r="N419" s="7" t="str">
        <f t="shared" ca="1" si="24"/>
        <v/>
      </c>
      <c r="O419" s="13"/>
      <c r="P419" s="29" t="str">
        <f t="shared" ca="1" si="25"/>
        <v/>
      </c>
      <c r="Q419" s="30" t="str">
        <f>IF($K419="","",IFERROR(IF(INDEX(Bookings!$G$3:$G$202,MATCH($K419,Bookings!$A$3:$A$202,0))="","",INDEX(Bookings!$G$3:$G$202,MATCH($K419,Bookings!$A$3:$A$202,0))),""))</f>
        <v/>
      </c>
    </row>
    <row r="420" spans="1:17" hidden="1" x14ac:dyDescent="0.35">
      <c r="A420" s="81"/>
      <c r="B420" s="81"/>
      <c r="C420" s="21"/>
      <c r="D420" s="56"/>
      <c r="E420" s="14"/>
      <c r="F420" s="14"/>
      <c r="G420" s="14"/>
      <c r="H420" s="83">
        <f t="shared" si="26"/>
        <v>0</v>
      </c>
      <c r="I420" s="80"/>
      <c r="J420" s="80"/>
      <c r="K420" s="7" t="str">
        <f>IF($B420="","",IFERROR(INDEX(Connaissements!$B$3:$B$202,MATCH($B420,Connaissements!$A$3:$A$202,0)),""))</f>
        <v/>
      </c>
      <c r="L420" s="7" t="str">
        <f>IF($B420="","",IFERROR(INDEX(Connaissements!$G$3:$G$202,MATCH($B420,Connaissements!$A$3:$A$202,0)),""))</f>
        <v/>
      </c>
      <c r="M420" s="7" t="str">
        <f t="shared" si="23"/>
        <v/>
      </c>
      <c r="N420" s="7" t="str">
        <f t="shared" ca="1" si="24"/>
        <v/>
      </c>
      <c r="O420" s="13"/>
      <c r="P420" s="29" t="str">
        <f t="shared" ca="1" si="25"/>
        <v/>
      </c>
      <c r="Q420" s="30" t="str">
        <f>IF($K420="","",IFERROR(IF(INDEX(Bookings!$G$3:$G$202,MATCH($K420,Bookings!$A$3:$A$202,0))="","",INDEX(Bookings!$G$3:$G$202,MATCH($K420,Bookings!$A$3:$A$202,0))),""))</f>
        <v/>
      </c>
    </row>
    <row r="421" spans="1:17" hidden="1" x14ac:dyDescent="0.35">
      <c r="A421" s="81"/>
      <c r="B421" s="81"/>
      <c r="C421" s="21"/>
      <c r="D421" s="56"/>
      <c r="E421" s="14"/>
      <c r="F421" s="14"/>
      <c r="G421" s="14"/>
      <c r="H421" s="83">
        <f t="shared" si="26"/>
        <v>0</v>
      </c>
      <c r="I421" s="80"/>
      <c r="J421" s="80"/>
      <c r="K421" s="7" t="str">
        <f>IF($B421="","",IFERROR(INDEX(Connaissements!$B$3:$B$202,MATCH($B421,Connaissements!$A$3:$A$202,0)),""))</f>
        <v/>
      </c>
      <c r="L421" s="7" t="str">
        <f>IF($B421="","",IFERROR(INDEX(Connaissements!$G$3:$G$202,MATCH($B421,Connaissements!$A$3:$A$202,0)),""))</f>
        <v/>
      </c>
      <c r="M421" s="7" t="str">
        <f t="shared" si="23"/>
        <v/>
      </c>
      <c r="N421" s="7" t="str">
        <f t="shared" ca="1" si="24"/>
        <v/>
      </c>
      <c r="O421" s="13"/>
      <c r="P421" s="29" t="str">
        <f t="shared" ca="1" si="25"/>
        <v/>
      </c>
      <c r="Q421" s="30" t="str">
        <f>IF($K421="","",IFERROR(IF(INDEX(Bookings!$G$3:$G$202,MATCH($K421,Bookings!$A$3:$A$202,0))="","",INDEX(Bookings!$G$3:$G$202,MATCH($K421,Bookings!$A$3:$A$202,0))),""))</f>
        <v/>
      </c>
    </row>
    <row r="422" spans="1:17" hidden="1" x14ac:dyDescent="0.35">
      <c r="A422" s="81"/>
      <c r="B422" s="81"/>
      <c r="C422" s="21"/>
      <c r="D422" s="56"/>
      <c r="E422" s="14"/>
      <c r="F422" s="14"/>
      <c r="G422" s="14"/>
      <c r="H422" s="83">
        <f t="shared" si="26"/>
        <v>0</v>
      </c>
      <c r="I422" s="80"/>
      <c r="J422" s="80"/>
      <c r="K422" s="7" t="str">
        <f>IF($B422="","",IFERROR(INDEX(Connaissements!$B$3:$B$202,MATCH($B422,Connaissements!$A$3:$A$202,0)),""))</f>
        <v/>
      </c>
      <c r="L422" s="7" t="str">
        <f>IF($B422="","",IFERROR(INDEX(Connaissements!$G$3:$G$202,MATCH($B422,Connaissements!$A$3:$A$202,0)),""))</f>
        <v/>
      </c>
      <c r="M422" s="7" t="str">
        <f t="shared" si="23"/>
        <v/>
      </c>
      <c r="N422" s="7" t="str">
        <f t="shared" ca="1" si="24"/>
        <v/>
      </c>
      <c r="O422" s="13"/>
      <c r="P422" s="29" t="str">
        <f t="shared" ca="1" si="25"/>
        <v/>
      </c>
      <c r="Q422" s="30" t="str">
        <f>IF($K422="","",IFERROR(IF(INDEX(Bookings!$G$3:$G$202,MATCH($K422,Bookings!$A$3:$A$202,0))="","",INDEX(Bookings!$G$3:$G$202,MATCH($K422,Bookings!$A$3:$A$202,0))),""))</f>
        <v/>
      </c>
    </row>
    <row r="423" spans="1:17" hidden="1" x14ac:dyDescent="0.35">
      <c r="A423" s="81"/>
      <c r="B423" s="81"/>
      <c r="C423" s="21"/>
      <c r="D423" s="56"/>
      <c r="E423" s="14"/>
      <c r="F423" s="14"/>
      <c r="G423" s="14"/>
      <c r="H423" s="83">
        <f t="shared" si="26"/>
        <v>0</v>
      </c>
      <c r="I423" s="80"/>
      <c r="J423" s="80"/>
      <c r="K423" s="7" t="str">
        <f>IF($B423="","",IFERROR(INDEX(Connaissements!$B$3:$B$202,MATCH($B423,Connaissements!$A$3:$A$202,0)),""))</f>
        <v/>
      </c>
      <c r="L423" s="7" t="str">
        <f>IF($B423="","",IFERROR(INDEX(Connaissements!$G$3:$G$202,MATCH($B423,Connaissements!$A$3:$A$202,0)),""))</f>
        <v/>
      </c>
      <c r="M423" s="7" t="str">
        <f t="shared" si="23"/>
        <v/>
      </c>
      <c r="N423" s="7" t="str">
        <f t="shared" ca="1" si="24"/>
        <v/>
      </c>
      <c r="O423" s="13"/>
      <c r="P423" s="29" t="str">
        <f t="shared" ca="1" si="25"/>
        <v/>
      </c>
      <c r="Q423" s="30" t="str">
        <f>IF($K423="","",IFERROR(IF(INDEX(Bookings!$G$3:$G$202,MATCH($K423,Bookings!$A$3:$A$202,0))="","",INDEX(Bookings!$G$3:$G$202,MATCH($K423,Bookings!$A$3:$A$202,0))),""))</f>
        <v/>
      </c>
    </row>
    <row r="424" spans="1:17" hidden="1" x14ac:dyDescent="0.35">
      <c r="A424" s="81"/>
      <c r="B424" s="81"/>
      <c r="C424" s="21"/>
      <c r="D424" s="56"/>
      <c r="E424" s="14"/>
      <c r="F424" s="14"/>
      <c r="G424" s="14"/>
      <c r="H424" s="83">
        <f t="shared" si="26"/>
        <v>0</v>
      </c>
      <c r="I424" s="80"/>
      <c r="J424" s="80"/>
      <c r="K424" s="7" t="str">
        <f>IF($B424="","",IFERROR(INDEX(Connaissements!$B$3:$B$202,MATCH($B424,Connaissements!$A$3:$A$202,0)),""))</f>
        <v/>
      </c>
      <c r="L424" s="7" t="str">
        <f>IF($B424="","",IFERROR(INDEX(Connaissements!$G$3:$G$202,MATCH($B424,Connaissements!$A$3:$A$202,0)),""))</f>
        <v/>
      </c>
      <c r="M424" s="7" t="str">
        <f t="shared" si="23"/>
        <v/>
      </c>
      <c r="N424" s="7" t="str">
        <f t="shared" ca="1" si="24"/>
        <v/>
      </c>
      <c r="O424" s="13"/>
      <c r="P424" s="29" t="str">
        <f t="shared" ca="1" si="25"/>
        <v/>
      </c>
      <c r="Q424" s="30" t="str">
        <f>IF($K424="","",IFERROR(IF(INDEX(Bookings!$G$3:$G$202,MATCH($K424,Bookings!$A$3:$A$202,0))="","",INDEX(Bookings!$G$3:$G$202,MATCH($K424,Bookings!$A$3:$A$202,0))),""))</f>
        <v/>
      </c>
    </row>
    <row r="425" spans="1:17" hidden="1" x14ac:dyDescent="0.35">
      <c r="A425" s="81"/>
      <c r="B425" s="81"/>
      <c r="C425" s="21"/>
      <c r="D425" s="56"/>
      <c r="E425" s="14"/>
      <c r="F425" s="14"/>
      <c r="G425" s="14"/>
      <c r="H425" s="83">
        <f t="shared" si="26"/>
        <v>0</v>
      </c>
      <c r="I425" s="80"/>
      <c r="J425" s="80"/>
      <c r="K425" s="7" t="str">
        <f>IF($B425="","",IFERROR(INDEX(Connaissements!$B$3:$B$202,MATCH($B425,Connaissements!$A$3:$A$202,0)),""))</f>
        <v/>
      </c>
      <c r="L425" s="7" t="str">
        <f>IF($B425="","",IFERROR(INDEX(Connaissements!$G$3:$G$202,MATCH($B425,Connaissements!$A$3:$A$202,0)),""))</f>
        <v/>
      </c>
      <c r="M425" s="7" t="str">
        <f t="shared" si="23"/>
        <v/>
      </c>
      <c r="N425" s="7" t="str">
        <f t="shared" ca="1" si="24"/>
        <v/>
      </c>
      <c r="O425" s="13"/>
      <c r="P425" s="29" t="str">
        <f t="shared" ca="1" si="25"/>
        <v/>
      </c>
      <c r="Q425" s="30" t="str">
        <f>IF($K425="","",IFERROR(IF(INDEX(Bookings!$G$3:$G$202,MATCH($K425,Bookings!$A$3:$A$202,0))="","",INDEX(Bookings!$G$3:$G$202,MATCH($K425,Bookings!$A$3:$A$202,0))),""))</f>
        <v/>
      </c>
    </row>
    <row r="426" spans="1:17" hidden="1" x14ac:dyDescent="0.35">
      <c r="A426" s="81"/>
      <c r="B426" s="81"/>
      <c r="C426" s="21"/>
      <c r="D426" s="56"/>
      <c r="E426" s="14"/>
      <c r="F426" s="14"/>
      <c r="G426" s="14"/>
      <c r="H426" s="83">
        <f t="shared" si="26"/>
        <v>0</v>
      </c>
      <c r="I426" s="80"/>
      <c r="J426" s="80"/>
      <c r="K426" s="7" t="str">
        <f>IF($B426="","",IFERROR(INDEX(Connaissements!$B$3:$B$202,MATCH($B426,Connaissements!$A$3:$A$202,0)),""))</f>
        <v/>
      </c>
      <c r="L426" s="7" t="str">
        <f>IF($B426="","",IFERROR(INDEX(Connaissements!$G$3:$G$202,MATCH($B426,Connaissements!$A$3:$A$202,0)),""))</f>
        <v/>
      </c>
      <c r="M426" s="7" t="str">
        <f t="shared" si="23"/>
        <v/>
      </c>
      <c r="N426" s="7" t="str">
        <f t="shared" ca="1" si="24"/>
        <v/>
      </c>
      <c r="O426" s="13"/>
      <c r="P426" s="29" t="str">
        <f t="shared" ca="1" si="25"/>
        <v/>
      </c>
      <c r="Q426" s="30" t="str">
        <f>IF($K426="","",IFERROR(IF(INDEX(Bookings!$G$3:$G$202,MATCH($K426,Bookings!$A$3:$A$202,0))="","",INDEX(Bookings!$G$3:$G$202,MATCH($K426,Bookings!$A$3:$A$202,0))),""))</f>
        <v/>
      </c>
    </row>
    <row r="427" spans="1:17" hidden="1" x14ac:dyDescent="0.35">
      <c r="A427" s="81"/>
      <c r="B427" s="81"/>
      <c r="C427" s="21"/>
      <c r="D427" s="56"/>
      <c r="E427" s="14"/>
      <c r="F427" s="14"/>
      <c r="G427" s="14"/>
      <c r="H427" s="83">
        <f t="shared" si="26"/>
        <v>0</v>
      </c>
      <c r="I427" s="80"/>
      <c r="J427" s="80"/>
      <c r="K427" s="7" t="str">
        <f>IF($B427="","",IFERROR(INDEX(Connaissements!$B$3:$B$202,MATCH($B427,Connaissements!$A$3:$A$202,0)),""))</f>
        <v/>
      </c>
      <c r="L427" s="7" t="str">
        <f>IF($B427="","",IFERROR(INDEX(Connaissements!$G$3:$G$202,MATCH($B427,Connaissements!$A$3:$A$202,0)),""))</f>
        <v/>
      </c>
      <c r="M427" s="7" t="str">
        <f t="shared" si="23"/>
        <v/>
      </c>
      <c r="N427" s="7" t="str">
        <f t="shared" ca="1" si="24"/>
        <v/>
      </c>
      <c r="O427" s="13"/>
      <c r="P427" s="29" t="str">
        <f t="shared" ca="1" si="25"/>
        <v/>
      </c>
      <c r="Q427" s="30" t="str">
        <f>IF($K427="","",IFERROR(IF(INDEX(Bookings!$G$3:$G$202,MATCH($K427,Bookings!$A$3:$A$202,0))="","",INDEX(Bookings!$G$3:$G$202,MATCH($K427,Bookings!$A$3:$A$202,0))),""))</f>
        <v/>
      </c>
    </row>
    <row r="428" spans="1:17" hidden="1" x14ac:dyDescent="0.35">
      <c r="A428" s="81"/>
      <c r="B428" s="81"/>
      <c r="C428" s="21"/>
      <c r="D428" s="56"/>
      <c r="E428" s="14"/>
      <c r="F428" s="14"/>
      <c r="G428" s="14"/>
      <c r="H428" s="83">
        <f t="shared" si="26"/>
        <v>0</v>
      </c>
      <c r="I428" s="80"/>
      <c r="J428" s="80"/>
      <c r="K428" s="7" t="str">
        <f>IF($B428="","",IFERROR(INDEX(Connaissements!$B$3:$B$202,MATCH($B428,Connaissements!$A$3:$A$202,0)),""))</f>
        <v/>
      </c>
      <c r="L428" s="7" t="str">
        <f>IF($B428="","",IFERROR(INDEX(Connaissements!$G$3:$G$202,MATCH($B428,Connaissements!$A$3:$A$202,0)),""))</f>
        <v/>
      </c>
      <c r="M428" s="7" t="str">
        <f t="shared" si="23"/>
        <v/>
      </c>
      <c r="N428" s="7" t="str">
        <f t="shared" ca="1" si="24"/>
        <v/>
      </c>
      <c r="O428" s="13"/>
      <c r="P428" s="29" t="str">
        <f t="shared" ca="1" si="25"/>
        <v/>
      </c>
      <c r="Q428" s="30" t="str">
        <f>IF($K428="","",IFERROR(IF(INDEX(Bookings!$G$3:$G$202,MATCH($K428,Bookings!$A$3:$A$202,0))="","",INDEX(Bookings!$G$3:$G$202,MATCH($K428,Bookings!$A$3:$A$202,0))),""))</f>
        <v/>
      </c>
    </row>
    <row r="429" spans="1:17" hidden="1" x14ac:dyDescent="0.35">
      <c r="A429" s="81"/>
      <c r="B429" s="81"/>
      <c r="C429" s="21"/>
      <c r="D429" s="56"/>
      <c r="E429" s="14"/>
      <c r="F429" s="14"/>
      <c r="G429" s="14"/>
      <c r="H429" s="83">
        <f t="shared" si="26"/>
        <v>0</v>
      </c>
      <c r="I429" s="80"/>
      <c r="J429" s="80"/>
      <c r="K429" s="7" t="str">
        <f>IF($B429="","",IFERROR(INDEX(Connaissements!$B$3:$B$202,MATCH($B429,Connaissements!$A$3:$A$202,0)),""))</f>
        <v/>
      </c>
      <c r="L429" s="7" t="str">
        <f>IF($B429="","",IFERROR(INDEX(Connaissements!$G$3:$G$202,MATCH($B429,Connaissements!$A$3:$A$202,0)),""))</f>
        <v/>
      </c>
      <c r="M429" s="7" t="str">
        <f t="shared" si="23"/>
        <v/>
      </c>
      <c r="N429" s="7" t="str">
        <f t="shared" ca="1" si="24"/>
        <v/>
      </c>
      <c r="O429" s="13"/>
      <c r="P429" s="29" t="str">
        <f t="shared" ca="1" si="25"/>
        <v/>
      </c>
      <c r="Q429" s="30" t="str">
        <f>IF($K429="","",IFERROR(IF(INDEX(Bookings!$G$3:$G$202,MATCH($K429,Bookings!$A$3:$A$202,0))="","",INDEX(Bookings!$G$3:$G$202,MATCH($K429,Bookings!$A$3:$A$202,0))),""))</f>
        <v/>
      </c>
    </row>
    <row r="430" spans="1:17" hidden="1" x14ac:dyDescent="0.35">
      <c r="A430" s="81"/>
      <c r="B430" s="81"/>
      <c r="C430" s="21"/>
      <c r="D430" s="56"/>
      <c r="E430" s="14"/>
      <c r="F430" s="14"/>
      <c r="G430" s="14"/>
      <c r="H430" s="83">
        <f t="shared" si="26"/>
        <v>0</v>
      </c>
      <c r="I430" s="80"/>
      <c r="J430" s="80"/>
      <c r="K430" s="7" t="str">
        <f>IF($B430="","",IFERROR(INDEX(Connaissements!$B$3:$B$202,MATCH($B430,Connaissements!$A$3:$A$202,0)),""))</f>
        <v/>
      </c>
      <c r="L430" s="7" t="str">
        <f>IF($B430="","",IFERROR(INDEX(Connaissements!$G$3:$G$202,MATCH($B430,Connaissements!$A$3:$A$202,0)),""))</f>
        <v/>
      </c>
      <c r="M430" s="7" t="str">
        <f t="shared" si="23"/>
        <v/>
      </c>
      <c r="N430" s="7" t="str">
        <f t="shared" ca="1" si="24"/>
        <v/>
      </c>
      <c r="O430" s="13"/>
      <c r="P430" s="29" t="str">
        <f t="shared" ca="1" si="25"/>
        <v/>
      </c>
      <c r="Q430" s="30" t="str">
        <f>IF($K430="","",IFERROR(IF(INDEX(Bookings!$G$3:$G$202,MATCH($K430,Bookings!$A$3:$A$202,0))="","",INDEX(Bookings!$G$3:$G$202,MATCH($K430,Bookings!$A$3:$A$202,0))),""))</f>
        <v/>
      </c>
    </row>
    <row r="431" spans="1:17" hidden="1" x14ac:dyDescent="0.35">
      <c r="A431" s="81"/>
      <c r="B431" s="81"/>
      <c r="C431" s="21"/>
      <c r="D431" s="56"/>
      <c r="E431" s="14"/>
      <c r="F431" s="14"/>
      <c r="G431" s="14"/>
      <c r="H431" s="83">
        <f t="shared" si="26"/>
        <v>0</v>
      </c>
      <c r="I431" s="80"/>
      <c r="J431" s="80"/>
      <c r="K431" s="7" t="str">
        <f>IF($B431="","",IFERROR(INDEX(Connaissements!$B$3:$B$202,MATCH($B431,Connaissements!$A$3:$A$202,0)),""))</f>
        <v/>
      </c>
      <c r="L431" s="7" t="str">
        <f>IF($B431="","",IFERROR(INDEX(Connaissements!$G$3:$G$202,MATCH($B431,Connaissements!$A$3:$A$202,0)),""))</f>
        <v/>
      </c>
      <c r="M431" s="7" t="str">
        <f t="shared" si="23"/>
        <v/>
      </c>
      <c r="N431" s="7" t="str">
        <f t="shared" ca="1" si="24"/>
        <v/>
      </c>
      <c r="O431" s="13"/>
      <c r="P431" s="29" t="str">
        <f t="shared" ca="1" si="25"/>
        <v/>
      </c>
      <c r="Q431" s="30" t="str">
        <f>IF($K431="","",IFERROR(IF(INDEX(Bookings!$G$3:$G$202,MATCH($K431,Bookings!$A$3:$A$202,0))="","",INDEX(Bookings!$G$3:$G$202,MATCH($K431,Bookings!$A$3:$A$202,0))),""))</f>
        <v/>
      </c>
    </row>
    <row r="432" spans="1:17" hidden="1" x14ac:dyDescent="0.35">
      <c r="A432" s="81"/>
      <c r="B432" s="81"/>
      <c r="C432" s="21"/>
      <c r="D432" s="56"/>
      <c r="E432" s="14"/>
      <c r="F432" s="14"/>
      <c r="G432" s="14"/>
      <c r="H432" s="83">
        <f t="shared" si="26"/>
        <v>0</v>
      </c>
      <c r="I432" s="80"/>
      <c r="J432" s="80"/>
      <c r="K432" s="7" t="str">
        <f>IF($B432="","",IFERROR(INDEX(Connaissements!$B$3:$B$202,MATCH($B432,Connaissements!$A$3:$A$202,0)),""))</f>
        <v/>
      </c>
      <c r="L432" s="7" t="str">
        <f>IF($B432="","",IFERROR(INDEX(Connaissements!$G$3:$G$202,MATCH($B432,Connaissements!$A$3:$A$202,0)),""))</f>
        <v/>
      </c>
      <c r="M432" s="7" t="str">
        <f t="shared" si="23"/>
        <v/>
      </c>
      <c r="N432" s="7" t="str">
        <f t="shared" ca="1" si="24"/>
        <v/>
      </c>
      <c r="O432" s="13"/>
      <c r="P432" s="29" t="str">
        <f t="shared" ca="1" si="25"/>
        <v/>
      </c>
      <c r="Q432" s="30" t="str">
        <f>IF($K432="","",IFERROR(IF(INDEX(Bookings!$G$3:$G$202,MATCH($K432,Bookings!$A$3:$A$202,0))="","",INDEX(Bookings!$G$3:$G$202,MATCH($K432,Bookings!$A$3:$A$202,0))),""))</f>
        <v/>
      </c>
    </row>
    <row r="433" spans="1:17" hidden="1" x14ac:dyDescent="0.35">
      <c r="A433" s="81"/>
      <c r="B433" s="81"/>
      <c r="C433" s="21"/>
      <c r="D433" s="56"/>
      <c r="E433" s="14"/>
      <c r="F433" s="14"/>
      <c r="G433" s="14"/>
      <c r="H433" s="83">
        <f t="shared" si="26"/>
        <v>0</v>
      </c>
      <c r="I433" s="80"/>
      <c r="J433" s="80"/>
      <c r="K433" s="7" t="str">
        <f>IF($B433="","",IFERROR(INDEX(Connaissements!$B$3:$B$202,MATCH($B433,Connaissements!$A$3:$A$202,0)),""))</f>
        <v/>
      </c>
      <c r="L433" s="7" t="str">
        <f>IF($B433="","",IFERROR(INDEX(Connaissements!$G$3:$G$202,MATCH($B433,Connaissements!$A$3:$A$202,0)),""))</f>
        <v/>
      </c>
      <c r="M433" s="7" t="str">
        <f t="shared" si="23"/>
        <v/>
      </c>
      <c r="N433" s="7" t="str">
        <f t="shared" ca="1" si="24"/>
        <v/>
      </c>
      <c r="O433" s="13"/>
      <c r="P433" s="29" t="str">
        <f t="shared" ca="1" si="25"/>
        <v/>
      </c>
      <c r="Q433" s="30" t="str">
        <f>IF($K433="","",IFERROR(IF(INDEX(Bookings!$G$3:$G$202,MATCH($K433,Bookings!$A$3:$A$202,0))="","",INDEX(Bookings!$G$3:$G$202,MATCH($K433,Bookings!$A$3:$A$202,0))),""))</f>
        <v/>
      </c>
    </row>
    <row r="434" spans="1:17" hidden="1" x14ac:dyDescent="0.35">
      <c r="A434" s="81"/>
      <c r="B434" s="81"/>
      <c r="C434" s="21"/>
      <c r="D434" s="56"/>
      <c r="E434" s="14"/>
      <c r="F434" s="14"/>
      <c r="G434" s="14"/>
      <c r="H434" s="83">
        <f t="shared" si="26"/>
        <v>0</v>
      </c>
      <c r="I434" s="80"/>
      <c r="J434" s="80"/>
      <c r="K434" s="7" t="str">
        <f>IF($B434="","",IFERROR(INDEX(Connaissements!$B$3:$B$202,MATCH($B434,Connaissements!$A$3:$A$202,0)),""))</f>
        <v/>
      </c>
      <c r="L434" s="7" t="str">
        <f>IF($B434="","",IFERROR(INDEX(Connaissements!$G$3:$G$202,MATCH($B434,Connaissements!$A$3:$A$202,0)),""))</f>
        <v/>
      </c>
      <c r="M434" s="7" t="str">
        <f t="shared" si="23"/>
        <v/>
      </c>
      <c r="N434" s="7" t="str">
        <f t="shared" ca="1" si="24"/>
        <v/>
      </c>
      <c r="O434" s="13"/>
      <c r="P434" s="29" t="str">
        <f t="shared" ca="1" si="25"/>
        <v/>
      </c>
      <c r="Q434" s="30" t="str">
        <f>IF($K434="","",IFERROR(IF(INDEX(Bookings!$G$3:$G$202,MATCH($K434,Bookings!$A$3:$A$202,0))="","",INDEX(Bookings!$G$3:$G$202,MATCH($K434,Bookings!$A$3:$A$202,0))),""))</f>
        <v/>
      </c>
    </row>
    <row r="435" spans="1:17" hidden="1" x14ac:dyDescent="0.35">
      <c r="A435" s="81"/>
      <c r="B435" s="81"/>
      <c r="C435" s="21"/>
      <c r="D435" s="56"/>
      <c r="E435" s="14"/>
      <c r="F435" s="14"/>
      <c r="G435" s="14"/>
      <c r="H435" s="83">
        <f t="shared" si="26"/>
        <v>0</v>
      </c>
      <c r="I435" s="80"/>
      <c r="J435" s="80"/>
      <c r="K435" s="7" t="str">
        <f>IF($B435="","",IFERROR(INDEX(Connaissements!$B$3:$B$202,MATCH($B435,Connaissements!$A$3:$A$202,0)),""))</f>
        <v/>
      </c>
      <c r="L435" s="7" t="str">
        <f>IF($B435="","",IFERROR(INDEX(Connaissements!$G$3:$G$202,MATCH($B435,Connaissements!$A$3:$A$202,0)),""))</f>
        <v/>
      </c>
      <c r="M435" s="7" t="str">
        <f t="shared" si="23"/>
        <v/>
      </c>
      <c r="N435" s="7" t="str">
        <f t="shared" ca="1" si="24"/>
        <v/>
      </c>
      <c r="O435" s="13"/>
      <c r="P435" s="29" t="str">
        <f t="shared" ca="1" si="25"/>
        <v/>
      </c>
      <c r="Q435" s="30" t="str">
        <f>IF($K435="","",IFERROR(IF(INDEX(Bookings!$G$3:$G$202,MATCH($K435,Bookings!$A$3:$A$202,0))="","",INDEX(Bookings!$G$3:$G$202,MATCH($K435,Bookings!$A$3:$A$202,0))),""))</f>
        <v/>
      </c>
    </row>
    <row r="436" spans="1:17" hidden="1" x14ac:dyDescent="0.35">
      <c r="A436" s="81"/>
      <c r="B436" s="81"/>
      <c r="C436" s="21"/>
      <c r="D436" s="56"/>
      <c r="E436" s="14"/>
      <c r="F436" s="14"/>
      <c r="G436" s="14"/>
      <c r="H436" s="83">
        <f t="shared" si="26"/>
        <v>0</v>
      </c>
      <c r="I436" s="80"/>
      <c r="J436" s="80"/>
      <c r="K436" s="7" t="str">
        <f>IF($B436="","",IFERROR(INDEX(Connaissements!$B$3:$B$202,MATCH($B436,Connaissements!$A$3:$A$202,0)),""))</f>
        <v/>
      </c>
      <c r="L436" s="7" t="str">
        <f>IF($B436="","",IFERROR(INDEX(Connaissements!$G$3:$G$202,MATCH($B436,Connaissements!$A$3:$A$202,0)),""))</f>
        <v/>
      </c>
      <c r="M436" s="7" t="str">
        <f t="shared" si="23"/>
        <v/>
      </c>
      <c r="N436" s="7" t="str">
        <f t="shared" ca="1" si="24"/>
        <v/>
      </c>
      <c r="O436" s="13"/>
      <c r="P436" s="29" t="str">
        <f t="shared" ca="1" si="25"/>
        <v/>
      </c>
      <c r="Q436" s="30" t="str">
        <f>IF($K436="","",IFERROR(IF(INDEX(Bookings!$G$3:$G$202,MATCH($K436,Bookings!$A$3:$A$202,0))="","",INDEX(Bookings!$G$3:$G$202,MATCH($K436,Bookings!$A$3:$A$202,0))),""))</f>
        <v/>
      </c>
    </row>
    <row r="437" spans="1:17" hidden="1" x14ac:dyDescent="0.35">
      <c r="A437" s="81"/>
      <c r="B437" s="81"/>
      <c r="C437" s="21"/>
      <c r="D437" s="56"/>
      <c r="E437" s="14"/>
      <c r="F437" s="14"/>
      <c r="G437" s="14"/>
      <c r="H437" s="83">
        <f t="shared" si="26"/>
        <v>0</v>
      </c>
      <c r="I437" s="80"/>
      <c r="J437" s="80"/>
      <c r="K437" s="7" t="str">
        <f>IF($B437="","",IFERROR(INDEX(Connaissements!$B$3:$B$202,MATCH($B437,Connaissements!$A$3:$A$202,0)),""))</f>
        <v/>
      </c>
      <c r="L437" s="7" t="str">
        <f>IF($B437="","",IFERROR(INDEX(Connaissements!$G$3:$G$202,MATCH($B437,Connaissements!$A$3:$A$202,0)),""))</f>
        <v/>
      </c>
      <c r="M437" s="7" t="str">
        <f t="shared" si="23"/>
        <v/>
      </c>
      <c r="N437" s="7" t="str">
        <f t="shared" ca="1" si="24"/>
        <v/>
      </c>
      <c r="O437" s="13"/>
      <c r="P437" s="29" t="str">
        <f t="shared" ca="1" si="25"/>
        <v/>
      </c>
      <c r="Q437" s="30" t="str">
        <f>IF($K437="","",IFERROR(IF(INDEX(Bookings!$G$3:$G$202,MATCH($K437,Bookings!$A$3:$A$202,0))="","",INDEX(Bookings!$G$3:$G$202,MATCH($K437,Bookings!$A$3:$A$202,0))),""))</f>
        <v/>
      </c>
    </row>
    <row r="438" spans="1:17" hidden="1" x14ac:dyDescent="0.35">
      <c r="A438" s="81"/>
      <c r="B438" s="81"/>
      <c r="C438" s="21"/>
      <c r="D438" s="56"/>
      <c r="E438" s="14"/>
      <c r="F438" s="14"/>
      <c r="G438" s="14"/>
      <c r="H438" s="83">
        <f t="shared" si="26"/>
        <v>0</v>
      </c>
      <c r="I438" s="80"/>
      <c r="J438" s="80"/>
      <c r="K438" s="7" t="str">
        <f>IF($B438="","",IFERROR(INDEX(Connaissements!$B$3:$B$202,MATCH($B438,Connaissements!$A$3:$A$202,0)),""))</f>
        <v/>
      </c>
      <c r="L438" s="7" t="str">
        <f>IF($B438="","",IFERROR(INDEX(Connaissements!$G$3:$G$202,MATCH($B438,Connaissements!$A$3:$A$202,0)),""))</f>
        <v/>
      </c>
      <c r="M438" s="7" t="str">
        <f t="shared" si="23"/>
        <v/>
      </c>
      <c r="N438" s="7" t="str">
        <f t="shared" ca="1" si="24"/>
        <v/>
      </c>
      <c r="O438" s="13"/>
      <c r="P438" s="29" t="str">
        <f t="shared" ca="1" si="25"/>
        <v/>
      </c>
      <c r="Q438" s="30" t="str">
        <f>IF($K438="","",IFERROR(IF(INDEX(Bookings!$G$3:$G$202,MATCH($K438,Bookings!$A$3:$A$202,0))="","",INDEX(Bookings!$G$3:$G$202,MATCH($K438,Bookings!$A$3:$A$202,0))),""))</f>
        <v/>
      </c>
    </row>
    <row r="439" spans="1:17" hidden="1" x14ac:dyDescent="0.35">
      <c r="A439" s="81"/>
      <c r="B439" s="81"/>
      <c r="C439" s="21"/>
      <c r="D439" s="56"/>
      <c r="E439" s="14"/>
      <c r="F439" s="14"/>
      <c r="G439" s="14"/>
      <c r="H439" s="83">
        <f t="shared" si="26"/>
        <v>0</v>
      </c>
      <c r="I439" s="80"/>
      <c r="J439" s="80"/>
      <c r="K439" s="7" t="str">
        <f>IF($B439="","",IFERROR(INDEX(Connaissements!$B$3:$B$202,MATCH($B439,Connaissements!$A$3:$A$202,0)),""))</f>
        <v/>
      </c>
      <c r="L439" s="7" t="str">
        <f>IF($B439="","",IFERROR(INDEX(Connaissements!$G$3:$G$202,MATCH($B439,Connaissements!$A$3:$A$202,0)),""))</f>
        <v/>
      </c>
      <c r="M439" s="7" t="str">
        <f t="shared" si="23"/>
        <v/>
      </c>
      <c r="N439" s="7" t="str">
        <f t="shared" ca="1" si="24"/>
        <v/>
      </c>
      <c r="O439" s="13"/>
      <c r="P439" s="29" t="str">
        <f t="shared" ca="1" si="25"/>
        <v/>
      </c>
      <c r="Q439" s="30" t="str">
        <f>IF($K439="","",IFERROR(IF(INDEX(Bookings!$G$3:$G$202,MATCH($K439,Bookings!$A$3:$A$202,0))="","",INDEX(Bookings!$G$3:$G$202,MATCH($K439,Bookings!$A$3:$A$202,0))),""))</f>
        <v/>
      </c>
    </row>
    <row r="440" spans="1:17" hidden="1" x14ac:dyDescent="0.35">
      <c r="A440" s="81"/>
      <c r="B440" s="81"/>
      <c r="C440" s="21"/>
      <c r="D440" s="56"/>
      <c r="E440" s="14"/>
      <c r="F440" s="14"/>
      <c r="G440" s="14"/>
      <c r="H440" s="83">
        <f t="shared" si="26"/>
        <v>0</v>
      </c>
      <c r="I440" s="80"/>
      <c r="J440" s="80"/>
      <c r="K440" s="7" t="str">
        <f>IF($B440="","",IFERROR(INDEX(Connaissements!$B$3:$B$202,MATCH($B440,Connaissements!$A$3:$A$202,0)),""))</f>
        <v/>
      </c>
      <c r="L440" s="7" t="str">
        <f>IF($B440="","",IFERROR(INDEX(Connaissements!$G$3:$G$202,MATCH($B440,Connaissements!$A$3:$A$202,0)),""))</f>
        <v/>
      </c>
      <c r="M440" s="7" t="str">
        <f t="shared" si="23"/>
        <v/>
      </c>
      <c r="N440" s="7" t="str">
        <f t="shared" ca="1" si="24"/>
        <v/>
      </c>
      <c r="O440" s="13"/>
      <c r="P440" s="29" t="str">
        <f t="shared" ca="1" si="25"/>
        <v/>
      </c>
      <c r="Q440" s="30" t="str">
        <f>IF($K440="","",IFERROR(IF(INDEX(Bookings!$G$3:$G$202,MATCH($K440,Bookings!$A$3:$A$202,0))="","",INDEX(Bookings!$G$3:$G$202,MATCH($K440,Bookings!$A$3:$A$202,0))),""))</f>
        <v/>
      </c>
    </row>
    <row r="441" spans="1:17" hidden="1" x14ac:dyDescent="0.35">
      <c r="A441" s="81"/>
      <c r="B441" s="81"/>
      <c r="C441" s="21"/>
      <c r="D441" s="56"/>
      <c r="E441" s="14"/>
      <c r="F441" s="14"/>
      <c r="G441" s="14"/>
      <c r="H441" s="83">
        <f t="shared" si="26"/>
        <v>0</v>
      </c>
      <c r="I441" s="80"/>
      <c r="J441" s="80"/>
      <c r="K441" s="7" t="str">
        <f>IF($B441="","",IFERROR(INDEX(Connaissements!$B$3:$B$202,MATCH($B441,Connaissements!$A$3:$A$202,0)),""))</f>
        <v/>
      </c>
      <c r="L441" s="7" t="str">
        <f>IF($B441="","",IFERROR(INDEX(Connaissements!$G$3:$G$202,MATCH($B441,Connaissements!$A$3:$A$202,0)),""))</f>
        <v/>
      </c>
      <c r="M441" s="7" t="str">
        <f t="shared" si="23"/>
        <v/>
      </c>
      <c r="N441" s="7" t="str">
        <f t="shared" ca="1" si="24"/>
        <v/>
      </c>
      <c r="O441" s="13"/>
      <c r="P441" s="29" t="str">
        <f t="shared" ca="1" si="25"/>
        <v/>
      </c>
      <c r="Q441" s="30" t="str">
        <f>IF($K441="","",IFERROR(IF(INDEX(Bookings!$G$3:$G$202,MATCH($K441,Bookings!$A$3:$A$202,0))="","",INDEX(Bookings!$G$3:$G$202,MATCH($K441,Bookings!$A$3:$A$202,0))),""))</f>
        <v/>
      </c>
    </row>
    <row r="442" spans="1:17" hidden="1" x14ac:dyDescent="0.35">
      <c r="A442" s="81"/>
      <c r="B442" s="81"/>
      <c r="C442" s="21"/>
      <c r="D442" s="56"/>
      <c r="E442" s="14"/>
      <c r="F442" s="14"/>
      <c r="G442" s="14"/>
      <c r="H442" s="83">
        <f t="shared" si="26"/>
        <v>0</v>
      </c>
      <c r="I442" s="80"/>
      <c r="J442" s="80"/>
      <c r="K442" s="7" t="str">
        <f>IF($B442="","",IFERROR(INDEX(Connaissements!$B$3:$B$202,MATCH($B442,Connaissements!$A$3:$A$202,0)),""))</f>
        <v/>
      </c>
      <c r="L442" s="7" t="str">
        <f>IF($B442="","",IFERROR(INDEX(Connaissements!$G$3:$G$202,MATCH($B442,Connaissements!$A$3:$A$202,0)),""))</f>
        <v/>
      </c>
      <c r="M442" s="7" t="str">
        <f t="shared" si="23"/>
        <v/>
      </c>
      <c r="N442" s="7" t="str">
        <f t="shared" ca="1" si="24"/>
        <v/>
      </c>
      <c r="O442" s="13"/>
      <c r="P442" s="29" t="str">
        <f t="shared" ca="1" si="25"/>
        <v/>
      </c>
      <c r="Q442" s="30" t="str">
        <f>IF($K442="","",IFERROR(IF(INDEX(Bookings!$G$3:$G$202,MATCH($K442,Bookings!$A$3:$A$202,0))="","",INDEX(Bookings!$G$3:$G$202,MATCH($K442,Bookings!$A$3:$A$202,0))),""))</f>
        <v/>
      </c>
    </row>
    <row r="443" spans="1:17" hidden="1" x14ac:dyDescent="0.35">
      <c r="A443" s="81"/>
      <c r="B443" s="81"/>
      <c r="C443" s="21"/>
      <c r="D443" s="56"/>
      <c r="E443" s="14"/>
      <c r="F443" s="14"/>
      <c r="G443" s="14"/>
      <c r="H443" s="83">
        <f t="shared" si="26"/>
        <v>0</v>
      </c>
      <c r="I443" s="80"/>
      <c r="J443" s="80"/>
      <c r="K443" s="7" t="str">
        <f>IF($B443="","",IFERROR(INDEX(Connaissements!$B$3:$B$202,MATCH($B443,Connaissements!$A$3:$A$202,0)),""))</f>
        <v/>
      </c>
      <c r="L443" s="7" t="str">
        <f>IF($B443="","",IFERROR(INDEX(Connaissements!$G$3:$G$202,MATCH($B443,Connaissements!$A$3:$A$202,0)),""))</f>
        <v/>
      </c>
      <c r="M443" s="7" t="str">
        <f t="shared" si="23"/>
        <v/>
      </c>
      <c r="N443" s="7" t="str">
        <f t="shared" ca="1" si="24"/>
        <v/>
      </c>
      <c r="O443" s="13"/>
      <c r="P443" s="29" t="str">
        <f t="shared" ca="1" si="25"/>
        <v/>
      </c>
      <c r="Q443" s="30" t="str">
        <f>IF($K443="","",IFERROR(IF(INDEX(Bookings!$G$3:$G$202,MATCH($K443,Bookings!$A$3:$A$202,0))="","",INDEX(Bookings!$G$3:$G$202,MATCH($K443,Bookings!$A$3:$A$202,0))),""))</f>
        <v/>
      </c>
    </row>
    <row r="444" spans="1:17" hidden="1" x14ac:dyDescent="0.35">
      <c r="A444" s="81"/>
      <c r="B444" s="81"/>
      <c r="C444" s="21"/>
      <c r="D444" s="56"/>
      <c r="E444" s="14"/>
      <c r="F444" s="14"/>
      <c r="G444" s="14"/>
      <c r="H444" s="83">
        <f t="shared" si="26"/>
        <v>0</v>
      </c>
      <c r="I444" s="80"/>
      <c r="J444" s="80"/>
      <c r="K444" s="7" t="str">
        <f>IF($B444="","",IFERROR(INDEX(Connaissements!$B$3:$B$202,MATCH($B444,Connaissements!$A$3:$A$202,0)),""))</f>
        <v/>
      </c>
      <c r="L444" s="7" t="str">
        <f>IF($B444="","",IFERROR(INDEX(Connaissements!$G$3:$G$202,MATCH($B444,Connaissements!$A$3:$A$202,0)),""))</f>
        <v/>
      </c>
      <c r="M444" s="7" t="str">
        <f t="shared" si="23"/>
        <v/>
      </c>
      <c r="N444" s="7" t="str">
        <f t="shared" ca="1" si="24"/>
        <v/>
      </c>
      <c r="O444" s="13"/>
      <c r="P444" s="29" t="str">
        <f t="shared" ca="1" si="25"/>
        <v/>
      </c>
      <c r="Q444" s="30" t="str">
        <f>IF($K444="","",IFERROR(IF(INDEX(Bookings!$G$3:$G$202,MATCH($K444,Bookings!$A$3:$A$202,0))="","",INDEX(Bookings!$G$3:$G$202,MATCH($K444,Bookings!$A$3:$A$202,0))),""))</f>
        <v/>
      </c>
    </row>
    <row r="445" spans="1:17" hidden="1" x14ac:dyDescent="0.35">
      <c r="A445" s="81"/>
      <c r="B445" s="81"/>
      <c r="C445" s="21"/>
      <c r="D445" s="56"/>
      <c r="E445" s="14"/>
      <c r="F445" s="14"/>
      <c r="G445" s="14"/>
      <c r="H445" s="83">
        <f t="shared" si="26"/>
        <v>0</v>
      </c>
      <c r="I445" s="80"/>
      <c r="J445" s="80"/>
      <c r="K445" s="7" t="str">
        <f>IF($B445="","",IFERROR(INDEX(Connaissements!$B$3:$B$202,MATCH($B445,Connaissements!$A$3:$A$202,0)),""))</f>
        <v/>
      </c>
      <c r="L445" s="7" t="str">
        <f>IF($B445="","",IFERROR(INDEX(Connaissements!$G$3:$G$202,MATCH($B445,Connaissements!$A$3:$A$202,0)),""))</f>
        <v/>
      </c>
      <c r="M445" s="7" t="str">
        <f t="shared" si="23"/>
        <v/>
      </c>
      <c r="N445" s="7" t="str">
        <f t="shared" ca="1" si="24"/>
        <v/>
      </c>
      <c r="O445" s="13"/>
      <c r="P445" s="29" t="str">
        <f t="shared" ca="1" si="25"/>
        <v/>
      </c>
      <c r="Q445" s="30" t="str">
        <f>IF($K445="","",IFERROR(IF(INDEX(Bookings!$G$3:$G$202,MATCH($K445,Bookings!$A$3:$A$202,0))="","",INDEX(Bookings!$G$3:$G$202,MATCH($K445,Bookings!$A$3:$A$202,0))),""))</f>
        <v/>
      </c>
    </row>
    <row r="446" spans="1:17" hidden="1" x14ac:dyDescent="0.35">
      <c r="A446" s="81"/>
      <c r="B446" s="81"/>
      <c r="C446" s="21"/>
      <c r="D446" s="56"/>
      <c r="E446" s="14"/>
      <c r="F446" s="14"/>
      <c r="G446" s="14"/>
      <c r="H446" s="83">
        <f t="shared" si="26"/>
        <v>0</v>
      </c>
      <c r="I446" s="80"/>
      <c r="J446" s="80"/>
      <c r="K446" s="7" t="str">
        <f>IF($B446="","",IFERROR(INDEX(Connaissements!$B$3:$B$202,MATCH($B446,Connaissements!$A$3:$A$202,0)),""))</f>
        <v/>
      </c>
      <c r="L446" s="7" t="str">
        <f>IF($B446="","",IFERROR(INDEX(Connaissements!$G$3:$G$202,MATCH($B446,Connaissements!$A$3:$A$202,0)),""))</f>
        <v/>
      </c>
      <c r="M446" s="7" t="str">
        <f t="shared" si="23"/>
        <v/>
      </c>
      <c r="N446" s="7" t="str">
        <f t="shared" ca="1" si="24"/>
        <v/>
      </c>
      <c r="O446" s="13"/>
      <c r="P446" s="29" t="str">
        <f t="shared" ca="1" si="25"/>
        <v/>
      </c>
      <c r="Q446" s="30" t="str">
        <f>IF($K446="","",IFERROR(IF(INDEX(Bookings!$G$3:$G$202,MATCH($K446,Bookings!$A$3:$A$202,0))="","",INDEX(Bookings!$G$3:$G$202,MATCH($K446,Bookings!$A$3:$A$202,0))),""))</f>
        <v/>
      </c>
    </row>
    <row r="447" spans="1:17" hidden="1" x14ac:dyDescent="0.35">
      <c r="A447" s="81"/>
      <c r="B447" s="81"/>
      <c r="C447" s="21"/>
      <c r="D447" s="56"/>
      <c r="E447" s="14"/>
      <c r="F447" s="14"/>
      <c r="G447" s="14"/>
      <c r="H447" s="83">
        <f t="shared" si="26"/>
        <v>0</v>
      </c>
      <c r="I447" s="80"/>
      <c r="J447" s="80"/>
      <c r="K447" s="7" t="str">
        <f>IF($B447="","",IFERROR(INDEX(Connaissements!$B$3:$B$202,MATCH($B447,Connaissements!$A$3:$A$202,0)),""))</f>
        <v/>
      </c>
      <c r="L447" s="7" t="str">
        <f>IF($B447="","",IFERROR(INDEX(Connaissements!$G$3:$G$202,MATCH($B447,Connaissements!$A$3:$A$202,0)),""))</f>
        <v/>
      </c>
      <c r="M447" s="7" t="str">
        <f t="shared" si="23"/>
        <v/>
      </c>
      <c r="N447" s="7" t="str">
        <f t="shared" ca="1" si="24"/>
        <v/>
      </c>
      <c r="O447" s="13"/>
      <c r="P447" s="29" t="str">
        <f t="shared" ca="1" si="25"/>
        <v/>
      </c>
      <c r="Q447" s="30" t="str">
        <f>IF($K447="","",IFERROR(IF(INDEX(Bookings!$G$3:$G$202,MATCH($K447,Bookings!$A$3:$A$202,0))="","",INDEX(Bookings!$G$3:$G$202,MATCH($K447,Bookings!$A$3:$A$202,0))),""))</f>
        <v/>
      </c>
    </row>
    <row r="448" spans="1:17" hidden="1" x14ac:dyDescent="0.35">
      <c r="A448" s="81"/>
      <c r="B448" s="81"/>
      <c r="C448" s="21"/>
      <c r="D448" s="56"/>
      <c r="E448" s="14"/>
      <c r="F448" s="14"/>
      <c r="G448" s="14"/>
      <c r="H448" s="83">
        <f t="shared" si="26"/>
        <v>0</v>
      </c>
      <c r="I448" s="80"/>
      <c r="J448" s="80"/>
      <c r="K448" s="7" t="str">
        <f>IF($B448="","",IFERROR(INDEX(Connaissements!$B$3:$B$202,MATCH($B448,Connaissements!$A$3:$A$202,0)),""))</f>
        <v/>
      </c>
      <c r="L448" s="7" t="str">
        <f>IF($B448="","",IFERROR(INDEX(Connaissements!$G$3:$G$202,MATCH($B448,Connaissements!$A$3:$A$202,0)),""))</f>
        <v/>
      </c>
      <c r="M448" s="7" t="str">
        <f t="shared" si="23"/>
        <v/>
      </c>
      <c r="N448" s="7" t="str">
        <f t="shared" ca="1" si="24"/>
        <v/>
      </c>
      <c r="O448" s="13"/>
      <c r="P448" s="29" t="str">
        <f t="shared" ca="1" si="25"/>
        <v/>
      </c>
      <c r="Q448" s="30" t="str">
        <f>IF($K448="","",IFERROR(IF(INDEX(Bookings!$G$3:$G$202,MATCH($K448,Bookings!$A$3:$A$202,0))="","",INDEX(Bookings!$G$3:$G$202,MATCH($K448,Bookings!$A$3:$A$202,0))),""))</f>
        <v/>
      </c>
    </row>
    <row r="449" spans="1:17" hidden="1" x14ac:dyDescent="0.35">
      <c r="A449" s="81"/>
      <c r="B449" s="81"/>
      <c r="C449" s="21"/>
      <c r="D449" s="56"/>
      <c r="E449" s="14"/>
      <c r="F449" s="14"/>
      <c r="G449" s="14"/>
      <c r="H449" s="83">
        <f t="shared" si="26"/>
        <v>0</v>
      </c>
      <c r="I449" s="80"/>
      <c r="J449" s="80"/>
      <c r="K449" s="7" t="str">
        <f>IF($B449="","",IFERROR(INDEX(Connaissements!$B$3:$B$202,MATCH($B449,Connaissements!$A$3:$A$202,0)),""))</f>
        <v/>
      </c>
      <c r="L449" s="7" t="str">
        <f>IF($B449="","",IFERROR(INDEX(Connaissements!$G$3:$G$202,MATCH($B449,Connaissements!$A$3:$A$202,0)),""))</f>
        <v/>
      </c>
      <c r="M449" s="7" t="str">
        <f t="shared" si="23"/>
        <v/>
      </c>
      <c r="N449" s="7" t="str">
        <f t="shared" ca="1" si="24"/>
        <v/>
      </c>
      <c r="O449" s="13"/>
      <c r="P449" s="29" t="str">
        <f t="shared" ca="1" si="25"/>
        <v/>
      </c>
      <c r="Q449" s="30" t="str">
        <f>IF($K449="","",IFERROR(IF(INDEX(Bookings!$G$3:$G$202,MATCH($K449,Bookings!$A$3:$A$202,0))="","",INDEX(Bookings!$G$3:$G$202,MATCH($K449,Bookings!$A$3:$A$202,0))),""))</f>
        <v/>
      </c>
    </row>
    <row r="450" spans="1:17" hidden="1" x14ac:dyDescent="0.35">
      <c r="A450" s="81"/>
      <c r="B450" s="81"/>
      <c r="C450" s="21"/>
      <c r="D450" s="56"/>
      <c r="E450" s="14"/>
      <c r="F450" s="14"/>
      <c r="G450" s="14"/>
      <c r="H450" s="83">
        <f t="shared" si="26"/>
        <v>0</v>
      </c>
      <c r="I450" s="80"/>
      <c r="J450" s="80"/>
      <c r="K450" s="7" t="str">
        <f>IF($B450="","",IFERROR(INDEX(Connaissements!$B$3:$B$202,MATCH($B450,Connaissements!$A$3:$A$202,0)),""))</f>
        <v/>
      </c>
      <c r="L450" s="7" t="str">
        <f>IF($B450="","",IFERROR(INDEX(Connaissements!$G$3:$G$202,MATCH($B450,Connaissements!$A$3:$A$202,0)),""))</f>
        <v/>
      </c>
      <c r="M450" s="7" t="str">
        <f t="shared" si="23"/>
        <v/>
      </c>
      <c r="N450" s="7" t="str">
        <f t="shared" ca="1" si="24"/>
        <v/>
      </c>
      <c r="O450" s="13"/>
      <c r="P450" s="29" t="str">
        <f t="shared" ca="1" si="25"/>
        <v/>
      </c>
      <c r="Q450" s="30" t="str">
        <f>IF($K450="","",IFERROR(IF(INDEX(Bookings!$G$3:$G$202,MATCH($K450,Bookings!$A$3:$A$202,0))="","",INDEX(Bookings!$G$3:$G$202,MATCH($K450,Bookings!$A$3:$A$202,0))),""))</f>
        <v/>
      </c>
    </row>
    <row r="451" spans="1:17" hidden="1" x14ac:dyDescent="0.35">
      <c r="A451" s="81"/>
      <c r="B451" s="81"/>
      <c r="C451" s="21"/>
      <c r="D451" s="56"/>
      <c r="E451" s="14"/>
      <c r="F451" s="14"/>
      <c r="G451" s="14"/>
      <c r="H451" s="83">
        <f t="shared" si="26"/>
        <v>0</v>
      </c>
      <c r="I451" s="80"/>
      <c r="J451" s="80"/>
      <c r="K451" s="7" t="str">
        <f>IF($B451="","",IFERROR(INDEX(Connaissements!$B$3:$B$202,MATCH($B451,Connaissements!$A$3:$A$202,0)),""))</f>
        <v/>
      </c>
      <c r="L451" s="7" t="str">
        <f>IF($B451="","",IFERROR(INDEX(Connaissements!$G$3:$G$202,MATCH($B451,Connaissements!$A$3:$A$202,0)),""))</f>
        <v/>
      </c>
      <c r="M451" s="7" t="str">
        <f t="shared" ref="M451:M514" si="27">IF($A451="","",IF($G451&lt;&gt;"","Embarqué",IF($F451&lt;&gt;"","Gate-In fait",IF($E451&lt;&gt;"","Empoté","À empoter"))))</f>
        <v/>
      </c>
      <c r="N451" s="7" t="str">
        <f t="shared" ref="N451:N514" ca="1" si="28">IF(OR($A451="",$G451&lt;&gt;""),"",IF(AND($Q451&lt;&gt;"",N($Q451)&lt;TODAY()),"RETARD : ETD dépassé, pas embarqué",IF(AND($Q451&lt;&gt;"",N($Q451)-TODAY()&lt;=P_AlerteETD,$F451=""),"Gate-In à faire (ETD proche)",IF(AND($E451&lt;&gt;"",$H451=""),"Poids net à saisir",""))))</f>
        <v/>
      </c>
      <c r="O451" s="13"/>
      <c r="P451" s="29" t="str">
        <f t="shared" ref="P451:P514" ca="1" si="29">IF($N451&lt;&gt;"",1,"")</f>
        <v/>
      </c>
      <c r="Q451" s="30" t="str">
        <f>IF($K451="","",IFERROR(IF(INDEX(Bookings!$G$3:$G$202,MATCH($K451,Bookings!$A$3:$A$202,0))="","",INDEX(Bookings!$G$3:$G$202,MATCH($K451,Bookings!$A$3:$A$202,0))),""))</f>
        <v/>
      </c>
    </row>
    <row r="452" spans="1:17" hidden="1" x14ac:dyDescent="0.35">
      <c r="A452" s="81"/>
      <c r="B452" s="81"/>
      <c r="C452" s="21"/>
      <c r="D452" s="56"/>
      <c r="E452" s="14"/>
      <c r="F452" s="14"/>
      <c r="G452" s="14"/>
      <c r="H452" s="83">
        <f t="shared" ref="H452:H515" si="30">J452-I452</f>
        <v>0</v>
      </c>
      <c r="I452" s="80"/>
      <c r="J452" s="80"/>
      <c r="K452" s="7" t="str">
        <f>IF($B452="","",IFERROR(INDEX(Connaissements!$B$3:$B$202,MATCH($B452,Connaissements!$A$3:$A$202,0)),""))</f>
        <v/>
      </c>
      <c r="L452" s="7" t="str">
        <f>IF($B452="","",IFERROR(INDEX(Connaissements!$G$3:$G$202,MATCH($B452,Connaissements!$A$3:$A$202,0)),""))</f>
        <v/>
      </c>
      <c r="M452" s="7" t="str">
        <f t="shared" si="27"/>
        <v/>
      </c>
      <c r="N452" s="7" t="str">
        <f t="shared" ca="1" si="28"/>
        <v/>
      </c>
      <c r="O452" s="13"/>
      <c r="P452" s="29" t="str">
        <f t="shared" ca="1" si="29"/>
        <v/>
      </c>
      <c r="Q452" s="30" t="str">
        <f>IF($K452="","",IFERROR(IF(INDEX(Bookings!$G$3:$G$202,MATCH($K452,Bookings!$A$3:$A$202,0))="","",INDEX(Bookings!$G$3:$G$202,MATCH($K452,Bookings!$A$3:$A$202,0))),""))</f>
        <v/>
      </c>
    </row>
    <row r="453" spans="1:17" hidden="1" x14ac:dyDescent="0.35">
      <c r="A453" s="81"/>
      <c r="B453" s="81"/>
      <c r="C453" s="21"/>
      <c r="D453" s="56"/>
      <c r="E453" s="14"/>
      <c r="F453" s="14"/>
      <c r="G453" s="14"/>
      <c r="H453" s="83">
        <f t="shared" si="30"/>
        <v>0</v>
      </c>
      <c r="I453" s="80"/>
      <c r="J453" s="80"/>
      <c r="K453" s="7" t="str">
        <f>IF($B453="","",IFERROR(INDEX(Connaissements!$B$3:$B$202,MATCH($B453,Connaissements!$A$3:$A$202,0)),""))</f>
        <v/>
      </c>
      <c r="L453" s="7" t="str">
        <f>IF($B453="","",IFERROR(INDEX(Connaissements!$G$3:$G$202,MATCH($B453,Connaissements!$A$3:$A$202,0)),""))</f>
        <v/>
      </c>
      <c r="M453" s="7" t="str">
        <f t="shared" si="27"/>
        <v/>
      </c>
      <c r="N453" s="7" t="str">
        <f t="shared" ca="1" si="28"/>
        <v/>
      </c>
      <c r="O453" s="13"/>
      <c r="P453" s="29" t="str">
        <f t="shared" ca="1" si="29"/>
        <v/>
      </c>
      <c r="Q453" s="30" t="str">
        <f>IF($K453="","",IFERROR(IF(INDEX(Bookings!$G$3:$G$202,MATCH($K453,Bookings!$A$3:$A$202,0))="","",INDEX(Bookings!$G$3:$G$202,MATCH($K453,Bookings!$A$3:$A$202,0))),""))</f>
        <v/>
      </c>
    </row>
    <row r="454" spans="1:17" hidden="1" x14ac:dyDescent="0.35">
      <c r="A454" s="81"/>
      <c r="B454" s="81"/>
      <c r="C454" s="21"/>
      <c r="D454" s="56"/>
      <c r="E454" s="14"/>
      <c r="F454" s="14"/>
      <c r="G454" s="14"/>
      <c r="H454" s="83">
        <f t="shared" si="30"/>
        <v>0</v>
      </c>
      <c r="I454" s="80"/>
      <c r="J454" s="80"/>
      <c r="K454" s="7" t="str">
        <f>IF($B454="","",IFERROR(INDEX(Connaissements!$B$3:$B$202,MATCH($B454,Connaissements!$A$3:$A$202,0)),""))</f>
        <v/>
      </c>
      <c r="L454" s="7" t="str">
        <f>IF($B454="","",IFERROR(INDEX(Connaissements!$G$3:$G$202,MATCH($B454,Connaissements!$A$3:$A$202,0)),""))</f>
        <v/>
      </c>
      <c r="M454" s="7" t="str">
        <f t="shared" si="27"/>
        <v/>
      </c>
      <c r="N454" s="7" t="str">
        <f t="shared" ca="1" si="28"/>
        <v/>
      </c>
      <c r="O454" s="13"/>
      <c r="P454" s="29" t="str">
        <f t="shared" ca="1" si="29"/>
        <v/>
      </c>
      <c r="Q454" s="30" t="str">
        <f>IF($K454="","",IFERROR(IF(INDEX(Bookings!$G$3:$G$202,MATCH($K454,Bookings!$A$3:$A$202,0))="","",INDEX(Bookings!$G$3:$G$202,MATCH($K454,Bookings!$A$3:$A$202,0))),""))</f>
        <v/>
      </c>
    </row>
    <row r="455" spans="1:17" hidden="1" x14ac:dyDescent="0.35">
      <c r="A455" s="81"/>
      <c r="B455" s="81"/>
      <c r="C455" s="21"/>
      <c r="D455" s="56"/>
      <c r="E455" s="14"/>
      <c r="F455" s="14"/>
      <c r="G455" s="14"/>
      <c r="H455" s="83">
        <f t="shared" si="30"/>
        <v>0</v>
      </c>
      <c r="I455" s="80"/>
      <c r="J455" s="80"/>
      <c r="K455" s="7" t="str">
        <f>IF($B455="","",IFERROR(INDEX(Connaissements!$B$3:$B$202,MATCH($B455,Connaissements!$A$3:$A$202,0)),""))</f>
        <v/>
      </c>
      <c r="L455" s="7" t="str">
        <f>IF($B455="","",IFERROR(INDEX(Connaissements!$G$3:$G$202,MATCH($B455,Connaissements!$A$3:$A$202,0)),""))</f>
        <v/>
      </c>
      <c r="M455" s="7" t="str">
        <f t="shared" si="27"/>
        <v/>
      </c>
      <c r="N455" s="7" t="str">
        <f t="shared" ca="1" si="28"/>
        <v/>
      </c>
      <c r="O455" s="13"/>
      <c r="P455" s="29" t="str">
        <f t="shared" ca="1" si="29"/>
        <v/>
      </c>
      <c r="Q455" s="30" t="str">
        <f>IF($K455="","",IFERROR(IF(INDEX(Bookings!$G$3:$G$202,MATCH($K455,Bookings!$A$3:$A$202,0))="","",INDEX(Bookings!$G$3:$G$202,MATCH($K455,Bookings!$A$3:$A$202,0))),""))</f>
        <v/>
      </c>
    </row>
    <row r="456" spans="1:17" hidden="1" x14ac:dyDescent="0.35">
      <c r="A456" s="81"/>
      <c r="B456" s="81"/>
      <c r="C456" s="21"/>
      <c r="D456" s="56"/>
      <c r="E456" s="14"/>
      <c r="F456" s="14"/>
      <c r="G456" s="14"/>
      <c r="H456" s="83">
        <f t="shared" si="30"/>
        <v>0</v>
      </c>
      <c r="I456" s="80"/>
      <c r="J456" s="80"/>
      <c r="K456" s="7" t="str">
        <f>IF($B456="","",IFERROR(INDEX(Connaissements!$B$3:$B$202,MATCH($B456,Connaissements!$A$3:$A$202,0)),""))</f>
        <v/>
      </c>
      <c r="L456" s="7" t="str">
        <f>IF($B456="","",IFERROR(INDEX(Connaissements!$G$3:$G$202,MATCH($B456,Connaissements!$A$3:$A$202,0)),""))</f>
        <v/>
      </c>
      <c r="M456" s="7" t="str">
        <f t="shared" si="27"/>
        <v/>
      </c>
      <c r="N456" s="7" t="str">
        <f t="shared" ca="1" si="28"/>
        <v/>
      </c>
      <c r="O456" s="13"/>
      <c r="P456" s="29" t="str">
        <f t="shared" ca="1" si="29"/>
        <v/>
      </c>
      <c r="Q456" s="30" t="str">
        <f>IF($K456="","",IFERROR(IF(INDEX(Bookings!$G$3:$G$202,MATCH($K456,Bookings!$A$3:$A$202,0))="","",INDEX(Bookings!$G$3:$G$202,MATCH($K456,Bookings!$A$3:$A$202,0))),""))</f>
        <v/>
      </c>
    </row>
    <row r="457" spans="1:17" hidden="1" x14ac:dyDescent="0.35">
      <c r="A457" s="81"/>
      <c r="B457" s="81"/>
      <c r="C457" s="21"/>
      <c r="D457" s="56"/>
      <c r="E457" s="14"/>
      <c r="F457" s="14"/>
      <c r="G457" s="14"/>
      <c r="H457" s="83">
        <f t="shared" si="30"/>
        <v>0</v>
      </c>
      <c r="I457" s="80"/>
      <c r="J457" s="80"/>
      <c r="K457" s="7" t="str">
        <f>IF($B457="","",IFERROR(INDEX(Connaissements!$B$3:$B$202,MATCH($B457,Connaissements!$A$3:$A$202,0)),""))</f>
        <v/>
      </c>
      <c r="L457" s="7" t="str">
        <f>IF($B457="","",IFERROR(INDEX(Connaissements!$G$3:$G$202,MATCH($B457,Connaissements!$A$3:$A$202,0)),""))</f>
        <v/>
      </c>
      <c r="M457" s="7" t="str">
        <f t="shared" si="27"/>
        <v/>
      </c>
      <c r="N457" s="7" t="str">
        <f t="shared" ca="1" si="28"/>
        <v/>
      </c>
      <c r="O457" s="13"/>
      <c r="P457" s="29" t="str">
        <f t="shared" ca="1" si="29"/>
        <v/>
      </c>
      <c r="Q457" s="30" t="str">
        <f>IF($K457="","",IFERROR(IF(INDEX(Bookings!$G$3:$G$202,MATCH($K457,Bookings!$A$3:$A$202,0))="","",INDEX(Bookings!$G$3:$G$202,MATCH($K457,Bookings!$A$3:$A$202,0))),""))</f>
        <v/>
      </c>
    </row>
    <row r="458" spans="1:17" hidden="1" x14ac:dyDescent="0.35">
      <c r="A458" s="81"/>
      <c r="B458" s="81"/>
      <c r="C458" s="21"/>
      <c r="D458" s="56"/>
      <c r="E458" s="14"/>
      <c r="F458" s="14"/>
      <c r="G458" s="14"/>
      <c r="H458" s="83">
        <f t="shared" si="30"/>
        <v>0</v>
      </c>
      <c r="I458" s="80"/>
      <c r="J458" s="80"/>
      <c r="K458" s="7" t="str">
        <f>IF($B458="","",IFERROR(INDEX(Connaissements!$B$3:$B$202,MATCH($B458,Connaissements!$A$3:$A$202,0)),""))</f>
        <v/>
      </c>
      <c r="L458" s="7" t="str">
        <f>IF($B458="","",IFERROR(INDEX(Connaissements!$G$3:$G$202,MATCH($B458,Connaissements!$A$3:$A$202,0)),""))</f>
        <v/>
      </c>
      <c r="M458" s="7" t="str">
        <f t="shared" si="27"/>
        <v/>
      </c>
      <c r="N458" s="7" t="str">
        <f t="shared" ca="1" si="28"/>
        <v/>
      </c>
      <c r="O458" s="13"/>
      <c r="P458" s="29" t="str">
        <f t="shared" ca="1" si="29"/>
        <v/>
      </c>
      <c r="Q458" s="30" t="str">
        <f>IF($K458="","",IFERROR(IF(INDEX(Bookings!$G$3:$G$202,MATCH($K458,Bookings!$A$3:$A$202,0))="","",INDEX(Bookings!$G$3:$G$202,MATCH($K458,Bookings!$A$3:$A$202,0))),""))</f>
        <v/>
      </c>
    </row>
    <row r="459" spans="1:17" hidden="1" x14ac:dyDescent="0.35">
      <c r="A459" s="81"/>
      <c r="B459" s="81"/>
      <c r="C459" s="21"/>
      <c r="D459" s="56"/>
      <c r="E459" s="14"/>
      <c r="F459" s="14"/>
      <c r="G459" s="14"/>
      <c r="H459" s="83">
        <f t="shared" si="30"/>
        <v>0</v>
      </c>
      <c r="I459" s="80"/>
      <c r="J459" s="80"/>
      <c r="K459" s="7" t="str">
        <f>IF($B459="","",IFERROR(INDEX(Connaissements!$B$3:$B$202,MATCH($B459,Connaissements!$A$3:$A$202,0)),""))</f>
        <v/>
      </c>
      <c r="L459" s="7" t="str">
        <f>IF($B459="","",IFERROR(INDEX(Connaissements!$G$3:$G$202,MATCH($B459,Connaissements!$A$3:$A$202,0)),""))</f>
        <v/>
      </c>
      <c r="M459" s="7" t="str">
        <f t="shared" si="27"/>
        <v/>
      </c>
      <c r="N459" s="7" t="str">
        <f t="shared" ca="1" si="28"/>
        <v/>
      </c>
      <c r="O459" s="13"/>
      <c r="P459" s="29" t="str">
        <f t="shared" ca="1" si="29"/>
        <v/>
      </c>
      <c r="Q459" s="30" t="str">
        <f>IF($K459="","",IFERROR(IF(INDEX(Bookings!$G$3:$G$202,MATCH($K459,Bookings!$A$3:$A$202,0))="","",INDEX(Bookings!$G$3:$G$202,MATCH($K459,Bookings!$A$3:$A$202,0))),""))</f>
        <v/>
      </c>
    </row>
    <row r="460" spans="1:17" hidden="1" x14ac:dyDescent="0.35">
      <c r="A460" s="81"/>
      <c r="B460" s="81"/>
      <c r="C460" s="21"/>
      <c r="D460" s="56"/>
      <c r="E460" s="14"/>
      <c r="F460" s="14"/>
      <c r="G460" s="14"/>
      <c r="H460" s="83">
        <f t="shared" si="30"/>
        <v>0</v>
      </c>
      <c r="I460" s="80"/>
      <c r="J460" s="80"/>
      <c r="K460" s="7" t="str">
        <f>IF($B460="","",IFERROR(INDEX(Connaissements!$B$3:$B$202,MATCH($B460,Connaissements!$A$3:$A$202,0)),""))</f>
        <v/>
      </c>
      <c r="L460" s="7" t="str">
        <f>IF($B460="","",IFERROR(INDEX(Connaissements!$G$3:$G$202,MATCH($B460,Connaissements!$A$3:$A$202,0)),""))</f>
        <v/>
      </c>
      <c r="M460" s="7" t="str">
        <f t="shared" si="27"/>
        <v/>
      </c>
      <c r="N460" s="7" t="str">
        <f t="shared" ca="1" si="28"/>
        <v/>
      </c>
      <c r="O460" s="13"/>
      <c r="P460" s="29" t="str">
        <f t="shared" ca="1" si="29"/>
        <v/>
      </c>
      <c r="Q460" s="30" t="str">
        <f>IF($K460="","",IFERROR(IF(INDEX(Bookings!$G$3:$G$202,MATCH($K460,Bookings!$A$3:$A$202,0))="","",INDEX(Bookings!$G$3:$G$202,MATCH($K460,Bookings!$A$3:$A$202,0))),""))</f>
        <v/>
      </c>
    </row>
    <row r="461" spans="1:17" hidden="1" x14ac:dyDescent="0.35">
      <c r="A461" s="81"/>
      <c r="B461" s="81"/>
      <c r="C461" s="21"/>
      <c r="D461" s="56"/>
      <c r="E461" s="14"/>
      <c r="F461" s="14"/>
      <c r="G461" s="14"/>
      <c r="H461" s="83">
        <f t="shared" si="30"/>
        <v>0</v>
      </c>
      <c r="I461" s="80"/>
      <c r="J461" s="80"/>
      <c r="K461" s="7" t="str">
        <f>IF($B461="","",IFERROR(INDEX(Connaissements!$B$3:$B$202,MATCH($B461,Connaissements!$A$3:$A$202,0)),""))</f>
        <v/>
      </c>
      <c r="L461" s="7" t="str">
        <f>IF($B461="","",IFERROR(INDEX(Connaissements!$G$3:$G$202,MATCH($B461,Connaissements!$A$3:$A$202,0)),""))</f>
        <v/>
      </c>
      <c r="M461" s="7" t="str">
        <f t="shared" si="27"/>
        <v/>
      </c>
      <c r="N461" s="7" t="str">
        <f t="shared" ca="1" si="28"/>
        <v/>
      </c>
      <c r="O461" s="13"/>
      <c r="P461" s="29" t="str">
        <f t="shared" ca="1" si="29"/>
        <v/>
      </c>
      <c r="Q461" s="30" t="str">
        <f>IF($K461="","",IFERROR(IF(INDEX(Bookings!$G$3:$G$202,MATCH($K461,Bookings!$A$3:$A$202,0))="","",INDEX(Bookings!$G$3:$G$202,MATCH($K461,Bookings!$A$3:$A$202,0))),""))</f>
        <v/>
      </c>
    </row>
    <row r="462" spans="1:17" hidden="1" x14ac:dyDescent="0.35">
      <c r="A462" s="81"/>
      <c r="B462" s="81"/>
      <c r="C462" s="21"/>
      <c r="D462" s="56"/>
      <c r="E462" s="14"/>
      <c r="F462" s="14"/>
      <c r="G462" s="14"/>
      <c r="H462" s="83">
        <f t="shared" si="30"/>
        <v>0</v>
      </c>
      <c r="I462" s="80"/>
      <c r="J462" s="80"/>
      <c r="K462" s="7" t="str">
        <f>IF($B462="","",IFERROR(INDEX(Connaissements!$B$3:$B$202,MATCH($B462,Connaissements!$A$3:$A$202,0)),""))</f>
        <v/>
      </c>
      <c r="L462" s="7" t="str">
        <f>IF($B462="","",IFERROR(INDEX(Connaissements!$G$3:$G$202,MATCH($B462,Connaissements!$A$3:$A$202,0)),""))</f>
        <v/>
      </c>
      <c r="M462" s="7" t="str">
        <f t="shared" si="27"/>
        <v/>
      </c>
      <c r="N462" s="7" t="str">
        <f t="shared" ca="1" si="28"/>
        <v/>
      </c>
      <c r="O462" s="13"/>
      <c r="P462" s="29" t="str">
        <f t="shared" ca="1" si="29"/>
        <v/>
      </c>
      <c r="Q462" s="30" t="str">
        <f>IF($K462="","",IFERROR(IF(INDEX(Bookings!$G$3:$G$202,MATCH($K462,Bookings!$A$3:$A$202,0))="","",INDEX(Bookings!$G$3:$G$202,MATCH($K462,Bookings!$A$3:$A$202,0))),""))</f>
        <v/>
      </c>
    </row>
    <row r="463" spans="1:17" hidden="1" x14ac:dyDescent="0.35">
      <c r="A463" s="81"/>
      <c r="B463" s="81"/>
      <c r="C463" s="21"/>
      <c r="D463" s="56"/>
      <c r="E463" s="14"/>
      <c r="F463" s="14"/>
      <c r="G463" s="14"/>
      <c r="H463" s="83">
        <f t="shared" si="30"/>
        <v>0</v>
      </c>
      <c r="I463" s="80"/>
      <c r="J463" s="80"/>
      <c r="K463" s="7" t="str">
        <f>IF($B463="","",IFERROR(INDEX(Connaissements!$B$3:$B$202,MATCH($B463,Connaissements!$A$3:$A$202,0)),""))</f>
        <v/>
      </c>
      <c r="L463" s="7" t="str">
        <f>IF($B463="","",IFERROR(INDEX(Connaissements!$G$3:$G$202,MATCH($B463,Connaissements!$A$3:$A$202,0)),""))</f>
        <v/>
      </c>
      <c r="M463" s="7" t="str">
        <f t="shared" si="27"/>
        <v/>
      </c>
      <c r="N463" s="7" t="str">
        <f t="shared" ca="1" si="28"/>
        <v/>
      </c>
      <c r="O463" s="13"/>
      <c r="P463" s="29" t="str">
        <f t="shared" ca="1" si="29"/>
        <v/>
      </c>
      <c r="Q463" s="30" t="str">
        <f>IF($K463="","",IFERROR(IF(INDEX(Bookings!$G$3:$G$202,MATCH($K463,Bookings!$A$3:$A$202,0))="","",INDEX(Bookings!$G$3:$G$202,MATCH($K463,Bookings!$A$3:$A$202,0))),""))</f>
        <v/>
      </c>
    </row>
    <row r="464" spans="1:17" hidden="1" x14ac:dyDescent="0.35">
      <c r="A464" s="81"/>
      <c r="B464" s="81"/>
      <c r="C464" s="21"/>
      <c r="D464" s="56"/>
      <c r="E464" s="14"/>
      <c r="F464" s="14"/>
      <c r="G464" s="14"/>
      <c r="H464" s="83">
        <f t="shared" si="30"/>
        <v>0</v>
      </c>
      <c r="I464" s="80"/>
      <c r="J464" s="80"/>
      <c r="K464" s="7" t="str">
        <f>IF($B464="","",IFERROR(INDEX(Connaissements!$B$3:$B$202,MATCH($B464,Connaissements!$A$3:$A$202,0)),""))</f>
        <v/>
      </c>
      <c r="L464" s="7" t="str">
        <f>IF($B464="","",IFERROR(INDEX(Connaissements!$G$3:$G$202,MATCH($B464,Connaissements!$A$3:$A$202,0)),""))</f>
        <v/>
      </c>
      <c r="M464" s="7" t="str">
        <f t="shared" si="27"/>
        <v/>
      </c>
      <c r="N464" s="7" t="str">
        <f t="shared" ca="1" si="28"/>
        <v/>
      </c>
      <c r="O464" s="13"/>
      <c r="P464" s="29" t="str">
        <f t="shared" ca="1" si="29"/>
        <v/>
      </c>
      <c r="Q464" s="30" t="str">
        <f>IF($K464="","",IFERROR(IF(INDEX(Bookings!$G$3:$G$202,MATCH($K464,Bookings!$A$3:$A$202,0))="","",INDEX(Bookings!$G$3:$G$202,MATCH($K464,Bookings!$A$3:$A$202,0))),""))</f>
        <v/>
      </c>
    </row>
    <row r="465" spans="1:17" hidden="1" x14ac:dyDescent="0.35">
      <c r="A465" s="81"/>
      <c r="B465" s="81"/>
      <c r="C465" s="21"/>
      <c r="D465" s="56"/>
      <c r="E465" s="14"/>
      <c r="F465" s="14"/>
      <c r="G465" s="14"/>
      <c r="H465" s="83">
        <f t="shared" si="30"/>
        <v>0</v>
      </c>
      <c r="I465" s="80"/>
      <c r="J465" s="80"/>
      <c r="K465" s="7" t="str">
        <f>IF($B465="","",IFERROR(INDEX(Connaissements!$B$3:$B$202,MATCH($B465,Connaissements!$A$3:$A$202,0)),""))</f>
        <v/>
      </c>
      <c r="L465" s="7" t="str">
        <f>IF($B465="","",IFERROR(INDEX(Connaissements!$G$3:$G$202,MATCH($B465,Connaissements!$A$3:$A$202,0)),""))</f>
        <v/>
      </c>
      <c r="M465" s="7" t="str">
        <f t="shared" si="27"/>
        <v/>
      </c>
      <c r="N465" s="7" t="str">
        <f t="shared" ca="1" si="28"/>
        <v/>
      </c>
      <c r="O465" s="13"/>
      <c r="P465" s="29" t="str">
        <f t="shared" ca="1" si="29"/>
        <v/>
      </c>
      <c r="Q465" s="30" t="str">
        <f>IF($K465="","",IFERROR(IF(INDEX(Bookings!$G$3:$G$202,MATCH($K465,Bookings!$A$3:$A$202,0))="","",INDEX(Bookings!$G$3:$G$202,MATCH($K465,Bookings!$A$3:$A$202,0))),""))</f>
        <v/>
      </c>
    </row>
    <row r="466" spans="1:17" hidden="1" x14ac:dyDescent="0.35">
      <c r="A466" s="81"/>
      <c r="B466" s="81"/>
      <c r="C466" s="21"/>
      <c r="D466" s="56"/>
      <c r="E466" s="14"/>
      <c r="F466" s="14"/>
      <c r="G466" s="14"/>
      <c r="H466" s="83">
        <f t="shared" si="30"/>
        <v>0</v>
      </c>
      <c r="I466" s="80"/>
      <c r="J466" s="80"/>
      <c r="K466" s="7" t="str">
        <f>IF($B466="","",IFERROR(INDEX(Connaissements!$B$3:$B$202,MATCH($B466,Connaissements!$A$3:$A$202,0)),""))</f>
        <v/>
      </c>
      <c r="L466" s="7" t="str">
        <f>IF($B466="","",IFERROR(INDEX(Connaissements!$G$3:$G$202,MATCH($B466,Connaissements!$A$3:$A$202,0)),""))</f>
        <v/>
      </c>
      <c r="M466" s="7" t="str">
        <f t="shared" si="27"/>
        <v/>
      </c>
      <c r="N466" s="7" t="str">
        <f t="shared" ca="1" si="28"/>
        <v/>
      </c>
      <c r="O466" s="13"/>
      <c r="P466" s="29" t="str">
        <f t="shared" ca="1" si="29"/>
        <v/>
      </c>
      <c r="Q466" s="30" t="str">
        <f>IF($K466="","",IFERROR(IF(INDEX(Bookings!$G$3:$G$202,MATCH($K466,Bookings!$A$3:$A$202,0))="","",INDEX(Bookings!$G$3:$G$202,MATCH($K466,Bookings!$A$3:$A$202,0))),""))</f>
        <v/>
      </c>
    </row>
    <row r="467" spans="1:17" hidden="1" x14ac:dyDescent="0.35">
      <c r="A467" s="81"/>
      <c r="B467" s="81"/>
      <c r="C467" s="21"/>
      <c r="D467" s="56"/>
      <c r="E467" s="14"/>
      <c r="F467" s="14"/>
      <c r="G467" s="14"/>
      <c r="H467" s="83">
        <f t="shared" si="30"/>
        <v>0</v>
      </c>
      <c r="I467" s="80"/>
      <c r="J467" s="80"/>
      <c r="K467" s="7" t="str">
        <f>IF($B467="","",IFERROR(INDEX(Connaissements!$B$3:$B$202,MATCH($B467,Connaissements!$A$3:$A$202,0)),""))</f>
        <v/>
      </c>
      <c r="L467" s="7" t="str">
        <f>IF($B467="","",IFERROR(INDEX(Connaissements!$G$3:$G$202,MATCH($B467,Connaissements!$A$3:$A$202,0)),""))</f>
        <v/>
      </c>
      <c r="M467" s="7" t="str">
        <f t="shared" si="27"/>
        <v/>
      </c>
      <c r="N467" s="7" t="str">
        <f t="shared" ca="1" si="28"/>
        <v/>
      </c>
      <c r="O467" s="13"/>
      <c r="P467" s="29" t="str">
        <f t="shared" ca="1" si="29"/>
        <v/>
      </c>
      <c r="Q467" s="30" t="str">
        <f>IF($K467="","",IFERROR(IF(INDEX(Bookings!$G$3:$G$202,MATCH($K467,Bookings!$A$3:$A$202,0))="","",INDEX(Bookings!$G$3:$G$202,MATCH($K467,Bookings!$A$3:$A$202,0))),""))</f>
        <v/>
      </c>
    </row>
    <row r="468" spans="1:17" hidden="1" x14ac:dyDescent="0.35">
      <c r="A468" s="81"/>
      <c r="B468" s="81"/>
      <c r="C468" s="21"/>
      <c r="D468" s="56"/>
      <c r="E468" s="14"/>
      <c r="F468" s="14"/>
      <c r="G468" s="14"/>
      <c r="H468" s="83">
        <f t="shared" si="30"/>
        <v>0</v>
      </c>
      <c r="I468" s="80"/>
      <c r="J468" s="80"/>
      <c r="K468" s="7" t="str">
        <f>IF($B468="","",IFERROR(INDEX(Connaissements!$B$3:$B$202,MATCH($B468,Connaissements!$A$3:$A$202,0)),""))</f>
        <v/>
      </c>
      <c r="L468" s="7" t="str">
        <f>IF($B468="","",IFERROR(INDEX(Connaissements!$G$3:$G$202,MATCH($B468,Connaissements!$A$3:$A$202,0)),""))</f>
        <v/>
      </c>
      <c r="M468" s="7" t="str">
        <f t="shared" si="27"/>
        <v/>
      </c>
      <c r="N468" s="7" t="str">
        <f t="shared" ca="1" si="28"/>
        <v/>
      </c>
      <c r="O468" s="13"/>
      <c r="P468" s="29" t="str">
        <f t="shared" ca="1" si="29"/>
        <v/>
      </c>
      <c r="Q468" s="30" t="str">
        <f>IF($K468="","",IFERROR(IF(INDEX(Bookings!$G$3:$G$202,MATCH($K468,Bookings!$A$3:$A$202,0))="","",INDEX(Bookings!$G$3:$G$202,MATCH($K468,Bookings!$A$3:$A$202,0))),""))</f>
        <v/>
      </c>
    </row>
    <row r="469" spans="1:17" hidden="1" x14ac:dyDescent="0.35">
      <c r="A469" s="81"/>
      <c r="B469" s="81"/>
      <c r="C469" s="21"/>
      <c r="D469" s="56"/>
      <c r="E469" s="14"/>
      <c r="F469" s="14"/>
      <c r="G469" s="14"/>
      <c r="H469" s="83">
        <f t="shared" si="30"/>
        <v>0</v>
      </c>
      <c r="I469" s="80"/>
      <c r="J469" s="80"/>
      <c r="K469" s="7" t="str">
        <f>IF($B469="","",IFERROR(INDEX(Connaissements!$B$3:$B$202,MATCH($B469,Connaissements!$A$3:$A$202,0)),""))</f>
        <v/>
      </c>
      <c r="L469" s="7" t="str">
        <f>IF($B469="","",IFERROR(INDEX(Connaissements!$G$3:$G$202,MATCH($B469,Connaissements!$A$3:$A$202,0)),""))</f>
        <v/>
      </c>
      <c r="M469" s="7" t="str">
        <f t="shared" si="27"/>
        <v/>
      </c>
      <c r="N469" s="7" t="str">
        <f t="shared" ca="1" si="28"/>
        <v/>
      </c>
      <c r="O469" s="13"/>
      <c r="P469" s="29" t="str">
        <f t="shared" ca="1" si="29"/>
        <v/>
      </c>
      <c r="Q469" s="30" t="str">
        <f>IF($K469="","",IFERROR(IF(INDEX(Bookings!$G$3:$G$202,MATCH($K469,Bookings!$A$3:$A$202,0))="","",INDEX(Bookings!$G$3:$G$202,MATCH($K469,Bookings!$A$3:$A$202,0))),""))</f>
        <v/>
      </c>
    </row>
    <row r="470" spans="1:17" hidden="1" x14ac:dyDescent="0.35">
      <c r="A470" s="81"/>
      <c r="B470" s="81"/>
      <c r="C470" s="21"/>
      <c r="D470" s="56"/>
      <c r="E470" s="14"/>
      <c r="F470" s="14"/>
      <c r="G470" s="14"/>
      <c r="H470" s="83">
        <f t="shared" si="30"/>
        <v>0</v>
      </c>
      <c r="I470" s="80"/>
      <c r="J470" s="80"/>
      <c r="K470" s="7" t="str">
        <f>IF($B470="","",IFERROR(INDEX(Connaissements!$B$3:$B$202,MATCH($B470,Connaissements!$A$3:$A$202,0)),""))</f>
        <v/>
      </c>
      <c r="L470" s="7" t="str">
        <f>IF($B470="","",IFERROR(INDEX(Connaissements!$G$3:$G$202,MATCH($B470,Connaissements!$A$3:$A$202,0)),""))</f>
        <v/>
      </c>
      <c r="M470" s="7" t="str">
        <f t="shared" si="27"/>
        <v/>
      </c>
      <c r="N470" s="7" t="str">
        <f t="shared" ca="1" si="28"/>
        <v/>
      </c>
      <c r="O470" s="13"/>
      <c r="P470" s="29" t="str">
        <f t="shared" ca="1" si="29"/>
        <v/>
      </c>
      <c r="Q470" s="30" t="str">
        <f>IF($K470="","",IFERROR(IF(INDEX(Bookings!$G$3:$G$202,MATCH($K470,Bookings!$A$3:$A$202,0))="","",INDEX(Bookings!$G$3:$G$202,MATCH($K470,Bookings!$A$3:$A$202,0))),""))</f>
        <v/>
      </c>
    </row>
    <row r="471" spans="1:17" hidden="1" x14ac:dyDescent="0.35">
      <c r="A471" s="81"/>
      <c r="B471" s="81"/>
      <c r="C471" s="21"/>
      <c r="D471" s="56"/>
      <c r="E471" s="14"/>
      <c r="F471" s="14"/>
      <c r="G471" s="14"/>
      <c r="H471" s="83">
        <f t="shared" si="30"/>
        <v>0</v>
      </c>
      <c r="I471" s="80"/>
      <c r="J471" s="80"/>
      <c r="K471" s="7" t="str">
        <f>IF($B471="","",IFERROR(INDEX(Connaissements!$B$3:$B$202,MATCH($B471,Connaissements!$A$3:$A$202,0)),""))</f>
        <v/>
      </c>
      <c r="L471" s="7" t="str">
        <f>IF($B471="","",IFERROR(INDEX(Connaissements!$G$3:$G$202,MATCH($B471,Connaissements!$A$3:$A$202,0)),""))</f>
        <v/>
      </c>
      <c r="M471" s="7" t="str">
        <f t="shared" si="27"/>
        <v/>
      </c>
      <c r="N471" s="7" t="str">
        <f t="shared" ca="1" si="28"/>
        <v/>
      </c>
      <c r="O471" s="13"/>
      <c r="P471" s="29" t="str">
        <f t="shared" ca="1" si="29"/>
        <v/>
      </c>
      <c r="Q471" s="30" t="str">
        <f>IF($K471="","",IFERROR(IF(INDEX(Bookings!$G$3:$G$202,MATCH($K471,Bookings!$A$3:$A$202,0))="","",INDEX(Bookings!$G$3:$G$202,MATCH($K471,Bookings!$A$3:$A$202,0))),""))</f>
        <v/>
      </c>
    </row>
    <row r="472" spans="1:17" hidden="1" x14ac:dyDescent="0.35">
      <c r="A472" s="81"/>
      <c r="B472" s="81"/>
      <c r="C472" s="21"/>
      <c r="D472" s="56"/>
      <c r="E472" s="14"/>
      <c r="F472" s="14"/>
      <c r="G472" s="14"/>
      <c r="H472" s="83">
        <f t="shared" si="30"/>
        <v>0</v>
      </c>
      <c r="I472" s="80"/>
      <c r="J472" s="80"/>
      <c r="K472" s="7" t="str">
        <f>IF($B472="","",IFERROR(INDEX(Connaissements!$B$3:$B$202,MATCH($B472,Connaissements!$A$3:$A$202,0)),""))</f>
        <v/>
      </c>
      <c r="L472" s="7" t="str">
        <f>IF($B472="","",IFERROR(INDEX(Connaissements!$G$3:$G$202,MATCH($B472,Connaissements!$A$3:$A$202,0)),""))</f>
        <v/>
      </c>
      <c r="M472" s="7" t="str">
        <f t="shared" si="27"/>
        <v/>
      </c>
      <c r="N472" s="7" t="str">
        <f t="shared" ca="1" si="28"/>
        <v/>
      </c>
      <c r="O472" s="13"/>
      <c r="P472" s="29" t="str">
        <f t="shared" ca="1" si="29"/>
        <v/>
      </c>
      <c r="Q472" s="30" t="str">
        <f>IF($K472="","",IFERROR(IF(INDEX(Bookings!$G$3:$G$202,MATCH($K472,Bookings!$A$3:$A$202,0))="","",INDEX(Bookings!$G$3:$G$202,MATCH($K472,Bookings!$A$3:$A$202,0))),""))</f>
        <v/>
      </c>
    </row>
    <row r="473" spans="1:17" hidden="1" x14ac:dyDescent="0.35">
      <c r="A473" s="81"/>
      <c r="B473" s="81"/>
      <c r="C473" s="21"/>
      <c r="D473" s="56"/>
      <c r="E473" s="14"/>
      <c r="F473" s="14"/>
      <c r="G473" s="14"/>
      <c r="H473" s="83">
        <f t="shared" si="30"/>
        <v>0</v>
      </c>
      <c r="I473" s="80"/>
      <c r="J473" s="80"/>
      <c r="K473" s="7" t="str">
        <f>IF($B473="","",IFERROR(INDEX(Connaissements!$B$3:$B$202,MATCH($B473,Connaissements!$A$3:$A$202,0)),""))</f>
        <v/>
      </c>
      <c r="L473" s="7" t="str">
        <f>IF($B473="","",IFERROR(INDEX(Connaissements!$G$3:$G$202,MATCH($B473,Connaissements!$A$3:$A$202,0)),""))</f>
        <v/>
      </c>
      <c r="M473" s="7" t="str">
        <f t="shared" si="27"/>
        <v/>
      </c>
      <c r="N473" s="7" t="str">
        <f t="shared" ca="1" si="28"/>
        <v/>
      </c>
      <c r="O473" s="13"/>
      <c r="P473" s="29" t="str">
        <f t="shared" ca="1" si="29"/>
        <v/>
      </c>
      <c r="Q473" s="30" t="str">
        <f>IF($K473="","",IFERROR(IF(INDEX(Bookings!$G$3:$G$202,MATCH($K473,Bookings!$A$3:$A$202,0))="","",INDEX(Bookings!$G$3:$G$202,MATCH($K473,Bookings!$A$3:$A$202,0))),""))</f>
        <v/>
      </c>
    </row>
    <row r="474" spans="1:17" hidden="1" x14ac:dyDescent="0.35">
      <c r="A474" s="81"/>
      <c r="B474" s="81"/>
      <c r="C474" s="21"/>
      <c r="D474" s="56"/>
      <c r="E474" s="14"/>
      <c r="F474" s="14"/>
      <c r="G474" s="14"/>
      <c r="H474" s="83">
        <f t="shared" si="30"/>
        <v>0</v>
      </c>
      <c r="I474" s="80"/>
      <c r="J474" s="80"/>
      <c r="K474" s="7" t="str">
        <f>IF($B474="","",IFERROR(INDEX(Connaissements!$B$3:$B$202,MATCH($B474,Connaissements!$A$3:$A$202,0)),""))</f>
        <v/>
      </c>
      <c r="L474" s="7" t="str">
        <f>IF($B474="","",IFERROR(INDEX(Connaissements!$G$3:$G$202,MATCH($B474,Connaissements!$A$3:$A$202,0)),""))</f>
        <v/>
      </c>
      <c r="M474" s="7" t="str">
        <f t="shared" si="27"/>
        <v/>
      </c>
      <c r="N474" s="7" t="str">
        <f t="shared" ca="1" si="28"/>
        <v/>
      </c>
      <c r="O474" s="13"/>
      <c r="P474" s="29" t="str">
        <f t="shared" ca="1" si="29"/>
        <v/>
      </c>
      <c r="Q474" s="30" t="str">
        <f>IF($K474="","",IFERROR(IF(INDEX(Bookings!$G$3:$G$202,MATCH($K474,Bookings!$A$3:$A$202,0))="","",INDEX(Bookings!$G$3:$G$202,MATCH($K474,Bookings!$A$3:$A$202,0))),""))</f>
        <v/>
      </c>
    </row>
    <row r="475" spans="1:17" hidden="1" x14ac:dyDescent="0.35">
      <c r="A475" s="81"/>
      <c r="B475" s="81"/>
      <c r="C475" s="21"/>
      <c r="D475" s="56"/>
      <c r="E475" s="14"/>
      <c r="F475" s="14"/>
      <c r="G475" s="14"/>
      <c r="H475" s="83">
        <f t="shared" si="30"/>
        <v>0</v>
      </c>
      <c r="I475" s="80"/>
      <c r="J475" s="80"/>
      <c r="K475" s="7" t="str">
        <f>IF($B475="","",IFERROR(INDEX(Connaissements!$B$3:$B$202,MATCH($B475,Connaissements!$A$3:$A$202,0)),""))</f>
        <v/>
      </c>
      <c r="L475" s="7" t="str">
        <f>IF($B475="","",IFERROR(INDEX(Connaissements!$G$3:$G$202,MATCH($B475,Connaissements!$A$3:$A$202,0)),""))</f>
        <v/>
      </c>
      <c r="M475" s="7" t="str">
        <f t="shared" si="27"/>
        <v/>
      </c>
      <c r="N475" s="7" t="str">
        <f t="shared" ca="1" si="28"/>
        <v/>
      </c>
      <c r="O475" s="13"/>
      <c r="P475" s="29" t="str">
        <f t="shared" ca="1" si="29"/>
        <v/>
      </c>
      <c r="Q475" s="30" t="str">
        <f>IF($K475="","",IFERROR(IF(INDEX(Bookings!$G$3:$G$202,MATCH($K475,Bookings!$A$3:$A$202,0))="","",INDEX(Bookings!$G$3:$G$202,MATCH($K475,Bookings!$A$3:$A$202,0))),""))</f>
        <v/>
      </c>
    </row>
    <row r="476" spans="1:17" hidden="1" x14ac:dyDescent="0.35">
      <c r="A476" s="81"/>
      <c r="B476" s="81"/>
      <c r="C476" s="21"/>
      <c r="D476" s="56"/>
      <c r="E476" s="14"/>
      <c r="F476" s="14"/>
      <c r="G476" s="14"/>
      <c r="H476" s="83">
        <f t="shared" si="30"/>
        <v>0</v>
      </c>
      <c r="I476" s="80"/>
      <c r="J476" s="80"/>
      <c r="K476" s="7" t="str">
        <f>IF($B476="","",IFERROR(INDEX(Connaissements!$B$3:$B$202,MATCH($B476,Connaissements!$A$3:$A$202,0)),""))</f>
        <v/>
      </c>
      <c r="L476" s="7" t="str">
        <f>IF($B476="","",IFERROR(INDEX(Connaissements!$G$3:$G$202,MATCH($B476,Connaissements!$A$3:$A$202,0)),""))</f>
        <v/>
      </c>
      <c r="M476" s="7" t="str">
        <f t="shared" si="27"/>
        <v/>
      </c>
      <c r="N476" s="7" t="str">
        <f t="shared" ca="1" si="28"/>
        <v/>
      </c>
      <c r="O476" s="13"/>
      <c r="P476" s="29" t="str">
        <f t="shared" ca="1" si="29"/>
        <v/>
      </c>
      <c r="Q476" s="30" t="str">
        <f>IF($K476="","",IFERROR(IF(INDEX(Bookings!$G$3:$G$202,MATCH($K476,Bookings!$A$3:$A$202,0))="","",INDEX(Bookings!$G$3:$G$202,MATCH($K476,Bookings!$A$3:$A$202,0))),""))</f>
        <v/>
      </c>
    </row>
    <row r="477" spans="1:17" hidden="1" x14ac:dyDescent="0.35">
      <c r="A477" s="81"/>
      <c r="B477" s="81"/>
      <c r="C477" s="21"/>
      <c r="D477" s="56"/>
      <c r="E477" s="14"/>
      <c r="F477" s="14"/>
      <c r="G477" s="14"/>
      <c r="H477" s="83">
        <f t="shared" si="30"/>
        <v>0</v>
      </c>
      <c r="I477" s="80"/>
      <c r="J477" s="80"/>
      <c r="K477" s="7" t="str">
        <f>IF($B477="","",IFERROR(INDEX(Connaissements!$B$3:$B$202,MATCH($B477,Connaissements!$A$3:$A$202,0)),""))</f>
        <v/>
      </c>
      <c r="L477" s="7" t="str">
        <f>IF($B477="","",IFERROR(INDEX(Connaissements!$G$3:$G$202,MATCH($B477,Connaissements!$A$3:$A$202,0)),""))</f>
        <v/>
      </c>
      <c r="M477" s="7" t="str">
        <f t="shared" si="27"/>
        <v/>
      </c>
      <c r="N477" s="7" t="str">
        <f t="shared" ca="1" si="28"/>
        <v/>
      </c>
      <c r="O477" s="13"/>
      <c r="P477" s="29" t="str">
        <f t="shared" ca="1" si="29"/>
        <v/>
      </c>
      <c r="Q477" s="30" t="str">
        <f>IF($K477="","",IFERROR(IF(INDEX(Bookings!$G$3:$G$202,MATCH($K477,Bookings!$A$3:$A$202,0))="","",INDEX(Bookings!$G$3:$G$202,MATCH($K477,Bookings!$A$3:$A$202,0))),""))</f>
        <v/>
      </c>
    </row>
    <row r="478" spans="1:17" hidden="1" x14ac:dyDescent="0.35">
      <c r="A478" s="81"/>
      <c r="B478" s="81"/>
      <c r="C478" s="21"/>
      <c r="D478" s="56"/>
      <c r="E478" s="14"/>
      <c r="F478" s="14"/>
      <c r="G478" s="14"/>
      <c r="H478" s="83">
        <f t="shared" si="30"/>
        <v>0</v>
      </c>
      <c r="I478" s="80"/>
      <c r="J478" s="80"/>
      <c r="K478" s="7" t="str">
        <f>IF($B478="","",IFERROR(INDEX(Connaissements!$B$3:$B$202,MATCH($B478,Connaissements!$A$3:$A$202,0)),""))</f>
        <v/>
      </c>
      <c r="L478" s="7" t="str">
        <f>IF($B478="","",IFERROR(INDEX(Connaissements!$G$3:$G$202,MATCH($B478,Connaissements!$A$3:$A$202,0)),""))</f>
        <v/>
      </c>
      <c r="M478" s="7" t="str">
        <f t="shared" si="27"/>
        <v/>
      </c>
      <c r="N478" s="7" t="str">
        <f t="shared" ca="1" si="28"/>
        <v/>
      </c>
      <c r="O478" s="13"/>
      <c r="P478" s="29" t="str">
        <f t="shared" ca="1" si="29"/>
        <v/>
      </c>
      <c r="Q478" s="30" t="str">
        <f>IF($K478="","",IFERROR(IF(INDEX(Bookings!$G$3:$G$202,MATCH($K478,Bookings!$A$3:$A$202,0))="","",INDEX(Bookings!$G$3:$G$202,MATCH($K478,Bookings!$A$3:$A$202,0))),""))</f>
        <v/>
      </c>
    </row>
    <row r="479" spans="1:17" hidden="1" x14ac:dyDescent="0.35">
      <c r="A479" s="81"/>
      <c r="B479" s="81"/>
      <c r="C479" s="21"/>
      <c r="D479" s="56"/>
      <c r="E479" s="14"/>
      <c r="F479" s="14"/>
      <c r="G479" s="14"/>
      <c r="H479" s="83">
        <f t="shared" si="30"/>
        <v>0</v>
      </c>
      <c r="I479" s="80"/>
      <c r="J479" s="80"/>
      <c r="K479" s="7" t="str">
        <f>IF($B479="","",IFERROR(INDEX(Connaissements!$B$3:$B$202,MATCH($B479,Connaissements!$A$3:$A$202,0)),""))</f>
        <v/>
      </c>
      <c r="L479" s="7" t="str">
        <f>IF($B479="","",IFERROR(INDEX(Connaissements!$G$3:$G$202,MATCH($B479,Connaissements!$A$3:$A$202,0)),""))</f>
        <v/>
      </c>
      <c r="M479" s="7" t="str">
        <f t="shared" si="27"/>
        <v/>
      </c>
      <c r="N479" s="7" t="str">
        <f t="shared" ca="1" si="28"/>
        <v/>
      </c>
      <c r="O479" s="13"/>
      <c r="P479" s="29" t="str">
        <f t="shared" ca="1" si="29"/>
        <v/>
      </c>
      <c r="Q479" s="30" t="str">
        <f>IF($K479="","",IFERROR(IF(INDEX(Bookings!$G$3:$G$202,MATCH($K479,Bookings!$A$3:$A$202,0))="","",INDEX(Bookings!$G$3:$G$202,MATCH($K479,Bookings!$A$3:$A$202,0))),""))</f>
        <v/>
      </c>
    </row>
    <row r="480" spans="1:17" hidden="1" x14ac:dyDescent="0.35">
      <c r="A480" s="81"/>
      <c r="B480" s="81"/>
      <c r="C480" s="21"/>
      <c r="D480" s="56"/>
      <c r="E480" s="14"/>
      <c r="F480" s="14"/>
      <c r="G480" s="14"/>
      <c r="H480" s="83">
        <f t="shared" si="30"/>
        <v>0</v>
      </c>
      <c r="I480" s="80"/>
      <c r="J480" s="80"/>
      <c r="K480" s="7" t="str">
        <f>IF($B480="","",IFERROR(INDEX(Connaissements!$B$3:$B$202,MATCH($B480,Connaissements!$A$3:$A$202,0)),""))</f>
        <v/>
      </c>
      <c r="L480" s="7" t="str">
        <f>IF($B480="","",IFERROR(INDEX(Connaissements!$G$3:$G$202,MATCH($B480,Connaissements!$A$3:$A$202,0)),""))</f>
        <v/>
      </c>
      <c r="M480" s="7" t="str">
        <f t="shared" si="27"/>
        <v/>
      </c>
      <c r="N480" s="7" t="str">
        <f t="shared" ca="1" si="28"/>
        <v/>
      </c>
      <c r="O480" s="13"/>
      <c r="P480" s="29" t="str">
        <f t="shared" ca="1" si="29"/>
        <v/>
      </c>
      <c r="Q480" s="30" t="str">
        <f>IF($K480="","",IFERROR(IF(INDEX(Bookings!$G$3:$G$202,MATCH($K480,Bookings!$A$3:$A$202,0))="","",INDEX(Bookings!$G$3:$G$202,MATCH($K480,Bookings!$A$3:$A$202,0))),""))</f>
        <v/>
      </c>
    </row>
    <row r="481" spans="1:17" hidden="1" x14ac:dyDescent="0.35">
      <c r="A481" s="81"/>
      <c r="B481" s="81"/>
      <c r="C481" s="21"/>
      <c r="D481" s="56"/>
      <c r="E481" s="14"/>
      <c r="F481" s="14"/>
      <c r="G481" s="14"/>
      <c r="H481" s="83">
        <f t="shared" si="30"/>
        <v>0</v>
      </c>
      <c r="I481" s="80"/>
      <c r="J481" s="80"/>
      <c r="K481" s="7" t="str">
        <f>IF($B481="","",IFERROR(INDEX(Connaissements!$B$3:$B$202,MATCH($B481,Connaissements!$A$3:$A$202,0)),""))</f>
        <v/>
      </c>
      <c r="L481" s="7" t="str">
        <f>IF($B481="","",IFERROR(INDEX(Connaissements!$G$3:$G$202,MATCH($B481,Connaissements!$A$3:$A$202,0)),""))</f>
        <v/>
      </c>
      <c r="M481" s="7" t="str">
        <f t="shared" si="27"/>
        <v/>
      </c>
      <c r="N481" s="7" t="str">
        <f t="shared" ca="1" si="28"/>
        <v/>
      </c>
      <c r="O481" s="13"/>
      <c r="P481" s="29" t="str">
        <f t="shared" ca="1" si="29"/>
        <v/>
      </c>
      <c r="Q481" s="30" t="str">
        <f>IF($K481="","",IFERROR(IF(INDEX(Bookings!$G$3:$G$202,MATCH($K481,Bookings!$A$3:$A$202,0))="","",INDEX(Bookings!$G$3:$G$202,MATCH($K481,Bookings!$A$3:$A$202,0))),""))</f>
        <v/>
      </c>
    </row>
    <row r="482" spans="1:17" hidden="1" x14ac:dyDescent="0.35">
      <c r="A482" s="81"/>
      <c r="B482" s="81"/>
      <c r="C482" s="21"/>
      <c r="D482" s="56"/>
      <c r="E482" s="14"/>
      <c r="F482" s="14"/>
      <c r="G482" s="14"/>
      <c r="H482" s="83">
        <f t="shared" si="30"/>
        <v>0</v>
      </c>
      <c r="I482" s="80"/>
      <c r="J482" s="80"/>
      <c r="K482" s="7" t="str">
        <f>IF($B482="","",IFERROR(INDEX(Connaissements!$B$3:$B$202,MATCH($B482,Connaissements!$A$3:$A$202,0)),""))</f>
        <v/>
      </c>
      <c r="L482" s="7" t="str">
        <f>IF($B482="","",IFERROR(INDEX(Connaissements!$G$3:$G$202,MATCH($B482,Connaissements!$A$3:$A$202,0)),""))</f>
        <v/>
      </c>
      <c r="M482" s="7" t="str">
        <f t="shared" si="27"/>
        <v/>
      </c>
      <c r="N482" s="7" t="str">
        <f t="shared" ca="1" si="28"/>
        <v/>
      </c>
      <c r="O482" s="13"/>
      <c r="P482" s="29" t="str">
        <f t="shared" ca="1" si="29"/>
        <v/>
      </c>
      <c r="Q482" s="30" t="str">
        <f>IF($K482="","",IFERROR(IF(INDEX(Bookings!$G$3:$G$202,MATCH($K482,Bookings!$A$3:$A$202,0))="","",INDEX(Bookings!$G$3:$G$202,MATCH($K482,Bookings!$A$3:$A$202,0))),""))</f>
        <v/>
      </c>
    </row>
    <row r="483" spans="1:17" hidden="1" x14ac:dyDescent="0.35">
      <c r="A483" s="81"/>
      <c r="B483" s="81"/>
      <c r="C483" s="21"/>
      <c r="D483" s="56"/>
      <c r="E483" s="14"/>
      <c r="F483" s="14"/>
      <c r="G483" s="14"/>
      <c r="H483" s="83">
        <f t="shared" si="30"/>
        <v>0</v>
      </c>
      <c r="I483" s="80"/>
      <c r="J483" s="80"/>
      <c r="K483" s="7" t="str">
        <f>IF($B483="","",IFERROR(INDEX(Connaissements!$B$3:$B$202,MATCH($B483,Connaissements!$A$3:$A$202,0)),""))</f>
        <v/>
      </c>
      <c r="L483" s="7" t="str">
        <f>IF($B483="","",IFERROR(INDEX(Connaissements!$G$3:$G$202,MATCH($B483,Connaissements!$A$3:$A$202,0)),""))</f>
        <v/>
      </c>
      <c r="M483" s="7" t="str">
        <f t="shared" si="27"/>
        <v/>
      </c>
      <c r="N483" s="7" t="str">
        <f t="shared" ca="1" si="28"/>
        <v/>
      </c>
      <c r="O483" s="13"/>
      <c r="P483" s="29" t="str">
        <f t="shared" ca="1" si="29"/>
        <v/>
      </c>
      <c r="Q483" s="30" t="str">
        <f>IF($K483="","",IFERROR(IF(INDEX(Bookings!$G$3:$G$202,MATCH($K483,Bookings!$A$3:$A$202,0))="","",INDEX(Bookings!$G$3:$G$202,MATCH($K483,Bookings!$A$3:$A$202,0))),""))</f>
        <v/>
      </c>
    </row>
    <row r="484" spans="1:17" hidden="1" x14ac:dyDescent="0.35">
      <c r="A484" s="81"/>
      <c r="B484" s="81"/>
      <c r="C484" s="21"/>
      <c r="D484" s="56"/>
      <c r="E484" s="14"/>
      <c r="F484" s="14"/>
      <c r="G484" s="14"/>
      <c r="H484" s="83">
        <f t="shared" si="30"/>
        <v>0</v>
      </c>
      <c r="I484" s="80"/>
      <c r="J484" s="80"/>
      <c r="K484" s="7" t="str">
        <f>IF($B484="","",IFERROR(INDEX(Connaissements!$B$3:$B$202,MATCH($B484,Connaissements!$A$3:$A$202,0)),""))</f>
        <v/>
      </c>
      <c r="L484" s="7" t="str">
        <f>IF($B484="","",IFERROR(INDEX(Connaissements!$G$3:$G$202,MATCH($B484,Connaissements!$A$3:$A$202,0)),""))</f>
        <v/>
      </c>
      <c r="M484" s="7" t="str">
        <f t="shared" si="27"/>
        <v/>
      </c>
      <c r="N484" s="7" t="str">
        <f t="shared" ca="1" si="28"/>
        <v/>
      </c>
      <c r="O484" s="13"/>
      <c r="P484" s="29" t="str">
        <f t="shared" ca="1" si="29"/>
        <v/>
      </c>
      <c r="Q484" s="30" t="str">
        <f>IF($K484="","",IFERROR(IF(INDEX(Bookings!$G$3:$G$202,MATCH($K484,Bookings!$A$3:$A$202,0))="","",INDEX(Bookings!$G$3:$G$202,MATCH($K484,Bookings!$A$3:$A$202,0))),""))</f>
        <v/>
      </c>
    </row>
    <row r="485" spans="1:17" hidden="1" x14ac:dyDescent="0.35">
      <c r="A485" s="81"/>
      <c r="B485" s="81"/>
      <c r="C485" s="21"/>
      <c r="D485" s="56"/>
      <c r="E485" s="14"/>
      <c r="F485" s="14"/>
      <c r="G485" s="14"/>
      <c r="H485" s="83">
        <f t="shared" si="30"/>
        <v>0</v>
      </c>
      <c r="I485" s="80"/>
      <c r="J485" s="80"/>
      <c r="K485" s="7" t="str">
        <f>IF($B485="","",IFERROR(INDEX(Connaissements!$B$3:$B$202,MATCH($B485,Connaissements!$A$3:$A$202,0)),""))</f>
        <v/>
      </c>
      <c r="L485" s="7" t="str">
        <f>IF($B485="","",IFERROR(INDEX(Connaissements!$G$3:$G$202,MATCH($B485,Connaissements!$A$3:$A$202,0)),""))</f>
        <v/>
      </c>
      <c r="M485" s="7" t="str">
        <f t="shared" si="27"/>
        <v/>
      </c>
      <c r="N485" s="7" t="str">
        <f t="shared" ca="1" si="28"/>
        <v/>
      </c>
      <c r="O485" s="13"/>
      <c r="P485" s="29" t="str">
        <f t="shared" ca="1" si="29"/>
        <v/>
      </c>
      <c r="Q485" s="30" t="str">
        <f>IF($K485="","",IFERROR(IF(INDEX(Bookings!$G$3:$G$202,MATCH($K485,Bookings!$A$3:$A$202,0))="","",INDEX(Bookings!$G$3:$G$202,MATCH($K485,Bookings!$A$3:$A$202,0))),""))</f>
        <v/>
      </c>
    </row>
    <row r="486" spans="1:17" hidden="1" x14ac:dyDescent="0.35">
      <c r="A486" s="81"/>
      <c r="B486" s="81"/>
      <c r="C486" s="21"/>
      <c r="D486" s="56"/>
      <c r="E486" s="14"/>
      <c r="F486" s="14"/>
      <c r="G486" s="14"/>
      <c r="H486" s="83">
        <f t="shared" si="30"/>
        <v>0</v>
      </c>
      <c r="I486" s="80"/>
      <c r="J486" s="80"/>
      <c r="K486" s="7" t="str">
        <f>IF($B486="","",IFERROR(INDEX(Connaissements!$B$3:$B$202,MATCH($B486,Connaissements!$A$3:$A$202,0)),""))</f>
        <v/>
      </c>
      <c r="L486" s="7" t="str">
        <f>IF($B486="","",IFERROR(INDEX(Connaissements!$G$3:$G$202,MATCH($B486,Connaissements!$A$3:$A$202,0)),""))</f>
        <v/>
      </c>
      <c r="M486" s="7" t="str">
        <f t="shared" si="27"/>
        <v/>
      </c>
      <c r="N486" s="7" t="str">
        <f t="shared" ca="1" si="28"/>
        <v/>
      </c>
      <c r="O486" s="13"/>
      <c r="P486" s="29" t="str">
        <f t="shared" ca="1" si="29"/>
        <v/>
      </c>
      <c r="Q486" s="30" t="str">
        <f>IF($K486="","",IFERROR(IF(INDEX(Bookings!$G$3:$G$202,MATCH($K486,Bookings!$A$3:$A$202,0))="","",INDEX(Bookings!$G$3:$G$202,MATCH($K486,Bookings!$A$3:$A$202,0))),""))</f>
        <v/>
      </c>
    </row>
    <row r="487" spans="1:17" hidden="1" x14ac:dyDescent="0.35">
      <c r="A487" s="81"/>
      <c r="B487" s="81"/>
      <c r="C487" s="21"/>
      <c r="D487" s="56"/>
      <c r="E487" s="14"/>
      <c r="F487" s="14"/>
      <c r="G487" s="14"/>
      <c r="H487" s="83">
        <f t="shared" si="30"/>
        <v>0</v>
      </c>
      <c r="I487" s="80"/>
      <c r="J487" s="80"/>
      <c r="K487" s="7" t="str">
        <f>IF($B487="","",IFERROR(INDEX(Connaissements!$B$3:$B$202,MATCH($B487,Connaissements!$A$3:$A$202,0)),""))</f>
        <v/>
      </c>
      <c r="L487" s="7" t="str">
        <f>IF($B487="","",IFERROR(INDEX(Connaissements!$G$3:$G$202,MATCH($B487,Connaissements!$A$3:$A$202,0)),""))</f>
        <v/>
      </c>
      <c r="M487" s="7" t="str">
        <f t="shared" si="27"/>
        <v/>
      </c>
      <c r="N487" s="7" t="str">
        <f t="shared" ca="1" si="28"/>
        <v/>
      </c>
      <c r="O487" s="13"/>
      <c r="P487" s="29" t="str">
        <f t="shared" ca="1" si="29"/>
        <v/>
      </c>
      <c r="Q487" s="30" t="str">
        <f>IF($K487="","",IFERROR(IF(INDEX(Bookings!$G$3:$G$202,MATCH($K487,Bookings!$A$3:$A$202,0))="","",INDEX(Bookings!$G$3:$G$202,MATCH($K487,Bookings!$A$3:$A$202,0))),""))</f>
        <v/>
      </c>
    </row>
    <row r="488" spans="1:17" hidden="1" x14ac:dyDescent="0.35">
      <c r="A488" s="81"/>
      <c r="B488" s="81"/>
      <c r="C488" s="21"/>
      <c r="D488" s="56"/>
      <c r="E488" s="14"/>
      <c r="F488" s="14"/>
      <c r="G488" s="14"/>
      <c r="H488" s="83">
        <f t="shared" si="30"/>
        <v>0</v>
      </c>
      <c r="I488" s="80"/>
      <c r="J488" s="80"/>
      <c r="K488" s="7" t="str">
        <f>IF($B488="","",IFERROR(INDEX(Connaissements!$B$3:$B$202,MATCH($B488,Connaissements!$A$3:$A$202,0)),""))</f>
        <v/>
      </c>
      <c r="L488" s="7" t="str">
        <f>IF($B488="","",IFERROR(INDEX(Connaissements!$G$3:$G$202,MATCH($B488,Connaissements!$A$3:$A$202,0)),""))</f>
        <v/>
      </c>
      <c r="M488" s="7" t="str">
        <f t="shared" si="27"/>
        <v/>
      </c>
      <c r="N488" s="7" t="str">
        <f t="shared" ca="1" si="28"/>
        <v/>
      </c>
      <c r="O488" s="13"/>
      <c r="P488" s="29" t="str">
        <f t="shared" ca="1" si="29"/>
        <v/>
      </c>
      <c r="Q488" s="30" t="str">
        <f>IF($K488="","",IFERROR(IF(INDEX(Bookings!$G$3:$G$202,MATCH($K488,Bookings!$A$3:$A$202,0))="","",INDEX(Bookings!$G$3:$G$202,MATCH($K488,Bookings!$A$3:$A$202,0))),""))</f>
        <v/>
      </c>
    </row>
    <row r="489" spans="1:17" hidden="1" x14ac:dyDescent="0.35">
      <c r="A489" s="81"/>
      <c r="B489" s="81"/>
      <c r="C489" s="21"/>
      <c r="D489" s="56"/>
      <c r="E489" s="14"/>
      <c r="F489" s="14"/>
      <c r="G489" s="14"/>
      <c r="H489" s="83">
        <f t="shared" si="30"/>
        <v>0</v>
      </c>
      <c r="I489" s="80"/>
      <c r="J489" s="80"/>
      <c r="K489" s="7" t="str">
        <f>IF($B489="","",IFERROR(INDEX(Connaissements!$B$3:$B$202,MATCH($B489,Connaissements!$A$3:$A$202,0)),""))</f>
        <v/>
      </c>
      <c r="L489" s="7" t="str">
        <f>IF($B489="","",IFERROR(INDEX(Connaissements!$G$3:$G$202,MATCH($B489,Connaissements!$A$3:$A$202,0)),""))</f>
        <v/>
      </c>
      <c r="M489" s="7" t="str">
        <f t="shared" si="27"/>
        <v/>
      </c>
      <c r="N489" s="7" t="str">
        <f t="shared" ca="1" si="28"/>
        <v/>
      </c>
      <c r="O489" s="13"/>
      <c r="P489" s="29" t="str">
        <f t="shared" ca="1" si="29"/>
        <v/>
      </c>
      <c r="Q489" s="30" t="str">
        <f>IF($K489="","",IFERROR(IF(INDEX(Bookings!$G$3:$G$202,MATCH($K489,Bookings!$A$3:$A$202,0))="","",INDEX(Bookings!$G$3:$G$202,MATCH($K489,Bookings!$A$3:$A$202,0))),""))</f>
        <v/>
      </c>
    </row>
    <row r="490" spans="1:17" hidden="1" x14ac:dyDescent="0.35">
      <c r="A490" s="81"/>
      <c r="B490" s="81"/>
      <c r="C490" s="21"/>
      <c r="D490" s="56"/>
      <c r="E490" s="14"/>
      <c r="F490" s="14"/>
      <c r="G490" s="14"/>
      <c r="H490" s="83">
        <f t="shared" si="30"/>
        <v>0</v>
      </c>
      <c r="I490" s="80"/>
      <c r="J490" s="80"/>
      <c r="K490" s="7" t="str">
        <f>IF($B490="","",IFERROR(INDEX(Connaissements!$B$3:$B$202,MATCH($B490,Connaissements!$A$3:$A$202,0)),""))</f>
        <v/>
      </c>
      <c r="L490" s="7" t="str">
        <f>IF($B490="","",IFERROR(INDEX(Connaissements!$G$3:$G$202,MATCH($B490,Connaissements!$A$3:$A$202,0)),""))</f>
        <v/>
      </c>
      <c r="M490" s="7" t="str">
        <f t="shared" si="27"/>
        <v/>
      </c>
      <c r="N490" s="7" t="str">
        <f t="shared" ca="1" si="28"/>
        <v/>
      </c>
      <c r="O490" s="13"/>
      <c r="P490" s="29" t="str">
        <f t="shared" ca="1" si="29"/>
        <v/>
      </c>
      <c r="Q490" s="30" t="str">
        <f>IF($K490="","",IFERROR(IF(INDEX(Bookings!$G$3:$G$202,MATCH($K490,Bookings!$A$3:$A$202,0))="","",INDEX(Bookings!$G$3:$G$202,MATCH($K490,Bookings!$A$3:$A$202,0))),""))</f>
        <v/>
      </c>
    </row>
    <row r="491" spans="1:17" hidden="1" x14ac:dyDescent="0.35">
      <c r="A491" s="81"/>
      <c r="B491" s="81"/>
      <c r="C491" s="21"/>
      <c r="D491" s="56"/>
      <c r="E491" s="14"/>
      <c r="F491" s="14"/>
      <c r="G491" s="14"/>
      <c r="H491" s="83">
        <f t="shared" si="30"/>
        <v>0</v>
      </c>
      <c r="I491" s="80"/>
      <c r="J491" s="80"/>
      <c r="K491" s="7" t="str">
        <f>IF($B491="","",IFERROR(INDEX(Connaissements!$B$3:$B$202,MATCH($B491,Connaissements!$A$3:$A$202,0)),""))</f>
        <v/>
      </c>
      <c r="L491" s="7" t="str">
        <f>IF($B491="","",IFERROR(INDEX(Connaissements!$G$3:$G$202,MATCH($B491,Connaissements!$A$3:$A$202,0)),""))</f>
        <v/>
      </c>
      <c r="M491" s="7" t="str">
        <f t="shared" si="27"/>
        <v/>
      </c>
      <c r="N491" s="7" t="str">
        <f t="shared" ca="1" si="28"/>
        <v/>
      </c>
      <c r="O491" s="13"/>
      <c r="P491" s="29" t="str">
        <f t="shared" ca="1" si="29"/>
        <v/>
      </c>
      <c r="Q491" s="30" t="str">
        <f>IF($K491="","",IFERROR(IF(INDEX(Bookings!$G$3:$G$202,MATCH($K491,Bookings!$A$3:$A$202,0))="","",INDEX(Bookings!$G$3:$G$202,MATCH($K491,Bookings!$A$3:$A$202,0))),""))</f>
        <v/>
      </c>
    </row>
    <row r="492" spans="1:17" hidden="1" x14ac:dyDescent="0.35">
      <c r="A492" s="81"/>
      <c r="B492" s="81"/>
      <c r="C492" s="21"/>
      <c r="D492" s="56"/>
      <c r="E492" s="14"/>
      <c r="F492" s="14"/>
      <c r="G492" s="14"/>
      <c r="H492" s="83">
        <f t="shared" si="30"/>
        <v>0</v>
      </c>
      <c r="I492" s="80"/>
      <c r="J492" s="80"/>
      <c r="K492" s="7" t="str">
        <f>IF($B492="","",IFERROR(INDEX(Connaissements!$B$3:$B$202,MATCH($B492,Connaissements!$A$3:$A$202,0)),""))</f>
        <v/>
      </c>
      <c r="L492" s="7" t="str">
        <f>IF($B492="","",IFERROR(INDEX(Connaissements!$G$3:$G$202,MATCH($B492,Connaissements!$A$3:$A$202,0)),""))</f>
        <v/>
      </c>
      <c r="M492" s="7" t="str">
        <f t="shared" si="27"/>
        <v/>
      </c>
      <c r="N492" s="7" t="str">
        <f t="shared" ca="1" si="28"/>
        <v/>
      </c>
      <c r="O492" s="13"/>
      <c r="P492" s="29" t="str">
        <f t="shared" ca="1" si="29"/>
        <v/>
      </c>
      <c r="Q492" s="30" t="str">
        <f>IF($K492="","",IFERROR(IF(INDEX(Bookings!$G$3:$G$202,MATCH($K492,Bookings!$A$3:$A$202,0))="","",INDEX(Bookings!$G$3:$G$202,MATCH($K492,Bookings!$A$3:$A$202,0))),""))</f>
        <v/>
      </c>
    </row>
    <row r="493" spans="1:17" hidden="1" x14ac:dyDescent="0.35">
      <c r="A493" s="81"/>
      <c r="B493" s="81"/>
      <c r="C493" s="21"/>
      <c r="D493" s="56"/>
      <c r="E493" s="14"/>
      <c r="F493" s="14"/>
      <c r="G493" s="14"/>
      <c r="H493" s="83">
        <f t="shared" si="30"/>
        <v>0</v>
      </c>
      <c r="I493" s="80"/>
      <c r="J493" s="80"/>
      <c r="K493" s="7" t="str">
        <f>IF($B493="","",IFERROR(INDEX(Connaissements!$B$3:$B$202,MATCH($B493,Connaissements!$A$3:$A$202,0)),""))</f>
        <v/>
      </c>
      <c r="L493" s="7" t="str">
        <f>IF($B493="","",IFERROR(INDEX(Connaissements!$G$3:$G$202,MATCH($B493,Connaissements!$A$3:$A$202,0)),""))</f>
        <v/>
      </c>
      <c r="M493" s="7" t="str">
        <f t="shared" si="27"/>
        <v/>
      </c>
      <c r="N493" s="7" t="str">
        <f t="shared" ca="1" si="28"/>
        <v/>
      </c>
      <c r="O493" s="13"/>
      <c r="P493" s="29" t="str">
        <f t="shared" ca="1" si="29"/>
        <v/>
      </c>
      <c r="Q493" s="30" t="str">
        <f>IF($K493="","",IFERROR(IF(INDEX(Bookings!$G$3:$G$202,MATCH($K493,Bookings!$A$3:$A$202,0))="","",INDEX(Bookings!$G$3:$G$202,MATCH($K493,Bookings!$A$3:$A$202,0))),""))</f>
        <v/>
      </c>
    </row>
    <row r="494" spans="1:17" hidden="1" x14ac:dyDescent="0.35">
      <c r="A494" s="81"/>
      <c r="B494" s="81"/>
      <c r="C494" s="21"/>
      <c r="D494" s="56"/>
      <c r="E494" s="14"/>
      <c r="F494" s="14"/>
      <c r="G494" s="14"/>
      <c r="H494" s="83">
        <f t="shared" si="30"/>
        <v>0</v>
      </c>
      <c r="I494" s="80"/>
      <c r="J494" s="80"/>
      <c r="K494" s="7" t="str">
        <f>IF($B494="","",IFERROR(INDEX(Connaissements!$B$3:$B$202,MATCH($B494,Connaissements!$A$3:$A$202,0)),""))</f>
        <v/>
      </c>
      <c r="L494" s="7" t="str">
        <f>IF($B494="","",IFERROR(INDEX(Connaissements!$G$3:$G$202,MATCH($B494,Connaissements!$A$3:$A$202,0)),""))</f>
        <v/>
      </c>
      <c r="M494" s="7" t="str">
        <f t="shared" si="27"/>
        <v/>
      </c>
      <c r="N494" s="7" t="str">
        <f t="shared" ca="1" si="28"/>
        <v/>
      </c>
      <c r="O494" s="13"/>
      <c r="P494" s="29" t="str">
        <f t="shared" ca="1" si="29"/>
        <v/>
      </c>
      <c r="Q494" s="30" t="str">
        <f>IF($K494="","",IFERROR(IF(INDEX(Bookings!$G$3:$G$202,MATCH($K494,Bookings!$A$3:$A$202,0))="","",INDEX(Bookings!$G$3:$G$202,MATCH($K494,Bookings!$A$3:$A$202,0))),""))</f>
        <v/>
      </c>
    </row>
    <row r="495" spans="1:17" hidden="1" x14ac:dyDescent="0.35">
      <c r="A495" s="81"/>
      <c r="B495" s="81"/>
      <c r="C495" s="21"/>
      <c r="D495" s="56"/>
      <c r="E495" s="14"/>
      <c r="F495" s="14"/>
      <c r="G495" s="14"/>
      <c r="H495" s="83">
        <f t="shared" si="30"/>
        <v>0</v>
      </c>
      <c r="I495" s="80"/>
      <c r="J495" s="80"/>
      <c r="K495" s="7" t="str">
        <f>IF($B495="","",IFERROR(INDEX(Connaissements!$B$3:$B$202,MATCH($B495,Connaissements!$A$3:$A$202,0)),""))</f>
        <v/>
      </c>
      <c r="L495" s="7" t="str">
        <f>IF($B495="","",IFERROR(INDEX(Connaissements!$G$3:$G$202,MATCH($B495,Connaissements!$A$3:$A$202,0)),""))</f>
        <v/>
      </c>
      <c r="M495" s="7" t="str">
        <f t="shared" si="27"/>
        <v/>
      </c>
      <c r="N495" s="7" t="str">
        <f t="shared" ca="1" si="28"/>
        <v/>
      </c>
      <c r="O495" s="13"/>
      <c r="P495" s="29" t="str">
        <f t="shared" ca="1" si="29"/>
        <v/>
      </c>
      <c r="Q495" s="30" t="str">
        <f>IF($K495="","",IFERROR(IF(INDEX(Bookings!$G$3:$G$202,MATCH($K495,Bookings!$A$3:$A$202,0))="","",INDEX(Bookings!$G$3:$G$202,MATCH($K495,Bookings!$A$3:$A$202,0))),""))</f>
        <v/>
      </c>
    </row>
    <row r="496" spans="1:17" hidden="1" x14ac:dyDescent="0.35">
      <c r="A496" s="81"/>
      <c r="B496" s="81"/>
      <c r="C496" s="21"/>
      <c r="D496" s="56"/>
      <c r="E496" s="14"/>
      <c r="F496" s="14"/>
      <c r="G496" s="14"/>
      <c r="H496" s="83">
        <f t="shared" si="30"/>
        <v>0</v>
      </c>
      <c r="I496" s="80"/>
      <c r="J496" s="80"/>
      <c r="K496" s="7" t="str">
        <f>IF($B496="","",IFERROR(INDEX(Connaissements!$B$3:$B$202,MATCH($B496,Connaissements!$A$3:$A$202,0)),""))</f>
        <v/>
      </c>
      <c r="L496" s="7" t="str">
        <f>IF($B496="","",IFERROR(INDEX(Connaissements!$G$3:$G$202,MATCH($B496,Connaissements!$A$3:$A$202,0)),""))</f>
        <v/>
      </c>
      <c r="M496" s="7" t="str">
        <f t="shared" si="27"/>
        <v/>
      </c>
      <c r="N496" s="7" t="str">
        <f t="shared" ca="1" si="28"/>
        <v/>
      </c>
      <c r="O496" s="13"/>
      <c r="P496" s="29" t="str">
        <f t="shared" ca="1" si="29"/>
        <v/>
      </c>
      <c r="Q496" s="30" t="str">
        <f>IF($K496="","",IFERROR(IF(INDEX(Bookings!$G$3:$G$202,MATCH($K496,Bookings!$A$3:$A$202,0))="","",INDEX(Bookings!$G$3:$G$202,MATCH($K496,Bookings!$A$3:$A$202,0))),""))</f>
        <v/>
      </c>
    </row>
    <row r="497" spans="1:17" hidden="1" x14ac:dyDescent="0.35">
      <c r="A497" s="81"/>
      <c r="B497" s="81"/>
      <c r="C497" s="21"/>
      <c r="D497" s="56"/>
      <c r="E497" s="14"/>
      <c r="F497" s="14"/>
      <c r="G497" s="14"/>
      <c r="H497" s="83">
        <f t="shared" si="30"/>
        <v>0</v>
      </c>
      <c r="I497" s="80"/>
      <c r="J497" s="80"/>
      <c r="K497" s="7" t="str">
        <f>IF($B497="","",IFERROR(INDEX(Connaissements!$B$3:$B$202,MATCH($B497,Connaissements!$A$3:$A$202,0)),""))</f>
        <v/>
      </c>
      <c r="L497" s="7" t="str">
        <f>IF($B497="","",IFERROR(INDEX(Connaissements!$G$3:$G$202,MATCH($B497,Connaissements!$A$3:$A$202,0)),""))</f>
        <v/>
      </c>
      <c r="M497" s="7" t="str">
        <f t="shared" si="27"/>
        <v/>
      </c>
      <c r="N497" s="7" t="str">
        <f t="shared" ca="1" si="28"/>
        <v/>
      </c>
      <c r="O497" s="13"/>
      <c r="P497" s="29" t="str">
        <f t="shared" ca="1" si="29"/>
        <v/>
      </c>
      <c r="Q497" s="30" t="str">
        <f>IF($K497="","",IFERROR(IF(INDEX(Bookings!$G$3:$G$202,MATCH($K497,Bookings!$A$3:$A$202,0))="","",INDEX(Bookings!$G$3:$G$202,MATCH($K497,Bookings!$A$3:$A$202,0))),""))</f>
        <v/>
      </c>
    </row>
    <row r="498" spans="1:17" hidden="1" x14ac:dyDescent="0.35">
      <c r="A498" s="81"/>
      <c r="B498" s="81"/>
      <c r="C498" s="21"/>
      <c r="D498" s="56"/>
      <c r="E498" s="14"/>
      <c r="F498" s="14"/>
      <c r="G498" s="14"/>
      <c r="H498" s="83">
        <f t="shared" si="30"/>
        <v>0</v>
      </c>
      <c r="I498" s="80"/>
      <c r="J498" s="80"/>
      <c r="K498" s="7" t="str">
        <f>IF($B498="","",IFERROR(INDEX(Connaissements!$B$3:$B$202,MATCH($B498,Connaissements!$A$3:$A$202,0)),""))</f>
        <v/>
      </c>
      <c r="L498" s="7" t="str">
        <f>IF($B498="","",IFERROR(INDEX(Connaissements!$G$3:$G$202,MATCH($B498,Connaissements!$A$3:$A$202,0)),""))</f>
        <v/>
      </c>
      <c r="M498" s="7" t="str">
        <f t="shared" si="27"/>
        <v/>
      </c>
      <c r="N498" s="7" t="str">
        <f t="shared" ca="1" si="28"/>
        <v/>
      </c>
      <c r="O498" s="13"/>
      <c r="P498" s="29" t="str">
        <f t="shared" ca="1" si="29"/>
        <v/>
      </c>
      <c r="Q498" s="30" t="str">
        <f>IF($K498="","",IFERROR(IF(INDEX(Bookings!$G$3:$G$202,MATCH($K498,Bookings!$A$3:$A$202,0))="","",INDEX(Bookings!$G$3:$G$202,MATCH($K498,Bookings!$A$3:$A$202,0))),""))</f>
        <v/>
      </c>
    </row>
    <row r="499" spans="1:17" hidden="1" x14ac:dyDescent="0.35">
      <c r="A499" s="81"/>
      <c r="B499" s="81"/>
      <c r="C499" s="21"/>
      <c r="D499" s="56"/>
      <c r="E499" s="14"/>
      <c r="F499" s="14"/>
      <c r="G499" s="14"/>
      <c r="H499" s="83">
        <f t="shared" si="30"/>
        <v>0</v>
      </c>
      <c r="I499" s="80"/>
      <c r="J499" s="80"/>
      <c r="K499" s="7" t="str">
        <f>IF($B499="","",IFERROR(INDEX(Connaissements!$B$3:$B$202,MATCH($B499,Connaissements!$A$3:$A$202,0)),""))</f>
        <v/>
      </c>
      <c r="L499" s="7" t="str">
        <f>IF($B499="","",IFERROR(INDEX(Connaissements!$G$3:$G$202,MATCH($B499,Connaissements!$A$3:$A$202,0)),""))</f>
        <v/>
      </c>
      <c r="M499" s="7" t="str">
        <f t="shared" si="27"/>
        <v/>
      </c>
      <c r="N499" s="7" t="str">
        <f t="shared" ca="1" si="28"/>
        <v/>
      </c>
      <c r="O499" s="13"/>
      <c r="P499" s="29" t="str">
        <f t="shared" ca="1" si="29"/>
        <v/>
      </c>
      <c r="Q499" s="30" t="str">
        <f>IF($K499="","",IFERROR(IF(INDEX(Bookings!$G$3:$G$202,MATCH($K499,Bookings!$A$3:$A$202,0))="","",INDEX(Bookings!$G$3:$G$202,MATCH($K499,Bookings!$A$3:$A$202,0))),""))</f>
        <v/>
      </c>
    </row>
    <row r="500" spans="1:17" hidden="1" x14ac:dyDescent="0.35">
      <c r="A500" s="81"/>
      <c r="B500" s="81"/>
      <c r="C500" s="21"/>
      <c r="D500" s="56"/>
      <c r="E500" s="14"/>
      <c r="F500" s="14"/>
      <c r="G500" s="14"/>
      <c r="H500" s="83">
        <f t="shared" si="30"/>
        <v>0</v>
      </c>
      <c r="I500" s="80"/>
      <c r="J500" s="80"/>
      <c r="K500" s="7" t="str">
        <f>IF($B500="","",IFERROR(INDEX(Connaissements!$B$3:$B$202,MATCH($B500,Connaissements!$A$3:$A$202,0)),""))</f>
        <v/>
      </c>
      <c r="L500" s="7" t="str">
        <f>IF($B500="","",IFERROR(INDEX(Connaissements!$G$3:$G$202,MATCH($B500,Connaissements!$A$3:$A$202,0)),""))</f>
        <v/>
      </c>
      <c r="M500" s="7" t="str">
        <f t="shared" si="27"/>
        <v/>
      </c>
      <c r="N500" s="7" t="str">
        <f t="shared" ca="1" si="28"/>
        <v/>
      </c>
      <c r="O500" s="13"/>
      <c r="P500" s="29" t="str">
        <f t="shared" ca="1" si="29"/>
        <v/>
      </c>
      <c r="Q500" s="30" t="str">
        <f>IF($K500="","",IFERROR(IF(INDEX(Bookings!$G$3:$G$202,MATCH($K500,Bookings!$A$3:$A$202,0))="","",INDEX(Bookings!$G$3:$G$202,MATCH($K500,Bookings!$A$3:$A$202,0))),""))</f>
        <v/>
      </c>
    </row>
    <row r="501" spans="1:17" hidden="1" x14ac:dyDescent="0.35">
      <c r="A501" s="81"/>
      <c r="B501" s="81"/>
      <c r="C501" s="21"/>
      <c r="D501" s="56"/>
      <c r="E501" s="14"/>
      <c r="F501" s="14"/>
      <c r="G501" s="14"/>
      <c r="H501" s="83">
        <f t="shared" si="30"/>
        <v>0</v>
      </c>
      <c r="I501" s="80"/>
      <c r="J501" s="80"/>
      <c r="K501" s="7" t="str">
        <f>IF($B501="","",IFERROR(INDEX(Connaissements!$B$3:$B$202,MATCH($B501,Connaissements!$A$3:$A$202,0)),""))</f>
        <v/>
      </c>
      <c r="L501" s="7" t="str">
        <f>IF($B501="","",IFERROR(INDEX(Connaissements!$G$3:$G$202,MATCH($B501,Connaissements!$A$3:$A$202,0)),""))</f>
        <v/>
      </c>
      <c r="M501" s="7" t="str">
        <f t="shared" si="27"/>
        <v/>
      </c>
      <c r="N501" s="7" t="str">
        <f t="shared" ca="1" si="28"/>
        <v/>
      </c>
      <c r="O501" s="13"/>
      <c r="P501" s="29" t="str">
        <f t="shared" ca="1" si="29"/>
        <v/>
      </c>
      <c r="Q501" s="30" t="str">
        <f>IF($K501="","",IFERROR(IF(INDEX(Bookings!$G$3:$G$202,MATCH($K501,Bookings!$A$3:$A$202,0))="","",INDEX(Bookings!$G$3:$G$202,MATCH($K501,Bookings!$A$3:$A$202,0))),""))</f>
        <v/>
      </c>
    </row>
    <row r="502" spans="1:17" hidden="1" x14ac:dyDescent="0.35">
      <c r="A502" s="81"/>
      <c r="B502" s="81"/>
      <c r="C502" s="21"/>
      <c r="D502" s="56"/>
      <c r="E502" s="14"/>
      <c r="F502" s="14"/>
      <c r="G502" s="14"/>
      <c r="H502" s="83">
        <f t="shared" si="30"/>
        <v>0</v>
      </c>
      <c r="I502" s="80"/>
      <c r="J502" s="80"/>
      <c r="K502" s="7" t="str">
        <f>IF($B502="","",IFERROR(INDEX(Connaissements!$B$3:$B$202,MATCH($B502,Connaissements!$A$3:$A$202,0)),""))</f>
        <v/>
      </c>
      <c r="L502" s="7" t="str">
        <f>IF($B502="","",IFERROR(INDEX(Connaissements!$G$3:$G$202,MATCH($B502,Connaissements!$A$3:$A$202,0)),""))</f>
        <v/>
      </c>
      <c r="M502" s="7" t="str">
        <f t="shared" si="27"/>
        <v/>
      </c>
      <c r="N502" s="7" t="str">
        <f t="shared" ca="1" si="28"/>
        <v/>
      </c>
      <c r="O502" s="13"/>
      <c r="P502" s="29" t="str">
        <f t="shared" ca="1" si="29"/>
        <v/>
      </c>
      <c r="Q502" s="30" t="str">
        <f>IF($K502="","",IFERROR(IF(INDEX(Bookings!$G$3:$G$202,MATCH($K502,Bookings!$A$3:$A$202,0))="","",INDEX(Bookings!$G$3:$G$202,MATCH($K502,Bookings!$A$3:$A$202,0))),""))</f>
        <v/>
      </c>
    </row>
    <row r="503" spans="1:17" hidden="1" x14ac:dyDescent="0.35">
      <c r="A503" s="81"/>
      <c r="B503" s="81"/>
      <c r="C503" s="21"/>
      <c r="D503" s="56"/>
      <c r="E503" s="14"/>
      <c r="F503" s="14"/>
      <c r="G503" s="14"/>
      <c r="H503" s="83">
        <f t="shared" si="30"/>
        <v>0</v>
      </c>
      <c r="I503" s="80"/>
      <c r="J503" s="80"/>
      <c r="K503" s="7" t="str">
        <f>IF($B503="","",IFERROR(INDEX(Connaissements!$B$3:$B$202,MATCH($B503,Connaissements!$A$3:$A$202,0)),""))</f>
        <v/>
      </c>
      <c r="L503" s="7" t="str">
        <f>IF($B503="","",IFERROR(INDEX(Connaissements!$G$3:$G$202,MATCH($B503,Connaissements!$A$3:$A$202,0)),""))</f>
        <v/>
      </c>
      <c r="M503" s="7" t="str">
        <f t="shared" si="27"/>
        <v/>
      </c>
      <c r="N503" s="7" t="str">
        <f t="shared" ca="1" si="28"/>
        <v/>
      </c>
      <c r="O503" s="13"/>
      <c r="P503" s="29" t="str">
        <f t="shared" ca="1" si="29"/>
        <v/>
      </c>
      <c r="Q503" s="30" t="str">
        <f>IF($K503="","",IFERROR(IF(INDEX(Bookings!$G$3:$G$202,MATCH($K503,Bookings!$A$3:$A$202,0))="","",INDEX(Bookings!$G$3:$G$202,MATCH($K503,Bookings!$A$3:$A$202,0))),""))</f>
        <v/>
      </c>
    </row>
    <row r="504" spans="1:17" hidden="1" x14ac:dyDescent="0.35">
      <c r="A504" s="81"/>
      <c r="B504" s="81"/>
      <c r="C504" s="21"/>
      <c r="D504" s="56"/>
      <c r="E504" s="14"/>
      <c r="F504" s="14"/>
      <c r="G504" s="14"/>
      <c r="H504" s="83">
        <f t="shared" si="30"/>
        <v>0</v>
      </c>
      <c r="I504" s="80"/>
      <c r="J504" s="80"/>
      <c r="K504" s="7" t="str">
        <f>IF($B504="","",IFERROR(INDEX(Connaissements!$B$3:$B$202,MATCH($B504,Connaissements!$A$3:$A$202,0)),""))</f>
        <v/>
      </c>
      <c r="L504" s="7" t="str">
        <f>IF($B504="","",IFERROR(INDEX(Connaissements!$G$3:$G$202,MATCH($B504,Connaissements!$A$3:$A$202,0)),""))</f>
        <v/>
      </c>
      <c r="M504" s="7" t="str">
        <f t="shared" si="27"/>
        <v/>
      </c>
      <c r="N504" s="7" t="str">
        <f t="shared" ca="1" si="28"/>
        <v/>
      </c>
      <c r="O504" s="13"/>
      <c r="P504" s="29" t="str">
        <f t="shared" ca="1" si="29"/>
        <v/>
      </c>
      <c r="Q504" s="30" t="str">
        <f>IF($K504="","",IFERROR(IF(INDEX(Bookings!$G$3:$G$202,MATCH($K504,Bookings!$A$3:$A$202,0))="","",INDEX(Bookings!$G$3:$G$202,MATCH($K504,Bookings!$A$3:$A$202,0))),""))</f>
        <v/>
      </c>
    </row>
    <row r="505" spans="1:17" hidden="1" x14ac:dyDescent="0.35">
      <c r="A505" s="81"/>
      <c r="B505" s="81"/>
      <c r="C505" s="21"/>
      <c r="D505" s="56"/>
      <c r="E505" s="14"/>
      <c r="F505" s="14"/>
      <c r="G505" s="14"/>
      <c r="H505" s="83">
        <f t="shared" si="30"/>
        <v>0</v>
      </c>
      <c r="I505" s="80"/>
      <c r="J505" s="80"/>
      <c r="K505" s="7" t="str">
        <f>IF($B505="","",IFERROR(INDEX(Connaissements!$B$3:$B$202,MATCH($B505,Connaissements!$A$3:$A$202,0)),""))</f>
        <v/>
      </c>
      <c r="L505" s="7" t="str">
        <f>IF($B505="","",IFERROR(INDEX(Connaissements!$G$3:$G$202,MATCH($B505,Connaissements!$A$3:$A$202,0)),""))</f>
        <v/>
      </c>
      <c r="M505" s="7" t="str">
        <f t="shared" si="27"/>
        <v/>
      </c>
      <c r="N505" s="7" t="str">
        <f t="shared" ca="1" si="28"/>
        <v/>
      </c>
      <c r="O505" s="13"/>
      <c r="P505" s="29" t="str">
        <f t="shared" ca="1" si="29"/>
        <v/>
      </c>
      <c r="Q505" s="30" t="str">
        <f>IF($K505="","",IFERROR(IF(INDEX(Bookings!$G$3:$G$202,MATCH($K505,Bookings!$A$3:$A$202,0))="","",INDEX(Bookings!$G$3:$G$202,MATCH($K505,Bookings!$A$3:$A$202,0))),""))</f>
        <v/>
      </c>
    </row>
    <row r="506" spans="1:17" hidden="1" x14ac:dyDescent="0.35">
      <c r="A506" s="81"/>
      <c r="B506" s="81"/>
      <c r="C506" s="21"/>
      <c r="D506" s="56"/>
      <c r="E506" s="14"/>
      <c r="F506" s="14"/>
      <c r="G506" s="14"/>
      <c r="H506" s="83">
        <f t="shared" si="30"/>
        <v>0</v>
      </c>
      <c r="I506" s="80"/>
      <c r="J506" s="80"/>
      <c r="K506" s="7" t="str">
        <f>IF($B506="","",IFERROR(INDEX(Connaissements!$B$3:$B$202,MATCH($B506,Connaissements!$A$3:$A$202,0)),""))</f>
        <v/>
      </c>
      <c r="L506" s="7" t="str">
        <f>IF($B506="","",IFERROR(INDEX(Connaissements!$G$3:$G$202,MATCH($B506,Connaissements!$A$3:$A$202,0)),""))</f>
        <v/>
      </c>
      <c r="M506" s="7" t="str">
        <f t="shared" si="27"/>
        <v/>
      </c>
      <c r="N506" s="7" t="str">
        <f t="shared" ca="1" si="28"/>
        <v/>
      </c>
      <c r="O506" s="13"/>
      <c r="P506" s="29" t="str">
        <f t="shared" ca="1" si="29"/>
        <v/>
      </c>
      <c r="Q506" s="30" t="str">
        <f>IF($K506="","",IFERROR(IF(INDEX(Bookings!$G$3:$G$202,MATCH($K506,Bookings!$A$3:$A$202,0))="","",INDEX(Bookings!$G$3:$G$202,MATCH($K506,Bookings!$A$3:$A$202,0))),""))</f>
        <v/>
      </c>
    </row>
    <row r="507" spans="1:17" hidden="1" x14ac:dyDescent="0.35">
      <c r="A507" s="81"/>
      <c r="B507" s="81"/>
      <c r="C507" s="21"/>
      <c r="D507" s="56"/>
      <c r="E507" s="14"/>
      <c r="F507" s="14"/>
      <c r="G507" s="14"/>
      <c r="H507" s="83">
        <f t="shared" si="30"/>
        <v>0</v>
      </c>
      <c r="I507" s="80"/>
      <c r="J507" s="80"/>
      <c r="K507" s="7" t="str">
        <f>IF($B507="","",IFERROR(INDEX(Connaissements!$B$3:$B$202,MATCH($B507,Connaissements!$A$3:$A$202,0)),""))</f>
        <v/>
      </c>
      <c r="L507" s="7" t="str">
        <f>IF($B507="","",IFERROR(INDEX(Connaissements!$G$3:$G$202,MATCH($B507,Connaissements!$A$3:$A$202,0)),""))</f>
        <v/>
      </c>
      <c r="M507" s="7" t="str">
        <f t="shared" si="27"/>
        <v/>
      </c>
      <c r="N507" s="7" t="str">
        <f t="shared" ca="1" si="28"/>
        <v/>
      </c>
      <c r="O507" s="13"/>
      <c r="P507" s="29" t="str">
        <f t="shared" ca="1" si="29"/>
        <v/>
      </c>
      <c r="Q507" s="30" t="str">
        <f>IF($K507="","",IFERROR(IF(INDEX(Bookings!$G$3:$G$202,MATCH($K507,Bookings!$A$3:$A$202,0))="","",INDEX(Bookings!$G$3:$G$202,MATCH($K507,Bookings!$A$3:$A$202,0))),""))</f>
        <v/>
      </c>
    </row>
    <row r="508" spans="1:17" hidden="1" x14ac:dyDescent="0.35">
      <c r="A508" s="81"/>
      <c r="B508" s="81"/>
      <c r="C508" s="21"/>
      <c r="D508" s="56"/>
      <c r="E508" s="14"/>
      <c r="F508" s="14"/>
      <c r="G508" s="14"/>
      <c r="H508" s="83">
        <f t="shared" si="30"/>
        <v>0</v>
      </c>
      <c r="I508" s="80"/>
      <c r="J508" s="80"/>
      <c r="K508" s="7" t="str">
        <f>IF($B508="","",IFERROR(INDEX(Connaissements!$B$3:$B$202,MATCH($B508,Connaissements!$A$3:$A$202,0)),""))</f>
        <v/>
      </c>
      <c r="L508" s="7" t="str">
        <f>IF($B508="","",IFERROR(INDEX(Connaissements!$G$3:$G$202,MATCH($B508,Connaissements!$A$3:$A$202,0)),""))</f>
        <v/>
      </c>
      <c r="M508" s="7" t="str">
        <f t="shared" si="27"/>
        <v/>
      </c>
      <c r="N508" s="7" t="str">
        <f t="shared" ca="1" si="28"/>
        <v/>
      </c>
      <c r="O508" s="13"/>
      <c r="P508" s="29" t="str">
        <f t="shared" ca="1" si="29"/>
        <v/>
      </c>
      <c r="Q508" s="30" t="str">
        <f>IF($K508="","",IFERROR(IF(INDEX(Bookings!$G$3:$G$202,MATCH($K508,Bookings!$A$3:$A$202,0))="","",INDEX(Bookings!$G$3:$G$202,MATCH($K508,Bookings!$A$3:$A$202,0))),""))</f>
        <v/>
      </c>
    </row>
    <row r="509" spans="1:17" hidden="1" x14ac:dyDescent="0.35">
      <c r="A509" s="81"/>
      <c r="B509" s="81"/>
      <c r="C509" s="21"/>
      <c r="D509" s="56"/>
      <c r="E509" s="14"/>
      <c r="F509" s="14"/>
      <c r="G509" s="14"/>
      <c r="H509" s="83">
        <f t="shared" si="30"/>
        <v>0</v>
      </c>
      <c r="I509" s="80"/>
      <c r="J509" s="80"/>
      <c r="K509" s="7" t="str">
        <f>IF($B509="","",IFERROR(INDEX(Connaissements!$B$3:$B$202,MATCH($B509,Connaissements!$A$3:$A$202,0)),""))</f>
        <v/>
      </c>
      <c r="L509" s="7" t="str">
        <f>IF($B509="","",IFERROR(INDEX(Connaissements!$G$3:$G$202,MATCH($B509,Connaissements!$A$3:$A$202,0)),""))</f>
        <v/>
      </c>
      <c r="M509" s="7" t="str">
        <f t="shared" si="27"/>
        <v/>
      </c>
      <c r="N509" s="7" t="str">
        <f t="shared" ca="1" si="28"/>
        <v/>
      </c>
      <c r="O509" s="13"/>
      <c r="P509" s="29" t="str">
        <f t="shared" ca="1" si="29"/>
        <v/>
      </c>
      <c r="Q509" s="30" t="str">
        <f>IF($K509="","",IFERROR(IF(INDEX(Bookings!$G$3:$G$202,MATCH($K509,Bookings!$A$3:$A$202,0))="","",INDEX(Bookings!$G$3:$G$202,MATCH($K509,Bookings!$A$3:$A$202,0))),""))</f>
        <v/>
      </c>
    </row>
    <row r="510" spans="1:17" hidden="1" x14ac:dyDescent="0.35">
      <c r="A510" s="81"/>
      <c r="B510" s="81"/>
      <c r="C510" s="21"/>
      <c r="D510" s="56"/>
      <c r="E510" s="14"/>
      <c r="F510" s="14"/>
      <c r="G510" s="14"/>
      <c r="H510" s="83">
        <f t="shared" si="30"/>
        <v>0</v>
      </c>
      <c r="I510" s="80"/>
      <c r="J510" s="80"/>
      <c r="K510" s="7" t="str">
        <f>IF($B510="","",IFERROR(INDEX(Connaissements!$B$3:$B$202,MATCH($B510,Connaissements!$A$3:$A$202,0)),""))</f>
        <v/>
      </c>
      <c r="L510" s="7" t="str">
        <f>IF($B510="","",IFERROR(INDEX(Connaissements!$G$3:$G$202,MATCH($B510,Connaissements!$A$3:$A$202,0)),""))</f>
        <v/>
      </c>
      <c r="M510" s="7" t="str">
        <f t="shared" si="27"/>
        <v/>
      </c>
      <c r="N510" s="7" t="str">
        <f t="shared" ca="1" si="28"/>
        <v/>
      </c>
      <c r="O510" s="13"/>
      <c r="P510" s="29" t="str">
        <f t="shared" ca="1" si="29"/>
        <v/>
      </c>
      <c r="Q510" s="30" t="str">
        <f>IF($K510="","",IFERROR(IF(INDEX(Bookings!$G$3:$G$202,MATCH($K510,Bookings!$A$3:$A$202,0))="","",INDEX(Bookings!$G$3:$G$202,MATCH($K510,Bookings!$A$3:$A$202,0))),""))</f>
        <v/>
      </c>
    </row>
    <row r="511" spans="1:17" hidden="1" x14ac:dyDescent="0.35">
      <c r="A511" s="81"/>
      <c r="B511" s="81"/>
      <c r="C511" s="21"/>
      <c r="D511" s="56"/>
      <c r="E511" s="14"/>
      <c r="F511" s="14"/>
      <c r="G511" s="14"/>
      <c r="H511" s="83">
        <f t="shared" si="30"/>
        <v>0</v>
      </c>
      <c r="I511" s="80"/>
      <c r="J511" s="80"/>
      <c r="K511" s="7" t="str">
        <f>IF($B511="","",IFERROR(INDEX(Connaissements!$B$3:$B$202,MATCH($B511,Connaissements!$A$3:$A$202,0)),""))</f>
        <v/>
      </c>
      <c r="L511" s="7" t="str">
        <f>IF($B511="","",IFERROR(INDEX(Connaissements!$G$3:$G$202,MATCH($B511,Connaissements!$A$3:$A$202,0)),""))</f>
        <v/>
      </c>
      <c r="M511" s="7" t="str">
        <f t="shared" si="27"/>
        <v/>
      </c>
      <c r="N511" s="7" t="str">
        <f t="shared" ca="1" si="28"/>
        <v/>
      </c>
      <c r="O511" s="13"/>
      <c r="P511" s="29" t="str">
        <f t="shared" ca="1" si="29"/>
        <v/>
      </c>
      <c r="Q511" s="30" t="str">
        <f>IF($K511="","",IFERROR(IF(INDEX(Bookings!$G$3:$G$202,MATCH($K511,Bookings!$A$3:$A$202,0))="","",INDEX(Bookings!$G$3:$G$202,MATCH($K511,Bookings!$A$3:$A$202,0))),""))</f>
        <v/>
      </c>
    </row>
    <row r="512" spans="1:17" hidden="1" x14ac:dyDescent="0.35">
      <c r="A512" s="81"/>
      <c r="B512" s="81"/>
      <c r="C512" s="21"/>
      <c r="D512" s="56"/>
      <c r="E512" s="14"/>
      <c r="F512" s="14"/>
      <c r="G512" s="14"/>
      <c r="H512" s="83">
        <f t="shared" si="30"/>
        <v>0</v>
      </c>
      <c r="I512" s="80"/>
      <c r="J512" s="80"/>
      <c r="K512" s="7" t="str">
        <f>IF($B512="","",IFERROR(INDEX(Connaissements!$B$3:$B$202,MATCH($B512,Connaissements!$A$3:$A$202,0)),""))</f>
        <v/>
      </c>
      <c r="L512" s="7" t="str">
        <f>IF($B512="","",IFERROR(INDEX(Connaissements!$G$3:$G$202,MATCH($B512,Connaissements!$A$3:$A$202,0)),""))</f>
        <v/>
      </c>
      <c r="M512" s="7" t="str">
        <f t="shared" si="27"/>
        <v/>
      </c>
      <c r="N512" s="7" t="str">
        <f t="shared" ca="1" si="28"/>
        <v/>
      </c>
      <c r="O512" s="13"/>
      <c r="P512" s="29" t="str">
        <f t="shared" ca="1" si="29"/>
        <v/>
      </c>
      <c r="Q512" s="30" t="str">
        <f>IF($K512="","",IFERROR(IF(INDEX(Bookings!$G$3:$G$202,MATCH($K512,Bookings!$A$3:$A$202,0))="","",INDEX(Bookings!$G$3:$G$202,MATCH($K512,Bookings!$A$3:$A$202,0))),""))</f>
        <v/>
      </c>
    </row>
    <row r="513" spans="1:17" hidden="1" x14ac:dyDescent="0.35">
      <c r="A513" s="81"/>
      <c r="B513" s="81"/>
      <c r="C513" s="21"/>
      <c r="D513" s="56"/>
      <c r="E513" s="14"/>
      <c r="F513" s="14"/>
      <c r="G513" s="14"/>
      <c r="H513" s="83">
        <f t="shared" si="30"/>
        <v>0</v>
      </c>
      <c r="I513" s="80"/>
      <c r="J513" s="80"/>
      <c r="K513" s="7" t="str">
        <f>IF($B513="","",IFERROR(INDEX(Connaissements!$B$3:$B$202,MATCH($B513,Connaissements!$A$3:$A$202,0)),""))</f>
        <v/>
      </c>
      <c r="L513" s="7" t="str">
        <f>IF($B513="","",IFERROR(INDEX(Connaissements!$G$3:$G$202,MATCH($B513,Connaissements!$A$3:$A$202,0)),""))</f>
        <v/>
      </c>
      <c r="M513" s="7" t="str">
        <f t="shared" si="27"/>
        <v/>
      </c>
      <c r="N513" s="7" t="str">
        <f t="shared" ca="1" si="28"/>
        <v/>
      </c>
      <c r="O513" s="13"/>
      <c r="P513" s="29" t="str">
        <f t="shared" ca="1" si="29"/>
        <v/>
      </c>
      <c r="Q513" s="30" t="str">
        <f>IF($K513="","",IFERROR(IF(INDEX(Bookings!$G$3:$G$202,MATCH($K513,Bookings!$A$3:$A$202,0))="","",INDEX(Bookings!$G$3:$G$202,MATCH($K513,Bookings!$A$3:$A$202,0))),""))</f>
        <v/>
      </c>
    </row>
    <row r="514" spans="1:17" hidden="1" x14ac:dyDescent="0.35">
      <c r="A514" s="81"/>
      <c r="B514" s="81"/>
      <c r="C514" s="21"/>
      <c r="D514" s="56"/>
      <c r="E514" s="14"/>
      <c r="F514" s="14"/>
      <c r="G514" s="14"/>
      <c r="H514" s="83">
        <f t="shared" si="30"/>
        <v>0</v>
      </c>
      <c r="I514" s="80"/>
      <c r="J514" s="80"/>
      <c r="K514" s="7" t="str">
        <f>IF($B514="","",IFERROR(INDEX(Connaissements!$B$3:$B$202,MATCH($B514,Connaissements!$A$3:$A$202,0)),""))</f>
        <v/>
      </c>
      <c r="L514" s="7" t="str">
        <f>IF($B514="","",IFERROR(INDEX(Connaissements!$G$3:$G$202,MATCH($B514,Connaissements!$A$3:$A$202,0)),""))</f>
        <v/>
      </c>
      <c r="M514" s="7" t="str">
        <f t="shared" si="27"/>
        <v/>
      </c>
      <c r="N514" s="7" t="str">
        <f t="shared" ca="1" si="28"/>
        <v/>
      </c>
      <c r="O514" s="13"/>
      <c r="P514" s="29" t="str">
        <f t="shared" ca="1" si="29"/>
        <v/>
      </c>
      <c r="Q514" s="30" t="str">
        <f>IF($K514="","",IFERROR(IF(INDEX(Bookings!$G$3:$G$202,MATCH($K514,Bookings!$A$3:$A$202,0))="","",INDEX(Bookings!$G$3:$G$202,MATCH($K514,Bookings!$A$3:$A$202,0))),""))</f>
        <v/>
      </c>
    </row>
    <row r="515" spans="1:17" hidden="1" x14ac:dyDescent="0.35">
      <c r="A515" s="81"/>
      <c r="B515" s="81"/>
      <c r="C515" s="21"/>
      <c r="D515" s="56"/>
      <c r="E515" s="14"/>
      <c r="F515" s="14"/>
      <c r="G515" s="14"/>
      <c r="H515" s="83">
        <f t="shared" si="30"/>
        <v>0</v>
      </c>
      <c r="I515" s="80"/>
      <c r="J515" s="80"/>
      <c r="K515" s="7" t="str">
        <f>IF($B515="","",IFERROR(INDEX(Connaissements!$B$3:$B$202,MATCH($B515,Connaissements!$A$3:$A$202,0)),""))</f>
        <v/>
      </c>
      <c r="L515" s="7" t="str">
        <f>IF($B515="","",IFERROR(INDEX(Connaissements!$G$3:$G$202,MATCH($B515,Connaissements!$A$3:$A$202,0)),""))</f>
        <v/>
      </c>
      <c r="M515" s="7" t="str">
        <f t="shared" ref="M515:M578" si="31">IF($A515="","",IF($G515&lt;&gt;"","Embarqué",IF($F515&lt;&gt;"","Gate-In fait",IF($E515&lt;&gt;"","Empoté","À empoter"))))</f>
        <v/>
      </c>
      <c r="N515" s="7" t="str">
        <f t="shared" ref="N515:N578" ca="1" si="32">IF(OR($A515="",$G515&lt;&gt;""),"",IF(AND($Q515&lt;&gt;"",N($Q515)&lt;TODAY()),"RETARD : ETD dépassé, pas embarqué",IF(AND($Q515&lt;&gt;"",N($Q515)-TODAY()&lt;=P_AlerteETD,$F515=""),"Gate-In à faire (ETD proche)",IF(AND($E515&lt;&gt;"",$H515=""),"Poids net à saisir",""))))</f>
        <v/>
      </c>
      <c r="O515" s="13"/>
      <c r="P515" s="29" t="str">
        <f t="shared" ref="P515:P578" ca="1" si="33">IF($N515&lt;&gt;"",1,"")</f>
        <v/>
      </c>
      <c r="Q515" s="30" t="str">
        <f>IF($K515="","",IFERROR(IF(INDEX(Bookings!$G$3:$G$202,MATCH($K515,Bookings!$A$3:$A$202,0))="","",INDEX(Bookings!$G$3:$G$202,MATCH($K515,Bookings!$A$3:$A$202,0))),""))</f>
        <v/>
      </c>
    </row>
    <row r="516" spans="1:17" hidden="1" x14ac:dyDescent="0.35">
      <c r="A516" s="81"/>
      <c r="B516" s="81"/>
      <c r="C516" s="21"/>
      <c r="D516" s="56"/>
      <c r="E516" s="14"/>
      <c r="F516" s="14"/>
      <c r="G516" s="14"/>
      <c r="H516" s="83">
        <f t="shared" ref="H516:H579" si="34">J516-I516</f>
        <v>0</v>
      </c>
      <c r="I516" s="80"/>
      <c r="J516" s="80"/>
      <c r="K516" s="7" t="str">
        <f>IF($B516="","",IFERROR(INDEX(Connaissements!$B$3:$B$202,MATCH($B516,Connaissements!$A$3:$A$202,0)),""))</f>
        <v/>
      </c>
      <c r="L516" s="7" t="str">
        <f>IF($B516="","",IFERROR(INDEX(Connaissements!$G$3:$G$202,MATCH($B516,Connaissements!$A$3:$A$202,0)),""))</f>
        <v/>
      </c>
      <c r="M516" s="7" t="str">
        <f t="shared" si="31"/>
        <v/>
      </c>
      <c r="N516" s="7" t="str">
        <f t="shared" ca="1" si="32"/>
        <v/>
      </c>
      <c r="O516" s="13"/>
      <c r="P516" s="29" t="str">
        <f t="shared" ca="1" si="33"/>
        <v/>
      </c>
      <c r="Q516" s="30" t="str">
        <f>IF($K516="","",IFERROR(IF(INDEX(Bookings!$G$3:$G$202,MATCH($K516,Bookings!$A$3:$A$202,0))="","",INDEX(Bookings!$G$3:$G$202,MATCH($K516,Bookings!$A$3:$A$202,0))),""))</f>
        <v/>
      </c>
    </row>
    <row r="517" spans="1:17" hidden="1" x14ac:dyDescent="0.35">
      <c r="A517" s="81"/>
      <c r="B517" s="81"/>
      <c r="C517" s="21"/>
      <c r="D517" s="56"/>
      <c r="E517" s="14"/>
      <c r="F517" s="14"/>
      <c r="G517" s="14"/>
      <c r="H517" s="83">
        <f t="shared" si="34"/>
        <v>0</v>
      </c>
      <c r="I517" s="80"/>
      <c r="J517" s="80"/>
      <c r="K517" s="7" t="str">
        <f>IF($B517="","",IFERROR(INDEX(Connaissements!$B$3:$B$202,MATCH($B517,Connaissements!$A$3:$A$202,0)),""))</f>
        <v/>
      </c>
      <c r="L517" s="7" t="str">
        <f>IF($B517="","",IFERROR(INDEX(Connaissements!$G$3:$G$202,MATCH($B517,Connaissements!$A$3:$A$202,0)),""))</f>
        <v/>
      </c>
      <c r="M517" s="7" t="str">
        <f t="shared" si="31"/>
        <v/>
      </c>
      <c r="N517" s="7" t="str">
        <f t="shared" ca="1" si="32"/>
        <v/>
      </c>
      <c r="O517" s="13"/>
      <c r="P517" s="29" t="str">
        <f t="shared" ca="1" si="33"/>
        <v/>
      </c>
      <c r="Q517" s="30" t="str">
        <f>IF($K517="","",IFERROR(IF(INDEX(Bookings!$G$3:$G$202,MATCH($K517,Bookings!$A$3:$A$202,0))="","",INDEX(Bookings!$G$3:$G$202,MATCH($K517,Bookings!$A$3:$A$202,0))),""))</f>
        <v/>
      </c>
    </row>
    <row r="518" spans="1:17" hidden="1" x14ac:dyDescent="0.35">
      <c r="A518" s="81"/>
      <c r="B518" s="81"/>
      <c r="C518" s="21"/>
      <c r="D518" s="56"/>
      <c r="E518" s="14"/>
      <c r="F518" s="14"/>
      <c r="G518" s="14"/>
      <c r="H518" s="83">
        <f t="shared" si="34"/>
        <v>0</v>
      </c>
      <c r="I518" s="80"/>
      <c r="J518" s="80"/>
      <c r="K518" s="7" t="str">
        <f>IF($B518="","",IFERROR(INDEX(Connaissements!$B$3:$B$202,MATCH($B518,Connaissements!$A$3:$A$202,0)),""))</f>
        <v/>
      </c>
      <c r="L518" s="7" t="str">
        <f>IF($B518="","",IFERROR(INDEX(Connaissements!$G$3:$G$202,MATCH($B518,Connaissements!$A$3:$A$202,0)),""))</f>
        <v/>
      </c>
      <c r="M518" s="7" t="str">
        <f t="shared" si="31"/>
        <v/>
      </c>
      <c r="N518" s="7" t="str">
        <f t="shared" ca="1" si="32"/>
        <v/>
      </c>
      <c r="O518" s="13"/>
      <c r="P518" s="29" t="str">
        <f t="shared" ca="1" si="33"/>
        <v/>
      </c>
      <c r="Q518" s="30" t="str">
        <f>IF($K518="","",IFERROR(IF(INDEX(Bookings!$G$3:$G$202,MATCH($K518,Bookings!$A$3:$A$202,0))="","",INDEX(Bookings!$G$3:$G$202,MATCH($K518,Bookings!$A$3:$A$202,0))),""))</f>
        <v/>
      </c>
    </row>
    <row r="519" spans="1:17" hidden="1" x14ac:dyDescent="0.35">
      <c r="A519" s="81"/>
      <c r="B519" s="81"/>
      <c r="C519" s="21"/>
      <c r="D519" s="56"/>
      <c r="E519" s="14"/>
      <c r="F519" s="14"/>
      <c r="G519" s="14"/>
      <c r="H519" s="83">
        <f t="shared" si="34"/>
        <v>0</v>
      </c>
      <c r="I519" s="80"/>
      <c r="J519" s="80"/>
      <c r="K519" s="7" t="str">
        <f>IF($B519="","",IFERROR(INDEX(Connaissements!$B$3:$B$202,MATCH($B519,Connaissements!$A$3:$A$202,0)),""))</f>
        <v/>
      </c>
      <c r="L519" s="7" t="str">
        <f>IF($B519="","",IFERROR(INDEX(Connaissements!$G$3:$G$202,MATCH($B519,Connaissements!$A$3:$A$202,0)),""))</f>
        <v/>
      </c>
      <c r="M519" s="7" t="str">
        <f t="shared" si="31"/>
        <v/>
      </c>
      <c r="N519" s="7" t="str">
        <f t="shared" ca="1" si="32"/>
        <v/>
      </c>
      <c r="O519" s="13"/>
      <c r="P519" s="29" t="str">
        <f t="shared" ca="1" si="33"/>
        <v/>
      </c>
      <c r="Q519" s="30" t="str">
        <f>IF($K519="","",IFERROR(IF(INDEX(Bookings!$G$3:$G$202,MATCH($K519,Bookings!$A$3:$A$202,0))="","",INDEX(Bookings!$G$3:$G$202,MATCH($K519,Bookings!$A$3:$A$202,0))),""))</f>
        <v/>
      </c>
    </row>
    <row r="520" spans="1:17" hidden="1" x14ac:dyDescent="0.35">
      <c r="A520" s="81"/>
      <c r="B520" s="81"/>
      <c r="C520" s="21"/>
      <c r="D520" s="56"/>
      <c r="E520" s="14"/>
      <c r="F520" s="14"/>
      <c r="G520" s="14"/>
      <c r="H520" s="83">
        <f t="shared" si="34"/>
        <v>0</v>
      </c>
      <c r="I520" s="80"/>
      <c r="J520" s="80"/>
      <c r="K520" s="7" t="str">
        <f>IF($B520="","",IFERROR(INDEX(Connaissements!$B$3:$B$202,MATCH($B520,Connaissements!$A$3:$A$202,0)),""))</f>
        <v/>
      </c>
      <c r="L520" s="7" t="str">
        <f>IF($B520="","",IFERROR(INDEX(Connaissements!$G$3:$G$202,MATCH($B520,Connaissements!$A$3:$A$202,0)),""))</f>
        <v/>
      </c>
      <c r="M520" s="7" t="str">
        <f t="shared" si="31"/>
        <v/>
      </c>
      <c r="N520" s="7" t="str">
        <f t="shared" ca="1" si="32"/>
        <v/>
      </c>
      <c r="O520" s="13"/>
      <c r="P520" s="29" t="str">
        <f t="shared" ca="1" si="33"/>
        <v/>
      </c>
      <c r="Q520" s="30" t="str">
        <f>IF($K520="","",IFERROR(IF(INDEX(Bookings!$G$3:$G$202,MATCH($K520,Bookings!$A$3:$A$202,0))="","",INDEX(Bookings!$G$3:$G$202,MATCH($K520,Bookings!$A$3:$A$202,0))),""))</f>
        <v/>
      </c>
    </row>
    <row r="521" spans="1:17" hidden="1" x14ac:dyDescent="0.35">
      <c r="A521" s="81"/>
      <c r="B521" s="81"/>
      <c r="C521" s="21"/>
      <c r="D521" s="56"/>
      <c r="E521" s="14"/>
      <c r="F521" s="14"/>
      <c r="G521" s="14"/>
      <c r="H521" s="83">
        <f t="shared" si="34"/>
        <v>0</v>
      </c>
      <c r="I521" s="80"/>
      <c r="J521" s="80"/>
      <c r="K521" s="7" t="str">
        <f>IF($B521="","",IFERROR(INDEX(Connaissements!$B$3:$B$202,MATCH($B521,Connaissements!$A$3:$A$202,0)),""))</f>
        <v/>
      </c>
      <c r="L521" s="7" t="str">
        <f>IF($B521="","",IFERROR(INDEX(Connaissements!$G$3:$G$202,MATCH($B521,Connaissements!$A$3:$A$202,0)),""))</f>
        <v/>
      </c>
      <c r="M521" s="7" t="str">
        <f t="shared" si="31"/>
        <v/>
      </c>
      <c r="N521" s="7" t="str">
        <f t="shared" ca="1" si="32"/>
        <v/>
      </c>
      <c r="O521" s="13"/>
      <c r="P521" s="29" t="str">
        <f t="shared" ca="1" si="33"/>
        <v/>
      </c>
      <c r="Q521" s="30" t="str">
        <f>IF($K521="","",IFERROR(IF(INDEX(Bookings!$G$3:$G$202,MATCH($K521,Bookings!$A$3:$A$202,0))="","",INDEX(Bookings!$G$3:$G$202,MATCH($K521,Bookings!$A$3:$A$202,0))),""))</f>
        <v/>
      </c>
    </row>
    <row r="522" spans="1:17" hidden="1" x14ac:dyDescent="0.35">
      <c r="A522" s="81"/>
      <c r="B522" s="81"/>
      <c r="C522" s="21"/>
      <c r="D522" s="56"/>
      <c r="E522" s="14"/>
      <c r="F522" s="14"/>
      <c r="G522" s="14"/>
      <c r="H522" s="83">
        <f t="shared" si="34"/>
        <v>0</v>
      </c>
      <c r="I522" s="80"/>
      <c r="J522" s="80"/>
      <c r="K522" s="7" t="str">
        <f>IF($B522="","",IFERROR(INDEX(Connaissements!$B$3:$B$202,MATCH($B522,Connaissements!$A$3:$A$202,0)),""))</f>
        <v/>
      </c>
      <c r="L522" s="7" t="str">
        <f>IF($B522="","",IFERROR(INDEX(Connaissements!$G$3:$G$202,MATCH($B522,Connaissements!$A$3:$A$202,0)),""))</f>
        <v/>
      </c>
      <c r="M522" s="7" t="str">
        <f t="shared" si="31"/>
        <v/>
      </c>
      <c r="N522" s="7" t="str">
        <f t="shared" ca="1" si="32"/>
        <v/>
      </c>
      <c r="O522" s="13"/>
      <c r="P522" s="29" t="str">
        <f t="shared" ca="1" si="33"/>
        <v/>
      </c>
      <c r="Q522" s="30" t="str">
        <f>IF($K522="","",IFERROR(IF(INDEX(Bookings!$G$3:$G$202,MATCH($K522,Bookings!$A$3:$A$202,0))="","",INDEX(Bookings!$G$3:$G$202,MATCH($K522,Bookings!$A$3:$A$202,0))),""))</f>
        <v/>
      </c>
    </row>
    <row r="523" spans="1:17" hidden="1" x14ac:dyDescent="0.35">
      <c r="A523" s="81"/>
      <c r="B523" s="81"/>
      <c r="C523" s="21"/>
      <c r="D523" s="56"/>
      <c r="E523" s="14"/>
      <c r="F523" s="14"/>
      <c r="G523" s="14"/>
      <c r="H523" s="83">
        <f t="shared" si="34"/>
        <v>0</v>
      </c>
      <c r="I523" s="80"/>
      <c r="J523" s="80"/>
      <c r="K523" s="7" t="str">
        <f>IF($B523="","",IFERROR(INDEX(Connaissements!$B$3:$B$202,MATCH($B523,Connaissements!$A$3:$A$202,0)),""))</f>
        <v/>
      </c>
      <c r="L523" s="7" t="str">
        <f>IF($B523="","",IFERROR(INDEX(Connaissements!$G$3:$G$202,MATCH($B523,Connaissements!$A$3:$A$202,0)),""))</f>
        <v/>
      </c>
      <c r="M523" s="7" t="str">
        <f t="shared" si="31"/>
        <v/>
      </c>
      <c r="N523" s="7" t="str">
        <f t="shared" ca="1" si="32"/>
        <v/>
      </c>
      <c r="O523" s="13"/>
      <c r="P523" s="29" t="str">
        <f t="shared" ca="1" si="33"/>
        <v/>
      </c>
      <c r="Q523" s="30" t="str">
        <f>IF($K523="","",IFERROR(IF(INDEX(Bookings!$G$3:$G$202,MATCH($K523,Bookings!$A$3:$A$202,0))="","",INDEX(Bookings!$G$3:$G$202,MATCH($K523,Bookings!$A$3:$A$202,0))),""))</f>
        <v/>
      </c>
    </row>
    <row r="524" spans="1:17" hidden="1" x14ac:dyDescent="0.35">
      <c r="A524" s="81"/>
      <c r="B524" s="81"/>
      <c r="C524" s="21"/>
      <c r="D524" s="56"/>
      <c r="E524" s="14"/>
      <c r="F524" s="14"/>
      <c r="G524" s="14"/>
      <c r="H524" s="83">
        <f t="shared" si="34"/>
        <v>0</v>
      </c>
      <c r="I524" s="80"/>
      <c r="J524" s="80"/>
      <c r="K524" s="7" t="str">
        <f>IF($B524="","",IFERROR(INDEX(Connaissements!$B$3:$B$202,MATCH($B524,Connaissements!$A$3:$A$202,0)),""))</f>
        <v/>
      </c>
      <c r="L524" s="7" t="str">
        <f>IF($B524="","",IFERROR(INDEX(Connaissements!$G$3:$G$202,MATCH($B524,Connaissements!$A$3:$A$202,0)),""))</f>
        <v/>
      </c>
      <c r="M524" s="7" t="str">
        <f t="shared" si="31"/>
        <v/>
      </c>
      <c r="N524" s="7" t="str">
        <f t="shared" ca="1" si="32"/>
        <v/>
      </c>
      <c r="O524" s="13"/>
      <c r="P524" s="29" t="str">
        <f t="shared" ca="1" si="33"/>
        <v/>
      </c>
      <c r="Q524" s="30" t="str">
        <f>IF($K524="","",IFERROR(IF(INDEX(Bookings!$G$3:$G$202,MATCH($K524,Bookings!$A$3:$A$202,0))="","",INDEX(Bookings!$G$3:$G$202,MATCH($K524,Bookings!$A$3:$A$202,0))),""))</f>
        <v/>
      </c>
    </row>
    <row r="525" spans="1:17" hidden="1" x14ac:dyDescent="0.35">
      <c r="A525" s="81"/>
      <c r="B525" s="81"/>
      <c r="C525" s="21"/>
      <c r="D525" s="56"/>
      <c r="E525" s="14"/>
      <c r="F525" s="14"/>
      <c r="G525" s="14"/>
      <c r="H525" s="83">
        <f t="shared" si="34"/>
        <v>0</v>
      </c>
      <c r="I525" s="80"/>
      <c r="J525" s="80"/>
      <c r="K525" s="7" t="str">
        <f>IF($B525="","",IFERROR(INDEX(Connaissements!$B$3:$B$202,MATCH($B525,Connaissements!$A$3:$A$202,0)),""))</f>
        <v/>
      </c>
      <c r="L525" s="7" t="str">
        <f>IF($B525="","",IFERROR(INDEX(Connaissements!$G$3:$G$202,MATCH($B525,Connaissements!$A$3:$A$202,0)),""))</f>
        <v/>
      </c>
      <c r="M525" s="7" t="str">
        <f t="shared" si="31"/>
        <v/>
      </c>
      <c r="N525" s="7" t="str">
        <f t="shared" ca="1" si="32"/>
        <v/>
      </c>
      <c r="O525" s="13"/>
      <c r="P525" s="29" t="str">
        <f t="shared" ca="1" si="33"/>
        <v/>
      </c>
      <c r="Q525" s="30" t="str">
        <f>IF($K525="","",IFERROR(IF(INDEX(Bookings!$G$3:$G$202,MATCH($K525,Bookings!$A$3:$A$202,0))="","",INDEX(Bookings!$G$3:$G$202,MATCH($K525,Bookings!$A$3:$A$202,0))),""))</f>
        <v/>
      </c>
    </row>
    <row r="526" spans="1:17" hidden="1" x14ac:dyDescent="0.35">
      <c r="A526" s="81"/>
      <c r="B526" s="81"/>
      <c r="C526" s="21"/>
      <c r="D526" s="56"/>
      <c r="E526" s="14"/>
      <c r="F526" s="14"/>
      <c r="G526" s="14"/>
      <c r="H526" s="83">
        <f t="shared" si="34"/>
        <v>0</v>
      </c>
      <c r="I526" s="80"/>
      <c r="J526" s="80"/>
      <c r="K526" s="7" t="str">
        <f>IF($B526="","",IFERROR(INDEX(Connaissements!$B$3:$B$202,MATCH($B526,Connaissements!$A$3:$A$202,0)),""))</f>
        <v/>
      </c>
      <c r="L526" s="7" t="str">
        <f>IF($B526="","",IFERROR(INDEX(Connaissements!$G$3:$G$202,MATCH($B526,Connaissements!$A$3:$A$202,0)),""))</f>
        <v/>
      </c>
      <c r="M526" s="7" t="str">
        <f t="shared" si="31"/>
        <v/>
      </c>
      <c r="N526" s="7" t="str">
        <f t="shared" ca="1" si="32"/>
        <v/>
      </c>
      <c r="O526" s="13"/>
      <c r="P526" s="29" t="str">
        <f t="shared" ca="1" si="33"/>
        <v/>
      </c>
      <c r="Q526" s="30" t="str">
        <f>IF($K526="","",IFERROR(IF(INDEX(Bookings!$G$3:$G$202,MATCH($K526,Bookings!$A$3:$A$202,0))="","",INDEX(Bookings!$G$3:$G$202,MATCH($K526,Bookings!$A$3:$A$202,0))),""))</f>
        <v/>
      </c>
    </row>
    <row r="527" spans="1:17" hidden="1" x14ac:dyDescent="0.35">
      <c r="A527" s="81"/>
      <c r="B527" s="81"/>
      <c r="C527" s="21"/>
      <c r="D527" s="56"/>
      <c r="E527" s="14"/>
      <c r="F527" s="14"/>
      <c r="G527" s="14"/>
      <c r="H527" s="83">
        <f t="shared" si="34"/>
        <v>0</v>
      </c>
      <c r="I527" s="80"/>
      <c r="J527" s="80"/>
      <c r="K527" s="7" t="str">
        <f>IF($B527="","",IFERROR(INDEX(Connaissements!$B$3:$B$202,MATCH($B527,Connaissements!$A$3:$A$202,0)),""))</f>
        <v/>
      </c>
      <c r="L527" s="7" t="str">
        <f>IF($B527="","",IFERROR(INDEX(Connaissements!$G$3:$G$202,MATCH($B527,Connaissements!$A$3:$A$202,0)),""))</f>
        <v/>
      </c>
      <c r="M527" s="7" t="str">
        <f t="shared" si="31"/>
        <v/>
      </c>
      <c r="N527" s="7" t="str">
        <f t="shared" ca="1" si="32"/>
        <v/>
      </c>
      <c r="O527" s="13"/>
      <c r="P527" s="29" t="str">
        <f t="shared" ca="1" si="33"/>
        <v/>
      </c>
      <c r="Q527" s="30" t="str">
        <f>IF($K527="","",IFERROR(IF(INDEX(Bookings!$G$3:$G$202,MATCH($K527,Bookings!$A$3:$A$202,0))="","",INDEX(Bookings!$G$3:$G$202,MATCH($K527,Bookings!$A$3:$A$202,0))),""))</f>
        <v/>
      </c>
    </row>
    <row r="528" spans="1:17" hidden="1" x14ac:dyDescent="0.35">
      <c r="A528" s="81"/>
      <c r="B528" s="81"/>
      <c r="C528" s="21"/>
      <c r="D528" s="56"/>
      <c r="E528" s="14"/>
      <c r="F528" s="14"/>
      <c r="G528" s="14"/>
      <c r="H528" s="83">
        <f t="shared" si="34"/>
        <v>0</v>
      </c>
      <c r="I528" s="80"/>
      <c r="J528" s="80"/>
      <c r="K528" s="7" t="str">
        <f>IF($B528="","",IFERROR(INDEX(Connaissements!$B$3:$B$202,MATCH($B528,Connaissements!$A$3:$A$202,0)),""))</f>
        <v/>
      </c>
      <c r="L528" s="7" t="str">
        <f>IF($B528="","",IFERROR(INDEX(Connaissements!$G$3:$G$202,MATCH($B528,Connaissements!$A$3:$A$202,0)),""))</f>
        <v/>
      </c>
      <c r="M528" s="7" t="str">
        <f t="shared" si="31"/>
        <v/>
      </c>
      <c r="N528" s="7" t="str">
        <f t="shared" ca="1" si="32"/>
        <v/>
      </c>
      <c r="O528" s="13"/>
      <c r="P528" s="29" t="str">
        <f t="shared" ca="1" si="33"/>
        <v/>
      </c>
      <c r="Q528" s="30" t="str">
        <f>IF($K528="","",IFERROR(IF(INDEX(Bookings!$G$3:$G$202,MATCH($K528,Bookings!$A$3:$A$202,0))="","",INDEX(Bookings!$G$3:$G$202,MATCH($K528,Bookings!$A$3:$A$202,0))),""))</f>
        <v/>
      </c>
    </row>
    <row r="529" spans="1:17" hidden="1" x14ac:dyDescent="0.35">
      <c r="A529" s="81"/>
      <c r="B529" s="81"/>
      <c r="C529" s="21"/>
      <c r="D529" s="56"/>
      <c r="E529" s="14"/>
      <c r="F529" s="14"/>
      <c r="G529" s="14"/>
      <c r="H529" s="83">
        <f t="shared" si="34"/>
        <v>0</v>
      </c>
      <c r="I529" s="80"/>
      <c r="J529" s="80"/>
      <c r="K529" s="7" t="str">
        <f>IF($B529="","",IFERROR(INDEX(Connaissements!$B$3:$B$202,MATCH($B529,Connaissements!$A$3:$A$202,0)),""))</f>
        <v/>
      </c>
      <c r="L529" s="7" t="str">
        <f>IF($B529="","",IFERROR(INDEX(Connaissements!$G$3:$G$202,MATCH($B529,Connaissements!$A$3:$A$202,0)),""))</f>
        <v/>
      </c>
      <c r="M529" s="7" t="str">
        <f t="shared" si="31"/>
        <v/>
      </c>
      <c r="N529" s="7" t="str">
        <f t="shared" ca="1" si="32"/>
        <v/>
      </c>
      <c r="O529" s="13"/>
      <c r="P529" s="29" t="str">
        <f t="shared" ca="1" si="33"/>
        <v/>
      </c>
      <c r="Q529" s="30" t="str">
        <f>IF($K529="","",IFERROR(IF(INDEX(Bookings!$G$3:$G$202,MATCH($K529,Bookings!$A$3:$A$202,0))="","",INDEX(Bookings!$G$3:$G$202,MATCH($K529,Bookings!$A$3:$A$202,0))),""))</f>
        <v/>
      </c>
    </row>
    <row r="530" spans="1:17" hidden="1" x14ac:dyDescent="0.35">
      <c r="A530" s="81"/>
      <c r="B530" s="81"/>
      <c r="C530" s="21"/>
      <c r="D530" s="56"/>
      <c r="E530" s="14"/>
      <c r="F530" s="14"/>
      <c r="G530" s="14"/>
      <c r="H530" s="83">
        <f t="shared" si="34"/>
        <v>0</v>
      </c>
      <c r="I530" s="80"/>
      <c r="J530" s="80"/>
      <c r="K530" s="7" t="str">
        <f>IF($B530="","",IFERROR(INDEX(Connaissements!$B$3:$B$202,MATCH($B530,Connaissements!$A$3:$A$202,0)),""))</f>
        <v/>
      </c>
      <c r="L530" s="7" t="str">
        <f>IF($B530="","",IFERROR(INDEX(Connaissements!$G$3:$G$202,MATCH($B530,Connaissements!$A$3:$A$202,0)),""))</f>
        <v/>
      </c>
      <c r="M530" s="7" t="str">
        <f t="shared" si="31"/>
        <v/>
      </c>
      <c r="N530" s="7" t="str">
        <f t="shared" ca="1" si="32"/>
        <v/>
      </c>
      <c r="O530" s="13"/>
      <c r="P530" s="29" t="str">
        <f t="shared" ca="1" si="33"/>
        <v/>
      </c>
      <c r="Q530" s="30" t="str">
        <f>IF($K530="","",IFERROR(IF(INDEX(Bookings!$G$3:$G$202,MATCH($K530,Bookings!$A$3:$A$202,0))="","",INDEX(Bookings!$G$3:$G$202,MATCH($K530,Bookings!$A$3:$A$202,0))),""))</f>
        <v/>
      </c>
    </row>
    <row r="531" spans="1:17" hidden="1" x14ac:dyDescent="0.35">
      <c r="A531" s="81"/>
      <c r="B531" s="81"/>
      <c r="C531" s="21"/>
      <c r="D531" s="56"/>
      <c r="E531" s="14"/>
      <c r="F531" s="14"/>
      <c r="G531" s="14"/>
      <c r="H531" s="83">
        <f t="shared" si="34"/>
        <v>0</v>
      </c>
      <c r="I531" s="80"/>
      <c r="J531" s="80"/>
      <c r="K531" s="7" t="str">
        <f>IF($B531="","",IFERROR(INDEX(Connaissements!$B$3:$B$202,MATCH($B531,Connaissements!$A$3:$A$202,0)),""))</f>
        <v/>
      </c>
      <c r="L531" s="7" t="str">
        <f>IF($B531="","",IFERROR(INDEX(Connaissements!$G$3:$G$202,MATCH($B531,Connaissements!$A$3:$A$202,0)),""))</f>
        <v/>
      </c>
      <c r="M531" s="7" t="str">
        <f t="shared" si="31"/>
        <v/>
      </c>
      <c r="N531" s="7" t="str">
        <f t="shared" ca="1" si="32"/>
        <v/>
      </c>
      <c r="O531" s="13"/>
      <c r="P531" s="29" t="str">
        <f t="shared" ca="1" si="33"/>
        <v/>
      </c>
      <c r="Q531" s="30" t="str">
        <f>IF($K531="","",IFERROR(IF(INDEX(Bookings!$G$3:$G$202,MATCH($K531,Bookings!$A$3:$A$202,0))="","",INDEX(Bookings!$G$3:$G$202,MATCH($K531,Bookings!$A$3:$A$202,0))),""))</f>
        <v/>
      </c>
    </row>
    <row r="532" spans="1:17" hidden="1" x14ac:dyDescent="0.35">
      <c r="A532" s="81"/>
      <c r="B532" s="81"/>
      <c r="C532" s="21"/>
      <c r="D532" s="56"/>
      <c r="E532" s="14"/>
      <c r="F532" s="14"/>
      <c r="G532" s="14"/>
      <c r="H532" s="83">
        <f t="shared" si="34"/>
        <v>0</v>
      </c>
      <c r="I532" s="80"/>
      <c r="J532" s="80"/>
      <c r="K532" s="7" t="str">
        <f>IF($B532="","",IFERROR(INDEX(Connaissements!$B$3:$B$202,MATCH($B532,Connaissements!$A$3:$A$202,0)),""))</f>
        <v/>
      </c>
      <c r="L532" s="7" t="str">
        <f>IF($B532="","",IFERROR(INDEX(Connaissements!$G$3:$G$202,MATCH($B532,Connaissements!$A$3:$A$202,0)),""))</f>
        <v/>
      </c>
      <c r="M532" s="7" t="str">
        <f t="shared" si="31"/>
        <v/>
      </c>
      <c r="N532" s="7" t="str">
        <f t="shared" ca="1" si="32"/>
        <v/>
      </c>
      <c r="O532" s="13"/>
      <c r="P532" s="29" t="str">
        <f t="shared" ca="1" si="33"/>
        <v/>
      </c>
      <c r="Q532" s="30" t="str">
        <f>IF($K532="","",IFERROR(IF(INDEX(Bookings!$G$3:$G$202,MATCH($K532,Bookings!$A$3:$A$202,0))="","",INDEX(Bookings!$G$3:$G$202,MATCH($K532,Bookings!$A$3:$A$202,0))),""))</f>
        <v/>
      </c>
    </row>
    <row r="533" spans="1:17" hidden="1" x14ac:dyDescent="0.35">
      <c r="A533" s="81"/>
      <c r="B533" s="81"/>
      <c r="C533" s="21"/>
      <c r="D533" s="56"/>
      <c r="E533" s="14"/>
      <c r="F533" s="14"/>
      <c r="G533" s="14"/>
      <c r="H533" s="83">
        <f t="shared" si="34"/>
        <v>0</v>
      </c>
      <c r="I533" s="80"/>
      <c r="J533" s="80"/>
      <c r="K533" s="7" t="str">
        <f>IF($B533="","",IFERROR(INDEX(Connaissements!$B$3:$B$202,MATCH($B533,Connaissements!$A$3:$A$202,0)),""))</f>
        <v/>
      </c>
      <c r="L533" s="7" t="str">
        <f>IF($B533="","",IFERROR(INDEX(Connaissements!$G$3:$G$202,MATCH($B533,Connaissements!$A$3:$A$202,0)),""))</f>
        <v/>
      </c>
      <c r="M533" s="7" t="str">
        <f t="shared" si="31"/>
        <v/>
      </c>
      <c r="N533" s="7" t="str">
        <f t="shared" ca="1" si="32"/>
        <v/>
      </c>
      <c r="O533" s="13"/>
      <c r="P533" s="29" t="str">
        <f t="shared" ca="1" si="33"/>
        <v/>
      </c>
      <c r="Q533" s="30" t="str">
        <f>IF($K533="","",IFERROR(IF(INDEX(Bookings!$G$3:$G$202,MATCH($K533,Bookings!$A$3:$A$202,0))="","",INDEX(Bookings!$G$3:$G$202,MATCH($K533,Bookings!$A$3:$A$202,0))),""))</f>
        <v/>
      </c>
    </row>
    <row r="534" spans="1:17" hidden="1" x14ac:dyDescent="0.35">
      <c r="A534" s="81"/>
      <c r="B534" s="81"/>
      <c r="C534" s="21"/>
      <c r="D534" s="56"/>
      <c r="E534" s="14"/>
      <c r="F534" s="14"/>
      <c r="G534" s="14"/>
      <c r="H534" s="83">
        <f t="shared" si="34"/>
        <v>0</v>
      </c>
      <c r="I534" s="80"/>
      <c r="J534" s="80"/>
      <c r="K534" s="7" t="str">
        <f>IF($B534="","",IFERROR(INDEX(Connaissements!$B$3:$B$202,MATCH($B534,Connaissements!$A$3:$A$202,0)),""))</f>
        <v/>
      </c>
      <c r="L534" s="7" t="str">
        <f>IF($B534="","",IFERROR(INDEX(Connaissements!$G$3:$G$202,MATCH($B534,Connaissements!$A$3:$A$202,0)),""))</f>
        <v/>
      </c>
      <c r="M534" s="7" t="str">
        <f t="shared" si="31"/>
        <v/>
      </c>
      <c r="N534" s="7" t="str">
        <f t="shared" ca="1" si="32"/>
        <v/>
      </c>
      <c r="O534" s="13"/>
      <c r="P534" s="29" t="str">
        <f t="shared" ca="1" si="33"/>
        <v/>
      </c>
      <c r="Q534" s="30" t="str">
        <f>IF($K534="","",IFERROR(IF(INDEX(Bookings!$G$3:$G$202,MATCH($K534,Bookings!$A$3:$A$202,0))="","",INDEX(Bookings!$G$3:$G$202,MATCH($K534,Bookings!$A$3:$A$202,0))),""))</f>
        <v/>
      </c>
    </row>
    <row r="535" spans="1:17" hidden="1" x14ac:dyDescent="0.35">
      <c r="A535" s="81"/>
      <c r="B535" s="81"/>
      <c r="C535" s="21"/>
      <c r="D535" s="56"/>
      <c r="E535" s="14"/>
      <c r="F535" s="14"/>
      <c r="G535" s="14"/>
      <c r="H535" s="83">
        <f t="shared" si="34"/>
        <v>0</v>
      </c>
      <c r="I535" s="80"/>
      <c r="J535" s="80"/>
      <c r="K535" s="7" t="str">
        <f>IF($B535="","",IFERROR(INDEX(Connaissements!$B$3:$B$202,MATCH($B535,Connaissements!$A$3:$A$202,0)),""))</f>
        <v/>
      </c>
      <c r="L535" s="7" t="str">
        <f>IF($B535="","",IFERROR(INDEX(Connaissements!$G$3:$G$202,MATCH($B535,Connaissements!$A$3:$A$202,0)),""))</f>
        <v/>
      </c>
      <c r="M535" s="7" t="str">
        <f t="shared" si="31"/>
        <v/>
      </c>
      <c r="N535" s="7" t="str">
        <f t="shared" ca="1" si="32"/>
        <v/>
      </c>
      <c r="O535" s="13"/>
      <c r="P535" s="29" t="str">
        <f t="shared" ca="1" si="33"/>
        <v/>
      </c>
      <c r="Q535" s="30" t="str">
        <f>IF($K535="","",IFERROR(IF(INDEX(Bookings!$G$3:$G$202,MATCH($K535,Bookings!$A$3:$A$202,0))="","",INDEX(Bookings!$G$3:$G$202,MATCH($K535,Bookings!$A$3:$A$202,0))),""))</f>
        <v/>
      </c>
    </row>
    <row r="536" spans="1:17" hidden="1" x14ac:dyDescent="0.35">
      <c r="A536" s="81"/>
      <c r="B536" s="81"/>
      <c r="C536" s="21"/>
      <c r="D536" s="56"/>
      <c r="E536" s="14"/>
      <c r="F536" s="14"/>
      <c r="G536" s="14"/>
      <c r="H536" s="83">
        <f t="shared" si="34"/>
        <v>0</v>
      </c>
      <c r="I536" s="80"/>
      <c r="J536" s="80"/>
      <c r="K536" s="7" t="str">
        <f>IF($B536="","",IFERROR(INDEX(Connaissements!$B$3:$B$202,MATCH($B536,Connaissements!$A$3:$A$202,0)),""))</f>
        <v/>
      </c>
      <c r="L536" s="7" t="str">
        <f>IF($B536="","",IFERROR(INDEX(Connaissements!$G$3:$G$202,MATCH($B536,Connaissements!$A$3:$A$202,0)),""))</f>
        <v/>
      </c>
      <c r="M536" s="7" t="str">
        <f t="shared" si="31"/>
        <v/>
      </c>
      <c r="N536" s="7" t="str">
        <f t="shared" ca="1" si="32"/>
        <v/>
      </c>
      <c r="O536" s="13"/>
      <c r="P536" s="29" t="str">
        <f t="shared" ca="1" si="33"/>
        <v/>
      </c>
      <c r="Q536" s="30" t="str">
        <f>IF($K536="","",IFERROR(IF(INDEX(Bookings!$G$3:$G$202,MATCH($K536,Bookings!$A$3:$A$202,0))="","",INDEX(Bookings!$G$3:$G$202,MATCH($K536,Bookings!$A$3:$A$202,0))),""))</f>
        <v/>
      </c>
    </row>
    <row r="537" spans="1:17" hidden="1" x14ac:dyDescent="0.35">
      <c r="A537" s="81"/>
      <c r="B537" s="81"/>
      <c r="C537" s="21"/>
      <c r="D537" s="56"/>
      <c r="E537" s="14"/>
      <c r="F537" s="14"/>
      <c r="G537" s="14"/>
      <c r="H537" s="83">
        <f t="shared" si="34"/>
        <v>0</v>
      </c>
      <c r="I537" s="80"/>
      <c r="J537" s="80"/>
      <c r="K537" s="7" t="str">
        <f>IF($B537="","",IFERROR(INDEX(Connaissements!$B$3:$B$202,MATCH($B537,Connaissements!$A$3:$A$202,0)),""))</f>
        <v/>
      </c>
      <c r="L537" s="7" t="str">
        <f>IF($B537="","",IFERROR(INDEX(Connaissements!$G$3:$G$202,MATCH($B537,Connaissements!$A$3:$A$202,0)),""))</f>
        <v/>
      </c>
      <c r="M537" s="7" t="str">
        <f t="shared" si="31"/>
        <v/>
      </c>
      <c r="N537" s="7" t="str">
        <f t="shared" ca="1" si="32"/>
        <v/>
      </c>
      <c r="O537" s="13"/>
      <c r="P537" s="29" t="str">
        <f t="shared" ca="1" si="33"/>
        <v/>
      </c>
      <c r="Q537" s="30" t="str">
        <f>IF($K537="","",IFERROR(IF(INDEX(Bookings!$G$3:$G$202,MATCH($K537,Bookings!$A$3:$A$202,0))="","",INDEX(Bookings!$G$3:$G$202,MATCH($K537,Bookings!$A$3:$A$202,0))),""))</f>
        <v/>
      </c>
    </row>
    <row r="538" spans="1:17" hidden="1" x14ac:dyDescent="0.35">
      <c r="A538" s="81"/>
      <c r="B538" s="81"/>
      <c r="C538" s="21"/>
      <c r="D538" s="56"/>
      <c r="E538" s="14"/>
      <c r="F538" s="14"/>
      <c r="G538" s="14"/>
      <c r="H538" s="83">
        <f t="shared" si="34"/>
        <v>0</v>
      </c>
      <c r="I538" s="80"/>
      <c r="J538" s="80"/>
      <c r="K538" s="7" t="str">
        <f>IF($B538="","",IFERROR(INDEX(Connaissements!$B$3:$B$202,MATCH($B538,Connaissements!$A$3:$A$202,0)),""))</f>
        <v/>
      </c>
      <c r="L538" s="7" t="str">
        <f>IF($B538="","",IFERROR(INDEX(Connaissements!$G$3:$G$202,MATCH($B538,Connaissements!$A$3:$A$202,0)),""))</f>
        <v/>
      </c>
      <c r="M538" s="7" t="str">
        <f t="shared" si="31"/>
        <v/>
      </c>
      <c r="N538" s="7" t="str">
        <f t="shared" ca="1" si="32"/>
        <v/>
      </c>
      <c r="O538" s="13"/>
      <c r="P538" s="29" t="str">
        <f t="shared" ca="1" si="33"/>
        <v/>
      </c>
      <c r="Q538" s="30" t="str">
        <f>IF($K538="","",IFERROR(IF(INDEX(Bookings!$G$3:$G$202,MATCH($K538,Bookings!$A$3:$A$202,0))="","",INDEX(Bookings!$G$3:$G$202,MATCH($K538,Bookings!$A$3:$A$202,0))),""))</f>
        <v/>
      </c>
    </row>
    <row r="539" spans="1:17" hidden="1" x14ac:dyDescent="0.35">
      <c r="A539" s="81"/>
      <c r="B539" s="81"/>
      <c r="C539" s="21"/>
      <c r="D539" s="56"/>
      <c r="E539" s="14"/>
      <c r="F539" s="14"/>
      <c r="G539" s="14"/>
      <c r="H539" s="83">
        <f t="shared" si="34"/>
        <v>0</v>
      </c>
      <c r="I539" s="80"/>
      <c r="J539" s="80"/>
      <c r="K539" s="7" t="str">
        <f>IF($B539="","",IFERROR(INDEX(Connaissements!$B$3:$B$202,MATCH($B539,Connaissements!$A$3:$A$202,0)),""))</f>
        <v/>
      </c>
      <c r="L539" s="7" t="str">
        <f>IF($B539="","",IFERROR(INDEX(Connaissements!$G$3:$G$202,MATCH($B539,Connaissements!$A$3:$A$202,0)),""))</f>
        <v/>
      </c>
      <c r="M539" s="7" t="str">
        <f t="shared" si="31"/>
        <v/>
      </c>
      <c r="N539" s="7" t="str">
        <f t="shared" ca="1" si="32"/>
        <v/>
      </c>
      <c r="O539" s="13"/>
      <c r="P539" s="29" t="str">
        <f t="shared" ca="1" si="33"/>
        <v/>
      </c>
      <c r="Q539" s="30" t="str">
        <f>IF($K539="","",IFERROR(IF(INDEX(Bookings!$G$3:$G$202,MATCH($K539,Bookings!$A$3:$A$202,0))="","",INDEX(Bookings!$G$3:$G$202,MATCH($K539,Bookings!$A$3:$A$202,0))),""))</f>
        <v/>
      </c>
    </row>
    <row r="540" spans="1:17" hidden="1" x14ac:dyDescent="0.35">
      <c r="A540" s="81"/>
      <c r="B540" s="81"/>
      <c r="C540" s="21"/>
      <c r="D540" s="56"/>
      <c r="E540" s="14"/>
      <c r="F540" s="14"/>
      <c r="G540" s="14"/>
      <c r="H540" s="83">
        <f t="shared" si="34"/>
        <v>0</v>
      </c>
      <c r="I540" s="80"/>
      <c r="J540" s="80"/>
      <c r="K540" s="7" t="str">
        <f>IF($B540="","",IFERROR(INDEX(Connaissements!$B$3:$B$202,MATCH($B540,Connaissements!$A$3:$A$202,0)),""))</f>
        <v/>
      </c>
      <c r="L540" s="7" t="str">
        <f>IF($B540="","",IFERROR(INDEX(Connaissements!$G$3:$G$202,MATCH($B540,Connaissements!$A$3:$A$202,0)),""))</f>
        <v/>
      </c>
      <c r="M540" s="7" t="str">
        <f t="shared" si="31"/>
        <v/>
      </c>
      <c r="N540" s="7" t="str">
        <f t="shared" ca="1" si="32"/>
        <v/>
      </c>
      <c r="O540" s="13"/>
      <c r="P540" s="29" t="str">
        <f t="shared" ca="1" si="33"/>
        <v/>
      </c>
      <c r="Q540" s="30" t="str">
        <f>IF($K540="","",IFERROR(IF(INDEX(Bookings!$G$3:$G$202,MATCH($K540,Bookings!$A$3:$A$202,0))="","",INDEX(Bookings!$G$3:$G$202,MATCH($K540,Bookings!$A$3:$A$202,0))),""))</f>
        <v/>
      </c>
    </row>
    <row r="541" spans="1:17" hidden="1" x14ac:dyDescent="0.35">
      <c r="A541" s="81"/>
      <c r="B541" s="81"/>
      <c r="C541" s="21"/>
      <c r="D541" s="56"/>
      <c r="E541" s="14"/>
      <c r="F541" s="14"/>
      <c r="G541" s="14"/>
      <c r="H541" s="83">
        <f t="shared" si="34"/>
        <v>0</v>
      </c>
      <c r="I541" s="80"/>
      <c r="J541" s="80"/>
      <c r="K541" s="7" t="str">
        <f>IF($B541="","",IFERROR(INDEX(Connaissements!$B$3:$B$202,MATCH($B541,Connaissements!$A$3:$A$202,0)),""))</f>
        <v/>
      </c>
      <c r="L541" s="7" t="str">
        <f>IF($B541="","",IFERROR(INDEX(Connaissements!$G$3:$G$202,MATCH($B541,Connaissements!$A$3:$A$202,0)),""))</f>
        <v/>
      </c>
      <c r="M541" s="7" t="str">
        <f t="shared" si="31"/>
        <v/>
      </c>
      <c r="N541" s="7" t="str">
        <f t="shared" ca="1" si="32"/>
        <v/>
      </c>
      <c r="O541" s="13"/>
      <c r="P541" s="29" t="str">
        <f t="shared" ca="1" si="33"/>
        <v/>
      </c>
      <c r="Q541" s="30" t="str">
        <f>IF($K541="","",IFERROR(IF(INDEX(Bookings!$G$3:$G$202,MATCH($K541,Bookings!$A$3:$A$202,0))="","",INDEX(Bookings!$G$3:$G$202,MATCH($K541,Bookings!$A$3:$A$202,0))),""))</f>
        <v/>
      </c>
    </row>
    <row r="542" spans="1:17" hidden="1" x14ac:dyDescent="0.35">
      <c r="A542" s="81"/>
      <c r="B542" s="81"/>
      <c r="C542" s="21"/>
      <c r="D542" s="56"/>
      <c r="E542" s="14"/>
      <c r="F542" s="14"/>
      <c r="G542" s="14"/>
      <c r="H542" s="83">
        <f t="shared" si="34"/>
        <v>0</v>
      </c>
      <c r="I542" s="80"/>
      <c r="J542" s="80"/>
      <c r="K542" s="7" t="str">
        <f>IF($B542="","",IFERROR(INDEX(Connaissements!$B$3:$B$202,MATCH($B542,Connaissements!$A$3:$A$202,0)),""))</f>
        <v/>
      </c>
      <c r="L542" s="7" t="str">
        <f>IF($B542="","",IFERROR(INDEX(Connaissements!$G$3:$G$202,MATCH($B542,Connaissements!$A$3:$A$202,0)),""))</f>
        <v/>
      </c>
      <c r="M542" s="7" t="str">
        <f t="shared" si="31"/>
        <v/>
      </c>
      <c r="N542" s="7" t="str">
        <f t="shared" ca="1" si="32"/>
        <v/>
      </c>
      <c r="O542" s="13"/>
      <c r="P542" s="29" t="str">
        <f t="shared" ca="1" si="33"/>
        <v/>
      </c>
      <c r="Q542" s="30" t="str">
        <f>IF($K542="","",IFERROR(IF(INDEX(Bookings!$G$3:$G$202,MATCH($K542,Bookings!$A$3:$A$202,0))="","",INDEX(Bookings!$G$3:$G$202,MATCH($K542,Bookings!$A$3:$A$202,0))),""))</f>
        <v/>
      </c>
    </row>
    <row r="543" spans="1:17" hidden="1" x14ac:dyDescent="0.35">
      <c r="A543" s="81"/>
      <c r="B543" s="81"/>
      <c r="C543" s="21"/>
      <c r="D543" s="56"/>
      <c r="E543" s="14"/>
      <c r="F543" s="14"/>
      <c r="G543" s="14"/>
      <c r="H543" s="83">
        <f t="shared" si="34"/>
        <v>0</v>
      </c>
      <c r="I543" s="80"/>
      <c r="J543" s="80"/>
      <c r="K543" s="7" t="str">
        <f>IF($B543="","",IFERROR(INDEX(Connaissements!$B$3:$B$202,MATCH($B543,Connaissements!$A$3:$A$202,0)),""))</f>
        <v/>
      </c>
      <c r="L543" s="7" t="str">
        <f>IF($B543="","",IFERROR(INDEX(Connaissements!$G$3:$G$202,MATCH($B543,Connaissements!$A$3:$A$202,0)),""))</f>
        <v/>
      </c>
      <c r="M543" s="7" t="str">
        <f t="shared" si="31"/>
        <v/>
      </c>
      <c r="N543" s="7" t="str">
        <f t="shared" ca="1" si="32"/>
        <v/>
      </c>
      <c r="O543" s="13"/>
      <c r="P543" s="29" t="str">
        <f t="shared" ca="1" si="33"/>
        <v/>
      </c>
      <c r="Q543" s="30" t="str">
        <f>IF($K543="","",IFERROR(IF(INDEX(Bookings!$G$3:$G$202,MATCH($K543,Bookings!$A$3:$A$202,0))="","",INDEX(Bookings!$G$3:$G$202,MATCH($K543,Bookings!$A$3:$A$202,0))),""))</f>
        <v/>
      </c>
    </row>
    <row r="544" spans="1:17" hidden="1" x14ac:dyDescent="0.35">
      <c r="A544" s="81"/>
      <c r="B544" s="81"/>
      <c r="C544" s="21"/>
      <c r="D544" s="56"/>
      <c r="E544" s="14"/>
      <c r="F544" s="14"/>
      <c r="G544" s="14"/>
      <c r="H544" s="83">
        <f t="shared" si="34"/>
        <v>0</v>
      </c>
      <c r="I544" s="80"/>
      <c r="J544" s="80"/>
      <c r="K544" s="7" t="str">
        <f>IF($B544="","",IFERROR(INDEX(Connaissements!$B$3:$B$202,MATCH($B544,Connaissements!$A$3:$A$202,0)),""))</f>
        <v/>
      </c>
      <c r="L544" s="7" t="str">
        <f>IF($B544="","",IFERROR(INDEX(Connaissements!$G$3:$G$202,MATCH($B544,Connaissements!$A$3:$A$202,0)),""))</f>
        <v/>
      </c>
      <c r="M544" s="7" t="str">
        <f t="shared" si="31"/>
        <v/>
      </c>
      <c r="N544" s="7" t="str">
        <f t="shared" ca="1" si="32"/>
        <v/>
      </c>
      <c r="O544" s="13"/>
      <c r="P544" s="29" t="str">
        <f t="shared" ca="1" si="33"/>
        <v/>
      </c>
      <c r="Q544" s="30" t="str">
        <f>IF($K544="","",IFERROR(IF(INDEX(Bookings!$G$3:$G$202,MATCH($K544,Bookings!$A$3:$A$202,0))="","",INDEX(Bookings!$G$3:$G$202,MATCH($K544,Bookings!$A$3:$A$202,0))),""))</f>
        <v/>
      </c>
    </row>
    <row r="545" spans="1:17" hidden="1" x14ac:dyDescent="0.35">
      <c r="A545" s="81"/>
      <c r="B545" s="81"/>
      <c r="C545" s="21"/>
      <c r="D545" s="56"/>
      <c r="E545" s="14"/>
      <c r="F545" s="14"/>
      <c r="G545" s="14"/>
      <c r="H545" s="83">
        <f t="shared" si="34"/>
        <v>0</v>
      </c>
      <c r="I545" s="80"/>
      <c r="J545" s="80"/>
      <c r="K545" s="7" t="str">
        <f>IF($B545="","",IFERROR(INDEX(Connaissements!$B$3:$B$202,MATCH($B545,Connaissements!$A$3:$A$202,0)),""))</f>
        <v/>
      </c>
      <c r="L545" s="7" t="str">
        <f>IF($B545="","",IFERROR(INDEX(Connaissements!$G$3:$G$202,MATCH($B545,Connaissements!$A$3:$A$202,0)),""))</f>
        <v/>
      </c>
      <c r="M545" s="7" t="str">
        <f t="shared" si="31"/>
        <v/>
      </c>
      <c r="N545" s="7" t="str">
        <f t="shared" ca="1" si="32"/>
        <v/>
      </c>
      <c r="O545" s="13"/>
      <c r="P545" s="29" t="str">
        <f t="shared" ca="1" si="33"/>
        <v/>
      </c>
      <c r="Q545" s="30" t="str">
        <f>IF($K545="","",IFERROR(IF(INDEX(Bookings!$G$3:$G$202,MATCH($K545,Bookings!$A$3:$A$202,0))="","",INDEX(Bookings!$G$3:$G$202,MATCH($K545,Bookings!$A$3:$A$202,0))),""))</f>
        <v/>
      </c>
    </row>
    <row r="546" spans="1:17" hidden="1" x14ac:dyDescent="0.35">
      <c r="A546" s="81"/>
      <c r="B546" s="81"/>
      <c r="C546" s="21"/>
      <c r="D546" s="56"/>
      <c r="E546" s="14"/>
      <c r="F546" s="14"/>
      <c r="G546" s="14"/>
      <c r="H546" s="83">
        <f t="shared" si="34"/>
        <v>0</v>
      </c>
      <c r="I546" s="80"/>
      <c r="J546" s="80"/>
      <c r="K546" s="7" t="str">
        <f>IF($B546="","",IFERROR(INDEX(Connaissements!$B$3:$B$202,MATCH($B546,Connaissements!$A$3:$A$202,0)),""))</f>
        <v/>
      </c>
      <c r="L546" s="7" t="str">
        <f>IF($B546="","",IFERROR(INDEX(Connaissements!$G$3:$G$202,MATCH($B546,Connaissements!$A$3:$A$202,0)),""))</f>
        <v/>
      </c>
      <c r="M546" s="7" t="str">
        <f t="shared" si="31"/>
        <v/>
      </c>
      <c r="N546" s="7" t="str">
        <f t="shared" ca="1" si="32"/>
        <v/>
      </c>
      <c r="O546" s="13"/>
      <c r="P546" s="29" t="str">
        <f t="shared" ca="1" si="33"/>
        <v/>
      </c>
      <c r="Q546" s="30" t="str">
        <f>IF($K546="","",IFERROR(IF(INDEX(Bookings!$G$3:$G$202,MATCH($K546,Bookings!$A$3:$A$202,0))="","",INDEX(Bookings!$G$3:$G$202,MATCH($K546,Bookings!$A$3:$A$202,0))),""))</f>
        <v/>
      </c>
    </row>
    <row r="547" spans="1:17" hidden="1" x14ac:dyDescent="0.35">
      <c r="A547" s="81"/>
      <c r="B547" s="81"/>
      <c r="C547" s="21"/>
      <c r="D547" s="56"/>
      <c r="E547" s="14"/>
      <c r="F547" s="14"/>
      <c r="G547" s="14"/>
      <c r="H547" s="83">
        <f t="shared" si="34"/>
        <v>0</v>
      </c>
      <c r="I547" s="80"/>
      <c r="J547" s="80"/>
      <c r="K547" s="7" t="str">
        <f>IF($B547="","",IFERROR(INDEX(Connaissements!$B$3:$B$202,MATCH($B547,Connaissements!$A$3:$A$202,0)),""))</f>
        <v/>
      </c>
      <c r="L547" s="7" t="str">
        <f>IF($B547="","",IFERROR(INDEX(Connaissements!$G$3:$G$202,MATCH($B547,Connaissements!$A$3:$A$202,0)),""))</f>
        <v/>
      </c>
      <c r="M547" s="7" t="str">
        <f t="shared" si="31"/>
        <v/>
      </c>
      <c r="N547" s="7" t="str">
        <f t="shared" ca="1" si="32"/>
        <v/>
      </c>
      <c r="O547" s="13"/>
      <c r="P547" s="29" t="str">
        <f t="shared" ca="1" si="33"/>
        <v/>
      </c>
      <c r="Q547" s="30" t="str">
        <f>IF($K547="","",IFERROR(IF(INDEX(Bookings!$G$3:$G$202,MATCH($K547,Bookings!$A$3:$A$202,0))="","",INDEX(Bookings!$G$3:$G$202,MATCH($K547,Bookings!$A$3:$A$202,0))),""))</f>
        <v/>
      </c>
    </row>
    <row r="548" spans="1:17" hidden="1" x14ac:dyDescent="0.35">
      <c r="A548" s="81"/>
      <c r="B548" s="81"/>
      <c r="C548" s="21"/>
      <c r="D548" s="56"/>
      <c r="E548" s="14"/>
      <c r="F548" s="14"/>
      <c r="G548" s="14"/>
      <c r="H548" s="83">
        <f t="shared" si="34"/>
        <v>0</v>
      </c>
      <c r="I548" s="80"/>
      <c r="J548" s="80"/>
      <c r="K548" s="7" t="str">
        <f>IF($B548="","",IFERROR(INDEX(Connaissements!$B$3:$B$202,MATCH($B548,Connaissements!$A$3:$A$202,0)),""))</f>
        <v/>
      </c>
      <c r="L548" s="7" t="str">
        <f>IF($B548="","",IFERROR(INDEX(Connaissements!$G$3:$G$202,MATCH($B548,Connaissements!$A$3:$A$202,0)),""))</f>
        <v/>
      </c>
      <c r="M548" s="7" t="str">
        <f t="shared" si="31"/>
        <v/>
      </c>
      <c r="N548" s="7" t="str">
        <f t="shared" ca="1" si="32"/>
        <v/>
      </c>
      <c r="O548" s="13"/>
      <c r="P548" s="29" t="str">
        <f t="shared" ca="1" si="33"/>
        <v/>
      </c>
      <c r="Q548" s="30" t="str">
        <f>IF($K548="","",IFERROR(IF(INDEX(Bookings!$G$3:$G$202,MATCH($K548,Bookings!$A$3:$A$202,0))="","",INDEX(Bookings!$G$3:$G$202,MATCH($K548,Bookings!$A$3:$A$202,0))),""))</f>
        <v/>
      </c>
    </row>
    <row r="549" spans="1:17" hidden="1" x14ac:dyDescent="0.35">
      <c r="A549" s="81"/>
      <c r="B549" s="81"/>
      <c r="C549" s="21"/>
      <c r="D549" s="56"/>
      <c r="E549" s="14"/>
      <c r="F549" s="14"/>
      <c r="G549" s="14"/>
      <c r="H549" s="83">
        <f t="shared" si="34"/>
        <v>0</v>
      </c>
      <c r="I549" s="80"/>
      <c r="J549" s="80"/>
      <c r="K549" s="7" t="str">
        <f>IF($B549="","",IFERROR(INDEX(Connaissements!$B$3:$B$202,MATCH($B549,Connaissements!$A$3:$A$202,0)),""))</f>
        <v/>
      </c>
      <c r="L549" s="7" t="str">
        <f>IF($B549="","",IFERROR(INDEX(Connaissements!$G$3:$G$202,MATCH($B549,Connaissements!$A$3:$A$202,0)),""))</f>
        <v/>
      </c>
      <c r="M549" s="7" t="str">
        <f t="shared" si="31"/>
        <v/>
      </c>
      <c r="N549" s="7" t="str">
        <f t="shared" ca="1" si="32"/>
        <v/>
      </c>
      <c r="O549" s="13"/>
      <c r="P549" s="29" t="str">
        <f t="shared" ca="1" si="33"/>
        <v/>
      </c>
      <c r="Q549" s="30" t="str">
        <f>IF($K549="","",IFERROR(IF(INDEX(Bookings!$G$3:$G$202,MATCH($K549,Bookings!$A$3:$A$202,0))="","",INDEX(Bookings!$G$3:$G$202,MATCH($K549,Bookings!$A$3:$A$202,0))),""))</f>
        <v/>
      </c>
    </row>
    <row r="550" spans="1:17" hidden="1" x14ac:dyDescent="0.35">
      <c r="A550" s="81"/>
      <c r="B550" s="81"/>
      <c r="C550" s="21"/>
      <c r="D550" s="56"/>
      <c r="E550" s="14"/>
      <c r="F550" s="14"/>
      <c r="G550" s="14"/>
      <c r="H550" s="83">
        <f t="shared" si="34"/>
        <v>0</v>
      </c>
      <c r="I550" s="80"/>
      <c r="J550" s="80"/>
      <c r="K550" s="7" t="str">
        <f>IF($B550="","",IFERROR(INDEX(Connaissements!$B$3:$B$202,MATCH($B550,Connaissements!$A$3:$A$202,0)),""))</f>
        <v/>
      </c>
      <c r="L550" s="7" t="str">
        <f>IF($B550="","",IFERROR(INDEX(Connaissements!$G$3:$G$202,MATCH($B550,Connaissements!$A$3:$A$202,0)),""))</f>
        <v/>
      </c>
      <c r="M550" s="7" t="str">
        <f t="shared" si="31"/>
        <v/>
      </c>
      <c r="N550" s="7" t="str">
        <f t="shared" ca="1" si="32"/>
        <v/>
      </c>
      <c r="O550" s="13"/>
      <c r="P550" s="29" t="str">
        <f t="shared" ca="1" si="33"/>
        <v/>
      </c>
      <c r="Q550" s="30" t="str">
        <f>IF($K550="","",IFERROR(IF(INDEX(Bookings!$G$3:$G$202,MATCH($K550,Bookings!$A$3:$A$202,0))="","",INDEX(Bookings!$G$3:$G$202,MATCH($K550,Bookings!$A$3:$A$202,0))),""))</f>
        <v/>
      </c>
    </row>
    <row r="551" spans="1:17" hidden="1" x14ac:dyDescent="0.35">
      <c r="A551" s="81"/>
      <c r="B551" s="81"/>
      <c r="C551" s="21"/>
      <c r="D551" s="56"/>
      <c r="E551" s="14"/>
      <c r="F551" s="14"/>
      <c r="G551" s="14"/>
      <c r="H551" s="83">
        <f t="shared" si="34"/>
        <v>0</v>
      </c>
      <c r="I551" s="80"/>
      <c r="J551" s="80"/>
      <c r="K551" s="7" t="str">
        <f>IF($B551="","",IFERROR(INDEX(Connaissements!$B$3:$B$202,MATCH($B551,Connaissements!$A$3:$A$202,0)),""))</f>
        <v/>
      </c>
      <c r="L551" s="7" t="str">
        <f>IF($B551="","",IFERROR(INDEX(Connaissements!$G$3:$G$202,MATCH($B551,Connaissements!$A$3:$A$202,0)),""))</f>
        <v/>
      </c>
      <c r="M551" s="7" t="str">
        <f t="shared" si="31"/>
        <v/>
      </c>
      <c r="N551" s="7" t="str">
        <f t="shared" ca="1" si="32"/>
        <v/>
      </c>
      <c r="O551" s="13"/>
      <c r="P551" s="29" t="str">
        <f t="shared" ca="1" si="33"/>
        <v/>
      </c>
      <c r="Q551" s="30" t="str">
        <f>IF($K551="","",IFERROR(IF(INDEX(Bookings!$G$3:$G$202,MATCH($K551,Bookings!$A$3:$A$202,0))="","",INDEX(Bookings!$G$3:$G$202,MATCH($K551,Bookings!$A$3:$A$202,0))),""))</f>
        <v/>
      </c>
    </row>
    <row r="552" spans="1:17" hidden="1" x14ac:dyDescent="0.35">
      <c r="A552" s="81"/>
      <c r="B552" s="81"/>
      <c r="C552" s="21"/>
      <c r="D552" s="56"/>
      <c r="E552" s="14"/>
      <c r="F552" s="14"/>
      <c r="G552" s="14"/>
      <c r="H552" s="83">
        <f t="shared" si="34"/>
        <v>0</v>
      </c>
      <c r="I552" s="80"/>
      <c r="J552" s="80"/>
      <c r="K552" s="7" t="str">
        <f>IF($B552="","",IFERROR(INDEX(Connaissements!$B$3:$B$202,MATCH($B552,Connaissements!$A$3:$A$202,0)),""))</f>
        <v/>
      </c>
      <c r="L552" s="7" t="str">
        <f>IF($B552="","",IFERROR(INDEX(Connaissements!$G$3:$G$202,MATCH($B552,Connaissements!$A$3:$A$202,0)),""))</f>
        <v/>
      </c>
      <c r="M552" s="7" t="str">
        <f t="shared" si="31"/>
        <v/>
      </c>
      <c r="N552" s="7" t="str">
        <f t="shared" ca="1" si="32"/>
        <v/>
      </c>
      <c r="O552" s="13"/>
      <c r="P552" s="29" t="str">
        <f t="shared" ca="1" si="33"/>
        <v/>
      </c>
      <c r="Q552" s="30" t="str">
        <f>IF($K552="","",IFERROR(IF(INDEX(Bookings!$G$3:$G$202,MATCH($K552,Bookings!$A$3:$A$202,0))="","",INDEX(Bookings!$G$3:$G$202,MATCH($K552,Bookings!$A$3:$A$202,0))),""))</f>
        <v/>
      </c>
    </row>
    <row r="553" spans="1:17" hidden="1" x14ac:dyDescent="0.35">
      <c r="A553" s="81"/>
      <c r="B553" s="81"/>
      <c r="C553" s="21"/>
      <c r="D553" s="56"/>
      <c r="E553" s="14"/>
      <c r="F553" s="14"/>
      <c r="G553" s="14"/>
      <c r="H553" s="83">
        <f t="shared" si="34"/>
        <v>0</v>
      </c>
      <c r="I553" s="80"/>
      <c r="J553" s="80"/>
      <c r="K553" s="7" t="str">
        <f>IF($B553="","",IFERROR(INDEX(Connaissements!$B$3:$B$202,MATCH($B553,Connaissements!$A$3:$A$202,0)),""))</f>
        <v/>
      </c>
      <c r="L553" s="7" t="str">
        <f>IF($B553="","",IFERROR(INDEX(Connaissements!$G$3:$G$202,MATCH($B553,Connaissements!$A$3:$A$202,0)),""))</f>
        <v/>
      </c>
      <c r="M553" s="7" t="str">
        <f t="shared" si="31"/>
        <v/>
      </c>
      <c r="N553" s="7" t="str">
        <f t="shared" ca="1" si="32"/>
        <v/>
      </c>
      <c r="O553" s="13"/>
      <c r="P553" s="29" t="str">
        <f t="shared" ca="1" si="33"/>
        <v/>
      </c>
      <c r="Q553" s="30" t="str">
        <f>IF($K553="","",IFERROR(IF(INDEX(Bookings!$G$3:$G$202,MATCH($K553,Bookings!$A$3:$A$202,0))="","",INDEX(Bookings!$G$3:$G$202,MATCH($K553,Bookings!$A$3:$A$202,0))),""))</f>
        <v/>
      </c>
    </row>
    <row r="554" spans="1:17" hidden="1" x14ac:dyDescent="0.35">
      <c r="A554" s="81"/>
      <c r="B554" s="81"/>
      <c r="C554" s="21"/>
      <c r="D554" s="56"/>
      <c r="E554" s="14"/>
      <c r="F554" s="14"/>
      <c r="G554" s="14"/>
      <c r="H554" s="83">
        <f t="shared" si="34"/>
        <v>0</v>
      </c>
      <c r="I554" s="80"/>
      <c r="J554" s="80"/>
      <c r="K554" s="7" t="str">
        <f>IF($B554="","",IFERROR(INDEX(Connaissements!$B$3:$B$202,MATCH($B554,Connaissements!$A$3:$A$202,0)),""))</f>
        <v/>
      </c>
      <c r="L554" s="7" t="str">
        <f>IF($B554="","",IFERROR(INDEX(Connaissements!$G$3:$G$202,MATCH($B554,Connaissements!$A$3:$A$202,0)),""))</f>
        <v/>
      </c>
      <c r="M554" s="7" t="str">
        <f t="shared" si="31"/>
        <v/>
      </c>
      <c r="N554" s="7" t="str">
        <f t="shared" ca="1" si="32"/>
        <v/>
      </c>
      <c r="O554" s="13"/>
      <c r="P554" s="29" t="str">
        <f t="shared" ca="1" si="33"/>
        <v/>
      </c>
      <c r="Q554" s="30" t="str">
        <f>IF($K554="","",IFERROR(IF(INDEX(Bookings!$G$3:$G$202,MATCH($K554,Bookings!$A$3:$A$202,0))="","",INDEX(Bookings!$G$3:$G$202,MATCH($K554,Bookings!$A$3:$A$202,0))),""))</f>
        <v/>
      </c>
    </row>
    <row r="555" spans="1:17" hidden="1" x14ac:dyDescent="0.35">
      <c r="A555" s="81"/>
      <c r="B555" s="81"/>
      <c r="C555" s="21"/>
      <c r="D555" s="56"/>
      <c r="E555" s="14"/>
      <c r="F555" s="14"/>
      <c r="G555" s="14"/>
      <c r="H555" s="83">
        <f t="shared" si="34"/>
        <v>0</v>
      </c>
      <c r="I555" s="80"/>
      <c r="J555" s="80"/>
      <c r="K555" s="7" t="str">
        <f>IF($B555="","",IFERROR(INDEX(Connaissements!$B$3:$B$202,MATCH($B555,Connaissements!$A$3:$A$202,0)),""))</f>
        <v/>
      </c>
      <c r="L555" s="7" t="str">
        <f>IF($B555="","",IFERROR(INDEX(Connaissements!$G$3:$G$202,MATCH($B555,Connaissements!$A$3:$A$202,0)),""))</f>
        <v/>
      </c>
      <c r="M555" s="7" t="str">
        <f t="shared" si="31"/>
        <v/>
      </c>
      <c r="N555" s="7" t="str">
        <f t="shared" ca="1" si="32"/>
        <v/>
      </c>
      <c r="O555" s="13"/>
      <c r="P555" s="29" t="str">
        <f t="shared" ca="1" si="33"/>
        <v/>
      </c>
      <c r="Q555" s="30" t="str">
        <f>IF($K555="","",IFERROR(IF(INDEX(Bookings!$G$3:$G$202,MATCH($K555,Bookings!$A$3:$A$202,0))="","",INDEX(Bookings!$G$3:$G$202,MATCH($K555,Bookings!$A$3:$A$202,0))),""))</f>
        <v/>
      </c>
    </row>
    <row r="556" spans="1:17" hidden="1" x14ac:dyDescent="0.35">
      <c r="A556" s="81"/>
      <c r="B556" s="81"/>
      <c r="C556" s="21"/>
      <c r="D556" s="56"/>
      <c r="E556" s="14"/>
      <c r="F556" s="14"/>
      <c r="G556" s="14"/>
      <c r="H556" s="83">
        <f t="shared" si="34"/>
        <v>0</v>
      </c>
      <c r="I556" s="80"/>
      <c r="J556" s="80"/>
      <c r="K556" s="7" t="str">
        <f>IF($B556="","",IFERROR(INDEX(Connaissements!$B$3:$B$202,MATCH($B556,Connaissements!$A$3:$A$202,0)),""))</f>
        <v/>
      </c>
      <c r="L556" s="7" t="str">
        <f>IF($B556="","",IFERROR(INDEX(Connaissements!$G$3:$G$202,MATCH($B556,Connaissements!$A$3:$A$202,0)),""))</f>
        <v/>
      </c>
      <c r="M556" s="7" t="str">
        <f t="shared" si="31"/>
        <v/>
      </c>
      <c r="N556" s="7" t="str">
        <f t="shared" ca="1" si="32"/>
        <v/>
      </c>
      <c r="O556" s="13"/>
      <c r="P556" s="29" t="str">
        <f t="shared" ca="1" si="33"/>
        <v/>
      </c>
      <c r="Q556" s="30" t="str">
        <f>IF($K556="","",IFERROR(IF(INDEX(Bookings!$G$3:$G$202,MATCH($K556,Bookings!$A$3:$A$202,0))="","",INDEX(Bookings!$G$3:$G$202,MATCH($K556,Bookings!$A$3:$A$202,0))),""))</f>
        <v/>
      </c>
    </row>
    <row r="557" spans="1:17" hidden="1" x14ac:dyDescent="0.35">
      <c r="A557" s="81"/>
      <c r="B557" s="81"/>
      <c r="C557" s="21"/>
      <c r="D557" s="56"/>
      <c r="E557" s="14"/>
      <c r="F557" s="14"/>
      <c r="G557" s="14"/>
      <c r="H557" s="83">
        <f t="shared" si="34"/>
        <v>0</v>
      </c>
      <c r="I557" s="80"/>
      <c r="J557" s="80"/>
      <c r="K557" s="7" t="str">
        <f>IF($B557="","",IFERROR(INDEX(Connaissements!$B$3:$B$202,MATCH($B557,Connaissements!$A$3:$A$202,0)),""))</f>
        <v/>
      </c>
      <c r="L557" s="7" t="str">
        <f>IF($B557="","",IFERROR(INDEX(Connaissements!$G$3:$G$202,MATCH($B557,Connaissements!$A$3:$A$202,0)),""))</f>
        <v/>
      </c>
      <c r="M557" s="7" t="str">
        <f t="shared" si="31"/>
        <v/>
      </c>
      <c r="N557" s="7" t="str">
        <f t="shared" ca="1" si="32"/>
        <v/>
      </c>
      <c r="O557" s="13"/>
      <c r="P557" s="29" t="str">
        <f t="shared" ca="1" si="33"/>
        <v/>
      </c>
      <c r="Q557" s="30" t="str">
        <f>IF($K557="","",IFERROR(IF(INDEX(Bookings!$G$3:$G$202,MATCH($K557,Bookings!$A$3:$A$202,0))="","",INDEX(Bookings!$G$3:$G$202,MATCH($K557,Bookings!$A$3:$A$202,0))),""))</f>
        <v/>
      </c>
    </row>
    <row r="558" spans="1:17" hidden="1" x14ac:dyDescent="0.35">
      <c r="A558" s="81"/>
      <c r="B558" s="81"/>
      <c r="C558" s="21"/>
      <c r="D558" s="56"/>
      <c r="E558" s="14"/>
      <c r="F558" s="14"/>
      <c r="G558" s="14"/>
      <c r="H558" s="83">
        <f t="shared" si="34"/>
        <v>0</v>
      </c>
      <c r="I558" s="80"/>
      <c r="J558" s="80"/>
      <c r="K558" s="7" t="str">
        <f>IF($B558="","",IFERROR(INDEX(Connaissements!$B$3:$B$202,MATCH($B558,Connaissements!$A$3:$A$202,0)),""))</f>
        <v/>
      </c>
      <c r="L558" s="7" t="str">
        <f>IF($B558="","",IFERROR(INDEX(Connaissements!$G$3:$G$202,MATCH($B558,Connaissements!$A$3:$A$202,0)),""))</f>
        <v/>
      </c>
      <c r="M558" s="7" t="str">
        <f t="shared" si="31"/>
        <v/>
      </c>
      <c r="N558" s="7" t="str">
        <f t="shared" ca="1" si="32"/>
        <v/>
      </c>
      <c r="O558" s="13"/>
      <c r="P558" s="29" t="str">
        <f t="shared" ca="1" si="33"/>
        <v/>
      </c>
      <c r="Q558" s="30" t="str">
        <f>IF($K558="","",IFERROR(IF(INDEX(Bookings!$G$3:$G$202,MATCH($K558,Bookings!$A$3:$A$202,0))="","",INDEX(Bookings!$G$3:$G$202,MATCH($K558,Bookings!$A$3:$A$202,0))),""))</f>
        <v/>
      </c>
    </row>
    <row r="559" spans="1:17" hidden="1" x14ac:dyDescent="0.35">
      <c r="A559" s="81"/>
      <c r="B559" s="81"/>
      <c r="C559" s="21"/>
      <c r="D559" s="56"/>
      <c r="E559" s="14"/>
      <c r="F559" s="14"/>
      <c r="G559" s="14"/>
      <c r="H559" s="83">
        <f t="shared" si="34"/>
        <v>0</v>
      </c>
      <c r="I559" s="80"/>
      <c r="J559" s="80"/>
      <c r="K559" s="7" t="str">
        <f>IF($B559="","",IFERROR(INDEX(Connaissements!$B$3:$B$202,MATCH($B559,Connaissements!$A$3:$A$202,0)),""))</f>
        <v/>
      </c>
      <c r="L559" s="7" t="str">
        <f>IF($B559="","",IFERROR(INDEX(Connaissements!$G$3:$G$202,MATCH($B559,Connaissements!$A$3:$A$202,0)),""))</f>
        <v/>
      </c>
      <c r="M559" s="7" t="str">
        <f t="shared" si="31"/>
        <v/>
      </c>
      <c r="N559" s="7" t="str">
        <f t="shared" ca="1" si="32"/>
        <v/>
      </c>
      <c r="O559" s="13"/>
      <c r="P559" s="29" t="str">
        <f t="shared" ca="1" si="33"/>
        <v/>
      </c>
      <c r="Q559" s="30" t="str">
        <f>IF($K559="","",IFERROR(IF(INDEX(Bookings!$G$3:$G$202,MATCH($K559,Bookings!$A$3:$A$202,0))="","",INDEX(Bookings!$G$3:$G$202,MATCH($K559,Bookings!$A$3:$A$202,0))),""))</f>
        <v/>
      </c>
    </row>
    <row r="560" spans="1:17" hidden="1" x14ac:dyDescent="0.35">
      <c r="A560" s="81"/>
      <c r="B560" s="81"/>
      <c r="C560" s="21"/>
      <c r="D560" s="56"/>
      <c r="E560" s="14"/>
      <c r="F560" s="14"/>
      <c r="G560" s="14"/>
      <c r="H560" s="83">
        <f t="shared" si="34"/>
        <v>0</v>
      </c>
      <c r="I560" s="80"/>
      <c r="J560" s="80"/>
      <c r="K560" s="7" t="str">
        <f>IF($B560="","",IFERROR(INDEX(Connaissements!$B$3:$B$202,MATCH($B560,Connaissements!$A$3:$A$202,0)),""))</f>
        <v/>
      </c>
      <c r="L560" s="7" t="str">
        <f>IF($B560="","",IFERROR(INDEX(Connaissements!$G$3:$G$202,MATCH($B560,Connaissements!$A$3:$A$202,0)),""))</f>
        <v/>
      </c>
      <c r="M560" s="7" t="str">
        <f t="shared" si="31"/>
        <v/>
      </c>
      <c r="N560" s="7" t="str">
        <f t="shared" ca="1" si="32"/>
        <v/>
      </c>
      <c r="O560" s="13"/>
      <c r="P560" s="29" t="str">
        <f t="shared" ca="1" si="33"/>
        <v/>
      </c>
      <c r="Q560" s="30" t="str">
        <f>IF($K560="","",IFERROR(IF(INDEX(Bookings!$G$3:$G$202,MATCH($K560,Bookings!$A$3:$A$202,0))="","",INDEX(Bookings!$G$3:$G$202,MATCH($K560,Bookings!$A$3:$A$202,0))),""))</f>
        <v/>
      </c>
    </row>
    <row r="561" spans="1:17" hidden="1" x14ac:dyDescent="0.35">
      <c r="A561" s="81"/>
      <c r="B561" s="81"/>
      <c r="C561" s="21"/>
      <c r="D561" s="56"/>
      <c r="E561" s="14"/>
      <c r="F561" s="14"/>
      <c r="G561" s="14"/>
      <c r="H561" s="83">
        <f t="shared" si="34"/>
        <v>0</v>
      </c>
      <c r="I561" s="80"/>
      <c r="J561" s="80"/>
      <c r="K561" s="7" t="str">
        <f>IF($B561="","",IFERROR(INDEX(Connaissements!$B$3:$B$202,MATCH($B561,Connaissements!$A$3:$A$202,0)),""))</f>
        <v/>
      </c>
      <c r="L561" s="7" t="str">
        <f>IF($B561="","",IFERROR(INDEX(Connaissements!$G$3:$G$202,MATCH($B561,Connaissements!$A$3:$A$202,0)),""))</f>
        <v/>
      </c>
      <c r="M561" s="7" t="str">
        <f t="shared" si="31"/>
        <v/>
      </c>
      <c r="N561" s="7" t="str">
        <f t="shared" ca="1" si="32"/>
        <v/>
      </c>
      <c r="O561" s="13"/>
      <c r="P561" s="29" t="str">
        <f t="shared" ca="1" si="33"/>
        <v/>
      </c>
      <c r="Q561" s="30" t="str">
        <f>IF($K561="","",IFERROR(IF(INDEX(Bookings!$G$3:$G$202,MATCH($K561,Bookings!$A$3:$A$202,0))="","",INDEX(Bookings!$G$3:$G$202,MATCH($K561,Bookings!$A$3:$A$202,0))),""))</f>
        <v/>
      </c>
    </row>
    <row r="562" spans="1:17" hidden="1" x14ac:dyDescent="0.35">
      <c r="A562" s="81"/>
      <c r="B562" s="81"/>
      <c r="C562" s="21"/>
      <c r="D562" s="56"/>
      <c r="E562" s="14"/>
      <c r="F562" s="14"/>
      <c r="G562" s="14"/>
      <c r="H562" s="83">
        <f t="shared" si="34"/>
        <v>0</v>
      </c>
      <c r="I562" s="80"/>
      <c r="J562" s="80"/>
      <c r="K562" s="7" t="str">
        <f>IF($B562="","",IFERROR(INDEX(Connaissements!$B$3:$B$202,MATCH($B562,Connaissements!$A$3:$A$202,0)),""))</f>
        <v/>
      </c>
      <c r="L562" s="7" t="str">
        <f>IF($B562="","",IFERROR(INDEX(Connaissements!$G$3:$G$202,MATCH($B562,Connaissements!$A$3:$A$202,0)),""))</f>
        <v/>
      </c>
      <c r="M562" s="7" t="str">
        <f t="shared" si="31"/>
        <v/>
      </c>
      <c r="N562" s="7" t="str">
        <f t="shared" ca="1" si="32"/>
        <v/>
      </c>
      <c r="O562" s="13"/>
      <c r="P562" s="29" t="str">
        <f t="shared" ca="1" si="33"/>
        <v/>
      </c>
      <c r="Q562" s="30" t="str">
        <f>IF($K562="","",IFERROR(IF(INDEX(Bookings!$G$3:$G$202,MATCH($K562,Bookings!$A$3:$A$202,0))="","",INDEX(Bookings!$G$3:$G$202,MATCH($K562,Bookings!$A$3:$A$202,0))),""))</f>
        <v/>
      </c>
    </row>
    <row r="563" spans="1:17" hidden="1" x14ac:dyDescent="0.35">
      <c r="A563" s="81"/>
      <c r="B563" s="81"/>
      <c r="C563" s="21"/>
      <c r="D563" s="56"/>
      <c r="E563" s="14"/>
      <c r="F563" s="14"/>
      <c r="G563" s="14"/>
      <c r="H563" s="83">
        <f t="shared" si="34"/>
        <v>0</v>
      </c>
      <c r="I563" s="80"/>
      <c r="J563" s="80"/>
      <c r="K563" s="7" t="str">
        <f>IF($B563="","",IFERROR(INDEX(Connaissements!$B$3:$B$202,MATCH($B563,Connaissements!$A$3:$A$202,0)),""))</f>
        <v/>
      </c>
      <c r="L563" s="7" t="str">
        <f>IF($B563="","",IFERROR(INDEX(Connaissements!$G$3:$G$202,MATCH($B563,Connaissements!$A$3:$A$202,0)),""))</f>
        <v/>
      </c>
      <c r="M563" s="7" t="str">
        <f t="shared" si="31"/>
        <v/>
      </c>
      <c r="N563" s="7" t="str">
        <f t="shared" ca="1" si="32"/>
        <v/>
      </c>
      <c r="O563" s="13"/>
      <c r="P563" s="29" t="str">
        <f t="shared" ca="1" si="33"/>
        <v/>
      </c>
      <c r="Q563" s="30" t="str">
        <f>IF($K563="","",IFERROR(IF(INDEX(Bookings!$G$3:$G$202,MATCH($K563,Bookings!$A$3:$A$202,0))="","",INDEX(Bookings!$G$3:$G$202,MATCH($K563,Bookings!$A$3:$A$202,0))),""))</f>
        <v/>
      </c>
    </row>
    <row r="564" spans="1:17" hidden="1" x14ac:dyDescent="0.35">
      <c r="A564" s="81"/>
      <c r="B564" s="81"/>
      <c r="C564" s="21"/>
      <c r="D564" s="56"/>
      <c r="E564" s="14"/>
      <c r="F564" s="14"/>
      <c r="G564" s="14"/>
      <c r="H564" s="83">
        <f t="shared" si="34"/>
        <v>0</v>
      </c>
      <c r="I564" s="80"/>
      <c r="J564" s="80"/>
      <c r="K564" s="7" t="str">
        <f>IF($B564="","",IFERROR(INDEX(Connaissements!$B$3:$B$202,MATCH($B564,Connaissements!$A$3:$A$202,0)),""))</f>
        <v/>
      </c>
      <c r="L564" s="7" t="str">
        <f>IF($B564="","",IFERROR(INDEX(Connaissements!$G$3:$G$202,MATCH($B564,Connaissements!$A$3:$A$202,0)),""))</f>
        <v/>
      </c>
      <c r="M564" s="7" t="str">
        <f t="shared" si="31"/>
        <v/>
      </c>
      <c r="N564" s="7" t="str">
        <f t="shared" ca="1" si="32"/>
        <v/>
      </c>
      <c r="O564" s="13"/>
      <c r="P564" s="29" t="str">
        <f t="shared" ca="1" si="33"/>
        <v/>
      </c>
      <c r="Q564" s="30" t="str">
        <f>IF($K564="","",IFERROR(IF(INDEX(Bookings!$G$3:$G$202,MATCH($K564,Bookings!$A$3:$A$202,0))="","",INDEX(Bookings!$G$3:$G$202,MATCH($K564,Bookings!$A$3:$A$202,0))),""))</f>
        <v/>
      </c>
    </row>
    <row r="565" spans="1:17" hidden="1" x14ac:dyDescent="0.35">
      <c r="A565" s="81"/>
      <c r="B565" s="81"/>
      <c r="C565" s="21"/>
      <c r="D565" s="56"/>
      <c r="E565" s="14"/>
      <c r="F565" s="14"/>
      <c r="G565" s="14"/>
      <c r="H565" s="83">
        <f t="shared" si="34"/>
        <v>0</v>
      </c>
      <c r="I565" s="80"/>
      <c r="J565" s="80"/>
      <c r="K565" s="7" t="str">
        <f>IF($B565="","",IFERROR(INDEX(Connaissements!$B$3:$B$202,MATCH($B565,Connaissements!$A$3:$A$202,0)),""))</f>
        <v/>
      </c>
      <c r="L565" s="7" t="str">
        <f>IF($B565="","",IFERROR(INDEX(Connaissements!$G$3:$G$202,MATCH($B565,Connaissements!$A$3:$A$202,0)),""))</f>
        <v/>
      </c>
      <c r="M565" s="7" t="str">
        <f t="shared" si="31"/>
        <v/>
      </c>
      <c r="N565" s="7" t="str">
        <f t="shared" ca="1" si="32"/>
        <v/>
      </c>
      <c r="O565" s="13"/>
      <c r="P565" s="29" t="str">
        <f t="shared" ca="1" si="33"/>
        <v/>
      </c>
      <c r="Q565" s="30" t="str">
        <f>IF($K565="","",IFERROR(IF(INDEX(Bookings!$G$3:$G$202,MATCH($K565,Bookings!$A$3:$A$202,0))="","",INDEX(Bookings!$G$3:$G$202,MATCH($K565,Bookings!$A$3:$A$202,0))),""))</f>
        <v/>
      </c>
    </row>
    <row r="566" spans="1:17" hidden="1" x14ac:dyDescent="0.35">
      <c r="A566" s="81"/>
      <c r="B566" s="81"/>
      <c r="C566" s="21"/>
      <c r="D566" s="56"/>
      <c r="E566" s="14"/>
      <c r="F566" s="14"/>
      <c r="G566" s="14"/>
      <c r="H566" s="83">
        <f t="shared" si="34"/>
        <v>0</v>
      </c>
      <c r="I566" s="80"/>
      <c r="J566" s="80"/>
      <c r="K566" s="7" t="str">
        <f>IF($B566="","",IFERROR(INDEX(Connaissements!$B$3:$B$202,MATCH($B566,Connaissements!$A$3:$A$202,0)),""))</f>
        <v/>
      </c>
      <c r="L566" s="7" t="str">
        <f>IF($B566="","",IFERROR(INDEX(Connaissements!$G$3:$G$202,MATCH($B566,Connaissements!$A$3:$A$202,0)),""))</f>
        <v/>
      </c>
      <c r="M566" s="7" t="str">
        <f t="shared" si="31"/>
        <v/>
      </c>
      <c r="N566" s="7" t="str">
        <f t="shared" ca="1" si="32"/>
        <v/>
      </c>
      <c r="O566" s="13"/>
      <c r="P566" s="29" t="str">
        <f t="shared" ca="1" si="33"/>
        <v/>
      </c>
      <c r="Q566" s="30" t="str">
        <f>IF($K566="","",IFERROR(IF(INDEX(Bookings!$G$3:$G$202,MATCH($K566,Bookings!$A$3:$A$202,0))="","",INDEX(Bookings!$G$3:$G$202,MATCH($K566,Bookings!$A$3:$A$202,0))),""))</f>
        <v/>
      </c>
    </row>
    <row r="567" spans="1:17" hidden="1" x14ac:dyDescent="0.35">
      <c r="A567" s="81"/>
      <c r="B567" s="81"/>
      <c r="C567" s="21"/>
      <c r="D567" s="56"/>
      <c r="E567" s="14"/>
      <c r="F567" s="14"/>
      <c r="G567" s="14"/>
      <c r="H567" s="83">
        <f t="shared" si="34"/>
        <v>0</v>
      </c>
      <c r="I567" s="80"/>
      <c r="J567" s="80"/>
      <c r="K567" s="7" t="str">
        <f>IF($B567="","",IFERROR(INDEX(Connaissements!$B$3:$B$202,MATCH($B567,Connaissements!$A$3:$A$202,0)),""))</f>
        <v/>
      </c>
      <c r="L567" s="7" t="str">
        <f>IF($B567="","",IFERROR(INDEX(Connaissements!$G$3:$G$202,MATCH($B567,Connaissements!$A$3:$A$202,0)),""))</f>
        <v/>
      </c>
      <c r="M567" s="7" t="str">
        <f t="shared" si="31"/>
        <v/>
      </c>
      <c r="N567" s="7" t="str">
        <f t="shared" ca="1" si="32"/>
        <v/>
      </c>
      <c r="O567" s="13"/>
      <c r="P567" s="29" t="str">
        <f t="shared" ca="1" si="33"/>
        <v/>
      </c>
      <c r="Q567" s="30" t="str">
        <f>IF($K567="","",IFERROR(IF(INDEX(Bookings!$G$3:$G$202,MATCH($K567,Bookings!$A$3:$A$202,0))="","",INDEX(Bookings!$G$3:$G$202,MATCH($K567,Bookings!$A$3:$A$202,0))),""))</f>
        <v/>
      </c>
    </row>
    <row r="568" spans="1:17" hidden="1" x14ac:dyDescent="0.35">
      <c r="A568" s="81"/>
      <c r="B568" s="81"/>
      <c r="C568" s="21"/>
      <c r="D568" s="56"/>
      <c r="E568" s="14"/>
      <c r="F568" s="14"/>
      <c r="G568" s="14"/>
      <c r="H568" s="83">
        <f t="shared" si="34"/>
        <v>0</v>
      </c>
      <c r="I568" s="80"/>
      <c r="J568" s="80"/>
      <c r="K568" s="7" t="str">
        <f>IF($B568="","",IFERROR(INDEX(Connaissements!$B$3:$B$202,MATCH($B568,Connaissements!$A$3:$A$202,0)),""))</f>
        <v/>
      </c>
      <c r="L568" s="7" t="str">
        <f>IF($B568="","",IFERROR(INDEX(Connaissements!$G$3:$G$202,MATCH($B568,Connaissements!$A$3:$A$202,0)),""))</f>
        <v/>
      </c>
      <c r="M568" s="7" t="str">
        <f t="shared" si="31"/>
        <v/>
      </c>
      <c r="N568" s="7" t="str">
        <f t="shared" ca="1" si="32"/>
        <v/>
      </c>
      <c r="O568" s="13"/>
      <c r="P568" s="29" t="str">
        <f t="shared" ca="1" si="33"/>
        <v/>
      </c>
      <c r="Q568" s="30" t="str">
        <f>IF($K568="","",IFERROR(IF(INDEX(Bookings!$G$3:$G$202,MATCH($K568,Bookings!$A$3:$A$202,0))="","",INDEX(Bookings!$G$3:$G$202,MATCH($K568,Bookings!$A$3:$A$202,0))),""))</f>
        <v/>
      </c>
    </row>
    <row r="569" spans="1:17" hidden="1" x14ac:dyDescent="0.35">
      <c r="A569" s="81"/>
      <c r="B569" s="81"/>
      <c r="C569" s="21"/>
      <c r="D569" s="56"/>
      <c r="E569" s="14"/>
      <c r="F569" s="14"/>
      <c r="G569" s="14"/>
      <c r="H569" s="83">
        <f t="shared" si="34"/>
        <v>0</v>
      </c>
      <c r="I569" s="80"/>
      <c r="J569" s="80"/>
      <c r="K569" s="7" t="str">
        <f>IF($B569="","",IFERROR(INDEX(Connaissements!$B$3:$B$202,MATCH($B569,Connaissements!$A$3:$A$202,0)),""))</f>
        <v/>
      </c>
      <c r="L569" s="7" t="str">
        <f>IF($B569="","",IFERROR(INDEX(Connaissements!$G$3:$G$202,MATCH($B569,Connaissements!$A$3:$A$202,0)),""))</f>
        <v/>
      </c>
      <c r="M569" s="7" t="str">
        <f t="shared" si="31"/>
        <v/>
      </c>
      <c r="N569" s="7" t="str">
        <f t="shared" ca="1" si="32"/>
        <v/>
      </c>
      <c r="O569" s="13"/>
      <c r="P569" s="29" t="str">
        <f t="shared" ca="1" si="33"/>
        <v/>
      </c>
      <c r="Q569" s="30" t="str">
        <f>IF($K569="","",IFERROR(IF(INDEX(Bookings!$G$3:$G$202,MATCH($K569,Bookings!$A$3:$A$202,0))="","",INDEX(Bookings!$G$3:$G$202,MATCH($K569,Bookings!$A$3:$A$202,0))),""))</f>
        <v/>
      </c>
    </row>
    <row r="570" spans="1:17" hidden="1" x14ac:dyDescent="0.35">
      <c r="A570" s="81"/>
      <c r="B570" s="81"/>
      <c r="C570" s="21"/>
      <c r="D570" s="56"/>
      <c r="E570" s="14"/>
      <c r="F570" s="14"/>
      <c r="G570" s="14"/>
      <c r="H570" s="83">
        <f t="shared" si="34"/>
        <v>0</v>
      </c>
      <c r="I570" s="80"/>
      <c r="J570" s="80"/>
      <c r="K570" s="7" t="str">
        <f>IF($B570="","",IFERROR(INDEX(Connaissements!$B$3:$B$202,MATCH($B570,Connaissements!$A$3:$A$202,0)),""))</f>
        <v/>
      </c>
      <c r="L570" s="7" t="str">
        <f>IF($B570="","",IFERROR(INDEX(Connaissements!$G$3:$G$202,MATCH($B570,Connaissements!$A$3:$A$202,0)),""))</f>
        <v/>
      </c>
      <c r="M570" s="7" t="str">
        <f t="shared" si="31"/>
        <v/>
      </c>
      <c r="N570" s="7" t="str">
        <f t="shared" ca="1" si="32"/>
        <v/>
      </c>
      <c r="O570" s="13"/>
      <c r="P570" s="29" t="str">
        <f t="shared" ca="1" si="33"/>
        <v/>
      </c>
      <c r="Q570" s="30" t="str">
        <f>IF($K570="","",IFERROR(IF(INDEX(Bookings!$G$3:$G$202,MATCH($K570,Bookings!$A$3:$A$202,0))="","",INDEX(Bookings!$G$3:$G$202,MATCH($K570,Bookings!$A$3:$A$202,0))),""))</f>
        <v/>
      </c>
    </row>
    <row r="571" spans="1:17" hidden="1" x14ac:dyDescent="0.35">
      <c r="A571" s="81"/>
      <c r="B571" s="81"/>
      <c r="C571" s="21"/>
      <c r="D571" s="56"/>
      <c r="E571" s="14"/>
      <c r="F571" s="14"/>
      <c r="G571" s="14"/>
      <c r="H571" s="83">
        <f t="shared" si="34"/>
        <v>0</v>
      </c>
      <c r="I571" s="80"/>
      <c r="J571" s="80"/>
      <c r="K571" s="7" t="str">
        <f>IF($B571="","",IFERROR(INDEX(Connaissements!$B$3:$B$202,MATCH($B571,Connaissements!$A$3:$A$202,0)),""))</f>
        <v/>
      </c>
      <c r="L571" s="7" t="str">
        <f>IF($B571="","",IFERROR(INDEX(Connaissements!$G$3:$G$202,MATCH($B571,Connaissements!$A$3:$A$202,0)),""))</f>
        <v/>
      </c>
      <c r="M571" s="7" t="str">
        <f t="shared" si="31"/>
        <v/>
      </c>
      <c r="N571" s="7" t="str">
        <f t="shared" ca="1" si="32"/>
        <v/>
      </c>
      <c r="O571" s="13"/>
      <c r="P571" s="29" t="str">
        <f t="shared" ca="1" si="33"/>
        <v/>
      </c>
      <c r="Q571" s="30" t="str">
        <f>IF($K571="","",IFERROR(IF(INDEX(Bookings!$G$3:$G$202,MATCH($K571,Bookings!$A$3:$A$202,0))="","",INDEX(Bookings!$G$3:$G$202,MATCH($K571,Bookings!$A$3:$A$202,0))),""))</f>
        <v/>
      </c>
    </row>
    <row r="572" spans="1:17" hidden="1" x14ac:dyDescent="0.35">
      <c r="A572" s="81"/>
      <c r="B572" s="81"/>
      <c r="C572" s="21"/>
      <c r="D572" s="56"/>
      <c r="E572" s="14"/>
      <c r="F572" s="14"/>
      <c r="G572" s="14"/>
      <c r="H572" s="83">
        <f t="shared" si="34"/>
        <v>0</v>
      </c>
      <c r="I572" s="80"/>
      <c r="J572" s="80"/>
      <c r="K572" s="7" t="str">
        <f>IF($B572="","",IFERROR(INDEX(Connaissements!$B$3:$B$202,MATCH($B572,Connaissements!$A$3:$A$202,0)),""))</f>
        <v/>
      </c>
      <c r="L572" s="7" t="str">
        <f>IF($B572="","",IFERROR(INDEX(Connaissements!$G$3:$G$202,MATCH($B572,Connaissements!$A$3:$A$202,0)),""))</f>
        <v/>
      </c>
      <c r="M572" s="7" t="str">
        <f t="shared" si="31"/>
        <v/>
      </c>
      <c r="N572" s="7" t="str">
        <f t="shared" ca="1" si="32"/>
        <v/>
      </c>
      <c r="O572" s="13"/>
      <c r="P572" s="29" t="str">
        <f t="shared" ca="1" si="33"/>
        <v/>
      </c>
      <c r="Q572" s="30" t="str">
        <f>IF($K572="","",IFERROR(IF(INDEX(Bookings!$G$3:$G$202,MATCH($K572,Bookings!$A$3:$A$202,0))="","",INDEX(Bookings!$G$3:$G$202,MATCH($K572,Bookings!$A$3:$A$202,0))),""))</f>
        <v/>
      </c>
    </row>
    <row r="573" spans="1:17" hidden="1" x14ac:dyDescent="0.35">
      <c r="A573" s="81"/>
      <c r="B573" s="81"/>
      <c r="C573" s="21"/>
      <c r="D573" s="56"/>
      <c r="E573" s="14"/>
      <c r="F573" s="14"/>
      <c r="G573" s="14"/>
      <c r="H573" s="83">
        <f t="shared" si="34"/>
        <v>0</v>
      </c>
      <c r="I573" s="80"/>
      <c r="J573" s="80"/>
      <c r="K573" s="7" t="str">
        <f>IF($B573="","",IFERROR(INDEX(Connaissements!$B$3:$B$202,MATCH($B573,Connaissements!$A$3:$A$202,0)),""))</f>
        <v/>
      </c>
      <c r="L573" s="7" t="str">
        <f>IF($B573="","",IFERROR(INDEX(Connaissements!$G$3:$G$202,MATCH($B573,Connaissements!$A$3:$A$202,0)),""))</f>
        <v/>
      </c>
      <c r="M573" s="7" t="str">
        <f t="shared" si="31"/>
        <v/>
      </c>
      <c r="N573" s="7" t="str">
        <f t="shared" ca="1" si="32"/>
        <v/>
      </c>
      <c r="O573" s="13"/>
      <c r="P573" s="29" t="str">
        <f t="shared" ca="1" si="33"/>
        <v/>
      </c>
      <c r="Q573" s="30" t="str">
        <f>IF($K573="","",IFERROR(IF(INDEX(Bookings!$G$3:$G$202,MATCH($K573,Bookings!$A$3:$A$202,0))="","",INDEX(Bookings!$G$3:$G$202,MATCH($K573,Bookings!$A$3:$A$202,0))),""))</f>
        <v/>
      </c>
    </row>
    <row r="574" spans="1:17" hidden="1" x14ac:dyDescent="0.35">
      <c r="A574" s="81"/>
      <c r="B574" s="81"/>
      <c r="C574" s="21"/>
      <c r="D574" s="56"/>
      <c r="E574" s="14"/>
      <c r="F574" s="14"/>
      <c r="G574" s="14"/>
      <c r="H574" s="83">
        <f t="shared" si="34"/>
        <v>0</v>
      </c>
      <c r="I574" s="80"/>
      <c r="J574" s="80"/>
      <c r="K574" s="7" t="str">
        <f>IF($B574="","",IFERROR(INDEX(Connaissements!$B$3:$B$202,MATCH($B574,Connaissements!$A$3:$A$202,0)),""))</f>
        <v/>
      </c>
      <c r="L574" s="7" t="str">
        <f>IF($B574="","",IFERROR(INDEX(Connaissements!$G$3:$G$202,MATCH($B574,Connaissements!$A$3:$A$202,0)),""))</f>
        <v/>
      </c>
      <c r="M574" s="7" t="str">
        <f t="shared" si="31"/>
        <v/>
      </c>
      <c r="N574" s="7" t="str">
        <f t="shared" ca="1" si="32"/>
        <v/>
      </c>
      <c r="O574" s="13"/>
      <c r="P574" s="29" t="str">
        <f t="shared" ca="1" si="33"/>
        <v/>
      </c>
      <c r="Q574" s="30" t="str">
        <f>IF($K574="","",IFERROR(IF(INDEX(Bookings!$G$3:$G$202,MATCH($K574,Bookings!$A$3:$A$202,0))="","",INDEX(Bookings!$G$3:$G$202,MATCH($K574,Bookings!$A$3:$A$202,0))),""))</f>
        <v/>
      </c>
    </row>
    <row r="575" spans="1:17" hidden="1" x14ac:dyDescent="0.35">
      <c r="A575" s="81"/>
      <c r="B575" s="81"/>
      <c r="C575" s="21"/>
      <c r="D575" s="56"/>
      <c r="E575" s="14"/>
      <c r="F575" s="14"/>
      <c r="G575" s="14"/>
      <c r="H575" s="83">
        <f t="shared" si="34"/>
        <v>0</v>
      </c>
      <c r="I575" s="80"/>
      <c r="J575" s="80"/>
      <c r="K575" s="7" t="str">
        <f>IF($B575="","",IFERROR(INDEX(Connaissements!$B$3:$B$202,MATCH($B575,Connaissements!$A$3:$A$202,0)),""))</f>
        <v/>
      </c>
      <c r="L575" s="7" t="str">
        <f>IF($B575="","",IFERROR(INDEX(Connaissements!$G$3:$G$202,MATCH($B575,Connaissements!$A$3:$A$202,0)),""))</f>
        <v/>
      </c>
      <c r="M575" s="7" t="str">
        <f t="shared" si="31"/>
        <v/>
      </c>
      <c r="N575" s="7" t="str">
        <f t="shared" ca="1" si="32"/>
        <v/>
      </c>
      <c r="O575" s="13"/>
      <c r="P575" s="29" t="str">
        <f t="shared" ca="1" si="33"/>
        <v/>
      </c>
      <c r="Q575" s="30" t="str">
        <f>IF($K575="","",IFERROR(IF(INDEX(Bookings!$G$3:$G$202,MATCH($K575,Bookings!$A$3:$A$202,0))="","",INDEX(Bookings!$G$3:$G$202,MATCH($K575,Bookings!$A$3:$A$202,0))),""))</f>
        <v/>
      </c>
    </row>
    <row r="576" spans="1:17" hidden="1" x14ac:dyDescent="0.35">
      <c r="A576" s="81"/>
      <c r="B576" s="81"/>
      <c r="C576" s="21"/>
      <c r="D576" s="56"/>
      <c r="E576" s="14"/>
      <c r="F576" s="14"/>
      <c r="G576" s="14"/>
      <c r="H576" s="83">
        <f t="shared" si="34"/>
        <v>0</v>
      </c>
      <c r="I576" s="80"/>
      <c r="J576" s="80"/>
      <c r="K576" s="7" t="str">
        <f>IF($B576="","",IFERROR(INDEX(Connaissements!$B$3:$B$202,MATCH($B576,Connaissements!$A$3:$A$202,0)),""))</f>
        <v/>
      </c>
      <c r="L576" s="7" t="str">
        <f>IF($B576="","",IFERROR(INDEX(Connaissements!$G$3:$G$202,MATCH($B576,Connaissements!$A$3:$A$202,0)),""))</f>
        <v/>
      </c>
      <c r="M576" s="7" t="str">
        <f t="shared" si="31"/>
        <v/>
      </c>
      <c r="N576" s="7" t="str">
        <f t="shared" ca="1" si="32"/>
        <v/>
      </c>
      <c r="O576" s="13"/>
      <c r="P576" s="29" t="str">
        <f t="shared" ca="1" si="33"/>
        <v/>
      </c>
      <c r="Q576" s="30" t="str">
        <f>IF($K576="","",IFERROR(IF(INDEX(Bookings!$G$3:$G$202,MATCH($K576,Bookings!$A$3:$A$202,0))="","",INDEX(Bookings!$G$3:$G$202,MATCH($K576,Bookings!$A$3:$A$202,0))),""))</f>
        <v/>
      </c>
    </row>
    <row r="577" spans="1:17" hidden="1" x14ac:dyDescent="0.35">
      <c r="A577" s="81"/>
      <c r="B577" s="81"/>
      <c r="C577" s="21"/>
      <c r="D577" s="56"/>
      <c r="E577" s="14"/>
      <c r="F577" s="14"/>
      <c r="G577" s="14"/>
      <c r="H577" s="83">
        <f t="shared" si="34"/>
        <v>0</v>
      </c>
      <c r="I577" s="80"/>
      <c r="J577" s="80"/>
      <c r="K577" s="7" t="str">
        <f>IF($B577="","",IFERROR(INDEX(Connaissements!$B$3:$B$202,MATCH($B577,Connaissements!$A$3:$A$202,0)),""))</f>
        <v/>
      </c>
      <c r="L577" s="7" t="str">
        <f>IF($B577="","",IFERROR(INDEX(Connaissements!$G$3:$G$202,MATCH($B577,Connaissements!$A$3:$A$202,0)),""))</f>
        <v/>
      </c>
      <c r="M577" s="7" t="str">
        <f t="shared" si="31"/>
        <v/>
      </c>
      <c r="N577" s="7" t="str">
        <f t="shared" ca="1" si="32"/>
        <v/>
      </c>
      <c r="O577" s="13"/>
      <c r="P577" s="29" t="str">
        <f t="shared" ca="1" si="33"/>
        <v/>
      </c>
      <c r="Q577" s="30" t="str">
        <f>IF($K577="","",IFERROR(IF(INDEX(Bookings!$G$3:$G$202,MATCH($K577,Bookings!$A$3:$A$202,0))="","",INDEX(Bookings!$G$3:$G$202,MATCH($K577,Bookings!$A$3:$A$202,0))),""))</f>
        <v/>
      </c>
    </row>
    <row r="578" spans="1:17" hidden="1" x14ac:dyDescent="0.35">
      <c r="A578" s="81"/>
      <c r="B578" s="81"/>
      <c r="C578" s="21"/>
      <c r="D578" s="56"/>
      <c r="E578" s="14"/>
      <c r="F578" s="14"/>
      <c r="G578" s="14"/>
      <c r="H578" s="83">
        <f t="shared" si="34"/>
        <v>0</v>
      </c>
      <c r="I578" s="80"/>
      <c r="J578" s="80"/>
      <c r="K578" s="7" t="str">
        <f>IF($B578="","",IFERROR(INDEX(Connaissements!$B$3:$B$202,MATCH($B578,Connaissements!$A$3:$A$202,0)),""))</f>
        <v/>
      </c>
      <c r="L578" s="7" t="str">
        <f>IF($B578="","",IFERROR(INDEX(Connaissements!$G$3:$G$202,MATCH($B578,Connaissements!$A$3:$A$202,0)),""))</f>
        <v/>
      </c>
      <c r="M578" s="7" t="str">
        <f t="shared" si="31"/>
        <v/>
      </c>
      <c r="N578" s="7" t="str">
        <f t="shared" ca="1" si="32"/>
        <v/>
      </c>
      <c r="O578" s="13"/>
      <c r="P578" s="29" t="str">
        <f t="shared" ca="1" si="33"/>
        <v/>
      </c>
      <c r="Q578" s="30" t="str">
        <f>IF($K578="","",IFERROR(IF(INDEX(Bookings!$G$3:$G$202,MATCH($K578,Bookings!$A$3:$A$202,0))="","",INDEX(Bookings!$G$3:$G$202,MATCH($K578,Bookings!$A$3:$A$202,0))),""))</f>
        <v/>
      </c>
    </row>
    <row r="579" spans="1:17" hidden="1" x14ac:dyDescent="0.35">
      <c r="A579" s="81"/>
      <c r="B579" s="81"/>
      <c r="C579" s="21"/>
      <c r="D579" s="56"/>
      <c r="E579" s="14"/>
      <c r="F579" s="14"/>
      <c r="G579" s="14"/>
      <c r="H579" s="83">
        <f t="shared" si="34"/>
        <v>0</v>
      </c>
      <c r="I579" s="80"/>
      <c r="J579" s="80"/>
      <c r="K579" s="7" t="str">
        <f>IF($B579="","",IFERROR(INDEX(Connaissements!$B$3:$B$202,MATCH($B579,Connaissements!$A$3:$A$202,0)),""))</f>
        <v/>
      </c>
      <c r="L579" s="7" t="str">
        <f>IF($B579="","",IFERROR(INDEX(Connaissements!$G$3:$G$202,MATCH($B579,Connaissements!$A$3:$A$202,0)),""))</f>
        <v/>
      </c>
      <c r="M579" s="7" t="str">
        <f t="shared" ref="M579:M642" si="35">IF($A579="","",IF($G579&lt;&gt;"","Embarqué",IF($F579&lt;&gt;"","Gate-In fait",IF($E579&lt;&gt;"","Empoté","À empoter"))))</f>
        <v/>
      </c>
      <c r="N579" s="7" t="str">
        <f t="shared" ref="N579:N642" ca="1" si="36">IF(OR($A579="",$G579&lt;&gt;""),"",IF(AND($Q579&lt;&gt;"",N($Q579)&lt;TODAY()),"RETARD : ETD dépassé, pas embarqué",IF(AND($Q579&lt;&gt;"",N($Q579)-TODAY()&lt;=P_AlerteETD,$F579=""),"Gate-In à faire (ETD proche)",IF(AND($E579&lt;&gt;"",$H579=""),"Poids net à saisir",""))))</f>
        <v/>
      </c>
      <c r="O579" s="13"/>
      <c r="P579" s="29" t="str">
        <f t="shared" ref="P579:P642" ca="1" si="37">IF($N579&lt;&gt;"",1,"")</f>
        <v/>
      </c>
      <c r="Q579" s="30" t="str">
        <f>IF($K579="","",IFERROR(IF(INDEX(Bookings!$G$3:$G$202,MATCH($K579,Bookings!$A$3:$A$202,0))="","",INDEX(Bookings!$G$3:$G$202,MATCH($K579,Bookings!$A$3:$A$202,0))),""))</f>
        <v/>
      </c>
    </row>
    <row r="580" spans="1:17" hidden="1" x14ac:dyDescent="0.35">
      <c r="A580" s="81"/>
      <c r="B580" s="81"/>
      <c r="C580" s="21"/>
      <c r="D580" s="56"/>
      <c r="E580" s="14"/>
      <c r="F580" s="14"/>
      <c r="G580" s="14"/>
      <c r="H580" s="83">
        <f t="shared" ref="H580:H643" si="38">J580-I580</f>
        <v>0</v>
      </c>
      <c r="I580" s="80"/>
      <c r="J580" s="80"/>
      <c r="K580" s="7" t="str">
        <f>IF($B580="","",IFERROR(INDEX(Connaissements!$B$3:$B$202,MATCH($B580,Connaissements!$A$3:$A$202,0)),""))</f>
        <v/>
      </c>
      <c r="L580" s="7" t="str">
        <f>IF($B580="","",IFERROR(INDEX(Connaissements!$G$3:$G$202,MATCH($B580,Connaissements!$A$3:$A$202,0)),""))</f>
        <v/>
      </c>
      <c r="M580" s="7" t="str">
        <f t="shared" si="35"/>
        <v/>
      </c>
      <c r="N580" s="7" t="str">
        <f t="shared" ca="1" si="36"/>
        <v/>
      </c>
      <c r="O580" s="13"/>
      <c r="P580" s="29" t="str">
        <f t="shared" ca="1" si="37"/>
        <v/>
      </c>
      <c r="Q580" s="30" t="str">
        <f>IF($K580="","",IFERROR(IF(INDEX(Bookings!$G$3:$G$202,MATCH($K580,Bookings!$A$3:$A$202,0))="","",INDEX(Bookings!$G$3:$G$202,MATCH($K580,Bookings!$A$3:$A$202,0))),""))</f>
        <v/>
      </c>
    </row>
    <row r="581" spans="1:17" hidden="1" x14ac:dyDescent="0.35">
      <c r="A581" s="81"/>
      <c r="B581" s="81"/>
      <c r="C581" s="21"/>
      <c r="D581" s="56"/>
      <c r="E581" s="14"/>
      <c r="F581" s="14"/>
      <c r="G581" s="14"/>
      <c r="H581" s="83">
        <f t="shared" si="38"/>
        <v>0</v>
      </c>
      <c r="I581" s="80"/>
      <c r="J581" s="80"/>
      <c r="K581" s="7" t="str">
        <f>IF($B581="","",IFERROR(INDEX(Connaissements!$B$3:$B$202,MATCH($B581,Connaissements!$A$3:$A$202,0)),""))</f>
        <v/>
      </c>
      <c r="L581" s="7" t="str">
        <f>IF($B581="","",IFERROR(INDEX(Connaissements!$G$3:$G$202,MATCH($B581,Connaissements!$A$3:$A$202,0)),""))</f>
        <v/>
      </c>
      <c r="M581" s="7" t="str">
        <f t="shared" si="35"/>
        <v/>
      </c>
      <c r="N581" s="7" t="str">
        <f t="shared" ca="1" si="36"/>
        <v/>
      </c>
      <c r="O581" s="13"/>
      <c r="P581" s="29" t="str">
        <f t="shared" ca="1" si="37"/>
        <v/>
      </c>
      <c r="Q581" s="30" t="str">
        <f>IF($K581="","",IFERROR(IF(INDEX(Bookings!$G$3:$G$202,MATCH($K581,Bookings!$A$3:$A$202,0))="","",INDEX(Bookings!$G$3:$G$202,MATCH($K581,Bookings!$A$3:$A$202,0))),""))</f>
        <v/>
      </c>
    </row>
    <row r="582" spans="1:17" hidden="1" x14ac:dyDescent="0.35">
      <c r="A582" s="81"/>
      <c r="B582" s="81"/>
      <c r="C582" s="21"/>
      <c r="D582" s="56"/>
      <c r="E582" s="14"/>
      <c r="F582" s="14"/>
      <c r="G582" s="14"/>
      <c r="H582" s="83">
        <f t="shared" si="38"/>
        <v>0</v>
      </c>
      <c r="I582" s="80"/>
      <c r="J582" s="80"/>
      <c r="K582" s="7" t="str">
        <f>IF($B582="","",IFERROR(INDEX(Connaissements!$B$3:$B$202,MATCH($B582,Connaissements!$A$3:$A$202,0)),""))</f>
        <v/>
      </c>
      <c r="L582" s="7" t="str">
        <f>IF($B582="","",IFERROR(INDEX(Connaissements!$G$3:$G$202,MATCH($B582,Connaissements!$A$3:$A$202,0)),""))</f>
        <v/>
      </c>
      <c r="M582" s="7" t="str">
        <f t="shared" si="35"/>
        <v/>
      </c>
      <c r="N582" s="7" t="str">
        <f t="shared" ca="1" si="36"/>
        <v/>
      </c>
      <c r="O582" s="13"/>
      <c r="P582" s="29" t="str">
        <f t="shared" ca="1" si="37"/>
        <v/>
      </c>
      <c r="Q582" s="30" t="str">
        <f>IF($K582="","",IFERROR(IF(INDEX(Bookings!$G$3:$G$202,MATCH($K582,Bookings!$A$3:$A$202,0))="","",INDEX(Bookings!$G$3:$G$202,MATCH($K582,Bookings!$A$3:$A$202,0))),""))</f>
        <v/>
      </c>
    </row>
    <row r="583" spans="1:17" hidden="1" x14ac:dyDescent="0.35">
      <c r="A583" s="81"/>
      <c r="B583" s="81"/>
      <c r="C583" s="21"/>
      <c r="D583" s="56"/>
      <c r="E583" s="14"/>
      <c r="F583" s="14"/>
      <c r="G583" s="14"/>
      <c r="H583" s="83">
        <f t="shared" si="38"/>
        <v>0</v>
      </c>
      <c r="I583" s="80"/>
      <c r="J583" s="80"/>
      <c r="K583" s="7" t="str">
        <f>IF($B583="","",IFERROR(INDEX(Connaissements!$B$3:$B$202,MATCH($B583,Connaissements!$A$3:$A$202,0)),""))</f>
        <v/>
      </c>
      <c r="L583" s="7" t="str">
        <f>IF($B583="","",IFERROR(INDEX(Connaissements!$G$3:$G$202,MATCH($B583,Connaissements!$A$3:$A$202,0)),""))</f>
        <v/>
      </c>
      <c r="M583" s="7" t="str">
        <f t="shared" si="35"/>
        <v/>
      </c>
      <c r="N583" s="7" t="str">
        <f t="shared" ca="1" si="36"/>
        <v/>
      </c>
      <c r="O583" s="13"/>
      <c r="P583" s="29" t="str">
        <f t="shared" ca="1" si="37"/>
        <v/>
      </c>
      <c r="Q583" s="30" t="str">
        <f>IF($K583="","",IFERROR(IF(INDEX(Bookings!$G$3:$G$202,MATCH($K583,Bookings!$A$3:$A$202,0))="","",INDEX(Bookings!$G$3:$G$202,MATCH($K583,Bookings!$A$3:$A$202,0))),""))</f>
        <v/>
      </c>
    </row>
    <row r="584" spans="1:17" hidden="1" x14ac:dyDescent="0.35">
      <c r="A584" s="81"/>
      <c r="B584" s="81"/>
      <c r="C584" s="21"/>
      <c r="D584" s="56"/>
      <c r="E584" s="14"/>
      <c r="F584" s="14"/>
      <c r="G584" s="14"/>
      <c r="H584" s="83">
        <f t="shared" si="38"/>
        <v>0</v>
      </c>
      <c r="I584" s="80"/>
      <c r="J584" s="80"/>
      <c r="K584" s="7" t="str">
        <f>IF($B584="","",IFERROR(INDEX(Connaissements!$B$3:$B$202,MATCH($B584,Connaissements!$A$3:$A$202,0)),""))</f>
        <v/>
      </c>
      <c r="L584" s="7" t="str">
        <f>IF($B584="","",IFERROR(INDEX(Connaissements!$G$3:$G$202,MATCH($B584,Connaissements!$A$3:$A$202,0)),""))</f>
        <v/>
      </c>
      <c r="M584" s="7" t="str">
        <f t="shared" si="35"/>
        <v/>
      </c>
      <c r="N584" s="7" t="str">
        <f t="shared" ca="1" si="36"/>
        <v/>
      </c>
      <c r="O584" s="13"/>
      <c r="P584" s="29" t="str">
        <f t="shared" ca="1" si="37"/>
        <v/>
      </c>
      <c r="Q584" s="30" t="str">
        <f>IF($K584="","",IFERROR(IF(INDEX(Bookings!$G$3:$G$202,MATCH($K584,Bookings!$A$3:$A$202,0))="","",INDEX(Bookings!$G$3:$G$202,MATCH($K584,Bookings!$A$3:$A$202,0))),""))</f>
        <v/>
      </c>
    </row>
    <row r="585" spans="1:17" hidden="1" x14ac:dyDescent="0.35">
      <c r="A585" s="81"/>
      <c r="B585" s="81"/>
      <c r="C585" s="21"/>
      <c r="D585" s="56"/>
      <c r="E585" s="14"/>
      <c r="F585" s="14"/>
      <c r="G585" s="14"/>
      <c r="H585" s="83">
        <f t="shared" si="38"/>
        <v>0</v>
      </c>
      <c r="I585" s="80"/>
      <c r="J585" s="80"/>
      <c r="K585" s="7" t="str">
        <f>IF($B585="","",IFERROR(INDEX(Connaissements!$B$3:$B$202,MATCH($B585,Connaissements!$A$3:$A$202,0)),""))</f>
        <v/>
      </c>
      <c r="L585" s="7" t="str">
        <f>IF($B585="","",IFERROR(INDEX(Connaissements!$G$3:$G$202,MATCH($B585,Connaissements!$A$3:$A$202,0)),""))</f>
        <v/>
      </c>
      <c r="M585" s="7" t="str">
        <f t="shared" si="35"/>
        <v/>
      </c>
      <c r="N585" s="7" t="str">
        <f t="shared" ca="1" si="36"/>
        <v/>
      </c>
      <c r="O585" s="13"/>
      <c r="P585" s="29" t="str">
        <f t="shared" ca="1" si="37"/>
        <v/>
      </c>
      <c r="Q585" s="30" t="str">
        <f>IF($K585="","",IFERROR(IF(INDEX(Bookings!$G$3:$G$202,MATCH($K585,Bookings!$A$3:$A$202,0))="","",INDEX(Bookings!$G$3:$G$202,MATCH($K585,Bookings!$A$3:$A$202,0))),""))</f>
        <v/>
      </c>
    </row>
    <row r="586" spans="1:17" hidden="1" x14ac:dyDescent="0.35">
      <c r="A586" s="81"/>
      <c r="B586" s="81"/>
      <c r="C586" s="21"/>
      <c r="D586" s="56"/>
      <c r="E586" s="14"/>
      <c r="F586" s="14"/>
      <c r="G586" s="14"/>
      <c r="H586" s="83">
        <f t="shared" si="38"/>
        <v>0</v>
      </c>
      <c r="I586" s="80"/>
      <c r="J586" s="80"/>
      <c r="K586" s="7" t="str">
        <f>IF($B586="","",IFERROR(INDEX(Connaissements!$B$3:$B$202,MATCH($B586,Connaissements!$A$3:$A$202,0)),""))</f>
        <v/>
      </c>
      <c r="L586" s="7" t="str">
        <f>IF($B586="","",IFERROR(INDEX(Connaissements!$G$3:$G$202,MATCH($B586,Connaissements!$A$3:$A$202,0)),""))</f>
        <v/>
      </c>
      <c r="M586" s="7" t="str">
        <f t="shared" si="35"/>
        <v/>
      </c>
      <c r="N586" s="7" t="str">
        <f t="shared" ca="1" si="36"/>
        <v/>
      </c>
      <c r="O586" s="13"/>
      <c r="P586" s="29" t="str">
        <f t="shared" ca="1" si="37"/>
        <v/>
      </c>
      <c r="Q586" s="30" t="str">
        <f>IF($K586="","",IFERROR(IF(INDEX(Bookings!$G$3:$G$202,MATCH($K586,Bookings!$A$3:$A$202,0))="","",INDEX(Bookings!$G$3:$G$202,MATCH($K586,Bookings!$A$3:$A$202,0))),""))</f>
        <v/>
      </c>
    </row>
    <row r="587" spans="1:17" hidden="1" x14ac:dyDescent="0.35">
      <c r="A587" s="81"/>
      <c r="B587" s="81"/>
      <c r="C587" s="21"/>
      <c r="D587" s="56"/>
      <c r="E587" s="14"/>
      <c r="F587" s="14"/>
      <c r="G587" s="14"/>
      <c r="H587" s="83">
        <f t="shared" si="38"/>
        <v>0</v>
      </c>
      <c r="I587" s="80"/>
      <c r="J587" s="80"/>
      <c r="K587" s="7" t="str">
        <f>IF($B587="","",IFERROR(INDEX(Connaissements!$B$3:$B$202,MATCH($B587,Connaissements!$A$3:$A$202,0)),""))</f>
        <v/>
      </c>
      <c r="L587" s="7" t="str">
        <f>IF($B587="","",IFERROR(INDEX(Connaissements!$G$3:$G$202,MATCH($B587,Connaissements!$A$3:$A$202,0)),""))</f>
        <v/>
      </c>
      <c r="M587" s="7" t="str">
        <f t="shared" si="35"/>
        <v/>
      </c>
      <c r="N587" s="7" t="str">
        <f t="shared" ca="1" si="36"/>
        <v/>
      </c>
      <c r="O587" s="13"/>
      <c r="P587" s="29" t="str">
        <f t="shared" ca="1" si="37"/>
        <v/>
      </c>
      <c r="Q587" s="30" t="str">
        <f>IF($K587="","",IFERROR(IF(INDEX(Bookings!$G$3:$G$202,MATCH($K587,Bookings!$A$3:$A$202,0))="","",INDEX(Bookings!$G$3:$G$202,MATCH($K587,Bookings!$A$3:$A$202,0))),""))</f>
        <v/>
      </c>
    </row>
    <row r="588" spans="1:17" hidden="1" x14ac:dyDescent="0.35">
      <c r="A588" s="81"/>
      <c r="B588" s="81"/>
      <c r="C588" s="21"/>
      <c r="D588" s="56"/>
      <c r="E588" s="14"/>
      <c r="F588" s="14"/>
      <c r="G588" s="14"/>
      <c r="H588" s="83">
        <f t="shared" si="38"/>
        <v>0</v>
      </c>
      <c r="I588" s="80"/>
      <c r="J588" s="80"/>
      <c r="K588" s="7" t="str">
        <f>IF($B588="","",IFERROR(INDEX(Connaissements!$B$3:$B$202,MATCH($B588,Connaissements!$A$3:$A$202,0)),""))</f>
        <v/>
      </c>
      <c r="L588" s="7" t="str">
        <f>IF($B588="","",IFERROR(INDEX(Connaissements!$G$3:$G$202,MATCH($B588,Connaissements!$A$3:$A$202,0)),""))</f>
        <v/>
      </c>
      <c r="M588" s="7" t="str">
        <f t="shared" si="35"/>
        <v/>
      </c>
      <c r="N588" s="7" t="str">
        <f t="shared" ca="1" si="36"/>
        <v/>
      </c>
      <c r="O588" s="13"/>
      <c r="P588" s="29" t="str">
        <f t="shared" ca="1" si="37"/>
        <v/>
      </c>
      <c r="Q588" s="30" t="str">
        <f>IF($K588="","",IFERROR(IF(INDEX(Bookings!$G$3:$G$202,MATCH($K588,Bookings!$A$3:$A$202,0))="","",INDEX(Bookings!$G$3:$G$202,MATCH($K588,Bookings!$A$3:$A$202,0))),""))</f>
        <v/>
      </c>
    </row>
    <row r="589" spans="1:17" hidden="1" x14ac:dyDescent="0.35">
      <c r="A589" s="81"/>
      <c r="B589" s="81"/>
      <c r="C589" s="21"/>
      <c r="D589" s="56"/>
      <c r="E589" s="14"/>
      <c r="F589" s="14"/>
      <c r="G589" s="14"/>
      <c r="H589" s="83">
        <f t="shared" si="38"/>
        <v>0</v>
      </c>
      <c r="I589" s="80"/>
      <c r="J589" s="80"/>
      <c r="K589" s="7" t="str">
        <f>IF($B589="","",IFERROR(INDEX(Connaissements!$B$3:$B$202,MATCH($B589,Connaissements!$A$3:$A$202,0)),""))</f>
        <v/>
      </c>
      <c r="L589" s="7" t="str">
        <f>IF($B589="","",IFERROR(INDEX(Connaissements!$G$3:$G$202,MATCH($B589,Connaissements!$A$3:$A$202,0)),""))</f>
        <v/>
      </c>
      <c r="M589" s="7" t="str">
        <f t="shared" si="35"/>
        <v/>
      </c>
      <c r="N589" s="7" t="str">
        <f t="shared" ca="1" si="36"/>
        <v/>
      </c>
      <c r="O589" s="13"/>
      <c r="P589" s="29" t="str">
        <f t="shared" ca="1" si="37"/>
        <v/>
      </c>
      <c r="Q589" s="30" t="str">
        <f>IF($K589="","",IFERROR(IF(INDEX(Bookings!$G$3:$G$202,MATCH($K589,Bookings!$A$3:$A$202,0))="","",INDEX(Bookings!$G$3:$G$202,MATCH($K589,Bookings!$A$3:$A$202,0))),""))</f>
        <v/>
      </c>
    </row>
    <row r="590" spans="1:17" hidden="1" x14ac:dyDescent="0.35">
      <c r="A590" s="81"/>
      <c r="B590" s="81"/>
      <c r="C590" s="21"/>
      <c r="D590" s="56"/>
      <c r="E590" s="14"/>
      <c r="F590" s="14"/>
      <c r="G590" s="14"/>
      <c r="H590" s="83">
        <f t="shared" si="38"/>
        <v>0</v>
      </c>
      <c r="I590" s="80"/>
      <c r="J590" s="80"/>
      <c r="K590" s="7" t="str">
        <f>IF($B590="","",IFERROR(INDEX(Connaissements!$B$3:$B$202,MATCH($B590,Connaissements!$A$3:$A$202,0)),""))</f>
        <v/>
      </c>
      <c r="L590" s="7" t="str">
        <f>IF($B590="","",IFERROR(INDEX(Connaissements!$G$3:$G$202,MATCH($B590,Connaissements!$A$3:$A$202,0)),""))</f>
        <v/>
      </c>
      <c r="M590" s="7" t="str">
        <f t="shared" si="35"/>
        <v/>
      </c>
      <c r="N590" s="7" t="str">
        <f t="shared" ca="1" si="36"/>
        <v/>
      </c>
      <c r="O590" s="13"/>
      <c r="P590" s="29" t="str">
        <f t="shared" ca="1" si="37"/>
        <v/>
      </c>
      <c r="Q590" s="30" t="str">
        <f>IF($K590="","",IFERROR(IF(INDEX(Bookings!$G$3:$G$202,MATCH($K590,Bookings!$A$3:$A$202,0))="","",INDEX(Bookings!$G$3:$G$202,MATCH($K590,Bookings!$A$3:$A$202,0))),""))</f>
        <v/>
      </c>
    </row>
    <row r="591" spans="1:17" hidden="1" x14ac:dyDescent="0.35">
      <c r="A591" s="81"/>
      <c r="B591" s="81"/>
      <c r="C591" s="21"/>
      <c r="D591" s="56"/>
      <c r="E591" s="14"/>
      <c r="F591" s="14"/>
      <c r="G591" s="14"/>
      <c r="H591" s="83">
        <f t="shared" si="38"/>
        <v>0</v>
      </c>
      <c r="I591" s="80"/>
      <c r="J591" s="80"/>
      <c r="K591" s="7" t="str">
        <f>IF($B591="","",IFERROR(INDEX(Connaissements!$B$3:$B$202,MATCH($B591,Connaissements!$A$3:$A$202,0)),""))</f>
        <v/>
      </c>
      <c r="L591" s="7" t="str">
        <f>IF($B591="","",IFERROR(INDEX(Connaissements!$G$3:$G$202,MATCH($B591,Connaissements!$A$3:$A$202,0)),""))</f>
        <v/>
      </c>
      <c r="M591" s="7" t="str">
        <f t="shared" si="35"/>
        <v/>
      </c>
      <c r="N591" s="7" t="str">
        <f t="shared" ca="1" si="36"/>
        <v/>
      </c>
      <c r="O591" s="13"/>
      <c r="P591" s="29" t="str">
        <f t="shared" ca="1" si="37"/>
        <v/>
      </c>
      <c r="Q591" s="30" t="str">
        <f>IF($K591="","",IFERROR(IF(INDEX(Bookings!$G$3:$G$202,MATCH($K591,Bookings!$A$3:$A$202,0))="","",INDEX(Bookings!$G$3:$G$202,MATCH($K591,Bookings!$A$3:$A$202,0))),""))</f>
        <v/>
      </c>
    </row>
    <row r="592" spans="1:17" hidden="1" x14ac:dyDescent="0.35">
      <c r="A592" s="81"/>
      <c r="B592" s="81"/>
      <c r="C592" s="21"/>
      <c r="D592" s="56"/>
      <c r="E592" s="14"/>
      <c r="F592" s="14"/>
      <c r="G592" s="14"/>
      <c r="H592" s="83">
        <f t="shared" si="38"/>
        <v>0</v>
      </c>
      <c r="I592" s="80"/>
      <c r="J592" s="80"/>
      <c r="K592" s="7" t="str">
        <f>IF($B592="","",IFERROR(INDEX(Connaissements!$B$3:$B$202,MATCH($B592,Connaissements!$A$3:$A$202,0)),""))</f>
        <v/>
      </c>
      <c r="L592" s="7" t="str">
        <f>IF($B592="","",IFERROR(INDEX(Connaissements!$G$3:$G$202,MATCH($B592,Connaissements!$A$3:$A$202,0)),""))</f>
        <v/>
      </c>
      <c r="M592" s="7" t="str">
        <f t="shared" si="35"/>
        <v/>
      </c>
      <c r="N592" s="7" t="str">
        <f t="shared" ca="1" si="36"/>
        <v/>
      </c>
      <c r="O592" s="13"/>
      <c r="P592" s="29" t="str">
        <f t="shared" ca="1" si="37"/>
        <v/>
      </c>
      <c r="Q592" s="30" t="str">
        <f>IF($K592="","",IFERROR(IF(INDEX(Bookings!$G$3:$G$202,MATCH($K592,Bookings!$A$3:$A$202,0))="","",INDEX(Bookings!$G$3:$G$202,MATCH($K592,Bookings!$A$3:$A$202,0))),""))</f>
        <v/>
      </c>
    </row>
    <row r="593" spans="1:17" hidden="1" x14ac:dyDescent="0.35">
      <c r="A593" s="81"/>
      <c r="B593" s="81"/>
      <c r="C593" s="21"/>
      <c r="D593" s="56"/>
      <c r="E593" s="14"/>
      <c r="F593" s="14"/>
      <c r="G593" s="14"/>
      <c r="H593" s="83">
        <f t="shared" si="38"/>
        <v>0</v>
      </c>
      <c r="I593" s="80"/>
      <c r="J593" s="80"/>
      <c r="K593" s="7" t="str">
        <f>IF($B593="","",IFERROR(INDEX(Connaissements!$B$3:$B$202,MATCH($B593,Connaissements!$A$3:$A$202,0)),""))</f>
        <v/>
      </c>
      <c r="L593" s="7" t="str">
        <f>IF($B593="","",IFERROR(INDEX(Connaissements!$G$3:$G$202,MATCH($B593,Connaissements!$A$3:$A$202,0)),""))</f>
        <v/>
      </c>
      <c r="M593" s="7" t="str">
        <f t="shared" si="35"/>
        <v/>
      </c>
      <c r="N593" s="7" t="str">
        <f t="shared" ca="1" si="36"/>
        <v/>
      </c>
      <c r="O593" s="13"/>
      <c r="P593" s="29" t="str">
        <f t="shared" ca="1" si="37"/>
        <v/>
      </c>
      <c r="Q593" s="30" t="str">
        <f>IF($K593="","",IFERROR(IF(INDEX(Bookings!$G$3:$G$202,MATCH($K593,Bookings!$A$3:$A$202,0))="","",INDEX(Bookings!$G$3:$G$202,MATCH($K593,Bookings!$A$3:$A$202,0))),""))</f>
        <v/>
      </c>
    </row>
    <row r="594" spans="1:17" hidden="1" x14ac:dyDescent="0.35">
      <c r="A594" s="81"/>
      <c r="B594" s="81"/>
      <c r="C594" s="21"/>
      <c r="D594" s="56"/>
      <c r="E594" s="14"/>
      <c r="F594" s="14"/>
      <c r="G594" s="14"/>
      <c r="H594" s="83">
        <f t="shared" si="38"/>
        <v>0</v>
      </c>
      <c r="I594" s="80"/>
      <c r="J594" s="80"/>
      <c r="K594" s="7" t="str">
        <f>IF($B594="","",IFERROR(INDEX(Connaissements!$B$3:$B$202,MATCH($B594,Connaissements!$A$3:$A$202,0)),""))</f>
        <v/>
      </c>
      <c r="L594" s="7" t="str">
        <f>IF($B594="","",IFERROR(INDEX(Connaissements!$G$3:$G$202,MATCH($B594,Connaissements!$A$3:$A$202,0)),""))</f>
        <v/>
      </c>
      <c r="M594" s="7" t="str">
        <f t="shared" si="35"/>
        <v/>
      </c>
      <c r="N594" s="7" t="str">
        <f t="shared" ca="1" si="36"/>
        <v/>
      </c>
      <c r="O594" s="13"/>
      <c r="P594" s="29" t="str">
        <f t="shared" ca="1" si="37"/>
        <v/>
      </c>
      <c r="Q594" s="30" t="str">
        <f>IF($K594="","",IFERROR(IF(INDEX(Bookings!$G$3:$G$202,MATCH($K594,Bookings!$A$3:$A$202,0))="","",INDEX(Bookings!$G$3:$G$202,MATCH($K594,Bookings!$A$3:$A$202,0))),""))</f>
        <v/>
      </c>
    </row>
    <row r="595" spans="1:17" hidden="1" x14ac:dyDescent="0.35">
      <c r="A595" s="81"/>
      <c r="B595" s="81"/>
      <c r="C595" s="21"/>
      <c r="D595" s="56"/>
      <c r="E595" s="14"/>
      <c r="F595" s="14"/>
      <c r="G595" s="14"/>
      <c r="H595" s="83">
        <f t="shared" si="38"/>
        <v>0</v>
      </c>
      <c r="I595" s="80"/>
      <c r="J595" s="80"/>
      <c r="K595" s="7" t="str">
        <f>IF($B595="","",IFERROR(INDEX(Connaissements!$B$3:$B$202,MATCH($B595,Connaissements!$A$3:$A$202,0)),""))</f>
        <v/>
      </c>
      <c r="L595" s="7" t="str">
        <f>IF($B595="","",IFERROR(INDEX(Connaissements!$G$3:$G$202,MATCH($B595,Connaissements!$A$3:$A$202,0)),""))</f>
        <v/>
      </c>
      <c r="M595" s="7" t="str">
        <f t="shared" si="35"/>
        <v/>
      </c>
      <c r="N595" s="7" t="str">
        <f t="shared" ca="1" si="36"/>
        <v/>
      </c>
      <c r="O595" s="13"/>
      <c r="P595" s="29" t="str">
        <f t="shared" ca="1" si="37"/>
        <v/>
      </c>
      <c r="Q595" s="30" t="str">
        <f>IF($K595="","",IFERROR(IF(INDEX(Bookings!$G$3:$G$202,MATCH($K595,Bookings!$A$3:$A$202,0))="","",INDEX(Bookings!$G$3:$G$202,MATCH($K595,Bookings!$A$3:$A$202,0))),""))</f>
        <v/>
      </c>
    </row>
    <row r="596" spans="1:17" hidden="1" x14ac:dyDescent="0.35">
      <c r="A596" s="81"/>
      <c r="B596" s="81"/>
      <c r="C596" s="21"/>
      <c r="D596" s="56"/>
      <c r="E596" s="14"/>
      <c r="F596" s="14"/>
      <c r="G596" s="14"/>
      <c r="H596" s="83">
        <f t="shared" si="38"/>
        <v>0</v>
      </c>
      <c r="I596" s="80"/>
      <c r="J596" s="80"/>
      <c r="K596" s="7" t="str">
        <f>IF($B596="","",IFERROR(INDEX(Connaissements!$B$3:$B$202,MATCH($B596,Connaissements!$A$3:$A$202,0)),""))</f>
        <v/>
      </c>
      <c r="L596" s="7" t="str">
        <f>IF($B596="","",IFERROR(INDEX(Connaissements!$G$3:$G$202,MATCH($B596,Connaissements!$A$3:$A$202,0)),""))</f>
        <v/>
      </c>
      <c r="M596" s="7" t="str">
        <f t="shared" si="35"/>
        <v/>
      </c>
      <c r="N596" s="7" t="str">
        <f t="shared" ca="1" si="36"/>
        <v/>
      </c>
      <c r="O596" s="13"/>
      <c r="P596" s="29" t="str">
        <f t="shared" ca="1" si="37"/>
        <v/>
      </c>
      <c r="Q596" s="30" t="str">
        <f>IF($K596="","",IFERROR(IF(INDEX(Bookings!$G$3:$G$202,MATCH($K596,Bookings!$A$3:$A$202,0))="","",INDEX(Bookings!$G$3:$G$202,MATCH($K596,Bookings!$A$3:$A$202,0))),""))</f>
        <v/>
      </c>
    </row>
    <row r="597" spans="1:17" hidden="1" x14ac:dyDescent="0.35">
      <c r="A597" s="81"/>
      <c r="B597" s="81"/>
      <c r="C597" s="21"/>
      <c r="D597" s="56"/>
      <c r="E597" s="14"/>
      <c r="F597" s="14"/>
      <c r="G597" s="14"/>
      <c r="H597" s="83">
        <f t="shared" si="38"/>
        <v>0</v>
      </c>
      <c r="I597" s="80"/>
      <c r="J597" s="80"/>
      <c r="K597" s="7" t="str">
        <f>IF($B597="","",IFERROR(INDEX(Connaissements!$B$3:$B$202,MATCH($B597,Connaissements!$A$3:$A$202,0)),""))</f>
        <v/>
      </c>
      <c r="L597" s="7" t="str">
        <f>IF($B597="","",IFERROR(INDEX(Connaissements!$G$3:$G$202,MATCH($B597,Connaissements!$A$3:$A$202,0)),""))</f>
        <v/>
      </c>
      <c r="M597" s="7" t="str">
        <f t="shared" si="35"/>
        <v/>
      </c>
      <c r="N597" s="7" t="str">
        <f t="shared" ca="1" si="36"/>
        <v/>
      </c>
      <c r="O597" s="13"/>
      <c r="P597" s="29" t="str">
        <f t="shared" ca="1" si="37"/>
        <v/>
      </c>
      <c r="Q597" s="30" t="str">
        <f>IF($K597="","",IFERROR(IF(INDEX(Bookings!$G$3:$G$202,MATCH($K597,Bookings!$A$3:$A$202,0))="","",INDEX(Bookings!$G$3:$G$202,MATCH($K597,Bookings!$A$3:$A$202,0))),""))</f>
        <v/>
      </c>
    </row>
    <row r="598" spans="1:17" hidden="1" x14ac:dyDescent="0.35">
      <c r="A598" s="81"/>
      <c r="B598" s="81"/>
      <c r="C598" s="21"/>
      <c r="D598" s="56"/>
      <c r="E598" s="14"/>
      <c r="F598" s="14"/>
      <c r="G598" s="14"/>
      <c r="H598" s="83">
        <f t="shared" si="38"/>
        <v>0</v>
      </c>
      <c r="I598" s="80"/>
      <c r="J598" s="80"/>
      <c r="K598" s="7" t="str">
        <f>IF($B598="","",IFERROR(INDEX(Connaissements!$B$3:$B$202,MATCH($B598,Connaissements!$A$3:$A$202,0)),""))</f>
        <v/>
      </c>
      <c r="L598" s="7" t="str">
        <f>IF($B598="","",IFERROR(INDEX(Connaissements!$G$3:$G$202,MATCH($B598,Connaissements!$A$3:$A$202,0)),""))</f>
        <v/>
      </c>
      <c r="M598" s="7" t="str">
        <f t="shared" si="35"/>
        <v/>
      </c>
      <c r="N598" s="7" t="str">
        <f t="shared" ca="1" si="36"/>
        <v/>
      </c>
      <c r="O598" s="13"/>
      <c r="P598" s="29" t="str">
        <f t="shared" ca="1" si="37"/>
        <v/>
      </c>
      <c r="Q598" s="30" t="str">
        <f>IF($K598="","",IFERROR(IF(INDEX(Bookings!$G$3:$G$202,MATCH($K598,Bookings!$A$3:$A$202,0))="","",INDEX(Bookings!$G$3:$G$202,MATCH($K598,Bookings!$A$3:$A$202,0))),""))</f>
        <v/>
      </c>
    </row>
    <row r="599" spans="1:17" hidden="1" x14ac:dyDescent="0.35">
      <c r="A599" s="81"/>
      <c r="B599" s="81"/>
      <c r="C599" s="21"/>
      <c r="D599" s="56"/>
      <c r="E599" s="14"/>
      <c r="F599" s="14"/>
      <c r="G599" s="14"/>
      <c r="H599" s="83">
        <f t="shared" si="38"/>
        <v>0</v>
      </c>
      <c r="I599" s="80"/>
      <c r="J599" s="80"/>
      <c r="K599" s="7" t="str">
        <f>IF($B599="","",IFERROR(INDEX(Connaissements!$B$3:$B$202,MATCH($B599,Connaissements!$A$3:$A$202,0)),""))</f>
        <v/>
      </c>
      <c r="L599" s="7" t="str">
        <f>IF($B599="","",IFERROR(INDEX(Connaissements!$G$3:$G$202,MATCH($B599,Connaissements!$A$3:$A$202,0)),""))</f>
        <v/>
      </c>
      <c r="M599" s="7" t="str">
        <f t="shared" si="35"/>
        <v/>
      </c>
      <c r="N599" s="7" t="str">
        <f t="shared" ca="1" si="36"/>
        <v/>
      </c>
      <c r="O599" s="13"/>
      <c r="P599" s="29" t="str">
        <f t="shared" ca="1" si="37"/>
        <v/>
      </c>
      <c r="Q599" s="30" t="str">
        <f>IF($K599="","",IFERROR(IF(INDEX(Bookings!$G$3:$G$202,MATCH($K599,Bookings!$A$3:$A$202,0))="","",INDEX(Bookings!$G$3:$G$202,MATCH($K599,Bookings!$A$3:$A$202,0))),""))</f>
        <v/>
      </c>
    </row>
    <row r="600" spans="1:17" hidden="1" x14ac:dyDescent="0.35">
      <c r="A600" s="81"/>
      <c r="B600" s="81"/>
      <c r="C600" s="21"/>
      <c r="D600" s="56"/>
      <c r="E600" s="14"/>
      <c r="F600" s="14"/>
      <c r="G600" s="14"/>
      <c r="H600" s="83">
        <f t="shared" si="38"/>
        <v>0</v>
      </c>
      <c r="I600" s="80"/>
      <c r="J600" s="80"/>
      <c r="K600" s="7" t="str">
        <f>IF($B600="","",IFERROR(INDEX(Connaissements!$B$3:$B$202,MATCH($B600,Connaissements!$A$3:$A$202,0)),""))</f>
        <v/>
      </c>
      <c r="L600" s="7" t="str">
        <f>IF($B600="","",IFERROR(INDEX(Connaissements!$G$3:$G$202,MATCH($B600,Connaissements!$A$3:$A$202,0)),""))</f>
        <v/>
      </c>
      <c r="M600" s="7" t="str">
        <f t="shared" si="35"/>
        <v/>
      </c>
      <c r="N600" s="7" t="str">
        <f t="shared" ca="1" si="36"/>
        <v/>
      </c>
      <c r="O600" s="13"/>
      <c r="P600" s="29" t="str">
        <f t="shared" ca="1" si="37"/>
        <v/>
      </c>
      <c r="Q600" s="30" t="str">
        <f>IF($K600="","",IFERROR(IF(INDEX(Bookings!$G$3:$G$202,MATCH($K600,Bookings!$A$3:$A$202,0))="","",INDEX(Bookings!$G$3:$G$202,MATCH($K600,Bookings!$A$3:$A$202,0))),""))</f>
        <v/>
      </c>
    </row>
    <row r="601" spans="1:17" hidden="1" x14ac:dyDescent="0.35">
      <c r="A601" s="81"/>
      <c r="B601" s="81"/>
      <c r="C601" s="21"/>
      <c r="D601" s="56"/>
      <c r="E601" s="14"/>
      <c r="F601" s="14"/>
      <c r="G601" s="14"/>
      <c r="H601" s="83">
        <f t="shared" si="38"/>
        <v>0</v>
      </c>
      <c r="I601" s="80"/>
      <c r="J601" s="80"/>
      <c r="K601" s="7" t="str">
        <f>IF($B601="","",IFERROR(INDEX(Connaissements!$B$3:$B$202,MATCH($B601,Connaissements!$A$3:$A$202,0)),""))</f>
        <v/>
      </c>
      <c r="L601" s="7" t="str">
        <f>IF($B601="","",IFERROR(INDEX(Connaissements!$G$3:$G$202,MATCH($B601,Connaissements!$A$3:$A$202,0)),""))</f>
        <v/>
      </c>
      <c r="M601" s="7" t="str">
        <f t="shared" si="35"/>
        <v/>
      </c>
      <c r="N601" s="7" t="str">
        <f t="shared" ca="1" si="36"/>
        <v/>
      </c>
      <c r="O601" s="13"/>
      <c r="P601" s="29" t="str">
        <f t="shared" ca="1" si="37"/>
        <v/>
      </c>
      <c r="Q601" s="30" t="str">
        <f>IF($K601="","",IFERROR(IF(INDEX(Bookings!$G$3:$G$202,MATCH($K601,Bookings!$A$3:$A$202,0))="","",INDEX(Bookings!$G$3:$G$202,MATCH($K601,Bookings!$A$3:$A$202,0))),""))</f>
        <v/>
      </c>
    </row>
    <row r="602" spans="1:17" hidden="1" x14ac:dyDescent="0.35">
      <c r="A602" s="81"/>
      <c r="B602" s="81"/>
      <c r="C602" s="21"/>
      <c r="D602" s="56"/>
      <c r="E602" s="14"/>
      <c r="F602" s="14"/>
      <c r="G602" s="14"/>
      <c r="H602" s="83">
        <f t="shared" si="38"/>
        <v>0</v>
      </c>
      <c r="I602" s="80"/>
      <c r="J602" s="80"/>
      <c r="K602" s="7" t="str">
        <f>IF($B602="","",IFERROR(INDEX(Connaissements!$B$3:$B$202,MATCH($B602,Connaissements!$A$3:$A$202,0)),""))</f>
        <v/>
      </c>
      <c r="L602" s="7" t="str">
        <f>IF($B602="","",IFERROR(INDEX(Connaissements!$G$3:$G$202,MATCH($B602,Connaissements!$A$3:$A$202,0)),""))</f>
        <v/>
      </c>
      <c r="M602" s="7" t="str">
        <f t="shared" si="35"/>
        <v/>
      </c>
      <c r="N602" s="7" t="str">
        <f t="shared" ca="1" si="36"/>
        <v/>
      </c>
      <c r="O602" s="13"/>
      <c r="P602" s="29" t="str">
        <f t="shared" ca="1" si="37"/>
        <v/>
      </c>
      <c r="Q602" s="30" t="str">
        <f>IF($K602="","",IFERROR(IF(INDEX(Bookings!$G$3:$G$202,MATCH($K602,Bookings!$A$3:$A$202,0))="","",INDEX(Bookings!$G$3:$G$202,MATCH($K602,Bookings!$A$3:$A$202,0))),""))</f>
        <v/>
      </c>
    </row>
    <row r="603" spans="1:17" hidden="1" x14ac:dyDescent="0.35">
      <c r="A603" s="81"/>
      <c r="B603" s="81"/>
      <c r="C603" s="21"/>
      <c r="D603" s="56"/>
      <c r="E603" s="14"/>
      <c r="F603" s="14"/>
      <c r="G603" s="14"/>
      <c r="H603" s="83">
        <f t="shared" si="38"/>
        <v>0</v>
      </c>
      <c r="I603" s="80"/>
      <c r="J603" s="80"/>
      <c r="K603" s="7" t="str">
        <f>IF($B603="","",IFERROR(INDEX(Connaissements!$B$3:$B$202,MATCH($B603,Connaissements!$A$3:$A$202,0)),""))</f>
        <v/>
      </c>
      <c r="L603" s="7" t="str">
        <f>IF($B603="","",IFERROR(INDEX(Connaissements!$G$3:$G$202,MATCH($B603,Connaissements!$A$3:$A$202,0)),""))</f>
        <v/>
      </c>
      <c r="M603" s="7" t="str">
        <f t="shared" si="35"/>
        <v/>
      </c>
      <c r="N603" s="7" t="str">
        <f t="shared" ca="1" si="36"/>
        <v/>
      </c>
      <c r="O603" s="13"/>
      <c r="P603" s="29" t="str">
        <f t="shared" ca="1" si="37"/>
        <v/>
      </c>
      <c r="Q603" s="30" t="str">
        <f>IF($K603="","",IFERROR(IF(INDEX(Bookings!$G$3:$G$202,MATCH($K603,Bookings!$A$3:$A$202,0))="","",INDEX(Bookings!$G$3:$G$202,MATCH($K603,Bookings!$A$3:$A$202,0))),""))</f>
        <v/>
      </c>
    </row>
    <row r="604" spans="1:17" hidden="1" x14ac:dyDescent="0.35">
      <c r="A604" s="81"/>
      <c r="B604" s="81"/>
      <c r="C604" s="21"/>
      <c r="D604" s="56"/>
      <c r="E604" s="14"/>
      <c r="F604" s="14"/>
      <c r="G604" s="14"/>
      <c r="H604" s="83">
        <f t="shared" si="38"/>
        <v>0</v>
      </c>
      <c r="I604" s="80"/>
      <c r="J604" s="80"/>
      <c r="K604" s="7" t="str">
        <f>IF($B604="","",IFERROR(INDEX(Connaissements!$B$3:$B$202,MATCH($B604,Connaissements!$A$3:$A$202,0)),""))</f>
        <v/>
      </c>
      <c r="L604" s="7" t="str">
        <f>IF($B604="","",IFERROR(INDEX(Connaissements!$G$3:$G$202,MATCH($B604,Connaissements!$A$3:$A$202,0)),""))</f>
        <v/>
      </c>
      <c r="M604" s="7" t="str">
        <f t="shared" si="35"/>
        <v/>
      </c>
      <c r="N604" s="7" t="str">
        <f t="shared" ca="1" si="36"/>
        <v/>
      </c>
      <c r="O604" s="13"/>
      <c r="P604" s="29" t="str">
        <f t="shared" ca="1" si="37"/>
        <v/>
      </c>
      <c r="Q604" s="30" t="str">
        <f>IF($K604="","",IFERROR(IF(INDEX(Bookings!$G$3:$G$202,MATCH($K604,Bookings!$A$3:$A$202,0))="","",INDEX(Bookings!$G$3:$G$202,MATCH($K604,Bookings!$A$3:$A$202,0))),""))</f>
        <v/>
      </c>
    </row>
    <row r="605" spans="1:17" hidden="1" x14ac:dyDescent="0.35">
      <c r="A605" s="81"/>
      <c r="B605" s="81"/>
      <c r="C605" s="21"/>
      <c r="D605" s="56"/>
      <c r="E605" s="14"/>
      <c r="F605" s="14"/>
      <c r="G605" s="14"/>
      <c r="H605" s="83">
        <f t="shared" si="38"/>
        <v>0</v>
      </c>
      <c r="I605" s="80"/>
      <c r="J605" s="80"/>
      <c r="K605" s="7" t="str">
        <f>IF($B605="","",IFERROR(INDEX(Connaissements!$B$3:$B$202,MATCH($B605,Connaissements!$A$3:$A$202,0)),""))</f>
        <v/>
      </c>
      <c r="L605" s="7" t="str">
        <f>IF($B605="","",IFERROR(INDEX(Connaissements!$G$3:$G$202,MATCH($B605,Connaissements!$A$3:$A$202,0)),""))</f>
        <v/>
      </c>
      <c r="M605" s="7" t="str">
        <f t="shared" si="35"/>
        <v/>
      </c>
      <c r="N605" s="7" t="str">
        <f t="shared" ca="1" si="36"/>
        <v/>
      </c>
      <c r="O605" s="13"/>
      <c r="P605" s="29" t="str">
        <f t="shared" ca="1" si="37"/>
        <v/>
      </c>
      <c r="Q605" s="30" t="str">
        <f>IF($K605="","",IFERROR(IF(INDEX(Bookings!$G$3:$G$202,MATCH($K605,Bookings!$A$3:$A$202,0))="","",INDEX(Bookings!$G$3:$G$202,MATCH($K605,Bookings!$A$3:$A$202,0))),""))</f>
        <v/>
      </c>
    </row>
    <row r="606" spans="1:17" hidden="1" x14ac:dyDescent="0.35">
      <c r="A606" s="81"/>
      <c r="B606" s="81"/>
      <c r="C606" s="21"/>
      <c r="D606" s="56"/>
      <c r="E606" s="14"/>
      <c r="F606" s="14"/>
      <c r="G606" s="14"/>
      <c r="H606" s="83">
        <f t="shared" si="38"/>
        <v>0</v>
      </c>
      <c r="I606" s="80"/>
      <c r="J606" s="80"/>
      <c r="K606" s="7" t="str">
        <f>IF($B606="","",IFERROR(INDEX(Connaissements!$B$3:$B$202,MATCH($B606,Connaissements!$A$3:$A$202,0)),""))</f>
        <v/>
      </c>
      <c r="L606" s="7" t="str">
        <f>IF($B606="","",IFERROR(INDEX(Connaissements!$G$3:$G$202,MATCH($B606,Connaissements!$A$3:$A$202,0)),""))</f>
        <v/>
      </c>
      <c r="M606" s="7" t="str">
        <f t="shared" si="35"/>
        <v/>
      </c>
      <c r="N606" s="7" t="str">
        <f t="shared" ca="1" si="36"/>
        <v/>
      </c>
      <c r="O606" s="13"/>
      <c r="P606" s="29" t="str">
        <f t="shared" ca="1" si="37"/>
        <v/>
      </c>
      <c r="Q606" s="30" t="str">
        <f>IF($K606="","",IFERROR(IF(INDEX(Bookings!$G$3:$G$202,MATCH($K606,Bookings!$A$3:$A$202,0))="","",INDEX(Bookings!$G$3:$G$202,MATCH($K606,Bookings!$A$3:$A$202,0))),""))</f>
        <v/>
      </c>
    </row>
    <row r="607" spans="1:17" hidden="1" x14ac:dyDescent="0.35">
      <c r="A607" s="81"/>
      <c r="B607" s="81"/>
      <c r="C607" s="21"/>
      <c r="D607" s="56"/>
      <c r="E607" s="14"/>
      <c r="F607" s="14"/>
      <c r="G607" s="14"/>
      <c r="H607" s="83">
        <f t="shared" si="38"/>
        <v>0</v>
      </c>
      <c r="I607" s="80"/>
      <c r="J607" s="80"/>
      <c r="K607" s="7" t="str">
        <f>IF($B607="","",IFERROR(INDEX(Connaissements!$B$3:$B$202,MATCH($B607,Connaissements!$A$3:$A$202,0)),""))</f>
        <v/>
      </c>
      <c r="L607" s="7" t="str">
        <f>IF($B607="","",IFERROR(INDEX(Connaissements!$G$3:$G$202,MATCH($B607,Connaissements!$A$3:$A$202,0)),""))</f>
        <v/>
      </c>
      <c r="M607" s="7" t="str">
        <f t="shared" si="35"/>
        <v/>
      </c>
      <c r="N607" s="7" t="str">
        <f t="shared" ca="1" si="36"/>
        <v/>
      </c>
      <c r="O607" s="13"/>
      <c r="P607" s="29" t="str">
        <f t="shared" ca="1" si="37"/>
        <v/>
      </c>
      <c r="Q607" s="30" t="str">
        <f>IF($K607="","",IFERROR(IF(INDEX(Bookings!$G$3:$G$202,MATCH($K607,Bookings!$A$3:$A$202,0))="","",INDEX(Bookings!$G$3:$G$202,MATCH($K607,Bookings!$A$3:$A$202,0))),""))</f>
        <v/>
      </c>
    </row>
    <row r="608" spans="1:17" hidden="1" x14ac:dyDescent="0.35">
      <c r="A608" s="81"/>
      <c r="B608" s="81"/>
      <c r="C608" s="21"/>
      <c r="D608" s="56"/>
      <c r="E608" s="14"/>
      <c r="F608" s="14"/>
      <c r="G608" s="14"/>
      <c r="H608" s="83">
        <f t="shared" si="38"/>
        <v>0</v>
      </c>
      <c r="I608" s="80"/>
      <c r="J608" s="80"/>
      <c r="K608" s="7" t="str">
        <f>IF($B608="","",IFERROR(INDEX(Connaissements!$B$3:$B$202,MATCH($B608,Connaissements!$A$3:$A$202,0)),""))</f>
        <v/>
      </c>
      <c r="L608" s="7" t="str">
        <f>IF($B608="","",IFERROR(INDEX(Connaissements!$G$3:$G$202,MATCH($B608,Connaissements!$A$3:$A$202,0)),""))</f>
        <v/>
      </c>
      <c r="M608" s="7" t="str">
        <f t="shared" si="35"/>
        <v/>
      </c>
      <c r="N608" s="7" t="str">
        <f t="shared" ca="1" si="36"/>
        <v/>
      </c>
      <c r="O608" s="13"/>
      <c r="P608" s="29" t="str">
        <f t="shared" ca="1" si="37"/>
        <v/>
      </c>
      <c r="Q608" s="30" t="str">
        <f>IF($K608="","",IFERROR(IF(INDEX(Bookings!$G$3:$G$202,MATCH($K608,Bookings!$A$3:$A$202,0))="","",INDEX(Bookings!$G$3:$G$202,MATCH($K608,Bookings!$A$3:$A$202,0))),""))</f>
        <v/>
      </c>
    </row>
    <row r="609" spans="1:17" hidden="1" x14ac:dyDescent="0.35">
      <c r="A609" s="81"/>
      <c r="B609" s="81"/>
      <c r="C609" s="21"/>
      <c r="D609" s="56"/>
      <c r="E609" s="14"/>
      <c r="F609" s="14"/>
      <c r="G609" s="14"/>
      <c r="H609" s="83">
        <f t="shared" si="38"/>
        <v>0</v>
      </c>
      <c r="I609" s="80"/>
      <c r="J609" s="80"/>
      <c r="K609" s="7" t="str">
        <f>IF($B609="","",IFERROR(INDEX(Connaissements!$B$3:$B$202,MATCH($B609,Connaissements!$A$3:$A$202,0)),""))</f>
        <v/>
      </c>
      <c r="L609" s="7" t="str">
        <f>IF($B609="","",IFERROR(INDEX(Connaissements!$G$3:$G$202,MATCH($B609,Connaissements!$A$3:$A$202,0)),""))</f>
        <v/>
      </c>
      <c r="M609" s="7" t="str">
        <f t="shared" si="35"/>
        <v/>
      </c>
      <c r="N609" s="7" t="str">
        <f t="shared" ca="1" si="36"/>
        <v/>
      </c>
      <c r="O609" s="13"/>
      <c r="P609" s="29" t="str">
        <f t="shared" ca="1" si="37"/>
        <v/>
      </c>
      <c r="Q609" s="30" t="str">
        <f>IF($K609="","",IFERROR(IF(INDEX(Bookings!$G$3:$G$202,MATCH($K609,Bookings!$A$3:$A$202,0))="","",INDEX(Bookings!$G$3:$G$202,MATCH($K609,Bookings!$A$3:$A$202,0))),""))</f>
        <v/>
      </c>
    </row>
    <row r="610" spans="1:17" hidden="1" x14ac:dyDescent="0.35">
      <c r="A610" s="81"/>
      <c r="B610" s="81"/>
      <c r="C610" s="21"/>
      <c r="D610" s="56"/>
      <c r="E610" s="14"/>
      <c r="F610" s="14"/>
      <c r="G610" s="14"/>
      <c r="H610" s="83">
        <f t="shared" si="38"/>
        <v>0</v>
      </c>
      <c r="I610" s="80"/>
      <c r="J610" s="80"/>
      <c r="K610" s="7" t="str">
        <f>IF($B610="","",IFERROR(INDEX(Connaissements!$B$3:$B$202,MATCH($B610,Connaissements!$A$3:$A$202,0)),""))</f>
        <v/>
      </c>
      <c r="L610" s="7" t="str">
        <f>IF($B610="","",IFERROR(INDEX(Connaissements!$G$3:$G$202,MATCH($B610,Connaissements!$A$3:$A$202,0)),""))</f>
        <v/>
      </c>
      <c r="M610" s="7" t="str">
        <f t="shared" si="35"/>
        <v/>
      </c>
      <c r="N610" s="7" t="str">
        <f t="shared" ca="1" si="36"/>
        <v/>
      </c>
      <c r="O610" s="13"/>
      <c r="P610" s="29" t="str">
        <f t="shared" ca="1" si="37"/>
        <v/>
      </c>
      <c r="Q610" s="30" t="str">
        <f>IF($K610="","",IFERROR(IF(INDEX(Bookings!$G$3:$G$202,MATCH($K610,Bookings!$A$3:$A$202,0))="","",INDEX(Bookings!$G$3:$G$202,MATCH($K610,Bookings!$A$3:$A$202,0))),""))</f>
        <v/>
      </c>
    </row>
    <row r="611" spans="1:17" hidden="1" x14ac:dyDescent="0.35">
      <c r="A611" s="81"/>
      <c r="B611" s="81"/>
      <c r="C611" s="21"/>
      <c r="D611" s="56"/>
      <c r="E611" s="14"/>
      <c r="F611" s="14"/>
      <c r="G611" s="14"/>
      <c r="H611" s="83">
        <f t="shared" si="38"/>
        <v>0</v>
      </c>
      <c r="I611" s="80"/>
      <c r="J611" s="80"/>
      <c r="K611" s="7" t="str">
        <f>IF($B611="","",IFERROR(INDEX(Connaissements!$B$3:$B$202,MATCH($B611,Connaissements!$A$3:$A$202,0)),""))</f>
        <v/>
      </c>
      <c r="L611" s="7" t="str">
        <f>IF($B611="","",IFERROR(INDEX(Connaissements!$G$3:$G$202,MATCH($B611,Connaissements!$A$3:$A$202,0)),""))</f>
        <v/>
      </c>
      <c r="M611" s="7" t="str">
        <f t="shared" si="35"/>
        <v/>
      </c>
      <c r="N611" s="7" t="str">
        <f t="shared" ca="1" si="36"/>
        <v/>
      </c>
      <c r="O611" s="13"/>
      <c r="P611" s="29" t="str">
        <f t="shared" ca="1" si="37"/>
        <v/>
      </c>
      <c r="Q611" s="30" t="str">
        <f>IF($K611="","",IFERROR(IF(INDEX(Bookings!$G$3:$G$202,MATCH($K611,Bookings!$A$3:$A$202,0))="","",INDEX(Bookings!$G$3:$G$202,MATCH($K611,Bookings!$A$3:$A$202,0))),""))</f>
        <v/>
      </c>
    </row>
    <row r="612" spans="1:17" hidden="1" x14ac:dyDescent="0.35">
      <c r="A612" s="81"/>
      <c r="B612" s="81"/>
      <c r="C612" s="21"/>
      <c r="D612" s="56"/>
      <c r="E612" s="14"/>
      <c r="F612" s="14"/>
      <c r="G612" s="14"/>
      <c r="H612" s="83">
        <f t="shared" si="38"/>
        <v>0</v>
      </c>
      <c r="I612" s="80"/>
      <c r="J612" s="80"/>
      <c r="K612" s="7" t="str">
        <f>IF($B612="","",IFERROR(INDEX(Connaissements!$B$3:$B$202,MATCH($B612,Connaissements!$A$3:$A$202,0)),""))</f>
        <v/>
      </c>
      <c r="L612" s="7" t="str">
        <f>IF($B612="","",IFERROR(INDEX(Connaissements!$G$3:$G$202,MATCH($B612,Connaissements!$A$3:$A$202,0)),""))</f>
        <v/>
      </c>
      <c r="M612" s="7" t="str">
        <f t="shared" si="35"/>
        <v/>
      </c>
      <c r="N612" s="7" t="str">
        <f t="shared" ca="1" si="36"/>
        <v/>
      </c>
      <c r="O612" s="13"/>
      <c r="P612" s="29" t="str">
        <f t="shared" ca="1" si="37"/>
        <v/>
      </c>
      <c r="Q612" s="30" t="str">
        <f>IF($K612="","",IFERROR(IF(INDEX(Bookings!$G$3:$G$202,MATCH($K612,Bookings!$A$3:$A$202,0))="","",INDEX(Bookings!$G$3:$G$202,MATCH($K612,Bookings!$A$3:$A$202,0))),""))</f>
        <v/>
      </c>
    </row>
    <row r="613" spans="1:17" hidden="1" x14ac:dyDescent="0.35">
      <c r="A613" s="81"/>
      <c r="B613" s="81"/>
      <c r="C613" s="21"/>
      <c r="D613" s="56"/>
      <c r="E613" s="14"/>
      <c r="F613" s="14"/>
      <c r="G613" s="14"/>
      <c r="H613" s="83">
        <f t="shared" si="38"/>
        <v>0</v>
      </c>
      <c r="I613" s="80"/>
      <c r="J613" s="80"/>
      <c r="K613" s="7" t="str">
        <f>IF($B613="","",IFERROR(INDEX(Connaissements!$B$3:$B$202,MATCH($B613,Connaissements!$A$3:$A$202,0)),""))</f>
        <v/>
      </c>
      <c r="L613" s="7" t="str">
        <f>IF($B613="","",IFERROR(INDEX(Connaissements!$G$3:$G$202,MATCH($B613,Connaissements!$A$3:$A$202,0)),""))</f>
        <v/>
      </c>
      <c r="M613" s="7" t="str">
        <f t="shared" si="35"/>
        <v/>
      </c>
      <c r="N613" s="7" t="str">
        <f t="shared" ca="1" si="36"/>
        <v/>
      </c>
      <c r="O613" s="13"/>
      <c r="P613" s="29" t="str">
        <f t="shared" ca="1" si="37"/>
        <v/>
      </c>
      <c r="Q613" s="30" t="str">
        <f>IF($K613="","",IFERROR(IF(INDEX(Bookings!$G$3:$G$202,MATCH($K613,Bookings!$A$3:$A$202,0))="","",INDEX(Bookings!$G$3:$G$202,MATCH($K613,Bookings!$A$3:$A$202,0))),""))</f>
        <v/>
      </c>
    </row>
    <row r="614" spans="1:17" hidden="1" x14ac:dyDescent="0.35">
      <c r="A614" s="81"/>
      <c r="B614" s="81"/>
      <c r="C614" s="21"/>
      <c r="D614" s="56"/>
      <c r="E614" s="14"/>
      <c r="F614" s="14"/>
      <c r="G614" s="14"/>
      <c r="H614" s="83">
        <f t="shared" si="38"/>
        <v>0</v>
      </c>
      <c r="I614" s="80"/>
      <c r="J614" s="80"/>
      <c r="K614" s="7" t="str">
        <f>IF($B614="","",IFERROR(INDEX(Connaissements!$B$3:$B$202,MATCH($B614,Connaissements!$A$3:$A$202,0)),""))</f>
        <v/>
      </c>
      <c r="L614" s="7" t="str">
        <f>IF($B614="","",IFERROR(INDEX(Connaissements!$G$3:$G$202,MATCH($B614,Connaissements!$A$3:$A$202,0)),""))</f>
        <v/>
      </c>
      <c r="M614" s="7" t="str">
        <f t="shared" si="35"/>
        <v/>
      </c>
      <c r="N614" s="7" t="str">
        <f t="shared" ca="1" si="36"/>
        <v/>
      </c>
      <c r="O614" s="13"/>
      <c r="P614" s="29" t="str">
        <f t="shared" ca="1" si="37"/>
        <v/>
      </c>
      <c r="Q614" s="30" t="str">
        <f>IF($K614="","",IFERROR(IF(INDEX(Bookings!$G$3:$G$202,MATCH($K614,Bookings!$A$3:$A$202,0))="","",INDEX(Bookings!$G$3:$G$202,MATCH($K614,Bookings!$A$3:$A$202,0))),""))</f>
        <v/>
      </c>
    </row>
    <row r="615" spans="1:17" hidden="1" x14ac:dyDescent="0.35">
      <c r="A615" s="81"/>
      <c r="B615" s="81"/>
      <c r="C615" s="21"/>
      <c r="D615" s="56"/>
      <c r="E615" s="14"/>
      <c r="F615" s="14"/>
      <c r="G615" s="14"/>
      <c r="H615" s="83">
        <f t="shared" si="38"/>
        <v>0</v>
      </c>
      <c r="I615" s="80"/>
      <c r="J615" s="80"/>
      <c r="K615" s="7" t="str">
        <f>IF($B615="","",IFERROR(INDEX(Connaissements!$B$3:$B$202,MATCH($B615,Connaissements!$A$3:$A$202,0)),""))</f>
        <v/>
      </c>
      <c r="L615" s="7" t="str">
        <f>IF($B615="","",IFERROR(INDEX(Connaissements!$G$3:$G$202,MATCH($B615,Connaissements!$A$3:$A$202,0)),""))</f>
        <v/>
      </c>
      <c r="M615" s="7" t="str">
        <f t="shared" si="35"/>
        <v/>
      </c>
      <c r="N615" s="7" t="str">
        <f t="shared" ca="1" si="36"/>
        <v/>
      </c>
      <c r="O615" s="13"/>
      <c r="P615" s="29" t="str">
        <f t="shared" ca="1" si="37"/>
        <v/>
      </c>
      <c r="Q615" s="30" t="str">
        <f>IF($K615="","",IFERROR(IF(INDEX(Bookings!$G$3:$G$202,MATCH($K615,Bookings!$A$3:$A$202,0))="","",INDEX(Bookings!$G$3:$G$202,MATCH($K615,Bookings!$A$3:$A$202,0))),""))</f>
        <v/>
      </c>
    </row>
    <row r="616" spans="1:17" hidden="1" x14ac:dyDescent="0.35">
      <c r="A616" s="81"/>
      <c r="B616" s="81"/>
      <c r="C616" s="21"/>
      <c r="D616" s="56"/>
      <c r="E616" s="14"/>
      <c r="F616" s="14"/>
      <c r="G616" s="14"/>
      <c r="H616" s="83">
        <f t="shared" si="38"/>
        <v>0</v>
      </c>
      <c r="I616" s="80"/>
      <c r="J616" s="80"/>
      <c r="K616" s="7" t="str">
        <f>IF($B616="","",IFERROR(INDEX(Connaissements!$B$3:$B$202,MATCH($B616,Connaissements!$A$3:$A$202,0)),""))</f>
        <v/>
      </c>
      <c r="L616" s="7" t="str">
        <f>IF($B616="","",IFERROR(INDEX(Connaissements!$G$3:$G$202,MATCH($B616,Connaissements!$A$3:$A$202,0)),""))</f>
        <v/>
      </c>
      <c r="M616" s="7" t="str">
        <f t="shared" si="35"/>
        <v/>
      </c>
      <c r="N616" s="7" t="str">
        <f t="shared" ca="1" si="36"/>
        <v/>
      </c>
      <c r="O616" s="13"/>
      <c r="P616" s="29" t="str">
        <f t="shared" ca="1" si="37"/>
        <v/>
      </c>
      <c r="Q616" s="30" t="str">
        <f>IF($K616="","",IFERROR(IF(INDEX(Bookings!$G$3:$G$202,MATCH($K616,Bookings!$A$3:$A$202,0))="","",INDEX(Bookings!$G$3:$G$202,MATCH($K616,Bookings!$A$3:$A$202,0))),""))</f>
        <v/>
      </c>
    </row>
    <row r="617" spans="1:17" hidden="1" x14ac:dyDescent="0.35">
      <c r="A617" s="81"/>
      <c r="B617" s="81"/>
      <c r="C617" s="21"/>
      <c r="D617" s="56"/>
      <c r="E617" s="14"/>
      <c r="F617" s="14"/>
      <c r="G617" s="14"/>
      <c r="H617" s="83">
        <f t="shared" si="38"/>
        <v>0</v>
      </c>
      <c r="I617" s="80"/>
      <c r="J617" s="80"/>
      <c r="K617" s="7" t="str">
        <f>IF($B617="","",IFERROR(INDEX(Connaissements!$B$3:$B$202,MATCH($B617,Connaissements!$A$3:$A$202,0)),""))</f>
        <v/>
      </c>
      <c r="L617" s="7" t="str">
        <f>IF($B617="","",IFERROR(INDEX(Connaissements!$G$3:$G$202,MATCH($B617,Connaissements!$A$3:$A$202,0)),""))</f>
        <v/>
      </c>
      <c r="M617" s="7" t="str">
        <f t="shared" si="35"/>
        <v/>
      </c>
      <c r="N617" s="7" t="str">
        <f t="shared" ca="1" si="36"/>
        <v/>
      </c>
      <c r="O617" s="13"/>
      <c r="P617" s="29" t="str">
        <f t="shared" ca="1" si="37"/>
        <v/>
      </c>
      <c r="Q617" s="30" t="str">
        <f>IF($K617="","",IFERROR(IF(INDEX(Bookings!$G$3:$G$202,MATCH($K617,Bookings!$A$3:$A$202,0))="","",INDEX(Bookings!$G$3:$G$202,MATCH($K617,Bookings!$A$3:$A$202,0))),""))</f>
        <v/>
      </c>
    </row>
    <row r="618" spans="1:17" hidden="1" x14ac:dyDescent="0.35">
      <c r="A618" s="81"/>
      <c r="B618" s="81"/>
      <c r="C618" s="21"/>
      <c r="D618" s="56"/>
      <c r="E618" s="14"/>
      <c r="F618" s="14"/>
      <c r="G618" s="14"/>
      <c r="H618" s="83">
        <f t="shared" si="38"/>
        <v>0</v>
      </c>
      <c r="I618" s="80"/>
      <c r="J618" s="80"/>
      <c r="K618" s="7" t="str">
        <f>IF($B618="","",IFERROR(INDEX(Connaissements!$B$3:$B$202,MATCH($B618,Connaissements!$A$3:$A$202,0)),""))</f>
        <v/>
      </c>
      <c r="L618" s="7" t="str">
        <f>IF($B618="","",IFERROR(INDEX(Connaissements!$G$3:$G$202,MATCH($B618,Connaissements!$A$3:$A$202,0)),""))</f>
        <v/>
      </c>
      <c r="M618" s="7" t="str">
        <f t="shared" si="35"/>
        <v/>
      </c>
      <c r="N618" s="7" t="str">
        <f t="shared" ca="1" si="36"/>
        <v/>
      </c>
      <c r="O618" s="13"/>
      <c r="P618" s="29" t="str">
        <f t="shared" ca="1" si="37"/>
        <v/>
      </c>
      <c r="Q618" s="30" t="str">
        <f>IF($K618="","",IFERROR(IF(INDEX(Bookings!$G$3:$G$202,MATCH($K618,Bookings!$A$3:$A$202,0))="","",INDEX(Bookings!$G$3:$G$202,MATCH($K618,Bookings!$A$3:$A$202,0))),""))</f>
        <v/>
      </c>
    </row>
    <row r="619" spans="1:17" hidden="1" x14ac:dyDescent="0.35">
      <c r="A619" s="81"/>
      <c r="B619" s="81"/>
      <c r="C619" s="21"/>
      <c r="D619" s="56"/>
      <c r="E619" s="14"/>
      <c r="F619" s="14"/>
      <c r="G619" s="14"/>
      <c r="H619" s="83">
        <f t="shared" si="38"/>
        <v>0</v>
      </c>
      <c r="I619" s="80"/>
      <c r="J619" s="80"/>
      <c r="K619" s="7" t="str">
        <f>IF($B619="","",IFERROR(INDEX(Connaissements!$B$3:$B$202,MATCH($B619,Connaissements!$A$3:$A$202,0)),""))</f>
        <v/>
      </c>
      <c r="L619" s="7" t="str">
        <f>IF($B619="","",IFERROR(INDEX(Connaissements!$G$3:$G$202,MATCH($B619,Connaissements!$A$3:$A$202,0)),""))</f>
        <v/>
      </c>
      <c r="M619" s="7" t="str">
        <f t="shared" si="35"/>
        <v/>
      </c>
      <c r="N619" s="7" t="str">
        <f t="shared" ca="1" si="36"/>
        <v/>
      </c>
      <c r="O619" s="13"/>
      <c r="P619" s="29" t="str">
        <f t="shared" ca="1" si="37"/>
        <v/>
      </c>
      <c r="Q619" s="30" t="str">
        <f>IF($K619="","",IFERROR(IF(INDEX(Bookings!$G$3:$G$202,MATCH($K619,Bookings!$A$3:$A$202,0))="","",INDEX(Bookings!$G$3:$G$202,MATCH($K619,Bookings!$A$3:$A$202,0))),""))</f>
        <v/>
      </c>
    </row>
    <row r="620" spans="1:17" hidden="1" x14ac:dyDescent="0.35">
      <c r="A620" s="81"/>
      <c r="B620" s="81"/>
      <c r="C620" s="21"/>
      <c r="D620" s="56"/>
      <c r="E620" s="14"/>
      <c r="F620" s="14"/>
      <c r="G620" s="14"/>
      <c r="H620" s="83">
        <f t="shared" si="38"/>
        <v>0</v>
      </c>
      <c r="I620" s="80"/>
      <c r="J620" s="80"/>
      <c r="K620" s="7" t="str">
        <f>IF($B620="","",IFERROR(INDEX(Connaissements!$B$3:$B$202,MATCH($B620,Connaissements!$A$3:$A$202,0)),""))</f>
        <v/>
      </c>
      <c r="L620" s="7" t="str">
        <f>IF($B620="","",IFERROR(INDEX(Connaissements!$G$3:$G$202,MATCH($B620,Connaissements!$A$3:$A$202,0)),""))</f>
        <v/>
      </c>
      <c r="M620" s="7" t="str">
        <f t="shared" si="35"/>
        <v/>
      </c>
      <c r="N620" s="7" t="str">
        <f t="shared" ca="1" si="36"/>
        <v/>
      </c>
      <c r="O620" s="13"/>
      <c r="P620" s="29" t="str">
        <f t="shared" ca="1" si="37"/>
        <v/>
      </c>
      <c r="Q620" s="30" t="str">
        <f>IF($K620="","",IFERROR(IF(INDEX(Bookings!$G$3:$G$202,MATCH($K620,Bookings!$A$3:$A$202,0))="","",INDEX(Bookings!$G$3:$G$202,MATCH($K620,Bookings!$A$3:$A$202,0))),""))</f>
        <v/>
      </c>
    </row>
    <row r="621" spans="1:17" hidden="1" x14ac:dyDescent="0.35">
      <c r="A621" s="81"/>
      <c r="B621" s="81"/>
      <c r="C621" s="21"/>
      <c r="D621" s="56"/>
      <c r="E621" s="14"/>
      <c r="F621" s="14"/>
      <c r="G621" s="14"/>
      <c r="H621" s="83">
        <f t="shared" si="38"/>
        <v>0</v>
      </c>
      <c r="I621" s="80"/>
      <c r="J621" s="80"/>
      <c r="K621" s="7" t="str">
        <f>IF($B621="","",IFERROR(INDEX(Connaissements!$B$3:$B$202,MATCH($B621,Connaissements!$A$3:$A$202,0)),""))</f>
        <v/>
      </c>
      <c r="L621" s="7" t="str">
        <f>IF($B621="","",IFERROR(INDEX(Connaissements!$G$3:$G$202,MATCH($B621,Connaissements!$A$3:$A$202,0)),""))</f>
        <v/>
      </c>
      <c r="M621" s="7" t="str">
        <f t="shared" si="35"/>
        <v/>
      </c>
      <c r="N621" s="7" t="str">
        <f t="shared" ca="1" si="36"/>
        <v/>
      </c>
      <c r="O621" s="13"/>
      <c r="P621" s="29" t="str">
        <f t="shared" ca="1" si="37"/>
        <v/>
      </c>
      <c r="Q621" s="30" t="str">
        <f>IF($K621="","",IFERROR(IF(INDEX(Bookings!$G$3:$G$202,MATCH($K621,Bookings!$A$3:$A$202,0))="","",INDEX(Bookings!$G$3:$G$202,MATCH($K621,Bookings!$A$3:$A$202,0))),""))</f>
        <v/>
      </c>
    </row>
    <row r="622" spans="1:17" hidden="1" x14ac:dyDescent="0.35">
      <c r="A622" s="81"/>
      <c r="B622" s="81"/>
      <c r="C622" s="21"/>
      <c r="D622" s="56"/>
      <c r="E622" s="14"/>
      <c r="F622" s="14"/>
      <c r="G622" s="14"/>
      <c r="H622" s="83">
        <f t="shared" si="38"/>
        <v>0</v>
      </c>
      <c r="I622" s="80"/>
      <c r="J622" s="80"/>
      <c r="K622" s="7" t="str">
        <f>IF($B622="","",IFERROR(INDEX(Connaissements!$B$3:$B$202,MATCH($B622,Connaissements!$A$3:$A$202,0)),""))</f>
        <v/>
      </c>
      <c r="L622" s="7" t="str">
        <f>IF($B622="","",IFERROR(INDEX(Connaissements!$G$3:$G$202,MATCH($B622,Connaissements!$A$3:$A$202,0)),""))</f>
        <v/>
      </c>
      <c r="M622" s="7" t="str">
        <f t="shared" si="35"/>
        <v/>
      </c>
      <c r="N622" s="7" t="str">
        <f t="shared" ca="1" si="36"/>
        <v/>
      </c>
      <c r="O622" s="13"/>
      <c r="P622" s="29" t="str">
        <f t="shared" ca="1" si="37"/>
        <v/>
      </c>
      <c r="Q622" s="30" t="str">
        <f>IF($K622="","",IFERROR(IF(INDEX(Bookings!$G$3:$G$202,MATCH($K622,Bookings!$A$3:$A$202,0))="","",INDEX(Bookings!$G$3:$G$202,MATCH($K622,Bookings!$A$3:$A$202,0))),""))</f>
        <v/>
      </c>
    </row>
    <row r="623" spans="1:17" hidden="1" x14ac:dyDescent="0.35">
      <c r="A623" s="81"/>
      <c r="B623" s="81"/>
      <c r="C623" s="21"/>
      <c r="D623" s="56"/>
      <c r="E623" s="14"/>
      <c r="F623" s="14"/>
      <c r="G623" s="14"/>
      <c r="H623" s="83">
        <f t="shared" si="38"/>
        <v>0</v>
      </c>
      <c r="I623" s="80"/>
      <c r="J623" s="80"/>
      <c r="K623" s="7" t="str">
        <f>IF($B623="","",IFERROR(INDEX(Connaissements!$B$3:$B$202,MATCH($B623,Connaissements!$A$3:$A$202,0)),""))</f>
        <v/>
      </c>
      <c r="L623" s="7" t="str">
        <f>IF($B623="","",IFERROR(INDEX(Connaissements!$G$3:$G$202,MATCH($B623,Connaissements!$A$3:$A$202,0)),""))</f>
        <v/>
      </c>
      <c r="M623" s="7" t="str">
        <f t="shared" si="35"/>
        <v/>
      </c>
      <c r="N623" s="7" t="str">
        <f t="shared" ca="1" si="36"/>
        <v/>
      </c>
      <c r="O623" s="13"/>
      <c r="P623" s="29" t="str">
        <f t="shared" ca="1" si="37"/>
        <v/>
      </c>
      <c r="Q623" s="30" t="str">
        <f>IF($K623="","",IFERROR(IF(INDEX(Bookings!$G$3:$G$202,MATCH($K623,Bookings!$A$3:$A$202,0))="","",INDEX(Bookings!$G$3:$G$202,MATCH($K623,Bookings!$A$3:$A$202,0))),""))</f>
        <v/>
      </c>
    </row>
    <row r="624" spans="1:17" hidden="1" x14ac:dyDescent="0.35">
      <c r="A624" s="81"/>
      <c r="B624" s="81"/>
      <c r="C624" s="21"/>
      <c r="D624" s="56"/>
      <c r="E624" s="14"/>
      <c r="F624" s="14"/>
      <c r="G624" s="14"/>
      <c r="H624" s="83">
        <f t="shared" si="38"/>
        <v>0</v>
      </c>
      <c r="I624" s="80"/>
      <c r="J624" s="80"/>
      <c r="K624" s="7" t="str">
        <f>IF($B624="","",IFERROR(INDEX(Connaissements!$B$3:$B$202,MATCH($B624,Connaissements!$A$3:$A$202,0)),""))</f>
        <v/>
      </c>
      <c r="L624" s="7" t="str">
        <f>IF($B624="","",IFERROR(INDEX(Connaissements!$G$3:$G$202,MATCH($B624,Connaissements!$A$3:$A$202,0)),""))</f>
        <v/>
      </c>
      <c r="M624" s="7" t="str">
        <f t="shared" si="35"/>
        <v/>
      </c>
      <c r="N624" s="7" t="str">
        <f t="shared" ca="1" si="36"/>
        <v/>
      </c>
      <c r="O624" s="13"/>
      <c r="P624" s="29" t="str">
        <f t="shared" ca="1" si="37"/>
        <v/>
      </c>
      <c r="Q624" s="30" t="str">
        <f>IF($K624="","",IFERROR(IF(INDEX(Bookings!$G$3:$G$202,MATCH($K624,Bookings!$A$3:$A$202,0))="","",INDEX(Bookings!$G$3:$G$202,MATCH($K624,Bookings!$A$3:$A$202,0))),""))</f>
        <v/>
      </c>
    </row>
    <row r="625" spans="1:17" hidden="1" x14ac:dyDescent="0.35">
      <c r="A625" s="81"/>
      <c r="B625" s="81"/>
      <c r="C625" s="21"/>
      <c r="D625" s="56"/>
      <c r="E625" s="14"/>
      <c r="F625" s="14"/>
      <c r="G625" s="14"/>
      <c r="H625" s="83">
        <f t="shared" si="38"/>
        <v>0</v>
      </c>
      <c r="I625" s="80"/>
      <c r="J625" s="80"/>
      <c r="K625" s="7" t="str">
        <f>IF($B625="","",IFERROR(INDEX(Connaissements!$B$3:$B$202,MATCH($B625,Connaissements!$A$3:$A$202,0)),""))</f>
        <v/>
      </c>
      <c r="L625" s="7" t="str">
        <f>IF($B625="","",IFERROR(INDEX(Connaissements!$G$3:$G$202,MATCH($B625,Connaissements!$A$3:$A$202,0)),""))</f>
        <v/>
      </c>
      <c r="M625" s="7" t="str">
        <f t="shared" si="35"/>
        <v/>
      </c>
      <c r="N625" s="7" t="str">
        <f t="shared" ca="1" si="36"/>
        <v/>
      </c>
      <c r="O625" s="13"/>
      <c r="P625" s="29" t="str">
        <f t="shared" ca="1" si="37"/>
        <v/>
      </c>
      <c r="Q625" s="30" t="str">
        <f>IF($K625="","",IFERROR(IF(INDEX(Bookings!$G$3:$G$202,MATCH($K625,Bookings!$A$3:$A$202,0))="","",INDEX(Bookings!$G$3:$G$202,MATCH($K625,Bookings!$A$3:$A$202,0))),""))</f>
        <v/>
      </c>
    </row>
    <row r="626" spans="1:17" hidden="1" x14ac:dyDescent="0.35">
      <c r="A626" s="81"/>
      <c r="B626" s="81"/>
      <c r="C626" s="21"/>
      <c r="D626" s="56"/>
      <c r="E626" s="14"/>
      <c r="F626" s="14"/>
      <c r="G626" s="14"/>
      <c r="H626" s="83">
        <f t="shared" si="38"/>
        <v>0</v>
      </c>
      <c r="I626" s="80"/>
      <c r="J626" s="80"/>
      <c r="K626" s="7" t="str">
        <f>IF($B626="","",IFERROR(INDEX(Connaissements!$B$3:$B$202,MATCH($B626,Connaissements!$A$3:$A$202,0)),""))</f>
        <v/>
      </c>
      <c r="L626" s="7" t="str">
        <f>IF($B626="","",IFERROR(INDEX(Connaissements!$G$3:$G$202,MATCH($B626,Connaissements!$A$3:$A$202,0)),""))</f>
        <v/>
      </c>
      <c r="M626" s="7" t="str">
        <f t="shared" si="35"/>
        <v/>
      </c>
      <c r="N626" s="7" t="str">
        <f t="shared" ca="1" si="36"/>
        <v/>
      </c>
      <c r="O626" s="13"/>
      <c r="P626" s="29" t="str">
        <f t="shared" ca="1" si="37"/>
        <v/>
      </c>
      <c r="Q626" s="30" t="str">
        <f>IF($K626="","",IFERROR(IF(INDEX(Bookings!$G$3:$G$202,MATCH($K626,Bookings!$A$3:$A$202,0))="","",INDEX(Bookings!$G$3:$G$202,MATCH($K626,Bookings!$A$3:$A$202,0))),""))</f>
        <v/>
      </c>
    </row>
    <row r="627" spans="1:17" hidden="1" x14ac:dyDescent="0.35">
      <c r="A627" s="81"/>
      <c r="B627" s="81"/>
      <c r="C627" s="21"/>
      <c r="D627" s="56"/>
      <c r="E627" s="14"/>
      <c r="F627" s="14"/>
      <c r="G627" s="14"/>
      <c r="H627" s="83">
        <f t="shared" si="38"/>
        <v>0</v>
      </c>
      <c r="I627" s="80"/>
      <c r="J627" s="80"/>
      <c r="K627" s="7" t="str">
        <f>IF($B627="","",IFERROR(INDEX(Connaissements!$B$3:$B$202,MATCH($B627,Connaissements!$A$3:$A$202,0)),""))</f>
        <v/>
      </c>
      <c r="L627" s="7" t="str">
        <f>IF($B627="","",IFERROR(INDEX(Connaissements!$G$3:$G$202,MATCH($B627,Connaissements!$A$3:$A$202,0)),""))</f>
        <v/>
      </c>
      <c r="M627" s="7" t="str">
        <f t="shared" si="35"/>
        <v/>
      </c>
      <c r="N627" s="7" t="str">
        <f t="shared" ca="1" si="36"/>
        <v/>
      </c>
      <c r="O627" s="13"/>
      <c r="P627" s="29" t="str">
        <f t="shared" ca="1" si="37"/>
        <v/>
      </c>
      <c r="Q627" s="30" t="str">
        <f>IF($K627="","",IFERROR(IF(INDEX(Bookings!$G$3:$G$202,MATCH($K627,Bookings!$A$3:$A$202,0))="","",INDEX(Bookings!$G$3:$G$202,MATCH($K627,Bookings!$A$3:$A$202,0))),""))</f>
        <v/>
      </c>
    </row>
    <row r="628" spans="1:17" hidden="1" x14ac:dyDescent="0.35">
      <c r="A628" s="81"/>
      <c r="B628" s="81"/>
      <c r="C628" s="21"/>
      <c r="D628" s="56"/>
      <c r="E628" s="14"/>
      <c r="F628" s="14"/>
      <c r="G628" s="14"/>
      <c r="H628" s="83">
        <f t="shared" si="38"/>
        <v>0</v>
      </c>
      <c r="I628" s="80"/>
      <c r="J628" s="80"/>
      <c r="K628" s="7" t="str">
        <f>IF($B628="","",IFERROR(INDEX(Connaissements!$B$3:$B$202,MATCH($B628,Connaissements!$A$3:$A$202,0)),""))</f>
        <v/>
      </c>
      <c r="L628" s="7" t="str">
        <f>IF($B628="","",IFERROR(INDEX(Connaissements!$G$3:$G$202,MATCH($B628,Connaissements!$A$3:$A$202,0)),""))</f>
        <v/>
      </c>
      <c r="M628" s="7" t="str">
        <f t="shared" si="35"/>
        <v/>
      </c>
      <c r="N628" s="7" t="str">
        <f t="shared" ca="1" si="36"/>
        <v/>
      </c>
      <c r="O628" s="13"/>
      <c r="P628" s="29" t="str">
        <f t="shared" ca="1" si="37"/>
        <v/>
      </c>
      <c r="Q628" s="30" t="str">
        <f>IF($K628="","",IFERROR(IF(INDEX(Bookings!$G$3:$G$202,MATCH($K628,Bookings!$A$3:$A$202,0))="","",INDEX(Bookings!$G$3:$G$202,MATCH($K628,Bookings!$A$3:$A$202,0))),""))</f>
        <v/>
      </c>
    </row>
    <row r="629" spans="1:17" hidden="1" x14ac:dyDescent="0.35">
      <c r="A629" s="81"/>
      <c r="B629" s="81"/>
      <c r="C629" s="21"/>
      <c r="D629" s="56"/>
      <c r="E629" s="14"/>
      <c r="F629" s="14"/>
      <c r="G629" s="14"/>
      <c r="H629" s="83">
        <f t="shared" si="38"/>
        <v>0</v>
      </c>
      <c r="I629" s="80"/>
      <c r="J629" s="80"/>
      <c r="K629" s="7" t="str">
        <f>IF($B629="","",IFERROR(INDEX(Connaissements!$B$3:$B$202,MATCH($B629,Connaissements!$A$3:$A$202,0)),""))</f>
        <v/>
      </c>
      <c r="L629" s="7" t="str">
        <f>IF($B629="","",IFERROR(INDEX(Connaissements!$G$3:$G$202,MATCH($B629,Connaissements!$A$3:$A$202,0)),""))</f>
        <v/>
      </c>
      <c r="M629" s="7" t="str">
        <f t="shared" si="35"/>
        <v/>
      </c>
      <c r="N629" s="7" t="str">
        <f t="shared" ca="1" si="36"/>
        <v/>
      </c>
      <c r="O629" s="13"/>
      <c r="P629" s="29" t="str">
        <f t="shared" ca="1" si="37"/>
        <v/>
      </c>
      <c r="Q629" s="30" t="str">
        <f>IF($K629="","",IFERROR(IF(INDEX(Bookings!$G$3:$G$202,MATCH($K629,Bookings!$A$3:$A$202,0))="","",INDEX(Bookings!$G$3:$G$202,MATCH($K629,Bookings!$A$3:$A$202,0))),""))</f>
        <v/>
      </c>
    </row>
    <row r="630" spans="1:17" hidden="1" x14ac:dyDescent="0.35">
      <c r="A630" s="81"/>
      <c r="B630" s="81"/>
      <c r="C630" s="21"/>
      <c r="D630" s="56"/>
      <c r="E630" s="14"/>
      <c r="F630" s="14"/>
      <c r="G630" s="14"/>
      <c r="H630" s="83">
        <f t="shared" si="38"/>
        <v>0</v>
      </c>
      <c r="I630" s="80"/>
      <c r="J630" s="80"/>
      <c r="K630" s="7" t="str">
        <f>IF($B630="","",IFERROR(INDEX(Connaissements!$B$3:$B$202,MATCH($B630,Connaissements!$A$3:$A$202,0)),""))</f>
        <v/>
      </c>
      <c r="L630" s="7" t="str">
        <f>IF($B630="","",IFERROR(INDEX(Connaissements!$G$3:$G$202,MATCH($B630,Connaissements!$A$3:$A$202,0)),""))</f>
        <v/>
      </c>
      <c r="M630" s="7" t="str">
        <f t="shared" si="35"/>
        <v/>
      </c>
      <c r="N630" s="7" t="str">
        <f t="shared" ca="1" si="36"/>
        <v/>
      </c>
      <c r="O630" s="13"/>
      <c r="P630" s="29" t="str">
        <f t="shared" ca="1" si="37"/>
        <v/>
      </c>
      <c r="Q630" s="30" t="str">
        <f>IF($K630="","",IFERROR(IF(INDEX(Bookings!$G$3:$G$202,MATCH($K630,Bookings!$A$3:$A$202,0))="","",INDEX(Bookings!$G$3:$G$202,MATCH($K630,Bookings!$A$3:$A$202,0))),""))</f>
        <v/>
      </c>
    </row>
    <row r="631" spans="1:17" hidden="1" x14ac:dyDescent="0.35">
      <c r="A631" s="81"/>
      <c r="B631" s="81"/>
      <c r="C631" s="21"/>
      <c r="D631" s="56"/>
      <c r="E631" s="14"/>
      <c r="F631" s="14"/>
      <c r="G631" s="14"/>
      <c r="H631" s="83">
        <f t="shared" si="38"/>
        <v>0</v>
      </c>
      <c r="I631" s="80"/>
      <c r="J631" s="80"/>
      <c r="K631" s="7" t="str">
        <f>IF($B631="","",IFERROR(INDEX(Connaissements!$B$3:$B$202,MATCH($B631,Connaissements!$A$3:$A$202,0)),""))</f>
        <v/>
      </c>
      <c r="L631" s="7" t="str">
        <f>IF($B631="","",IFERROR(INDEX(Connaissements!$G$3:$G$202,MATCH($B631,Connaissements!$A$3:$A$202,0)),""))</f>
        <v/>
      </c>
      <c r="M631" s="7" t="str">
        <f t="shared" si="35"/>
        <v/>
      </c>
      <c r="N631" s="7" t="str">
        <f t="shared" ca="1" si="36"/>
        <v/>
      </c>
      <c r="O631" s="13"/>
      <c r="P631" s="29" t="str">
        <f t="shared" ca="1" si="37"/>
        <v/>
      </c>
      <c r="Q631" s="30" t="str">
        <f>IF($K631="","",IFERROR(IF(INDEX(Bookings!$G$3:$G$202,MATCH($K631,Bookings!$A$3:$A$202,0))="","",INDEX(Bookings!$G$3:$G$202,MATCH($K631,Bookings!$A$3:$A$202,0))),""))</f>
        <v/>
      </c>
    </row>
    <row r="632" spans="1:17" hidden="1" x14ac:dyDescent="0.35">
      <c r="A632" s="81"/>
      <c r="B632" s="81"/>
      <c r="C632" s="21"/>
      <c r="D632" s="56"/>
      <c r="E632" s="14"/>
      <c r="F632" s="14"/>
      <c r="G632" s="14"/>
      <c r="H632" s="83">
        <f t="shared" si="38"/>
        <v>0</v>
      </c>
      <c r="I632" s="80"/>
      <c r="J632" s="80"/>
      <c r="K632" s="7" t="str">
        <f>IF($B632="","",IFERROR(INDEX(Connaissements!$B$3:$B$202,MATCH($B632,Connaissements!$A$3:$A$202,0)),""))</f>
        <v/>
      </c>
      <c r="L632" s="7" t="str">
        <f>IF($B632="","",IFERROR(INDEX(Connaissements!$G$3:$G$202,MATCH($B632,Connaissements!$A$3:$A$202,0)),""))</f>
        <v/>
      </c>
      <c r="M632" s="7" t="str">
        <f t="shared" si="35"/>
        <v/>
      </c>
      <c r="N632" s="7" t="str">
        <f t="shared" ca="1" si="36"/>
        <v/>
      </c>
      <c r="O632" s="13"/>
      <c r="P632" s="29" t="str">
        <f t="shared" ca="1" si="37"/>
        <v/>
      </c>
      <c r="Q632" s="30" t="str">
        <f>IF($K632="","",IFERROR(IF(INDEX(Bookings!$G$3:$G$202,MATCH($K632,Bookings!$A$3:$A$202,0))="","",INDEX(Bookings!$G$3:$G$202,MATCH($K632,Bookings!$A$3:$A$202,0))),""))</f>
        <v/>
      </c>
    </row>
    <row r="633" spans="1:17" hidden="1" x14ac:dyDescent="0.35">
      <c r="A633" s="81"/>
      <c r="B633" s="81"/>
      <c r="C633" s="21"/>
      <c r="D633" s="56"/>
      <c r="E633" s="14"/>
      <c r="F633" s="14"/>
      <c r="G633" s="14"/>
      <c r="H633" s="83">
        <f t="shared" si="38"/>
        <v>0</v>
      </c>
      <c r="I633" s="80"/>
      <c r="J633" s="80"/>
      <c r="K633" s="7" t="str">
        <f>IF($B633="","",IFERROR(INDEX(Connaissements!$B$3:$B$202,MATCH($B633,Connaissements!$A$3:$A$202,0)),""))</f>
        <v/>
      </c>
      <c r="L633" s="7" t="str">
        <f>IF($B633="","",IFERROR(INDEX(Connaissements!$G$3:$G$202,MATCH($B633,Connaissements!$A$3:$A$202,0)),""))</f>
        <v/>
      </c>
      <c r="M633" s="7" t="str">
        <f t="shared" si="35"/>
        <v/>
      </c>
      <c r="N633" s="7" t="str">
        <f t="shared" ca="1" si="36"/>
        <v/>
      </c>
      <c r="O633" s="13"/>
      <c r="P633" s="29" t="str">
        <f t="shared" ca="1" si="37"/>
        <v/>
      </c>
      <c r="Q633" s="30" t="str">
        <f>IF($K633="","",IFERROR(IF(INDEX(Bookings!$G$3:$G$202,MATCH($K633,Bookings!$A$3:$A$202,0))="","",INDEX(Bookings!$G$3:$G$202,MATCH($K633,Bookings!$A$3:$A$202,0))),""))</f>
        <v/>
      </c>
    </row>
    <row r="634" spans="1:17" hidden="1" x14ac:dyDescent="0.35">
      <c r="A634" s="81"/>
      <c r="B634" s="81"/>
      <c r="C634" s="21"/>
      <c r="D634" s="56"/>
      <c r="E634" s="14"/>
      <c r="F634" s="14"/>
      <c r="G634" s="14"/>
      <c r="H634" s="83">
        <f t="shared" si="38"/>
        <v>0</v>
      </c>
      <c r="I634" s="80"/>
      <c r="J634" s="80"/>
      <c r="K634" s="7" t="str">
        <f>IF($B634="","",IFERROR(INDEX(Connaissements!$B$3:$B$202,MATCH($B634,Connaissements!$A$3:$A$202,0)),""))</f>
        <v/>
      </c>
      <c r="L634" s="7" t="str">
        <f>IF($B634="","",IFERROR(INDEX(Connaissements!$G$3:$G$202,MATCH($B634,Connaissements!$A$3:$A$202,0)),""))</f>
        <v/>
      </c>
      <c r="M634" s="7" t="str">
        <f t="shared" si="35"/>
        <v/>
      </c>
      <c r="N634" s="7" t="str">
        <f t="shared" ca="1" si="36"/>
        <v/>
      </c>
      <c r="O634" s="13"/>
      <c r="P634" s="29" t="str">
        <f t="shared" ca="1" si="37"/>
        <v/>
      </c>
      <c r="Q634" s="30" t="str">
        <f>IF($K634="","",IFERROR(IF(INDEX(Bookings!$G$3:$G$202,MATCH($K634,Bookings!$A$3:$A$202,0))="","",INDEX(Bookings!$G$3:$G$202,MATCH($K634,Bookings!$A$3:$A$202,0))),""))</f>
        <v/>
      </c>
    </row>
    <row r="635" spans="1:17" hidden="1" x14ac:dyDescent="0.35">
      <c r="A635" s="81"/>
      <c r="B635" s="81"/>
      <c r="C635" s="21"/>
      <c r="D635" s="56"/>
      <c r="E635" s="14"/>
      <c r="F635" s="14"/>
      <c r="G635" s="14"/>
      <c r="H635" s="83">
        <f t="shared" si="38"/>
        <v>0</v>
      </c>
      <c r="I635" s="80"/>
      <c r="J635" s="80"/>
      <c r="K635" s="7" t="str">
        <f>IF($B635="","",IFERROR(INDEX(Connaissements!$B$3:$B$202,MATCH($B635,Connaissements!$A$3:$A$202,0)),""))</f>
        <v/>
      </c>
      <c r="L635" s="7" t="str">
        <f>IF($B635="","",IFERROR(INDEX(Connaissements!$G$3:$G$202,MATCH($B635,Connaissements!$A$3:$A$202,0)),""))</f>
        <v/>
      </c>
      <c r="M635" s="7" t="str">
        <f t="shared" si="35"/>
        <v/>
      </c>
      <c r="N635" s="7" t="str">
        <f t="shared" ca="1" si="36"/>
        <v/>
      </c>
      <c r="O635" s="13"/>
      <c r="P635" s="29" t="str">
        <f t="shared" ca="1" si="37"/>
        <v/>
      </c>
      <c r="Q635" s="30" t="str">
        <f>IF($K635="","",IFERROR(IF(INDEX(Bookings!$G$3:$G$202,MATCH($K635,Bookings!$A$3:$A$202,0))="","",INDEX(Bookings!$G$3:$G$202,MATCH($K635,Bookings!$A$3:$A$202,0))),""))</f>
        <v/>
      </c>
    </row>
    <row r="636" spans="1:17" hidden="1" x14ac:dyDescent="0.35">
      <c r="A636" s="81"/>
      <c r="B636" s="81"/>
      <c r="C636" s="21"/>
      <c r="D636" s="56"/>
      <c r="E636" s="14"/>
      <c r="F636" s="14"/>
      <c r="G636" s="14"/>
      <c r="H636" s="83">
        <f t="shared" si="38"/>
        <v>0</v>
      </c>
      <c r="I636" s="80"/>
      <c r="J636" s="80"/>
      <c r="K636" s="7" t="str">
        <f>IF($B636="","",IFERROR(INDEX(Connaissements!$B$3:$B$202,MATCH($B636,Connaissements!$A$3:$A$202,0)),""))</f>
        <v/>
      </c>
      <c r="L636" s="7" t="str">
        <f>IF($B636="","",IFERROR(INDEX(Connaissements!$G$3:$G$202,MATCH($B636,Connaissements!$A$3:$A$202,0)),""))</f>
        <v/>
      </c>
      <c r="M636" s="7" t="str">
        <f t="shared" si="35"/>
        <v/>
      </c>
      <c r="N636" s="7" t="str">
        <f t="shared" ca="1" si="36"/>
        <v/>
      </c>
      <c r="O636" s="13"/>
      <c r="P636" s="29" t="str">
        <f t="shared" ca="1" si="37"/>
        <v/>
      </c>
      <c r="Q636" s="30" t="str">
        <f>IF($K636="","",IFERROR(IF(INDEX(Bookings!$G$3:$G$202,MATCH($K636,Bookings!$A$3:$A$202,0))="","",INDEX(Bookings!$G$3:$G$202,MATCH($K636,Bookings!$A$3:$A$202,0))),""))</f>
        <v/>
      </c>
    </row>
    <row r="637" spans="1:17" hidden="1" x14ac:dyDescent="0.35">
      <c r="A637" s="81"/>
      <c r="B637" s="81"/>
      <c r="C637" s="21"/>
      <c r="D637" s="56"/>
      <c r="E637" s="14"/>
      <c r="F637" s="14"/>
      <c r="G637" s="14"/>
      <c r="H637" s="83">
        <f t="shared" si="38"/>
        <v>0</v>
      </c>
      <c r="I637" s="80"/>
      <c r="J637" s="80"/>
      <c r="K637" s="7" t="str">
        <f>IF($B637="","",IFERROR(INDEX(Connaissements!$B$3:$B$202,MATCH($B637,Connaissements!$A$3:$A$202,0)),""))</f>
        <v/>
      </c>
      <c r="L637" s="7" t="str">
        <f>IF($B637="","",IFERROR(INDEX(Connaissements!$G$3:$G$202,MATCH($B637,Connaissements!$A$3:$A$202,0)),""))</f>
        <v/>
      </c>
      <c r="M637" s="7" t="str">
        <f t="shared" si="35"/>
        <v/>
      </c>
      <c r="N637" s="7" t="str">
        <f t="shared" ca="1" si="36"/>
        <v/>
      </c>
      <c r="O637" s="13"/>
      <c r="P637" s="29" t="str">
        <f t="shared" ca="1" si="37"/>
        <v/>
      </c>
      <c r="Q637" s="30" t="str">
        <f>IF($K637="","",IFERROR(IF(INDEX(Bookings!$G$3:$G$202,MATCH($K637,Bookings!$A$3:$A$202,0))="","",INDEX(Bookings!$G$3:$G$202,MATCH($K637,Bookings!$A$3:$A$202,0))),""))</f>
        <v/>
      </c>
    </row>
    <row r="638" spans="1:17" hidden="1" x14ac:dyDescent="0.35">
      <c r="A638" s="81"/>
      <c r="B638" s="81"/>
      <c r="C638" s="21"/>
      <c r="D638" s="56"/>
      <c r="E638" s="14"/>
      <c r="F638" s="14"/>
      <c r="G638" s="14"/>
      <c r="H638" s="83">
        <f t="shared" si="38"/>
        <v>0</v>
      </c>
      <c r="I638" s="80"/>
      <c r="J638" s="80"/>
      <c r="K638" s="7" t="str">
        <f>IF($B638="","",IFERROR(INDEX(Connaissements!$B$3:$B$202,MATCH($B638,Connaissements!$A$3:$A$202,0)),""))</f>
        <v/>
      </c>
      <c r="L638" s="7" t="str">
        <f>IF($B638="","",IFERROR(INDEX(Connaissements!$G$3:$G$202,MATCH($B638,Connaissements!$A$3:$A$202,0)),""))</f>
        <v/>
      </c>
      <c r="M638" s="7" t="str">
        <f t="shared" si="35"/>
        <v/>
      </c>
      <c r="N638" s="7" t="str">
        <f t="shared" ca="1" si="36"/>
        <v/>
      </c>
      <c r="O638" s="13"/>
      <c r="P638" s="29" t="str">
        <f t="shared" ca="1" si="37"/>
        <v/>
      </c>
      <c r="Q638" s="30" t="str">
        <f>IF($K638="","",IFERROR(IF(INDEX(Bookings!$G$3:$G$202,MATCH($K638,Bookings!$A$3:$A$202,0))="","",INDEX(Bookings!$G$3:$G$202,MATCH($K638,Bookings!$A$3:$A$202,0))),""))</f>
        <v/>
      </c>
    </row>
    <row r="639" spans="1:17" hidden="1" x14ac:dyDescent="0.35">
      <c r="A639" s="81"/>
      <c r="B639" s="81"/>
      <c r="C639" s="21"/>
      <c r="D639" s="56"/>
      <c r="E639" s="14"/>
      <c r="F639" s="14"/>
      <c r="G639" s="14"/>
      <c r="H639" s="83">
        <f t="shared" si="38"/>
        <v>0</v>
      </c>
      <c r="I639" s="80"/>
      <c r="J639" s="80"/>
      <c r="K639" s="7" t="str">
        <f>IF($B639="","",IFERROR(INDEX(Connaissements!$B$3:$B$202,MATCH($B639,Connaissements!$A$3:$A$202,0)),""))</f>
        <v/>
      </c>
      <c r="L639" s="7" t="str">
        <f>IF($B639="","",IFERROR(INDEX(Connaissements!$G$3:$G$202,MATCH($B639,Connaissements!$A$3:$A$202,0)),""))</f>
        <v/>
      </c>
      <c r="M639" s="7" t="str">
        <f t="shared" si="35"/>
        <v/>
      </c>
      <c r="N639" s="7" t="str">
        <f t="shared" ca="1" si="36"/>
        <v/>
      </c>
      <c r="O639" s="13"/>
      <c r="P639" s="29" t="str">
        <f t="shared" ca="1" si="37"/>
        <v/>
      </c>
      <c r="Q639" s="30" t="str">
        <f>IF($K639="","",IFERROR(IF(INDEX(Bookings!$G$3:$G$202,MATCH($K639,Bookings!$A$3:$A$202,0))="","",INDEX(Bookings!$G$3:$G$202,MATCH($K639,Bookings!$A$3:$A$202,0))),""))</f>
        <v/>
      </c>
    </row>
    <row r="640" spans="1:17" hidden="1" x14ac:dyDescent="0.35">
      <c r="A640" s="81"/>
      <c r="B640" s="81"/>
      <c r="C640" s="21"/>
      <c r="D640" s="56"/>
      <c r="E640" s="14"/>
      <c r="F640" s="14"/>
      <c r="G640" s="14"/>
      <c r="H640" s="83">
        <f t="shared" si="38"/>
        <v>0</v>
      </c>
      <c r="I640" s="80"/>
      <c r="J640" s="80"/>
      <c r="K640" s="7" t="str">
        <f>IF($B640="","",IFERROR(INDEX(Connaissements!$B$3:$B$202,MATCH($B640,Connaissements!$A$3:$A$202,0)),""))</f>
        <v/>
      </c>
      <c r="L640" s="7" t="str">
        <f>IF($B640="","",IFERROR(INDEX(Connaissements!$G$3:$G$202,MATCH($B640,Connaissements!$A$3:$A$202,0)),""))</f>
        <v/>
      </c>
      <c r="M640" s="7" t="str">
        <f t="shared" si="35"/>
        <v/>
      </c>
      <c r="N640" s="7" t="str">
        <f t="shared" ca="1" si="36"/>
        <v/>
      </c>
      <c r="O640" s="13"/>
      <c r="P640" s="29" t="str">
        <f t="shared" ca="1" si="37"/>
        <v/>
      </c>
      <c r="Q640" s="30" t="str">
        <f>IF($K640="","",IFERROR(IF(INDEX(Bookings!$G$3:$G$202,MATCH($K640,Bookings!$A$3:$A$202,0))="","",INDEX(Bookings!$G$3:$G$202,MATCH($K640,Bookings!$A$3:$A$202,0))),""))</f>
        <v/>
      </c>
    </row>
    <row r="641" spans="1:17" hidden="1" x14ac:dyDescent="0.35">
      <c r="A641" s="81"/>
      <c r="B641" s="81"/>
      <c r="C641" s="21"/>
      <c r="D641" s="56"/>
      <c r="E641" s="14"/>
      <c r="F641" s="14"/>
      <c r="G641" s="14"/>
      <c r="H641" s="83">
        <f t="shared" si="38"/>
        <v>0</v>
      </c>
      <c r="I641" s="80"/>
      <c r="J641" s="80"/>
      <c r="K641" s="7" t="str">
        <f>IF($B641="","",IFERROR(INDEX(Connaissements!$B$3:$B$202,MATCH($B641,Connaissements!$A$3:$A$202,0)),""))</f>
        <v/>
      </c>
      <c r="L641" s="7" t="str">
        <f>IF($B641="","",IFERROR(INDEX(Connaissements!$G$3:$G$202,MATCH($B641,Connaissements!$A$3:$A$202,0)),""))</f>
        <v/>
      </c>
      <c r="M641" s="7" t="str">
        <f t="shared" si="35"/>
        <v/>
      </c>
      <c r="N641" s="7" t="str">
        <f t="shared" ca="1" si="36"/>
        <v/>
      </c>
      <c r="O641" s="13"/>
      <c r="P641" s="29" t="str">
        <f t="shared" ca="1" si="37"/>
        <v/>
      </c>
      <c r="Q641" s="30" t="str">
        <f>IF($K641="","",IFERROR(IF(INDEX(Bookings!$G$3:$G$202,MATCH($K641,Bookings!$A$3:$A$202,0))="","",INDEX(Bookings!$G$3:$G$202,MATCH($K641,Bookings!$A$3:$A$202,0))),""))</f>
        <v/>
      </c>
    </row>
    <row r="642" spans="1:17" hidden="1" x14ac:dyDescent="0.35">
      <c r="A642" s="81"/>
      <c r="B642" s="81"/>
      <c r="C642" s="21"/>
      <c r="D642" s="56"/>
      <c r="E642" s="14"/>
      <c r="F642" s="14"/>
      <c r="G642" s="14"/>
      <c r="H642" s="83">
        <f t="shared" si="38"/>
        <v>0</v>
      </c>
      <c r="I642" s="80"/>
      <c r="J642" s="80"/>
      <c r="K642" s="7" t="str">
        <f>IF($B642="","",IFERROR(INDEX(Connaissements!$B$3:$B$202,MATCH($B642,Connaissements!$A$3:$A$202,0)),""))</f>
        <v/>
      </c>
      <c r="L642" s="7" t="str">
        <f>IF($B642="","",IFERROR(INDEX(Connaissements!$G$3:$G$202,MATCH($B642,Connaissements!$A$3:$A$202,0)),""))</f>
        <v/>
      </c>
      <c r="M642" s="7" t="str">
        <f t="shared" si="35"/>
        <v/>
      </c>
      <c r="N642" s="7" t="str">
        <f t="shared" ca="1" si="36"/>
        <v/>
      </c>
      <c r="O642" s="13"/>
      <c r="P642" s="29" t="str">
        <f t="shared" ca="1" si="37"/>
        <v/>
      </c>
      <c r="Q642" s="30" t="str">
        <f>IF($K642="","",IFERROR(IF(INDEX(Bookings!$G$3:$G$202,MATCH($K642,Bookings!$A$3:$A$202,0))="","",INDEX(Bookings!$G$3:$G$202,MATCH($K642,Bookings!$A$3:$A$202,0))),""))</f>
        <v/>
      </c>
    </row>
    <row r="643" spans="1:17" hidden="1" x14ac:dyDescent="0.35">
      <c r="A643" s="81"/>
      <c r="B643" s="81"/>
      <c r="C643" s="21"/>
      <c r="D643" s="56"/>
      <c r="E643" s="14"/>
      <c r="F643" s="14"/>
      <c r="G643" s="14"/>
      <c r="H643" s="83">
        <f t="shared" si="38"/>
        <v>0</v>
      </c>
      <c r="I643" s="80"/>
      <c r="J643" s="80"/>
      <c r="K643" s="7" t="str">
        <f>IF($B643="","",IFERROR(INDEX(Connaissements!$B$3:$B$202,MATCH($B643,Connaissements!$A$3:$A$202,0)),""))</f>
        <v/>
      </c>
      <c r="L643" s="7" t="str">
        <f>IF($B643="","",IFERROR(INDEX(Connaissements!$G$3:$G$202,MATCH($B643,Connaissements!$A$3:$A$202,0)),""))</f>
        <v/>
      </c>
      <c r="M643" s="7" t="str">
        <f t="shared" ref="M643:M706" si="39">IF($A643="","",IF($G643&lt;&gt;"","Embarqué",IF($F643&lt;&gt;"","Gate-In fait",IF($E643&lt;&gt;"","Empoté","À empoter"))))</f>
        <v/>
      </c>
      <c r="N643" s="7" t="str">
        <f t="shared" ref="N643:N706" ca="1" si="40">IF(OR($A643="",$G643&lt;&gt;""),"",IF(AND($Q643&lt;&gt;"",N($Q643)&lt;TODAY()),"RETARD : ETD dépassé, pas embarqué",IF(AND($Q643&lt;&gt;"",N($Q643)-TODAY()&lt;=P_AlerteETD,$F643=""),"Gate-In à faire (ETD proche)",IF(AND($E643&lt;&gt;"",$H643=""),"Poids net à saisir",""))))</f>
        <v/>
      </c>
      <c r="O643" s="13"/>
      <c r="P643" s="29" t="str">
        <f t="shared" ref="P643:P706" ca="1" si="41">IF($N643&lt;&gt;"",1,"")</f>
        <v/>
      </c>
      <c r="Q643" s="30" t="str">
        <f>IF($K643="","",IFERROR(IF(INDEX(Bookings!$G$3:$G$202,MATCH($K643,Bookings!$A$3:$A$202,0))="","",INDEX(Bookings!$G$3:$G$202,MATCH($K643,Bookings!$A$3:$A$202,0))),""))</f>
        <v/>
      </c>
    </row>
    <row r="644" spans="1:17" hidden="1" x14ac:dyDescent="0.35">
      <c r="A644" s="81"/>
      <c r="B644" s="81"/>
      <c r="C644" s="21"/>
      <c r="D644" s="56"/>
      <c r="E644" s="14"/>
      <c r="F644" s="14"/>
      <c r="G644" s="14"/>
      <c r="H644" s="83">
        <f t="shared" ref="H644:H707" si="42">J644-I644</f>
        <v>0</v>
      </c>
      <c r="I644" s="80"/>
      <c r="J644" s="80"/>
      <c r="K644" s="7" t="str">
        <f>IF($B644="","",IFERROR(INDEX(Connaissements!$B$3:$B$202,MATCH($B644,Connaissements!$A$3:$A$202,0)),""))</f>
        <v/>
      </c>
      <c r="L644" s="7" t="str">
        <f>IF($B644="","",IFERROR(INDEX(Connaissements!$G$3:$G$202,MATCH($B644,Connaissements!$A$3:$A$202,0)),""))</f>
        <v/>
      </c>
      <c r="M644" s="7" t="str">
        <f t="shared" si="39"/>
        <v/>
      </c>
      <c r="N644" s="7" t="str">
        <f t="shared" ca="1" si="40"/>
        <v/>
      </c>
      <c r="O644" s="13"/>
      <c r="P644" s="29" t="str">
        <f t="shared" ca="1" si="41"/>
        <v/>
      </c>
      <c r="Q644" s="30" t="str">
        <f>IF($K644="","",IFERROR(IF(INDEX(Bookings!$G$3:$G$202,MATCH($K644,Bookings!$A$3:$A$202,0))="","",INDEX(Bookings!$G$3:$G$202,MATCH($K644,Bookings!$A$3:$A$202,0))),""))</f>
        <v/>
      </c>
    </row>
    <row r="645" spans="1:17" hidden="1" x14ac:dyDescent="0.35">
      <c r="A645" s="81"/>
      <c r="B645" s="81"/>
      <c r="C645" s="21"/>
      <c r="D645" s="56"/>
      <c r="E645" s="14"/>
      <c r="F645" s="14"/>
      <c r="G645" s="14"/>
      <c r="H645" s="83">
        <f t="shared" si="42"/>
        <v>0</v>
      </c>
      <c r="I645" s="80"/>
      <c r="J645" s="80"/>
      <c r="K645" s="7" t="str">
        <f>IF($B645="","",IFERROR(INDEX(Connaissements!$B$3:$B$202,MATCH($B645,Connaissements!$A$3:$A$202,0)),""))</f>
        <v/>
      </c>
      <c r="L645" s="7" t="str">
        <f>IF($B645="","",IFERROR(INDEX(Connaissements!$G$3:$G$202,MATCH($B645,Connaissements!$A$3:$A$202,0)),""))</f>
        <v/>
      </c>
      <c r="M645" s="7" t="str">
        <f t="shared" si="39"/>
        <v/>
      </c>
      <c r="N645" s="7" t="str">
        <f t="shared" ca="1" si="40"/>
        <v/>
      </c>
      <c r="O645" s="13"/>
      <c r="P645" s="29" t="str">
        <f t="shared" ca="1" si="41"/>
        <v/>
      </c>
      <c r="Q645" s="30" t="str">
        <f>IF($K645="","",IFERROR(IF(INDEX(Bookings!$G$3:$G$202,MATCH($K645,Bookings!$A$3:$A$202,0))="","",INDEX(Bookings!$G$3:$G$202,MATCH($K645,Bookings!$A$3:$A$202,0))),""))</f>
        <v/>
      </c>
    </row>
    <row r="646" spans="1:17" hidden="1" x14ac:dyDescent="0.35">
      <c r="A646" s="81"/>
      <c r="B646" s="81"/>
      <c r="C646" s="21"/>
      <c r="D646" s="56"/>
      <c r="E646" s="14"/>
      <c r="F646" s="14"/>
      <c r="G646" s="14"/>
      <c r="H646" s="83">
        <f t="shared" si="42"/>
        <v>0</v>
      </c>
      <c r="I646" s="80"/>
      <c r="J646" s="80"/>
      <c r="K646" s="7" t="str">
        <f>IF($B646="","",IFERROR(INDEX(Connaissements!$B$3:$B$202,MATCH($B646,Connaissements!$A$3:$A$202,0)),""))</f>
        <v/>
      </c>
      <c r="L646" s="7" t="str">
        <f>IF($B646="","",IFERROR(INDEX(Connaissements!$G$3:$G$202,MATCH($B646,Connaissements!$A$3:$A$202,0)),""))</f>
        <v/>
      </c>
      <c r="M646" s="7" t="str">
        <f t="shared" si="39"/>
        <v/>
      </c>
      <c r="N646" s="7" t="str">
        <f t="shared" ca="1" si="40"/>
        <v/>
      </c>
      <c r="O646" s="13"/>
      <c r="P646" s="29" t="str">
        <f t="shared" ca="1" si="41"/>
        <v/>
      </c>
      <c r="Q646" s="30" t="str">
        <f>IF($K646="","",IFERROR(IF(INDEX(Bookings!$G$3:$G$202,MATCH($K646,Bookings!$A$3:$A$202,0))="","",INDEX(Bookings!$G$3:$G$202,MATCH($K646,Bookings!$A$3:$A$202,0))),""))</f>
        <v/>
      </c>
    </row>
    <row r="647" spans="1:17" hidden="1" x14ac:dyDescent="0.35">
      <c r="A647" s="81"/>
      <c r="B647" s="81"/>
      <c r="C647" s="21"/>
      <c r="D647" s="56"/>
      <c r="E647" s="14"/>
      <c r="F647" s="14"/>
      <c r="G647" s="14"/>
      <c r="H647" s="83">
        <f t="shared" si="42"/>
        <v>0</v>
      </c>
      <c r="I647" s="80"/>
      <c r="J647" s="80"/>
      <c r="K647" s="7" t="str">
        <f>IF($B647="","",IFERROR(INDEX(Connaissements!$B$3:$B$202,MATCH($B647,Connaissements!$A$3:$A$202,0)),""))</f>
        <v/>
      </c>
      <c r="L647" s="7" t="str">
        <f>IF($B647="","",IFERROR(INDEX(Connaissements!$G$3:$G$202,MATCH($B647,Connaissements!$A$3:$A$202,0)),""))</f>
        <v/>
      </c>
      <c r="M647" s="7" t="str">
        <f t="shared" si="39"/>
        <v/>
      </c>
      <c r="N647" s="7" t="str">
        <f t="shared" ca="1" si="40"/>
        <v/>
      </c>
      <c r="O647" s="13"/>
      <c r="P647" s="29" t="str">
        <f t="shared" ca="1" si="41"/>
        <v/>
      </c>
      <c r="Q647" s="30" t="str">
        <f>IF($K647="","",IFERROR(IF(INDEX(Bookings!$G$3:$G$202,MATCH($K647,Bookings!$A$3:$A$202,0))="","",INDEX(Bookings!$G$3:$G$202,MATCH($K647,Bookings!$A$3:$A$202,0))),""))</f>
        <v/>
      </c>
    </row>
    <row r="648" spans="1:17" hidden="1" x14ac:dyDescent="0.35">
      <c r="A648" s="81"/>
      <c r="B648" s="81"/>
      <c r="C648" s="21"/>
      <c r="D648" s="56"/>
      <c r="E648" s="14"/>
      <c r="F648" s="14"/>
      <c r="G648" s="14"/>
      <c r="H648" s="83">
        <f t="shared" si="42"/>
        <v>0</v>
      </c>
      <c r="I648" s="80"/>
      <c r="J648" s="80"/>
      <c r="K648" s="7" t="str">
        <f>IF($B648="","",IFERROR(INDEX(Connaissements!$B$3:$B$202,MATCH($B648,Connaissements!$A$3:$A$202,0)),""))</f>
        <v/>
      </c>
      <c r="L648" s="7" t="str">
        <f>IF($B648="","",IFERROR(INDEX(Connaissements!$G$3:$G$202,MATCH($B648,Connaissements!$A$3:$A$202,0)),""))</f>
        <v/>
      </c>
      <c r="M648" s="7" t="str">
        <f t="shared" si="39"/>
        <v/>
      </c>
      <c r="N648" s="7" t="str">
        <f t="shared" ca="1" si="40"/>
        <v/>
      </c>
      <c r="O648" s="13"/>
      <c r="P648" s="29" t="str">
        <f t="shared" ca="1" si="41"/>
        <v/>
      </c>
      <c r="Q648" s="30" t="str">
        <f>IF($K648="","",IFERROR(IF(INDEX(Bookings!$G$3:$G$202,MATCH($K648,Bookings!$A$3:$A$202,0))="","",INDEX(Bookings!$G$3:$G$202,MATCH($K648,Bookings!$A$3:$A$202,0))),""))</f>
        <v/>
      </c>
    </row>
    <row r="649" spans="1:17" hidden="1" x14ac:dyDescent="0.35">
      <c r="A649" s="81"/>
      <c r="B649" s="81"/>
      <c r="C649" s="21"/>
      <c r="D649" s="56"/>
      <c r="E649" s="14"/>
      <c r="F649" s="14"/>
      <c r="G649" s="14"/>
      <c r="H649" s="83">
        <f t="shared" si="42"/>
        <v>0</v>
      </c>
      <c r="I649" s="80"/>
      <c r="J649" s="80"/>
      <c r="K649" s="7" t="str">
        <f>IF($B649="","",IFERROR(INDEX(Connaissements!$B$3:$B$202,MATCH($B649,Connaissements!$A$3:$A$202,0)),""))</f>
        <v/>
      </c>
      <c r="L649" s="7" t="str">
        <f>IF($B649="","",IFERROR(INDEX(Connaissements!$G$3:$G$202,MATCH($B649,Connaissements!$A$3:$A$202,0)),""))</f>
        <v/>
      </c>
      <c r="M649" s="7" t="str">
        <f t="shared" si="39"/>
        <v/>
      </c>
      <c r="N649" s="7" t="str">
        <f t="shared" ca="1" si="40"/>
        <v/>
      </c>
      <c r="O649" s="13"/>
      <c r="P649" s="29" t="str">
        <f t="shared" ca="1" si="41"/>
        <v/>
      </c>
      <c r="Q649" s="30" t="str">
        <f>IF($K649="","",IFERROR(IF(INDEX(Bookings!$G$3:$G$202,MATCH($K649,Bookings!$A$3:$A$202,0))="","",INDEX(Bookings!$G$3:$G$202,MATCH($K649,Bookings!$A$3:$A$202,0))),""))</f>
        <v/>
      </c>
    </row>
    <row r="650" spans="1:17" hidden="1" x14ac:dyDescent="0.35">
      <c r="A650" s="81"/>
      <c r="B650" s="81"/>
      <c r="C650" s="21"/>
      <c r="D650" s="56"/>
      <c r="E650" s="14"/>
      <c r="F650" s="14"/>
      <c r="G650" s="14"/>
      <c r="H650" s="83">
        <f t="shared" si="42"/>
        <v>0</v>
      </c>
      <c r="I650" s="80"/>
      <c r="J650" s="80"/>
      <c r="K650" s="7" t="str">
        <f>IF($B650="","",IFERROR(INDEX(Connaissements!$B$3:$B$202,MATCH($B650,Connaissements!$A$3:$A$202,0)),""))</f>
        <v/>
      </c>
      <c r="L650" s="7" t="str">
        <f>IF($B650="","",IFERROR(INDEX(Connaissements!$G$3:$G$202,MATCH($B650,Connaissements!$A$3:$A$202,0)),""))</f>
        <v/>
      </c>
      <c r="M650" s="7" t="str">
        <f t="shared" si="39"/>
        <v/>
      </c>
      <c r="N650" s="7" t="str">
        <f t="shared" ca="1" si="40"/>
        <v/>
      </c>
      <c r="O650" s="13"/>
      <c r="P650" s="29" t="str">
        <f t="shared" ca="1" si="41"/>
        <v/>
      </c>
      <c r="Q650" s="30" t="str">
        <f>IF($K650="","",IFERROR(IF(INDEX(Bookings!$G$3:$G$202,MATCH($K650,Bookings!$A$3:$A$202,0))="","",INDEX(Bookings!$G$3:$G$202,MATCH($K650,Bookings!$A$3:$A$202,0))),""))</f>
        <v/>
      </c>
    </row>
    <row r="651" spans="1:17" hidden="1" x14ac:dyDescent="0.35">
      <c r="A651" s="81"/>
      <c r="B651" s="81"/>
      <c r="C651" s="21"/>
      <c r="D651" s="56"/>
      <c r="E651" s="14"/>
      <c r="F651" s="14"/>
      <c r="G651" s="14"/>
      <c r="H651" s="83">
        <f t="shared" si="42"/>
        <v>0</v>
      </c>
      <c r="I651" s="80"/>
      <c r="J651" s="80"/>
      <c r="K651" s="7" t="str">
        <f>IF($B651="","",IFERROR(INDEX(Connaissements!$B$3:$B$202,MATCH($B651,Connaissements!$A$3:$A$202,0)),""))</f>
        <v/>
      </c>
      <c r="L651" s="7" t="str">
        <f>IF($B651="","",IFERROR(INDEX(Connaissements!$G$3:$G$202,MATCH($B651,Connaissements!$A$3:$A$202,0)),""))</f>
        <v/>
      </c>
      <c r="M651" s="7" t="str">
        <f t="shared" si="39"/>
        <v/>
      </c>
      <c r="N651" s="7" t="str">
        <f t="shared" ca="1" si="40"/>
        <v/>
      </c>
      <c r="O651" s="13"/>
      <c r="P651" s="29" t="str">
        <f t="shared" ca="1" si="41"/>
        <v/>
      </c>
      <c r="Q651" s="30" t="str">
        <f>IF($K651="","",IFERROR(IF(INDEX(Bookings!$G$3:$G$202,MATCH($K651,Bookings!$A$3:$A$202,0))="","",INDEX(Bookings!$G$3:$G$202,MATCH($K651,Bookings!$A$3:$A$202,0))),""))</f>
        <v/>
      </c>
    </row>
    <row r="652" spans="1:17" hidden="1" x14ac:dyDescent="0.35">
      <c r="A652" s="81"/>
      <c r="B652" s="81"/>
      <c r="C652" s="21"/>
      <c r="D652" s="56"/>
      <c r="E652" s="14"/>
      <c r="F652" s="14"/>
      <c r="G652" s="14"/>
      <c r="H652" s="83">
        <f t="shared" si="42"/>
        <v>0</v>
      </c>
      <c r="I652" s="80"/>
      <c r="J652" s="80"/>
      <c r="K652" s="7" t="str">
        <f>IF($B652="","",IFERROR(INDEX(Connaissements!$B$3:$B$202,MATCH($B652,Connaissements!$A$3:$A$202,0)),""))</f>
        <v/>
      </c>
      <c r="L652" s="7" t="str">
        <f>IF($B652="","",IFERROR(INDEX(Connaissements!$G$3:$G$202,MATCH($B652,Connaissements!$A$3:$A$202,0)),""))</f>
        <v/>
      </c>
      <c r="M652" s="7" t="str">
        <f t="shared" si="39"/>
        <v/>
      </c>
      <c r="N652" s="7" t="str">
        <f t="shared" ca="1" si="40"/>
        <v/>
      </c>
      <c r="O652" s="13"/>
      <c r="P652" s="29" t="str">
        <f t="shared" ca="1" si="41"/>
        <v/>
      </c>
      <c r="Q652" s="30" t="str">
        <f>IF($K652="","",IFERROR(IF(INDEX(Bookings!$G$3:$G$202,MATCH($K652,Bookings!$A$3:$A$202,0))="","",INDEX(Bookings!$G$3:$G$202,MATCH($K652,Bookings!$A$3:$A$202,0))),""))</f>
        <v/>
      </c>
    </row>
    <row r="653" spans="1:17" hidden="1" x14ac:dyDescent="0.35">
      <c r="A653" s="81"/>
      <c r="B653" s="81"/>
      <c r="C653" s="21"/>
      <c r="D653" s="56"/>
      <c r="E653" s="14"/>
      <c r="F653" s="14"/>
      <c r="G653" s="14"/>
      <c r="H653" s="83">
        <f t="shared" si="42"/>
        <v>0</v>
      </c>
      <c r="I653" s="80"/>
      <c r="J653" s="80"/>
      <c r="K653" s="7" t="str">
        <f>IF($B653="","",IFERROR(INDEX(Connaissements!$B$3:$B$202,MATCH($B653,Connaissements!$A$3:$A$202,0)),""))</f>
        <v/>
      </c>
      <c r="L653" s="7" t="str">
        <f>IF($B653="","",IFERROR(INDEX(Connaissements!$G$3:$G$202,MATCH($B653,Connaissements!$A$3:$A$202,0)),""))</f>
        <v/>
      </c>
      <c r="M653" s="7" t="str">
        <f t="shared" si="39"/>
        <v/>
      </c>
      <c r="N653" s="7" t="str">
        <f t="shared" ca="1" si="40"/>
        <v/>
      </c>
      <c r="O653" s="13"/>
      <c r="P653" s="29" t="str">
        <f t="shared" ca="1" si="41"/>
        <v/>
      </c>
      <c r="Q653" s="30" t="str">
        <f>IF($K653="","",IFERROR(IF(INDEX(Bookings!$G$3:$G$202,MATCH($K653,Bookings!$A$3:$A$202,0))="","",INDEX(Bookings!$G$3:$G$202,MATCH($K653,Bookings!$A$3:$A$202,0))),""))</f>
        <v/>
      </c>
    </row>
    <row r="654" spans="1:17" hidden="1" x14ac:dyDescent="0.35">
      <c r="A654" s="81"/>
      <c r="B654" s="81"/>
      <c r="C654" s="21"/>
      <c r="D654" s="56"/>
      <c r="E654" s="14"/>
      <c r="F654" s="14"/>
      <c r="G654" s="14"/>
      <c r="H654" s="83">
        <f t="shared" si="42"/>
        <v>0</v>
      </c>
      <c r="I654" s="80"/>
      <c r="J654" s="80"/>
      <c r="K654" s="7" t="str">
        <f>IF($B654="","",IFERROR(INDEX(Connaissements!$B$3:$B$202,MATCH($B654,Connaissements!$A$3:$A$202,0)),""))</f>
        <v/>
      </c>
      <c r="L654" s="7" t="str">
        <f>IF($B654="","",IFERROR(INDEX(Connaissements!$G$3:$G$202,MATCH($B654,Connaissements!$A$3:$A$202,0)),""))</f>
        <v/>
      </c>
      <c r="M654" s="7" t="str">
        <f t="shared" si="39"/>
        <v/>
      </c>
      <c r="N654" s="7" t="str">
        <f t="shared" ca="1" si="40"/>
        <v/>
      </c>
      <c r="O654" s="13"/>
      <c r="P654" s="29" t="str">
        <f t="shared" ca="1" si="41"/>
        <v/>
      </c>
      <c r="Q654" s="30" t="str">
        <f>IF($K654="","",IFERROR(IF(INDEX(Bookings!$G$3:$G$202,MATCH($K654,Bookings!$A$3:$A$202,0))="","",INDEX(Bookings!$G$3:$G$202,MATCH($K654,Bookings!$A$3:$A$202,0))),""))</f>
        <v/>
      </c>
    </row>
    <row r="655" spans="1:17" hidden="1" x14ac:dyDescent="0.35">
      <c r="A655" s="81"/>
      <c r="B655" s="81"/>
      <c r="C655" s="21"/>
      <c r="D655" s="56"/>
      <c r="E655" s="14"/>
      <c r="F655" s="14"/>
      <c r="G655" s="14"/>
      <c r="H655" s="83">
        <f t="shared" si="42"/>
        <v>0</v>
      </c>
      <c r="I655" s="80"/>
      <c r="J655" s="80"/>
      <c r="K655" s="7" t="str">
        <f>IF($B655="","",IFERROR(INDEX(Connaissements!$B$3:$B$202,MATCH($B655,Connaissements!$A$3:$A$202,0)),""))</f>
        <v/>
      </c>
      <c r="L655" s="7" t="str">
        <f>IF($B655="","",IFERROR(INDEX(Connaissements!$G$3:$G$202,MATCH($B655,Connaissements!$A$3:$A$202,0)),""))</f>
        <v/>
      </c>
      <c r="M655" s="7" t="str">
        <f t="shared" si="39"/>
        <v/>
      </c>
      <c r="N655" s="7" t="str">
        <f t="shared" ca="1" si="40"/>
        <v/>
      </c>
      <c r="O655" s="13"/>
      <c r="P655" s="29" t="str">
        <f t="shared" ca="1" si="41"/>
        <v/>
      </c>
      <c r="Q655" s="30" t="str">
        <f>IF($K655="","",IFERROR(IF(INDEX(Bookings!$G$3:$G$202,MATCH($K655,Bookings!$A$3:$A$202,0))="","",INDEX(Bookings!$G$3:$G$202,MATCH($K655,Bookings!$A$3:$A$202,0))),""))</f>
        <v/>
      </c>
    </row>
    <row r="656" spans="1:17" hidden="1" x14ac:dyDescent="0.35">
      <c r="A656" s="81"/>
      <c r="B656" s="81"/>
      <c r="C656" s="21"/>
      <c r="D656" s="56"/>
      <c r="E656" s="14"/>
      <c r="F656" s="14"/>
      <c r="G656" s="14"/>
      <c r="H656" s="83">
        <f t="shared" si="42"/>
        <v>0</v>
      </c>
      <c r="I656" s="80"/>
      <c r="J656" s="80"/>
      <c r="K656" s="7" t="str">
        <f>IF($B656="","",IFERROR(INDEX(Connaissements!$B$3:$B$202,MATCH($B656,Connaissements!$A$3:$A$202,0)),""))</f>
        <v/>
      </c>
      <c r="L656" s="7" t="str">
        <f>IF($B656="","",IFERROR(INDEX(Connaissements!$G$3:$G$202,MATCH($B656,Connaissements!$A$3:$A$202,0)),""))</f>
        <v/>
      </c>
      <c r="M656" s="7" t="str">
        <f t="shared" si="39"/>
        <v/>
      </c>
      <c r="N656" s="7" t="str">
        <f t="shared" ca="1" si="40"/>
        <v/>
      </c>
      <c r="O656" s="13"/>
      <c r="P656" s="29" t="str">
        <f t="shared" ca="1" si="41"/>
        <v/>
      </c>
      <c r="Q656" s="30" t="str">
        <f>IF($K656="","",IFERROR(IF(INDEX(Bookings!$G$3:$G$202,MATCH($K656,Bookings!$A$3:$A$202,0))="","",INDEX(Bookings!$G$3:$G$202,MATCH($K656,Bookings!$A$3:$A$202,0))),""))</f>
        <v/>
      </c>
    </row>
    <row r="657" spans="1:17" hidden="1" x14ac:dyDescent="0.35">
      <c r="A657" s="81"/>
      <c r="B657" s="81"/>
      <c r="C657" s="21"/>
      <c r="D657" s="56"/>
      <c r="E657" s="14"/>
      <c r="F657" s="14"/>
      <c r="G657" s="14"/>
      <c r="H657" s="83">
        <f t="shared" si="42"/>
        <v>0</v>
      </c>
      <c r="I657" s="80"/>
      <c r="J657" s="80"/>
      <c r="K657" s="7" t="str">
        <f>IF($B657="","",IFERROR(INDEX(Connaissements!$B$3:$B$202,MATCH($B657,Connaissements!$A$3:$A$202,0)),""))</f>
        <v/>
      </c>
      <c r="L657" s="7" t="str">
        <f>IF($B657="","",IFERROR(INDEX(Connaissements!$G$3:$G$202,MATCH($B657,Connaissements!$A$3:$A$202,0)),""))</f>
        <v/>
      </c>
      <c r="M657" s="7" t="str">
        <f t="shared" si="39"/>
        <v/>
      </c>
      <c r="N657" s="7" t="str">
        <f t="shared" ca="1" si="40"/>
        <v/>
      </c>
      <c r="O657" s="13"/>
      <c r="P657" s="29" t="str">
        <f t="shared" ca="1" si="41"/>
        <v/>
      </c>
      <c r="Q657" s="30" t="str">
        <f>IF($K657="","",IFERROR(IF(INDEX(Bookings!$G$3:$G$202,MATCH($K657,Bookings!$A$3:$A$202,0))="","",INDEX(Bookings!$G$3:$G$202,MATCH($K657,Bookings!$A$3:$A$202,0))),""))</f>
        <v/>
      </c>
    </row>
    <row r="658" spans="1:17" hidden="1" x14ac:dyDescent="0.35">
      <c r="A658" s="81"/>
      <c r="B658" s="81"/>
      <c r="C658" s="21"/>
      <c r="D658" s="56"/>
      <c r="E658" s="14"/>
      <c r="F658" s="14"/>
      <c r="G658" s="14"/>
      <c r="H658" s="83">
        <f t="shared" si="42"/>
        <v>0</v>
      </c>
      <c r="I658" s="80"/>
      <c r="J658" s="80"/>
      <c r="K658" s="7" t="str">
        <f>IF($B658="","",IFERROR(INDEX(Connaissements!$B$3:$B$202,MATCH($B658,Connaissements!$A$3:$A$202,0)),""))</f>
        <v/>
      </c>
      <c r="L658" s="7" t="str">
        <f>IF($B658="","",IFERROR(INDEX(Connaissements!$G$3:$G$202,MATCH($B658,Connaissements!$A$3:$A$202,0)),""))</f>
        <v/>
      </c>
      <c r="M658" s="7" t="str">
        <f t="shared" si="39"/>
        <v/>
      </c>
      <c r="N658" s="7" t="str">
        <f t="shared" ca="1" si="40"/>
        <v/>
      </c>
      <c r="O658" s="13"/>
      <c r="P658" s="29" t="str">
        <f t="shared" ca="1" si="41"/>
        <v/>
      </c>
      <c r="Q658" s="30" t="str">
        <f>IF($K658="","",IFERROR(IF(INDEX(Bookings!$G$3:$G$202,MATCH($K658,Bookings!$A$3:$A$202,0))="","",INDEX(Bookings!$G$3:$G$202,MATCH($K658,Bookings!$A$3:$A$202,0))),""))</f>
        <v/>
      </c>
    </row>
    <row r="659" spans="1:17" hidden="1" x14ac:dyDescent="0.35">
      <c r="A659" s="81"/>
      <c r="B659" s="81"/>
      <c r="C659" s="21"/>
      <c r="D659" s="56"/>
      <c r="E659" s="14"/>
      <c r="F659" s="14"/>
      <c r="G659" s="14"/>
      <c r="H659" s="83">
        <f t="shared" si="42"/>
        <v>0</v>
      </c>
      <c r="I659" s="80"/>
      <c r="J659" s="80"/>
      <c r="K659" s="7" t="str">
        <f>IF($B659="","",IFERROR(INDEX(Connaissements!$B$3:$B$202,MATCH($B659,Connaissements!$A$3:$A$202,0)),""))</f>
        <v/>
      </c>
      <c r="L659" s="7" t="str">
        <f>IF($B659="","",IFERROR(INDEX(Connaissements!$G$3:$G$202,MATCH($B659,Connaissements!$A$3:$A$202,0)),""))</f>
        <v/>
      </c>
      <c r="M659" s="7" t="str">
        <f t="shared" si="39"/>
        <v/>
      </c>
      <c r="N659" s="7" t="str">
        <f t="shared" ca="1" si="40"/>
        <v/>
      </c>
      <c r="O659" s="13"/>
      <c r="P659" s="29" t="str">
        <f t="shared" ca="1" si="41"/>
        <v/>
      </c>
      <c r="Q659" s="30" t="str">
        <f>IF($K659="","",IFERROR(IF(INDEX(Bookings!$G$3:$G$202,MATCH($K659,Bookings!$A$3:$A$202,0))="","",INDEX(Bookings!$G$3:$G$202,MATCH($K659,Bookings!$A$3:$A$202,0))),""))</f>
        <v/>
      </c>
    </row>
    <row r="660" spans="1:17" hidden="1" x14ac:dyDescent="0.35">
      <c r="A660" s="81"/>
      <c r="B660" s="81"/>
      <c r="C660" s="21"/>
      <c r="D660" s="56"/>
      <c r="E660" s="14"/>
      <c r="F660" s="14"/>
      <c r="G660" s="14"/>
      <c r="H660" s="83">
        <f t="shared" si="42"/>
        <v>0</v>
      </c>
      <c r="I660" s="80"/>
      <c r="J660" s="80"/>
      <c r="K660" s="7" t="str">
        <f>IF($B660="","",IFERROR(INDEX(Connaissements!$B$3:$B$202,MATCH($B660,Connaissements!$A$3:$A$202,0)),""))</f>
        <v/>
      </c>
      <c r="L660" s="7" t="str">
        <f>IF($B660="","",IFERROR(INDEX(Connaissements!$G$3:$G$202,MATCH($B660,Connaissements!$A$3:$A$202,0)),""))</f>
        <v/>
      </c>
      <c r="M660" s="7" t="str">
        <f t="shared" si="39"/>
        <v/>
      </c>
      <c r="N660" s="7" t="str">
        <f t="shared" ca="1" si="40"/>
        <v/>
      </c>
      <c r="O660" s="13"/>
      <c r="P660" s="29" t="str">
        <f t="shared" ca="1" si="41"/>
        <v/>
      </c>
      <c r="Q660" s="30" t="str">
        <f>IF($K660="","",IFERROR(IF(INDEX(Bookings!$G$3:$G$202,MATCH($K660,Bookings!$A$3:$A$202,0))="","",INDEX(Bookings!$G$3:$G$202,MATCH($K660,Bookings!$A$3:$A$202,0))),""))</f>
        <v/>
      </c>
    </row>
    <row r="661" spans="1:17" hidden="1" x14ac:dyDescent="0.35">
      <c r="A661" s="81"/>
      <c r="B661" s="81"/>
      <c r="C661" s="21"/>
      <c r="D661" s="56"/>
      <c r="E661" s="14"/>
      <c r="F661" s="14"/>
      <c r="G661" s="14"/>
      <c r="H661" s="83">
        <f t="shared" si="42"/>
        <v>0</v>
      </c>
      <c r="I661" s="80"/>
      <c r="J661" s="80"/>
      <c r="K661" s="7" t="str">
        <f>IF($B661="","",IFERROR(INDEX(Connaissements!$B$3:$B$202,MATCH($B661,Connaissements!$A$3:$A$202,0)),""))</f>
        <v/>
      </c>
      <c r="L661" s="7" t="str">
        <f>IF($B661="","",IFERROR(INDEX(Connaissements!$G$3:$G$202,MATCH($B661,Connaissements!$A$3:$A$202,0)),""))</f>
        <v/>
      </c>
      <c r="M661" s="7" t="str">
        <f t="shared" si="39"/>
        <v/>
      </c>
      <c r="N661" s="7" t="str">
        <f t="shared" ca="1" si="40"/>
        <v/>
      </c>
      <c r="O661" s="13"/>
      <c r="P661" s="29" t="str">
        <f t="shared" ca="1" si="41"/>
        <v/>
      </c>
      <c r="Q661" s="30" t="str">
        <f>IF($K661="","",IFERROR(IF(INDEX(Bookings!$G$3:$G$202,MATCH($K661,Bookings!$A$3:$A$202,0))="","",INDEX(Bookings!$G$3:$G$202,MATCH($K661,Bookings!$A$3:$A$202,0))),""))</f>
        <v/>
      </c>
    </row>
    <row r="662" spans="1:17" hidden="1" x14ac:dyDescent="0.35">
      <c r="A662" s="81"/>
      <c r="B662" s="81"/>
      <c r="C662" s="21"/>
      <c r="D662" s="56"/>
      <c r="E662" s="14"/>
      <c r="F662" s="14"/>
      <c r="G662" s="14"/>
      <c r="H662" s="83">
        <f t="shared" si="42"/>
        <v>0</v>
      </c>
      <c r="I662" s="80"/>
      <c r="J662" s="80"/>
      <c r="K662" s="7" t="str">
        <f>IF($B662="","",IFERROR(INDEX(Connaissements!$B$3:$B$202,MATCH($B662,Connaissements!$A$3:$A$202,0)),""))</f>
        <v/>
      </c>
      <c r="L662" s="7" t="str">
        <f>IF($B662="","",IFERROR(INDEX(Connaissements!$G$3:$G$202,MATCH($B662,Connaissements!$A$3:$A$202,0)),""))</f>
        <v/>
      </c>
      <c r="M662" s="7" t="str">
        <f t="shared" si="39"/>
        <v/>
      </c>
      <c r="N662" s="7" t="str">
        <f t="shared" ca="1" si="40"/>
        <v/>
      </c>
      <c r="O662" s="13"/>
      <c r="P662" s="29" t="str">
        <f t="shared" ca="1" si="41"/>
        <v/>
      </c>
      <c r="Q662" s="30" t="str">
        <f>IF($K662="","",IFERROR(IF(INDEX(Bookings!$G$3:$G$202,MATCH($K662,Bookings!$A$3:$A$202,0))="","",INDEX(Bookings!$G$3:$G$202,MATCH($K662,Bookings!$A$3:$A$202,0))),""))</f>
        <v/>
      </c>
    </row>
    <row r="663" spans="1:17" hidden="1" x14ac:dyDescent="0.35">
      <c r="A663" s="81"/>
      <c r="B663" s="81"/>
      <c r="C663" s="21"/>
      <c r="D663" s="56"/>
      <c r="E663" s="14"/>
      <c r="F663" s="14"/>
      <c r="G663" s="14"/>
      <c r="H663" s="83">
        <f t="shared" si="42"/>
        <v>0</v>
      </c>
      <c r="I663" s="80"/>
      <c r="J663" s="80"/>
      <c r="K663" s="7" t="str">
        <f>IF($B663="","",IFERROR(INDEX(Connaissements!$B$3:$B$202,MATCH($B663,Connaissements!$A$3:$A$202,0)),""))</f>
        <v/>
      </c>
      <c r="L663" s="7" t="str">
        <f>IF($B663="","",IFERROR(INDEX(Connaissements!$G$3:$G$202,MATCH($B663,Connaissements!$A$3:$A$202,0)),""))</f>
        <v/>
      </c>
      <c r="M663" s="7" t="str">
        <f t="shared" si="39"/>
        <v/>
      </c>
      <c r="N663" s="7" t="str">
        <f t="shared" ca="1" si="40"/>
        <v/>
      </c>
      <c r="O663" s="13"/>
      <c r="P663" s="29" t="str">
        <f t="shared" ca="1" si="41"/>
        <v/>
      </c>
      <c r="Q663" s="30" t="str">
        <f>IF($K663="","",IFERROR(IF(INDEX(Bookings!$G$3:$G$202,MATCH($K663,Bookings!$A$3:$A$202,0))="","",INDEX(Bookings!$G$3:$G$202,MATCH($K663,Bookings!$A$3:$A$202,0))),""))</f>
        <v/>
      </c>
    </row>
    <row r="664" spans="1:17" hidden="1" x14ac:dyDescent="0.35">
      <c r="A664" s="81"/>
      <c r="B664" s="81"/>
      <c r="C664" s="21"/>
      <c r="D664" s="56"/>
      <c r="E664" s="14"/>
      <c r="F664" s="14"/>
      <c r="G664" s="14"/>
      <c r="H664" s="83">
        <f t="shared" si="42"/>
        <v>0</v>
      </c>
      <c r="I664" s="80"/>
      <c r="J664" s="80"/>
      <c r="K664" s="7" t="str">
        <f>IF($B664="","",IFERROR(INDEX(Connaissements!$B$3:$B$202,MATCH($B664,Connaissements!$A$3:$A$202,0)),""))</f>
        <v/>
      </c>
      <c r="L664" s="7" t="str">
        <f>IF($B664="","",IFERROR(INDEX(Connaissements!$G$3:$G$202,MATCH($B664,Connaissements!$A$3:$A$202,0)),""))</f>
        <v/>
      </c>
      <c r="M664" s="7" t="str">
        <f t="shared" si="39"/>
        <v/>
      </c>
      <c r="N664" s="7" t="str">
        <f t="shared" ca="1" si="40"/>
        <v/>
      </c>
      <c r="O664" s="13"/>
      <c r="P664" s="29" t="str">
        <f t="shared" ca="1" si="41"/>
        <v/>
      </c>
      <c r="Q664" s="30" t="str">
        <f>IF($K664="","",IFERROR(IF(INDEX(Bookings!$G$3:$G$202,MATCH($K664,Bookings!$A$3:$A$202,0))="","",INDEX(Bookings!$G$3:$G$202,MATCH($K664,Bookings!$A$3:$A$202,0))),""))</f>
        <v/>
      </c>
    </row>
    <row r="665" spans="1:17" hidden="1" x14ac:dyDescent="0.35">
      <c r="A665" s="81"/>
      <c r="B665" s="81"/>
      <c r="C665" s="21"/>
      <c r="D665" s="56"/>
      <c r="E665" s="14"/>
      <c r="F665" s="14"/>
      <c r="G665" s="14"/>
      <c r="H665" s="83">
        <f t="shared" si="42"/>
        <v>0</v>
      </c>
      <c r="I665" s="80"/>
      <c r="J665" s="80"/>
      <c r="K665" s="7" t="str">
        <f>IF($B665="","",IFERROR(INDEX(Connaissements!$B$3:$B$202,MATCH($B665,Connaissements!$A$3:$A$202,0)),""))</f>
        <v/>
      </c>
      <c r="L665" s="7" t="str">
        <f>IF($B665="","",IFERROR(INDEX(Connaissements!$G$3:$G$202,MATCH($B665,Connaissements!$A$3:$A$202,0)),""))</f>
        <v/>
      </c>
      <c r="M665" s="7" t="str">
        <f t="shared" si="39"/>
        <v/>
      </c>
      <c r="N665" s="7" t="str">
        <f t="shared" ca="1" si="40"/>
        <v/>
      </c>
      <c r="O665" s="13"/>
      <c r="P665" s="29" t="str">
        <f t="shared" ca="1" si="41"/>
        <v/>
      </c>
      <c r="Q665" s="30" t="str">
        <f>IF($K665="","",IFERROR(IF(INDEX(Bookings!$G$3:$G$202,MATCH($K665,Bookings!$A$3:$A$202,0))="","",INDEX(Bookings!$G$3:$G$202,MATCH($K665,Bookings!$A$3:$A$202,0))),""))</f>
        <v/>
      </c>
    </row>
    <row r="666" spans="1:17" hidden="1" x14ac:dyDescent="0.35">
      <c r="A666" s="81"/>
      <c r="B666" s="81"/>
      <c r="C666" s="21"/>
      <c r="D666" s="56"/>
      <c r="E666" s="14"/>
      <c r="F666" s="14"/>
      <c r="G666" s="14"/>
      <c r="H666" s="83">
        <f t="shared" si="42"/>
        <v>0</v>
      </c>
      <c r="I666" s="80"/>
      <c r="J666" s="80"/>
      <c r="K666" s="7" t="str">
        <f>IF($B666="","",IFERROR(INDEX(Connaissements!$B$3:$B$202,MATCH($B666,Connaissements!$A$3:$A$202,0)),""))</f>
        <v/>
      </c>
      <c r="L666" s="7" t="str">
        <f>IF($B666="","",IFERROR(INDEX(Connaissements!$G$3:$G$202,MATCH($B666,Connaissements!$A$3:$A$202,0)),""))</f>
        <v/>
      </c>
      <c r="M666" s="7" t="str">
        <f t="shared" si="39"/>
        <v/>
      </c>
      <c r="N666" s="7" t="str">
        <f t="shared" ca="1" si="40"/>
        <v/>
      </c>
      <c r="O666" s="13"/>
      <c r="P666" s="29" t="str">
        <f t="shared" ca="1" si="41"/>
        <v/>
      </c>
      <c r="Q666" s="30" t="str">
        <f>IF($K666="","",IFERROR(IF(INDEX(Bookings!$G$3:$G$202,MATCH($K666,Bookings!$A$3:$A$202,0))="","",INDEX(Bookings!$G$3:$G$202,MATCH($K666,Bookings!$A$3:$A$202,0))),""))</f>
        <v/>
      </c>
    </row>
    <row r="667" spans="1:17" hidden="1" x14ac:dyDescent="0.35">
      <c r="A667" s="81"/>
      <c r="B667" s="81"/>
      <c r="C667" s="21"/>
      <c r="D667" s="56"/>
      <c r="E667" s="14"/>
      <c r="F667" s="14"/>
      <c r="G667" s="14"/>
      <c r="H667" s="83">
        <f t="shared" si="42"/>
        <v>0</v>
      </c>
      <c r="I667" s="80"/>
      <c r="J667" s="80"/>
      <c r="K667" s="7" t="str">
        <f>IF($B667="","",IFERROR(INDEX(Connaissements!$B$3:$B$202,MATCH($B667,Connaissements!$A$3:$A$202,0)),""))</f>
        <v/>
      </c>
      <c r="L667" s="7" t="str">
        <f>IF($B667="","",IFERROR(INDEX(Connaissements!$G$3:$G$202,MATCH($B667,Connaissements!$A$3:$A$202,0)),""))</f>
        <v/>
      </c>
      <c r="M667" s="7" t="str">
        <f t="shared" si="39"/>
        <v/>
      </c>
      <c r="N667" s="7" t="str">
        <f t="shared" ca="1" si="40"/>
        <v/>
      </c>
      <c r="O667" s="13"/>
      <c r="P667" s="29" t="str">
        <f t="shared" ca="1" si="41"/>
        <v/>
      </c>
      <c r="Q667" s="30" t="str">
        <f>IF($K667="","",IFERROR(IF(INDEX(Bookings!$G$3:$G$202,MATCH($K667,Bookings!$A$3:$A$202,0))="","",INDEX(Bookings!$G$3:$G$202,MATCH($K667,Bookings!$A$3:$A$202,0))),""))</f>
        <v/>
      </c>
    </row>
    <row r="668" spans="1:17" hidden="1" x14ac:dyDescent="0.35">
      <c r="A668" s="81"/>
      <c r="B668" s="81"/>
      <c r="C668" s="21"/>
      <c r="D668" s="56"/>
      <c r="E668" s="14"/>
      <c r="F668" s="14"/>
      <c r="G668" s="14"/>
      <c r="H668" s="83">
        <f t="shared" si="42"/>
        <v>0</v>
      </c>
      <c r="I668" s="80"/>
      <c r="J668" s="80"/>
      <c r="K668" s="7" t="str">
        <f>IF($B668="","",IFERROR(INDEX(Connaissements!$B$3:$B$202,MATCH($B668,Connaissements!$A$3:$A$202,0)),""))</f>
        <v/>
      </c>
      <c r="L668" s="7" t="str">
        <f>IF($B668="","",IFERROR(INDEX(Connaissements!$G$3:$G$202,MATCH($B668,Connaissements!$A$3:$A$202,0)),""))</f>
        <v/>
      </c>
      <c r="M668" s="7" t="str">
        <f t="shared" si="39"/>
        <v/>
      </c>
      <c r="N668" s="7" t="str">
        <f t="shared" ca="1" si="40"/>
        <v/>
      </c>
      <c r="O668" s="13"/>
      <c r="P668" s="29" t="str">
        <f t="shared" ca="1" si="41"/>
        <v/>
      </c>
      <c r="Q668" s="30" t="str">
        <f>IF($K668="","",IFERROR(IF(INDEX(Bookings!$G$3:$G$202,MATCH($K668,Bookings!$A$3:$A$202,0))="","",INDEX(Bookings!$G$3:$G$202,MATCH($K668,Bookings!$A$3:$A$202,0))),""))</f>
        <v/>
      </c>
    </row>
    <row r="669" spans="1:17" hidden="1" x14ac:dyDescent="0.35">
      <c r="A669" s="81"/>
      <c r="B669" s="81"/>
      <c r="C669" s="21"/>
      <c r="D669" s="56"/>
      <c r="E669" s="14"/>
      <c r="F669" s="14"/>
      <c r="G669" s="14"/>
      <c r="H669" s="83">
        <f t="shared" si="42"/>
        <v>0</v>
      </c>
      <c r="I669" s="80"/>
      <c r="J669" s="80"/>
      <c r="K669" s="7" t="str">
        <f>IF($B669="","",IFERROR(INDEX(Connaissements!$B$3:$B$202,MATCH($B669,Connaissements!$A$3:$A$202,0)),""))</f>
        <v/>
      </c>
      <c r="L669" s="7" t="str">
        <f>IF($B669="","",IFERROR(INDEX(Connaissements!$G$3:$G$202,MATCH($B669,Connaissements!$A$3:$A$202,0)),""))</f>
        <v/>
      </c>
      <c r="M669" s="7" t="str">
        <f t="shared" si="39"/>
        <v/>
      </c>
      <c r="N669" s="7" t="str">
        <f t="shared" ca="1" si="40"/>
        <v/>
      </c>
      <c r="O669" s="13"/>
      <c r="P669" s="29" t="str">
        <f t="shared" ca="1" si="41"/>
        <v/>
      </c>
      <c r="Q669" s="30" t="str">
        <f>IF($K669="","",IFERROR(IF(INDEX(Bookings!$G$3:$G$202,MATCH($K669,Bookings!$A$3:$A$202,0))="","",INDEX(Bookings!$G$3:$G$202,MATCH($K669,Bookings!$A$3:$A$202,0))),""))</f>
        <v/>
      </c>
    </row>
    <row r="670" spans="1:17" hidden="1" x14ac:dyDescent="0.35">
      <c r="A670" s="81"/>
      <c r="B670" s="81"/>
      <c r="C670" s="21"/>
      <c r="D670" s="56"/>
      <c r="E670" s="14"/>
      <c r="F670" s="14"/>
      <c r="G670" s="14"/>
      <c r="H670" s="83">
        <f t="shared" si="42"/>
        <v>0</v>
      </c>
      <c r="I670" s="80"/>
      <c r="J670" s="80"/>
      <c r="K670" s="7" t="str">
        <f>IF($B670="","",IFERROR(INDEX(Connaissements!$B$3:$B$202,MATCH($B670,Connaissements!$A$3:$A$202,0)),""))</f>
        <v/>
      </c>
      <c r="L670" s="7" t="str">
        <f>IF($B670="","",IFERROR(INDEX(Connaissements!$G$3:$G$202,MATCH($B670,Connaissements!$A$3:$A$202,0)),""))</f>
        <v/>
      </c>
      <c r="M670" s="7" t="str">
        <f t="shared" si="39"/>
        <v/>
      </c>
      <c r="N670" s="7" t="str">
        <f t="shared" ca="1" si="40"/>
        <v/>
      </c>
      <c r="O670" s="13"/>
      <c r="P670" s="29" t="str">
        <f t="shared" ca="1" si="41"/>
        <v/>
      </c>
      <c r="Q670" s="30" t="str">
        <f>IF($K670="","",IFERROR(IF(INDEX(Bookings!$G$3:$G$202,MATCH($K670,Bookings!$A$3:$A$202,0))="","",INDEX(Bookings!$G$3:$G$202,MATCH($K670,Bookings!$A$3:$A$202,0))),""))</f>
        <v/>
      </c>
    </row>
    <row r="671" spans="1:17" hidden="1" x14ac:dyDescent="0.35">
      <c r="A671" s="81"/>
      <c r="B671" s="81"/>
      <c r="C671" s="21"/>
      <c r="D671" s="56"/>
      <c r="E671" s="14"/>
      <c r="F671" s="14"/>
      <c r="G671" s="14"/>
      <c r="H671" s="83">
        <f t="shared" si="42"/>
        <v>0</v>
      </c>
      <c r="I671" s="80"/>
      <c r="J671" s="80"/>
      <c r="K671" s="7" t="str">
        <f>IF($B671="","",IFERROR(INDEX(Connaissements!$B$3:$B$202,MATCH($B671,Connaissements!$A$3:$A$202,0)),""))</f>
        <v/>
      </c>
      <c r="L671" s="7" t="str">
        <f>IF($B671="","",IFERROR(INDEX(Connaissements!$G$3:$G$202,MATCH($B671,Connaissements!$A$3:$A$202,0)),""))</f>
        <v/>
      </c>
      <c r="M671" s="7" t="str">
        <f t="shared" si="39"/>
        <v/>
      </c>
      <c r="N671" s="7" t="str">
        <f t="shared" ca="1" si="40"/>
        <v/>
      </c>
      <c r="O671" s="13"/>
      <c r="P671" s="29" t="str">
        <f t="shared" ca="1" si="41"/>
        <v/>
      </c>
      <c r="Q671" s="30" t="str">
        <f>IF($K671="","",IFERROR(IF(INDEX(Bookings!$G$3:$G$202,MATCH($K671,Bookings!$A$3:$A$202,0))="","",INDEX(Bookings!$G$3:$G$202,MATCH($K671,Bookings!$A$3:$A$202,0))),""))</f>
        <v/>
      </c>
    </row>
    <row r="672" spans="1:17" hidden="1" x14ac:dyDescent="0.35">
      <c r="A672" s="81"/>
      <c r="B672" s="81"/>
      <c r="C672" s="21"/>
      <c r="D672" s="56"/>
      <c r="E672" s="14"/>
      <c r="F672" s="14"/>
      <c r="G672" s="14"/>
      <c r="H672" s="83">
        <f t="shared" si="42"/>
        <v>0</v>
      </c>
      <c r="I672" s="80"/>
      <c r="J672" s="80"/>
      <c r="K672" s="7" t="str">
        <f>IF($B672="","",IFERROR(INDEX(Connaissements!$B$3:$B$202,MATCH($B672,Connaissements!$A$3:$A$202,0)),""))</f>
        <v/>
      </c>
      <c r="L672" s="7" t="str">
        <f>IF($B672="","",IFERROR(INDEX(Connaissements!$G$3:$G$202,MATCH($B672,Connaissements!$A$3:$A$202,0)),""))</f>
        <v/>
      </c>
      <c r="M672" s="7" t="str">
        <f t="shared" si="39"/>
        <v/>
      </c>
      <c r="N672" s="7" t="str">
        <f t="shared" ca="1" si="40"/>
        <v/>
      </c>
      <c r="O672" s="13"/>
      <c r="P672" s="29" t="str">
        <f t="shared" ca="1" si="41"/>
        <v/>
      </c>
      <c r="Q672" s="30" t="str">
        <f>IF($K672="","",IFERROR(IF(INDEX(Bookings!$G$3:$G$202,MATCH($K672,Bookings!$A$3:$A$202,0))="","",INDEX(Bookings!$G$3:$G$202,MATCH($K672,Bookings!$A$3:$A$202,0))),""))</f>
        <v/>
      </c>
    </row>
    <row r="673" spans="1:17" hidden="1" x14ac:dyDescent="0.35">
      <c r="A673" s="81"/>
      <c r="B673" s="81"/>
      <c r="C673" s="21"/>
      <c r="D673" s="56"/>
      <c r="E673" s="14"/>
      <c r="F673" s="14"/>
      <c r="G673" s="14"/>
      <c r="H673" s="83">
        <f t="shared" si="42"/>
        <v>0</v>
      </c>
      <c r="I673" s="80"/>
      <c r="J673" s="80"/>
      <c r="K673" s="7" t="str">
        <f>IF($B673="","",IFERROR(INDEX(Connaissements!$B$3:$B$202,MATCH($B673,Connaissements!$A$3:$A$202,0)),""))</f>
        <v/>
      </c>
      <c r="L673" s="7" t="str">
        <f>IF($B673="","",IFERROR(INDEX(Connaissements!$G$3:$G$202,MATCH($B673,Connaissements!$A$3:$A$202,0)),""))</f>
        <v/>
      </c>
      <c r="M673" s="7" t="str">
        <f t="shared" si="39"/>
        <v/>
      </c>
      <c r="N673" s="7" t="str">
        <f t="shared" ca="1" si="40"/>
        <v/>
      </c>
      <c r="O673" s="13"/>
      <c r="P673" s="29" t="str">
        <f t="shared" ca="1" si="41"/>
        <v/>
      </c>
      <c r="Q673" s="30" t="str">
        <f>IF($K673="","",IFERROR(IF(INDEX(Bookings!$G$3:$G$202,MATCH($K673,Bookings!$A$3:$A$202,0))="","",INDEX(Bookings!$G$3:$G$202,MATCH($K673,Bookings!$A$3:$A$202,0))),""))</f>
        <v/>
      </c>
    </row>
    <row r="674" spans="1:17" hidden="1" x14ac:dyDescent="0.35">
      <c r="A674" s="81"/>
      <c r="B674" s="81"/>
      <c r="C674" s="21"/>
      <c r="D674" s="56"/>
      <c r="E674" s="14"/>
      <c r="F674" s="14"/>
      <c r="G674" s="14"/>
      <c r="H674" s="83">
        <f t="shared" si="42"/>
        <v>0</v>
      </c>
      <c r="I674" s="80"/>
      <c r="J674" s="80"/>
      <c r="K674" s="7" t="str">
        <f>IF($B674="","",IFERROR(INDEX(Connaissements!$B$3:$B$202,MATCH($B674,Connaissements!$A$3:$A$202,0)),""))</f>
        <v/>
      </c>
      <c r="L674" s="7" t="str">
        <f>IF($B674="","",IFERROR(INDEX(Connaissements!$G$3:$G$202,MATCH($B674,Connaissements!$A$3:$A$202,0)),""))</f>
        <v/>
      </c>
      <c r="M674" s="7" t="str">
        <f t="shared" si="39"/>
        <v/>
      </c>
      <c r="N674" s="7" t="str">
        <f t="shared" ca="1" si="40"/>
        <v/>
      </c>
      <c r="O674" s="13"/>
      <c r="P674" s="29" t="str">
        <f t="shared" ca="1" si="41"/>
        <v/>
      </c>
      <c r="Q674" s="30" t="str">
        <f>IF($K674="","",IFERROR(IF(INDEX(Bookings!$G$3:$G$202,MATCH($K674,Bookings!$A$3:$A$202,0))="","",INDEX(Bookings!$G$3:$G$202,MATCH($K674,Bookings!$A$3:$A$202,0))),""))</f>
        <v/>
      </c>
    </row>
    <row r="675" spans="1:17" hidden="1" x14ac:dyDescent="0.35">
      <c r="A675" s="81"/>
      <c r="B675" s="81"/>
      <c r="C675" s="21"/>
      <c r="D675" s="56"/>
      <c r="E675" s="14"/>
      <c r="F675" s="14"/>
      <c r="G675" s="14"/>
      <c r="H675" s="83">
        <f t="shared" si="42"/>
        <v>0</v>
      </c>
      <c r="I675" s="80"/>
      <c r="J675" s="80"/>
      <c r="K675" s="7" t="str">
        <f>IF($B675="","",IFERROR(INDEX(Connaissements!$B$3:$B$202,MATCH($B675,Connaissements!$A$3:$A$202,0)),""))</f>
        <v/>
      </c>
      <c r="L675" s="7" t="str">
        <f>IF($B675="","",IFERROR(INDEX(Connaissements!$G$3:$G$202,MATCH($B675,Connaissements!$A$3:$A$202,0)),""))</f>
        <v/>
      </c>
      <c r="M675" s="7" t="str">
        <f t="shared" si="39"/>
        <v/>
      </c>
      <c r="N675" s="7" t="str">
        <f t="shared" ca="1" si="40"/>
        <v/>
      </c>
      <c r="O675" s="13"/>
      <c r="P675" s="29" t="str">
        <f t="shared" ca="1" si="41"/>
        <v/>
      </c>
      <c r="Q675" s="30" t="str">
        <f>IF($K675="","",IFERROR(IF(INDEX(Bookings!$G$3:$G$202,MATCH($K675,Bookings!$A$3:$A$202,0))="","",INDEX(Bookings!$G$3:$G$202,MATCH($K675,Bookings!$A$3:$A$202,0))),""))</f>
        <v/>
      </c>
    </row>
    <row r="676" spans="1:17" hidden="1" x14ac:dyDescent="0.35">
      <c r="A676" s="81"/>
      <c r="B676" s="81"/>
      <c r="C676" s="21"/>
      <c r="D676" s="56"/>
      <c r="E676" s="14"/>
      <c r="F676" s="14"/>
      <c r="G676" s="14"/>
      <c r="H676" s="83">
        <f t="shared" si="42"/>
        <v>0</v>
      </c>
      <c r="I676" s="80"/>
      <c r="J676" s="80"/>
      <c r="K676" s="7" t="str">
        <f>IF($B676="","",IFERROR(INDEX(Connaissements!$B$3:$B$202,MATCH($B676,Connaissements!$A$3:$A$202,0)),""))</f>
        <v/>
      </c>
      <c r="L676" s="7" t="str">
        <f>IF($B676="","",IFERROR(INDEX(Connaissements!$G$3:$G$202,MATCH($B676,Connaissements!$A$3:$A$202,0)),""))</f>
        <v/>
      </c>
      <c r="M676" s="7" t="str">
        <f t="shared" si="39"/>
        <v/>
      </c>
      <c r="N676" s="7" t="str">
        <f t="shared" ca="1" si="40"/>
        <v/>
      </c>
      <c r="O676" s="13"/>
      <c r="P676" s="29" t="str">
        <f t="shared" ca="1" si="41"/>
        <v/>
      </c>
      <c r="Q676" s="30" t="str">
        <f>IF($K676="","",IFERROR(IF(INDEX(Bookings!$G$3:$G$202,MATCH($K676,Bookings!$A$3:$A$202,0))="","",INDEX(Bookings!$G$3:$G$202,MATCH($K676,Bookings!$A$3:$A$202,0))),""))</f>
        <v/>
      </c>
    </row>
    <row r="677" spans="1:17" hidden="1" x14ac:dyDescent="0.35">
      <c r="A677" s="81"/>
      <c r="B677" s="81"/>
      <c r="C677" s="21"/>
      <c r="D677" s="56"/>
      <c r="E677" s="14"/>
      <c r="F677" s="14"/>
      <c r="G677" s="14"/>
      <c r="H677" s="83">
        <f t="shared" si="42"/>
        <v>0</v>
      </c>
      <c r="I677" s="80"/>
      <c r="J677" s="80"/>
      <c r="K677" s="7" t="str">
        <f>IF($B677="","",IFERROR(INDEX(Connaissements!$B$3:$B$202,MATCH($B677,Connaissements!$A$3:$A$202,0)),""))</f>
        <v/>
      </c>
      <c r="L677" s="7" t="str">
        <f>IF($B677="","",IFERROR(INDEX(Connaissements!$G$3:$G$202,MATCH($B677,Connaissements!$A$3:$A$202,0)),""))</f>
        <v/>
      </c>
      <c r="M677" s="7" t="str">
        <f t="shared" si="39"/>
        <v/>
      </c>
      <c r="N677" s="7" t="str">
        <f t="shared" ca="1" si="40"/>
        <v/>
      </c>
      <c r="O677" s="13"/>
      <c r="P677" s="29" t="str">
        <f t="shared" ca="1" si="41"/>
        <v/>
      </c>
      <c r="Q677" s="30" t="str">
        <f>IF($K677="","",IFERROR(IF(INDEX(Bookings!$G$3:$G$202,MATCH($K677,Bookings!$A$3:$A$202,0))="","",INDEX(Bookings!$G$3:$G$202,MATCH($K677,Bookings!$A$3:$A$202,0))),""))</f>
        <v/>
      </c>
    </row>
    <row r="678" spans="1:17" hidden="1" x14ac:dyDescent="0.35">
      <c r="A678" s="81"/>
      <c r="B678" s="81"/>
      <c r="C678" s="21"/>
      <c r="D678" s="56"/>
      <c r="E678" s="14"/>
      <c r="F678" s="14"/>
      <c r="G678" s="14"/>
      <c r="H678" s="83">
        <f t="shared" si="42"/>
        <v>0</v>
      </c>
      <c r="I678" s="80"/>
      <c r="J678" s="80"/>
      <c r="K678" s="7" t="str">
        <f>IF($B678="","",IFERROR(INDEX(Connaissements!$B$3:$B$202,MATCH($B678,Connaissements!$A$3:$A$202,0)),""))</f>
        <v/>
      </c>
      <c r="L678" s="7" t="str">
        <f>IF($B678="","",IFERROR(INDEX(Connaissements!$G$3:$G$202,MATCH($B678,Connaissements!$A$3:$A$202,0)),""))</f>
        <v/>
      </c>
      <c r="M678" s="7" t="str">
        <f t="shared" si="39"/>
        <v/>
      </c>
      <c r="N678" s="7" t="str">
        <f t="shared" ca="1" si="40"/>
        <v/>
      </c>
      <c r="O678" s="13"/>
      <c r="P678" s="29" t="str">
        <f t="shared" ca="1" si="41"/>
        <v/>
      </c>
      <c r="Q678" s="30" t="str">
        <f>IF($K678="","",IFERROR(IF(INDEX(Bookings!$G$3:$G$202,MATCH($K678,Bookings!$A$3:$A$202,0))="","",INDEX(Bookings!$G$3:$G$202,MATCH($K678,Bookings!$A$3:$A$202,0))),""))</f>
        <v/>
      </c>
    </row>
    <row r="679" spans="1:17" hidden="1" x14ac:dyDescent="0.35">
      <c r="A679" s="81"/>
      <c r="B679" s="81"/>
      <c r="C679" s="21"/>
      <c r="D679" s="56"/>
      <c r="E679" s="14"/>
      <c r="F679" s="14"/>
      <c r="G679" s="14"/>
      <c r="H679" s="83">
        <f t="shared" si="42"/>
        <v>0</v>
      </c>
      <c r="I679" s="80"/>
      <c r="J679" s="80"/>
      <c r="K679" s="7" t="str">
        <f>IF($B679="","",IFERROR(INDEX(Connaissements!$B$3:$B$202,MATCH($B679,Connaissements!$A$3:$A$202,0)),""))</f>
        <v/>
      </c>
      <c r="L679" s="7" t="str">
        <f>IF($B679="","",IFERROR(INDEX(Connaissements!$G$3:$G$202,MATCH($B679,Connaissements!$A$3:$A$202,0)),""))</f>
        <v/>
      </c>
      <c r="M679" s="7" t="str">
        <f t="shared" si="39"/>
        <v/>
      </c>
      <c r="N679" s="7" t="str">
        <f t="shared" ca="1" si="40"/>
        <v/>
      </c>
      <c r="O679" s="13"/>
      <c r="P679" s="29" t="str">
        <f t="shared" ca="1" si="41"/>
        <v/>
      </c>
      <c r="Q679" s="30" t="str">
        <f>IF($K679="","",IFERROR(IF(INDEX(Bookings!$G$3:$G$202,MATCH($K679,Bookings!$A$3:$A$202,0))="","",INDEX(Bookings!$G$3:$G$202,MATCH($K679,Bookings!$A$3:$A$202,0))),""))</f>
        <v/>
      </c>
    </row>
    <row r="680" spans="1:17" hidden="1" x14ac:dyDescent="0.35">
      <c r="A680" s="81"/>
      <c r="B680" s="81"/>
      <c r="C680" s="21"/>
      <c r="D680" s="56"/>
      <c r="E680" s="14"/>
      <c r="F680" s="14"/>
      <c r="G680" s="14"/>
      <c r="H680" s="83">
        <f t="shared" si="42"/>
        <v>0</v>
      </c>
      <c r="I680" s="80"/>
      <c r="J680" s="80"/>
      <c r="K680" s="7" t="str">
        <f>IF($B680="","",IFERROR(INDEX(Connaissements!$B$3:$B$202,MATCH($B680,Connaissements!$A$3:$A$202,0)),""))</f>
        <v/>
      </c>
      <c r="L680" s="7" t="str">
        <f>IF($B680="","",IFERROR(INDEX(Connaissements!$G$3:$G$202,MATCH($B680,Connaissements!$A$3:$A$202,0)),""))</f>
        <v/>
      </c>
      <c r="M680" s="7" t="str">
        <f t="shared" si="39"/>
        <v/>
      </c>
      <c r="N680" s="7" t="str">
        <f t="shared" ca="1" si="40"/>
        <v/>
      </c>
      <c r="O680" s="13"/>
      <c r="P680" s="29" t="str">
        <f t="shared" ca="1" si="41"/>
        <v/>
      </c>
      <c r="Q680" s="30" t="str">
        <f>IF($K680="","",IFERROR(IF(INDEX(Bookings!$G$3:$G$202,MATCH($K680,Bookings!$A$3:$A$202,0))="","",INDEX(Bookings!$G$3:$G$202,MATCH($K680,Bookings!$A$3:$A$202,0))),""))</f>
        <v/>
      </c>
    </row>
    <row r="681" spans="1:17" hidden="1" x14ac:dyDescent="0.35">
      <c r="A681" s="81"/>
      <c r="B681" s="81"/>
      <c r="C681" s="21"/>
      <c r="D681" s="56"/>
      <c r="E681" s="14"/>
      <c r="F681" s="14"/>
      <c r="G681" s="14"/>
      <c r="H681" s="83">
        <f t="shared" si="42"/>
        <v>0</v>
      </c>
      <c r="I681" s="80"/>
      <c r="J681" s="80"/>
      <c r="K681" s="7" t="str">
        <f>IF($B681="","",IFERROR(INDEX(Connaissements!$B$3:$B$202,MATCH($B681,Connaissements!$A$3:$A$202,0)),""))</f>
        <v/>
      </c>
      <c r="L681" s="7" t="str">
        <f>IF($B681="","",IFERROR(INDEX(Connaissements!$G$3:$G$202,MATCH($B681,Connaissements!$A$3:$A$202,0)),""))</f>
        <v/>
      </c>
      <c r="M681" s="7" t="str">
        <f t="shared" si="39"/>
        <v/>
      </c>
      <c r="N681" s="7" t="str">
        <f t="shared" ca="1" si="40"/>
        <v/>
      </c>
      <c r="O681" s="13"/>
      <c r="P681" s="29" t="str">
        <f t="shared" ca="1" si="41"/>
        <v/>
      </c>
      <c r="Q681" s="30" t="str">
        <f>IF($K681="","",IFERROR(IF(INDEX(Bookings!$G$3:$G$202,MATCH($K681,Bookings!$A$3:$A$202,0))="","",INDEX(Bookings!$G$3:$G$202,MATCH($K681,Bookings!$A$3:$A$202,0))),""))</f>
        <v/>
      </c>
    </row>
    <row r="682" spans="1:17" hidden="1" x14ac:dyDescent="0.35">
      <c r="A682" s="81"/>
      <c r="B682" s="81"/>
      <c r="C682" s="21"/>
      <c r="D682" s="56"/>
      <c r="E682" s="14"/>
      <c r="F682" s="14"/>
      <c r="G682" s="14"/>
      <c r="H682" s="83">
        <f t="shared" si="42"/>
        <v>0</v>
      </c>
      <c r="I682" s="80"/>
      <c r="J682" s="80"/>
      <c r="K682" s="7" t="str">
        <f>IF($B682="","",IFERROR(INDEX(Connaissements!$B$3:$B$202,MATCH($B682,Connaissements!$A$3:$A$202,0)),""))</f>
        <v/>
      </c>
      <c r="L682" s="7" t="str">
        <f>IF($B682="","",IFERROR(INDEX(Connaissements!$G$3:$G$202,MATCH($B682,Connaissements!$A$3:$A$202,0)),""))</f>
        <v/>
      </c>
      <c r="M682" s="7" t="str">
        <f t="shared" si="39"/>
        <v/>
      </c>
      <c r="N682" s="7" t="str">
        <f t="shared" ca="1" si="40"/>
        <v/>
      </c>
      <c r="O682" s="13"/>
      <c r="P682" s="29" t="str">
        <f t="shared" ca="1" si="41"/>
        <v/>
      </c>
      <c r="Q682" s="30" t="str">
        <f>IF($K682="","",IFERROR(IF(INDEX(Bookings!$G$3:$G$202,MATCH($K682,Bookings!$A$3:$A$202,0))="","",INDEX(Bookings!$G$3:$G$202,MATCH($K682,Bookings!$A$3:$A$202,0))),""))</f>
        <v/>
      </c>
    </row>
    <row r="683" spans="1:17" hidden="1" x14ac:dyDescent="0.35">
      <c r="A683" s="81"/>
      <c r="B683" s="81"/>
      <c r="C683" s="21"/>
      <c r="D683" s="56"/>
      <c r="E683" s="14"/>
      <c r="F683" s="14"/>
      <c r="G683" s="14"/>
      <c r="H683" s="83">
        <f t="shared" si="42"/>
        <v>0</v>
      </c>
      <c r="I683" s="80"/>
      <c r="J683" s="80"/>
      <c r="K683" s="7" t="str">
        <f>IF($B683="","",IFERROR(INDEX(Connaissements!$B$3:$B$202,MATCH($B683,Connaissements!$A$3:$A$202,0)),""))</f>
        <v/>
      </c>
      <c r="L683" s="7" t="str">
        <f>IF($B683="","",IFERROR(INDEX(Connaissements!$G$3:$G$202,MATCH($B683,Connaissements!$A$3:$A$202,0)),""))</f>
        <v/>
      </c>
      <c r="M683" s="7" t="str">
        <f t="shared" si="39"/>
        <v/>
      </c>
      <c r="N683" s="7" t="str">
        <f t="shared" ca="1" si="40"/>
        <v/>
      </c>
      <c r="O683" s="13"/>
      <c r="P683" s="29" t="str">
        <f t="shared" ca="1" si="41"/>
        <v/>
      </c>
      <c r="Q683" s="30" t="str">
        <f>IF($K683="","",IFERROR(IF(INDEX(Bookings!$G$3:$G$202,MATCH($K683,Bookings!$A$3:$A$202,0))="","",INDEX(Bookings!$G$3:$G$202,MATCH($K683,Bookings!$A$3:$A$202,0))),""))</f>
        <v/>
      </c>
    </row>
    <row r="684" spans="1:17" hidden="1" x14ac:dyDescent="0.35">
      <c r="A684" s="81"/>
      <c r="B684" s="81"/>
      <c r="C684" s="21"/>
      <c r="D684" s="56"/>
      <c r="E684" s="14"/>
      <c r="F684" s="14"/>
      <c r="G684" s="14"/>
      <c r="H684" s="83">
        <f t="shared" si="42"/>
        <v>0</v>
      </c>
      <c r="I684" s="80"/>
      <c r="J684" s="80"/>
      <c r="K684" s="7" t="str">
        <f>IF($B684="","",IFERROR(INDEX(Connaissements!$B$3:$B$202,MATCH($B684,Connaissements!$A$3:$A$202,0)),""))</f>
        <v/>
      </c>
      <c r="L684" s="7" t="str">
        <f>IF($B684="","",IFERROR(INDEX(Connaissements!$G$3:$G$202,MATCH($B684,Connaissements!$A$3:$A$202,0)),""))</f>
        <v/>
      </c>
      <c r="M684" s="7" t="str">
        <f t="shared" si="39"/>
        <v/>
      </c>
      <c r="N684" s="7" t="str">
        <f t="shared" ca="1" si="40"/>
        <v/>
      </c>
      <c r="O684" s="13"/>
      <c r="P684" s="29" t="str">
        <f t="shared" ca="1" si="41"/>
        <v/>
      </c>
      <c r="Q684" s="30" t="str">
        <f>IF($K684="","",IFERROR(IF(INDEX(Bookings!$G$3:$G$202,MATCH($K684,Bookings!$A$3:$A$202,0))="","",INDEX(Bookings!$G$3:$G$202,MATCH($K684,Bookings!$A$3:$A$202,0))),""))</f>
        <v/>
      </c>
    </row>
    <row r="685" spans="1:17" hidden="1" x14ac:dyDescent="0.35">
      <c r="A685" s="81"/>
      <c r="B685" s="81"/>
      <c r="C685" s="21"/>
      <c r="D685" s="56"/>
      <c r="E685" s="14"/>
      <c r="F685" s="14"/>
      <c r="G685" s="14"/>
      <c r="H685" s="83">
        <f t="shared" si="42"/>
        <v>0</v>
      </c>
      <c r="I685" s="80"/>
      <c r="J685" s="80"/>
      <c r="K685" s="7" t="str">
        <f>IF($B685="","",IFERROR(INDEX(Connaissements!$B$3:$B$202,MATCH($B685,Connaissements!$A$3:$A$202,0)),""))</f>
        <v/>
      </c>
      <c r="L685" s="7" t="str">
        <f>IF($B685="","",IFERROR(INDEX(Connaissements!$G$3:$G$202,MATCH($B685,Connaissements!$A$3:$A$202,0)),""))</f>
        <v/>
      </c>
      <c r="M685" s="7" t="str">
        <f t="shared" si="39"/>
        <v/>
      </c>
      <c r="N685" s="7" t="str">
        <f t="shared" ca="1" si="40"/>
        <v/>
      </c>
      <c r="O685" s="13"/>
      <c r="P685" s="29" t="str">
        <f t="shared" ca="1" si="41"/>
        <v/>
      </c>
      <c r="Q685" s="30" t="str">
        <f>IF($K685="","",IFERROR(IF(INDEX(Bookings!$G$3:$G$202,MATCH($K685,Bookings!$A$3:$A$202,0))="","",INDEX(Bookings!$G$3:$G$202,MATCH($K685,Bookings!$A$3:$A$202,0))),""))</f>
        <v/>
      </c>
    </row>
    <row r="686" spans="1:17" hidden="1" x14ac:dyDescent="0.35">
      <c r="A686" s="81"/>
      <c r="B686" s="81"/>
      <c r="C686" s="21"/>
      <c r="D686" s="56"/>
      <c r="E686" s="14"/>
      <c r="F686" s="14"/>
      <c r="G686" s="14"/>
      <c r="H686" s="83">
        <f t="shared" si="42"/>
        <v>0</v>
      </c>
      <c r="I686" s="80"/>
      <c r="J686" s="80"/>
      <c r="K686" s="7" t="str">
        <f>IF($B686="","",IFERROR(INDEX(Connaissements!$B$3:$B$202,MATCH($B686,Connaissements!$A$3:$A$202,0)),""))</f>
        <v/>
      </c>
      <c r="L686" s="7" t="str">
        <f>IF($B686="","",IFERROR(INDEX(Connaissements!$G$3:$G$202,MATCH($B686,Connaissements!$A$3:$A$202,0)),""))</f>
        <v/>
      </c>
      <c r="M686" s="7" t="str">
        <f t="shared" si="39"/>
        <v/>
      </c>
      <c r="N686" s="7" t="str">
        <f t="shared" ca="1" si="40"/>
        <v/>
      </c>
      <c r="O686" s="13"/>
      <c r="P686" s="29" t="str">
        <f t="shared" ca="1" si="41"/>
        <v/>
      </c>
      <c r="Q686" s="30" t="str">
        <f>IF($K686="","",IFERROR(IF(INDEX(Bookings!$G$3:$G$202,MATCH($K686,Bookings!$A$3:$A$202,0))="","",INDEX(Bookings!$G$3:$G$202,MATCH($K686,Bookings!$A$3:$A$202,0))),""))</f>
        <v/>
      </c>
    </row>
    <row r="687" spans="1:17" hidden="1" x14ac:dyDescent="0.35">
      <c r="A687" s="81"/>
      <c r="B687" s="81"/>
      <c r="C687" s="21"/>
      <c r="D687" s="56"/>
      <c r="E687" s="14"/>
      <c r="F687" s="14"/>
      <c r="G687" s="14"/>
      <c r="H687" s="83">
        <f t="shared" si="42"/>
        <v>0</v>
      </c>
      <c r="I687" s="80"/>
      <c r="J687" s="80"/>
      <c r="K687" s="7" t="str">
        <f>IF($B687="","",IFERROR(INDEX(Connaissements!$B$3:$B$202,MATCH($B687,Connaissements!$A$3:$A$202,0)),""))</f>
        <v/>
      </c>
      <c r="L687" s="7" t="str">
        <f>IF($B687="","",IFERROR(INDEX(Connaissements!$G$3:$G$202,MATCH($B687,Connaissements!$A$3:$A$202,0)),""))</f>
        <v/>
      </c>
      <c r="M687" s="7" t="str">
        <f t="shared" si="39"/>
        <v/>
      </c>
      <c r="N687" s="7" t="str">
        <f t="shared" ca="1" si="40"/>
        <v/>
      </c>
      <c r="O687" s="13"/>
      <c r="P687" s="29" t="str">
        <f t="shared" ca="1" si="41"/>
        <v/>
      </c>
      <c r="Q687" s="30" t="str">
        <f>IF($K687="","",IFERROR(IF(INDEX(Bookings!$G$3:$G$202,MATCH($K687,Bookings!$A$3:$A$202,0))="","",INDEX(Bookings!$G$3:$G$202,MATCH($K687,Bookings!$A$3:$A$202,0))),""))</f>
        <v/>
      </c>
    </row>
    <row r="688" spans="1:17" hidden="1" x14ac:dyDescent="0.35">
      <c r="A688" s="81"/>
      <c r="B688" s="81"/>
      <c r="C688" s="21"/>
      <c r="D688" s="56"/>
      <c r="E688" s="14"/>
      <c r="F688" s="14"/>
      <c r="G688" s="14"/>
      <c r="H688" s="83">
        <f t="shared" si="42"/>
        <v>0</v>
      </c>
      <c r="I688" s="80"/>
      <c r="J688" s="80"/>
      <c r="K688" s="7" t="str">
        <f>IF($B688="","",IFERROR(INDEX(Connaissements!$B$3:$B$202,MATCH($B688,Connaissements!$A$3:$A$202,0)),""))</f>
        <v/>
      </c>
      <c r="L688" s="7" t="str">
        <f>IF($B688="","",IFERROR(INDEX(Connaissements!$G$3:$G$202,MATCH($B688,Connaissements!$A$3:$A$202,0)),""))</f>
        <v/>
      </c>
      <c r="M688" s="7" t="str">
        <f t="shared" si="39"/>
        <v/>
      </c>
      <c r="N688" s="7" t="str">
        <f t="shared" ca="1" si="40"/>
        <v/>
      </c>
      <c r="O688" s="13"/>
      <c r="P688" s="29" t="str">
        <f t="shared" ca="1" si="41"/>
        <v/>
      </c>
      <c r="Q688" s="30" t="str">
        <f>IF($K688="","",IFERROR(IF(INDEX(Bookings!$G$3:$G$202,MATCH($K688,Bookings!$A$3:$A$202,0))="","",INDEX(Bookings!$G$3:$G$202,MATCH($K688,Bookings!$A$3:$A$202,0))),""))</f>
        <v/>
      </c>
    </row>
    <row r="689" spans="1:17" hidden="1" x14ac:dyDescent="0.35">
      <c r="A689" s="81"/>
      <c r="B689" s="81"/>
      <c r="C689" s="21"/>
      <c r="D689" s="56"/>
      <c r="E689" s="14"/>
      <c r="F689" s="14"/>
      <c r="G689" s="14"/>
      <c r="H689" s="83">
        <f t="shared" si="42"/>
        <v>0</v>
      </c>
      <c r="I689" s="80"/>
      <c r="J689" s="80"/>
      <c r="K689" s="7" t="str">
        <f>IF($B689="","",IFERROR(INDEX(Connaissements!$B$3:$B$202,MATCH($B689,Connaissements!$A$3:$A$202,0)),""))</f>
        <v/>
      </c>
      <c r="L689" s="7" t="str">
        <f>IF($B689="","",IFERROR(INDEX(Connaissements!$G$3:$G$202,MATCH($B689,Connaissements!$A$3:$A$202,0)),""))</f>
        <v/>
      </c>
      <c r="M689" s="7" t="str">
        <f t="shared" si="39"/>
        <v/>
      </c>
      <c r="N689" s="7" t="str">
        <f t="shared" ca="1" si="40"/>
        <v/>
      </c>
      <c r="O689" s="13"/>
      <c r="P689" s="29" t="str">
        <f t="shared" ca="1" si="41"/>
        <v/>
      </c>
      <c r="Q689" s="30" t="str">
        <f>IF($K689="","",IFERROR(IF(INDEX(Bookings!$G$3:$G$202,MATCH($K689,Bookings!$A$3:$A$202,0))="","",INDEX(Bookings!$G$3:$G$202,MATCH($K689,Bookings!$A$3:$A$202,0))),""))</f>
        <v/>
      </c>
    </row>
    <row r="690" spans="1:17" hidden="1" x14ac:dyDescent="0.35">
      <c r="A690" s="81"/>
      <c r="B690" s="81"/>
      <c r="C690" s="21"/>
      <c r="D690" s="56"/>
      <c r="E690" s="14"/>
      <c r="F690" s="14"/>
      <c r="G690" s="14"/>
      <c r="H690" s="83">
        <f t="shared" si="42"/>
        <v>0</v>
      </c>
      <c r="I690" s="80"/>
      <c r="J690" s="80"/>
      <c r="K690" s="7" t="str">
        <f>IF($B690="","",IFERROR(INDEX(Connaissements!$B$3:$B$202,MATCH($B690,Connaissements!$A$3:$A$202,0)),""))</f>
        <v/>
      </c>
      <c r="L690" s="7" t="str">
        <f>IF($B690="","",IFERROR(INDEX(Connaissements!$G$3:$G$202,MATCH($B690,Connaissements!$A$3:$A$202,0)),""))</f>
        <v/>
      </c>
      <c r="M690" s="7" t="str">
        <f t="shared" si="39"/>
        <v/>
      </c>
      <c r="N690" s="7" t="str">
        <f t="shared" ca="1" si="40"/>
        <v/>
      </c>
      <c r="O690" s="13"/>
      <c r="P690" s="29" t="str">
        <f t="shared" ca="1" si="41"/>
        <v/>
      </c>
      <c r="Q690" s="30" t="str">
        <f>IF($K690="","",IFERROR(IF(INDEX(Bookings!$G$3:$G$202,MATCH($K690,Bookings!$A$3:$A$202,0))="","",INDEX(Bookings!$G$3:$G$202,MATCH($K690,Bookings!$A$3:$A$202,0))),""))</f>
        <v/>
      </c>
    </row>
    <row r="691" spans="1:17" hidden="1" x14ac:dyDescent="0.35">
      <c r="A691" s="81"/>
      <c r="B691" s="81"/>
      <c r="C691" s="21"/>
      <c r="D691" s="56"/>
      <c r="E691" s="14"/>
      <c r="F691" s="14"/>
      <c r="G691" s="14"/>
      <c r="H691" s="83">
        <f t="shared" si="42"/>
        <v>0</v>
      </c>
      <c r="I691" s="80"/>
      <c r="J691" s="80"/>
      <c r="K691" s="7" t="str">
        <f>IF($B691="","",IFERROR(INDEX(Connaissements!$B$3:$B$202,MATCH($B691,Connaissements!$A$3:$A$202,0)),""))</f>
        <v/>
      </c>
      <c r="L691" s="7" t="str">
        <f>IF($B691="","",IFERROR(INDEX(Connaissements!$G$3:$G$202,MATCH($B691,Connaissements!$A$3:$A$202,0)),""))</f>
        <v/>
      </c>
      <c r="M691" s="7" t="str">
        <f t="shared" si="39"/>
        <v/>
      </c>
      <c r="N691" s="7" t="str">
        <f t="shared" ca="1" si="40"/>
        <v/>
      </c>
      <c r="O691" s="13"/>
      <c r="P691" s="29" t="str">
        <f t="shared" ca="1" si="41"/>
        <v/>
      </c>
      <c r="Q691" s="30" t="str">
        <f>IF($K691="","",IFERROR(IF(INDEX(Bookings!$G$3:$G$202,MATCH($K691,Bookings!$A$3:$A$202,0))="","",INDEX(Bookings!$G$3:$G$202,MATCH($K691,Bookings!$A$3:$A$202,0))),""))</f>
        <v/>
      </c>
    </row>
    <row r="692" spans="1:17" hidden="1" x14ac:dyDescent="0.35">
      <c r="A692" s="81"/>
      <c r="B692" s="81"/>
      <c r="C692" s="21"/>
      <c r="D692" s="56"/>
      <c r="E692" s="14"/>
      <c r="F692" s="14"/>
      <c r="G692" s="14"/>
      <c r="H692" s="83">
        <f t="shared" si="42"/>
        <v>0</v>
      </c>
      <c r="I692" s="80"/>
      <c r="J692" s="80"/>
      <c r="K692" s="7" t="str">
        <f>IF($B692="","",IFERROR(INDEX(Connaissements!$B$3:$B$202,MATCH($B692,Connaissements!$A$3:$A$202,0)),""))</f>
        <v/>
      </c>
      <c r="L692" s="7" t="str">
        <f>IF($B692="","",IFERROR(INDEX(Connaissements!$G$3:$G$202,MATCH($B692,Connaissements!$A$3:$A$202,0)),""))</f>
        <v/>
      </c>
      <c r="M692" s="7" t="str">
        <f t="shared" si="39"/>
        <v/>
      </c>
      <c r="N692" s="7" t="str">
        <f t="shared" ca="1" si="40"/>
        <v/>
      </c>
      <c r="O692" s="13"/>
      <c r="P692" s="29" t="str">
        <f t="shared" ca="1" si="41"/>
        <v/>
      </c>
      <c r="Q692" s="30" t="str">
        <f>IF($K692="","",IFERROR(IF(INDEX(Bookings!$G$3:$G$202,MATCH($K692,Bookings!$A$3:$A$202,0))="","",INDEX(Bookings!$G$3:$G$202,MATCH($K692,Bookings!$A$3:$A$202,0))),""))</f>
        <v/>
      </c>
    </row>
    <row r="693" spans="1:17" hidden="1" x14ac:dyDescent="0.35">
      <c r="A693" s="81"/>
      <c r="B693" s="81"/>
      <c r="C693" s="21"/>
      <c r="D693" s="56"/>
      <c r="E693" s="14"/>
      <c r="F693" s="14"/>
      <c r="G693" s="14"/>
      <c r="H693" s="83">
        <f t="shared" si="42"/>
        <v>0</v>
      </c>
      <c r="I693" s="80"/>
      <c r="J693" s="80"/>
      <c r="K693" s="7" t="str">
        <f>IF($B693="","",IFERROR(INDEX(Connaissements!$B$3:$B$202,MATCH($B693,Connaissements!$A$3:$A$202,0)),""))</f>
        <v/>
      </c>
      <c r="L693" s="7" t="str">
        <f>IF($B693="","",IFERROR(INDEX(Connaissements!$G$3:$G$202,MATCH($B693,Connaissements!$A$3:$A$202,0)),""))</f>
        <v/>
      </c>
      <c r="M693" s="7" t="str">
        <f t="shared" si="39"/>
        <v/>
      </c>
      <c r="N693" s="7" t="str">
        <f t="shared" ca="1" si="40"/>
        <v/>
      </c>
      <c r="O693" s="13"/>
      <c r="P693" s="29" t="str">
        <f t="shared" ca="1" si="41"/>
        <v/>
      </c>
      <c r="Q693" s="30" t="str">
        <f>IF($K693="","",IFERROR(IF(INDEX(Bookings!$G$3:$G$202,MATCH($K693,Bookings!$A$3:$A$202,0))="","",INDEX(Bookings!$G$3:$G$202,MATCH($K693,Bookings!$A$3:$A$202,0))),""))</f>
        <v/>
      </c>
    </row>
    <row r="694" spans="1:17" hidden="1" x14ac:dyDescent="0.35">
      <c r="A694" s="81"/>
      <c r="B694" s="81"/>
      <c r="C694" s="21"/>
      <c r="D694" s="56"/>
      <c r="E694" s="14"/>
      <c r="F694" s="14"/>
      <c r="G694" s="14"/>
      <c r="H694" s="83">
        <f t="shared" si="42"/>
        <v>0</v>
      </c>
      <c r="I694" s="80"/>
      <c r="J694" s="80"/>
      <c r="K694" s="7" t="str">
        <f>IF($B694="","",IFERROR(INDEX(Connaissements!$B$3:$B$202,MATCH($B694,Connaissements!$A$3:$A$202,0)),""))</f>
        <v/>
      </c>
      <c r="L694" s="7" t="str">
        <f>IF($B694="","",IFERROR(INDEX(Connaissements!$G$3:$G$202,MATCH($B694,Connaissements!$A$3:$A$202,0)),""))</f>
        <v/>
      </c>
      <c r="M694" s="7" t="str">
        <f t="shared" si="39"/>
        <v/>
      </c>
      <c r="N694" s="7" t="str">
        <f t="shared" ca="1" si="40"/>
        <v/>
      </c>
      <c r="O694" s="13"/>
      <c r="P694" s="29" t="str">
        <f t="shared" ca="1" si="41"/>
        <v/>
      </c>
      <c r="Q694" s="30" t="str">
        <f>IF($K694="","",IFERROR(IF(INDEX(Bookings!$G$3:$G$202,MATCH($K694,Bookings!$A$3:$A$202,0))="","",INDEX(Bookings!$G$3:$G$202,MATCH($K694,Bookings!$A$3:$A$202,0))),""))</f>
        <v/>
      </c>
    </row>
    <row r="695" spans="1:17" hidden="1" x14ac:dyDescent="0.35">
      <c r="A695" s="81"/>
      <c r="B695" s="81"/>
      <c r="C695" s="21"/>
      <c r="D695" s="56"/>
      <c r="E695" s="14"/>
      <c r="F695" s="14"/>
      <c r="G695" s="14"/>
      <c r="H695" s="83">
        <f t="shared" si="42"/>
        <v>0</v>
      </c>
      <c r="I695" s="80"/>
      <c r="J695" s="80"/>
      <c r="K695" s="7" t="str">
        <f>IF($B695="","",IFERROR(INDEX(Connaissements!$B$3:$B$202,MATCH($B695,Connaissements!$A$3:$A$202,0)),""))</f>
        <v/>
      </c>
      <c r="L695" s="7" t="str">
        <f>IF($B695="","",IFERROR(INDEX(Connaissements!$G$3:$G$202,MATCH($B695,Connaissements!$A$3:$A$202,0)),""))</f>
        <v/>
      </c>
      <c r="M695" s="7" t="str">
        <f t="shared" si="39"/>
        <v/>
      </c>
      <c r="N695" s="7" t="str">
        <f t="shared" ca="1" si="40"/>
        <v/>
      </c>
      <c r="O695" s="13"/>
      <c r="P695" s="29" t="str">
        <f t="shared" ca="1" si="41"/>
        <v/>
      </c>
      <c r="Q695" s="30" t="str">
        <f>IF($K695="","",IFERROR(IF(INDEX(Bookings!$G$3:$G$202,MATCH($K695,Bookings!$A$3:$A$202,0))="","",INDEX(Bookings!$G$3:$G$202,MATCH($K695,Bookings!$A$3:$A$202,0))),""))</f>
        <v/>
      </c>
    </row>
    <row r="696" spans="1:17" hidden="1" x14ac:dyDescent="0.35">
      <c r="A696" s="81"/>
      <c r="B696" s="81"/>
      <c r="C696" s="21"/>
      <c r="D696" s="56"/>
      <c r="E696" s="14"/>
      <c r="F696" s="14"/>
      <c r="G696" s="14"/>
      <c r="H696" s="83">
        <f t="shared" si="42"/>
        <v>0</v>
      </c>
      <c r="I696" s="80"/>
      <c r="J696" s="80"/>
      <c r="K696" s="7" t="str">
        <f>IF($B696="","",IFERROR(INDEX(Connaissements!$B$3:$B$202,MATCH($B696,Connaissements!$A$3:$A$202,0)),""))</f>
        <v/>
      </c>
      <c r="L696" s="7" t="str">
        <f>IF($B696="","",IFERROR(INDEX(Connaissements!$G$3:$G$202,MATCH($B696,Connaissements!$A$3:$A$202,0)),""))</f>
        <v/>
      </c>
      <c r="M696" s="7" t="str">
        <f t="shared" si="39"/>
        <v/>
      </c>
      <c r="N696" s="7" t="str">
        <f t="shared" ca="1" si="40"/>
        <v/>
      </c>
      <c r="O696" s="13"/>
      <c r="P696" s="29" t="str">
        <f t="shared" ca="1" si="41"/>
        <v/>
      </c>
      <c r="Q696" s="30" t="str">
        <f>IF($K696="","",IFERROR(IF(INDEX(Bookings!$G$3:$G$202,MATCH($K696,Bookings!$A$3:$A$202,0))="","",INDEX(Bookings!$G$3:$G$202,MATCH($K696,Bookings!$A$3:$A$202,0))),""))</f>
        <v/>
      </c>
    </row>
    <row r="697" spans="1:17" hidden="1" x14ac:dyDescent="0.35">
      <c r="A697" s="81"/>
      <c r="B697" s="81"/>
      <c r="C697" s="21"/>
      <c r="D697" s="56"/>
      <c r="E697" s="14"/>
      <c r="F697" s="14"/>
      <c r="G697" s="14"/>
      <c r="H697" s="83">
        <f t="shared" si="42"/>
        <v>0</v>
      </c>
      <c r="I697" s="80"/>
      <c r="J697" s="80"/>
      <c r="K697" s="7" t="str">
        <f>IF($B697="","",IFERROR(INDEX(Connaissements!$B$3:$B$202,MATCH($B697,Connaissements!$A$3:$A$202,0)),""))</f>
        <v/>
      </c>
      <c r="L697" s="7" t="str">
        <f>IF($B697="","",IFERROR(INDEX(Connaissements!$G$3:$G$202,MATCH($B697,Connaissements!$A$3:$A$202,0)),""))</f>
        <v/>
      </c>
      <c r="M697" s="7" t="str">
        <f t="shared" si="39"/>
        <v/>
      </c>
      <c r="N697" s="7" t="str">
        <f t="shared" ca="1" si="40"/>
        <v/>
      </c>
      <c r="O697" s="13"/>
      <c r="P697" s="29" t="str">
        <f t="shared" ca="1" si="41"/>
        <v/>
      </c>
      <c r="Q697" s="30" t="str">
        <f>IF($K697="","",IFERROR(IF(INDEX(Bookings!$G$3:$G$202,MATCH($K697,Bookings!$A$3:$A$202,0))="","",INDEX(Bookings!$G$3:$G$202,MATCH($K697,Bookings!$A$3:$A$202,0))),""))</f>
        <v/>
      </c>
    </row>
    <row r="698" spans="1:17" hidden="1" x14ac:dyDescent="0.35">
      <c r="A698" s="81"/>
      <c r="B698" s="81"/>
      <c r="C698" s="21"/>
      <c r="D698" s="56"/>
      <c r="E698" s="14"/>
      <c r="F698" s="14"/>
      <c r="G698" s="14"/>
      <c r="H698" s="83">
        <f t="shared" si="42"/>
        <v>0</v>
      </c>
      <c r="I698" s="80"/>
      <c r="J698" s="80"/>
      <c r="K698" s="7" t="str">
        <f>IF($B698="","",IFERROR(INDEX(Connaissements!$B$3:$B$202,MATCH($B698,Connaissements!$A$3:$A$202,0)),""))</f>
        <v/>
      </c>
      <c r="L698" s="7" t="str">
        <f>IF($B698="","",IFERROR(INDEX(Connaissements!$G$3:$G$202,MATCH($B698,Connaissements!$A$3:$A$202,0)),""))</f>
        <v/>
      </c>
      <c r="M698" s="7" t="str">
        <f t="shared" si="39"/>
        <v/>
      </c>
      <c r="N698" s="7" t="str">
        <f t="shared" ca="1" si="40"/>
        <v/>
      </c>
      <c r="O698" s="13"/>
      <c r="P698" s="29" t="str">
        <f t="shared" ca="1" si="41"/>
        <v/>
      </c>
      <c r="Q698" s="30" t="str">
        <f>IF($K698="","",IFERROR(IF(INDEX(Bookings!$G$3:$G$202,MATCH($K698,Bookings!$A$3:$A$202,0))="","",INDEX(Bookings!$G$3:$G$202,MATCH($K698,Bookings!$A$3:$A$202,0))),""))</f>
        <v/>
      </c>
    </row>
    <row r="699" spans="1:17" hidden="1" x14ac:dyDescent="0.35">
      <c r="A699" s="81"/>
      <c r="B699" s="81"/>
      <c r="C699" s="21"/>
      <c r="D699" s="56"/>
      <c r="E699" s="14"/>
      <c r="F699" s="14"/>
      <c r="G699" s="14"/>
      <c r="H699" s="83">
        <f t="shared" si="42"/>
        <v>0</v>
      </c>
      <c r="I699" s="80"/>
      <c r="J699" s="80"/>
      <c r="K699" s="7" t="str">
        <f>IF($B699="","",IFERROR(INDEX(Connaissements!$B$3:$B$202,MATCH($B699,Connaissements!$A$3:$A$202,0)),""))</f>
        <v/>
      </c>
      <c r="L699" s="7" t="str">
        <f>IF($B699="","",IFERROR(INDEX(Connaissements!$G$3:$G$202,MATCH($B699,Connaissements!$A$3:$A$202,0)),""))</f>
        <v/>
      </c>
      <c r="M699" s="7" t="str">
        <f t="shared" si="39"/>
        <v/>
      </c>
      <c r="N699" s="7" t="str">
        <f t="shared" ca="1" si="40"/>
        <v/>
      </c>
      <c r="O699" s="13"/>
      <c r="P699" s="29" t="str">
        <f t="shared" ca="1" si="41"/>
        <v/>
      </c>
      <c r="Q699" s="30" t="str">
        <f>IF($K699="","",IFERROR(IF(INDEX(Bookings!$G$3:$G$202,MATCH($K699,Bookings!$A$3:$A$202,0))="","",INDEX(Bookings!$G$3:$G$202,MATCH($K699,Bookings!$A$3:$A$202,0))),""))</f>
        <v/>
      </c>
    </row>
    <row r="700" spans="1:17" hidden="1" x14ac:dyDescent="0.35">
      <c r="A700" s="81"/>
      <c r="B700" s="81"/>
      <c r="C700" s="21"/>
      <c r="D700" s="56"/>
      <c r="E700" s="14"/>
      <c r="F700" s="14"/>
      <c r="G700" s="14"/>
      <c r="H700" s="83">
        <f t="shared" si="42"/>
        <v>0</v>
      </c>
      <c r="I700" s="80"/>
      <c r="J700" s="80"/>
      <c r="K700" s="7" t="str">
        <f>IF($B700="","",IFERROR(INDEX(Connaissements!$B$3:$B$202,MATCH($B700,Connaissements!$A$3:$A$202,0)),""))</f>
        <v/>
      </c>
      <c r="L700" s="7" t="str">
        <f>IF($B700="","",IFERROR(INDEX(Connaissements!$G$3:$G$202,MATCH($B700,Connaissements!$A$3:$A$202,0)),""))</f>
        <v/>
      </c>
      <c r="M700" s="7" t="str">
        <f t="shared" si="39"/>
        <v/>
      </c>
      <c r="N700" s="7" t="str">
        <f t="shared" ca="1" si="40"/>
        <v/>
      </c>
      <c r="O700" s="13"/>
      <c r="P700" s="29" t="str">
        <f t="shared" ca="1" si="41"/>
        <v/>
      </c>
      <c r="Q700" s="30" t="str">
        <f>IF($K700="","",IFERROR(IF(INDEX(Bookings!$G$3:$G$202,MATCH($K700,Bookings!$A$3:$A$202,0))="","",INDEX(Bookings!$G$3:$G$202,MATCH($K700,Bookings!$A$3:$A$202,0))),""))</f>
        <v/>
      </c>
    </row>
    <row r="701" spans="1:17" hidden="1" x14ac:dyDescent="0.35">
      <c r="A701" s="81"/>
      <c r="B701" s="81"/>
      <c r="C701" s="21"/>
      <c r="D701" s="56"/>
      <c r="E701" s="14"/>
      <c r="F701" s="14"/>
      <c r="G701" s="14"/>
      <c r="H701" s="83">
        <f t="shared" si="42"/>
        <v>0</v>
      </c>
      <c r="I701" s="80"/>
      <c r="J701" s="80"/>
      <c r="K701" s="7" t="str">
        <f>IF($B701="","",IFERROR(INDEX(Connaissements!$B$3:$B$202,MATCH($B701,Connaissements!$A$3:$A$202,0)),""))</f>
        <v/>
      </c>
      <c r="L701" s="7" t="str">
        <f>IF($B701="","",IFERROR(INDEX(Connaissements!$G$3:$G$202,MATCH($B701,Connaissements!$A$3:$A$202,0)),""))</f>
        <v/>
      </c>
      <c r="M701" s="7" t="str">
        <f t="shared" si="39"/>
        <v/>
      </c>
      <c r="N701" s="7" t="str">
        <f t="shared" ca="1" si="40"/>
        <v/>
      </c>
      <c r="O701" s="13"/>
      <c r="P701" s="29" t="str">
        <f t="shared" ca="1" si="41"/>
        <v/>
      </c>
      <c r="Q701" s="30" t="str">
        <f>IF($K701="","",IFERROR(IF(INDEX(Bookings!$G$3:$G$202,MATCH($K701,Bookings!$A$3:$A$202,0))="","",INDEX(Bookings!$G$3:$G$202,MATCH($K701,Bookings!$A$3:$A$202,0))),""))</f>
        <v/>
      </c>
    </row>
    <row r="702" spans="1:17" hidden="1" x14ac:dyDescent="0.35">
      <c r="A702" s="81"/>
      <c r="B702" s="81"/>
      <c r="C702" s="21"/>
      <c r="D702" s="56"/>
      <c r="E702" s="14"/>
      <c r="F702" s="14"/>
      <c r="G702" s="14"/>
      <c r="H702" s="83">
        <f t="shared" si="42"/>
        <v>0</v>
      </c>
      <c r="I702" s="80"/>
      <c r="J702" s="80"/>
      <c r="K702" s="7" t="str">
        <f>IF($B702="","",IFERROR(INDEX(Connaissements!$B$3:$B$202,MATCH($B702,Connaissements!$A$3:$A$202,0)),""))</f>
        <v/>
      </c>
      <c r="L702" s="7" t="str">
        <f>IF($B702="","",IFERROR(INDEX(Connaissements!$G$3:$G$202,MATCH($B702,Connaissements!$A$3:$A$202,0)),""))</f>
        <v/>
      </c>
      <c r="M702" s="7" t="str">
        <f t="shared" si="39"/>
        <v/>
      </c>
      <c r="N702" s="7" t="str">
        <f t="shared" ca="1" si="40"/>
        <v/>
      </c>
      <c r="O702" s="13"/>
      <c r="P702" s="29" t="str">
        <f t="shared" ca="1" si="41"/>
        <v/>
      </c>
      <c r="Q702" s="30" t="str">
        <f>IF($K702="","",IFERROR(IF(INDEX(Bookings!$G$3:$G$202,MATCH($K702,Bookings!$A$3:$A$202,0))="","",INDEX(Bookings!$G$3:$G$202,MATCH($K702,Bookings!$A$3:$A$202,0))),""))</f>
        <v/>
      </c>
    </row>
    <row r="703" spans="1:17" hidden="1" x14ac:dyDescent="0.35">
      <c r="A703" s="81"/>
      <c r="B703" s="81"/>
      <c r="C703" s="21"/>
      <c r="D703" s="56"/>
      <c r="E703" s="14"/>
      <c r="F703" s="14"/>
      <c r="G703" s="14"/>
      <c r="H703" s="83">
        <f t="shared" si="42"/>
        <v>0</v>
      </c>
      <c r="I703" s="80"/>
      <c r="J703" s="80"/>
      <c r="K703" s="7" t="str">
        <f>IF($B703="","",IFERROR(INDEX(Connaissements!$B$3:$B$202,MATCH($B703,Connaissements!$A$3:$A$202,0)),""))</f>
        <v/>
      </c>
      <c r="L703" s="7" t="str">
        <f>IF($B703="","",IFERROR(INDEX(Connaissements!$G$3:$G$202,MATCH($B703,Connaissements!$A$3:$A$202,0)),""))</f>
        <v/>
      </c>
      <c r="M703" s="7" t="str">
        <f t="shared" si="39"/>
        <v/>
      </c>
      <c r="N703" s="7" t="str">
        <f t="shared" ca="1" si="40"/>
        <v/>
      </c>
      <c r="O703" s="13"/>
      <c r="P703" s="29" t="str">
        <f t="shared" ca="1" si="41"/>
        <v/>
      </c>
      <c r="Q703" s="30" t="str">
        <f>IF($K703="","",IFERROR(IF(INDEX(Bookings!$G$3:$G$202,MATCH($K703,Bookings!$A$3:$A$202,0))="","",INDEX(Bookings!$G$3:$G$202,MATCH($K703,Bookings!$A$3:$A$202,0))),""))</f>
        <v/>
      </c>
    </row>
    <row r="704" spans="1:17" hidden="1" x14ac:dyDescent="0.35">
      <c r="A704" s="81"/>
      <c r="B704" s="81"/>
      <c r="C704" s="21"/>
      <c r="D704" s="56"/>
      <c r="E704" s="14"/>
      <c r="F704" s="14"/>
      <c r="G704" s="14"/>
      <c r="H704" s="83">
        <f t="shared" si="42"/>
        <v>0</v>
      </c>
      <c r="I704" s="80"/>
      <c r="J704" s="80"/>
      <c r="K704" s="7" t="str">
        <f>IF($B704="","",IFERROR(INDEX(Connaissements!$B$3:$B$202,MATCH($B704,Connaissements!$A$3:$A$202,0)),""))</f>
        <v/>
      </c>
      <c r="L704" s="7" t="str">
        <f>IF($B704="","",IFERROR(INDEX(Connaissements!$G$3:$G$202,MATCH($B704,Connaissements!$A$3:$A$202,0)),""))</f>
        <v/>
      </c>
      <c r="M704" s="7" t="str">
        <f t="shared" si="39"/>
        <v/>
      </c>
      <c r="N704" s="7" t="str">
        <f t="shared" ca="1" si="40"/>
        <v/>
      </c>
      <c r="O704" s="13"/>
      <c r="P704" s="29" t="str">
        <f t="shared" ca="1" si="41"/>
        <v/>
      </c>
      <c r="Q704" s="30" t="str">
        <f>IF($K704="","",IFERROR(IF(INDEX(Bookings!$G$3:$G$202,MATCH($K704,Bookings!$A$3:$A$202,0))="","",INDEX(Bookings!$G$3:$G$202,MATCH($K704,Bookings!$A$3:$A$202,0))),""))</f>
        <v/>
      </c>
    </row>
    <row r="705" spans="1:17" hidden="1" x14ac:dyDescent="0.35">
      <c r="A705" s="81"/>
      <c r="B705" s="81"/>
      <c r="C705" s="21"/>
      <c r="D705" s="56"/>
      <c r="E705" s="14"/>
      <c r="F705" s="14"/>
      <c r="G705" s="14"/>
      <c r="H705" s="83">
        <f t="shared" si="42"/>
        <v>0</v>
      </c>
      <c r="I705" s="80"/>
      <c r="J705" s="80"/>
      <c r="K705" s="7" t="str">
        <f>IF($B705="","",IFERROR(INDEX(Connaissements!$B$3:$B$202,MATCH($B705,Connaissements!$A$3:$A$202,0)),""))</f>
        <v/>
      </c>
      <c r="L705" s="7" t="str">
        <f>IF($B705="","",IFERROR(INDEX(Connaissements!$G$3:$G$202,MATCH($B705,Connaissements!$A$3:$A$202,0)),""))</f>
        <v/>
      </c>
      <c r="M705" s="7" t="str">
        <f t="shared" si="39"/>
        <v/>
      </c>
      <c r="N705" s="7" t="str">
        <f t="shared" ca="1" si="40"/>
        <v/>
      </c>
      <c r="O705" s="13"/>
      <c r="P705" s="29" t="str">
        <f t="shared" ca="1" si="41"/>
        <v/>
      </c>
      <c r="Q705" s="30" t="str">
        <f>IF($K705="","",IFERROR(IF(INDEX(Bookings!$G$3:$G$202,MATCH($K705,Bookings!$A$3:$A$202,0))="","",INDEX(Bookings!$G$3:$G$202,MATCH($K705,Bookings!$A$3:$A$202,0))),""))</f>
        <v/>
      </c>
    </row>
    <row r="706" spans="1:17" hidden="1" x14ac:dyDescent="0.35">
      <c r="A706" s="81"/>
      <c r="B706" s="81"/>
      <c r="C706" s="21"/>
      <c r="D706" s="56"/>
      <c r="E706" s="14"/>
      <c r="F706" s="14"/>
      <c r="G706" s="14"/>
      <c r="H706" s="83">
        <f t="shared" si="42"/>
        <v>0</v>
      </c>
      <c r="I706" s="80"/>
      <c r="J706" s="80"/>
      <c r="K706" s="7" t="str">
        <f>IF($B706="","",IFERROR(INDEX(Connaissements!$B$3:$B$202,MATCH($B706,Connaissements!$A$3:$A$202,0)),""))</f>
        <v/>
      </c>
      <c r="L706" s="7" t="str">
        <f>IF($B706="","",IFERROR(INDEX(Connaissements!$G$3:$G$202,MATCH($B706,Connaissements!$A$3:$A$202,0)),""))</f>
        <v/>
      </c>
      <c r="M706" s="7" t="str">
        <f t="shared" si="39"/>
        <v/>
      </c>
      <c r="N706" s="7" t="str">
        <f t="shared" ca="1" si="40"/>
        <v/>
      </c>
      <c r="O706" s="13"/>
      <c r="P706" s="29" t="str">
        <f t="shared" ca="1" si="41"/>
        <v/>
      </c>
      <c r="Q706" s="30" t="str">
        <f>IF($K706="","",IFERROR(IF(INDEX(Bookings!$G$3:$G$202,MATCH($K706,Bookings!$A$3:$A$202,0))="","",INDEX(Bookings!$G$3:$G$202,MATCH($K706,Bookings!$A$3:$A$202,0))),""))</f>
        <v/>
      </c>
    </row>
    <row r="707" spans="1:17" hidden="1" x14ac:dyDescent="0.35">
      <c r="A707" s="81"/>
      <c r="B707" s="81"/>
      <c r="C707" s="21"/>
      <c r="D707" s="56"/>
      <c r="E707" s="14"/>
      <c r="F707" s="14"/>
      <c r="G707" s="14"/>
      <c r="H707" s="83">
        <f t="shared" si="42"/>
        <v>0</v>
      </c>
      <c r="I707" s="80"/>
      <c r="J707" s="80"/>
      <c r="K707" s="7" t="str">
        <f>IF($B707="","",IFERROR(INDEX(Connaissements!$B$3:$B$202,MATCH($B707,Connaissements!$A$3:$A$202,0)),""))</f>
        <v/>
      </c>
      <c r="L707" s="7" t="str">
        <f>IF($B707="","",IFERROR(INDEX(Connaissements!$G$3:$G$202,MATCH($B707,Connaissements!$A$3:$A$202,0)),""))</f>
        <v/>
      </c>
      <c r="M707" s="7" t="str">
        <f t="shared" ref="M707:M770" si="43">IF($A707="","",IF($G707&lt;&gt;"","Embarqué",IF($F707&lt;&gt;"","Gate-In fait",IF($E707&lt;&gt;"","Empoté","À empoter"))))</f>
        <v/>
      </c>
      <c r="N707" s="7" t="str">
        <f t="shared" ref="N707:N770" ca="1" si="44">IF(OR($A707="",$G707&lt;&gt;""),"",IF(AND($Q707&lt;&gt;"",N($Q707)&lt;TODAY()),"RETARD : ETD dépassé, pas embarqué",IF(AND($Q707&lt;&gt;"",N($Q707)-TODAY()&lt;=P_AlerteETD,$F707=""),"Gate-In à faire (ETD proche)",IF(AND($E707&lt;&gt;"",$H707=""),"Poids net à saisir",""))))</f>
        <v/>
      </c>
      <c r="O707" s="13"/>
      <c r="P707" s="29" t="str">
        <f t="shared" ref="P707:P770" ca="1" si="45">IF($N707&lt;&gt;"",1,"")</f>
        <v/>
      </c>
      <c r="Q707" s="30" t="str">
        <f>IF($K707="","",IFERROR(IF(INDEX(Bookings!$G$3:$G$202,MATCH($K707,Bookings!$A$3:$A$202,0))="","",INDEX(Bookings!$G$3:$G$202,MATCH($K707,Bookings!$A$3:$A$202,0))),""))</f>
        <v/>
      </c>
    </row>
    <row r="708" spans="1:17" hidden="1" x14ac:dyDescent="0.35">
      <c r="A708" s="81"/>
      <c r="B708" s="81"/>
      <c r="C708" s="21"/>
      <c r="D708" s="56"/>
      <c r="E708" s="14"/>
      <c r="F708" s="14"/>
      <c r="G708" s="14"/>
      <c r="H708" s="83">
        <f t="shared" ref="H708:H771" si="46">J708-I708</f>
        <v>0</v>
      </c>
      <c r="I708" s="80"/>
      <c r="J708" s="80"/>
      <c r="K708" s="7" t="str">
        <f>IF($B708="","",IFERROR(INDEX(Connaissements!$B$3:$B$202,MATCH($B708,Connaissements!$A$3:$A$202,0)),""))</f>
        <v/>
      </c>
      <c r="L708" s="7" t="str">
        <f>IF($B708="","",IFERROR(INDEX(Connaissements!$G$3:$G$202,MATCH($B708,Connaissements!$A$3:$A$202,0)),""))</f>
        <v/>
      </c>
      <c r="M708" s="7" t="str">
        <f t="shared" si="43"/>
        <v/>
      </c>
      <c r="N708" s="7" t="str">
        <f t="shared" ca="1" si="44"/>
        <v/>
      </c>
      <c r="O708" s="13"/>
      <c r="P708" s="29" t="str">
        <f t="shared" ca="1" si="45"/>
        <v/>
      </c>
      <c r="Q708" s="30" t="str">
        <f>IF($K708="","",IFERROR(IF(INDEX(Bookings!$G$3:$G$202,MATCH($K708,Bookings!$A$3:$A$202,0))="","",INDEX(Bookings!$G$3:$G$202,MATCH($K708,Bookings!$A$3:$A$202,0))),""))</f>
        <v/>
      </c>
    </row>
    <row r="709" spans="1:17" hidden="1" x14ac:dyDescent="0.35">
      <c r="A709" s="81"/>
      <c r="B709" s="81"/>
      <c r="C709" s="21"/>
      <c r="D709" s="56"/>
      <c r="E709" s="14"/>
      <c r="F709" s="14"/>
      <c r="G709" s="14"/>
      <c r="H709" s="83">
        <f t="shared" si="46"/>
        <v>0</v>
      </c>
      <c r="I709" s="80"/>
      <c r="J709" s="80"/>
      <c r="K709" s="7" t="str">
        <f>IF($B709="","",IFERROR(INDEX(Connaissements!$B$3:$B$202,MATCH($B709,Connaissements!$A$3:$A$202,0)),""))</f>
        <v/>
      </c>
      <c r="L709" s="7" t="str">
        <f>IF($B709="","",IFERROR(INDEX(Connaissements!$G$3:$G$202,MATCH($B709,Connaissements!$A$3:$A$202,0)),""))</f>
        <v/>
      </c>
      <c r="M709" s="7" t="str">
        <f t="shared" si="43"/>
        <v/>
      </c>
      <c r="N709" s="7" t="str">
        <f t="shared" ca="1" si="44"/>
        <v/>
      </c>
      <c r="O709" s="13"/>
      <c r="P709" s="29" t="str">
        <f t="shared" ca="1" si="45"/>
        <v/>
      </c>
      <c r="Q709" s="30" t="str">
        <f>IF($K709="","",IFERROR(IF(INDEX(Bookings!$G$3:$G$202,MATCH($K709,Bookings!$A$3:$A$202,0))="","",INDEX(Bookings!$G$3:$G$202,MATCH($K709,Bookings!$A$3:$A$202,0))),""))</f>
        <v/>
      </c>
    </row>
    <row r="710" spans="1:17" hidden="1" x14ac:dyDescent="0.35">
      <c r="A710" s="81"/>
      <c r="B710" s="81"/>
      <c r="C710" s="21"/>
      <c r="D710" s="56"/>
      <c r="E710" s="14"/>
      <c r="F710" s="14"/>
      <c r="G710" s="14"/>
      <c r="H710" s="83">
        <f t="shared" si="46"/>
        <v>0</v>
      </c>
      <c r="I710" s="80"/>
      <c r="J710" s="80"/>
      <c r="K710" s="7" t="str">
        <f>IF($B710="","",IFERROR(INDEX(Connaissements!$B$3:$B$202,MATCH($B710,Connaissements!$A$3:$A$202,0)),""))</f>
        <v/>
      </c>
      <c r="L710" s="7" t="str">
        <f>IF($B710="","",IFERROR(INDEX(Connaissements!$G$3:$G$202,MATCH($B710,Connaissements!$A$3:$A$202,0)),""))</f>
        <v/>
      </c>
      <c r="M710" s="7" t="str">
        <f t="shared" si="43"/>
        <v/>
      </c>
      <c r="N710" s="7" t="str">
        <f t="shared" ca="1" si="44"/>
        <v/>
      </c>
      <c r="O710" s="13"/>
      <c r="P710" s="29" t="str">
        <f t="shared" ca="1" si="45"/>
        <v/>
      </c>
      <c r="Q710" s="30" t="str">
        <f>IF($K710="","",IFERROR(IF(INDEX(Bookings!$G$3:$G$202,MATCH($K710,Bookings!$A$3:$A$202,0))="","",INDEX(Bookings!$G$3:$G$202,MATCH($K710,Bookings!$A$3:$A$202,0))),""))</f>
        <v/>
      </c>
    </row>
    <row r="711" spans="1:17" hidden="1" x14ac:dyDescent="0.35">
      <c r="A711" s="81"/>
      <c r="B711" s="81"/>
      <c r="C711" s="21"/>
      <c r="D711" s="56"/>
      <c r="E711" s="14"/>
      <c r="F711" s="14"/>
      <c r="G711" s="14"/>
      <c r="H711" s="83">
        <f t="shared" si="46"/>
        <v>0</v>
      </c>
      <c r="I711" s="80"/>
      <c r="J711" s="80"/>
      <c r="K711" s="7" t="str">
        <f>IF($B711="","",IFERROR(INDEX(Connaissements!$B$3:$B$202,MATCH($B711,Connaissements!$A$3:$A$202,0)),""))</f>
        <v/>
      </c>
      <c r="L711" s="7" t="str">
        <f>IF($B711="","",IFERROR(INDEX(Connaissements!$G$3:$G$202,MATCH($B711,Connaissements!$A$3:$A$202,0)),""))</f>
        <v/>
      </c>
      <c r="M711" s="7" t="str">
        <f t="shared" si="43"/>
        <v/>
      </c>
      <c r="N711" s="7" t="str">
        <f t="shared" ca="1" si="44"/>
        <v/>
      </c>
      <c r="O711" s="13"/>
      <c r="P711" s="29" t="str">
        <f t="shared" ca="1" si="45"/>
        <v/>
      </c>
      <c r="Q711" s="30" t="str">
        <f>IF($K711="","",IFERROR(IF(INDEX(Bookings!$G$3:$G$202,MATCH($K711,Bookings!$A$3:$A$202,0))="","",INDEX(Bookings!$G$3:$G$202,MATCH($K711,Bookings!$A$3:$A$202,0))),""))</f>
        <v/>
      </c>
    </row>
    <row r="712" spans="1:17" hidden="1" x14ac:dyDescent="0.35">
      <c r="A712" s="81"/>
      <c r="B712" s="81"/>
      <c r="C712" s="21"/>
      <c r="D712" s="56"/>
      <c r="E712" s="14"/>
      <c r="F712" s="14"/>
      <c r="G712" s="14"/>
      <c r="H712" s="83">
        <f t="shared" si="46"/>
        <v>0</v>
      </c>
      <c r="I712" s="80"/>
      <c r="J712" s="80"/>
      <c r="K712" s="7" t="str">
        <f>IF($B712="","",IFERROR(INDEX(Connaissements!$B$3:$B$202,MATCH($B712,Connaissements!$A$3:$A$202,0)),""))</f>
        <v/>
      </c>
      <c r="L712" s="7" t="str">
        <f>IF($B712="","",IFERROR(INDEX(Connaissements!$G$3:$G$202,MATCH($B712,Connaissements!$A$3:$A$202,0)),""))</f>
        <v/>
      </c>
      <c r="M712" s="7" t="str">
        <f t="shared" si="43"/>
        <v/>
      </c>
      <c r="N712" s="7" t="str">
        <f t="shared" ca="1" si="44"/>
        <v/>
      </c>
      <c r="O712" s="13"/>
      <c r="P712" s="29" t="str">
        <f t="shared" ca="1" si="45"/>
        <v/>
      </c>
      <c r="Q712" s="30" t="str">
        <f>IF($K712="","",IFERROR(IF(INDEX(Bookings!$G$3:$G$202,MATCH($K712,Bookings!$A$3:$A$202,0))="","",INDEX(Bookings!$G$3:$G$202,MATCH($K712,Bookings!$A$3:$A$202,0))),""))</f>
        <v/>
      </c>
    </row>
    <row r="713" spans="1:17" hidden="1" x14ac:dyDescent="0.35">
      <c r="A713" s="81"/>
      <c r="B713" s="81"/>
      <c r="C713" s="21"/>
      <c r="D713" s="56"/>
      <c r="E713" s="14"/>
      <c r="F713" s="14"/>
      <c r="G713" s="14"/>
      <c r="H713" s="83">
        <f t="shared" si="46"/>
        <v>0</v>
      </c>
      <c r="I713" s="80"/>
      <c r="J713" s="80"/>
      <c r="K713" s="7" t="str">
        <f>IF($B713="","",IFERROR(INDEX(Connaissements!$B$3:$B$202,MATCH($B713,Connaissements!$A$3:$A$202,0)),""))</f>
        <v/>
      </c>
      <c r="L713" s="7" t="str">
        <f>IF($B713="","",IFERROR(INDEX(Connaissements!$G$3:$G$202,MATCH($B713,Connaissements!$A$3:$A$202,0)),""))</f>
        <v/>
      </c>
      <c r="M713" s="7" t="str">
        <f t="shared" si="43"/>
        <v/>
      </c>
      <c r="N713" s="7" t="str">
        <f t="shared" ca="1" si="44"/>
        <v/>
      </c>
      <c r="O713" s="13"/>
      <c r="P713" s="29" t="str">
        <f t="shared" ca="1" si="45"/>
        <v/>
      </c>
      <c r="Q713" s="30" t="str">
        <f>IF($K713="","",IFERROR(IF(INDEX(Bookings!$G$3:$G$202,MATCH($K713,Bookings!$A$3:$A$202,0))="","",INDEX(Bookings!$G$3:$G$202,MATCH($K713,Bookings!$A$3:$A$202,0))),""))</f>
        <v/>
      </c>
    </row>
    <row r="714" spans="1:17" hidden="1" x14ac:dyDescent="0.35">
      <c r="A714" s="81"/>
      <c r="B714" s="81"/>
      <c r="C714" s="21"/>
      <c r="D714" s="56"/>
      <c r="E714" s="14"/>
      <c r="F714" s="14"/>
      <c r="G714" s="14"/>
      <c r="H714" s="83">
        <f t="shared" si="46"/>
        <v>0</v>
      </c>
      <c r="I714" s="80"/>
      <c r="J714" s="80"/>
      <c r="K714" s="7" t="str">
        <f>IF($B714="","",IFERROR(INDEX(Connaissements!$B$3:$B$202,MATCH($B714,Connaissements!$A$3:$A$202,0)),""))</f>
        <v/>
      </c>
      <c r="L714" s="7" t="str">
        <f>IF($B714="","",IFERROR(INDEX(Connaissements!$G$3:$G$202,MATCH($B714,Connaissements!$A$3:$A$202,0)),""))</f>
        <v/>
      </c>
      <c r="M714" s="7" t="str">
        <f t="shared" si="43"/>
        <v/>
      </c>
      <c r="N714" s="7" t="str">
        <f t="shared" ca="1" si="44"/>
        <v/>
      </c>
      <c r="O714" s="13"/>
      <c r="P714" s="29" t="str">
        <f t="shared" ca="1" si="45"/>
        <v/>
      </c>
      <c r="Q714" s="30" t="str">
        <f>IF($K714="","",IFERROR(IF(INDEX(Bookings!$G$3:$G$202,MATCH($K714,Bookings!$A$3:$A$202,0))="","",INDEX(Bookings!$G$3:$G$202,MATCH($K714,Bookings!$A$3:$A$202,0))),""))</f>
        <v/>
      </c>
    </row>
    <row r="715" spans="1:17" hidden="1" x14ac:dyDescent="0.35">
      <c r="A715" s="81"/>
      <c r="B715" s="81"/>
      <c r="C715" s="21"/>
      <c r="D715" s="56"/>
      <c r="E715" s="14"/>
      <c r="F715" s="14"/>
      <c r="G715" s="14"/>
      <c r="H715" s="83">
        <f t="shared" si="46"/>
        <v>0</v>
      </c>
      <c r="I715" s="80"/>
      <c r="J715" s="80"/>
      <c r="K715" s="7" t="str">
        <f>IF($B715="","",IFERROR(INDEX(Connaissements!$B$3:$B$202,MATCH($B715,Connaissements!$A$3:$A$202,0)),""))</f>
        <v/>
      </c>
      <c r="L715" s="7" t="str">
        <f>IF($B715="","",IFERROR(INDEX(Connaissements!$G$3:$G$202,MATCH($B715,Connaissements!$A$3:$A$202,0)),""))</f>
        <v/>
      </c>
      <c r="M715" s="7" t="str">
        <f t="shared" si="43"/>
        <v/>
      </c>
      <c r="N715" s="7" t="str">
        <f t="shared" ca="1" si="44"/>
        <v/>
      </c>
      <c r="O715" s="13"/>
      <c r="P715" s="29" t="str">
        <f t="shared" ca="1" si="45"/>
        <v/>
      </c>
      <c r="Q715" s="30" t="str">
        <f>IF($K715="","",IFERROR(IF(INDEX(Bookings!$G$3:$G$202,MATCH($K715,Bookings!$A$3:$A$202,0))="","",INDEX(Bookings!$G$3:$G$202,MATCH($K715,Bookings!$A$3:$A$202,0))),""))</f>
        <v/>
      </c>
    </row>
    <row r="716" spans="1:17" hidden="1" x14ac:dyDescent="0.35">
      <c r="A716" s="81"/>
      <c r="B716" s="81"/>
      <c r="C716" s="21"/>
      <c r="D716" s="56"/>
      <c r="E716" s="14"/>
      <c r="F716" s="14"/>
      <c r="G716" s="14"/>
      <c r="H716" s="83">
        <f t="shared" si="46"/>
        <v>0</v>
      </c>
      <c r="I716" s="80"/>
      <c r="J716" s="80"/>
      <c r="K716" s="7" t="str">
        <f>IF($B716="","",IFERROR(INDEX(Connaissements!$B$3:$B$202,MATCH($B716,Connaissements!$A$3:$A$202,0)),""))</f>
        <v/>
      </c>
      <c r="L716" s="7" t="str">
        <f>IF($B716="","",IFERROR(INDEX(Connaissements!$G$3:$G$202,MATCH($B716,Connaissements!$A$3:$A$202,0)),""))</f>
        <v/>
      </c>
      <c r="M716" s="7" t="str">
        <f t="shared" si="43"/>
        <v/>
      </c>
      <c r="N716" s="7" t="str">
        <f t="shared" ca="1" si="44"/>
        <v/>
      </c>
      <c r="O716" s="13"/>
      <c r="P716" s="29" t="str">
        <f t="shared" ca="1" si="45"/>
        <v/>
      </c>
      <c r="Q716" s="30" t="str">
        <f>IF($K716="","",IFERROR(IF(INDEX(Bookings!$G$3:$G$202,MATCH($K716,Bookings!$A$3:$A$202,0))="","",INDEX(Bookings!$G$3:$G$202,MATCH($K716,Bookings!$A$3:$A$202,0))),""))</f>
        <v/>
      </c>
    </row>
    <row r="717" spans="1:17" hidden="1" x14ac:dyDescent="0.35">
      <c r="A717" s="81"/>
      <c r="B717" s="81"/>
      <c r="C717" s="21"/>
      <c r="D717" s="56"/>
      <c r="E717" s="14"/>
      <c r="F717" s="14"/>
      <c r="G717" s="14"/>
      <c r="H717" s="83">
        <f t="shared" si="46"/>
        <v>0</v>
      </c>
      <c r="I717" s="80"/>
      <c r="J717" s="80"/>
      <c r="K717" s="7" t="str">
        <f>IF($B717="","",IFERROR(INDEX(Connaissements!$B$3:$B$202,MATCH($B717,Connaissements!$A$3:$A$202,0)),""))</f>
        <v/>
      </c>
      <c r="L717" s="7" t="str">
        <f>IF($B717="","",IFERROR(INDEX(Connaissements!$G$3:$G$202,MATCH($B717,Connaissements!$A$3:$A$202,0)),""))</f>
        <v/>
      </c>
      <c r="M717" s="7" t="str">
        <f t="shared" si="43"/>
        <v/>
      </c>
      <c r="N717" s="7" t="str">
        <f t="shared" ca="1" si="44"/>
        <v/>
      </c>
      <c r="O717" s="13"/>
      <c r="P717" s="29" t="str">
        <f t="shared" ca="1" si="45"/>
        <v/>
      </c>
      <c r="Q717" s="30" t="str">
        <f>IF($K717="","",IFERROR(IF(INDEX(Bookings!$G$3:$G$202,MATCH($K717,Bookings!$A$3:$A$202,0))="","",INDEX(Bookings!$G$3:$G$202,MATCH($K717,Bookings!$A$3:$A$202,0))),""))</f>
        <v/>
      </c>
    </row>
    <row r="718" spans="1:17" hidden="1" x14ac:dyDescent="0.35">
      <c r="A718" s="81"/>
      <c r="B718" s="81"/>
      <c r="C718" s="21"/>
      <c r="D718" s="56"/>
      <c r="E718" s="14"/>
      <c r="F718" s="14"/>
      <c r="G718" s="14"/>
      <c r="H718" s="83">
        <f t="shared" si="46"/>
        <v>0</v>
      </c>
      <c r="I718" s="80"/>
      <c r="J718" s="80"/>
      <c r="K718" s="7" t="str">
        <f>IF($B718="","",IFERROR(INDEX(Connaissements!$B$3:$B$202,MATCH($B718,Connaissements!$A$3:$A$202,0)),""))</f>
        <v/>
      </c>
      <c r="L718" s="7" t="str">
        <f>IF($B718="","",IFERROR(INDEX(Connaissements!$G$3:$G$202,MATCH($B718,Connaissements!$A$3:$A$202,0)),""))</f>
        <v/>
      </c>
      <c r="M718" s="7" t="str">
        <f t="shared" si="43"/>
        <v/>
      </c>
      <c r="N718" s="7" t="str">
        <f t="shared" ca="1" si="44"/>
        <v/>
      </c>
      <c r="O718" s="13"/>
      <c r="P718" s="29" t="str">
        <f t="shared" ca="1" si="45"/>
        <v/>
      </c>
      <c r="Q718" s="30" t="str">
        <f>IF($K718="","",IFERROR(IF(INDEX(Bookings!$G$3:$G$202,MATCH($K718,Bookings!$A$3:$A$202,0))="","",INDEX(Bookings!$G$3:$G$202,MATCH($K718,Bookings!$A$3:$A$202,0))),""))</f>
        <v/>
      </c>
    </row>
    <row r="719" spans="1:17" hidden="1" x14ac:dyDescent="0.35">
      <c r="A719" s="81"/>
      <c r="B719" s="81"/>
      <c r="C719" s="21"/>
      <c r="D719" s="56"/>
      <c r="E719" s="14"/>
      <c r="F719" s="14"/>
      <c r="G719" s="14"/>
      <c r="H719" s="83">
        <f t="shared" si="46"/>
        <v>0</v>
      </c>
      <c r="I719" s="80"/>
      <c r="J719" s="80"/>
      <c r="K719" s="7" t="str">
        <f>IF($B719="","",IFERROR(INDEX(Connaissements!$B$3:$B$202,MATCH($B719,Connaissements!$A$3:$A$202,0)),""))</f>
        <v/>
      </c>
      <c r="L719" s="7" t="str">
        <f>IF($B719="","",IFERROR(INDEX(Connaissements!$G$3:$G$202,MATCH($B719,Connaissements!$A$3:$A$202,0)),""))</f>
        <v/>
      </c>
      <c r="M719" s="7" t="str">
        <f t="shared" si="43"/>
        <v/>
      </c>
      <c r="N719" s="7" t="str">
        <f t="shared" ca="1" si="44"/>
        <v/>
      </c>
      <c r="O719" s="13"/>
      <c r="P719" s="29" t="str">
        <f t="shared" ca="1" si="45"/>
        <v/>
      </c>
      <c r="Q719" s="30" t="str">
        <f>IF($K719="","",IFERROR(IF(INDEX(Bookings!$G$3:$G$202,MATCH($K719,Bookings!$A$3:$A$202,0))="","",INDEX(Bookings!$G$3:$G$202,MATCH($K719,Bookings!$A$3:$A$202,0))),""))</f>
        <v/>
      </c>
    </row>
    <row r="720" spans="1:17" hidden="1" x14ac:dyDescent="0.35">
      <c r="A720" s="81"/>
      <c r="B720" s="81"/>
      <c r="C720" s="21"/>
      <c r="D720" s="56"/>
      <c r="E720" s="14"/>
      <c r="F720" s="14"/>
      <c r="G720" s="14"/>
      <c r="H720" s="83">
        <f t="shared" si="46"/>
        <v>0</v>
      </c>
      <c r="I720" s="80"/>
      <c r="J720" s="80"/>
      <c r="K720" s="7" t="str">
        <f>IF($B720="","",IFERROR(INDEX(Connaissements!$B$3:$B$202,MATCH($B720,Connaissements!$A$3:$A$202,0)),""))</f>
        <v/>
      </c>
      <c r="L720" s="7" t="str">
        <f>IF($B720="","",IFERROR(INDEX(Connaissements!$G$3:$G$202,MATCH($B720,Connaissements!$A$3:$A$202,0)),""))</f>
        <v/>
      </c>
      <c r="M720" s="7" t="str">
        <f t="shared" si="43"/>
        <v/>
      </c>
      <c r="N720" s="7" t="str">
        <f t="shared" ca="1" si="44"/>
        <v/>
      </c>
      <c r="O720" s="13"/>
      <c r="P720" s="29" t="str">
        <f t="shared" ca="1" si="45"/>
        <v/>
      </c>
      <c r="Q720" s="30" t="str">
        <f>IF($K720="","",IFERROR(IF(INDEX(Bookings!$G$3:$G$202,MATCH($K720,Bookings!$A$3:$A$202,0))="","",INDEX(Bookings!$G$3:$G$202,MATCH($K720,Bookings!$A$3:$A$202,0))),""))</f>
        <v/>
      </c>
    </row>
    <row r="721" spans="1:17" hidden="1" x14ac:dyDescent="0.35">
      <c r="A721" s="81"/>
      <c r="B721" s="81"/>
      <c r="C721" s="21"/>
      <c r="D721" s="56"/>
      <c r="E721" s="14"/>
      <c r="F721" s="14"/>
      <c r="G721" s="14"/>
      <c r="H721" s="83">
        <f t="shared" si="46"/>
        <v>0</v>
      </c>
      <c r="I721" s="80"/>
      <c r="J721" s="80"/>
      <c r="K721" s="7" t="str">
        <f>IF($B721="","",IFERROR(INDEX(Connaissements!$B$3:$B$202,MATCH($B721,Connaissements!$A$3:$A$202,0)),""))</f>
        <v/>
      </c>
      <c r="L721" s="7" t="str">
        <f>IF($B721="","",IFERROR(INDEX(Connaissements!$G$3:$G$202,MATCH($B721,Connaissements!$A$3:$A$202,0)),""))</f>
        <v/>
      </c>
      <c r="M721" s="7" t="str">
        <f t="shared" si="43"/>
        <v/>
      </c>
      <c r="N721" s="7" t="str">
        <f t="shared" ca="1" si="44"/>
        <v/>
      </c>
      <c r="O721" s="13"/>
      <c r="P721" s="29" t="str">
        <f t="shared" ca="1" si="45"/>
        <v/>
      </c>
      <c r="Q721" s="30" t="str">
        <f>IF($K721="","",IFERROR(IF(INDEX(Bookings!$G$3:$G$202,MATCH($K721,Bookings!$A$3:$A$202,0))="","",INDEX(Bookings!$G$3:$G$202,MATCH($K721,Bookings!$A$3:$A$202,0))),""))</f>
        <v/>
      </c>
    </row>
    <row r="722" spans="1:17" hidden="1" x14ac:dyDescent="0.35">
      <c r="A722" s="81"/>
      <c r="B722" s="81"/>
      <c r="C722" s="21"/>
      <c r="D722" s="56"/>
      <c r="E722" s="14"/>
      <c r="F722" s="14"/>
      <c r="G722" s="14"/>
      <c r="H722" s="83">
        <f t="shared" si="46"/>
        <v>0</v>
      </c>
      <c r="I722" s="80"/>
      <c r="J722" s="80"/>
      <c r="K722" s="7" t="str">
        <f>IF($B722="","",IFERROR(INDEX(Connaissements!$B$3:$B$202,MATCH($B722,Connaissements!$A$3:$A$202,0)),""))</f>
        <v/>
      </c>
      <c r="L722" s="7" t="str">
        <f>IF($B722="","",IFERROR(INDEX(Connaissements!$G$3:$G$202,MATCH($B722,Connaissements!$A$3:$A$202,0)),""))</f>
        <v/>
      </c>
      <c r="M722" s="7" t="str">
        <f t="shared" si="43"/>
        <v/>
      </c>
      <c r="N722" s="7" t="str">
        <f t="shared" ca="1" si="44"/>
        <v/>
      </c>
      <c r="O722" s="13"/>
      <c r="P722" s="29" t="str">
        <f t="shared" ca="1" si="45"/>
        <v/>
      </c>
      <c r="Q722" s="30" t="str">
        <f>IF($K722="","",IFERROR(IF(INDEX(Bookings!$G$3:$G$202,MATCH($K722,Bookings!$A$3:$A$202,0))="","",INDEX(Bookings!$G$3:$G$202,MATCH($K722,Bookings!$A$3:$A$202,0))),""))</f>
        <v/>
      </c>
    </row>
    <row r="723" spans="1:17" hidden="1" x14ac:dyDescent="0.35">
      <c r="A723" s="81"/>
      <c r="B723" s="81"/>
      <c r="C723" s="21"/>
      <c r="D723" s="56"/>
      <c r="E723" s="14"/>
      <c r="F723" s="14"/>
      <c r="G723" s="14"/>
      <c r="H723" s="83">
        <f t="shared" si="46"/>
        <v>0</v>
      </c>
      <c r="I723" s="80"/>
      <c r="J723" s="80"/>
      <c r="K723" s="7" t="str">
        <f>IF($B723="","",IFERROR(INDEX(Connaissements!$B$3:$B$202,MATCH($B723,Connaissements!$A$3:$A$202,0)),""))</f>
        <v/>
      </c>
      <c r="L723" s="7" t="str">
        <f>IF($B723="","",IFERROR(INDEX(Connaissements!$G$3:$G$202,MATCH($B723,Connaissements!$A$3:$A$202,0)),""))</f>
        <v/>
      </c>
      <c r="M723" s="7" t="str">
        <f t="shared" si="43"/>
        <v/>
      </c>
      <c r="N723" s="7" t="str">
        <f t="shared" ca="1" si="44"/>
        <v/>
      </c>
      <c r="O723" s="13"/>
      <c r="P723" s="29" t="str">
        <f t="shared" ca="1" si="45"/>
        <v/>
      </c>
      <c r="Q723" s="30" t="str">
        <f>IF($K723="","",IFERROR(IF(INDEX(Bookings!$G$3:$G$202,MATCH($K723,Bookings!$A$3:$A$202,0))="","",INDEX(Bookings!$G$3:$G$202,MATCH($K723,Bookings!$A$3:$A$202,0))),""))</f>
        <v/>
      </c>
    </row>
    <row r="724" spans="1:17" hidden="1" x14ac:dyDescent="0.35">
      <c r="A724" s="81"/>
      <c r="B724" s="81"/>
      <c r="C724" s="21"/>
      <c r="D724" s="56"/>
      <c r="E724" s="14"/>
      <c r="F724" s="14"/>
      <c r="G724" s="14"/>
      <c r="H724" s="83">
        <f t="shared" si="46"/>
        <v>0</v>
      </c>
      <c r="I724" s="80"/>
      <c r="J724" s="80"/>
      <c r="K724" s="7" t="str">
        <f>IF($B724="","",IFERROR(INDEX(Connaissements!$B$3:$B$202,MATCH($B724,Connaissements!$A$3:$A$202,0)),""))</f>
        <v/>
      </c>
      <c r="L724" s="7" t="str">
        <f>IF($B724="","",IFERROR(INDEX(Connaissements!$G$3:$G$202,MATCH($B724,Connaissements!$A$3:$A$202,0)),""))</f>
        <v/>
      </c>
      <c r="M724" s="7" t="str">
        <f t="shared" si="43"/>
        <v/>
      </c>
      <c r="N724" s="7" t="str">
        <f t="shared" ca="1" si="44"/>
        <v/>
      </c>
      <c r="O724" s="13"/>
      <c r="P724" s="29" t="str">
        <f t="shared" ca="1" si="45"/>
        <v/>
      </c>
      <c r="Q724" s="30" t="str">
        <f>IF($K724="","",IFERROR(IF(INDEX(Bookings!$G$3:$G$202,MATCH($K724,Bookings!$A$3:$A$202,0))="","",INDEX(Bookings!$G$3:$G$202,MATCH($K724,Bookings!$A$3:$A$202,0))),""))</f>
        <v/>
      </c>
    </row>
    <row r="725" spans="1:17" hidden="1" x14ac:dyDescent="0.35">
      <c r="A725" s="81"/>
      <c r="B725" s="81"/>
      <c r="C725" s="21"/>
      <c r="D725" s="56"/>
      <c r="E725" s="14"/>
      <c r="F725" s="14"/>
      <c r="G725" s="14"/>
      <c r="H725" s="83">
        <f t="shared" si="46"/>
        <v>0</v>
      </c>
      <c r="I725" s="80"/>
      <c r="J725" s="80"/>
      <c r="K725" s="7" t="str">
        <f>IF($B725="","",IFERROR(INDEX(Connaissements!$B$3:$B$202,MATCH($B725,Connaissements!$A$3:$A$202,0)),""))</f>
        <v/>
      </c>
      <c r="L725" s="7" t="str">
        <f>IF($B725="","",IFERROR(INDEX(Connaissements!$G$3:$G$202,MATCH($B725,Connaissements!$A$3:$A$202,0)),""))</f>
        <v/>
      </c>
      <c r="M725" s="7" t="str">
        <f t="shared" si="43"/>
        <v/>
      </c>
      <c r="N725" s="7" t="str">
        <f t="shared" ca="1" si="44"/>
        <v/>
      </c>
      <c r="O725" s="13"/>
      <c r="P725" s="29" t="str">
        <f t="shared" ca="1" si="45"/>
        <v/>
      </c>
      <c r="Q725" s="30" t="str">
        <f>IF($K725="","",IFERROR(IF(INDEX(Bookings!$G$3:$G$202,MATCH($K725,Bookings!$A$3:$A$202,0))="","",INDEX(Bookings!$G$3:$G$202,MATCH($K725,Bookings!$A$3:$A$202,0))),""))</f>
        <v/>
      </c>
    </row>
    <row r="726" spans="1:17" hidden="1" x14ac:dyDescent="0.35">
      <c r="A726" s="81"/>
      <c r="B726" s="81"/>
      <c r="C726" s="21"/>
      <c r="D726" s="56"/>
      <c r="E726" s="14"/>
      <c r="F726" s="14"/>
      <c r="G726" s="14"/>
      <c r="H726" s="83">
        <f t="shared" si="46"/>
        <v>0</v>
      </c>
      <c r="I726" s="80"/>
      <c r="J726" s="80"/>
      <c r="K726" s="7" t="str">
        <f>IF($B726="","",IFERROR(INDEX(Connaissements!$B$3:$B$202,MATCH($B726,Connaissements!$A$3:$A$202,0)),""))</f>
        <v/>
      </c>
      <c r="L726" s="7" t="str">
        <f>IF($B726="","",IFERROR(INDEX(Connaissements!$G$3:$G$202,MATCH($B726,Connaissements!$A$3:$A$202,0)),""))</f>
        <v/>
      </c>
      <c r="M726" s="7" t="str">
        <f t="shared" si="43"/>
        <v/>
      </c>
      <c r="N726" s="7" t="str">
        <f t="shared" ca="1" si="44"/>
        <v/>
      </c>
      <c r="O726" s="13"/>
      <c r="P726" s="29" t="str">
        <f t="shared" ca="1" si="45"/>
        <v/>
      </c>
      <c r="Q726" s="30" t="str">
        <f>IF($K726="","",IFERROR(IF(INDEX(Bookings!$G$3:$G$202,MATCH($K726,Bookings!$A$3:$A$202,0))="","",INDEX(Bookings!$G$3:$G$202,MATCH($K726,Bookings!$A$3:$A$202,0))),""))</f>
        <v/>
      </c>
    </row>
    <row r="727" spans="1:17" hidden="1" x14ac:dyDescent="0.35">
      <c r="A727" s="81"/>
      <c r="B727" s="81"/>
      <c r="C727" s="21"/>
      <c r="D727" s="56"/>
      <c r="E727" s="14"/>
      <c r="F727" s="14"/>
      <c r="G727" s="14"/>
      <c r="H727" s="83">
        <f t="shared" si="46"/>
        <v>0</v>
      </c>
      <c r="I727" s="80"/>
      <c r="J727" s="80"/>
      <c r="K727" s="7" t="str">
        <f>IF($B727="","",IFERROR(INDEX(Connaissements!$B$3:$B$202,MATCH($B727,Connaissements!$A$3:$A$202,0)),""))</f>
        <v/>
      </c>
      <c r="L727" s="7" t="str">
        <f>IF($B727="","",IFERROR(INDEX(Connaissements!$G$3:$G$202,MATCH($B727,Connaissements!$A$3:$A$202,0)),""))</f>
        <v/>
      </c>
      <c r="M727" s="7" t="str">
        <f t="shared" si="43"/>
        <v/>
      </c>
      <c r="N727" s="7" t="str">
        <f t="shared" ca="1" si="44"/>
        <v/>
      </c>
      <c r="O727" s="13"/>
      <c r="P727" s="29" t="str">
        <f t="shared" ca="1" si="45"/>
        <v/>
      </c>
      <c r="Q727" s="30" t="str">
        <f>IF($K727="","",IFERROR(IF(INDEX(Bookings!$G$3:$G$202,MATCH($K727,Bookings!$A$3:$A$202,0))="","",INDEX(Bookings!$G$3:$G$202,MATCH($K727,Bookings!$A$3:$A$202,0))),""))</f>
        <v/>
      </c>
    </row>
    <row r="728" spans="1:17" hidden="1" x14ac:dyDescent="0.35">
      <c r="A728" s="81"/>
      <c r="B728" s="81"/>
      <c r="C728" s="21"/>
      <c r="D728" s="56"/>
      <c r="E728" s="14"/>
      <c r="F728" s="14"/>
      <c r="G728" s="14"/>
      <c r="H728" s="83">
        <f t="shared" si="46"/>
        <v>0</v>
      </c>
      <c r="I728" s="80"/>
      <c r="J728" s="80"/>
      <c r="K728" s="7" t="str">
        <f>IF($B728="","",IFERROR(INDEX(Connaissements!$B$3:$B$202,MATCH($B728,Connaissements!$A$3:$A$202,0)),""))</f>
        <v/>
      </c>
      <c r="L728" s="7" t="str">
        <f>IF($B728="","",IFERROR(INDEX(Connaissements!$G$3:$G$202,MATCH($B728,Connaissements!$A$3:$A$202,0)),""))</f>
        <v/>
      </c>
      <c r="M728" s="7" t="str">
        <f t="shared" si="43"/>
        <v/>
      </c>
      <c r="N728" s="7" t="str">
        <f t="shared" ca="1" si="44"/>
        <v/>
      </c>
      <c r="O728" s="13"/>
      <c r="P728" s="29" t="str">
        <f t="shared" ca="1" si="45"/>
        <v/>
      </c>
      <c r="Q728" s="30" t="str">
        <f>IF($K728="","",IFERROR(IF(INDEX(Bookings!$G$3:$G$202,MATCH($K728,Bookings!$A$3:$A$202,0))="","",INDEX(Bookings!$G$3:$G$202,MATCH($K728,Bookings!$A$3:$A$202,0))),""))</f>
        <v/>
      </c>
    </row>
    <row r="729" spans="1:17" hidden="1" x14ac:dyDescent="0.35">
      <c r="A729" s="81"/>
      <c r="B729" s="81"/>
      <c r="C729" s="21"/>
      <c r="D729" s="56"/>
      <c r="E729" s="14"/>
      <c r="F729" s="14"/>
      <c r="G729" s="14"/>
      <c r="H729" s="83">
        <f t="shared" si="46"/>
        <v>0</v>
      </c>
      <c r="I729" s="80"/>
      <c r="J729" s="80"/>
      <c r="K729" s="7" t="str">
        <f>IF($B729="","",IFERROR(INDEX(Connaissements!$B$3:$B$202,MATCH($B729,Connaissements!$A$3:$A$202,0)),""))</f>
        <v/>
      </c>
      <c r="L729" s="7" t="str">
        <f>IF($B729="","",IFERROR(INDEX(Connaissements!$G$3:$G$202,MATCH($B729,Connaissements!$A$3:$A$202,0)),""))</f>
        <v/>
      </c>
      <c r="M729" s="7" t="str">
        <f t="shared" si="43"/>
        <v/>
      </c>
      <c r="N729" s="7" t="str">
        <f t="shared" ca="1" si="44"/>
        <v/>
      </c>
      <c r="O729" s="13"/>
      <c r="P729" s="29" t="str">
        <f t="shared" ca="1" si="45"/>
        <v/>
      </c>
      <c r="Q729" s="30" t="str">
        <f>IF($K729="","",IFERROR(IF(INDEX(Bookings!$G$3:$G$202,MATCH($K729,Bookings!$A$3:$A$202,0))="","",INDEX(Bookings!$G$3:$G$202,MATCH($K729,Bookings!$A$3:$A$202,0))),""))</f>
        <v/>
      </c>
    </row>
    <row r="730" spans="1:17" hidden="1" x14ac:dyDescent="0.35">
      <c r="A730" s="81"/>
      <c r="B730" s="81"/>
      <c r="C730" s="21"/>
      <c r="D730" s="56"/>
      <c r="E730" s="14"/>
      <c r="F730" s="14"/>
      <c r="G730" s="14"/>
      <c r="H730" s="83">
        <f t="shared" si="46"/>
        <v>0</v>
      </c>
      <c r="I730" s="80"/>
      <c r="J730" s="80"/>
      <c r="K730" s="7" t="str">
        <f>IF($B730="","",IFERROR(INDEX(Connaissements!$B$3:$B$202,MATCH($B730,Connaissements!$A$3:$A$202,0)),""))</f>
        <v/>
      </c>
      <c r="L730" s="7" t="str">
        <f>IF($B730="","",IFERROR(INDEX(Connaissements!$G$3:$G$202,MATCH($B730,Connaissements!$A$3:$A$202,0)),""))</f>
        <v/>
      </c>
      <c r="M730" s="7" t="str">
        <f t="shared" si="43"/>
        <v/>
      </c>
      <c r="N730" s="7" t="str">
        <f t="shared" ca="1" si="44"/>
        <v/>
      </c>
      <c r="O730" s="13"/>
      <c r="P730" s="29" t="str">
        <f t="shared" ca="1" si="45"/>
        <v/>
      </c>
      <c r="Q730" s="30" t="str">
        <f>IF($K730="","",IFERROR(IF(INDEX(Bookings!$G$3:$G$202,MATCH($K730,Bookings!$A$3:$A$202,0))="","",INDEX(Bookings!$G$3:$G$202,MATCH($K730,Bookings!$A$3:$A$202,0))),""))</f>
        <v/>
      </c>
    </row>
    <row r="731" spans="1:17" hidden="1" x14ac:dyDescent="0.35">
      <c r="A731" s="81"/>
      <c r="B731" s="81"/>
      <c r="C731" s="21"/>
      <c r="D731" s="56"/>
      <c r="E731" s="14"/>
      <c r="F731" s="14"/>
      <c r="G731" s="14"/>
      <c r="H731" s="83">
        <f t="shared" si="46"/>
        <v>0</v>
      </c>
      <c r="I731" s="80"/>
      <c r="J731" s="80"/>
      <c r="K731" s="7" t="str">
        <f>IF($B731="","",IFERROR(INDEX(Connaissements!$B$3:$B$202,MATCH($B731,Connaissements!$A$3:$A$202,0)),""))</f>
        <v/>
      </c>
      <c r="L731" s="7" t="str">
        <f>IF($B731="","",IFERROR(INDEX(Connaissements!$G$3:$G$202,MATCH($B731,Connaissements!$A$3:$A$202,0)),""))</f>
        <v/>
      </c>
      <c r="M731" s="7" t="str">
        <f t="shared" si="43"/>
        <v/>
      </c>
      <c r="N731" s="7" t="str">
        <f t="shared" ca="1" si="44"/>
        <v/>
      </c>
      <c r="O731" s="13"/>
      <c r="P731" s="29" t="str">
        <f t="shared" ca="1" si="45"/>
        <v/>
      </c>
      <c r="Q731" s="30" t="str">
        <f>IF($K731="","",IFERROR(IF(INDEX(Bookings!$G$3:$G$202,MATCH($K731,Bookings!$A$3:$A$202,0))="","",INDEX(Bookings!$G$3:$G$202,MATCH($K731,Bookings!$A$3:$A$202,0))),""))</f>
        <v/>
      </c>
    </row>
    <row r="732" spans="1:17" hidden="1" x14ac:dyDescent="0.35">
      <c r="A732" s="81"/>
      <c r="B732" s="81"/>
      <c r="C732" s="21"/>
      <c r="D732" s="56"/>
      <c r="E732" s="14"/>
      <c r="F732" s="14"/>
      <c r="G732" s="14"/>
      <c r="H732" s="83">
        <f t="shared" si="46"/>
        <v>0</v>
      </c>
      <c r="I732" s="80"/>
      <c r="J732" s="80"/>
      <c r="K732" s="7" t="str">
        <f>IF($B732="","",IFERROR(INDEX(Connaissements!$B$3:$B$202,MATCH($B732,Connaissements!$A$3:$A$202,0)),""))</f>
        <v/>
      </c>
      <c r="L732" s="7" t="str">
        <f>IF($B732="","",IFERROR(INDEX(Connaissements!$G$3:$G$202,MATCH($B732,Connaissements!$A$3:$A$202,0)),""))</f>
        <v/>
      </c>
      <c r="M732" s="7" t="str">
        <f t="shared" si="43"/>
        <v/>
      </c>
      <c r="N732" s="7" t="str">
        <f t="shared" ca="1" si="44"/>
        <v/>
      </c>
      <c r="O732" s="13"/>
      <c r="P732" s="29" t="str">
        <f t="shared" ca="1" si="45"/>
        <v/>
      </c>
      <c r="Q732" s="30" t="str">
        <f>IF($K732="","",IFERROR(IF(INDEX(Bookings!$G$3:$G$202,MATCH($K732,Bookings!$A$3:$A$202,0))="","",INDEX(Bookings!$G$3:$G$202,MATCH($K732,Bookings!$A$3:$A$202,0))),""))</f>
        <v/>
      </c>
    </row>
    <row r="733" spans="1:17" hidden="1" x14ac:dyDescent="0.35">
      <c r="A733" s="81"/>
      <c r="B733" s="81"/>
      <c r="C733" s="21"/>
      <c r="D733" s="56"/>
      <c r="E733" s="14"/>
      <c r="F733" s="14"/>
      <c r="G733" s="14"/>
      <c r="H733" s="83">
        <f t="shared" si="46"/>
        <v>0</v>
      </c>
      <c r="I733" s="80"/>
      <c r="J733" s="80"/>
      <c r="K733" s="7" t="str">
        <f>IF($B733="","",IFERROR(INDEX(Connaissements!$B$3:$B$202,MATCH($B733,Connaissements!$A$3:$A$202,0)),""))</f>
        <v/>
      </c>
      <c r="L733" s="7" t="str">
        <f>IF($B733="","",IFERROR(INDEX(Connaissements!$G$3:$G$202,MATCH($B733,Connaissements!$A$3:$A$202,0)),""))</f>
        <v/>
      </c>
      <c r="M733" s="7" t="str">
        <f t="shared" si="43"/>
        <v/>
      </c>
      <c r="N733" s="7" t="str">
        <f t="shared" ca="1" si="44"/>
        <v/>
      </c>
      <c r="O733" s="13"/>
      <c r="P733" s="29" t="str">
        <f t="shared" ca="1" si="45"/>
        <v/>
      </c>
      <c r="Q733" s="30" t="str">
        <f>IF($K733="","",IFERROR(IF(INDEX(Bookings!$G$3:$G$202,MATCH($K733,Bookings!$A$3:$A$202,0))="","",INDEX(Bookings!$G$3:$G$202,MATCH($K733,Bookings!$A$3:$A$202,0))),""))</f>
        <v/>
      </c>
    </row>
    <row r="734" spans="1:17" hidden="1" x14ac:dyDescent="0.35">
      <c r="A734" s="81"/>
      <c r="B734" s="81"/>
      <c r="C734" s="21"/>
      <c r="D734" s="56"/>
      <c r="E734" s="14"/>
      <c r="F734" s="14"/>
      <c r="G734" s="14"/>
      <c r="H734" s="83">
        <f t="shared" si="46"/>
        <v>0</v>
      </c>
      <c r="I734" s="80"/>
      <c r="J734" s="80"/>
      <c r="K734" s="7" t="str">
        <f>IF($B734="","",IFERROR(INDEX(Connaissements!$B$3:$B$202,MATCH($B734,Connaissements!$A$3:$A$202,0)),""))</f>
        <v/>
      </c>
      <c r="L734" s="7" t="str">
        <f>IF($B734="","",IFERROR(INDEX(Connaissements!$G$3:$G$202,MATCH($B734,Connaissements!$A$3:$A$202,0)),""))</f>
        <v/>
      </c>
      <c r="M734" s="7" t="str">
        <f t="shared" si="43"/>
        <v/>
      </c>
      <c r="N734" s="7" t="str">
        <f t="shared" ca="1" si="44"/>
        <v/>
      </c>
      <c r="O734" s="13"/>
      <c r="P734" s="29" t="str">
        <f t="shared" ca="1" si="45"/>
        <v/>
      </c>
      <c r="Q734" s="30" t="str">
        <f>IF($K734="","",IFERROR(IF(INDEX(Bookings!$G$3:$G$202,MATCH($K734,Bookings!$A$3:$A$202,0))="","",INDEX(Bookings!$G$3:$G$202,MATCH($K734,Bookings!$A$3:$A$202,0))),""))</f>
        <v/>
      </c>
    </row>
    <row r="735" spans="1:17" hidden="1" x14ac:dyDescent="0.35">
      <c r="A735" s="81"/>
      <c r="B735" s="81"/>
      <c r="C735" s="21"/>
      <c r="D735" s="56"/>
      <c r="E735" s="14"/>
      <c r="F735" s="14"/>
      <c r="G735" s="14"/>
      <c r="H735" s="83">
        <f t="shared" si="46"/>
        <v>0</v>
      </c>
      <c r="I735" s="80"/>
      <c r="J735" s="80"/>
      <c r="K735" s="7" t="str">
        <f>IF($B735="","",IFERROR(INDEX(Connaissements!$B$3:$B$202,MATCH($B735,Connaissements!$A$3:$A$202,0)),""))</f>
        <v/>
      </c>
      <c r="L735" s="7" t="str">
        <f>IF($B735="","",IFERROR(INDEX(Connaissements!$G$3:$G$202,MATCH($B735,Connaissements!$A$3:$A$202,0)),""))</f>
        <v/>
      </c>
      <c r="M735" s="7" t="str">
        <f t="shared" si="43"/>
        <v/>
      </c>
      <c r="N735" s="7" t="str">
        <f t="shared" ca="1" si="44"/>
        <v/>
      </c>
      <c r="O735" s="13"/>
      <c r="P735" s="29" t="str">
        <f t="shared" ca="1" si="45"/>
        <v/>
      </c>
      <c r="Q735" s="30" t="str">
        <f>IF($K735="","",IFERROR(IF(INDEX(Bookings!$G$3:$G$202,MATCH($K735,Bookings!$A$3:$A$202,0))="","",INDEX(Bookings!$G$3:$G$202,MATCH($K735,Bookings!$A$3:$A$202,0))),""))</f>
        <v/>
      </c>
    </row>
    <row r="736" spans="1:17" hidden="1" x14ac:dyDescent="0.35">
      <c r="A736" s="81"/>
      <c r="B736" s="81"/>
      <c r="C736" s="21"/>
      <c r="D736" s="56"/>
      <c r="E736" s="14"/>
      <c r="F736" s="14"/>
      <c r="G736" s="14"/>
      <c r="H736" s="83">
        <f t="shared" si="46"/>
        <v>0</v>
      </c>
      <c r="I736" s="80"/>
      <c r="J736" s="80"/>
      <c r="K736" s="7" t="str">
        <f>IF($B736="","",IFERROR(INDEX(Connaissements!$B$3:$B$202,MATCH($B736,Connaissements!$A$3:$A$202,0)),""))</f>
        <v/>
      </c>
      <c r="L736" s="7" t="str">
        <f>IF($B736="","",IFERROR(INDEX(Connaissements!$G$3:$G$202,MATCH($B736,Connaissements!$A$3:$A$202,0)),""))</f>
        <v/>
      </c>
      <c r="M736" s="7" t="str">
        <f t="shared" si="43"/>
        <v/>
      </c>
      <c r="N736" s="7" t="str">
        <f t="shared" ca="1" si="44"/>
        <v/>
      </c>
      <c r="O736" s="13"/>
      <c r="P736" s="29" t="str">
        <f t="shared" ca="1" si="45"/>
        <v/>
      </c>
      <c r="Q736" s="30" t="str">
        <f>IF($K736="","",IFERROR(IF(INDEX(Bookings!$G$3:$G$202,MATCH($K736,Bookings!$A$3:$A$202,0))="","",INDEX(Bookings!$G$3:$G$202,MATCH($K736,Bookings!$A$3:$A$202,0))),""))</f>
        <v/>
      </c>
    </row>
    <row r="737" spans="1:17" hidden="1" x14ac:dyDescent="0.35">
      <c r="A737" s="81"/>
      <c r="B737" s="81"/>
      <c r="C737" s="21"/>
      <c r="D737" s="56"/>
      <c r="E737" s="14"/>
      <c r="F737" s="14"/>
      <c r="G737" s="14"/>
      <c r="H737" s="83">
        <f t="shared" si="46"/>
        <v>0</v>
      </c>
      <c r="I737" s="80"/>
      <c r="J737" s="80"/>
      <c r="K737" s="7" t="str">
        <f>IF($B737="","",IFERROR(INDEX(Connaissements!$B$3:$B$202,MATCH($B737,Connaissements!$A$3:$A$202,0)),""))</f>
        <v/>
      </c>
      <c r="L737" s="7" t="str">
        <f>IF($B737="","",IFERROR(INDEX(Connaissements!$G$3:$G$202,MATCH($B737,Connaissements!$A$3:$A$202,0)),""))</f>
        <v/>
      </c>
      <c r="M737" s="7" t="str">
        <f t="shared" si="43"/>
        <v/>
      </c>
      <c r="N737" s="7" t="str">
        <f t="shared" ca="1" si="44"/>
        <v/>
      </c>
      <c r="O737" s="13"/>
      <c r="P737" s="29" t="str">
        <f t="shared" ca="1" si="45"/>
        <v/>
      </c>
      <c r="Q737" s="30" t="str">
        <f>IF($K737="","",IFERROR(IF(INDEX(Bookings!$G$3:$G$202,MATCH($K737,Bookings!$A$3:$A$202,0))="","",INDEX(Bookings!$G$3:$G$202,MATCH($K737,Bookings!$A$3:$A$202,0))),""))</f>
        <v/>
      </c>
    </row>
    <row r="738" spans="1:17" hidden="1" x14ac:dyDescent="0.35">
      <c r="A738" s="81"/>
      <c r="B738" s="81"/>
      <c r="C738" s="21"/>
      <c r="D738" s="56"/>
      <c r="E738" s="14"/>
      <c r="F738" s="14"/>
      <c r="G738" s="14"/>
      <c r="H738" s="83">
        <f t="shared" si="46"/>
        <v>0</v>
      </c>
      <c r="I738" s="80"/>
      <c r="J738" s="80"/>
      <c r="K738" s="7" t="str">
        <f>IF($B738="","",IFERROR(INDEX(Connaissements!$B$3:$B$202,MATCH($B738,Connaissements!$A$3:$A$202,0)),""))</f>
        <v/>
      </c>
      <c r="L738" s="7" t="str">
        <f>IF($B738="","",IFERROR(INDEX(Connaissements!$G$3:$G$202,MATCH($B738,Connaissements!$A$3:$A$202,0)),""))</f>
        <v/>
      </c>
      <c r="M738" s="7" t="str">
        <f t="shared" si="43"/>
        <v/>
      </c>
      <c r="N738" s="7" t="str">
        <f t="shared" ca="1" si="44"/>
        <v/>
      </c>
      <c r="O738" s="13"/>
      <c r="P738" s="29" t="str">
        <f t="shared" ca="1" si="45"/>
        <v/>
      </c>
      <c r="Q738" s="30" t="str">
        <f>IF($K738="","",IFERROR(IF(INDEX(Bookings!$G$3:$G$202,MATCH($K738,Bookings!$A$3:$A$202,0))="","",INDEX(Bookings!$G$3:$G$202,MATCH($K738,Bookings!$A$3:$A$202,0))),""))</f>
        <v/>
      </c>
    </row>
    <row r="739" spans="1:17" hidden="1" x14ac:dyDescent="0.35">
      <c r="A739" s="81"/>
      <c r="B739" s="81"/>
      <c r="C739" s="21"/>
      <c r="D739" s="56"/>
      <c r="E739" s="14"/>
      <c r="F739" s="14"/>
      <c r="G739" s="14"/>
      <c r="H739" s="83">
        <f t="shared" si="46"/>
        <v>0</v>
      </c>
      <c r="I739" s="80"/>
      <c r="J739" s="80"/>
      <c r="K739" s="7" t="str">
        <f>IF($B739="","",IFERROR(INDEX(Connaissements!$B$3:$B$202,MATCH($B739,Connaissements!$A$3:$A$202,0)),""))</f>
        <v/>
      </c>
      <c r="L739" s="7" t="str">
        <f>IF($B739="","",IFERROR(INDEX(Connaissements!$G$3:$G$202,MATCH($B739,Connaissements!$A$3:$A$202,0)),""))</f>
        <v/>
      </c>
      <c r="M739" s="7" t="str">
        <f t="shared" si="43"/>
        <v/>
      </c>
      <c r="N739" s="7" t="str">
        <f t="shared" ca="1" si="44"/>
        <v/>
      </c>
      <c r="O739" s="13"/>
      <c r="P739" s="29" t="str">
        <f t="shared" ca="1" si="45"/>
        <v/>
      </c>
      <c r="Q739" s="30" t="str">
        <f>IF($K739="","",IFERROR(IF(INDEX(Bookings!$G$3:$G$202,MATCH($K739,Bookings!$A$3:$A$202,0))="","",INDEX(Bookings!$G$3:$G$202,MATCH($K739,Bookings!$A$3:$A$202,0))),""))</f>
        <v/>
      </c>
    </row>
    <row r="740" spans="1:17" hidden="1" x14ac:dyDescent="0.35">
      <c r="A740" s="81"/>
      <c r="B740" s="81"/>
      <c r="C740" s="21"/>
      <c r="D740" s="56"/>
      <c r="E740" s="14"/>
      <c r="F740" s="14"/>
      <c r="G740" s="14"/>
      <c r="H740" s="83">
        <f t="shared" si="46"/>
        <v>0</v>
      </c>
      <c r="I740" s="80"/>
      <c r="J740" s="80"/>
      <c r="K740" s="7" t="str">
        <f>IF($B740="","",IFERROR(INDEX(Connaissements!$B$3:$B$202,MATCH($B740,Connaissements!$A$3:$A$202,0)),""))</f>
        <v/>
      </c>
      <c r="L740" s="7" t="str">
        <f>IF($B740="","",IFERROR(INDEX(Connaissements!$G$3:$G$202,MATCH($B740,Connaissements!$A$3:$A$202,0)),""))</f>
        <v/>
      </c>
      <c r="M740" s="7" t="str">
        <f t="shared" si="43"/>
        <v/>
      </c>
      <c r="N740" s="7" t="str">
        <f t="shared" ca="1" si="44"/>
        <v/>
      </c>
      <c r="O740" s="13"/>
      <c r="P740" s="29" t="str">
        <f t="shared" ca="1" si="45"/>
        <v/>
      </c>
      <c r="Q740" s="30" t="str">
        <f>IF($K740="","",IFERROR(IF(INDEX(Bookings!$G$3:$G$202,MATCH($K740,Bookings!$A$3:$A$202,0))="","",INDEX(Bookings!$G$3:$G$202,MATCH($K740,Bookings!$A$3:$A$202,0))),""))</f>
        <v/>
      </c>
    </row>
    <row r="741" spans="1:17" hidden="1" x14ac:dyDescent="0.35">
      <c r="A741" s="81"/>
      <c r="B741" s="81"/>
      <c r="C741" s="21"/>
      <c r="D741" s="56"/>
      <c r="E741" s="14"/>
      <c r="F741" s="14"/>
      <c r="G741" s="14"/>
      <c r="H741" s="83">
        <f t="shared" si="46"/>
        <v>0</v>
      </c>
      <c r="I741" s="80"/>
      <c r="J741" s="80"/>
      <c r="K741" s="7" t="str">
        <f>IF($B741="","",IFERROR(INDEX(Connaissements!$B$3:$B$202,MATCH($B741,Connaissements!$A$3:$A$202,0)),""))</f>
        <v/>
      </c>
      <c r="L741" s="7" t="str">
        <f>IF($B741="","",IFERROR(INDEX(Connaissements!$G$3:$G$202,MATCH($B741,Connaissements!$A$3:$A$202,0)),""))</f>
        <v/>
      </c>
      <c r="M741" s="7" t="str">
        <f t="shared" si="43"/>
        <v/>
      </c>
      <c r="N741" s="7" t="str">
        <f t="shared" ca="1" si="44"/>
        <v/>
      </c>
      <c r="O741" s="13"/>
      <c r="P741" s="29" t="str">
        <f t="shared" ca="1" si="45"/>
        <v/>
      </c>
      <c r="Q741" s="30" t="str">
        <f>IF($K741="","",IFERROR(IF(INDEX(Bookings!$G$3:$G$202,MATCH($K741,Bookings!$A$3:$A$202,0))="","",INDEX(Bookings!$G$3:$G$202,MATCH($K741,Bookings!$A$3:$A$202,0))),""))</f>
        <v/>
      </c>
    </row>
    <row r="742" spans="1:17" hidden="1" x14ac:dyDescent="0.35">
      <c r="A742" s="81"/>
      <c r="B742" s="81"/>
      <c r="C742" s="21"/>
      <c r="D742" s="56"/>
      <c r="E742" s="14"/>
      <c r="F742" s="14"/>
      <c r="G742" s="14"/>
      <c r="H742" s="83">
        <f t="shared" si="46"/>
        <v>0</v>
      </c>
      <c r="I742" s="80"/>
      <c r="J742" s="80"/>
      <c r="K742" s="7" t="str">
        <f>IF($B742="","",IFERROR(INDEX(Connaissements!$B$3:$B$202,MATCH($B742,Connaissements!$A$3:$A$202,0)),""))</f>
        <v/>
      </c>
      <c r="L742" s="7" t="str">
        <f>IF($B742="","",IFERROR(INDEX(Connaissements!$G$3:$G$202,MATCH($B742,Connaissements!$A$3:$A$202,0)),""))</f>
        <v/>
      </c>
      <c r="M742" s="7" t="str">
        <f t="shared" si="43"/>
        <v/>
      </c>
      <c r="N742" s="7" t="str">
        <f t="shared" ca="1" si="44"/>
        <v/>
      </c>
      <c r="O742" s="13"/>
      <c r="P742" s="29" t="str">
        <f t="shared" ca="1" si="45"/>
        <v/>
      </c>
      <c r="Q742" s="30" t="str">
        <f>IF($K742="","",IFERROR(IF(INDEX(Bookings!$G$3:$G$202,MATCH($K742,Bookings!$A$3:$A$202,0))="","",INDEX(Bookings!$G$3:$G$202,MATCH($K742,Bookings!$A$3:$A$202,0))),""))</f>
        <v/>
      </c>
    </row>
    <row r="743" spans="1:17" hidden="1" x14ac:dyDescent="0.35">
      <c r="A743" s="81"/>
      <c r="B743" s="81"/>
      <c r="C743" s="21"/>
      <c r="D743" s="56"/>
      <c r="E743" s="14"/>
      <c r="F743" s="14"/>
      <c r="G743" s="14"/>
      <c r="H743" s="83">
        <f t="shared" si="46"/>
        <v>0</v>
      </c>
      <c r="I743" s="80"/>
      <c r="J743" s="80"/>
      <c r="K743" s="7" t="str">
        <f>IF($B743="","",IFERROR(INDEX(Connaissements!$B$3:$B$202,MATCH($B743,Connaissements!$A$3:$A$202,0)),""))</f>
        <v/>
      </c>
      <c r="L743" s="7" t="str">
        <f>IF($B743="","",IFERROR(INDEX(Connaissements!$G$3:$G$202,MATCH($B743,Connaissements!$A$3:$A$202,0)),""))</f>
        <v/>
      </c>
      <c r="M743" s="7" t="str">
        <f t="shared" si="43"/>
        <v/>
      </c>
      <c r="N743" s="7" t="str">
        <f t="shared" ca="1" si="44"/>
        <v/>
      </c>
      <c r="O743" s="13"/>
      <c r="P743" s="29" t="str">
        <f t="shared" ca="1" si="45"/>
        <v/>
      </c>
      <c r="Q743" s="30" t="str">
        <f>IF($K743="","",IFERROR(IF(INDEX(Bookings!$G$3:$G$202,MATCH($K743,Bookings!$A$3:$A$202,0))="","",INDEX(Bookings!$G$3:$G$202,MATCH($K743,Bookings!$A$3:$A$202,0))),""))</f>
        <v/>
      </c>
    </row>
    <row r="744" spans="1:17" hidden="1" x14ac:dyDescent="0.35">
      <c r="A744" s="81"/>
      <c r="B744" s="81"/>
      <c r="C744" s="21"/>
      <c r="D744" s="56"/>
      <c r="E744" s="14"/>
      <c r="F744" s="14"/>
      <c r="G744" s="14"/>
      <c r="H744" s="83">
        <f t="shared" si="46"/>
        <v>0</v>
      </c>
      <c r="I744" s="80"/>
      <c r="J744" s="80"/>
      <c r="K744" s="7" t="str">
        <f>IF($B744="","",IFERROR(INDEX(Connaissements!$B$3:$B$202,MATCH($B744,Connaissements!$A$3:$A$202,0)),""))</f>
        <v/>
      </c>
      <c r="L744" s="7" t="str">
        <f>IF($B744="","",IFERROR(INDEX(Connaissements!$G$3:$G$202,MATCH($B744,Connaissements!$A$3:$A$202,0)),""))</f>
        <v/>
      </c>
      <c r="M744" s="7" t="str">
        <f t="shared" si="43"/>
        <v/>
      </c>
      <c r="N744" s="7" t="str">
        <f t="shared" ca="1" si="44"/>
        <v/>
      </c>
      <c r="O744" s="13"/>
      <c r="P744" s="29" t="str">
        <f t="shared" ca="1" si="45"/>
        <v/>
      </c>
      <c r="Q744" s="30" t="str">
        <f>IF($K744="","",IFERROR(IF(INDEX(Bookings!$G$3:$G$202,MATCH($K744,Bookings!$A$3:$A$202,0))="","",INDEX(Bookings!$G$3:$G$202,MATCH($K744,Bookings!$A$3:$A$202,0))),""))</f>
        <v/>
      </c>
    </row>
    <row r="745" spans="1:17" hidden="1" x14ac:dyDescent="0.35">
      <c r="A745" s="81"/>
      <c r="B745" s="81"/>
      <c r="C745" s="21"/>
      <c r="D745" s="56"/>
      <c r="E745" s="14"/>
      <c r="F745" s="14"/>
      <c r="G745" s="14"/>
      <c r="H745" s="83">
        <f t="shared" si="46"/>
        <v>0</v>
      </c>
      <c r="I745" s="80"/>
      <c r="J745" s="80"/>
      <c r="K745" s="7" t="str">
        <f>IF($B745="","",IFERROR(INDEX(Connaissements!$B$3:$B$202,MATCH($B745,Connaissements!$A$3:$A$202,0)),""))</f>
        <v/>
      </c>
      <c r="L745" s="7" t="str">
        <f>IF($B745="","",IFERROR(INDEX(Connaissements!$G$3:$G$202,MATCH($B745,Connaissements!$A$3:$A$202,0)),""))</f>
        <v/>
      </c>
      <c r="M745" s="7" t="str">
        <f t="shared" si="43"/>
        <v/>
      </c>
      <c r="N745" s="7" t="str">
        <f t="shared" ca="1" si="44"/>
        <v/>
      </c>
      <c r="O745" s="13"/>
      <c r="P745" s="29" t="str">
        <f t="shared" ca="1" si="45"/>
        <v/>
      </c>
      <c r="Q745" s="30" t="str">
        <f>IF($K745="","",IFERROR(IF(INDEX(Bookings!$G$3:$G$202,MATCH($K745,Bookings!$A$3:$A$202,0))="","",INDEX(Bookings!$G$3:$G$202,MATCH($K745,Bookings!$A$3:$A$202,0))),""))</f>
        <v/>
      </c>
    </row>
    <row r="746" spans="1:17" hidden="1" x14ac:dyDescent="0.35">
      <c r="A746" s="81"/>
      <c r="B746" s="81"/>
      <c r="C746" s="21"/>
      <c r="D746" s="56"/>
      <c r="E746" s="14"/>
      <c r="F746" s="14"/>
      <c r="G746" s="14"/>
      <c r="H746" s="83">
        <f t="shared" si="46"/>
        <v>0</v>
      </c>
      <c r="I746" s="80"/>
      <c r="J746" s="80"/>
      <c r="K746" s="7" t="str">
        <f>IF($B746="","",IFERROR(INDEX(Connaissements!$B$3:$B$202,MATCH($B746,Connaissements!$A$3:$A$202,0)),""))</f>
        <v/>
      </c>
      <c r="L746" s="7" t="str">
        <f>IF($B746="","",IFERROR(INDEX(Connaissements!$G$3:$G$202,MATCH($B746,Connaissements!$A$3:$A$202,0)),""))</f>
        <v/>
      </c>
      <c r="M746" s="7" t="str">
        <f t="shared" si="43"/>
        <v/>
      </c>
      <c r="N746" s="7" t="str">
        <f t="shared" ca="1" si="44"/>
        <v/>
      </c>
      <c r="O746" s="13"/>
      <c r="P746" s="29" t="str">
        <f t="shared" ca="1" si="45"/>
        <v/>
      </c>
      <c r="Q746" s="30" t="str">
        <f>IF($K746="","",IFERROR(IF(INDEX(Bookings!$G$3:$G$202,MATCH($K746,Bookings!$A$3:$A$202,0))="","",INDEX(Bookings!$G$3:$G$202,MATCH($K746,Bookings!$A$3:$A$202,0))),""))</f>
        <v/>
      </c>
    </row>
    <row r="747" spans="1:17" hidden="1" x14ac:dyDescent="0.35">
      <c r="A747" s="81"/>
      <c r="B747" s="81"/>
      <c r="C747" s="21"/>
      <c r="D747" s="56"/>
      <c r="E747" s="14"/>
      <c r="F747" s="14"/>
      <c r="G747" s="14"/>
      <c r="H747" s="83">
        <f t="shared" si="46"/>
        <v>0</v>
      </c>
      <c r="I747" s="80"/>
      <c r="J747" s="80"/>
      <c r="K747" s="7" t="str">
        <f>IF($B747="","",IFERROR(INDEX(Connaissements!$B$3:$B$202,MATCH($B747,Connaissements!$A$3:$A$202,0)),""))</f>
        <v/>
      </c>
      <c r="L747" s="7" t="str">
        <f>IF($B747="","",IFERROR(INDEX(Connaissements!$G$3:$G$202,MATCH($B747,Connaissements!$A$3:$A$202,0)),""))</f>
        <v/>
      </c>
      <c r="M747" s="7" t="str">
        <f t="shared" si="43"/>
        <v/>
      </c>
      <c r="N747" s="7" t="str">
        <f t="shared" ca="1" si="44"/>
        <v/>
      </c>
      <c r="O747" s="13"/>
      <c r="P747" s="29" t="str">
        <f t="shared" ca="1" si="45"/>
        <v/>
      </c>
      <c r="Q747" s="30" t="str">
        <f>IF($K747="","",IFERROR(IF(INDEX(Bookings!$G$3:$G$202,MATCH($K747,Bookings!$A$3:$A$202,0))="","",INDEX(Bookings!$G$3:$G$202,MATCH($K747,Bookings!$A$3:$A$202,0))),""))</f>
        <v/>
      </c>
    </row>
    <row r="748" spans="1:17" hidden="1" x14ac:dyDescent="0.35">
      <c r="A748" s="81"/>
      <c r="B748" s="81"/>
      <c r="C748" s="21"/>
      <c r="D748" s="56"/>
      <c r="E748" s="14"/>
      <c r="F748" s="14"/>
      <c r="G748" s="14"/>
      <c r="H748" s="83">
        <f t="shared" si="46"/>
        <v>0</v>
      </c>
      <c r="I748" s="80"/>
      <c r="J748" s="80"/>
      <c r="K748" s="7" t="str">
        <f>IF($B748="","",IFERROR(INDEX(Connaissements!$B$3:$B$202,MATCH($B748,Connaissements!$A$3:$A$202,0)),""))</f>
        <v/>
      </c>
      <c r="L748" s="7" t="str">
        <f>IF($B748="","",IFERROR(INDEX(Connaissements!$G$3:$G$202,MATCH($B748,Connaissements!$A$3:$A$202,0)),""))</f>
        <v/>
      </c>
      <c r="M748" s="7" t="str">
        <f t="shared" si="43"/>
        <v/>
      </c>
      <c r="N748" s="7" t="str">
        <f t="shared" ca="1" si="44"/>
        <v/>
      </c>
      <c r="O748" s="13"/>
      <c r="P748" s="29" t="str">
        <f t="shared" ca="1" si="45"/>
        <v/>
      </c>
      <c r="Q748" s="30" t="str">
        <f>IF($K748="","",IFERROR(IF(INDEX(Bookings!$G$3:$G$202,MATCH($K748,Bookings!$A$3:$A$202,0))="","",INDEX(Bookings!$G$3:$G$202,MATCH($K748,Bookings!$A$3:$A$202,0))),""))</f>
        <v/>
      </c>
    </row>
    <row r="749" spans="1:17" hidden="1" x14ac:dyDescent="0.35">
      <c r="A749" s="81"/>
      <c r="B749" s="81"/>
      <c r="C749" s="21"/>
      <c r="D749" s="56"/>
      <c r="E749" s="14"/>
      <c r="F749" s="14"/>
      <c r="G749" s="14"/>
      <c r="H749" s="83">
        <f t="shared" si="46"/>
        <v>0</v>
      </c>
      <c r="I749" s="80"/>
      <c r="J749" s="80"/>
      <c r="K749" s="7" t="str">
        <f>IF($B749="","",IFERROR(INDEX(Connaissements!$B$3:$B$202,MATCH($B749,Connaissements!$A$3:$A$202,0)),""))</f>
        <v/>
      </c>
      <c r="L749" s="7" t="str">
        <f>IF($B749="","",IFERROR(INDEX(Connaissements!$G$3:$G$202,MATCH($B749,Connaissements!$A$3:$A$202,0)),""))</f>
        <v/>
      </c>
      <c r="M749" s="7" t="str">
        <f t="shared" si="43"/>
        <v/>
      </c>
      <c r="N749" s="7" t="str">
        <f t="shared" ca="1" si="44"/>
        <v/>
      </c>
      <c r="O749" s="13"/>
      <c r="P749" s="29" t="str">
        <f t="shared" ca="1" si="45"/>
        <v/>
      </c>
      <c r="Q749" s="30" t="str">
        <f>IF($K749="","",IFERROR(IF(INDEX(Bookings!$G$3:$G$202,MATCH($K749,Bookings!$A$3:$A$202,0))="","",INDEX(Bookings!$G$3:$G$202,MATCH($K749,Bookings!$A$3:$A$202,0))),""))</f>
        <v/>
      </c>
    </row>
    <row r="750" spans="1:17" hidden="1" x14ac:dyDescent="0.35">
      <c r="A750" s="81"/>
      <c r="B750" s="81"/>
      <c r="C750" s="21"/>
      <c r="D750" s="56"/>
      <c r="E750" s="14"/>
      <c r="F750" s="14"/>
      <c r="G750" s="14"/>
      <c r="H750" s="83">
        <f t="shared" si="46"/>
        <v>0</v>
      </c>
      <c r="I750" s="80"/>
      <c r="J750" s="80"/>
      <c r="K750" s="7" t="str">
        <f>IF($B750="","",IFERROR(INDEX(Connaissements!$B$3:$B$202,MATCH($B750,Connaissements!$A$3:$A$202,0)),""))</f>
        <v/>
      </c>
      <c r="L750" s="7" t="str">
        <f>IF($B750="","",IFERROR(INDEX(Connaissements!$G$3:$G$202,MATCH($B750,Connaissements!$A$3:$A$202,0)),""))</f>
        <v/>
      </c>
      <c r="M750" s="7" t="str">
        <f t="shared" si="43"/>
        <v/>
      </c>
      <c r="N750" s="7" t="str">
        <f t="shared" ca="1" si="44"/>
        <v/>
      </c>
      <c r="O750" s="13"/>
      <c r="P750" s="29" t="str">
        <f t="shared" ca="1" si="45"/>
        <v/>
      </c>
      <c r="Q750" s="30" t="str">
        <f>IF($K750="","",IFERROR(IF(INDEX(Bookings!$G$3:$G$202,MATCH($K750,Bookings!$A$3:$A$202,0))="","",INDEX(Bookings!$G$3:$G$202,MATCH($K750,Bookings!$A$3:$A$202,0))),""))</f>
        <v/>
      </c>
    </row>
    <row r="751" spans="1:17" hidden="1" x14ac:dyDescent="0.35">
      <c r="A751" s="81"/>
      <c r="B751" s="81"/>
      <c r="C751" s="21"/>
      <c r="D751" s="56"/>
      <c r="E751" s="14"/>
      <c r="F751" s="14"/>
      <c r="G751" s="14"/>
      <c r="H751" s="83">
        <f t="shared" si="46"/>
        <v>0</v>
      </c>
      <c r="I751" s="80"/>
      <c r="J751" s="80"/>
      <c r="K751" s="7" t="str">
        <f>IF($B751="","",IFERROR(INDEX(Connaissements!$B$3:$B$202,MATCH($B751,Connaissements!$A$3:$A$202,0)),""))</f>
        <v/>
      </c>
      <c r="L751" s="7" t="str">
        <f>IF($B751="","",IFERROR(INDEX(Connaissements!$G$3:$G$202,MATCH($B751,Connaissements!$A$3:$A$202,0)),""))</f>
        <v/>
      </c>
      <c r="M751" s="7" t="str">
        <f t="shared" si="43"/>
        <v/>
      </c>
      <c r="N751" s="7" t="str">
        <f t="shared" ca="1" si="44"/>
        <v/>
      </c>
      <c r="O751" s="13"/>
      <c r="P751" s="29" t="str">
        <f t="shared" ca="1" si="45"/>
        <v/>
      </c>
      <c r="Q751" s="30" t="str">
        <f>IF($K751="","",IFERROR(IF(INDEX(Bookings!$G$3:$G$202,MATCH($K751,Bookings!$A$3:$A$202,0))="","",INDEX(Bookings!$G$3:$G$202,MATCH($K751,Bookings!$A$3:$A$202,0))),""))</f>
        <v/>
      </c>
    </row>
    <row r="752" spans="1:17" hidden="1" x14ac:dyDescent="0.35">
      <c r="A752" s="81"/>
      <c r="B752" s="81"/>
      <c r="C752" s="21"/>
      <c r="D752" s="56"/>
      <c r="E752" s="14"/>
      <c r="F752" s="14"/>
      <c r="G752" s="14"/>
      <c r="H752" s="83">
        <f t="shared" si="46"/>
        <v>0</v>
      </c>
      <c r="I752" s="80"/>
      <c r="J752" s="80"/>
      <c r="K752" s="7" t="str">
        <f>IF($B752="","",IFERROR(INDEX(Connaissements!$B$3:$B$202,MATCH($B752,Connaissements!$A$3:$A$202,0)),""))</f>
        <v/>
      </c>
      <c r="L752" s="7" t="str">
        <f>IF($B752="","",IFERROR(INDEX(Connaissements!$G$3:$G$202,MATCH($B752,Connaissements!$A$3:$A$202,0)),""))</f>
        <v/>
      </c>
      <c r="M752" s="7" t="str">
        <f t="shared" si="43"/>
        <v/>
      </c>
      <c r="N752" s="7" t="str">
        <f t="shared" ca="1" si="44"/>
        <v/>
      </c>
      <c r="O752" s="13"/>
      <c r="P752" s="29" t="str">
        <f t="shared" ca="1" si="45"/>
        <v/>
      </c>
      <c r="Q752" s="30" t="str">
        <f>IF($K752="","",IFERROR(IF(INDEX(Bookings!$G$3:$G$202,MATCH($K752,Bookings!$A$3:$A$202,0))="","",INDEX(Bookings!$G$3:$G$202,MATCH($K752,Bookings!$A$3:$A$202,0))),""))</f>
        <v/>
      </c>
    </row>
    <row r="753" spans="1:17" hidden="1" x14ac:dyDescent="0.35">
      <c r="A753" s="81"/>
      <c r="B753" s="81"/>
      <c r="C753" s="21"/>
      <c r="D753" s="56"/>
      <c r="E753" s="14"/>
      <c r="F753" s="14"/>
      <c r="G753" s="14"/>
      <c r="H753" s="83">
        <f t="shared" si="46"/>
        <v>0</v>
      </c>
      <c r="I753" s="80"/>
      <c r="J753" s="80"/>
      <c r="K753" s="7" t="str">
        <f>IF($B753="","",IFERROR(INDEX(Connaissements!$B$3:$B$202,MATCH($B753,Connaissements!$A$3:$A$202,0)),""))</f>
        <v/>
      </c>
      <c r="L753" s="7" t="str">
        <f>IF($B753="","",IFERROR(INDEX(Connaissements!$G$3:$G$202,MATCH($B753,Connaissements!$A$3:$A$202,0)),""))</f>
        <v/>
      </c>
      <c r="M753" s="7" t="str">
        <f t="shared" si="43"/>
        <v/>
      </c>
      <c r="N753" s="7" t="str">
        <f t="shared" ca="1" si="44"/>
        <v/>
      </c>
      <c r="O753" s="13"/>
      <c r="P753" s="29" t="str">
        <f t="shared" ca="1" si="45"/>
        <v/>
      </c>
      <c r="Q753" s="30" t="str">
        <f>IF($K753="","",IFERROR(IF(INDEX(Bookings!$G$3:$G$202,MATCH($K753,Bookings!$A$3:$A$202,0))="","",INDEX(Bookings!$G$3:$G$202,MATCH($K753,Bookings!$A$3:$A$202,0))),""))</f>
        <v/>
      </c>
    </row>
    <row r="754" spans="1:17" hidden="1" x14ac:dyDescent="0.35">
      <c r="A754" s="81"/>
      <c r="B754" s="81"/>
      <c r="C754" s="21"/>
      <c r="D754" s="56"/>
      <c r="E754" s="14"/>
      <c r="F754" s="14"/>
      <c r="G754" s="14"/>
      <c r="H754" s="83">
        <f t="shared" si="46"/>
        <v>0</v>
      </c>
      <c r="I754" s="80"/>
      <c r="J754" s="80"/>
      <c r="K754" s="7" t="str">
        <f>IF($B754="","",IFERROR(INDEX(Connaissements!$B$3:$B$202,MATCH($B754,Connaissements!$A$3:$A$202,0)),""))</f>
        <v/>
      </c>
      <c r="L754" s="7" t="str">
        <f>IF($B754="","",IFERROR(INDEX(Connaissements!$G$3:$G$202,MATCH($B754,Connaissements!$A$3:$A$202,0)),""))</f>
        <v/>
      </c>
      <c r="M754" s="7" t="str">
        <f t="shared" si="43"/>
        <v/>
      </c>
      <c r="N754" s="7" t="str">
        <f t="shared" ca="1" si="44"/>
        <v/>
      </c>
      <c r="O754" s="13"/>
      <c r="P754" s="29" t="str">
        <f t="shared" ca="1" si="45"/>
        <v/>
      </c>
      <c r="Q754" s="30" t="str">
        <f>IF($K754="","",IFERROR(IF(INDEX(Bookings!$G$3:$G$202,MATCH($K754,Bookings!$A$3:$A$202,0))="","",INDEX(Bookings!$G$3:$G$202,MATCH($K754,Bookings!$A$3:$A$202,0))),""))</f>
        <v/>
      </c>
    </row>
    <row r="755" spans="1:17" hidden="1" x14ac:dyDescent="0.35">
      <c r="A755" s="81"/>
      <c r="B755" s="81"/>
      <c r="C755" s="21"/>
      <c r="D755" s="56"/>
      <c r="E755" s="14"/>
      <c r="F755" s="14"/>
      <c r="G755" s="14"/>
      <c r="H755" s="83">
        <f t="shared" si="46"/>
        <v>0</v>
      </c>
      <c r="I755" s="80"/>
      <c r="J755" s="80"/>
      <c r="K755" s="7" t="str">
        <f>IF($B755="","",IFERROR(INDEX(Connaissements!$B$3:$B$202,MATCH($B755,Connaissements!$A$3:$A$202,0)),""))</f>
        <v/>
      </c>
      <c r="L755" s="7" t="str">
        <f>IF($B755="","",IFERROR(INDEX(Connaissements!$G$3:$G$202,MATCH($B755,Connaissements!$A$3:$A$202,0)),""))</f>
        <v/>
      </c>
      <c r="M755" s="7" t="str">
        <f t="shared" si="43"/>
        <v/>
      </c>
      <c r="N755" s="7" t="str">
        <f t="shared" ca="1" si="44"/>
        <v/>
      </c>
      <c r="O755" s="13"/>
      <c r="P755" s="29" t="str">
        <f t="shared" ca="1" si="45"/>
        <v/>
      </c>
      <c r="Q755" s="30" t="str">
        <f>IF($K755="","",IFERROR(IF(INDEX(Bookings!$G$3:$G$202,MATCH($K755,Bookings!$A$3:$A$202,0))="","",INDEX(Bookings!$G$3:$G$202,MATCH($K755,Bookings!$A$3:$A$202,0))),""))</f>
        <v/>
      </c>
    </row>
    <row r="756" spans="1:17" hidden="1" x14ac:dyDescent="0.35">
      <c r="A756" s="81"/>
      <c r="B756" s="81"/>
      <c r="C756" s="21"/>
      <c r="D756" s="56"/>
      <c r="E756" s="14"/>
      <c r="F756" s="14"/>
      <c r="G756" s="14"/>
      <c r="H756" s="83">
        <f t="shared" si="46"/>
        <v>0</v>
      </c>
      <c r="I756" s="80"/>
      <c r="J756" s="80"/>
      <c r="K756" s="7" t="str">
        <f>IF($B756="","",IFERROR(INDEX(Connaissements!$B$3:$B$202,MATCH($B756,Connaissements!$A$3:$A$202,0)),""))</f>
        <v/>
      </c>
      <c r="L756" s="7" t="str">
        <f>IF($B756="","",IFERROR(INDEX(Connaissements!$G$3:$G$202,MATCH($B756,Connaissements!$A$3:$A$202,0)),""))</f>
        <v/>
      </c>
      <c r="M756" s="7" t="str">
        <f t="shared" si="43"/>
        <v/>
      </c>
      <c r="N756" s="7" t="str">
        <f t="shared" ca="1" si="44"/>
        <v/>
      </c>
      <c r="O756" s="13"/>
      <c r="P756" s="29" t="str">
        <f t="shared" ca="1" si="45"/>
        <v/>
      </c>
      <c r="Q756" s="30" t="str">
        <f>IF($K756="","",IFERROR(IF(INDEX(Bookings!$G$3:$G$202,MATCH($K756,Bookings!$A$3:$A$202,0))="","",INDEX(Bookings!$G$3:$G$202,MATCH($K756,Bookings!$A$3:$A$202,0))),""))</f>
        <v/>
      </c>
    </row>
    <row r="757" spans="1:17" hidden="1" x14ac:dyDescent="0.35">
      <c r="A757" s="81"/>
      <c r="B757" s="81"/>
      <c r="C757" s="21"/>
      <c r="D757" s="56"/>
      <c r="E757" s="14"/>
      <c r="F757" s="14"/>
      <c r="G757" s="14"/>
      <c r="H757" s="83">
        <f t="shared" si="46"/>
        <v>0</v>
      </c>
      <c r="I757" s="80"/>
      <c r="J757" s="80"/>
      <c r="K757" s="7" t="str">
        <f>IF($B757="","",IFERROR(INDEX(Connaissements!$B$3:$B$202,MATCH($B757,Connaissements!$A$3:$A$202,0)),""))</f>
        <v/>
      </c>
      <c r="L757" s="7" t="str">
        <f>IF($B757="","",IFERROR(INDEX(Connaissements!$G$3:$G$202,MATCH($B757,Connaissements!$A$3:$A$202,0)),""))</f>
        <v/>
      </c>
      <c r="M757" s="7" t="str">
        <f t="shared" si="43"/>
        <v/>
      </c>
      <c r="N757" s="7" t="str">
        <f t="shared" ca="1" si="44"/>
        <v/>
      </c>
      <c r="O757" s="13"/>
      <c r="P757" s="29" t="str">
        <f t="shared" ca="1" si="45"/>
        <v/>
      </c>
      <c r="Q757" s="30" t="str">
        <f>IF($K757="","",IFERROR(IF(INDEX(Bookings!$G$3:$G$202,MATCH($K757,Bookings!$A$3:$A$202,0))="","",INDEX(Bookings!$G$3:$G$202,MATCH($K757,Bookings!$A$3:$A$202,0))),""))</f>
        <v/>
      </c>
    </row>
    <row r="758" spans="1:17" hidden="1" x14ac:dyDescent="0.35">
      <c r="A758" s="81"/>
      <c r="B758" s="81"/>
      <c r="C758" s="21"/>
      <c r="D758" s="56"/>
      <c r="E758" s="14"/>
      <c r="F758" s="14"/>
      <c r="G758" s="14"/>
      <c r="H758" s="83">
        <f t="shared" si="46"/>
        <v>0</v>
      </c>
      <c r="I758" s="80"/>
      <c r="J758" s="80"/>
      <c r="K758" s="7" t="str">
        <f>IF($B758="","",IFERROR(INDEX(Connaissements!$B$3:$B$202,MATCH($B758,Connaissements!$A$3:$A$202,0)),""))</f>
        <v/>
      </c>
      <c r="L758" s="7" t="str">
        <f>IF($B758="","",IFERROR(INDEX(Connaissements!$G$3:$G$202,MATCH($B758,Connaissements!$A$3:$A$202,0)),""))</f>
        <v/>
      </c>
      <c r="M758" s="7" t="str">
        <f t="shared" si="43"/>
        <v/>
      </c>
      <c r="N758" s="7" t="str">
        <f t="shared" ca="1" si="44"/>
        <v/>
      </c>
      <c r="O758" s="13"/>
      <c r="P758" s="29" t="str">
        <f t="shared" ca="1" si="45"/>
        <v/>
      </c>
      <c r="Q758" s="30" t="str">
        <f>IF($K758="","",IFERROR(IF(INDEX(Bookings!$G$3:$G$202,MATCH($K758,Bookings!$A$3:$A$202,0))="","",INDEX(Bookings!$G$3:$G$202,MATCH($K758,Bookings!$A$3:$A$202,0))),""))</f>
        <v/>
      </c>
    </row>
    <row r="759" spans="1:17" hidden="1" x14ac:dyDescent="0.35">
      <c r="A759" s="81"/>
      <c r="B759" s="81"/>
      <c r="C759" s="21"/>
      <c r="D759" s="56"/>
      <c r="E759" s="14"/>
      <c r="F759" s="14"/>
      <c r="G759" s="14"/>
      <c r="H759" s="83">
        <f t="shared" si="46"/>
        <v>0</v>
      </c>
      <c r="I759" s="80"/>
      <c r="J759" s="80"/>
      <c r="K759" s="7" t="str">
        <f>IF($B759="","",IFERROR(INDEX(Connaissements!$B$3:$B$202,MATCH($B759,Connaissements!$A$3:$A$202,0)),""))</f>
        <v/>
      </c>
      <c r="L759" s="7" t="str">
        <f>IF($B759="","",IFERROR(INDEX(Connaissements!$G$3:$G$202,MATCH($B759,Connaissements!$A$3:$A$202,0)),""))</f>
        <v/>
      </c>
      <c r="M759" s="7" t="str">
        <f t="shared" si="43"/>
        <v/>
      </c>
      <c r="N759" s="7" t="str">
        <f t="shared" ca="1" si="44"/>
        <v/>
      </c>
      <c r="O759" s="13"/>
      <c r="P759" s="29" t="str">
        <f t="shared" ca="1" si="45"/>
        <v/>
      </c>
      <c r="Q759" s="30" t="str">
        <f>IF($K759="","",IFERROR(IF(INDEX(Bookings!$G$3:$G$202,MATCH($K759,Bookings!$A$3:$A$202,0))="","",INDEX(Bookings!$G$3:$G$202,MATCH($K759,Bookings!$A$3:$A$202,0))),""))</f>
        <v/>
      </c>
    </row>
    <row r="760" spans="1:17" hidden="1" x14ac:dyDescent="0.35">
      <c r="A760" s="81"/>
      <c r="B760" s="81"/>
      <c r="C760" s="21"/>
      <c r="D760" s="56"/>
      <c r="E760" s="14"/>
      <c r="F760" s="14"/>
      <c r="G760" s="14"/>
      <c r="H760" s="83">
        <f t="shared" si="46"/>
        <v>0</v>
      </c>
      <c r="I760" s="80"/>
      <c r="J760" s="80"/>
      <c r="K760" s="7" t="str">
        <f>IF($B760="","",IFERROR(INDEX(Connaissements!$B$3:$B$202,MATCH($B760,Connaissements!$A$3:$A$202,0)),""))</f>
        <v/>
      </c>
      <c r="L760" s="7" t="str">
        <f>IF($B760="","",IFERROR(INDEX(Connaissements!$G$3:$G$202,MATCH($B760,Connaissements!$A$3:$A$202,0)),""))</f>
        <v/>
      </c>
      <c r="M760" s="7" t="str">
        <f t="shared" si="43"/>
        <v/>
      </c>
      <c r="N760" s="7" t="str">
        <f t="shared" ca="1" si="44"/>
        <v/>
      </c>
      <c r="O760" s="13"/>
      <c r="P760" s="29" t="str">
        <f t="shared" ca="1" si="45"/>
        <v/>
      </c>
      <c r="Q760" s="30" t="str">
        <f>IF($K760="","",IFERROR(IF(INDEX(Bookings!$G$3:$G$202,MATCH($K760,Bookings!$A$3:$A$202,0))="","",INDEX(Bookings!$G$3:$G$202,MATCH($K760,Bookings!$A$3:$A$202,0))),""))</f>
        <v/>
      </c>
    </row>
    <row r="761" spans="1:17" hidden="1" x14ac:dyDescent="0.35">
      <c r="A761" s="81"/>
      <c r="B761" s="81"/>
      <c r="C761" s="21"/>
      <c r="D761" s="56"/>
      <c r="E761" s="14"/>
      <c r="F761" s="14"/>
      <c r="G761" s="14"/>
      <c r="H761" s="83">
        <f t="shared" si="46"/>
        <v>0</v>
      </c>
      <c r="I761" s="80"/>
      <c r="J761" s="80"/>
      <c r="K761" s="7" t="str">
        <f>IF($B761="","",IFERROR(INDEX(Connaissements!$B$3:$B$202,MATCH($B761,Connaissements!$A$3:$A$202,0)),""))</f>
        <v/>
      </c>
      <c r="L761" s="7" t="str">
        <f>IF($B761="","",IFERROR(INDEX(Connaissements!$G$3:$G$202,MATCH($B761,Connaissements!$A$3:$A$202,0)),""))</f>
        <v/>
      </c>
      <c r="M761" s="7" t="str">
        <f t="shared" si="43"/>
        <v/>
      </c>
      <c r="N761" s="7" t="str">
        <f t="shared" ca="1" si="44"/>
        <v/>
      </c>
      <c r="O761" s="13"/>
      <c r="P761" s="29" t="str">
        <f t="shared" ca="1" si="45"/>
        <v/>
      </c>
      <c r="Q761" s="30" t="str">
        <f>IF($K761="","",IFERROR(IF(INDEX(Bookings!$G$3:$G$202,MATCH($K761,Bookings!$A$3:$A$202,0))="","",INDEX(Bookings!$G$3:$G$202,MATCH($K761,Bookings!$A$3:$A$202,0))),""))</f>
        <v/>
      </c>
    </row>
    <row r="762" spans="1:17" hidden="1" x14ac:dyDescent="0.35">
      <c r="A762" s="81"/>
      <c r="B762" s="81"/>
      <c r="C762" s="21"/>
      <c r="D762" s="56"/>
      <c r="E762" s="14"/>
      <c r="F762" s="14"/>
      <c r="G762" s="14"/>
      <c r="H762" s="83">
        <f t="shared" si="46"/>
        <v>0</v>
      </c>
      <c r="I762" s="80"/>
      <c r="J762" s="80"/>
      <c r="K762" s="7" t="str">
        <f>IF($B762="","",IFERROR(INDEX(Connaissements!$B$3:$B$202,MATCH($B762,Connaissements!$A$3:$A$202,0)),""))</f>
        <v/>
      </c>
      <c r="L762" s="7" t="str">
        <f>IF($B762="","",IFERROR(INDEX(Connaissements!$G$3:$G$202,MATCH($B762,Connaissements!$A$3:$A$202,0)),""))</f>
        <v/>
      </c>
      <c r="M762" s="7" t="str">
        <f t="shared" si="43"/>
        <v/>
      </c>
      <c r="N762" s="7" t="str">
        <f t="shared" ca="1" si="44"/>
        <v/>
      </c>
      <c r="O762" s="13"/>
      <c r="P762" s="29" t="str">
        <f t="shared" ca="1" si="45"/>
        <v/>
      </c>
      <c r="Q762" s="30" t="str">
        <f>IF($K762="","",IFERROR(IF(INDEX(Bookings!$G$3:$G$202,MATCH($K762,Bookings!$A$3:$A$202,0))="","",INDEX(Bookings!$G$3:$G$202,MATCH($K762,Bookings!$A$3:$A$202,0))),""))</f>
        <v/>
      </c>
    </row>
    <row r="763" spans="1:17" hidden="1" x14ac:dyDescent="0.35">
      <c r="A763" s="81"/>
      <c r="B763" s="81"/>
      <c r="C763" s="21"/>
      <c r="D763" s="56"/>
      <c r="E763" s="14"/>
      <c r="F763" s="14"/>
      <c r="G763" s="14"/>
      <c r="H763" s="83">
        <f t="shared" si="46"/>
        <v>0</v>
      </c>
      <c r="I763" s="80"/>
      <c r="J763" s="80"/>
      <c r="K763" s="7" t="str">
        <f>IF($B763="","",IFERROR(INDEX(Connaissements!$B$3:$B$202,MATCH($B763,Connaissements!$A$3:$A$202,0)),""))</f>
        <v/>
      </c>
      <c r="L763" s="7" t="str">
        <f>IF($B763="","",IFERROR(INDEX(Connaissements!$G$3:$G$202,MATCH($B763,Connaissements!$A$3:$A$202,0)),""))</f>
        <v/>
      </c>
      <c r="M763" s="7" t="str">
        <f t="shared" si="43"/>
        <v/>
      </c>
      <c r="N763" s="7" t="str">
        <f t="shared" ca="1" si="44"/>
        <v/>
      </c>
      <c r="O763" s="13"/>
      <c r="P763" s="29" t="str">
        <f t="shared" ca="1" si="45"/>
        <v/>
      </c>
      <c r="Q763" s="30" t="str">
        <f>IF($K763="","",IFERROR(IF(INDEX(Bookings!$G$3:$G$202,MATCH($K763,Bookings!$A$3:$A$202,0))="","",INDEX(Bookings!$G$3:$G$202,MATCH($K763,Bookings!$A$3:$A$202,0))),""))</f>
        <v/>
      </c>
    </row>
    <row r="764" spans="1:17" hidden="1" x14ac:dyDescent="0.35">
      <c r="A764" s="81"/>
      <c r="B764" s="81"/>
      <c r="C764" s="21"/>
      <c r="D764" s="56"/>
      <c r="E764" s="14"/>
      <c r="F764" s="14"/>
      <c r="G764" s="14"/>
      <c r="H764" s="83">
        <f t="shared" si="46"/>
        <v>0</v>
      </c>
      <c r="I764" s="80"/>
      <c r="J764" s="80"/>
      <c r="K764" s="7" t="str">
        <f>IF($B764="","",IFERROR(INDEX(Connaissements!$B$3:$B$202,MATCH($B764,Connaissements!$A$3:$A$202,0)),""))</f>
        <v/>
      </c>
      <c r="L764" s="7" t="str">
        <f>IF($B764="","",IFERROR(INDEX(Connaissements!$G$3:$G$202,MATCH($B764,Connaissements!$A$3:$A$202,0)),""))</f>
        <v/>
      </c>
      <c r="M764" s="7" t="str">
        <f t="shared" si="43"/>
        <v/>
      </c>
      <c r="N764" s="7" t="str">
        <f t="shared" ca="1" si="44"/>
        <v/>
      </c>
      <c r="O764" s="13"/>
      <c r="P764" s="29" t="str">
        <f t="shared" ca="1" si="45"/>
        <v/>
      </c>
      <c r="Q764" s="30" t="str">
        <f>IF($K764="","",IFERROR(IF(INDEX(Bookings!$G$3:$G$202,MATCH($K764,Bookings!$A$3:$A$202,0))="","",INDEX(Bookings!$G$3:$G$202,MATCH($K764,Bookings!$A$3:$A$202,0))),""))</f>
        <v/>
      </c>
    </row>
    <row r="765" spans="1:17" hidden="1" x14ac:dyDescent="0.35">
      <c r="A765" s="81"/>
      <c r="B765" s="81"/>
      <c r="C765" s="21"/>
      <c r="D765" s="56"/>
      <c r="E765" s="14"/>
      <c r="F765" s="14"/>
      <c r="G765" s="14"/>
      <c r="H765" s="83">
        <f t="shared" si="46"/>
        <v>0</v>
      </c>
      <c r="I765" s="80"/>
      <c r="J765" s="80"/>
      <c r="K765" s="7" t="str">
        <f>IF($B765="","",IFERROR(INDEX(Connaissements!$B$3:$B$202,MATCH($B765,Connaissements!$A$3:$A$202,0)),""))</f>
        <v/>
      </c>
      <c r="L765" s="7" t="str">
        <f>IF($B765="","",IFERROR(INDEX(Connaissements!$G$3:$G$202,MATCH($B765,Connaissements!$A$3:$A$202,0)),""))</f>
        <v/>
      </c>
      <c r="M765" s="7" t="str">
        <f t="shared" si="43"/>
        <v/>
      </c>
      <c r="N765" s="7" t="str">
        <f t="shared" ca="1" si="44"/>
        <v/>
      </c>
      <c r="O765" s="13"/>
      <c r="P765" s="29" t="str">
        <f t="shared" ca="1" si="45"/>
        <v/>
      </c>
      <c r="Q765" s="30" t="str">
        <f>IF($K765="","",IFERROR(IF(INDEX(Bookings!$G$3:$G$202,MATCH($K765,Bookings!$A$3:$A$202,0))="","",INDEX(Bookings!$G$3:$G$202,MATCH($K765,Bookings!$A$3:$A$202,0))),""))</f>
        <v/>
      </c>
    </row>
    <row r="766" spans="1:17" hidden="1" x14ac:dyDescent="0.35">
      <c r="A766" s="81"/>
      <c r="B766" s="81"/>
      <c r="C766" s="21"/>
      <c r="D766" s="56"/>
      <c r="E766" s="14"/>
      <c r="F766" s="14"/>
      <c r="G766" s="14"/>
      <c r="H766" s="83">
        <f t="shared" si="46"/>
        <v>0</v>
      </c>
      <c r="I766" s="80"/>
      <c r="J766" s="80"/>
      <c r="K766" s="7" t="str">
        <f>IF($B766="","",IFERROR(INDEX(Connaissements!$B$3:$B$202,MATCH($B766,Connaissements!$A$3:$A$202,0)),""))</f>
        <v/>
      </c>
      <c r="L766" s="7" t="str">
        <f>IF($B766="","",IFERROR(INDEX(Connaissements!$G$3:$G$202,MATCH($B766,Connaissements!$A$3:$A$202,0)),""))</f>
        <v/>
      </c>
      <c r="M766" s="7" t="str">
        <f t="shared" si="43"/>
        <v/>
      </c>
      <c r="N766" s="7" t="str">
        <f t="shared" ca="1" si="44"/>
        <v/>
      </c>
      <c r="O766" s="13"/>
      <c r="P766" s="29" t="str">
        <f t="shared" ca="1" si="45"/>
        <v/>
      </c>
      <c r="Q766" s="30" t="str">
        <f>IF($K766="","",IFERROR(IF(INDEX(Bookings!$G$3:$G$202,MATCH($K766,Bookings!$A$3:$A$202,0))="","",INDEX(Bookings!$G$3:$G$202,MATCH($K766,Bookings!$A$3:$A$202,0))),""))</f>
        <v/>
      </c>
    </row>
    <row r="767" spans="1:17" hidden="1" x14ac:dyDescent="0.35">
      <c r="A767" s="81"/>
      <c r="B767" s="81"/>
      <c r="C767" s="21"/>
      <c r="D767" s="56"/>
      <c r="E767" s="14"/>
      <c r="F767" s="14"/>
      <c r="G767" s="14"/>
      <c r="H767" s="83">
        <f t="shared" si="46"/>
        <v>0</v>
      </c>
      <c r="I767" s="80"/>
      <c r="J767" s="80"/>
      <c r="K767" s="7" t="str">
        <f>IF($B767="","",IFERROR(INDEX(Connaissements!$B$3:$B$202,MATCH($B767,Connaissements!$A$3:$A$202,0)),""))</f>
        <v/>
      </c>
      <c r="L767" s="7" t="str">
        <f>IF($B767="","",IFERROR(INDEX(Connaissements!$G$3:$G$202,MATCH($B767,Connaissements!$A$3:$A$202,0)),""))</f>
        <v/>
      </c>
      <c r="M767" s="7" t="str">
        <f t="shared" si="43"/>
        <v/>
      </c>
      <c r="N767" s="7" t="str">
        <f t="shared" ca="1" si="44"/>
        <v/>
      </c>
      <c r="O767" s="13"/>
      <c r="P767" s="29" t="str">
        <f t="shared" ca="1" si="45"/>
        <v/>
      </c>
      <c r="Q767" s="30" t="str">
        <f>IF($K767="","",IFERROR(IF(INDEX(Bookings!$G$3:$G$202,MATCH($K767,Bookings!$A$3:$A$202,0))="","",INDEX(Bookings!$G$3:$G$202,MATCH($K767,Bookings!$A$3:$A$202,0))),""))</f>
        <v/>
      </c>
    </row>
    <row r="768" spans="1:17" hidden="1" x14ac:dyDescent="0.35">
      <c r="A768" s="81"/>
      <c r="B768" s="81"/>
      <c r="C768" s="21"/>
      <c r="D768" s="56"/>
      <c r="E768" s="14"/>
      <c r="F768" s="14"/>
      <c r="G768" s="14"/>
      <c r="H768" s="83">
        <f t="shared" si="46"/>
        <v>0</v>
      </c>
      <c r="I768" s="80"/>
      <c r="J768" s="80"/>
      <c r="K768" s="7" t="str">
        <f>IF($B768="","",IFERROR(INDEX(Connaissements!$B$3:$B$202,MATCH($B768,Connaissements!$A$3:$A$202,0)),""))</f>
        <v/>
      </c>
      <c r="L768" s="7" t="str">
        <f>IF($B768="","",IFERROR(INDEX(Connaissements!$G$3:$G$202,MATCH($B768,Connaissements!$A$3:$A$202,0)),""))</f>
        <v/>
      </c>
      <c r="M768" s="7" t="str">
        <f t="shared" si="43"/>
        <v/>
      </c>
      <c r="N768" s="7" t="str">
        <f t="shared" ca="1" si="44"/>
        <v/>
      </c>
      <c r="O768" s="13"/>
      <c r="P768" s="29" t="str">
        <f t="shared" ca="1" si="45"/>
        <v/>
      </c>
      <c r="Q768" s="30" t="str">
        <f>IF($K768="","",IFERROR(IF(INDEX(Bookings!$G$3:$G$202,MATCH($K768,Bookings!$A$3:$A$202,0))="","",INDEX(Bookings!$G$3:$G$202,MATCH($K768,Bookings!$A$3:$A$202,0))),""))</f>
        <v/>
      </c>
    </row>
    <row r="769" spans="1:17" hidden="1" x14ac:dyDescent="0.35">
      <c r="A769" s="81"/>
      <c r="B769" s="81"/>
      <c r="C769" s="21"/>
      <c r="D769" s="56"/>
      <c r="E769" s="14"/>
      <c r="F769" s="14"/>
      <c r="G769" s="14"/>
      <c r="H769" s="83">
        <f t="shared" si="46"/>
        <v>0</v>
      </c>
      <c r="I769" s="80"/>
      <c r="J769" s="80"/>
      <c r="K769" s="7" t="str">
        <f>IF($B769="","",IFERROR(INDEX(Connaissements!$B$3:$B$202,MATCH($B769,Connaissements!$A$3:$A$202,0)),""))</f>
        <v/>
      </c>
      <c r="L769" s="7" t="str">
        <f>IF($B769="","",IFERROR(INDEX(Connaissements!$G$3:$G$202,MATCH($B769,Connaissements!$A$3:$A$202,0)),""))</f>
        <v/>
      </c>
      <c r="M769" s="7" t="str">
        <f t="shared" si="43"/>
        <v/>
      </c>
      <c r="N769" s="7" t="str">
        <f t="shared" ca="1" si="44"/>
        <v/>
      </c>
      <c r="O769" s="13"/>
      <c r="P769" s="29" t="str">
        <f t="shared" ca="1" si="45"/>
        <v/>
      </c>
      <c r="Q769" s="30" t="str">
        <f>IF($K769="","",IFERROR(IF(INDEX(Bookings!$G$3:$G$202,MATCH($K769,Bookings!$A$3:$A$202,0))="","",INDEX(Bookings!$G$3:$G$202,MATCH($K769,Bookings!$A$3:$A$202,0))),""))</f>
        <v/>
      </c>
    </row>
    <row r="770" spans="1:17" hidden="1" x14ac:dyDescent="0.35">
      <c r="A770" s="81"/>
      <c r="B770" s="81"/>
      <c r="C770" s="21"/>
      <c r="D770" s="56"/>
      <c r="E770" s="14"/>
      <c r="F770" s="14"/>
      <c r="G770" s="14"/>
      <c r="H770" s="83">
        <f t="shared" si="46"/>
        <v>0</v>
      </c>
      <c r="I770" s="80"/>
      <c r="J770" s="80"/>
      <c r="K770" s="7" t="str">
        <f>IF($B770="","",IFERROR(INDEX(Connaissements!$B$3:$B$202,MATCH($B770,Connaissements!$A$3:$A$202,0)),""))</f>
        <v/>
      </c>
      <c r="L770" s="7" t="str">
        <f>IF($B770="","",IFERROR(INDEX(Connaissements!$G$3:$G$202,MATCH($B770,Connaissements!$A$3:$A$202,0)),""))</f>
        <v/>
      </c>
      <c r="M770" s="7" t="str">
        <f t="shared" si="43"/>
        <v/>
      </c>
      <c r="N770" s="7" t="str">
        <f t="shared" ca="1" si="44"/>
        <v/>
      </c>
      <c r="O770" s="13"/>
      <c r="P770" s="29" t="str">
        <f t="shared" ca="1" si="45"/>
        <v/>
      </c>
      <c r="Q770" s="30" t="str">
        <f>IF($K770="","",IFERROR(IF(INDEX(Bookings!$G$3:$G$202,MATCH($K770,Bookings!$A$3:$A$202,0))="","",INDEX(Bookings!$G$3:$G$202,MATCH($K770,Bookings!$A$3:$A$202,0))),""))</f>
        <v/>
      </c>
    </row>
    <row r="771" spans="1:17" hidden="1" x14ac:dyDescent="0.35">
      <c r="A771" s="81"/>
      <c r="B771" s="81"/>
      <c r="C771" s="21"/>
      <c r="D771" s="56"/>
      <c r="E771" s="14"/>
      <c r="F771" s="14"/>
      <c r="G771" s="14"/>
      <c r="H771" s="83">
        <f t="shared" si="46"/>
        <v>0</v>
      </c>
      <c r="I771" s="80"/>
      <c r="J771" s="80"/>
      <c r="K771" s="7" t="str">
        <f>IF($B771="","",IFERROR(INDEX(Connaissements!$B$3:$B$202,MATCH($B771,Connaissements!$A$3:$A$202,0)),""))</f>
        <v/>
      </c>
      <c r="L771" s="7" t="str">
        <f>IF($B771="","",IFERROR(INDEX(Connaissements!$G$3:$G$202,MATCH($B771,Connaissements!$A$3:$A$202,0)),""))</f>
        <v/>
      </c>
      <c r="M771" s="7" t="str">
        <f t="shared" ref="M771:M834" si="47">IF($A771="","",IF($G771&lt;&gt;"","Embarqué",IF($F771&lt;&gt;"","Gate-In fait",IF($E771&lt;&gt;"","Empoté","À empoter"))))</f>
        <v/>
      </c>
      <c r="N771" s="7" t="str">
        <f t="shared" ref="N771:N834" ca="1" si="48">IF(OR($A771="",$G771&lt;&gt;""),"",IF(AND($Q771&lt;&gt;"",N($Q771)&lt;TODAY()),"RETARD : ETD dépassé, pas embarqué",IF(AND($Q771&lt;&gt;"",N($Q771)-TODAY()&lt;=P_AlerteETD,$F771=""),"Gate-In à faire (ETD proche)",IF(AND($E771&lt;&gt;"",$H771=""),"Poids net à saisir",""))))</f>
        <v/>
      </c>
      <c r="O771" s="13"/>
      <c r="P771" s="29" t="str">
        <f t="shared" ref="P771:P834" ca="1" si="49">IF($N771&lt;&gt;"",1,"")</f>
        <v/>
      </c>
      <c r="Q771" s="30" t="str">
        <f>IF($K771="","",IFERROR(IF(INDEX(Bookings!$G$3:$G$202,MATCH($K771,Bookings!$A$3:$A$202,0))="","",INDEX(Bookings!$G$3:$G$202,MATCH($K771,Bookings!$A$3:$A$202,0))),""))</f>
        <v/>
      </c>
    </row>
    <row r="772" spans="1:17" hidden="1" x14ac:dyDescent="0.35">
      <c r="A772" s="81"/>
      <c r="B772" s="81"/>
      <c r="C772" s="21"/>
      <c r="D772" s="56"/>
      <c r="E772" s="14"/>
      <c r="F772" s="14"/>
      <c r="G772" s="14"/>
      <c r="H772" s="83">
        <f t="shared" ref="H772:H835" si="50">J772-I772</f>
        <v>0</v>
      </c>
      <c r="I772" s="80"/>
      <c r="J772" s="80"/>
      <c r="K772" s="7" t="str">
        <f>IF($B772="","",IFERROR(INDEX(Connaissements!$B$3:$B$202,MATCH($B772,Connaissements!$A$3:$A$202,0)),""))</f>
        <v/>
      </c>
      <c r="L772" s="7" t="str">
        <f>IF($B772="","",IFERROR(INDEX(Connaissements!$G$3:$G$202,MATCH($B772,Connaissements!$A$3:$A$202,0)),""))</f>
        <v/>
      </c>
      <c r="M772" s="7" t="str">
        <f t="shared" si="47"/>
        <v/>
      </c>
      <c r="N772" s="7" t="str">
        <f t="shared" ca="1" si="48"/>
        <v/>
      </c>
      <c r="O772" s="13"/>
      <c r="P772" s="29" t="str">
        <f t="shared" ca="1" si="49"/>
        <v/>
      </c>
      <c r="Q772" s="30" t="str">
        <f>IF($K772="","",IFERROR(IF(INDEX(Bookings!$G$3:$G$202,MATCH($K772,Bookings!$A$3:$A$202,0))="","",INDEX(Bookings!$G$3:$G$202,MATCH($K772,Bookings!$A$3:$A$202,0))),""))</f>
        <v/>
      </c>
    </row>
    <row r="773" spans="1:17" hidden="1" x14ac:dyDescent="0.35">
      <c r="A773" s="81"/>
      <c r="B773" s="81"/>
      <c r="C773" s="21"/>
      <c r="D773" s="56"/>
      <c r="E773" s="14"/>
      <c r="F773" s="14"/>
      <c r="G773" s="14"/>
      <c r="H773" s="83">
        <f t="shared" si="50"/>
        <v>0</v>
      </c>
      <c r="I773" s="80"/>
      <c r="J773" s="80"/>
      <c r="K773" s="7" t="str">
        <f>IF($B773="","",IFERROR(INDEX(Connaissements!$B$3:$B$202,MATCH($B773,Connaissements!$A$3:$A$202,0)),""))</f>
        <v/>
      </c>
      <c r="L773" s="7" t="str">
        <f>IF($B773="","",IFERROR(INDEX(Connaissements!$G$3:$G$202,MATCH($B773,Connaissements!$A$3:$A$202,0)),""))</f>
        <v/>
      </c>
      <c r="M773" s="7" t="str">
        <f t="shared" si="47"/>
        <v/>
      </c>
      <c r="N773" s="7" t="str">
        <f t="shared" ca="1" si="48"/>
        <v/>
      </c>
      <c r="O773" s="13"/>
      <c r="P773" s="29" t="str">
        <f t="shared" ca="1" si="49"/>
        <v/>
      </c>
      <c r="Q773" s="30" t="str">
        <f>IF($K773="","",IFERROR(IF(INDEX(Bookings!$G$3:$G$202,MATCH($K773,Bookings!$A$3:$A$202,0))="","",INDEX(Bookings!$G$3:$G$202,MATCH($K773,Bookings!$A$3:$A$202,0))),""))</f>
        <v/>
      </c>
    </row>
    <row r="774" spans="1:17" hidden="1" x14ac:dyDescent="0.35">
      <c r="A774" s="81"/>
      <c r="B774" s="81"/>
      <c r="C774" s="21"/>
      <c r="D774" s="56"/>
      <c r="E774" s="14"/>
      <c r="F774" s="14"/>
      <c r="G774" s="14"/>
      <c r="H774" s="83">
        <f t="shared" si="50"/>
        <v>0</v>
      </c>
      <c r="I774" s="80"/>
      <c r="J774" s="80"/>
      <c r="K774" s="7" t="str">
        <f>IF($B774="","",IFERROR(INDEX(Connaissements!$B$3:$B$202,MATCH($B774,Connaissements!$A$3:$A$202,0)),""))</f>
        <v/>
      </c>
      <c r="L774" s="7" t="str">
        <f>IF($B774="","",IFERROR(INDEX(Connaissements!$G$3:$G$202,MATCH($B774,Connaissements!$A$3:$A$202,0)),""))</f>
        <v/>
      </c>
      <c r="M774" s="7" t="str">
        <f t="shared" si="47"/>
        <v/>
      </c>
      <c r="N774" s="7" t="str">
        <f t="shared" ca="1" si="48"/>
        <v/>
      </c>
      <c r="O774" s="13"/>
      <c r="P774" s="29" t="str">
        <f t="shared" ca="1" si="49"/>
        <v/>
      </c>
      <c r="Q774" s="30" t="str">
        <f>IF($K774="","",IFERROR(IF(INDEX(Bookings!$G$3:$G$202,MATCH($K774,Bookings!$A$3:$A$202,0))="","",INDEX(Bookings!$G$3:$G$202,MATCH($K774,Bookings!$A$3:$A$202,0))),""))</f>
        <v/>
      </c>
    </row>
    <row r="775" spans="1:17" hidden="1" x14ac:dyDescent="0.35">
      <c r="A775" s="81"/>
      <c r="B775" s="81"/>
      <c r="C775" s="21"/>
      <c r="D775" s="56"/>
      <c r="E775" s="14"/>
      <c r="F775" s="14"/>
      <c r="G775" s="14"/>
      <c r="H775" s="83">
        <f t="shared" si="50"/>
        <v>0</v>
      </c>
      <c r="I775" s="80"/>
      <c r="J775" s="80"/>
      <c r="K775" s="7" t="str">
        <f>IF($B775="","",IFERROR(INDEX(Connaissements!$B$3:$B$202,MATCH($B775,Connaissements!$A$3:$A$202,0)),""))</f>
        <v/>
      </c>
      <c r="L775" s="7" t="str">
        <f>IF($B775="","",IFERROR(INDEX(Connaissements!$G$3:$G$202,MATCH($B775,Connaissements!$A$3:$A$202,0)),""))</f>
        <v/>
      </c>
      <c r="M775" s="7" t="str">
        <f t="shared" si="47"/>
        <v/>
      </c>
      <c r="N775" s="7" t="str">
        <f t="shared" ca="1" si="48"/>
        <v/>
      </c>
      <c r="O775" s="13"/>
      <c r="P775" s="29" t="str">
        <f t="shared" ca="1" si="49"/>
        <v/>
      </c>
      <c r="Q775" s="30" t="str">
        <f>IF($K775="","",IFERROR(IF(INDEX(Bookings!$G$3:$G$202,MATCH($K775,Bookings!$A$3:$A$202,0))="","",INDEX(Bookings!$G$3:$G$202,MATCH($K775,Bookings!$A$3:$A$202,0))),""))</f>
        <v/>
      </c>
    </row>
    <row r="776" spans="1:17" hidden="1" x14ac:dyDescent="0.35">
      <c r="A776" s="81"/>
      <c r="B776" s="81"/>
      <c r="C776" s="21"/>
      <c r="D776" s="56"/>
      <c r="E776" s="14"/>
      <c r="F776" s="14"/>
      <c r="G776" s="14"/>
      <c r="H776" s="83">
        <f t="shared" si="50"/>
        <v>0</v>
      </c>
      <c r="I776" s="80"/>
      <c r="J776" s="80"/>
      <c r="K776" s="7" t="str">
        <f>IF($B776="","",IFERROR(INDEX(Connaissements!$B$3:$B$202,MATCH($B776,Connaissements!$A$3:$A$202,0)),""))</f>
        <v/>
      </c>
      <c r="L776" s="7" t="str">
        <f>IF($B776="","",IFERROR(INDEX(Connaissements!$G$3:$G$202,MATCH($B776,Connaissements!$A$3:$A$202,0)),""))</f>
        <v/>
      </c>
      <c r="M776" s="7" t="str">
        <f t="shared" si="47"/>
        <v/>
      </c>
      <c r="N776" s="7" t="str">
        <f t="shared" ca="1" si="48"/>
        <v/>
      </c>
      <c r="O776" s="13"/>
      <c r="P776" s="29" t="str">
        <f t="shared" ca="1" si="49"/>
        <v/>
      </c>
      <c r="Q776" s="30" t="str">
        <f>IF($K776="","",IFERROR(IF(INDEX(Bookings!$G$3:$G$202,MATCH($K776,Bookings!$A$3:$A$202,0))="","",INDEX(Bookings!$G$3:$G$202,MATCH($K776,Bookings!$A$3:$A$202,0))),""))</f>
        <v/>
      </c>
    </row>
    <row r="777" spans="1:17" hidden="1" x14ac:dyDescent="0.35">
      <c r="A777" s="81"/>
      <c r="B777" s="81"/>
      <c r="C777" s="21"/>
      <c r="D777" s="56"/>
      <c r="E777" s="14"/>
      <c r="F777" s="14"/>
      <c r="G777" s="14"/>
      <c r="H777" s="83">
        <f t="shared" si="50"/>
        <v>0</v>
      </c>
      <c r="I777" s="80"/>
      <c r="J777" s="80"/>
      <c r="K777" s="7" t="str">
        <f>IF($B777="","",IFERROR(INDEX(Connaissements!$B$3:$B$202,MATCH($B777,Connaissements!$A$3:$A$202,0)),""))</f>
        <v/>
      </c>
      <c r="L777" s="7" t="str">
        <f>IF($B777="","",IFERROR(INDEX(Connaissements!$G$3:$G$202,MATCH($B777,Connaissements!$A$3:$A$202,0)),""))</f>
        <v/>
      </c>
      <c r="M777" s="7" t="str">
        <f t="shared" si="47"/>
        <v/>
      </c>
      <c r="N777" s="7" t="str">
        <f t="shared" ca="1" si="48"/>
        <v/>
      </c>
      <c r="O777" s="13"/>
      <c r="P777" s="29" t="str">
        <f t="shared" ca="1" si="49"/>
        <v/>
      </c>
      <c r="Q777" s="30" t="str">
        <f>IF($K777="","",IFERROR(IF(INDEX(Bookings!$G$3:$G$202,MATCH($K777,Bookings!$A$3:$A$202,0))="","",INDEX(Bookings!$G$3:$G$202,MATCH($K777,Bookings!$A$3:$A$202,0))),""))</f>
        <v/>
      </c>
    </row>
    <row r="778" spans="1:17" hidden="1" x14ac:dyDescent="0.35">
      <c r="A778" s="81"/>
      <c r="B778" s="81"/>
      <c r="C778" s="21"/>
      <c r="D778" s="56"/>
      <c r="E778" s="14"/>
      <c r="F778" s="14"/>
      <c r="G778" s="14"/>
      <c r="H778" s="83">
        <f t="shared" si="50"/>
        <v>0</v>
      </c>
      <c r="I778" s="80"/>
      <c r="J778" s="80"/>
      <c r="K778" s="7" t="str">
        <f>IF($B778="","",IFERROR(INDEX(Connaissements!$B$3:$B$202,MATCH($B778,Connaissements!$A$3:$A$202,0)),""))</f>
        <v/>
      </c>
      <c r="L778" s="7" t="str">
        <f>IF($B778="","",IFERROR(INDEX(Connaissements!$G$3:$G$202,MATCH($B778,Connaissements!$A$3:$A$202,0)),""))</f>
        <v/>
      </c>
      <c r="M778" s="7" t="str">
        <f t="shared" si="47"/>
        <v/>
      </c>
      <c r="N778" s="7" t="str">
        <f t="shared" ca="1" si="48"/>
        <v/>
      </c>
      <c r="O778" s="13"/>
      <c r="P778" s="29" t="str">
        <f t="shared" ca="1" si="49"/>
        <v/>
      </c>
      <c r="Q778" s="30" t="str">
        <f>IF($K778="","",IFERROR(IF(INDEX(Bookings!$G$3:$G$202,MATCH($K778,Bookings!$A$3:$A$202,0))="","",INDEX(Bookings!$G$3:$G$202,MATCH($K778,Bookings!$A$3:$A$202,0))),""))</f>
        <v/>
      </c>
    </row>
    <row r="779" spans="1:17" hidden="1" x14ac:dyDescent="0.35">
      <c r="A779" s="81"/>
      <c r="B779" s="81"/>
      <c r="C779" s="21"/>
      <c r="D779" s="56"/>
      <c r="E779" s="14"/>
      <c r="F779" s="14"/>
      <c r="G779" s="14"/>
      <c r="H779" s="83">
        <f t="shared" si="50"/>
        <v>0</v>
      </c>
      <c r="I779" s="80"/>
      <c r="J779" s="80"/>
      <c r="K779" s="7" t="str">
        <f>IF($B779="","",IFERROR(INDEX(Connaissements!$B$3:$B$202,MATCH($B779,Connaissements!$A$3:$A$202,0)),""))</f>
        <v/>
      </c>
      <c r="L779" s="7" t="str">
        <f>IF($B779="","",IFERROR(INDEX(Connaissements!$G$3:$G$202,MATCH($B779,Connaissements!$A$3:$A$202,0)),""))</f>
        <v/>
      </c>
      <c r="M779" s="7" t="str">
        <f t="shared" si="47"/>
        <v/>
      </c>
      <c r="N779" s="7" t="str">
        <f t="shared" ca="1" si="48"/>
        <v/>
      </c>
      <c r="O779" s="13"/>
      <c r="P779" s="29" t="str">
        <f t="shared" ca="1" si="49"/>
        <v/>
      </c>
      <c r="Q779" s="30" t="str">
        <f>IF($K779="","",IFERROR(IF(INDEX(Bookings!$G$3:$G$202,MATCH($K779,Bookings!$A$3:$A$202,0))="","",INDEX(Bookings!$G$3:$G$202,MATCH($K779,Bookings!$A$3:$A$202,0))),""))</f>
        <v/>
      </c>
    </row>
    <row r="780" spans="1:17" hidden="1" x14ac:dyDescent="0.35">
      <c r="A780" s="81"/>
      <c r="B780" s="81"/>
      <c r="C780" s="21"/>
      <c r="D780" s="56"/>
      <c r="E780" s="14"/>
      <c r="F780" s="14"/>
      <c r="G780" s="14"/>
      <c r="H780" s="83">
        <f t="shared" si="50"/>
        <v>0</v>
      </c>
      <c r="I780" s="80"/>
      <c r="J780" s="80"/>
      <c r="K780" s="7" t="str">
        <f>IF($B780="","",IFERROR(INDEX(Connaissements!$B$3:$B$202,MATCH($B780,Connaissements!$A$3:$A$202,0)),""))</f>
        <v/>
      </c>
      <c r="L780" s="7" t="str">
        <f>IF($B780="","",IFERROR(INDEX(Connaissements!$G$3:$G$202,MATCH($B780,Connaissements!$A$3:$A$202,0)),""))</f>
        <v/>
      </c>
      <c r="M780" s="7" t="str">
        <f t="shared" si="47"/>
        <v/>
      </c>
      <c r="N780" s="7" t="str">
        <f t="shared" ca="1" si="48"/>
        <v/>
      </c>
      <c r="O780" s="13"/>
      <c r="P780" s="29" t="str">
        <f t="shared" ca="1" si="49"/>
        <v/>
      </c>
      <c r="Q780" s="30" t="str">
        <f>IF($K780="","",IFERROR(IF(INDEX(Bookings!$G$3:$G$202,MATCH($K780,Bookings!$A$3:$A$202,0))="","",INDEX(Bookings!$G$3:$G$202,MATCH($K780,Bookings!$A$3:$A$202,0))),""))</f>
        <v/>
      </c>
    </row>
    <row r="781" spans="1:17" hidden="1" x14ac:dyDescent="0.35">
      <c r="A781" s="81"/>
      <c r="B781" s="81"/>
      <c r="C781" s="21"/>
      <c r="D781" s="56"/>
      <c r="E781" s="14"/>
      <c r="F781" s="14"/>
      <c r="G781" s="14"/>
      <c r="H781" s="83">
        <f t="shared" si="50"/>
        <v>0</v>
      </c>
      <c r="I781" s="80"/>
      <c r="J781" s="80"/>
      <c r="K781" s="7" t="str">
        <f>IF($B781="","",IFERROR(INDEX(Connaissements!$B$3:$B$202,MATCH($B781,Connaissements!$A$3:$A$202,0)),""))</f>
        <v/>
      </c>
      <c r="L781" s="7" t="str">
        <f>IF($B781="","",IFERROR(INDEX(Connaissements!$G$3:$G$202,MATCH($B781,Connaissements!$A$3:$A$202,0)),""))</f>
        <v/>
      </c>
      <c r="M781" s="7" t="str">
        <f t="shared" si="47"/>
        <v/>
      </c>
      <c r="N781" s="7" t="str">
        <f t="shared" ca="1" si="48"/>
        <v/>
      </c>
      <c r="O781" s="13"/>
      <c r="P781" s="29" t="str">
        <f t="shared" ca="1" si="49"/>
        <v/>
      </c>
      <c r="Q781" s="30" t="str">
        <f>IF($K781="","",IFERROR(IF(INDEX(Bookings!$G$3:$G$202,MATCH($K781,Bookings!$A$3:$A$202,0))="","",INDEX(Bookings!$G$3:$G$202,MATCH($K781,Bookings!$A$3:$A$202,0))),""))</f>
        <v/>
      </c>
    </row>
    <row r="782" spans="1:17" hidden="1" x14ac:dyDescent="0.35">
      <c r="A782" s="81"/>
      <c r="B782" s="81"/>
      <c r="C782" s="21"/>
      <c r="D782" s="56"/>
      <c r="E782" s="14"/>
      <c r="F782" s="14"/>
      <c r="G782" s="14"/>
      <c r="H782" s="83">
        <f t="shared" si="50"/>
        <v>0</v>
      </c>
      <c r="I782" s="80"/>
      <c r="J782" s="80"/>
      <c r="K782" s="7" t="str">
        <f>IF($B782="","",IFERROR(INDEX(Connaissements!$B$3:$B$202,MATCH($B782,Connaissements!$A$3:$A$202,0)),""))</f>
        <v/>
      </c>
      <c r="L782" s="7" t="str">
        <f>IF($B782="","",IFERROR(INDEX(Connaissements!$G$3:$G$202,MATCH($B782,Connaissements!$A$3:$A$202,0)),""))</f>
        <v/>
      </c>
      <c r="M782" s="7" t="str">
        <f t="shared" si="47"/>
        <v/>
      </c>
      <c r="N782" s="7" t="str">
        <f t="shared" ca="1" si="48"/>
        <v/>
      </c>
      <c r="O782" s="13"/>
      <c r="P782" s="29" t="str">
        <f t="shared" ca="1" si="49"/>
        <v/>
      </c>
      <c r="Q782" s="30" t="str">
        <f>IF($K782="","",IFERROR(IF(INDEX(Bookings!$G$3:$G$202,MATCH($K782,Bookings!$A$3:$A$202,0))="","",INDEX(Bookings!$G$3:$G$202,MATCH($K782,Bookings!$A$3:$A$202,0))),""))</f>
        <v/>
      </c>
    </row>
    <row r="783" spans="1:17" hidden="1" x14ac:dyDescent="0.35">
      <c r="A783" s="81"/>
      <c r="B783" s="81"/>
      <c r="C783" s="21"/>
      <c r="D783" s="56"/>
      <c r="E783" s="14"/>
      <c r="F783" s="14"/>
      <c r="G783" s="14"/>
      <c r="H783" s="83">
        <f t="shared" si="50"/>
        <v>0</v>
      </c>
      <c r="I783" s="80"/>
      <c r="J783" s="80"/>
      <c r="K783" s="7" t="str">
        <f>IF($B783="","",IFERROR(INDEX(Connaissements!$B$3:$B$202,MATCH($B783,Connaissements!$A$3:$A$202,0)),""))</f>
        <v/>
      </c>
      <c r="L783" s="7" t="str">
        <f>IF($B783="","",IFERROR(INDEX(Connaissements!$G$3:$G$202,MATCH($B783,Connaissements!$A$3:$A$202,0)),""))</f>
        <v/>
      </c>
      <c r="M783" s="7" t="str">
        <f t="shared" si="47"/>
        <v/>
      </c>
      <c r="N783" s="7" t="str">
        <f t="shared" ca="1" si="48"/>
        <v/>
      </c>
      <c r="O783" s="13"/>
      <c r="P783" s="29" t="str">
        <f t="shared" ca="1" si="49"/>
        <v/>
      </c>
      <c r="Q783" s="30" t="str">
        <f>IF($K783="","",IFERROR(IF(INDEX(Bookings!$G$3:$G$202,MATCH($K783,Bookings!$A$3:$A$202,0))="","",INDEX(Bookings!$G$3:$G$202,MATCH($K783,Bookings!$A$3:$A$202,0))),""))</f>
        <v/>
      </c>
    </row>
    <row r="784" spans="1:17" hidden="1" x14ac:dyDescent="0.35">
      <c r="A784" s="81"/>
      <c r="B784" s="81"/>
      <c r="C784" s="21"/>
      <c r="D784" s="56"/>
      <c r="E784" s="14"/>
      <c r="F784" s="14"/>
      <c r="G784" s="14"/>
      <c r="H784" s="83">
        <f t="shared" si="50"/>
        <v>0</v>
      </c>
      <c r="I784" s="80"/>
      <c r="J784" s="80"/>
      <c r="K784" s="7" t="str">
        <f>IF($B784="","",IFERROR(INDEX(Connaissements!$B$3:$B$202,MATCH($B784,Connaissements!$A$3:$A$202,0)),""))</f>
        <v/>
      </c>
      <c r="L784" s="7" t="str">
        <f>IF($B784="","",IFERROR(INDEX(Connaissements!$G$3:$G$202,MATCH($B784,Connaissements!$A$3:$A$202,0)),""))</f>
        <v/>
      </c>
      <c r="M784" s="7" t="str">
        <f t="shared" si="47"/>
        <v/>
      </c>
      <c r="N784" s="7" t="str">
        <f t="shared" ca="1" si="48"/>
        <v/>
      </c>
      <c r="O784" s="13"/>
      <c r="P784" s="29" t="str">
        <f t="shared" ca="1" si="49"/>
        <v/>
      </c>
      <c r="Q784" s="30" t="str">
        <f>IF($K784="","",IFERROR(IF(INDEX(Bookings!$G$3:$G$202,MATCH($K784,Bookings!$A$3:$A$202,0))="","",INDEX(Bookings!$G$3:$G$202,MATCH($K784,Bookings!$A$3:$A$202,0))),""))</f>
        <v/>
      </c>
    </row>
    <row r="785" spans="1:17" hidden="1" x14ac:dyDescent="0.35">
      <c r="A785" s="81"/>
      <c r="B785" s="81"/>
      <c r="C785" s="21"/>
      <c r="D785" s="56"/>
      <c r="E785" s="14"/>
      <c r="F785" s="14"/>
      <c r="G785" s="14"/>
      <c r="H785" s="83">
        <f t="shared" si="50"/>
        <v>0</v>
      </c>
      <c r="I785" s="80"/>
      <c r="J785" s="80"/>
      <c r="K785" s="7" t="str">
        <f>IF($B785="","",IFERROR(INDEX(Connaissements!$B$3:$B$202,MATCH($B785,Connaissements!$A$3:$A$202,0)),""))</f>
        <v/>
      </c>
      <c r="L785" s="7" t="str">
        <f>IF($B785="","",IFERROR(INDEX(Connaissements!$G$3:$G$202,MATCH($B785,Connaissements!$A$3:$A$202,0)),""))</f>
        <v/>
      </c>
      <c r="M785" s="7" t="str">
        <f t="shared" si="47"/>
        <v/>
      </c>
      <c r="N785" s="7" t="str">
        <f t="shared" ca="1" si="48"/>
        <v/>
      </c>
      <c r="O785" s="13"/>
      <c r="P785" s="29" t="str">
        <f t="shared" ca="1" si="49"/>
        <v/>
      </c>
      <c r="Q785" s="30" t="str">
        <f>IF($K785="","",IFERROR(IF(INDEX(Bookings!$G$3:$G$202,MATCH($K785,Bookings!$A$3:$A$202,0))="","",INDEX(Bookings!$G$3:$G$202,MATCH($K785,Bookings!$A$3:$A$202,0))),""))</f>
        <v/>
      </c>
    </row>
    <row r="786" spans="1:17" hidden="1" x14ac:dyDescent="0.35">
      <c r="A786" s="81"/>
      <c r="B786" s="81"/>
      <c r="C786" s="21"/>
      <c r="D786" s="56"/>
      <c r="E786" s="14"/>
      <c r="F786" s="14"/>
      <c r="G786" s="14"/>
      <c r="H786" s="83">
        <f t="shared" si="50"/>
        <v>0</v>
      </c>
      <c r="I786" s="80"/>
      <c r="J786" s="80"/>
      <c r="K786" s="7" t="str">
        <f>IF($B786="","",IFERROR(INDEX(Connaissements!$B$3:$B$202,MATCH($B786,Connaissements!$A$3:$A$202,0)),""))</f>
        <v/>
      </c>
      <c r="L786" s="7" t="str">
        <f>IF($B786="","",IFERROR(INDEX(Connaissements!$G$3:$G$202,MATCH($B786,Connaissements!$A$3:$A$202,0)),""))</f>
        <v/>
      </c>
      <c r="M786" s="7" t="str">
        <f t="shared" si="47"/>
        <v/>
      </c>
      <c r="N786" s="7" t="str">
        <f t="shared" ca="1" si="48"/>
        <v/>
      </c>
      <c r="O786" s="13"/>
      <c r="P786" s="29" t="str">
        <f t="shared" ca="1" si="49"/>
        <v/>
      </c>
      <c r="Q786" s="30" t="str">
        <f>IF($K786="","",IFERROR(IF(INDEX(Bookings!$G$3:$G$202,MATCH($K786,Bookings!$A$3:$A$202,0))="","",INDEX(Bookings!$G$3:$G$202,MATCH($K786,Bookings!$A$3:$A$202,0))),""))</f>
        <v/>
      </c>
    </row>
    <row r="787" spans="1:17" hidden="1" x14ac:dyDescent="0.35">
      <c r="A787" s="81"/>
      <c r="B787" s="81"/>
      <c r="C787" s="21"/>
      <c r="D787" s="56"/>
      <c r="E787" s="14"/>
      <c r="F787" s="14"/>
      <c r="G787" s="14"/>
      <c r="H787" s="83">
        <f t="shared" si="50"/>
        <v>0</v>
      </c>
      <c r="I787" s="80"/>
      <c r="J787" s="80"/>
      <c r="K787" s="7" t="str">
        <f>IF($B787="","",IFERROR(INDEX(Connaissements!$B$3:$B$202,MATCH($B787,Connaissements!$A$3:$A$202,0)),""))</f>
        <v/>
      </c>
      <c r="L787" s="7" t="str">
        <f>IF($B787="","",IFERROR(INDEX(Connaissements!$G$3:$G$202,MATCH($B787,Connaissements!$A$3:$A$202,0)),""))</f>
        <v/>
      </c>
      <c r="M787" s="7" t="str">
        <f t="shared" si="47"/>
        <v/>
      </c>
      <c r="N787" s="7" t="str">
        <f t="shared" ca="1" si="48"/>
        <v/>
      </c>
      <c r="O787" s="13"/>
      <c r="P787" s="29" t="str">
        <f t="shared" ca="1" si="49"/>
        <v/>
      </c>
      <c r="Q787" s="30" t="str">
        <f>IF($K787="","",IFERROR(IF(INDEX(Bookings!$G$3:$G$202,MATCH($K787,Bookings!$A$3:$A$202,0))="","",INDEX(Bookings!$G$3:$G$202,MATCH($K787,Bookings!$A$3:$A$202,0))),""))</f>
        <v/>
      </c>
    </row>
    <row r="788" spans="1:17" hidden="1" x14ac:dyDescent="0.35">
      <c r="A788" s="81"/>
      <c r="B788" s="81"/>
      <c r="C788" s="21"/>
      <c r="D788" s="56"/>
      <c r="E788" s="14"/>
      <c r="F788" s="14"/>
      <c r="G788" s="14"/>
      <c r="H788" s="83">
        <f t="shared" si="50"/>
        <v>0</v>
      </c>
      <c r="I788" s="80"/>
      <c r="J788" s="80"/>
      <c r="K788" s="7" t="str">
        <f>IF($B788="","",IFERROR(INDEX(Connaissements!$B$3:$B$202,MATCH($B788,Connaissements!$A$3:$A$202,0)),""))</f>
        <v/>
      </c>
      <c r="L788" s="7" t="str">
        <f>IF($B788="","",IFERROR(INDEX(Connaissements!$G$3:$G$202,MATCH($B788,Connaissements!$A$3:$A$202,0)),""))</f>
        <v/>
      </c>
      <c r="M788" s="7" t="str">
        <f t="shared" si="47"/>
        <v/>
      </c>
      <c r="N788" s="7" t="str">
        <f t="shared" ca="1" si="48"/>
        <v/>
      </c>
      <c r="O788" s="13"/>
      <c r="P788" s="29" t="str">
        <f t="shared" ca="1" si="49"/>
        <v/>
      </c>
      <c r="Q788" s="30" t="str">
        <f>IF($K788="","",IFERROR(IF(INDEX(Bookings!$G$3:$G$202,MATCH($K788,Bookings!$A$3:$A$202,0))="","",INDEX(Bookings!$G$3:$G$202,MATCH($K788,Bookings!$A$3:$A$202,0))),""))</f>
        <v/>
      </c>
    </row>
    <row r="789" spans="1:17" hidden="1" x14ac:dyDescent="0.35">
      <c r="A789" s="81"/>
      <c r="B789" s="81"/>
      <c r="C789" s="21"/>
      <c r="D789" s="56"/>
      <c r="E789" s="14"/>
      <c r="F789" s="14"/>
      <c r="G789" s="14"/>
      <c r="H789" s="83">
        <f t="shared" si="50"/>
        <v>0</v>
      </c>
      <c r="I789" s="80"/>
      <c r="J789" s="80"/>
      <c r="K789" s="7" t="str">
        <f>IF($B789="","",IFERROR(INDEX(Connaissements!$B$3:$B$202,MATCH($B789,Connaissements!$A$3:$A$202,0)),""))</f>
        <v/>
      </c>
      <c r="L789" s="7" t="str">
        <f>IF($B789="","",IFERROR(INDEX(Connaissements!$G$3:$G$202,MATCH($B789,Connaissements!$A$3:$A$202,0)),""))</f>
        <v/>
      </c>
      <c r="M789" s="7" t="str">
        <f t="shared" si="47"/>
        <v/>
      </c>
      <c r="N789" s="7" t="str">
        <f t="shared" ca="1" si="48"/>
        <v/>
      </c>
      <c r="O789" s="13"/>
      <c r="P789" s="29" t="str">
        <f t="shared" ca="1" si="49"/>
        <v/>
      </c>
      <c r="Q789" s="30" t="str">
        <f>IF($K789="","",IFERROR(IF(INDEX(Bookings!$G$3:$G$202,MATCH($K789,Bookings!$A$3:$A$202,0))="","",INDEX(Bookings!$G$3:$G$202,MATCH($K789,Bookings!$A$3:$A$202,0))),""))</f>
        <v/>
      </c>
    </row>
    <row r="790" spans="1:17" hidden="1" x14ac:dyDescent="0.35">
      <c r="A790" s="81"/>
      <c r="B790" s="81"/>
      <c r="C790" s="21"/>
      <c r="D790" s="56"/>
      <c r="E790" s="14"/>
      <c r="F790" s="14"/>
      <c r="G790" s="14"/>
      <c r="H790" s="83">
        <f t="shared" si="50"/>
        <v>0</v>
      </c>
      <c r="I790" s="80"/>
      <c r="J790" s="80"/>
      <c r="K790" s="7" t="str">
        <f>IF($B790="","",IFERROR(INDEX(Connaissements!$B$3:$B$202,MATCH($B790,Connaissements!$A$3:$A$202,0)),""))</f>
        <v/>
      </c>
      <c r="L790" s="7" t="str">
        <f>IF($B790="","",IFERROR(INDEX(Connaissements!$G$3:$G$202,MATCH($B790,Connaissements!$A$3:$A$202,0)),""))</f>
        <v/>
      </c>
      <c r="M790" s="7" t="str">
        <f t="shared" si="47"/>
        <v/>
      </c>
      <c r="N790" s="7" t="str">
        <f t="shared" ca="1" si="48"/>
        <v/>
      </c>
      <c r="O790" s="13"/>
      <c r="P790" s="29" t="str">
        <f t="shared" ca="1" si="49"/>
        <v/>
      </c>
      <c r="Q790" s="30" t="str">
        <f>IF($K790="","",IFERROR(IF(INDEX(Bookings!$G$3:$G$202,MATCH($K790,Bookings!$A$3:$A$202,0))="","",INDEX(Bookings!$G$3:$G$202,MATCH($K790,Bookings!$A$3:$A$202,0))),""))</f>
        <v/>
      </c>
    </row>
    <row r="791" spans="1:17" hidden="1" x14ac:dyDescent="0.35">
      <c r="A791" s="81"/>
      <c r="B791" s="81"/>
      <c r="C791" s="21"/>
      <c r="D791" s="56"/>
      <c r="E791" s="14"/>
      <c r="F791" s="14"/>
      <c r="G791" s="14"/>
      <c r="H791" s="83">
        <f t="shared" si="50"/>
        <v>0</v>
      </c>
      <c r="I791" s="80"/>
      <c r="J791" s="80"/>
      <c r="K791" s="7" t="str">
        <f>IF($B791="","",IFERROR(INDEX(Connaissements!$B$3:$B$202,MATCH($B791,Connaissements!$A$3:$A$202,0)),""))</f>
        <v/>
      </c>
      <c r="L791" s="7" t="str">
        <f>IF($B791="","",IFERROR(INDEX(Connaissements!$G$3:$G$202,MATCH($B791,Connaissements!$A$3:$A$202,0)),""))</f>
        <v/>
      </c>
      <c r="M791" s="7" t="str">
        <f t="shared" si="47"/>
        <v/>
      </c>
      <c r="N791" s="7" t="str">
        <f t="shared" ca="1" si="48"/>
        <v/>
      </c>
      <c r="O791" s="13"/>
      <c r="P791" s="29" t="str">
        <f t="shared" ca="1" si="49"/>
        <v/>
      </c>
      <c r="Q791" s="30" t="str">
        <f>IF($K791="","",IFERROR(IF(INDEX(Bookings!$G$3:$G$202,MATCH($K791,Bookings!$A$3:$A$202,0))="","",INDEX(Bookings!$G$3:$G$202,MATCH($K791,Bookings!$A$3:$A$202,0))),""))</f>
        <v/>
      </c>
    </row>
    <row r="792" spans="1:17" hidden="1" x14ac:dyDescent="0.35">
      <c r="A792" s="81"/>
      <c r="B792" s="81"/>
      <c r="C792" s="21"/>
      <c r="D792" s="56"/>
      <c r="E792" s="14"/>
      <c r="F792" s="14"/>
      <c r="G792" s="14"/>
      <c r="H792" s="83">
        <f t="shared" si="50"/>
        <v>0</v>
      </c>
      <c r="I792" s="80"/>
      <c r="J792" s="80"/>
      <c r="K792" s="7" t="str">
        <f>IF($B792="","",IFERROR(INDEX(Connaissements!$B$3:$B$202,MATCH($B792,Connaissements!$A$3:$A$202,0)),""))</f>
        <v/>
      </c>
      <c r="L792" s="7" t="str">
        <f>IF($B792="","",IFERROR(INDEX(Connaissements!$G$3:$G$202,MATCH($B792,Connaissements!$A$3:$A$202,0)),""))</f>
        <v/>
      </c>
      <c r="M792" s="7" t="str">
        <f t="shared" si="47"/>
        <v/>
      </c>
      <c r="N792" s="7" t="str">
        <f t="shared" ca="1" si="48"/>
        <v/>
      </c>
      <c r="O792" s="13"/>
      <c r="P792" s="29" t="str">
        <f t="shared" ca="1" si="49"/>
        <v/>
      </c>
      <c r="Q792" s="30" t="str">
        <f>IF($K792="","",IFERROR(IF(INDEX(Bookings!$G$3:$G$202,MATCH($K792,Bookings!$A$3:$A$202,0))="","",INDEX(Bookings!$G$3:$G$202,MATCH($K792,Bookings!$A$3:$A$202,0))),""))</f>
        <v/>
      </c>
    </row>
    <row r="793" spans="1:17" hidden="1" x14ac:dyDescent="0.35">
      <c r="A793" s="81"/>
      <c r="B793" s="81"/>
      <c r="C793" s="21"/>
      <c r="D793" s="56"/>
      <c r="E793" s="14"/>
      <c r="F793" s="14"/>
      <c r="G793" s="14"/>
      <c r="H793" s="83">
        <f t="shared" si="50"/>
        <v>0</v>
      </c>
      <c r="I793" s="80"/>
      <c r="J793" s="80"/>
      <c r="K793" s="7" t="str">
        <f>IF($B793="","",IFERROR(INDEX(Connaissements!$B$3:$B$202,MATCH($B793,Connaissements!$A$3:$A$202,0)),""))</f>
        <v/>
      </c>
      <c r="L793" s="7" t="str">
        <f>IF($B793="","",IFERROR(INDEX(Connaissements!$G$3:$G$202,MATCH($B793,Connaissements!$A$3:$A$202,0)),""))</f>
        <v/>
      </c>
      <c r="M793" s="7" t="str">
        <f t="shared" si="47"/>
        <v/>
      </c>
      <c r="N793" s="7" t="str">
        <f t="shared" ca="1" si="48"/>
        <v/>
      </c>
      <c r="O793" s="13"/>
      <c r="P793" s="29" t="str">
        <f t="shared" ca="1" si="49"/>
        <v/>
      </c>
      <c r="Q793" s="30" t="str">
        <f>IF($K793="","",IFERROR(IF(INDEX(Bookings!$G$3:$G$202,MATCH($K793,Bookings!$A$3:$A$202,0))="","",INDEX(Bookings!$G$3:$G$202,MATCH($K793,Bookings!$A$3:$A$202,0))),""))</f>
        <v/>
      </c>
    </row>
    <row r="794" spans="1:17" hidden="1" x14ac:dyDescent="0.35">
      <c r="A794" s="81"/>
      <c r="B794" s="81"/>
      <c r="C794" s="21"/>
      <c r="D794" s="56"/>
      <c r="E794" s="14"/>
      <c r="F794" s="14"/>
      <c r="G794" s="14"/>
      <c r="H794" s="83">
        <f t="shared" si="50"/>
        <v>0</v>
      </c>
      <c r="I794" s="80"/>
      <c r="J794" s="80"/>
      <c r="K794" s="7" t="str">
        <f>IF($B794="","",IFERROR(INDEX(Connaissements!$B$3:$B$202,MATCH($B794,Connaissements!$A$3:$A$202,0)),""))</f>
        <v/>
      </c>
      <c r="L794" s="7" t="str">
        <f>IF($B794="","",IFERROR(INDEX(Connaissements!$G$3:$G$202,MATCH($B794,Connaissements!$A$3:$A$202,0)),""))</f>
        <v/>
      </c>
      <c r="M794" s="7" t="str">
        <f t="shared" si="47"/>
        <v/>
      </c>
      <c r="N794" s="7" t="str">
        <f t="shared" ca="1" si="48"/>
        <v/>
      </c>
      <c r="O794" s="13"/>
      <c r="P794" s="29" t="str">
        <f t="shared" ca="1" si="49"/>
        <v/>
      </c>
      <c r="Q794" s="30" t="str">
        <f>IF($K794="","",IFERROR(IF(INDEX(Bookings!$G$3:$G$202,MATCH($K794,Bookings!$A$3:$A$202,0))="","",INDEX(Bookings!$G$3:$G$202,MATCH($K794,Bookings!$A$3:$A$202,0))),""))</f>
        <v/>
      </c>
    </row>
    <row r="795" spans="1:17" hidden="1" x14ac:dyDescent="0.35">
      <c r="A795" s="81"/>
      <c r="B795" s="81"/>
      <c r="C795" s="21"/>
      <c r="D795" s="56"/>
      <c r="E795" s="14"/>
      <c r="F795" s="14"/>
      <c r="G795" s="14"/>
      <c r="H795" s="83">
        <f t="shared" si="50"/>
        <v>0</v>
      </c>
      <c r="I795" s="80"/>
      <c r="J795" s="80"/>
      <c r="K795" s="7" t="str">
        <f>IF($B795="","",IFERROR(INDEX(Connaissements!$B$3:$B$202,MATCH($B795,Connaissements!$A$3:$A$202,0)),""))</f>
        <v/>
      </c>
      <c r="L795" s="7" t="str">
        <f>IF($B795="","",IFERROR(INDEX(Connaissements!$G$3:$G$202,MATCH($B795,Connaissements!$A$3:$A$202,0)),""))</f>
        <v/>
      </c>
      <c r="M795" s="7" t="str">
        <f t="shared" si="47"/>
        <v/>
      </c>
      <c r="N795" s="7" t="str">
        <f t="shared" ca="1" si="48"/>
        <v/>
      </c>
      <c r="O795" s="13"/>
      <c r="P795" s="29" t="str">
        <f t="shared" ca="1" si="49"/>
        <v/>
      </c>
      <c r="Q795" s="30" t="str">
        <f>IF($K795="","",IFERROR(IF(INDEX(Bookings!$G$3:$G$202,MATCH($K795,Bookings!$A$3:$A$202,0))="","",INDEX(Bookings!$G$3:$G$202,MATCH($K795,Bookings!$A$3:$A$202,0))),""))</f>
        <v/>
      </c>
    </row>
    <row r="796" spans="1:17" hidden="1" x14ac:dyDescent="0.35">
      <c r="A796" s="81"/>
      <c r="B796" s="81"/>
      <c r="C796" s="21"/>
      <c r="D796" s="56"/>
      <c r="E796" s="14"/>
      <c r="F796" s="14"/>
      <c r="G796" s="14"/>
      <c r="H796" s="83">
        <f t="shared" si="50"/>
        <v>0</v>
      </c>
      <c r="I796" s="80"/>
      <c r="J796" s="80"/>
      <c r="K796" s="7" t="str">
        <f>IF($B796="","",IFERROR(INDEX(Connaissements!$B$3:$B$202,MATCH($B796,Connaissements!$A$3:$A$202,0)),""))</f>
        <v/>
      </c>
      <c r="L796" s="7" t="str">
        <f>IF($B796="","",IFERROR(INDEX(Connaissements!$G$3:$G$202,MATCH($B796,Connaissements!$A$3:$A$202,0)),""))</f>
        <v/>
      </c>
      <c r="M796" s="7" t="str">
        <f t="shared" si="47"/>
        <v/>
      </c>
      <c r="N796" s="7" t="str">
        <f t="shared" ca="1" si="48"/>
        <v/>
      </c>
      <c r="O796" s="13"/>
      <c r="P796" s="29" t="str">
        <f t="shared" ca="1" si="49"/>
        <v/>
      </c>
      <c r="Q796" s="30" t="str">
        <f>IF($K796="","",IFERROR(IF(INDEX(Bookings!$G$3:$G$202,MATCH($K796,Bookings!$A$3:$A$202,0))="","",INDEX(Bookings!$G$3:$G$202,MATCH($K796,Bookings!$A$3:$A$202,0))),""))</f>
        <v/>
      </c>
    </row>
    <row r="797" spans="1:17" hidden="1" x14ac:dyDescent="0.35">
      <c r="A797" s="81"/>
      <c r="B797" s="81"/>
      <c r="C797" s="21"/>
      <c r="D797" s="56"/>
      <c r="E797" s="14"/>
      <c r="F797" s="14"/>
      <c r="G797" s="14"/>
      <c r="H797" s="83">
        <f t="shared" si="50"/>
        <v>0</v>
      </c>
      <c r="I797" s="80"/>
      <c r="J797" s="80"/>
      <c r="K797" s="7" t="str">
        <f>IF($B797="","",IFERROR(INDEX(Connaissements!$B$3:$B$202,MATCH($B797,Connaissements!$A$3:$A$202,0)),""))</f>
        <v/>
      </c>
      <c r="L797" s="7" t="str">
        <f>IF($B797="","",IFERROR(INDEX(Connaissements!$G$3:$G$202,MATCH($B797,Connaissements!$A$3:$A$202,0)),""))</f>
        <v/>
      </c>
      <c r="M797" s="7" t="str">
        <f t="shared" si="47"/>
        <v/>
      </c>
      <c r="N797" s="7" t="str">
        <f t="shared" ca="1" si="48"/>
        <v/>
      </c>
      <c r="O797" s="13"/>
      <c r="P797" s="29" t="str">
        <f t="shared" ca="1" si="49"/>
        <v/>
      </c>
      <c r="Q797" s="30" t="str">
        <f>IF($K797="","",IFERROR(IF(INDEX(Bookings!$G$3:$G$202,MATCH($K797,Bookings!$A$3:$A$202,0))="","",INDEX(Bookings!$G$3:$G$202,MATCH($K797,Bookings!$A$3:$A$202,0))),""))</f>
        <v/>
      </c>
    </row>
    <row r="798" spans="1:17" hidden="1" x14ac:dyDescent="0.35">
      <c r="A798" s="81"/>
      <c r="B798" s="81"/>
      <c r="C798" s="21"/>
      <c r="D798" s="56"/>
      <c r="E798" s="14"/>
      <c r="F798" s="14"/>
      <c r="G798" s="14"/>
      <c r="H798" s="83">
        <f t="shared" si="50"/>
        <v>0</v>
      </c>
      <c r="I798" s="80"/>
      <c r="J798" s="80"/>
      <c r="K798" s="7" t="str">
        <f>IF($B798="","",IFERROR(INDEX(Connaissements!$B$3:$B$202,MATCH($B798,Connaissements!$A$3:$A$202,0)),""))</f>
        <v/>
      </c>
      <c r="L798" s="7" t="str">
        <f>IF($B798="","",IFERROR(INDEX(Connaissements!$G$3:$G$202,MATCH($B798,Connaissements!$A$3:$A$202,0)),""))</f>
        <v/>
      </c>
      <c r="M798" s="7" t="str">
        <f t="shared" si="47"/>
        <v/>
      </c>
      <c r="N798" s="7" t="str">
        <f t="shared" ca="1" si="48"/>
        <v/>
      </c>
      <c r="O798" s="13"/>
      <c r="P798" s="29" t="str">
        <f t="shared" ca="1" si="49"/>
        <v/>
      </c>
      <c r="Q798" s="30" t="str">
        <f>IF($K798="","",IFERROR(IF(INDEX(Bookings!$G$3:$G$202,MATCH($K798,Bookings!$A$3:$A$202,0))="","",INDEX(Bookings!$G$3:$G$202,MATCH($K798,Bookings!$A$3:$A$202,0))),""))</f>
        <v/>
      </c>
    </row>
    <row r="799" spans="1:17" hidden="1" x14ac:dyDescent="0.35">
      <c r="A799" s="81"/>
      <c r="B799" s="81"/>
      <c r="C799" s="21"/>
      <c r="D799" s="56"/>
      <c r="E799" s="14"/>
      <c r="F799" s="14"/>
      <c r="G799" s="14"/>
      <c r="H799" s="83">
        <f t="shared" si="50"/>
        <v>0</v>
      </c>
      <c r="I799" s="80"/>
      <c r="J799" s="80"/>
      <c r="K799" s="7" t="str">
        <f>IF($B799="","",IFERROR(INDEX(Connaissements!$B$3:$B$202,MATCH($B799,Connaissements!$A$3:$A$202,0)),""))</f>
        <v/>
      </c>
      <c r="L799" s="7" t="str">
        <f>IF($B799="","",IFERROR(INDEX(Connaissements!$G$3:$G$202,MATCH($B799,Connaissements!$A$3:$A$202,0)),""))</f>
        <v/>
      </c>
      <c r="M799" s="7" t="str">
        <f t="shared" si="47"/>
        <v/>
      </c>
      <c r="N799" s="7" t="str">
        <f t="shared" ca="1" si="48"/>
        <v/>
      </c>
      <c r="O799" s="13"/>
      <c r="P799" s="29" t="str">
        <f t="shared" ca="1" si="49"/>
        <v/>
      </c>
      <c r="Q799" s="30" t="str">
        <f>IF($K799="","",IFERROR(IF(INDEX(Bookings!$G$3:$G$202,MATCH($K799,Bookings!$A$3:$A$202,0))="","",INDEX(Bookings!$G$3:$G$202,MATCH($K799,Bookings!$A$3:$A$202,0))),""))</f>
        <v/>
      </c>
    </row>
    <row r="800" spans="1:17" hidden="1" x14ac:dyDescent="0.35">
      <c r="A800" s="81"/>
      <c r="B800" s="81"/>
      <c r="C800" s="21"/>
      <c r="D800" s="56"/>
      <c r="E800" s="14"/>
      <c r="F800" s="14"/>
      <c r="G800" s="14"/>
      <c r="H800" s="83">
        <f t="shared" si="50"/>
        <v>0</v>
      </c>
      <c r="I800" s="80"/>
      <c r="J800" s="80"/>
      <c r="K800" s="7" t="str">
        <f>IF($B800="","",IFERROR(INDEX(Connaissements!$B$3:$B$202,MATCH($B800,Connaissements!$A$3:$A$202,0)),""))</f>
        <v/>
      </c>
      <c r="L800" s="7" t="str">
        <f>IF($B800="","",IFERROR(INDEX(Connaissements!$G$3:$G$202,MATCH($B800,Connaissements!$A$3:$A$202,0)),""))</f>
        <v/>
      </c>
      <c r="M800" s="7" t="str">
        <f t="shared" si="47"/>
        <v/>
      </c>
      <c r="N800" s="7" t="str">
        <f t="shared" ca="1" si="48"/>
        <v/>
      </c>
      <c r="O800" s="13"/>
      <c r="P800" s="29" t="str">
        <f t="shared" ca="1" si="49"/>
        <v/>
      </c>
      <c r="Q800" s="30" t="str">
        <f>IF($K800="","",IFERROR(IF(INDEX(Bookings!$G$3:$G$202,MATCH($K800,Bookings!$A$3:$A$202,0))="","",INDEX(Bookings!$G$3:$G$202,MATCH($K800,Bookings!$A$3:$A$202,0))),""))</f>
        <v/>
      </c>
    </row>
    <row r="801" spans="1:17" hidden="1" x14ac:dyDescent="0.35">
      <c r="A801" s="81"/>
      <c r="B801" s="81"/>
      <c r="C801" s="21"/>
      <c r="D801" s="56"/>
      <c r="E801" s="14"/>
      <c r="F801" s="14"/>
      <c r="G801" s="14"/>
      <c r="H801" s="83">
        <f t="shared" si="50"/>
        <v>0</v>
      </c>
      <c r="I801" s="80"/>
      <c r="J801" s="80"/>
      <c r="K801" s="7" t="str">
        <f>IF($B801="","",IFERROR(INDEX(Connaissements!$B$3:$B$202,MATCH($B801,Connaissements!$A$3:$A$202,0)),""))</f>
        <v/>
      </c>
      <c r="L801" s="7" t="str">
        <f>IF($B801="","",IFERROR(INDEX(Connaissements!$G$3:$G$202,MATCH($B801,Connaissements!$A$3:$A$202,0)),""))</f>
        <v/>
      </c>
      <c r="M801" s="7" t="str">
        <f t="shared" si="47"/>
        <v/>
      </c>
      <c r="N801" s="7" t="str">
        <f t="shared" ca="1" si="48"/>
        <v/>
      </c>
      <c r="O801" s="13"/>
      <c r="P801" s="29" t="str">
        <f t="shared" ca="1" si="49"/>
        <v/>
      </c>
      <c r="Q801" s="30" t="str">
        <f>IF($K801="","",IFERROR(IF(INDEX(Bookings!$G$3:$G$202,MATCH($K801,Bookings!$A$3:$A$202,0))="","",INDEX(Bookings!$G$3:$G$202,MATCH($K801,Bookings!$A$3:$A$202,0))),""))</f>
        <v/>
      </c>
    </row>
    <row r="802" spans="1:17" hidden="1" x14ac:dyDescent="0.35">
      <c r="A802" s="81"/>
      <c r="B802" s="81"/>
      <c r="C802" s="21"/>
      <c r="D802" s="56"/>
      <c r="E802" s="14"/>
      <c r="F802" s="14"/>
      <c r="G802" s="14"/>
      <c r="H802" s="83">
        <f t="shared" si="50"/>
        <v>0</v>
      </c>
      <c r="I802" s="80"/>
      <c r="J802" s="80"/>
      <c r="K802" s="7" t="str">
        <f>IF($B802="","",IFERROR(INDEX(Connaissements!$B$3:$B$202,MATCH($B802,Connaissements!$A$3:$A$202,0)),""))</f>
        <v/>
      </c>
      <c r="L802" s="7" t="str">
        <f>IF($B802="","",IFERROR(INDEX(Connaissements!$G$3:$G$202,MATCH($B802,Connaissements!$A$3:$A$202,0)),""))</f>
        <v/>
      </c>
      <c r="M802" s="7" t="str">
        <f t="shared" si="47"/>
        <v/>
      </c>
      <c r="N802" s="7" t="str">
        <f t="shared" ca="1" si="48"/>
        <v/>
      </c>
      <c r="O802" s="13"/>
      <c r="P802" s="29" t="str">
        <f t="shared" ca="1" si="49"/>
        <v/>
      </c>
      <c r="Q802" s="30" t="str">
        <f>IF($K802="","",IFERROR(IF(INDEX(Bookings!$G$3:$G$202,MATCH($K802,Bookings!$A$3:$A$202,0))="","",INDEX(Bookings!$G$3:$G$202,MATCH($K802,Bookings!$A$3:$A$202,0))),""))</f>
        <v/>
      </c>
    </row>
    <row r="803" spans="1:17" hidden="1" x14ac:dyDescent="0.35">
      <c r="A803" s="81"/>
      <c r="B803" s="81"/>
      <c r="C803" s="21"/>
      <c r="D803" s="56"/>
      <c r="E803" s="14"/>
      <c r="F803" s="14"/>
      <c r="G803" s="14"/>
      <c r="H803" s="83">
        <f t="shared" si="50"/>
        <v>0</v>
      </c>
      <c r="I803" s="80"/>
      <c r="J803" s="80"/>
      <c r="K803" s="7" t="str">
        <f>IF($B803="","",IFERROR(INDEX(Connaissements!$B$3:$B$202,MATCH($B803,Connaissements!$A$3:$A$202,0)),""))</f>
        <v/>
      </c>
      <c r="L803" s="7" t="str">
        <f>IF($B803="","",IFERROR(INDEX(Connaissements!$G$3:$G$202,MATCH($B803,Connaissements!$A$3:$A$202,0)),""))</f>
        <v/>
      </c>
      <c r="M803" s="7" t="str">
        <f t="shared" si="47"/>
        <v/>
      </c>
      <c r="N803" s="7" t="str">
        <f t="shared" ca="1" si="48"/>
        <v/>
      </c>
      <c r="O803" s="13"/>
      <c r="P803" s="29" t="str">
        <f t="shared" ca="1" si="49"/>
        <v/>
      </c>
      <c r="Q803" s="30" t="str">
        <f>IF($K803="","",IFERROR(IF(INDEX(Bookings!$G$3:$G$202,MATCH($K803,Bookings!$A$3:$A$202,0))="","",INDEX(Bookings!$G$3:$G$202,MATCH($K803,Bookings!$A$3:$A$202,0))),""))</f>
        <v/>
      </c>
    </row>
    <row r="804" spans="1:17" hidden="1" x14ac:dyDescent="0.35">
      <c r="A804" s="81"/>
      <c r="B804" s="81"/>
      <c r="C804" s="21"/>
      <c r="D804" s="56"/>
      <c r="E804" s="14"/>
      <c r="F804" s="14"/>
      <c r="G804" s="14"/>
      <c r="H804" s="83">
        <f t="shared" si="50"/>
        <v>0</v>
      </c>
      <c r="I804" s="80"/>
      <c r="J804" s="80"/>
      <c r="K804" s="7" t="str">
        <f>IF($B804="","",IFERROR(INDEX(Connaissements!$B$3:$B$202,MATCH($B804,Connaissements!$A$3:$A$202,0)),""))</f>
        <v/>
      </c>
      <c r="L804" s="7" t="str">
        <f>IF($B804="","",IFERROR(INDEX(Connaissements!$G$3:$G$202,MATCH($B804,Connaissements!$A$3:$A$202,0)),""))</f>
        <v/>
      </c>
      <c r="M804" s="7" t="str">
        <f t="shared" si="47"/>
        <v/>
      </c>
      <c r="N804" s="7" t="str">
        <f t="shared" ca="1" si="48"/>
        <v/>
      </c>
      <c r="O804" s="13"/>
      <c r="P804" s="29" t="str">
        <f t="shared" ca="1" si="49"/>
        <v/>
      </c>
      <c r="Q804" s="30" t="str">
        <f>IF($K804="","",IFERROR(IF(INDEX(Bookings!$G$3:$G$202,MATCH($K804,Bookings!$A$3:$A$202,0))="","",INDEX(Bookings!$G$3:$G$202,MATCH($K804,Bookings!$A$3:$A$202,0))),""))</f>
        <v/>
      </c>
    </row>
    <row r="805" spans="1:17" hidden="1" x14ac:dyDescent="0.35">
      <c r="A805" s="81"/>
      <c r="B805" s="81"/>
      <c r="C805" s="21"/>
      <c r="D805" s="56"/>
      <c r="E805" s="14"/>
      <c r="F805" s="14"/>
      <c r="G805" s="14"/>
      <c r="H805" s="83">
        <f t="shared" si="50"/>
        <v>0</v>
      </c>
      <c r="I805" s="80"/>
      <c r="J805" s="80"/>
      <c r="K805" s="7" t="str">
        <f>IF($B805="","",IFERROR(INDEX(Connaissements!$B$3:$B$202,MATCH($B805,Connaissements!$A$3:$A$202,0)),""))</f>
        <v/>
      </c>
      <c r="L805" s="7" t="str">
        <f>IF($B805="","",IFERROR(INDEX(Connaissements!$G$3:$G$202,MATCH($B805,Connaissements!$A$3:$A$202,0)),""))</f>
        <v/>
      </c>
      <c r="M805" s="7" t="str">
        <f t="shared" si="47"/>
        <v/>
      </c>
      <c r="N805" s="7" t="str">
        <f t="shared" ca="1" si="48"/>
        <v/>
      </c>
      <c r="O805" s="13"/>
      <c r="P805" s="29" t="str">
        <f t="shared" ca="1" si="49"/>
        <v/>
      </c>
      <c r="Q805" s="30" t="str">
        <f>IF($K805="","",IFERROR(IF(INDEX(Bookings!$G$3:$G$202,MATCH($K805,Bookings!$A$3:$A$202,0))="","",INDEX(Bookings!$G$3:$G$202,MATCH($K805,Bookings!$A$3:$A$202,0))),""))</f>
        <v/>
      </c>
    </row>
    <row r="806" spans="1:17" hidden="1" x14ac:dyDescent="0.35">
      <c r="A806" s="81"/>
      <c r="B806" s="81"/>
      <c r="C806" s="21"/>
      <c r="D806" s="56"/>
      <c r="E806" s="14"/>
      <c r="F806" s="14"/>
      <c r="G806" s="14"/>
      <c r="H806" s="83">
        <f t="shared" si="50"/>
        <v>0</v>
      </c>
      <c r="I806" s="80"/>
      <c r="J806" s="80"/>
      <c r="K806" s="7" t="str">
        <f>IF($B806="","",IFERROR(INDEX(Connaissements!$B$3:$B$202,MATCH($B806,Connaissements!$A$3:$A$202,0)),""))</f>
        <v/>
      </c>
      <c r="L806" s="7" t="str">
        <f>IF($B806="","",IFERROR(INDEX(Connaissements!$G$3:$G$202,MATCH($B806,Connaissements!$A$3:$A$202,0)),""))</f>
        <v/>
      </c>
      <c r="M806" s="7" t="str">
        <f t="shared" si="47"/>
        <v/>
      </c>
      <c r="N806" s="7" t="str">
        <f t="shared" ca="1" si="48"/>
        <v/>
      </c>
      <c r="O806" s="13"/>
      <c r="P806" s="29" t="str">
        <f t="shared" ca="1" si="49"/>
        <v/>
      </c>
      <c r="Q806" s="30" t="str">
        <f>IF($K806="","",IFERROR(IF(INDEX(Bookings!$G$3:$G$202,MATCH($K806,Bookings!$A$3:$A$202,0))="","",INDEX(Bookings!$G$3:$G$202,MATCH($K806,Bookings!$A$3:$A$202,0))),""))</f>
        <v/>
      </c>
    </row>
    <row r="807" spans="1:17" hidden="1" x14ac:dyDescent="0.35">
      <c r="A807" s="81"/>
      <c r="B807" s="81"/>
      <c r="C807" s="21"/>
      <c r="D807" s="56"/>
      <c r="E807" s="14"/>
      <c r="F807" s="14"/>
      <c r="G807" s="14"/>
      <c r="H807" s="83">
        <f t="shared" si="50"/>
        <v>0</v>
      </c>
      <c r="I807" s="80"/>
      <c r="J807" s="80"/>
      <c r="K807" s="7" t="str">
        <f>IF($B807="","",IFERROR(INDEX(Connaissements!$B$3:$B$202,MATCH($B807,Connaissements!$A$3:$A$202,0)),""))</f>
        <v/>
      </c>
      <c r="L807" s="7" t="str">
        <f>IF($B807="","",IFERROR(INDEX(Connaissements!$G$3:$G$202,MATCH($B807,Connaissements!$A$3:$A$202,0)),""))</f>
        <v/>
      </c>
      <c r="M807" s="7" t="str">
        <f t="shared" si="47"/>
        <v/>
      </c>
      <c r="N807" s="7" t="str">
        <f t="shared" ca="1" si="48"/>
        <v/>
      </c>
      <c r="O807" s="13"/>
      <c r="P807" s="29" t="str">
        <f t="shared" ca="1" si="49"/>
        <v/>
      </c>
      <c r="Q807" s="30" t="str">
        <f>IF($K807="","",IFERROR(IF(INDEX(Bookings!$G$3:$G$202,MATCH($K807,Bookings!$A$3:$A$202,0))="","",INDEX(Bookings!$G$3:$G$202,MATCH($K807,Bookings!$A$3:$A$202,0))),""))</f>
        <v/>
      </c>
    </row>
    <row r="808" spans="1:17" hidden="1" x14ac:dyDescent="0.35">
      <c r="A808" s="81"/>
      <c r="B808" s="81"/>
      <c r="C808" s="21"/>
      <c r="D808" s="56"/>
      <c r="E808" s="14"/>
      <c r="F808" s="14"/>
      <c r="G808" s="14"/>
      <c r="H808" s="83">
        <f t="shared" si="50"/>
        <v>0</v>
      </c>
      <c r="I808" s="80"/>
      <c r="J808" s="80"/>
      <c r="K808" s="7" t="str">
        <f>IF($B808="","",IFERROR(INDEX(Connaissements!$B$3:$B$202,MATCH($B808,Connaissements!$A$3:$A$202,0)),""))</f>
        <v/>
      </c>
      <c r="L808" s="7" t="str">
        <f>IF($B808="","",IFERROR(INDEX(Connaissements!$G$3:$G$202,MATCH($B808,Connaissements!$A$3:$A$202,0)),""))</f>
        <v/>
      </c>
      <c r="M808" s="7" t="str">
        <f t="shared" si="47"/>
        <v/>
      </c>
      <c r="N808" s="7" t="str">
        <f t="shared" ca="1" si="48"/>
        <v/>
      </c>
      <c r="O808" s="13"/>
      <c r="P808" s="29" t="str">
        <f t="shared" ca="1" si="49"/>
        <v/>
      </c>
      <c r="Q808" s="30" t="str">
        <f>IF($K808="","",IFERROR(IF(INDEX(Bookings!$G$3:$G$202,MATCH($K808,Bookings!$A$3:$A$202,0))="","",INDEX(Bookings!$G$3:$G$202,MATCH($K808,Bookings!$A$3:$A$202,0))),""))</f>
        <v/>
      </c>
    </row>
    <row r="809" spans="1:17" hidden="1" x14ac:dyDescent="0.35">
      <c r="A809" s="81"/>
      <c r="B809" s="81"/>
      <c r="C809" s="21"/>
      <c r="D809" s="56"/>
      <c r="E809" s="14"/>
      <c r="F809" s="14"/>
      <c r="G809" s="14"/>
      <c r="H809" s="83">
        <f t="shared" si="50"/>
        <v>0</v>
      </c>
      <c r="I809" s="80"/>
      <c r="J809" s="80"/>
      <c r="K809" s="7" t="str">
        <f>IF($B809="","",IFERROR(INDEX(Connaissements!$B$3:$B$202,MATCH($B809,Connaissements!$A$3:$A$202,0)),""))</f>
        <v/>
      </c>
      <c r="L809" s="7" t="str">
        <f>IF($B809="","",IFERROR(INDEX(Connaissements!$G$3:$G$202,MATCH($B809,Connaissements!$A$3:$A$202,0)),""))</f>
        <v/>
      </c>
      <c r="M809" s="7" t="str">
        <f t="shared" si="47"/>
        <v/>
      </c>
      <c r="N809" s="7" t="str">
        <f t="shared" ca="1" si="48"/>
        <v/>
      </c>
      <c r="O809" s="13"/>
      <c r="P809" s="29" t="str">
        <f t="shared" ca="1" si="49"/>
        <v/>
      </c>
      <c r="Q809" s="30" t="str">
        <f>IF($K809="","",IFERROR(IF(INDEX(Bookings!$G$3:$G$202,MATCH($K809,Bookings!$A$3:$A$202,0))="","",INDEX(Bookings!$G$3:$G$202,MATCH($K809,Bookings!$A$3:$A$202,0))),""))</f>
        <v/>
      </c>
    </row>
    <row r="810" spans="1:17" hidden="1" x14ac:dyDescent="0.35">
      <c r="A810" s="81"/>
      <c r="B810" s="81"/>
      <c r="C810" s="21"/>
      <c r="D810" s="56"/>
      <c r="E810" s="14"/>
      <c r="F810" s="14"/>
      <c r="G810" s="14"/>
      <c r="H810" s="83">
        <f t="shared" si="50"/>
        <v>0</v>
      </c>
      <c r="I810" s="80"/>
      <c r="J810" s="80"/>
      <c r="K810" s="7" t="str">
        <f>IF($B810="","",IFERROR(INDEX(Connaissements!$B$3:$B$202,MATCH($B810,Connaissements!$A$3:$A$202,0)),""))</f>
        <v/>
      </c>
      <c r="L810" s="7" t="str">
        <f>IF($B810="","",IFERROR(INDEX(Connaissements!$G$3:$G$202,MATCH($B810,Connaissements!$A$3:$A$202,0)),""))</f>
        <v/>
      </c>
      <c r="M810" s="7" t="str">
        <f t="shared" si="47"/>
        <v/>
      </c>
      <c r="N810" s="7" t="str">
        <f t="shared" ca="1" si="48"/>
        <v/>
      </c>
      <c r="O810" s="13"/>
      <c r="P810" s="29" t="str">
        <f t="shared" ca="1" si="49"/>
        <v/>
      </c>
      <c r="Q810" s="30" t="str">
        <f>IF($K810="","",IFERROR(IF(INDEX(Bookings!$G$3:$G$202,MATCH($K810,Bookings!$A$3:$A$202,0))="","",INDEX(Bookings!$G$3:$G$202,MATCH($K810,Bookings!$A$3:$A$202,0))),""))</f>
        <v/>
      </c>
    </row>
    <row r="811" spans="1:17" hidden="1" x14ac:dyDescent="0.35">
      <c r="A811" s="81"/>
      <c r="B811" s="81"/>
      <c r="C811" s="21"/>
      <c r="D811" s="56"/>
      <c r="E811" s="14"/>
      <c r="F811" s="14"/>
      <c r="G811" s="14"/>
      <c r="H811" s="83">
        <f t="shared" si="50"/>
        <v>0</v>
      </c>
      <c r="I811" s="80"/>
      <c r="J811" s="80"/>
      <c r="K811" s="7" t="str">
        <f>IF($B811="","",IFERROR(INDEX(Connaissements!$B$3:$B$202,MATCH($B811,Connaissements!$A$3:$A$202,0)),""))</f>
        <v/>
      </c>
      <c r="L811" s="7" t="str">
        <f>IF($B811="","",IFERROR(INDEX(Connaissements!$G$3:$G$202,MATCH($B811,Connaissements!$A$3:$A$202,0)),""))</f>
        <v/>
      </c>
      <c r="M811" s="7" t="str">
        <f t="shared" si="47"/>
        <v/>
      </c>
      <c r="N811" s="7" t="str">
        <f t="shared" ca="1" si="48"/>
        <v/>
      </c>
      <c r="O811" s="13"/>
      <c r="P811" s="29" t="str">
        <f t="shared" ca="1" si="49"/>
        <v/>
      </c>
      <c r="Q811" s="30" t="str">
        <f>IF($K811="","",IFERROR(IF(INDEX(Bookings!$G$3:$G$202,MATCH($K811,Bookings!$A$3:$A$202,0))="","",INDEX(Bookings!$G$3:$G$202,MATCH($K811,Bookings!$A$3:$A$202,0))),""))</f>
        <v/>
      </c>
    </row>
    <row r="812" spans="1:17" hidden="1" x14ac:dyDescent="0.35">
      <c r="A812" s="81"/>
      <c r="B812" s="81"/>
      <c r="C812" s="21"/>
      <c r="D812" s="56"/>
      <c r="E812" s="14"/>
      <c r="F812" s="14"/>
      <c r="G812" s="14"/>
      <c r="H812" s="83">
        <f t="shared" si="50"/>
        <v>0</v>
      </c>
      <c r="I812" s="80"/>
      <c r="J812" s="80"/>
      <c r="K812" s="7" t="str">
        <f>IF($B812="","",IFERROR(INDEX(Connaissements!$B$3:$B$202,MATCH($B812,Connaissements!$A$3:$A$202,0)),""))</f>
        <v/>
      </c>
      <c r="L812" s="7" t="str">
        <f>IF($B812="","",IFERROR(INDEX(Connaissements!$G$3:$G$202,MATCH($B812,Connaissements!$A$3:$A$202,0)),""))</f>
        <v/>
      </c>
      <c r="M812" s="7" t="str">
        <f t="shared" si="47"/>
        <v/>
      </c>
      <c r="N812" s="7" t="str">
        <f t="shared" ca="1" si="48"/>
        <v/>
      </c>
      <c r="O812" s="13"/>
      <c r="P812" s="29" t="str">
        <f t="shared" ca="1" si="49"/>
        <v/>
      </c>
      <c r="Q812" s="30" t="str">
        <f>IF($K812="","",IFERROR(IF(INDEX(Bookings!$G$3:$G$202,MATCH($K812,Bookings!$A$3:$A$202,0))="","",INDEX(Bookings!$G$3:$G$202,MATCH($K812,Bookings!$A$3:$A$202,0))),""))</f>
        <v/>
      </c>
    </row>
    <row r="813" spans="1:17" hidden="1" x14ac:dyDescent="0.35">
      <c r="A813" s="81"/>
      <c r="B813" s="81"/>
      <c r="C813" s="21"/>
      <c r="D813" s="56"/>
      <c r="E813" s="14"/>
      <c r="F813" s="14"/>
      <c r="G813" s="14"/>
      <c r="H813" s="83">
        <f t="shared" si="50"/>
        <v>0</v>
      </c>
      <c r="I813" s="80"/>
      <c r="J813" s="80"/>
      <c r="K813" s="7" t="str">
        <f>IF($B813="","",IFERROR(INDEX(Connaissements!$B$3:$B$202,MATCH($B813,Connaissements!$A$3:$A$202,0)),""))</f>
        <v/>
      </c>
      <c r="L813" s="7" t="str">
        <f>IF($B813="","",IFERROR(INDEX(Connaissements!$G$3:$G$202,MATCH($B813,Connaissements!$A$3:$A$202,0)),""))</f>
        <v/>
      </c>
      <c r="M813" s="7" t="str">
        <f t="shared" si="47"/>
        <v/>
      </c>
      <c r="N813" s="7" t="str">
        <f t="shared" ca="1" si="48"/>
        <v/>
      </c>
      <c r="O813" s="13"/>
      <c r="P813" s="29" t="str">
        <f t="shared" ca="1" si="49"/>
        <v/>
      </c>
      <c r="Q813" s="30" t="str">
        <f>IF($K813="","",IFERROR(IF(INDEX(Bookings!$G$3:$G$202,MATCH($K813,Bookings!$A$3:$A$202,0))="","",INDEX(Bookings!$G$3:$G$202,MATCH($K813,Bookings!$A$3:$A$202,0))),""))</f>
        <v/>
      </c>
    </row>
    <row r="814" spans="1:17" hidden="1" x14ac:dyDescent="0.35">
      <c r="A814" s="81"/>
      <c r="B814" s="81"/>
      <c r="C814" s="21"/>
      <c r="D814" s="56"/>
      <c r="E814" s="14"/>
      <c r="F814" s="14"/>
      <c r="G814" s="14"/>
      <c r="H814" s="83">
        <f t="shared" si="50"/>
        <v>0</v>
      </c>
      <c r="I814" s="80"/>
      <c r="J814" s="80"/>
      <c r="K814" s="7" t="str">
        <f>IF($B814="","",IFERROR(INDEX(Connaissements!$B$3:$B$202,MATCH($B814,Connaissements!$A$3:$A$202,0)),""))</f>
        <v/>
      </c>
      <c r="L814" s="7" t="str">
        <f>IF($B814="","",IFERROR(INDEX(Connaissements!$G$3:$G$202,MATCH($B814,Connaissements!$A$3:$A$202,0)),""))</f>
        <v/>
      </c>
      <c r="M814" s="7" t="str">
        <f t="shared" si="47"/>
        <v/>
      </c>
      <c r="N814" s="7" t="str">
        <f t="shared" ca="1" si="48"/>
        <v/>
      </c>
      <c r="O814" s="13"/>
      <c r="P814" s="29" t="str">
        <f t="shared" ca="1" si="49"/>
        <v/>
      </c>
      <c r="Q814" s="30" t="str">
        <f>IF($K814="","",IFERROR(IF(INDEX(Bookings!$G$3:$G$202,MATCH($K814,Bookings!$A$3:$A$202,0))="","",INDEX(Bookings!$G$3:$G$202,MATCH($K814,Bookings!$A$3:$A$202,0))),""))</f>
        <v/>
      </c>
    </row>
    <row r="815" spans="1:17" hidden="1" x14ac:dyDescent="0.35">
      <c r="A815" s="81"/>
      <c r="B815" s="81"/>
      <c r="C815" s="21"/>
      <c r="D815" s="56"/>
      <c r="E815" s="14"/>
      <c r="F815" s="14"/>
      <c r="G815" s="14"/>
      <c r="H815" s="83">
        <f t="shared" si="50"/>
        <v>0</v>
      </c>
      <c r="I815" s="80"/>
      <c r="J815" s="80"/>
      <c r="K815" s="7" t="str">
        <f>IF($B815="","",IFERROR(INDEX(Connaissements!$B$3:$B$202,MATCH($B815,Connaissements!$A$3:$A$202,0)),""))</f>
        <v/>
      </c>
      <c r="L815" s="7" t="str">
        <f>IF($B815="","",IFERROR(INDEX(Connaissements!$G$3:$G$202,MATCH($B815,Connaissements!$A$3:$A$202,0)),""))</f>
        <v/>
      </c>
      <c r="M815" s="7" t="str">
        <f t="shared" si="47"/>
        <v/>
      </c>
      <c r="N815" s="7" t="str">
        <f t="shared" ca="1" si="48"/>
        <v/>
      </c>
      <c r="O815" s="13"/>
      <c r="P815" s="29" t="str">
        <f t="shared" ca="1" si="49"/>
        <v/>
      </c>
      <c r="Q815" s="30" t="str">
        <f>IF($K815="","",IFERROR(IF(INDEX(Bookings!$G$3:$G$202,MATCH($K815,Bookings!$A$3:$A$202,0))="","",INDEX(Bookings!$G$3:$G$202,MATCH($K815,Bookings!$A$3:$A$202,0))),""))</f>
        <v/>
      </c>
    </row>
    <row r="816" spans="1:17" hidden="1" x14ac:dyDescent="0.35">
      <c r="A816" s="81"/>
      <c r="B816" s="81"/>
      <c r="C816" s="21"/>
      <c r="D816" s="56"/>
      <c r="E816" s="14"/>
      <c r="F816" s="14"/>
      <c r="G816" s="14"/>
      <c r="H816" s="83">
        <f t="shared" si="50"/>
        <v>0</v>
      </c>
      <c r="I816" s="80"/>
      <c r="J816" s="80"/>
      <c r="K816" s="7" t="str">
        <f>IF($B816="","",IFERROR(INDEX(Connaissements!$B$3:$B$202,MATCH($B816,Connaissements!$A$3:$A$202,0)),""))</f>
        <v/>
      </c>
      <c r="L816" s="7" t="str">
        <f>IF($B816="","",IFERROR(INDEX(Connaissements!$G$3:$G$202,MATCH($B816,Connaissements!$A$3:$A$202,0)),""))</f>
        <v/>
      </c>
      <c r="M816" s="7" t="str">
        <f t="shared" si="47"/>
        <v/>
      </c>
      <c r="N816" s="7" t="str">
        <f t="shared" ca="1" si="48"/>
        <v/>
      </c>
      <c r="O816" s="13"/>
      <c r="P816" s="29" t="str">
        <f t="shared" ca="1" si="49"/>
        <v/>
      </c>
      <c r="Q816" s="30" t="str">
        <f>IF($K816="","",IFERROR(IF(INDEX(Bookings!$G$3:$G$202,MATCH($K816,Bookings!$A$3:$A$202,0))="","",INDEX(Bookings!$G$3:$G$202,MATCH($K816,Bookings!$A$3:$A$202,0))),""))</f>
        <v/>
      </c>
    </row>
    <row r="817" spans="1:17" hidden="1" x14ac:dyDescent="0.35">
      <c r="A817" s="81"/>
      <c r="B817" s="81"/>
      <c r="C817" s="21"/>
      <c r="D817" s="56"/>
      <c r="E817" s="14"/>
      <c r="F817" s="14"/>
      <c r="G817" s="14"/>
      <c r="H817" s="83">
        <f t="shared" si="50"/>
        <v>0</v>
      </c>
      <c r="I817" s="80"/>
      <c r="J817" s="80"/>
      <c r="K817" s="7" t="str">
        <f>IF($B817="","",IFERROR(INDEX(Connaissements!$B$3:$B$202,MATCH($B817,Connaissements!$A$3:$A$202,0)),""))</f>
        <v/>
      </c>
      <c r="L817" s="7" t="str">
        <f>IF($B817="","",IFERROR(INDEX(Connaissements!$G$3:$G$202,MATCH($B817,Connaissements!$A$3:$A$202,0)),""))</f>
        <v/>
      </c>
      <c r="M817" s="7" t="str">
        <f t="shared" si="47"/>
        <v/>
      </c>
      <c r="N817" s="7" t="str">
        <f t="shared" ca="1" si="48"/>
        <v/>
      </c>
      <c r="O817" s="13"/>
      <c r="P817" s="29" t="str">
        <f t="shared" ca="1" si="49"/>
        <v/>
      </c>
      <c r="Q817" s="30" t="str">
        <f>IF($K817="","",IFERROR(IF(INDEX(Bookings!$G$3:$G$202,MATCH($K817,Bookings!$A$3:$A$202,0))="","",INDEX(Bookings!$G$3:$G$202,MATCH($K817,Bookings!$A$3:$A$202,0))),""))</f>
        <v/>
      </c>
    </row>
    <row r="818" spans="1:17" hidden="1" x14ac:dyDescent="0.35">
      <c r="A818" s="81"/>
      <c r="B818" s="81"/>
      <c r="C818" s="21"/>
      <c r="D818" s="56"/>
      <c r="E818" s="14"/>
      <c r="F818" s="14"/>
      <c r="G818" s="14"/>
      <c r="H818" s="83">
        <f t="shared" si="50"/>
        <v>0</v>
      </c>
      <c r="I818" s="80"/>
      <c r="J818" s="80"/>
      <c r="K818" s="7" t="str">
        <f>IF($B818="","",IFERROR(INDEX(Connaissements!$B$3:$B$202,MATCH($B818,Connaissements!$A$3:$A$202,0)),""))</f>
        <v/>
      </c>
      <c r="L818" s="7" t="str">
        <f>IF($B818="","",IFERROR(INDEX(Connaissements!$G$3:$G$202,MATCH($B818,Connaissements!$A$3:$A$202,0)),""))</f>
        <v/>
      </c>
      <c r="M818" s="7" t="str">
        <f t="shared" si="47"/>
        <v/>
      </c>
      <c r="N818" s="7" t="str">
        <f t="shared" ca="1" si="48"/>
        <v/>
      </c>
      <c r="O818" s="13"/>
      <c r="P818" s="29" t="str">
        <f t="shared" ca="1" si="49"/>
        <v/>
      </c>
      <c r="Q818" s="30" t="str">
        <f>IF($K818="","",IFERROR(IF(INDEX(Bookings!$G$3:$G$202,MATCH($K818,Bookings!$A$3:$A$202,0))="","",INDEX(Bookings!$G$3:$G$202,MATCH($K818,Bookings!$A$3:$A$202,0))),""))</f>
        <v/>
      </c>
    </row>
    <row r="819" spans="1:17" hidden="1" x14ac:dyDescent="0.35">
      <c r="A819" s="81"/>
      <c r="B819" s="81"/>
      <c r="C819" s="21"/>
      <c r="D819" s="56"/>
      <c r="E819" s="14"/>
      <c r="F819" s="14"/>
      <c r="G819" s="14"/>
      <c r="H819" s="83">
        <f t="shared" si="50"/>
        <v>0</v>
      </c>
      <c r="I819" s="80"/>
      <c r="J819" s="80"/>
      <c r="K819" s="7" t="str">
        <f>IF($B819="","",IFERROR(INDEX(Connaissements!$B$3:$B$202,MATCH($B819,Connaissements!$A$3:$A$202,0)),""))</f>
        <v/>
      </c>
      <c r="L819" s="7" t="str">
        <f>IF($B819="","",IFERROR(INDEX(Connaissements!$G$3:$G$202,MATCH($B819,Connaissements!$A$3:$A$202,0)),""))</f>
        <v/>
      </c>
      <c r="M819" s="7" t="str">
        <f t="shared" si="47"/>
        <v/>
      </c>
      <c r="N819" s="7" t="str">
        <f t="shared" ca="1" si="48"/>
        <v/>
      </c>
      <c r="O819" s="13"/>
      <c r="P819" s="29" t="str">
        <f t="shared" ca="1" si="49"/>
        <v/>
      </c>
      <c r="Q819" s="30" t="str">
        <f>IF($K819="","",IFERROR(IF(INDEX(Bookings!$G$3:$G$202,MATCH($K819,Bookings!$A$3:$A$202,0))="","",INDEX(Bookings!$G$3:$G$202,MATCH($K819,Bookings!$A$3:$A$202,0))),""))</f>
        <v/>
      </c>
    </row>
    <row r="820" spans="1:17" hidden="1" x14ac:dyDescent="0.35">
      <c r="A820" s="81"/>
      <c r="B820" s="81"/>
      <c r="C820" s="21"/>
      <c r="D820" s="56"/>
      <c r="E820" s="14"/>
      <c r="F820" s="14"/>
      <c r="G820" s="14"/>
      <c r="H820" s="83">
        <f t="shared" si="50"/>
        <v>0</v>
      </c>
      <c r="I820" s="80"/>
      <c r="J820" s="80"/>
      <c r="K820" s="7" t="str">
        <f>IF($B820="","",IFERROR(INDEX(Connaissements!$B$3:$B$202,MATCH($B820,Connaissements!$A$3:$A$202,0)),""))</f>
        <v/>
      </c>
      <c r="L820" s="7" t="str">
        <f>IF($B820="","",IFERROR(INDEX(Connaissements!$G$3:$G$202,MATCH($B820,Connaissements!$A$3:$A$202,0)),""))</f>
        <v/>
      </c>
      <c r="M820" s="7" t="str">
        <f t="shared" si="47"/>
        <v/>
      </c>
      <c r="N820" s="7" t="str">
        <f t="shared" ca="1" si="48"/>
        <v/>
      </c>
      <c r="O820" s="13"/>
      <c r="P820" s="29" t="str">
        <f t="shared" ca="1" si="49"/>
        <v/>
      </c>
      <c r="Q820" s="30" t="str">
        <f>IF($K820="","",IFERROR(IF(INDEX(Bookings!$G$3:$G$202,MATCH($K820,Bookings!$A$3:$A$202,0))="","",INDEX(Bookings!$G$3:$G$202,MATCH($K820,Bookings!$A$3:$A$202,0))),""))</f>
        <v/>
      </c>
    </row>
    <row r="821" spans="1:17" hidden="1" x14ac:dyDescent="0.35">
      <c r="A821" s="81"/>
      <c r="B821" s="81"/>
      <c r="C821" s="21"/>
      <c r="D821" s="56"/>
      <c r="E821" s="14"/>
      <c r="F821" s="14"/>
      <c r="G821" s="14"/>
      <c r="H821" s="83">
        <f t="shared" si="50"/>
        <v>0</v>
      </c>
      <c r="I821" s="80"/>
      <c r="J821" s="80"/>
      <c r="K821" s="7" t="str">
        <f>IF($B821="","",IFERROR(INDEX(Connaissements!$B$3:$B$202,MATCH($B821,Connaissements!$A$3:$A$202,0)),""))</f>
        <v/>
      </c>
      <c r="L821" s="7" t="str">
        <f>IF($B821="","",IFERROR(INDEX(Connaissements!$G$3:$G$202,MATCH($B821,Connaissements!$A$3:$A$202,0)),""))</f>
        <v/>
      </c>
      <c r="M821" s="7" t="str">
        <f t="shared" si="47"/>
        <v/>
      </c>
      <c r="N821" s="7" t="str">
        <f t="shared" ca="1" si="48"/>
        <v/>
      </c>
      <c r="O821" s="13"/>
      <c r="P821" s="29" t="str">
        <f t="shared" ca="1" si="49"/>
        <v/>
      </c>
      <c r="Q821" s="30" t="str">
        <f>IF($K821="","",IFERROR(IF(INDEX(Bookings!$G$3:$G$202,MATCH($K821,Bookings!$A$3:$A$202,0))="","",INDEX(Bookings!$G$3:$G$202,MATCH($K821,Bookings!$A$3:$A$202,0))),""))</f>
        <v/>
      </c>
    </row>
    <row r="822" spans="1:17" hidden="1" x14ac:dyDescent="0.35">
      <c r="A822" s="81"/>
      <c r="B822" s="81"/>
      <c r="C822" s="21"/>
      <c r="D822" s="56"/>
      <c r="E822" s="14"/>
      <c r="F822" s="14"/>
      <c r="G822" s="14"/>
      <c r="H822" s="83">
        <f t="shared" si="50"/>
        <v>0</v>
      </c>
      <c r="I822" s="80"/>
      <c r="J822" s="80"/>
      <c r="K822" s="7" t="str">
        <f>IF($B822="","",IFERROR(INDEX(Connaissements!$B$3:$B$202,MATCH($B822,Connaissements!$A$3:$A$202,0)),""))</f>
        <v/>
      </c>
      <c r="L822" s="7" t="str">
        <f>IF($B822="","",IFERROR(INDEX(Connaissements!$G$3:$G$202,MATCH($B822,Connaissements!$A$3:$A$202,0)),""))</f>
        <v/>
      </c>
      <c r="M822" s="7" t="str">
        <f t="shared" si="47"/>
        <v/>
      </c>
      <c r="N822" s="7" t="str">
        <f t="shared" ca="1" si="48"/>
        <v/>
      </c>
      <c r="O822" s="13"/>
      <c r="P822" s="29" t="str">
        <f t="shared" ca="1" si="49"/>
        <v/>
      </c>
      <c r="Q822" s="30" t="str">
        <f>IF($K822="","",IFERROR(IF(INDEX(Bookings!$G$3:$G$202,MATCH($K822,Bookings!$A$3:$A$202,0))="","",INDEX(Bookings!$G$3:$G$202,MATCH($K822,Bookings!$A$3:$A$202,0))),""))</f>
        <v/>
      </c>
    </row>
    <row r="823" spans="1:17" hidden="1" x14ac:dyDescent="0.35">
      <c r="A823" s="81"/>
      <c r="B823" s="81"/>
      <c r="C823" s="21"/>
      <c r="D823" s="56"/>
      <c r="E823" s="14"/>
      <c r="F823" s="14"/>
      <c r="G823" s="14"/>
      <c r="H823" s="83">
        <f t="shared" si="50"/>
        <v>0</v>
      </c>
      <c r="I823" s="80"/>
      <c r="J823" s="80"/>
      <c r="K823" s="7" t="str">
        <f>IF($B823="","",IFERROR(INDEX(Connaissements!$B$3:$B$202,MATCH($B823,Connaissements!$A$3:$A$202,0)),""))</f>
        <v/>
      </c>
      <c r="L823" s="7" t="str">
        <f>IF($B823="","",IFERROR(INDEX(Connaissements!$G$3:$G$202,MATCH($B823,Connaissements!$A$3:$A$202,0)),""))</f>
        <v/>
      </c>
      <c r="M823" s="7" t="str">
        <f t="shared" si="47"/>
        <v/>
      </c>
      <c r="N823" s="7" t="str">
        <f t="shared" ca="1" si="48"/>
        <v/>
      </c>
      <c r="O823" s="13"/>
      <c r="P823" s="29" t="str">
        <f t="shared" ca="1" si="49"/>
        <v/>
      </c>
      <c r="Q823" s="30" t="str">
        <f>IF($K823="","",IFERROR(IF(INDEX(Bookings!$G$3:$G$202,MATCH($K823,Bookings!$A$3:$A$202,0))="","",INDEX(Bookings!$G$3:$G$202,MATCH($K823,Bookings!$A$3:$A$202,0))),""))</f>
        <v/>
      </c>
    </row>
    <row r="824" spans="1:17" hidden="1" x14ac:dyDescent="0.35">
      <c r="A824" s="81"/>
      <c r="B824" s="81"/>
      <c r="C824" s="21"/>
      <c r="D824" s="56"/>
      <c r="E824" s="14"/>
      <c r="F824" s="14"/>
      <c r="G824" s="14"/>
      <c r="H824" s="83">
        <f t="shared" si="50"/>
        <v>0</v>
      </c>
      <c r="I824" s="80"/>
      <c r="J824" s="80"/>
      <c r="K824" s="7" t="str">
        <f>IF($B824="","",IFERROR(INDEX(Connaissements!$B$3:$B$202,MATCH($B824,Connaissements!$A$3:$A$202,0)),""))</f>
        <v/>
      </c>
      <c r="L824" s="7" t="str">
        <f>IF($B824="","",IFERROR(INDEX(Connaissements!$G$3:$G$202,MATCH($B824,Connaissements!$A$3:$A$202,0)),""))</f>
        <v/>
      </c>
      <c r="M824" s="7" t="str">
        <f t="shared" si="47"/>
        <v/>
      </c>
      <c r="N824" s="7" t="str">
        <f t="shared" ca="1" si="48"/>
        <v/>
      </c>
      <c r="O824" s="13"/>
      <c r="P824" s="29" t="str">
        <f t="shared" ca="1" si="49"/>
        <v/>
      </c>
      <c r="Q824" s="30" t="str">
        <f>IF($K824="","",IFERROR(IF(INDEX(Bookings!$G$3:$G$202,MATCH($K824,Bookings!$A$3:$A$202,0))="","",INDEX(Bookings!$G$3:$G$202,MATCH($K824,Bookings!$A$3:$A$202,0))),""))</f>
        <v/>
      </c>
    </row>
    <row r="825" spans="1:17" hidden="1" x14ac:dyDescent="0.35">
      <c r="A825" s="81"/>
      <c r="B825" s="81"/>
      <c r="C825" s="21"/>
      <c r="D825" s="56"/>
      <c r="E825" s="14"/>
      <c r="F825" s="14"/>
      <c r="G825" s="14"/>
      <c r="H825" s="83">
        <f t="shared" si="50"/>
        <v>0</v>
      </c>
      <c r="I825" s="80"/>
      <c r="J825" s="80"/>
      <c r="K825" s="7" t="str">
        <f>IF($B825="","",IFERROR(INDEX(Connaissements!$B$3:$B$202,MATCH($B825,Connaissements!$A$3:$A$202,0)),""))</f>
        <v/>
      </c>
      <c r="L825" s="7" t="str">
        <f>IF($B825="","",IFERROR(INDEX(Connaissements!$G$3:$G$202,MATCH($B825,Connaissements!$A$3:$A$202,0)),""))</f>
        <v/>
      </c>
      <c r="M825" s="7" t="str">
        <f t="shared" si="47"/>
        <v/>
      </c>
      <c r="N825" s="7" t="str">
        <f t="shared" ca="1" si="48"/>
        <v/>
      </c>
      <c r="O825" s="13"/>
      <c r="P825" s="29" t="str">
        <f t="shared" ca="1" si="49"/>
        <v/>
      </c>
      <c r="Q825" s="30" t="str">
        <f>IF($K825="","",IFERROR(IF(INDEX(Bookings!$G$3:$G$202,MATCH($K825,Bookings!$A$3:$A$202,0))="","",INDEX(Bookings!$G$3:$G$202,MATCH($K825,Bookings!$A$3:$A$202,0))),""))</f>
        <v/>
      </c>
    </row>
    <row r="826" spans="1:17" hidden="1" x14ac:dyDescent="0.35">
      <c r="A826" s="81"/>
      <c r="B826" s="81"/>
      <c r="C826" s="21"/>
      <c r="D826" s="56"/>
      <c r="E826" s="14"/>
      <c r="F826" s="14"/>
      <c r="G826" s="14"/>
      <c r="H826" s="83">
        <f t="shared" si="50"/>
        <v>0</v>
      </c>
      <c r="I826" s="80"/>
      <c r="J826" s="80"/>
      <c r="K826" s="7" t="str">
        <f>IF($B826="","",IFERROR(INDEX(Connaissements!$B$3:$B$202,MATCH($B826,Connaissements!$A$3:$A$202,0)),""))</f>
        <v/>
      </c>
      <c r="L826" s="7" t="str">
        <f>IF($B826="","",IFERROR(INDEX(Connaissements!$G$3:$G$202,MATCH($B826,Connaissements!$A$3:$A$202,0)),""))</f>
        <v/>
      </c>
      <c r="M826" s="7" t="str">
        <f t="shared" si="47"/>
        <v/>
      </c>
      <c r="N826" s="7" t="str">
        <f t="shared" ca="1" si="48"/>
        <v/>
      </c>
      <c r="O826" s="13"/>
      <c r="P826" s="29" t="str">
        <f t="shared" ca="1" si="49"/>
        <v/>
      </c>
      <c r="Q826" s="30" t="str">
        <f>IF($K826="","",IFERROR(IF(INDEX(Bookings!$G$3:$G$202,MATCH($K826,Bookings!$A$3:$A$202,0))="","",INDEX(Bookings!$G$3:$G$202,MATCH($K826,Bookings!$A$3:$A$202,0))),""))</f>
        <v/>
      </c>
    </row>
    <row r="827" spans="1:17" hidden="1" x14ac:dyDescent="0.35">
      <c r="A827" s="81"/>
      <c r="B827" s="81"/>
      <c r="C827" s="21"/>
      <c r="D827" s="56"/>
      <c r="E827" s="14"/>
      <c r="F827" s="14"/>
      <c r="G827" s="14"/>
      <c r="H827" s="83">
        <f t="shared" si="50"/>
        <v>0</v>
      </c>
      <c r="I827" s="80"/>
      <c r="J827" s="80"/>
      <c r="K827" s="7" t="str">
        <f>IF($B827="","",IFERROR(INDEX(Connaissements!$B$3:$B$202,MATCH($B827,Connaissements!$A$3:$A$202,0)),""))</f>
        <v/>
      </c>
      <c r="L827" s="7" t="str">
        <f>IF($B827="","",IFERROR(INDEX(Connaissements!$G$3:$G$202,MATCH($B827,Connaissements!$A$3:$A$202,0)),""))</f>
        <v/>
      </c>
      <c r="M827" s="7" t="str">
        <f t="shared" si="47"/>
        <v/>
      </c>
      <c r="N827" s="7" t="str">
        <f t="shared" ca="1" si="48"/>
        <v/>
      </c>
      <c r="O827" s="13"/>
      <c r="P827" s="29" t="str">
        <f t="shared" ca="1" si="49"/>
        <v/>
      </c>
      <c r="Q827" s="30" t="str">
        <f>IF($K827="","",IFERROR(IF(INDEX(Bookings!$G$3:$G$202,MATCH($K827,Bookings!$A$3:$A$202,0))="","",INDEX(Bookings!$G$3:$G$202,MATCH($K827,Bookings!$A$3:$A$202,0))),""))</f>
        <v/>
      </c>
    </row>
    <row r="828" spans="1:17" hidden="1" x14ac:dyDescent="0.35">
      <c r="A828" s="81"/>
      <c r="B828" s="81"/>
      <c r="C828" s="21"/>
      <c r="D828" s="56"/>
      <c r="E828" s="14"/>
      <c r="F828" s="14"/>
      <c r="G828" s="14"/>
      <c r="H828" s="83">
        <f t="shared" si="50"/>
        <v>0</v>
      </c>
      <c r="I828" s="80"/>
      <c r="J828" s="80"/>
      <c r="K828" s="7" t="str">
        <f>IF($B828="","",IFERROR(INDEX(Connaissements!$B$3:$B$202,MATCH($B828,Connaissements!$A$3:$A$202,0)),""))</f>
        <v/>
      </c>
      <c r="L828" s="7" t="str">
        <f>IF($B828="","",IFERROR(INDEX(Connaissements!$G$3:$G$202,MATCH($B828,Connaissements!$A$3:$A$202,0)),""))</f>
        <v/>
      </c>
      <c r="M828" s="7" t="str">
        <f t="shared" si="47"/>
        <v/>
      </c>
      <c r="N828" s="7" t="str">
        <f t="shared" ca="1" si="48"/>
        <v/>
      </c>
      <c r="O828" s="13"/>
      <c r="P828" s="29" t="str">
        <f t="shared" ca="1" si="49"/>
        <v/>
      </c>
      <c r="Q828" s="30" t="str">
        <f>IF($K828="","",IFERROR(IF(INDEX(Bookings!$G$3:$G$202,MATCH($K828,Bookings!$A$3:$A$202,0))="","",INDEX(Bookings!$G$3:$G$202,MATCH($K828,Bookings!$A$3:$A$202,0))),""))</f>
        <v/>
      </c>
    </row>
    <row r="829" spans="1:17" hidden="1" x14ac:dyDescent="0.35">
      <c r="A829" s="81"/>
      <c r="B829" s="81"/>
      <c r="C829" s="21"/>
      <c r="D829" s="56"/>
      <c r="E829" s="14"/>
      <c r="F829" s="14"/>
      <c r="G829" s="14"/>
      <c r="H829" s="83">
        <f t="shared" si="50"/>
        <v>0</v>
      </c>
      <c r="I829" s="80"/>
      <c r="J829" s="80"/>
      <c r="K829" s="7" t="str">
        <f>IF($B829="","",IFERROR(INDEX(Connaissements!$B$3:$B$202,MATCH($B829,Connaissements!$A$3:$A$202,0)),""))</f>
        <v/>
      </c>
      <c r="L829" s="7" t="str">
        <f>IF($B829="","",IFERROR(INDEX(Connaissements!$G$3:$G$202,MATCH($B829,Connaissements!$A$3:$A$202,0)),""))</f>
        <v/>
      </c>
      <c r="M829" s="7" t="str">
        <f t="shared" si="47"/>
        <v/>
      </c>
      <c r="N829" s="7" t="str">
        <f t="shared" ca="1" si="48"/>
        <v/>
      </c>
      <c r="O829" s="13"/>
      <c r="P829" s="29" t="str">
        <f t="shared" ca="1" si="49"/>
        <v/>
      </c>
      <c r="Q829" s="30" t="str">
        <f>IF($K829="","",IFERROR(IF(INDEX(Bookings!$G$3:$G$202,MATCH($K829,Bookings!$A$3:$A$202,0))="","",INDEX(Bookings!$G$3:$G$202,MATCH($K829,Bookings!$A$3:$A$202,0))),""))</f>
        <v/>
      </c>
    </row>
    <row r="830" spans="1:17" hidden="1" x14ac:dyDescent="0.35">
      <c r="A830" s="81"/>
      <c r="B830" s="81"/>
      <c r="C830" s="21"/>
      <c r="D830" s="56"/>
      <c r="E830" s="14"/>
      <c r="F830" s="14"/>
      <c r="G830" s="14"/>
      <c r="H830" s="83">
        <f t="shared" si="50"/>
        <v>0</v>
      </c>
      <c r="I830" s="80"/>
      <c r="J830" s="80"/>
      <c r="K830" s="7" t="str">
        <f>IF($B830="","",IFERROR(INDEX(Connaissements!$B$3:$B$202,MATCH($B830,Connaissements!$A$3:$A$202,0)),""))</f>
        <v/>
      </c>
      <c r="L830" s="7" t="str">
        <f>IF($B830="","",IFERROR(INDEX(Connaissements!$G$3:$G$202,MATCH($B830,Connaissements!$A$3:$A$202,0)),""))</f>
        <v/>
      </c>
      <c r="M830" s="7" t="str">
        <f t="shared" si="47"/>
        <v/>
      </c>
      <c r="N830" s="7" t="str">
        <f t="shared" ca="1" si="48"/>
        <v/>
      </c>
      <c r="O830" s="13"/>
      <c r="P830" s="29" t="str">
        <f t="shared" ca="1" si="49"/>
        <v/>
      </c>
      <c r="Q830" s="30" t="str">
        <f>IF($K830="","",IFERROR(IF(INDEX(Bookings!$G$3:$G$202,MATCH($K830,Bookings!$A$3:$A$202,0))="","",INDEX(Bookings!$G$3:$G$202,MATCH($K830,Bookings!$A$3:$A$202,0))),""))</f>
        <v/>
      </c>
    </row>
    <row r="831" spans="1:17" hidden="1" x14ac:dyDescent="0.35">
      <c r="A831" s="81"/>
      <c r="B831" s="81"/>
      <c r="C831" s="21"/>
      <c r="D831" s="56"/>
      <c r="E831" s="14"/>
      <c r="F831" s="14"/>
      <c r="G831" s="14"/>
      <c r="H831" s="83">
        <f t="shared" si="50"/>
        <v>0</v>
      </c>
      <c r="I831" s="80"/>
      <c r="J831" s="80"/>
      <c r="K831" s="7" t="str">
        <f>IF($B831="","",IFERROR(INDEX(Connaissements!$B$3:$B$202,MATCH($B831,Connaissements!$A$3:$A$202,0)),""))</f>
        <v/>
      </c>
      <c r="L831" s="7" t="str">
        <f>IF($B831="","",IFERROR(INDEX(Connaissements!$G$3:$G$202,MATCH($B831,Connaissements!$A$3:$A$202,0)),""))</f>
        <v/>
      </c>
      <c r="M831" s="7" t="str">
        <f t="shared" si="47"/>
        <v/>
      </c>
      <c r="N831" s="7" t="str">
        <f t="shared" ca="1" si="48"/>
        <v/>
      </c>
      <c r="O831" s="13"/>
      <c r="P831" s="29" t="str">
        <f t="shared" ca="1" si="49"/>
        <v/>
      </c>
      <c r="Q831" s="30" t="str">
        <f>IF($K831="","",IFERROR(IF(INDEX(Bookings!$G$3:$G$202,MATCH($K831,Bookings!$A$3:$A$202,0))="","",INDEX(Bookings!$G$3:$G$202,MATCH($K831,Bookings!$A$3:$A$202,0))),""))</f>
        <v/>
      </c>
    </row>
    <row r="832" spans="1:17" hidden="1" x14ac:dyDescent="0.35">
      <c r="A832" s="81"/>
      <c r="B832" s="81"/>
      <c r="C832" s="21"/>
      <c r="D832" s="56"/>
      <c r="E832" s="14"/>
      <c r="F832" s="14"/>
      <c r="G832" s="14"/>
      <c r="H832" s="83">
        <f t="shared" si="50"/>
        <v>0</v>
      </c>
      <c r="I832" s="80"/>
      <c r="J832" s="80"/>
      <c r="K832" s="7" t="str">
        <f>IF($B832="","",IFERROR(INDEX(Connaissements!$B$3:$B$202,MATCH($B832,Connaissements!$A$3:$A$202,0)),""))</f>
        <v/>
      </c>
      <c r="L832" s="7" t="str">
        <f>IF($B832="","",IFERROR(INDEX(Connaissements!$G$3:$G$202,MATCH($B832,Connaissements!$A$3:$A$202,0)),""))</f>
        <v/>
      </c>
      <c r="M832" s="7" t="str">
        <f t="shared" si="47"/>
        <v/>
      </c>
      <c r="N832" s="7" t="str">
        <f t="shared" ca="1" si="48"/>
        <v/>
      </c>
      <c r="O832" s="13"/>
      <c r="P832" s="29" t="str">
        <f t="shared" ca="1" si="49"/>
        <v/>
      </c>
      <c r="Q832" s="30" t="str">
        <f>IF($K832="","",IFERROR(IF(INDEX(Bookings!$G$3:$G$202,MATCH($K832,Bookings!$A$3:$A$202,0))="","",INDEX(Bookings!$G$3:$G$202,MATCH($K832,Bookings!$A$3:$A$202,0))),""))</f>
        <v/>
      </c>
    </row>
    <row r="833" spans="1:17" hidden="1" x14ac:dyDescent="0.35">
      <c r="A833" s="81"/>
      <c r="B833" s="81"/>
      <c r="C833" s="21"/>
      <c r="D833" s="56"/>
      <c r="E833" s="14"/>
      <c r="F833" s="14"/>
      <c r="G833" s="14"/>
      <c r="H833" s="83">
        <f t="shared" si="50"/>
        <v>0</v>
      </c>
      <c r="I833" s="80"/>
      <c r="J833" s="80"/>
      <c r="K833" s="7" t="str">
        <f>IF($B833="","",IFERROR(INDEX(Connaissements!$B$3:$B$202,MATCH($B833,Connaissements!$A$3:$A$202,0)),""))</f>
        <v/>
      </c>
      <c r="L833" s="7" t="str">
        <f>IF($B833="","",IFERROR(INDEX(Connaissements!$G$3:$G$202,MATCH($B833,Connaissements!$A$3:$A$202,0)),""))</f>
        <v/>
      </c>
      <c r="M833" s="7" t="str">
        <f t="shared" si="47"/>
        <v/>
      </c>
      <c r="N833" s="7" t="str">
        <f t="shared" ca="1" si="48"/>
        <v/>
      </c>
      <c r="O833" s="13"/>
      <c r="P833" s="29" t="str">
        <f t="shared" ca="1" si="49"/>
        <v/>
      </c>
      <c r="Q833" s="30" t="str">
        <f>IF($K833="","",IFERROR(IF(INDEX(Bookings!$G$3:$G$202,MATCH($K833,Bookings!$A$3:$A$202,0))="","",INDEX(Bookings!$G$3:$G$202,MATCH($K833,Bookings!$A$3:$A$202,0))),""))</f>
        <v/>
      </c>
    </row>
    <row r="834" spans="1:17" hidden="1" x14ac:dyDescent="0.35">
      <c r="A834" s="81"/>
      <c r="B834" s="81"/>
      <c r="C834" s="21"/>
      <c r="D834" s="56"/>
      <c r="E834" s="14"/>
      <c r="F834" s="14"/>
      <c r="G834" s="14"/>
      <c r="H834" s="83">
        <f t="shared" si="50"/>
        <v>0</v>
      </c>
      <c r="I834" s="80"/>
      <c r="J834" s="80"/>
      <c r="K834" s="7" t="str">
        <f>IF($B834="","",IFERROR(INDEX(Connaissements!$B$3:$B$202,MATCH($B834,Connaissements!$A$3:$A$202,0)),""))</f>
        <v/>
      </c>
      <c r="L834" s="7" t="str">
        <f>IF($B834="","",IFERROR(INDEX(Connaissements!$G$3:$G$202,MATCH($B834,Connaissements!$A$3:$A$202,0)),""))</f>
        <v/>
      </c>
      <c r="M834" s="7" t="str">
        <f t="shared" si="47"/>
        <v/>
      </c>
      <c r="N834" s="7" t="str">
        <f t="shared" ca="1" si="48"/>
        <v/>
      </c>
      <c r="O834" s="13"/>
      <c r="P834" s="29" t="str">
        <f t="shared" ca="1" si="49"/>
        <v/>
      </c>
      <c r="Q834" s="30" t="str">
        <f>IF($K834="","",IFERROR(IF(INDEX(Bookings!$G$3:$G$202,MATCH($K834,Bookings!$A$3:$A$202,0))="","",INDEX(Bookings!$G$3:$G$202,MATCH($K834,Bookings!$A$3:$A$202,0))),""))</f>
        <v/>
      </c>
    </row>
    <row r="835" spans="1:17" hidden="1" x14ac:dyDescent="0.35">
      <c r="A835" s="81"/>
      <c r="B835" s="81"/>
      <c r="C835" s="21"/>
      <c r="D835" s="56"/>
      <c r="E835" s="14"/>
      <c r="F835" s="14"/>
      <c r="G835" s="14"/>
      <c r="H835" s="83">
        <f t="shared" si="50"/>
        <v>0</v>
      </c>
      <c r="I835" s="80"/>
      <c r="J835" s="80"/>
      <c r="K835" s="7" t="str">
        <f>IF($B835="","",IFERROR(INDEX(Connaissements!$B$3:$B$202,MATCH($B835,Connaissements!$A$3:$A$202,0)),""))</f>
        <v/>
      </c>
      <c r="L835" s="7" t="str">
        <f>IF($B835="","",IFERROR(INDEX(Connaissements!$G$3:$G$202,MATCH($B835,Connaissements!$A$3:$A$202,0)),""))</f>
        <v/>
      </c>
      <c r="M835" s="7" t="str">
        <f t="shared" ref="M835:M898" si="51">IF($A835="","",IF($G835&lt;&gt;"","Embarqué",IF($F835&lt;&gt;"","Gate-In fait",IF($E835&lt;&gt;"","Empoté","À empoter"))))</f>
        <v/>
      </c>
      <c r="N835" s="7" t="str">
        <f t="shared" ref="N835:N898" ca="1" si="52">IF(OR($A835="",$G835&lt;&gt;""),"",IF(AND($Q835&lt;&gt;"",N($Q835)&lt;TODAY()),"RETARD : ETD dépassé, pas embarqué",IF(AND($Q835&lt;&gt;"",N($Q835)-TODAY()&lt;=P_AlerteETD,$F835=""),"Gate-In à faire (ETD proche)",IF(AND($E835&lt;&gt;"",$H835=""),"Poids net à saisir",""))))</f>
        <v/>
      </c>
      <c r="O835" s="13"/>
      <c r="P835" s="29" t="str">
        <f t="shared" ref="P835:P898" ca="1" si="53">IF($N835&lt;&gt;"",1,"")</f>
        <v/>
      </c>
      <c r="Q835" s="30" t="str">
        <f>IF($K835="","",IFERROR(IF(INDEX(Bookings!$G$3:$G$202,MATCH($K835,Bookings!$A$3:$A$202,0))="","",INDEX(Bookings!$G$3:$G$202,MATCH($K835,Bookings!$A$3:$A$202,0))),""))</f>
        <v/>
      </c>
    </row>
    <row r="836" spans="1:17" hidden="1" x14ac:dyDescent="0.35">
      <c r="A836" s="81"/>
      <c r="B836" s="81"/>
      <c r="C836" s="21"/>
      <c r="D836" s="56"/>
      <c r="E836" s="14"/>
      <c r="F836" s="14"/>
      <c r="G836" s="14"/>
      <c r="H836" s="83">
        <f t="shared" ref="H836:H899" si="54">J836-I836</f>
        <v>0</v>
      </c>
      <c r="I836" s="80"/>
      <c r="J836" s="80"/>
      <c r="K836" s="7" t="str">
        <f>IF($B836="","",IFERROR(INDEX(Connaissements!$B$3:$B$202,MATCH($B836,Connaissements!$A$3:$A$202,0)),""))</f>
        <v/>
      </c>
      <c r="L836" s="7" t="str">
        <f>IF($B836="","",IFERROR(INDEX(Connaissements!$G$3:$G$202,MATCH($B836,Connaissements!$A$3:$A$202,0)),""))</f>
        <v/>
      </c>
      <c r="M836" s="7" t="str">
        <f t="shared" si="51"/>
        <v/>
      </c>
      <c r="N836" s="7" t="str">
        <f t="shared" ca="1" si="52"/>
        <v/>
      </c>
      <c r="O836" s="13"/>
      <c r="P836" s="29" t="str">
        <f t="shared" ca="1" si="53"/>
        <v/>
      </c>
      <c r="Q836" s="30" t="str">
        <f>IF($K836="","",IFERROR(IF(INDEX(Bookings!$G$3:$G$202,MATCH($K836,Bookings!$A$3:$A$202,0))="","",INDEX(Bookings!$G$3:$G$202,MATCH($K836,Bookings!$A$3:$A$202,0))),""))</f>
        <v/>
      </c>
    </row>
    <row r="837" spans="1:17" hidden="1" x14ac:dyDescent="0.35">
      <c r="A837" s="81"/>
      <c r="B837" s="81"/>
      <c r="C837" s="21"/>
      <c r="D837" s="56"/>
      <c r="E837" s="14"/>
      <c r="F837" s="14"/>
      <c r="G837" s="14"/>
      <c r="H837" s="83">
        <f t="shared" si="54"/>
        <v>0</v>
      </c>
      <c r="I837" s="80"/>
      <c r="J837" s="80"/>
      <c r="K837" s="7" t="str">
        <f>IF($B837="","",IFERROR(INDEX(Connaissements!$B$3:$B$202,MATCH($B837,Connaissements!$A$3:$A$202,0)),""))</f>
        <v/>
      </c>
      <c r="L837" s="7" t="str">
        <f>IF($B837="","",IFERROR(INDEX(Connaissements!$G$3:$G$202,MATCH($B837,Connaissements!$A$3:$A$202,0)),""))</f>
        <v/>
      </c>
      <c r="M837" s="7" t="str">
        <f t="shared" si="51"/>
        <v/>
      </c>
      <c r="N837" s="7" t="str">
        <f t="shared" ca="1" si="52"/>
        <v/>
      </c>
      <c r="O837" s="13"/>
      <c r="P837" s="29" t="str">
        <f t="shared" ca="1" si="53"/>
        <v/>
      </c>
      <c r="Q837" s="30" t="str">
        <f>IF($K837="","",IFERROR(IF(INDEX(Bookings!$G$3:$G$202,MATCH($K837,Bookings!$A$3:$A$202,0))="","",INDEX(Bookings!$G$3:$G$202,MATCH($K837,Bookings!$A$3:$A$202,0))),""))</f>
        <v/>
      </c>
    </row>
    <row r="838" spans="1:17" hidden="1" x14ac:dyDescent="0.35">
      <c r="A838" s="81"/>
      <c r="B838" s="81"/>
      <c r="C838" s="21"/>
      <c r="D838" s="56"/>
      <c r="E838" s="14"/>
      <c r="F838" s="14"/>
      <c r="G838" s="14"/>
      <c r="H838" s="83">
        <f t="shared" si="54"/>
        <v>0</v>
      </c>
      <c r="I838" s="80"/>
      <c r="J838" s="80"/>
      <c r="K838" s="7" t="str">
        <f>IF($B838="","",IFERROR(INDEX(Connaissements!$B$3:$B$202,MATCH($B838,Connaissements!$A$3:$A$202,0)),""))</f>
        <v/>
      </c>
      <c r="L838" s="7" t="str">
        <f>IF($B838="","",IFERROR(INDEX(Connaissements!$G$3:$G$202,MATCH($B838,Connaissements!$A$3:$A$202,0)),""))</f>
        <v/>
      </c>
      <c r="M838" s="7" t="str">
        <f t="shared" si="51"/>
        <v/>
      </c>
      <c r="N838" s="7" t="str">
        <f t="shared" ca="1" si="52"/>
        <v/>
      </c>
      <c r="O838" s="13"/>
      <c r="P838" s="29" t="str">
        <f t="shared" ca="1" si="53"/>
        <v/>
      </c>
      <c r="Q838" s="30" t="str">
        <f>IF($K838="","",IFERROR(IF(INDEX(Bookings!$G$3:$G$202,MATCH($K838,Bookings!$A$3:$A$202,0))="","",INDEX(Bookings!$G$3:$G$202,MATCH($K838,Bookings!$A$3:$A$202,0))),""))</f>
        <v/>
      </c>
    </row>
    <row r="839" spans="1:17" hidden="1" x14ac:dyDescent="0.35">
      <c r="A839" s="81"/>
      <c r="B839" s="81"/>
      <c r="C839" s="21"/>
      <c r="D839" s="56"/>
      <c r="E839" s="14"/>
      <c r="F839" s="14"/>
      <c r="G839" s="14"/>
      <c r="H839" s="83">
        <f t="shared" si="54"/>
        <v>0</v>
      </c>
      <c r="I839" s="80"/>
      <c r="J839" s="80"/>
      <c r="K839" s="7" t="str">
        <f>IF($B839="","",IFERROR(INDEX(Connaissements!$B$3:$B$202,MATCH($B839,Connaissements!$A$3:$A$202,0)),""))</f>
        <v/>
      </c>
      <c r="L839" s="7" t="str">
        <f>IF($B839="","",IFERROR(INDEX(Connaissements!$G$3:$G$202,MATCH($B839,Connaissements!$A$3:$A$202,0)),""))</f>
        <v/>
      </c>
      <c r="M839" s="7" t="str">
        <f t="shared" si="51"/>
        <v/>
      </c>
      <c r="N839" s="7" t="str">
        <f t="shared" ca="1" si="52"/>
        <v/>
      </c>
      <c r="O839" s="13"/>
      <c r="P839" s="29" t="str">
        <f t="shared" ca="1" si="53"/>
        <v/>
      </c>
      <c r="Q839" s="30" t="str">
        <f>IF($K839="","",IFERROR(IF(INDEX(Bookings!$G$3:$G$202,MATCH($K839,Bookings!$A$3:$A$202,0))="","",INDEX(Bookings!$G$3:$G$202,MATCH($K839,Bookings!$A$3:$A$202,0))),""))</f>
        <v/>
      </c>
    </row>
    <row r="840" spans="1:17" hidden="1" x14ac:dyDescent="0.35">
      <c r="A840" s="81"/>
      <c r="B840" s="81"/>
      <c r="C840" s="21"/>
      <c r="D840" s="56"/>
      <c r="E840" s="14"/>
      <c r="F840" s="14"/>
      <c r="G840" s="14"/>
      <c r="H840" s="83">
        <f t="shared" si="54"/>
        <v>0</v>
      </c>
      <c r="I840" s="80"/>
      <c r="J840" s="80"/>
      <c r="K840" s="7" t="str">
        <f>IF($B840="","",IFERROR(INDEX(Connaissements!$B$3:$B$202,MATCH($B840,Connaissements!$A$3:$A$202,0)),""))</f>
        <v/>
      </c>
      <c r="L840" s="7" t="str">
        <f>IF($B840="","",IFERROR(INDEX(Connaissements!$G$3:$G$202,MATCH($B840,Connaissements!$A$3:$A$202,0)),""))</f>
        <v/>
      </c>
      <c r="M840" s="7" t="str">
        <f t="shared" si="51"/>
        <v/>
      </c>
      <c r="N840" s="7" t="str">
        <f t="shared" ca="1" si="52"/>
        <v/>
      </c>
      <c r="O840" s="13"/>
      <c r="P840" s="29" t="str">
        <f t="shared" ca="1" si="53"/>
        <v/>
      </c>
      <c r="Q840" s="30" t="str">
        <f>IF($K840="","",IFERROR(IF(INDEX(Bookings!$G$3:$G$202,MATCH($K840,Bookings!$A$3:$A$202,0))="","",INDEX(Bookings!$G$3:$G$202,MATCH($K840,Bookings!$A$3:$A$202,0))),""))</f>
        <v/>
      </c>
    </row>
    <row r="841" spans="1:17" hidden="1" x14ac:dyDescent="0.35">
      <c r="A841" s="81"/>
      <c r="B841" s="81"/>
      <c r="C841" s="21"/>
      <c r="D841" s="56"/>
      <c r="E841" s="14"/>
      <c r="F841" s="14"/>
      <c r="G841" s="14"/>
      <c r="H841" s="83">
        <f t="shared" si="54"/>
        <v>0</v>
      </c>
      <c r="I841" s="80"/>
      <c r="J841" s="80"/>
      <c r="K841" s="7" t="str">
        <f>IF($B841="","",IFERROR(INDEX(Connaissements!$B$3:$B$202,MATCH($B841,Connaissements!$A$3:$A$202,0)),""))</f>
        <v/>
      </c>
      <c r="L841" s="7" t="str">
        <f>IF($B841="","",IFERROR(INDEX(Connaissements!$G$3:$G$202,MATCH($B841,Connaissements!$A$3:$A$202,0)),""))</f>
        <v/>
      </c>
      <c r="M841" s="7" t="str">
        <f t="shared" si="51"/>
        <v/>
      </c>
      <c r="N841" s="7" t="str">
        <f t="shared" ca="1" si="52"/>
        <v/>
      </c>
      <c r="O841" s="13"/>
      <c r="P841" s="29" t="str">
        <f t="shared" ca="1" si="53"/>
        <v/>
      </c>
      <c r="Q841" s="30" t="str">
        <f>IF($K841="","",IFERROR(IF(INDEX(Bookings!$G$3:$G$202,MATCH($K841,Bookings!$A$3:$A$202,0))="","",INDEX(Bookings!$G$3:$G$202,MATCH($K841,Bookings!$A$3:$A$202,0))),""))</f>
        <v/>
      </c>
    </row>
    <row r="842" spans="1:17" hidden="1" x14ac:dyDescent="0.35">
      <c r="A842" s="81"/>
      <c r="B842" s="81"/>
      <c r="C842" s="21"/>
      <c r="D842" s="56"/>
      <c r="E842" s="14"/>
      <c r="F842" s="14"/>
      <c r="G842" s="14"/>
      <c r="H842" s="83">
        <f t="shared" si="54"/>
        <v>0</v>
      </c>
      <c r="I842" s="80"/>
      <c r="J842" s="80"/>
      <c r="K842" s="7" t="str">
        <f>IF($B842="","",IFERROR(INDEX(Connaissements!$B$3:$B$202,MATCH($B842,Connaissements!$A$3:$A$202,0)),""))</f>
        <v/>
      </c>
      <c r="L842" s="7" t="str">
        <f>IF($B842="","",IFERROR(INDEX(Connaissements!$G$3:$G$202,MATCH($B842,Connaissements!$A$3:$A$202,0)),""))</f>
        <v/>
      </c>
      <c r="M842" s="7" t="str">
        <f t="shared" si="51"/>
        <v/>
      </c>
      <c r="N842" s="7" t="str">
        <f t="shared" ca="1" si="52"/>
        <v/>
      </c>
      <c r="O842" s="13"/>
      <c r="P842" s="29" t="str">
        <f t="shared" ca="1" si="53"/>
        <v/>
      </c>
      <c r="Q842" s="30" t="str">
        <f>IF($K842="","",IFERROR(IF(INDEX(Bookings!$G$3:$G$202,MATCH($K842,Bookings!$A$3:$A$202,0))="","",INDEX(Bookings!$G$3:$G$202,MATCH($K842,Bookings!$A$3:$A$202,0))),""))</f>
        <v/>
      </c>
    </row>
    <row r="843" spans="1:17" hidden="1" x14ac:dyDescent="0.35">
      <c r="A843" s="81"/>
      <c r="B843" s="81"/>
      <c r="C843" s="21"/>
      <c r="D843" s="56"/>
      <c r="E843" s="14"/>
      <c r="F843" s="14"/>
      <c r="G843" s="14"/>
      <c r="H843" s="83">
        <f t="shared" si="54"/>
        <v>0</v>
      </c>
      <c r="I843" s="80"/>
      <c r="J843" s="80"/>
      <c r="K843" s="7" t="str">
        <f>IF($B843="","",IFERROR(INDEX(Connaissements!$B$3:$B$202,MATCH($B843,Connaissements!$A$3:$A$202,0)),""))</f>
        <v/>
      </c>
      <c r="L843" s="7" t="str">
        <f>IF($B843="","",IFERROR(INDEX(Connaissements!$G$3:$G$202,MATCH($B843,Connaissements!$A$3:$A$202,0)),""))</f>
        <v/>
      </c>
      <c r="M843" s="7" t="str">
        <f t="shared" si="51"/>
        <v/>
      </c>
      <c r="N843" s="7" t="str">
        <f t="shared" ca="1" si="52"/>
        <v/>
      </c>
      <c r="O843" s="13"/>
      <c r="P843" s="29" t="str">
        <f t="shared" ca="1" si="53"/>
        <v/>
      </c>
      <c r="Q843" s="30" t="str">
        <f>IF($K843="","",IFERROR(IF(INDEX(Bookings!$G$3:$G$202,MATCH($K843,Bookings!$A$3:$A$202,0))="","",INDEX(Bookings!$G$3:$G$202,MATCH($K843,Bookings!$A$3:$A$202,0))),""))</f>
        <v/>
      </c>
    </row>
    <row r="844" spans="1:17" hidden="1" x14ac:dyDescent="0.35">
      <c r="A844" s="81"/>
      <c r="B844" s="81"/>
      <c r="C844" s="21"/>
      <c r="D844" s="56"/>
      <c r="E844" s="14"/>
      <c r="F844" s="14"/>
      <c r="G844" s="14"/>
      <c r="H844" s="83">
        <f t="shared" si="54"/>
        <v>0</v>
      </c>
      <c r="I844" s="80"/>
      <c r="J844" s="80"/>
      <c r="K844" s="7" t="str">
        <f>IF($B844="","",IFERROR(INDEX(Connaissements!$B$3:$B$202,MATCH($B844,Connaissements!$A$3:$A$202,0)),""))</f>
        <v/>
      </c>
      <c r="L844" s="7" t="str">
        <f>IF($B844="","",IFERROR(INDEX(Connaissements!$G$3:$G$202,MATCH($B844,Connaissements!$A$3:$A$202,0)),""))</f>
        <v/>
      </c>
      <c r="M844" s="7" t="str">
        <f t="shared" si="51"/>
        <v/>
      </c>
      <c r="N844" s="7" t="str">
        <f t="shared" ca="1" si="52"/>
        <v/>
      </c>
      <c r="O844" s="13"/>
      <c r="P844" s="29" t="str">
        <f t="shared" ca="1" si="53"/>
        <v/>
      </c>
      <c r="Q844" s="30" t="str">
        <f>IF($K844="","",IFERROR(IF(INDEX(Bookings!$G$3:$G$202,MATCH($K844,Bookings!$A$3:$A$202,0))="","",INDEX(Bookings!$G$3:$G$202,MATCH($K844,Bookings!$A$3:$A$202,0))),""))</f>
        <v/>
      </c>
    </row>
    <row r="845" spans="1:17" hidden="1" x14ac:dyDescent="0.35">
      <c r="A845" s="81"/>
      <c r="B845" s="81"/>
      <c r="C845" s="21"/>
      <c r="D845" s="56"/>
      <c r="E845" s="14"/>
      <c r="F845" s="14"/>
      <c r="G845" s="14"/>
      <c r="H845" s="83">
        <f t="shared" si="54"/>
        <v>0</v>
      </c>
      <c r="I845" s="80"/>
      <c r="J845" s="80"/>
      <c r="K845" s="7" t="str">
        <f>IF($B845="","",IFERROR(INDEX(Connaissements!$B$3:$B$202,MATCH($B845,Connaissements!$A$3:$A$202,0)),""))</f>
        <v/>
      </c>
      <c r="L845" s="7" t="str">
        <f>IF($B845="","",IFERROR(INDEX(Connaissements!$G$3:$G$202,MATCH($B845,Connaissements!$A$3:$A$202,0)),""))</f>
        <v/>
      </c>
      <c r="M845" s="7" t="str">
        <f t="shared" si="51"/>
        <v/>
      </c>
      <c r="N845" s="7" t="str">
        <f t="shared" ca="1" si="52"/>
        <v/>
      </c>
      <c r="O845" s="13"/>
      <c r="P845" s="29" t="str">
        <f t="shared" ca="1" si="53"/>
        <v/>
      </c>
      <c r="Q845" s="30" t="str">
        <f>IF($K845="","",IFERROR(IF(INDEX(Bookings!$G$3:$G$202,MATCH($K845,Bookings!$A$3:$A$202,0))="","",INDEX(Bookings!$G$3:$G$202,MATCH($K845,Bookings!$A$3:$A$202,0))),""))</f>
        <v/>
      </c>
    </row>
    <row r="846" spans="1:17" hidden="1" x14ac:dyDescent="0.35">
      <c r="A846" s="81"/>
      <c r="B846" s="81"/>
      <c r="C846" s="21"/>
      <c r="D846" s="56"/>
      <c r="E846" s="14"/>
      <c r="F846" s="14"/>
      <c r="G846" s="14"/>
      <c r="H846" s="83">
        <f t="shared" si="54"/>
        <v>0</v>
      </c>
      <c r="I846" s="80"/>
      <c r="J846" s="80"/>
      <c r="K846" s="7" t="str">
        <f>IF($B846="","",IFERROR(INDEX(Connaissements!$B$3:$B$202,MATCH($B846,Connaissements!$A$3:$A$202,0)),""))</f>
        <v/>
      </c>
      <c r="L846" s="7" t="str">
        <f>IF($B846="","",IFERROR(INDEX(Connaissements!$G$3:$G$202,MATCH($B846,Connaissements!$A$3:$A$202,0)),""))</f>
        <v/>
      </c>
      <c r="M846" s="7" t="str">
        <f t="shared" si="51"/>
        <v/>
      </c>
      <c r="N846" s="7" t="str">
        <f t="shared" ca="1" si="52"/>
        <v/>
      </c>
      <c r="O846" s="13"/>
      <c r="P846" s="29" t="str">
        <f t="shared" ca="1" si="53"/>
        <v/>
      </c>
      <c r="Q846" s="30" t="str">
        <f>IF($K846="","",IFERROR(IF(INDEX(Bookings!$G$3:$G$202,MATCH($K846,Bookings!$A$3:$A$202,0))="","",INDEX(Bookings!$G$3:$G$202,MATCH($K846,Bookings!$A$3:$A$202,0))),""))</f>
        <v/>
      </c>
    </row>
    <row r="847" spans="1:17" hidden="1" x14ac:dyDescent="0.35">
      <c r="A847" s="81"/>
      <c r="B847" s="81"/>
      <c r="C847" s="21"/>
      <c r="D847" s="56"/>
      <c r="E847" s="14"/>
      <c r="F847" s="14"/>
      <c r="G847" s="14"/>
      <c r="H847" s="83">
        <f t="shared" si="54"/>
        <v>0</v>
      </c>
      <c r="I847" s="80"/>
      <c r="J847" s="80"/>
      <c r="K847" s="7" t="str">
        <f>IF($B847="","",IFERROR(INDEX(Connaissements!$B$3:$B$202,MATCH($B847,Connaissements!$A$3:$A$202,0)),""))</f>
        <v/>
      </c>
      <c r="L847" s="7" t="str">
        <f>IF($B847="","",IFERROR(INDEX(Connaissements!$G$3:$G$202,MATCH($B847,Connaissements!$A$3:$A$202,0)),""))</f>
        <v/>
      </c>
      <c r="M847" s="7" t="str">
        <f t="shared" si="51"/>
        <v/>
      </c>
      <c r="N847" s="7" t="str">
        <f t="shared" ca="1" si="52"/>
        <v/>
      </c>
      <c r="O847" s="13"/>
      <c r="P847" s="29" t="str">
        <f t="shared" ca="1" si="53"/>
        <v/>
      </c>
      <c r="Q847" s="30" t="str">
        <f>IF($K847="","",IFERROR(IF(INDEX(Bookings!$G$3:$G$202,MATCH($K847,Bookings!$A$3:$A$202,0))="","",INDEX(Bookings!$G$3:$G$202,MATCH($K847,Bookings!$A$3:$A$202,0))),""))</f>
        <v/>
      </c>
    </row>
    <row r="848" spans="1:17" hidden="1" x14ac:dyDescent="0.35">
      <c r="A848" s="81"/>
      <c r="B848" s="81"/>
      <c r="C848" s="21"/>
      <c r="D848" s="56"/>
      <c r="E848" s="14"/>
      <c r="F848" s="14"/>
      <c r="G848" s="14"/>
      <c r="H848" s="83">
        <f t="shared" si="54"/>
        <v>0</v>
      </c>
      <c r="I848" s="80"/>
      <c r="J848" s="80"/>
      <c r="K848" s="7" t="str">
        <f>IF($B848="","",IFERROR(INDEX(Connaissements!$B$3:$B$202,MATCH($B848,Connaissements!$A$3:$A$202,0)),""))</f>
        <v/>
      </c>
      <c r="L848" s="7" t="str">
        <f>IF($B848="","",IFERROR(INDEX(Connaissements!$G$3:$G$202,MATCH($B848,Connaissements!$A$3:$A$202,0)),""))</f>
        <v/>
      </c>
      <c r="M848" s="7" t="str">
        <f t="shared" si="51"/>
        <v/>
      </c>
      <c r="N848" s="7" t="str">
        <f t="shared" ca="1" si="52"/>
        <v/>
      </c>
      <c r="O848" s="13"/>
      <c r="P848" s="29" t="str">
        <f t="shared" ca="1" si="53"/>
        <v/>
      </c>
      <c r="Q848" s="30" t="str">
        <f>IF($K848="","",IFERROR(IF(INDEX(Bookings!$G$3:$G$202,MATCH($K848,Bookings!$A$3:$A$202,0))="","",INDEX(Bookings!$G$3:$G$202,MATCH($K848,Bookings!$A$3:$A$202,0))),""))</f>
        <v/>
      </c>
    </row>
    <row r="849" spans="1:17" hidden="1" x14ac:dyDescent="0.35">
      <c r="A849" s="81"/>
      <c r="B849" s="81"/>
      <c r="C849" s="21"/>
      <c r="D849" s="56"/>
      <c r="E849" s="14"/>
      <c r="F849" s="14"/>
      <c r="G849" s="14"/>
      <c r="H849" s="83">
        <f t="shared" si="54"/>
        <v>0</v>
      </c>
      <c r="I849" s="80"/>
      <c r="J849" s="80"/>
      <c r="K849" s="7" t="str">
        <f>IF($B849="","",IFERROR(INDEX(Connaissements!$B$3:$B$202,MATCH($B849,Connaissements!$A$3:$A$202,0)),""))</f>
        <v/>
      </c>
      <c r="L849" s="7" t="str">
        <f>IF($B849="","",IFERROR(INDEX(Connaissements!$G$3:$G$202,MATCH($B849,Connaissements!$A$3:$A$202,0)),""))</f>
        <v/>
      </c>
      <c r="M849" s="7" t="str">
        <f t="shared" si="51"/>
        <v/>
      </c>
      <c r="N849" s="7" t="str">
        <f t="shared" ca="1" si="52"/>
        <v/>
      </c>
      <c r="O849" s="13"/>
      <c r="P849" s="29" t="str">
        <f t="shared" ca="1" si="53"/>
        <v/>
      </c>
      <c r="Q849" s="30" t="str">
        <f>IF($K849="","",IFERROR(IF(INDEX(Bookings!$G$3:$G$202,MATCH($K849,Bookings!$A$3:$A$202,0))="","",INDEX(Bookings!$G$3:$G$202,MATCH($K849,Bookings!$A$3:$A$202,0))),""))</f>
        <v/>
      </c>
    </row>
    <row r="850" spans="1:17" hidden="1" x14ac:dyDescent="0.35">
      <c r="A850" s="81"/>
      <c r="B850" s="81"/>
      <c r="C850" s="21"/>
      <c r="D850" s="56"/>
      <c r="E850" s="14"/>
      <c r="F850" s="14"/>
      <c r="G850" s="14"/>
      <c r="H850" s="83">
        <f t="shared" si="54"/>
        <v>0</v>
      </c>
      <c r="I850" s="80"/>
      <c r="J850" s="80"/>
      <c r="K850" s="7" t="str">
        <f>IF($B850="","",IFERROR(INDEX(Connaissements!$B$3:$B$202,MATCH($B850,Connaissements!$A$3:$A$202,0)),""))</f>
        <v/>
      </c>
      <c r="L850" s="7" t="str">
        <f>IF($B850="","",IFERROR(INDEX(Connaissements!$G$3:$G$202,MATCH($B850,Connaissements!$A$3:$A$202,0)),""))</f>
        <v/>
      </c>
      <c r="M850" s="7" t="str">
        <f t="shared" si="51"/>
        <v/>
      </c>
      <c r="N850" s="7" t="str">
        <f t="shared" ca="1" si="52"/>
        <v/>
      </c>
      <c r="O850" s="13"/>
      <c r="P850" s="29" t="str">
        <f t="shared" ca="1" si="53"/>
        <v/>
      </c>
      <c r="Q850" s="30" t="str">
        <f>IF($K850="","",IFERROR(IF(INDEX(Bookings!$G$3:$G$202,MATCH($K850,Bookings!$A$3:$A$202,0))="","",INDEX(Bookings!$G$3:$G$202,MATCH($K850,Bookings!$A$3:$A$202,0))),""))</f>
        <v/>
      </c>
    </row>
    <row r="851" spans="1:17" hidden="1" x14ac:dyDescent="0.35">
      <c r="A851" s="81"/>
      <c r="B851" s="81"/>
      <c r="C851" s="21"/>
      <c r="D851" s="56"/>
      <c r="E851" s="14"/>
      <c r="F851" s="14"/>
      <c r="G851" s="14"/>
      <c r="H851" s="83">
        <f t="shared" si="54"/>
        <v>0</v>
      </c>
      <c r="I851" s="80"/>
      <c r="J851" s="80"/>
      <c r="K851" s="7" t="str">
        <f>IF($B851="","",IFERROR(INDEX(Connaissements!$B$3:$B$202,MATCH($B851,Connaissements!$A$3:$A$202,0)),""))</f>
        <v/>
      </c>
      <c r="L851" s="7" t="str">
        <f>IF($B851="","",IFERROR(INDEX(Connaissements!$G$3:$G$202,MATCH($B851,Connaissements!$A$3:$A$202,0)),""))</f>
        <v/>
      </c>
      <c r="M851" s="7" t="str">
        <f t="shared" si="51"/>
        <v/>
      </c>
      <c r="N851" s="7" t="str">
        <f t="shared" ca="1" si="52"/>
        <v/>
      </c>
      <c r="O851" s="13"/>
      <c r="P851" s="29" t="str">
        <f t="shared" ca="1" si="53"/>
        <v/>
      </c>
      <c r="Q851" s="30" t="str">
        <f>IF($K851="","",IFERROR(IF(INDEX(Bookings!$G$3:$G$202,MATCH($K851,Bookings!$A$3:$A$202,0))="","",INDEX(Bookings!$G$3:$G$202,MATCH($K851,Bookings!$A$3:$A$202,0))),""))</f>
        <v/>
      </c>
    </row>
    <row r="852" spans="1:17" hidden="1" x14ac:dyDescent="0.35">
      <c r="A852" s="81"/>
      <c r="B852" s="81"/>
      <c r="C852" s="21"/>
      <c r="D852" s="56"/>
      <c r="E852" s="14"/>
      <c r="F852" s="14"/>
      <c r="G852" s="14"/>
      <c r="H852" s="83">
        <f t="shared" si="54"/>
        <v>0</v>
      </c>
      <c r="I852" s="80"/>
      <c r="J852" s="80"/>
      <c r="K852" s="7" t="str">
        <f>IF($B852="","",IFERROR(INDEX(Connaissements!$B$3:$B$202,MATCH($B852,Connaissements!$A$3:$A$202,0)),""))</f>
        <v/>
      </c>
      <c r="L852" s="7" t="str">
        <f>IF($B852="","",IFERROR(INDEX(Connaissements!$G$3:$G$202,MATCH($B852,Connaissements!$A$3:$A$202,0)),""))</f>
        <v/>
      </c>
      <c r="M852" s="7" t="str">
        <f t="shared" si="51"/>
        <v/>
      </c>
      <c r="N852" s="7" t="str">
        <f t="shared" ca="1" si="52"/>
        <v/>
      </c>
      <c r="O852" s="13"/>
      <c r="P852" s="29" t="str">
        <f t="shared" ca="1" si="53"/>
        <v/>
      </c>
      <c r="Q852" s="30" t="str">
        <f>IF($K852="","",IFERROR(IF(INDEX(Bookings!$G$3:$G$202,MATCH($K852,Bookings!$A$3:$A$202,0))="","",INDEX(Bookings!$G$3:$G$202,MATCH($K852,Bookings!$A$3:$A$202,0))),""))</f>
        <v/>
      </c>
    </row>
    <row r="853" spans="1:17" hidden="1" x14ac:dyDescent="0.35">
      <c r="A853" s="81"/>
      <c r="B853" s="81"/>
      <c r="C853" s="21"/>
      <c r="D853" s="56"/>
      <c r="E853" s="14"/>
      <c r="F853" s="14"/>
      <c r="G853" s="14"/>
      <c r="H853" s="83">
        <f t="shared" si="54"/>
        <v>0</v>
      </c>
      <c r="I853" s="80"/>
      <c r="J853" s="80"/>
      <c r="K853" s="7" t="str">
        <f>IF($B853="","",IFERROR(INDEX(Connaissements!$B$3:$B$202,MATCH($B853,Connaissements!$A$3:$A$202,0)),""))</f>
        <v/>
      </c>
      <c r="L853" s="7" t="str">
        <f>IF($B853="","",IFERROR(INDEX(Connaissements!$G$3:$G$202,MATCH($B853,Connaissements!$A$3:$A$202,0)),""))</f>
        <v/>
      </c>
      <c r="M853" s="7" t="str">
        <f t="shared" si="51"/>
        <v/>
      </c>
      <c r="N853" s="7" t="str">
        <f t="shared" ca="1" si="52"/>
        <v/>
      </c>
      <c r="O853" s="13"/>
      <c r="P853" s="29" t="str">
        <f t="shared" ca="1" si="53"/>
        <v/>
      </c>
      <c r="Q853" s="30" t="str">
        <f>IF($K853="","",IFERROR(IF(INDEX(Bookings!$G$3:$G$202,MATCH($K853,Bookings!$A$3:$A$202,0))="","",INDEX(Bookings!$G$3:$G$202,MATCH($K853,Bookings!$A$3:$A$202,0))),""))</f>
        <v/>
      </c>
    </row>
    <row r="854" spans="1:17" hidden="1" x14ac:dyDescent="0.35">
      <c r="A854" s="81"/>
      <c r="B854" s="81"/>
      <c r="C854" s="21"/>
      <c r="D854" s="56"/>
      <c r="E854" s="14"/>
      <c r="F854" s="14"/>
      <c r="G854" s="14"/>
      <c r="H854" s="83">
        <f t="shared" si="54"/>
        <v>0</v>
      </c>
      <c r="I854" s="80"/>
      <c r="J854" s="80"/>
      <c r="K854" s="7" t="str">
        <f>IF($B854="","",IFERROR(INDEX(Connaissements!$B$3:$B$202,MATCH($B854,Connaissements!$A$3:$A$202,0)),""))</f>
        <v/>
      </c>
      <c r="L854" s="7" t="str">
        <f>IF($B854="","",IFERROR(INDEX(Connaissements!$G$3:$G$202,MATCH($B854,Connaissements!$A$3:$A$202,0)),""))</f>
        <v/>
      </c>
      <c r="M854" s="7" t="str">
        <f t="shared" si="51"/>
        <v/>
      </c>
      <c r="N854" s="7" t="str">
        <f t="shared" ca="1" si="52"/>
        <v/>
      </c>
      <c r="O854" s="13"/>
      <c r="P854" s="29" t="str">
        <f t="shared" ca="1" si="53"/>
        <v/>
      </c>
      <c r="Q854" s="30" t="str">
        <f>IF($K854="","",IFERROR(IF(INDEX(Bookings!$G$3:$G$202,MATCH($K854,Bookings!$A$3:$A$202,0))="","",INDEX(Bookings!$G$3:$G$202,MATCH($K854,Bookings!$A$3:$A$202,0))),""))</f>
        <v/>
      </c>
    </row>
    <row r="855" spans="1:17" hidden="1" x14ac:dyDescent="0.35">
      <c r="A855" s="81"/>
      <c r="B855" s="81"/>
      <c r="C855" s="21"/>
      <c r="D855" s="56"/>
      <c r="E855" s="14"/>
      <c r="F855" s="14"/>
      <c r="G855" s="14"/>
      <c r="H855" s="83">
        <f t="shared" si="54"/>
        <v>0</v>
      </c>
      <c r="I855" s="80"/>
      <c r="J855" s="80"/>
      <c r="K855" s="7" t="str">
        <f>IF($B855="","",IFERROR(INDEX(Connaissements!$B$3:$B$202,MATCH($B855,Connaissements!$A$3:$A$202,0)),""))</f>
        <v/>
      </c>
      <c r="L855" s="7" t="str">
        <f>IF($B855="","",IFERROR(INDEX(Connaissements!$G$3:$G$202,MATCH($B855,Connaissements!$A$3:$A$202,0)),""))</f>
        <v/>
      </c>
      <c r="M855" s="7" t="str">
        <f t="shared" si="51"/>
        <v/>
      </c>
      <c r="N855" s="7" t="str">
        <f t="shared" ca="1" si="52"/>
        <v/>
      </c>
      <c r="O855" s="13"/>
      <c r="P855" s="29" t="str">
        <f t="shared" ca="1" si="53"/>
        <v/>
      </c>
      <c r="Q855" s="30" t="str">
        <f>IF($K855="","",IFERROR(IF(INDEX(Bookings!$G$3:$G$202,MATCH($K855,Bookings!$A$3:$A$202,0))="","",INDEX(Bookings!$G$3:$G$202,MATCH($K855,Bookings!$A$3:$A$202,0))),""))</f>
        <v/>
      </c>
    </row>
    <row r="856" spans="1:17" hidden="1" x14ac:dyDescent="0.35">
      <c r="A856" s="81"/>
      <c r="B856" s="81"/>
      <c r="C856" s="21"/>
      <c r="D856" s="56"/>
      <c r="E856" s="14"/>
      <c r="F856" s="14"/>
      <c r="G856" s="14"/>
      <c r="H856" s="83">
        <f t="shared" si="54"/>
        <v>0</v>
      </c>
      <c r="I856" s="80"/>
      <c r="J856" s="80"/>
      <c r="K856" s="7" t="str">
        <f>IF($B856="","",IFERROR(INDEX(Connaissements!$B$3:$B$202,MATCH($B856,Connaissements!$A$3:$A$202,0)),""))</f>
        <v/>
      </c>
      <c r="L856" s="7" t="str">
        <f>IF($B856="","",IFERROR(INDEX(Connaissements!$G$3:$G$202,MATCH($B856,Connaissements!$A$3:$A$202,0)),""))</f>
        <v/>
      </c>
      <c r="M856" s="7" t="str">
        <f t="shared" si="51"/>
        <v/>
      </c>
      <c r="N856" s="7" t="str">
        <f t="shared" ca="1" si="52"/>
        <v/>
      </c>
      <c r="O856" s="13"/>
      <c r="P856" s="29" t="str">
        <f t="shared" ca="1" si="53"/>
        <v/>
      </c>
      <c r="Q856" s="30" t="str">
        <f>IF($K856="","",IFERROR(IF(INDEX(Bookings!$G$3:$G$202,MATCH($K856,Bookings!$A$3:$A$202,0))="","",INDEX(Bookings!$G$3:$G$202,MATCH($K856,Bookings!$A$3:$A$202,0))),""))</f>
        <v/>
      </c>
    </row>
    <row r="857" spans="1:17" hidden="1" x14ac:dyDescent="0.35">
      <c r="A857" s="81"/>
      <c r="B857" s="81"/>
      <c r="C857" s="21"/>
      <c r="D857" s="56"/>
      <c r="E857" s="14"/>
      <c r="F857" s="14"/>
      <c r="G857" s="14"/>
      <c r="H857" s="83">
        <f t="shared" si="54"/>
        <v>0</v>
      </c>
      <c r="I857" s="80"/>
      <c r="J857" s="80"/>
      <c r="K857" s="7" t="str">
        <f>IF($B857="","",IFERROR(INDEX(Connaissements!$B$3:$B$202,MATCH($B857,Connaissements!$A$3:$A$202,0)),""))</f>
        <v/>
      </c>
      <c r="L857" s="7" t="str">
        <f>IF($B857="","",IFERROR(INDEX(Connaissements!$G$3:$G$202,MATCH($B857,Connaissements!$A$3:$A$202,0)),""))</f>
        <v/>
      </c>
      <c r="M857" s="7" t="str">
        <f t="shared" si="51"/>
        <v/>
      </c>
      <c r="N857" s="7" t="str">
        <f t="shared" ca="1" si="52"/>
        <v/>
      </c>
      <c r="O857" s="13"/>
      <c r="P857" s="29" t="str">
        <f t="shared" ca="1" si="53"/>
        <v/>
      </c>
      <c r="Q857" s="30" t="str">
        <f>IF($K857="","",IFERROR(IF(INDEX(Bookings!$G$3:$G$202,MATCH($K857,Bookings!$A$3:$A$202,0))="","",INDEX(Bookings!$G$3:$G$202,MATCH($K857,Bookings!$A$3:$A$202,0))),""))</f>
        <v/>
      </c>
    </row>
    <row r="858" spans="1:17" hidden="1" x14ac:dyDescent="0.35">
      <c r="A858" s="81"/>
      <c r="B858" s="81"/>
      <c r="C858" s="21"/>
      <c r="D858" s="56"/>
      <c r="E858" s="14"/>
      <c r="F858" s="14"/>
      <c r="G858" s="14"/>
      <c r="H858" s="83">
        <f t="shared" si="54"/>
        <v>0</v>
      </c>
      <c r="I858" s="80"/>
      <c r="J858" s="80"/>
      <c r="K858" s="7" t="str">
        <f>IF($B858="","",IFERROR(INDEX(Connaissements!$B$3:$B$202,MATCH($B858,Connaissements!$A$3:$A$202,0)),""))</f>
        <v/>
      </c>
      <c r="L858" s="7" t="str">
        <f>IF($B858="","",IFERROR(INDEX(Connaissements!$G$3:$G$202,MATCH($B858,Connaissements!$A$3:$A$202,0)),""))</f>
        <v/>
      </c>
      <c r="M858" s="7" t="str">
        <f t="shared" si="51"/>
        <v/>
      </c>
      <c r="N858" s="7" t="str">
        <f t="shared" ca="1" si="52"/>
        <v/>
      </c>
      <c r="O858" s="13"/>
      <c r="P858" s="29" t="str">
        <f t="shared" ca="1" si="53"/>
        <v/>
      </c>
      <c r="Q858" s="30" t="str">
        <f>IF($K858="","",IFERROR(IF(INDEX(Bookings!$G$3:$G$202,MATCH($K858,Bookings!$A$3:$A$202,0))="","",INDEX(Bookings!$G$3:$G$202,MATCH($K858,Bookings!$A$3:$A$202,0))),""))</f>
        <v/>
      </c>
    </row>
    <row r="859" spans="1:17" hidden="1" x14ac:dyDescent="0.35">
      <c r="A859" s="81"/>
      <c r="B859" s="81"/>
      <c r="C859" s="21"/>
      <c r="D859" s="56"/>
      <c r="E859" s="14"/>
      <c r="F859" s="14"/>
      <c r="G859" s="14"/>
      <c r="H859" s="83">
        <f t="shared" si="54"/>
        <v>0</v>
      </c>
      <c r="I859" s="80"/>
      <c r="J859" s="80"/>
      <c r="K859" s="7" t="str">
        <f>IF($B859="","",IFERROR(INDEX(Connaissements!$B$3:$B$202,MATCH($B859,Connaissements!$A$3:$A$202,0)),""))</f>
        <v/>
      </c>
      <c r="L859" s="7" t="str">
        <f>IF($B859="","",IFERROR(INDEX(Connaissements!$G$3:$G$202,MATCH($B859,Connaissements!$A$3:$A$202,0)),""))</f>
        <v/>
      </c>
      <c r="M859" s="7" t="str">
        <f t="shared" si="51"/>
        <v/>
      </c>
      <c r="N859" s="7" t="str">
        <f t="shared" ca="1" si="52"/>
        <v/>
      </c>
      <c r="O859" s="13"/>
      <c r="P859" s="29" t="str">
        <f t="shared" ca="1" si="53"/>
        <v/>
      </c>
      <c r="Q859" s="30" t="str">
        <f>IF($K859="","",IFERROR(IF(INDEX(Bookings!$G$3:$G$202,MATCH($K859,Bookings!$A$3:$A$202,0))="","",INDEX(Bookings!$G$3:$G$202,MATCH($K859,Bookings!$A$3:$A$202,0))),""))</f>
        <v/>
      </c>
    </row>
    <row r="860" spans="1:17" hidden="1" x14ac:dyDescent="0.35">
      <c r="A860" s="81"/>
      <c r="B860" s="81"/>
      <c r="C860" s="21"/>
      <c r="D860" s="56"/>
      <c r="E860" s="14"/>
      <c r="F860" s="14"/>
      <c r="G860" s="14"/>
      <c r="H860" s="83">
        <f t="shared" si="54"/>
        <v>0</v>
      </c>
      <c r="I860" s="80"/>
      <c r="J860" s="80"/>
      <c r="K860" s="7" t="str">
        <f>IF($B860="","",IFERROR(INDEX(Connaissements!$B$3:$B$202,MATCH($B860,Connaissements!$A$3:$A$202,0)),""))</f>
        <v/>
      </c>
      <c r="L860" s="7" t="str">
        <f>IF($B860="","",IFERROR(INDEX(Connaissements!$G$3:$G$202,MATCH($B860,Connaissements!$A$3:$A$202,0)),""))</f>
        <v/>
      </c>
      <c r="M860" s="7" t="str">
        <f t="shared" si="51"/>
        <v/>
      </c>
      <c r="N860" s="7" t="str">
        <f t="shared" ca="1" si="52"/>
        <v/>
      </c>
      <c r="O860" s="13"/>
      <c r="P860" s="29" t="str">
        <f t="shared" ca="1" si="53"/>
        <v/>
      </c>
      <c r="Q860" s="30" t="str">
        <f>IF($K860="","",IFERROR(IF(INDEX(Bookings!$G$3:$G$202,MATCH($K860,Bookings!$A$3:$A$202,0))="","",INDEX(Bookings!$G$3:$G$202,MATCH($K860,Bookings!$A$3:$A$202,0))),""))</f>
        <v/>
      </c>
    </row>
    <row r="861" spans="1:17" hidden="1" x14ac:dyDescent="0.35">
      <c r="A861" s="81"/>
      <c r="B861" s="81"/>
      <c r="C861" s="21"/>
      <c r="D861" s="56"/>
      <c r="E861" s="14"/>
      <c r="F861" s="14"/>
      <c r="G861" s="14"/>
      <c r="H861" s="83">
        <f t="shared" si="54"/>
        <v>0</v>
      </c>
      <c r="I861" s="80"/>
      <c r="J861" s="80"/>
      <c r="K861" s="7" t="str">
        <f>IF($B861="","",IFERROR(INDEX(Connaissements!$B$3:$B$202,MATCH($B861,Connaissements!$A$3:$A$202,0)),""))</f>
        <v/>
      </c>
      <c r="L861" s="7" t="str">
        <f>IF($B861="","",IFERROR(INDEX(Connaissements!$G$3:$G$202,MATCH($B861,Connaissements!$A$3:$A$202,0)),""))</f>
        <v/>
      </c>
      <c r="M861" s="7" t="str">
        <f t="shared" si="51"/>
        <v/>
      </c>
      <c r="N861" s="7" t="str">
        <f t="shared" ca="1" si="52"/>
        <v/>
      </c>
      <c r="O861" s="13"/>
      <c r="P861" s="29" t="str">
        <f t="shared" ca="1" si="53"/>
        <v/>
      </c>
      <c r="Q861" s="30" t="str">
        <f>IF($K861="","",IFERROR(IF(INDEX(Bookings!$G$3:$G$202,MATCH($K861,Bookings!$A$3:$A$202,0))="","",INDEX(Bookings!$G$3:$G$202,MATCH($K861,Bookings!$A$3:$A$202,0))),""))</f>
        <v/>
      </c>
    </row>
    <row r="862" spans="1:17" hidden="1" x14ac:dyDescent="0.35">
      <c r="A862" s="81"/>
      <c r="B862" s="81"/>
      <c r="C862" s="21"/>
      <c r="D862" s="56"/>
      <c r="E862" s="14"/>
      <c r="F862" s="14"/>
      <c r="G862" s="14"/>
      <c r="H862" s="83">
        <f t="shared" si="54"/>
        <v>0</v>
      </c>
      <c r="I862" s="80"/>
      <c r="J862" s="80"/>
      <c r="K862" s="7" t="str">
        <f>IF($B862="","",IFERROR(INDEX(Connaissements!$B$3:$B$202,MATCH($B862,Connaissements!$A$3:$A$202,0)),""))</f>
        <v/>
      </c>
      <c r="L862" s="7" t="str">
        <f>IF($B862="","",IFERROR(INDEX(Connaissements!$G$3:$G$202,MATCH($B862,Connaissements!$A$3:$A$202,0)),""))</f>
        <v/>
      </c>
      <c r="M862" s="7" t="str">
        <f t="shared" si="51"/>
        <v/>
      </c>
      <c r="N862" s="7" t="str">
        <f t="shared" ca="1" si="52"/>
        <v/>
      </c>
      <c r="O862" s="13"/>
      <c r="P862" s="29" t="str">
        <f t="shared" ca="1" si="53"/>
        <v/>
      </c>
      <c r="Q862" s="30" t="str">
        <f>IF($K862="","",IFERROR(IF(INDEX(Bookings!$G$3:$G$202,MATCH($K862,Bookings!$A$3:$A$202,0))="","",INDEX(Bookings!$G$3:$G$202,MATCH($K862,Bookings!$A$3:$A$202,0))),""))</f>
        <v/>
      </c>
    </row>
    <row r="863" spans="1:17" hidden="1" x14ac:dyDescent="0.35">
      <c r="A863" s="81"/>
      <c r="B863" s="81"/>
      <c r="C863" s="21"/>
      <c r="D863" s="56"/>
      <c r="E863" s="14"/>
      <c r="F863" s="14"/>
      <c r="G863" s="14"/>
      <c r="H863" s="83">
        <f t="shared" si="54"/>
        <v>0</v>
      </c>
      <c r="I863" s="80"/>
      <c r="J863" s="80"/>
      <c r="K863" s="7" t="str">
        <f>IF($B863="","",IFERROR(INDEX(Connaissements!$B$3:$B$202,MATCH($B863,Connaissements!$A$3:$A$202,0)),""))</f>
        <v/>
      </c>
      <c r="L863" s="7" t="str">
        <f>IF($B863="","",IFERROR(INDEX(Connaissements!$G$3:$G$202,MATCH($B863,Connaissements!$A$3:$A$202,0)),""))</f>
        <v/>
      </c>
      <c r="M863" s="7" t="str">
        <f t="shared" si="51"/>
        <v/>
      </c>
      <c r="N863" s="7" t="str">
        <f t="shared" ca="1" si="52"/>
        <v/>
      </c>
      <c r="O863" s="13"/>
      <c r="P863" s="29" t="str">
        <f t="shared" ca="1" si="53"/>
        <v/>
      </c>
      <c r="Q863" s="30" t="str">
        <f>IF($K863="","",IFERROR(IF(INDEX(Bookings!$G$3:$G$202,MATCH($K863,Bookings!$A$3:$A$202,0))="","",INDEX(Bookings!$G$3:$G$202,MATCH($K863,Bookings!$A$3:$A$202,0))),""))</f>
        <v/>
      </c>
    </row>
    <row r="864" spans="1:17" hidden="1" x14ac:dyDescent="0.35">
      <c r="A864" s="81"/>
      <c r="B864" s="81"/>
      <c r="C864" s="21"/>
      <c r="D864" s="56"/>
      <c r="E864" s="14"/>
      <c r="F864" s="14"/>
      <c r="G864" s="14"/>
      <c r="H864" s="83">
        <f t="shared" si="54"/>
        <v>0</v>
      </c>
      <c r="I864" s="80"/>
      <c r="J864" s="80"/>
      <c r="K864" s="7" t="str">
        <f>IF($B864="","",IFERROR(INDEX(Connaissements!$B$3:$B$202,MATCH($B864,Connaissements!$A$3:$A$202,0)),""))</f>
        <v/>
      </c>
      <c r="L864" s="7" t="str">
        <f>IF($B864="","",IFERROR(INDEX(Connaissements!$G$3:$G$202,MATCH($B864,Connaissements!$A$3:$A$202,0)),""))</f>
        <v/>
      </c>
      <c r="M864" s="7" t="str">
        <f t="shared" si="51"/>
        <v/>
      </c>
      <c r="N864" s="7" t="str">
        <f t="shared" ca="1" si="52"/>
        <v/>
      </c>
      <c r="O864" s="13"/>
      <c r="P864" s="29" t="str">
        <f t="shared" ca="1" si="53"/>
        <v/>
      </c>
      <c r="Q864" s="30" t="str">
        <f>IF($K864="","",IFERROR(IF(INDEX(Bookings!$G$3:$G$202,MATCH($K864,Bookings!$A$3:$A$202,0))="","",INDEX(Bookings!$G$3:$G$202,MATCH($K864,Bookings!$A$3:$A$202,0))),""))</f>
        <v/>
      </c>
    </row>
    <row r="865" spans="1:17" hidden="1" x14ac:dyDescent="0.35">
      <c r="A865" s="81"/>
      <c r="B865" s="81"/>
      <c r="C865" s="21"/>
      <c r="D865" s="56"/>
      <c r="E865" s="14"/>
      <c r="F865" s="14"/>
      <c r="G865" s="14"/>
      <c r="H865" s="83">
        <f t="shared" si="54"/>
        <v>0</v>
      </c>
      <c r="I865" s="80"/>
      <c r="J865" s="80"/>
      <c r="K865" s="7" t="str">
        <f>IF($B865="","",IFERROR(INDEX(Connaissements!$B$3:$B$202,MATCH($B865,Connaissements!$A$3:$A$202,0)),""))</f>
        <v/>
      </c>
      <c r="L865" s="7" t="str">
        <f>IF($B865="","",IFERROR(INDEX(Connaissements!$G$3:$G$202,MATCH($B865,Connaissements!$A$3:$A$202,0)),""))</f>
        <v/>
      </c>
      <c r="M865" s="7" t="str">
        <f t="shared" si="51"/>
        <v/>
      </c>
      <c r="N865" s="7" t="str">
        <f t="shared" ca="1" si="52"/>
        <v/>
      </c>
      <c r="O865" s="13"/>
      <c r="P865" s="29" t="str">
        <f t="shared" ca="1" si="53"/>
        <v/>
      </c>
      <c r="Q865" s="30" t="str">
        <f>IF($K865="","",IFERROR(IF(INDEX(Bookings!$G$3:$G$202,MATCH($K865,Bookings!$A$3:$A$202,0))="","",INDEX(Bookings!$G$3:$G$202,MATCH($K865,Bookings!$A$3:$A$202,0))),""))</f>
        <v/>
      </c>
    </row>
    <row r="866" spans="1:17" hidden="1" x14ac:dyDescent="0.35">
      <c r="A866" s="81"/>
      <c r="B866" s="81"/>
      <c r="C866" s="21"/>
      <c r="D866" s="56"/>
      <c r="E866" s="14"/>
      <c r="F866" s="14"/>
      <c r="G866" s="14"/>
      <c r="H866" s="83">
        <f t="shared" si="54"/>
        <v>0</v>
      </c>
      <c r="I866" s="80"/>
      <c r="J866" s="80"/>
      <c r="K866" s="7" t="str">
        <f>IF($B866="","",IFERROR(INDEX(Connaissements!$B$3:$B$202,MATCH($B866,Connaissements!$A$3:$A$202,0)),""))</f>
        <v/>
      </c>
      <c r="L866" s="7" t="str">
        <f>IF($B866="","",IFERROR(INDEX(Connaissements!$G$3:$G$202,MATCH($B866,Connaissements!$A$3:$A$202,0)),""))</f>
        <v/>
      </c>
      <c r="M866" s="7" t="str">
        <f t="shared" si="51"/>
        <v/>
      </c>
      <c r="N866" s="7" t="str">
        <f t="shared" ca="1" si="52"/>
        <v/>
      </c>
      <c r="O866" s="13"/>
      <c r="P866" s="29" t="str">
        <f t="shared" ca="1" si="53"/>
        <v/>
      </c>
      <c r="Q866" s="30" t="str">
        <f>IF($K866="","",IFERROR(IF(INDEX(Bookings!$G$3:$G$202,MATCH($K866,Bookings!$A$3:$A$202,0))="","",INDEX(Bookings!$G$3:$G$202,MATCH($K866,Bookings!$A$3:$A$202,0))),""))</f>
        <v/>
      </c>
    </row>
    <row r="867" spans="1:17" hidden="1" x14ac:dyDescent="0.35">
      <c r="A867" s="81"/>
      <c r="B867" s="81"/>
      <c r="C867" s="21"/>
      <c r="D867" s="56"/>
      <c r="E867" s="14"/>
      <c r="F867" s="14"/>
      <c r="G867" s="14"/>
      <c r="H867" s="83">
        <f t="shared" si="54"/>
        <v>0</v>
      </c>
      <c r="I867" s="80"/>
      <c r="J867" s="80"/>
      <c r="K867" s="7" t="str">
        <f>IF($B867="","",IFERROR(INDEX(Connaissements!$B$3:$B$202,MATCH($B867,Connaissements!$A$3:$A$202,0)),""))</f>
        <v/>
      </c>
      <c r="L867" s="7" t="str">
        <f>IF($B867="","",IFERROR(INDEX(Connaissements!$G$3:$G$202,MATCH($B867,Connaissements!$A$3:$A$202,0)),""))</f>
        <v/>
      </c>
      <c r="M867" s="7" t="str">
        <f t="shared" si="51"/>
        <v/>
      </c>
      <c r="N867" s="7" t="str">
        <f t="shared" ca="1" si="52"/>
        <v/>
      </c>
      <c r="O867" s="13"/>
      <c r="P867" s="29" t="str">
        <f t="shared" ca="1" si="53"/>
        <v/>
      </c>
      <c r="Q867" s="30" t="str">
        <f>IF($K867="","",IFERROR(IF(INDEX(Bookings!$G$3:$G$202,MATCH($K867,Bookings!$A$3:$A$202,0))="","",INDEX(Bookings!$G$3:$G$202,MATCH($K867,Bookings!$A$3:$A$202,0))),""))</f>
        <v/>
      </c>
    </row>
    <row r="868" spans="1:17" hidden="1" x14ac:dyDescent="0.35">
      <c r="A868" s="81"/>
      <c r="B868" s="81"/>
      <c r="C868" s="21"/>
      <c r="D868" s="56"/>
      <c r="E868" s="14"/>
      <c r="F868" s="14"/>
      <c r="G868" s="14"/>
      <c r="H868" s="83">
        <f t="shared" si="54"/>
        <v>0</v>
      </c>
      <c r="I868" s="80"/>
      <c r="J868" s="80"/>
      <c r="K868" s="7" t="str">
        <f>IF($B868="","",IFERROR(INDEX(Connaissements!$B$3:$B$202,MATCH($B868,Connaissements!$A$3:$A$202,0)),""))</f>
        <v/>
      </c>
      <c r="L868" s="7" t="str">
        <f>IF($B868="","",IFERROR(INDEX(Connaissements!$G$3:$G$202,MATCH($B868,Connaissements!$A$3:$A$202,0)),""))</f>
        <v/>
      </c>
      <c r="M868" s="7" t="str">
        <f t="shared" si="51"/>
        <v/>
      </c>
      <c r="N868" s="7" t="str">
        <f t="shared" ca="1" si="52"/>
        <v/>
      </c>
      <c r="O868" s="13"/>
      <c r="P868" s="29" t="str">
        <f t="shared" ca="1" si="53"/>
        <v/>
      </c>
      <c r="Q868" s="30" t="str">
        <f>IF($K868="","",IFERROR(IF(INDEX(Bookings!$G$3:$G$202,MATCH($K868,Bookings!$A$3:$A$202,0))="","",INDEX(Bookings!$G$3:$G$202,MATCH($K868,Bookings!$A$3:$A$202,0))),""))</f>
        <v/>
      </c>
    </row>
    <row r="869" spans="1:17" hidden="1" x14ac:dyDescent="0.35">
      <c r="A869" s="81"/>
      <c r="B869" s="81"/>
      <c r="C869" s="21"/>
      <c r="D869" s="56"/>
      <c r="E869" s="14"/>
      <c r="F869" s="14"/>
      <c r="G869" s="14"/>
      <c r="H869" s="83">
        <f t="shared" si="54"/>
        <v>0</v>
      </c>
      <c r="I869" s="80"/>
      <c r="J869" s="80"/>
      <c r="K869" s="7" t="str">
        <f>IF($B869="","",IFERROR(INDEX(Connaissements!$B$3:$B$202,MATCH($B869,Connaissements!$A$3:$A$202,0)),""))</f>
        <v/>
      </c>
      <c r="L869" s="7" t="str">
        <f>IF($B869="","",IFERROR(INDEX(Connaissements!$G$3:$G$202,MATCH($B869,Connaissements!$A$3:$A$202,0)),""))</f>
        <v/>
      </c>
      <c r="M869" s="7" t="str">
        <f t="shared" si="51"/>
        <v/>
      </c>
      <c r="N869" s="7" t="str">
        <f t="shared" ca="1" si="52"/>
        <v/>
      </c>
      <c r="O869" s="13"/>
      <c r="P869" s="29" t="str">
        <f t="shared" ca="1" si="53"/>
        <v/>
      </c>
      <c r="Q869" s="30" t="str">
        <f>IF($K869="","",IFERROR(IF(INDEX(Bookings!$G$3:$G$202,MATCH($K869,Bookings!$A$3:$A$202,0))="","",INDEX(Bookings!$G$3:$G$202,MATCH($K869,Bookings!$A$3:$A$202,0))),""))</f>
        <v/>
      </c>
    </row>
    <row r="870" spans="1:17" hidden="1" x14ac:dyDescent="0.35">
      <c r="A870" s="81"/>
      <c r="B870" s="81"/>
      <c r="C870" s="21"/>
      <c r="D870" s="56"/>
      <c r="E870" s="14"/>
      <c r="F870" s="14"/>
      <c r="G870" s="14"/>
      <c r="H870" s="83">
        <f t="shared" si="54"/>
        <v>0</v>
      </c>
      <c r="I870" s="80"/>
      <c r="J870" s="80"/>
      <c r="K870" s="7" t="str">
        <f>IF($B870="","",IFERROR(INDEX(Connaissements!$B$3:$B$202,MATCH($B870,Connaissements!$A$3:$A$202,0)),""))</f>
        <v/>
      </c>
      <c r="L870" s="7" t="str">
        <f>IF($B870="","",IFERROR(INDEX(Connaissements!$G$3:$G$202,MATCH($B870,Connaissements!$A$3:$A$202,0)),""))</f>
        <v/>
      </c>
      <c r="M870" s="7" t="str">
        <f t="shared" si="51"/>
        <v/>
      </c>
      <c r="N870" s="7" t="str">
        <f t="shared" ca="1" si="52"/>
        <v/>
      </c>
      <c r="O870" s="13"/>
      <c r="P870" s="29" t="str">
        <f t="shared" ca="1" si="53"/>
        <v/>
      </c>
      <c r="Q870" s="30" t="str">
        <f>IF($K870="","",IFERROR(IF(INDEX(Bookings!$G$3:$G$202,MATCH($K870,Bookings!$A$3:$A$202,0))="","",INDEX(Bookings!$G$3:$G$202,MATCH($K870,Bookings!$A$3:$A$202,0))),""))</f>
        <v/>
      </c>
    </row>
    <row r="871" spans="1:17" hidden="1" x14ac:dyDescent="0.35">
      <c r="A871" s="81"/>
      <c r="B871" s="81"/>
      <c r="C871" s="21"/>
      <c r="D871" s="56"/>
      <c r="E871" s="14"/>
      <c r="F871" s="14"/>
      <c r="G871" s="14"/>
      <c r="H871" s="83">
        <f t="shared" si="54"/>
        <v>0</v>
      </c>
      <c r="I871" s="80"/>
      <c r="J871" s="80"/>
      <c r="K871" s="7" t="str">
        <f>IF($B871="","",IFERROR(INDEX(Connaissements!$B$3:$B$202,MATCH($B871,Connaissements!$A$3:$A$202,0)),""))</f>
        <v/>
      </c>
      <c r="L871" s="7" t="str">
        <f>IF($B871="","",IFERROR(INDEX(Connaissements!$G$3:$G$202,MATCH($B871,Connaissements!$A$3:$A$202,0)),""))</f>
        <v/>
      </c>
      <c r="M871" s="7" t="str">
        <f t="shared" si="51"/>
        <v/>
      </c>
      <c r="N871" s="7" t="str">
        <f t="shared" ca="1" si="52"/>
        <v/>
      </c>
      <c r="O871" s="13"/>
      <c r="P871" s="29" t="str">
        <f t="shared" ca="1" si="53"/>
        <v/>
      </c>
      <c r="Q871" s="30" t="str">
        <f>IF($K871="","",IFERROR(IF(INDEX(Bookings!$G$3:$G$202,MATCH($K871,Bookings!$A$3:$A$202,0))="","",INDEX(Bookings!$G$3:$G$202,MATCH($K871,Bookings!$A$3:$A$202,0))),""))</f>
        <v/>
      </c>
    </row>
    <row r="872" spans="1:17" hidden="1" x14ac:dyDescent="0.35">
      <c r="A872" s="81"/>
      <c r="B872" s="81"/>
      <c r="C872" s="21"/>
      <c r="D872" s="56"/>
      <c r="E872" s="14"/>
      <c r="F872" s="14"/>
      <c r="G872" s="14"/>
      <c r="H872" s="83">
        <f t="shared" si="54"/>
        <v>0</v>
      </c>
      <c r="I872" s="80"/>
      <c r="J872" s="80"/>
      <c r="K872" s="7" t="str">
        <f>IF($B872="","",IFERROR(INDEX(Connaissements!$B$3:$B$202,MATCH($B872,Connaissements!$A$3:$A$202,0)),""))</f>
        <v/>
      </c>
      <c r="L872" s="7" t="str">
        <f>IF($B872="","",IFERROR(INDEX(Connaissements!$G$3:$G$202,MATCH($B872,Connaissements!$A$3:$A$202,0)),""))</f>
        <v/>
      </c>
      <c r="M872" s="7" t="str">
        <f t="shared" si="51"/>
        <v/>
      </c>
      <c r="N872" s="7" t="str">
        <f t="shared" ca="1" si="52"/>
        <v/>
      </c>
      <c r="O872" s="13"/>
      <c r="P872" s="29" t="str">
        <f t="shared" ca="1" si="53"/>
        <v/>
      </c>
      <c r="Q872" s="30" t="str">
        <f>IF($K872="","",IFERROR(IF(INDEX(Bookings!$G$3:$G$202,MATCH($K872,Bookings!$A$3:$A$202,0))="","",INDEX(Bookings!$G$3:$G$202,MATCH($K872,Bookings!$A$3:$A$202,0))),""))</f>
        <v/>
      </c>
    </row>
    <row r="873" spans="1:17" hidden="1" x14ac:dyDescent="0.35">
      <c r="A873" s="81"/>
      <c r="B873" s="81"/>
      <c r="C873" s="21"/>
      <c r="D873" s="56"/>
      <c r="E873" s="14"/>
      <c r="F873" s="14"/>
      <c r="G873" s="14"/>
      <c r="H873" s="83">
        <f t="shared" si="54"/>
        <v>0</v>
      </c>
      <c r="I873" s="80"/>
      <c r="J873" s="80"/>
      <c r="K873" s="7" t="str">
        <f>IF($B873="","",IFERROR(INDEX(Connaissements!$B$3:$B$202,MATCH($B873,Connaissements!$A$3:$A$202,0)),""))</f>
        <v/>
      </c>
      <c r="L873" s="7" t="str">
        <f>IF($B873="","",IFERROR(INDEX(Connaissements!$G$3:$G$202,MATCH($B873,Connaissements!$A$3:$A$202,0)),""))</f>
        <v/>
      </c>
      <c r="M873" s="7" t="str">
        <f t="shared" si="51"/>
        <v/>
      </c>
      <c r="N873" s="7" t="str">
        <f t="shared" ca="1" si="52"/>
        <v/>
      </c>
      <c r="O873" s="13"/>
      <c r="P873" s="29" t="str">
        <f t="shared" ca="1" si="53"/>
        <v/>
      </c>
      <c r="Q873" s="30" t="str">
        <f>IF($K873="","",IFERROR(IF(INDEX(Bookings!$G$3:$G$202,MATCH($K873,Bookings!$A$3:$A$202,0))="","",INDEX(Bookings!$G$3:$G$202,MATCH($K873,Bookings!$A$3:$A$202,0))),""))</f>
        <v/>
      </c>
    </row>
    <row r="874" spans="1:17" hidden="1" x14ac:dyDescent="0.35">
      <c r="A874" s="81"/>
      <c r="B874" s="81"/>
      <c r="C874" s="21"/>
      <c r="D874" s="56"/>
      <c r="E874" s="14"/>
      <c r="F874" s="14"/>
      <c r="G874" s="14"/>
      <c r="H874" s="83">
        <f t="shared" si="54"/>
        <v>0</v>
      </c>
      <c r="I874" s="80"/>
      <c r="J874" s="80"/>
      <c r="K874" s="7" t="str">
        <f>IF($B874="","",IFERROR(INDEX(Connaissements!$B$3:$B$202,MATCH($B874,Connaissements!$A$3:$A$202,0)),""))</f>
        <v/>
      </c>
      <c r="L874" s="7" t="str">
        <f>IF($B874="","",IFERROR(INDEX(Connaissements!$G$3:$G$202,MATCH($B874,Connaissements!$A$3:$A$202,0)),""))</f>
        <v/>
      </c>
      <c r="M874" s="7" t="str">
        <f t="shared" si="51"/>
        <v/>
      </c>
      <c r="N874" s="7" t="str">
        <f t="shared" ca="1" si="52"/>
        <v/>
      </c>
      <c r="O874" s="13"/>
      <c r="P874" s="29" t="str">
        <f t="shared" ca="1" si="53"/>
        <v/>
      </c>
      <c r="Q874" s="30" t="str">
        <f>IF($K874="","",IFERROR(IF(INDEX(Bookings!$G$3:$G$202,MATCH($K874,Bookings!$A$3:$A$202,0))="","",INDEX(Bookings!$G$3:$G$202,MATCH($K874,Bookings!$A$3:$A$202,0))),""))</f>
        <v/>
      </c>
    </row>
    <row r="875" spans="1:17" hidden="1" x14ac:dyDescent="0.35">
      <c r="A875" s="81"/>
      <c r="B875" s="81"/>
      <c r="C875" s="21"/>
      <c r="D875" s="56"/>
      <c r="E875" s="14"/>
      <c r="F875" s="14"/>
      <c r="G875" s="14"/>
      <c r="H875" s="83">
        <f t="shared" si="54"/>
        <v>0</v>
      </c>
      <c r="I875" s="80"/>
      <c r="J875" s="80"/>
      <c r="K875" s="7" t="str">
        <f>IF($B875="","",IFERROR(INDEX(Connaissements!$B$3:$B$202,MATCH($B875,Connaissements!$A$3:$A$202,0)),""))</f>
        <v/>
      </c>
      <c r="L875" s="7" t="str">
        <f>IF($B875="","",IFERROR(INDEX(Connaissements!$G$3:$G$202,MATCH($B875,Connaissements!$A$3:$A$202,0)),""))</f>
        <v/>
      </c>
      <c r="M875" s="7" t="str">
        <f t="shared" si="51"/>
        <v/>
      </c>
      <c r="N875" s="7" t="str">
        <f t="shared" ca="1" si="52"/>
        <v/>
      </c>
      <c r="O875" s="13"/>
      <c r="P875" s="29" t="str">
        <f t="shared" ca="1" si="53"/>
        <v/>
      </c>
      <c r="Q875" s="30" t="str">
        <f>IF($K875="","",IFERROR(IF(INDEX(Bookings!$G$3:$G$202,MATCH($K875,Bookings!$A$3:$A$202,0))="","",INDEX(Bookings!$G$3:$G$202,MATCH($K875,Bookings!$A$3:$A$202,0))),""))</f>
        <v/>
      </c>
    </row>
    <row r="876" spans="1:17" hidden="1" x14ac:dyDescent="0.35">
      <c r="A876" s="81"/>
      <c r="B876" s="81"/>
      <c r="C876" s="21"/>
      <c r="D876" s="56"/>
      <c r="E876" s="14"/>
      <c r="F876" s="14"/>
      <c r="G876" s="14"/>
      <c r="H876" s="83">
        <f t="shared" si="54"/>
        <v>0</v>
      </c>
      <c r="I876" s="80"/>
      <c r="J876" s="80"/>
      <c r="K876" s="7" t="str">
        <f>IF($B876="","",IFERROR(INDEX(Connaissements!$B$3:$B$202,MATCH($B876,Connaissements!$A$3:$A$202,0)),""))</f>
        <v/>
      </c>
      <c r="L876" s="7" t="str">
        <f>IF($B876="","",IFERROR(INDEX(Connaissements!$G$3:$G$202,MATCH($B876,Connaissements!$A$3:$A$202,0)),""))</f>
        <v/>
      </c>
      <c r="M876" s="7" t="str">
        <f t="shared" si="51"/>
        <v/>
      </c>
      <c r="N876" s="7" t="str">
        <f t="shared" ca="1" si="52"/>
        <v/>
      </c>
      <c r="O876" s="13"/>
      <c r="P876" s="29" t="str">
        <f t="shared" ca="1" si="53"/>
        <v/>
      </c>
      <c r="Q876" s="30" t="str">
        <f>IF($K876="","",IFERROR(IF(INDEX(Bookings!$G$3:$G$202,MATCH($K876,Bookings!$A$3:$A$202,0))="","",INDEX(Bookings!$G$3:$G$202,MATCH($K876,Bookings!$A$3:$A$202,0))),""))</f>
        <v/>
      </c>
    </row>
    <row r="877" spans="1:17" hidden="1" x14ac:dyDescent="0.35">
      <c r="A877" s="81"/>
      <c r="B877" s="81"/>
      <c r="C877" s="21"/>
      <c r="D877" s="56"/>
      <c r="E877" s="14"/>
      <c r="F877" s="14"/>
      <c r="G877" s="14"/>
      <c r="H877" s="83">
        <f t="shared" si="54"/>
        <v>0</v>
      </c>
      <c r="I877" s="80"/>
      <c r="J877" s="80"/>
      <c r="K877" s="7" t="str">
        <f>IF($B877="","",IFERROR(INDEX(Connaissements!$B$3:$B$202,MATCH($B877,Connaissements!$A$3:$A$202,0)),""))</f>
        <v/>
      </c>
      <c r="L877" s="7" t="str">
        <f>IF($B877="","",IFERROR(INDEX(Connaissements!$G$3:$G$202,MATCH($B877,Connaissements!$A$3:$A$202,0)),""))</f>
        <v/>
      </c>
      <c r="M877" s="7" t="str">
        <f t="shared" si="51"/>
        <v/>
      </c>
      <c r="N877" s="7" t="str">
        <f t="shared" ca="1" si="52"/>
        <v/>
      </c>
      <c r="O877" s="13"/>
      <c r="P877" s="29" t="str">
        <f t="shared" ca="1" si="53"/>
        <v/>
      </c>
      <c r="Q877" s="30" t="str">
        <f>IF($K877="","",IFERROR(IF(INDEX(Bookings!$G$3:$G$202,MATCH($K877,Bookings!$A$3:$A$202,0))="","",INDEX(Bookings!$G$3:$G$202,MATCH($K877,Bookings!$A$3:$A$202,0))),""))</f>
        <v/>
      </c>
    </row>
    <row r="878" spans="1:17" hidden="1" x14ac:dyDescent="0.35">
      <c r="A878" s="81"/>
      <c r="B878" s="81"/>
      <c r="C878" s="21"/>
      <c r="D878" s="56"/>
      <c r="E878" s="14"/>
      <c r="F878" s="14"/>
      <c r="G878" s="14"/>
      <c r="H878" s="83">
        <f t="shared" si="54"/>
        <v>0</v>
      </c>
      <c r="I878" s="80"/>
      <c r="J878" s="80"/>
      <c r="K878" s="7" t="str">
        <f>IF($B878="","",IFERROR(INDEX(Connaissements!$B$3:$B$202,MATCH($B878,Connaissements!$A$3:$A$202,0)),""))</f>
        <v/>
      </c>
      <c r="L878" s="7" t="str">
        <f>IF($B878="","",IFERROR(INDEX(Connaissements!$G$3:$G$202,MATCH($B878,Connaissements!$A$3:$A$202,0)),""))</f>
        <v/>
      </c>
      <c r="M878" s="7" t="str">
        <f t="shared" si="51"/>
        <v/>
      </c>
      <c r="N878" s="7" t="str">
        <f t="shared" ca="1" si="52"/>
        <v/>
      </c>
      <c r="O878" s="13"/>
      <c r="P878" s="29" t="str">
        <f t="shared" ca="1" si="53"/>
        <v/>
      </c>
      <c r="Q878" s="30" t="str">
        <f>IF($K878="","",IFERROR(IF(INDEX(Bookings!$G$3:$G$202,MATCH($K878,Bookings!$A$3:$A$202,0))="","",INDEX(Bookings!$G$3:$G$202,MATCH($K878,Bookings!$A$3:$A$202,0))),""))</f>
        <v/>
      </c>
    </row>
    <row r="879" spans="1:17" hidden="1" x14ac:dyDescent="0.35">
      <c r="A879" s="81"/>
      <c r="B879" s="81"/>
      <c r="C879" s="21"/>
      <c r="D879" s="56"/>
      <c r="E879" s="14"/>
      <c r="F879" s="14"/>
      <c r="G879" s="14"/>
      <c r="H879" s="83">
        <f t="shared" si="54"/>
        <v>0</v>
      </c>
      <c r="I879" s="80"/>
      <c r="J879" s="80"/>
      <c r="K879" s="7" t="str">
        <f>IF($B879="","",IFERROR(INDEX(Connaissements!$B$3:$B$202,MATCH($B879,Connaissements!$A$3:$A$202,0)),""))</f>
        <v/>
      </c>
      <c r="L879" s="7" t="str">
        <f>IF($B879="","",IFERROR(INDEX(Connaissements!$G$3:$G$202,MATCH($B879,Connaissements!$A$3:$A$202,0)),""))</f>
        <v/>
      </c>
      <c r="M879" s="7" t="str">
        <f t="shared" si="51"/>
        <v/>
      </c>
      <c r="N879" s="7" t="str">
        <f t="shared" ca="1" si="52"/>
        <v/>
      </c>
      <c r="O879" s="13"/>
      <c r="P879" s="29" t="str">
        <f t="shared" ca="1" si="53"/>
        <v/>
      </c>
      <c r="Q879" s="30" t="str">
        <f>IF($K879="","",IFERROR(IF(INDEX(Bookings!$G$3:$G$202,MATCH($K879,Bookings!$A$3:$A$202,0))="","",INDEX(Bookings!$G$3:$G$202,MATCH($K879,Bookings!$A$3:$A$202,0))),""))</f>
        <v/>
      </c>
    </row>
    <row r="880" spans="1:17" hidden="1" x14ac:dyDescent="0.35">
      <c r="A880" s="81"/>
      <c r="B880" s="81"/>
      <c r="C880" s="21"/>
      <c r="D880" s="56"/>
      <c r="E880" s="14"/>
      <c r="F880" s="14"/>
      <c r="G880" s="14"/>
      <c r="H880" s="83">
        <f t="shared" si="54"/>
        <v>0</v>
      </c>
      <c r="I880" s="80"/>
      <c r="J880" s="80"/>
      <c r="K880" s="7" t="str">
        <f>IF($B880="","",IFERROR(INDEX(Connaissements!$B$3:$B$202,MATCH($B880,Connaissements!$A$3:$A$202,0)),""))</f>
        <v/>
      </c>
      <c r="L880" s="7" t="str">
        <f>IF($B880="","",IFERROR(INDEX(Connaissements!$G$3:$G$202,MATCH($B880,Connaissements!$A$3:$A$202,0)),""))</f>
        <v/>
      </c>
      <c r="M880" s="7" t="str">
        <f t="shared" si="51"/>
        <v/>
      </c>
      <c r="N880" s="7" t="str">
        <f t="shared" ca="1" si="52"/>
        <v/>
      </c>
      <c r="O880" s="13"/>
      <c r="P880" s="29" t="str">
        <f t="shared" ca="1" si="53"/>
        <v/>
      </c>
      <c r="Q880" s="30" t="str">
        <f>IF($K880="","",IFERROR(IF(INDEX(Bookings!$G$3:$G$202,MATCH($K880,Bookings!$A$3:$A$202,0))="","",INDEX(Bookings!$G$3:$G$202,MATCH($K880,Bookings!$A$3:$A$202,0))),""))</f>
        <v/>
      </c>
    </row>
    <row r="881" spans="1:17" hidden="1" x14ac:dyDescent="0.35">
      <c r="A881" s="81"/>
      <c r="B881" s="81"/>
      <c r="C881" s="21"/>
      <c r="D881" s="56"/>
      <c r="E881" s="14"/>
      <c r="F881" s="14"/>
      <c r="G881" s="14"/>
      <c r="H881" s="83">
        <f t="shared" si="54"/>
        <v>0</v>
      </c>
      <c r="I881" s="80"/>
      <c r="J881" s="80"/>
      <c r="K881" s="7" t="str">
        <f>IF($B881="","",IFERROR(INDEX(Connaissements!$B$3:$B$202,MATCH($B881,Connaissements!$A$3:$A$202,0)),""))</f>
        <v/>
      </c>
      <c r="L881" s="7" t="str">
        <f>IF($B881="","",IFERROR(INDEX(Connaissements!$G$3:$G$202,MATCH($B881,Connaissements!$A$3:$A$202,0)),""))</f>
        <v/>
      </c>
      <c r="M881" s="7" t="str">
        <f t="shared" si="51"/>
        <v/>
      </c>
      <c r="N881" s="7" t="str">
        <f t="shared" ca="1" si="52"/>
        <v/>
      </c>
      <c r="O881" s="13"/>
      <c r="P881" s="29" t="str">
        <f t="shared" ca="1" si="53"/>
        <v/>
      </c>
      <c r="Q881" s="30" t="str">
        <f>IF($K881="","",IFERROR(IF(INDEX(Bookings!$G$3:$G$202,MATCH($K881,Bookings!$A$3:$A$202,0))="","",INDEX(Bookings!$G$3:$G$202,MATCH($K881,Bookings!$A$3:$A$202,0))),""))</f>
        <v/>
      </c>
    </row>
    <row r="882" spans="1:17" hidden="1" x14ac:dyDescent="0.35">
      <c r="A882" s="81"/>
      <c r="B882" s="81"/>
      <c r="C882" s="21"/>
      <c r="D882" s="56"/>
      <c r="E882" s="14"/>
      <c r="F882" s="14"/>
      <c r="G882" s="14"/>
      <c r="H882" s="83">
        <f t="shared" si="54"/>
        <v>0</v>
      </c>
      <c r="I882" s="80"/>
      <c r="J882" s="80"/>
      <c r="K882" s="7" t="str">
        <f>IF($B882="","",IFERROR(INDEX(Connaissements!$B$3:$B$202,MATCH($B882,Connaissements!$A$3:$A$202,0)),""))</f>
        <v/>
      </c>
      <c r="L882" s="7" t="str">
        <f>IF($B882="","",IFERROR(INDEX(Connaissements!$G$3:$G$202,MATCH($B882,Connaissements!$A$3:$A$202,0)),""))</f>
        <v/>
      </c>
      <c r="M882" s="7" t="str">
        <f t="shared" si="51"/>
        <v/>
      </c>
      <c r="N882" s="7" t="str">
        <f t="shared" ca="1" si="52"/>
        <v/>
      </c>
      <c r="O882" s="13"/>
      <c r="P882" s="29" t="str">
        <f t="shared" ca="1" si="53"/>
        <v/>
      </c>
      <c r="Q882" s="30" t="str">
        <f>IF($K882="","",IFERROR(IF(INDEX(Bookings!$G$3:$G$202,MATCH($K882,Bookings!$A$3:$A$202,0))="","",INDEX(Bookings!$G$3:$G$202,MATCH($K882,Bookings!$A$3:$A$202,0))),""))</f>
        <v/>
      </c>
    </row>
    <row r="883" spans="1:17" hidden="1" x14ac:dyDescent="0.35">
      <c r="A883" s="81"/>
      <c r="B883" s="81"/>
      <c r="C883" s="21"/>
      <c r="D883" s="56"/>
      <c r="E883" s="14"/>
      <c r="F883" s="14"/>
      <c r="G883" s="14"/>
      <c r="H883" s="83">
        <f t="shared" si="54"/>
        <v>0</v>
      </c>
      <c r="I883" s="80"/>
      <c r="J883" s="80"/>
      <c r="K883" s="7" t="str">
        <f>IF($B883="","",IFERROR(INDEX(Connaissements!$B$3:$B$202,MATCH($B883,Connaissements!$A$3:$A$202,0)),""))</f>
        <v/>
      </c>
      <c r="L883" s="7" t="str">
        <f>IF($B883="","",IFERROR(INDEX(Connaissements!$G$3:$G$202,MATCH($B883,Connaissements!$A$3:$A$202,0)),""))</f>
        <v/>
      </c>
      <c r="M883" s="7" t="str">
        <f t="shared" si="51"/>
        <v/>
      </c>
      <c r="N883" s="7" t="str">
        <f t="shared" ca="1" si="52"/>
        <v/>
      </c>
      <c r="O883" s="13"/>
      <c r="P883" s="29" t="str">
        <f t="shared" ca="1" si="53"/>
        <v/>
      </c>
      <c r="Q883" s="30" t="str">
        <f>IF($K883="","",IFERROR(IF(INDEX(Bookings!$G$3:$G$202,MATCH($K883,Bookings!$A$3:$A$202,0))="","",INDEX(Bookings!$G$3:$G$202,MATCH($K883,Bookings!$A$3:$A$202,0))),""))</f>
        <v/>
      </c>
    </row>
    <row r="884" spans="1:17" hidden="1" x14ac:dyDescent="0.35">
      <c r="A884" s="81"/>
      <c r="B884" s="81"/>
      <c r="C884" s="21"/>
      <c r="D884" s="56"/>
      <c r="E884" s="14"/>
      <c r="F884" s="14"/>
      <c r="G884" s="14"/>
      <c r="H884" s="83">
        <f t="shared" si="54"/>
        <v>0</v>
      </c>
      <c r="I884" s="80"/>
      <c r="J884" s="80"/>
      <c r="K884" s="7" t="str">
        <f>IF($B884="","",IFERROR(INDEX(Connaissements!$B$3:$B$202,MATCH($B884,Connaissements!$A$3:$A$202,0)),""))</f>
        <v/>
      </c>
      <c r="L884" s="7" t="str">
        <f>IF($B884="","",IFERROR(INDEX(Connaissements!$G$3:$G$202,MATCH($B884,Connaissements!$A$3:$A$202,0)),""))</f>
        <v/>
      </c>
      <c r="M884" s="7" t="str">
        <f t="shared" si="51"/>
        <v/>
      </c>
      <c r="N884" s="7" t="str">
        <f t="shared" ca="1" si="52"/>
        <v/>
      </c>
      <c r="O884" s="13"/>
      <c r="P884" s="29" t="str">
        <f t="shared" ca="1" si="53"/>
        <v/>
      </c>
      <c r="Q884" s="30" t="str">
        <f>IF($K884="","",IFERROR(IF(INDEX(Bookings!$G$3:$G$202,MATCH($K884,Bookings!$A$3:$A$202,0))="","",INDEX(Bookings!$G$3:$G$202,MATCH($K884,Bookings!$A$3:$A$202,0))),""))</f>
        <v/>
      </c>
    </row>
    <row r="885" spans="1:17" hidden="1" x14ac:dyDescent="0.35">
      <c r="A885" s="81"/>
      <c r="B885" s="81"/>
      <c r="C885" s="21"/>
      <c r="D885" s="56"/>
      <c r="E885" s="14"/>
      <c r="F885" s="14"/>
      <c r="G885" s="14"/>
      <c r="H885" s="83">
        <f t="shared" si="54"/>
        <v>0</v>
      </c>
      <c r="I885" s="80"/>
      <c r="J885" s="80"/>
      <c r="K885" s="7" t="str">
        <f>IF($B885="","",IFERROR(INDEX(Connaissements!$B$3:$B$202,MATCH($B885,Connaissements!$A$3:$A$202,0)),""))</f>
        <v/>
      </c>
      <c r="L885" s="7" t="str">
        <f>IF($B885="","",IFERROR(INDEX(Connaissements!$G$3:$G$202,MATCH($B885,Connaissements!$A$3:$A$202,0)),""))</f>
        <v/>
      </c>
      <c r="M885" s="7" t="str">
        <f t="shared" si="51"/>
        <v/>
      </c>
      <c r="N885" s="7" t="str">
        <f t="shared" ca="1" si="52"/>
        <v/>
      </c>
      <c r="O885" s="13"/>
      <c r="P885" s="29" t="str">
        <f t="shared" ca="1" si="53"/>
        <v/>
      </c>
      <c r="Q885" s="30" t="str">
        <f>IF($K885="","",IFERROR(IF(INDEX(Bookings!$G$3:$G$202,MATCH($K885,Bookings!$A$3:$A$202,0))="","",INDEX(Bookings!$G$3:$G$202,MATCH($K885,Bookings!$A$3:$A$202,0))),""))</f>
        <v/>
      </c>
    </row>
    <row r="886" spans="1:17" hidden="1" x14ac:dyDescent="0.35">
      <c r="A886" s="81"/>
      <c r="B886" s="81"/>
      <c r="C886" s="21"/>
      <c r="D886" s="56"/>
      <c r="E886" s="14"/>
      <c r="F886" s="14"/>
      <c r="G886" s="14"/>
      <c r="H886" s="83">
        <f t="shared" si="54"/>
        <v>0</v>
      </c>
      <c r="I886" s="80"/>
      <c r="J886" s="80"/>
      <c r="K886" s="7" t="str">
        <f>IF($B886="","",IFERROR(INDEX(Connaissements!$B$3:$B$202,MATCH($B886,Connaissements!$A$3:$A$202,0)),""))</f>
        <v/>
      </c>
      <c r="L886" s="7" t="str">
        <f>IF($B886="","",IFERROR(INDEX(Connaissements!$G$3:$G$202,MATCH($B886,Connaissements!$A$3:$A$202,0)),""))</f>
        <v/>
      </c>
      <c r="M886" s="7" t="str">
        <f t="shared" si="51"/>
        <v/>
      </c>
      <c r="N886" s="7" t="str">
        <f t="shared" ca="1" si="52"/>
        <v/>
      </c>
      <c r="O886" s="13"/>
      <c r="P886" s="29" t="str">
        <f t="shared" ca="1" si="53"/>
        <v/>
      </c>
      <c r="Q886" s="30" t="str">
        <f>IF($K886="","",IFERROR(IF(INDEX(Bookings!$G$3:$G$202,MATCH($K886,Bookings!$A$3:$A$202,0))="","",INDEX(Bookings!$G$3:$G$202,MATCH($K886,Bookings!$A$3:$A$202,0))),""))</f>
        <v/>
      </c>
    </row>
    <row r="887" spans="1:17" hidden="1" x14ac:dyDescent="0.35">
      <c r="A887" s="81"/>
      <c r="B887" s="81"/>
      <c r="C887" s="21"/>
      <c r="D887" s="56"/>
      <c r="E887" s="14"/>
      <c r="F887" s="14"/>
      <c r="G887" s="14"/>
      <c r="H887" s="83">
        <f t="shared" si="54"/>
        <v>0</v>
      </c>
      <c r="I887" s="80"/>
      <c r="J887" s="80"/>
      <c r="K887" s="7" t="str">
        <f>IF($B887="","",IFERROR(INDEX(Connaissements!$B$3:$B$202,MATCH($B887,Connaissements!$A$3:$A$202,0)),""))</f>
        <v/>
      </c>
      <c r="L887" s="7" t="str">
        <f>IF($B887="","",IFERROR(INDEX(Connaissements!$G$3:$G$202,MATCH($B887,Connaissements!$A$3:$A$202,0)),""))</f>
        <v/>
      </c>
      <c r="M887" s="7" t="str">
        <f t="shared" si="51"/>
        <v/>
      </c>
      <c r="N887" s="7" t="str">
        <f t="shared" ca="1" si="52"/>
        <v/>
      </c>
      <c r="O887" s="13"/>
      <c r="P887" s="29" t="str">
        <f t="shared" ca="1" si="53"/>
        <v/>
      </c>
      <c r="Q887" s="30" t="str">
        <f>IF($K887="","",IFERROR(IF(INDEX(Bookings!$G$3:$G$202,MATCH($K887,Bookings!$A$3:$A$202,0))="","",INDEX(Bookings!$G$3:$G$202,MATCH($K887,Bookings!$A$3:$A$202,0))),""))</f>
        <v/>
      </c>
    </row>
    <row r="888" spans="1:17" hidden="1" x14ac:dyDescent="0.35">
      <c r="A888" s="81"/>
      <c r="B888" s="81"/>
      <c r="C888" s="21"/>
      <c r="D888" s="56"/>
      <c r="E888" s="14"/>
      <c r="F888" s="14"/>
      <c r="G888" s="14"/>
      <c r="H888" s="83">
        <f t="shared" si="54"/>
        <v>0</v>
      </c>
      <c r="I888" s="80"/>
      <c r="J888" s="80"/>
      <c r="K888" s="7" t="str">
        <f>IF($B888="","",IFERROR(INDEX(Connaissements!$B$3:$B$202,MATCH($B888,Connaissements!$A$3:$A$202,0)),""))</f>
        <v/>
      </c>
      <c r="L888" s="7" t="str">
        <f>IF($B888="","",IFERROR(INDEX(Connaissements!$G$3:$G$202,MATCH($B888,Connaissements!$A$3:$A$202,0)),""))</f>
        <v/>
      </c>
      <c r="M888" s="7" t="str">
        <f t="shared" si="51"/>
        <v/>
      </c>
      <c r="N888" s="7" t="str">
        <f t="shared" ca="1" si="52"/>
        <v/>
      </c>
      <c r="O888" s="13"/>
      <c r="P888" s="29" t="str">
        <f t="shared" ca="1" si="53"/>
        <v/>
      </c>
      <c r="Q888" s="30" t="str">
        <f>IF($K888="","",IFERROR(IF(INDEX(Bookings!$G$3:$G$202,MATCH($K888,Bookings!$A$3:$A$202,0))="","",INDEX(Bookings!$G$3:$G$202,MATCH($K888,Bookings!$A$3:$A$202,0))),""))</f>
        <v/>
      </c>
    </row>
    <row r="889" spans="1:17" hidden="1" x14ac:dyDescent="0.35">
      <c r="A889" s="81"/>
      <c r="B889" s="81"/>
      <c r="C889" s="21"/>
      <c r="D889" s="56"/>
      <c r="E889" s="14"/>
      <c r="F889" s="14"/>
      <c r="G889" s="14"/>
      <c r="H889" s="83">
        <f t="shared" si="54"/>
        <v>0</v>
      </c>
      <c r="I889" s="80"/>
      <c r="J889" s="80"/>
      <c r="K889" s="7" t="str">
        <f>IF($B889="","",IFERROR(INDEX(Connaissements!$B$3:$B$202,MATCH($B889,Connaissements!$A$3:$A$202,0)),""))</f>
        <v/>
      </c>
      <c r="L889" s="7" t="str">
        <f>IF($B889="","",IFERROR(INDEX(Connaissements!$G$3:$G$202,MATCH($B889,Connaissements!$A$3:$A$202,0)),""))</f>
        <v/>
      </c>
      <c r="M889" s="7" t="str">
        <f t="shared" si="51"/>
        <v/>
      </c>
      <c r="N889" s="7" t="str">
        <f t="shared" ca="1" si="52"/>
        <v/>
      </c>
      <c r="O889" s="13"/>
      <c r="P889" s="29" t="str">
        <f t="shared" ca="1" si="53"/>
        <v/>
      </c>
      <c r="Q889" s="30" t="str">
        <f>IF($K889="","",IFERROR(IF(INDEX(Bookings!$G$3:$G$202,MATCH($K889,Bookings!$A$3:$A$202,0))="","",INDEX(Bookings!$G$3:$G$202,MATCH($K889,Bookings!$A$3:$A$202,0))),""))</f>
        <v/>
      </c>
    </row>
    <row r="890" spans="1:17" hidden="1" x14ac:dyDescent="0.35">
      <c r="A890" s="81"/>
      <c r="B890" s="81"/>
      <c r="C890" s="21"/>
      <c r="D890" s="56"/>
      <c r="E890" s="14"/>
      <c r="F890" s="14"/>
      <c r="G890" s="14"/>
      <c r="H890" s="83">
        <f t="shared" si="54"/>
        <v>0</v>
      </c>
      <c r="I890" s="80"/>
      <c r="J890" s="80"/>
      <c r="K890" s="7" t="str">
        <f>IF($B890="","",IFERROR(INDEX(Connaissements!$B$3:$B$202,MATCH($B890,Connaissements!$A$3:$A$202,0)),""))</f>
        <v/>
      </c>
      <c r="L890" s="7" t="str">
        <f>IF($B890="","",IFERROR(INDEX(Connaissements!$G$3:$G$202,MATCH($B890,Connaissements!$A$3:$A$202,0)),""))</f>
        <v/>
      </c>
      <c r="M890" s="7" t="str">
        <f t="shared" si="51"/>
        <v/>
      </c>
      <c r="N890" s="7" t="str">
        <f t="shared" ca="1" si="52"/>
        <v/>
      </c>
      <c r="O890" s="13"/>
      <c r="P890" s="29" t="str">
        <f t="shared" ca="1" si="53"/>
        <v/>
      </c>
      <c r="Q890" s="30" t="str">
        <f>IF($K890="","",IFERROR(IF(INDEX(Bookings!$G$3:$G$202,MATCH($K890,Bookings!$A$3:$A$202,0))="","",INDEX(Bookings!$G$3:$G$202,MATCH($K890,Bookings!$A$3:$A$202,0))),""))</f>
        <v/>
      </c>
    </row>
    <row r="891" spans="1:17" hidden="1" x14ac:dyDescent="0.35">
      <c r="A891" s="81"/>
      <c r="B891" s="81"/>
      <c r="C891" s="21"/>
      <c r="D891" s="56"/>
      <c r="E891" s="14"/>
      <c r="F891" s="14"/>
      <c r="G891" s="14"/>
      <c r="H891" s="83">
        <f t="shared" si="54"/>
        <v>0</v>
      </c>
      <c r="I891" s="80"/>
      <c r="J891" s="80"/>
      <c r="K891" s="7" t="str">
        <f>IF($B891="","",IFERROR(INDEX(Connaissements!$B$3:$B$202,MATCH($B891,Connaissements!$A$3:$A$202,0)),""))</f>
        <v/>
      </c>
      <c r="L891" s="7" t="str">
        <f>IF($B891="","",IFERROR(INDEX(Connaissements!$G$3:$G$202,MATCH($B891,Connaissements!$A$3:$A$202,0)),""))</f>
        <v/>
      </c>
      <c r="M891" s="7" t="str">
        <f t="shared" si="51"/>
        <v/>
      </c>
      <c r="N891" s="7" t="str">
        <f t="shared" ca="1" si="52"/>
        <v/>
      </c>
      <c r="O891" s="13"/>
      <c r="P891" s="29" t="str">
        <f t="shared" ca="1" si="53"/>
        <v/>
      </c>
      <c r="Q891" s="30" t="str">
        <f>IF($K891="","",IFERROR(IF(INDEX(Bookings!$G$3:$G$202,MATCH($K891,Bookings!$A$3:$A$202,0))="","",INDEX(Bookings!$G$3:$G$202,MATCH($K891,Bookings!$A$3:$A$202,0))),""))</f>
        <v/>
      </c>
    </row>
    <row r="892" spans="1:17" hidden="1" x14ac:dyDescent="0.35">
      <c r="A892" s="81"/>
      <c r="B892" s="81"/>
      <c r="C892" s="21"/>
      <c r="D892" s="56"/>
      <c r="E892" s="14"/>
      <c r="F892" s="14"/>
      <c r="G892" s="14"/>
      <c r="H892" s="83">
        <f t="shared" si="54"/>
        <v>0</v>
      </c>
      <c r="I892" s="80"/>
      <c r="J892" s="80"/>
      <c r="K892" s="7" t="str">
        <f>IF($B892="","",IFERROR(INDEX(Connaissements!$B$3:$B$202,MATCH($B892,Connaissements!$A$3:$A$202,0)),""))</f>
        <v/>
      </c>
      <c r="L892" s="7" t="str">
        <f>IF($B892="","",IFERROR(INDEX(Connaissements!$G$3:$G$202,MATCH($B892,Connaissements!$A$3:$A$202,0)),""))</f>
        <v/>
      </c>
      <c r="M892" s="7" t="str">
        <f t="shared" si="51"/>
        <v/>
      </c>
      <c r="N892" s="7" t="str">
        <f t="shared" ca="1" si="52"/>
        <v/>
      </c>
      <c r="O892" s="13"/>
      <c r="P892" s="29" t="str">
        <f t="shared" ca="1" si="53"/>
        <v/>
      </c>
      <c r="Q892" s="30" t="str">
        <f>IF($K892="","",IFERROR(IF(INDEX(Bookings!$G$3:$G$202,MATCH($K892,Bookings!$A$3:$A$202,0))="","",INDEX(Bookings!$G$3:$G$202,MATCH($K892,Bookings!$A$3:$A$202,0))),""))</f>
        <v/>
      </c>
    </row>
    <row r="893" spans="1:17" hidden="1" x14ac:dyDescent="0.35">
      <c r="A893" s="81"/>
      <c r="B893" s="81"/>
      <c r="C893" s="21"/>
      <c r="D893" s="56"/>
      <c r="E893" s="14"/>
      <c r="F893" s="14"/>
      <c r="G893" s="14"/>
      <c r="H893" s="83">
        <f t="shared" si="54"/>
        <v>0</v>
      </c>
      <c r="I893" s="80"/>
      <c r="J893" s="80"/>
      <c r="K893" s="7" t="str">
        <f>IF($B893="","",IFERROR(INDEX(Connaissements!$B$3:$B$202,MATCH($B893,Connaissements!$A$3:$A$202,0)),""))</f>
        <v/>
      </c>
      <c r="L893" s="7" t="str">
        <f>IF($B893="","",IFERROR(INDEX(Connaissements!$G$3:$G$202,MATCH($B893,Connaissements!$A$3:$A$202,0)),""))</f>
        <v/>
      </c>
      <c r="M893" s="7" t="str">
        <f t="shared" si="51"/>
        <v/>
      </c>
      <c r="N893" s="7" t="str">
        <f t="shared" ca="1" si="52"/>
        <v/>
      </c>
      <c r="O893" s="13"/>
      <c r="P893" s="29" t="str">
        <f t="shared" ca="1" si="53"/>
        <v/>
      </c>
      <c r="Q893" s="30" t="str">
        <f>IF($K893="","",IFERROR(IF(INDEX(Bookings!$G$3:$G$202,MATCH($K893,Bookings!$A$3:$A$202,0))="","",INDEX(Bookings!$G$3:$G$202,MATCH($K893,Bookings!$A$3:$A$202,0))),""))</f>
        <v/>
      </c>
    </row>
    <row r="894" spans="1:17" hidden="1" x14ac:dyDescent="0.35">
      <c r="A894" s="81"/>
      <c r="B894" s="81"/>
      <c r="C894" s="21"/>
      <c r="D894" s="56"/>
      <c r="E894" s="14"/>
      <c r="F894" s="14"/>
      <c r="G894" s="14"/>
      <c r="H894" s="83">
        <f t="shared" si="54"/>
        <v>0</v>
      </c>
      <c r="I894" s="80"/>
      <c r="J894" s="80"/>
      <c r="K894" s="7" t="str">
        <f>IF($B894="","",IFERROR(INDEX(Connaissements!$B$3:$B$202,MATCH($B894,Connaissements!$A$3:$A$202,0)),""))</f>
        <v/>
      </c>
      <c r="L894" s="7" t="str">
        <f>IF($B894="","",IFERROR(INDEX(Connaissements!$G$3:$G$202,MATCH($B894,Connaissements!$A$3:$A$202,0)),""))</f>
        <v/>
      </c>
      <c r="M894" s="7" t="str">
        <f t="shared" si="51"/>
        <v/>
      </c>
      <c r="N894" s="7" t="str">
        <f t="shared" ca="1" si="52"/>
        <v/>
      </c>
      <c r="O894" s="13"/>
      <c r="P894" s="29" t="str">
        <f t="shared" ca="1" si="53"/>
        <v/>
      </c>
      <c r="Q894" s="30" t="str">
        <f>IF($K894="","",IFERROR(IF(INDEX(Bookings!$G$3:$G$202,MATCH($K894,Bookings!$A$3:$A$202,0))="","",INDEX(Bookings!$G$3:$G$202,MATCH($K894,Bookings!$A$3:$A$202,0))),""))</f>
        <v/>
      </c>
    </row>
    <row r="895" spans="1:17" hidden="1" x14ac:dyDescent="0.35">
      <c r="A895" s="81"/>
      <c r="B895" s="81"/>
      <c r="C895" s="21"/>
      <c r="D895" s="56"/>
      <c r="E895" s="14"/>
      <c r="F895" s="14"/>
      <c r="G895" s="14"/>
      <c r="H895" s="83">
        <f t="shared" si="54"/>
        <v>0</v>
      </c>
      <c r="I895" s="80"/>
      <c r="J895" s="80"/>
      <c r="K895" s="7" t="str">
        <f>IF($B895="","",IFERROR(INDEX(Connaissements!$B$3:$B$202,MATCH($B895,Connaissements!$A$3:$A$202,0)),""))</f>
        <v/>
      </c>
      <c r="L895" s="7" t="str">
        <f>IF($B895="","",IFERROR(INDEX(Connaissements!$G$3:$G$202,MATCH($B895,Connaissements!$A$3:$A$202,0)),""))</f>
        <v/>
      </c>
      <c r="M895" s="7" t="str">
        <f t="shared" si="51"/>
        <v/>
      </c>
      <c r="N895" s="7" t="str">
        <f t="shared" ca="1" si="52"/>
        <v/>
      </c>
      <c r="O895" s="13"/>
      <c r="P895" s="29" t="str">
        <f t="shared" ca="1" si="53"/>
        <v/>
      </c>
      <c r="Q895" s="30" t="str">
        <f>IF($K895="","",IFERROR(IF(INDEX(Bookings!$G$3:$G$202,MATCH($K895,Bookings!$A$3:$A$202,0))="","",INDEX(Bookings!$G$3:$G$202,MATCH($K895,Bookings!$A$3:$A$202,0))),""))</f>
        <v/>
      </c>
    </row>
    <row r="896" spans="1:17" hidden="1" x14ac:dyDescent="0.35">
      <c r="A896" s="81"/>
      <c r="B896" s="81"/>
      <c r="C896" s="21"/>
      <c r="D896" s="56"/>
      <c r="E896" s="14"/>
      <c r="F896" s="14"/>
      <c r="G896" s="14"/>
      <c r="H896" s="83">
        <f t="shared" si="54"/>
        <v>0</v>
      </c>
      <c r="I896" s="80"/>
      <c r="J896" s="80"/>
      <c r="K896" s="7" t="str">
        <f>IF($B896="","",IFERROR(INDEX(Connaissements!$B$3:$B$202,MATCH($B896,Connaissements!$A$3:$A$202,0)),""))</f>
        <v/>
      </c>
      <c r="L896" s="7" t="str">
        <f>IF($B896="","",IFERROR(INDEX(Connaissements!$G$3:$G$202,MATCH($B896,Connaissements!$A$3:$A$202,0)),""))</f>
        <v/>
      </c>
      <c r="M896" s="7" t="str">
        <f t="shared" si="51"/>
        <v/>
      </c>
      <c r="N896" s="7" t="str">
        <f t="shared" ca="1" si="52"/>
        <v/>
      </c>
      <c r="O896" s="13"/>
      <c r="P896" s="29" t="str">
        <f t="shared" ca="1" si="53"/>
        <v/>
      </c>
      <c r="Q896" s="30" t="str">
        <f>IF($K896="","",IFERROR(IF(INDEX(Bookings!$G$3:$G$202,MATCH($K896,Bookings!$A$3:$A$202,0))="","",INDEX(Bookings!$G$3:$G$202,MATCH($K896,Bookings!$A$3:$A$202,0))),""))</f>
        <v/>
      </c>
    </row>
    <row r="897" spans="1:17" hidden="1" x14ac:dyDescent="0.35">
      <c r="A897" s="81"/>
      <c r="B897" s="81"/>
      <c r="C897" s="21"/>
      <c r="D897" s="56"/>
      <c r="E897" s="14"/>
      <c r="F897" s="14"/>
      <c r="G897" s="14"/>
      <c r="H897" s="83">
        <f t="shared" si="54"/>
        <v>0</v>
      </c>
      <c r="I897" s="80"/>
      <c r="J897" s="80"/>
      <c r="K897" s="7" t="str">
        <f>IF($B897="","",IFERROR(INDEX(Connaissements!$B$3:$B$202,MATCH($B897,Connaissements!$A$3:$A$202,0)),""))</f>
        <v/>
      </c>
      <c r="L897" s="7" t="str">
        <f>IF($B897="","",IFERROR(INDEX(Connaissements!$G$3:$G$202,MATCH($B897,Connaissements!$A$3:$A$202,0)),""))</f>
        <v/>
      </c>
      <c r="M897" s="7" t="str">
        <f t="shared" si="51"/>
        <v/>
      </c>
      <c r="N897" s="7" t="str">
        <f t="shared" ca="1" si="52"/>
        <v/>
      </c>
      <c r="O897" s="13"/>
      <c r="P897" s="29" t="str">
        <f t="shared" ca="1" si="53"/>
        <v/>
      </c>
      <c r="Q897" s="30" t="str">
        <f>IF($K897="","",IFERROR(IF(INDEX(Bookings!$G$3:$G$202,MATCH($K897,Bookings!$A$3:$A$202,0))="","",INDEX(Bookings!$G$3:$G$202,MATCH($K897,Bookings!$A$3:$A$202,0))),""))</f>
        <v/>
      </c>
    </row>
    <row r="898" spans="1:17" hidden="1" x14ac:dyDescent="0.35">
      <c r="A898" s="81"/>
      <c r="B898" s="81"/>
      <c r="C898" s="21"/>
      <c r="D898" s="56"/>
      <c r="E898" s="14"/>
      <c r="F898" s="14"/>
      <c r="G898" s="14"/>
      <c r="H898" s="83">
        <f t="shared" si="54"/>
        <v>0</v>
      </c>
      <c r="I898" s="80"/>
      <c r="J898" s="80"/>
      <c r="K898" s="7" t="str">
        <f>IF($B898="","",IFERROR(INDEX(Connaissements!$B$3:$B$202,MATCH($B898,Connaissements!$A$3:$A$202,0)),""))</f>
        <v/>
      </c>
      <c r="L898" s="7" t="str">
        <f>IF($B898="","",IFERROR(INDEX(Connaissements!$G$3:$G$202,MATCH($B898,Connaissements!$A$3:$A$202,0)),""))</f>
        <v/>
      </c>
      <c r="M898" s="7" t="str">
        <f t="shared" si="51"/>
        <v/>
      </c>
      <c r="N898" s="7" t="str">
        <f t="shared" ca="1" si="52"/>
        <v/>
      </c>
      <c r="O898" s="13"/>
      <c r="P898" s="29" t="str">
        <f t="shared" ca="1" si="53"/>
        <v/>
      </c>
      <c r="Q898" s="30" t="str">
        <f>IF($K898="","",IFERROR(IF(INDEX(Bookings!$G$3:$G$202,MATCH($K898,Bookings!$A$3:$A$202,0))="","",INDEX(Bookings!$G$3:$G$202,MATCH($K898,Bookings!$A$3:$A$202,0))),""))</f>
        <v/>
      </c>
    </row>
    <row r="899" spans="1:17" hidden="1" x14ac:dyDescent="0.35">
      <c r="A899" s="81"/>
      <c r="B899" s="81"/>
      <c r="C899" s="21"/>
      <c r="D899" s="56"/>
      <c r="E899" s="14"/>
      <c r="F899" s="14"/>
      <c r="G899" s="14"/>
      <c r="H899" s="83">
        <f t="shared" si="54"/>
        <v>0</v>
      </c>
      <c r="I899" s="80"/>
      <c r="J899" s="80"/>
      <c r="K899" s="7" t="str">
        <f>IF($B899="","",IFERROR(INDEX(Connaissements!$B$3:$B$202,MATCH($B899,Connaissements!$A$3:$A$202,0)),""))</f>
        <v/>
      </c>
      <c r="L899" s="7" t="str">
        <f>IF($B899="","",IFERROR(INDEX(Connaissements!$G$3:$G$202,MATCH($B899,Connaissements!$A$3:$A$202,0)),""))</f>
        <v/>
      </c>
      <c r="M899" s="7" t="str">
        <f t="shared" ref="M899:M962" si="55">IF($A899="","",IF($G899&lt;&gt;"","Embarqué",IF($F899&lt;&gt;"","Gate-In fait",IF($E899&lt;&gt;"","Empoté","À empoter"))))</f>
        <v/>
      </c>
      <c r="N899" s="7" t="str">
        <f t="shared" ref="N899:N962" ca="1" si="56">IF(OR($A899="",$G899&lt;&gt;""),"",IF(AND($Q899&lt;&gt;"",N($Q899)&lt;TODAY()),"RETARD : ETD dépassé, pas embarqué",IF(AND($Q899&lt;&gt;"",N($Q899)-TODAY()&lt;=P_AlerteETD,$F899=""),"Gate-In à faire (ETD proche)",IF(AND($E899&lt;&gt;"",$H899=""),"Poids net à saisir",""))))</f>
        <v/>
      </c>
      <c r="O899" s="13"/>
      <c r="P899" s="29" t="str">
        <f t="shared" ref="P899:P962" ca="1" si="57">IF($N899&lt;&gt;"",1,"")</f>
        <v/>
      </c>
      <c r="Q899" s="30" t="str">
        <f>IF($K899="","",IFERROR(IF(INDEX(Bookings!$G$3:$G$202,MATCH($K899,Bookings!$A$3:$A$202,0))="","",INDEX(Bookings!$G$3:$G$202,MATCH($K899,Bookings!$A$3:$A$202,0))),""))</f>
        <v/>
      </c>
    </row>
    <row r="900" spans="1:17" hidden="1" x14ac:dyDescent="0.35">
      <c r="A900" s="81"/>
      <c r="B900" s="81"/>
      <c r="C900" s="21"/>
      <c r="D900" s="56"/>
      <c r="E900" s="14"/>
      <c r="F900" s="14"/>
      <c r="G900" s="14"/>
      <c r="H900" s="83">
        <f t="shared" ref="H900:H963" si="58">J900-I900</f>
        <v>0</v>
      </c>
      <c r="I900" s="80"/>
      <c r="J900" s="80"/>
      <c r="K900" s="7" t="str">
        <f>IF($B900="","",IFERROR(INDEX(Connaissements!$B$3:$B$202,MATCH($B900,Connaissements!$A$3:$A$202,0)),""))</f>
        <v/>
      </c>
      <c r="L900" s="7" t="str">
        <f>IF($B900="","",IFERROR(INDEX(Connaissements!$G$3:$G$202,MATCH($B900,Connaissements!$A$3:$A$202,0)),""))</f>
        <v/>
      </c>
      <c r="M900" s="7" t="str">
        <f t="shared" si="55"/>
        <v/>
      </c>
      <c r="N900" s="7" t="str">
        <f t="shared" ca="1" si="56"/>
        <v/>
      </c>
      <c r="O900" s="13"/>
      <c r="P900" s="29" t="str">
        <f t="shared" ca="1" si="57"/>
        <v/>
      </c>
      <c r="Q900" s="30" t="str">
        <f>IF($K900="","",IFERROR(IF(INDEX(Bookings!$G$3:$G$202,MATCH($K900,Bookings!$A$3:$A$202,0))="","",INDEX(Bookings!$G$3:$G$202,MATCH($K900,Bookings!$A$3:$A$202,0))),""))</f>
        <v/>
      </c>
    </row>
    <row r="901" spans="1:17" hidden="1" x14ac:dyDescent="0.35">
      <c r="A901" s="81"/>
      <c r="B901" s="81"/>
      <c r="C901" s="21"/>
      <c r="D901" s="56"/>
      <c r="E901" s="14"/>
      <c r="F901" s="14"/>
      <c r="G901" s="14"/>
      <c r="H901" s="83">
        <f t="shared" si="58"/>
        <v>0</v>
      </c>
      <c r="I901" s="80"/>
      <c r="J901" s="80"/>
      <c r="K901" s="7" t="str">
        <f>IF($B901="","",IFERROR(INDEX(Connaissements!$B$3:$B$202,MATCH($B901,Connaissements!$A$3:$A$202,0)),""))</f>
        <v/>
      </c>
      <c r="L901" s="7" t="str">
        <f>IF($B901="","",IFERROR(INDEX(Connaissements!$G$3:$G$202,MATCH($B901,Connaissements!$A$3:$A$202,0)),""))</f>
        <v/>
      </c>
      <c r="M901" s="7" t="str">
        <f t="shared" si="55"/>
        <v/>
      </c>
      <c r="N901" s="7" t="str">
        <f t="shared" ca="1" si="56"/>
        <v/>
      </c>
      <c r="O901" s="13"/>
      <c r="P901" s="29" t="str">
        <f t="shared" ca="1" si="57"/>
        <v/>
      </c>
      <c r="Q901" s="30" t="str">
        <f>IF($K901="","",IFERROR(IF(INDEX(Bookings!$G$3:$G$202,MATCH($K901,Bookings!$A$3:$A$202,0))="","",INDEX(Bookings!$G$3:$G$202,MATCH($K901,Bookings!$A$3:$A$202,0))),""))</f>
        <v/>
      </c>
    </row>
    <row r="902" spans="1:17" hidden="1" x14ac:dyDescent="0.35">
      <c r="A902" s="81"/>
      <c r="B902" s="81"/>
      <c r="C902" s="21"/>
      <c r="D902" s="56"/>
      <c r="E902" s="14"/>
      <c r="F902" s="14"/>
      <c r="G902" s="14"/>
      <c r="H902" s="83">
        <f t="shared" si="58"/>
        <v>0</v>
      </c>
      <c r="I902" s="80"/>
      <c r="J902" s="80"/>
      <c r="K902" s="7" t="str">
        <f>IF($B902="","",IFERROR(INDEX(Connaissements!$B$3:$B$202,MATCH($B902,Connaissements!$A$3:$A$202,0)),""))</f>
        <v/>
      </c>
      <c r="L902" s="7" t="str">
        <f>IF($B902="","",IFERROR(INDEX(Connaissements!$G$3:$G$202,MATCH($B902,Connaissements!$A$3:$A$202,0)),""))</f>
        <v/>
      </c>
      <c r="M902" s="7" t="str">
        <f t="shared" si="55"/>
        <v/>
      </c>
      <c r="N902" s="7" t="str">
        <f t="shared" ca="1" si="56"/>
        <v/>
      </c>
      <c r="O902" s="13"/>
      <c r="P902" s="29" t="str">
        <f t="shared" ca="1" si="57"/>
        <v/>
      </c>
      <c r="Q902" s="30" t="str">
        <f>IF($K902="","",IFERROR(IF(INDEX(Bookings!$G$3:$G$202,MATCH($K902,Bookings!$A$3:$A$202,0))="","",INDEX(Bookings!$G$3:$G$202,MATCH($K902,Bookings!$A$3:$A$202,0))),""))</f>
        <v/>
      </c>
    </row>
    <row r="903" spans="1:17" hidden="1" x14ac:dyDescent="0.35">
      <c r="A903" s="81"/>
      <c r="B903" s="81"/>
      <c r="C903" s="21"/>
      <c r="D903" s="56"/>
      <c r="E903" s="14"/>
      <c r="F903" s="14"/>
      <c r="G903" s="14"/>
      <c r="H903" s="83">
        <f t="shared" si="58"/>
        <v>0</v>
      </c>
      <c r="I903" s="80"/>
      <c r="J903" s="80"/>
      <c r="K903" s="7" t="str">
        <f>IF($B903="","",IFERROR(INDEX(Connaissements!$B$3:$B$202,MATCH($B903,Connaissements!$A$3:$A$202,0)),""))</f>
        <v/>
      </c>
      <c r="L903" s="7" t="str">
        <f>IF($B903="","",IFERROR(INDEX(Connaissements!$G$3:$G$202,MATCH($B903,Connaissements!$A$3:$A$202,0)),""))</f>
        <v/>
      </c>
      <c r="M903" s="7" t="str">
        <f t="shared" si="55"/>
        <v/>
      </c>
      <c r="N903" s="7" t="str">
        <f t="shared" ca="1" si="56"/>
        <v/>
      </c>
      <c r="O903" s="13"/>
      <c r="P903" s="29" t="str">
        <f t="shared" ca="1" si="57"/>
        <v/>
      </c>
      <c r="Q903" s="30" t="str">
        <f>IF($K903="","",IFERROR(IF(INDEX(Bookings!$G$3:$G$202,MATCH($K903,Bookings!$A$3:$A$202,0))="","",INDEX(Bookings!$G$3:$G$202,MATCH($K903,Bookings!$A$3:$A$202,0))),""))</f>
        <v/>
      </c>
    </row>
    <row r="904" spans="1:17" hidden="1" x14ac:dyDescent="0.35">
      <c r="A904" s="81"/>
      <c r="B904" s="81"/>
      <c r="C904" s="21"/>
      <c r="D904" s="56"/>
      <c r="E904" s="14"/>
      <c r="F904" s="14"/>
      <c r="G904" s="14"/>
      <c r="H904" s="83">
        <f t="shared" si="58"/>
        <v>0</v>
      </c>
      <c r="I904" s="80"/>
      <c r="J904" s="80"/>
      <c r="K904" s="7" t="str">
        <f>IF($B904="","",IFERROR(INDEX(Connaissements!$B$3:$B$202,MATCH($B904,Connaissements!$A$3:$A$202,0)),""))</f>
        <v/>
      </c>
      <c r="L904" s="7" t="str">
        <f>IF($B904="","",IFERROR(INDEX(Connaissements!$G$3:$G$202,MATCH($B904,Connaissements!$A$3:$A$202,0)),""))</f>
        <v/>
      </c>
      <c r="M904" s="7" t="str">
        <f t="shared" si="55"/>
        <v/>
      </c>
      <c r="N904" s="7" t="str">
        <f t="shared" ca="1" si="56"/>
        <v/>
      </c>
      <c r="O904" s="13"/>
      <c r="P904" s="29" t="str">
        <f t="shared" ca="1" si="57"/>
        <v/>
      </c>
      <c r="Q904" s="30" t="str">
        <f>IF($K904="","",IFERROR(IF(INDEX(Bookings!$G$3:$G$202,MATCH($K904,Bookings!$A$3:$A$202,0))="","",INDEX(Bookings!$G$3:$G$202,MATCH($K904,Bookings!$A$3:$A$202,0))),""))</f>
        <v/>
      </c>
    </row>
    <row r="905" spans="1:17" hidden="1" x14ac:dyDescent="0.35">
      <c r="A905" s="81"/>
      <c r="B905" s="81"/>
      <c r="C905" s="21"/>
      <c r="D905" s="56"/>
      <c r="E905" s="14"/>
      <c r="F905" s="14"/>
      <c r="G905" s="14"/>
      <c r="H905" s="83">
        <f t="shared" si="58"/>
        <v>0</v>
      </c>
      <c r="I905" s="80"/>
      <c r="J905" s="80"/>
      <c r="K905" s="7" t="str">
        <f>IF($B905="","",IFERROR(INDEX(Connaissements!$B$3:$B$202,MATCH($B905,Connaissements!$A$3:$A$202,0)),""))</f>
        <v/>
      </c>
      <c r="L905" s="7" t="str">
        <f>IF($B905="","",IFERROR(INDEX(Connaissements!$G$3:$G$202,MATCH($B905,Connaissements!$A$3:$A$202,0)),""))</f>
        <v/>
      </c>
      <c r="M905" s="7" t="str">
        <f t="shared" si="55"/>
        <v/>
      </c>
      <c r="N905" s="7" t="str">
        <f t="shared" ca="1" si="56"/>
        <v/>
      </c>
      <c r="O905" s="13"/>
      <c r="P905" s="29" t="str">
        <f t="shared" ca="1" si="57"/>
        <v/>
      </c>
      <c r="Q905" s="30" t="str">
        <f>IF($K905="","",IFERROR(IF(INDEX(Bookings!$G$3:$G$202,MATCH($K905,Bookings!$A$3:$A$202,0))="","",INDEX(Bookings!$G$3:$G$202,MATCH($K905,Bookings!$A$3:$A$202,0))),""))</f>
        <v/>
      </c>
    </row>
    <row r="906" spans="1:17" hidden="1" x14ac:dyDescent="0.35">
      <c r="A906" s="81"/>
      <c r="B906" s="81"/>
      <c r="C906" s="21"/>
      <c r="D906" s="56"/>
      <c r="E906" s="14"/>
      <c r="F906" s="14"/>
      <c r="G906" s="14"/>
      <c r="H906" s="83">
        <f t="shared" si="58"/>
        <v>0</v>
      </c>
      <c r="I906" s="80"/>
      <c r="J906" s="80"/>
      <c r="K906" s="7" t="str">
        <f>IF($B906="","",IFERROR(INDEX(Connaissements!$B$3:$B$202,MATCH($B906,Connaissements!$A$3:$A$202,0)),""))</f>
        <v/>
      </c>
      <c r="L906" s="7" t="str">
        <f>IF($B906="","",IFERROR(INDEX(Connaissements!$G$3:$G$202,MATCH($B906,Connaissements!$A$3:$A$202,0)),""))</f>
        <v/>
      </c>
      <c r="M906" s="7" t="str">
        <f t="shared" si="55"/>
        <v/>
      </c>
      <c r="N906" s="7" t="str">
        <f t="shared" ca="1" si="56"/>
        <v/>
      </c>
      <c r="O906" s="13"/>
      <c r="P906" s="29" t="str">
        <f t="shared" ca="1" si="57"/>
        <v/>
      </c>
      <c r="Q906" s="30" t="str">
        <f>IF($K906="","",IFERROR(IF(INDEX(Bookings!$G$3:$G$202,MATCH($K906,Bookings!$A$3:$A$202,0))="","",INDEX(Bookings!$G$3:$G$202,MATCH($K906,Bookings!$A$3:$A$202,0))),""))</f>
        <v/>
      </c>
    </row>
    <row r="907" spans="1:17" hidden="1" x14ac:dyDescent="0.35">
      <c r="A907" s="81"/>
      <c r="B907" s="81"/>
      <c r="C907" s="21"/>
      <c r="D907" s="56"/>
      <c r="E907" s="14"/>
      <c r="F907" s="14"/>
      <c r="G907" s="14"/>
      <c r="H907" s="83">
        <f t="shared" si="58"/>
        <v>0</v>
      </c>
      <c r="I907" s="80"/>
      <c r="J907" s="80"/>
      <c r="K907" s="7" t="str">
        <f>IF($B907="","",IFERROR(INDEX(Connaissements!$B$3:$B$202,MATCH($B907,Connaissements!$A$3:$A$202,0)),""))</f>
        <v/>
      </c>
      <c r="L907" s="7" t="str">
        <f>IF($B907="","",IFERROR(INDEX(Connaissements!$G$3:$G$202,MATCH($B907,Connaissements!$A$3:$A$202,0)),""))</f>
        <v/>
      </c>
      <c r="M907" s="7" t="str">
        <f t="shared" si="55"/>
        <v/>
      </c>
      <c r="N907" s="7" t="str">
        <f t="shared" ca="1" si="56"/>
        <v/>
      </c>
      <c r="O907" s="13"/>
      <c r="P907" s="29" t="str">
        <f t="shared" ca="1" si="57"/>
        <v/>
      </c>
      <c r="Q907" s="30" t="str">
        <f>IF($K907="","",IFERROR(IF(INDEX(Bookings!$G$3:$G$202,MATCH($K907,Bookings!$A$3:$A$202,0))="","",INDEX(Bookings!$G$3:$G$202,MATCH($K907,Bookings!$A$3:$A$202,0))),""))</f>
        <v/>
      </c>
    </row>
    <row r="908" spans="1:17" hidden="1" x14ac:dyDescent="0.35">
      <c r="A908" s="81"/>
      <c r="B908" s="81"/>
      <c r="C908" s="21"/>
      <c r="D908" s="56"/>
      <c r="E908" s="14"/>
      <c r="F908" s="14"/>
      <c r="G908" s="14"/>
      <c r="H908" s="83">
        <f t="shared" si="58"/>
        <v>0</v>
      </c>
      <c r="I908" s="80"/>
      <c r="J908" s="80"/>
      <c r="K908" s="7" t="str">
        <f>IF($B908="","",IFERROR(INDEX(Connaissements!$B$3:$B$202,MATCH($B908,Connaissements!$A$3:$A$202,0)),""))</f>
        <v/>
      </c>
      <c r="L908" s="7" t="str">
        <f>IF($B908="","",IFERROR(INDEX(Connaissements!$G$3:$G$202,MATCH($B908,Connaissements!$A$3:$A$202,0)),""))</f>
        <v/>
      </c>
      <c r="M908" s="7" t="str">
        <f t="shared" si="55"/>
        <v/>
      </c>
      <c r="N908" s="7" t="str">
        <f t="shared" ca="1" si="56"/>
        <v/>
      </c>
      <c r="O908" s="13"/>
      <c r="P908" s="29" t="str">
        <f t="shared" ca="1" si="57"/>
        <v/>
      </c>
      <c r="Q908" s="30" t="str">
        <f>IF($K908="","",IFERROR(IF(INDEX(Bookings!$G$3:$G$202,MATCH($K908,Bookings!$A$3:$A$202,0))="","",INDEX(Bookings!$G$3:$G$202,MATCH($K908,Bookings!$A$3:$A$202,0))),""))</f>
        <v/>
      </c>
    </row>
    <row r="909" spans="1:17" hidden="1" x14ac:dyDescent="0.35">
      <c r="A909" s="81"/>
      <c r="B909" s="81"/>
      <c r="C909" s="21"/>
      <c r="D909" s="56"/>
      <c r="E909" s="14"/>
      <c r="F909" s="14"/>
      <c r="G909" s="14"/>
      <c r="H909" s="83">
        <f t="shared" si="58"/>
        <v>0</v>
      </c>
      <c r="I909" s="80"/>
      <c r="J909" s="80"/>
      <c r="K909" s="7" t="str">
        <f>IF($B909="","",IFERROR(INDEX(Connaissements!$B$3:$B$202,MATCH($B909,Connaissements!$A$3:$A$202,0)),""))</f>
        <v/>
      </c>
      <c r="L909" s="7" t="str">
        <f>IF($B909="","",IFERROR(INDEX(Connaissements!$G$3:$G$202,MATCH($B909,Connaissements!$A$3:$A$202,0)),""))</f>
        <v/>
      </c>
      <c r="M909" s="7" t="str">
        <f t="shared" si="55"/>
        <v/>
      </c>
      <c r="N909" s="7" t="str">
        <f t="shared" ca="1" si="56"/>
        <v/>
      </c>
      <c r="O909" s="13"/>
      <c r="P909" s="29" t="str">
        <f t="shared" ca="1" si="57"/>
        <v/>
      </c>
      <c r="Q909" s="30" t="str">
        <f>IF($K909="","",IFERROR(IF(INDEX(Bookings!$G$3:$G$202,MATCH($K909,Bookings!$A$3:$A$202,0))="","",INDEX(Bookings!$G$3:$G$202,MATCH($K909,Bookings!$A$3:$A$202,0))),""))</f>
        <v/>
      </c>
    </row>
    <row r="910" spans="1:17" hidden="1" x14ac:dyDescent="0.35">
      <c r="A910" s="81"/>
      <c r="B910" s="81"/>
      <c r="C910" s="21"/>
      <c r="D910" s="56"/>
      <c r="E910" s="14"/>
      <c r="F910" s="14"/>
      <c r="G910" s="14"/>
      <c r="H910" s="83">
        <f t="shared" si="58"/>
        <v>0</v>
      </c>
      <c r="I910" s="80"/>
      <c r="J910" s="80"/>
      <c r="K910" s="7" t="str">
        <f>IF($B910="","",IFERROR(INDEX(Connaissements!$B$3:$B$202,MATCH($B910,Connaissements!$A$3:$A$202,0)),""))</f>
        <v/>
      </c>
      <c r="L910" s="7" t="str">
        <f>IF($B910="","",IFERROR(INDEX(Connaissements!$G$3:$G$202,MATCH($B910,Connaissements!$A$3:$A$202,0)),""))</f>
        <v/>
      </c>
      <c r="M910" s="7" t="str">
        <f t="shared" si="55"/>
        <v/>
      </c>
      <c r="N910" s="7" t="str">
        <f t="shared" ca="1" si="56"/>
        <v/>
      </c>
      <c r="O910" s="13"/>
      <c r="P910" s="29" t="str">
        <f t="shared" ca="1" si="57"/>
        <v/>
      </c>
      <c r="Q910" s="30" t="str">
        <f>IF($K910="","",IFERROR(IF(INDEX(Bookings!$G$3:$G$202,MATCH($K910,Bookings!$A$3:$A$202,0))="","",INDEX(Bookings!$G$3:$G$202,MATCH($K910,Bookings!$A$3:$A$202,0))),""))</f>
        <v/>
      </c>
    </row>
    <row r="911" spans="1:17" hidden="1" x14ac:dyDescent="0.35">
      <c r="A911" s="81"/>
      <c r="B911" s="81"/>
      <c r="C911" s="21"/>
      <c r="D911" s="56"/>
      <c r="E911" s="14"/>
      <c r="F911" s="14"/>
      <c r="G911" s="14"/>
      <c r="H911" s="83">
        <f t="shared" si="58"/>
        <v>0</v>
      </c>
      <c r="I911" s="80"/>
      <c r="J911" s="80"/>
      <c r="K911" s="7" t="str">
        <f>IF($B911="","",IFERROR(INDEX(Connaissements!$B$3:$B$202,MATCH($B911,Connaissements!$A$3:$A$202,0)),""))</f>
        <v/>
      </c>
      <c r="L911" s="7" t="str">
        <f>IF($B911="","",IFERROR(INDEX(Connaissements!$G$3:$G$202,MATCH($B911,Connaissements!$A$3:$A$202,0)),""))</f>
        <v/>
      </c>
      <c r="M911" s="7" t="str">
        <f t="shared" si="55"/>
        <v/>
      </c>
      <c r="N911" s="7" t="str">
        <f t="shared" ca="1" si="56"/>
        <v/>
      </c>
      <c r="O911" s="13"/>
      <c r="P911" s="29" t="str">
        <f t="shared" ca="1" si="57"/>
        <v/>
      </c>
      <c r="Q911" s="30" t="str">
        <f>IF($K911="","",IFERROR(IF(INDEX(Bookings!$G$3:$G$202,MATCH($K911,Bookings!$A$3:$A$202,0))="","",INDEX(Bookings!$G$3:$G$202,MATCH($K911,Bookings!$A$3:$A$202,0))),""))</f>
        <v/>
      </c>
    </row>
    <row r="912" spans="1:17" hidden="1" x14ac:dyDescent="0.35">
      <c r="A912" s="81"/>
      <c r="B912" s="81"/>
      <c r="C912" s="21"/>
      <c r="D912" s="56"/>
      <c r="E912" s="14"/>
      <c r="F912" s="14"/>
      <c r="G912" s="14"/>
      <c r="H912" s="83">
        <f t="shared" si="58"/>
        <v>0</v>
      </c>
      <c r="I912" s="80"/>
      <c r="J912" s="80"/>
      <c r="K912" s="7" t="str">
        <f>IF($B912="","",IFERROR(INDEX(Connaissements!$B$3:$B$202,MATCH($B912,Connaissements!$A$3:$A$202,0)),""))</f>
        <v/>
      </c>
      <c r="L912" s="7" t="str">
        <f>IF($B912="","",IFERROR(INDEX(Connaissements!$G$3:$G$202,MATCH($B912,Connaissements!$A$3:$A$202,0)),""))</f>
        <v/>
      </c>
      <c r="M912" s="7" t="str">
        <f t="shared" si="55"/>
        <v/>
      </c>
      <c r="N912" s="7" t="str">
        <f t="shared" ca="1" si="56"/>
        <v/>
      </c>
      <c r="O912" s="13"/>
      <c r="P912" s="29" t="str">
        <f t="shared" ca="1" si="57"/>
        <v/>
      </c>
      <c r="Q912" s="30" t="str">
        <f>IF($K912="","",IFERROR(IF(INDEX(Bookings!$G$3:$G$202,MATCH($K912,Bookings!$A$3:$A$202,0))="","",INDEX(Bookings!$G$3:$G$202,MATCH($K912,Bookings!$A$3:$A$202,0))),""))</f>
        <v/>
      </c>
    </row>
    <row r="913" spans="1:17" hidden="1" x14ac:dyDescent="0.35">
      <c r="A913" s="81"/>
      <c r="B913" s="81"/>
      <c r="C913" s="21"/>
      <c r="D913" s="56"/>
      <c r="E913" s="14"/>
      <c r="F913" s="14"/>
      <c r="G913" s="14"/>
      <c r="H913" s="83">
        <f t="shared" si="58"/>
        <v>0</v>
      </c>
      <c r="I913" s="80"/>
      <c r="J913" s="80"/>
      <c r="K913" s="7" t="str">
        <f>IF($B913="","",IFERROR(INDEX(Connaissements!$B$3:$B$202,MATCH($B913,Connaissements!$A$3:$A$202,0)),""))</f>
        <v/>
      </c>
      <c r="L913" s="7" t="str">
        <f>IF($B913="","",IFERROR(INDEX(Connaissements!$G$3:$G$202,MATCH($B913,Connaissements!$A$3:$A$202,0)),""))</f>
        <v/>
      </c>
      <c r="M913" s="7" t="str">
        <f t="shared" si="55"/>
        <v/>
      </c>
      <c r="N913" s="7" t="str">
        <f t="shared" ca="1" si="56"/>
        <v/>
      </c>
      <c r="O913" s="13"/>
      <c r="P913" s="29" t="str">
        <f t="shared" ca="1" si="57"/>
        <v/>
      </c>
      <c r="Q913" s="30" t="str">
        <f>IF($K913="","",IFERROR(IF(INDEX(Bookings!$G$3:$G$202,MATCH($K913,Bookings!$A$3:$A$202,0))="","",INDEX(Bookings!$G$3:$G$202,MATCH($K913,Bookings!$A$3:$A$202,0))),""))</f>
        <v/>
      </c>
    </row>
    <row r="914" spans="1:17" hidden="1" x14ac:dyDescent="0.35">
      <c r="A914" s="81"/>
      <c r="B914" s="81"/>
      <c r="C914" s="21"/>
      <c r="D914" s="56"/>
      <c r="E914" s="14"/>
      <c r="F914" s="14"/>
      <c r="G914" s="14"/>
      <c r="H914" s="83">
        <f t="shared" si="58"/>
        <v>0</v>
      </c>
      <c r="I914" s="80"/>
      <c r="J914" s="80"/>
      <c r="K914" s="7" t="str">
        <f>IF($B914="","",IFERROR(INDEX(Connaissements!$B$3:$B$202,MATCH($B914,Connaissements!$A$3:$A$202,0)),""))</f>
        <v/>
      </c>
      <c r="L914" s="7" t="str">
        <f>IF($B914="","",IFERROR(INDEX(Connaissements!$G$3:$G$202,MATCH($B914,Connaissements!$A$3:$A$202,0)),""))</f>
        <v/>
      </c>
      <c r="M914" s="7" t="str">
        <f t="shared" si="55"/>
        <v/>
      </c>
      <c r="N914" s="7" t="str">
        <f t="shared" ca="1" si="56"/>
        <v/>
      </c>
      <c r="O914" s="13"/>
      <c r="P914" s="29" t="str">
        <f t="shared" ca="1" si="57"/>
        <v/>
      </c>
      <c r="Q914" s="30" t="str">
        <f>IF($K914="","",IFERROR(IF(INDEX(Bookings!$G$3:$G$202,MATCH($K914,Bookings!$A$3:$A$202,0))="","",INDEX(Bookings!$G$3:$G$202,MATCH($K914,Bookings!$A$3:$A$202,0))),""))</f>
        <v/>
      </c>
    </row>
    <row r="915" spans="1:17" hidden="1" x14ac:dyDescent="0.35">
      <c r="A915" s="81"/>
      <c r="B915" s="81"/>
      <c r="C915" s="21"/>
      <c r="D915" s="56"/>
      <c r="E915" s="14"/>
      <c r="F915" s="14"/>
      <c r="G915" s="14"/>
      <c r="H915" s="83">
        <f t="shared" si="58"/>
        <v>0</v>
      </c>
      <c r="I915" s="80"/>
      <c r="J915" s="80"/>
      <c r="K915" s="7" t="str">
        <f>IF($B915="","",IFERROR(INDEX(Connaissements!$B$3:$B$202,MATCH($B915,Connaissements!$A$3:$A$202,0)),""))</f>
        <v/>
      </c>
      <c r="L915" s="7" t="str">
        <f>IF($B915="","",IFERROR(INDEX(Connaissements!$G$3:$G$202,MATCH($B915,Connaissements!$A$3:$A$202,0)),""))</f>
        <v/>
      </c>
      <c r="M915" s="7" t="str">
        <f t="shared" si="55"/>
        <v/>
      </c>
      <c r="N915" s="7" t="str">
        <f t="shared" ca="1" si="56"/>
        <v/>
      </c>
      <c r="O915" s="13"/>
      <c r="P915" s="29" t="str">
        <f t="shared" ca="1" si="57"/>
        <v/>
      </c>
      <c r="Q915" s="30" t="str">
        <f>IF($K915="","",IFERROR(IF(INDEX(Bookings!$G$3:$G$202,MATCH($K915,Bookings!$A$3:$A$202,0))="","",INDEX(Bookings!$G$3:$G$202,MATCH($K915,Bookings!$A$3:$A$202,0))),""))</f>
        <v/>
      </c>
    </row>
    <row r="916" spans="1:17" hidden="1" x14ac:dyDescent="0.35">
      <c r="A916" s="81"/>
      <c r="B916" s="81"/>
      <c r="C916" s="21"/>
      <c r="D916" s="56"/>
      <c r="E916" s="14"/>
      <c r="F916" s="14"/>
      <c r="G916" s="14"/>
      <c r="H916" s="83">
        <f t="shared" si="58"/>
        <v>0</v>
      </c>
      <c r="I916" s="80"/>
      <c r="J916" s="80"/>
      <c r="K916" s="7" t="str">
        <f>IF($B916="","",IFERROR(INDEX(Connaissements!$B$3:$B$202,MATCH($B916,Connaissements!$A$3:$A$202,0)),""))</f>
        <v/>
      </c>
      <c r="L916" s="7" t="str">
        <f>IF($B916="","",IFERROR(INDEX(Connaissements!$G$3:$G$202,MATCH($B916,Connaissements!$A$3:$A$202,0)),""))</f>
        <v/>
      </c>
      <c r="M916" s="7" t="str">
        <f t="shared" si="55"/>
        <v/>
      </c>
      <c r="N916" s="7" t="str">
        <f t="shared" ca="1" si="56"/>
        <v/>
      </c>
      <c r="O916" s="13"/>
      <c r="P916" s="29" t="str">
        <f t="shared" ca="1" si="57"/>
        <v/>
      </c>
      <c r="Q916" s="30" t="str">
        <f>IF($K916="","",IFERROR(IF(INDEX(Bookings!$G$3:$G$202,MATCH($K916,Bookings!$A$3:$A$202,0))="","",INDEX(Bookings!$G$3:$G$202,MATCH($K916,Bookings!$A$3:$A$202,0))),""))</f>
        <v/>
      </c>
    </row>
    <row r="917" spans="1:17" hidden="1" x14ac:dyDescent="0.35">
      <c r="A917" s="81"/>
      <c r="B917" s="81"/>
      <c r="C917" s="21"/>
      <c r="D917" s="56"/>
      <c r="E917" s="14"/>
      <c r="F917" s="14"/>
      <c r="G917" s="14"/>
      <c r="H917" s="83">
        <f t="shared" si="58"/>
        <v>0</v>
      </c>
      <c r="I917" s="80"/>
      <c r="J917" s="80"/>
      <c r="K917" s="7" t="str">
        <f>IF($B917="","",IFERROR(INDEX(Connaissements!$B$3:$B$202,MATCH($B917,Connaissements!$A$3:$A$202,0)),""))</f>
        <v/>
      </c>
      <c r="L917" s="7" t="str">
        <f>IF($B917="","",IFERROR(INDEX(Connaissements!$G$3:$G$202,MATCH($B917,Connaissements!$A$3:$A$202,0)),""))</f>
        <v/>
      </c>
      <c r="M917" s="7" t="str">
        <f t="shared" si="55"/>
        <v/>
      </c>
      <c r="N917" s="7" t="str">
        <f t="shared" ca="1" si="56"/>
        <v/>
      </c>
      <c r="O917" s="13"/>
      <c r="P917" s="29" t="str">
        <f t="shared" ca="1" si="57"/>
        <v/>
      </c>
      <c r="Q917" s="30" t="str">
        <f>IF($K917="","",IFERROR(IF(INDEX(Bookings!$G$3:$G$202,MATCH($K917,Bookings!$A$3:$A$202,0))="","",INDEX(Bookings!$G$3:$G$202,MATCH($K917,Bookings!$A$3:$A$202,0))),""))</f>
        <v/>
      </c>
    </row>
    <row r="918" spans="1:17" hidden="1" x14ac:dyDescent="0.35">
      <c r="A918" s="81"/>
      <c r="B918" s="81"/>
      <c r="C918" s="21"/>
      <c r="D918" s="56"/>
      <c r="E918" s="14"/>
      <c r="F918" s="14"/>
      <c r="G918" s="14"/>
      <c r="H918" s="83">
        <f t="shared" si="58"/>
        <v>0</v>
      </c>
      <c r="I918" s="80"/>
      <c r="J918" s="80"/>
      <c r="K918" s="7" t="str">
        <f>IF($B918="","",IFERROR(INDEX(Connaissements!$B$3:$B$202,MATCH($B918,Connaissements!$A$3:$A$202,0)),""))</f>
        <v/>
      </c>
      <c r="L918" s="7" t="str">
        <f>IF($B918="","",IFERROR(INDEX(Connaissements!$G$3:$G$202,MATCH($B918,Connaissements!$A$3:$A$202,0)),""))</f>
        <v/>
      </c>
      <c r="M918" s="7" t="str">
        <f t="shared" si="55"/>
        <v/>
      </c>
      <c r="N918" s="7" t="str">
        <f t="shared" ca="1" si="56"/>
        <v/>
      </c>
      <c r="O918" s="13"/>
      <c r="P918" s="29" t="str">
        <f t="shared" ca="1" si="57"/>
        <v/>
      </c>
      <c r="Q918" s="30" t="str">
        <f>IF($K918="","",IFERROR(IF(INDEX(Bookings!$G$3:$G$202,MATCH($K918,Bookings!$A$3:$A$202,0))="","",INDEX(Bookings!$G$3:$G$202,MATCH($K918,Bookings!$A$3:$A$202,0))),""))</f>
        <v/>
      </c>
    </row>
    <row r="919" spans="1:17" hidden="1" x14ac:dyDescent="0.35">
      <c r="A919" s="81"/>
      <c r="B919" s="81"/>
      <c r="C919" s="21"/>
      <c r="D919" s="56"/>
      <c r="E919" s="14"/>
      <c r="F919" s="14"/>
      <c r="G919" s="14"/>
      <c r="H919" s="83">
        <f t="shared" si="58"/>
        <v>0</v>
      </c>
      <c r="I919" s="80"/>
      <c r="J919" s="80"/>
      <c r="K919" s="7" t="str">
        <f>IF($B919="","",IFERROR(INDEX(Connaissements!$B$3:$B$202,MATCH($B919,Connaissements!$A$3:$A$202,0)),""))</f>
        <v/>
      </c>
      <c r="L919" s="7" t="str">
        <f>IF($B919="","",IFERROR(INDEX(Connaissements!$G$3:$G$202,MATCH($B919,Connaissements!$A$3:$A$202,0)),""))</f>
        <v/>
      </c>
      <c r="M919" s="7" t="str">
        <f t="shared" si="55"/>
        <v/>
      </c>
      <c r="N919" s="7" t="str">
        <f t="shared" ca="1" si="56"/>
        <v/>
      </c>
      <c r="O919" s="13"/>
      <c r="P919" s="29" t="str">
        <f t="shared" ca="1" si="57"/>
        <v/>
      </c>
      <c r="Q919" s="30" t="str">
        <f>IF($K919="","",IFERROR(IF(INDEX(Bookings!$G$3:$G$202,MATCH($K919,Bookings!$A$3:$A$202,0))="","",INDEX(Bookings!$G$3:$G$202,MATCH($K919,Bookings!$A$3:$A$202,0))),""))</f>
        <v/>
      </c>
    </row>
    <row r="920" spans="1:17" hidden="1" x14ac:dyDescent="0.35">
      <c r="A920" s="81"/>
      <c r="B920" s="81"/>
      <c r="C920" s="21"/>
      <c r="D920" s="56"/>
      <c r="E920" s="14"/>
      <c r="F920" s="14"/>
      <c r="G920" s="14"/>
      <c r="H920" s="83">
        <f t="shared" si="58"/>
        <v>0</v>
      </c>
      <c r="I920" s="80"/>
      <c r="J920" s="80"/>
      <c r="K920" s="7" t="str">
        <f>IF($B920="","",IFERROR(INDEX(Connaissements!$B$3:$B$202,MATCH($B920,Connaissements!$A$3:$A$202,0)),""))</f>
        <v/>
      </c>
      <c r="L920" s="7" t="str">
        <f>IF($B920="","",IFERROR(INDEX(Connaissements!$G$3:$G$202,MATCH($B920,Connaissements!$A$3:$A$202,0)),""))</f>
        <v/>
      </c>
      <c r="M920" s="7" t="str">
        <f t="shared" si="55"/>
        <v/>
      </c>
      <c r="N920" s="7" t="str">
        <f t="shared" ca="1" si="56"/>
        <v/>
      </c>
      <c r="O920" s="13"/>
      <c r="P920" s="29" t="str">
        <f t="shared" ca="1" si="57"/>
        <v/>
      </c>
      <c r="Q920" s="30" t="str">
        <f>IF($K920="","",IFERROR(IF(INDEX(Bookings!$G$3:$G$202,MATCH($K920,Bookings!$A$3:$A$202,0))="","",INDEX(Bookings!$G$3:$G$202,MATCH($K920,Bookings!$A$3:$A$202,0))),""))</f>
        <v/>
      </c>
    </row>
    <row r="921" spans="1:17" hidden="1" x14ac:dyDescent="0.35">
      <c r="A921" s="81"/>
      <c r="B921" s="81"/>
      <c r="C921" s="21"/>
      <c r="D921" s="56"/>
      <c r="E921" s="14"/>
      <c r="F921" s="14"/>
      <c r="G921" s="14"/>
      <c r="H921" s="83">
        <f t="shared" si="58"/>
        <v>0</v>
      </c>
      <c r="I921" s="80"/>
      <c r="J921" s="80"/>
      <c r="K921" s="7" t="str">
        <f>IF($B921="","",IFERROR(INDEX(Connaissements!$B$3:$B$202,MATCH($B921,Connaissements!$A$3:$A$202,0)),""))</f>
        <v/>
      </c>
      <c r="L921" s="7" t="str">
        <f>IF($B921="","",IFERROR(INDEX(Connaissements!$G$3:$G$202,MATCH($B921,Connaissements!$A$3:$A$202,0)),""))</f>
        <v/>
      </c>
      <c r="M921" s="7" t="str">
        <f t="shared" si="55"/>
        <v/>
      </c>
      <c r="N921" s="7" t="str">
        <f t="shared" ca="1" si="56"/>
        <v/>
      </c>
      <c r="O921" s="13"/>
      <c r="P921" s="29" t="str">
        <f t="shared" ca="1" si="57"/>
        <v/>
      </c>
      <c r="Q921" s="30" t="str">
        <f>IF($K921="","",IFERROR(IF(INDEX(Bookings!$G$3:$G$202,MATCH($K921,Bookings!$A$3:$A$202,0))="","",INDEX(Bookings!$G$3:$G$202,MATCH($K921,Bookings!$A$3:$A$202,0))),""))</f>
        <v/>
      </c>
    </row>
    <row r="922" spans="1:17" hidden="1" x14ac:dyDescent="0.35">
      <c r="A922" s="81"/>
      <c r="B922" s="81"/>
      <c r="C922" s="21"/>
      <c r="D922" s="56"/>
      <c r="E922" s="14"/>
      <c r="F922" s="14"/>
      <c r="G922" s="14"/>
      <c r="H922" s="83">
        <f t="shared" si="58"/>
        <v>0</v>
      </c>
      <c r="I922" s="80"/>
      <c r="J922" s="80"/>
      <c r="K922" s="7" t="str">
        <f>IF($B922="","",IFERROR(INDEX(Connaissements!$B$3:$B$202,MATCH($B922,Connaissements!$A$3:$A$202,0)),""))</f>
        <v/>
      </c>
      <c r="L922" s="7" t="str">
        <f>IF($B922="","",IFERROR(INDEX(Connaissements!$G$3:$G$202,MATCH($B922,Connaissements!$A$3:$A$202,0)),""))</f>
        <v/>
      </c>
      <c r="M922" s="7" t="str">
        <f t="shared" si="55"/>
        <v/>
      </c>
      <c r="N922" s="7" t="str">
        <f t="shared" ca="1" si="56"/>
        <v/>
      </c>
      <c r="O922" s="13"/>
      <c r="P922" s="29" t="str">
        <f t="shared" ca="1" si="57"/>
        <v/>
      </c>
      <c r="Q922" s="30" t="str">
        <f>IF($K922="","",IFERROR(IF(INDEX(Bookings!$G$3:$G$202,MATCH($K922,Bookings!$A$3:$A$202,0))="","",INDEX(Bookings!$G$3:$G$202,MATCH($K922,Bookings!$A$3:$A$202,0))),""))</f>
        <v/>
      </c>
    </row>
    <row r="923" spans="1:17" hidden="1" x14ac:dyDescent="0.35">
      <c r="A923" s="81"/>
      <c r="B923" s="81"/>
      <c r="C923" s="21"/>
      <c r="D923" s="56"/>
      <c r="E923" s="14"/>
      <c r="F923" s="14"/>
      <c r="G923" s="14"/>
      <c r="H923" s="83">
        <f t="shared" si="58"/>
        <v>0</v>
      </c>
      <c r="I923" s="80"/>
      <c r="J923" s="80"/>
      <c r="K923" s="7" t="str">
        <f>IF($B923="","",IFERROR(INDEX(Connaissements!$B$3:$B$202,MATCH($B923,Connaissements!$A$3:$A$202,0)),""))</f>
        <v/>
      </c>
      <c r="L923" s="7" t="str">
        <f>IF($B923="","",IFERROR(INDEX(Connaissements!$G$3:$G$202,MATCH($B923,Connaissements!$A$3:$A$202,0)),""))</f>
        <v/>
      </c>
      <c r="M923" s="7" t="str">
        <f t="shared" si="55"/>
        <v/>
      </c>
      <c r="N923" s="7" t="str">
        <f t="shared" ca="1" si="56"/>
        <v/>
      </c>
      <c r="O923" s="13"/>
      <c r="P923" s="29" t="str">
        <f t="shared" ca="1" si="57"/>
        <v/>
      </c>
      <c r="Q923" s="30" t="str">
        <f>IF($K923="","",IFERROR(IF(INDEX(Bookings!$G$3:$G$202,MATCH($K923,Bookings!$A$3:$A$202,0))="","",INDEX(Bookings!$G$3:$G$202,MATCH($K923,Bookings!$A$3:$A$202,0))),""))</f>
        <v/>
      </c>
    </row>
    <row r="924" spans="1:17" hidden="1" x14ac:dyDescent="0.35">
      <c r="A924" s="81"/>
      <c r="B924" s="81"/>
      <c r="C924" s="21"/>
      <c r="D924" s="56"/>
      <c r="E924" s="14"/>
      <c r="F924" s="14"/>
      <c r="G924" s="14"/>
      <c r="H924" s="83">
        <f t="shared" si="58"/>
        <v>0</v>
      </c>
      <c r="I924" s="80"/>
      <c r="J924" s="80"/>
      <c r="K924" s="7" t="str">
        <f>IF($B924="","",IFERROR(INDEX(Connaissements!$B$3:$B$202,MATCH($B924,Connaissements!$A$3:$A$202,0)),""))</f>
        <v/>
      </c>
      <c r="L924" s="7" t="str">
        <f>IF($B924="","",IFERROR(INDEX(Connaissements!$G$3:$G$202,MATCH($B924,Connaissements!$A$3:$A$202,0)),""))</f>
        <v/>
      </c>
      <c r="M924" s="7" t="str">
        <f t="shared" si="55"/>
        <v/>
      </c>
      <c r="N924" s="7" t="str">
        <f t="shared" ca="1" si="56"/>
        <v/>
      </c>
      <c r="O924" s="13"/>
      <c r="P924" s="29" t="str">
        <f t="shared" ca="1" si="57"/>
        <v/>
      </c>
      <c r="Q924" s="30" t="str">
        <f>IF($K924="","",IFERROR(IF(INDEX(Bookings!$G$3:$G$202,MATCH($K924,Bookings!$A$3:$A$202,0))="","",INDEX(Bookings!$G$3:$G$202,MATCH($K924,Bookings!$A$3:$A$202,0))),""))</f>
        <v/>
      </c>
    </row>
    <row r="925" spans="1:17" hidden="1" x14ac:dyDescent="0.35">
      <c r="A925" s="81"/>
      <c r="B925" s="81"/>
      <c r="C925" s="21"/>
      <c r="D925" s="56"/>
      <c r="E925" s="14"/>
      <c r="F925" s="14"/>
      <c r="G925" s="14"/>
      <c r="H925" s="83">
        <f t="shared" si="58"/>
        <v>0</v>
      </c>
      <c r="I925" s="80"/>
      <c r="J925" s="80"/>
      <c r="K925" s="7" t="str">
        <f>IF($B925="","",IFERROR(INDEX(Connaissements!$B$3:$B$202,MATCH($B925,Connaissements!$A$3:$A$202,0)),""))</f>
        <v/>
      </c>
      <c r="L925" s="7" t="str">
        <f>IF($B925="","",IFERROR(INDEX(Connaissements!$G$3:$G$202,MATCH($B925,Connaissements!$A$3:$A$202,0)),""))</f>
        <v/>
      </c>
      <c r="M925" s="7" t="str">
        <f t="shared" si="55"/>
        <v/>
      </c>
      <c r="N925" s="7" t="str">
        <f t="shared" ca="1" si="56"/>
        <v/>
      </c>
      <c r="O925" s="13"/>
      <c r="P925" s="29" t="str">
        <f t="shared" ca="1" si="57"/>
        <v/>
      </c>
      <c r="Q925" s="30" t="str">
        <f>IF($K925="","",IFERROR(IF(INDEX(Bookings!$G$3:$G$202,MATCH($K925,Bookings!$A$3:$A$202,0))="","",INDEX(Bookings!$G$3:$G$202,MATCH($K925,Bookings!$A$3:$A$202,0))),""))</f>
        <v/>
      </c>
    </row>
    <row r="926" spans="1:17" hidden="1" x14ac:dyDescent="0.35">
      <c r="A926" s="81"/>
      <c r="B926" s="81"/>
      <c r="C926" s="21"/>
      <c r="D926" s="56"/>
      <c r="E926" s="14"/>
      <c r="F926" s="14"/>
      <c r="G926" s="14"/>
      <c r="H926" s="83">
        <f t="shared" si="58"/>
        <v>0</v>
      </c>
      <c r="I926" s="80"/>
      <c r="J926" s="80"/>
      <c r="K926" s="7" t="str">
        <f>IF($B926="","",IFERROR(INDEX(Connaissements!$B$3:$B$202,MATCH($B926,Connaissements!$A$3:$A$202,0)),""))</f>
        <v/>
      </c>
      <c r="L926" s="7" t="str">
        <f>IF($B926="","",IFERROR(INDEX(Connaissements!$G$3:$G$202,MATCH($B926,Connaissements!$A$3:$A$202,0)),""))</f>
        <v/>
      </c>
      <c r="M926" s="7" t="str">
        <f t="shared" si="55"/>
        <v/>
      </c>
      <c r="N926" s="7" t="str">
        <f t="shared" ca="1" si="56"/>
        <v/>
      </c>
      <c r="O926" s="13"/>
      <c r="P926" s="29" t="str">
        <f t="shared" ca="1" si="57"/>
        <v/>
      </c>
      <c r="Q926" s="30" t="str">
        <f>IF($K926="","",IFERROR(IF(INDEX(Bookings!$G$3:$G$202,MATCH($K926,Bookings!$A$3:$A$202,0))="","",INDEX(Bookings!$G$3:$G$202,MATCH($K926,Bookings!$A$3:$A$202,0))),""))</f>
        <v/>
      </c>
    </row>
    <row r="927" spans="1:17" hidden="1" x14ac:dyDescent="0.35">
      <c r="A927" s="81"/>
      <c r="B927" s="81"/>
      <c r="C927" s="21"/>
      <c r="D927" s="56"/>
      <c r="E927" s="14"/>
      <c r="F927" s="14"/>
      <c r="G927" s="14"/>
      <c r="H927" s="83">
        <f t="shared" si="58"/>
        <v>0</v>
      </c>
      <c r="I927" s="80"/>
      <c r="J927" s="80"/>
      <c r="K927" s="7" t="str">
        <f>IF($B927="","",IFERROR(INDEX(Connaissements!$B$3:$B$202,MATCH($B927,Connaissements!$A$3:$A$202,0)),""))</f>
        <v/>
      </c>
      <c r="L927" s="7" t="str">
        <f>IF($B927="","",IFERROR(INDEX(Connaissements!$G$3:$G$202,MATCH($B927,Connaissements!$A$3:$A$202,0)),""))</f>
        <v/>
      </c>
      <c r="M927" s="7" t="str">
        <f t="shared" si="55"/>
        <v/>
      </c>
      <c r="N927" s="7" t="str">
        <f t="shared" ca="1" si="56"/>
        <v/>
      </c>
      <c r="O927" s="13"/>
      <c r="P927" s="29" t="str">
        <f t="shared" ca="1" si="57"/>
        <v/>
      </c>
      <c r="Q927" s="30" t="str">
        <f>IF($K927="","",IFERROR(IF(INDEX(Bookings!$G$3:$G$202,MATCH($K927,Bookings!$A$3:$A$202,0))="","",INDEX(Bookings!$G$3:$G$202,MATCH($K927,Bookings!$A$3:$A$202,0))),""))</f>
        <v/>
      </c>
    </row>
    <row r="928" spans="1:17" hidden="1" x14ac:dyDescent="0.35">
      <c r="A928" s="81"/>
      <c r="B928" s="81"/>
      <c r="C928" s="21"/>
      <c r="D928" s="56"/>
      <c r="E928" s="14"/>
      <c r="F928" s="14"/>
      <c r="G928" s="14"/>
      <c r="H928" s="83">
        <f t="shared" si="58"/>
        <v>0</v>
      </c>
      <c r="I928" s="80"/>
      <c r="J928" s="80"/>
      <c r="K928" s="7" t="str">
        <f>IF($B928="","",IFERROR(INDEX(Connaissements!$B$3:$B$202,MATCH($B928,Connaissements!$A$3:$A$202,0)),""))</f>
        <v/>
      </c>
      <c r="L928" s="7" t="str">
        <f>IF($B928="","",IFERROR(INDEX(Connaissements!$G$3:$G$202,MATCH($B928,Connaissements!$A$3:$A$202,0)),""))</f>
        <v/>
      </c>
      <c r="M928" s="7" t="str">
        <f t="shared" si="55"/>
        <v/>
      </c>
      <c r="N928" s="7" t="str">
        <f t="shared" ca="1" si="56"/>
        <v/>
      </c>
      <c r="O928" s="13"/>
      <c r="P928" s="29" t="str">
        <f t="shared" ca="1" si="57"/>
        <v/>
      </c>
      <c r="Q928" s="30" t="str">
        <f>IF($K928="","",IFERROR(IF(INDEX(Bookings!$G$3:$G$202,MATCH($K928,Bookings!$A$3:$A$202,0))="","",INDEX(Bookings!$G$3:$G$202,MATCH($K928,Bookings!$A$3:$A$202,0))),""))</f>
        <v/>
      </c>
    </row>
    <row r="929" spans="1:17" hidden="1" x14ac:dyDescent="0.35">
      <c r="A929" s="81"/>
      <c r="B929" s="81"/>
      <c r="C929" s="21"/>
      <c r="D929" s="56"/>
      <c r="E929" s="14"/>
      <c r="F929" s="14"/>
      <c r="G929" s="14"/>
      <c r="H929" s="83">
        <f t="shared" si="58"/>
        <v>0</v>
      </c>
      <c r="I929" s="80"/>
      <c r="J929" s="80"/>
      <c r="K929" s="7" t="str">
        <f>IF($B929="","",IFERROR(INDEX(Connaissements!$B$3:$B$202,MATCH($B929,Connaissements!$A$3:$A$202,0)),""))</f>
        <v/>
      </c>
      <c r="L929" s="7" t="str">
        <f>IF($B929="","",IFERROR(INDEX(Connaissements!$G$3:$G$202,MATCH($B929,Connaissements!$A$3:$A$202,0)),""))</f>
        <v/>
      </c>
      <c r="M929" s="7" t="str">
        <f t="shared" si="55"/>
        <v/>
      </c>
      <c r="N929" s="7" t="str">
        <f t="shared" ca="1" si="56"/>
        <v/>
      </c>
      <c r="O929" s="13"/>
      <c r="P929" s="29" t="str">
        <f t="shared" ca="1" si="57"/>
        <v/>
      </c>
      <c r="Q929" s="30" t="str">
        <f>IF($K929="","",IFERROR(IF(INDEX(Bookings!$G$3:$G$202,MATCH($K929,Bookings!$A$3:$A$202,0))="","",INDEX(Bookings!$G$3:$G$202,MATCH($K929,Bookings!$A$3:$A$202,0))),""))</f>
        <v/>
      </c>
    </row>
    <row r="930" spans="1:17" hidden="1" x14ac:dyDescent="0.35">
      <c r="A930" s="81"/>
      <c r="B930" s="81"/>
      <c r="C930" s="21"/>
      <c r="D930" s="56"/>
      <c r="E930" s="14"/>
      <c r="F930" s="14"/>
      <c r="G930" s="14"/>
      <c r="H930" s="83">
        <f t="shared" si="58"/>
        <v>0</v>
      </c>
      <c r="I930" s="80"/>
      <c r="J930" s="80"/>
      <c r="K930" s="7" t="str">
        <f>IF($B930="","",IFERROR(INDEX(Connaissements!$B$3:$B$202,MATCH($B930,Connaissements!$A$3:$A$202,0)),""))</f>
        <v/>
      </c>
      <c r="L930" s="7" t="str">
        <f>IF($B930="","",IFERROR(INDEX(Connaissements!$G$3:$G$202,MATCH($B930,Connaissements!$A$3:$A$202,0)),""))</f>
        <v/>
      </c>
      <c r="M930" s="7" t="str">
        <f t="shared" si="55"/>
        <v/>
      </c>
      <c r="N930" s="7" t="str">
        <f t="shared" ca="1" si="56"/>
        <v/>
      </c>
      <c r="O930" s="13"/>
      <c r="P930" s="29" t="str">
        <f t="shared" ca="1" si="57"/>
        <v/>
      </c>
      <c r="Q930" s="30" t="str">
        <f>IF($K930="","",IFERROR(IF(INDEX(Bookings!$G$3:$G$202,MATCH($K930,Bookings!$A$3:$A$202,0))="","",INDEX(Bookings!$G$3:$G$202,MATCH($K930,Bookings!$A$3:$A$202,0))),""))</f>
        <v/>
      </c>
    </row>
    <row r="931" spans="1:17" hidden="1" x14ac:dyDescent="0.35">
      <c r="A931" s="81"/>
      <c r="B931" s="81"/>
      <c r="C931" s="21"/>
      <c r="D931" s="56"/>
      <c r="E931" s="14"/>
      <c r="F931" s="14"/>
      <c r="G931" s="14"/>
      <c r="H931" s="83">
        <f t="shared" si="58"/>
        <v>0</v>
      </c>
      <c r="I931" s="80"/>
      <c r="J931" s="80"/>
      <c r="K931" s="7" t="str">
        <f>IF($B931="","",IFERROR(INDEX(Connaissements!$B$3:$B$202,MATCH($B931,Connaissements!$A$3:$A$202,0)),""))</f>
        <v/>
      </c>
      <c r="L931" s="7" t="str">
        <f>IF($B931="","",IFERROR(INDEX(Connaissements!$G$3:$G$202,MATCH($B931,Connaissements!$A$3:$A$202,0)),""))</f>
        <v/>
      </c>
      <c r="M931" s="7" t="str">
        <f t="shared" si="55"/>
        <v/>
      </c>
      <c r="N931" s="7" t="str">
        <f t="shared" ca="1" si="56"/>
        <v/>
      </c>
      <c r="O931" s="13"/>
      <c r="P931" s="29" t="str">
        <f t="shared" ca="1" si="57"/>
        <v/>
      </c>
      <c r="Q931" s="30" t="str">
        <f>IF($K931="","",IFERROR(IF(INDEX(Bookings!$G$3:$G$202,MATCH($K931,Bookings!$A$3:$A$202,0))="","",INDEX(Bookings!$G$3:$G$202,MATCH($K931,Bookings!$A$3:$A$202,0))),""))</f>
        <v/>
      </c>
    </row>
    <row r="932" spans="1:17" hidden="1" x14ac:dyDescent="0.35">
      <c r="A932" s="81"/>
      <c r="B932" s="81"/>
      <c r="C932" s="21"/>
      <c r="D932" s="56"/>
      <c r="E932" s="14"/>
      <c r="F932" s="14"/>
      <c r="G932" s="14"/>
      <c r="H932" s="83">
        <f t="shared" si="58"/>
        <v>0</v>
      </c>
      <c r="I932" s="80"/>
      <c r="J932" s="80"/>
      <c r="K932" s="7" t="str">
        <f>IF($B932="","",IFERROR(INDEX(Connaissements!$B$3:$B$202,MATCH($B932,Connaissements!$A$3:$A$202,0)),""))</f>
        <v/>
      </c>
      <c r="L932" s="7" t="str">
        <f>IF($B932="","",IFERROR(INDEX(Connaissements!$G$3:$G$202,MATCH($B932,Connaissements!$A$3:$A$202,0)),""))</f>
        <v/>
      </c>
      <c r="M932" s="7" t="str">
        <f t="shared" si="55"/>
        <v/>
      </c>
      <c r="N932" s="7" t="str">
        <f t="shared" ca="1" si="56"/>
        <v/>
      </c>
      <c r="O932" s="13"/>
      <c r="P932" s="29" t="str">
        <f t="shared" ca="1" si="57"/>
        <v/>
      </c>
      <c r="Q932" s="30" t="str">
        <f>IF($K932="","",IFERROR(IF(INDEX(Bookings!$G$3:$G$202,MATCH($K932,Bookings!$A$3:$A$202,0))="","",INDEX(Bookings!$G$3:$G$202,MATCH($K932,Bookings!$A$3:$A$202,0))),""))</f>
        <v/>
      </c>
    </row>
    <row r="933" spans="1:17" hidden="1" x14ac:dyDescent="0.35">
      <c r="A933" s="81"/>
      <c r="B933" s="81"/>
      <c r="C933" s="21"/>
      <c r="D933" s="56"/>
      <c r="E933" s="14"/>
      <c r="F933" s="14"/>
      <c r="G933" s="14"/>
      <c r="H933" s="83">
        <f t="shared" si="58"/>
        <v>0</v>
      </c>
      <c r="I933" s="80"/>
      <c r="J933" s="80"/>
      <c r="K933" s="7" t="str">
        <f>IF($B933="","",IFERROR(INDEX(Connaissements!$B$3:$B$202,MATCH($B933,Connaissements!$A$3:$A$202,0)),""))</f>
        <v/>
      </c>
      <c r="L933" s="7" t="str">
        <f>IF($B933="","",IFERROR(INDEX(Connaissements!$G$3:$G$202,MATCH($B933,Connaissements!$A$3:$A$202,0)),""))</f>
        <v/>
      </c>
      <c r="M933" s="7" t="str">
        <f t="shared" si="55"/>
        <v/>
      </c>
      <c r="N933" s="7" t="str">
        <f t="shared" ca="1" si="56"/>
        <v/>
      </c>
      <c r="O933" s="13"/>
      <c r="P933" s="29" t="str">
        <f t="shared" ca="1" si="57"/>
        <v/>
      </c>
      <c r="Q933" s="30" t="str">
        <f>IF($K933="","",IFERROR(IF(INDEX(Bookings!$G$3:$G$202,MATCH($K933,Bookings!$A$3:$A$202,0))="","",INDEX(Bookings!$G$3:$G$202,MATCH($K933,Bookings!$A$3:$A$202,0))),""))</f>
        <v/>
      </c>
    </row>
    <row r="934" spans="1:17" hidden="1" x14ac:dyDescent="0.35">
      <c r="A934" s="81"/>
      <c r="B934" s="81"/>
      <c r="C934" s="21"/>
      <c r="D934" s="56"/>
      <c r="E934" s="14"/>
      <c r="F934" s="14"/>
      <c r="G934" s="14"/>
      <c r="H934" s="83">
        <f t="shared" si="58"/>
        <v>0</v>
      </c>
      <c r="I934" s="80"/>
      <c r="J934" s="80"/>
      <c r="K934" s="7" t="str">
        <f>IF($B934="","",IFERROR(INDEX(Connaissements!$B$3:$B$202,MATCH($B934,Connaissements!$A$3:$A$202,0)),""))</f>
        <v/>
      </c>
      <c r="L934" s="7" t="str">
        <f>IF($B934="","",IFERROR(INDEX(Connaissements!$G$3:$G$202,MATCH($B934,Connaissements!$A$3:$A$202,0)),""))</f>
        <v/>
      </c>
      <c r="M934" s="7" t="str">
        <f t="shared" si="55"/>
        <v/>
      </c>
      <c r="N934" s="7" t="str">
        <f t="shared" ca="1" si="56"/>
        <v/>
      </c>
      <c r="O934" s="13"/>
      <c r="P934" s="29" t="str">
        <f t="shared" ca="1" si="57"/>
        <v/>
      </c>
      <c r="Q934" s="30" t="str">
        <f>IF($K934="","",IFERROR(IF(INDEX(Bookings!$G$3:$G$202,MATCH($K934,Bookings!$A$3:$A$202,0))="","",INDEX(Bookings!$G$3:$G$202,MATCH($K934,Bookings!$A$3:$A$202,0))),""))</f>
        <v/>
      </c>
    </row>
    <row r="935" spans="1:17" hidden="1" x14ac:dyDescent="0.35">
      <c r="A935" s="81"/>
      <c r="B935" s="81"/>
      <c r="C935" s="21"/>
      <c r="D935" s="56"/>
      <c r="E935" s="14"/>
      <c r="F935" s="14"/>
      <c r="G935" s="14"/>
      <c r="H935" s="83">
        <f t="shared" si="58"/>
        <v>0</v>
      </c>
      <c r="I935" s="80"/>
      <c r="J935" s="80"/>
      <c r="K935" s="7" t="str">
        <f>IF($B935="","",IFERROR(INDEX(Connaissements!$B$3:$B$202,MATCH($B935,Connaissements!$A$3:$A$202,0)),""))</f>
        <v/>
      </c>
      <c r="L935" s="7" t="str">
        <f>IF($B935="","",IFERROR(INDEX(Connaissements!$G$3:$G$202,MATCH($B935,Connaissements!$A$3:$A$202,0)),""))</f>
        <v/>
      </c>
      <c r="M935" s="7" t="str">
        <f t="shared" si="55"/>
        <v/>
      </c>
      <c r="N935" s="7" t="str">
        <f t="shared" ca="1" si="56"/>
        <v/>
      </c>
      <c r="O935" s="13"/>
      <c r="P935" s="29" t="str">
        <f t="shared" ca="1" si="57"/>
        <v/>
      </c>
      <c r="Q935" s="30" t="str">
        <f>IF($K935="","",IFERROR(IF(INDEX(Bookings!$G$3:$G$202,MATCH($K935,Bookings!$A$3:$A$202,0))="","",INDEX(Bookings!$G$3:$G$202,MATCH($K935,Bookings!$A$3:$A$202,0))),""))</f>
        <v/>
      </c>
    </row>
    <row r="936" spans="1:17" hidden="1" x14ac:dyDescent="0.35">
      <c r="A936" s="81"/>
      <c r="B936" s="81"/>
      <c r="C936" s="21"/>
      <c r="D936" s="56"/>
      <c r="E936" s="14"/>
      <c r="F936" s="14"/>
      <c r="G936" s="14"/>
      <c r="H936" s="83">
        <f t="shared" si="58"/>
        <v>0</v>
      </c>
      <c r="I936" s="80"/>
      <c r="J936" s="80"/>
      <c r="K936" s="7" t="str">
        <f>IF($B936="","",IFERROR(INDEX(Connaissements!$B$3:$B$202,MATCH($B936,Connaissements!$A$3:$A$202,0)),""))</f>
        <v/>
      </c>
      <c r="L936" s="7" t="str">
        <f>IF($B936="","",IFERROR(INDEX(Connaissements!$G$3:$G$202,MATCH($B936,Connaissements!$A$3:$A$202,0)),""))</f>
        <v/>
      </c>
      <c r="M936" s="7" t="str">
        <f t="shared" si="55"/>
        <v/>
      </c>
      <c r="N936" s="7" t="str">
        <f t="shared" ca="1" si="56"/>
        <v/>
      </c>
      <c r="O936" s="13"/>
      <c r="P936" s="29" t="str">
        <f t="shared" ca="1" si="57"/>
        <v/>
      </c>
      <c r="Q936" s="30" t="str">
        <f>IF($K936="","",IFERROR(IF(INDEX(Bookings!$G$3:$G$202,MATCH($K936,Bookings!$A$3:$A$202,0))="","",INDEX(Bookings!$G$3:$G$202,MATCH($K936,Bookings!$A$3:$A$202,0))),""))</f>
        <v/>
      </c>
    </row>
    <row r="937" spans="1:17" hidden="1" x14ac:dyDescent="0.35">
      <c r="A937" s="81"/>
      <c r="B937" s="81"/>
      <c r="C937" s="21"/>
      <c r="D937" s="56"/>
      <c r="E937" s="14"/>
      <c r="F937" s="14"/>
      <c r="G937" s="14"/>
      <c r="H937" s="83">
        <f t="shared" si="58"/>
        <v>0</v>
      </c>
      <c r="I937" s="80"/>
      <c r="J937" s="80"/>
      <c r="K937" s="7" t="str">
        <f>IF($B937="","",IFERROR(INDEX(Connaissements!$B$3:$B$202,MATCH($B937,Connaissements!$A$3:$A$202,0)),""))</f>
        <v/>
      </c>
      <c r="L937" s="7" t="str">
        <f>IF($B937="","",IFERROR(INDEX(Connaissements!$G$3:$G$202,MATCH($B937,Connaissements!$A$3:$A$202,0)),""))</f>
        <v/>
      </c>
      <c r="M937" s="7" t="str">
        <f t="shared" si="55"/>
        <v/>
      </c>
      <c r="N937" s="7" t="str">
        <f t="shared" ca="1" si="56"/>
        <v/>
      </c>
      <c r="O937" s="13"/>
      <c r="P937" s="29" t="str">
        <f t="shared" ca="1" si="57"/>
        <v/>
      </c>
      <c r="Q937" s="30" t="str">
        <f>IF($K937="","",IFERROR(IF(INDEX(Bookings!$G$3:$G$202,MATCH($K937,Bookings!$A$3:$A$202,0))="","",INDEX(Bookings!$G$3:$G$202,MATCH($K937,Bookings!$A$3:$A$202,0))),""))</f>
        <v/>
      </c>
    </row>
    <row r="938" spans="1:17" hidden="1" x14ac:dyDescent="0.35">
      <c r="A938" s="81"/>
      <c r="B938" s="81"/>
      <c r="C938" s="21"/>
      <c r="D938" s="56"/>
      <c r="E938" s="14"/>
      <c r="F938" s="14"/>
      <c r="G938" s="14"/>
      <c r="H938" s="83">
        <f t="shared" si="58"/>
        <v>0</v>
      </c>
      <c r="I938" s="80"/>
      <c r="J938" s="80"/>
      <c r="K938" s="7" t="str">
        <f>IF($B938="","",IFERROR(INDEX(Connaissements!$B$3:$B$202,MATCH($B938,Connaissements!$A$3:$A$202,0)),""))</f>
        <v/>
      </c>
      <c r="L938" s="7" t="str">
        <f>IF($B938="","",IFERROR(INDEX(Connaissements!$G$3:$G$202,MATCH($B938,Connaissements!$A$3:$A$202,0)),""))</f>
        <v/>
      </c>
      <c r="M938" s="7" t="str">
        <f t="shared" si="55"/>
        <v/>
      </c>
      <c r="N938" s="7" t="str">
        <f t="shared" ca="1" si="56"/>
        <v/>
      </c>
      <c r="O938" s="13"/>
      <c r="P938" s="29" t="str">
        <f t="shared" ca="1" si="57"/>
        <v/>
      </c>
      <c r="Q938" s="30" t="str">
        <f>IF($K938="","",IFERROR(IF(INDEX(Bookings!$G$3:$G$202,MATCH($K938,Bookings!$A$3:$A$202,0))="","",INDEX(Bookings!$G$3:$G$202,MATCH($K938,Bookings!$A$3:$A$202,0))),""))</f>
        <v/>
      </c>
    </row>
    <row r="939" spans="1:17" hidden="1" x14ac:dyDescent="0.35">
      <c r="A939" s="81"/>
      <c r="B939" s="81"/>
      <c r="C939" s="21"/>
      <c r="D939" s="56"/>
      <c r="E939" s="14"/>
      <c r="F939" s="14"/>
      <c r="G939" s="14"/>
      <c r="H939" s="83">
        <f t="shared" si="58"/>
        <v>0</v>
      </c>
      <c r="I939" s="80"/>
      <c r="J939" s="80"/>
      <c r="K939" s="7" t="str">
        <f>IF($B939="","",IFERROR(INDEX(Connaissements!$B$3:$B$202,MATCH($B939,Connaissements!$A$3:$A$202,0)),""))</f>
        <v/>
      </c>
      <c r="L939" s="7" t="str">
        <f>IF($B939="","",IFERROR(INDEX(Connaissements!$G$3:$G$202,MATCH($B939,Connaissements!$A$3:$A$202,0)),""))</f>
        <v/>
      </c>
      <c r="M939" s="7" t="str">
        <f t="shared" si="55"/>
        <v/>
      </c>
      <c r="N939" s="7" t="str">
        <f t="shared" ca="1" si="56"/>
        <v/>
      </c>
      <c r="O939" s="13"/>
      <c r="P939" s="29" t="str">
        <f t="shared" ca="1" si="57"/>
        <v/>
      </c>
      <c r="Q939" s="30" t="str">
        <f>IF($K939="","",IFERROR(IF(INDEX(Bookings!$G$3:$G$202,MATCH($K939,Bookings!$A$3:$A$202,0))="","",INDEX(Bookings!$G$3:$G$202,MATCH($K939,Bookings!$A$3:$A$202,0))),""))</f>
        <v/>
      </c>
    </row>
    <row r="940" spans="1:17" hidden="1" x14ac:dyDescent="0.35">
      <c r="A940" s="81"/>
      <c r="B940" s="81"/>
      <c r="C940" s="21"/>
      <c r="D940" s="56"/>
      <c r="E940" s="14"/>
      <c r="F940" s="14"/>
      <c r="G940" s="14"/>
      <c r="H940" s="83">
        <f t="shared" si="58"/>
        <v>0</v>
      </c>
      <c r="I940" s="80"/>
      <c r="J940" s="80"/>
      <c r="K940" s="7" t="str">
        <f>IF($B940="","",IFERROR(INDEX(Connaissements!$B$3:$B$202,MATCH($B940,Connaissements!$A$3:$A$202,0)),""))</f>
        <v/>
      </c>
      <c r="L940" s="7" t="str">
        <f>IF($B940="","",IFERROR(INDEX(Connaissements!$G$3:$G$202,MATCH($B940,Connaissements!$A$3:$A$202,0)),""))</f>
        <v/>
      </c>
      <c r="M940" s="7" t="str">
        <f t="shared" si="55"/>
        <v/>
      </c>
      <c r="N940" s="7" t="str">
        <f t="shared" ca="1" si="56"/>
        <v/>
      </c>
      <c r="O940" s="13"/>
      <c r="P940" s="29" t="str">
        <f t="shared" ca="1" si="57"/>
        <v/>
      </c>
      <c r="Q940" s="30" t="str">
        <f>IF($K940="","",IFERROR(IF(INDEX(Bookings!$G$3:$G$202,MATCH($K940,Bookings!$A$3:$A$202,0))="","",INDEX(Bookings!$G$3:$G$202,MATCH($K940,Bookings!$A$3:$A$202,0))),""))</f>
        <v/>
      </c>
    </row>
    <row r="941" spans="1:17" hidden="1" x14ac:dyDescent="0.35">
      <c r="A941" s="81"/>
      <c r="B941" s="81"/>
      <c r="C941" s="21"/>
      <c r="D941" s="56"/>
      <c r="E941" s="14"/>
      <c r="F941" s="14"/>
      <c r="G941" s="14"/>
      <c r="H941" s="83">
        <f t="shared" si="58"/>
        <v>0</v>
      </c>
      <c r="I941" s="80"/>
      <c r="J941" s="80"/>
      <c r="K941" s="7" t="str">
        <f>IF($B941="","",IFERROR(INDEX(Connaissements!$B$3:$B$202,MATCH($B941,Connaissements!$A$3:$A$202,0)),""))</f>
        <v/>
      </c>
      <c r="L941" s="7" t="str">
        <f>IF($B941="","",IFERROR(INDEX(Connaissements!$G$3:$G$202,MATCH($B941,Connaissements!$A$3:$A$202,0)),""))</f>
        <v/>
      </c>
      <c r="M941" s="7" t="str">
        <f t="shared" si="55"/>
        <v/>
      </c>
      <c r="N941" s="7" t="str">
        <f t="shared" ca="1" si="56"/>
        <v/>
      </c>
      <c r="O941" s="13"/>
      <c r="P941" s="29" t="str">
        <f t="shared" ca="1" si="57"/>
        <v/>
      </c>
      <c r="Q941" s="30" t="str">
        <f>IF($K941="","",IFERROR(IF(INDEX(Bookings!$G$3:$G$202,MATCH($K941,Bookings!$A$3:$A$202,0))="","",INDEX(Bookings!$G$3:$G$202,MATCH($K941,Bookings!$A$3:$A$202,0))),""))</f>
        <v/>
      </c>
    </row>
    <row r="942" spans="1:17" hidden="1" x14ac:dyDescent="0.35">
      <c r="A942" s="81"/>
      <c r="B942" s="81"/>
      <c r="C942" s="21"/>
      <c r="D942" s="56"/>
      <c r="E942" s="14"/>
      <c r="F942" s="14"/>
      <c r="G942" s="14"/>
      <c r="H942" s="83">
        <f t="shared" si="58"/>
        <v>0</v>
      </c>
      <c r="I942" s="80"/>
      <c r="J942" s="80"/>
      <c r="K942" s="7" t="str">
        <f>IF($B942="","",IFERROR(INDEX(Connaissements!$B$3:$B$202,MATCH($B942,Connaissements!$A$3:$A$202,0)),""))</f>
        <v/>
      </c>
      <c r="L942" s="7" t="str">
        <f>IF($B942="","",IFERROR(INDEX(Connaissements!$G$3:$G$202,MATCH($B942,Connaissements!$A$3:$A$202,0)),""))</f>
        <v/>
      </c>
      <c r="M942" s="7" t="str">
        <f t="shared" si="55"/>
        <v/>
      </c>
      <c r="N942" s="7" t="str">
        <f t="shared" ca="1" si="56"/>
        <v/>
      </c>
      <c r="O942" s="13"/>
      <c r="P942" s="29" t="str">
        <f t="shared" ca="1" si="57"/>
        <v/>
      </c>
      <c r="Q942" s="30" t="str">
        <f>IF($K942="","",IFERROR(IF(INDEX(Bookings!$G$3:$G$202,MATCH($K942,Bookings!$A$3:$A$202,0))="","",INDEX(Bookings!$G$3:$G$202,MATCH($K942,Bookings!$A$3:$A$202,0))),""))</f>
        <v/>
      </c>
    </row>
    <row r="943" spans="1:17" hidden="1" x14ac:dyDescent="0.35">
      <c r="A943" s="81"/>
      <c r="B943" s="81"/>
      <c r="C943" s="21"/>
      <c r="D943" s="56"/>
      <c r="E943" s="14"/>
      <c r="F943" s="14"/>
      <c r="G943" s="14"/>
      <c r="H943" s="83">
        <f t="shared" si="58"/>
        <v>0</v>
      </c>
      <c r="I943" s="80"/>
      <c r="J943" s="80"/>
      <c r="K943" s="7" t="str">
        <f>IF($B943="","",IFERROR(INDEX(Connaissements!$B$3:$B$202,MATCH($B943,Connaissements!$A$3:$A$202,0)),""))</f>
        <v/>
      </c>
      <c r="L943" s="7" t="str">
        <f>IF($B943="","",IFERROR(INDEX(Connaissements!$G$3:$G$202,MATCH($B943,Connaissements!$A$3:$A$202,0)),""))</f>
        <v/>
      </c>
      <c r="M943" s="7" t="str">
        <f t="shared" si="55"/>
        <v/>
      </c>
      <c r="N943" s="7" t="str">
        <f t="shared" ca="1" si="56"/>
        <v/>
      </c>
      <c r="O943" s="13"/>
      <c r="P943" s="29" t="str">
        <f t="shared" ca="1" si="57"/>
        <v/>
      </c>
      <c r="Q943" s="30" t="str">
        <f>IF($K943="","",IFERROR(IF(INDEX(Bookings!$G$3:$G$202,MATCH($K943,Bookings!$A$3:$A$202,0))="","",INDEX(Bookings!$G$3:$G$202,MATCH($K943,Bookings!$A$3:$A$202,0))),""))</f>
        <v/>
      </c>
    </row>
    <row r="944" spans="1:17" hidden="1" x14ac:dyDescent="0.35">
      <c r="A944" s="81"/>
      <c r="B944" s="81"/>
      <c r="C944" s="21"/>
      <c r="D944" s="56"/>
      <c r="E944" s="14"/>
      <c r="F944" s="14"/>
      <c r="G944" s="14"/>
      <c r="H944" s="83">
        <f t="shared" si="58"/>
        <v>0</v>
      </c>
      <c r="I944" s="80"/>
      <c r="J944" s="80"/>
      <c r="K944" s="7" t="str">
        <f>IF($B944="","",IFERROR(INDEX(Connaissements!$B$3:$B$202,MATCH($B944,Connaissements!$A$3:$A$202,0)),""))</f>
        <v/>
      </c>
      <c r="L944" s="7" t="str">
        <f>IF($B944="","",IFERROR(INDEX(Connaissements!$G$3:$G$202,MATCH($B944,Connaissements!$A$3:$A$202,0)),""))</f>
        <v/>
      </c>
      <c r="M944" s="7" t="str">
        <f t="shared" si="55"/>
        <v/>
      </c>
      <c r="N944" s="7" t="str">
        <f t="shared" ca="1" si="56"/>
        <v/>
      </c>
      <c r="O944" s="13"/>
      <c r="P944" s="29" t="str">
        <f t="shared" ca="1" si="57"/>
        <v/>
      </c>
      <c r="Q944" s="30" t="str">
        <f>IF($K944="","",IFERROR(IF(INDEX(Bookings!$G$3:$G$202,MATCH($K944,Bookings!$A$3:$A$202,0))="","",INDEX(Bookings!$G$3:$G$202,MATCH($K944,Bookings!$A$3:$A$202,0))),""))</f>
        <v/>
      </c>
    </row>
    <row r="945" spans="1:17" hidden="1" x14ac:dyDescent="0.35">
      <c r="A945" s="81"/>
      <c r="B945" s="81"/>
      <c r="C945" s="21"/>
      <c r="D945" s="56"/>
      <c r="E945" s="14"/>
      <c r="F945" s="14"/>
      <c r="G945" s="14"/>
      <c r="H945" s="83">
        <f t="shared" si="58"/>
        <v>0</v>
      </c>
      <c r="I945" s="80"/>
      <c r="J945" s="80"/>
      <c r="K945" s="7" t="str">
        <f>IF($B945="","",IFERROR(INDEX(Connaissements!$B$3:$B$202,MATCH($B945,Connaissements!$A$3:$A$202,0)),""))</f>
        <v/>
      </c>
      <c r="L945" s="7" t="str">
        <f>IF($B945="","",IFERROR(INDEX(Connaissements!$G$3:$G$202,MATCH($B945,Connaissements!$A$3:$A$202,0)),""))</f>
        <v/>
      </c>
      <c r="M945" s="7" t="str">
        <f t="shared" si="55"/>
        <v/>
      </c>
      <c r="N945" s="7" t="str">
        <f t="shared" ca="1" si="56"/>
        <v/>
      </c>
      <c r="O945" s="13"/>
      <c r="P945" s="29" t="str">
        <f t="shared" ca="1" si="57"/>
        <v/>
      </c>
      <c r="Q945" s="30" t="str">
        <f>IF($K945="","",IFERROR(IF(INDEX(Bookings!$G$3:$G$202,MATCH($K945,Bookings!$A$3:$A$202,0))="","",INDEX(Bookings!$G$3:$G$202,MATCH($K945,Bookings!$A$3:$A$202,0))),""))</f>
        <v/>
      </c>
    </row>
    <row r="946" spans="1:17" hidden="1" x14ac:dyDescent="0.35">
      <c r="A946" s="81"/>
      <c r="B946" s="81"/>
      <c r="C946" s="21"/>
      <c r="D946" s="56"/>
      <c r="E946" s="14"/>
      <c r="F946" s="14"/>
      <c r="G946" s="14"/>
      <c r="H946" s="83">
        <f t="shared" si="58"/>
        <v>0</v>
      </c>
      <c r="I946" s="80"/>
      <c r="J946" s="80"/>
      <c r="K946" s="7" t="str">
        <f>IF($B946="","",IFERROR(INDEX(Connaissements!$B$3:$B$202,MATCH($B946,Connaissements!$A$3:$A$202,0)),""))</f>
        <v/>
      </c>
      <c r="L946" s="7" t="str">
        <f>IF($B946="","",IFERROR(INDEX(Connaissements!$G$3:$G$202,MATCH($B946,Connaissements!$A$3:$A$202,0)),""))</f>
        <v/>
      </c>
      <c r="M946" s="7" t="str">
        <f t="shared" si="55"/>
        <v/>
      </c>
      <c r="N946" s="7" t="str">
        <f t="shared" ca="1" si="56"/>
        <v/>
      </c>
      <c r="O946" s="13"/>
      <c r="P946" s="29" t="str">
        <f t="shared" ca="1" si="57"/>
        <v/>
      </c>
      <c r="Q946" s="30" t="str">
        <f>IF($K946="","",IFERROR(IF(INDEX(Bookings!$G$3:$G$202,MATCH($K946,Bookings!$A$3:$A$202,0))="","",INDEX(Bookings!$G$3:$G$202,MATCH($K946,Bookings!$A$3:$A$202,0))),""))</f>
        <v/>
      </c>
    </row>
    <row r="947" spans="1:17" hidden="1" x14ac:dyDescent="0.35">
      <c r="A947" s="81"/>
      <c r="B947" s="81"/>
      <c r="C947" s="21"/>
      <c r="D947" s="56"/>
      <c r="E947" s="14"/>
      <c r="F947" s="14"/>
      <c r="G947" s="14"/>
      <c r="H947" s="83">
        <f t="shared" si="58"/>
        <v>0</v>
      </c>
      <c r="I947" s="80"/>
      <c r="J947" s="80"/>
      <c r="K947" s="7" t="str">
        <f>IF($B947="","",IFERROR(INDEX(Connaissements!$B$3:$B$202,MATCH($B947,Connaissements!$A$3:$A$202,0)),""))</f>
        <v/>
      </c>
      <c r="L947" s="7" t="str">
        <f>IF($B947="","",IFERROR(INDEX(Connaissements!$G$3:$G$202,MATCH($B947,Connaissements!$A$3:$A$202,0)),""))</f>
        <v/>
      </c>
      <c r="M947" s="7" t="str">
        <f t="shared" si="55"/>
        <v/>
      </c>
      <c r="N947" s="7" t="str">
        <f t="shared" ca="1" si="56"/>
        <v/>
      </c>
      <c r="O947" s="13"/>
      <c r="P947" s="29" t="str">
        <f t="shared" ca="1" si="57"/>
        <v/>
      </c>
      <c r="Q947" s="30" t="str">
        <f>IF($K947="","",IFERROR(IF(INDEX(Bookings!$G$3:$G$202,MATCH($K947,Bookings!$A$3:$A$202,0))="","",INDEX(Bookings!$G$3:$G$202,MATCH($K947,Bookings!$A$3:$A$202,0))),""))</f>
        <v/>
      </c>
    </row>
    <row r="948" spans="1:17" hidden="1" x14ac:dyDescent="0.35">
      <c r="A948" s="81"/>
      <c r="B948" s="81"/>
      <c r="C948" s="21"/>
      <c r="D948" s="56"/>
      <c r="E948" s="14"/>
      <c r="F948" s="14"/>
      <c r="G948" s="14"/>
      <c r="H948" s="83">
        <f t="shared" si="58"/>
        <v>0</v>
      </c>
      <c r="I948" s="80"/>
      <c r="J948" s="80"/>
      <c r="K948" s="7" t="str">
        <f>IF($B948="","",IFERROR(INDEX(Connaissements!$B$3:$B$202,MATCH($B948,Connaissements!$A$3:$A$202,0)),""))</f>
        <v/>
      </c>
      <c r="L948" s="7" t="str">
        <f>IF($B948="","",IFERROR(INDEX(Connaissements!$G$3:$G$202,MATCH($B948,Connaissements!$A$3:$A$202,0)),""))</f>
        <v/>
      </c>
      <c r="M948" s="7" t="str">
        <f t="shared" si="55"/>
        <v/>
      </c>
      <c r="N948" s="7" t="str">
        <f t="shared" ca="1" si="56"/>
        <v/>
      </c>
      <c r="O948" s="13"/>
      <c r="P948" s="29" t="str">
        <f t="shared" ca="1" si="57"/>
        <v/>
      </c>
      <c r="Q948" s="30" t="str">
        <f>IF($K948="","",IFERROR(IF(INDEX(Bookings!$G$3:$G$202,MATCH($K948,Bookings!$A$3:$A$202,0))="","",INDEX(Bookings!$G$3:$G$202,MATCH($K948,Bookings!$A$3:$A$202,0))),""))</f>
        <v/>
      </c>
    </row>
    <row r="949" spans="1:17" hidden="1" x14ac:dyDescent="0.35">
      <c r="A949" s="81"/>
      <c r="B949" s="81"/>
      <c r="C949" s="21"/>
      <c r="D949" s="56"/>
      <c r="E949" s="14"/>
      <c r="F949" s="14"/>
      <c r="G949" s="14"/>
      <c r="H949" s="83">
        <f t="shared" si="58"/>
        <v>0</v>
      </c>
      <c r="I949" s="80"/>
      <c r="J949" s="80"/>
      <c r="K949" s="7" t="str">
        <f>IF($B949="","",IFERROR(INDEX(Connaissements!$B$3:$B$202,MATCH($B949,Connaissements!$A$3:$A$202,0)),""))</f>
        <v/>
      </c>
      <c r="L949" s="7" t="str">
        <f>IF($B949="","",IFERROR(INDEX(Connaissements!$G$3:$G$202,MATCH($B949,Connaissements!$A$3:$A$202,0)),""))</f>
        <v/>
      </c>
      <c r="M949" s="7" t="str">
        <f t="shared" si="55"/>
        <v/>
      </c>
      <c r="N949" s="7" t="str">
        <f t="shared" ca="1" si="56"/>
        <v/>
      </c>
      <c r="O949" s="13"/>
      <c r="P949" s="29" t="str">
        <f t="shared" ca="1" si="57"/>
        <v/>
      </c>
      <c r="Q949" s="30" t="str">
        <f>IF($K949="","",IFERROR(IF(INDEX(Bookings!$G$3:$G$202,MATCH($K949,Bookings!$A$3:$A$202,0))="","",INDEX(Bookings!$G$3:$G$202,MATCH($K949,Bookings!$A$3:$A$202,0))),""))</f>
        <v/>
      </c>
    </row>
    <row r="950" spans="1:17" hidden="1" x14ac:dyDescent="0.35">
      <c r="A950" s="81"/>
      <c r="B950" s="81"/>
      <c r="C950" s="21"/>
      <c r="D950" s="56"/>
      <c r="E950" s="14"/>
      <c r="F950" s="14"/>
      <c r="G950" s="14"/>
      <c r="H950" s="83">
        <f t="shared" si="58"/>
        <v>0</v>
      </c>
      <c r="I950" s="80"/>
      <c r="J950" s="80"/>
      <c r="K950" s="7" t="str">
        <f>IF($B950="","",IFERROR(INDEX(Connaissements!$B$3:$B$202,MATCH($B950,Connaissements!$A$3:$A$202,0)),""))</f>
        <v/>
      </c>
      <c r="L950" s="7" t="str">
        <f>IF($B950="","",IFERROR(INDEX(Connaissements!$G$3:$G$202,MATCH($B950,Connaissements!$A$3:$A$202,0)),""))</f>
        <v/>
      </c>
      <c r="M950" s="7" t="str">
        <f t="shared" si="55"/>
        <v/>
      </c>
      <c r="N950" s="7" t="str">
        <f t="shared" ca="1" si="56"/>
        <v/>
      </c>
      <c r="O950" s="13"/>
      <c r="P950" s="29" t="str">
        <f t="shared" ca="1" si="57"/>
        <v/>
      </c>
      <c r="Q950" s="30" t="str">
        <f>IF($K950="","",IFERROR(IF(INDEX(Bookings!$G$3:$G$202,MATCH($K950,Bookings!$A$3:$A$202,0))="","",INDEX(Bookings!$G$3:$G$202,MATCH($K950,Bookings!$A$3:$A$202,0))),""))</f>
        <v/>
      </c>
    </row>
    <row r="951" spans="1:17" hidden="1" x14ac:dyDescent="0.35">
      <c r="A951" s="81"/>
      <c r="B951" s="81"/>
      <c r="C951" s="21"/>
      <c r="D951" s="56"/>
      <c r="E951" s="14"/>
      <c r="F951" s="14"/>
      <c r="G951" s="14"/>
      <c r="H951" s="83">
        <f t="shared" si="58"/>
        <v>0</v>
      </c>
      <c r="I951" s="80"/>
      <c r="J951" s="80"/>
      <c r="K951" s="7" t="str">
        <f>IF($B951="","",IFERROR(INDEX(Connaissements!$B$3:$B$202,MATCH($B951,Connaissements!$A$3:$A$202,0)),""))</f>
        <v/>
      </c>
      <c r="L951" s="7" t="str">
        <f>IF($B951="","",IFERROR(INDEX(Connaissements!$G$3:$G$202,MATCH($B951,Connaissements!$A$3:$A$202,0)),""))</f>
        <v/>
      </c>
      <c r="M951" s="7" t="str">
        <f t="shared" si="55"/>
        <v/>
      </c>
      <c r="N951" s="7" t="str">
        <f t="shared" ca="1" si="56"/>
        <v/>
      </c>
      <c r="O951" s="13"/>
      <c r="P951" s="29" t="str">
        <f t="shared" ca="1" si="57"/>
        <v/>
      </c>
      <c r="Q951" s="30" t="str">
        <f>IF($K951="","",IFERROR(IF(INDEX(Bookings!$G$3:$G$202,MATCH($K951,Bookings!$A$3:$A$202,0))="","",INDEX(Bookings!$G$3:$G$202,MATCH($K951,Bookings!$A$3:$A$202,0))),""))</f>
        <v/>
      </c>
    </row>
    <row r="952" spans="1:17" hidden="1" x14ac:dyDescent="0.35">
      <c r="A952" s="81"/>
      <c r="B952" s="81"/>
      <c r="C952" s="21"/>
      <c r="D952" s="56"/>
      <c r="E952" s="14"/>
      <c r="F952" s="14"/>
      <c r="G952" s="14"/>
      <c r="H952" s="83">
        <f t="shared" si="58"/>
        <v>0</v>
      </c>
      <c r="I952" s="80"/>
      <c r="J952" s="80"/>
      <c r="K952" s="7" t="str">
        <f>IF($B952="","",IFERROR(INDEX(Connaissements!$B$3:$B$202,MATCH($B952,Connaissements!$A$3:$A$202,0)),""))</f>
        <v/>
      </c>
      <c r="L952" s="7" t="str">
        <f>IF($B952="","",IFERROR(INDEX(Connaissements!$G$3:$G$202,MATCH($B952,Connaissements!$A$3:$A$202,0)),""))</f>
        <v/>
      </c>
      <c r="M952" s="7" t="str">
        <f t="shared" si="55"/>
        <v/>
      </c>
      <c r="N952" s="7" t="str">
        <f t="shared" ca="1" si="56"/>
        <v/>
      </c>
      <c r="O952" s="13"/>
      <c r="P952" s="29" t="str">
        <f t="shared" ca="1" si="57"/>
        <v/>
      </c>
      <c r="Q952" s="30" t="str">
        <f>IF($K952="","",IFERROR(IF(INDEX(Bookings!$G$3:$G$202,MATCH($K952,Bookings!$A$3:$A$202,0))="","",INDEX(Bookings!$G$3:$G$202,MATCH($K952,Bookings!$A$3:$A$202,0))),""))</f>
        <v/>
      </c>
    </row>
    <row r="953" spans="1:17" hidden="1" x14ac:dyDescent="0.35">
      <c r="A953" s="81"/>
      <c r="B953" s="81"/>
      <c r="C953" s="21"/>
      <c r="D953" s="56"/>
      <c r="E953" s="14"/>
      <c r="F953" s="14"/>
      <c r="G953" s="14"/>
      <c r="H953" s="83">
        <f t="shared" si="58"/>
        <v>0</v>
      </c>
      <c r="I953" s="80"/>
      <c r="J953" s="80"/>
      <c r="K953" s="7" t="str">
        <f>IF($B953="","",IFERROR(INDEX(Connaissements!$B$3:$B$202,MATCH($B953,Connaissements!$A$3:$A$202,0)),""))</f>
        <v/>
      </c>
      <c r="L953" s="7" t="str">
        <f>IF($B953="","",IFERROR(INDEX(Connaissements!$G$3:$G$202,MATCH($B953,Connaissements!$A$3:$A$202,0)),""))</f>
        <v/>
      </c>
      <c r="M953" s="7" t="str">
        <f t="shared" si="55"/>
        <v/>
      </c>
      <c r="N953" s="7" t="str">
        <f t="shared" ca="1" si="56"/>
        <v/>
      </c>
      <c r="O953" s="13"/>
      <c r="P953" s="29" t="str">
        <f t="shared" ca="1" si="57"/>
        <v/>
      </c>
      <c r="Q953" s="30" t="str">
        <f>IF($K953="","",IFERROR(IF(INDEX(Bookings!$G$3:$G$202,MATCH($K953,Bookings!$A$3:$A$202,0))="","",INDEX(Bookings!$G$3:$G$202,MATCH($K953,Bookings!$A$3:$A$202,0))),""))</f>
        <v/>
      </c>
    </row>
    <row r="954" spans="1:17" hidden="1" x14ac:dyDescent="0.35">
      <c r="A954" s="81"/>
      <c r="B954" s="81"/>
      <c r="C954" s="21"/>
      <c r="D954" s="56"/>
      <c r="E954" s="14"/>
      <c r="F954" s="14"/>
      <c r="G954" s="14"/>
      <c r="H954" s="83">
        <f t="shared" si="58"/>
        <v>0</v>
      </c>
      <c r="I954" s="80"/>
      <c r="J954" s="80"/>
      <c r="K954" s="7" t="str">
        <f>IF($B954="","",IFERROR(INDEX(Connaissements!$B$3:$B$202,MATCH($B954,Connaissements!$A$3:$A$202,0)),""))</f>
        <v/>
      </c>
      <c r="L954" s="7" t="str">
        <f>IF($B954="","",IFERROR(INDEX(Connaissements!$G$3:$G$202,MATCH($B954,Connaissements!$A$3:$A$202,0)),""))</f>
        <v/>
      </c>
      <c r="M954" s="7" t="str">
        <f t="shared" si="55"/>
        <v/>
      </c>
      <c r="N954" s="7" t="str">
        <f t="shared" ca="1" si="56"/>
        <v/>
      </c>
      <c r="O954" s="13"/>
      <c r="P954" s="29" t="str">
        <f t="shared" ca="1" si="57"/>
        <v/>
      </c>
      <c r="Q954" s="30" t="str">
        <f>IF($K954="","",IFERROR(IF(INDEX(Bookings!$G$3:$G$202,MATCH($K954,Bookings!$A$3:$A$202,0))="","",INDEX(Bookings!$G$3:$G$202,MATCH($K954,Bookings!$A$3:$A$202,0))),""))</f>
        <v/>
      </c>
    </row>
    <row r="955" spans="1:17" hidden="1" x14ac:dyDescent="0.35">
      <c r="A955" s="81"/>
      <c r="B955" s="81"/>
      <c r="C955" s="21"/>
      <c r="D955" s="56"/>
      <c r="E955" s="14"/>
      <c r="F955" s="14"/>
      <c r="G955" s="14"/>
      <c r="H955" s="83">
        <f t="shared" si="58"/>
        <v>0</v>
      </c>
      <c r="I955" s="80"/>
      <c r="J955" s="80"/>
      <c r="K955" s="7" t="str">
        <f>IF($B955="","",IFERROR(INDEX(Connaissements!$B$3:$B$202,MATCH($B955,Connaissements!$A$3:$A$202,0)),""))</f>
        <v/>
      </c>
      <c r="L955" s="7" t="str">
        <f>IF($B955="","",IFERROR(INDEX(Connaissements!$G$3:$G$202,MATCH($B955,Connaissements!$A$3:$A$202,0)),""))</f>
        <v/>
      </c>
      <c r="M955" s="7" t="str">
        <f t="shared" si="55"/>
        <v/>
      </c>
      <c r="N955" s="7" t="str">
        <f t="shared" ca="1" si="56"/>
        <v/>
      </c>
      <c r="O955" s="13"/>
      <c r="P955" s="29" t="str">
        <f t="shared" ca="1" si="57"/>
        <v/>
      </c>
      <c r="Q955" s="30" t="str">
        <f>IF($K955="","",IFERROR(IF(INDEX(Bookings!$G$3:$G$202,MATCH($K955,Bookings!$A$3:$A$202,0))="","",INDEX(Bookings!$G$3:$G$202,MATCH($K955,Bookings!$A$3:$A$202,0))),""))</f>
        <v/>
      </c>
    </row>
    <row r="956" spans="1:17" hidden="1" x14ac:dyDescent="0.35">
      <c r="A956" s="81"/>
      <c r="B956" s="81"/>
      <c r="C956" s="21"/>
      <c r="D956" s="56"/>
      <c r="E956" s="14"/>
      <c r="F956" s="14"/>
      <c r="G956" s="14"/>
      <c r="H956" s="83">
        <f t="shared" si="58"/>
        <v>0</v>
      </c>
      <c r="I956" s="80"/>
      <c r="J956" s="80"/>
      <c r="K956" s="7" t="str">
        <f>IF($B956="","",IFERROR(INDEX(Connaissements!$B$3:$B$202,MATCH($B956,Connaissements!$A$3:$A$202,0)),""))</f>
        <v/>
      </c>
      <c r="L956" s="7" t="str">
        <f>IF($B956="","",IFERROR(INDEX(Connaissements!$G$3:$G$202,MATCH($B956,Connaissements!$A$3:$A$202,0)),""))</f>
        <v/>
      </c>
      <c r="M956" s="7" t="str">
        <f t="shared" si="55"/>
        <v/>
      </c>
      <c r="N956" s="7" t="str">
        <f t="shared" ca="1" si="56"/>
        <v/>
      </c>
      <c r="O956" s="13"/>
      <c r="P956" s="29" t="str">
        <f t="shared" ca="1" si="57"/>
        <v/>
      </c>
      <c r="Q956" s="30" t="str">
        <f>IF($K956="","",IFERROR(IF(INDEX(Bookings!$G$3:$G$202,MATCH($K956,Bookings!$A$3:$A$202,0))="","",INDEX(Bookings!$G$3:$G$202,MATCH($K956,Bookings!$A$3:$A$202,0))),""))</f>
        <v/>
      </c>
    </row>
    <row r="957" spans="1:17" hidden="1" x14ac:dyDescent="0.35">
      <c r="A957" s="81"/>
      <c r="B957" s="81"/>
      <c r="C957" s="21"/>
      <c r="D957" s="56"/>
      <c r="E957" s="14"/>
      <c r="F957" s="14"/>
      <c r="G957" s="14"/>
      <c r="H957" s="83">
        <f t="shared" si="58"/>
        <v>0</v>
      </c>
      <c r="I957" s="80"/>
      <c r="J957" s="80"/>
      <c r="K957" s="7" t="str">
        <f>IF($B957="","",IFERROR(INDEX(Connaissements!$B$3:$B$202,MATCH($B957,Connaissements!$A$3:$A$202,0)),""))</f>
        <v/>
      </c>
      <c r="L957" s="7" t="str">
        <f>IF($B957="","",IFERROR(INDEX(Connaissements!$G$3:$G$202,MATCH($B957,Connaissements!$A$3:$A$202,0)),""))</f>
        <v/>
      </c>
      <c r="M957" s="7" t="str">
        <f t="shared" si="55"/>
        <v/>
      </c>
      <c r="N957" s="7" t="str">
        <f t="shared" ca="1" si="56"/>
        <v/>
      </c>
      <c r="O957" s="13"/>
      <c r="P957" s="29" t="str">
        <f t="shared" ca="1" si="57"/>
        <v/>
      </c>
      <c r="Q957" s="30" t="str">
        <f>IF($K957="","",IFERROR(IF(INDEX(Bookings!$G$3:$G$202,MATCH($K957,Bookings!$A$3:$A$202,0))="","",INDEX(Bookings!$G$3:$G$202,MATCH($K957,Bookings!$A$3:$A$202,0))),""))</f>
        <v/>
      </c>
    </row>
    <row r="958" spans="1:17" hidden="1" x14ac:dyDescent="0.35">
      <c r="A958" s="81"/>
      <c r="B958" s="81"/>
      <c r="C958" s="21"/>
      <c r="D958" s="56"/>
      <c r="E958" s="14"/>
      <c r="F958" s="14"/>
      <c r="G958" s="14"/>
      <c r="H958" s="83">
        <f t="shared" si="58"/>
        <v>0</v>
      </c>
      <c r="I958" s="80"/>
      <c r="J958" s="80"/>
      <c r="K958" s="7" t="str">
        <f>IF($B958="","",IFERROR(INDEX(Connaissements!$B$3:$B$202,MATCH($B958,Connaissements!$A$3:$A$202,0)),""))</f>
        <v/>
      </c>
      <c r="L958" s="7" t="str">
        <f>IF($B958="","",IFERROR(INDEX(Connaissements!$G$3:$G$202,MATCH($B958,Connaissements!$A$3:$A$202,0)),""))</f>
        <v/>
      </c>
      <c r="M958" s="7" t="str">
        <f t="shared" si="55"/>
        <v/>
      </c>
      <c r="N958" s="7" t="str">
        <f t="shared" ca="1" si="56"/>
        <v/>
      </c>
      <c r="O958" s="13"/>
      <c r="P958" s="29" t="str">
        <f t="shared" ca="1" si="57"/>
        <v/>
      </c>
      <c r="Q958" s="30" t="str">
        <f>IF($K958="","",IFERROR(IF(INDEX(Bookings!$G$3:$G$202,MATCH($K958,Bookings!$A$3:$A$202,0))="","",INDEX(Bookings!$G$3:$G$202,MATCH($K958,Bookings!$A$3:$A$202,0))),""))</f>
        <v/>
      </c>
    </row>
    <row r="959" spans="1:17" hidden="1" x14ac:dyDescent="0.35">
      <c r="A959" s="81"/>
      <c r="B959" s="81"/>
      <c r="C959" s="21"/>
      <c r="D959" s="56"/>
      <c r="E959" s="14"/>
      <c r="F959" s="14"/>
      <c r="G959" s="14"/>
      <c r="H959" s="83">
        <f t="shared" si="58"/>
        <v>0</v>
      </c>
      <c r="I959" s="80"/>
      <c r="J959" s="80"/>
      <c r="K959" s="7" t="str">
        <f>IF($B959="","",IFERROR(INDEX(Connaissements!$B$3:$B$202,MATCH($B959,Connaissements!$A$3:$A$202,0)),""))</f>
        <v/>
      </c>
      <c r="L959" s="7" t="str">
        <f>IF($B959="","",IFERROR(INDEX(Connaissements!$G$3:$G$202,MATCH($B959,Connaissements!$A$3:$A$202,0)),""))</f>
        <v/>
      </c>
      <c r="M959" s="7" t="str">
        <f t="shared" si="55"/>
        <v/>
      </c>
      <c r="N959" s="7" t="str">
        <f t="shared" ca="1" si="56"/>
        <v/>
      </c>
      <c r="O959" s="13"/>
      <c r="P959" s="29" t="str">
        <f t="shared" ca="1" si="57"/>
        <v/>
      </c>
      <c r="Q959" s="30" t="str">
        <f>IF($K959="","",IFERROR(IF(INDEX(Bookings!$G$3:$G$202,MATCH($K959,Bookings!$A$3:$A$202,0))="","",INDEX(Bookings!$G$3:$G$202,MATCH($K959,Bookings!$A$3:$A$202,0))),""))</f>
        <v/>
      </c>
    </row>
    <row r="960" spans="1:17" hidden="1" x14ac:dyDescent="0.35">
      <c r="A960" s="81"/>
      <c r="B960" s="81"/>
      <c r="C960" s="21"/>
      <c r="D960" s="56"/>
      <c r="E960" s="14"/>
      <c r="F960" s="14"/>
      <c r="G960" s="14"/>
      <c r="H960" s="83">
        <f t="shared" si="58"/>
        <v>0</v>
      </c>
      <c r="I960" s="80"/>
      <c r="J960" s="80"/>
      <c r="K960" s="7" t="str">
        <f>IF($B960="","",IFERROR(INDEX(Connaissements!$B$3:$B$202,MATCH($B960,Connaissements!$A$3:$A$202,0)),""))</f>
        <v/>
      </c>
      <c r="L960" s="7" t="str">
        <f>IF($B960="","",IFERROR(INDEX(Connaissements!$G$3:$G$202,MATCH($B960,Connaissements!$A$3:$A$202,0)),""))</f>
        <v/>
      </c>
      <c r="M960" s="7" t="str">
        <f t="shared" si="55"/>
        <v/>
      </c>
      <c r="N960" s="7" t="str">
        <f t="shared" ca="1" si="56"/>
        <v/>
      </c>
      <c r="O960" s="13"/>
      <c r="P960" s="29" t="str">
        <f t="shared" ca="1" si="57"/>
        <v/>
      </c>
      <c r="Q960" s="30" t="str">
        <f>IF($K960="","",IFERROR(IF(INDEX(Bookings!$G$3:$G$202,MATCH($K960,Bookings!$A$3:$A$202,0))="","",INDEX(Bookings!$G$3:$G$202,MATCH($K960,Bookings!$A$3:$A$202,0))),""))</f>
        <v/>
      </c>
    </row>
    <row r="961" spans="1:17" hidden="1" x14ac:dyDescent="0.35">
      <c r="A961" s="81"/>
      <c r="B961" s="81"/>
      <c r="C961" s="21"/>
      <c r="D961" s="56"/>
      <c r="E961" s="14"/>
      <c r="F961" s="14"/>
      <c r="G961" s="14"/>
      <c r="H961" s="83">
        <f t="shared" si="58"/>
        <v>0</v>
      </c>
      <c r="I961" s="80"/>
      <c r="J961" s="80"/>
      <c r="K961" s="7" t="str">
        <f>IF($B961="","",IFERROR(INDEX(Connaissements!$B$3:$B$202,MATCH($B961,Connaissements!$A$3:$A$202,0)),""))</f>
        <v/>
      </c>
      <c r="L961" s="7" t="str">
        <f>IF($B961="","",IFERROR(INDEX(Connaissements!$G$3:$G$202,MATCH($B961,Connaissements!$A$3:$A$202,0)),""))</f>
        <v/>
      </c>
      <c r="M961" s="7" t="str">
        <f t="shared" si="55"/>
        <v/>
      </c>
      <c r="N961" s="7" t="str">
        <f t="shared" ca="1" si="56"/>
        <v/>
      </c>
      <c r="O961" s="13"/>
      <c r="P961" s="29" t="str">
        <f t="shared" ca="1" si="57"/>
        <v/>
      </c>
      <c r="Q961" s="30" t="str">
        <f>IF($K961="","",IFERROR(IF(INDEX(Bookings!$G$3:$G$202,MATCH($K961,Bookings!$A$3:$A$202,0))="","",INDEX(Bookings!$G$3:$G$202,MATCH($K961,Bookings!$A$3:$A$202,0))),""))</f>
        <v/>
      </c>
    </row>
    <row r="962" spans="1:17" hidden="1" x14ac:dyDescent="0.35">
      <c r="A962" s="81"/>
      <c r="B962" s="81"/>
      <c r="C962" s="21"/>
      <c r="D962" s="56"/>
      <c r="E962" s="14"/>
      <c r="F962" s="14"/>
      <c r="G962" s="14"/>
      <c r="H962" s="83">
        <f t="shared" si="58"/>
        <v>0</v>
      </c>
      <c r="I962" s="80"/>
      <c r="J962" s="80"/>
      <c r="K962" s="7" t="str">
        <f>IF($B962="","",IFERROR(INDEX(Connaissements!$B$3:$B$202,MATCH($B962,Connaissements!$A$3:$A$202,0)),""))</f>
        <v/>
      </c>
      <c r="L962" s="7" t="str">
        <f>IF($B962="","",IFERROR(INDEX(Connaissements!$G$3:$G$202,MATCH($B962,Connaissements!$A$3:$A$202,0)),""))</f>
        <v/>
      </c>
      <c r="M962" s="7" t="str">
        <f t="shared" si="55"/>
        <v/>
      </c>
      <c r="N962" s="7" t="str">
        <f t="shared" ca="1" si="56"/>
        <v/>
      </c>
      <c r="O962" s="13"/>
      <c r="P962" s="29" t="str">
        <f t="shared" ca="1" si="57"/>
        <v/>
      </c>
      <c r="Q962" s="30" t="str">
        <f>IF($K962="","",IFERROR(IF(INDEX(Bookings!$G$3:$G$202,MATCH($K962,Bookings!$A$3:$A$202,0))="","",INDEX(Bookings!$G$3:$G$202,MATCH($K962,Bookings!$A$3:$A$202,0))),""))</f>
        <v/>
      </c>
    </row>
    <row r="963" spans="1:17" hidden="1" x14ac:dyDescent="0.35">
      <c r="A963" s="81"/>
      <c r="B963" s="81"/>
      <c r="C963" s="21"/>
      <c r="D963" s="56"/>
      <c r="E963" s="14"/>
      <c r="F963" s="14"/>
      <c r="G963" s="14"/>
      <c r="H963" s="83">
        <f t="shared" si="58"/>
        <v>0</v>
      </c>
      <c r="I963" s="80"/>
      <c r="J963" s="80"/>
      <c r="K963" s="7" t="str">
        <f>IF($B963="","",IFERROR(INDEX(Connaissements!$B$3:$B$202,MATCH($B963,Connaissements!$A$3:$A$202,0)),""))</f>
        <v/>
      </c>
      <c r="L963" s="7" t="str">
        <f>IF($B963="","",IFERROR(INDEX(Connaissements!$G$3:$G$202,MATCH($B963,Connaissements!$A$3:$A$202,0)),""))</f>
        <v/>
      </c>
      <c r="M963" s="7" t="str">
        <f t="shared" ref="M963:M1002" si="59">IF($A963="","",IF($G963&lt;&gt;"","Embarqué",IF($F963&lt;&gt;"","Gate-In fait",IF($E963&lt;&gt;"","Empoté","À empoter"))))</f>
        <v/>
      </c>
      <c r="N963" s="7" t="str">
        <f t="shared" ref="N963:N1002" ca="1" si="60">IF(OR($A963="",$G963&lt;&gt;""),"",IF(AND($Q963&lt;&gt;"",N($Q963)&lt;TODAY()),"RETARD : ETD dépassé, pas embarqué",IF(AND($Q963&lt;&gt;"",N($Q963)-TODAY()&lt;=P_AlerteETD,$F963=""),"Gate-In à faire (ETD proche)",IF(AND($E963&lt;&gt;"",$H963=""),"Poids net à saisir",""))))</f>
        <v/>
      </c>
      <c r="O963" s="13"/>
      <c r="P963" s="29" t="str">
        <f t="shared" ref="P963:P1002" ca="1" si="61">IF($N963&lt;&gt;"",1,"")</f>
        <v/>
      </c>
      <c r="Q963" s="30" t="str">
        <f>IF($K963="","",IFERROR(IF(INDEX(Bookings!$G$3:$G$202,MATCH($K963,Bookings!$A$3:$A$202,0))="","",INDEX(Bookings!$G$3:$G$202,MATCH($K963,Bookings!$A$3:$A$202,0))),""))</f>
        <v/>
      </c>
    </row>
    <row r="964" spans="1:17" hidden="1" x14ac:dyDescent="0.35">
      <c r="A964" s="81"/>
      <c r="B964" s="81"/>
      <c r="C964" s="21"/>
      <c r="D964" s="56"/>
      <c r="E964" s="14"/>
      <c r="F964" s="14"/>
      <c r="G964" s="14"/>
      <c r="H964" s="83">
        <f t="shared" ref="H964:H1027" si="62">J964-I964</f>
        <v>0</v>
      </c>
      <c r="I964" s="80"/>
      <c r="J964" s="80"/>
      <c r="K964" s="7" t="str">
        <f>IF($B964="","",IFERROR(INDEX(Connaissements!$B$3:$B$202,MATCH($B964,Connaissements!$A$3:$A$202,0)),""))</f>
        <v/>
      </c>
      <c r="L964" s="7" t="str">
        <f>IF($B964="","",IFERROR(INDEX(Connaissements!$G$3:$G$202,MATCH($B964,Connaissements!$A$3:$A$202,0)),""))</f>
        <v/>
      </c>
      <c r="M964" s="7" t="str">
        <f t="shared" si="59"/>
        <v/>
      </c>
      <c r="N964" s="7" t="str">
        <f t="shared" ca="1" si="60"/>
        <v/>
      </c>
      <c r="O964" s="13"/>
      <c r="P964" s="29" t="str">
        <f t="shared" ca="1" si="61"/>
        <v/>
      </c>
      <c r="Q964" s="30" t="str">
        <f>IF($K964="","",IFERROR(IF(INDEX(Bookings!$G$3:$G$202,MATCH($K964,Bookings!$A$3:$A$202,0))="","",INDEX(Bookings!$G$3:$G$202,MATCH($K964,Bookings!$A$3:$A$202,0))),""))</f>
        <v/>
      </c>
    </row>
    <row r="965" spans="1:17" hidden="1" x14ac:dyDescent="0.35">
      <c r="A965" s="81"/>
      <c r="B965" s="81"/>
      <c r="C965" s="21"/>
      <c r="D965" s="56"/>
      <c r="E965" s="14"/>
      <c r="F965" s="14"/>
      <c r="G965" s="14"/>
      <c r="H965" s="83">
        <f t="shared" si="62"/>
        <v>0</v>
      </c>
      <c r="I965" s="80"/>
      <c r="J965" s="80"/>
      <c r="K965" s="7" t="str">
        <f>IF($B965="","",IFERROR(INDEX(Connaissements!$B$3:$B$202,MATCH($B965,Connaissements!$A$3:$A$202,0)),""))</f>
        <v/>
      </c>
      <c r="L965" s="7" t="str">
        <f>IF($B965="","",IFERROR(INDEX(Connaissements!$G$3:$G$202,MATCH($B965,Connaissements!$A$3:$A$202,0)),""))</f>
        <v/>
      </c>
      <c r="M965" s="7" t="str">
        <f t="shared" si="59"/>
        <v/>
      </c>
      <c r="N965" s="7" t="str">
        <f t="shared" ca="1" si="60"/>
        <v/>
      </c>
      <c r="O965" s="13"/>
      <c r="P965" s="29" t="str">
        <f t="shared" ca="1" si="61"/>
        <v/>
      </c>
      <c r="Q965" s="30" t="str">
        <f>IF($K965="","",IFERROR(IF(INDEX(Bookings!$G$3:$G$202,MATCH($K965,Bookings!$A$3:$A$202,0))="","",INDEX(Bookings!$G$3:$G$202,MATCH($K965,Bookings!$A$3:$A$202,0))),""))</f>
        <v/>
      </c>
    </row>
    <row r="966" spans="1:17" hidden="1" x14ac:dyDescent="0.35">
      <c r="A966" s="81"/>
      <c r="B966" s="81"/>
      <c r="C966" s="21"/>
      <c r="D966" s="56"/>
      <c r="E966" s="14"/>
      <c r="F966" s="14"/>
      <c r="G966" s="14"/>
      <c r="H966" s="83">
        <f t="shared" si="62"/>
        <v>0</v>
      </c>
      <c r="I966" s="80"/>
      <c r="J966" s="80"/>
      <c r="K966" s="7" t="str">
        <f>IF($B966="","",IFERROR(INDEX(Connaissements!$B$3:$B$202,MATCH($B966,Connaissements!$A$3:$A$202,0)),""))</f>
        <v/>
      </c>
      <c r="L966" s="7" t="str">
        <f>IF($B966="","",IFERROR(INDEX(Connaissements!$G$3:$G$202,MATCH($B966,Connaissements!$A$3:$A$202,0)),""))</f>
        <v/>
      </c>
      <c r="M966" s="7" t="str">
        <f t="shared" si="59"/>
        <v/>
      </c>
      <c r="N966" s="7" t="str">
        <f t="shared" ca="1" si="60"/>
        <v/>
      </c>
      <c r="O966" s="13"/>
      <c r="P966" s="29" t="str">
        <f t="shared" ca="1" si="61"/>
        <v/>
      </c>
      <c r="Q966" s="30" t="str">
        <f>IF($K966="","",IFERROR(IF(INDEX(Bookings!$G$3:$G$202,MATCH($K966,Bookings!$A$3:$A$202,0))="","",INDEX(Bookings!$G$3:$G$202,MATCH($K966,Bookings!$A$3:$A$202,0))),""))</f>
        <v/>
      </c>
    </row>
    <row r="967" spans="1:17" hidden="1" x14ac:dyDescent="0.35">
      <c r="A967" s="81"/>
      <c r="B967" s="81"/>
      <c r="C967" s="21"/>
      <c r="D967" s="56"/>
      <c r="E967" s="14"/>
      <c r="F967" s="14"/>
      <c r="G967" s="14"/>
      <c r="H967" s="83">
        <f t="shared" si="62"/>
        <v>0</v>
      </c>
      <c r="I967" s="80"/>
      <c r="J967" s="80"/>
      <c r="K967" s="7" t="str">
        <f>IF($B967="","",IFERROR(INDEX(Connaissements!$B$3:$B$202,MATCH($B967,Connaissements!$A$3:$A$202,0)),""))</f>
        <v/>
      </c>
      <c r="L967" s="7" t="str">
        <f>IF($B967="","",IFERROR(INDEX(Connaissements!$G$3:$G$202,MATCH($B967,Connaissements!$A$3:$A$202,0)),""))</f>
        <v/>
      </c>
      <c r="M967" s="7" t="str">
        <f t="shared" si="59"/>
        <v/>
      </c>
      <c r="N967" s="7" t="str">
        <f t="shared" ca="1" si="60"/>
        <v/>
      </c>
      <c r="O967" s="13"/>
      <c r="P967" s="29" t="str">
        <f t="shared" ca="1" si="61"/>
        <v/>
      </c>
      <c r="Q967" s="30" t="str">
        <f>IF($K967="","",IFERROR(IF(INDEX(Bookings!$G$3:$G$202,MATCH($K967,Bookings!$A$3:$A$202,0))="","",INDEX(Bookings!$G$3:$G$202,MATCH($K967,Bookings!$A$3:$A$202,0))),""))</f>
        <v/>
      </c>
    </row>
    <row r="968" spans="1:17" hidden="1" x14ac:dyDescent="0.35">
      <c r="A968" s="81"/>
      <c r="B968" s="81"/>
      <c r="C968" s="21"/>
      <c r="D968" s="56"/>
      <c r="E968" s="14"/>
      <c r="F968" s="14"/>
      <c r="G968" s="14"/>
      <c r="H968" s="83">
        <f t="shared" si="62"/>
        <v>0</v>
      </c>
      <c r="I968" s="80"/>
      <c r="J968" s="80"/>
      <c r="K968" s="7" t="str">
        <f>IF($B968="","",IFERROR(INDEX(Connaissements!$B$3:$B$202,MATCH($B968,Connaissements!$A$3:$A$202,0)),""))</f>
        <v/>
      </c>
      <c r="L968" s="7" t="str">
        <f>IF($B968="","",IFERROR(INDEX(Connaissements!$G$3:$G$202,MATCH($B968,Connaissements!$A$3:$A$202,0)),""))</f>
        <v/>
      </c>
      <c r="M968" s="7" t="str">
        <f t="shared" si="59"/>
        <v/>
      </c>
      <c r="N968" s="7" t="str">
        <f t="shared" ca="1" si="60"/>
        <v/>
      </c>
      <c r="O968" s="13"/>
      <c r="P968" s="29" t="str">
        <f t="shared" ca="1" si="61"/>
        <v/>
      </c>
      <c r="Q968" s="30" t="str">
        <f>IF($K968="","",IFERROR(IF(INDEX(Bookings!$G$3:$G$202,MATCH($K968,Bookings!$A$3:$A$202,0))="","",INDEX(Bookings!$G$3:$G$202,MATCH($K968,Bookings!$A$3:$A$202,0))),""))</f>
        <v/>
      </c>
    </row>
    <row r="969" spans="1:17" hidden="1" x14ac:dyDescent="0.35">
      <c r="A969" s="81"/>
      <c r="B969" s="81"/>
      <c r="C969" s="21"/>
      <c r="D969" s="56"/>
      <c r="E969" s="14"/>
      <c r="F969" s="14"/>
      <c r="G969" s="14"/>
      <c r="H969" s="83">
        <f t="shared" si="62"/>
        <v>0</v>
      </c>
      <c r="I969" s="80"/>
      <c r="J969" s="80"/>
      <c r="K969" s="7" t="str">
        <f>IF($B969="","",IFERROR(INDEX(Connaissements!$B$3:$B$202,MATCH($B969,Connaissements!$A$3:$A$202,0)),""))</f>
        <v/>
      </c>
      <c r="L969" s="7" t="str">
        <f>IF($B969="","",IFERROR(INDEX(Connaissements!$G$3:$G$202,MATCH($B969,Connaissements!$A$3:$A$202,0)),""))</f>
        <v/>
      </c>
      <c r="M969" s="7" t="str">
        <f t="shared" si="59"/>
        <v/>
      </c>
      <c r="N969" s="7" t="str">
        <f t="shared" ca="1" si="60"/>
        <v/>
      </c>
      <c r="O969" s="13"/>
      <c r="P969" s="29" t="str">
        <f t="shared" ca="1" si="61"/>
        <v/>
      </c>
      <c r="Q969" s="30" t="str">
        <f>IF($K969="","",IFERROR(IF(INDEX(Bookings!$G$3:$G$202,MATCH($K969,Bookings!$A$3:$A$202,0))="","",INDEX(Bookings!$G$3:$G$202,MATCH($K969,Bookings!$A$3:$A$202,0))),""))</f>
        <v/>
      </c>
    </row>
    <row r="970" spans="1:17" hidden="1" x14ac:dyDescent="0.35">
      <c r="A970" s="81"/>
      <c r="B970" s="81"/>
      <c r="C970" s="21"/>
      <c r="D970" s="56"/>
      <c r="E970" s="14"/>
      <c r="F970" s="14"/>
      <c r="G970" s="14"/>
      <c r="H970" s="83">
        <f t="shared" si="62"/>
        <v>0</v>
      </c>
      <c r="I970" s="80"/>
      <c r="J970" s="80"/>
      <c r="K970" s="7" t="str">
        <f>IF($B970="","",IFERROR(INDEX(Connaissements!$B$3:$B$202,MATCH($B970,Connaissements!$A$3:$A$202,0)),""))</f>
        <v/>
      </c>
      <c r="L970" s="7" t="str">
        <f>IF($B970="","",IFERROR(INDEX(Connaissements!$G$3:$G$202,MATCH($B970,Connaissements!$A$3:$A$202,0)),""))</f>
        <v/>
      </c>
      <c r="M970" s="7" t="str">
        <f t="shared" si="59"/>
        <v/>
      </c>
      <c r="N970" s="7" t="str">
        <f t="shared" ca="1" si="60"/>
        <v/>
      </c>
      <c r="O970" s="13"/>
      <c r="P970" s="29" t="str">
        <f t="shared" ca="1" si="61"/>
        <v/>
      </c>
      <c r="Q970" s="30" t="str">
        <f>IF($K970="","",IFERROR(IF(INDEX(Bookings!$G$3:$G$202,MATCH($K970,Bookings!$A$3:$A$202,0))="","",INDEX(Bookings!$G$3:$G$202,MATCH($K970,Bookings!$A$3:$A$202,0))),""))</f>
        <v/>
      </c>
    </row>
    <row r="971" spans="1:17" hidden="1" x14ac:dyDescent="0.35">
      <c r="A971" s="81"/>
      <c r="B971" s="81"/>
      <c r="C971" s="21"/>
      <c r="D971" s="56"/>
      <c r="E971" s="14"/>
      <c r="F971" s="14"/>
      <c r="G971" s="14"/>
      <c r="H971" s="83">
        <f t="shared" si="62"/>
        <v>0</v>
      </c>
      <c r="I971" s="80"/>
      <c r="J971" s="80"/>
      <c r="K971" s="7" t="str">
        <f>IF($B971="","",IFERROR(INDEX(Connaissements!$B$3:$B$202,MATCH($B971,Connaissements!$A$3:$A$202,0)),""))</f>
        <v/>
      </c>
      <c r="L971" s="7" t="str">
        <f>IF($B971="","",IFERROR(INDEX(Connaissements!$G$3:$G$202,MATCH($B971,Connaissements!$A$3:$A$202,0)),""))</f>
        <v/>
      </c>
      <c r="M971" s="7" t="str">
        <f t="shared" si="59"/>
        <v/>
      </c>
      <c r="N971" s="7" t="str">
        <f t="shared" ca="1" si="60"/>
        <v/>
      </c>
      <c r="O971" s="13"/>
      <c r="P971" s="29" t="str">
        <f t="shared" ca="1" si="61"/>
        <v/>
      </c>
      <c r="Q971" s="30" t="str">
        <f>IF($K971="","",IFERROR(IF(INDEX(Bookings!$G$3:$G$202,MATCH($K971,Bookings!$A$3:$A$202,0))="","",INDEX(Bookings!$G$3:$G$202,MATCH($K971,Bookings!$A$3:$A$202,0))),""))</f>
        <v/>
      </c>
    </row>
    <row r="972" spans="1:17" hidden="1" x14ac:dyDescent="0.35">
      <c r="A972" s="81"/>
      <c r="B972" s="81"/>
      <c r="C972" s="21"/>
      <c r="D972" s="56"/>
      <c r="E972" s="14"/>
      <c r="F972" s="14"/>
      <c r="G972" s="14"/>
      <c r="H972" s="83">
        <f t="shared" si="62"/>
        <v>0</v>
      </c>
      <c r="I972" s="80"/>
      <c r="J972" s="80"/>
      <c r="K972" s="7" t="str">
        <f>IF($B972="","",IFERROR(INDEX(Connaissements!$B$3:$B$202,MATCH($B972,Connaissements!$A$3:$A$202,0)),""))</f>
        <v/>
      </c>
      <c r="L972" s="7" t="str">
        <f>IF($B972="","",IFERROR(INDEX(Connaissements!$G$3:$G$202,MATCH($B972,Connaissements!$A$3:$A$202,0)),""))</f>
        <v/>
      </c>
      <c r="M972" s="7" t="str">
        <f t="shared" si="59"/>
        <v/>
      </c>
      <c r="N972" s="7" t="str">
        <f t="shared" ca="1" si="60"/>
        <v/>
      </c>
      <c r="O972" s="13"/>
      <c r="P972" s="29" t="str">
        <f t="shared" ca="1" si="61"/>
        <v/>
      </c>
      <c r="Q972" s="30" t="str">
        <f>IF($K972="","",IFERROR(IF(INDEX(Bookings!$G$3:$G$202,MATCH($K972,Bookings!$A$3:$A$202,0))="","",INDEX(Bookings!$G$3:$G$202,MATCH($K972,Bookings!$A$3:$A$202,0))),""))</f>
        <v/>
      </c>
    </row>
    <row r="973" spans="1:17" hidden="1" x14ac:dyDescent="0.35">
      <c r="A973" s="81"/>
      <c r="B973" s="81"/>
      <c r="C973" s="21"/>
      <c r="D973" s="56"/>
      <c r="E973" s="14"/>
      <c r="F973" s="14"/>
      <c r="G973" s="14"/>
      <c r="H973" s="83">
        <f t="shared" si="62"/>
        <v>0</v>
      </c>
      <c r="I973" s="80"/>
      <c r="J973" s="80"/>
      <c r="K973" s="7" t="str">
        <f>IF($B973="","",IFERROR(INDEX(Connaissements!$B$3:$B$202,MATCH($B973,Connaissements!$A$3:$A$202,0)),""))</f>
        <v/>
      </c>
      <c r="L973" s="7" t="str">
        <f>IF($B973="","",IFERROR(INDEX(Connaissements!$G$3:$G$202,MATCH($B973,Connaissements!$A$3:$A$202,0)),""))</f>
        <v/>
      </c>
      <c r="M973" s="7" t="str">
        <f t="shared" si="59"/>
        <v/>
      </c>
      <c r="N973" s="7" t="str">
        <f t="shared" ca="1" si="60"/>
        <v/>
      </c>
      <c r="O973" s="13"/>
      <c r="P973" s="29" t="str">
        <f t="shared" ca="1" si="61"/>
        <v/>
      </c>
      <c r="Q973" s="30" t="str">
        <f>IF($K973="","",IFERROR(IF(INDEX(Bookings!$G$3:$G$202,MATCH($K973,Bookings!$A$3:$A$202,0))="","",INDEX(Bookings!$G$3:$G$202,MATCH($K973,Bookings!$A$3:$A$202,0))),""))</f>
        <v/>
      </c>
    </row>
    <row r="974" spans="1:17" hidden="1" x14ac:dyDescent="0.35">
      <c r="A974" s="81"/>
      <c r="B974" s="81"/>
      <c r="C974" s="21"/>
      <c r="D974" s="56"/>
      <c r="E974" s="14"/>
      <c r="F974" s="14"/>
      <c r="G974" s="14"/>
      <c r="H974" s="83">
        <f t="shared" si="62"/>
        <v>0</v>
      </c>
      <c r="I974" s="80"/>
      <c r="J974" s="80"/>
      <c r="K974" s="7" t="str">
        <f>IF($B974="","",IFERROR(INDEX(Connaissements!$B$3:$B$202,MATCH($B974,Connaissements!$A$3:$A$202,0)),""))</f>
        <v/>
      </c>
      <c r="L974" s="7" t="str">
        <f>IF($B974="","",IFERROR(INDEX(Connaissements!$G$3:$G$202,MATCH($B974,Connaissements!$A$3:$A$202,0)),""))</f>
        <v/>
      </c>
      <c r="M974" s="7" t="str">
        <f t="shared" si="59"/>
        <v/>
      </c>
      <c r="N974" s="7" t="str">
        <f t="shared" ca="1" si="60"/>
        <v/>
      </c>
      <c r="O974" s="13"/>
      <c r="P974" s="29" t="str">
        <f t="shared" ca="1" si="61"/>
        <v/>
      </c>
      <c r="Q974" s="30" t="str">
        <f>IF($K974="","",IFERROR(IF(INDEX(Bookings!$G$3:$G$202,MATCH($K974,Bookings!$A$3:$A$202,0))="","",INDEX(Bookings!$G$3:$G$202,MATCH($K974,Bookings!$A$3:$A$202,0))),""))</f>
        <v/>
      </c>
    </row>
    <row r="975" spans="1:17" hidden="1" x14ac:dyDescent="0.35">
      <c r="A975" s="81"/>
      <c r="B975" s="81"/>
      <c r="C975" s="21"/>
      <c r="D975" s="56"/>
      <c r="E975" s="14"/>
      <c r="F975" s="14"/>
      <c r="G975" s="14"/>
      <c r="H975" s="83">
        <f t="shared" si="62"/>
        <v>0</v>
      </c>
      <c r="I975" s="80"/>
      <c r="J975" s="80"/>
      <c r="K975" s="7" t="str">
        <f>IF($B975="","",IFERROR(INDEX(Connaissements!$B$3:$B$202,MATCH($B975,Connaissements!$A$3:$A$202,0)),""))</f>
        <v/>
      </c>
      <c r="L975" s="7" t="str">
        <f>IF($B975="","",IFERROR(INDEX(Connaissements!$G$3:$G$202,MATCH($B975,Connaissements!$A$3:$A$202,0)),""))</f>
        <v/>
      </c>
      <c r="M975" s="7" t="str">
        <f t="shared" si="59"/>
        <v/>
      </c>
      <c r="N975" s="7" t="str">
        <f t="shared" ca="1" si="60"/>
        <v/>
      </c>
      <c r="O975" s="13"/>
      <c r="P975" s="29" t="str">
        <f t="shared" ca="1" si="61"/>
        <v/>
      </c>
      <c r="Q975" s="30" t="str">
        <f>IF($K975="","",IFERROR(IF(INDEX(Bookings!$G$3:$G$202,MATCH($K975,Bookings!$A$3:$A$202,0))="","",INDEX(Bookings!$G$3:$G$202,MATCH($K975,Bookings!$A$3:$A$202,0))),""))</f>
        <v/>
      </c>
    </row>
    <row r="976" spans="1:17" hidden="1" x14ac:dyDescent="0.35">
      <c r="A976" s="81"/>
      <c r="B976" s="81"/>
      <c r="C976" s="21"/>
      <c r="D976" s="56"/>
      <c r="E976" s="14"/>
      <c r="F976" s="14"/>
      <c r="G976" s="14"/>
      <c r="H976" s="83">
        <f t="shared" si="62"/>
        <v>0</v>
      </c>
      <c r="I976" s="80"/>
      <c r="J976" s="80"/>
      <c r="K976" s="7" t="str">
        <f>IF($B976="","",IFERROR(INDEX(Connaissements!$B$3:$B$202,MATCH($B976,Connaissements!$A$3:$A$202,0)),""))</f>
        <v/>
      </c>
      <c r="L976" s="7" t="str">
        <f>IF($B976="","",IFERROR(INDEX(Connaissements!$G$3:$G$202,MATCH($B976,Connaissements!$A$3:$A$202,0)),""))</f>
        <v/>
      </c>
      <c r="M976" s="7" t="str">
        <f t="shared" si="59"/>
        <v/>
      </c>
      <c r="N976" s="7" t="str">
        <f t="shared" ca="1" si="60"/>
        <v/>
      </c>
      <c r="O976" s="13"/>
      <c r="P976" s="29" t="str">
        <f t="shared" ca="1" si="61"/>
        <v/>
      </c>
      <c r="Q976" s="30" t="str">
        <f>IF($K976="","",IFERROR(IF(INDEX(Bookings!$G$3:$G$202,MATCH($K976,Bookings!$A$3:$A$202,0))="","",INDEX(Bookings!$G$3:$G$202,MATCH($K976,Bookings!$A$3:$A$202,0))),""))</f>
        <v/>
      </c>
    </row>
    <row r="977" spans="1:17" hidden="1" x14ac:dyDescent="0.35">
      <c r="A977" s="81"/>
      <c r="B977" s="81"/>
      <c r="C977" s="21"/>
      <c r="D977" s="56"/>
      <c r="E977" s="14"/>
      <c r="F977" s="14"/>
      <c r="G977" s="14"/>
      <c r="H977" s="83">
        <f t="shared" si="62"/>
        <v>0</v>
      </c>
      <c r="I977" s="80"/>
      <c r="J977" s="80"/>
      <c r="K977" s="7" t="str">
        <f>IF($B977="","",IFERROR(INDEX(Connaissements!$B$3:$B$202,MATCH($B977,Connaissements!$A$3:$A$202,0)),""))</f>
        <v/>
      </c>
      <c r="L977" s="7" t="str">
        <f>IF($B977="","",IFERROR(INDEX(Connaissements!$G$3:$G$202,MATCH($B977,Connaissements!$A$3:$A$202,0)),""))</f>
        <v/>
      </c>
      <c r="M977" s="7" t="str">
        <f t="shared" si="59"/>
        <v/>
      </c>
      <c r="N977" s="7" t="str">
        <f t="shared" ca="1" si="60"/>
        <v/>
      </c>
      <c r="O977" s="13"/>
      <c r="P977" s="29" t="str">
        <f t="shared" ca="1" si="61"/>
        <v/>
      </c>
      <c r="Q977" s="30" t="str">
        <f>IF($K977="","",IFERROR(IF(INDEX(Bookings!$G$3:$G$202,MATCH($K977,Bookings!$A$3:$A$202,0))="","",INDEX(Bookings!$G$3:$G$202,MATCH($K977,Bookings!$A$3:$A$202,0))),""))</f>
        <v/>
      </c>
    </row>
    <row r="978" spans="1:17" hidden="1" x14ac:dyDescent="0.35">
      <c r="A978" s="81"/>
      <c r="B978" s="81"/>
      <c r="C978" s="21"/>
      <c r="D978" s="56"/>
      <c r="E978" s="14"/>
      <c r="F978" s="14"/>
      <c r="G978" s="14"/>
      <c r="H978" s="83">
        <f t="shared" si="62"/>
        <v>0</v>
      </c>
      <c r="I978" s="80"/>
      <c r="J978" s="80"/>
      <c r="K978" s="7" t="str">
        <f>IF($B978="","",IFERROR(INDEX(Connaissements!$B$3:$B$202,MATCH($B978,Connaissements!$A$3:$A$202,0)),""))</f>
        <v/>
      </c>
      <c r="L978" s="7" t="str">
        <f>IF($B978="","",IFERROR(INDEX(Connaissements!$G$3:$G$202,MATCH($B978,Connaissements!$A$3:$A$202,0)),""))</f>
        <v/>
      </c>
      <c r="M978" s="7" t="str">
        <f t="shared" si="59"/>
        <v/>
      </c>
      <c r="N978" s="7" t="str">
        <f t="shared" ca="1" si="60"/>
        <v/>
      </c>
      <c r="O978" s="13"/>
      <c r="P978" s="29" t="str">
        <f t="shared" ca="1" si="61"/>
        <v/>
      </c>
      <c r="Q978" s="30" t="str">
        <f>IF($K978="","",IFERROR(IF(INDEX(Bookings!$G$3:$G$202,MATCH($K978,Bookings!$A$3:$A$202,0))="","",INDEX(Bookings!$G$3:$G$202,MATCH($K978,Bookings!$A$3:$A$202,0))),""))</f>
        <v/>
      </c>
    </row>
    <row r="979" spans="1:17" hidden="1" x14ac:dyDescent="0.35">
      <c r="A979" s="81"/>
      <c r="B979" s="81"/>
      <c r="C979" s="21"/>
      <c r="D979" s="56"/>
      <c r="E979" s="14"/>
      <c r="F979" s="14"/>
      <c r="G979" s="14"/>
      <c r="H979" s="83">
        <f t="shared" si="62"/>
        <v>0</v>
      </c>
      <c r="I979" s="80"/>
      <c r="J979" s="80"/>
      <c r="K979" s="7" t="str">
        <f>IF($B979="","",IFERROR(INDEX(Connaissements!$B$3:$B$202,MATCH($B979,Connaissements!$A$3:$A$202,0)),""))</f>
        <v/>
      </c>
      <c r="L979" s="7" t="str">
        <f>IF($B979="","",IFERROR(INDEX(Connaissements!$G$3:$G$202,MATCH($B979,Connaissements!$A$3:$A$202,0)),""))</f>
        <v/>
      </c>
      <c r="M979" s="7" t="str">
        <f t="shared" si="59"/>
        <v/>
      </c>
      <c r="N979" s="7" t="str">
        <f t="shared" ca="1" si="60"/>
        <v/>
      </c>
      <c r="O979" s="13"/>
      <c r="P979" s="29" t="str">
        <f t="shared" ca="1" si="61"/>
        <v/>
      </c>
      <c r="Q979" s="30" t="str">
        <f>IF($K979="","",IFERROR(IF(INDEX(Bookings!$G$3:$G$202,MATCH($K979,Bookings!$A$3:$A$202,0))="","",INDEX(Bookings!$G$3:$G$202,MATCH($K979,Bookings!$A$3:$A$202,0))),""))</f>
        <v/>
      </c>
    </row>
    <row r="980" spans="1:17" hidden="1" x14ac:dyDescent="0.35">
      <c r="A980" s="81"/>
      <c r="B980" s="81"/>
      <c r="C980" s="21"/>
      <c r="D980" s="56"/>
      <c r="E980" s="14"/>
      <c r="F980" s="14"/>
      <c r="G980" s="14"/>
      <c r="H980" s="83">
        <f t="shared" si="62"/>
        <v>0</v>
      </c>
      <c r="I980" s="80"/>
      <c r="J980" s="80"/>
      <c r="K980" s="7" t="str">
        <f>IF($B980="","",IFERROR(INDEX(Connaissements!$B$3:$B$202,MATCH($B980,Connaissements!$A$3:$A$202,0)),""))</f>
        <v/>
      </c>
      <c r="L980" s="7" t="str">
        <f>IF($B980="","",IFERROR(INDEX(Connaissements!$G$3:$G$202,MATCH($B980,Connaissements!$A$3:$A$202,0)),""))</f>
        <v/>
      </c>
      <c r="M980" s="7" t="str">
        <f t="shared" si="59"/>
        <v/>
      </c>
      <c r="N980" s="7" t="str">
        <f t="shared" ca="1" si="60"/>
        <v/>
      </c>
      <c r="O980" s="13"/>
      <c r="P980" s="29" t="str">
        <f t="shared" ca="1" si="61"/>
        <v/>
      </c>
      <c r="Q980" s="30" t="str">
        <f>IF($K980="","",IFERROR(IF(INDEX(Bookings!$G$3:$G$202,MATCH($K980,Bookings!$A$3:$A$202,0))="","",INDEX(Bookings!$G$3:$G$202,MATCH($K980,Bookings!$A$3:$A$202,0))),""))</f>
        <v/>
      </c>
    </row>
    <row r="981" spans="1:17" hidden="1" x14ac:dyDescent="0.35">
      <c r="A981" s="81"/>
      <c r="B981" s="81"/>
      <c r="C981" s="21"/>
      <c r="D981" s="56"/>
      <c r="E981" s="14"/>
      <c r="F981" s="14"/>
      <c r="G981" s="14"/>
      <c r="H981" s="83">
        <f t="shared" si="62"/>
        <v>0</v>
      </c>
      <c r="I981" s="80"/>
      <c r="J981" s="80"/>
      <c r="K981" s="7" t="str">
        <f>IF($B981="","",IFERROR(INDEX(Connaissements!$B$3:$B$202,MATCH($B981,Connaissements!$A$3:$A$202,0)),""))</f>
        <v/>
      </c>
      <c r="L981" s="7" t="str">
        <f>IF($B981="","",IFERROR(INDEX(Connaissements!$G$3:$G$202,MATCH($B981,Connaissements!$A$3:$A$202,0)),""))</f>
        <v/>
      </c>
      <c r="M981" s="7" t="str">
        <f t="shared" si="59"/>
        <v/>
      </c>
      <c r="N981" s="7" t="str">
        <f t="shared" ca="1" si="60"/>
        <v/>
      </c>
      <c r="O981" s="13"/>
      <c r="P981" s="29" t="str">
        <f t="shared" ca="1" si="61"/>
        <v/>
      </c>
      <c r="Q981" s="30" t="str">
        <f>IF($K981="","",IFERROR(IF(INDEX(Bookings!$G$3:$G$202,MATCH($K981,Bookings!$A$3:$A$202,0))="","",INDEX(Bookings!$G$3:$G$202,MATCH($K981,Bookings!$A$3:$A$202,0))),""))</f>
        <v/>
      </c>
    </row>
    <row r="982" spans="1:17" hidden="1" x14ac:dyDescent="0.35">
      <c r="A982" s="81"/>
      <c r="B982" s="81"/>
      <c r="C982" s="21"/>
      <c r="D982" s="56"/>
      <c r="E982" s="14"/>
      <c r="F982" s="14"/>
      <c r="G982" s="14"/>
      <c r="H982" s="83">
        <f t="shared" si="62"/>
        <v>0</v>
      </c>
      <c r="I982" s="80"/>
      <c r="J982" s="80"/>
      <c r="K982" s="7" t="str">
        <f>IF($B982="","",IFERROR(INDEX(Connaissements!$B$3:$B$202,MATCH($B982,Connaissements!$A$3:$A$202,0)),""))</f>
        <v/>
      </c>
      <c r="L982" s="7" t="str">
        <f>IF($B982="","",IFERROR(INDEX(Connaissements!$G$3:$G$202,MATCH($B982,Connaissements!$A$3:$A$202,0)),""))</f>
        <v/>
      </c>
      <c r="M982" s="7" t="str">
        <f t="shared" si="59"/>
        <v/>
      </c>
      <c r="N982" s="7" t="str">
        <f t="shared" ca="1" si="60"/>
        <v/>
      </c>
      <c r="O982" s="13"/>
      <c r="P982" s="29" t="str">
        <f t="shared" ca="1" si="61"/>
        <v/>
      </c>
      <c r="Q982" s="30" t="str">
        <f>IF($K982="","",IFERROR(IF(INDEX(Bookings!$G$3:$G$202,MATCH($K982,Bookings!$A$3:$A$202,0))="","",INDEX(Bookings!$G$3:$G$202,MATCH($K982,Bookings!$A$3:$A$202,0))),""))</f>
        <v/>
      </c>
    </row>
    <row r="983" spans="1:17" hidden="1" x14ac:dyDescent="0.35">
      <c r="A983" s="81"/>
      <c r="B983" s="81"/>
      <c r="C983" s="21"/>
      <c r="D983" s="56"/>
      <c r="E983" s="14"/>
      <c r="F983" s="14"/>
      <c r="G983" s="14"/>
      <c r="H983" s="83">
        <f t="shared" si="62"/>
        <v>0</v>
      </c>
      <c r="I983" s="80"/>
      <c r="J983" s="80"/>
      <c r="K983" s="7" t="str">
        <f>IF($B983="","",IFERROR(INDEX(Connaissements!$B$3:$B$202,MATCH($B983,Connaissements!$A$3:$A$202,0)),""))</f>
        <v/>
      </c>
      <c r="L983" s="7" t="str">
        <f>IF($B983="","",IFERROR(INDEX(Connaissements!$G$3:$G$202,MATCH($B983,Connaissements!$A$3:$A$202,0)),""))</f>
        <v/>
      </c>
      <c r="M983" s="7" t="str">
        <f t="shared" si="59"/>
        <v/>
      </c>
      <c r="N983" s="7" t="str">
        <f t="shared" ca="1" si="60"/>
        <v/>
      </c>
      <c r="O983" s="13"/>
      <c r="P983" s="29" t="str">
        <f t="shared" ca="1" si="61"/>
        <v/>
      </c>
      <c r="Q983" s="30" t="str">
        <f>IF($K983="","",IFERROR(IF(INDEX(Bookings!$G$3:$G$202,MATCH($K983,Bookings!$A$3:$A$202,0))="","",INDEX(Bookings!$G$3:$G$202,MATCH($K983,Bookings!$A$3:$A$202,0))),""))</f>
        <v/>
      </c>
    </row>
    <row r="984" spans="1:17" hidden="1" x14ac:dyDescent="0.35">
      <c r="A984" s="81"/>
      <c r="B984" s="81"/>
      <c r="C984" s="21"/>
      <c r="D984" s="56"/>
      <c r="E984" s="14"/>
      <c r="F984" s="14"/>
      <c r="G984" s="14"/>
      <c r="H984" s="83">
        <f t="shared" si="62"/>
        <v>0</v>
      </c>
      <c r="I984" s="80"/>
      <c r="J984" s="80"/>
      <c r="K984" s="7" t="str">
        <f>IF($B984="","",IFERROR(INDEX(Connaissements!$B$3:$B$202,MATCH($B984,Connaissements!$A$3:$A$202,0)),""))</f>
        <v/>
      </c>
      <c r="L984" s="7" t="str">
        <f>IF($B984="","",IFERROR(INDEX(Connaissements!$G$3:$G$202,MATCH($B984,Connaissements!$A$3:$A$202,0)),""))</f>
        <v/>
      </c>
      <c r="M984" s="7" t="str">
        <f t="shared" si="59"/>
        <v/>
      </c>
      <c r="N984" s="7" t="str">
        <f t="shared" ca="1" si="60"/>
        <v/>
      </c>
      <c r="O984" s="13"/>
      <c r="P984" s="29" t="str">
        <f t="shared" ca="1" si="61"/>
        <v/>
      </c>
      <c r="Q984" s="30" t="str">
        <f>IF($K984="","",IFERROR(IF(INDEX(Bookings!$G$3:$G$202,MATCH($K984,Bookings!$A$3:$A$202,0))="","",INDEX(Bookings!$G$3:$G$202,MATCH($K984,Bookings!$A$3:$A$202,0))),""))</f>
        <v/>
      </c>
    </row>
    <row r="985" spans="1:17" hidden="1" x14ac:dyDescent="0.35">
      <c r="A985" s="81"/>
      <c r="B985" s="81"/>
      <c r="C985" s="21"/>
      <c r="D985" s="56"/>
      <c r="E985" s="14"/>
      <c r="F985" s="14"/>
      <c r="G985" s="14"/>
      <c r="H985" s="83">
        <f t="shared" si="62"/>
        <v>0</v>
      </c>
      <c r="I985" s="80"/>
      <c r="J985" s="80"/>
      <c r="K985" s="7" t="str">
        <f>IF($B985="","",IFERROR(INDEX(Connaissements!$B$3:$B$202,MATCH($B985,Connaissements!$A$3:$A$202,0)),""))</f>
        <v/>
      </c>
      <c r="L985" s="7" t="str">
        <f>IF($B985="","",IFERROR(INDEX(Connaissements!$G$3:$G$202,MATCH($B985,Connaissements!$A$3:$A$202,0)),""))</f>
        <v/>
      </c>
      <c r="M985" s="7" t="str">
        <f t="shared" si="59"/>
        <v/>
      </c>
      <c r="N985" s="7" t="str">
        <f t="shared" ca="1" si="60"/>
        <v/>
      </c>
      <c r="O985" s="13"/>
      <c r="P985" s="29" t="str">
        <f t="shared" ca="1" si="61"/>
        <v/>
      </c>
      <c r="Q985" s="30" t="str">
        <f>IF($K985="","",IFERROR(IF(INDEX(Bookings!$G$3:$G$202,MATCH($K985,Bookings!$A$3:$A$202,0))="","",INDEX(Bookings!$G$3:$G$202,MATCH($K985,Bookings!$A$3:$A$202,0))),""))</f>
        <v/>
      </c>
    </row>
    <row r="986" spans="1:17" hidden="1" x14ac:dyDescent="0.35">
      <c r="A986" s="81"/>
      <c r="B986" s="81"/>
      <c r="C986" s="21"/>
      <c r="D986" s="56"/>
      <c r="E986" s="14"/>
      <c r="F986" s="14"/>
      <c r="G986" s="14"/>
      <c r="H986" s="83">
        <f t="shared" si="62"/>
        <v>0</v>
      </c>
      <c r="I986" s="80"/>
      <c r="J986" s="80"/>
      <c r="K986" s="7" t="str">
        <f>IF($B986="","",IFERROR(INDEX(Connaissements!$B$3:$B$202,MATCH($B986,Connaissements!$A$3:$A$202,0)),""))</f>
        <v/>
      </c>
      <c r="L986" s="7" t="str">
        <f>IF($B986="","",IFERROR(INDEX(Connaissements!$G$3:$G$202,MATCH($B986,Connaissements!$A$3:$A$202,0)),""))</f>
        <v/>
      </c>
      <c r="M986" s="7" t="str">
        <f t="shared" si="59"/>
        <v/>
      </c>
      <c r="N986" s="7" t="str">
        <f t="shared" ca="1" si="60"/>
        <v/>
      </c>
      <c r="O986" s="13"/>
      <c r="P986" s="29" t="str">
        <f t="shared" ca="1" si="61"/>
        <v/>
      </c>
      <c r="Q986" s="30" t="str">
        <f>IF($K986="","",IFERROR(IF(INDEX(Bookings!$G$3:$G$202,MATCH($K986,Bookings!$A$3:$A$202,0))="","",INDEX(Bookings!$G$3:$G$202,MATCH($K986,Bookings!$A$3:$A$202,0))),""))</f>
        <v/>
      </c>
    </row>
    <row r="987" spans="1:17" hidden="1" x14ac:dyDescent="0.35">
      <c r="A987" s="81"/>
      <c r="B987" s="81"/>
      <c r="C987" s="21"/>
      <c r="D987" s="56"/>
      <c r="E987" s="14"/>
      <c r="F987" s="14"/>
      <c r="G987" s="14"/>
      <c r="H987" s="83">
        <f t="shared" si="62"/>
        <v>0</v>
      </c>
      <c r="I987" s="80"/>
      <c r="J987" s="80"/>
      <c r="K987" s="7" t="str">
        <f>IF($B987="","",IFERROR(INDEX(Connaissements!$B$3:$B$202,MATCH($B987,Connaissements!$A$3:$A$202,0)),""))</f>
        <v/>
      </c>
      <c r="L987" s="7" t="str">
        <f>IF($B987="","",IFERROR(INDEX(Connaissements!$G$3:$G$202,MATCH($B987,Connaissements!$A$3:$A$202,0)),""))</f>
        <v/>
      </c>
      <c r="M987" s="7" t="str">
        <f t="shared" si="59"/>
        <v/>
      </c>
      <c r="N987" s="7" t="str">
        <f t="shared" ca="1" si="60"/>
        <v/>
      </c>
      <c r="O987" s="13"/>
      <c r="P987" s="29" t="str">
        <f t="shared" ca="1" si="61"/>
        <v/>
      </c>
      <c r="Q987" s="30" t="str">
        <f>IF($K987="","",IFERROR(IF(INDEX(Bookings!$G$3:$G$202,MATCH($K987,Bookings!$A$3:$A$202,0))="","",INDEX(Bookings!$G$3:$G$202,MATCH($K987,Bookings!$A$3:$A$202,0))),""))</f>
        <v/>
      </c>
    </row>
    <row r="988" spans="1:17" hidden="1" x14ac:dyDescent="0.35">
      <c r="A988" s="81"/>
      <c r="B988" s="81"/>
      <c r="C988" s="21"/>
      <c r="D988" s="56"/>
      <c r="E988" s="14"/>
      <c r="F988" s="14"/>
      <c r="G988" s="14"/>
      <c r="H988" s="83">
        <f t="shared" si="62"/>
        <v>0</v>
      </c>
      <c r="I988" s="80"/>
      <c r="J988" s="80"/>
      <c r="K988" s="7" t="str">
        <f>IF($B988="","",IFERROR(INDEX(Connaissements!$B$3:$B$202,MATCH($B988,Connaissements!$A$3:$A$202,0)),""))</f>
        <v/>
      </c>
      <c r="L988" s="7" t="str">
        <f>IF($B988="","",IFERROR(INDEX(Connaissements!$G$3:$G$202,MATCH($B988,Connaissements!$A$3:$A$202,0)),""))</f>
        <v/>
      </c>
      <c r="M988" s="7" t="str">
        <f t="shared" si="59"/>
        <v/>
      </c>
      <c r="N988" s="7" t="str">
        <f t="shared" ca="1" si="60"/>
        <v/>
      </c>
      <c r="O988" s="13"/>
      <c r="P988" s="29" t="str">
        <f t="shared" ca="1" si="61"/>
        <v/>
      </c>
      <c r="Q988" s="30" t="str">
        <f>IF($K988="","",IFERROR(IF(INDEX(Bookings!$G$3:$G$202,MATCH($K988,Bookings!$A$3:$A$202,0))="","",INDEX(Bookings!$G$3:$G$202,MATCH($K988,Bookings!$A$3:$A$202,0))),""))</f>
        <v/>
      </c>
    </row>
    <row r="989" spans="1:17" hidden="1" x14ac:dyDescent="0.35">
      <c r="A989" s="81"/>
      <c r="B989" s="81"/>
      <c r="C989" s="21"/>
      <c r="D989" s="56"/>
      <c r="E989" s="14"/>
      <c r="F989" s="14"/>
      <c r="G989" s="14"/>
      <c r="H989" s="83">
        <f t="shared" si="62"/>
        <v>0</v>
      </c>
      <c r="I989" s="80"/>
      <c r="J989" s="80"/>
      <c r="K989" s="7" t="str">
        <f>IF($B989="","",IFERROR(INDEX(Connaissements!$B$3:$B$202,MATCH($B989,Connaissements!$A$3:$A$202,0)),""))</f>
        <v/>
      </c>
      <c r="L989" s="7" t="str">
        <f>IF($B989="","",IFERROR(INDEX(Connaissements!$G$3:$G$202,MATCH($B989,Connaissements!$A$3:$A$202,0)),""))</f>
        <v/>
      </c>
      <c r="M989" s="7" t="str">
        <f t="shared" si="59"/>
        <v/>
      </c>
      <c r="N989" s="7" t="str">
        <f t="shared" ca="1" si="60"/>
        <v/>
      </c>
      <c r="O989" s="13"/>
      <c r="P989" s="29" t="str">
        <f t="shared" ca="1" si="61"/>
        <v/>
      </c>
      <c r="Q989" s="30" t="str">
        <f>IF($K989="","",IFERROR(IF(INDEX(Bookings!$G$3:$G$202,MATCH($K989,Bookings!$A$3:$A$202,0))="","",INDEX(Bookings!$G$3:$G$202,MATCH($K989,Bookings!$A$3:$A$202,0))),""))</f>
        <v/>
      </c>
    </row>
    <row r="990" spans="1:17" hidden="1" x14ac:dyDescent="0.35">
      <c r="A990" s="81"/>
      <c r="B990" s="81"/>
      <c r="C990" s="21"/>
      <c r="D990" s="56"/>
      <c r="E990" s="14"/>
      <c r="F990" s="14"/>
      <c r="G990" s="14"/>
      <c r="H990" s="83">
        <f t="shared" si="62"/>
        <v>0</v>
      </c>
      <c r="I990" s="80"/>
      <c r="J990" s="80"/>
      <c r="K990" s="7" t="str">
        <f>IF($B990="","",IFERROR(INDEX(Connaissements!$B$3:$B$202,MATCH($B990,Connaissements!$A$3:$A$202,0)),""))</f>
        <v/>
      </c>
      <c r="L990" s="7" t="str">
        <f>IF($B990="","",IFERROR(INDEX(Connaissements!$G$3:$G$202,MATCH($B990,Connaissements!$A$3:$A$202,0)),""))</f>
        <v/>
      </c>
      <c r="M990" s="7" t="str">
        <f t="shared" si="59"/>
        <v/>
      </c>
      <c r="N990" s="7" t="str">
        <f t="shared" ca="1" si="60"/>
        <v/>
      </c>
      <c r="O990" s="13"/>
      <c r="P990" s="29" t="str">
        <f t="shared" ca="1" si="61"/>
        <v/>
      </c>
      <c r="Q990" s="30" t="str">
        <f>IF($K990="","",IFERROR(IF(INDEX(Bookings!$G$3:$G$202,MATCH($K990,Bookings!$A$3:$A$202,0))="","",INDEX(Bookings!$G$3:$G$202,MATCH($K990,Bookings!$A$3:$A$202,0))),""))</f>
        <v/>
      </c>
    </row>
    <row r="991" spans="1:17" hidden="1" x14ac:dyDescent="0.35">
      <c r="A991" s="81"/>
      <c r="B991" s="81"/>
      <c r="C991" s="21"/>
      <c r="D991" s="56"/>
      <c r="E991" s="14"/>
      <c r="F991" s="14"/>
      <c r="G991" s="14"/>
      <c r="H991" s="83">
        <f t="shared" si="62"/>
        <v>0</v>
      </c>
      <c r="I991" s="80"/>
      <c r="J991" s="80"/>
      <c r="K991" s="7" t="str">
        <f>IF($B991="","",IFERROR(INDEX(Connaissements!$B$3:$B$202,MATCH($B991,Connaissements!$A$3:$A$202,0)),""))</f>
        <v/>
      </c>
      <c r="L991" s="7" t="str">
        <f>IF($B991="","",IFERROR(INDEX(Connaissements!$G$3:$G$202,MATCH($B991,Connaissements!$A$3:$A$202,0)),""))</f>
        <v/>
      </c>
      <c r="M991" s="7" t="str">
        <f t="shared" si="59"/>
        <v/>
      </c>
      <c r="N991" s="7" t="str">
        <f t="shared" ca="1" si="60"/>
        <v/>
      </c>
      <c r="O991" s="13"/>
      <c r="P991" s="29" t="str">
        <f t="shared" ca="1" si="61"/>
        <v/>
      </c>
      <c r="Q991" s="30" t="str">
        <f>IF($K991="","",IFERROR(IF(INDEX(Bookings!$G$3:$G$202,MATCH($K991,Bookings!$A$3:$A$202,0))="","",INDEX(Bookings!$G$3:$G$202,MATCH($K991,Bookings!$A$3:$A$202,0))),""))</f>
        <v/>
      </c>
    </row>
    <row r="992" spans="1:17" hidden="1" x14ac:dyDescent="0.35">
      <c r="A992" s="81"/>
      <c r="B992" s="81"/>
      <c r="C992" s="21"/>
      <c r="D992" s="56"/>
      <c r="E992" s="14"/>
      <c r="F992" s="14"/>
      <c r="G992" s="14"/>
      <c r="H992" s="83">
        <f t="shared" si="62"/>
        <v>0</v>
      </c>
      <c r="I992" s="80"/>
      <c r="J992" s="80"/>
      <c r="K992" s="7" t="str">
        <f>IF($B992="","",IFERROR(INDEX(Connaissements!$B$3:$B$202,MATCH($B992,Connaissements!$A$3:$A$202,0)),""))</f>
        <v/>
      </c>
      <c r="L992" s="7" t="str">
        <f>IF($B992="","",IFERROR(INDEX(Connaissements!$G$3:$G$202,MATCH($B992,Connaissements!$A$3:$A$202,0)),""))</f>
        <v/>
      </c>
      <c r="M992" s="7" t="str">
        <f t="shared" si="59"/>
        <v/>
      </c>
      <c r="N992" s="7" t="str">
        <f t="shared" ca="1" si="60"/>
        <v/>
      </c>
      <c r="O992" s="13"/>
      <c r="P992" s="29" t="str">
        <f t="shared" ca="1" si="61"/>
        <v/>
      </c>
      <c r="Q992" s="30" t="str">
        <f>IF($K992="","",IFERROR(IF(INDEX(Bookings!$G$3:$G$202,MATCH($K992,Bookings!$A$3:$A$202,0))="","",INDEX(Bookings!$G$3:$G$202,MATCH($K992,Bookings!$A$3:$A$202,0))),""))</f>
        <v/>
      </c>
    </row>
    <row r="993" spans="1:17" hidden="1" x14ac:dyDescent="0.35">
      <c r="A993" s="81"/>
      <c r="B993" s="81"/>
      <c r="C993" s="21"/>
      <c r="D993" s="56"/>
      <c r="E993" s="14"/>
      <c r="F993" s="14"/>
      <c r="G993" s="14"/>
      <c r="H993" s="83">
        <f t="shared" si="62"/>
        <v>0</v>
      </c>
      <c r="I993" s="80"/>
      <c r="J993" s="80"/>
      <c r="K993" s="7" t="str">
        <f>IF($B993="","",IFERROR(INDEX(Connaissements!$B$3:$B$202,MATCH($B993,Connaissements!$A$3:$A$202,0)),""))</f>
        <v/>
      </c>
      <c r="L993" s="7" t="str">
        <f>IF($B993="","",IFERROR(INDEX(Connaissements!$G$3:$G$202,MATCH($B993,Connaissements!$A$3:$A$202,0)),""))</f>
        <v/>
      </c>
      <c r="M993" s="7" t="str">
        <f t="shared" si="59"/>
        <v/>
      </c>
      <c r="N993" s="7" t="str">
        <f t="shared" ca="1" si="60"/>
        <v/>
      </c>
      <c r="O993" s="13"/>
      <c r="P993" s="29" t="str">
        <f t="shared" ca="1" si="61"/>
        <v/>
      </c>
      <c r="Q993" s="30" t="str">
        <f>IF($K993="","",IFERROR(IF(INDEX(Bookings!$G$3:$G$202,MATCH($K993,Bookings!$A$3:$A$202,0))="","",INDEX(Bookings!$G$3:$G$202,MATCH($K993,Bookings!$A$3:$A$202,0))),""))</f>
        <v/>
      </c>
    </row>
    <row r="994" spans="1:17" hidden="1" x14ac:dyDescent="0.35">
      <c r="A994" s="81"/>
      <c r="B994" s="81"/>
      <c r="C994" s="21"/>
      <c r="D994" s="56"/>
      <c r="E994" s="14"/>
      <c r="F994" s="14"/>
      <c r="G994" s="14"/>
      <c r="H994" s="83">
        <f t="shared" si="62"/>
        <v>0</v>
      </c>
      <c r="I994" s="80"/>
      <c r="J994" s="80"/>
      <c r="K994" s="7" t="str">
        <f>IF($B994="","",IFERROR(INDEX(Connaissements!$B$3:$B$202,MATCH($B994,Connaissements!$A$3:$A$202,0)),""))</f>
        <v/>
      </c>
      <c r="L994" s="7" t="str">
        <f>IF($B994="","",IFERROR(INDEX(Connaissements!$G$3:$G$202,MATCH($B994,Connaissements!$A$3:$A$202,0)),""))</f>
        <v/>
      </c>
      <c r="M994" s="7" t="str">
        <f t="shared" si="59"/>
        <v/>
      </c>
      <c r="N994" s="7" t="str">
        <f t="shared" ca="1" si="60"/>
        <v/>
      </c>
      <c r="O994" s="13"/>
      <c r="P994" s="29" t="str">
        <f t="shared" ca="1" si="61"/>
        <v/>
      </c>
      <c r="Q994" s="30" t="str">
        <f>IF($K994="","",IFERROR(IF(INDEX(Bookings!$G$3:$G$202,MATCH($K994,Bookings!$A$3:$A$202,0))="","",INDEX(Bookings!$G$3:$G$202,MATCH($K994,Bookings!$A$3:$A$202,0))),""))</f>
        <v/>
      </c>
    </row>
    <row r="995" spans="1:17" hidden="1" x14ac:dyDescent="0.35">
      <c r="A995" s="81"/>
      <c r="B995" s="81"/>
      <c r="C995" s="21"/>
      <c r="D995" s="56"/>
      <c r="E995" s="14"/>
      <c r="F995" s="14"/>
      <c r="G995" s="14"/>
      <c r="H995" s="83">
        <f t="shared" si="62"/>
        <v>0</v>
      </c>
      <c r="I995" s="80"/>
      <c r="J995" s="80"/>
      <c r="K995" s="7" t="str">
        <f>IF($B995="","",IFERROR(INDEX(Connaissements!$B$3:$B$202,MATCH($B995,Connaissements!$A$3:$A$202,0)),""))</f>
        <v/>
      </c>
      <c r="L995" s="7" t="str">
        <f>IF($B995="","",IFERROR(INDEX(Connaissements!$G$3:$G$202,MATCH($B995,Connaissements!$A$3:$A$202,0)),""))</f>
        <v/>
      </c>
      <c r="M995" s="7" t="str">
        <f t="shared" si="59"/>
        <v/>
      </c>
      <c r="N995" s="7" t="str">
        <f t="shared" ca="1" si="60"/>
        <v/>
      </c>
      <c r="O995" s="13"/>
      <c r="P995" s="29" t="str">
        <f t="shared" ca="1" si="61"/>
        <v/>
      </c>
      <c r="Q995" s="30" t="str">
        <f>IF($K995="","",IFERROR(IF(INDEX(Bookings!$G$3:$G$202,MATCH($K995,Bookings!$A$3:$A$202,0))="","",INDEX(Bookings!$G$3:$G$202,MATCH($K995,Bookings!$A$3:$A$202,0))),""))</f>
        <v/>
      </c>
    </row>
    <row r="996" spans="1:17" hidden="1" x14ac:dyDescent="0.35">
      <c r="A996" s="81"/>
      <c r="B996" s="81"/>
      <c r="C996" s="21"/>
      <c r="D996" s="56"/>
      <c r="E996" s="14"/>
      <c r="F996" s="14"/>
      <c r="G996" s="14"/>
      <c r="H996" s="83">
        <f t="shared" si="62"/>
        <v>0</v>
      </c>
      <c r="I996" s="80"/>
      <c r="J996" s="80"/>
      <c r="K996" s="7" t="str">
        <f>IF($B996="","",IFERROR(INDEX(Connaissements!$B$3:$B$202,MATCH($B996,Connaissements!$A$3:$A$202,0)),""))</f>
        <v/>
      </c>
      <c r="L996" s="7" t="str">
        <f>IF($B996="","",IFERROR(INDEX(Connaissements!$G$3:$G$202,MATCH($B996,Connaissements!$A$3:$A$202,0)),""))</f>
        <v/>
      </c>
      <c r="M996" s="7" t="str">
        <f t="shared" si="59"/>
        <v/>
      </c>
      <c r="N996" s="7" t="str">
        <f t="shared" ca="1" si="60"/>
        <v/>
      </c>
      <c r="O996" s="13"/>
      <c r="P996" s="29" t="str">
        <f t="shared" ca="1" si="61"/>
        <v/>
      </c>
      <c r="Q996" s="30" t="str">
        <f>IF($K996="","",IFERROR(IF(INDEX(Bookings!$G$3:$G$202,MATCH($K996,Bookings!$A$3:$A$202,0))="","",INDEX(Bookings!$G$3:$G$202,MATCH($K996,Bookings!$A$3:$A$202,0))),""))</f>
        <v/>
      </c>
    </row>
    <row r="997" spans="1:17" hidden="1" x14ac:dyDescent="0.35">
      <c r="A997" s="81"/>
      <c r="B997" s="81"/>
      <c r="C997" s="21"/>
      <c r="D997" s="56"/>
      <c r="E997" s="14"/>
      <c r="F997" s="14"/>
      <c r="G997" s="14"/>
      <c r="H997" s="83">
        <f t="shared" si="62"/>
        <v>0</v>
      </c>
      <c r="I997" s="80"/>
      <c r="J997" s="80"/>
      <c r="K997" s="7" t="str">
        <f>IF($B997="","",IFERROR(INDEX(Connaissements!$B$3:$B$202,MATCH($B997,Connaissements!$A$3:$A$202,0)),""))</f>
        <v/>
      </c>
      <c r="L997" s="7" t="str">
        <f>IF($B997="","",IFERROR(INDEX(Connaissements!$G$3:$G$202,MATCH($B997,Connaissements!$A$3:$A$202,0)),""))</f>
        <v/>
      </c>
      <c r="M997" s="7" t="str">
        <f t="shared" si="59"/>
        <v/>
      </c>
      <c r="N997" s="7" t="str">
        <f t="shared" ca="1" si="60"/>
        <v/>
      </c>
      <c r="O997" s="13"/>
      <c r="P997" s="29" t="str">
        <f t="shared" ca="1" si="61"/>
        <v/>
      </c>
      <c r="Q997" s="30" t="str">
        <f>IF($K997="","",IFERROR(IF(INDEX(Bookings!$G$3:$G$202,MATCH($K997,Bookings!$A$3:$A$202,0))="","",INDEX(Bookings!$G$3:$G$202,MATCH($K997,Bookings!$A$3:$A$202,0))),""))</f>
        <v/>
      </c>
    </row>
    <row r="998" spans="1:17" hidden="1" x14ac:dyDescent="0.35">
      <c r="A998" s="81"/>
      <c r="B998" s="81"/>
      <c r="C998" s="21"/>
      <c r="D998" s="56"/>
      <c r="E998" s="14"/>
      <c r="F998" s="14"/>
      <c r="G998" s="14"/>
      <c r="H998" s="83">
        <f t="shared" si="62"/>
        <v>0</v>
      </c>
      <c r="I998" s="80"/>
      <c r="J998" s="80"/>
      <c r="K998" s="7" t="str">
        <f>IF($B998="","",IFERROR(INDEX(Connaissements!$B$3:$B$202,MATCH($B998,Connaissements!$A$3:$A$202,0)),""))</f>
        <v/>
      </c>
      <c r="L998" s="7" t="str">
        <f>IF($B998="","",IFERROR(INDEX(Connaissements!$G$3:$G$202,MATCH($B998,Connaissements!$A$3:$A$202,0)),""))</f>
        <v/>
      </c>
      <c r="M998" s="7" t="str">
        <f t="shared" si="59"/>
        <v/>
      </c>
      <c r="N998" s="7" t="str">
        <f t="shared" ca="1" si="60"/>
        <v/>
      </c>
      <c r="O998" s="13"/>
      <c r="P998" s="29" t="str">
        <f t="shared" ca="1" si="61"/>
        <v/>
      </c>
      <c r="Q998" s="30" t="str">
        <f>IF($K998="","",IFERROR(IF(INDEX(Bookings!$G$3:$G$202,MATCH($K998,Bookings!$A$3:$A$202,0))="","",INDEX(Bookings!$G$3:$G$202,MATCH($K998,Bookings!$A$3:$A$202,0))),""))</f>
        <v/>
      </c>
    </row>
    <row r="999" spans="1:17" hidden="1" x14ac:dyDescent="0.35">
      <c r="A999" s="81"/>
      <c r="B999" s="81"/>
      <c r="C999" s="21"/>
      <c r="D999" s="56"/>
      <c r="E999" s="14"/>
      <c r="F999" s="14"/>
      <c r="G999" s="14"/>
      <c r="H999" s="83">
        <f t="shared" si="62"/>
        <v>0</v>
      </c>
      <c r="I999" s="80"/>
      <c r="J999" s="80"/>
      <c r="K999" s="7" t="str">
        <f>IF($B999="","",IFERROR(INDEX(Connaissements!$B$3:$B$202,MATCH($B999,Connaissements!$A$3:$A$202,0)),""))</f>
        <v/>
      </c>
      <c r="L999" s="7" t="str">
        <f>IF($B999="","",IFERROR(INDEX(Connaissements!$G$3:$G$202,MATCH($B999,Connaissements!$A$3:$A$202,0)),""))</f>
        <v/>
      </c>
      <c r="M999" s="7" t="str">
        <f t="shared" si="59"/>
        <v/>
      </c>
      <c r="N999" s="7" t="str">
        <f t="shared" ca="1" si="60"/>
        <v/>
      </c>
      <c r="O999" s="13"/>
      <c r="P999" s="29" t="str">
        <f t="shared" ca="1" si="61"/>
        <v/>
      </c>
      <c r="Q999" s="30" t="str">
        <f>IF($K999="","",IFERROR(IF(INDEX(Bookings!$G$3:$G$202,MATCH($K999,Bookings!$A$3:$A$202,0))="","",INDEX(Bookings!$G$3:$G$202,MATCH($K999,Bookings!$A$3:$A$202,0))),""))</f>
        <v/>
      </c>
    </row>
    <row r="1000" spans="1:17" hidden="1" x14ac:dyDescent="0.35">
      <c r="A1000" s="81"/>
      <c r="B1000" s="81"/>
      <c r="C1000" s="21"/>
      <c r="D1000" s="56"/>
      <c r="E1000" s="14"/>
      <c r="F1000" s="14"/>
      <c r="G1000" s="14"/>
      <c r="H1000" s="83">
        <f t="shared" si="62"/>
        <v>0</v>
      </c>
      <c r="I1000" s="80"/>
      <c r="J1000" s="80"/>
      <c r="K1000" s="7" t="str">
        <f>IF($B1000="","",IFERROR(INDEX(Connaissements!$B$3:$B$202,MATCH($B1000,Connaissements!$A$3:$A$202,0)),""))</f>
        <v/>
      </c>
      <c r="L1000" s="7" t="str">
        <f>IF($B1000="","",IFERROR(INDEX(Connaissements!$G$3:$G$202,MATCH($B1000,Connaissements!$A$3:$A$202,0)),""))</f>
        <v/>
      </c>
      <c r="M1000" s="7" t="str">
        <f t="shared" si="59"/>
        <v/>
      </c>
      <c r="N1000" s="7" t="str">
        <f t="shared" ca="1" si="60"/>
        <v/>
      </c>
      <c r="O1000" s="13"/>
      <c r="P1000" s="29" t="str">
        <f t="shared" ca="1" si="61"/>
        <v/>
      </c>
      <c r="Q1000" s="30" t="str">
        <f>IF($K1000="","",IFERROR(IF(INDEX(Bookings!$G$3:$G$202,MATCH($K1000,Bookings!$A$3:$A$202,0))="","",INDEX(Bookings!$G$3:$G$202,MATCH($K1000,Bookings!$A$3:$A$202,0))),""))</f>
        <v/>
      </c>
    </row>
    <row r="1001" spans="1:17" hidden="1" x14ac:dyDescent="0.35">
      <c r="A1001" s="81"/>
      <c r="B1001" s="81"/>
      <c r="C1001" s="21"/>
      <c r="D1001" s="56"/>
      <c r="E1001" s="14"/>
      <c r="F1001" s="14"/>
      <c r="G1001" s="14"/>
      <c r="H1001" s="83">
        <f t="shared" si="62"/>
        <v>0</v>
      </c>
      <c r="I1001" s="80"/>
      <c r="J1001" s="80"/>
      <c r="K1001" s="7" t="str">
        <f>IF($B1001="","",IFERROR(INDEX(Connaissements!$B$3:$B$202,MATCH($B1001,Connaissements!$A$3:$A$202,0)),""))</f>
        <v/>
      </c>
      <c r="L1001" s="7" t="str">
        <f>IF($B1001="","",IFERROR(INDEX(Connaissements!$G$3:$G$202,MATCH($B1001,Connaissements!$A$3:$A$202,0)),""))</f>
        <v/>
      </c>
      <c r="M1001" s="7" t="str">
        <f t="shared" si="59"/>
        <v/>
      </c>
      <c r="N1001" s="7" t="str">
        <f t="shared" ca="1" si="60"/>
        <v/>
      </c>
      <c r="O1001" s="13"/>
      <c r="P1001" s="29" t="str">
        <f t="shared" ca="1" si="61"/>
        <v/>
      </c>
      <c r="Q1001" s="30" t="str">
        <f>IF($K1001="","",IFERROR(IF(INDEX(Bookings!$G$3:$G$202,MATCH($K1001,Bookings!$A$3:$A$202,0))="","",INDEX(Bookings!$G$3:$G$202,MATCH($K1001,Bookings!$A$3:$A$202,0))),""))</f>
        <v/>
      </c>
    </row>
    <row r="1002" spans="1:17" hidden="1" x14ac:dyDescent="0.35">
      <c r="A1002" s="81"/>
      <c r="B1002" s="81"/>
      <c r="C1002" s="21"/>
      <c r="D1002" s="56"/>
      <c r="E1002" s="14"/>
      <c r="F1002" s="14"/>
      <c r="G1002" s="14"/>
      <c r="H1002" s="83">
        <f t="shared" si="62"/>
        <v>0</v>
      </c>
      <c r="I1002" s="80"/>
      <c r="J1002" s="80"/>
      <c r="K1002" s="7" t="str">
        <f>IF($B1002="","",IFERROR(INDEX(Connaissements!$B$3:$B$202,MATCH($B1002,Connaissements!$A$3:$A$202,0)),""))</f>
        <v/>
      </c>
      <c r="L1002" s="7" t="str">
        <f>IF($B1002="","",IFERROR(INDEX(Connaissements!$G$3:$G$202,MATCH($B1002,Connaissements!$A$3:$A$202,0)),""))</f>
        <v/>
      </c>
      <c r="M1002" s="7" t="str">
        <f t="shared" si="59"/>
        <v/>
      </c>
      <c r="N1002" s="7" t="str">
        <f t="shared" ca="1" si="60"/>
        <v/>
      </c>
      <c r="O1002" s="13"/>
      <c r="P1002" s="29" t="str">
        <f t="shared" ca="1" si="61"/>
        <v/>
      </c>
      <c r="Q1002" s="30" t="str">
        <f>IF($K1002="","",IFERROR(IF(INDEX(Bookings!$G$3:$G$202,MATCH($K1002,Bookings!$A$3:$A$202,0))="","",INDEX(Bookings!$G$3:$G$202,MATCH($K1002,Bookings!$A$3:$A$202,0))),""))</f>
        <v/>
      </c>
    </row>
    <row r="1003" spans="1:17" hidden="1" x14ac:dyDescent="0.35">
      <c r="H1003" s="83">
        <f t="shared" si="62"/>
        <v>0</v>
      </c>
    </row>
    <row r="1004" spans="1:17" hidden="1" x14ac:dyDescent="0.35">
      <c r="H1004" s="83">
        <f t="shared" si="62"/>
        <v>0</v>
      </c>
    </row>
    <row r="1005" spans="1:17" hidden="1" x14ac:dyDescent="0.35">
      <c r="H1005" s="83">
        <f t="shared" si="62"/>
        <v>0</v>
      </c>
    </row>
    <row r="1006" spans="1:17" hidden="1" x14ac:dyDescent="0.35">
      <c r="H1006" s="83">
        <f t="shared" si="62"/>
        <v>0</v>
      </c>
    </row>
    <row r="1007" spans="1:17" hidden="1" x14ac:dyDescent="0.35">
      <c r="H1007" s="83">
        <f t="shared" si="62"/>
        <v>0</v>
      </c>
    </row>
    <row r="1008" spans="1:17" hidden="1" x14ac:dyDescent="0.35">
      <c r="H1008" s="83">
        <f t="shared" si="62"/>
        <v>0</v>
      </c>
    </row>
    <row r="1009" spans="8:8" hidden="1" x14ac:dyDescent="0.35">
      <c r="H1009" s="83">
        <f t="shared" si="62"/>
        <v>0</v>
      </c>
    </row>
    <row r="1010" spans="8:8" hidden="1" x14ac:dyDescent="0.35">
      <c r="H1010" s="83">
        <f t="shared" si="62"/>
        <v>0</v>
      </c>
    </row>
    <row r="1011" spans="8:8" hidden="1" x14ac:dyDescent="0.35">
      <c r="H1011" s="83">
        <f t="shared" si="62"/>
        <v>0</v>
      </c>
    </row>
    <row r="1012" spans="8:8" hidden="1" x14ac:dyDescent="0.35">
      <c r="H1012" s="83">
        <f t="shared" si="62"/>
        <v>0</v>
      </c>
    </row>
    <row r="1013" spans="8:8" hidden="1" x14ac:dyDescent="0.35">
      <c r="H1013" s="83">
        <f t="shared" si="62"/>
        <v>0</v>
      </c>
    </row>
    <row r="1014" spans="8:8" hidden="1" x14ac:dyDescent="0.35">
      <c r="H1014" s="83">
        <f t="shared" si="62"/>
        <v>0</v>
      </c>
    </row>
    <row r="1015" spans="8:8" hidden="1" x14ac:dyDescent="0.35">
      <c r="H1015" s="83">
        <f t="shared" si="62"/>
        <v>0</v>
      </c>
    </row>
    <row r="1016" spans="8:8" hidden="1" x14ac:dyDescent="0.35">
      <c r="H1016" s="83">
        <f t="shared" si="62"/>
        <v>0</v>
      </c>
    </row>
    <row r="1017" spans="8:8" hidden="1" x14ac:dyDescent="0.35">
      <c r="H1017" s="83">
        <f t="shared" si="62"/>
        <v>0</v>
      </c>
    </row>
    <row r="1018" spans="8:8" hidden="1" x14ac:dyDescent="0.35">
      <c r="H1018" s="83">
        <f t="shared" si="62"/>
        <v>0</v>
      </c>
    </row>
    <row r="1019" spans="8:8" hidden="1" x14ac:dyDescent="0.35">
      <c r="H1019" s="83">
        <f t="shared" si="62"/>
        <v>0</v>
      </c>
    </row>
    <row r="1020" spans="8:8" hidden="1" x14ac:dyDescent="0.35">
      <c r="H1020" s="83">
        <f t="shared" si="62"/>
        <v>0</v>
      </c>
    </row>
    <row r="1021" spans="8:8" hidden="1" x14ac:dyDescent="0.35">
      <c r="H1021" s="83">
        <f t="shared" si="62"/>
        <v>0</v>
      </c>
    </row>
    <row r="1022" spans="8:8" hidden="1" x14ac:dyDescent="0.35">
      <c r="H1022" s="83">
        <f t="shared" si="62"/>
        <v>0</v>
      </c>
    </row>
    <row r="1023" spans="8:8" hidden="1" x14ac:dyDescent="0.35">
      <c r="H1023" s="83">
        <f t="shared" si="62"/>
        <v>0</v>
      </c>
    </row>
    <row r="1024" spans="8:8" hidden="1" x14ac:dyDescent="0.35">
      <c r="H1024" s="83">
        <f t="shared" si="62"/>
        <v>0</v>
      </c>
    </row>
    <row r="1025" spans="8:8" hidden="1" x14ac:dyDescent="0.35">
      <c r="H1025" s="83">
        <f t="shared" si="62"/>
        <v>0</v>
      </c>
    </row>
    <row r="1026" spans="8:8" hidden="1" x14ac:dyDescent="0.35">
      <c r="H1026" s="83">
        <f t="shared" si="62"/>
        <v>0</v>
      </c>
    </row>
    <row r="1027" spans="8:8" hidden="1" x14ac:dyDescent="0.35">
      <c r="H1027" s="83">
        <f t="shared" si="62"/>
        <v>0</v>
      </c>
    </row>
    <row r="1028" spans="8:8" hidden="1" x14ac:dyDescent="0.35">
      <c r="H1028" s="83">
        <f t="shared" ref="H1028:H1091" si="63">J1028-I1028</f>
        <v>0</v>
      </c>
    </row>
    <row r="1029" spans="8:8" hidden="1" x14ac:dyDescent="0.35">
      <c r="H1029" s="83">
        <f t="shared" si="63"/>
        <v>0</v>
      </c>
    </row>
    <row r="1030" spans="8:8" hidden="1" x14ac:dyDescent="0.35">
      <c r="H1030" s="83">
        <f t="shared" si="63"/>
        <v>0</v>
      </c>
    </row>
    <row r="1031" spans="8:8" hidden="1" x14ac:dyDescent="0.35">
      <c r="H1031" s="83">
        <f t="shared" si="63"/>
        <v>0</v>
      </c>
    </row>
    <row r="1032" spans="8:8" hidden="1" x14ac:dyDescent="0.35">
      <c r="H1032" s="83">
        <f t="shared" si="63"/>
        <v>0</v>
      </c>
    </row>
    <row r="1033" spans="8:8" hidden="1" x14ac:dyDescent="0.35">
      <c r="H1033" s="83">
        <f t="shared" si="63"/>
        <v>0</v>
      </c>
    </row>
    <row r="1034" spans="8:8" hidden="1" x14ac:dyDescent="0.35">
      <c r="H1034" s="83">
        <f t="shared" si="63"/>
        <v>0</v>
      </c>
    </row>
    <row r="1035" spans="8:8" hidden="1" x14ac:dyDescent="0.35">
      <c r="H1035" s="83">
        <f t="shared" si="63"/>
        <v>0</v>
      </c>
    </row>
    <row r="1036" spans="8:8" hidden="1" x14ac:dyDescent="0.35">
      <c r="H1036" s="83">
        <f t="shared" si="63"/>
        <v>0</v>
      </c>
    </row>
    <row r="1037" spans="8:8" hidden="1" x14ac:dyDescent="0.35">
      <c r="H1037" s="83">
        <f t="shared" si="63"/>
        <v>0</v>
      </c>
    </row>
    <row r="1038" spans="8:8" hidden="1" x14ac:dyDescent="0.35">
      <c r="H1038" s="83">
        <f t="shared" si="63"/>
        <v>0</v>
      </c>
    </row>
    <row r="1039" spans="8:8" hidden="1" x14ac:dyDescent="0.35">
      <c r="H1039" s="83">
        <f t="shared" si="63"/>
        <v>0</v>
      </c>
    </row>
    <row r="1040" spans="8:8" hidden="1" x14ac:dyDescent="0.35">
      <c r="H1040" s="83">
        <f t="shared" si="63"/>
        <v>0</v>
      </c>
    </row>
    <row r="1041" spans="8:8" hidden="1" x14ac:dyDescent="0.35">
      <c r="H1041" s="83">
        <f t="shared" si="63"/>
        <v>0</v>
      </c>
    </row>
    <row r="1042" spans="8:8" hidden="1" x14ac:dyDescent="0.35">
      <c r="H1042" s="83">
        <f t="shared" si="63"/>
        <v>0</v>
      </c>
    </row>
    <row r="1043" spans="8:8" hidden="1" x14ac:dyDescent="0.35">
      <c r="H1043" s="83">
        <f t="shared" si="63"/>
        <v>0</v>
      </c>
    </row>
    <row r="1044" spans="8:8" hidden="1" x14ac:dyDescent="0.35">
      <c r="H1044" s="83">
        <f t="shared" si="63"/>
        <v>0</v>
      </c>
    </row>
    <row r="1045" spans="8:8" hidden="1" x14ac:dyDescent="0.35">
      <c r="H1045" s="83">
        <f t="shared" si="63"/>
        <v>0</v>
      </c>
    </row>
    <row r="1046" spans="8:8" hidden="1" x14ac:dyDescent="0.35">
      <c r="H1046" s="83">
        <f t="shared" si="63"/>
        <v>0</v>
      </c>
    </row>
    <row r="1047" spans="8:8" hidden="1" x14ac:dyDescent="0.35">
      <c r="H1047" s="83">
        <f t="shared" si="63"/>
        <v>0</v>
      </c>
    </row>
    <row r="1048" spans="8:8" hidden="1" x14ac:dyDescent="0.35">
      <c r="H1048" s="83">
        <f t="shared" si="63"/>
        <v>0</v>
      </c>
    </row>
    <row r="1049" spans="8:8" hidden="1" x14ac:dyDescent="0.35">
      <c r="H1049" s="83">
        <f t="shared" si="63"/>
        <v>0</v>
      </c>
    </row>
    <row r="1050" spans="8:8" hidden="1" x14ac:dyDescent="0.35">
      <c r="H1050" s="83">
        <f t="shared" si="63"/>
        <v>0</v>
      </c>
    </row>
    <row r="1051" spans="8:8" hidden="1" x14ac:dyDescent="0.35">
      <c r="H1051" s="83">
        <f t="shared" si="63"/>
        <v>0</v>
      </c>
    </row>
    <row r="1052" spans="8:8" hidden="1" x14ac:dyDescent="0.35">
      <c r="H1052" s="83">
        <f t="shared" si="63"/>
        <v>0</v>
      </c>
    </row>
    <row r="1053" spans="8:8" hidden="1" x14ac:dyDescent="0.35">
      <c r="H1053" s="83">
        <f t="shared" si="63"/>
        <v>0</v>
      </c>
    </row>
    <row r="1054" spans="8:8" hidden="1" x14ac:dyDescent="0.35">
      <c r="H1054" s="83">
        <f t="shared" si="63"/>
        <v>0</v>
      </c>
    </row>
    <row r="1055" spans="8:8" hidden="1" x14ac:dyDescent="0.35">
      <c r="H1055" s="83">
        <f t="shared" si="63"/>
        <v>0</v>
      </c>
    </row>
    <row r="1056" spans="8:8" hidden="1" x14ac:dyDescent="0.35">
      <c r="H1056" s="83">
        <f t="shared" si="63"/>
        <v>0</v>
      </c>
    </row>
    <row r="1057" spans="8:8" hidden="1" x14ac:dyDescent="0.35">
      <c r="H1057" s="83">
        <f t="shared" si="63"/>
        <v>0</v>
      </c>
    </row>
    <row r="1058" spans="8:8" hidden="1" x14ac:dyDescent="0.35">
      <c r="H1058" s="83">
        <f t="shared" si="63"/>
        <v>0</v>
      </c>
    </row>
    <row r="1059" spans="8:8" hidden="1" x14ac:dyDescent="0.35">
      <c r="H1059" s="83">
        <f t="shared" si="63"/>
        <v>0</v>
      </c>
    </row>
    <row r="1060" spans="8:8" hidden="1" x14ac:dyDescent="0.35">
      <c r="H1060" s="83">
        <f t="shared" si="63"/>
        <v>0</v>
      </c>
    </row>
    <row r="1061" spans="8:8" hidden="1" x14ac:dyDescent="0.35">
      <c r="H1061" s="83">
        <f t="shared" si="63"/>
        <v>0</v>
      </c>
    </row>
    <row r="1062" spans="8:8" hidden="1" x14ac:dyDescent="0.35">
      <c r="H1062" s="83">
        <f t="shared" si="63"/>
        <v>0</v>
      </c>
    </row>
    <row r="1063" spans="8:8" hidden="1" x14ac:dyDescent="0.35">
      <c r="H1063" s="83">
        <f t="shared" si="63"/>
        <v>0</v>
      </c>
    </row>
    <row r="1064" spans="8:8" hidden="1" x14ac:dyDescent="0.35">
      <c r="H1064" s="83">
        <f t="shared" si="63"/>
        <v>0</v>
      </c>
    </row>
    <row r="1065" spans="8:8" hidden="1" x14ac:dyDescent="0.35">
      <c r="H1065" s="83">
        <f t="shared" si="63"/>
        <v>0</v>
      </c>
    </row>
    <row r="1066" spans="8:8" hidden="1" x14ac:dyDescent="0.35">
      <c r="H1066" s="83">
        <f t="shared" si="63"/>
        <v>0</v>
      </c>
    </row>
    <row r="1067" spans="8:8" hidden="1" x14ac:dyDescent="0.35">
      <c r="H1067" s="83">
        <f t="shared" si="63"/>
        <v>0</v>
      </c>
    </row>
    <row r="1068" spans="8:8" hidden="1" x14ac:dyDescent="0.35">
      <c r="H1068" s="83">
        <f t="shared" si="63"/>
        <v>0</v>
      </c>
    </row>
    <row r="1069" spans="8:8" hidden="1" x14ac:dyDescent="0.35">
      <c r="H1069" s="83">
        <f t="shared" si="63"/>
        <v>0</v>
      </c>
    </row>
    <row r="1070" spans="8:8" hidden="1" x14ac:dyDescent="0.35">
      <c r="H1070" s="83">
        <f t="shared" si="63"/>
        <v>0</v>
      </c>
    </row>
    <row r="1071" spans="8:8" hidden="1" x14ac:dyDescent="0.35">
      <c r="H1071" s="83">
        <f t="shared" si="63"/>
        <v>0</v>
      </c>
    </row>
    <row r="1072" spans="8:8" hidden="1" x14ac:dyDescent="0.35">
      <c r="H1072" s="83">
        <f t="shared" si="63"/>
        <v>0</v>
      </c>
    </row>
    <row r="1073" spans="8:8" hidden="1" x14ac:dyDescent="0.35">
      <c r="H1073" s="83">
        <f t="shared" si="63"/>
        <v>0</v>
      </c>
    </row>
    <row r="1074" spans="8:8" hidden="1" x14ac:dyDescent="0.35">
      <c r="H1074" s="83">
        <f t="shared" si="63"/>
        <v>0</v>
      </c>
    </row>
    <row r="1075" spans="8:8" hidden="1" x14ac:dyDescent="0.35">
      <c r="H1075" s="83">
        <f t="shared" si="63"/>
        <v>0</v>
      </c>
    </row>
    <row r="1076" spans="8:8" hidden="1" x14ac:dyDescent="0.35">
      <c r="H1076" s="83">
        <f t="shared" si="63"/>
        <v>0</v>
      </c>
    </row>
    <row r="1077" spans="8:8" hidden="1" x14ac:dyDescent="0.35">
      <c r="H1077" s="83">
        <f t="shared" si="63"/>
        <v>0</v>
      </c>
    </row>
    <row r="1078" spans="8:8" hidden="1" x14ac:dyDescent="0.35">
      <c r="H1078" s="83">
        <f t="shared" si="63"/>
        <v>0</v>
      </c>
    </row>
    <row r="1079" spans="8:8" hidden="1" x14ac:dyDescent="0.35">
      <c r="H1079" s="83">
        <f t="shared" si="63"/>
        <v>0</v>
      </c>
    </row>
    <row r="1080" spans="8:8" hidden="1" x14ac:dyDescent="0.35">
      <c r="H1080" s="83">
        <f t="shared" si="63"/>
        <v>0</v>
      </c>
    </row>
    <row r="1081" spans="8:8" hidden="1" x14ac:dyDescent="0.35">
      <c r="H1081" s="83">
        <f t="shared" si="63"/>
        <v>0</v>
      </c>
    </row>
    <row r="1082" spans="8:8" hidden="1" x14ac:dyDescent="0.35">
      <c r="H1082" s="83">
        <f t="shared" si="63"/>
        <v>0</v>
      </c>
    </row>
    <row r="1083" spans="8:8" hidden="1" x14ac:dyDescent="0.35">
      <c r="H1083" s="83">
        <f t="shared" si="63"/>
        <v>0</v>
      </c>
    </row>
    <row r="1084" spans="8:8" hidden="1" x14ac:dyDescent="0.35">
      <c r="H1084" s="83">
        <f t="shared" si="63"/>
        <v>0</v>
      </c>
    </row>
    <row r="1085" spans="8:8" hidden="1" x14ac:dyDescent="0.35">
      <c r="H1085" s="83">
        <f t="shared" si="63"/>
        <v>0</v>
      </c>
    </row>
    <row r="1086" spans="8:8" hidden="1" x14ac:dyDescent="0.35">
      <c r="H1086" s="83">
        <f t="shared" si="63"/>
        <v>0</v>
      </c>
    </row>
    <row r="1087" spans="8:8" hidden="1" x14ac:dyDescent="0.35">
      <c r="H1087" s="83">
        <f t="shared" si="63"/>
        <v>0</v>
      </c>
    </row>
    <row r="1088" spans="8:8" hidden="1" x14ac:dyDescent="0.35">
      <c r="H1088" s="83">
        <f t="shared" si="63"/>
        <v>0</v>
      </c>
    </row>
    <row r="1089" spans="8:8" hidden="1" x14ac:dyDescent="0.35">
      <c r="H1089" s="83">
        <f t="shared" si="63"/>
        <v>0</v>
      </c>
    </row>
    <row r="1090" spans="8:8" hidden="1" x14ac:dyDescent="0.35">
      <c r="H1090" s="83">
        <f t="shared" si="63"/>
        <v>0</v>
      </c>
    </row>
    <row r="1091" spans="8:8" hidden="1" x14ac:dyDescent="0.35">
      <c r="H1091" s="83">
        <f t="shared" si="63"/>
        <v>0</v>
      </c>
    </row>
    <row r="1092" spans="8:8" hidden="1" x14ac:dyDescent="0.35">
      <c r="H1092" s="83">
        <f t="shared" ref="H1092:H1155" si="64">J1092-I1092</f>
        <v>0</v>
      </c>
    </row>
    <row r="1093" spans="8:8" hidden="1" x14ac:dyDescent="0.35">
      <c r="H1093" s="83">
        <f t="shared" si="64"/>
        <v>0</v>
      </c>
    </row>
    <row r="1094" spans="8:8" hidden="1" x14ac:dyDescent="0.35">
      <c r="H1094" s="83">
        <f t="shared" si="64"/>
        <v>0</v>
      </c>
    </row>
    <row r="1095" spans="8:8" hidden="1" x14ac:dyDescent="0.35">
      <c r="H1095" s="83">
        <f t="shared" si="64"/>
        <v>0</v>
      </c>
    </row>
    <row r="1096" spans="8:8" hidden="1" x14ac:dyDescent="0.35">
      <c r="H1096" s="83">
        <f t="shared" si="64"/>
        <v>0</v>
      </c>
    </row>
    <row r="1097" spans="8:8" hidden="1" x14ac:dyDescent="0.35">
      <c r="H1097" s="83">
        <f t="shared" si="64"/>
        <v>0</v>
      </c>
    </row>
    <row r="1098" spans="8:8" hidden="1" x14ac:dyDescent="0.35">
      <c r="H1098" s="83">
        <f t="shared" si="64"/>
        <v>0</v>
      </c>
    </row>
    <row r="1099" spans="8:8" hidden="1" x14ac:dyDescent="0.35">
      <c r="H1099" s="83">
        <f t="shared" si="64"/>
        <v>0</v>
      </c>
    </row>
    <row r="1100" spans="8:8" hidden="1" x14ac:dyDescent="0.35">
      <c r="H1100" s="83">
        <f t="shared" si="64"/>
        <v>0</v>
      </c>
    </row>
    <row r="1101" spans="8:8" hidden="1" x14ac:dyDescent="0.35">
      <c r="H1101" s="83">
        <f t="shared" si="64"/>
        <v>0</v>
      </c>
    </row>
    <row r="1102" spans="8:8" hidden="1" x14ac:dyDescent="0.35">
      <c r="H1102" s="83">
        <f t="shared" si="64"/>
        <v>0</v>
      </c>
    </row>
    <row r="1103" spans="8:8" hidden="1" x14ac:dyDescent="0.35">
      <c r="H1103" s="83">
        <f t="shared" si="64"/>
        <v>0</v>
      </c>
    </row>
    <row r="1104" spans="8:8" hidden="1" x14ac:dyDescent="0.35">
      <c r="H1104" s="83">
        <f t="shared" si="64"/>
        <v>0</v>
      </c>
    </row>
    <row r="1105" spans="8:8" hidden="1" x14ac:dyDescent="0.35">
      <c r="H1105" s="83">
        <f t="shared" si="64"/>
        <v>0</v>
      </c>
    </row>
    <row r="1106" spans="8:8" hidden="1" x14ac:dyDescent="0.35">
      <c r="H1106" s="83">
        <f t="shared" si="64"/>
        <v>0</v>
      </c>
    </row>
    <row r="1107" spans="8:8" hidden="1" x14ac:dyDescent="0.35">
      <c r="H1107" s="83">
        <f t="shared" si="64"/>
        <v>0</v>
      </c>
    </row>
    <row r="1108" spans="8:8" hidden="1" x14ac:dyDescent="0.35">
      <c r="H1108" s="83">
        <f t="shared" si="64"/>
        <v>0</v>
      </c>
    </row>
    <row r="1109" spans="8:8" hidden="1" x14ac:dyDescent="0.35">
      <c r="H1109" s="83">
        <f t="shared" si="64"/>
        <v>0</v>
      </c>
    </row>
    <row r="1110" spans="8:8" hidden="1" x14ac:dyDescent="0.35">
      <c r="H1110" s="83">
        <f t="shared" si="64"/>
        <v>0</v>
      </c>
    </row>
    <row r="1111" spans="8:8" hidden="1" x14ac:dyDescent="0.35">
      <c r="H1111" s="83">
        <f t="shared" si="64"/>
        <v>0</v>
      </c>
    </row>
    <row r="1112" spans="8:8" hidden="1" x14ac:dyDescent="0.35">
      <c r="H1112" s="83">
        <f t="shared" si="64"/>
        <v>0</v>
      </c>
    </row>
    <row r="1113" spans="8:8" hidden="1" x14ac:dyDescent="0.35">
      <c r="H1113" s="83">
        <f t="shared" si="64"/>
        <v>0</v>
      </c>
    </row>
    <row r="1114" spans="8:8" hidden="1" x14ac:dyDescent="0.35">
      <c r="H1114" s="83">
        <f t="shared" si="64"/>
        <v>0</v>
      </c>
    </row>
    <row r="1115" spans="8:8" hidden="1" x14ac:dyDescent="0.35">
      <c r="H1115" s="83">
        <f t="shared" si="64"/>
        <v>0</v>
      </c>
    </row>
    <row r="1116" spans="8:8" hidden="1" x14ac:dyDescent="0.35">
      <c r="H1116" s="83">
        <f t="shared" si="64"/>
        <v>0</v>
      </c>
    </row>
    <row r="1117" spans="8:8" hidden="1" x14ac:dyDescent="0.35">
      <c r="H1117" s="83">
        <f t="shared" si="64"/>
        <v>0</v>
      </c>
    </row>
    <row r="1118" spans="8:8" hidden="1" x14ac:dyDescent="0.35">
      <c r="H1118" s="83">
        <f t="shared" si="64"/>
        <v>0</v>
      </c>
    </row>
    <row r="1119" spans="8:8" hidden="1" x14ac:dyDescent="0.35">
      <c r="H1119" s="83">
        <f t="shared" si="64"/>
        <v>0</v>
      </c>
    </row>
    <row r="1120" spans="8:8" hidden="1" x14ac:dyDescent="0.35">
      <c r="H1120" s="83">
        <f t="shared" si="64"/>
        <v>0</v>
      </c>
    </row>
    <row r="1121" spans="8:8" hidden="1" x14ac:dyDescent="0.35">
      <c r="H1121" s="83">
        <f t="shared" si="64"/>
        <v>0</v>
      </c>
    </row>
    <row r="1122" spans="8:8" hidden="1" x14ac:dyDescent="0.35">
      <c r="H1122" s="83">
        <f t="shared" si="64"/>
        <v>0</v>
      </c>
    </row>
    <row r="1123" spans="8:8" hidden="1" x14ac:dyDescent="0.35">
      <c r="H1123" s="83">
        <f t="shared" si="64"/>
        <v>0</v>
      </c>
    </row>
    <row r="1124" spans="8:8" hidden="1" x14ac:dyDescent="0.35">
      <c r="H1124" s="83">
        <f t="shared" si="64"/>
        <v>0</v>
      </c>
    </row>
    <row r="1125" spans="8:8" hidden="1" x14ac:dyDescent="0.35">
      <c r="H1125" s="83">
        <f t="shared" si="64"/>
        <v>0</v>
      </c>
    </row>
    <row r="1126" spans="8:8" hidden="1" x14ac:dyDescent="0.35">
      <c r="H1126" s="83">
        <f t="shared" si="64"/>
        <v>0</v>
      </c>
    </row>
    <row r="1127" spans="8:8" hidden="1" x14ac:dyDescent="0.35">
      <c r="H1127" s="83">
        <f t="shared" si="64"/>
        <v>0</v>
      </c>
    </row>
    <row r="1128" spans="8:8" hidden="1" x14ac:dyDescent="0.35">
      <c r="H1128" s="83">
        <f t="shared" si="64"/>
        <v>0</v>
      </c>
    </row>
    <row r="1129" spans="8:8" hidden="1" x14ac:dyDescent="0.35">
      <c r="H1129" s="83">
        <f t="shared" si="64"/>
        <v>0</v>
      </c>
    </row>
    <row r="1130" spans="8:8" hidden="1" x14ac:dyDescent="0.35">
      <c r="H1130" s="83">
        <f t="shared" si="64"/>
        <v>0</v>
      </c>
    </row>
    <row r="1131" spans="8:8" hidden="1" x14ac:dyDescent="0.35">
      <c r="H1131" s="83">
        <f t="shared" si="64"/>
        <v>0</v>
      </c>
    </row>
    <row r="1132" spans="8:8" hidden="1" x14ac:dyDescent="0.35">
      <c r="H1132" s="83">
        <f t="shared" si="64"/>
        <v>0</v>
      </c>
    </row>
    <row r="1133" spans="8:8" hidden="1" x14ac:dyDescent="0.35">
      <c r="H1133" s="83">
        <f t="shared" si="64"/>
        <v>0</v>
      </c>
    </row>
    <row r="1134" spans="8:8" hidden="1" x14ac:dyDescent="0.35">
      <c r="H1134" s="83">
        <f t="shared" si="64"/>
        <v>0</v>
      </c>
    </row>
    <row r="1135" spans="8:8" hidden="1" x14ac:dyDescent="0.35">
      <c r="H1135" s="83">
        <f t="shared" si="64"/>
        <v>0</v>
      </c>
    </row>
    <row r="1136" spans="8:8" hidden="1" x14ac:dyDescent="0.35">
      <c r="H1136" s="83">
        <f t="shared" si="64"/>
        <v>0</v>
      </c>
    </row>
    <row r="1137" spans="8:8" hidden="1" x14ac:dyDescent="0.35">
      <c r="H1137" s="83">
        <f t="shared" si="64"/>
        <v>0</v>
      </c>
    </row>
    <row r="1138" spans="8:8" hidden="1" x14ac:dyDescent="0.35">
      <c r="H1138" s="83">
        <f t="shared" si="64"/>
        <v>0</v>
      </c>
    </row>
    <row r="1139" spans="8:8" hidden="1" x14ac:dyDescent="0.35">
      <c r="H1139" s="83">
        <f t="shared" si="64"/>
        <v>0</v>
      </c>
    </row>
    <row r="1140" spans="8:8" hidden="1" x14ac:dyDescent="0.35">
      <c r="H1140" s="83">
        <f t="shared" si="64"/>
        <v>0</v>
      </c>
    </row>
    <row r="1141" spans="8:8" hidden="1" x14ac:dyDescent="0.35">
      <c r="H1141" s="83">
        <f t="shared" si="64"/>
        <v>0</v>
      </c>
    </row>
    <row r="1142" spans="8:8" hidden="1" x14ac:dyDescent="0.35">
      <c r="H1142" s="83">
        <f t="shared" si="64"/>
        <v>0</v>
      </c>
    </row>
    <row r="1143" spans="8:8" hidden="1" x14ac:dyDescent="0.35">
      <c r="H1143" s="83">
        <f t="shared" si="64"/>
        <v>0</v>
      </c>
    </row>
    <row r="1144" spans="8:8" hidden="1" x14ac:dyDescent="0.35">
      <c r="H1144" s="83">
        <f t="shared" si="64"/>
        <v>0</v>
      </c>
    </row>
    <row r="1145" spans="8:8" hidden="1" x14ac:dyDescent="0.35">
      <c r="H1145" s="83">
        <f t="shared" si="64"/>
        <v>0</v>
      </c>
    </row>
    <row r="1146" spans="8:8" hidden="1" x14ac:dyDescent="0.35">
      <c r="H1146" s="83">
        <f t="shared" si="64"/>
        <v>0</v>
      </c>
    </row>
    <row r="1147" spans="8:8" hidden="1" x14ac:dyDescent="0.35">
      <c r="H1147" s="83">
        <f t="shared" si="64"/>
        <v>0</v>
      </c>
    </row>
    <row r="1148" spans="8:8" hidden="1" x14ac:dyDescent="0.35">
      <c r="H1148" s="83">
        <f t="shared" si="64"/>
        <v>0</v>
      </c>
    </row>
    <row r="1149" spans="8:8" hidden="1" x14ac:dyDescent="0.35">
      <c r="H1149" s="83">
        <f t="shared" si="64"/>
        <v>0</v>
      </c>
    </row>
    <row r="1150" spans="8:8" hidden="1" x14ac:dyDescent="0.35">
      <c r="H1150" s="83">
        <f t="shared" si="64"/>
        <v>0</v>
      </c>
    </row>
    <row r="1151" spans="8:8" hidden="1" x14ac:dyDescent="0.35">
      <c r="H1151" s="83">
        <f t="shared" si="64"/>
        <v>0</v>
      </c>
    </row>
    <row r="1152" spans="8:8" hidden="1" x14ac:dyDescent="0.35">
      <c r="H1152" s="83">
        <f t="shared" si="64"/>
        <v>0</v>
      </c>
    </row>
    <row r="1153" spans="8:8" hidden="1" x14ac:dyDescent="0.35">
      <c r="H1153" s="83">
        <f t="shared" si="64"/>
        <v>0</v>
      </c>
    </row>
    <row r="1154" spans="8:8" hidden="1" x14ac:dyDescent="0.35">
      <c r="H1154" s="83">
        <f t="shared" si="64"/>
        <v>0</v>
      </c>
    </row>
    <row r="1155" spans="8:8" hidden="1" x14ac:dyDescent="0.35">
      <c r="H1155" s="83">
        <f t="shared" si="64"/>
        <v>0</v>
      </c>
    </row>
    <row r="1156" spans="8:8" hidden="1" x14ac:dyDescent="0.35">
      <c r="H1156" s="83">
        <f t="shared" ref="H1156:H1219" si="65">J1156-I1156</f>
        <v>0</v>
      </c>
    </row>
    <row r="1157" spans="8:8" hidden="1" x14ac:dyDescent="0.35">
      <c r="H1157" s="83">
        <f t="shared" si="65"/>
        <v>0</v>
      </c>
    </row>
    <row r="1158" spans="8:8" hidden="1" x14ac:dyDescent="0.35">
      <c r="H1158" s="83">
        <f t="shared" si="65"/>
        <v>0</v>
      </c>
    </row>
    <row r="1159" spans="8:8" hidden="1" x14ac:dyDescent="0.35">
      <c r="H1159" s="83">
        <f t="shared" si="65"/>
        <v>0</v>
      </c>
    </row>
    <row r="1160" spans="8:8" hidden="1" x14ac:dyDescent="0.35">
      <c r="H1160" s="83">
        <f t="shared" si="65"/>
        <v>0</v>
      </c>
    </row>
    <row r="1161" spans="8:8" hidden="1" x14ac:dyDescent="0.35">
      <c r="H1161" s="83">
        <f t="shared" si="65"/>
        <v>0</v>
      </c>
    </row>
    <row r="1162" spans="8:8" hidden="1" x14ac:dyDescent="0.35">
      <c r="H1162" s="83">
        <f t="shared" si="65"/>
        <v>0</v>
      </c>
    </row>
    <row r="1163" spans="8:8" hidden="1" x14ac:dyDescent="0.35">
      <c r="H1163" s="83">
        <f t="shared" si="65"/>
        <v>0</v>
      </c>
    </row>
    <row r="1164" spans="8:8" hidden="1" x14ac:dyDescent="0.35">
      <c r="H1164" s="83">
        <f t="shared" si="65"/>
        <v>0</v>
      </c>
    </row>
    <row r="1165" spans="8:8" hidden="1" x14ac:dyDescent="0.35">
      <c r="H1165" s="83">
        <f t="shared" si="65"/>
        <v>0</v>
      </c>
    </row>
    <row r="1166" spans="8:8" hidden="1" x14ac:dyDescent="0.35">
      <c r="H1166" s="83">
        <f t="shared" si="65"/>
        <v>0</v>
      </c>
    </row>
    <row r="1167" spans="8:8" hidden="1" x14ac:dyDescent="0.35">
      <c r="H1167" s="83">
        <f t="shared" si="65"/>
        <v>0</v>
      </c>
    </row>
    <row r="1168" spans="8:8" hidden="1" x14ac:dyDescent="0.35">
      <c r="H1168" s="83">
        <f t="shared" si="65"/>
        <v>0</v>
      </c>
    </row>
    <row r="1169" spans="8:8" hidden="1" x14ac:dyDescent="0.35">
      <c r="H1169" s="83">
        <f t="shared" si="65"/>
        <v>0</v>
      </c>
    </row>
    <row r="1170" spans="8:8" hidden="1" x14ac:dyDescent="0.35">
      <c r="H1170" s="83">
        <f t="shared" si="65"/>
        <v>0</v>
      </c>
    </row>
    <row r="1171" spans="8:8" hidden="1" x14ac:dyDescent="0.35">
      <c r="H1171" s="83">
        <f t="shared" si="65"/>
        <v>0</v>
      </c>
    </row>
    <row r="1172" spans="8:8" hidden="1" x14ac:dyDescent="0.35">
      <c r="H1172" s="83">
        <f t="shared" si="65"/>
        <v>0</v>
      </c>
    </row>
    <row r="1173" spans="8:8" hidden="1" x14ac:dyDescent="0.35">
      <c r="H1173" s="83">
        <f t="shared" si="65"/>
        <v>0</v>
      </c>
    </row>
    <row r="1174" spans="8:8" hidden="1" x14ac:dyDescent="0.35">
      <c r="H1174" s="83">
        <f t="shared" si="65"/>
        <v>0</v>
      </c>
    </row>
    <row r="1175" spans="8:8" hidden="1" x14ac:dyDescent="0.35">
      <c r="H1175" s="83">
        <f t="shared" si="65"/>
        <v>0</v>
      </c>
    </row>
    <row r="1176" spans="8:8" hidden="1" x14ac:dyDescent="0.35">
      <c r="H1176" s="83">
        <f t="shared" si="65"/>
        <v>0</v>
      </c>
    </row>
    <row r="1177" spans="8:8" hidden="1" x14ac:dyDescent="0.35">
      <c r="H1177" s="83">
        <f t="shared" si="65"/>
        <v>0</v>
      </c>
    </row>
    <row r="1178" spans="8:8" hidden="1" x14ac:dyDescent="0.35">
      <c r="H1178" s="83">
        <f t="shared" si="65"/>
        <v>0</v>
      </c>
    </row>
    <row r="1179" spans="8:8" hidden="1" x14ac:dyDescent="0.35">
      <c r="H1179" s="83">
        <f t="shared" si="65"/>
        <v>0</v>
      </c>
    </row>
    <row r="1180" spans="8:8" hidden="1" x14ac:dyDescent="0.35">
      <c r="H1180" s="83">
        <f t="shared" si="65"/>
        <v>0</v>
      </c>
    </row>
    <row r="1181" spans="8:8" hidden="1" x14ac:dyDescent="0.35">
      <c r="H1181" s="83">
        <f t="shared" si="65"/>
        <v>0</v>
      </c>
    </row>
    <row r="1182" spans="8:8" hidden="1" x14ac:dyDescent="0.35">
      <c r="H1182" s="83">
        <f t="shared" si="65"/>
        <v>0</v>
      </c>
    </row>
    <row r="1183" spans="8:8" hidden="1" x14ac:dyDescent="0.35">
      <c r="H1183" s="83">
        <f t="shared" si="65"/>
        <v>0</v>
      </c>
    </row>
    <row r="1184" spans="8:8" hidden="1" x14ac:dyDescent="0.35">
      <c r="H1184" s="83">
        <f t="shared" si="65"/>
        <v>0</v>
      </c>
    </row>
    <row r="1185" spans="8:8" hidden="1" x14ac:dyDescent="0.35">
      <c r="H1185" s="83">
        <f t="shared" si="65"/>
        <v>0</v>
      </c>
    </row>
    <row r="1186" spans="8:8" hidden="1" x14ac:dyDescent="0.35">
      <c r="H1186" s="83">
        <f t="shared" si="65"/>
        <v>0</v>
      </c>
    </row>
    <row r="1187" spans="8:8" hidden="1" x14ac:dyDescent="0.35">
      <c r="H1187" s="83">
        <f t="shared" si="65"/>
        <v>0</v>
      </c>
    </row>
    <row r="1188" spans="8:8" hidden="1" x14ac:dyDescent="0.35">
      <c r="H1188" s="83">
        <f t="shared" si="65"/>
        <v>0</v>
      </c>
    </row>
    <row r="1189" spans="8:8" hidden="1" x14ac:dyDescent="0.35">
      <c r="H1189" s="83">
        <f t="shared" si="65"/>
        <v>0</v>
      </c>
    </row>
    <row r="1190" spans="8:8" hidden="1" x14ac:dyDescent="0.35">
      <c r="H1190" s="83">
        <f t="shared" si="65"/>
        <v>0</v>
      </c>
    </row>
    <row r="1191" spans="8:8" hidden="1" x14ac:dyDescent="0.35">
      <c r="H1191" s="83">
        <f t="shared" si="65"/>
        <v>0</v>
      </c>
    </row>
    <row r="1192" spans="8:8" hidden="1" x14ac:dyDescent="0.35">
      <c r="H1192" s="83">
        <f t="shared" si="65"/>
        <v>0</v>
      </c>
    </row>
    <row r="1193" spans="8:8" hidden="1" x14ac:dyDescent="0.35">
      <c r="H1193" s="83">
        <f t="shared" si="65"/>
        <v>0</v>
      </c>
    </row>
    <row r="1194" spans="8:8" hidden="1" x14ac:dyDescent="0.35">
      <c r="H1194" s="83">
        <f t="shared" si="65"/>
        <v>0</v>
      </c>
    </row>
    <row r="1195" spans="8:8" hidden="1" x14ac:dyDescent="0.35">
      <c r="H1195" s="83">
        <f t="shared" si="65"/>
        <v>0</v>
      </c>
    </row>
    <row r="1196" spans="8:8" hidden="1" x14ac:dyDescent="0.35">
      <c r="H1196" s="83">
        <f t="shared" si="65"/>
        <v>0</v>
      </c>
    </row>
    <row r="1197" spans="8:8" hidden="1" x14ac:dyDescent="0.35">
      <c r="H1197" s="83">
        <f t="shared" si="65"/>
        <v>0</v>
      </c>
    </row>
    <row r="1198" spans="8:8" hidden="1" x14ac:dyDescent="0.35">
      <c r="H1198" s="83">
        <f t="shared" si="65"/>
        <v>0</v>
      </c>
    </row>
    <row r="1199" spans="8:8" hidden="1" x14ac:dyDescent="0.35">
      <c r="H1199" s="83">
        <f t="shared" si="65"/>
        <v>0</v>
      </c>
    </row>
    <row r="1200" spans="8:8" hidden="1" x14ac:dyDescent="0.35">
      <c r="H1200" s="83">
        <f t="shared" si="65"/>
        <v>0</v>
      </c>
    </row>
    <row r="1201" spans="8:8" hidden="1" x14ac:dyDescent="0.35">
      <c r="H1201" s="83">
        <f t="shared" si="65"/>
        <v>0</v>
      </c>
    </row>
    <row r="1202" spans="8:8" hidden="1" x14ac:dyDescent="0.35">
      <c r="H1202" s="83">
        <f t="shared" si="65"/>
        <v>0</v>
      </c>
    </row>
    <row r="1203" spans="8:8" hidden="1" x14ac:dyDescent="0.35">
      <c r="H1203" s="83">
        <f t="shared" si="65"/>
        <v>0</v>
      </c>
    </row>
    <row r="1204" spans="8:8" hidden="1" x14ac:dyDescent="0.35">
      <c r="H1204" s="83">
        <f t="shared" si="65"/>
        <v>0</v>
      </c>
    </row>
    <row r="1205" spans="8:8" hidden="1" x14ac:dyDescent="0.35">
      <c r="H1205" s="83">
        <f t="shared" si="65"/>
        <v>0</v>
      </c>
    </row>
    <row r="1206" spans="8:8" hidden="1" x14ac:dyDescent="0.35">
      <c r="H1206" s="83">
        <f t="shared" si="65"/>
        <v>0</v>
      </c>
    </row>
    <row r="1207" spans="8:8" hidden="1" x14ac:dyDescent="0.35">
      <c r="H1207" s="83">
        <f t="shared" si="65"/>
        <v>0</v>
      </c>
    </row>
    <row r="1208" spans="8:8" hidden="1" x14ac:dyDescent="0.35">
      <c r="H1208" s="83">
        <f t="shared" si="65"/>
        <v>0</v>
      </c>
    </row>
    <row r="1209" spans="8:8" hidden="1" x14ac:dyDescent="0.35">
      <c r="H1209" s="83">
        <f t="shared" si="65"/>
        <v>0</v>
      </c>
    </row>
    <row r="1210" spans="8:8" hidden="1" x14ac:dyDescent="0.35">
      <c r="H1210" s="83">
        <f t="shared" si="65"/>
        <v>0</v>
      </c>
    </row>
    <row r="1211" spans="8:8" hidden="1" x14ac:dyDescent="0.35">
      <c r="H1211" s="83">
        <f t="shared" si="65"/>
        <v>0</v>
      </c>
    </row>
    <row r="1212" spans="8:8" hidden="1" x14ac:dyDescent="0.35">
      <c r="H1212" s="83">
        <f t="shared" si="65"/>
        <v>0</v>
      </c>
    </row>
    <row r="1213" spans="8:8" hidden="1" x14ac:dyDescent="0.35">
      <c r="H1213" s="83">
        <f t="shared" si="65"/>
        <v>0</v>
      </c>
    </row>
    <row r="1214" spans="8:8" hidden="1" x14ac:dyDescent="0.35">
      <c r="H1214" s="83">
        <f t="shared" si="65"/>
        <v>0</v>
      </c>
    </row>
    <row r="1215" spans="8:8" hidden="1" x14ac:dyDescent="0.35">
      <c r="H1215" s="83">
        <f t="shared" si="65"/>
        <v>0</v>
      </c>
    </row>
    <row r="1216" spans="8:8" hidden="1" x14ac:dyDescent="0.35">
      <c r="H1216" s="83">
        <f t="shared" si="65"/>
        <v>0</v>
      </c>
    </row>
    <row r="1217" spans="8:8" hidden="1" x14ac:dyDescent="0.35">
      <c r="H1217" s="83">
        <f t="shared" si="65"/>
        <v>0</v>
      </c>
    </row>
    <row r="1218" spans="8:8" hidden="1" x14ac:dyDescent="0.35">
      <c r="H1218" s="83">
        <f t="shared" si="65"/>
        <v>0</v>
      </c>
    </row>
    <row r="1219" spans="8:8" hidden="1" x14ac:dyDescent="0.35">
      <c r="H1219" s="83">
        <f t="shared" si="65"/>
        <v>0</v>
      </c>
    </row>
    <row r="1220" spans="8:8" hidden="1" x14ac:dyDescent="0.35">
      <c r="H1220" s="83">
        <f t="shared" ref="H1220:H1283" si="66">J1220-I1220</f>
        <v>0</v>
      </c>
    </row>
    <row r="1221" spans="8:8" hidden="1" x14ac:dyDescent="0.35">
      <c r="H1221" s="83">
        <f t="shared" si="66"/>
        <v>0</v>
      </c>
    </row>
    <row r="1222" spans="8:8" hidden="1" x14ac:dyDescent="0.35">
      <c r="H1222" s="83">
        <f t="shared" si="66"/>
        <v>0</v>
      </c>
    </row>
    <row r="1223" spans="8:8" hidden="1" x14ac:dyDescent="0.35">
      <c r="H1223" s="83">
        <f t="shared" si="66"/>
        <v>0</v>
      </c>
    </row>
    <row r="1224" spans="8:8" hidden="1" x14ac:dyDescent="0.35">
      <c r="H1224" s="83">
        <f t="shared" si="66"/>
        <v>0</v>
      </c>
    </row>
    <row r="1225" spans="8:8" hidden="1" x14ac:dyDescent="0.35">
      <c r="H1225" s="83">
        <f t="shared" si="66"/>
        <v>0</v>
      </c>
    </row>
    <row r="1226" spans="8:8" hidden="1" x14ac:dyDescent="0.35">
      <c r="H1226" s="83">
        <f t="shared" si="66"/>
        <v>0</v>
      </c>
    </row>
    <row r="1227" spans="8:8" hidden="1" x14ac:dyDescent="0.35">
      <c r="H1227" s="83">
        <f t="shared" si="66"/>
        <v>0</v>
      </c>
    </row>
    <row r="1228" spans="8:8" hidden="1" x14ac:dyDescent="0.35">
      <c r="H1228" s="83">
        <f t="shared" si="66"/>
        <v>0</v>
      </c>
    </row>
    <row r="1229" spans="8:8" hidden="1" x14ac:dyDescent="0.35">
      <c r="H1229" s="83">
        <f t="shared" si="66"/>
        <v>0</v>
      </c>
    </row>
    <row r="1230" spans="8:8" hidden="1" x14ac:dyDescent="0.35">
      <c r="H1230" s="83">
        <f t="shared" si="66"/>
        <v>0</v>
      </c>
    </row>
    <row r="1231" spans="8:8" hidden="1" x14ac:dyDescent="0.35">
      <c r="H1231" s="83">
        <f t="shared" si="66"/>
        <v>0</v>
      </c>
    </row>
    <row r="1232" spans="8:8" hidden="1" x14ac:dyDescent="0.35">
      <c r="H1232" s="83">
        <f t="shared" si="66"/>
        <v>0</v>
      </c>
    </row>
    <row r="1233" spans="8:8" hidden="1" x14ac:dyDescent="0.35">
      <c r="H1233" s="83">
        <f t="shared" si="66"/>
        <v>0</v>
      </c>
    </row>
    <row r="1234" spans="8:8" hidden="1" x14ac:dyDescent="0.35">
      <c r="H1234" s="83">
        <f t="shared" si="66"/>
        <v>0</v>
      </c>
    </row>
    <row r="1235" spans="8:8" hidden="1" x14ac:dyDescent="0.35">
      <c r="H1235" s="83">
        <f t="shared" si="66"/>
        <v>0</v>
      </c>
    </row>
    <row r="1236" spans="8:8" hidden="1" x14ac:dyDescent="0.35">
      <c r="H1236" s="83">
        <f t="shared" si="66"/>
        <v>0</v>
      </c>
    </row>
    <row r="1237" spans="8:8" hidden="1" x14ac:dyDescent="0.35">
      <c r="H1237" s="83">
        <f t="shared" si="66"/>
        <v>0</v>
      </c>
    </row>
    <row r="1238" spans="8:8" hidden="1" x14ac:dyDescent="0.35">
      <c r="H1238" s="83">
        <f t="shared" si="66"/>
        <v>0</v>
      </c>
    </row>
    <row r="1239" spans="8:8" hidden="1" x14ac:dyDescent="0.35">
      <c r="H1239" s="83">
        <f t="shared" si="66"/>
        <v>0</v>
      </c>
    </row>
    <row r="1240" spans="8:8" hidden="1" x14ac:dyDescent="0.35">
      <c r="H1240" s="83">
        <f t="shared" si="66"/>
        <v>0</v>
      </c>
    </row>
    <row r="1241" spans="8:8" hidden="1" x14ac:dyDescent="0.35">
      <c r="H1241" s="83">
        <f t="shared" si="66"/>
        <v>0</v>
      </c>
    </row>
    <row r="1242" spans="8:8" hidden="1" x14ac:dyDescent="0.35">
      <c r="H1242" s="83">
        <f t="shared" si="66"/>
        <v>0</v>
      </c>
    </row>
    <row r="1243" spans="8:8" hidden="1" x14ac:dyDescent="0.35">
      <c r="H1243" s="83">
        <f t="shared" si="66"/>
        <v>0</v>
      </c>
    </row>
    <row r="1244" spans="8:8" hidden="1" x14ac:dyDescent="0.35">
      <c r="H1244" s="83">
        <f t="shared" si="66"/>
        <v>0</v>
      </c>
    </row>
    <row r="1245" spans="8:8" hidden="1" x14ac:dyDescent="0.35">
      <c r="H1245" s="83">
        <f t="shared" si="66"/>
        <v>0</v>
      </c>
    </row>
    <row r="1246" spans="8:8" hidden="1" x14ac:dyDescent="0.35">
      <c r="H1246" s="83">
        <f t="shared" si="66"/>
        <v>0</v>
      </c>
    </row>
    <row r="1247" spans="8:8" hidden="1" x14ac:dyDescent="0.35">
      <c r="H1247" s="83">
        <f t="shared" si="66"/>
        <v>0</v>
      </c>
    </row>
    <row r="1248" spans="8:8" hidden="1" x14ac:dyDescent="0.35">
      <c r="H1248" s="83">
        <f t="shared" si="66"/>
        <v>0</v>
      </c>
    </row>
    <row r="1249" spans="8:8" hidden="1" x14ac:dyDescent="0.35">
      <c r="H1249" s="83">
        <f t="shared" si="66"/>
        <v>0</v>
      </c>
    </row>
    <row r="1250" spans="8:8" hidden="1" x14ac:dyDescent="0.35">
      <c r="H1250" s="83">
        <f t="shared" si="66"/>
        <v>0</v>
      </c>
    </row>
    <row r="1251" spans="8:8" hidden="1" x14ac:dyDescent="0.35">
      <c r="H1251" s="83">
        <f t="shared" si="66"/>
        <v>0</v>
      </c>
    </row>
    <row r="1252" spans="8:8" hidden="1" x14ac:dyDescent="0.35">
      <c r="H1252" s="83">
        <f t="shared" si="66"/>
        <v>0</v>
      </c>
    </row>
    <row r="1253" spans="8:8" hidden="1" x14ac:dyDescent="0.35">
      <c r="H1253" s="83">
        <f t="shared" si="66"/>
        <v>0</v>
      </c>
    </row>
    <row r="1254" spans="8:8" hidden="1" x14ac:dyDescent="0.35">
      <c r="H1254" s="83">
        <f t="shared" si="66"/>
        <v>0</v>
      </c>
    </row>
    <row r="1255" spans="8:8" hidden="1" x14ac:dyDescent="0.35">
      <c r="H1255" s="83">
        <f t="shared" si="66"/>
        <v>0</v>
      </c>
    </row>
    <row r="1256" spans="8:8" hidden="1" x14ac:dyDescent="0.35">
      <c r="H1256" s="83">
        <f t="shared" si="66"/>
        <v>0</v>
      </c>
    </row>
    <row r="1257" spans="8:8" hidden="1" x14ac:dyDescent="0.35">
      <c r="H1257" s="83">
        <f t="shared" si="66"/>
        <v>0</v>
      </c>
    </row>
    <row r="1258" spans="8:8" hidden="1" x14ac:dyDescent="0.35">
      <c r="H1258" s="83">
        <f t="shared" si="66"/>
        <v>0</v>
      </c>
    </row>
    <row r="1259" spans="8:8" hidden="1" x14ac:dyDescent="0.35">
      <c r="H1259" s="83">
        <f t="shared" si="66"/>
        <v>0</v>
      </c>
    </row>
    <row r="1260" spans="8:8" hidden="1" x14ac:dyDescent="0.35">
      <c r="H1260" s="83">
        <f t="shared" si="66"/>
        <v>0</v>
      </c>
    </row>
    <row r="1261" spans="8:8" hidden="1" x14ac:dyDescent="0.35">
      <c r="H1261" s="83">
        <f t="shared" si="66"/>
        <v>0</v>
      </c>
    </row>
    <row r="1262" spans="8:8" hidden="1" x14ac:dyDescent="0.35">
      <c r="H1262" s="83">
        <f t="shared" si="66"/>
        <v>0</v>
      </c>
    </row>
    <row r="1263" spans="8:8" hidden="1" x14ac:dyDescent="0.35">
      <c r="H1263" s="83">
        <f t="shared" si="66"/>
        <v>0</v>
      </c>
    </row>
    <row r="1264" spans="8:8" hidden="1" x14ac:dyDescent="0.35">
      <c r="H1264" s="83">
        <f t="shared" si="66"/>
        <v>0</v>
      </c>
    </row>
    <row r="1265" spans="8:8" hidden="1" x14ac:dyDescent="0.35">
      <c r="H1265" s="83">
        <f t="shared" si="66"/>
        <v>0</v>
      </c>
    </row>
    <row r="1266" spans="8:8" hidden="1" x14ac:dyDescent="0.35">
      <c r="H1266" s="83">
        <f t="shared" si="66"/>
        <v>0</v>
      </c>
    </row>
    <row r="1267" spans="8:8" hidden="1" x14ac:dyDescent="0.35">
      <c r="H1267" s="83">
        <f t="shared" si="66"/>
        <v>0</v>
      </c>
    </row>
    <row r="1268" spans="8:8" hidden="1" x14ac:dyDescent="0.35">
      <c r="H1268" s="83">
        <f t="shared" si="66"/>
        <v>0</v>
      </c>
    </row>
    <row r="1269" spans="8:8" hidden="1" x14ac:dyDescent="0.35">
      <c r="H1269" s="83">
        <f t="shared" si="66"/>
        <v>0</v>
      </c>
    </row>
    <row r="1270" spans="8:8" hidden="1" x14ac:dyDescent="0.35">
      <c r="H1270" s="83">
        <f t="shared" si="66"/>
        <v>0</v>
      </c>
    </row>
    <row r="1271" spans="8:8" hidden="1" x14ac:dyDescent="0.35">
      <c r="H1271" s="83">
        <f t="shared" si="66"/>
        <v>0</v>
      </c>
    </row>
    <row r="1272" spans="8:8" hidden="1" x14ac:dyDescent="0.35">
      <c r="H1272" s="83">
        <f t="shared" si="66"/>
        <v>0</v>
      </c>
    </row>
    <row r="1273" spans="8:8" hidden="1" x14ac:dyDescent="0.35">
      <c r="H1273" s="83">
        <f t="shared" si="66"/>
        <v>0</v>
      </c>
    </row>
    <row r="1274" spans="8:8" hidden="1" x14ac:dyDescent="0.35">
      <c r="H1274" s="83">
        <f t="shared" si="66"/>
        <v>0</v>
      </c>
    </row>
    <row r="1275" spans="8:8" hidden="1" x14ac:dyDescent="0.35">
      <c r="H1275" s="83">
        <f t="shared" si="66"/>
        <v>0</v>
      </c>
    </row>
    <row r="1276" spans="8:8" hidden="1" x14ac:dyDescent="0.35">
      <c r="H1276" s="83">
        <f t="shared" si="66"/>
        <v>0</v>
      </c>
    </row>
    <row r="1277" spans="8:8" hidden="1" x14ac:dyDescent="0.35">
      <c r="H1277" s="83">
        <f t="shared" si="66"/>
        <v>0</v>
      </c>
    </row>
    <row r="1278" spans="8:8" hidden="1" x14ac:dyDescent="0.35">
      <c r="H1278" s="83">
        <f t="shared" si="66"/>
        <v>0</v>
      </c>
    </row>
    <row r="1279" spans="8:8" hidden="1" x14ac:dyDescent="0.35">
      <c r="H1279" s="83">
        <f t="shared" si="66"/>
        <v>0</v>
      </c>
    </row>
    <row r="1280" spans="8:8" hidden="1" x14ac:dyDescent="0.35">
      <c r="H1280" s="83">
        <f t="shared" si="66"/>
        <v>0</v>
      </c>
    </row>
    <row r="1281" spans="8:8" hidden="1" x14ac:dyDescent="0.35">
      <c r="H1281" s="83">
        <f t="shared" si="66"/>
        <v>0</v>
      </c>
    </row>
    <row r="1282" spans="8:8" hidden="1" x14ac:dyDescent="0.35">
      <c r="H1282" s="83">
        <f t="shared" si="66"/>
        <v>0</v>
      </c>
    </row>
    <row r="1283" spans="8:8" hidden="1" x14ac:dyDescent="0.35">
      <c r="H1283" s="83">
        <f t="shared" si="66"/>
        <v>0</v>
      </c>
    </row>
    <row r="1284" spans="8:8" hidden="1" x14ac:dyDescent="0.35">
      <c r="H1284" s="83">
        <f t="shared" ref="H1284:H1347" si="67">J1284-I1284</f>
        <v>0</v>
      </c>
    </row>
    <row r="1285" spans="8:8" hidden="1" x14ac:dyDescent="0.35">
      <c r="H1285" s="83">
        <f t="shared" si="67"/>
        <v>0</v>
      </c>
    </row>
    <row r="1286" spans="8:8" hidden="1" x14ac:dyDescent="0.35">
      <c r="H1286" s="83">
        <f t="shared" si="67"/>
        <v>0</v>
      </c>
    </row>
    <row r="1287" spans="8:8" hidden="1" x14ac:dyDescent="0.35">
      <c r="H1287" s="83">
        <f t="shared" si="67"/>
        <v>0</v>
      </c>
    </row>
    <row r="1288" spans="8:8" hidden="1" x14ac:dyDescent="0.35">
      <c r="H1288" s="83">
        <f t="shared" si="67"/>
        <v>0</v>
      </c>
    </row>
    <row r="1289" spans="8:8" hidden="1" x14ac:dyDescent="0.35">
      <c r="H1289" s="83">
        <f t="shared" si="67"/>
        <v>0</v>
      </c>
    </row>
    <row r="1290" spans="8:8" hidden="1" x14ac:dyDescent="0.35">
      <c r="H1290" s="83">
        <f t="shared" si="67"/>
        <v>0</v>
      </c>
    </row>
    <row r="1291" spans="8:8" hidden="1" x14ac:dyDescent="0.35">
      <c r="H1291" s="83">
        <f t="shared" si="67"/>
        <v>0</v>
      </c>
    </row>
    <row r="1292" spans="8:8" hidden="1" x14ac:dyDescent="0.35">
      <c r="H1292" s="83">
        <f t="shared" si="67"/>
        <v>0</v>
      </c>
    </row>
    <row r="1293" spans="8:8" hidden="1" x14ac:dyDescent="0.35">
      <c r="H1293" s="83">
        <f t="shared" si="67"/>
        <v>0</v>
      </c>
    </row>
    <row r="1294" spans="8:8" hidden="1" x14ac:dyDescent="0.35">
      <c r="H1294" s="83">
        <f t="shared" si="67"/>
        <v>0</v>
      </c>
    </row>
    <row r="1295" spans="8:8" hidden="1" x14ac:dyDescent="0.35">
      <c r="H1295" s="83">
        <f t="shared" si="67"/>
        <v>0</v>
      </c>
    </row>
    <row r="1296" spans="8:8" hidden="1" x14ac:dyDescent="0.35">
      <c r="H1296" s="83">
        <f t="shared" si="67"/>
        <v>0</v>
      </c>
    </row>
    <row r="1297" spans="8:8" hidden="1" x14ac:dyDescent="0.35">
      <c r="H1297" s="83">
        <f t="shared" si="67"/>
        <v>0</v>
      </c>
    </row>
    <row r="1298" spans="8:8" hidden="1" x14ac:dyDescent="0.35">
      <c r="H1298" s="83">
        <f t="shared" si="67"/>
        <v>0</v>
      </c>
    </row>
    <row r="1299" spans="8:8" hidden="1" x14ac:dyDescent="0.35">
      <c r="H1299" s="83">
        <f t="shared" si="67"/>
        <v>0</v>
      </c>
    </row>
    <row r="1300" spans="8:8" hidden="1" x14ac:dyDescent="0.35">
      <c r="H1300" s="83">
        <f t="shared" si="67"/>
        <v>0</v>
      </c>
    </row>
    <row r="1301" spans="8:8" hidden="1" x14ac:dyDescent="0.35">
      <c r="H1301" s="83">
        <f t="shared" si="67"/>
        <v>0</v>
      </c>
    </row>
    <row r="1302" spans="8:8" hidden="1" x14ac:dyDescent="0.35">
      <c r="H1302" s="83">
        <f t="shared" si="67"/>
        <v>0</v>
      </c>
    </row>
    <row r="1303" spans="8:8" hidden="1" x14ac:dyDescent="0.35">
      <c r="H1303" s="83">
        <f t="shared" si="67"/>
        <v>0</v>
      </c>
    </row>
    <row r="1304" spans="8:8" hidden="1" x14ac:dyDescent="0.35">
      <c r="H1304" s="83">
        <f t="shared" si="67"/>
        <v>0</v>
      </c>
    </row>
    <row r="1305" spans="8:8" hidden="1" x14ac:dyDescent="0.35">
      <c r="H1305" s="83">
        <f t="shared" si="67"/>
        <v>0</v>
      </c>
    </row>
    <row r="1306" spans="8:8" hidden="1" x14ac:dyDescent="0.35">
      <c r="H1306" s="83">
        <f t="shared" si="67"/>
        <v>0</v>
      </c>
    </row>
    <row r="1307" spans="8:8" hidden="1" x14ac:dyDescent="0.35">
      <c r="H1307" s="83">
        <f t="shared" si="67"/>
        <v>0</v>
      </c>
    </row>
    <row r="1308" spans="8:8" hidden="1" x14ac:dyDescent="0.35">
      <c r="H1308" s="83">
        <f t="shared" si="67"/>
        <v>0</v>
      </c>
    </row>
    <row r="1309" spans="8:8" hidden="1" x14ac:dyDescent="0.35">
      <c r="H1309" s="83">
        <f t="shared" si="67"/>
        <v>0</v>
      </c>
    </row>
    <row r="1310" spans="8:8" hidden="1" x14ac:dyDescent="0.35">
      <c r="H1310" s="83">
        <f t="shared" si="67"/>
        <v>0</v>
      </c>
    </row>
    <row r="1311" spans="8:8" hidden="1" x14ac:dyDescent="0.35">
      <c r="H1311" s="83">
        <f t="shared" si="67"/>
        <v>0</v>
      </c>
    </row>
    <row r="1312" spans="8:8" hidden="1" x14ac:dyDescent="0.35">
      <c r="H1312" s="83">
        <f t="shared" si="67"/>
        <v>0</v>
      </c>
    </row>
    <row r="1313" spans="8:8" hidden="1" x14ac:dyDescent="0.35">
      <c r="H1313" s="83">
        <f t="shared" si="67"/>
        <v>0</v>
      </c>
    </row>
    <row r="1314" spans="8:8" hidden="1" x14ac:dyDescent="0.35">
      <c r="H1314" s="83">
        <f t="shared" si="67"/>
        <v>0</v>
      </c>
    </row>
    <row r="1315" spans="8:8" hidden="1" x14ac:dyDescent="0.35">
      <c r="H1315" s="83">
        <f t="shared" si="67"/>
        <v>0</v>
      </c>
    </row>
    <row r="1316" spans="8:8" hidden="1" x14ac:dyDescent="0.35">
      <c r="H1316" s="83">
        <f t="shared" si="67"/>
        <v>0</v>
      </c>
    </row>
    <row r="1317" spans="8:8" hidden="1" x14ac:dyDescent="0.35">
      <c r="H1317" s="83">
        <f t="shared" si="67"/>
        <v>0</v>
      </c>
    </row>
    <row r="1318" spans="8:8" hidden="1" x14ac:dyDescent="0.35">
      <c r="H1318" s="83">
        <f t="shared" si="67"/>
        <v>0</v>
      </c>
    </row>
    <row r="1319" spans="8:8" hidden="1" x14ac:dyDescent="0.35">
      <c r="H1319" s="83">
        <f t="shared" si="67"/>
        <v>0</v>
      </c>
    </row>
    <row r="1320" spans="8:8" hidden="1" x14ac:dyDescent="0.35">
      <c r="H1320" s="83">
        <f t="shared" si="67"/>
        <v>0</v>
      </c>
    </row>
    <row r="1321" spans="8:8" hidden="1" x14ac:dyDescent="0.35">
      <c r="H1321" s="83">
        <f t="shared" si="67"/>
        <v>0</v>
      </c>
    </row>
    <row r="1322" spans="8:8" hidden="1" x14ac:dyDescent="0.35">
      <c r="H1322" s="83">
        <f t="shared" si="67"/>
        <v>0</v>
      </c>
    </row>
    <row r="1323" spans="8:8" hidden="1" x14ac:dyDescent="0.35">
      <c r="H1323" s="83">
        <f t="shared" si="67"/>
        <v>0</v>
      </c>
    </row>
    <row r="1324" spans="8:8" hidden="1" x14ac:dyDescent="0.35">
      <c r="H1324" s="83">
        <f t="shared" si="67"/>
        <v>0</v>
      </c>
    </row>
    <row r="1325" spans="8:8" hidden="1" x14ac:dyDescent="0.35">
      <c r="H1325" s="83">
        <f t="shared" si="67"/>
        <v>0</v>
      </c>
    </row>
    <row r="1326" spans="8:8" hidden="1" x14ac:dyDescent="0.35">
      <c r="H1326" s="83">
        <f t="shared" si="67"/>
        <v>0</v>
      </c>
    </row>
    <row r="1327" spans="8:8" hidden="1" x14ac:dyDescent="0.35">
      <c r="H1327" s="83">
        <f t="shared" si="67"/>
        <v>0</v>
      </c>
    </row>
    <row r="1328" spans="8:8" hidden="1" x14ac:dyDescent="0.35">
      <c r="H1328" s="83">
        <f t="shared" si="67"/>
        <v>0</v>
      </c>
    </row>
    <row r="1329" spans="8:8" hidden="1" x14ac:dyDescent="0.35">
      <c r="H1329" s="83">
        <f t="shared" si="67"/>
        <v>0</v>
      </c>
    </row>
    <row r="1330" spans="8:8" hidden="1" x14ac:dyDescent="0.35">
      <c r="H1330" s="83">
        <f t="shared" si="67"/>
        <v>0</v>
      </c>
    </row>
    <row r="1331" spans="8:8" hidden="1" x14ac:dyDescent="0.35">
      <c r="H1331" s="83">
        <f t="shared" si="67"/>
        <v>0</v>
      </c>
    </row>
    <row r="1332" spans="8:8" hidden="1" x14ac:dyDescent="0.35">
      <c r="H1332" s="83">
        <f t="shared" si="67"/>
        <v>0</v>
      </c>
    </row>
    <row r="1333" spans="8:8" hidden="1" x14ac:dyDescent="0.35">
      <c r="H1333" s="83">
        <f t="shared" si="67"/>
        <v>0</v>
      </c>
    </row>
    <row r="1334" spans="8:8" hidden="1" x14ac:dyDescent="0.35">
      <c r="H1334" s="83">
        <f t="shared" si="67"/>
        <v>0</v>
      </c>
    </row>
    <row r="1335" spans="8:8" hidden="1" x14ac:dyDescent="0.35">
      <c r="H1335" s="83">
        <f t="shared" si="67"/>
        <v>0</v>
      </c>
    </row>
    <row r="1336" spans="8:8" hidden="1" x14ac:dyDescent="0.35">
      <c r="H1336" s="83">
        <f t="shared" si="67"/>
        <v>0</v>
      </c>
    </row>
    <row r="1337" spans="8:8" hidden="1" x14ac:dyDescent="0.35">
      <c r="H1337" s="83">
        <f t="shared" si="67"/>
        <v>0</v>
      </c>
    </row>
    <row r="1338" spans="8:8" hidden="1" x14ac:dyDescent="0.35">
      <c r="H1338" s="83">
        <f t="shared" si="67"/>
        <v>0</v>
      </c>
    </row>
    <row r="1339" spans="8:8" hidden="1" x14ac:dyDescent="0.35">
      <c r="H1339" s="83">
        <f t="shared" si="67"/>
        <v>0</v>
      </c>
    </row>
    <row r="1340" spans="8:8" hidden="1" x14ac:dyDescent="0.35">
      <c r="H1340" s="83">
        <f t="shared" si="67"/>
        <v>0</v>
      </c>
    </row>
    <row r="1341" spans="8:8" hidden="1" x14ac:dyDescent="0.35">
      <c r="H1341" s="83">
        <f t="shared" si="67"/>
        <v>0</v>
      </c>
    </row>
    <row r="1342" spans="8:8" hidden="1" x14ac:dyDescent="0.35">
      <c r="H1342" s="83">
        <f t="shared" si="67"/>
        <v>0</v>
      </c>
    </row>
    <row r="1343" spans="8:8" hidden="1" x14ac:dyDescent="0.35">
      <c r="H1343" s="83">
        <f t="shared" si="67"/>
        <v>0</v>
      </c>
    </row>
    <row r="1344" spans="8:8" hidden="1" x14ac:dyDescent="0.35">
      <c r="H1344" s="83">
        <f t="shared" si="67"/>
        <v>0</v>
      </c>
    </row>
    <row r="1345" spans="8:8" hidden="1" x14ac:dyDescent="0.35">
      <c r="H1345" s="83">
        <f t="shared" si="67"/>
        <v>0</v>
      </c>
    </row>
    <row r="1346" spans="8:8" hidden="1" x14ac:dyDescent="0.35">
      <c r="H1346" s="83">
        <f t="shared" si="67"/>
        <v>0</v>
      </c>
    </row>
    <row r="1347" spans="8:8" hidden="1" x14ac:dyDescent="0.35">
      <c r="H1347" s="83">
        <f t="shared" si="67"/>
        <v>0</v>
      </c>
    </row>
    <row r="1348" spans="8:8" hidden="1" x14ac:dyDescent="0.35">
      <c r="H1348" s="83">
        <f t="shared" ref="H1348:H1411" si="68">J1348-I1348</f>
        <v>0</v>
      </c>
    </row>
    <row r="1349" spans="8:8" hidden="1" x14ac:dyDescent="0.35">
      <c r="H1349" s="83">
        <f t="shared" si="68"/>
        <v>0</v>
      </c>
    </row>
    <row r="1350" spans="8:8" hidden="1" x14ac:dyDescent="0.35">
      <c r="H1350" s="83">
        <f t="shared" si="68"/>
        <v>0</v>
      </c>
    </row>
    <row r="1351" spans="8:8" hidden="1" x14ac:dyDescent="0.35">
      <c r="H1351" s="83">
        <f t="shared" si="68"/>
        <v>0</v>
      </c>
    </row>
    <row r="1352" spans="8:8" hidden="1" x14ac:dyDescent="0.35">
      <c r="H1352" s="83">
        <f t="shared" si="68"/>
        <v>0</v>
      </c>
    </row>
    <row r="1353" spans="8:8" hidden="1" x14ac:dyDescent="0.35">
      <c r="H1353" s="83">
        <f t="shared" si="68"/>
        <v>0</v>
      </c>
    </row>
    <row r="1354" spans="8:8" hidden="1" x14ac:dyDescent="0.35">
      <c r="H1354" s="83">
        <f t="shared" si="68"/>
        <v>0</v>
      </c>
    </row>
    <row r="1355" spans="8:8" hidden="1" x14ac:dyDescent="0.35">
      <c r="H1355" s="83">
        <f t="shared" si="68"/>
        <v>0</v>
      </c>
    </row>
    <row r="1356" spans="8:8" hidden="1" x14ac:dyDescent="0.35">
      <c r="H1356" s="83">
        <f t="shared" si="68"/>
        <v>0</v>
      </c>
    </row>
    <row r="1357" spans="8:8" hidden="1" x14ac:dyDescent="0.35">
      <c r="H1357" s="83">
        <f t="shared" si="68"/>
        <v>0</v>
      </c>
    </row>
    <row r="1358" spans="8:8" hidden="1" x14ac:dyDescent="0.35">
      <c r="H1358" s="83">
        <f t="shared" si="68"/>
        <v>0</v>
      </c>
    </row>
    <row r="1359" spans="8:8" hidden="1" x14ac:dyDescent="0.35">
      <c r="H1359" s="83">
        <f t="shared" si="68"/>
        <v>0</v>
      </c>
    </row>
    <row r="1360" spans="8:8" hidden="1" x14ac:dyDescent="0.35">
      <c r="H1360" s="83">
        <f t="shared" si="68"/>
        <v>0</v>
      </c>
    </row>
    <row r="1361" spans="8:8" hidden="1" x14ac:dyDescent="0.35">
      <c r="H1361" s="83">
        <f t="shared" si="68"/>
        <v>0</v>
      </c>
    </row>
    <row r="1362" spans="8:8" hidden="1" x14ac:dyDescent="0.35">
      <c r="H1362" s="83">
        <f t="shared" si="68"/>
        <v>0</v>
      </c>
    </row>
    <row r="1363" spans="8:8" hidden="1" x14ac:dyDescent="0.35">
      <c r="H1363" s="83">
        <f t="shared" si="68"/>
        <v>0</v>
      </c>
    </row>
    <row r="1364" spans="8:8" hidden="1" x14ac:dyDescent="0.35">
      <c r="H1364" s="83">
        <f t="shared" si="68"/>
        <v>0</v>
      </c>
    </row>
    <row r="1365" spans="8:8" hidden="1" x14ac:dyDescent="0.35">
      <c r="H1365" s="83">
        <f t="shared" si="68"/>
        <v>0</v>
      </c>
    </row>
    <row r="1366" spans="8:8" hidden="1" x14ac:dyDescent="0.35">
      <c r="H1366" s="83">
        <f t="shared" si="68"/>
        <v>0</v>
      </c>
    </row>
    <row r="1367" spans="8:8" hidden="1" x14ac:dyDescent="0.35">
      <c r="H1367" s="83">
        <f t="shared" si="68"/>
        <v>0</v>
      </c>
    </row>
    <row r="1368" spans="8:8" hidden="1" x14ac:dyDescent="0.35">
      <c r="H1368" s="83">
        <f t="shared" si="68"/>
        <v>0</v>
      </c>
    </row>
    <row r="1369" spans="8:8" hidden="1" x14ac:dyDescent="0.35">
      <c r="H1369" s="83">
        <f t="shared" si="68"/>
        <v>0</v>
      </c>
    </row>
    <row r="1370" spans="8:8" hidden="1" x14ac:dyDescent="0.35">
      <c r="H1370" s="83">
        <f t="shared" si="68"/>
        <v>0</v>
      </c>
    </row>
    <row r="1371" spans="8:8" hidden="1" x14ac:dyDescent="0.35">
      <c r="H1371" s="83">
        <f t="shared" si="68"/>
        <v>0</v>
      </c>
    </row>
    <row r="1372" spans="8:8" hidden="1" x14ac:dyDescent="0.35">
      <c r="H1372" s="83">
        <f t="shared" si="68"/>
        <v>0</v>
      </c>
    </row>
    <row r="1373" spans="8:8" hidden="1" x14ac:dyDescent="0.35">
      <c r="H1373" s="83">
        <f t="shared" si="68"/>
        <v>0</v>
      </c>
    </row>
    <row r="1374" spans="8:8" hidden="1" x14ac:dyDescent="0.35">
      <c r="H1374" s="83">
        <f t="shared" si="68"/>
        <v>0</v>
      </c>
    </row>
    <row r="1375" spans="8:8" hidden="1" x14ac:dyDescent="0.35">
      <c r="H1375" s="83">
        <f t="shared" si="68"/>
        <v>0</v>
      </c>
    </row>
    <row r="1376" spans="8:8" hidden="1" x14ac:dyDescent="0.35">
      <c r="H1376" s="83">
        <f t="shared" si="68"/>
        <v>0</v>
      </c>
    </row>
    <row r="1377" spans="8:8" hidden="1" x14ac:dyDescent="0.35">
      <c r="H1377" s="83">
        <f t="shared" si="68"/>
        <v>0</v>
      </c>
    </row>
    <row r="1378" spans="8:8" hidden="1" x14ac:dyDescent="0.35">
      <c r="H1378" s="83">
        <f t="shared" si="68"/>
        <v>0</v>
      </c>
    </row>
    <row r="1379" spans="8:8" hidden="1" x14ac:dyDescent="0.35">
      <c r="H1379" s="83">
        <f t="shared" si="68"/>
        <v>0</v>
      </c>
    </row>
    <row r="1380" spans="8:8" hidden="1" x14ac:dyDescent="0.35">
      <c r="H1380" s="83">
        <f t="shared" si="68"/>
        <v>0</v>
      </c>
    </row>
    <row r="1381" spans="8:8" hidden="1" x14ac:dyDescent="0.35">
      <c r="H1381" s="83">
        <f t="shared" si="68"/>
        <v>0</v>
      </c>
    </row>
    <row r="1382" spans="8:8" hidden="1" x14ac:dyDescent="0.35">
      <c r="H1382" s="83">
        <f t="shared" si="68"/>
        <v>0</v>
      </c>
    </row>
    <row r="1383" spans="8:8" hidden="1" x14ac:dyDescent="0.35">
      <c r="H1383" s="83">
        <f t="shared" si="68"/>
        <v>0</v>
      </c>
    </row>
    <row r="1384" spans="8:8" hidden="1" x14ac:dyDescent="0.35">
      <c r="H1384" s="83">
        <f t="shared" si="68"/>
        <v>0</v>
      </c>
    </row>
    <row r="1385" spans="8:8" hidden="1" x14ac:dyDescent="0.35">
      <c r="H1385" s="83">
        <f t="shared" si="68"/>
        <v>0</v>
      </c>
    </row>
    <row r="1386" spans="8:8" hidden="1" x14ac:dyDescent="0.35">
      <c r="H1386" s="83">
        <f t="shared" si="68"/>
        <v>0</v>
      </c>
    </row>
    <row r="1387" spans="8:8" hidden="1" x14ac:dyDescent="0.35">
      <c r="H1387" s="83">
        <f t="shared" si="68"/>
        <v>0</v>
      </c>
    </row>
    <row r="1388" spans="8:8" hidden="1" x14ac:dyDescent="0.35">
      <c r="H1388" s="83">
        <f t="shared" si="68"/>
        <v>0</v>
      </c>
    </row>
    <row r="1389" spans="8:8" hidden="1" x14ac:dyDescent="0.35">
      <c r="H1389" s="83">
        <f t="shared" si="68"/>
        <v>0</v>
      </c>
    </row>
    <row r="1390" spans="8:8" hidden="1" x14ac:dyDescent="0.35">
      <c r="H1390" s="83">
        <f t="shared" si="68"/>
        <v>0</v>
      </c>
    </row>
    <row r="1391" spans="8:8" hidden="1" x14ac:dyDescent="0.35">
      <c r="H1391" s="83">
        <f t="shared" si="68"/>
        <v>0</v>
      </c>
    </row>
    <row r="1392" spans="8:8" hidden="1" x14ac:dyDescent="0.35">
      <c r="H1392" s="83">
        <f t="shared" si="68"/>
        <v>0</v>
      </c>
    </row>
    <row r="1393" spans="8:8" hidden="1" x14ac:dyDescent="0.35">
      <c r="H1393" s="83">
        <f t="shared" si="68"/>
        <v>0</v>
      </c>
    </row>
    <row r="1394" spans="8:8" hidden="1" x14ac:dyDescent="0.35">
      <c r="H1394" s="83">
        <f t="shared" si="68"/>
        <v>0</v>
      </c>
    </row>
    <row r="1395" spans="8:8" hidden="1" x14ac:dyDescent="0.35">
      <c r="H1395" s="83">
        <f t="shared" si="68"/>
        <v>0</v>
      </c>
    </row>
    <row r="1396" spans="8:8" hidden="1" x14ac:dyDescent="0.35">
      <c r="H1396" s="83">
        <f t="shared" si="68"/>
        <v>0</v>
      </c>
    </row>
    <row r="1397" spans="8:8" hidden="1" x14ac:dyDescent="0.35">
      <c r="H1397" s="83">
        <f t="shared" si="68"/>
        <v>0</v>
      </c>
    </row>
    <row r="1398" spans="8:8" hidden="1" x14ac:dyDescent="0.35">
      <c r="H1398" s="83">
        <f t="shared" si="68"/>
        <v>0</v>
      </c>
    </row>
    <row r="1399" spans="8:8" hidden="1" x14ac:dyDescent="0.35">
      <c r="H1399" s="83">
        <f t="shared" si="68"/>
        <v>0</v>
      </c>
    </row>
    <row r="1400" spans="8:8" hidden="1" x14ac:dyDescent="0.35">
      <c r="H1400" s="83">
        <f t="shared" si="68"/>
        <v>0</v>
      </c>
    </row>
    <row r="1401" spans="8:8" hidden="1" x14ac:dyDescent="0.35">
      <c r="H1401" s="83">
        <f t="shared" si="68"/>
        <v>0</v>
      </c>
    </row>
    <row r="1402" spans="8:8" hidden="1" x14ac:dyDescent="0.35">
      <c r="H1402" s="83">
        <f t="shared" si="68"/>
        <v>0</v>
      </c>
    </row>
    <row r="1403" spans="8:8" hidden="1" x14ac:dyDescent="0.35">
      <c r="H1403" s="83">
        <f t="shared" si="68"/>
        <v>0</v>
      </c>
    </row>
    <row r="1404" spans="8:8" hidden="1" x14ac:dyDescent="0.35">
      <c r="H1404" s="83">
        <f t="shared" si="68"/>
        <v>0</v>
      </c>
    </row>
    <row r="1405" spans="8:8" hidden="1" x14ac:dyDescent="0.35">
      <c r="H1405" s="83">
        <f t="shared" si="68"/>
        <v>0</v>
      </c>
    </row>
    <row r="1406" spans="8:8" hidden="1" x14ac:dyDescent="0.35">
      <c r="H1406" s="83">
        <f t="shared" si="68"/>
        <v>0</v>
      </c>
    </row>
    <row r="1407" spans="8:8" hidden="1" x14ac:dyDescent="0.35">
      <c r="H1407" s="83">
        <f t="shared" si="68"/>
        <v>0</v>
      </c>
    </row>
    <row r="1408" spans="8:8" hidden="1" x14ac:dyDescent="0.35">
      <c r="H1408" s="83">
        <f t="shared" si="68"/>
        <v>0</v>
      </c>
    </row>
    <row r="1409" spans="8:8" hidden="1" x14ac:dyDescent="0.35">
      <c r="H1409" s="83">
        <f t="shared" si="68"/>
        <v>0</v>
      </c>
    </row>
    <row r="1410" spans="8:8" hidden="1" x14ac:dyDescent="0.35">
      <c r="H1410" s="83">
        <f t="shared" si="68"/>
        <v>0</v>
      </c>
    </row>
    <row r="1411" spans="8:8" hidden="1" x14ac:dyDescent="0.35">
      <c r="H1411" s="83">
        <f t="shared" si="68"/>
        <v>0</v>
      </c>
    </row>
    <row r="1412" spans="8:8" hidden="1" x14ac:dyDescent="0.35">
      <c r="H1412" s="83">
        <f t="shared" ref="H1412:H1475" si="69">J1412-I1412</f>
        <v>0</v>
      </c>
    </row>
    <row r="1413" spans="8:8" hidden="1" x14ac:dyDescent="0.35">
      <c r="H1413" s="83">
        <f t="shared" si="69"/>
        <v>0</v>
      </c>
    </row>
    <row r="1414" spans="8:8" hidden="1" x14ac:dyDescent="0.35">
      <c r="H1414" s="83">
        <f t="shared" si="69"/>
        <v>0</v>
      </c>
    </row>
    <row r="1415" spans="8:8" hidden="1" x14ac:dyDescent="0.35">
      <c r="H1415" s="83">
        <f t="shared" si="69"/>
        <v>0</v>
      </c>
    </row>
    <row r="1416" spans="8:8" hidden="1" x14ac:dyDescent="0.35">
      <c r="H1416" s="83">
        <f t="shared" si="69"/>
        <v>0</v>
      </c>
    </row>
    <row r="1417" spans="8:8" hidden="1" x14ac:dyDescent="0.35">
      <c r="H1417" s="83">
        <f t="shared" si="69"/>
        <v>0</v>
      </c>
    </row>
    <row r="1418" spans="8:8" hidden="1" x14ac:dyDescent="0.35">
      <c r="H1418" s="83">
        <f t="shared" si="69"/>
        <v>0</v>
      </c>
    </row>
    <row r="1419" spans="8:8" hidden="1" x14ac:dyDescent="0.35">
      <c r="H1419" s="83">
        <f t="shared" si="69"/>
        <v>0</v>
      </c>
    </row>
    <row r="1420" spans="8:8" hidden="1" x14ac:dyDescent="0.35">
      <c r="H1420" s="83">
        <f t="shared" si="69"/>
        <v>0</v>
      </c>
    </row>
    <row r="1421" spans="8:8" hidden="1" x14ac:dyDescent="0.35">
      <c r="H1421" s="83">
        <f t="shared" si="69"/>
        <v>0</v>
      </c>
    </row>
    <row r="1422" spans="8:8" hidden="1" x14ac:dyDescent="0.35">
      <c r="H1422" s="83">
        <f t="shared" si="69"/>
        <v>0</v>
      </c>
    </row>
    <row r="1423" spans="8:8" hidden="1" x14ac:dyDescent="0.35">
      <c r="H1423" s="83">
        <f t="shared" si="69"/>
        <v>0</v>
      </c>
    </row>
    <row r="1424" spans="8:8" hidden="1" x14ac:dyDescent="0.35">
      <c r="H1424" s="83">
        <f t="shared" si="69"/>
        <v>0</v>
      </c>
    </row>
    <row r="1425" spans="8:8" hidden="1" x14ac:dyDescent="0.35">
      <c r="H1425" s="83">
        <f t="shared" si="69"/>
        <v>0</v>
      </c>
    </row>
    <row r="1426" spans="8:8" hidden="1" x14ac:dyDescent="0.35">
      <c r="H1426" s="83">
        <f t="shared" si="69"/>
        <v>0</v>
      </c>
    </row>
    <row r="1427" spans="8:8" hidden="1" x14ac:dyDescent="0.35">
      <c r="H1427" s="83">
        <f t="shared" si="69"/>
        <v>0</v>
      </c>
    </row>
    <row r="1428" spans="8:8" hidden="1" x14ac:dyDescent="0.35">
      <c r="H1428" s="83">
        <f t="shared" si="69"/>
        <v>0</v>
      </c>
    </row>
    <row r="1429" spans="8:8" hidden="1" x14ac:dyDescent="0.35">
      <c r="H1429" s="83">
        <f t="shared" si="69"/>
        <v>0</v>
      </c>
    </row>
    <row r="1430" spans="8:8" hidden="1" x14ac:dyDescent="0.35">
      <c r="H1430" s="83">
        <f t="shared" si="69"/>
        <v>0</v>
      </c>
    </row>
    <row r="1431" spans="8:8" hidden="1" x14ac:dyDescent="0.35">
      <c r="H1431" s="83">
        <f t="shared" si="69"/>
        <v>0</v>
      </c>
    </row>
    <row r="1432" spans="8:8" hidden="1" x14ac:dyDescent="0.35">
      <c r="H1432" s="83">
        <f t="shared" si="69"/>
        <v>0</v>
      </c>
    </row>
    <row r="1433" spans="8:8" hidden="1" x14ac:dyDescent="0.35">
      <c r="H1433" s="83">
        <f t="shared" si="69"/>
        <v>0</v>
      </c>
    </row>
    <row r="1434" spans="8:8" hidden="1" x14ac:dyDescent="0.35">
      <c r="H1434" s="83">
        <f t="shared" si="69"/>
        <v>0</v>
      </c>
    </row>
    <row r="1435" spans="8:8" hidden="1" x14ac:dyDescent="0.35">
      <c r="H1435" s="83">
        <f t="shared" si="69"/>
        <v>0</v>
      </c>
    </row>
    <row r="1436" spans="8:8" hidden="1" x14ac:dyDescent="0.35">
      <c r="H1436" s="83">
        <f t="shared" si="69"/>
        <v>0</v>
      </c>
    </row>
    <row r="1437" spans="8:8" hidden="1" x14ac:dyDescent="0.35">
      <c r="H1437" s="83">
        <f t="shared" si="69"/>
        <v>0</v>
      </c>
    </row>
    <row r="1438" spans="8:8" hidden="1" x14ac:dyDescent="0.35">
      <c r="H1438" s="83">
        <f t="shared" si="69"/>
        <v>0</v>
      </c>
    </row>
    <row r="1439" spans="8:8" hidden="1" x14ac:dyDescent="0.35">
      <c r="H1439" s="83">
        <f t="shared" si="69"/>
        <v>0</v>
      </c>
    </row>
    <row r="1440" spans="8:8" hidden="1" x14ac:dyDescent="0.35">
      <c r="H1440" s="83">
        <f t="shared" si="69"/>
        <v>0</v>
      </c>
    </row>
    <row r="1441" spans="8:8" hidden="1" x14ac:dyDescent="0.35">
      <c r="H1441" s="83">
        <f t="shared" si="69"/>
        <v>0</v>
      </c>
    </row>
    <row r="1442" spans="8:8" hidden="1" x14ac:dyDescent="0.35">
      <c r="H1442" s="83">
        <f t="shared" si="69"/>
        <v>0</v>
      </c>
    </row>
    <row r="1443" spans="8:8" hidden="1" x14ac:dyDescent="0.35">
      <c r="H1443" s="83">
        <f t="shared" si="69"/>
        <v>0</v>
      </c>
    </row>
    <row r="1444" spans="8:8" hidden="1" x14ac:dyDescent="0.35">
      <c r="H1444" s="83">
        <f t="shared" si="69"/>
        <v>0</v>
      </c>
    </row>
    <row r="1445" spans="8:8" hidden="1" x14ac:dyDescent="0.35">
      <c r="H1445" s="83">
        <f t="shared" si="69"/>
        <v>0</v>
      </c>
    </row>
    <row r="1446" spans="8:8" hidden="1" x14ac:dyDescent="0.35">
      <c r="H1446" s="83">
        <f t="shared" si="69"/>
        <v>0</v>
      </c>
    </row>
    <row r="1447" spans="8:8" hidden="1" x14ac:dyDescent="0.35">
      <c r="H1447" s="83">
        <f t="shared" si="69"/>
        <v>0</v>
      </c>
    </row>
    <row r="1448" spans="8:8" hidden="1" x14ac:dyDescent="0.35">
      <c r="H1448" s="83">
        <f t="shared" si="69"/>
        <v>0</v>
      </c>
    </row>
    <row r="1449" spans="8:8" hidden="1" x14ac:dyDescent="0.35">
      <c r="H1449" s="83">
        <f t="shared" si="69"/>
        <v>0</v>
      </c>
    </row>
    <row r="1450" spans="8:8" hidden="1" x14ac:dyDescent="0.35">
      <c r="H1450" s="83">
        <f t="shared" si="69"/>
        <v>0</v>
      </c>
    </row>
    <row r="1451" spans="8:8" hidden="1" x14ac:dyDescent="0.35">
      <c r="H1451" s="83">
        <f t="shared" si="69"/>
        <v>0</v>
      </c>
    </row>
    <row r="1452" spans="8:8" hidden="1" x14ac:dyDescent="0.35">
      <c r="H1452" s="83">
        <f t="shared" si="69"/>
        <v>0</v>
      </c>
    </row>
    <row r="1453" spans="8:8" hidden="1" x14ac:dyDescent="0.35">
      <c r="H1453" s="83">
        <f t="shared" si="69"/>
        <v>0</v>
      </c>
    </row>
    <row r="1454" spans="8:8" hidden="1" x14ac:dyDescent="0.35">
      <c r="H1454" s="83">
        <f t="shared" si="69"/>
        <v>0</v>
      </c>
    </row>
    <row r="1455" spans="8:8" hidden="1" x14ac:dyDescent="0.35">
      <c r="H1455" s="83">
        <f t="shared" si="69"/>
        <v>0</v>
      </c>
    </row>
    <row r="1456" spans="8:8" hidden="1" x14ac:dyDescent="0.35">
      <c r="H1456" s="83">
        <f t="shared" si="69"/>
        <v>0</v>
      </c>
    </row>
    <row r="1457" spans="8:8" hidden="1" x14ac:dyDescent="0.35">
      <c r="H1457" s="83">
        <f t="shared" si="69"/>
        <v>0</v>
      </c>
    </row>
    <row r="1458" spans="8:8" hidden="1" x14ac:dyDescent="0.35">
      <c r="H1458" s="83">
        <f t="shared" si="69"/>
        <v>0</v>
      </c>
    </row>
    <row r="1459" spans="8:8" hidden="1" x14ac:dyDescent="0.35">
      <c r="H1459" s="83">
        <f t="shared" si="69"/>
        <v>0</v>
      </c>
    </row>
    <row r="1460" spans="8:8" hidden="1" x14ac:dyDescent="0.35">
      <c r="H1460" s="83">
        <f t="shared" si="69"/>
        <v>0</v>
      </c>
    </row>
    <row r="1461" spans="8:8" hidden="1" x14ac:dyDescent="0.35">
      <c r="H1461" s="83">
        <f t="shared" si="69"/>
        <v>0</v>
      </c>
    </row>
    <row r="1462" spans="8:8" hidden="1" x14ac:dyDescent="0.35">
      <c r="H1462" s="83">
        <f t="shared" si="69"/>
        <v>0</v>
      </c>
    </row>
    <row r="1463" spans="8:8" hidden="1" x14ac:dyDescent="0.35">
      <c r="H1463" s="83">
        <f t="shared" si="69"/>
        <v>0</v>
      </c>
    </row>
    <row r="1464" spans="8:8" hidden="1" x14ac:dyDescent="0.35">
      <c r="H1464" s="83">
        <f t="shared" si="69"/>
        <v>0</v>
      </c>
    </row>
    <row r="1465" spans="8:8" hidden="1" x14ac:dyDescent="0.35">
      <c r="H1465" s="83">
        <f t="shared" si="69"/>
        <v>0</v>
      </c>
    </row>
    <row r="1466" spans="8:8" hidden="1" x14ac:dyDescent="0.35">
      <c r="H1466" s="83">
        <f t="shared" si="69"/>
        <v>0</v>
      </c>
    </row>
    <row r="1467" spans="8:8" hidden="1" x14ac:dyDescent="0.35">
      <c r="H1467" s="83">
        <f t="shared" si="69"/>
        <v>0</v>
      </c>
    </row>
    <row r="1468" spans="8:8" hidden="1" x14ac:dyDescent="0.35">
      <c r="H1468" s="83">
        <f t="shared" si="69"/>
        <v>0</v>
      </c>
    </row>
    <row r="1469" spans="8:8" hidden="1" x14ac:dyDescent="0.35">
      <c r="H1469" s="83">
        <f t="shared" si="69"/>
        <v>0</v>
      </c>
    </row>
    <row r="1470" spans="8:8" hidden="1" x14ac:dyDescent="0.35">
      <c r="H1470" s="83">
        <f t="shared" si="69"/>
        <v>0</v>
      </c>
    </row>
    <row r="1471" spans="8:8" hidden="1" x14ac:dyDescent="0.35">
      <c r="H1471" s="83">
        <f t="shared" si="69"/>
        <v>0</v>
      </c>
    </row>
    <row r="1472" spans="8:8" hidden="1" x14ac:dyDescent="0.35">
      <c r="H1472" s="83">
        <f t="shared" si="69"/>
        <v>0</v>
      </c>
    </row>
    <row r="1473" spans="8:8" hidden="1" x14ac:dyDescent="0.35">
      <c r="H1473" s="83">
        <f t="shared" si="69"/>
        <v>0</v>
      </c>
    </row>
    <row r="1474" spans="8:8" hidden="1" x14ac:dyDescent="0.35">
      <c r="H1474" s="83">
        <f t="shared" si="69"/>
        <v>0</v>
      </c>
    </row>
    <row r="1475" spans="8:8" hidden="1" x14ac:dyDescent="0.35">
      <c r="H1475" s="83">
        <f t="shared" si="69"/>
        <v>0</v>
      </c>
    </row>
    <row r="1476" spans="8:8" hidden="1" x14ac:dyDescent="0.35">
      <c r="H1476" s="83">
        <f t="shared" ref="H1476:H1539" si="70">J1476-I1476</f>
        <v>0</v>
      </c>
    </row>
    <row r="1477" spans="8:8" hidden="1" x14ac:dyDescent="0.35">
      <c r="H1477" s="83">
        <f t="shared" si="70"/>
        <v>0</v>
      </c>
    </row>
    <row r="1478" spans="8:8" hidden="1" x14ac:dyDescent="0.35">
      <c r="H1478" s="83">
        <f t="shared" si="70"/>
        <v>0</v>
      </c>
    </row>
    <row r="1479" spans="8:8" hidden="1" x14ac:dyDescent="0.35">
      <c r="H1479" s="83">
        <f t="shared" si="70"/>
        <v>0</v>
      </c>
    </row>
    <row r="1480" spans="8:8" hidden="1" x14ac:dyDescent="0.35">
      <c r="H1480" s="83">
        <f t="shared" si="70"/>
        <v>0</v>
      </c>
    </row>
    <row r="1481" spans="8:8" hidden="1" x14ac:dyDescent="0.35">
      <c r="H1481" s="83">
        <f t="shared" si="70"/>
        <v>0</v>
      </c>
    </row>
    <row r="1482" spans="8:8" hidden="1" x14ac:dyDescent="0.35">
      <c r="H1482" s="83">
        <f t="shared" si="70"/>
        <v>0</v>
      </c>
    </row>
    <row r="1483" spans="8:8" hidden="1" x14ac:dyDescent="0.35">
      <c r="H1483" s="83">
        <f t="shared" si="70"/>
        <v>0</v>
      </c>
    </row>
    <row r="1484" spans="8:8" hidden="1" x14ac:dyDescent="0.35">
      <c r="H1484" s="83">
        <f t="shared" si="70"/>
        <v>0</v>
      </c>
    </row>
    <row r="1485" spans="8:8" hidden="1" x14ac:dyDescent="0.35">
      <c r="H1485" s="83">
        <f t="shared" si="70"/>
        <v>0</v>
      </c>
    </row>
    <row r="1486" spans="8:8" hidden="1" x14ac:dyDescent="0.35">
      <c r="H1486" s="83">
        <f t="shared" si="70"/>
        <v>0</v>
      </c>
    </row>
    <row r="1487" spans="8:8" hidden="1" x14ac:dyDescent="0.35">
      <c r="H1487" s="83">
        <f t="shared" si="70"/>
        <v>0</v>
      </c>
    </row>
    <row r="1488" spans="8:8" hidden="1" x14ac:dyDescent="0.35">
      <c r="H1488" s="83">
        <f t="shared" si="70"/>
        <v>0</v>
      </c>
    </row>
    <row r="1489" spans="8:8" hidden="1" x14ac:dyDescent="0.35">
      <c r="H1489" s="83">
        <f t="shared" si="70"/>
        <v>0</v>
      </c>
    </row>
    <row r="1490" spans="8:8" hidden="1" x14ac:dyDescent="0.35">
      <c r="H1490" s="83">
        <f t="shared" si="70"/>
        <v>0</v>
      </c>
    </row>
    <row r="1491" spans="8:8" hidden="1" x14ac:dyDescent="0.35">
      <c r="H1491" s="83">
        <f t="shared" si="70"/>
        <v>0</v>
      </c>
    </row>
    <row r="1492" spans="8:8" hidden="1" x14ac:dyDescent="0.35">
      <c r="H1492" s="83">
        <f t="shared" si="70"/>
        <v>0</v>
      </c>
    </row>
    <row r="1493" spans="8:8" hidden="1" x14ac:dyDescent="0.35">
      <c r="H1493" s="83">
        <f t="shared" si="70"/>
        <v>0</v>
      </c>
    </row>
    <row r="1494" spans="8:8" hidden="1" x14ac:dyDescent="0.35">
      <c r="H1494" s="83">
        <f t="shared" si="70"/>
        <v>0</v>
      </c>
    </row>
    <row r="1495" spans="8:8" hidden="1" x14ac:dyDescent="0.35">
      <c r="H1495" s="83">
        <f t="shared" si="70"/>
        <v>0</v>
      </c>
    </row>
    <row r="1496" spans="8:8" hidden="1" x14ac:dyDescent="0.35">
      <c r="H1496" s="83">
        <f t="shared" si="70"/>
        <v>0</v>
      </c>
    </row>
    <row r="1497" spans="8:8" hidden="1" x14ac:dyDescent="0.35">
      <c r="H1497" s="83">
        <f t="shared" si="70"/>
        <v>0</v>
      </c>
    </row>
    <row r="1498" spans="8:8" hidden="1" x14ac:dyDescent="0.35">
      <c r="H1498" s="83">
        <f t="shared" si="70"/>
        <v>0</v>
      </c>
    </row>
    <row r="1499" spans="8:8" hidden="1" x14ac:dyDescent="0.35">
      <c r="H1499" s="83">
        <f t="shared" si="70"/>
        <v>0</v>
      </c>
    </row>
    <row r="1500" spans="8:8" hidden="1" x14ac:dyDescent="0.35">
      <c r="H1500" s="83">
        <f t="shared" si="70"/>
        <v>0</v>
      </c>
    </row>
    <row r="1501" spans="8:8" hidden="1" x14ac:dyDescent="0.35">
      <c r="H1501" s="83">
        <f t="shared" si="70"/>
        <v>0</v>
      </c>
    </row>
    <row r="1502" spans="8:8" hidden="1" x14ac:dyDescent="0.35">
      <c r="H1502" s="83">
        <f t="shared" si="70"/>
        <v>0</v>
      </c>
    </row>
    <row r="1503" spans="8:8" hidden="1" x14ac:dyDescent="0.35">
      <c r="H1503" s="83">
        <f t="shared" si="70"/>
        <v>0</v>
      </c>
    </row>
    <row r="1504" spans="8:8" hidden="1" x14ac:dyDescent="0.35">
      <c r="H1504" s="83">
        <f t="shared" si="70"/>
        <v>0</v>
      </c>
    </row>
    <row r="1505" spans="8:8" hidden="1" x14ac:dyDescent="0.35">
      <c r="H1505" s="83">
        <f t="shared" si="70"/>
        <v>0</v>
      </c>
    </row>
    <row r="1506" spans="8:8" hidden="1" x14ac:dyDescent="0.35">
      <c r="H1506" s="83">
        <f t="shared" si="70"/>
        <v>0</v>
      </c>
    </row>
    <row r="1507" spans="8:8" hidden="1" x14ac:dyDescent="0.35">
      <c r="H1507" s="83">
        <f t="shared" si="70"/>
        <v>0</v>
      </c>
    </row>
    <row r="1508" spans="8:8" hidden="1" x14ac:dyDescent="0.35">
      <c r="H1508" s="83">
        <f t="shared" si="70"/>
        <v>0</v>
      </c>
    </row>
    <row r="1509" spans="8:8" hidden="1" x14ac:dyDescent="0.35">
      <c r="H1509" s="83">
        <f t="shared" si="70"/>
        <v>0</v>
      </c>
    </row>
    <row r="1510" spans="8:8" hidden="1" x14ac:dyDescent="0.35">
      <c r="H1510" s="83">
        <f t="shared" si="70"/>
        <v>0</v>
      </c>
    </row>
    <row r="1511" spans="8:8" hidden="1" x14ac:dyDescent="0.35">
      <c r="H1511" s="83">
        <f t="shared" si="70"/>
        <v>0</v>
      </c>
    </row>
    <row r="1512" spans="8:8" hidden="1" x14ac:dyDescent="0.35">
      <c r="H1512" s="83">
        <f t="shared" si="70"/>
        <v>0</v>
      </c>
    </row>
    <row r="1513" spans="8:8" hidden="1" x14ac:dyDescent="0.35">
      <c r="H1513" s="83">
        <f t="shared" si="70"/>
        <v>0</v>
      </c>
    </row>
    <row r="1514" spans="8:8" hidden="1" x14ac:dyDescent="0.35">
      <c r="H1514" s="83">
        <f t="shared" si="70"/>
        <v>0</v>
      </c>
    </row>
    <row r="1515" spans="8:8" hidden="1" x14ac:dyDescent="0.35">
      <c r="H1515" s="83">
        <f t="shared" si="70"/>
        <v>0</v>
      </c>
    </row>
    <row r="1516" spans="8:8" hidden="1" x14ac:dyDescent="0.35">
      <c r="H1516" s="83">
        <f t="shared" si="70"/>
        <v>0</v>
      </c>
    </row>
    <row r="1517" spans="8:8" hidden="1" x14ac:dyDescent="0.35">
      <c r="H1517" s="83">
        <f t="shared" si="70"/>
        <v>0</v>
      </c>
    </row>
    <row r="1518" spans="8:8" hidden="1" x14ac:dyDescent="0.35">
      <c r="H1518" s="83">
        <f t="shared" si="70"/>
        <v>0</v>
      </c>
    </row>
    <row r="1519" spans="8:8" hidden="1" x14ac:dyDescent="0.35">
      <c r="H1519" s="83">
        <f t="shared" si="70"/>
        <v>0</v>
      </c>
    </row>
    <row r="1520" spans="8:8" hidden="1" x14ac:dyDescent="0.35">
      <c r="H1520" s="83">
        <f t="shared" si="70"/>
        <v>0</v>
      </c>
    </row>
    <row r="1521" spans="8:8" hidden="1" x14ac:dyDescent="0.35">
      <c r="H1521" s="83">
        <f t="shared" si="70"/>
        <v>0</v>
      </c>
    </row>
    <row r="1522" spans="8:8" hidden="1" x14ac:dyDescent="0.35">
      <c r="H1522" s="83">
        <f t="shared" si="70"/>
        <v>0</v>
      </c>
    </row>
    <row r="1523" spans="8:8" hidden="1" x14ac:dyDescent="0.35">
      <c r="H1523" s="83">
        <f t="shared" si="70"/>
        <v>0</v>
      </c>
    </row>
    <row r="1524" spans="8:8" hidden="1" x14ac:dyDescent="0.35">
      <c r="H1524" s="83">
        <f t="shared" si="70"/>
        <v>0</v>
      </c>
    </row>
    <row r="1525" spans="8:8" hidden="1" x14ac:dyDescent="0.35">
      <c r="H1525" s="83">
        <f t="shared" si="70"/>
        <v>0</v>
      </c>
    </row>
    <row r="1526" spans="8:8" hidden="1" x14ac:dyDescent="0.35">
      <c r="H1526" s="83">
        <f t="shared" si="70"/>
        <v>0</v>
      </c>
    </row>
    <row r="1527" spans="8:8" hidden="1" x14ac:dyDescent="0.35">
      <c r="H1527" s="83">
        <f t="shared" si="70"/>
        <v>0</v>
      </c>
    </row>
    <row r="1528" spans="8:8" hidden="1" x14ac:dyDescent="0.35">
      <c r="H1528" s="83">
        <f t="shared" si="70"/>
        <v>0</v>
      </c>
    </row>
    <row r="1529" spans="8:8" hidden="1" x14ac:dyDescent="0.35">
      <c r="H1529" s="83">
        <f t="shared" si="70"/>
        <v>0</v>
      </c>
    </row>
    <row r="1530" spans="8:8" hidden="1" x14ac:dyDescent="0.35">
      <c r="H1530" s="83">
        <f t="shared" si="70"/>
        <v>0</v>
      </c>
    </row>
    <row r="1531" spans="8:8" hidden="1" x14ac:dyDescent="0.35">
      <c r="H1531" s="83">
        <f t="shared" si="70"/>
        <v>0</v>
      </c>
    </row>
    <row r="1532" spans="8:8" hidden="1" x14ac:dyDescent="0.35">
      <c r="H1532" s="83">
        <f t="shared" si="70"/>
        <v>0</v>
      </c>
    </row>
    <row r="1533" spans="8:8" hidden="1" x14ac:dyDescent="0.35">
      <c r="H1533" s="83">
        <f t="shared" si="70"/>
        <v>0</v>
      </c>
    </row>
    <row r="1534" spans="8:8" hidden="1" x14ac:dyDescent="0.35">
      <c r="H1534" s="83">
        <f t="shared" si="70"/>
        <v>0</v>
      </c>
    </row>
    <row r="1535" spans="8:8" hidden="1" x14ac:dyDescent="0.35">
      <c r="H1535" s="83">
        <f t="shared" si="70"/>
        <v>0</v>
      </c>
    </row>
    <row r="1536" spans="8:8" hidden="1" x14ac:dyDescent="0.35">
      <c r="H1536" s="83">
        <f t="shared" si="70"/>
        <v>0</v>
      </c>
    </row>
    <row r="1537" spans="8:8" hidden="1" x14ac:dyDescent="0.35">
      <c r="H1537" s="83">
        <f t="shared" si="70"/>
        <v>0</v>
      </c>
    </row>
    <row r="1538" spans="8:8" hidden="1" x14ac:dyDescent="0.35">
      <c r="H1538" s="83">
        <f t="shared" si="70"/>
        <v>0</v>
      </c>
    </row>
    <row r="1539" spans="8:8" hidden="1" x14ac:dyDescent="0.35">
      <c r="H1539" s="83">
        <f t="shared" si="70"/>
        <v>0</v>
      </c>
    </row>
    <row r="1540" spans="8:8" hidden="1" x14ac:dyDescent="0.35">
      <c r="H1540" s="83">
        <f t="shared" ref="H1540:H1603" si="71">J1540-I1540</f>
        <v>0</v>
      </c>
    </row>
    <row r="1541" spans="8:8" hidden="1" x14ac:dyDescent="0.35">
      <c r="H1541" s="83">
        <f t="shared" si="71"/>
        <v>0</v>
      </c>
    </row>
    <row r="1542" spans="8:8" hidden="1" x14ac:dyDescent="0.35">
      <c r="H1542" s="83">
        <f t="shared" si="71"/>
        <v>0</v>
      </c>
    </row>
    <row r="1543" spans="8:8" hidden="1" x14ac:dyDescent="0.35">
      <c r="H1543" s="83">
        <f t="shared" si="71"/>
        <v>0</v>
      </c>
    </row>
    <row r="1544" spans="8:8" hidden="1" x14ac:dyDescent="0.35">
      <c r="H1544" s="83">
        <f t="shared" si="71"/>
        <v>0</v>
      </c>
    </row>
    <row r="1545" spans="8:8" hidden="1" x14ac:dyDescent="0.35">
      <c r="H1545" s="83">
        <f t="shared" si="71"/>
        <v>0</v>
      </c>
    </row>
    <row r="1546" spans="8:8" hidden="1" x14ac:dyDescent="0.35">
      <c r="H1546" s="83">
        <f t="shared" si="71"/>
        <v>0</v>
      </c>
    </row>
    <row r="1547" spans="8:8" hidden="1" x14ac:dyDescent="0.35">
      <c r="H1547" s="83">
        <f t="shared" si="71"/>
        <v>0</v>
      </c>
    </row>
    <row r="1548" spans="8:8" hidden="1" x14ac:dyDescent="0.35">
      <c r="H1548" s="83">
        <f t="shared" si="71"/>
        <v>0</v>
      </c>
    </row>
    <row r="1549" spans="8:8" hidden="1" x14ac:dyDescent="0.35">
      <c r="H1549" s="83">
        <f t="shared" si="71"/>
        <v>0</v>
      </c>
    </row>
    <row r="1550" spans="8:8" hidden="1" x14ac:dyDescent="0.35">
      <c r="H1550" s="83">
        <f t="shared" si="71"/>
        <v>0</v>
      </c>
    </row>
    <row r="1551" spans="8:8" hidden="1" x14ac:dyDescent="0.35">
      <c r="H1551" s="83">
        <f t="shared" si="71"/>
        <v>0</v>
      </c>
    </row>
    <row r="1552" spans="8:8" hidden="1" x14ac:dyDescent="0.35">
      <c r="H1552" s="83">
        <f t="shared" si="71"/>
        <v>0</v>
      </c>
    </row>
    <row r="1553" spans="8:8" hidden="1" x14ac:dyDescent="0.35">
      <c r="H1553" s="83">
        <f t="shared" si="71"/>
        <v>0</v>
      </c>
    </row>
    <row r="1554" spans="8:8" hidden="1" x14ac:dyDescent="0.35">
      <c r="H1554" s="83">
        <f t="shared" si="71"/>
        <v>0</v>
      </c>
    </row>
    <row r="1555" spans="8:8" hidden="1" x14ac:dyDescent="0.35">
      <c r="H1555" s="83">
        <f t="shared" si="71"/>
        <v>0</v>
      </c>
    </row>
    <row r="1556" spans="8:8" hidden="1" x14ac:dyDescent="0.35">
      <c r="H1556" s="83">
        <f t="shared" si="71"/>
        <v>0</v>
      </c>
    </row>
    <row r="1557" spans="8:8" hidden="1" x14ac:dyDescent="0.35">
      <c r="H1557" s="83">
        <f t="shared" si="71"/>
        <v>0</v>
      </c>
    </row>
    <row r="1558" spans="8:8" hidden="1" x14ac:dyDescent="0.35">
      <c r="H1558" s="83">
        <f t="shared" si="71"/>
        <v>0</v>
      </c>
    </row>
    <row r="1559" spans="8:8" hidden="1" x14ac:dyDescent="0.35">
      <c r="H1559" s="83">
        <f t="shared" si="71"/>
        <v>0</v>
      </c>
    </row>
    <row r="1560" spans="8:8" hidden="1" x14ac:dyDescent="0.35">
      <c r="H1560" s="83">
        <f t="shared" si="71"/>
        <v>0</v>
      </c>
    </row>
    <row r="1561" spans="8:8" hidden="1" x14ac:dyDescent="0.35">
      <c r="H1561" s="83">
        <f t="shared" si="71"/>
        <v>0</v>
      </c>
    </row>
    <row r="1562" spans="8:8" hidden="1" x14ac:dyDescent="0.35">
      <c r="H1562" s="83">
        <f t="shared" si="71"/>
        <v>0</v>
      </c>
    </row>
    <row r="1563" spans="8:8" hidden="1" x14ac:dyDescent="0.35">
      <c r="H1563" s="83">
        <f t="shared" si="71"/>
        <v>0</v>
      </c>
    </row>
    <row r="1564" spans="8:8" hidden="1" x14ac:dyDescent="0.35">
      <c r="H1564" s="83">
        <f t="shared" si="71"/>
        <v>0</v>
      </c>
    </row>
    <row r="1565" spans="8:8" hidden="1" x14ac:dyDescent="0.35">
      <c r="H1565" s="83">
        <f t="shared" si="71"/>
        <v>0</v>
      </c>
    </row>
    <row r="1566" spans="8:8" hidden="1" x14ac:dyDescent="0.35">
      <c r="H1566" s="83">
        <f t="shared" si="71"/>
        <v>0</v>
      </c>
    </row>
    <row r="1567" spans="8:8" hidden="1" x14ac:dyDescent="0.35">
      <c r="H1567" s="83">
        <f t="shared" si="71"/>
        <v>0</v>
      </c>
    </row>
    <row r="1568" spans="8:8" hidden="1" x14ac:dyDescent="0.35">
      <c r="H1568" s="83">
        <f t="shared" si="71"/>
        <v>0</v>
      </c>
    </row>
    <row r="1569" spans="8:8" hidden="1" x14ac:dyDescent="0.35">
      <c r="H1569" s="83">
        <f t="shared" si="71"/>
        <v>0</v>
      </c>
    </row>
    <row r="1570" spans="8:8" hidden="1" x14ac:dyDescent="0.35">
      <c r="H1570" s="83">
        <f t="shared" si="71"/>
        <v>0</v>
      </c>
    </row>
    <row r="1571" spans="8:8" hidden="1" x14ac:dyDescent="0.35">
      <c r="H1571" s="83">
        <f t="shared" si="71"/>
        <v>0</v>
      </c>
    </row>
    <row r="1572" spans="8:8" hidden="1" x14ac:dyDescent="0.35">
      <c r="H1572" s="83">
        <f t="shared" si="71"/>
        <v>0</v>
      </c>
    </row>
    <row r="1573" spans="8:8" hidden="1" x14ac:dyDescent="0.35">
      <c r="H1573" s="83">
        <f t="shared" si="71"/>
        <v>0</v>
      </c>
    </row>
    <row r="1574" spans="8:8" hidden="1" x14ac:dyDescent="0.35">
      <c r="H1574" s="83">
        <f t="shared" si="71"/>
        <v>0</v>
      </c>
    </row>
    <row r="1575" spans="8:8" hidden="1" x14ac:dyDescent="0.35">
      <c r="H1575" s="83">
        <f t="shared" si="71"/>
        <v>0</v>
      </c>
    </row>
    <row r="1576" spans="8:8" hidden="1" x14ac:dyDescent="0.35">
      <c r="H1576" s="83">
        <f t="shared" si="71"/>
        <v>0</v>
      </c>
    </row>
    <row r="1577" spans="8:8" hidden="1" x14ac:dyDescent="0.35">
      <c r="H1577" s="83">
        <f t="shared" si="71"/>
        <v>0</v>
      </c>
    </row>
    <row r="1578" spans="8:8" hidden="1" x14ac:dyDescent="0.35">
      <c r="H1578" s="83">
        <f t="shared" si="71"/>
        <v>0</v>
      </c>
    </row>
    <row r="1579" spans="8:8" hidden="1" x14ac:dyDescent="0.35">
      <c r="H1579" s="83">
        <f t="shared" si="71"/>
        <v>0</v>
      </c>
    </row>
    <row r="1580" spans="8:8" hidden="1" x14ac:dyDescent="0.35">
      <c r="H1580" s="83">
        <f t="shared" si="71"/>
        <v>0</v>
      </c>
    </row>
    <row r="1581" spans="8:8" hidden="1" x14ac:dyDescent="0.35">
      <c r="H1581" s="83">
        <f t="shared" si="71"/>
        <v>0</v>
      </c>
    </row>
    <row r="1582" spans="8:8" hidden="1" x14ac:dyDescent="0.35">
      <c r="H1582" s="83">
        <f t="shared" si="71"/>
        <v>0</v>
      </c>
    </row>
    <row r="1583" spans="8:8" hidden="1" x14ac:dyDescent="0.35">
      <c r="H1583" s="83">
        <f t="shared" si="71"/>
        <v>0</v>
      </c>
    </row>
    <row r="1584" spans="8:8" hidden="1" x14ac:dyDescent="0.35">
      <c r="H1584" s="83">
        <f t="shared" si="71"/>
        <v>0</v>
      </c>
    </row>
    <row r="1585" spans="8:8" hidden="1" x14ac:dyDescent="0.35">
      <c r="H1585" s="83">
        <f t="shared" si="71"/>
        <v>0</v>
      </c>
    </row>
    <row r="1586" spans="8:8" hidden="1" x14ac:dyDescent="0.35">
      <c r="H1586" s="83">
        <f t="shared" si="71"/>
        <v>0</v>
      </c>
    </row>
    <row r="1587" spans="8:8" hidden="1" x14ac:dyDescent="0.35">
      <c r="H1587" s="83">
        <f t="shared" si="71"/>
        <v>0</v>
      </c>
    </row>
    <row r="1588" spans="8:8" hidden="1" x14ac:dyDescent="0.35">
      <c r="H1588" s="83">
        <f t="shared" si="71"/>
        <v>0</v>
      </c>
    </row>
    <row r="1589" spans="8:8" hidden="1" x14ac:dyDescent="0.35">
      <c r="H1589" s="83">
        <f t="shared" si="71"/>
        <v>0</v>
      </c>
    </row>
    <row r="1590" spans="8:8" hidden="1" x14ac:dyDescent="0.35">
      <c r="H1590" s="83">
        <f t="shared" si="71"/>
        <v>0</v>
      </c>
    </row>
    <row r="1591" spans="8:8" hidden="1" x14ac:dyDescent="0.35">
      <c r="H1591" s="83">
        <f t="shared" si="71"/>
        <v>0</v>
      </c>
    </row>
    <row r="1592" spans="8:8" hidden="1" x14ac:dyDescent="0.35">
      <c r="H1592" s="83">
        <f t="shared" si="71"/>
        <v>0</v>
      </c>
    </row>
    <row r="1593" spans="8:8" hidden="1" x14ac:dyDescent="0.35">
      <c r="H1593" s="83">
        <f t="shared" si="71"/>
        <v>0</v>
      </c>
    </row>
    <row r="1594" spans="8:8" hidden="1" x14ac:dyDescent="0.35">
      <c r="H1594" s="83">
        <f t="shared" si="71"/>
        <v>0</v>
      </c>
    </row>
    <row r="1595" spans="8:8" hidden="1" x14ac:dyDescent="0.35">
      <c r="H1595" s="83">
        <f t="shared" si="71"/>
        <v>0</v>
      </c>
    </row>
    <row r="1596" spans="8:8" hidden="1" x14ac:dyDescent="0.35">
      <c r="H1596" s="83">
        <f t="shared" si="71"/>
        <v>0</v>
      </c>
    </row>
    <row r="1597" spans="8:8" hidden="1" x14ac:dyDescent="0.35">
      <c r="H1597" s="83">
        <f t="shared" si="71"/>
        <v>0</v>
      </c>
    </row>
    <row r="1598" spans="8:8" hidden="1" x14ac:dyDescent="0.35">
      <c r="H1598" s="83">
        <f t="shared" si="71"/>
        <v>0</v>
      </c>
    </row>
    <row r="1599" spans="8:8" hidden="1" x14ac:dyDescent="0.35">
      <c r="H1599" s="83">
        <f t="shared" si="71"/>
        <v>0</v>
      </c>
    </row>
    <row r="1600" spans="8:8" hidden="1" x14ac:dyDescent="0.35">
      <c r="H1600" s="83">
        <f t="shared" si="71"/>
        <v>0</v>
      </c>
    </row>
    <row r="1601" spans="8:8" hidden="1" x14ac:dyDescent="0.35">
      <c r="H1601" s="83">
        <f t="shared" si="71"/>
        <v>0</v>
      </c>
    </row>
    <row r="1602" spans="8:8" hidden="1" x14ac:dyDescent="0.35">
      <c r="H1602" s="83">
        <f t="shared" si="71"/>
        <v>0</v>
      </c>
    </row>
    <row r="1603" spans="8:8" hidden="1" x14ac:dyDescent="0.35">
      <c r="H1603" s="83">
        <f t="shared" si="71"/>
        <v>0</v>
      </c>
    </row>
    <row r="1604" spans="8:8" hidden="1" x14ac:dyDescent="0.35">
      <c r="H1604" s="83">
        <f t="shared" ref="H1604:H1667" si="72">J1604-I1604</f>
        <v>0</v>
      </c>
    </row>
    <row r="1605" spans="8:8" hidden="1" x14ac:dyDescent="0.35">
      <c r="H1605" s="83">
        <f t="shared" si="72"/>
        <v>0</v>
      </c>
    </row>
    <row r="1606" spans="8:8" hidden="1" x14ac:dyDescent="0.35">
      <c r="H1606" s="83">
        <f t="shared" si="72"/>
        <v>0</v>
      </c>
    </row>
    <row r="1607" spans="8:8" hidden="1" x14ac:dyDescent="0.35">
      <c r="H1607" s="83">
        <f t="shared" si="72"/>
        <v>0</v>
      </c>
    </row>
    <row r="1608" spans="8:8" hidden="1" x14ac:dyDescent="0.35">
      <c r="H1608" s="83">
        <f t="shared" si="72"/>
        <v>0</v>
      </c>
    </row>
    <row r="1609" spans="8:8" hidden="1" x14ac:dyDescent="0.35">
      <c r="H1609" s="83">
        <f t="shared" si="72"/>
        <v>0</v>
      </c>
    </row>
    <row r="1610" spans="8:8" hidden="1" x14ac:dyDescent="0.35">
      <c r="H1610" s="83">
        <f t="shared" si="72"/>
        <v>0</v>
      </c>
    </row>
    <row r="1611" spans="8:8" hidden="1" x14ac:dyDescent="0.35">
      <c r="H1611" s="83">
        <f t="shared" si="72"/>
        <v>0</v>
      </c>
    </row>
    <row r="1612" spans="8:8" hidden="1" x14ac:dyDescent="0.35">
      <c r="H1612" s="83">
        <f t="shared" si="72"/>
        <v>0</v>
      </c>
    </row>
    <row r="1613" spans="8:8" hidden="1" x14ac:dyDescent="0.35">
      <c r="H1613" s="83">
        <f t="shared" si="72"/>
        <v>0</v>
      </c>
    </row>
    <row r="1614" spans="8:8" hidden="1" x14ac:dyDescent="0.35">
      <c r="H1614" s="83">
        <f t="shared" si="72"/>
        <v>0</v>
      </c>
    </row>
    <row r="1615" spans="8:8" hidden="1" x14ac:dyDescent="0.35">
      <c r="H1615" s="83">
        <f t="shared" si="72"/>
        <v>0</v>
      </c>
    </row>
    <row r="1616" spans="8:8" hidden="1" x14ac:dyDescent="0.35">
      <c r="H1616" s="83">
        <f t="shared" si="72"/>
        <v>0</v>
      </c>
    </row>
    <row r="1617" spans="8:8" hidden="1" x14ac:dyDescent="0.35">
      <c r="H1617" s="83">
        <f t="shared" si="72"/>
        <v>0</v>
      </c>
    </row>
    <row r="1618" spans="8:8" hidden="1" x14ac:dyDescent="0.35">
      <c r="H1618" s="83">
        <f t="shared" si="72"/>
        <v>0</v>
      </c>
    </row>
    <row r="1619" spans="8:8" hidden="1" x14ac:dyDescent="0.35">
      <c r="H1619" s="83">
        <f t="shared" si="72"/>
        <v>0</v>
      </c>
    </row>
    <row r="1620" spans="8:8" hidden="1" x14ac:dyDescent="0.35">
      <c r="H1620" s="83">
        <f t="shared" si="72"/>
        <v>0</v>
      </c>
    </row>
    <row r="1621" spans="8:8" hidden="1" x14ac:dyDescent="0.35">
      <c r="H1621" s="83">
        <f t="shared" si="72"/>
        <v>0</v>
      </c>
    </row>
    <row r="1622" spans="8:8" hidden="1" x14ac:dyDescent="0.35">
      <c r="H1622" s="83">
        <f t="shared" si="72"/>
        <v>0</v>
      </c>
    </row>
    <row r="1623" spans="8:8" hidden="1" x14ac:dyDescent="0.35">
      <c r="H1623" s="83">
        <f t="shared" si="72"/>
        <v>0</v>
      </c>
    </row>
    <row r="1624" spans="8:8" hidden="1" x14ac:dyDescent="0.35">
      <c r="H1624" s="83">
        <f t="shared" si="72"/>
        <v>0</v>
      </c>
    </row>
    <row r="1625" spans="8:8" hidden="1" x14ac:dyDescent="0.35">
      <c r="H1625" s="83">
        <f t="shared" si="72"/>
        <v>0</v>
      </c>
    </row>
    <row r="1626" spans="8:8" hidden="1" x14ac:dyDescent="0.35">
      <c r="H1626" s="83">
        <f t="shared" si="72"/>
        <v>0</v>
      </c>
    </row>
    <row r="1627" spans="8:8" hidden="1" x14ac:dyDescent="0.35">
      <c r="H1627" s="83">
        <f t="shared" si="72"/>
        <v>0</v>
      </c>
    </row>
    <row r="1628" spans="8:8" hidden="1" x14ac:dyDescent="0.35">
      <c r="H1628" s="83">
        <f t="shared" si="72"/>
        <v>0</v>
      </c>
    </row>
    <row r="1629" spans="8:8" hidden="1" x14ac:dyDescent="0.35">
      <c r="H1629" s="83">
        <f t="shared" si="72"/>
        <v>0</v>
      </c>
    </row>
    <row r="1630" spans="8:8" hidden="1" x14ac:dyDescent="0.35">
      <c r="H1630" s="83">
        <f t="shared" si="72"/>
        <v>0</v>
      </c>
    </row>
    <row r="1631" spans="8:8" hidden="1" x14ac:dyDescent="0.35">
      <c r="H1631" s="83">
        <f t="shared" si="72"/>
        <v>0</v>
      </c>
    </row>
    <row r="1632" spans="8:8" hidden="1" x14ac:dyDescent="0.35">
      <c r="H1632" s="83">
        <f t="shared" si="72"/>
        <v>0</v>
      </c>
    </row>
    <row r="1633" spans="8:8" hidden="1" x14ac:dyDescent="0.35">
      <c r="H1633" s="83">
        <f t="shared" si="72"/>
        <v>0</v>
      </c>
    </row>
    <row r="1634" spans="8:8" hidden="1" x14ac:dyDescent="0.35">
      <c r="H1634" s="83">
        <f t="shared" si="72"/>
        <v>0</v>
      </c>
    </row>
    <row r="1635" spans="8:8" hidden="1" x14ac:dyDescent="0.35">
      <c r="H1635" s="83">
        <f t="shared" si="72"/>
        <v>0</v>
      </c>
    </row>
    <row r="1636" spans="8:8" hidden="1" x14ac:dyDescent="0.35">
      <c r="H1636" s="83">
        <f t="shared" si="72"/>
        <v>0</v>
      </c>
    </row>
    <row r="1637" spans="8:8" hidden="1" x14ac:dyDescent="0.35">
      <c r="H1637" s="83">
        <f t="shared" si="72"/>
        <v>0</v>
      </c>
    </row>
    <row r="1638" spans="8:8" hidden="1" x14ac:dyDescent="0.35">
      <c r="H1638" s="83">
        <f t="shared" si="72"/>
        <v>0</v>
      </c>
    </row>
    <row r="1639" spans="8:8" hidden="1" x14ac:dyDescent="0.35">
      <c r="H1639" s="83">
        <f t="shared" si="72"/>
        <v>0</v>
      </c>
    </row>
    <row r="1640" spans="8:8" hidden="1" x14ac:dyDescent="0.35">
      <c r="H1640" s="83">
        <f t="shared" si="72"/>
        <v>0</v>
      </c>
    </row>
    <row r="1641" spans="8:8" hidden="1" x14ac:dyDescent="0.35">
      <c r="H1641" s="83">
        <f t="shared" si="72"/>
        <v>0</v>
      </c>
    </row>
    <row r="1642" spans="8:8" hidden="1" x14ac:dyDescent="0.35">
      <c r="H1642" s="83">
        <f t="shared" si="72"/>
        <v>0</v>
      </c>
    </row>
    <row r="1643" spans="8:8" hidden="1" x14ac:dyDescent="0.35">
      <c r="H1643" s="83">
        <f t="shared" si="72"/>
        <v>0</v>
      </c>
    </row>
    <row r="1644" spans="8:8" hidden="1" x14ac:dyDescent="0.35">
      <c r="H1644" s="83">
        <f t="shared" si="72"/>
        <v>0</v>
      </c>
    </row>
    <row r="1645" spans="8:8" hidden="1" x14ac:dyDescent="0.35">
      <c r="H1645" s="83">
        <f t="shared" si="72"/>
        <v>0</v>
      </c>
    </row>
    <row r="1646" spans="8:8" hidden="1" x14ac:dyDescent="0.35">
      <c r="H1646" s="83">
        <f t="shared" si="72"/>
        <v>0</v>
      </c>
    </row>
    <row r="1647" spans="8:8" hidden="1" x14ac:dyDescent="0.35">
      <c r="H1647" s="83">
        <f t="shared" si="72"/>
        <v>0</v>
      </c>
    </row>
    <row r="1648" spans="8:8" hidden="1" x14ac:dyDescent="0.35">
      <c r="H1648" s="83">
        <f t="shared" si="72"/>
        <v>0</v>
      </c>
    </row>
    <row r="1649" spans="8:8" hidden="1" x14ac:dyDescent="0.35">
      <c r="H1649" s="83">
        <f t="shared" si="72"/>
        <v>0</v>
      </c>
    </row>
    <row r="1650" spans="8:8" hidden="1" x14ac:dyDescent="0.35">
      <c r="H1650" s="83">
        <f t="shared" si="72"/>
        <v>0</v>
      </c>
    </row>
    <row r="1651" spans="8:8" hidden="1" x14ac:dyDescent="0.35">
      <c r="H1651" s="83">
        <f t="shared" si="72"/>
        <v>0</v>
      </c>
    </row>
    <row r="1652" spans="8:8" hidden="1" x14ac:dyDescent="0.35">
      <c r="H1652" s="83">
        <f t="shared" si="72"/>
        <v>0</v>
      </c>
    </row>
    <row r="1653" spans="8:8" hidden="1" x14ac:dyDescent="0.35">
      <c r="H1653" s="83">
        <f t="shared" si="72"/>
        <v>0</v>
      </c>
    </row>
    <row r="1654" spans="8:8" hidden="1" x14ac:dyDescent="0.35">
      <c r="H1654" s="83">
        <f t="shared" si="72"/>
        <v>0</v>
      </c>
    </row>
    <row r="1655" spans="8:8" hidden="1" x14ac:dyDescent="0.35">
      <c r="H1655" s="83">
        <f t="shared" si="72"/>
        <v>0</v>
      </c>
    </row>
    <row r="1656" spans="8:8" hidden="1" x14ac:dyDescent="0.35">
      <c r="H1656" s="83">
        <f t="shared" si="72"/>
        <v>0</v>
      </c>
    </row>
    <row r="1657" spans="8:8" hidden="1" x14ac:dyDescent="0.35">
      <c r="H1657" s="83">
        <f t="shared" si="72"/>
        <v>0</v>
      </c>
    </row>
    <row r="1658" spans="8:8" hidden="1" x14ac:dyDescent="0.35">
      <c r="H1658" s="83">
        <f t="shared" si="72"/>
        <v>0</v>
      </c>
    </row>
    <row r="1659" spans="8:8" hidden="1" x14ac:dyDescent="0.35">
      <c r="H1659" s="83">
        <f t="shared" si="72"/>
        <v>0</v>
      </c>
    </row>
    <row r="1660" spans="8:8" hidden="1" x14ac:dyDescent="0.35">
      <c r="H1660" s="83">
        <f t="shared" si="72"/>
        <v>0</v>
      </c>
    </row>
    <row r="1661" spans="8:8" hidden="1" x14ac:dyDescent="0.35">
      <c r="H1661" s="83">
        <f t="shared" si="72"/>
        <v>0</v>
      </c>
    </row>
    <row r="1662" spans="8:8" hidden="1" x14ac:dyDescent="0.35">
      <c r="H1662" s="83">
        <f t="shared" si="72"/>
        <v>0</v>
      </c>
    </row>
    <row r="1663" spans="8:8" hidden="1" x14ac:dyDescent="0.35">
      <c r="H1663" s="83">
        <f t="shared" si="72"/>
        <v>0</v>
      </c>
    </row>
    <row r="1664" spans="8:8" hidden="1" x14ac:dyDescent="0.35">
      <c r="H1664" s="83">
        <f t="shared" si="72"/>
        <v>0</v>
      </c>
    </row>
    <row r="1665" spans="8:8" hidden="1" x14ac:dyDescent="0.35">
      <c r="H1665" s="83">
        <f t="shared" si="72"/>
        <v>0</v>
      </c>
    </row>
    <row r="1666" spans="8:8" hidden="1" x14ac:dyDescent="0.35">
      <c r="H1666" s="83">
        <f t="shared" si="72"/>
        <v>0</v>
      </c>
    </row>
    <row r="1667" spans="8:8" hidden="1" x14ac:dyDescent="0.35">
      <c r="H1667" s="83">
        <f t="shared" si="72"/>
        <v>0</v>
      </c>
    </row>
    <row r="1668" spans="8:8" hidden="1" x14ac:dyDescent="0.35">
      <c r="H1668" s="83">
        <f t="shared" ref="H1668:H1731" si="73">J1668-I1668</f>
        <v>0</v>
      </c>
    </row>
    <row r="1669" spans="8:8" hidden="1" x14ac:dyDescent="0.35">
      <c r="H1669" s="83">
        <f t="shared" si="73"/>
        <v>0</v>
      </c>
    </row>
    <row r="1670" spans="8:8" hidden="1" x14ac:dyDescent="0.35">
      <c r="H1670" s="83">
        <f t="shared" si="73"/>
        <v>0</v>
      </c>
    </row>
    <row r="1671" spans="8:8" hidden="1" x14ac:dyDescent="0.35">
      <c r="H1671" s="83">
        <f t="shared" si="73"/>
        <v>0</v>
      </c>
    </row>
    <row r="1672" spans="8:8" hidden="1" x14ac:dyDescent="0.35">
      <c r="H1672" s="83">
        <f t="shared" si="73"/>
        <v>0</v>
      </c>
    </row>
    <row r="1673" spans="8:8" hidden="1" x14ac:dyDescent="0.35">
      <c r="H1673" s="83">
        <f t="shared" si="73"/>
        <v>0</v>
      </c>
    </row>
    <row r="1674" spans="8:8" hidden="1" x14ac:dyDescent="0.35">
      <c r="H1674" s="83">
        <f t="shared" si="73"/>
        <v>0</v>
      </c>
    </row>
    <row r="1675" spans="8:8" hidden="1" x14ac:dyDescent="0.35">
      <c r="H1675" s="83">
        <f t="shared" si="73"/>
        <v>0</v>
      </c>
    </row>
    <row r="1676" spans="8:8" hidden="1" x14ac:dyDescent="0.35">
      <c r="H1676" s="83">
        <f t="shared" si="73"/>
        <v>0</v>
      </c>
    </row>
    <row r="1677" spans="8:8" hidden="1" x14ac:dyDescent="0.35">
      <c r="H1677" s="83">
        <f t="shared" si="73"/>
        <v>0</v>
      </c>
    </row>
    <row r="1678" spans="8:8" hidden="1" x14ac:dyDescent="0.35">
      <c r="H1678" s="83">
        <f t="shared" si="73"/>
        <v>0</v>
      </c>
    </row>
    <row r="1679" spans="8:8" hidden="1" x14ac:dyDescent="0.35">
      <c r="H1679" s="83">
        <f t="shared" si="73"/>
        <v>0</v>
      </c>
    </row>
    <row r="1680" spans="8:8" hidden="1" x14ac:dyDescent="0.35">
      <c r="H1680" s="83">
        <f t="shared" si="73"/>
        <v>0</v>
      </c>
    </row>
    <row r="1681" spans="8:8" hidden="1" x14ac:dyDescent="0.35">
      <c r="H1681" s="83">
        <f t="shared" si="73"/>
        <v>0</v>
      </c>
    </row>
    <row r="1682" spans="8:8" hidden="1" x14ac:dyDescent="0.35">
      <c r="H1682" s="83">
        <f t="shared" si="73"/>
        <v>0</v>
      </c>
    </row>
    <row r="1683" spans="8:8" hidden="1" x14ac:dyDescent="0.35">
      <c r="H1683" s="83">
        <f t="shared" si="73"/>
        <v>0</v>
      </c>
    </row>
    <row r="1684" spans="8:8" hidden="1" x14ac:dyDescent="0.35">
      <c r="H1684" s="83">
        <f t="shared" si="73"/>
        <v>0</v>
      </c>
    </row>
    <row r="1685" spans="8:8" hidden="1" x14ac:dyDescent="0.35">
      <c r="H1685" s="83">
        <f t="shared" si="73"/>
        <v>0</v>
      </c>
    </row>
    <row r="1686" spans="8:8" hidden="1" x14ac:dyDescent="0.35">
      <c r="H1686" s="83">
        <f t="shared" si="73"/>
        <v>0</v>
      </c>
    </row>
    <row r="1687" spans="8:8" hidden="1" x14ac:dyDescent="0.35">
      <c r="H1687" s="83">
        <f t="shared" si="73"/>
        <v>0</v>
      </c>
    </row>
    <row r="1688" spans="8:8" hidden="1" x14ac:dyDescent="0.35">
      <c r="H1688" s="83">
        <f t="shared" si="73"/>
        <v>0</v>
      </c>
    </row>
    <row r="1689" spans="8:8" hidden="1" x14ac:dyDescent="0.35">
      <c r="H1689" s="83">
        <f t="shared" si="73"/>
        <v>0</v>
      </c>
    </row>
    <row r="1690" spans="8:8" hidden="1" x14ac:dyDescent="0.35">
      <c r="H1690" s="83">
        <f t="shared" si="73"/>
        <v>0</v>
      </c>
    </row>
    <row r="1691" spans="8:8" hidden="1" x14ac:dyDescent="0.35">
      <c r="H1691" s="83">
        <f t="shared" si="73"/>
        <v>0</v>
      </c>
    </row>
    <row r="1692" spans="8:8" hidden="1" x14ac:dyDescent="0.35">
      <c r="H1692" s="83">
        <f t="shared" si="73"/>
        <v>0</v>
      </c>
    </row>
    <row r="1693" spans="8:8" hidden="1" x14ac:dyDescent="0.35">
      <c r="H1693" s="83">
        <f t="shared" si="73"/>
        <v>0</v>
      </c>
    </row>
    <row r="1694" spans="8:8" hidden="1" x14ac:dyDescent="0.35">
      <c r="H1694" s="83">
        <f t="shared" si="73"/>
        <v>0</v>
      </c>
    </row>
    <row r="1695" spans="8:8" hidden="1" x14ac:dyDescent="0.35">
      <c r="H1695" s="83">
        <f t="shared" si="73"/>
        <v>0</v>
      </c>
    </row>
    <row r="1696" spans="8:8" hidden="1" x14ac:dyDescent="0.35">
      <c r="H1696" s="83">
        <f t="shared" si="73"/>
        <v>0</v>
      </c>
    </row>
    <row r="1697" spans="8:8" hidden="1" x14ac:dyDescent="0.35">
      <c r="H1697" s="83">
        <f t="shared" si="73"/>
        <v>0</v>
      </c>
    </row>
    <row r="1698" spans="8:8" hidden="1" x14ac:dyDescent="0.35">
      <c r="H1698" s="83">
        <f t="shared" si="73"/>
        <v>0</v>
      </c>
    </row>
    <row r="1699" spans="8:8" hidden="1" x14ac:dyDescent="0.35">
      <c r="H1699" s="83">
        <f t="shared" si="73"/>
        <v>0</v>
      </c>
    </row>
    <row r="1700" spans="8:8" hidden="1" x14ac:dyDescent="0.35">
      <c r="H1700" s="83">
        <f t="shared" si="73"/>
        <v>0</v>
      </c>
    </row>
    <row r="1701" spans="8:8" hidden="1" x14ac:dyDescent="0.35">
      <c r="H1701" s="83">
        <f t="shared" si="73"/>
        <v>0</v>
      </c>
    </row>
    <row r="1702" spans="8:8" hidden="1" x14ac:dyDescent="0.35">
      <c r="H1702" s="83">
        <f t="shared" si="73"/>
        <v>0</v>
      </c>
    </row>
    <row r="1703" spans="8:8" hidden="1" x14ac:dyDescent="0.35">
      <c r="H1703" s="83">
        <f t="shared" si="73"/>
        <v>0</v>
      </c>
    </row>
    <row r="1704" spans="8:8" hidden="1" x14ac:dyDescent="0.35">
      <c r="H1704" s="83">
        <f t="shared" si="73"/>
        <v>0</v>
      </c>
    </row>
    <row r="1705" spans="8:8" hidden="1" x14ac:dyDescent="0.35">
      <c r="H1705" s="83">
        <f t="shared" si="73"/>
        <v>0</v>
      </c>
    </row>
    <row r="1706" spans="8:8" hidden="1" x14ac:dyDescent="0.35">
      <c r="H1706" s="83">
        <f t="shared" si="73"/>
        <v>0</v>
      </c>
    </row>
    <row r="1707" spans="8:8" hidden="1" x14ac:dyDescent="0.35">
      <c r="H1707" s="83">
        <f t="shared" si="73"/>
        <v>0</v>
      </c>
    </row>
    <row r="1708" spans="8:8" hidden="1" x14ac:dyDescent="0.35">
      <c r="H1708" s="83">
        <f t="shared" si="73"/>
        <v>0</v>
      </c>
    </row>
    <row r="1709" spans="8:8" hidden="1" x14ac:dyDescent="0.35">
      <c r="H1709" s="83">
        <f t="shared" si="73"/>
        <v>0</v>
      </c>
    </row>
    <row r="1710" spans="8:8" hidden="1" x14ac:dyDescent="0.35">
      <c r="H1710" s="83">
        <f t="shared" si="73"/>
        <v>0</v>
      </c>
    </row>
    <row r="1711" spans="8:8" hidden="1" x14ac:dyDescent="0.35">
      <c r="H1711" s="83">
        <f t="shared" si="73"/>
        <v>0</v>
      </c>
    </row>
    <row r="1712" spans="8:8" hidden="1" x14ac:dyDescent="0.35">
      <c r="H1712" s="83">
        <f t="shared" si="73"/>
        <v>0</v>
      </c>
    </row>
    <row r="1713" spans="8:8" hidden="1" x14ac:dyDescent="0.35">
      <c r="H1713" s="83">
        <f t="shared" si="73"/>
        <v>0</v>
      </c>
    </row>
    <row r="1714" spans="8:8" hidden="1" x14ac:dyDescent="0.35">
      <c r="H1714" s="83">
        <f t="shared" si="73"/>
        <v>0</v>
      </c>
    </row>
    <row r="1715" spans="8:8" hidden="1" x14ac:dyDescent="0.35">
      <c r="H1715" s="83">
        <f t="shared" si="73"/>
        <v>0</v>
      </c>
    </row>
    <row r="1716" spans="8:8" hidden="1" x14ac:dyDescent="0.35">
      <c r="H1716" s="83">
        <f t="shared" si="73"/>
        <v>0</v>
      </c>
    </row>
    <row r="1717" spans="8:8" hidden="1" x14ac:dyDescent="0.35">
      <c r="H1717" s="83">
        <f t="shared" si="73"/>
        <v>0</v>
      </c>
    </row>
    <row r="1718" spans="8:8" hidden="1" x14ac:dyDescent="0.35">
      <c r="H1718" s="83">
        <f t="shared" si="73"/>
        <v>0</v>
      </c>
    </row>
    <row r="1719" spans="8:8" hidden="1" x14ac:dyDescent="0.35">
      <c r="H1719" s="83">
        <f t="shared" si="73"/>
        <v>0</v>
      </c>
    </row>
    <row r="1720" spans="8:8" hidden="1" x14ac:dyDescent="0.35">
      <c r="H1720" s="83">
        <f t="shared" si="73"/>
        <v>0</v>
      </c>
    </row>
    <row r="1721" spans="8:8" hidden="1" x14ac:dyDescent="0.35">
      <c r="H1721" s="83">
        <f t="shared" si="73"/>
        <v>0</v>
      </c>
    </row>
    <row r="1722" spans="8:8" hidden="1" x14ac:dyDescent="0.35">
      <c r="H1722" s="83">
        <f t="shared" si="73"/>
        <v>0</v>
      </c>
    </row>
    <row r="1723" spans="8:8" hidden="1" x14ac:dyDescent="0.35">
      <c r="H1723" s="83">
        <f t="shared" si="73"/>
        <v>0</v>
      </c>
    </row>
    <row r="1724" spans="8:8" hidden="1" x14ac:dyDescent="0.35">
      <c r="H1724" s="83">
        <f t="shared" si="73"/>
        <v>0</v>
      </c>
    </row>
    <row r="1725" spans="8:8" hidden="1" x14ac:dyDescent="0.35">
      <c r="H1725" s="83">
        <f t="shared" si="73"/>
        <v>0</v>
      </c>
    </row>
    <row r="1726" spans="8:8" hidden="1" x14ac:dyDescent="0.35">
      <c r="H1726" s="83">
        <f t="shared" si="73"/>
        <v>0</v>
      </c>
    </row>
    <row r="1727" spans="8:8" hidden="1" x14ac:dyDescent="0.35">
      <c r="H1727" s="83">
        <f t="shared" si="73"/>
        <v>0</v>
      </c>
    </row>
    <row r="1728" spans="8:8" hidden="1" x14ac:dyDescent="0.35">
      <c r="H1728" s="83">
        <f t="shared" si="73"/>
        <v>0</v>
      </c>
    </row>
    <row r="1729" spans="8:8" hidden="1" x14ac:dyDescent="0.35">
      <c r="H1729" s="83">
        <f t="shared" si="73"/>
        <v>0</v>
      </c>
    </row>
    <row r="1730" spans="8:8" hidden="1" x14ac:dyDescent="0.35">
      <c r="H1730" s="83">
        <f t="shared" si="73"/>
        <v>0</v>
      </c>
    </row>
    <row r="1731" spans="8:8" hidden="1" x14ac:dyDescent="0.35">
      <c r="H1731" s="83">
        <f t="shared" si="73"/>
        <v>0</v>
      </c>
    </row>
    <row r="1732" spans="8:8" hidden="1" x14ac:dyDescent="0.35">
      <c r="H1732" s="83">
        <f t="shared" ref="H1732:H1795" si="74">J1732-I1732</f>
        <v>0</v>
      </c>
    </row>
    <row r="1733" spans="8:8" hidden="1" x14ac:dyDescent="0.35">
      <c r="H1733" s="83">
        <f t="shared" si="74"/>
        <v>0</v>
      </c>
    </row>
    <row r="1734" spans="8:8" hidden="1" x14ac:dyDescent="0.35">
      <c r="H1734" s="83">
        <f t="shared" si="74"/>
        <v>0</v>
      </c>
    </row>
    <row r="1735" spans="8:8" hidden="1" x14ac:dyDescent="0.35">
      <c r="H1735" s="83">
        <f t="shared" si="74"/>
        <v>0</v>
      </c>
    </row>
    <row r="1736" spans="8:8" hidden="1" x14ac:dyDescent="0.35">
      <c r="H1736" s="83">
        <f t="shared" si="74"/>
        <v>0</v>
      </c>
    </row>
    <row r="1737" spans="8:8" hidden="1" x14ac:dyDescent="0.35">
      <c r="H1737" s="83">
        <f t="shared" si="74"/>
        <v>0</v>
      </c>
    </row>
    <row r="1738" spans="8:8" hidden="1" x14ac:dyDescent="0.35">
      <c r="H1738" s="83">
        <f t="shared" si="74"/>
        <v>0</v>
      </c>
    </row>
    <row r="1739" spans="8:8" hidden="1" x14ac:dyDescent="0.35">
      <c r="H1739" s="83">
        <f t="shared" si="74"/>
        <v>0</v>
      </c>
    </row>
    <row r="1740" spans="8:8" hidden="1" x14ac:dyDescent="0.35">
      <c r="H1740" s="83">
        <f t="shared" si="74"/>
        <v>0</v>
      </c>
    </row>
    <row r="1741" spans="8:8" hidden="1" x14ac:dyDescent="0.35">
      <c r="H1741" s="83">
        <f t="shared" si="74"/>
        <v>0</v>
      </c>
    </row>
    <row r="1742" spans="8:8" hidden="1" x14ac:dyDescent="0.35">
      <c r="H1742" s="83">
        <f t="shared" si="74"/>
        <v>0</v>
      </c>
    </row>
    <row r="1743" spans="8:8" hidden="1" x14ac:dyDescent="0.35">
      <c r="H1743" s="83">
        <f t="shared" si="74"/>
        <v>0</v>
      </c>
    </row>
    <row r="1744" spans="8:8" hidden="1" x14ac:dyDescent="0.35">
      <c r="H1744" s="83">
        <f t="shared" si="74"/>
        <v>0</v>
      </c>
    </row>
    <row r="1745" spans="8:8" hidden="1" x14ac:dyDescent="0.35">
      <c r="H1745" s="83">
        <f t="shared" si="74"/>
        <v>0</v>
      </c>
    </row>
    <row r="1746" spans="8:8" hidden="1" x14ac:dyDescent="0.35">
      <c r="H1746" s="83">
        <f t="shared" si="74"/>
        <v>0</v>
      </c>
    </row>
    <row r="1747" spans="8:8" hidden="1" x14ac:dyDescent="0.35">
      <c r="H1747" s="83">
        <f t="shared" si="74"/>
        <v>0</v>
      </c>
    </row>
    <row r="1748" spans="8:8" hidden="1" x14ac:dyDescent="0.35">
      <c r="H1748" s="83">
        <f t="shared" si="74"/>
        <v>0</v>
      </c>
    </row>
    <row r="1749" spans="8:8" hidden="1" x14ac:dyDescent="0.35">
      <c r="H1749" s="83">
        <f t="shared" si="74"/>
        <v>0</v>
      </c>
    </row>
    <row r="1750" spans="8:8" hidden="1" x14ac:dyDescent="0.35">
      <c r="H1750" s="83">
        <f t="shared" si="74"/>
        <v>0</v>
      </c>
    </row>
    <row r="1751" spans="8:8" hidden="1" x14ac:dyDescent="0.35">
      <c r="H1751" s="83">
        <f t="shared" si="74"/>
        <v>0</v>
      </c>
    </row>
    <row r="1752" spans="8:8" hidden="1" x14ac:dyDescent="0.35">
      <c r="H1752" s="83">
        <f t="shared" si="74"/>
        <v>0</v>
      </c>
    </row>
    <row r="1753" spans="8:8" hidden="1" x14ac:dyDescent="0.35">
      <c r="H1753" s="83">
        <f t="shared" si="74"/>
        <v>0</v>
      </c>
    </row>
    <row r="1754" spans="8:8" hidden="1" x14ac:dyDescent="0.35">
      <c r="H1754" s="83">
        <f t="shared" si="74"/>
        <v>0</v>
      </c>
    </row>
    <row r="1755" spans="8:8" hidden="1" x14ac:dyDescent="0.35">
      <c r="H1755" s="83">
        <f t="shared" si="74"/>
        <v>0</v>
      </c>
    </row>
    <row r="1756" spans="8:8" hidden="1" x14ac:dyDescent="0.35">
      <c r="H1756" s="83">
        <f t="shared" si="74"/>
        <v>0</v>
      </c>
    </row>
    <row r="1757" spans="8:8" hidden="1" x14ac:dyDescent="0.35">
      <c r="H1757" s="83">
        <f t="shared" si="74"/>
        <v>0</v>
      </c>
    </row>
    <row r="1758" spans="8:8" hidden="1" x14ac:dyDescent="0.35">
      <c r="H1758" s="83">
        <f t="shared" si="74"/>
        <v>0</v>
      </c>
    </row>
    <row r="1759" spans="8:8" hidden="1" x14ac:dyDescent="0.35">
      <c r="H1759" s="83">
        <f t="shared" si="74"/>
        <v>0</v>
      </c>
    </row>
    <row r="1760" spans="8:8" hidden="1" x14ac:dyDescent="0.35">
      <c r="H1760" s="83">
        <f t="shared" si="74"/>
        <v>0</v>
      </c>
    </row>
    <row r="1761" spans="8:8" hidden="1" x14ac:dyDescent="0.35">
      <c r="H1761" s="83">
        <f t="shared" si="74"/>
        <v>0</v>
      </c>
    </row>
    <row r="1762" spans="8:8" hidden="1" x14ac:dyDescent="0.35">
      <c r="H1762" s="83">
        <f t="shared" si="74"/>
        <v>0</v>
      </c>
    </row>
    <row r="1763" spans="8:8" hidden="1" x14ac:dyDescent="0.35">
      <c r="H1763" s="83">
        <f t="shared" si="74"/>
        <v>0</v>
      </c>
    </row>
    <row r="1764" spans="8:8" hidden="1" x14ac:dyDescent="0.35">
      <c r="H1764" s="83">
        <f t="shared" si="74"/>
        <v>0</v>
      </c>
    </row>
    <row r="1765" spans="8:8" hidden="1" x14ac:dyDescent="0.35">
      <c r="H1765" s="83">
        <f t="shared" si="74"/>
        <v>0</v>
      </c>
    </row>
    <row r="1766" spans="8:8" hidden="1" x14ac:dyDescent="0.35">
      <c r="H1766" s="83">
        <f t="shared" si="74"/>
        <v>0</v>
      </c>
    </row>
    <row r="1767" spans="8:8" hidden="1" x14ac:dyDescent="0.35">
      <c r="H1767" s="83">
        <f t="shared" si="74"/>
        <v>0</v>
      </c>
    </row>
    <row r="1768" spans="8:8" hidden="1" x14ac:dyDescent="0.35">
      <c r="H1768" s="83">
        <f t="shared" si="74"/>
        <v>0</v>
      </c>
    </row>
    <row r="1769" spans="8:8" hidden="1" x14ac:dyDescent="0.35">
      <c r="H1769" s="83">
        <f t="shared" si="74"/>
        <v>0</v>
      </c>
    </row>
    <row r="1770" spans="8:8" hidden="1" x14ac:dyDescent="0.35">
      <c r="H1770" s="83">
        <f t="shared" si="74"/>
        <v>0</v>
      </c>
    </row>
    <row r="1771" spans="8:8" hidden="1" x14ac:dyDescent="0.35">
      <c r="H1771" s="83">
        <f t="shared" si="74"/>
        <v>0</v>
      </c>
    </row>
    <row r="1772" spans="8:8" hidden="1" x14ac:dyDescent="0.35">
      <c r="H1772" s="83">
        <f t="shared" si="74"/>
        <v>0</v>
      </c>
    </row>
    <row r="1773" spans="8:8" hidden="1" x14ac:dyDescent="0.35">
      <c r="H1773" s="83">
        <f t="shared" si="74"/>
        <v>0</v>
      </c>
    </row>
    <row r="1774" spans="8:8" hidden="1" x14ac:dyDescent="0.35">
      <c r="H1774" s="83">
        <f t="shared" si="74"/>
        <v>0</v>
      </c>
    </row>
    <row r="1775" spans="8:8" hidden="1" x14ac:dyDescent="0.35">
      <c r="H1775" s="83">
        <f t="shared" si="74"/>
        <v>0</v>
      </c>
    </row>
    <row r="1776" spans="8:8" hidden="1" x14ac:dyDescent="0.35">
      <c r="H1776" s="83">
        <f t="shared" si="74"/>
        <v>0</v>
      </c>
    </row>
    <row r="1777" spans="8:8" hidden="1" x14ac:dyDescent="0.35">
      <c r="H1777" s="83">
        <f t="shared" si="74"/>
        <v>0</v>
      </c>
    </row>
    <row r="1778" spans="8:8" hidden="1" x14ac:dyDescent="0.35">
      <c r="H1778" s="83">
        <f t="shared" si="74"/>
        <v>0</v>
      </c>
    </row>
    <row r="1779" spans="8:8" hidden="1" x14ac:dyDescent="0.35">
      <c r="H1779" s="83">
        <f t="shared" si="74"/>
        <v>0</v>
      </c>
    </row>
    <row r="1780" spans="8:8" hidden="1" x14ac:dyDescent="0.35">
      <c r="H1780" s="83">
        <f t="shared" si="74"/>
        <v>0</v>
      </c>
    </row>
    <row r="1781" spans="8:8" hidden="1" x14ac:dyDescent="0.35">
      <c r="H1781" s="83">
        <f t="shared" si="74"/>
        <v>0</v>
      </c>
    </row>
    <row r="1782" spans="8:8" hidden="1" x14ac:dyDescent="0.35">
      <c r="H1782" s="83">
        <f t="shared" si="74"/>
        <v>0</v>
      </c>
    </row>
    <row r="1783" spans="8:8" hidden="1" x14ac:dyDescent="0.35">
      <c r="H1783" s="83">
        <f t="shared" si="74"/>
        <v>0</v>
      </c>
    </row>
    <row r="1784" spans="8:8" hidden="1" x14ac:dyDescent="0.35">
      <c r="H1784" s="83">
        <f t="shared" si="74"/>
        <v>0</v>
      </c>
    </row>
    <row r="1785" spans="8:8" hidden="1" x14ac:dyDescent="0.35">
      <c r="H1785" s="83">
        <f t="shared" si="74"/>
        <v>0</v>
      </c>
    </row>
    <row r="1786" spans="8:8" hidden="1" x14ac:dyDescent="0.35">
      <c r="H1786" s="83">
        <f t="shared" si="74"/>
        <v>0</v>
      </c>
    </row>
    <row r="1787" spans="8:8" hidden="1" x14ac:dyDescent="0.35">
      <c r="H1787" s="83">
        <f t="shared" si="74"/>
        <v>0</v>
      </c>
    </row>
    <row r="1788" spans="8:8" hidden="1" x14ac:dyDescent="0.35">
      <c r="H1788" s="83">
        <f t="shared" si="74"/>
        <v>0</v>
      </c>
    </row>
    <row r="1789" spans="8:8" hidden="1" x14ac:dyDescent="0.35">
      <c r="H1789" s="83">
        <f t="shared" si="74"/>
        <v>0</v>
      </c>
    </row>
    <row r="1790" spans="8:8" hidden="1" x14ac:dyDescent="0.35">
      <c r="H1790" s="83">
        <f t="shared" si="74"/>
        <v>0</v>
      </c>
    </row>
    <row r="1791" spans="8:8" hidden="1" x14ac:dyDescent="0.35">
      <c r="H1791" s="83">
        <f t="shared" si="74"/>
        <v>0</v>
      </c>
    </row>
    <row r="1792" spans="8:8" hidden="1" x14ac:dyDescent="0.35">
      <c r="H1792" s="83">
        <f t="shared" si="74"/>
        <v>0</v>
      </c>
    </row>
    <row r="1793" spans="8:8" hidden="1" x14ac:dyDescent="0.35">
      <c r="H1793" s="83">
        <f t="shared" si="74"/>
        <v>0</v>
      </c>
    </row>
    <row r="1794" spans="8:8" hidden="1" x14ac:dyDescent="0.35">
      <c r="H1794" s="83">
        <f t="shared" si="74"/>
        <v>0</v>
      </c>
    </row>
    <row r="1795" spans="8:8" hidden="1" x14ac:dyDescent="0.35">
      <c r="H1795" s="83">
        <f t="shared" si="74"/>
        <v>0</v>
      </c>
    </row>
    <row r="1796" spans="8:8" hidden="1" x14ac:dyDescent="0.35">
      <c r="H1796" s="83">
        <f t="shared" ref="H1796:H1859" si="75">J1796-I1796</f>
        <v>0</v>
      </c>
    </row>
    <row r="1797" spans="8:8" hidden="1" x14ac:dyDescent="0.35">
      <c r="H1797" s="83">
        <f t="shared" si="75"/>
        <v>0</v>
      </c>
    </row>
    <row r="1798" spans="8:8" hidden="1" x14ac:dyDescent="0.35">
      <c r="H1798" s="83">
        <f t="shared" si="75"/>
        <v>0</v>
      </c>
    </row>
    <row r="1799" spans="8:8" hidden="1" x14ac:dyDescent="0.35">
      <c r="H1799" s="83">
        <f t="shared" si="75"/>
        <v>0</v>
      </c>
    </row>
    <row r="1800" spans="8:8" hidden="1" x14ac:dyDescent="0.35">
      <c r="H1800" s="83">
        <f t="shared" si="75"/>
        <v>0</v>
      </c>
    </row>
    <row r="1801" spans="8:8" hidden="1" x14ac:dyDescent="0.35">
      <c r="H1801" s="83">
        <f t="shared" si="75"/>
        <v>0</v>
      </c>
    </row>
    <row r="1802" spans="8:8" hidden="1" x14ac:dyDescent="0.35">
      <c r="H1802" s="83">
        <f t="shared" si="75"/>
        <v>0</v>
      </c>
    </row>
    <row r="1803" spans="8:8" hidden="1" x14ac:dyDescent="0.35">
      <c r="H1803" s="83">
        <f t="shared" si="75"/>
        <v>0</v>
      </c>
    </row>
    <row r="1804" spans="8:8" hidden="1" x14ac:dyDescent="0.35">
      <c r="H1804" s="83">
        <f t="shared" si="75"/>
        <v>0</v>
      </c>
    </row>
    <row r="1805" spans="8:8" hidden="1" x14ac:dyDescent="0.35">
      <c r="H1805" s="83">
        <f t="shared" si="75"/>
        <v>0</v>
      </c>
    </row>
    <row r="1806" spans="8:8" hidden="1" x14ac:dyDescent="0.35">
      <c r="H1806" s="83">
        <f t="shared" si="75"/>
        <v>0</v>
      </c>
    </row>
    <row r="1807" spans="8:8" hidden="1" x14ac:dyDescent="0.35">
      <c r="H1807" s="83">
        <f t="shared" si="75"/>
        <v>0</v>
      </c>
    </row>
    <row r="1808" spans="8:8" hidden="1" x14ac:dyDescent="0.35">
      <c r="H1808" s="83">
        <f t="shared" si="75"/>
        <v>0</v>
      </c>
    </row>
    <row r="1809" spans="8:8" hidden="1" x14ac:dyDescent="0.35">
      <c r="H1809" s="83">
        <f t="shared" si="75"/>
        <v>0</v>
      </c>
    </row>
    <row r="1810" spans="8:8" hidden="1" x14ac:dyDescent="0.35">
      <c r="H1810" s="83">
        <f t="shared" si="75"/>
        <v>0</v>
      </c>
    </row>
    <row r="1811" spans="8:8" hidden="1" x14ac:dyDescent="0.35">
      <c r="H1811" s="83">
        <f t="shared" si="75"/>
        <v>0</v>
      </c>
    </row>
    <row r="1812" spans="8:8" hidden="1" x14ac:dyDescent="0.35">
      <c r="H1812" s="83">
        <f t="shared" si="75"/>
        <v>0</v>
      </c>
    </row>
    <row r="1813" spans="8:8" hidden="1" x14ac:dyDescent="0.35">
      <c r="H1813" s="83">
        <f t="shared" si="75"/>
        <v>0</v>
      </c>
    </row>
    <row r="1814" spans="8:8" hidden="1" x14ac:dyDescent="0.35">
      <c r="H1814" s="83">
        <f t="shared" si="75"/>
        <v>0</v>
      </c>
    </row>
    <row r="1815" spans="8:8" hidden="1" x14ac:dyDescent="0.35">
      <c r="H1815" s="83">
        <f t="shared" si="75"/>
        <v>0</v>
      </c>
    </row>
    <row r="1816" spans="8:8" hidden="1" x14ac:dyDescent="0.35">
      <c r="H1816" s="83">
        <f t="shared" si="75"/>
        <v>0</v>
      </c>
    </row>
    <row r="1817" spans="8:8" hidden="1" x14ac:dyDescent="0.35">
      <c r="H1817" s="83">
        <f t="shared" si="75"/>
        <v>0</v>
      </c>
    </row>
    <row r="1818" spans="8:8" hidden="1" x14ac:dyDescent="0.35">
      <c r="H1818" s="83">
        <f t="shared" si="75"/>
        <v>0</v>
      </c>
    </row>
    <row r="1819" spans="8:8" hidden="1" x14ac:dyDescent="0.35">
      <c r="H1819" s="83">
        <f t="shared" si="75"/>
        <v>0</v>
      </c>
    </row>
    <row r="1820" spans="8:8" hidden="1" x14ac:dyDescent="0.35">
      <c r="H1820" s="83">
        <f t="shared" si="75"/>
        <v>0</v>
      </c>
    </row>
    <row r="1821" spans="8:8" hidden="1" x14ac:dyDescent="0.35">
      <c r="H1821" s="83">
        <f t="shared" si="75"/>
        <v>0</v>
      </c>
    </row>
    <row r="1822" spans="8:8" hidden="1" x14ac:dyDescent="0.35">
      <c r="H1822" s="83">
        <f t="shared" si="75"/>
        <v>0</v>
      </c>
    </row>
    <row r="1823" spans="8:8" hidden="1" x14ac:dyDescent="0.35">
      <c r="H1823" s="83">
        <f t="shared" si="75"/>
        <v>0</v>
      </c>
    </row>
    <row r="1824" spans="8:8" hidden="1" x14ac:dyDescent="0.35">
      <c r="H1824" s="83">
        <f t="shared" si="75"/>
        <v>0</v>
      </c>
    </row>
    <row r="1825" spans="8:8" hidden="1" x14ac:dyDescent="0.35">
      <c r="H1825" s="83">
        <f t="shared" si="75"/>
        <v>0</v>
      </c>
    </row>
    <row r="1826" spans="8:8" hidden="1" x14ac:dyDescent="0.35">
      <c r="H1826" s="83">
        <f t="shared" si="75"/>
        <v>0</v>
      </c>
    </row>
    <row r="1827" spans="8:8" hidden="1" x14ac:dyDescent="0.35">
      <c r="H1827" s="83">
        <f t="shared" si="75"/>
        <v>0</v>
      </c>
    </row>
    <row r="1828" spans="8:8" hidden="1" x14ac:dyDescent="0.35">
      <c r="H1828" s="83">
        <f t="shared" si="75"/>
        <v>0</v>
      </c>
    </row>
    <row r="1829" spans="8:8" hidden="1" x14ac:dyDescent="0.35">
      <c r="H1829" s="83">
        <f t="shared" si="75"/>
        <v>0</v>
      </c>
    </row>
    <row r="1830" spans="8:8" hidden="1" x14ac:dyDescent="0.35">
      <c r="H1830" s="83">
        <f t="shared" si="75"/>
        <v>0</v>
      </c>
    </row>
    <row r="1831" spans="8:8" hidden="1" x14ac:dyDescent="0.35">
      <c r="H1831" s="83">
        <f t="shared" si="75"/>
        <v>0</v>
      </c>
    </row>
    <row r="1832" spans="8:8" hidden="1" x14ac:dyDescent="0.35">
      <c r="H1832" s="83">
        <f t="shared" si="75"/>
        <v>0</v>
      </c>
    </row>
    <row r="1833" spans="8:8" hidden="1" x14ac:dyDescent="0.35">
      <c r="H1833" s="83">
        <f t="shared" si="75"/>
        <v>0</v>
      </c>
    </row>
    <row r="1834" spans="8:8" hidden="1" x14ac:dyDescent="0.35">
      <c r="H1834" s="83">
        <f t="shared" si="75"/>
        <v>0</v>
      </c>
    </row>
    <row r="1835" spans="8:8" hidden="1" x14ac:dyDescent="0.35">
      <c r="H1835" s="83">
        <f t="shared" si="75"/>
        <v>0</v>
      </c>
    </row>
    <row r="1836" spans="8:8" hidden="1" x14ac:dyDescent="0.35">
      <c r="H1836" s="83">
        <f t="shared" si="75"/>
        <v>0</v>
      </c>
    </row>
    <row r="1837" spans="8:8" hidden="1" x14ac:dyDescent="0.35">
      <c r="H1837" s="83">
        <f t="shared" si="75"/>
        <v>0</v>
      </c>
    </row>
    <row r="1838" spans="8:8" hidden="1" x14ac:dyDescent="0.35">
      <c r="H1838" s="83">
        <f t="shared" si="75"/>
        <v>0</v>
      </c>
    </row>
    <row r="1839" spans="8:8" hidden="1" x14ac:dyDescent="0.35">
      <c r="H1839" s="83">
        <f t="shared" si="75"/>
        <v>0</v>
      </c>
    </row>
    <row r="1840" spans="8:8" hidden="1" x14ac:dyDescent="0.35">
      <c r="H1840" s="83">
        <f t="shared" si="75"/>
        <v>0</v>
      </c>
    </row>
    <row r="1841" spans="8:8" hidden="1" x14ac:dyDescent="0.35">
      <c r="H1841" s="83">
        <f t="shared" si="75"/>
        <v>0</v>
      </c>
    </row>
    <row r="1842" spans="8:8" hidden="1" x14ac:dyDescent="0.35">
      <c r="H1842" s="83">
        <f t="shared" si="75"/>
        <v>0</v>
      </c>
    </row>
    <row r="1843" spans="8:8" hidden="1" x14ac:dyDescent="0.35">
      <c r="H1843" s="83">
        <f t="shared" si="75"/>
        <v>0</v>
      </c>
    </row>
    <row r="1844" spans="8:8" hidden="1" x14ac:dyDescent="0.35">
      <c r="H1844" s="83">
        <f t="shared" si="75"/>
        <v>0</v>
      </c>
    </row>
    <row r="1845" spans="8:8" hidden="1" x14ac:dyDescent="0.35">
      <c r="H1845" s="83">
        <f t="shared" si="75"/>
        <v>0</v>
      </c>
    </row>
    <row r="1846" spans="8:8" hidden="1" x14ac:dyDescent="0.35">
      <c r="H1846" s="83">
        <f t="shared" si="75"/>
        <v>0</v>
      </c>
    </row>
    <row r="1847" spans="8:8" hidden="1" x14ac:dyDescent="0.35">
      <c r="H1847" s="83">
        <f t="shared" si="75"/>
        <v>0</v>
      </c>
    </row>
    <row r="1848" spans="8:8" hidden="1" x14ac:dyDescent="0.35">
      <c r="H1848" s="83">
        <f t="shared" si="75"/>
        <v>0</v>
      </c>
    </row>
    <row r="1849" spans="8:8" hidden="1" x14ac:dyDescent="0.35">
      <c r="H1849" s="83">
        <f t="shared" si="75"/>
        <v>0</v>
      </c>
    </row>
    <row r="1850" spans="8:8" hidden="1" x14ac:dyDescent="0.35">
      <c r="H1850" s="83">
        <f t="shared" si="75"/>
        <v>0</v>
      </c>
    </row>
    <row r="1851" spans="8:8" hidden="1" x14ac:dyDescent="0.35">
      <c r="H1851" s="83">
        <f t="shared" si="75"/>
        <v>0</v>
      </c>
    </row>
    <row r="1852" spans="8:8" hidden="1" x14ac:dyDescent="0.35">
      <c r="H1852" s="83">
        <f t="shared" si="75"/>
        <v>0</v>
      </c>
    </row>
    <row r="1853" spans="8:8" hidden="1" x14ac:dyDescent="0.35">
      <c r="H1853" s="83">
        <f t="shared" si="75"/>
        <v>0</v>
      </c>
    </row>
    <row r="1854" spans="8:8" hidden="1" x14ac:dyDescent="0.35">
      <c r="H1854" s="83">
        <f t="shared" si="75"/>
        <v>0</v>
      </c>
    </row>
    <row r="1855" spans="8:8" hidden="1" x14ac:dyDescent="0.35">
      <c r="H1855" s="83">
        <f t="shared" si="75"/>
        <v>0</v>
      </c>
    </row>
    <row r="1856" spans="8:8" hidden="1" x14ac:dyDescent="0.35">
      <c r="H1856" s="83">
        <f t="shared" si="75"/>
        <v>0</v>
      </c>
    </row>
    <row r="1857" spans="8:8" hidden="1" x14ac:dyDescent="0.35">
      <c r="H1857" s="83">
        <f t="shared" si="75"/>
        <v>0</v>
      </c>
    </row>
    <row r="1858" spans="8:8" hidden="1" x14ac:dyDescent="0.35">
      <c r="H1858" s="83">
        <f t="shared" si="75"/>
        <v>0</v>
      </c>
    </row>
    <row r="1859" spans="8:8" hidden="1" x14ac:dyDescent="0.35">
      <c r="H1859" s="83">
        <f t="shared" si="75"/>
        <v>0</v>
      </c>
    </row>
    <row r="1860" spans="8:8" hidden="1" x14ac:dyDescent="0.35">
      <c r="H1860" s="83">
        <f t="shared" ref="H1860:H1923" si="76">J1860-I1860</f>
        <v>0</v>
      </c>
    </row>
    <row r="1861" spans="8:8" hidden="1" x14ac:dyDescent="0.35">
      <c r="H1861" s="83">
        <f t="shared" si="76"/>
        <v>0</v>
      </c>
    </row>
    <row r="1862" spans="8:8" hidden="1" x14ac:dyDescent="0.35">
      <c r="H1862" s="83">
        <f t="shared" si="76"/>
        <v>0</v>
      </c>
    </row>
    <row r="1863" spans="8:8" hidden="1" x14ac:dyDescent="0.35">
      <c r="H1863" s="83">
        <f t="shared" si="76"/>
        <v>0</v>
      </c>
    </row>
    <row r="1864" spans="8:8" hidden="1" x14ac:dyDescent="0.35">
      <c r="H1864" s="83">
        <f t="shared" si="76"/>
        <v>0</v>
      </c>
    </row>
    <row r="1865" spans="8:8" hidden="1" x14ac:dyDescent="0.35">
      <c r="H1865" s="83">
        <f t="shared" si="76"/>
        <v>0</v>
      </c>
    </row>
    <row r="1866" spans="8:8" hidden="1" x14ac:dyDescent="0.35">
      <c r="H1866" s="83">
        <f t="shared" si="76"/>
        <v>0</v>
      </c>
    </row>
    <row r="1867" spans="8:8" hidden="1" x14ac:dyDescent="0.35">
      <c r="H1867" s="83">
        <f t="shared" si="76"/>
        <v>0</v>
      </c>
    </row>
    <row r="1868" spans="8:8" hidden="1" x14ac:dyDescent="0.35">
      <c r="H1868" s="83">
        <f t="shared" si="76"/>
        <v>0</v>
      </c>
    </row>
    <row r="1869" spans="8:8" hidden="1" x14ac:dyDescent="0.35">
      <c r="H1869" s="83">
        <f t="shared" si="76"/>
        <v>0</v>
      </c>
    </row>
    <row r="1870" spans="8:8" hidden="1" x14ac:dyDescent="0.35">
      <c r="H1870" s="83">
        <f t="shared" si="76"/>
        <v>0</v>
      </c>
    </row>
    <row r="1871" spans="8:8" hidden="1" x14ac:dyDescent="0.35">
      <c r="H1871" s="83">
        <f t="shared" si="76"/>
        <v>0</v>
      </c>
    </row>
    <row r="1872" spans="8:8" hidden="1" x14ac:dyDescent="0.35">
      <c r="H1872" s="83">
        <f t="shared" si="76"/>
        <v>0</v>
      </c>
    </row>
    <row r="1873" spans="8:8" hidden="1" x14ac:dyDescent="0.35">
      <c r="H1873" s="83">
        <f t="shared" si="76"/>
        <v>0</v>
      </c>
    </row>
    <row r="1874" spans="8:8" hidden="1" x14ac:dyDescent="0.35">
      <c r="H1874" s="83">
        <f t="shared" si="76"/>
        <v>0</v>
      </c>
    </row>
    <row r="1875" spans="8:8" hidden="1" x14ac:dyDescent="0.35">
      <c r="H1875" s="83">
        <f t="shared" si="76"/>
        <v>0</v>
      </c>
    </row>
    <row r="1876" spans="8:8" hidden="1" x14ac:dyDescent="0.35">
      <c r="H1876" s="83">
        <f t="shared" si="76"/>
        <v>0</v>
      </c>
    </row>
    <row r="1877" spans="8:8" hidden="1" x14ac:dyDescent="0.35">
      <c r="H1877" s="83">
        <f t="shared" si="76"/>
        <v>0</v>
      </c>
    </row>
    <row r="1878" spans="8:8" hidden="1" x14ac:dyDescent="0.35">
      <c r="H1878" s="83">
        <f t="shared" si="76"/>
        <v>0</v>
      </c>
    </row>
    <row r="1879" spans="8:8" hidden="1" x14ac:dyDescent="0.35">
      <c r="H1879" s="83">
        <f t="shared" si="76"/>
        <v>0</v>
      </c>
    </row>
    <row r="1880" spans="8:8" hidden="1" x14ac:dyDescent="0.35">
      <c r="H1880" s="83">
        <f t="shared" si="76"/>
        <v>0</v>
      </c>
    </row>
    <row r="1881" spans="8:8" hidden="1" x14ac:dyDescent="0.35">
      <c r="H1881" s="83">
        <f t="shared" si="76"/>
        <v>0</v>
      </c>
    </row>
    <row r="1882" spans="8:8" hidden="1" x14ac:dyDescent="0.35">
      <c r="H1882" s="83">
        <f t="shared" si="76"/>
        <v>0</v>
      </c>
    </row>
    <row r="1883" spans="8:8" hidden="1" x14ac:dyDescent="0.35">
      <c r="H1883" s="83">
        <f t="shared" si="76"/>
        <v>0</v>
      </c>
    </row>
    <row r="1884" spans="8:8" hidden="1" x14ac:dyDescent="0.35">
      <c r="H1884" s="83">
        <f t="shared" si="76"/>
        <v>0</v>
      </c>
    </row>
    <row r="1885" spans="8:8" hidden="1" x14ac:dyDescent="0.35">
      <c r="H1885" s="83">
        <f t="shared" si="76"/>
        <v>0</v>
      </c>
    </row>
    <row r="1886" spans="8:8" hidden="1" x14ac:dyDescent="0.35">
      <c r="H1886" s="83">
        <f t="shared" si="76"/>
        <v>0</v>
      </c>
    </row>
    <row r="1887" spans="8:8" hidden="1" x14ac:dyDescent="0.35">
      <c r="H1887" s="83">
        <f t="shared" si="76"/>
        <v>0</v>
      </c>
    </row>
    <row r="1888" spans="8:8" hidden="1" x14ac:dyDescent="0.35">
      <c r="H1888" s="83">
        <f t="shared" si="76"/>
        <v>0</v>
      </c>
    </row>
    <row r="1889" spans="8:8" hidden="1" x14ac:dyDescent="0.35">
      <c r="H1889" s="83">
        <f t="shared" si="76"/>
        <v>0</v>
      </c>
    </row>
    <row r="1890" spans="8:8" hidden="1" x14ac:dyDescent="0.35">
      <c r="H1890" s="83">
        <f t="shared" si="76"/>
        <v>0</v>
      </c>
    </row>
    <row r="1891" spans="8:8" hidden="1" x14ac:dyDescent="0.35">
      <c r="H1891" s="83">
        <f t="shared" si="76"/>
        <v>0</v>
      </c>
    </row>
    <row r="1892" spans="8:8" hidden="1" x14ac:dyDescent="0.35">
      <c r="H1892" s="83">
        <f t="shared" si="76"/>
        <v>0</v>
      </c>
    </row>
    <row r="1893" spans="8:8" hidden="1" x14ac:dyDescent="0.35">
      <c r="H1893" s="83">
        <f t="shared" si="76"/>
        <v>0</v>
      </c>
    </row>
    <row r="1894" spans="8:8" hidden="1" x14ac:dyDescent="0.35">
      <c r="H1894" s="83">
        <f t="shared" si="76"/>
        <v>0</v>
      </c>
    </row>
    <row r="1895" spans="8:8" hidden="1" x14ac:dyDescent="0.35">
      <c r="H1895" s="83">
        <f t="shared" si="76"/>
        <v>0</v>
      </c>
    </row>
    <row r="1896" spans="8:8" hidden="1" x14ac:dyDescent="0.35">
      <c r="H1896" s="83">
        <f t="shared" si="76"/>
        <v>0</v>
      </c>
    </row>
    <row r="1897" spans="8:8" hidden="1" x14ac:dyDescent="0.35">
      <c r="H1897" s="83">
        <f t="shared" si="76"/>
        <v>0</v>
      </c>
    </row>
    <row r="1898" spans="8:8" hidden="1" x14ac:dyDescent="0.35">
      <c r="H1898" s="83">
        <f t="shared" si="76"/>
        <v>0</v>
      </c>
    </row>
    <row r="1899" spans="8:8" hidden="1" x14ac:dyDescent="0.35">
      <c r="H1899" s="83">
        <f t="shared" si="76"/>
        <v>0</v>
      </c>
    </row>
    <row r="1900" spans="8:8" hidden="1" x14ac:dyDescent="0.35">
      <c r="H1900" s="83">
        <f t="shared" si="76"/>
        <v>0</v>
      </c>
    </row>
    <row r="1901" spans="8:8" hidden="1" x14ac:dyDescent="0.35">
      <c r="H1901" s="83">
        <f t="shared" si="76"/>
        <v>0</v>
      </c>
    </row>
    <row r="1902" spans="8:8" hidden="1" x14ac:dyDescent="0.35">
      <c r="H1902" s="83">
        <f t="shared" si="76"/>
        <v>0</v>
      </c>
    </row>
    <row r="1903" spans="8:8" hidden="1" x14ac:dyDescent="0.35">
      <c r="H1903" s="83">
        <f t="shared" si="76"/>
        <v>0</v>
      </c>
    </row>
    <row r="1904" spans="8:8" hidden="1" x14ac:dyDescent="0.35">
      <c r="H1904" s="83">
        <f t="shared" si="76"/>
        <v>0</v>
      </c>
    </row>
    <row r="1905" spans="8:8" hidden="1" x14ac:dyDescent="0.35">
      <c r="H1905" s="83">
        <f t="shared" si="76"/>
        <v>0</v>
      </c>
    </row>
    <row r="1906" spans="8:8" hidden="1" x14ac:dyDescent="0.35">
      <c r="H1906" s="83">
        <f t="shared" si="76"/>
        <v>0</v>
      </c>
    </row>
    <row r="1907" spans="8:8" hidden="1" x14ac:dyDescent="0.35">
      <c r="H1907" s="83">
        <f t="shared" si="76"/>
        <v>0</v>
      </c>
    </row>
    <row r="1908" spans="8:8" hidden="1" x14ac:dyDescent="0.35">
      <c r="H1908" s="83">
        <f t="shared" si="76"/>
        <v>0</v>
      </c>
    </row>
    <row r="1909" spans="8:8" hidden="1" x14ac:dyDescent="0.35">
      <c r="H1909" s="83">
        <f t="shared" si="76"/>
        <v>0</v>
      </c>
    </row>
    <row r="1910" spans="8:8" hidden="1" x14ac:dyDescent="0.35">
      <c r="H1910" s="83">
        <f t="shared" si="76"/>
        <v>0</v>
      </c>
    </row>
    <row r="1911" spans="8:8" hidden="1" x14ac:dyDescent="0.35">
      <c r="H1911" s="83">
        <f t="shared" si="76"/>
        <v>0</v>
      </c>
    </row>
    <row r="1912" spans="8:8" hidden="1" x14ac:dyDescent="0.35">
      <c r="H1912" s="83">
        <f t="shared" si="76"/>
        <v>0</v>
      </c>
    </row>
    <row r="1913" spans="8:8" hidden="1" x14ac:dyDescent="0.35">
      <c r="H1913" s="83">
        <f t="shared" si="76"/>
        <v>0</v>
      </c>
    </row>
    <row r="1914" spans="8:8" hidden="1" x14ac:dyDescent="0.35">
      <c r="H1914" s="83">
        <f t="shared" si="76"/>
        <v>0</v>
      </c>
    </row>
    <row r="1915" spans="8:8" hidden="1" x14ac:dyDescent="0.35">
      <c r="H1915" s="83">
        <f t="shared" si="76"/>
        <v>0</v>
      </c>
    </row>
    <row r="1916" spans="8:8" hidden="1" x14ac:dyDescent="0.35">
      <c r="H1916" s="83">
        <f t="shared" si="76"/>
        <v>0</v>
      </c>
    </row>
    <row r="1917" spans="8:8" hidden="1" x14ac:dyDescent="0.35">
      <c r="H1917" s="83">
        <f t="shared" si="76"/>
        <v>0</v>
      </c>
    </row>
    <row r="1918" spans="8:8" hidden="1" x14ac:dyDescent="0.35">
      <c r="H1918" s="83">
        <f t="shared" si="76"/>
        <v>0</v>
      </c>
    </row>
    <row r="1919" spans="8:8" hidden="1" x14ac:dyDescent="0.35">
      <c r="H1919" s="83">
        <f t="shared" si="76"/>
        <v>0</v>
      </c>
    </row>
    <row r="1920" spans="8:8" hidden="1" x14ac:dyDescent="0.35">
      <c r="H1920" s="83">
        <f t="shared" si="76"/>
        <v>0</v>
      </c>
    </row>
    <row r="1921" spans="8:8" hidden="1" x14ac:dyDescent="0.35">
      <c r="H1921" s="83">
        <f t="shared" si="76"/>
        <v>0</v>
      </c>
    </row>
    <row r="1922" spans="8:8" hidden="1" x14ac:dyDescent="0.35">
      <c r="H1922" s="83">
        <f t="shared" si="76"/>
        <v>0</v>
      </c>
    </row>
    <row r="1923" spans="8:8" hidden="1" x14ac:dyDescent="0.35">
      <c r="H1923" s="83">
        <f t="shared" si="76"/>
        <v>0</v>
      </c>
    </row>
    <row r="1924" spans="8:8" hidden="1" x14ac:dyDescent="0.35">
      <c r="H1924" s="83">
        <f t="shared" ref="H1924:H1987" si="77">J1924-I1924</f>
        <v>0</v>
      </c>
    </row>
    <row r="1925" spans="8:8" hidden="1" x14ac:dyDescent="0.35">
      <c r="H1925" s="83">
        <f t="shared" si="77"/>
        <v>0</v>
      </c>
    </row>
    <row r="1926" spans="8:8" hidden="1" x14ac:dyDescent="0.35">
      <c r="H1926" s="83">
        <f t="shared" si="77"/>
        <v>0</v>
      </c>
    </row>
    <row r="1927" spans="8:8" hidden="1" x14ac:dyDescent="0.35">
      <c r="H1927" s="83">
        <f t="shared" si="77"/>
        <v>0</v>
      </c>
    </row>
    <row r="1928" spans="8:8" hidden="1" x14ac:dyDescent="0.35">
      <c r="H1928" s="83">
        <f t="shared" si="77"/>
        <v>0</v>
      </c>
    </row>
    <row r="1929" spans="8:8" hidden="1" x14ac:dyDescent="0.35">
      <c r="H1929" s="83">
        <f t="shared" si="77"/>
        <v>0</v>
      </c>
    </row>
    <row r="1930" spans="8:8" hidden="1" x14ac:dyDescent="0.35">
      <c r="H1930" s="83">
        <f t="shared" si="77"/>
        <v>0</v>
      </c>
    </row>
    <row r="1931" spans="8:8" hidden="1" x14ac:dyDescent="0.35">
      <c r="H1931" s="83">
        <f t="shared" si="77"/>
        <v>0</v>
      </c>
    </row>
    <row r="1932" spans="8:8" hidden="1" x14ac:dyDescent="0.35">
      <c r="H1932" s="83">
        <f t="shared" si="77"/>
        <v>0</v>
      </c>
    </row>
    <row r="1933" spans="8:8" hidden="1" x14ac:dyDescent="0.35">
      <c r="H1933" s="83">
        <f t="shared" si="77"/>
        <v>0</v>
      </c>
    </row>
    <row r="1934" spans="8:8" hidden="1" x14ac:dyDescent="0.35">
      <c r="H1934" s="83">
        <f t="shared" si="77"/>
        <v>0</v>
      </c>
    </row>
    <row r="1935" spans="8:8" hidden="1" x14ac:dyDescent="0.35">
      <c r="H1935" s="83">
        <f t="shared" si="77"/>
        <v>0</v>
      </c>
    </row>
    <row r="1936" spans="8:8" hidden="1" x14ac:dyDescent="0.35">
      <c r="H1936" s="83">
        <f t="shared" si="77"/>
        <v>0</v>
      </c>
    </row>
    <row r="1937" spans="8:8" hidden="1" x14ac:dyDescent="0.35">
      <c r="H1937" s="83">
        <f t="shared" si="77"/>
        <v>0</v>
      </c>
    </row>
    <row r="1938" spans="8:8" hidden="1" x14ac:dyDescent="0.35">
      <c r="H1938" s="83">
        <f t="shared" si="77"/>
        <v>0</v>
      </c>
    </row>
    <row r="1939" spans="8:8" hidden="1" x14ac:dyDescent="0.35">
      <c r="H1939" s="83">
        <f t="shared" si="77"/>
        <v>0</v>
      </c>
    </row>
    <row r="1940" spans="8:8" hidden="1" x14ac:dyDescent="0.35">
      <c r="H1940" s="83">
        <f t="shared" si="77"/>
        <v>0</v>
      </c>
    </row>
    <row r="1941" spans="8:8" hidden="1" x14ac:dyDescent="0.35">
      <c r="H1941" s="83">
        <f t="shared" si="77"/>
        <v>0</v>
      </c>
    </row>
    <row r="1942" spans="8:8" hidden="1" x14ac:dyDescent="0.35">
      <c r="H1942" s="83">
        <f t="shared" si="77"/>
        <v>0</v>
      </c>
    </row>
    <row r="1943" spans="8:8" hidden="1" x14ac:dyDescent="0.35">
      <c r="H1943" s="83">
        <f t="shared" si="77"/>
        <v>0</v>
      </c>
    </row>
    <row r="1944" spans="8:8" hidden="1" x14ac:dyDescent="0.35">
      <c r="H1944" s="83">
        <f t="shared" si="77"/>
        <v>0</v>
      </c>
    </row>
    <row r="1945" spans="8:8" hidden="1" x14ac:dyDescent="0.35">
      <c r="H1945" s="83">
        <f t="shared" si="77"/>
        <v>0</v>
      </c>
    </row>
    <row r="1946" spans="8:8" hidden="1" x14ac:dyDescent="0.35">
      <c r="H1946" s="83">
        <f t="shared" si="77"/>
        <v>0</v>
      </c>
    </row>
    <row r="1947" spans="8:8" hidden="1" x14ac:dyDescent="0.35">
      <c r="H1947" s="83">
        <f t="shared" si="77"/>
        <v>0</v>
      </c>
    </row>
    <row r="1948" spans="8:8" hidden="1" x14ac:dyDescent="0.35">
      <c r="H1948" s="83">
        <f t="shared" si="77"/>
        <v>0</v>
      </c>
    </row>
    <row r="1949" spans="8:8" hidden="1" x14ac:dyDescent="0.35">
      <c r="H1949" s="83">
        <f t="shared" si="77"/>
        <v>0</v>
      </c>
    </row>
    <row r="1950" spans="8:8" hidden="1" x14ac:dyDescent="0.35">
      <c r="H1950" s="83">
        <f t="shared" si="77"/>
        <v>0</v>
      </c>
    </row>
    <row r="1951" spans="8:8" hidden="1" x14ac:dyDescent="0.35">
      <c r="H1951" s="83">
        <f t="shared" si="77"/>
        <v>0</v>
      </c>
    </row>
    <row r="1952" spans="8:8" hidden="1" x14ac:dyDescent="0.35">
      <c r="H1952" s="83">
        <f t="shared" si="77"/>
        <v>0</v>
      </c>
    </row>
    <row r="1953" spans="8:8" hidden="1" x14ac:dyDescent="0.35">
      <c r="H1953" s="83">
        <f t="shared" si="77"/>
        <v>0</v>
      </c>
    </row>
    <row r="1954" spans="8:8" hidden="1" x14ac:dyDescent="0.35">
      <c r="H1954" s="83">
        <f t="shared" si="77"/>
        <v>0</v>
      </c>
    </row>
    <row r="1955" spans="8:8" hidden="1" x14ac:dyDescent="0.35">
      <c r="H1955" s="83">
        <f t="shared" si="77"/>
        <v>0</v>
      </c>
    </row>
    <row r="1956" spans="8:8" hidden="1" x14ac:dyDescent="0.35">
      <c r="H1956" s="83">
        <f t="shared" si="77"/>
        <v>0</v>
      </c>
    </row>
    <row r="1957" spans="8:8" hidden="1" x14ac:dyDescent="0.35">
      <c r="H1957" s="83">
        <f t="shared" si="77"/>
        <v>0</v>
      </c>
    </row>
    <row r="1958" spans="8:8" hidden="1" x14ac:dyDescent="0.35">
      <c r="H1958" s="83">
        <f t="shared" si="77"/>
        <v>0</v>
      </c>
    </row>
    <row r="1959" spans="8:8" hidden="1" x14ac:dyDescent="0.35">
      <c r="H1959" s="83">
        <f t="shared" si="77"/>
        <v>0</v>
      </c>
    </row>
    <row r="1960" spans="8:8" hidden="1" x14ac:dyDescent="0.35">
      <c r="H1960" s="83">
        <f t="shared" si="77"/>
        <v>0</v>
      </c>
    </row>
    <row r="1961" spans="8:8" hidden="1" x14ac:dyDescent="0.35">
      <c r="H1961" s="83">
        <f t="shared" si="77"/>
        <v>0</v>
      </c>
    </row>
    <row r="1962" spans="8:8" hidden="1" x14ac:dyDescent="0.35">
      <c r="H1962" s="83">
        <f t="shared" si="77"/>
        <v>0</v>
      </c>
    </row>
    <row r="1963" spans="8:8" hidden="1" x14ac:dyDescent="0.35">
      <c r="H1963" s="83">
        <f t="shared" si="77"/>
        <v>0</v>
      </c>
    </row>
    <row r="1964" spans="8:8" hidden="1" x14ac:dyDescent="0.35">
      <c r="H1964" s="83">
        <f t="shared" si="77"/>
        <v>0</v>
      </c>
    </row>
    <row r="1965" spans="8:8" hidden="1" x14ac:dyDescent="0.35">
      <c r="H1965" s="83">
        <f t="shared" si="77"/>
        <v>0</v>
      </c>
    </row>
    <row r="1966" spans="8:8" hidden="1" x14ac:dyDescent="0.35">
      <c r="H1966" s="83">
        <f t="shared" si="77"/>
        <v>0</v>
      </c>
    </row>
    <row r="1967" spans="8:8" hidden="1" x14ac:dyDescent="0.35">
      <c r="H1967" s="83">
        <f t="shared" si="77"/>
        <v>0</v>
      </c>
    </row>
    <row r="1968" spans="8:8" hidden="1" x14ac:dyDescent="0.35">
      <c r="H1968" s="83">
        <f t="shared" si="77"/>
        <v>0</v>
      </c>
    </row>
    <row r="1969" spans="8:8" hidden="1" x14ac:dyDescent="0.35">
      <c r="H1969" s="83">
        <f t="shared" si="77"/>
        <v>0</v>
      </c>
    </row>
    <row r="1970" spans="8:8" hidden="1" x14ac:dyDescent="0.35">
      <c r="H1970" s="83">
        <f t="shared" si="77"/>
        <v>0</v>
      </c>
    </row>
    <row r="1971" spans="8:8" hidden="1" x14ac:dyDescent="0.35">
      <c r="H1971" s="83">
        <f t="shared" si="77"/>
        <v>0</v>
      </c>
    </row>
    <row r="1972" spans="8:8" hidden="1" x14ac:dyDescent="0.35">
      <c r="H1972" s="83">
        <f t="shared" si="77"/>
        <v>0</v>
      </c>
    </row>
    <row r="1973" spans="8:8" hidden="1" x14ac:dyDescent="0.35">
      <c r="H1973" s="83">
        <f t="shared" si="77"/>
        <v>0</v>
      </c>
    </row>
    <row r="1974" spans="8:8" hidden="1" x14ac:dyDescent="0.35">
      <c r="H1974" s="83">
        <f t="shared" si="77"/>
        <v>0</v>
      </c>
    </row>
    <row r="1975" spans="8:8" hidden="1" x14ac:dyDescent="0.35">
      <c r="H1975" s="83">
        <f t="shared" si="77"/>
        <v>0</v>
      </c>
    </row>
    <row r="1976" spans="8:8" hidden="1" x14ac:dyDescent="0.35">
      <c r="H1976" s="83">
        <f t="shared" si="77"/>
        <v>0</v>
      </c>
    </row>
    <row r="1977" spans="8:8" hidden="1" x14ac:dyDescent="0.35">
      <c r="H1977" s="83">
        <f t="shared" si="77"/>
        <v>0</v>
      </c>
    </row>
    <row r="1978" spans="8:8" hidden="1" x14ac:dyDescent="0.35">
      <c r="H1978" s="83">
        <f t="shared" si="77"/>
        <v>0</v>
      </c>
    </row>
    <row r="1979" spans="8:8" hidden="1" x14ac:dyDescent="0.35">
      <c r="H1979" s="83">
        <f t="shared" si="77"/>
        <v>0</v>
      </c>
    </row>
    <row r="1980" spans="8:8" hidden="1" x14ac:dyDescent="0.35">
      <c r="H1980" s="83">
        <f t="shared" si="77"/>
        <v>0</v>
      </c>
    </row>
    <row r="1981" spans="8:8" hidden="1" x14ac:dyDescent="0.35">
      <c r="H1981" s="83">
        <f t="shared" si="77"/>
        <v>0</v>
      </c>
    </row>
    <row r="1982" spans="8:8" hidden="1" x14ac:dyDescent="0.35">
      <c r="H1982" s="83">
        <f t="shared" si="77"/>
        <v>0</v>
      </c>
    </row>
    <row r="1983" spans="8:8" hidden="1" x14ac:dyDescent="0.35">
      <c r="H1983" s="83">
        <f t="shared" si="77"/>
        <v>0</v>
      </c>
    </row>
    <row r="1984" spans="8:8" hidden="1" x14ac:dyDescent="0.35">
      <c r="H1984" s="83">
        <f t="shared" si="77"/>
        <v>0</v>
      </c>
    </row>
    <row r="1985" spans="8:8" hidden="1" x14ac:dyDescent="0.35">
      <c r="H1985" s="83">
        <f t="shared" si="77"/>
        <v>0</v>
      </c>
    </row>
    <row r="1986" spans="8:8" hidden="1" x14ac:dyDescent="0.35">
      <c r="H1986" s="83">
        <f t="shared" si="77"/>
        <v>0</v>
      </c>
    </row>
    <row r="1987" spans="8:8" hidden="1" x14ac:dyDescent="0.35">
      <c r="H1987" s="83">
        <f t="shared" si="77"/>
        <v>0</v>
      </c>
    </row>
    <row r="1988" spans="8:8" hidden="1" x14ac:dyDescent="0.35">
      <c r="H1988" s="83">
        <f t="shared" ref="H1988:H2051" si="78">J1988-I1988</f>
        <v>0</v>
      </c>
    </row>
    <row r="1989" spans="8:8" hidden="1" x14ac:dyDescent="0.35">
      <c r="H1989" s="83">
        <f t="shared" si="78"/>
        <v>0</v>
      </c>
    </row>
    <row r="1990" spans="8:8" hidden="1" x14ac:dyDescent="0.35">
      <c r="H1990" s="83">
        <f t="shared" si="78"/>
        <v>0</v>
      </c>
    </row>
    <row r="1991" spans="8:8" hidden="1" x14ac:dyDescent="0.35">
      <c r="H1991" s="83">
        <f t="shared" si="78"/>
        <v>0</v>
      </c>
    </row>
    <row r="1992" spans="8:8" hidden="1" x14ac:dyDescent="0.35">
      <c r="H1992" s="83">
        <f t="shared" si="78"/>
        <v>0</v>
      </c>
    </row>
    <row r="1993" spans="8:8" hidden="1" x14ac:dyDescent="0.35">
      <c r="H1993" s="83">
        <f t="shared" si="78"/>
        <v>0</v>
      </c>
    </row>
    <row r="1994" spans="8:8" hidden="1" x14ac:dyDescent="0.35">
      <c r="H1994" s="83">
        <f t="shared" si="78"/>
        <v>0</v>
      </c>
    </row>
    <row r="1995" spans="8:8" hidden="1" x14ac:dyDescent="0.35">
      <c r="H1995" s="83">
        <f t="shared" si="78"/>
        <v>0</v>
      </c>
    </row>
    <row r="1996" spans="8:8" hidden="1" x14ac:dyDescent="0.35">
      <c r="H1996" s="83">
        <f t="shared" si="78"/>
        <v>0</v>
      </c>
    </row>
    <row r="1997" spans="8:8" hidden="1" x14ac:dyDescent="0.35">
      <c r="H1997" s="83">
        <f t="shared" si="78"/>
        <v>0</v>
      </c>
    </row>
    <row r="1998" spans="8:8" hidden="1" x14ac:dyDescent="0.35">
      <c r="H1998" s="83">
        <f t="shared" si="78"/>
        <v>0</v>
      </c>
    </row>
    <row r="1999" spans="8:8" hidden="1" x14ac:dyDescent="0.35">
      <c r="H1999" s="83">
        <f t="shared" si="78"/>
        <v>0</v>
      </c>
    </row>
    <row r="2000" spans="8:8" hidden="1" x14ac:dyDescent="0.35">
      <c r="H2000" s="83">
        <f t="shared" si="78"/>
        <v>0</v>
      </c>
    </row>
    <row r="2001" spans="8:8" hidden="1" x14ac:dyDescent="0.35">
      <c r="H2001" s="83">
        <f t="shared" si="78"/>
        <v>0</v>
      </c>
    </row>
    <row r="2002" spans="8:8" hidden="1" x14ac:dyDescent="0.35">
      <c r="H2002" s="83">
        <f t="shared" si="78"/>
        <v>0</v>
      </c>
    </row>
    <row r="2003" spans="8:8" hidden="1" x14ac:dyDescent="0.35">
      <c r="H2003" s="83">
        <f t="shared" si="78"/>
        <v>0</v>
      </c>
    </row>
    <row r="2004" spans="8:8" hidden="1" x14ac:dyDescent="0.35">
      <c r="H2004" s="83">
        <f t="shared" si="78"/>
        <v>0</v>
      </c>
    </row>
    <row r="2005" spans="8:8" hidden="1" x14ac:dyDescent="0.35">
      <c r="H2005" s="83">
        <f t="shared" si="78"/>
        <v>0</v>
      </c>
    </row>
    <row r="2006" spans="8:8" hidden="1" x14ac:dyDescent="0.35">
      <c r="H2006" s="83">
        <f t="shared" si="78"/>
        <v>0</v>
      </c>
    </row>
    <row r="2007" spans="8:8" hidden="1" x14ac:dyDescent="0.35">
      <c r="H2007" s="83">
        <f t="shared" si="78"/>
        <v>0</v>
      </c>
    </row>
    <row r="2008" spans="8:8" hidden="1" x14ac:dyDescent="0.35">
      <c r="H2008" s="83">
        <f t="shared" si="78"/>
        <v>0</v>
      </c>
    </row>
    <row r="2009" spans="8:8" hidden="1" x14ac:dyDescent="0.35">
      <c r="H2009" s="83">
        <f t="shared" si="78"/>
        <v>0</v>
      </c>
    </row>
    <row r="2010" spans="8:8" hidden="1" x14ac:dyDescent="0.35">
      <c r="H2010" s="83">
        <f t="shared" si="78"/>
        <v>0</v>
      </c>
    </row>
    <row r="2011" spans="8:8" hidden="1" x14ac:dyDescent="0.35">
      <c r="H2011" s="83">
        <f t="shared" si="78"/>
        <v>0</v>
      </c>
    </row>
    <row r="2012" spans="8:8" hidden="1" x14ac:dyDescent="0.35">
      <c r="H2012" s="83">
        <f t="shared" si="78"/>
        <v>0</v>
      </c>
    </row>
    <row r="2013" spans="8:8" hidden="1" x14ac:dyDescent="0.35">
      <c r="H2013" s="83">
        <f t="shared" si="78"/>
        <v>0</v>
      </c>
    </row>
    <row r="2014" spans="8:8" hidden="1" x14ac:dyDescent="0.35">
      <c r="H2014" s="83">
        <f t="shared" si="78"/>
        <v>0</v>
      </c>
    </row>
    <row r="2015" spans="8:8" hidden="1" x14ac:dyDescent="0.35">
      <c r="H2015" s="83">
        <f t="shared" si="78"/>
        <v>0</v>
      </c>
    </row>
    <row r="2016" spans="8:8" hidden="1" x14ac:dyDescent="0.35">
      <c r="H2016" s="83">
        <f t="shared" si="78"/>
        <v>0</v>
      </c>
    </row>
    <row r="2017" spans="8:8" hidden="1" x14ac:dyDescent="0.35">
      <c r="H2017" s="83">
        <f t="shared" si="78"/>
        <v>0</v>
      </c>
    </row>
    <row r="2018" spans="8:8" hidden="1" x14ac:dyDescent="0.35">
      <c r="H2018" s="83">
        <f t="shared" si="78"/>
        <v>0</v>
      </c>
    </row>
    <row r="2019" spans="8:8" hidden="1" x14ac:dyDescent="0.35">
      <c r="H2019" s="83">
        <f t="shared" si="78"/>
        <v>0</v>
      </c>
    </row>
    <row r="2020" spans="8:8" hidden="1" x14ac:dyDescent="0.35">
      <c r="H2020" s="83">
        <f t="shared" si="78"/>
        <v>0</v>
      </c>
    </row>
    <row r="2021" spans="8:8" hidden="1" x14ac:dyDescent="0.35">
      <c r="H2021" s="83">
        <f t="shared" si="78"/>
        <v>0</v>
      </c>
    </row>
    <row r="2022" spans="8:8" hidden="1" x14ac:dyDescent="0.35">
      <c r="H2022" s="83">
        <f t="shared" si="78"/>
        <v>0</v>
      </c>
    </row>
    <row r="2023" spans="8:8" hidden="1" x14ac:dyDescent="0.35">
      <c r="H2023" s="83">
        <f t="shared" si="78"/>
        <v>0</v>
      </c>
    </row>
    <row r="2024" spans="8:8" hidden="1" x14ac:dyDescent="0.35">
      <c r="H2024" s="83">
        <f t="shared" si="78"/>
        <v>0</v>
      </c>
    </row>
    <row r="2025" spans="8:8" hidden="1" x14ac:dyDescent="0.35">
      <c r="H2025" s="83">
        <f t="shared" si="78"/>
        <v>0</v>
      </c>
    </row>
    <row r="2026" spans="8:8" hidden="1" x14ac:dyDescent="0.35">
      <c r="H2026" s="83">
        <f t="shared" si="78"/>
        <v>0</v>
      </c>
    </row>
    <row r="2027" spans="8:8" hidden="1" x14ac:dyDescent="0.35">
      <c r="H2027" s="83">
        <f t="shared" si="78"/>
        <v>0</v>
      </c>
    </row>
    <row r="2028" spans="8:8" hidden="1" x14ac:dyDescent="0.35">
      <c r="H2028" s="83">
        <f t="shared" si="78"/>
        <v>0</v>
      </c>
    </row>
    <row r="2029" spans="8:8" hidden="1" x14ac:dyDescent="0.35">
      <c r="H2029" s="83">
        <f t="shared" si="78"/>
        <v>0</v>
      </c>
    </row>
    <row r="2030" spans="8:8" hidden="1" x14ac:dyDescent="0.35">
      <c r="H2030" s="83">
        <f t="shared" si="78"/>
        <v>0</v>
      </c>
    </row>
    <row r="2031" spans="8:8" hidden="1" x14ac:dyDescent="0.35">
      <c r="H2031" s="83">
        <f t="shared" si="78"/>
        <v>0</v>
      </c>
    </row>
    <row r="2032" spans="8:8" hidden="1" x14ac:dyDescent="0.35">
      <c r="H2032" s="83">
        <f t="shared" si="78"/>
        <v>0</v>
      </c>
    </row>
    <row r="2033" spans="8:8" hidden="1" x14ac:dyDescent="0.35">
      <c r="H2033" s="83">
        <f t="shared" si="78"/>
        <v>0</v>
      </c>
    </row>
    <row r="2034" spans="8:8" hidden="1" x14ac:dyDescent="0.35">
      <c r="H2034" s="83">
        <f t="shared" si="78"/>
        <v>0</v>
      </c>
    </row>
    <row r="2035" spans="8:8" hidden="1" x14ac:dyDescent="0.35">
      <c r="H2035" s="83">
        <f t="shared" si="78"/>
        <v>0</v>
      </c>
    </row>
    <row r="2036" spans="8:8" hidden="1" x14ac:dyDescent="0.35">
      <c r="H2036" s="83">
        <f t="shared" si="78"/>
        <v>0</v>
      </c>
    </row>
    <row r="2037" spans="8:8" hidden="1" x14ac:dyDescent="0.35">
      <c r="H2037" s="83">
        <f t="shared" si="78"/>
        <v>0</v>
      </c>
    </row>
    <row r="2038" spans="8:8" hidden="1" x14ac:dyDescent="0.35">
      <c r="H2038" s="83">
        <f t="shared" si="78"/>
        <v>0</v>
      </c>
    </row>
    <row r="2039" spans="8:8" hidden="1" x14ac:dyDescent="0.35">
      <c r="H2039" s="83">
        <f t="shared" si="78"/>
        <v>0</v>
      </c>
    </row>
    <row r="2040" spans="8:8" hidden="1" x14ac:dyDescent="0.35">
      <c r="H2040" s="83">
        <f t="shared" si="78"/>
        <v>0</v>
      </c>
    </row>
    <row r="2041" spans="8:8" hidden="1" x14ac:dyDescent="0.35">
      <c r="H2041" s="83">
        <f t="shared" si="78"/>
        <v>0</v>
      </c>
    </row>
    <row r="2042" spans="8:8" hidden="1" x14ac:dyDescent="0.35">
      <c r="H2042" s="83">
        <f t="shared" si="78"/>
        <v>0</v>
      </c>
    </row>
    <row r="2043" spans="8:8" hidden="1" x14ac:dyDescent="0.35">
      <c r="H2043" s="83">
        <f t="shared" si="78"/>
        <v>0</v>
      </c>
    </row>
    <row r="2044" spans="8:8" hidden="1" x14ac:dyDescent="0.35">
      <c r="H2044" s="83">
        <f t="shared" si="78"/>
        <v>0</v>
      </c>
    </row>
    <row r="2045" spans="8:8" hidden="1" x14ac:dyDescent="0.35">
      <c r="H2045" s="83">
        <f t="shared" si="78"/>
        <v>0</v>
      </c>
    </row>
    <row r="2046" spans="8:8" hidden="1" x14ac:dyDescent="0.35">
      <c r="H2046" s="83">
        <f t="shared" si="78"/>
        <v>0</v>
      </c>
    </row>
    <row r="2047" spans="8:8" hidden="1" x14ac:dyDescent="0.35">
      <c r="H2047" s="83">
        <f t="shared" si="78"/>
        <v>0</v>
      </c>
    </row>
    <row r="2048" spans="8:8" hidden="1" x14ac:dyDescent="0.35">
      <c r="H2048" s="83">
        <f t="shared" si="78"/>
        <v>0</v>
      </c>
    </row>
    <row r="2049" spans="8:8" hidden="1" x14ac:dyDescent="0.35">
      <c r="H2049" s="83">
        <f t="shared" si="78"/>
        <v>0</v>
      </c>
    </row>
    <row r="2050" spans="8:8" hidden="1" x14ac:dyDescent="0.35">
      <c r="H2050" s="83">
        <f t="shared" si="78"/>
        <v>0</v>
      </c>
    </row>
    <row r="2051" spans="8:8" hidden="1" x14ac:dyDescent="0.35">
      <c r="H2051" s="83">
        <f t="shared" si="78"/>
        <v>0</v>
      </c>
    </row>
    <row r="2052" spans="8:8" hidden="1" x14ac:dyDescent="0.35">
      <c r="H2052" s="83">
        <f t="shared" ref="H2052:H2115" si="79">J2052-I2052</f>
        <v>0</v>
      </c>
    </row>
    <row r="2053" spans="8:8" hidden="1" x14ac:dyDescent="0.35">
      <c r="H2053" s="83">
        <f t="shared" si="79"/>
        <v>0</v>
      </c>
    </row>
    <row r="2054" spans="8:8" hidden="1" x14ac:dyDescent="0.35">
      <c r="H2054" s="83">
        <f t="shared" si="79"/>
        <v>0</v>
      </c>
    </row>
    <row r="2055" spans="8:8" hidden="1" x14ac:dyDescent="0.35">
      <c r="H2055" s="83">
        <f t="shared" si="79"/>
        <v>0</v>
      </c>
    </row>
    <row r="2056" spans="8:8" hidden="1" x14ac:dyDescent="0.35">
      <c r="H2056" s="83">
        <f t="shared" si="79"/>
        <v>0</v>
      </c>
    </row>
    <row r="2057" spans="8:8" hidden="1" x14ac:dyDescent="0.35">
      <c r="H2057" s="83">
        <f t="shared" si="79"/>
        <v>0</v>
      </c>
    </row>
    <row r="2058" spans="8:8" hidden="1" x14ac:dyDescent="0.35">
      <c r="H2058" s="83">
        <f t="shared" si="79"/>
        <v>0</v>
      </c>
    </row>
    <row r="2059" spans="8:8" hidden="1" x14ac:dyDescent="0.35">
      <c r="H2059" s="83">
        <f t="shared" si="79"/>
        <v>0</v>
      </c>
    </row>
    <row r="2060" spans="8:8" hidden="1" x14ac:dyDescent="0.35">
      <c r="H2060" s="83">
        <f t="shared" si="79"/>
        <v>0</v>
      </c>
    </row>
    <row r="2061" spans="8:8" hidden="1" x14ac:dyDescent="0.35">
      <c r="H2061" s="83">
        <f t="shared" si="79"/>
        <v>0</v>
      </c>
    </row>
    <row r="2062" spans="8:8" hidden="1" x14ac:dyDescent="0.35">
      <c r="H2062" s="83">
        <f t="shared" si="79"/>
        <v>0</v>
      </c>
    </row>
    <row r="2063" spans="8:8" hidden="1" x14ac:dyDescent="0.35">
      <c r="H2063" s="83">
        <f t="shared" si="79"/>
        <v>0</v>
      </c>
    </row>
    <row r="2064" spans="8:8" hidden="1" x14ac:dyDescent="0.35">
      <c r="H2064" s="83">
        <f t="shared" si="79"/>
        <v>0</v>
      </c>
    </row>
    <row r="2065" spans="8:8" hidden="1" x14ac:dyDescent="0.35">
      <c r="H2065" s="83">
        <f t="shared" si="79"/>
        <v>0</v>
      </c>
    </row>
    <row r="2066" spans="8:8" hidden="1" x14ac:dyDescent="0.35">
      <c r="H2066" s="83">
        <f t="shared" si="79"/>
        <v>0</v>
      </c>
    </row>
    <row r="2067" spans="8:8" hidden="1" x14ac:dyDescent="0.35">
      <c r="H2067" s="83">
        <f t="shared" si="79"/>
        <v>0</v>
      </c>
    </row>
    <row r="2068" spans="8:8" hidden="1" x14ac:dyDescent="0.35">
      <c r="H2068" s="83">
        <f t="shared" si="79"/>
        <v>0</v>
      </c>
    </row>
    <row r="2069" spans="8:8" hidden="1" x14ac:dyDescent="0.35">
      <c r="H2069" s="83">
        <f t="shared" si="79"/>
        <v>0</v>
      </c>
    </row>
    <row r="2070" spans="8:8" hidden="1" x14ac:dyDescent="0.35">
      <c r="H2070" s="83">
        <f t="shared" si="79"/>
        <v>0</v>
      </c>
    </row>
    <row r="2071" spans="8:8" hidden="1" x14ac:dyDescent="0.35">
      <c r="H2071" s="83">
        <f t="shared" si="79"/>
        <v>0</v>
      </c>
    </row>
    <row r="2072" spans="8:8" hidden="1" x14ac:dyDescent="0.35">
      <c r="H2072" s="83">
        <f t="shared" si="79"/>
        <v>0</v>
      </c>
    </row>
    <row r="2073" spans="8:8" hidden="1" x14ac:dyDescent="0.35">
      <c r="H2073" s="83">
        <f t="shared" si="79"/>
        <v>0</v>
      </c>
    </row>
    <row r="2074" spans="8:8" hidden="1" x14ac:dyDescent="0.35">
      <c r="H2074" s="83">
        <f t="shared" si="79"/>
        <v>0</v>
      </c>
    </row>
    <row r="2075" spans="8:8" hidden="1" x14ac:dyDescent="0.35">
      <c r="H2075" s="83">
        <f t="shared" si="79"/>
        <v>0</v>
      </c>
    </row>
    <row r="2076" spans="8:8" hidden="1" x14ac:dyDescent="0.35">
      <c r="H2076" s="83">
        <f t="shared" si="79"/>
        <v>0</v>
      </c>
    </row>
    <row r="2077" spans="8:8" hidden="1" x14ac:dyDescent="0.35">
      <c r="H2077" s="83">
        <f t="shared" si="79"/>
        <v>0</v>
      </c>
    </row>
    <row r="2078" spans="8:8" hidden="1" x14ac:dyDescent="0.35">
      <c r="H2078" s="83">
        <f t="shared" si="79"/>
        <v>0</v>
      </c>
    </row>
    <row r="2079" spans="8:8" hidden="1" x14ac:dyDescent="0.35">
      <c r="H2079" s="83">
        <f t="shared" si="79"/>
        <v>0</v>
      </c>
    </row>
    <row r="2080" spans="8:8" hidden="1" x14ac:dyDescent="0.35">
      <c r="H2080" s="83">
        <f t="shared" si="79"/>
        <v>0</v>
      </c>
    </row>
    <row r="2081" spans="8:8" hidden="1" x14ac:dyDescent="0.35">
      <c r="H2081" s="83">
        <f t="shared" si="79"/>
        <v>0</v>
      </c>
    </row>
    <row r="2082" spans="8:8" hidden="1" x14ac:dyDescent="0.35">
      <c r="H2082" s="83">
        <f t="shared" si="79"/>
        <v>0</v>
      </c>
    </row>
    <row r="2083" spans="8:8" hidden="1" x14ac:dyDescent="0.35">
      <c r="H2083" s="83">
        <f t="shared" si="79"/>
        <v>0</v>
      </c>
    </row>
    <row r="2084" spans="8:8" hidden="1" x14ac:dyDescent="0.35">
      <c r="H2084" s="83">
        <f t="shared" si="79"/>
        <v>0</v>
      </c>
    </row>
    <row r="2085" spans="8:8" hidden="1" x14ac:dyDescent="0.35">
      <c r="H2085" s="83">
        <f t="shared" si="79"/>
        <v>0</v>
      </c>
    </row>
    <row r="2086" spans="8:8" hidden="1" x14ac:dyDescent="0.35">
      <c r="H2086" s="83">
        <f t="shared" si="79"/>
        <v>0</v>
      </c>
    </row>
    <row r="2087" spans="8:8" hidden="1" x14ac:dyDescent="0.35">
      <c r="H2087" s="83">
        <f t="shared" si="79"/>
        <v>0</v>
      </c>
    </row>
    <row r="2088" spans="8:8" hidden="1" x14ac:dyDescent="0.35">
      <c r="H2088" s="83">
        <f t="shared" si="79"/>
        <v>0</v>
      </c>
    </row>
    <row r="2089" spans="8:8" hidden="1" x14ac:dyDescent="0.35">
      <c r="H2089" s="83">
        <f t="shared" si="79"/>
        <v>0</v>
      </c>
    </row>
    <row r="2090" spans="8:8" hidden="1" x14ac:dyDescent="0.35">
      <c r="H2090" s="83">
        <f t="shared" si="79"/>
        <v>0</v>
      </c>
    </row>
    <row r="2091" spans="8:8" hidden="1" x14ac:dyDescent="0.35">
      <c r="H2091" s="83">
        <f t="shared" si="79"/>
        <v>0</v>
      </c>
    </row>
    <row r="2092" spans="8:8" hidden="1" x14ac:dyDescent="0.35">
      <c r="H2092" s="83">
        <f t="shared" si="79"/>
        <v>0</v>
      </c>
    </row>
    <row r="2093" spans="8:8" hidden="1" x14ac:dyDescent="0.35">
      <c r="H2093" s="83">
        <f t="shared" si="79"/>
        <v>0</v>
      </c>
    </row>
    <row r="2094" spans="8:8" hidden="1" x14ac:dyDescent="0.35">
      <c r="H2094" s="83">
        <f t="shared" si="79"/>
        <v>0</v>
      </c>
    </row>
    <row r="2095" spans="8:8" hidden="1" x14ac:dyDescent="0.35">
      <c r="H2095" s="83">
        <f t="shared" si="79"/>
        <v>0</v>
      </c>
    </row>
    <row r="2096" spans="8:8" hidden="1" x14ac:dyDescent="0.35">
      <c r="H2096" s="83">
        <f t="shared" si="79"/>
        <v>0</v>
      </c>
    </row>
    <row r="2097" spans="8:8" hidden="1" x14ac:dyDescent="0.35">
      <c r="H2097" s="83">
        <f t="shared" si="79"/>
        <v>0</v>
      </c>
    </row>
    <row r="2098" spans="8:8" hidden="1" x14ac:dyDescent="0.35">
      <c r="H2098" s="83">
        <f t="shared" si="79"/>
        <v>0</v>
      </c>
    </row>
    <row r="2099" spans="8:8" hidden="1" x14ac:dyDescent="0.35">
      <c r="H2099" s="83">
        <f t="shared" si="79"/>
        <v>0</v>
      </c>
    </row>
    <row r="2100" spans="8:8" hidden="1" x14ac:dyDescent="0.35">
      <c r="H2100" s="83">
        <f t="shared" si="79"/>
        <v>0</v>
      </c>
    </row>
    <row r="2101" spans="8:8" hidden="1" x14ac:dyDescent="0.35">
      <c r="H2101" s="83">
        <f t="shared" si="79"/>
        <v>0</v>
      </c>
    </row>
    <row r="2102" spans="8:8" hidden="1" x14ac:dyDescent="0.35">
      <c r="H2102" s="83">
        <f t="shared" si="79"/>
        <v>0</v>
      </c>
    </row>
    <row r="2103" spans="8:8" hidden="1" x14ac:dyDescent="0.35">
      <c r="H2103" s="83">
        <f t="shared" si="79"/>
        <v>0</v>
      </c>
    </row>
    <row r="2104" spans="8:8" hidden="1" x14ac:dyDescent="0.35">
      <c r="H2104" s="83">
        <f t="shared" si="79"/>
        <v>0</v>
      </c>
    </row>
    <row r="2105" spans="8:8" hidden="1" x14ac:dyDescent="0.35">
      <c r="H2105" s="83">
        <f t="shared" si="79"/>
        <v>0</v>
      </c>
    </row>
    <row r="2106" spans="8:8" hidden="1" x14ac:dyDescent="0.35">
      <c r="H2106" s="83">
        <f t="shared" si="79"/>
        <v>0</v>
      </c>
    </row>
    <row r="2107" spans="8:8" hidden="1" x14ac:dyDescent="0.35">
      <c r="H2107" s="83">
        <f t="shared" si="79"/>
        <v>0</v>
      </c>
    </row>
    <row r="2108" spans="8:8" hidden="1" x14ac:dyDescent="0.35">
      <c r="H2108" s="83">
        <f t="shared" si="79"/>
        <v>0</v>
      </c>
    </row>
    <row r="2109" spans="8:8" hidden="1" x14ac:dyDescent="0.35">
      <c r="H2109" s="83">
        <f t="shared" si="79"/>
        <v>0</v>
      </c>
    </row>
    <row r="2110" spans="8:8" hidden="1" x14ac:dyDescent="0.35">
      <c r="H2110" s="83">
        <f t="shared" si="79"/>
        <v>0</v>
      </c>
    </row>
    <row r="2111" spans="8:8" hidden="1" x14ac:dyDescent="0.35">
      <c r="H2111" s="83">
        <f t="shared" si="79"/>
        <v>0</v>
      </c>
    </row>
    <row r="2112" spans="8:8" hidden="1" x14ac:dyDescent="0.35">
      <c r="H2112" s="83">
        <f t="shared" si="79"/>
        <v>0</v>
      </c>
    </row>
    <row r="2113" spans="8:8" hidden="1" x14ac:dyDescent="0.35">
      <c r="H2113" s="83">
        <f t="shared" si="79"/>
        <v>0</v>
      </c>
    </row>
    <row r="2114" spans="8:8" hidden="1" x14ac:dyDescent="0.35">
      <c r="H2114" s="83">
        <f t="shared" si="79"/>
        <v>0</v>
      </c>
    </row>
    <row r="2115" spans="8:8" hidden="1" x14ac:dyDescent="0.35">
      <c r="H2115" s="83">
        <f t="shared" si="79"/>
        <v>0</v>
      </c>
    </row>
    <row r="2116" spans="8:8" hidden="1" x14ac:dyDescent="0.35">
      <c r="H2116" s="83">
        <f t="shared" ref="H2116:H2179" si="80">J2116-I2116</f>
        <v>0</v>
      </c>
    </row>
    <row r="2117" spans="8:8" hidden="1" x14ac:dyDescent="0.35">
      <c r="H2117" s="83">
        <f t="shared" si="80"/>
        <v>0</v>
      </c>
    </row>
    <row r="2118" spans="8:8" hidden="1" x14ac:dyDescent="0.35">
      <c r="H2118" s="83">
        <f t="shared" si="80"/>
        <v>0</v>
      </c>
    </row>
    <row r="2119" spans="8:8" hidden="1" x14ac:dyDescent="0.35">
      <c r="H2119" s="83">
        <f t="shared" si="80"/>
        <v>0</v>
      </c>
    </row>
    <row r="2120" spans="8:8" hidden="1" x14ac:dyDescent="0.35">
      <c r="H2120" s="83">
        <f t="shared" si="80"/>
        <v>0</v>
      </c>
    </row>
    <row r="2121" spans="8:8" hidden="1" x14ac:dyDescent="0.35">
      <c r="H2121" s="83">
        <f t="shared" si="80"/>
        <v>0</v>
      </c>
    </row>
    <row r="2122" spans="8:8" hidden="1" x14ac:dyDescent="0.35">
      <c r="H2122" s="83">
        <f t="shared" si="80"/>
        <v>0</v>
      </c>
    </row>
    <row r="2123" spans="8:8" hidden="1" x14ac:dyDescent="0.35">
      <c r="H2123" s="83">
        <f t="shared" si="80"/>
        <v>0</v>
      </c>
    </row>
    <row r="2124" spans="8:8" hidden="1" x14ac:dyDescent="0.35">
      <c r="H2124" s="83">
        <f t="shared" si="80"/>
        <v>0</v>
      </c>
    </row>
    <row r="2125" spans="8:8" hidden="1" x14ac:dyDescent="0.35">
      <c r="H2125" s="83">
        <f t="shared" si="80"/>
        <v>0</v>
      </c>
    </row>
    <row r="2126" spans="8:8" hidden="1" x14ac:dyDescent="0.35">
      <c r="H2126" s="83">
        <f t="shared" si="80"/>
        <v>0</v>
      </c>
    </row>
    <row r="2127" spans="8:8" hidden="1" x14ac:dyDescent="0.35">
      <c r="H2127" s="83">
        <f t="shared" si="80"/>
        <v>0</v>
      </c>
    </row>
    <row r="2128" spans="8:8" hidden="1" x14ac:dyDescent="0.35">
      <c r="H2128" s="83">
        <f t="shared" si="80"/>
        <v>0</v>
      </c>
    </row>
    <row r="2129" spans="8:8" hidden="1" x14ac:dyDescent="0.35">
      <c r="H2129" s="83">
        <f t="shared" si="80"/>
        <v>0</v>
      </c>
    </row>
    <row r="2130" spans="8:8" hidden="1" x14ac:dyDescent="0.35">
      <c r="H2130" s="83">
        <f t="shared" si="80"/>
        <v>0</v>
      </c>
    </row>
    <row r="2131" spans="8:8" hidden="1" x14ac:dyDescent="0.35">
      <c r="H2131" s="83">
        <f t="shared" si="80"/>
        <v>0</v>
      </c>
    </row>
    <row r="2132" spans="8:8" hidden="1" x14ac:dyDescent="0.35">
      <c r="H2132" s="83">
        <f t="shared" si="80"/>
        <v>0</v>
      </c>
    </row>
    <row r="2133" spans="8:8" hidden="1" x14ac:dyDescent="0.35">
      <c r="H2133" s="83">
        <f t="shared" si="80"/>
        <v>0</v>
      </c>
    </row>
    <row r="2134" spans="8:8" hidden="1" x14ac:dyDescent="0.35">
      <c r="H2134" s="83">
        <f t="shared" si="80"/>
        <v>0</v>
      </c>
    </row>
    <row r="2135" spans="8:8" hidden="1" x14ac:dyDescent="0.35">
      <c r="H2135" s="83">
        <f t="shared" si="80"/>
        <v>0</v>
      </c>
    </row>
    <row r="2136" spans="8:8" hidden="1" x14ac:dyDescent="0.35">
      <c r="H2136" s="83">
        <f t="shared" si="80"/>
        <v>0</v>
      </c>
    </row>
    <row r="2137" spans="8:8" hidden="1" x14ac:dyDescent="0.35">
      <c r="H2137" s="83">
        <f t="shared" si="80"/>
        <v>0</v>
      </c>
    </row>
    <row r="2138" spans="8:8" hidden="1" x14ac:dyDescent="0.35">
      <c r="H2138" s="83">
        <f t="shared" si="80"/>
        <v>0</v>
      </c>
    </row>
    <row r="2139" spans="8:8" hidden="1" x14ac:dyDescent="0.35">
      <c r="H2139" s="83">
        <f t="shared" si="80"/>
        <v>0</v>
      </c>
    </row>
    <row r="2140" spans="8:8" hidden="1" x14ac:dyDescent="0.35">
      <c r="H2140" s="83">
        <f t="shared" si="80"/>
        <v>0</v>
      </c>
    </row>
    <row r="2141" spans="8:8" hidden="1" x14ac:dyDescent="0.35">
      <c r="H2141" s="83">
        <f t="shared" si="80"/>
        <v>0</v>
      </c>
    </row>
    <row r="2142" spans="8:8" hidden="1" x14ac:dyDescent="0.35">
      <c r="H2142" s="83">
        <f t="shared" si="80"/>
        <v>0</v>
      </c>
    </row>
    <row r="2143" spans="8:8" hidden="1" x14ac:dyDescent="0.35">
      <c r="H2143" s="83">
        <f t="shared" si="80"/>
        <v>0</v>
      </c>
    </row>
    <row r="2144" spans="8:8" hidden="1" x14ac:dyDescent="0.35">
      <c r="H2144" s="83">
        <f t="shared" si="80"/>
        <v>0</v>
      </c>
    </row>
    <row r="2145" spans="8:8" hidden="1" x14ac:dyDescent="0.35">
      <c r="H2145" s="83">
        <f t="shared" si="80"/>
        <v>0</v>
      </c>
    </row>
    <row r="2146" spans="8:8" hidden="1" x14ac:dyDescent="0.35">
      <c r="H2146" s="83">
        <f t="shared" si="80"/>
        <v>0</v>
      </c>
    </row>
    <row r="2147" spans="8:8" hidden="1" x14ac:dyDescent="0.35">
      <c r="H2147" s="83">
        <f t="shared" si="80"/>
        <v>0</v>
      </c>
    </row>
    <row r="2148" spans="8:8" hidden="1" x14ac:dyDescent="0.35">
      <c r="H2148" s="83">
        <f t="shared" si="80"/>
        <v>0</v>
      </c>
    </row>
    <row r="2149" spans="8:8" hidden="1" x14ac:dyDescent="0.35">
      <c r="H2149" s="83">
        <f t="shared" si="80"/>
        <v>0</v>
      </c>
    </row>
    <row r="2150" spans="8:8" hidden="1" x14ac:dyDescent="0.35">
      <c r="H2150" s="83">
        <f t="shared" si="80"/>
        <v>0</v>
      </c>
    </row>
    <row r="2151" spans="8:8" hidden="1" x14ac:dyDescent="0.35">
      <c r="H2151" s="83">
        <f t="shared" si="80"/>
        <v>0</v>
      </c>
    </row>
    <row r="2152" spans="8:8" hidden="1" x14ac:dyDescent="0.35">
      <c r="H2152" s="83">
        <f t="shared" si="80"/>
        <v>0</v>
      </c>
    </row>
    <row r="2153" spans="8:8" hidden="1" x14ac:dyDescent="0.35">
      <c r="H2153" s="83">
        <f t="shared" si="80"/>
        <v>0</v>
      </c>
    </row>
    <row r="2154" spans="8:8" hidden="1" x14ac:dyDescent="0.35">
      <c r="H2154" s="83">
        <f t="shared" si="80"/>
        <v>0</v>
      </c>
    </row>
    <row r="2155" spans="8:8" hidden="1" x14ac:dyDescent="0.35">
      <c r="H2155" s="83">
        <f t="shared" si="80"/>
        <v>0</v>
      </c>
    </row>
    <row r="2156" spans="8:8" hidden="1" x14ac:dyDescent="0.35">
      <c r="H2156" s="83">
        <f t="shared" si="80"/>
        <v>0</v>
      </c>
    </row>
    <row r="2157" spans="8:8" hidden="1" x14ac:dyDescent="0.35">
      <c r="H2157" s="83">
        <f t="shared" si="80"/>
        <v>0</v>
      </c>
    </row>
    <row r="2158" spans="8:8" hidden="1" x14ac:dyDescent="0.35">
      <c r="H2158" s="83">
        <f t="shared" si="80"/>
        <v>0</v>
      </c>
    </row>
    <row r="2159" spans="8:8" hidden="1" x14ac:dyDescent="0.35">
      <c r="H2159" s="83">
        <f t="shared" si="80"/>
        <v>0</v>
      </c>
    </row>
    <row r="2160" spans="8:8" hidden="1" x14ac:dyDescent="0.35">
      <c r="H2160" s="83">
        <f t="shared" si="80"/>
        <v>0</v>
      </c>
    </row>
    <row r="2161" spans="8:8" hidden="1" x14ac:dyDescent="0.35">
      <c r="H2161" s="83">
        <f t="shared" si="80"/>
        <v>0</v>
      </c>
    </row>
    <row r="2162" spans="8:8" hidden="1" x14ac:dyDescent="0.35">
      <c r="H2162" s="83">
        <f t="shared" si="80"/>
        <v>0</v>
      </c>
    </row>
    <row r="2163" spans="8:8" hidden="1" x14ac:dyDescent="0.35">
      <c r="H2163" s="83">
        <f t="shared" si="80"/>
        <v>0</v>
      </c>
    </row>
    <row r="2164" spans="8:8" hidden="1" x14ac:dyDescent="0.35">
      <c r="H2164" s="83">
        <f t="shared" si="80"/>
        <v>0</v>
      </c>
    </row>
    <row r="2165" spans="8:8" hidden="1" x14ac:dyDescent="0.35">
      <c r="H2165" s="83">
        <f t="shared" si="80"/>
        <v>0</v>
      </c>
    </row>
    <row r="2166" spans="8:8" hidden="1" x14ac:dyDescent="0.35">
      <c r="H2166" s="83">
        <f t="shared" si="80"/>
        <v>0</v>
      </c>
    </row>
    <row r="2167" spans="8:8" hidden="1" x14ac:dyDescent="0.35">
      <c r="H2167" s="83">
        <f t="shared" si="80"/>
        <v>0</v>
      </c>
    </row>
    <row r="2168" spans="8:8" hidden="1" x14ac:dyDescent="0.35">
      <c r="H2168" s="83">
        <f t="shared" si="80"/>
        <v>0</v>
      </c>
    </row>
    <row r="2169" spans="8:8" hidden="1" x14ac:dyDescent="0.35">
      <c r="H2169" s="83">
        <f t="shared" si="80"/>
        <v>0</v>
      </c>
    </row>
    <row r="2170" spans="8:8" hidden="1" x14ac:dyDescent="0.35">
      <c r="H2170" s="83">
        <f t="shared" si="80"/>
        <v>0</v>
      </c>
    </row>
    <row r="2171" spans="8:8" hidden="1" x14ac:dyDescent="0.35">
      <c r="H2171" s="83">
        <f t="shared" si="80"/>
        <v>0</v>
      </c>
    </row>
    <row r="2172" spans="8:8" hidden="1" x14ac:dyDescent="0.35">
      <c r="H2172" s="83">
        <f t="shared" si="80"/>
        <v>0</v>
      </c>
    </row>
    <row r="2173" spans="8:8" hidden="1" x14ac:dyDescent="0.35">
      <c r="H2173" s="83">
        <f t="shared" si="80"/>
        <v>0</v>
      </c>
    </row>
    <row r="2174" spans="8:8" hidden="1" x14ac:dyDescent="0.35">
      <c r="H2174" s="83">
        <f t="shared" si="80"/>
        <v>0</v>
      </c>
    </row>
    <row r="2175" spans="8:8" hidden="1" x14ac:dyDescent="0.35">
      <c r="H2175" s="83">
        <f t="shared" si="80"/>
        <v>0</v>
      </c>
    </row>
    <row r="2176" spans="8:8" hidden="1" x14ac:dyDescent="0.35">
      <c r="H2176" s="83">
        <f t="shared" si="80"/>
        <v>0</v>
      </c>
    </row>
    <row r="2177" spans="8:8" hidden="1" x14ac:dyDescent="0.35">
      <c r="H2177" s="83">
        <f t="shared" si="80"/>
        <v>0</v>
      </c>
    </row>
    <row r="2178" spans="8:8" hidden="1" x14ac:dyDescent="0.35">
      <c r="H2178" s="83">
        <f t="shared" si="80"/>
        <v>0</v>
      </c>
    </row>
    <row r="2179" spans="8:8" hidden="1" x14ac:dyDescent="0.35">
      <c r="H2179" s="83">
        <f t="shared" si="80"/>
        <v>0</v>
      </c>
    </row>
    <row r="2180" spans="8:8" hidden="1" x14ac:dyDescent="0.35">
      <c r="H2180" s="83">
        <f t="shared" ref="H2180:H2243" si="81">J2180-I2180</f>
        <v>0</v>
      </c>
    </row>
    <row r="2181" spans="8:8" hidden="1" x14ac:dyDescent="0.35">
      <c r="H2181" s="83">
        <f t="shared" si="81"/>
        <v>0</v>
      </c>
    </row>
    <row r="2182" spans="8:8" hidden="1" x14ac:dyDescent="0.35">
      <c r="H2182" s="83">
        <f t="shared" si="81"/>
        <v>0</v>
      </c>
    </row>
    <row r="2183" spans="8:8" hidden="1" x14ac:dyDescent="0.35">
      <c r="H2183" s="83">
        <f t="shared" si="81"/>
        <v>0</v>
      </c>
    </row>
    <row r="2184" spans="8:8" hidden="1" x14ac:dyDescent="0.35">
      <c r="H2184" s="83">
        <f t="shared" si="81"/>
        <v>0</v>
      </c>
    </row>
    <row r="2185" spans="8:8" hidden="1" x14ac:dyDescent="0.35">
      <c r="H2185" s="83">
        <f t="shared" si="81"/>
        <v>0</v>
      </c>
    </row>
    <row r="2186" spans="8:8" hidden="1" x14ac:dyDescent="0.35">
      <c r="H2186" s="83">
        <f t="shared" si="81"/>
        <v>0</v>
      </c>
    </row>
    <row r="2187" spans="8:8" hidden="1" x14ac:dyDescent="0.35">
      <c r="H2187" s="83">
        <f t="shared" si="81"/>
        <v>0</v>
      </c>
    </row>
    <row r="2188" spans="8:8" hidden="1" x14ac:dyDescent="0.35">
      <c r="H2188" s="83">
        <f t="shared" si="81"/>
        <v>0</v>
      </c>
    </row>
    <row r="2189" spans="8:8" hidden="1" x14ac:dyDescent="0.35">
      <c r="H2189" s="83">
        <f t="shared" si="81"/>
        <v>0</v>
      </c>
    </row>
    <row r="2190" spans="8:8" hidden="1" x14ac:dyDescent="0.35">
      <c r="H2190" s="83">
        <f t="shared" si="81"/>
        <v>0</v>
      </c>
    </row>
    <row r="2191" spans="8:8" hidden="1" x14ac:dyDescent="0.35">
      <c r="H2191" s="83">
        <f t="shared" si="81"/>
        <v>0</v>
      </c>
    </row>
    <row r="2192" spans="8:8" hidden="1" x14ac:dyDescent="0.35">
      <c r="H2192" s="83">
        <f t="shared" si="81"/>
        <v>0</v>
      </c>
    </row>
    <row r="2193" spans="8:8" hidden="1" x14ac:dyDescent="0.35">
      <c r="H2193" s="83">
        <f t="shared" si="81"/>
        <v>0</v>
      </c>
    </row>
    <row r="2194" spans="8:8" hidden="1" x14ac:dyDescent="0.35">
      <c r="H2194" s="83">
        <f t="shared" si="81"/>
        <v>0</v>
      </c>
    </row>
    <row r="2195" spans="8:8" hidden="1" x14ac:dyDescent="0.35">
      <c r="H2195" s="83">
        <f t="shared" si="81"/>
        <v>0</v>
      </c>
    </row>
    <row r="2196" spans="8:8" hidden="1" x14ac:dyDescent="0.35">
      <c r="H2196" s="83">
        <f t="shared" si="81"/>
        <v>0</v>
      </c>
    </row>
    <row r="2197" spans="8:8" hidden="1" x14ac:dyDescent="0.35">
      <c r="H2197" s="83">
        <f t="shared" si="81"/>
        <v>0</v>
      </c>
    </row>
    <row r="2198" spans="8:8" hidden="1" x14ac:dyDescent="0.35">
      <c r="H2198" s="83">
        <f t="shared" si="81"/>
        <v>0</v>
      </c>
    </row>
    <row r="2199" spans="8:8" hidden="1" x14ac:dyDescent="0.35">
      <c r="H2199" s="83">
        <f t="shared" si="81"/>
        <v>0</v>
      </c>
    </row>
    <row r="2200" spans="8:8" hidden="1" x14ac:dyDescent="0.35">
      <c r="H2200" s="83">
        <f t="shared" si="81"/>
        <v>0</v>
      </c>
    </row>
    <row r="2201" spans="8:8" hidden="1" x14ac:dyDescent="0.35">
      <c r="H2201" s="83">
        <f t="shared" si="81"/>
        <v>0</v>
      </c>
    </row>
    <row r="2202" spans="8:8" hidden="1" x14ac:dyDescent="0.35">
      <c r="H2202" s="83">
        <f t="shared" si="81"/>
        <v>0</v>
      </c>
    </row>
    <row r="2203" spans="8:8" hidden="1" x14ac:dyDescent="0.35">
      <c r="H2203" s="83">
        <f t="shared" si="81"/>
        <v>0</v>
      </c>
    </row>
    <row r="2204" spans="8:8" hidden="1" x14ac:dyDescent="0.35">
      <c r="H2204" s="83">
        <f t="shared" si="81"/>
        <v>0</v>
      </c>
    </row>
    <row r="2205" spans="8:8" hidden="1" x14ac:dyDescent="0.35">
      <c r="H2205" s="83">
        <f t="shared" si="81"/>
        <v>0</v>
      </c>
    </row>
    <row r="2206" spans="8:8" hidden="1" x14ac:dyDescent="0.35">
      <c r="H2206" s="83">
        <f t="shared" si="81"/>
        <v>0</v>
      </c>
    </row>
    <row r="2207" spans="8:8" hidden="1" x14ac:dyDescent="0.35">
      <c r="H2207" s="83">
        <f t="shared" si="81"/>
        <v>0</v>
      </c>
    </row>
    <row r="2208" spans="8:8" hidden="1" x14ac:dyDescent="0.35">
      <c r="H2208" s="83">
        <f t="shared" si="81"/>
        <v>0</v>
      </c>
    </row>
    <row r="2209" spans="8:8" hidden="1" x14ac:dyDescent="0.35">
      <c r="H2209" s="83">
        <f t="shared" si="81"/>
        <v>0</v>
      </c>
    </row>
    <row r="2210" spans="8:8" hidden="1" x14ac:dyDescent="0.35">
      <c r="H2210" s="83">
        <f t="shared" si="81"/>
        <v>0</v>
      </c>
    </row>
    <row r="2211" spans="8:8" hidden="1" x14ac:dyDescent="0.35">
      <c r="H2211" s="83">
        <f t="shared" si="81"/>
        <v>0</v>
      </c>
    </row>
    <row r="2212" spans="8:8" hidden="1" x14ac:dyDescent="0.35">
      <c r="H2212" s="83">
        <f t="shared" si="81"/>
        <v>0</v>
      </c>
    </row>
    <row r="2213" spans="8:8" hidden="1" x14ac:dyDescent="0.35">
      <c r="H2213" s="83">
        <f t="shared" si="81"/>
        <v>0</v>
      </c>
    </row>
    <row r="2214" spans="8:8" hidden="1" x14ac:dyDescent="0.35">
      <c r="H2214" s="83">
        <f t="shared" si="81"/>
        <v>0</v>
      </c>
    </row>
    <row r="2215" spans="8:8" hidden="1" x14ac:dyDescent="0.35">
      <c r="H2215" s="83">
        <f t="shared" si="81"/>
        <v>0</v>
      </c>
    </row>
    <row r="2216" spans="8:8" hidden="1" x14ac:dyDescent="0.35">
      <c r="H2216" s="83">
        <f t="shared" si="81"/>
        <v>0</v>
      </c>
    </row>
    <row r="2217" spans="8:8" hidden="1" x14ac:dyDescent="0.35">
      <c r="H2217" s="83">
        <f t="shared" si="81"/>
        <v>0</v>
      </c>
    </row>
    <row r="2218" spans="8:8" hidden="1" x14ac:dyDescent="0.35">
      <c r="H2218" s="83">
        <f t="shared" si="81"/>
        <v>0</v>
      </c>
    </row>
    <row r="2219" spans="8:8" hidden="1" x14ac:dyDescent="0.35">
      <c r="H2219" s="83">
        <f t="shared" si="81"/>
        <v>0</v>
      </c>
    </row>
    <row r="2220" spans="8:8" hidden="1" x14ac:dyDescent="0.35">
      <c r="H2220" s="83">
        <f t="shared" si="81"/>
        <v>0</v>
      </c>
    </row>
    <row r="2221" spans="8:8" hidden="1" x14ac:dyDescent="0.35">
      <c r="H2221" s="83">
        <f t="shared" si="81"/>
        <v>0</v>
      </c>
    </row>
    <row r="2222" spans="8:8" hidden="1" x14ac:dyDescent="0.35">
      <c r="H2222" s="83">
        <f t="shared" si="81"/>
        <v>0</v>
      </c>
    </row>
    <row r="2223" spans="8:8" hidden="1" x14ac:dyDescent="0.35">
      <c r="H2223" s="83">
        <f t="shared" si="81"/>
        <v>0</v>
      </c>
    </row>
    <row r="2224" spans="8:8" hidden="1" x14ac:dyDescent="0.35">
      <c r="H2224" s="83">
        <f t="shared" si="81"/>
        <v>0</v>
      </c>
    </row>
    <row r="2225" spans="8:8" hidden="1" x14ac:dyDescent="0.35">
      <c r="H2225" s="83">
        <f t="shared" si="81"/>
        <v>0</v>
      </c>
    </row>
    <row r="2226" spans="8:8" hidden="1" x14ac:dyDescent="0.35">
      <c r="H2226" s="83">
        <f t="shared" si="81"/>
        <v>0</v>
      </c>
    </row>
    <row r="2227" spans="8:8" hidden="1" x14ac:dyDescent="0.35">
      <c r="H2227" s="83">
        <f t="shared" si="81"/>
        <v>0</v>
      </c>
    </row>
    <row r="2228" spans="8:8" hidden="1" x14ac:dyDescent="0.35">
      <c r="H2228" s="83">
        <f t="shared" si="81"/>
        <v>0</v>
      </c>
    </row>
    <row r="2229" spans="8:8" hidden="1" x14ac:dyDescent="0.35">
      <c r="H2229" s="83">
        <f t="shared" si="81"/>
        <v>0</v>
      </c>
    </row>
    <row r="2230" spans="8:8" hidden="1" x14ac:dyDescent="0.35">
      <c r="H2230" s="83">
        <f t="shared" si="81"/>
        <v>0</v>
      </c>
    </row>
    <row r="2231" spans="8:8" hidden="1" x14ac:dyDescent="0.35">
      <c r="H2231" s="83">
        <f t="shared" si="81"/>
        <v>0</v>
      </c>
    </row>
    <row r="2232" spans="8:8" hidden="1" x14ac:dyDescent="0.35">
      <c r="H2232" s="83">
        <f t="shared" si="81"/>
        <v>0</v>
      </c>
    </row>
    <row r="2233" spans="8:8" hidden="1" x14ac:dyDescent="0.35">
      <c r="H2233" s="83">
        <f t="shared" si="81"/>
        <v>0</v>
      </c>
    </row>
    <row r="2234" spans="8:8" hidden="1" x14ac:dyDescent="0.35">
      <c r="H2234" s="83">
        <f t="shared" si="81"/>
        <v>0</v>
      </c>
    </row>
    <row r="2235" spans="8:8" hidden="1" x14ac:dyDescent="0.35">
      <c r="H2235" s="83">
        <f t="shared" si="81"/>
        <v>0</v>
      </c>
    </row>
    <row r="2236" spans="8:8" hidden="1" x14ac:dyDescent="0.35">
      <c r="H2236" s="83">
        <f t="shared" si="81"/>
        <v>0</v>
      </c>
    </row>
    <row r="2237" spans="8:8" hidden="1" x14ac:dyDescent="0.35">
      <c r="H2237" s="83">
        <f t="shared" si="81"/>
        <v>0</v>
      </c>
    </row>
    <row r="2238" spans="8:8" hidden="1" x14ac:dyDescent="0.35">
      <c r="H2238" s="83">
        <f t="shared" si="81"/>
        <v>0</v>
      </c>
    </row>
    <row r="2239" spans="8:8" hidden="1" x14ac:dyDescent="0.35">
      <c r="H2239" s="83">
        <f t="shared" si="81"/>
        <v>0</v>
      </c>
    </row>
    <row r="2240" spans="8:8" hidden="1" x14ac:dyDescent="0.35">
      <c r="H2240" s="83">
        <f t="shared" si="81"/>
        <v>0</v>
      </c>
    </row>
    <row r="2241" spans="8:8" hidden="1" x14ac:dyDescent="0.35">
      <c r="H2241" s="83">
        <f t="shared" si="81"/>
        <v>0</v>
      </c>
    </row>
    <row r="2242" spans="8:8" hidden="1" x14ac:dyDescent="0.35">
      <c r="H2242" s="83">
        <f t="shared" si="81"/>
        <v>0</v>
      </c>
    </row>
    <row r="2243" spans="8:8" hidden="1" x14ac:dyDescent="0.35">
      <c r="H2243" s="83">
        <f t="shared" si="81"/>
        <v>0</v>
      </c>
    </row>
    <row r="2244" spans="8:8" hidden="1" x14ac:dyDescent="0.35">
      <c r="H2244" s="83">
        <f t="shared" ref="H2244:H2307" si="82">J2244-I2244</f>
        <v>0</v>
      </c>
    </row>
    <row r="2245" spans="8:8" hidden="1" x14ac:dyDescent="0.35">
      <c r="H2245" s="83">
        <f t="shared" si="82"/>
        <v>0</v>
      </c>
    </row>
    <row r="2246" spans="8:8" hidden="1" x14ac:dyDescent="0.35">
      <c r="H2246" s="83">
        <f t="shared" si="82"/>
        <v>0</v>
      </c>
    </row>
    <row r="2247" spans="8:8" hidden="1" x14ac:dyDescent="0.35">
      <c r="H2247" s="83">
        <f t="shared" si="82"/>
        <v>0</v>
      </c>
    </row>
    <row r="2248" spans="8:8" hidden="1" x14ac:dyDescent="0.35">
      <c r="H2248" s="83">
        <f t="shared" si="82"/>
        <v>0</v>
      </c>
    </row>
    <row r="2249" spans="8:8" hidden="1" x14ac:dyDescent="0.35">
      <c r="H2249" s="83">
        <f t="shared" si="82"/>
        <v>0</v>
      </c>
    </row>
    <row r="2250" spans="8:8" hidden="1" x14ac:dyDescent="0.35">
      <c r="H2250" s="83">
        <f t="shared" si="82"/>
        <v>0</v>
      </c>
    </row>
    <row r="2251" spans="8:8" hidden="1" x14ac:dyDescent="0.35">
      <c r="H2251" s="83">
        <f t="shared" si="82"/>
        <v>0</v>
      </c>
    </row>
    <row r="2252" spans="8:8" hidden="1" x14ac:dyDescent="0.35">
      <c r="H2252" s="83">
        <f t="shared" si="82"/>
        <v>0</v>
      </c>
    </row>
    <row r="2253" spans="8:8" hidden="1" x14ac:dyDescent="0.35">
      <c r="H2253" s="83">
        <f t="shared" si="82"/>
        <v>0</v>
      </c>
    </row>
    <row r="2254" spans="8:8" hidden="1" x14ac:dyDescent="0.35">
      <c r="H2254" s="83">
        <f t="shared" si="82"/>
        <v>0</v>
      </c>
    </row>
    <row r="2255" spans="8:8" hidden="1" x14ac:dyDescent="0.35">
      <c r="H2255" s="83">
        <f t="shared" si="82"/>
        <v>0</v>
      </c>
    </row>
    <row r="2256" spans="8:8" hidden="1" x14ac:dyDescent="0.35">
      <c r="H2256" s="83">
        <f t="shared" si="82"/>
        <v>0</v>
      </c>
    </row>
    <row r="2257" spans="8:8" hidden="1" x14ac:dyDescent="0.35">
      <c r="H2257" s="83">
        <f t="shared" si="82"/>
        <v>0</v>
      </c>
    </row>
    <row r="2258" spans="8:8" hidden="1" x14ac:dyDescent="0.35">
      <c r="H2258" s="83">
        <f t="shared" si="82"/>
        <v>0</v>
      </c>
    </row>
    <row r="2259" spans="8:8" hidden="1" x14ac:dyDescent="0.35">
      <c r="H2259" s="83">
        <f t="shared" si="82"/>
        <v>0</v>
      </c>
    </row>
    <row r="2260" spans="8:8" hidden="1" x14ac:dyDescent="0.35">
      <c r="H2260" s="83">
        <f t="shared" si="82"/>
        <v>0</v>
      </c>
    </row>
    <row r="2261" spans="8:8" hidden="1" x14ac:dyDescent="0.35">
      <c r="H2261" s="83">
        <f t="shared" si="82"/>
        <v>0</v>
      </c>
    </row>
    <row r="2262" spans="8:8" hidden="1" x14ac:dyDescent="0.35">
      <c r="H2262" s="83">
        <f t="shared" si="82"/>
        <v>0</v>
      </c>
    </row>
    <row r="2263" spans="8:8" hidden="1" x14ac:dyDescent="0.35">
      <c r="H2263" s="83">
        <f t="shared" si="82"/>
        <v>0</v>
      </c>
    </row>
    <row r="2264" spans="8:8" hidden="1" x14ac:dyDescent="0.35">
      <c r="H2264" s="83">
        <f t="shared" si="82"/>
        <v>0</v>
      </c>
    </row>
    <row r="2265" spans="8:8" hidden="1" x14ac:dyDescent="0.35">
      <c r="H2265" s="83">
        <f t="shared" si="82"/>
        <v>0</v>
      </c>
    </row>
    <row r="2266" spans="8:8" hidden="1" x14ac:dyDescent="0.35">
      <c r="H2266" s="83">
        <f t="shared" si="82"/>
        <v>0</v>
      </c>
    </row>
    <row r="2267" spans="8:8" hidden="1" x14ac:dyDescent="0.35">
      <c r="H2267" s="83">
        <f t="shared" si="82"/>
        <v>0</v>
      </c>
    </row>
    <row r="2268" spans="8:8" hidden="1" x14ac:dyDescent="0.35">
      <c r="H2268" s="83">
        <f t="shared" si="82"/>
        <v>0</v>
      </c>
    </row>
    <row r="2269" spans="8:8" hidden="1" x14ac:dyDescent="0.35">
      <c r="H2269" s="83">
        <f t="shared" si="82"/>
        <v>0</v>
      </c>
    </row>
    <row r="2270" spans="8:8" hidden="1" x14ac:dyDescent="0.35">
      <c r="H2270" s="83">
        <f t="shared" si="82"/>
        <v>0</v>
      </c>
    </row>
    <row r="2271" spans="8:8" hidden="1" x14ac:dyDescent="0.35">
      <c r="H2271" s="83">
        <f t="shared" si="82"/>
        <v>0</v>
      </c>
    </row>
    <row r="2272" spans="8:8" hidden="1" x14ac:dyDescent="0.35">
      <c r="H2272" s="83">
        <f t="shared" si="82"/>
        <v>0</v>
      </c>
    </row>
    <row r="2273" spans="8:8" hidden="1" x14ac:dyDescent="0.35">
      <c r="H2273" s="83">
        <f t="shared" si="82"/>
        <v>0</v>
      </c>
    </row>
    <row r="2274" spans="8:8" hidden="1" x14ac:dyDescent="0.35">
      <c r="H2274" s="83">
        <f t="shared" si="82"/>
        <v>0</v>
      </c>
    </row>
    <row r="2275" spans="8:8" hidden="1" x14ac:dyDescent="0.35">
      <c r="H2275" s="83">
        <f t="shared" si="82"/>
        <v>0</v>
      </c>
    </row>
    <row r="2276" spans="8:8" hidden="1" x14ac:dyDescent="0.35">
      <c r="H2276" s="83">
        <f t="shared" si="82"/>
        <v>0</v>
      </c>
    </row>
    <row r="2277" spans="8:8" hidden="1" x14ac:dyDescent="0.35">
      <c r="H2277" s="83">
        <f t="shared" si="82"/>
        <v>0</v>
      </c>
    </row>
    <row r="2278" spans="8:8" hidden="1" x14ac:dyDescent="0.35">
      <c r="H2278" s="83">
        <f t="shared" si="82"/>
        <v>0</v>
      </c>
    </row>
    <row r="2279" spans="8:8" hidden="1" x14ac:dyDescent="0.35">
      <c r="H2279" s="83">
        <f t="shared" si="82"/>
        <v>0</v>
      </c>
    </row>
    <row r="2280" spans="8:8" hidden="1" x14ac:dyDescent="0.35">
      <c r="H2280" s="83">
        <f t="shared" si="82"/>
        <v>0</v>
      </c>
    </row>
    <row r="2281" spans="8:8" hidden="1" x14ac:dyDescent="0.35">
      <c r="H2281" s="83">
        <f t="shared" si="82"/>
        <v>0</v>
      </c>
    </row>
    <row r="2282" spans="8:8" hidden="1" x14ac:dyDescent="0.35">
      <c r="H2282" s="83">
        <f t="shared" si="82"/>
        <v>0</v>
      </c>
    </row>
    <row r="2283" spans="8:8" hidden="1" x14ac:dyDescent="0.35">
      <c r="H2283" s="83">
        <f t="shared" si="82"/>
        <v>0</v>
      </c>
    </row>
    <row r="2284" spans="8:8" hidden="1" x14ac:dyDescent="0.35">
      <c r="H2284" s="83">
        <f t="shared" si="82"/>
        <v>0</v>
      </c>
    </row>
    <row r="2285" spans="8:8" hidden="1" x14ac:dyDescent="0.35">
      <c r="H2285" s="83">
        <f t="shared" si="82"/>
        <v>0</v>
      </c>
    </row>
    <row r="2286" spans="8:8" hidden="1" x14ac:dyDescent="0.35">
      <c r="H2286" s="83">
        <f t="shared" si="82"/>
        <v>0</v>
      </c>
    </row>
    <row r="2287" spans="8:8" hidden="1" x14ac:dyDescent="0.35">
      <c r="H2287" s="83">
        <f t="shared" si="82"/>
        <v>0</v>
      </c>
    </row>
    <row r="2288" spans="8:8" hidden="1" x14ac:dyDescent="0.35">
      <c r="H2288" s="83">
        <f t="shared" si="82"/>
        <v>0</v>
      </c>
    </row>
    <row r="2289" spans="8:8" hidden="1" x14ac:dyDescent="0.35">
      <c r="H2289" s="83">
        <f t="shared" si="82"/>
        <v>0</v>
      </c>
    </row>
    <row r="2290" spans="8:8" hidden="1" x14ac:dyDescent="0.35">
      <c r="H2290" s="83">
        <f t="shared" si="82"/>
        <v>0</v>
      </c>
    </row>
    <row r="2291" spans="8:8" hidden="1" x14ac:dyDescent="0.35">
      <c r="H2291" s="83">
        <f t="shared" si="82"/>
        <v>0</v>
      </c>
    </row>
    <row r="2292" spans="8:8" hidden="1" x14ac:dyDescent="0.35">
      <c r="H2292" s="83">
        <f t="shared" si="82"/>
        <v>0</v>
      </c>
    </row>
    <row r="2293" spans="8:8" hidden="1" x14ac:dyDescent="0.35">
      <c r="H2293" s="83">
        <f t="shared" si="82"/>
        <v>0</v>
      </c>
    </row>
    <row r="2294" spans="8:8" hidden="1" x14ac:dyDescent="0.35">
      <c r="H2294" s="83">
        <f t="shared" si="82"/>
        <v>0</v>
      </c>
    </row>
    <row r="2295" spans="8:8" hidden="1" x14ac:dyDescent="0.35">
      <c r="H2295" s="83">
        <f t="shared" si="82"/>
        <v>0</v>
      </c>
    </row>
    <row r="2296" spans="8:8" hidden="1" x14ac:dyDescent="0.35">
      <c r="H2296" s="83">
        <f t="shared" si="82"/>
        <v>0</v>
      </c>
    </row>
    <row r="2297" spans="8:8" hidden="1" x14ac:dyDescent="0.35">
      <c r="H2297" s="83">
        <f t="shared" si="82"/>
        <v>0</v>
      </c>
    </row>
    <row r="2298" spans="8:8" hidden="1" x14ac:dyDescent="0.35">
      <c r="H2298" s="83">
        <f t="shared" si="82"/>
        <v>0</v>
      </c>
    </row>
    <row r="2299" spans="8:8" hidden="1" x14ac:dyDescent="0.35">
      <c r="H2299" s="83">
        <f t="shared" si="82"/>
        <v>0</v>
      </c>
    </row>
    <row r="2300" spans="8:8" hidden="1" x14ac:dyDescent="0.35">
      <c r="H2300" s="83">
        <f t="shared" si="82"/>
        <v>0</v>
      </c>
    </row>
    <row r="2301" spans="8:8" hidden="1" x14ac:dyDescent="0.35">
      <c r="H2301" s="83">
        <f t="shared" si="82"/>
        <v>0</v>
      </c>
    </row>
    <row r="2302" spans="8:8" hidden="1" x14ac:dyDescent="0.35">
      <c r="H2302" s="83">
        <f t="shared" si="82"/>
        <v>0</v>
      </c>
    </row>
    <row r="2303" spans="8:8" hidden="1" x14ac:dyDescent="0.35">
      <c r="H2303" s="83">
        <f t="shared" si="82"/>
        <v>0</v>
      </c>
    </row>
    <row r="2304" spans="8:8" hidden="1" x14ac:dyDescent="0.35">
      <c r="H2304" s="83">
        <f t="shared" si="82"/>
        <v>0</v>
      </c>
    </row>
    <row r="2305" spans="8:8" hidden="1" x14ac:dyDescent="0.35">
      <c r="H2305" s="83">
        <f t="shared" si="82"/>
        <v>0</v>
      </c>
    </row>
    <row r="2306" spans="8:8" hidden="1" x14ac:dyDescent="0.35">
      <c r="H2306" s="83">
        <f t="shared" si="82"/>
        <v>0</v>
      </c>
    </row>
    <row r="2307" spans="8:8" hidden="1" x14ac:dyDescent="0.35">
      <c r="H2307" s="83">
        <f t="shared" si="82"/>
        <v>0</v>
      </c>
    </row>
    <row r="2308" spans="8:8" hidden="1" x14ac:dyDescent="0.35">
      <c r="H2308" s="83">
        <f t="shared" ref="H2308:H2371" si="83">J2308-I2308</f>
        <v>0</v>
      </c>
    </row>
    <row r="2309" spans="8:8" hidden="1" x14ac:dyDescent="0.35">
      <c r="H2309" s="83">
        <f t="shared" si="83"/>
        <v>0</v>
      </c>
    </row>
    <row r="2310" spans="8:8" hidden="1" x14ac:dyDescent="0.35">
      <c r="H2310" s="83">
        <f t="shared" si="83"/>
        <v>0</v>
      </c>
    </row>
    <row r="2311" spans="8:8" hidden="1" x14ac:dyDescent="0.35">
      <c r="H2311" s="83">
        <f t="shared" si="83"/>
        <v>0</v>
      </c>
    </row>
    <row r="2312" spans="8:8" hidden="1" x14ac:dyDescent="0.35">
      <c r="H2312" s="83">
        <f t="shared" si="83"/>
        <v>0</v>
      </c>
    </row>
    <row r="2313" spans="8:8" hidden="1" x14ac:dyDescent="0.35">
      <c r="H2313" s="83">
        <f t="shared" si="83"/>
        <v>0</v>
      </c>
    </row>
    <row r="2314" spans="8:8" hidden="1" x14ac:dyDescent="0.35">
      <c r="H2314" s="83">
        <f t="shared" si="83"/>
        <v>0</v>
      </c>
    </row>
    <row r="2315" spans="8:8" hidden="1" x14ac:dyDescent="0.35">
      <c r="H2315" s="83">
        <f t="shared" si="83"/>
        <v>0</v>
      </c>
    </row>
    <row r="2316" spans="8:8" hidden="1" x14ac:dyDescent="0.35">
      <c r="H2316" s="83">
        <f t="shared" si="83"/>
        <v>0</v>
      </c>
    </row>
    <row r="2317" spans="8:8" hidden="1" x14ac:dyDescent="0.35">
      <c r="H2317" s="83">
        <f t="shared" si="83"/>
        <v>0</v>
      </c>
    </row>
    <row r="2318" spans="8:8" hidden="1" x14ac:dyDescent="0.35">
      <c r="H2318" s="83">
        <f t="shared" si="83"/>
        <v>0</v>
      </c>
    </row>
    <row r="2319" spans="8:8" hidden="1" x14ac:dyDescent="0.35">
      <c r="H2319" s="83">
        <f t="shared" si="83"/>
        <v>0</v>
      </c>
    </row>
    <row r="2320" spans="8:8" hidden="1" x14ac:dyDescent="0.35">
      <c r="H2320" s="83">
        <f t="shared" si="83"/>
        <v>0</v>
      </c>
    </row>
    <row r="2321" spans="8:8" hidden="1" x14ac:dyDescent="0.35">
      <c r="H2321" s="83">
        <f t="shared" si="83"/>
        <v>0</v>
      </c>
    </row>
    <row r="2322" spans="8:8" hidden="1" x14ac:dyDescent="0.35">
      <c r="H2322" s="83">
        <f t="shared" si="83"/>
        <v>0</v>
      </c>
    </row>
    <row r="2323" spans="8:8" hidden="1" x14ac:dyDescent="0.35">
      <c r="H2323" s="83">
        <f t="shared" si="83"/>
        <v>0</v>
      </c>
    </row>
    <row r="2324" spans="8:8" hidden="1" x14ac:dyDescent="0.35">
      <c r="H2324" s="83">
        <f t="shared" si="83"/>
        <v>0</v>
      </c>
    </row>
    <row r="2325" spans="8:8" hidden="1" x14ac:dyDescent="0.35">
      <c r="H2325" s="83">
        <f t="shared" si="83"/>
        <v>0</v>
      </c>
    </row>
    <row r="2326" spans="8:8" hidden="1" x14ac:dyDescent="0.35">
      <c r="H2326" s="83">
        <f t="shared" si="83"/>
        <v>0</v>
      </c>
    </row>
    <row r="2327" spans="8:8" hidden="1" x14ac:dyDescent="0.35">
      <c r="H2327" s="83">
        <f t="shared" si="83"/>
        <v>0</v>
      </c>
    </row>
    <row r="2328" spans="8:8" hidden="1" x14ac:dyDescent="0.35">
      <c r="H2328" s="83">
        <f t="shared" si="83"/>
        <v>0</v>
      </c>
    </row>
    <row r="2329" spans="8:8" hidden="1" x14ac:dyDescent="0.35">
      <c r="H2329" s="83">
        <f t="shared" si="83"/>
        <v>0</v>
      </c>
    </row>
    <row r="2330" spans="8:8" hidden="1" x14ac:dyDescent="0.35">
      <c r="H2330" s="83">
        <f t="shared" si="83"/>
        <v>0</v>
      </c>
    </row>
    <row r="2331" spans="8:8" hidden="1" x14ac:dyDescent="0.35">
      <c r="H2331" s="83">
        <f t="shared" si="83"/>
        <v>0</v>
      </c>
    </row>
    <row r="2332" spans="8:8" hidden="1" x14ac:dyDescent="0.35">
      <c r="H2332" s="83">
        <f t="shared" si="83"/>
        <v>0</v>
      </c>
    </row>
    <row r="2333" spans="8:8" hidden="1" x14ac:dyDescent="0.35">
      <c r="H2333" s="83">
        <f t="shared" si="83"/>
        <v>0</v>
      </c>
    </row>
    <row r="2334" spans="8:8" hidden="1" x14ac:dyDescent="0.35">
      <c r="H2334" s="83">
        <f t="shared" si="83"/>
        <v>0</v>
      </c>
    </row>
    <row r="2335" spans="8:8" hidden="1" x14ac:dyDescent="0.35">
      <c r="H2335" s="83">
        <f t="shared" si="83"/>
        <v>0</v>
      </c>
    </row>
    <row r="2336" spans="8:8" hidden="1" x14ac:dyDescent="0.35">
      <c r="H2336" s="83">
        <f t="shared" si="83"/>
        <v>0</v>
      </c>
    </row>
    <row r="2337" spans="8:8" hidden="1" x14ac:dyDescent="0.35">
      <c r="H2337" s="83">
        <f t="shared" si="83"/>
        <v>0</v>
      </c>
    </row>
    <row r="2338" spans="8:8" hidden="1" x14ac:dyDescent="0.35">
      <c r="H2338" s="83">
        <f t="shared" si="83"/>
        <v>0</v>
      </c>
    </row>
    <row r="2339" spans="8:8" hidden="1" x14ac:dyDescent="0.35">
      <c r="H2339" s="83">
        <f t="shared" si="83"/>
        <v>0</v>
      </c>
    </row>
    <row r="2340" spans="8:8" hidden="1" x14ac:dyDescent="0.35">
      <c r="H2340" s="83">
        <f t="shared" si="83"/>
        <v>0</v>
      </c>
    </row>
    <row r="2341" spans="8:8" hidden="1" x14ac:dyDescent="0.35">
      <c r="H2341" s="83">
        <f t="shared" si="83"/>
        <v>0</v>
      </c>
    </row>
    <row r="2342" spans="8:8" hidden="1" x14ac:dyDescent="0.35">
      <c r="H2342" s="83">
        <f t="shared" si="83"/>
        <v>0</v>
      </c>
    </row>
    <row r="2343" spans="8:8" hidden="1" x14ac:dyDescent="0.35">
      <c r="H2343" s="83">
        <f t="shared" si="83"/>
        <v>0</v>
      </c>
    </row>
    <row r="2344" spans="8:8" hidden="1" x14ac:dyDescent="0.35">
      <c r="H2344" s="83">
        <f t="shared" si="83"/>
        <v>0</v>
      </c>
    </row>
    <row r="2345" spans="8:8" hidden="1" x14ac:dyDescent="0.35">
      <c r="H2345" s="83">
        <f t="shared" si="83"/>
        <v>0</v>
      </c>
    </row>
    <row r="2346" spans="8:8" hidden="1" x14ac:dyDescent="0.35">
      <c r="H2346" s="83">
        <f t="shared" si="83"/>
        <v>0</v>
      </c>
    </row>
    <row r="2347" spans="8:8" hidden="1" x14ac:dyDescent="0.35">
      <c r="H2347" s="83">
        <f t="shared" si="83"/>
        <v>0</v>
      </c>
    </row>
    <row r="2348" spans="8:8" hidden="1" x14ac:dyDescent="0.35">
      <c r="H2348" s="83">
        <f t="shared" si="83"/>
        <v>0</v>
      </c>
    </row>
    <row r="2349" spans="8:8" hidden="1" x14ac:dyDescent="0.35">
      <c r="H2349" s="83">
        <f t="shared" si="83"/>
        <v>0</v>
      </c>
    </row>
    <row r="2350" spans="8:8" hidden="1" x14ac:dyDescent="0.35">
      <c r="H2350" s="83">
        <f t="shared" si="83"/>
        <v>0</v>
      </c>
    </row>
    <row r="2351" spans="8:8" hidden="1" x14ac:dyDescent="0.35">
      <c r="H2351" s="83">
        <f t="shared" si="83"/>
        <v>0</v>
      </c>
    </row>
    <row r="2352" spans="8:8" hidden="1" x14ac:dyDescent="0.35">
      <c r="H2352" s="83">
        <f t="shared" si="83"/>
        <v>0</v>
      </c>
    </row>
    <row r="2353" spans="8:8" hidden="1" x14ac:dyDescent="0.35">
      <c r="H2353" s="83">
        <f t="shared" si="83"/>
        <v>0</v>
      </c>
    </row>
    <row r="2354" spans="8:8" hidden="1" x14ac:dyDescent="0.35">
      <c r="H2354" s="83">
        <f t="shared" si="83"/>
        <v>0</v>
      </c>
    </row>
    <row r="2355" spans="8:8" hidden="1" x14ac:dyDescent="0.35">
      <c r="H2355" s="83">
        <f t="shared" si="83"/>
        <v>0</v>
      </c>
    </row>
    <row r="2356" spans="8:8" hidden="1" x14ac:dyDescent="0.35">
      <c r="H2356" s="83">
        <f t="shared" si="83"/>
        <v>0</v>
      </c>
    </row>
    <row r="2357" spans="8:8" hidden="1" x14ac:dyDescent="0.35">
      <c r="H2357" s="83">
        <f t="shared" si="83"/>
        <v>0</v>
      </c>
    </row>
    <row r="2358" spans="8:8" hidden="1" x14ac:dyDescent="0.35">
      <c r="H2358" s="83">
        <f t="shared" si="83"/>
        <v>0</v>
      </c>
    </row>
    <row r="2359" spans="8:8" hidden="1" x14ac:dyDescent="0.35">
      <c r="H2359" s="83">
        <f t="shared" si="83"/>
        <v>0</v>
      </c>
    </row>
    <row r="2360" spans="8:8" hidden="1" x14ac:dyDescent="0.35">
      <c r="H2360" s="83">
        <f t="shared" si="83"/>
        <v>0</v>
      </c>
    </row>
    <row r="2361" spans="8:8" hidden="1" x14ac:dyDescent="0.35">
      <c r="H2361" s="83">
        <f t="shared" si="83"/>
        <v>0</v>
      </c>
    </row>
    <row r="2362" spans="8:8" hidden="1" x14ac:dyDescent="0.35">
      <c r="H2362" s="83">
        <f t="shared" si="83"/>
        <v>0</v>
      </c>
    </row>
    <row r="2363" spans="8:8" hidden="1" x14ac:dyDescent="0.35">
      <c r="H2363" s="83">
        <f t="shared" si="83"/>
        <v>0</v>
      </c>
    </row>
    <row r="2364" spans="8:8" hidden="1" x14ac:dyDescent="0.35">
      <c r="H2364" s="83">
        <f t="shared" si="83"/>
        <v>0</v>
      </c>
    </row>
    <row r="2365" spans="8:8" hidden="1" x14ac:dyDescent="0.35">
      <c r="H2365" s="83">
        <f t="shared" si="83"/>
        <v>0</v>
      </c>
    </row>
    <row r="2366" spans="8:8" hidden="1" x14ac:dyDescent="0.35">
      <c r="H2366" s="83">
        <f t="shared" si="83"/>
        <v>0</v>
      </c>
    </row>
    <row r="2367" spans="8:8" hidden="1" x14ac:dyDescent="0.35">
      <c r="H2367" s="83">
        <f t="shared" si="83"/>
        <v>0</v>
      </c>
    </row>
    <row r="2368" spans="8:8" hidden="1" x14ac:dyDescent="0.35">
      <c r="H2368" s="83">
        <f t="shared" si="83"/>
        <v>0</v>
      </c>
    </row>
    <row r="2369" spans="8:8" hidden="1" x14ac:dyDescent="0.35">
      <c r="H2369" s="83">
        <f t="shared" si="83"/>
        <v>0</v>
      </c>
    </row>
    <row r="2370" spans="8:8" hidden="1" x14ac:dyDescent="0.35">
      <c r="H2370" s="83">
        <f t="shared" si="83"/>
        <v>0</v>
      </c>
    </row>
    <row r="2371" spans="8:8" hidden="1" x14ac:dyDescent="0.35">
      <c r="H2371" s="83">
        <f t="shared" si="83"/>
        <v>0</v>
      </c>
    </row>
    <row r="2372" spans="8:8" hidden="1" x14ac:dyDescent="0.35">
      <c r="H2372" s="83">
        <f t="shared" ref="H2372:H2435" si="84">J2372-I2372</f>
        <v>0</v>
      </c>
    </row>
    <row r="2373" spans="8:8" hidden="1" x14ac:dyDescent="0.35">
      <c r="H2373" s="83">
        <f t="shared" si="84"/>
        <v>0</v>
      </c>
    </row>
    <row r="2374" spans="8:8" hidden="1" x14ac:dyDescent="0.35">
      <c r="H2374" s="83">
        <f t="shared" si="84"/>
        <v>0</v>
      </c>
    </row>
    <row r="2375" spans="8:8" hidden="1" x14ac:dyDescent="0.35">
      <c r="H2375" s="83">
        <f t="shared" si="84"/>
        <v>0</v>
      </c>
    </row>
    <row r="2376" spans="8:8" hidden="1" x14ac:dyDescent="0.35">
      <c r="H2376" s="83">
        <f t="shared" si="84"/>
        <v>0</v>
      </c>
    </row>
    <row r="2377" spans="8:8" hidden="1" x14ac:dyDescent="0.35">
      <c r="H2377" s="83">
        <f t="shared" si="84"/>
        <v>0</v>
      </c>
    </row>
    <row r="2378" spans="8:8" hidden="1" x14ac:dyDescent="0.35">
      <c r="H2378" s="83">
        <f t="shared" si="84"/>
        <v>0</v>
      </c>
    </row>
    <row r="2379" spans="8:8" hidden="1" x14ac:dyDescent="0.35">
      <c r="H2379" s="83">
        <f t="shared" si="84"/>
        <v>0</v>
      </c>
    </row>
    <row r="2380" spans="8:8" hidden="1" x14ac:dyDescent="0.35">
      <c r="H2380" s="83">
        <f t="shared" si="84"/>
        <v>0</v>
      </c>
    </row>
    <row r="2381" spans="8:8" hidden="1" x14ac:dyDescent="0.35">
      <c r="H2381" s="83">
        <f t="shared" si="84"/>
        <v>0</v>
      </c>
    </row>
    <row r="2382" spans="8:8" hidden="1" x14ac:dyDescent="0.35">
      <c r="H2382" s="83">
        <f t="shared" si="84"/>
        <v>0</v>
      </c>
    </row>
    <row r="2383" spans="8:8" hidden="1" x14ac:dyDescent="0.35">
      <c r="H2383" s="83">
        <f t="shared" si="84"/>
        <v>0</v>
      </c>
    </row>
    <row r="2384" spans="8:8" hidden="1" x14ac:dyDescent="0.35">
      <c r="H2384" s="83">
        <f t="shared" si="84"/>
        <v>0</v>
      </c>
    </row>
    <row r="2385" spans="8:8" hidden="1" x14ac:dyDescent="0.35">
      <c r="H2385" s="83">
        <f t="shared" si="84"/>
        <v>0</v>
      </c>
    </row>
    <row r="2386" spans="8:8" hidden="1" x14ac:dyDescent="0.35">
      <c r="H2386" s="83">
        <f t="shared" si="84"/>
        <v>0</v>
      </c>
    </row>
    <row r="2387" spans="8:8" hidden="1" x14ac:dyDescent="0.35">
      <c r="H2387" s="83">
        <f t="shared" si="84"/>
        <v>0</v>
      </c>
    </row>
    <row r="2388" spans="8:8" hidden="1" x14ac:dyDescent="0.35">
      <c r="H2388" s="83">
        <f t="shared" si="84"/>
        <v>0</v>
      </c>
    </row>
    <row r="2389" spans="8:8" hidden="1" x14ac:dyDescent="0.35">
      <c r="H2389" s="83">
        <f t="shared" si="84"/>
        <v>0</v>
      </c>
    </row>
    <row r="2390" spans="8:8" hidden="1" x14ac:dyDescent="0.35">
      <c r="H2390" s="83">
        <f t="shared" si="84"/>
        <v>0</v>
      </c>
    </row>
    <row r="2391" spans="8:8" hidden="1" x14ac:dyDescent="0.35">
      <c r="H2391" s="83">
        <f t="shared" si="84"/>
        <v>0</v>
      </c>
    </row>
    <row r="2392" spans="8:8" hidden="1" x14ac:dyDescent="0.35">
      <c r="H2392" s="83">
        <f t="shared" si="84"/>
        <v>0</v>
      </c>
    </row>
    <row r="2393" spans="8:8" hidden="1" x14ac:dyDescent="0.35">
      <c r="H2393" s="83">
        <f t="shared" si="84"/>
        <v>0</v>
      </c>
    </row>
    <row r="2394" spans="8:8" hidden="1" x14ac:dyDescent="0.35">
      <c r="H2394" s="83">
        <f t="shared" si="84"/>
        <v>0</v>
      </c>
    </row>
    <row r="2395" spans="8:8" hidden="1" x14ac:dyDescent="0.35">
      <c r="H2395" s="83">
        <f t="shared" si="84"/>
        <v>0</v>
      </c>
    </row>
    <row r="2396" spans="8:8" hidden="1" x14ac:dyDescent="0.35">
      <c r="H2396" s="83">
        <f t="shared" si="84"/>
        <v>0</v>
      </c>
    </row>
    <row r="2397" spans="8:8" hidden="1" x14ac:dyDescent="0.35">
      <c r="H2397" s="83">
        <f t="shared" si="84"/>
        <v>0</v>
      </c>
    </row>
    <row r="2398" spans="8:8" hidden="1" x14ac:dyDescent="0.35">
      <c r="H2398" s="83">
        <f t="shared" si="84"/>
        <v>0</v>
      </c>
    </row>
    <row r="2399" spans="8:8" hidden="1" x14ac:dyDescent="0.35">
      <c r="H2399" s="83">
        <f t="shared" si="84"/>
        <v>0</v>
      </c>
    </row>
    <row r="2400" spans="8:8" hidden="1" x14ac:dyDescent="0.35">
      <c r="H2400" s="83">
        <f t="shared" si="84"/>
        <v>0</v>
      </c>
    </row>
    <row r="2401" spans="8:8" hidden="1" x14ac:dyDescent="0.35">
      <c r="H2401" s="83">
        <f t="shared" si="84"/>
        <v>0</v>
      </c>
    </row>
    <row r="2402" spans="8:8" hidden="1" x14ac:dyDescent="0.35">
      <c r="H2402" s="83">
        <f t="shared" si="84"/>
        <v>0</v>
      </c>
    </row>
    <row r="2403" spans="8:8" hidden="1" x14ac:dyDescent="0.35">
      <c r="H2403" s="83">
        <f t="shared" si="84"/>
        <v>0</v>
      </c>
    </row>
    <row r="2404" spans="8:8" hidden="1" x14ac:dyDescent="0.35">
      <c r="H2404" s="83">
        <f t="shared" si="84"/>
        <v>0</v>
      </c>
    </row>
    <row r="2405" spans="8:8" hidden="1" x14ac:dyDescent="0.35">
      <c r="H2405" s="83">
        <f t="shared" si="84"/>
        <v>0</v>
      </c>
    </row>
    <row r="2406" spans="8:8" hidden="1" x14ac:dyDescent="0.35">
      <c r="H2406" s="83">
        <f t="shared" si="84"/>
        <v>0</v>
      </c>
    </row>
    <row r="2407" spans="8:8" hidden="1" x14ac:dyDescent="0.35">
      <c r="H2407" s="83">
        <f t="shared" si="84"/>
        <v>0</v>
      </c>
    </row>
    <row r="2408" spans="8:8" hidden="1" x14ac:dyDescent="0.35">
      <c r="H2408" s="83">
        <f t="shared" si="84"/>
        <v>0</v>
      </c>
    </row>
    <row r="2409" spans="8:8" hidden="1" x14ac:dyDescent="0.35">
      <c r="H2409" s="83">
        <f t="shared" si="84"/>
        <v>0</v>
      </c>
    </row>
    <row r="2410" spans="8:8" hidden="1" x14ac:dyDescent="0.35">
      <c r="H2410" s="83">
        <f t="shared" si="84"/>
        <v>0</v>
      </c>
    </row>
    <row r="2411" spans="8:8" hidden="1" x14ac:dyDescent="0.35">
      <c r="H2411" s="83">
        <f t="shared" si="84"/>
        <v>0</v>
      </c>
    </row>
    <row r="2412" spans="8:8" hidden="1" x14ac:dyDescent="0.35">
      <c r="H2412" s="83">
        <f t="shared" si="84"/>
        <v>0</v>
      </c>
    </row>
    <row r="2413" spans="8:8" hidden="1" x14ac:dyDescent="0.35">
      <c r="H2413" s="83">
        <f t="shared" si="84"/>
        <v>0</v>
      </c>
    </row>
    <row r="2414" spans="8:8" hidden="1" x14ac:dyDescent="0.35">
      <c r="H2414" s="83">
        <f t="shared" si="84"/>
        <v>0</v>
      </c>
    </row>
    <row r="2415" spans="8:8" hidden="1" x14ac:dyDescent="0.35">
      <c r="H2415" s="83">
        <f t="shared" si="84"/>
        <v>0</v>
      </c>
    </row>
    <row r="2416" spans="8:8" hidden="1" x14ac:dyDescent="0.35">
      <c r="H2416" s="83">
        <f t="shared" si="84"/>
        <v>0</v>
      </c>
    </row>
    <row r="2417" spans="8:8" hidden="1" x14ac:dyDescent="0.35">
      <c r="H2417" s="83">
        <f t="shared" si="84"/>
        <v>0</v>
      </c>
    </row>
    <row r="2418" spans="8:8" hidden="1" x14ac:dyDescent="0.35">
      <c r="H2418" s="83">
        <f t="shared" si="84"/>
        <v>0</v>
      </c>
    </row>
    <row r="2419" spans="8:8" hidden="1" x14ac:dyDescent="0.35">
      <c r="H2419" s="83">
        <f t="shared" si="84"/>
        <v>0</v>
      </c>
    </row>
    <row r="2420" spans="8:8" hidden="1" x14ac:dyDescent="0.35">
      <c r="H2420" s="83">
        <f t="shared" si="84"/>
        <v>0</v>
      </c>
    </row>
    <row r="2421" spans="8:8" hidden="1" x14ac:dyDescent="0.35">
      <c r="H2421" s="83">
        <f t="shared" si="84"/>
        <v>0</v>
      </c>
    </row>
    <row r="2422" spans="8:8" hidden="1" x14ac:dyDescent="0.35">
      <c r="H2422" s="83">
        <f t="shared" si="84"/>
        <v>0</v>
      </c>
    </row>
    <row r="2423" spans="8:8" hidden="1" x14ac:dyDescent="0.35">
      <c r="H2423" s="83">
        <f t="shared" si="84"/>
        <v>0</v>
      </c>
    </row>
    <row r="2424" spans="8:8" hidden="1" x14ac:dyDescent="0.35">
      <c r="H2424" s="83">
        <f t="shared" si="84"/>
        <v>0</v>
      </c>
    </row>
    <row r="2425" spans="8:8" hidden="1" x14ac:dyDescent="0.35">
      <c r="H2425" s="83">
        <f t="shared" si="84"/>
        <v>0</v>
      </c>
    </row>
    <row r="2426" spans="8:8" hidden="1" x14ac:dyDescent="0.35">
      <c r="H2426" s="83">
        <f t="shared" si="84"/>
        <v>0</v>
      </c>
    </row>
    <row r="2427" spans="8:8" hidden="1" x14ac:dyDescent="0.35">
      <c r="H2427" s="83">
        <f t="shared" si="84"/>
        <v>0</v>
      </c>
    </row>
    <row r="2428" spans="8:8" hidden="1" x14ac:dyDescent="0.35">
      <c r="H2428" s="83">
        <f t="shared" si="84"/>
        <v>0</v>
      </c>
    </row>
    <row r="2429" spans="8:8" hidden="1" x14ac:dyDescent="0.35">
      <c r="H2429" s="83">
        <f t="shared" si="84"/>
        <v>0</v>
      </c>
    </row>
    <row r="2430" spans="8:8" hidden="1" x14ac:dyDescent="0.35">
      <c r="H2430" s="83">
        <f t="shared" si="84"/>
        <v>0</v>
      </c>
    </row>
    <row r="2431" spans="8:8" hidden="1" x14ac:dyDescent="0.35">
      <c r="H2431" s="83">
        <f t="shared" si="84"/>
        <v>0</v>
      </c>
    </row>
    <row r="2432" spans="8:8" hidden="1" x14ac:dyDescent="0.35">
      <c r="H2432" s="83">
        <f t="shared" si="84"/>
        <v>0</v>
      </c>
    </row>
    <row r="2433" spans="8:8" hidden="1" x14ac:dyDescent="0.35">
      <c r="H2433" s="83">
        <f t="shared" si="84"/>
        <v>0</v>
      </c>
    </row>
    <row r="2434" spans="8:8" hidden="1" x14ac:dyDescent="0.35">
      <c r="H2434" s="83">
        <f t="shared" si="84"/>
        <v>0</v>
      </c>
    </row>
    <row r="2435" spans="8:8" hidden="1" x14ac:dyDescent="0.35">
      <c r="H2435" s="83">
        <f t="shared" si="84"/>
        <v>0</v>
      </c>
    </row>
    <row r="2436" spans="8:8" hidden="1" x14ac:dyDescent="0.35">
      <c r="H2436" s="83">
        <f t="shared" ref="H2436:H2499" si="85">J2436-I2436</f>
        <v>0</v>
      </c>
    </row>
    <row r="2437" spans="8:8" hidden="1" x14ac:dyDescent="0.35">
      <c r="H2437" s="83">
        <f t="shared" si="85"/>
        <v>0</v>
      </c>
    </row>
    <row r="2438" spans="8:8" hidden="1" x14ac:dyDescent="0.35">
      <c r="H2438" s="83">
        <f t="shared" si="85"/>
        <v>0</v>
      </c>
    </row>
    <row r="2439" spans="8:8" hidden="1" x14ac:dyDescent="0.35">
      <c r="H2439" s="83">
        <f t="shared" si="85"/>
        <v>0</v>
      </c>
    </row>
    <row r="2440" spans="8:8" hidden="1" x14ac:dyDescent="0.35">
      <c r="H2440" s="83">
        <f t="shared" si="85"/>
        <v>0</v>
      </c>
    </row>
    <row r="2441" spans="8:8" hidden="1" x14ac:dyDescent="0.35">
      <c r="H2441" s="83">
        <f t="shared" si="85"/>
        <v>0</v>
      </c>
    </row>
    <row r="2442" spans="8:8" hidden="1" x14ac:dyDescent="0.35">
      <c r="H2442" s="83">
        <f t="shared" si="85"/>
        <v>0</v>
      </c>
    </row>
    <row r="2443" spans="8:8" hidden="1" x14ac:dyDescent="0.35">
      <c r="H2443" s="83">
        <f t="shared" si="85"/>
        <v>0</v>
      </c>
    </row>
    <row r="2444" spans="8:8" hidden="1" x14ac:dyDescent="0.35">
      <c r="H2444" s="83">
        <f t="shared" si="85"/>
        <v>0</v>
      </c>
    </row>
    <row r="2445" spans="8:8" hidden="1" x14ac:dyDescent="0.35">
      <c r="H2445" s="83">
        <f t="shared" si="85"/>
        <v>0</v>
      </c>
    </row>
    <row r="2446" spans="8:8" hidden="1" x14ac:dyDescent="0.35">
      <c r="H2446" s="83">
        <f t="shared" si="85"/>
        <v>0</v>
      </c>
    </row>
    <row r="2447" spans="8:8" hidden="1" x14ac:dyDescent="0.35">
      <c r="H2447" s="83">
        <f t="shared" si="85"/>
        <v>0</v>
      </c>
    </row>
    <row r="2448" spans="8:8" hidden="1" x14ac:dyDescent="0.35">
      <c r="H2448" s="83">
        <f t="shared" si="85"/>
        <v>0</v>
      </c>
    </row>
    <row r="2449" spans="8:8" hidden="1" x14ac:dyDescent="0.35">
      <c r="H2449" s="83">
        <f t="shared" si="85"/>
        <v>0</v>
      </c>
    </row>
    <row r="2450" spans="8:8" hidden="1" x14ac:dyDescent="0.35">
      <c r="H2450" s="83">
        <f t="shared" si="85"/>
        <v>0</v>
      </c>
    </row>
    <row r="2451" spans="8:8" hidden="1" x14ac:dyDescent="0.35">
      <c r="H2451" s="83">
        <f t="shared" si="85"/>
        <v>0</v>
      </c>
    </row>
    <row r="2452" spans="8:8" hidden="1" x14ac:dyDescent="0.35">
      <c r="H2452" s="83">
        <f t="shared" si="85"/>
        <v>0</v>
      </c>
    </row>
    <row r="2453" spans="8:8" hidden="1" x14ac:dyDescent="0.35">
      <c r="H2453" s="83">
        <f t="shared" si="85"/>
        <v>0</v>
      </c>
    </row>
    <row r="2454" spans="8:8" hidden="1" x14ac:dyDescent="0.35">
      <c r="H2454" s="83">
        <f t="shared" si="85"/>
        <v>0</v>
      </c>
    </row>
    <row r="2455" spans="8:8" hidden="1" x14ac:dyDescent="0.35">
      <c r="H2455" s="83">
        <f t="shared" si="85"/>
        <v>0</v>
      </c>
    </row>
    <row r="2456" spans="8:8" hidden="1" x14ac:dyDescent="0.35">
      <c r="H2456" s="83">
        <f t="shared" si="85"/>
        <v>0</v>
      </c>
    </row>
    <row r="2457" spans="8:8" hidden="1" x14ac:dyDescent="0.35">
      <c r="H2457" s="83">
        <f t="shared" si="85"/>
        <v>0</v>
      </c>
    </row>
    <row r="2458" spans="8:8" hidden="1" x14ac:dyDescent="0.35">
      <c r="H2458" s="83">
        <f t="shared" si="85"/>
        <v>0</v>
      </c>
    </row>
    <row r="2459" spans="8:8" hidden="1" x14ac:dyDescent="0.35">
      <c r="H2459" s="83">
        <f t="shared" si="85"/>
        <v>0</v>
      </c>
    </row>
    <row r="2460" spans="8:8" hidden="1" x14ac:dyDescent="0.35">
      <c r="H2460" s="83">
        <f t="shared" si="85"/>
        <v>0</v>
      </c>
    </row>
    <row r="2461" spans="8:8" hidden="1" x14ac:dyDescent="0.35">
      <c r="H2461" s="83">
        <f t="shared" si="85"/>
        <v>0</v>
      </c>
    </row>
    <row r="2462" spans="8:8" hidden="1" x14ac:dyDescent="0.35">
      <c r="H2462" s="83">
        <f t="shared" si="85"/>
        <v>0</v>
      </c>
    </row>
    <row r="2463" spans="8:8" hidden="1" x14ac:dyDescent="0.35">
      <c r="H2463" s="83">
        <f t="shared" si="85"/>
        <v>0</v>
      </c>
    </row>
    <row r="2464" spans="8:8" hidden="1" x14ac:dyDescent="0.35">
      <c r="H2464" s="83">
        <f t="shared" si="85"/>
        <v>0</v>
      </c>
    </row>
    <row r="2465" spans="8:8" hidden="1" x14ac:dyDescent="0.35">
      <c r="H2465" s="83">
        <f t="shared" si="85"/>
        <v>0</v>
      </c>
    </row>
    <row r="2466" spans="8:8" hidden="1" x14ac:dyDescent="0.35">
      <c r="H2466" s="83">
        <f t="shared" si="85"/>
        <v>0</v>
      </c>
    </row>
    <row r="2467" spans="8:8" hidden="1" x14ac:dyDescent="0.35">
      <c r="H2467" s="83">
        <f t="shared" si="85"/>
        <v>0</v>
      </c>
    </row>
    <row r="2468" spans="8:8" hidden="1" x14ac:dyDescent="0.35">
      <c r="H2468" s="83">
        <f t="shared" si="85"/>
        <v>0</v>
      </c>
    </row>
    <row r="2469" spans="8:8" hidden="1" x14ac:dyDescent="0.35">
      <c r="H2469" s="83">
        <f t="shared" si="85"/>
        <v>0</v>
      </c>
    </row>
    <row r="2470" spans="8:8" hidden="1" x14ac:dyDescent="0.35">
      <c r="H2470" s="83">
        <f t="shared" si="85"/>
        <v>0</v>
      </c>
    </row>
    <row r="2471" spans="8:8" hidden="1" x14ac:dyDescent="0.35">
      <c r="H2471" s="83">
        <f t="shared" si="85"/>
        <v>0</v>
      </c>
    </row>
    <row r="2472" spans="8:8" hidden="1" x14ac:dyDescent="0.35">
      <c r="H2472" s="83">
        <f t="shared" si="85"/>
        <v>0</v>
      </c>
    </row>
    <row r="2473" spans="8:8" hidden="1" x14ac:dyDescent="0.35">
      <c r="H2473" s="83">
        <f t="shared" si="85"/>
        <v>0</v>
      </c>
    </row>
    <row r="2474" spans="8:8" hidden="1" x14ac:dyDescent="0.35">
      <c r="H2474" s="83">
        <f t="shared" si="85"/>
        <v>0</v>
      </c>
    </row>
    <row r="2475" spans="8:8" hidden="1" x14ac:dyDescent="0.35">
      <c r="H2475" s="83">
        <f t="shared" si="85"/>
        <v>0</v>
      </c>
    </row>
    <row r="2476" spans="8:8" hidden="1" x14ac:dyDescent="0.35">
      <c r="H2476" s="83">
        <f t="shared" si="85"/>
        <v>0</v>
      </c>
    </row>
    <row r="2477" spans="8:8" hidden="1" x14ac:dyDescent="0.35">
      <c r="H2477" s="83">
        <f t="shared" si="85"/>
        <v>0</v>
      </c>
    </row>
    <row r="2478" spans="8:8" hidden="1" x14ac:dyDescent="0.35">
      <c r="H2478" s="83">
        <f t="shared" si="85"/>
        <v>0</v>
      </c>
    </row>
    <row r="2479" spans="8:8" hidden="1" x14ac:dyDescent="0.35">
      <c r="H2479" s="83">
        <f t="shared" si="85"/>
        <v>0</v>
      </c>
    </row>
    <row r="2480" spans="8:8" hidden="1" x14ac:dyDescent="0.35">
      <c r="H2480" s="83">
        <f t="shared" si="85"/>
        <v>0</v>
      </c>
    </row>
    <row r="2481" spans="8:8" hidden="1" x14ac:dyDescent="0.35">
      <c r="H2481" s="83">
        <f t="shared" si="85"/>
        <v>0</v>
      </c>
    </row>
    <row r="2482" spans="8:8" hidden="1" x14ac:dyDescent="0.35">
      <c r="H2482" s="83">
        <f t="shared" si="85"/>
        <v>0</v>
      </c>
    </row>
    <row r="2483" spans="8:8" hidden="1" x14ac:dyDescent="0.35">
      <c r="H2483" s="83">
        <f t="shared" si="85"/>
        <v>0</v>
      </c>
    </row>
    <row r="2484" spans="8:8" hidden="1" x14ac:dyDescent="0.35">
      <c r="H2484" s="83">
        <f t="shared" si="85"/>
        <v>0</v>
      </c>
    </row>
    <row r="2485" spans="8:8" hidden="1" x14ac:dyDescent="0.35">
      <c r="H2485" s="83">
        <f t="shared" si="85"/>
        <v>0</v>
      </c>
    </row>
    <row r="2486" spans="8:8" hidden="1" x14ac:dyDescent="0.35">
      <c r="H2486" s="83">
        <f t="shared" si="85"/>
        <v>0</v>
      </c>
    </row>
    <row r="2487" spans="8:8" hidden="1" x14ac:dyDescent="0.35">
      <c r="H2487" s="83">
        <f t="shared" si="85"/>
        <v>0</v>
      </c>
    </row>
    <row r="2488" spans="8:8" hidden="1" x14ac:dyDescent="0.35">
      <c r="H2488" s="83">
        <f t="shared" si="85"/>
        <v>0</v>
      </c>
    </row>
    <row r="2489" spans="8:8" hidden="1" x14ac:dyDescent="0.35">
      <c r="H2489" s="83">
        <f t="shared" si="85"/>
        <v>0</v>
      </c>
    </row>
    <row r="2490" spans="8:8" hidden="1" x14ac:dyDescent="0.35">
      <c r="H2490" s="83">
        <f t="shared" si="85"/>
        <v>0</v>
      </c>
    </row>
    <row r="2491" spans="8:8" hidden="1" x14ac:dyDescent="0.35">
      <c r="H2491" s="83">
        <f t="shared" si="85"/>
        <v>0</v>
      </c>
    </row>
    <row r="2492" spans="8:8" hidden="1" x14ac:dyDescent="0.35">
      <c r="H2492" s="83">
        <f t="shared" si="85"/>
        <v>0</v>
      </c>
    </row>
    <row r="2493" spans="8:8" hidden="1" x14ac:dyDescent="0.35">
      <c r="H2493" s="83">
        <f t="shared" si="85"/>
        <v>0</v>
      </c>
    </row>
    <row r="2494" spans="8:8" hidden="1" x14ac:dyDescent="0.35">
      <c r="H2494" s="83">
        <f t="shared" si="85"/>
        <v>0</v>
      </c>
    </row>
    <row r="2495" spans="8:8" hidden="1" x14ac:dyDescent="0.35">
      <c r="H2495" s="83">
        <f t="shared" si="85"/>
        <v>0</v>
      </c>
    </row>
    <row r="2496" spans="8:8" hidden="1" x14ac:dyDescent="0.35">
      <c r="H2496" s="83">
        <f t="shared" si="85"/>
        <v>0</v>
      </c>
    </row>
    <row r="2497" spans="8:8" hidden="1" x14ac:dyDescent="0.35">
      <c r="H2497" s="83">
        <f t="shared" si="85"/>
        <v>0</v>
      </c>
    </row>
    <row r="2498" spans="8:8" hidden="1" x14ac:dyDescent="0.35">
      <c r="H2498" s="83">
        <f t="shared" si="85"/>
        <v>0</v>
      </c>
    </row>
    <row r="2499" spans="8:8" hidden="1" x14ac:dyDescent="0.35">
      <c r="H2499" s="83">
        <f t="shared" si="85"/>
        <v>0</v>
      </c>
    </row>
    <row r="2500" spans="8:8" hidden="1" x14ac:dyDescent="0.35">
      <c r="H2500" s="83">
        <f t="shared" ref="H2500:H2563" si="86">J2500-I2500</f>
        <v>0</v>
      </c>
    </row>
    <row r="2501" spans="8:8" hidden="1" x14ac:dyDescent="0.35">
      <c r="H2501" s="83">
        <f t="shared" si="86"/>
        <v>0</v>
      </c>
    </row>
    <row r="2502" spans="8:8" hidden="1" x14ac:dyDescent="0.35">
      <c r="H2502" s="83">
        <f t="shared" si="86"/>
        <v>0</v>
      </c>
    </row>
    <row r="2503" spans="8:8" hidden="1" x14ac:dyDescent="0.35">
      <c r="H2503" s="83">
        <f t="shared" si="86"/>
        <v>0</v>
      </c>
    </row>
    <row r="2504" spans="8:8" hidden="1" x14ac:dyDescent="0.35">
      <c r="H2504" s="83">
        <f t="shared" si="86"/>
        <v>0</v>
      </c>
    </row>
    <row r="2505" spans="8:8" hidden="1" x14ac:dyDescent="0.35">
      <c r="H2505" s="83">
        <f t="shared" si="86"/>
        <v>0</v>
      </c>
    </row>
    <row r="2506" spans="8:8" hidden="1" x14ac:dyDescent="0.35">
      <c r="H2506" s="83">
        <f t="shared" si="86"/>
        <v>0</v>
      </c>
    </row>
    <row r="2507" spans="8:8" hidden="1" x14ac:dyDescent="0.35">
      <c r="H2507" s="83">
        <f t="shared" si="86"/>
        <v>0</v>
      </c>
    </row>
    <row r="2508" spans="8:8" hidden="1" x14ac:dyDescent="0.35">
      <c r="H2508" s="83">
        <f t="shared" si="86"/>
        <v>0</v>
      </c>
    </row>
    <row r="2509" spans="8:8" hidden="1" x14ac:dyDescent="0.35">
      <c r="H2509" s="83">
        <f t="shared" si="86"/>
        <v>0</v>
      </c>
    </row>
    <row r="2510" spans="8:8" hidden="1" x14ac:dyDescent="0.35">
      <c r="H2510" s="83">
        <f t="shared" si="86"/>
        <v>0</v>
      </c>
    </row>
    <row r="2511" spans="8:8" hidden="1" x14ac:dyDescent="0.35">
      <c r="H2511" s="83">
        <f t="shared" si="86"/>
        <v>0</v>
      </c>
    </row>
    <row r="2512" spans="8:8" hidden="1" x14ac:dyDescent="0.35">
      <c r="H2512" s="83">
        <f t="shared" si="86"/>
        <v>0</v>
      </c>
    </row>
    <row r="2513" spans="8:8" hidden="1" x14ac:dyDescent="0.35">
      <c r="H2513" s="83">
        <f t="shared" si="86"/>
        <v>0</v>
      </c>
    </row>
    <row r="2514" spans="8:8" hidden="1" x14ac:dyDescent="0.35">
      <c r="H2514" s="83">
        <f t="shared" si="86"/>
        <v>0</v>
      </c>
    </row>
    <row r="2515" spans="8:8" hidden="1" x14ac:dyDescent="0.35">
      <c r="H2515" s="83">
        <f t="shared" si="86"/>
        <v>0</v>
      </c>
    </row>
    <row r="2516" spans="8:8" hidden="1" x14ac:dyDescent="0.35">
      <c r="H2516" s="83">
        <f t="shared" si="86"/>
        <v>0</v>
      </c>
    </row>
    <row r="2517" spans="8:8" hidden="1" x14ac:dyDescent="0.35">
      <c r="H2517" s="83">
        <f t="shared" si="86"/>
        <v>0</v>
      </c>
    </row>
    <row r="2518" spans="8:8" hidden="1" x14ac:dyDescent="0.35">
      <c r="H2518" s="83">
        <f t="shared" si="86"/>
        <v>0</v>
      </c>
    </row>
    <row r="2519" spans="8:8" hidden="1" x14ac:dyDescent="0.35">
      <c r="H2519" s="83">
        <f t="shared" si="86"/>
        <v>0</v>
      </c>
    </row>
    <row r="2520" spans="8:8" hidden="1" x14ac:dyDescent="0.35">
      <c r="H2520" s="83">
        <f t="shared" si="86"/>
        <v>0</v>
      </c>
    </row>
    <row r="2521" spans="8:8" hidden="1" x14ac:dyDescent="0.35">
      <c r="H2521" s="83">
        <f t="shared" si="86"/>
        <v>0</v>
      </c>
    </row>
    <row r="2522" spans="8:8" hidden="1" x14ac:dyDescent="0.35">
      <c r="H2522" s="83">
        <f t="shared" si="86"/>
        <v>0</v>
      </c>
    </row>
    <row r="2523" spans="8:8" hidden="1" x14ac:dyDescent="0.35">
      <c r="H2523" s="83">
        <f t="shared" si="86"/>
        <v>0</v>
      </c>
    </row>
    <row r="2524" spans="8:8" hidden="1" x14ac:dyDescent="0.35">
      <c r="H2524" s="83">
        <f t="shared" si="86"/>
        <v>0</v>
      </c>
    </row>
    <row r="2525" spans="8:8" hidden="1" x14ac:dyDescent="0.35">
      <c r="H2525" s="83">
        <f t="shared" si="86"/>
        <v>0</v>
      </c>
    </row>
    <row r="2526" spans="8:8" hidden="1" x14ac:dyDescent="0.35">
      <c r="H2526" s="83">
        <f t="shared" si="86"/>
        <v>0</v>
      </c>
    </row>
    <row r="2527" spans="8:8" hidden="1" x14ac:dyDescent="0.35">
      <c r="H2527" s="83">
        <f t="shared" si="86"/>
        <v>0</v>
      </c>
    </row>
    <row r="2528" spans="8:8" hidden="1" x14ac:dyDescent="0.35">
      <c r="H2528" s="83">
        <f t="shared" si="86"/>
        <v>0</v>
      </c>
    </row>
    <row r="2529" spans="8:8" hidden="1" x14ac:dyDescent="0.35">
      <c r="H2529" s="83">
        <f t="shared" si="86"/>
        <v>0</v>
      </c>
    </row>
    <row r="2530" spans="8:8" hidden="1" x14ac:dyDescent="0.35">
      <c r="H2530" s="83">
        <f t="shared" si="86"/>
        <v>0</v>
      </c>
    </row>
    <row r="2531" spans="8:8" hidden="1" x14ac:dyDescent="0.35">
      <c r="H2531" s="83">
        <f t="shared" si="86"/>
        <v>0</v>
      </c>
    </row>
    <row r="2532" spans="8:8" hidden="1" x14ac:dyDescent="0.35">
      <c r="H2532" s="83">
        <f t="shared" si="86"/>
        <v>0</v>
      </c>
    </row>
    <row r="2533" spans="8:8" hidden="1" x14ac:dyDescent="0.35">
      <c r="H2533" s="83">
        <f t="shared" si="86"/>
        <v>0</v>
      </c>
    </row>
    <row r="2534" spans="8:8" hidden="1" x14ac:dyDescent="0.35">
      <c r="H2534" s="83">
        <f t="shared" si="86"/>
        <v>0</v>
      </c>
    </row>
    <row r="2535" spans="8:8" hidden="1" x14ac:dyDescent="0.35">
      <c r="H2535" s="83">
        <f t="shared" si="86"/>
        <v>0</v>
      </c>
    </row>
    <row r="2536" spans="8:8" hidden="1" x14ac:dyDescent="0.35">
      <c r="H2536" s="83">
        <f t="shared" si="86"/>
        <v>0</v>
      </c>
    </row>
    <row r="2537" spans="8:8" hidden="1" x14ac:dyDescent="0.35">
      <c r="H2537" s="83">
        <f t="shared" si="86"/>
        <v>0</v>
      </c>
    </row>
    <row r="2538" spans="8:8" hidden="1" x14ac:dyDescent="0.35">
      <c r="H2538" s="83">
        <f t="shared" si="86"/>
        <v>0</v>
      </c>
    </row>
    <row r="2539" spans="8:8" hidden="1" x14ac:dyDescent="0.35">
      <c r="H2539" s="83">
        <f t="shared" si="86"/>
        <v>0</v>
      </c>
    </row>
    <row r="2540" spans="8:8" hidden="1" x14ac:dyDescent="0.35">
      <c r="H2540" s="83">
        <f t="shared" si="86"/>
        <v>0</v>
      </c>
    </row>
    <row r="2541" spans="8:8" hidden="1" x14ac:dyDescent="0.35">
      <c r="H2541" s="83">
        <f t="shared" si="86"/>
        <v>0</v>
      </c>
    </row>
    <row r="2542" spans="8:8" hidden="1" x14ac:dyDescent="0.35">
      <c r="H2542" s="83">
        <f t="shared" si="86"/>
        <v>0</v>
      </c>
    </row>
    <row r="2543" spans="8:8" hidden="1" x14ac:dyDescent="0.35">
      <c r="H2543" s="83">
        <f t="shared" si="86"/>
        <v>0</v>
      </c>
    </row>
    <row r="2544" spans="8:8" hidden="1" x14ac:dyDescent="0.35">
      <c r="H2544" s="83">
        <f t="shared" si="86"/>
        <v>0</v>
      </c>
    </row>
    <row r="2545" spans="8:8" hidden="1" x14ac:dyDescent="0.35">
      <c r="H2545" s="83">
        <f t="shared" si="86"/>
        <v>0</v>
      </c>
    </row>
    <row r="2546" spans="8:8" hidden="1" x14ac:dyDescent="0.35">
      <c r="H2546" s="83">
        <f t="shared" si="86"/>
        <v>0</v>
      </c>
    </row>
    <row r="2547" spans="8:8" hidden="1" x14ac:dyDescent="0.35">
      <c r="H2547" s="83">
        <f t="shared" si="86"/>
        <v>0</v>
      </c>
    </row>
    <row r="2548" spans="8:8" hidden="1" x14ac:dyDescent="0.35">
      <c r="H2548" s="83">
        <f t="shared" si="86"/>
        <v>0</v>
      </c>
    </row>
    <row r="2549" spans="8:8" hidden="1" x14ac:dyDescent="0.35">
      <c r="H2549" s="83">
        <f t="shared" si="86"/>
        <v>0</v>
      </c>
    </row>
    <row r="2550" spans="8:8" hidden="1" x14ac:dyDescent="0.35">
      <c r="H2550" s="83">
        <f t="shared" si="86"/>
        <v>0</v>
      </c>
    </row>
    <row r="2551" spans="8:8" hidden="1" x14ac:dyDescent="0.35">
      <c r="H2551" s="83">
        <f t="shared" si="86"/>
        <v>0</v>
      </c>
    </row>
    <row r="2552" spans="8:8" hidden="1" x14ac:dyDescent="0.35">
      <c r="H2552" s="83">
        <f t="shared" si="86"/>
        <v>0</v>
      </c>
    </row>
    <row r="2553" spans="8:8" hidden="1" x14ac:dyDescent="0.35">
      <c r="H2553" s="83">
        <f t="shared" si="86"/>
        <v>0</v>
      </c>
    </row>
    <row r="2554" spans="8:8" hidden="1" x14ac:dyDescent="0.35">
      <c r="H2554" s="83">
        <f t="shared" si="86"/>
        <v>0</v>
      </c>
    </row>
    <row r="2555" spans="8:8" hidden="1" x14ac:dyDescent="0.35">
      <c r="H2555" s="83">
        <f t="shared" si="86"/>
        <v>0</v>
      </c>
    </row>
    <row r="2556" spans="8:8" hidden="1" x14ac:dyDescent="0.35">
      <c r="H2556" s="83">
        <f t="shared" si="86"/>
        <v>0</v>
      </c>
    </row>
    <row r="2557" spans="8:8" hidden="1" x14ac:dyDescent="0.35">
      <c r="H2557" s="83">
        <f t="shared" si="86"/>
        <v>0</v>
      </c>
    </row>
    <row r="2558" spans="8:8" hidden="1" x14ac:dyDescent="0.35">
      <c r="H2558" s="83">
        <f t="shared" si="86"/>
        <v>0</v>
      </c>
    </row>
    <row r="2559" spans="8:8" hidden="1" x14ac:dyDescent="0.35">
      <c r="H2559" s="83">
        <f t="shared" si="86"/>
        <v>0</v>
      </c>
    </row>
    <row r="2560" spans="8:8" hidden="1" x14ac:dyDescent="0.35">
      <c r="H2560" s="83">
        <f t="shared" si="86"/>
        <v>0</v>
      </c>
    </row>
    <row r="2561" spans="8:8" hidden="1" x14ac:dyDescent="0.35">
      <c r="H2561" s="83">
        <f t="shared" si="86"/>
        <v>0</v>
      </c>
    </row>
    <row r="2562" spans="8:8" hidden="1" x14ac:dyDescent="0.35">
      <c r="H2562" s="83">
        <f t="shared" si="86"/>
        <v>0</v>
      </c>
    </row>
    <row r="2563" spans="8:8" hidden="1" x14ac:dyDescent="0.35">
      <c r="H2563" s="83">
        <f t="shared" si="86"/>
        <v>0</v>
      </c>
    </row>
    <row r="2564" spans="8:8" hidden="1" x14ac:dyDescent="0.35">
      <c r="H2564" s="83">
        <f t="shared" ref="H2564:H2627" si="87">J2564-I2564</f>
        <v>0</v>
      </c>
    </row>
    <row r="2565" spans="8:8" hidden="1" x14ac:dyDescent="0.35">
      <c r="H2565" s="83">
        <f t="shared" si="87"/>
        <v>0</v>
      </c>
    </row>
    <row r="2566" spans="8:8" hidden="1" x14ac:dyDescent="0.35">
      <c r="H2566" s="83">
        <f t="shared" si="87"/>
        <v>0</v>
      </c>
    </row>
    <row r="2567" spans="8:8" hidden="1" x14ac:dyDescent="0.35">
      <c r="H2567" s="83">
        <f t="shared" si="87"/>
        <v>0</v>
      </c>
    </row>
    <row r="2568" spans="8:8" hidden="1" x14ac:dyDescent="0.35">
      <c r="H2568" s="83">
        <f t="shared" si="87"/>
        <v>0</v>
      </c>
    </row>
    <row r="2569" spans="8:8" hidden="1" x14ac:dyDescent="0.35">
      <c r="H2569" s="83">
        <f t="shared" si="87"/>
        <v>0</v>
      </c>
    </row>
    <row r="2570" spans="8:8" hidden="1" x14ac:dyDescent="0.35">
      <c r="H2570" s="83">
        <f t="shared" si="87"/>
        <v>0</v>
      </c>
    </row>
    <row r="2571" spans="8:8" hidden="1" x14ac:dyDescent="0.35">
      <c r="H2571" s="83">
        <f t="shared" si="87"/>
        <v>0</v>
      </c>
    </row>
    <row r="2572" spans="8:8" hidden="1" x14ac:dyDescent="0.35">
      <c r="H2572" s="83">
        <f t="shared" si="87"/>
        <v>0</v>
      </c>
    </row>
    <row r="2573" spans="8:8" hidden="1" x14ac:dyDescent="0.35">
      <c r="H2573" s="83">
        <f t="shared" si="87"/>
        <v>0</v>
      </c>
    </row>
    <row r="2574" spans="8:8" hidden="1" x14ac:dyDescent="0.35">
      <c r="H2574" s="83">
        <f t="shared" si="87"/>
        <v>0</v>
      </c>
    </row>
    <row r="2575" spans="8:8" hidden="1" x14ac:dyDescent="0.35">
      <c r="H2575" s="83">
        <f t="shared" si="87"/>
        <v>0</v>
      </c>
    </row>
    <row r="2576" spans="8:8" hidden="1" x14ac:dyDescent="0.35">
      <c r="H2576" s="83">
        <f t="shared" si="87"/>
        <v>0</v>
      </c>
    </row>
    <row r="2577" spans="8:8" hidden="1" x14ac:dyDescent="0.35">
      <c r="H2577" s="83">
        <f t="shared" si="87"/>
        <v>0</v>
      </c>
    </row>
    <row r="2578" spans="8:8" hidden="1" x14ac:dyDescent="0.35">
      <c r="H2578" s="83">
        <f t="shared" si="87"/>
        <v>0</v>
      </c>
    </row>
    <row r="2579" spans="8:8" hidden="1" x14ac:dyDescent="0.35">
      <c r="H2579" s="83">
        <f t="shared" si="87"/>
        <v>0</v>
      </c>
    </row>
    <row r="2580" spans="8:8" hidden="1" x14ac:dyDescent="0.35">
      <c r="H2580" s="83">
        <f t="shared" si="87"/>
        <v>0</v>
      </c>
    </row>
    <row r="2581" spans="8:8" hidden="1" x14ac:dyDescent="0.35">
      <c r="H2581" s="83">
        <f t="shared" si="87"/>
        <v>0</v>
      </c>
    </row>
    <row r="2582" spans="8:8" hidden="1" x14ac:dyDescent="0.35">
      <c r="H2582" s="83">
        <f t="shared" si="87"/>
        <v>0</v>
      </c>
    </row>
    <row r="2583" spans="8:8" hidden="1" x14ac:dyDescent="0.35">
      <c r="H2583" s="83">
        <f t="shared" si="87"/>
        <v>0</v>
      </c>
    </row>
    <row r="2584" spans="8:8" hidden="1" x14ac:dyDescent="0.35">
      <c r="H2584" s="83">
        <f t="shared" si="87"/>
        <v>0</v>
      </c>
    </row>
    <row r="2585" spans="8:8" hidden="1" x14ac:dyDescent="0.35">
      <c r="H2585" s="83">
        <f t="shared" si="87"/>
        <v>0</v>
      </c>
    </row>
    <row r="2586" spans="8:8" hidden="1" x14ac:dyDescent="0.35">
      <c r="H2586" s="83">
        <f t="shared" si="87"/>
        <v>0</v>
      </c>
    </row>
    <row r="2587" spans="8:8" hidden="1" x14ac:dyDescent="0.35">
      <c r="H2587" s="83">
        <f t="shared" si="87"/>
        <v>0</v>
      </c>
    </row>
    <row r="2588" spans="8:8" hidden="1" x14ac:dyDescent="0.35">
      <c r="H2588" s="83">
        <f t="shared" si="87"/>
        <v>0</v>
      </c>
    </row>
    <row r="2589" spans="8:8" hidden="1" x14ac:dyDescent="0.35">
      <c r="H2589" s="83">
        <f t="shared" si="87"/>
        <v>0</v>
      </c>
    </row>
    <row r="2590" spans="8:8" hidden="1" x14ac:dyDescent="0.35">
      <c r="H2590" s="83">
        <f t="shared" si="87"/>
        <v>0</v>
      </c>
    </row>
    <row r="2591" spans="8:8" hidden="1" x14ac:dyDescent="0.35">
      <c r="H2591" s="83">
        <f t="shared" si="87"/>
        <v>0</v>
      </c>
    </row>
    <row r="2592" spans="8:8" hidden="1" x14ac:dyDescent="0.35">
      <c r="H2592" s="83">
        <f t="shared" si="87"/>
        <v>0</v>
      </c>
    </row>
    <row r="2593" spans="8:8" hidden="1" x14ac:dyDescent="0.35">
      <c r="H2593" s="83">
        <f t="shared" si="87"/>
        <v>0</v>
      </c>
    </row>
    <row r="2594" spans="8:8" hidden="1" x14ac:dyDescent="0.35">
      <c r="H2594" s="83">
        <f t="shared" si="87"/>
        <v>0</v>
      </c>
    </row>
    <row r="2595" spans="8:8" hidden="1" x14ac:dyDescent="0.35">
      <c r="H2595" s="83">
        <f t="shared" si="87"/>
        <v>0</v>
      </c>
    </row>
    <row r="2596" spans="8:8" hidden="1" x14ac:dyDescent="0.35">
      <c r="H2596" s="83">
        <f t="shared" si="87"/>
        <v>0</v>
      </c>
    </row>
    <row r="2597" spans="8:8" hidden="1" x14ac:dyDescent="0.35">
      <c r="H2597" s="83">
        <f t="shared" si="87"/>
        <v>0</v>
      </c>
    </row>
    <row r="2598" spans="8:8" hidden="1" x14ac:dyDescent="0.35">
      <c r="H2598" s="83">
        <f t="shared" si="87"/>
        <v>0</v>
      </c>
    </row>
    <row r="2599" spans="8:8" hidden="1" x14ac:dyDescent="0.35">
      <c r="H2599" s="83">
        <f t="shared" si="87"/>
        <v>0</v>
      </c>
    </row>
    <row r="2600" spans="8:8" hidden="1" x14ac:dyDescent="0.35">
      <c r="H2600" s="83">
        <f t="shared" si="87"/>
        <v>0</v>
      </c>
    </row>
    <row r="2601" spans="8:8" hidden="1" x14ac:dyDescent="0.35">
      <c r="H2601" s="83">
        <f t="shared" si="87"/>
        <v>0</v>
      </c>
    </row>
    <row r="2602" spans="8:8" hidden="1" x14ac:dyDescent="0.35">
      <c r="H2602" s="83">
        <f t="shared" si="87"/>
        <v>0</v>
      </c>
    </row>
    <row r="2603" spans="8:8" hidden="1" x14ac:dyDescent="0.35">
      <c r="H2603" s="83">
        <f t="shared" si="87"/>
        <v>0</v>
      </c>
    </row>
    <row r="2604" spans="8:8" hidden="1" x14ac:dyDescent="0.35">
      <c r="H2604" s="83">
        <f t="shared" si="87"/>
        <v>0</v>
      </c>
    </row>
    <row r="2605" spans="8:8" hidden="1" x14ac:dyDescent="0.35">
      <c r="H2605" s="83">
        <f t="shared" si="87"/>
        <v>0</v>
      </c>
    </row>
    <row r="2606" spans="8:8" hidden="1" x14ac:dyDescent="0.35">
      <c r="H2606" s="83">
        <f t="shared" si="87"/>
        <v>0</v>
      </c>
    </row>
    <row r="2607" spans="8:8" hidden="1" x14ac:dyDescent="0.35">
      <c r="H2607" s="83">
        <f t="shared" si="87"/>
        <v>0</v>
      </c>
    </row>
    <row r="2608" spans="8:8" hidden="1" x14ac:dyDescent="0.35">
      <c r="H2608" s="83">
        <f t="shared" si="87"/>
        <v>0</v>
      </c>
    </row>
    <row r="2609" spans="8:8" hidden="1" x14ac:dyDescent="0.35">
      <c r="H2609" s="83">
        <f t="shared" si="87"/>
        <v>0</v>
      </c>
    </row>
    <row r="2610" spans="8:8" hidden="1" x14ac:dyDescent="0.35">
      <c r="H2610" s="83">
        <f t="shared" si="87"/>
        <v>0</v>
      </c>
    </row>
    <row r="2611" spans="8:8" hidden="1" x14ac:dyDescent="0.35">
      <c r="H2611" s="83">
        <f t="shared" si="87"/>
        <v>0</v>
      </c>
    </row>
    <row r="2612" spans="8:8" hidden="1" x14ac:dyDescent="0.35">
      <c r="H2612" s="83">
        <f t="shared" si="87"/>
        <v>0</v>
      </c>
    </row>
    <row r="2613" spans="8:8" hidden="1" x14ac:dyDescent="0.35">
      <c r="H2613" s="83">
        <f t="shared" si="87"/>
        <v>0</v>
      </c>
    </row>
    <row r="2614" spans="8:8" hidden="1" x14ac:dyDescent="0.35">
      <c r="H2614" s="83">
        <f t="shared" si="87"/>
        <v>0</v>
      </c>
    </row>
    <row r="2615" spans="8:8" hidden="1" x14ac:dyDescent="0.35">
      <c r="H2615" s="83">
        <f t="shared" si="87"/>
        <v>0</v>
      </c>
    </row>
    <row r="2616" spans="8:8" hidden="1" x14ac:dyDescent="0.35">
      <c r="H2616" s="83">
        <f t="shared" si="87"/>
        <v>0</v>
      </c>
    </row>
    <row r="2617" spans="8:8" hidden="1" x14ac:dyDescent="0.35">
      <c r="H2617" s="83">
        <f t="shared" si="87"/>
        <v>0</v>
      </c>
    </row>
    <row r="2618" spans="8:8" hidden="1" x14ac:dyDescent="0.35">
      <c r="H2618" s="83">
        <f t="shared" si="87"/>
        <v>0</v>
      </c>
    </row>
    <row r="2619" spans="8:8" hidden="1" x14ac:dyDescent="0.35">
      <c r="H2619" s="83">
        <f t="shared" si="87"/>
        <v>0</v>
      </c>
    </row>
    <row r="2620" spans="8:8" hidden="1" x14ac:dyDescent="0.35">
      <c r="H2620" s="83">
        <f t="shared" si="87"/>
        <v>0</v>
      </c>
    </row>
    <row r="2621" spans="8:8" hidden="1" x14ac:dyDescent="0.35">
      <c r="H2621" s="83">
        <f t="shared" si="87"/>
        <v>0</v>
      </c>
    </row>
    <row r="2622" spans="8:8" hidden="1" x14ac:dyDescent="0.35">
      <c r="H2622" s="83">
        <f t="shared" si="87"/>
        <v>0</v>
      </c>
    </row>
    <row r="2623" spans="8:8" hidden="1" x14ac:dyDescent="0.35">
      <c r="H2623" s="83">
        <f t="shared" si="87"/>
        <v>0</v>
      </c>
    </row>
    <row r="2624" spans="8:8" hidden="1" x14ac:dyDescent="0.35">
      <c r="H2624" s="83">
        <f t="shared" si="87"/>
        <v>0</v>
      </c>
    </row>
    <row r="2625" spans="8:8" hidden="1" x14ac:dyDescent="0.35">
      <c r="H2625" s="83">
        <f t="shared" si="87"/>
        <v>0</v>
      </c>
    </row>
    <row r="2626" spans="8:8" hidden="1" x14ac:dyDescent="0.35">
      <c r="H2626" s="83">
        <f t="shared" si="87"/>
        <v>0</v>
      </c>
    </row>
    <row r="2627" spans="8:8" hidden="1" x14ac:dyDescent="0.35">
      <c r="H2627" s="83">
        <f t="shared" si="87"/>
        <v>0</v>
      </c>
    </row>
    <row r="2628" spans="8:8" hidden="1" x14ac:dyDescent="0.35">
      <c r="H2628" s="83">
        <f t="shared" ref="H2628:H2691" si="88">J2628-I2628</f>
        <v>0</v>
      </c>
    </row>
    <row r="2629" spans="8:8" hidden="1" x14ac:dyDescent="0.35">
      <c r="H2629" s="83">
        <f t="shared" si="88"/>
        <v>0</v>
      </c>
    </row>
    <row r="2630" spans="8:8" hidden="1" x14ac:dyDescent="0.35">
      <c r="H2630" s="83">
        <f t="shared" si="88"/>
        <v>0</v>
      </c>
    </row>
    <row r="2631" spans="8:8" hidden="1" x14ac:dyDescent="0.35">
      <c r="H2631" s="83">
        <f t="shared" si="88"/>
        <v>0</v>
      </c>
    </row>
    <row r="2632" spans="8:8" hidden="1" x14ac:dyDescent="0.35">
      <c r="H2632" s="83">
        <f t="shared" si="88"/>
        <v>0</v>
      </c>
    </row>
    <row r="2633" spans="8:8" hidden="1" x14ac:dyDescent="0.35">
      <c r="H2633" s="83">
        <f t="shared" si="88"/>
        <v>0</v>
      </c>
    </row>
    <row r="2634" spans="8:8" hidden="1" x14ac:dyDescent="0.35">
      <c r="H2634" s="83">
        <f t="shared" si="88"/>
        <v>0</v>
      </c>
    </row>
    <row r="2635" spans="8:8" hidden="1" x14ac:dyDescent="0.35">
      <c r="H2635" s="83">
        <f t="shared" si="88"/>
        <v>0</v>
      </c>
    </row>
    <row r="2636" spans="8:8" hidden="1" x14ac:dyDescent="0.35">
      <c r="H2636" s="83">
        <f t="shared" si="88"/>
        <v>0</v>
      </c>
    </row>
    <row r="2637" spans="8:8" hidden="1" x14ac:dyDescent="0.35">
      <c r="H2637" s="83">
        <f t="shared" si="88"/>
        <v>0</v>
      </c>
    </row>
    <row r="2638" spans="8:8" hidden="1" x14ac:dyDescent="0.35">
      <c r="H2638" s="83">
        <f t="shared" si="88"/>
        <v>0</v>
      </c>
    </row>
    <row r="2639" spans="8:8" hidden="1" x14ac:dyDescent="0.35">
      <c r="H2639" s="83">
        <f t="shared" si="88"/>
        <v>0</v>
      </c>
    </row>
    <row r="2640" spans="8:8" hidden="1" x14ac:dyDescent="0.35">
      <c r="H2640" s="83">
        <f t="shared" si="88"/>
        <v>0</v>
      </c>
    </row>
    <row r="2641" spans="8:8" hidden="1" x14ac:dyDescent="0.35">
      <c r="H2641" s="83">
        <f t="shared" si="88"/>
        <v>0</v>
      </c>
    </row>
    <row r="2642" spans="8:8" hidden="1" x14ac:dyDescent="0.35">
      <c r="H2642" s="83">
        <f t="shared" si="88"/>
        <v>0</v>
      </c>
    </row>
    <row r="2643" spans="8:8" hidden="1" x14ac:dyDescent="0.35">
      <c r="H2643" s="83">
        <f t="shared" si="88"/>
        <v>0</v>
      </c>
    </row>
    <row r="2644" spans="8:8" hidden="1" x14ac:dyDescent="0.35">
      <c r="H2644" s="83">
        <f t="shared" si="88"/>
        <v>0</v>
      </c>
    </row>
    <row r="2645" spans="8:8" hidden="1" x14ac:dyDescent="0.35">
      <c r="H2645" s="83">
        <f t="shared" si="88"/>
        <v>0</v>
      </c>
    </row>
    <row r="2646" spans="8:8" hidden="1" x14ac:dyDescent="0.35">
      <c r="H2646" s="83">
        <f t="shared" si="88"/>
        <v>0</v>
      </c>
    </row>
    <row r="2647" spans="8:8" hidden="1" x14ac:dyDescent="0.35">
      <c r="H2647" s="83">
        <f t="shared" si="88"/>
        <v>0</v>
      </c>
    </row>
    <row r="2648" spans="8:8" hidden="1" x14ac:dyDescent="0.35">
      <c r="H2648" s="83">
        <f t="shared" si="88"/>
        <v>0</v>
      </c>
    </row>
    <row r="2649" spans="8:8" hidden="1" x14ac:dyDescent="0.35">
      <c r="H2649" s="83">
        <f t="shared" si="88"/>
        <v>0</v>
      </c>
    </row>
    <row r="2650" spans="8:8" hidden="1" x14ac:dyDescent="0.35">
      <c r="H2650" s="83">
        <f t="shared" si="88"/>
        <v>0</v>
      </c>
    </row>
    <row r="2651" spans="8:8" hidden="1" x14ac:dyDescent="0.35">
      <c r="H2651" s="83">
        <f t="shared" si="88"/>
        <v>0</v>
      </c>
    </row>
    <row r="2652" spans="8:8" hidden="1" x14ac:dyDescent="0.35">
      <c r="H2652" s="83">
        <f t="shared" si="88"/>
        <v>0</v>
      </c>
    </row>
    <row r="2653" spans="8:8" hidden="1" x14ac:dyDescent="0.35">
      <c r="H2653" s="83">
        <f t="shared" si="88"/>
        <v>0</v>
      </c>
    </row>
    <row r="2654" spans="8:8" hidden="1" x14ac:dyDescent="0.35">
      <c r="H2654" s="83">
        <f t="shared" si="88"/>
        <v>0</v>
      </c>
    </row>
    <row r="2655" spans="8:8" hidden="1" x14ac:dyDescent="0.35">
      <c r="H2655" s="83">
        <f t="shared" si="88"/>
        <v>0</v>
      </c>
    </row>
    <row r="2656" spans="8:8" hidden="1" x14ac:dyDescent="0.35">
      <c r="H2656" s="83">
        <f t="shared" si="88"/>
        <v>0</v>
      </c>
    </row>
    <row r="2657" spans="8:8" hidden="1" x14ac:dyDescent="0.35">
      <c r="H2657" s="83">
        <f t="shared" si="88"/>
        <v>0</v>
      </c>
    </row>
    <row r="2658" spans="8:8" hidden="1" x14ac:dyDescent="0.35">
      <c r="H2658" s="83">
        <f t="shared" si="88"/>
        <v>0</v>
      </c>
    </row>
    <row r="2659" spans="8:8" hidden="1" x14ac:dyDescent="0.35">
      <c r="H2659" s="83">
        <f t="shared" si="88"/>
        <v>0</v>
      </c>
    </row>
    <row r="2660" spans="8:8" hidden="1" x14ac:dyDescent="0.35">
      <c r="H2660" s="83">
        <f t="shared" si="88"/>
        <v>0</v>
      </c>
    </row>
    <row r="2661" spans="8:8" hidden="1" x14ac:dyDescent="0.35">
      <c r="H2661" s="83">
        <f t="shared" si="88"/>
        <v>0</v>
      </c>
    </row>
    <row r="2662" spans="8:8" hidden="1" x14ac:dyDescent="0.35">
      <c r="H2662" s="83">
        <f t="shared" si="88"/>
        <v>0</v>
      </c>
    </row>
    <row r="2663" spans="8:8" hidden="1" x14ac:dyDescent="0.35">
      <c r="H2663" s="83">
        <f t="shared" si="88"/>
        <v>0</v>
      </c>
    </row>
    <row r="2664" spans="8:8" hidden="1" x14ac:dyDescent="0.35">
      <c r="H2664" s="83">
        <f t="shared" si="88"/>
        <v>0</v>
      </c>
    </row>
    <row r="2665" spans="8:8" hidden="1" x14ac:dyDescent="0.35">
      <c r="H2665" s="83">
        <f t="shared" si="88"/>
        <v>0</v>
      </c>
    </row>
    <row r="2666" spans="8:8" hidden="1" x14ac:dyDescent="0.35">
      <c r="H2666" s="83">
        <f t="shared" si="88"/>
        <v>0</v>
      </c>
    </row>
    <row r="2667" spans="8:8" hidden="1" x14ac:dyDescent="0.35">
      <c r="H2667" s="83">
        <f t="shared" si="88"/>
        <v>0</v>
      </c>
    </row>
    <row r="2668" spans="8:8" hidden="1" x14ac:dyDescent="0.35">
      <c r="H2668" s="83">
        <f t="shared" si="88"/>
        <v>0</v>
      </c>
    </row>
    <row r="2669" spans="8:8" hidden="1" x14ac:dyDescent="0.35">
      <c r="H2669" s="83">
        <f t="shared" si="88"/>
        <v>0</v>
      </c>
    </row>
    <row r="2670" spans="8:8" hidden="1" x14ac:dyDescent="0.35">
      <c r="H2670" s="83">
        <f t="shared" si="88"/>
        <v>0</v>
      </c>
    </row>
    <row r="2671" spans="8:8" hidden="1" x14ac:dyDescent="0.35">
      <c r="H2671" s="83">
        <f t="shared" si="88"/>
        <v>0</v>
      </c>
    </row>
    <row r="2672" spans="8:8" hidden="1" x14ac:dyDescent="0.35">
      <c r="H2672" s="83">
        <f t="shared" si="88"/>
        <v>0</v>
      </c>
    </row>
    <row r="2673" spans="8:8" hidden="1" x14ac:dyDescent="0.35">
      <c r="H2673" s="83">
        <f t="shared" si="88"/>
        <v>0</v>
      </c>
    </row>
    <row r="2674" spans="8:8" hidden="1" x14ac:dyDescent="0.35">
      <c r="H2674" s="83">
        <f t="shared" si="88"/>
        <v>0</v>
      </c>
    </row>
    <row r="2675" spans="8:8" hidden="1" x14ac:dyDescent="0.35">
      <c r="H2675" s="83">
        <f t="shared" si="88"/>
        <v>0</v>
      </c>
    </row>
    <row r="2676" spans="8:8" hidden="1" x14ac:dyDescent="0.35">
      <c r="H2676" s="83">
        <f t="shared" si="88"/>
        <v>0</v>
      </c>
    </row>
    <row r="2677" spans="8:8" hidden="1" x14ac:dyDescent="0.35">
      <c r="H2677" s="83">
        <f t="shared" si="88"/>
        <v>0</v>
      </c>
    </row>
    <row r="2678" spans="8:8" hidden="1" x14ac:dyDescent="0.35">
      <c r="H2678" s="83">
        <f t="shared" si="88"/>
        <v>0</v>
      </c>
    </row>
    <row r="2679" spans="8:8" hidden="1" x14ac:dyDescent="0.35">
      <c r="H2679" s="83">
        <f t="shared" si="88"/>
        <v>0</v>
      </c>
    </row>
    <row r="2680" spans="8:8" hidden="1" x14ac:dyDescent="0.35">
      <c r="H2680" s="83">
        <f t="shared" si="88"/>
        <v>0</v>
      </c>
    </row>
    <row r="2681" spans="8:8" hidden="1" x14ac:dyDescent="0.35">
      <c r="H2681" s="83">
        <f t="shared" si="88"/>
        <v>0</v>
      </c>
    </row>
    <row r="2682" spans="8:8" hidden="1" x14ac:dyDescent="0.35">
      <c r="H2682" s="83">
        <f t="shared" si="88"/>
        <v>0</v>
      </c>
    </row>
    <row r="2683" spans="8:8" hidden="1" x14ac:dyDescent="0.35">
      <c r="H2683" s="83">
        <f t="shared" si="88"/>
        <v>0</v>
      </c>
    </row>
    <row r="2684" spans="8:8" hidden="1" x14ac:dyDescent="0.35">
      <c r="H2684" s="83">
        <f t="shared" si="88"/>
        <v>0</v>
      </c>
    </row>
    <row r="2685" spans="8:8" hidden="1" x14ac:dyDescent="0.35">
      <c r="H2685" s="83">
        <f t="shared" si="88"/>
        <v>0</v>
      </c>
    </row>
    <row r="2686" spans="8:8" hidden="1" x14ac:dyDescent="0.35">
      <c r="H2686" s="83">
        <f t="shared" si="88"/>
        <v>0</v>
      </c>
    </row>
    <row r="2687" spans="8:8" hidden="1" x14ac:dyDescent="0.35">
      <c r="H2687" s="83">
        <f t="shared" si="88"/>
        <v>0</v>
      </c>
    </row>
    <row r="2688" spans="8:8" hidden="1" x14ac:dyDescent="0.35">
      <c r="H2688" s="83">
        <f t="shared" si="88"/>
        <v>0</v>
      </c>
    </row>
    <row r="2689" spans="8:8" hidden="1" x14ac:dyDescent="0.35">
      <c r="H2689" s="83">
        <f t="shared" si="88"/>
        <v>0</v>
      </c>
    </row>
    <row r="2690" spans="8:8" hidden="1" x14ac:dyDescent="0.35">
      <c r="H2690" s="83">
        <f t="shared" si="88"/>
        <v>0</v>
      </c>
    </row>
    <row r="2691" spans="8:8" hidden="1" x14ac:dyDescent="0.35">
      <c r="H2691" s="83">
        <f t="shared" si="88"/>
        <v>0</v>
      </c>
    </row>
    <row r="2692" spans="8:8" hidden="1" x14ac:dyDescent="0.35">
      <c r="H2692" s="83">
        <f t="shared" ref="H2692:H2755" si="89">J2692-I2692</f>
        <v>0</v>
      </c>
    </row>
    <row r="2693" spans="8:8" hidden="1" x14ac:dyDescent="0.35">
      <c r="H2693" s="83">
        <f t="shared" si="89"/>
        <v>0</v>
      </c>
    </row>
    <row r="2694" spans="8:8" hidden="1" x14ac:dyDescent="0.35">
      <c r="H2694" s="83">
        <f t="shared" si="89"/>
        <v>0</v>
      </c>
    </row>
    <row r="2695" spans="8:8" hidden="1" x14ac:dyDescent="0.35">
      <c r="H2695" s="83">
        <f t="shared" si="89"/>
        <v>0</v>
      </c>
    </row>
    <row r="2696" spans="8:8" hidden="1" x14ac:dyDescent="0.35">
      <c r="H2696" s="83">
        <f t="shared" si="89"/>
        <v>0</v>
      </c>
    </row>
    <row r="2697" spans="8:8" hidden="1" x14ac:dyDescent="0.35">
      <c r="H2697" s="83">
        <f t="shared" si="89"/>
        <v>0</v>
      </c>
    </row>
    <row r="2698" spans="8:8" hidden="1" x14ac:dyDescent="0.35">
      <c r="H2698" s="83">
        <f t="shared" si="89"/>
        <v>0</v>
      </c>
    </row>
    <row r="2699" spans="8:8" hidden="1" x14ac:dyDescent="0.35">
      <c r="H2699" s="83">
        <f t="shared" si="89"/>
        <v>0</v>
      </c>
    </row>
    <row r="2700" spans="8:8" hidden="1" x14ac:dyDescent="0.35">
      <c r="H2700" s="83">
        <f t="shared" si="89"/>
        <v>0</v>
      </c>
    </row>
    <row r="2701" spans="8:8" hidden="1" x14ac:dyDescent="0.35">
      <c r="H2701" s="83">
        <f t="shared" si="89"/>
        <v>0</v>
      </c>
    </row>
    <row r="2702" spans="8:8" hidden="1" x14ac:dyDescent="0.35">
      <c r="H2702" s="83">
        <f t="shared" si="89"/>
        <v>0</v>
      </c>
    </row>
    <row r="2703" spans="8:8" hidden="1" x14ac:dyDescent="0.35">
      <c r="H2703" s="83">
        <f t="shared" si="89"/>
        <v>0</v>
      </c>
    </row>
    <row r="2704" spans="8:8" hidden="1" x14ac:dyDescent="0.35">
      <c r="H2704" s="83">
        <f t="shared" si="89"/>
        <v>0</v>
      </c>
    </row>
    <row r="2705" spans="8:8" hidden="1" x14ac:dyDescent="0.35">
      <c r="H2705" s="83">
        <f t="shared" si="89"/>
        <v>0</v>
      </c>
    </row>
    <row r="2706" spans="8:8" hidden="1" x14ac:dyDescent="0.35">
      <c r="H2706" s="83">
        <f t="shared" si="89"/>
        <v>0</v>
      </c>
    </row>
    <row r="2707" spans="8:8" hidden="1" x14ac:dyDescent="0.35">
      <c r="H2707" s="83">
        <f t="shared" si="89"/>
        <v>0</v>
      </c>
    </row>
    <row r="2708" spans="8:8" hidden="1" x14ac:dyDescent="0.35">
      <c r="H2708" s="83">
        <f t="shared" si="89"/>
        <v>0</v>
      </c>
    </row>
    <row r="2709" spans="8:8" hidden="1" x14ac:dyDescent="0.35">
      <c r="H2709" s="83">
        <f t="shared" si="89"/>
        <v>0</v>
      </c>
    </row>
    <row r="2710" spans="8:8" hidden="1" x14ac:dyDescent="0.35">
      <c r="H2710" s="83">
        <f t="shared" si="89"/>
        <v>0</v>
      </c>
    </row>
    <row r="2711" spans="8:8" hidden="1" x14ac:dyDescent="0.35">
      <c r="H2711" s="83">
        <f t="shared" si="89"/>
        <v>0</v>
      </c>
    </row>
    <row r="2712" spans="8:8" hidden="1" x14ac:dyDescent="0.35">
      <c r="H2712" s="83">
        <f t="shared" si="89"/>
        <v>0</v>
      </c>
    </row>
    <row r="2713" spans="8:8" hidden="1" x14ac:dyDescent="0.35">
      <c r="H2713" s="83">
        <f t="shared" si="89"/>
        <v>0</v>
      </c>
    </row>
    <row r="2714" spans="8:8" hidden="1" x14ac:dyDescent="0.35">
      <c r="H2714" s="83">
        <f t="shared" si="89"/>
        <v>0</v>
      </c>
    </row>
    <row r="2715" spans="8:8" hidden="1" x14ac:dyDescent="0.35">
      <c r="H2715" s="83">
        <f t="shared" si="89"/>
        <v>0</v>
      </c>
    </row>
    <row r="2716" spans="8:8" hidden="1" x14ac:dyDescent="0.35">
      <c r="H2716" s="83">
        <f t="shared" si="89"/>
        <v>0</v>
      </c>
    </row>
    <row r="2717" spans="8:8" hidden="1" x14ac:dyDescent="0.35">
      <c r="H2717" s="83">
        <f t="shared" si="89"/>
        <v>0</v>
      </c>
    </row>
    <row r="2718" spans="8:8" hidden="1" x14ac:dyDescent="0.35">
      <c r="H2718" s="83">
        <f t="shared" si="89"/>
        <v>0</v>
      </c>
    </row>
    <row r="2719" spans="8:8" hidden="1" x14ac:dyDescent="0.35">
      <c r="H2719" s="83">
        <f t="shared" si="89"/>
        <v>0</v>
      </c>
    </row>
    <row r="2720" spans="8:8" hidden="1" x14ac:dyDescent="0.35">
      <c r="H2720" s="83">
        <f t="shared" si="89"/>
        <v>0</v>
      </c>
    </row>
    <row r="2721" spans="8:8" hidden="1" x14ac:dyDescent="0.35">
      <c r="H2721" s="83">
        <f t="shared" si="89"/>
        <v>0</v>
      </c>
    </row>
    <row r="2722" spans="8:8" hidden="1" x14ac:dyDescent="0.35">
      <c r="H2722" s="83">
        <f t="shared" si="89"/>
        <v>0</v>
      </c>
    </row>
    <row r="2723" spans="8:8" hidden="1" x14ac:dyDescent="0.35">
      <c r="H2723" s="83">
        <f t="shared" si="89"/>
        <v>0</v>
      </c>
    </row>
    <row r="2724" spans="8:8" hidden="1" x14ac:dyDescent="0.35">
      <c r="H2724" s="83">
        <f t="shared" si="89"/>
        <v>0</v>
      </c>
    </row>
    <row r="2725" spans="8:8" hidden="1" x14ac:dyDescent="0.35">
      <c r="H2725" s="83">
        <f t="shared" si="89"/>
        <v>0</v>
      </c>
    </row>
    <row r="2726" spans="8:8" hidden="1" x14ac:dyDescent="0.35">
      <c r="H2726" s="83">
        <f t="shared" si="89"/>
        <v>0</v>
      </c>
    </row>
    <row r="2727" spans="8:8" hidden="1" x14ac:dyDescent="0.35">
      <c r="H2727" s="83">
        <f t="shared" si="89"/>
        <v>0</v>
      </c>
    </row>
    <row r="2728" spans="8:8" hidden="1" x14ac:dyDescent="0.35">
      <c r="H2728" s="83">
        <f t="shared" si="89"/>
        <v>0</v>
      </c>
    </row>
    <row r="2729" spans="8:8" hidden="1" x14ac:dyDescent="0.35">
      <c r="H2729" s="83">
        <f t="shared" si="89"/>
        <v>0</v>
      </c>
    </row>
    <row r="2730" spans="8:8" hidden="1" x14ac:dyDescent="0.35">
      <c r="H2730" s="83">
        <f t="shared" si="89"/>
        <v>0</v>
      </c>
    </row>
    <row r="2731" spans="8:8" hidden="1" x14ac:dyDescent="0.35">
      <c r="H2731" s="83">
        <f t="shared" si="89"/>
        <v>0</v>
      </c>
    </row>
    <row r="2732" spans="8:8" hidden="1" x14ac:dyDescent="0.35">
      <c r="H2732" s="83">
        <f t="shared" si="89"/>
        <v>0</v>
      </c>
    </row>
    <row r="2733" spans="8:8" hidden="1" x14ac:dyDescent="0.35">
      <c r="H2733" s="83">
        <f t="shared" si="89"/>
        <v>0</v>
      </c>
    </row>
    <row r="2734" spans="8:8" hidden="1" x14ac:dyDescent="0.35">
      <c r="H2734" s="83">
        <f t="shared" si="89"/>
        <v>0</v>
      </c>
    </row>
    <row r="2735" spans="8:8" hidden="1" x14ac:dyDescent="0.35">
      <c r="H2735" s="83">
        <f t="shared" si="89"/>
        <v>0</v>
      </c>
    </row>
    <row r="2736" spans="8:8" hidden="1" x14ac:dyDescent="0.35">
      <c r="H2736" s="83">
        <f t="shared" si="89"/>
        <v>0</v>
      </c>
    </row>
    <row r="2737" spans="8:8" hidden="1" x14ac:dyDescent="0.35">
      <c r="H2737" s="83">
        <f t="shared" si="89"/>
        <v>0</v>
      </c>
    </row>
    <row r="2738" spans="8:8" hidden="1" x14ac:dyDescent="0.35">
      <c r="H2738" s="83">
        <f t="shared" si="89"/>
        <v>0</v>
      </c>
    </row>
    <row r="2739" spans="8:8" hidden="1" x14ac:dyDescent="0.35">
      <c r="H2739" s="83">
        <f t="shared" si="89"/>
        <v>0</v>
      </c>
    </row>
    <row r="2740" spans="8:8" hidden="1" x14ac:dyDescent="0.35">
      <c r="H2740" s="83">
        <f t="shared" si="89"/>
        <v>0</v>
      </c>
    </row>
    <row r="2741" spans="8:8" hidden="1" x14ac:dyDescent="0.35">
      <c r="H2741" s="83">
        <f t="shared" si="89"/>
        <v>0</v>
      </c>
    </row>
    <row r="2742" spans="8:8" hidden="1" x14ac:dyDescent="0.35">
      <c r="H2742" s="83">
        <f t="shared" si="89"/>
        <v>0</v>
      </c>
    </row>
    <row r="2743" spans="8:8" hidden="1" x14ac:dyDescent="0.35">
      <c r="H2743" s="83">
        <f t="shared" si="89"/>
        <v>0</v>
      </c>
    </row>
    <row r="2744" spans="8:8" hidden="1" x14ac:dyDescent="0.35">
      <c r="H2744" s="83">
        <f t="shared" si="89"/>
        <v>0</v>
      </c>
    </row>
    <row r="2745" spans="8:8" hidden="1" x14ac:dyDescent="0.35">
      <c r="H2745" s="83">
        <f t="shared" si="89"/>
        <v>0</v>
      </c>
    </row>
    <row r="2746" spans="8:8" hidden="1" x14ac:dyDescent="0.35">
      <c r="H2746" s="83">
        <f t="shared" si="89"/>
        <v>0</v>
      </c>
    </row>
    <row r="2747" spans="8:8" hidden="1" x14ac:dyDescent="0.35">
      <c r="H2747" s="83">
        <f t="shared" si="89"/>
        <v>0</v>
      </c>
    </row>
    <row r="2748" spans="8:8" hidden="1" x14ac:dyDescent="0.35">
      <c r="H2748" s="83">
        <f t="shared" si="89"/>
        <v>0</v>
      </c>
    </row>
    <row r="2749" spans="8:8" hidden="1" x14ac:dyDescent="0.35">
      <c r="H2749" s="83">
        <f t="shared" si="89"/>
        <v>0</v>
      </c>
    </row>
    <row r="2750" spans="8:8" hidden="1" x14ac:dyDescent="0.35">
      <c r="H2750" s="83">
        <f t="shared" si="89"/>
        <v>0</v>
      </c>
    </row>
    <row r="2751" spans="8:8" hidden="1" x14ac:dyDescent="0.35">
      <c r="H2751" s="83">
        <f t="shared" si="89"/>
        <v>0</v>
      </c>
    </row>
    <row r="2752" spans="8:8" hidden="1" x14ac:dyDescent="0.35">
      <c r="H2752" s="83">
        <f t="shared" si="89"/>
        <v>0</v>
      </c>
    </row>
    <row r="2753" spans="8:8" hidden="1" x14ac:dyDescent="0.35">
      <c r="H2753" s="83">
        <f t="shared" si="89"/>
        <v>0</v>
      </c>
    </row>
    <row r="2754" spans="8:8" hidden="1" x14ac:dyDescent="0.35">
      <c r="H2754" s="83">
        <f t="shared" si="89"/>
        <v>0</v>
      </c>
    </row>
    <row r="2755" spans="8:8" hidden="1" x14ac:dyDescent="0.35">
      <c r="H2755" s="83">
        <f t="shared" si="89"/>
        <v>0</v>
      </c>
    </row>
    <row r="2756" spans="8:8" hidden="1" x14ac:dyDescent="0.35">
      <c r="H2756" s="83">
        <f t="shared" ref="H2756:H2819" si="90">J2756-I2756</f>
        <v>0</v>
      </c>
    </row>
    <row r="2757" spans="8:8" hidden="1" x14ac:dyDescent="0.35">
      <c r="H2757" s="83">
        <f t="shared" si="90"/>
        <v>0</v>
      </c>
    </row>
    <row r="2758" spans="8:8" hidden="1" x14ac:dyDescent="0.35">
      <c r="H2758" s="83">
        <f t="shared" si="90"/>
        <v>0</v>
      </c>
    </row>
    <row r="2759" spans="8:8" hidden="1" x14ac:dyDescent="0.35">
      <c r="H2759" s="83">
        <f t="shared" si="90"/>
        <v>0</v>
      </c>
    </row>
    <row r="2760" spans="8:8" hidden="1" x14ac:dyDescent="0.35">
      <c r="H2760" s="83">
        <f t="shared" si="90"/>
        <v>0</v>
      </c>
    </row>
    <row r="2761" spans="8:8" hidden="1" x14ac:dyDescent="0.35">
      <c r="H2761" s="83">
        <f t="shared" si="90"/>
        <v>0</v>
      </c>
    </row>
    <row r="2762" spans="8:8" hidden="1" x14ac:dyDescent="0.35">
      <c r="H2762" s="83">
        <f t="shared" si="90"/>
        <v>0</v>
      </c>
    </row>
    <row r="2763" spans="8:8" hidden="1" x14ac:dyDescent="0.35">
      <c r="H2763" s="83">
        <f t="shared" si="90"/>
        <v>0</v>
      </c>
    </row>
    <row r="2764" spans="8:8" hidden="1" x14ac:dyDescent="0.35">
      <c r="H2764" s="83">
        <f t="shared" si="90"/>
        <v>0</v>
      </c>
    </row>
    <row r="2765" spans="8:8" hidden="1" x14ac:dyDescent="0.35">
      <c r="H2765" s="83">
        <f t="shared" si="90"/>
        <v>0</v>
      </c>
    </row>
    <row r="2766" spans="8:8" hidden="1" x14ac:dyDescent="0.35">
      <c r="H2766" s="83">
        <f t="shared" si="90"/>
        <v>0</v>
      </c>
    </row>
    <row r="2767" spans="8:8" hidden="1" x14ac:dyDescent="0.35">
      <c r="H2767" s="83">
        <f t="shared" si="90"/>
        <v>0</v>
      </c>
    </row>
    <row r="2768" spans="8:8" hidden="1" x14ac:dyDescent="0.35">
      <c r="H2768" s="83">
        <f t="shared" si="90"/>
        <v>0</v>
      </c>
    </row>
    <row r="2769" spans="8:8" hidden="1" x14ac:dyDescent="0.35">
      <c r="H2769" s="83">
        <f t="shared" si="90"/>
        <v>0</v>
      </c>
    </row>
    <row r="2770" spans="8:8" hidden="1" x14ac:dyDescent="0.35">
      <c r="H2770" s="83">
        <f t="shared" si="90"/>
        <v>0</v>
      </c>
    </row>
    <row r="2771" spans="8:8" hidden="1" x14ac:dyDescent="0.35">
      <c r="H2771" s="83">
        <f t="shared" si="90"/>
        <v>0</v>
      </c>
    </row>
    <row r="2772" spans="8:8" hidden="1" x14ac:dyDescent="0.35">
      <c r="H2772" s="83">
        <f t="shared" si="90"/>
        <v>0</v>
      </c>
    </row>
    <row r="2773" spans="8:8" hidden="1" x14ac:dyDescent="0.35">
      <c r="H2773" s="83">
        <f t="shared" si="90"/>
        <v>0</v>
      </c>
    </row>
    <row r="2774" spans="8:8" hidden="1" x14ac:dyDescent="0.35">
      <c r="H2774" s="83">
        <f t="shared" si="90"/>
        <v>0</v>
      </c>
    </row>
    <row r="2775" spans="8:8" hidden="1" x14ac:dyDescent="0.35">
      <c r="H2775" s="83">
        <f t="shared" si="90"/>
        <v>0</v>
      </c>
    </row>
    <row r="2776" spans="8:8" hidden="1" x14ac:dyDescent="0.35">
      <c r="H2776" s="83">
        <f t="shared" si="90"/>
        <v>0</v>
      </c>
    </row>
    <row r="2777" spans="8:8" hidden="1" x14ac:dyDescent="0.35">
      <c r="H2777" s="83">
        <f t="shared" si="90"/>
        <v>0</v>
      </c>
    </row>
    <row r="2778" spans="8:8" hidden="1" x14ac:dyDescent="0.35">
      <c r="H2778" s="83">
        <f t="shared" si="90"/>
        <v>0</v>
      </c>
    </row>
    <row r="2779" spans="8:8" hidden="1" x14ac:dyDescent="0.35">
      <c r="H2779" s="83">
        <f t="shared" si="90"/>
        <v>0</v>
      </c>
    </row>
    <row r="2780" spans="8:8" hidden="1" x14ac:dyDescent="0.35">
      <c r="H2780" s="83">
        <f t="shared" si="90"/>
        <v>0</v>
      </c>
    </row>
    <row r="2781" spans="8:8" hidden="1" x14ac:dyDescent="0.35">
      <c r="H2781" s="83">
        <f t="shared" si="90"/>
        <v>0</v>
      </c>
    </row>
    <row r="2782" spans="8:8" hidden="1" x14ac:dyDescent="0.35">
      <c r="H2782" s="83">
        <f t="shared" si="90"/>
        <v>0</v>
      </c>
    </row>
    <row r="2783" spans="8:8" hidden="1" x14ac:dyDescent="0.35">
      <c r="H2783" s="83">
        <f t="shared" si="90"/>
        <v>0</v>
      </c>
    </row>
    <row r="2784" spans="8:8" hidden="1" x14ac:dyDescent="0.35">
      <c r="H2784" s="83">
        <f t="shared" si="90"/>
        <v>0</v>
      </c>
    </row>
    <row r="2785" spans="8:8" hidden="1" x14ac:dyDescent="0.35">
      <c r="H2785" s="83">
        <f t="shared" si="90"/>
        <v>0</v>
      </c>
    </row>
    <row r="2786" spans="8:8" hidden="1" x14ac:dyDescent="0.35">
      <c r="H2786" s="83">
        <f t="shared" si="90"/>
        <v>0</v>
      </c>
    </row>
    <row r="2787" spans="8:8" hidden="1" x14ac:dyDescent="0.35">
      <c r="H2787" s="83">
        <f t="shared" si="90"/>
        <v>0</v>
      </c>
    </row>
    <row r="2788" spans="8:8" hidden="1" x14ac:dyDescent="0.35">
      <c r="H2788" s="83">
        <f t="shared" si="90"/>
        <v>0</v>
      </c>
    </row>
    <row r="2789" spans="8:8" hidden="1" x14ac:dyDescent="0.35">
      <c r="H2789" s="83">
        <f t="shared" si="90"/>
        <v>0</v>
      </c>
    </row>
    <row r="2790" spans="8:8" hidden="1" x14ac:dyDescent="0.35">
      <c r="H2790" s="83">
        <f t="shared" si="90"/>
        <v>0</v>
      </c>
    </row>
    <row r="2791" spans="8:8" hidden="1" x14ac:dyDescent="0.35">
      <c r="H2791" s="83">
        <f t="shared" si="90"/>
        <v>0</v>
      </c>
    </row>
    <row r="2792" spans="8:8" hidden="1" x14ac:dyDescent="0.35">
      <c r="H2792" s="83">
        <f t="shared" si="90"/>
        <v>0</v>
      </c>
    </row>
    <row r="2793" spans="8:8" hidden="1" x14ac:dyDescent="0.35">
      <c r="H2793" s="83">
        <f t="shared" si="90"/>
        <v>0</v>
      </c>
    </row>
    <row r="2794" spans="8:8" hidden="1" x14ac:dyDescent="0.35">
      <c r="H2794" s="83">
        <f t="shared" si="90"/>
        <v>0</v>
      </c>
    </row>
    <row r="2795" spans="8:8" hidden="1" x14ac:dyDescent="0.35">
      <c r="H2795" s="83">
        <f t="shared" si="90"/>
        <v>0</v>
      </c>
    </row>
    <row r="2796" spans="8:8" hidden="1" x14ac:dyDescent="0.35">
      <c r="H2796" s="83">
        <f t="shared" si="90"/>
        <v>0</v>
      </c>
    </row>
    <row r="2797" spans="8:8" hidden="1" x14ac:dyDescent="0.35">
      <c r="H2797" s="83">
        <f t="shared" si="90"/>
        <v>0</v>
      </c>
    </row>
    <row r="2798" spans="8:8" hidden="1" x14ac:dyDescent="0.35">
      <c r="H2798" s="83">
        <f t="shared" si="90"/>
        <v>0</v>
      </c>
    </row>
    <row r="2799" spans="8:8" hidden="1" x14ac:dyDescent="0.35">
      <c r="H2799" s="83">
        <f t="shared" si="90"/>
        <v>0</v>
      </c>
    </row>
    <row r="2800" spans="8:8" hidden="1" x14ac:dyDescent="0.35">
      <c r="H2800" s="83">
        <f t="shared" si="90"/>
        <v>0</v>
      </c>
    </row>
    <row r="2801" spans="8:8" hidden="1" x14ac:dyDescent="0.35">
      <c r="H2801" s="83">
        <f t="shared" si="90"/>
        <v>0</v>
      </c>
    </row>
    <row r="2802" spans="8:8" hidden="1" x14ac:dyDescent="0.35">
      <c r="H2802" s="83">
        <f t="shared" si="90"/>
        <v>0</v>
      </c>
    </row>
    <row r="2803" spans="8:8" hidden="1" x14ac:dyDescent="0.35">
      <c r="H2803" s="83">
        <f t="shared" si="90"/>
        <v>0</v>
      </c>
    </row>
    <row r="2804" spans="8:8" hidden="1" x14ac:dyDescent="0.35">
      <c r="H2804" s="83">
        <f t="shared" si="90"/>
        <v>0</v>
      </c>
    </row>
    <row r="2805" spans="8:8" hidden="1" x14ac:dyDescent="0.35">
      <c r="H2805" s="83">
        <f t="shared" si="90"/>
        <v>0</v>
      </c>
    </row>
    <row r="2806" spans="8:8" hidden="1" x14ac:dyDescent="0.35">
      <c r="H2806" s="83">
        <f t="shared" si="90"/>
        <v>0</v>
      </c>
    </row>
    <row r="2807" spans="8:8" hidden="1" x14ac:dyDescent="0.35">
      <c r="H2807" s="83">
        <f t="shared" si="90"/>
        <v>0</v>
      </c>
    </row>
    <row r="2808" spans="8:8" hidden="1" x14ac:dyDescent="0.35">
      <c r="H2808" s="83">
        <f t="shared" si="90"/>
        <v>0</v>
      </c>
    </row>
    <row r="2809" spans="8:8" hidden="1" x14ac:dyDescent="0.35">
      <c r="H2809" s="83">
        <f t="shared" si="90"/>
        <v>0</v>
      </c>
    </row>
    <row r="2810" spans="8:8" hidden="1" x14ac:dyDescent="0.35">
      <c r="H2810" s="83">
        <f t="shared" si="90"/>
        <v>0</v>
      </c>
    </row>
    <row r="2811" spans="8:8" hidden="1" x14ac:dyDescent="0.35">
      <c r="H2811" s="83">
        <f t="shared" si="90"/>
        <v>0</v>
      </c>
    </row>
    <row r="2812" spans="8:8" hidden="1" x14ac:dyDescent="0.35">
      <c r="H2812" s="83">
        <f t="shared" si="90"/>
        <v>0</v>
      </c>
    </row>
    <row r="2813" spans="8:8" hidden="1" x14ac:dyDescent="0.35">
      <c r="H2813" s="83">
        <f t="shared" si="90"/>
        <v>0</v>
      </c>
    </row>
    <row r="2814" spans="8:8" hidden="1" x14ac:dyDescent="0.35">
      <c r="H2814" s="83">
        <f t="shared" si="90"/>
        <v>0</v>
      </c>
    </row>
    <row r="2815" spans="8:8" hidden="1" x14ac:dyDescent="0.35">
      <c r="H2815" s="83">
        <f t="shared" si="90"/>
        <v>0</v>
      </c>
    </row>
    <row r="2816" spans="8:8" hidden="1" x14ac:dyDescent="0.35">
      <c r="H2816" s="83">
        <f t="shared" si="90"/>
        <v>0</v>
      </c>
    </row>
    <row r="2817" spans="8:8" hidden="1" x14ac:dyDescent="0.35">
      <c r="H2817" s="83">
        <f t="shared" si="90"/>
        <v>0</v>
      </c>
    </row>
    <row r="2818" spans="8:8" hidden="1" x14ac:dyDescent="0.35">
      <c r="H2818" s="83">
        <f t="shared" si="90"/>
        <v>0</v>
      </c>
    </row>
    <row r="2819" spans="8:8" hidden="1" x14ac:dyDescent="0.35">
      <c r="H2819" s="83">
        <f t="shared" si="90"/>
        <v>0</v>
      </c>
    </row>
    <row r="2820" spans="8:8" hidden="1" x14ac:dyDescent="0.35">
      <c r="H2820" s="83">
        <f t="shared" ref="H2820:H2883" si="91">J2820-I2820</f>
        <v>0</v>
      </c>
    </row>
    <row r="2821" spans="8:8" hidden="1" x14ac:dyDescent="0.35">
      <c r="H2821" s="83">
        <f t="shared" si="91"/>
        <v>0</v>
      </c>
    </row>
    <row r="2822" spans="8:8" hidden="1" x14ac:dyDescent="0.35">
      <c r="H2822" s="83">
        <f t="shared" si="91"/>
        <v>0</v>
      </c>
    </row>
    <row r="2823" spans="8:8" hidden="1" x14ac:dyDescent="0.35">
      <c r="H2823" s="83">
        <f t="shared" si="91"/>
        <v>0</v>
      </c>
    </row>
    <row r="2824" spans="8:8" hidden="1" x14ac:dyDescent="0.35">
      <c r="H2824" s="83">
        <f t="shared" si="91"/>
        <v>0</v>
      </c>
    </row>
    <row r="2825" spans="8:8" hidden="1" x14ac:dyDescent="0.35">
      <c r="H2825" s="83">
        <f t="shared" si="91"/>
        <v>0</v>
      </c>
    </row>
    <row r="2826" spans="8:8" hidden="1" x14ac:dyDescent="0.35">
      <c r="H2826" s="83">
        <f t="shared" si="91"/>
        <v>0</v>
      </c>
    </row>
    <row r="2827" spans="8:8" hidden="1" x14ac:dyDescent="0.35">
      <c r="H2827" s="83">
        <f t="shared" si="91"/>
        <v>0</v>
      </c>
    </row>
    <row r="2828" spans="8:8" hidden="1" x14ac:dyDescent="0.35">
      <c r="H2828" s="83">
        <f t="shared" si="91"/>
        <v>0</v>
      </c>
    </row>
    <row r="2829" spans="8:8" hidden="1" x14ac:dyDescent="0.35">
      <c r="H2829" s="83">
        <f t="shared" si="91"/>
        <v>0</v>
      </c>
    </row>
    <row r="2830" spans="8:8" hidden="1" x14ac:dyDescent="0.35">
      <c r="H2830" s="83">
        <f t="shared" si="91"/>
        <v>0</v>
      </c>
    </row>
    <row r="2831" spans="8:8" hidden="1" x14ac:dyDescent="0.35">
      <c r="H2831" s="83">
        <f t="shared" si="91"/>
        <v>0</v>
      </c>
    </row>
    <row r="2832" spans="8:8" hidden="1" x14ac:dyDescent="0.35">
      <c r="H2832" s="83">
        <f t="shared" si="91"/>
        <v>0</v>
      </c>
    </row>
    <row r="2833" spans="8:8" hidden="1" x14ac:dyDescent="0.35">
      <c r="H2833" s="83">
        <f t="shared" si="91"/>
        <v>0</v>
      </c>
    </row>
    <row r="2834" spans="8:8" hidden="1" x14ac:dyDescent="0.35">
      <c r="H2834" s="83">
        <f t="shared" si="91"/>
        <v>0</v>
      </c>
    </row>
    <row r="2835" spans="8:8" hidden="1" x14ac:dyDescent="0.35">
      <c r="H2835" s="83">
        <f t="shared" si="91"/>
        <v>0</v>
      </c>
    </row>
    <row r="2836" spans="8:8" hidden="1" x14ac:dyDescent="0.35">
      <c r="H2836" s="83">
        <f t="shared" si="91"/>
        <v>0</v>
      </c>
    </row>
    <row r="2837" spans="8:8" hidden="1" x14ac:dyDescent="0.35">
      <c r="H2837" s="83">
        <f t="shared" si="91"/>
        <v>0</v>
      </c>
    </row>
    <row r="2838" spans="8:8" hidden="1" x14ac:dyDescent="0.35">
      <c r="H2838" s="83">
        <f t="shared" si="91"/>
        <v>0</v>
      </c>
    </row>
    <row r="2839" spans="8:8" hidden="1" x14ac:dyDescent="0.35">
      <c r="H2839" s="83">
        <f t="shared" si="91"/>
        <v>0</v>
      </c>
    </row>
    <row r="2840" spans="8:8" hidden="1" x14ac:dyDescent="0.35">
      <c r="H2840" s="83">
        <f t="shared" si="91"/>
        <v>0</v>
      </c>
    </row>
    <row r="2841" spans="8:8" hidden="1" x14ac:dyDescent="0.35">
      <c r="H2841" s="83">
        <f t="shared" si="91"/>
        <v>0</v>
      </c>
    </row>
    <row r="2842" spans="8:8" hidden="1" x14ac:dyDescent="0.35">
      <c r="H2842" s="83">
        <f t="shared" si="91"/>
        <v>0</v>
      </c>
    </row>
    <row r="2843" spans="8:8" hidden="1" x14ac:dyDescent="0.35">
      <c r="H2843" s="83">
        <f t="shared" si="91"/>
        <v>0</v>
      </c>
    </row>
    <row r="2844" spans="8:8" hidden="1" x14ac:dyDescent="0.35">
      <c r="H2844" s="83">
        <f t="shared" si="91"/>
        <v>0</v>
      </c>
    </row>
    <row r="2845" spans="8:8" hidden="1" x14ac:dyDescent="0.35">
      <c r="H2845" s="83">
        <f t="shared" si="91"/>
        <v>0</v>
      </c>
    </row>
    <row r="2846" spans="8:8" hidden="1" x14ac:dyDescent="0.35">
      <c r="H2846" s="83">
        <f t="shared" si="91"/>
        <v>0</v>
      </c>
    </row>
    <row r="2847" spans="8:8" hidden="1" x14ac:dyDescent="0.35">
      <c r="H2847" s="83">
        <f t="shared" si="91"/>
        <v>0</v>
      </c>
    </row>
    <row r="2848" spans="8:8" hidden="1" x14ac:dyDescent="0.35">
      <c r="H2848" s="83">
        <f t="shared" si="91"/>
        <v>0</v>
      </c>
    </row>
    <row r="2849" spans="8:8" hidden="1" x14ac:dyDescent="0.35">
      <c r="H2849" s="83">
        <f t="shared" si="91"/>
        <v>0</v>
      </c>
    </row>
    <row r="2850" spans="8:8" hidden="1" x14ac:dyDescent="0.35">
      <c r="H2850" s="83">
        <f t="shared" si="91"/>
        <v>0</v>
      </c>
    </row>
    <row r="2851" spans="8:8" hidden="1" x14ac:dyDescent="0.35">
      <c r="H2851" s="83">
        <f t="shared" si="91"/>
        <v>0</v>
      </c>
    </row>
    <row r="2852" spans="8:8" hidden="1" x14ac:dyDescent="0.35">
      <c r="H2852" s="83">
        <f t="shared" si="91"/>
        <v>0</v>
      </c>
    </row>
    <row r="2853" spans="8:8" hidden="1" x14ac:dyDescent="0.35">
      <c r="H2853" s="83">
        <f t="shared" si="91"/>
        <v>0</v>
      </c>
    </row>
    <row r="2854" spans="8:8" hidden="1" x14ac:dyDescent="0.35">
      <c r="H2854" s="83">
        <f t="shared" si="91"/>
        <v>0</v>
      </c>
    </row>
    <row r="2855" spans="8:8" hidden="1" x14ac:dyDescent="0.35">
      <c r="H2855" s="83">
        <f t="shared" si="91"/>
        <v>0</v>
      </c>
    </row>
    <row r="2856" spans="8:8" hidden="1" x14ac:dyDescent="0.35">
      <c r="H2856" s="83">
        <f t="shared" si="91"/>
        <v>0</v>
      </c>
    </row>
    <row r="2857" spans="8:8" hidden="1" x14ac:dyDescent="0.35">
      <c r="H2857" s="83">
        <f t="shared" si="91"/>
        <v>0</v>
      </c>
    </row>
    <row r="2858" spans="8:8" hidden="1" x14ac:dyDescent="0.35">
      <c r="H2858" s="83">
        <f t="shared" si="91"/>
        <v>0</v>
      </c>
    </row>
    <row r="2859" spans="8:8" hidden="1" x14ac:dyDescent="0.35">
      <c r="H2859" s="83">
        <f t="shared" si="91"/>
        <v>0</v>
      </c>
    </row>
    <row r="2860" spans="8:8" hidden="1" x14ac:dyDescent="0.35">
      <c r="H2860" s="83">
        <f t="shared" si="91"/>
        <v>0</v>
      </c>
    </row>
    <row r="2861" spans="8:8" hidden="1" x14ac:dyDescent="0.35">
      <c r="H2861" s="83">
        <f t="shared" si="91"/>
        <v>0</v>
      </c>
    </row>
    <row r="2862" spans="8:8" hidden="1" x14ac:dyDescent="0.35">
      <c r="H2862" s="83">
        <f t="shared" si="91"/>
        <v>0</v>
      </c>
    </row>
    <row r="2863" spans="8:8" hidden="1" x14ac:dyDescent="0.35">
      <c r="H2863" s="83">
        <f t="shared" si="91"/>
        <v>0</v>
      </c>
    </row>
    <row r="2864" spans="8:8" hidden="1" x14ac:dyDescent="0.35">
      <c r="H2864" s="83">
        <f t="shared" si="91"/>
        <v>0</v>
      </c>
    </row>
    <row r="2865" spans="8:8" hidden="1" x14ac:dyDescent="0.35">
      <c r="H2865" s="83">
        <f t="shared" si="91"/>
        <v>0</v>
      </c>
    </row>
    <row r="2866" spans="8:8" hidden="1" x14ac:dyDescent="0.35">
      <c r="H2866" s="83">
        <f t="shared" si="91"/>
        <v>0</v>
      </c>
    </row>
    <row r="2867" spans="8:8" hidden="1" x14ac:dyDescent="0.35">
      <c r="H2867" s="83">
        <f t="shared" si="91"/>
        <v>0</v>
      </c>
    </row>
    <row r="2868" spans="8:8" hidden="1" x14ac:dyDescent="0.35">
      <c r="H2868" s="83">
        <f t="shared" si="91"/>
        <v>0</v>
      </c>
    </row>
    <row r="2869" spans="8:8" hidden="1" x14ac:dyDescent="0.35">
      <c r="H2869" s="83">
        <f t="shared" si="91"/>
        <v>0</v>
      </c>
    </row>
    <row r="2870" spans="8:8" hidden="1" x14ac:dyDescent="0.35">
      <c r="H2870" s="83">
        <f t="shared" si="91"/>
        <v>0</v>
      </c>
    </row>
    <row r="2871" spans="8:8" hidden="1" x14ac:dyDescent="0.35">
      <c r="H2871" s="83">
        <f t="shared" si="91"/>
        <v>0</v>
      </c>
    </row>
    <row r="2872" spans="8:8" hidden="1" x14ac:dyDescent="0.35">
      <c r="H2872" s="83">
        <f t="shared" si="91"/>
        <v>0</v>
      </c>
    </row>
    <row r="2873" spans="8:8" hidden="1" x14ac:dyDescent="0.35">
      <c r="H2873" s="83">
        <f t="shared" si="91"/>
        <v>0</v>
      </c>
    </row>
    <row r="2874" spans="8:8" hidden="1" x14ac:dyDescent="0.35">
      <c r="H2874" s="83">
        <f t="shared" si="91"/>
        <v>0</v>
      </c>
    </row>
    <row r="2875" spans="8:8" hidden="1" x14ac:dyDescent="0.35">
      <c r="H2875" s="83">
        <f t="shared" si="91"/>
        <v>0</v>
      </c>
    </row>
    <row r="2876" spans="8:8" hidden="1" x14ac:dyDescent="0.35">
      <c r="H2876" s="83">
        <f t="shared" si="91"/>
        <v>0</v>
      </c>
    </row>
    <row r="2877" spans="8:8" hidden="1" x14ac:dyDescent="0.35">
      <c r="H2877" s="83">
        <f t="shared" si="91"/>
        <v>0</v>
      </c>
    </row>
    <row r="2878" spans="8:8" hidden="1" x14ac:dyDescent="0.35">
      <c r="H2878" s="83">
        <f t="shared" si="91"/>
        <v>0</v>
      </c>
    </row>
    <row r="2879" spans="8:8" hidden="1" x14ac:dyDescent="0.35">
      <c r="H2879" s="83">
        <f t="shared" si="91"/>
        <v>0</v>
      </c>
    </row>
    <row r="2880" spans="8:8" hidden="1" x14ac:dyDescent="0.35">
      <c r="H2880" s="83">
        <f t="shared" si="91"/>
        <v>0</v>
      </c>
    </row>
    <row r="2881" spans="8:8" hidden="1" x14ac:dyDescent="0.35">
      <c r="H2881" s="83">
        <f t="shared" si="91"/>
        <v>0</v>
      </c>
    </row>
    <row r="2882" spans="8:8" hidden="1" x14ac:dyDescent="0.35">
      <c r="H2882" s="83">
        <f t="shared" si="91"/>
        <v>0</v>
      </c>
    </row>
    <row r="2883" spans="8:8" hidden="1" x14ac:dyDescent="0.35">
      <c r="H2883" s="83">
        <f t="shared" si="91"/>
        <v>0</v>
      </c>
    </row>
    <row r="2884" spans="8:8" hidden="1" x14ac:dyDescent="0.35">
      <c r="H2884" s="83">
        <f t="shared" ref="H2884:H2947" si="92">J2884-I2884</f>
        <v>0</v>
      </c>
    </row>
    <row r="2885" spans="8:8" hidden="1" x14ac:dyDescent="0.35">
      <c r="H2885" s="83">
        <f t="shared" si="92"/>
        <v>0</v>
      </c>
    </row>
    <row r="2886" spans="8:8" hidden="1" x14ac:dyDescent="0.35">
      <c r="H2886" s="83">
        <f t="shared" si="92"/>
        <v>0</v>
      </c>
    </row>
    <row r="2887" spans="8:8" hidden="1" x14ac:dyDescent="0.35">
      <c r="H2887" s="83">
        <f t="shared" si="92"/>
        <v>0</v>
      </c>
    </row>
    <row r="2888" spans="8:8" hidden="1" x14ac:dyDescent="0.35">
      <c r="H2888" s="83">
        <f t="shared" si="92"/>
        <v>0</v>
      </c>
    </row>
    <row r="2889" spans="8:8" hidden="1" x14ac:dyDescent="0.35">
      <c r="H2889" s="83">
        <f t="shared" si="92"/>
        <v>0</v>
      </c>
    </row>
    <row r="2890" spans="8:8" hidden="1" x14ac:dyDescent="0.35">
      <c r="H2890" s="83">
        <f t="shared" si="92"/>
        <v>0</v>
      </c>
    </row>
    <row r="2891" spans="8:8" hidden="1" x14ac:dyDescent="0.35">
      <c r="H2891" s="83">
        <f t="shared" si="92"/>
        <v>0</v>
      </c>
    </row>
    <row r="2892" spans="8:8" hidden="1" x14ac:dyDescent="0.35">
      <c r="H2892" s="83">
        <f t="shared" si="92"/>
        <v>0</v>
      </c>
    </row>
    <row r="2893" spans="8:8" hidden="1" x14ac:dyDescent="0.35">
      <c r="H2893" s="83">
        <f t="shared" si="92"/>
        <v>0</v>
      </c>
    </row>
    <row r="2894" spans="8:8" hidden="1" x14ac:dyDescent="0.35">
      <c r="H2894" s="83">
        <f t="shared" si="92"/>
        <v>0</v>
      </c>
    </row>
    <row r="2895" spans="8:8" hidden="1" x14ac:dyDescent="0.35">
      <c r="H2895" s="83">
        <f t="shared" si="92"/>
        <v>0</v>
      </c>
    </row>
    <row r="2896" spans="8:8" hidden="1" x14ac:dyDescent="0.35">
      <c r="H2896" s="83">
        <f t="shared" si="92"/>
        <v>0</v>
      </c>
    </row>
    <row r="2897" spans="8:8" hidden="1" x14ac:dyDescent="0.35">
      <c r="H2897" s="83">
        <f t="shared" si="92"/>
        <v>0</v>
      </c>
    </row>
    <row r="2898" spans="8:8" hidden="1" x14ac:dyDescent="0.35">
      <c r="H2898" s="83">
        <f t="shared" si="92"/>
        <v>0</v>
      </c>
    </row>
    <row r="2899" spans="8:8" hidden="1" x14ac:dyDescent="0.35">
      <c r="H2899" s="83">
        <f t="shared" si="92"/>
        <v>0</v>
      </c>
    </row>
    <row r="2900" spans="8:8" hidden="1" x14ac:dyDescent="0.35">
      <c r="H2900" s="83">
        <f t="shared" si="92"/>
        <v>0</v>
      </c>
    </row>
    <row r="2901" spans="8:8" hidden="1" x14ac:dyDescent="0.35">
      <c r="H2901" s="83">
        <f t="shared" si="92"/>
        <v>0</v>
      </c>
    </row>
    <row r="2902" spans="8:8" hidden="1" x14ac:dyDescent="0.35">
      <c r="H2902" s="83">
        <f t="shared" si="92"/>
        <v>0</v>
      </c>
    </row>
    <row r="2903" spans="8:8" hidden="1" x14ac:dyDescent="0.35">
      <c r="H2903" s="83">
        <f t="shared" si="92"/>
        <v>0</v>
      </c>
    </row>
    <row r="2904" spans="8:8" hidden="1" x14ac:dyDescent="0.35">
      <c r="H2904" s="83">
        <f t="shared" si="92"/>
        <v>0</v>
      </c>
    </row>
    <row r="2905" spans="8:8" hidden="1" x14ac:dyDescent="0.35">
      <c r="H2905" s="83">
        <f t="shared" si="92"/>
        <v>0</v>
      </c>
    </row>
    <row r="2906" spans="8:8" hidden="1" x14ac:dyDescent="0.35">
      <c r="H2906" s="83">
        <f t="shared" si="92"/>
        <v>0</v>
      </c>
    </row>
    <row r="2907" spans="8:8" hidden="1" x14ac:dyDescent="0.35">
      <c r="H2907" s="83">
        <f t="shared" si="92"/>
        <v>0</v>
      </c>
    </row>
    <row r="2908" spans="8:8" hidden="1" x14ac:dyDescent="0.35">
      <c r="H2908" s="83">
        <f t="shared" si="92"/>
        <v>0</v>
      </c>
    </row>
    <row r="2909" spans="8:8" hidden="1" x14ac:dyDescent="0.35">
      <c r="H2909" s="83">
        <f t="shared" si="92"/>
        <v>0</v>
      </c>
    </row>
    <row r="2910" spans="8:8" hidden="1" x14ac:dyDescent="0.35">
      <c r="H2910" s="83">
        <f t="shared" si="92"/>
        <v>0</v>
      </c>
    </row>
    <row r="2911" spans="8:8" hidden="1" x14ac:dyDescent="0.35">
      <c r="H2911" s="83">
        <f t="shared" si="92"/>
        <v>0</v>
      </c>
    </row>
    <row r="2912" spans="8:8" hidden="1" x14ac:dyDescent="0.35">
      <c r="H2912" s="83">
        <f t="shared" si="92"/>
        <v>0</v>
      </c>
    </row>
    <row r="2913" spans="8:8" hidden="1" x14ac:dyDescent="0.35">
      <c r="H2913" s="83">
        <f t="shared" si="92"/>
        <v>0</v>
      </c>
    </row>
    <row r="2914" spans="8:8" hidden="1" x14ac:dyDescent="0.35">
      <c r="H2914" s="83">
        <f t="shared" si="92"/>
        <v>0</v>
      </c>
    </row>
    <row r="2915" spans="8:8" hidden="1" x14ac:dyDescent="0.35">
      <c r="H2915" s="83">
        <f t="shared" si="92"/>
        <v>0</v>
      </c>
    </row>
    <row r="2916" spans="8:8" hidden="1" x14ac:dyDescent="0.35">
      <c r="H2916" s="83">
        <f t="shared" si="92"/>
        <v>0</v>
      </c>
    </row>
    <row r="2917" spans="8:8" hidden="1" x14ac:dyDescent="0.35">
      <c r="H2917" s="83">
        <f t="shared" si="92"/>
        <v>0</v>
      </c>
    </row>
    <row r="2918" spans="8:8" hidden="1" x14ac:dyDescent="0.35">
      <c r="H2918" s="83">
        <f t="shared" si="92"/>
        <v>0</v>
      </c>
    </row>
    <row r="2919" spans="8:8" hidden="1" x14ac:dyDescent="0.35">
      <c r="H2919" s="83">
        <f t="shared" si="92"/>
        <v>0</v>
      </c>
    </row>
    <row r="2920" spans="8:8" hidden="1" x14ac:dyDescent="0.35">
      <c r="H2920" s="83">
        <f t="shared" si="92"/>
        <v>0</v>
      </c>
    </row>
    <row r="2921" spans="8:8" hidden="1" x14ac:dyDescent="0.35">
      <c r="H2921" s="83">
        <f t="shared" si="92"/>
        <v>0</v>
      </c>
    </row>
    <row r="2922" spans="8:8" hidden="1" x14ac:dyDescent="0.35">
      <c r="H2922" s="83">
        <f t="shared" si="92"/>
        <v>0</v>
      </c>
    </row>
    <row r="2923" spans="8:8" hidden="1" x14ac:dyDescent="0.35">
      <c r="H2923" s="83">
        <f t="shared" si="92"/>
        <v>0</v>
      </c>
    </row>
    <row r="2924" spans="8:8" hidden="1" x14ac:dyDescent="0.35">
      <c r="H2924" s="83">
        <f t="shared" si="92"/>
        <v>0</v>
      </c>
    </row>
    <row r="2925" spans="8:8" hidden="1" x14ac:dyDescent="0.35">
      <c r="H2925" s="83">
        <f t="shared" si="92"/>
        <v>0</v>
      </c>
    </row>
    <row r="2926" spans="8:8" hidden="1" x14ac:dyDescent="0.35">
      <c r="H2926" s="83">
        <f t="shared" si="92"/>
        <v>0</v>
      </c>
    </row>
    <row r="2927" spans="8:8" hidden="1" x14ac:dyDescent="0.35">
      <c r="H2927" s="83">
        <f t="shared" si="92"/>
        <v>0</v>
      </c>
    </row>
    <row r="2928" spans="8:8" hidden="1" x14ac:dyDescent="0.35">
      <c r="H2928" s="83">
        <f t="shared" si="92"/>
        <v>0</v>
      </c>
    </row>
    <row r="2929" spans="8:8" hidden="1" x14ac:dyDescent="0.35">
      <c r="H2929" s="83">
        <f t="shared" si="92"/>
        <v>0</v>
      </c>
    </row>
    <row r="2930" spans="8:8" hidden="1" x14ac:dyDescent="0.35">
      <c r="H2930" s="83">
        <f t="shared" si="92"/>
        <v>0</v>
      </c>
    </row>
    <row r="2931" spans="8:8" hidden="1" x14ac:dyDescent="0.35">
      <c r="H2931" s="83">
        <f t="shared" si="92"/>
        <v>0</v>
      </c>
    </row>
    <row r="2932" spans="8:8" hidden="1" x14ac:dyDescent="0.35">
      <c r="H2932" s="83">
        <f t="shared" si="92"/>
        <v>0</v>
      </c>
    </row>
    <row r="2933" spans="8:8" hidden="1" x14ac:dyDescent="0.35">
      <c r="H2933" s="83">
        <f t="shared" si="92"/>
        <v>0</v>
      </c>
    </row>
    <row r="2934" spans="8:8" hidden="1" x14ac:dyDescent="0.35">
      <c r="H2934" s="83">
        <f t="shared" si="92"/>
        <v>0</v>
      </c>
    </row>
    <row r="2935" spans="8:8" hidden="1" x14ac:dyDescent="0.35">
      <c r="H2935" s="83">
        <f t="shared" si="92"/>
        <v>0</v>
      </c>
    </row>
    <row r="2936" spans="8:8" hidden="1" x14ac:dyDescent="0.35">
      <c r="H2936" s="83">
        <f t="shared" si="92"/>
        <v>0</v>
      </c>
    </row>
    <row r="2937" spans="8:8" hidden="1" x14ac:dyDescent="0.35">
      <c r="H2937" s="83">
        <f t="shared" si="92"/>
        <v>0</v>
      </c>
    </row>
    <row r="2938" spans="8:8" hidden="1" x14ac:dyDescent="0.35">
      <c r="H2938" s="83">
        <f t="shared" si="92"/>
        <v>0</v>
      </c>
    </row>
    <row r="2939" spans="8:8" hidden="1" x14ac:dyDescent="0.35">
      <c r="H2939" s="83">
        <f t="shared" si="92"/>
        <v>0</v>
      </c>
    </row>
    <row r="2940" spans="8:8" hidden="1" x14ac:dyDescent="0.35">
      <c r="H2940" s="83">
        <f t="shared" si="92"/>
        <v>0</v>
      </c>
    </row>
    <row r="2941" spans="8:8" hidden="1" x14ac:dyDescent="0.35">
      <c r="H2941" s="83">
        <f t="shared" si="92"/>
        <v>0</v>
      </c>
    </row>
    <row r="2942" spans="8:8" hidden="1" x14ac:dyDescent="0.35">
      <c r="H2942" s="83">
        <f t="shared" si="92"/>
        <v>0</v>
      </c>
    </row>
    <row r="2943" spans="8:8" hidden="1" x14ac:dyDescent="0.35">
      <c r="H2943" s="83">
        <f t="shared" si="92"/>
        <v>0</v>
      </c>
    </row>
    <row r="2944" spans="8:8" hidden="1" x14ac:dyDescent="0.35">
      <c r="H2944" s="83">
        <f t="shared" si="92"/>
        <v>0</v>
      </c>
    </row>
    <row r="2945" spans="8:8" hidden="1" x14ac:dyDescent="0.35">
      <c r="H2945" s="83">
        <f t="shared" si="92"/>
        <v>0</v>
      </c>
    </row>
    <row r="2946" spans="8:8" hidden="1" x14ac:dyDescent="0.35">
      <c r="H2946" s="83">
        <f t="shared" si="92"/>
        <v>0</v>
      </c>
    </row>
    <row r="2947" spans="8:8" hidden="1" x14ac:dyDescent="0.35">
      <c r="H2947" s="83">
        <f t="shared" si="92"/>
        <v>0</v>
      </c>
    </row>
    <row r="2948" spans="8:8" hidden="1" x14ac:dyDescent="0.35">
      <c r="H2948" s="83">
        <f t="shared" ref="H2948:H3011" si="93">J2948-I2948</f>
        <v>0</v>
      </c>
    </row>
    <row r="2949" spans="8:8" hidden="1" x14ac:dyDescent="0.35">
      <c r="H2949" s="83">
        <f t="shared" si="93"/>
        <v>0</v>
      </c>
    </row>
    <row r="2950" spans="8:8" hidden="1" x14ac:dyDescent="0.35">
      <c r="H2950" s="83">
        <f t="shared" si="93"/>
        <v>0</v>
      </c>
    </row>
    <row r="2951" spans="8:8" hidden="1" x14ac:dyDescent="0.35">
      <c r="H2951" s="83">
        <f t="shared" si="93"/>
        <v>0</v>
      </c>
    </row>
    <row r="2952" spans="8:8" hidden="1" x14ac:dyDescent="0.35">
      <c r="H2952" s="83">
        <f t="shared" si="93"/>
        <v>0</v>
      </c>
    </row>
    <row r="2953" spans="8:8" hidden="1" x14ac:dyDescent="0.35">
      <c r="H2953" s="83">
        <f t="shared" si="93"/>
        <v>0</v>
      </c>
    </row>
    <row r="2954" spans="8:8" hidden="1" x14ac:dyDescent="0.35">
      <c r="H2954" s="83">
        <f t="shared" si="93"/>
        <v>0</v>
      </c>
    </row>
    <row r="2955" spans="8:8" hidden="1" x14ac:dyDescent="0.35">
      <c r="H2955" s="83">
        <f t="shared" si="93"/>
        <v>0</v>
      </c>
    </row>
    <row r="2956" spans="8:8" hidden="1" x14ac:dyDescent="0.35">
      <c r="H2956" s="83">
        <f t="shared" si="93"/>
        <v>0</v>
      </c>
    </row>
    <row r="2957" spans="8:8" hidden="1" x14ac:dyDescent="0.35">
      <c r="H2957" s="83">
        <f t="shared" si="93"/>
        <v>0</v>
      </c>
    </row>
    <row r="2958" spans="8:8" hidden="1" x14ac:dyDescent="0.35">
      <c r="H2958" s="83">
        <f t="shared" si="93"/>
        <v>0</v>
      </c>
    </row>
    <row r="2959" spans="8:8" hidden="1" x14ac:dyDescent="0.35">
      <c r="H2959" s="83">
        <f t="shared" si="93"/>
        <v>0</v>
      </c>
    </row>
    <row r="2960" spans="8:8" hidden="1" x14ac:dyDescent="0.35">
      <c r="H2960" s="83">
        <f t="shared" si="93"/>
        <v>0</v>
      </c>
    </row>
    <row r="2961" spans="8:8" hidden="1" x14ac:dyDescent="0.35">
      <c r="H2961" s="83">
        <f t="shared" si="93"/>
        <v>0</v>
      </c>
    </row>
    <row r="2962" spans="8:8" hidden="1" x14ac:dyDescent="0.35">
      <c r="H2962" s="83">
        <f t="shared" si="93"/>
        <v>0</v>
      </c>
    </row>
    <row r="2963" spans="8:8" hidden="1" x14ac:dyDescent="0.35">
      <c r="H2963" s="83">
        <f t="shared" si="93"/>
        <v>0</v>
      </c>
    </row>
    <row r="2964" spans="8:8" hidden="1" x14ac:dyDescent="0.35">
      <c r="H2964" s="83">
        <f t="shared" si="93"/>
        <v>0</v>
      </c>
    </row>
    <row r="2965" spans="8:8" hidden="1" x14ac:dyDescent="0.35">
      <c r="H2965" s="83">
        <f t="shared" si="93"/>
        <v>0</v>
      </c>
    </row>
    <row r="2966" spans="8:8" hidden="1" x14ac:dyDescent="0.35">
      <c r="H2966" s="83">
        <f t="shared" si="93"/>
        <v>0</v>
      </c>
    </row>
    <row r="2967" spans="8:8" hidden="1" x14ac:dyDescent="0.35">
      <c r="H2967" s="83">
        <f t="shared" si="93"/>
        <v>0</v>
      </c>
    </row>
    <row r="2968" spans="8:8" hidden="1" x14ac:dyDescent="0.35">
      <c r="H2968" s="83">
        <f t="shared" si="93"/>
        <v>0</v>
      </c>
    </row>
    <row r="2969" spans="8:8" hidden="1" x14ac:dyDescent="0.35">
      <c r="H2969" s="83">
        <f t="shared" si="93"/>
        <v>0</v>
      </c>
    </row>
    <row r="2970" spans="8:8" hidden="1" x14ac:dyDescent="0.35">
      <c r="H2970" s="83">
        <f t="shared" si="93"/>
        <v>0</v>
      </c>
    </row>
    <row r="2971" spans="8:8" hidden="1" x14ac:dyDescent="0.35">
      <c r="H2971" s="83">
        <f t="shared" si="93"/>
        <v>0</v>
      </c>
    </row>
    <row r="2972" spans="8:8" hidden="1" x14ac:dyDescent="0.35">
      <c r="H2972" s="83">
        <f t="shared" si="93"/>
        <v>0</v>
      </c>
    </row>
    <row r="2973" spans="8:8" hidden="1" x14ac:dyDescent="0.35">
      <c r="H2973" s="83">
        <f t="shared" si="93"/>
        <v>0</v>
      </c>
    </row>
    <row r="2974" spans="8:8" hidden="1" x14ac:dyDescent="0.35">
      <c r="H2974" s="83">
        <f t="shared" si="93"/>
        <v>0</v>
      </c>
    </row>
    <row r="2975" spans="8:8" hidden="1" x14ac:dyDescent="0.35">
      <c r="H2975" s="83">
        <f t="shared" si="93"/>
        <v>0</v>
      </c>
    </row>
    <row r="2976" spans="8:8" hidden="1" x14ac:dyDescent="0.35">
      <c r="H2976" s="83">
        <f t="shared" si="93"/>
        <v>0</v>
      </c>
    </row>
    <row r="2977" spans="8:8" hidden="1" x14ac:dyDescent="0.35">
      <c r="H2977" s="83">
        <f t="shared" si="93"/>
        <v>0</v>
      </c>
    </row>
    <row r="2978" spans="8:8" hidden="1" x14ac:dyDescent="0.35">
      <c r="H2978" s="83">
        <f t="shared" si="93"/>
        <v>0</v>
      </c>
    </row>
    <row r="2979" spans="8:8" hidden="1" x14ac:dyDescent="0.35">
      <c r="H2979" s="83">
        <f t="shared" si="93"/>
        <v>0</v>
      </c>
    </row>
    <row r="2980" spans="8:8" hidden="1" x14ac:dyDescent="0.35">
      <c r="H2980" s="83">
        <f t="shared" si="93"/>
        <v>0</v>
      </c>
    </row>
    <row r="2981" spans="8:8" hidden="1" x14ac:dyDescent="0.35">
      <c r="H2981" s="83">
        <f t="shared" si="93"/>
        <v>0</v>
      </c>
    </row>
    <row r="2982" spans="8:8" hidden="1" x14ac:dyDescent="0.35">
      <c r="H2982" s="83">
        <f t="shared" si="93"/>
        <v>0</v>
      </c>
    </row>
    <row r="2983" spans="8:8" hidden="1" x14ac:dyDescent="0.35">
      <c r="H2983" s="83">
        <f t="shared" si="93"/>
        <v>0</v>
      </c>
    </row>
    <row r="2984" spans="8:8" hidden="1" x14ac:dyDescent="0.35">
      <c r="H2984" s="83">
        <f t="shared" si="93"/>
        <v>0</v>
      </c>
    </row>
    <row r="2985" spans="8:8" hidden="1" x14ac:dyDescent="0.35">
      <c r="H2985" s="83">
        <f t="shared" si="93"/>
        <v>0</v>
      </c>
    </row>
    <row r="2986" spans="8:8" hidden="1" x14ac:dyDescent="0.35">
      <c r="H2986" s="83">
        <f t="shared" si="93"/>
        <v>0</v>
      </c>
    </row>
    <row r="2987" spans="8:8" hidden="1" x14ac:dyDescent="0.35">
      <c r="H2987" s="83">
        <f t="shared" si="93"/>
        <v>0</v>
      </c>
    </row>
    <row r="2988" spans="8:8" hidden="1" x14ac:dyDescent="0.35">
      <c r="H2988" s="83">
        <f t="shared" si="93"/>
        <v>0</v>
      </c>
    </row>
    <row r="2989" spans="8:8" hidden="1" x14ac:dyDescent="0.35">
      <c r="H2989" s="83">
        <f t="shared" si="93"/>
        <v>0</v>
      </c>
    </row>
    <row r="2990" spans="8:8" hidden="1" x14ac:dyDescent="0.35">
      <c r="H2990" s="83">
        <f t="shared" si="93"/>
        <v>0</v>
      </c>
    </row>
    <row r="2991" spans="8:8" hidden="1" x14ac:dyDescent="0.35">
      <c r="H2991" s="83">
        <f t="shared" si="93"/>
        <v>0</v>
      </c>
    </row>
    <row r="2992" spans="8:8" hidden="1" x14ac:dyDescent="0.35">
      <c r="H2992" s="83">
        <f t="shared" si="93"/>
        <v>0</v>
      </c>
    </row>
    <row r="2993" spans="8:8" hidden="1" x14ac:dyDescent="0.35">
      <c r="H2993" s="83">
        <f t="shared" si="93"/>
        <v>0</v>
      </c>
    </row>
    <row r="2994" spans="8:8" hidden="1" x14ac:dyDescent="0.35">
      <c r="H2994" s="83">
        <f t="shared" si="93"/>
        <v>0</v>
      </c>
    </row>
    <row r="2995" spans="8:8" hidden="1" x14ac:dyDescent="0.35">
      <c r="H2995" s="83">
        <f t="shared" si="93"/>
        <v>0</v>
      </c>
    </row>
    <row r="2996" spans="8:8" hidden="1" x14ac:dyDescent="0.35">
      <c r="H2996" s="83">
        <f t="shared" si="93"/>
        <v>0</v>
      </c>
    </row>
    <row r="2997" spans="8:8" hidden="1" x14ac:dyDescent="0.35">
      <c r="H2997" s="83">
        <f t="shared" si="93"/>
        <v>0</v>
      </c>
    </row>
    <row r="2998" spans="8:8" hidden="1" x14ac:dyDescent="0.35">
      <c r="H2998" s="83">
        <f t="shared" si="93"/>
        <v>0</v>
      </c>
    </row>
    <row r="2999" spans="8:8" hidden="1" x14ac:dyDescent="0.35">
      <c r="H2999" s="83">
        <f t="shared" si="93"/>
        <v>0</v>
      </c>
    </row>
    <row r="3000" spans="8:8" hidden="1" x14ac:dyDescent="0.35">
      <c r="H3000" s="83">
        <f t="shared" si="93"/>
        <v>0</v>
      </c>
    </row>
    <row r="3001" spans="8:8" hidden="1" x14ac:dyDescent="0.35">
      <c r="H3001" s="83">
        <f t="shared" si="93"/>
        <v>0</v>
      </c>
    </row>
    <row r="3002" spans="8:8" hidden="1" x14ac:dyDescent="0.35">
      <c r="H3002" s="83">
        <f t="shared" si="93"/>
        <v>0</v>
      </c>
    </row>
    <row r="3003" spans="8:8" hidden="1" x14ac:dyDescent="0.35">
      <c r="H3003" s="83">
        <f t="shared" si="93"/>
        <v>0</v>
      </c>
    </row>
    <row r="3004" spans="8:8" hidden="1" x14ac:dyDescent="0.35">
      <c r="H3004" s="83">
        <f t="shared" si="93"/>
        <v>0</v>
      </c>
    </row>
    <row r="3005" spans="8:8" hidden="1" x14ac:dyDescent="0.35">
      <c r="H3005" s="83">
        <f t="shared" si="93"/>
        <v>0</v>
      </c>
    </row>
    <row r="3006" spans="8:8" hidden="1" x14ac:dyDescent="0.35">
      <c r="H3006" s="83">
        <f t="shared" si="93"/>
        <v>0</v>
      </c>
    </row>
    <row r="3007" spans="8:8" hidden="1" x14ac:dyDescent="0.35">
      <c r="H3007" s="83">
        <f t="shared" si="93"/>
        <v>0</v>
      </c>
    </row>
    <row r="3008" spans="8:8" hidden="1" x14ac:dyDescent="0.35">
      <c r="H3008" s="83">
        <f t="shared" si="93"/>
        <v>0</v>
      </c>
    </row>
    <row r="3009" spans="8:8" hidden="1" x14ac:dyDescent="0.35">
      <c r="H3009" s="83">
        <f t="shared" si="93"/>
        <v>0</v>
      </c>
    </row>
    <row r="3010" spans="8:8" hidden="1" x14ac:dyDescent="0.35">
      <c r="H3010" s="83">
        <f t="shared" si="93"/>
        <v>0</v>
      </c>
    </row>
    <row r="3011" spans="8:8" hidden="1" x14ac:dyDescent="0.35">
      <c r="H3011" s="83">
        <f t="shared" si="93"/>
        <v>0</v>
      </c>
    </row>
    <row r="3012" spans="8:8" hidden="1" x14ac:dyDescent="0.35">
      <c r="H3012" s="83">
        <f t="shared" ref="H3012:H3075" si="94">J3012-I3012</f>
        <v>0</v>
      </c>
    </row>
    <row r="3013" spans="8:8" hidden="1" x14ac:dyDescent="0.35">
      <c r="H3013" s="83">
        <f t="shared" si="94"/>
        <v>0</v>
      </c>
    </row>
    <row r="3014" spans="8:8" hidden="1" x14ac:dyDescent="0.35">
      <c r="H3014" s="83">
        <f t="shared" si="94"/>
        <v>0</v>
      </c>
    </row>
    <row r="3015" spans="8:8" hidden="1" x14ac:dyDescent="0.35">
      <c r="H3015" s="83">
        <f t="shared" si="94"/>
        <v>0</v>
      </c>
    </row>
    <row r="3016" spans="8:8" hidden="1" x14ac:dyDescent="0.35">
      <c r="H3016" s="83">
        <f t="shared" si="94"/>
        <v>0</v>
      </c>
    </row>
    <row r="3017" spans="8:8" hidden="1" x14ac:dyDescent="0.35">
      <c r="H3017" s="83">
        <f t="shared" si="94"/>
        <v>0</v>
      </c>
    </row>
    <row r="3018" spans="8:8" hidden="1" x14ac:dyDescent="0.35">
      <c r="H3018" s="83">
        <f t="shared" si="94"/>
        <v>0</v>
      </c>
    </row>
    <row r="3019" spans="8:8" hidden="1" x14ac:dyDescent="0.35">
      <c r="H3019" s="83">
        <f t="shared" si="94"/>
        <v>0</v>
      </c>
    </row>
    <row r="3020" spans="8:8" hidden="1" x14ac:dyDescent="0.35">
      <c r="H3020" s="83">
        <f t="shared" si="94"/>
        <v>0</v>
      </c>
    </row>
    <row r="3021" spans="8:8" hidden="1" x14ac:dyDescent="0.35">
      <c r="H3021" s="83">
        <f t="shared" si="94"/>
        <v>0</v>
      </c>
    </row>
    <row r="3022" spans="8:8" hidden="1" x14ac:dyDescent="0.35">
      <c r="H3022" s="83">
        <f t="shared" si="94"/>
        <v>0</v>
      </c>
    </row>
    <row r="3023" spans="8:8" hidden="1" x14ac:dyDescent="0.35">
      <c r="H3023" s="83">
        <f t="shared" si="94"/>
        <v>0</v>
      </c>
    </row>
    <row r="3024" spans="8:8" hidden="1" x14ac:dyDescent="0.35">
      <c r="H3024" s="83">
        <f t="shared" si="94"/>
        <v>0</v>
      </c>
    </row>
    <row r="3025" spans="8:8" hidden="1" x14ac:dyDescent="0.35">
      <c r="H3025" s="83">
        <f t="shared" si="94"/>
        <v>0</v>
      </c>
    </row>
    <row r="3026" spans="8:8" hidden="1" x14ac:dyDescent="0.35">
      <c r="H3026" s="83">
        <f t="shared" si="94"/>
        <v>0</v>
      </c>
    </row>
    <row r="3027" spans="8:8" hidden="1" x14ac:dyDescent="0.35">
      <c r="H3027" s="83">
        <f t="shared" si="94"/>
        <v>0</v>
      </c>
    </row>
    <row r="3028" spans="8:8" hidden="1" x14ac:dyDescent="0.35">
      <c r="H3028" s="83">
        <f t="shared" si="94"/>
        <v>0</v>
      </c>
    </row>
    <row r="3029" spans="8:8" hidden="1" x14ac:dyDescent="0.35">
      <c r="H3029" s="83">
        <f t="shared" si="94"/>
        <v>0</v>
      </c>
    </row>
    <row r="3030" spans="8:8" hidden="1" x14ac:dyDescent="0.35">
      <c r="H3030" s="83">
        <f t="shared" si="94"/>
        <v>0</v>
      </c>
    </row>
    <row r="3031" spans="8:8" hidden="1" x14ac:dyDescent="0.35">
      <c r="H3031" s="83">
        <f t="shared" si="94"/>
        <v>0</v>
      </c>
    </row>
    <row r="3032" spans="8:8" hidden="1" x14ac:dyDescent="0.35">
      <c r="H3032" s="83">
        <f t="shared" si="94"/>
        <v>0</v>
      </c>
    </row>
    <row r="3033" spans="8:8" hidden="1" x14ac:dyDescent="0.35">
      <c r="H3033" s="83">
        <f t="shared" si="94"/>
        <v>0</v>
      </c>
    </row>
    <row r="3034" spans="8:8" hidden="1" x14ac:dyDescent="0.35">
      <c r="H3034" s="83">
        <f t="shared" si="94"/>
        <v>0</v>
      </c>
    </row>
    <row r="3035" spans="8:8" hidden="1" x14ac:dyDescent="0.35">
      <c r="H3035" s="83">
        <f t="shared" si="94"/>
        <v>0</v>
      </c>
    </row>
    <row r="3036" spans="8:8" hidden="1" x14ac:dyDescent="0.35">
      <c r="H3036" s="83">
        <f t="shared" si="94"/>
        <v>0</v>
      </c>
    </row>
    <row r="3037" spans="8:8" hidden="1" x14ac:dyDescent="0.35">
      <c r="H3037" s="83">
        <f t="shared" si="94"/>
        <v>0</v>
      </c>
    </row>
    <row r="3038" spans="8:8" hidden="1" x14ac:dyDescent="0.35">
      <c r="H3038" s="83">
        <f t="shared" si="94"/>
        <v>0</v>
      </c>
    </row>
    <row r="3039" spans="8:8" hidden="1" x14ac:dyDescent="0.35">
      <c r="H3039" s="83">
        <f t="shared" si="94"/>
        <v>0</v>
      </c>
    </row>
    <row r="3040" spans="8:8" hidden="1" x14ac:dyDescent="0.35">
      <c r="H3040" s="83">
        <f t="shared" si="94"/>
        <v>0</v>
      </c>
    </row>
    <row r="3041" spans="8:8" hidden="1" x14ac:dyDescent="0.35">
      <c r="H3041" s="83">
        <f t="shared" si="94"/>
        <v>0</v>
      </c>
    </row>
    <row r="3042" spans="8:8" hidden="1" x14ac:dyDescent="0.35">
      <c r="H3042" s="83">
        <f t="shared" si="94"/>
        <v>0</v>
      </c>
    </row>
    <row r="3043" spans="8:8" hidden="1" x14ac:dyDescent="0.35">
      <c r="H3043" s="83">
        <f t="shared" si="94"/>
        <v>0</v>
      </c>
    </row>
    <row r="3044" spans="8:8" hidden="1" x14ac:dyDescent="0.35">
      <c r="H3044" s="83">
        <f t="shared" si="94"/>
        <v>0</v>
      </c>
    </row>
    <row r="3045" spans="8:8" hidden="1" x14ac:dyDescent="0.35">
      <c r="H3045" s="83">
        <f t="shared" si="94"/>
        <v>0</v>
      </c>
    </row>
    <row r="3046" spans="8:8" hidden="1" x14ac:dyDescent="0.35">
      <c r="H3046" s="83">
        <f t="shared" si="94"/>
        <v>0</v>
      </c>
    </row>
    <row r="3047" spans="8:8" hidden="1" x14ac:dyDescent="0.35">
      <c r="H3047" s="83">
        <f t="shared" si="94"/>
        <v>0</v>
      </c>
    </row>
    <row r="3048" spans="8:8" hidden="1" x14ac:dyDescent="0.35">
      <c r="H3048" s="83">
        <f t="shared" si="94"/>
        <v>0</v>
      </c>
    </row>
    <row r="3049" spans="8:8" hidden="1" x14ac:dyDescent="0.35">
      <c r="H3049" s="83">
        <f t="shared" si="94"/>
        <v>0</v>
      </c>
    </row>
    <row r="3050" spans="8:8" hidden="1" x14ac:dyDescent="0.35">
      <c r="H3050" s="83">
        <f t="shared" si="94"/>
        <v>0</v>
      </c>
    </row>
    <row r="3051" spans="8:8" hidden="1" x14ac:dyDescent="0.35">
      <c r="H3051" s="83">
        <f t="shared" si="94"/>
        <v>0</v>
      </c>
    </row>
    <row r="3052" spans="8:8" hidden="1" x14ac:dyDescent="0.35">
      <c r="H3052" s="83">
        <f t="shared" si="94"/>
        <v>0</v>
      </c>
    </row>
    <row r="3053" spans="8:8" hidden="1" x14ac:dyDescent="0.35">
      <c r="H3053" s="83">
        <f t="shared" si="94"/>
        <v>0</v>
      </c>
    </row>
    <row r="3054" spans="8:8" hidden="1" x14ac:dyDescent="0.35">
      <c r="H3054" s="83">
        <f t="shared" si="94"/>
        <v>0</v>
      </c>
    </row>
    <row r="3055" spans="8:8" hidden="1" x14ac:dyDescent="0.35">
      <c r="H3055" s="83">
        <f t="shared" si="94"/>
        <v>0</v>
      </c>
    </row>
    <row r="3056" spans="8:8" hidden="1" x14ac:dyDescent="0.35">
      <c r="H3056" s="83">
        <f t="shared" si="94"/>
        <v>0</v>
      </c>
    </row>
    <row r="3057" spans="8:8" hidden="1" x14ac:dyDescent="0.35">
      <c r="H3057" s="83">
        <f t="shared" si="94"/>
        <v>0</v>
      </c>
    </row>
    <row r="3058" spans="8:8" hidden="1" x14ac:dyDescent="0.35">
      <c r="H3058" s="83">
        <f t="shared" si="94"/>
        <v>0</v>
      </c>
    </row>
    <row r="3059" spans="8:8" hidden="1" x14ac:dyDescent="0.35">
      <c r="H3059" s="83">
        <f t="shared" si="94"/>
        <v>0</v>
      </c>
    </row>
    <row r="3060" spans="8:8" hidden="1" x14ac:dyDescent="0.35">
      <c r="H3060" s="83">
        <f t="shared" si="94"/>
        <v>0</v>
      </c>
    </row>
    <row r="3061" spans="8:8" hidden="1" x14ac:dyDescent="0.35">
      <c r="H3061" s="83">
        <f t="shared" si="94"/>
        <v>0</v>
      </c>
    </row>
    <row r="3062" spans="8:8" hidden="1" x14ac:dyDescent="0.35">
      <c r="H3062" s="83">
        <f t="shared" si="94"/>
        <v>0</v>
      </c>
    </row>
    <row r="3063" spans="8:8" hidden="1" x14ac:dyDescent="0.35">
      <c r="H3063" s="83">
        <f t="shared" si="94"/>
        <v>0</v>
      </c>
    </row>
    <row r="3064" spans="8:8" hidden="1" x14ac:dyDescent="0.35">
      <c r="H3064" s="83">
        <f t="shared" si="94"/>
        <v>0</v>
      </c>
    </row>
    <row r="3065" spans="8:8" hidden="1" x14ac:dyDescent="0.35">
      <c r="H3065" s="83">
        <f t="shared" si="94"/>
        <v>0</v>
      </c>
    </row>
    <row r="3066" spans="8:8" hidden="1" x14ac:dyDescent="0.35">
      <c r="H3066" s="83">
        <f t="shared" si="94"/>
        <v>0</v>
      </c>
    </row>
    <row r="3067" spans="8:8" hidden="1" x14ac:dyDescent="0.35">
      <c r="H3067" s="83">
        <f t="shared" si="94"/>
        <v>0</v>
      </c>
    </row>
    <row r="3068" spans="8:8" hidden="1" x14ac:dyDescent="0.35">
      <c r="H3068" s="83">
        <f t="shared" si="94"/>
        <v>0</v>
      </c>
    </row>
    <row r="3069" spans="8:8" hidden="1" x14ac:dyDescent="0.35">
      <c r="H3069" s="83">
        <f t="shared" si="94"/>
        <v>0</v>
      </c>
    </row>
    <row r="3070" spans="8:8" hidden="1" x14ac:dyDescent="0.35">
      <c r="H3070" s="83">
        <f t="shared" si="94"/>
        <v>0</v>
      </c>
    </row>
    <row r="3071" spans="8:8" hidden="1" x14ac:dyDescent="0.35">
      <c r="H3071" s="83">
        <f t="shared" si="94"/>
        <v>0</v>
      </c>
    </row>
    <row r="3072" spans="8:8" hidden="1" x14ac:dyDescent="0.35">
      <c r="H3072" s="83">
        <f t="shared" si="94"/>
        <v>0</v>
      </c>
    </row>
    <row r="3073" spans="8:8" hidden="1" x14ac:dyDescent="0.35">
      <c r="H3073" s="83">
        <f t="shared" si="94"/>
        <v>0</v>
      </c>
    </row>
    <row r="3074" spans="8:8" hidden="1" x14ac:dyDescent="0.35">
      <c r="H3074" s="83">
        <f t="shared" si="94"/>
        <v>0</v>
      </c>
    </row>
    <row r="3075" spans="8:8" hidden="1" x14ac:dyDescent="0.35">
      <c r="H3075" s="83">
        <f t="shared" si="94"/>
        <v>0</v>
      </c>
    </row>
    <row r="3076" spans="8:8" hidden="1" x14ac:dyDescent="0.35">
      <c r="H3076" s="83">
        <f t="shared" ref="H3076:H3139" si="95">J3076-I3076</f>
        <v>0</v>
      </c>
    </row>
    <row r="3077" spans="8:8" hidden="1" x14ac:dyDescent="0.35">
      <c r="H3077" s="83">
        <f t="shared" si="95"/>
        <v>0</v>
      </c>
    </row>
    <row r="3078" spans="8:8" hidden="1" x14ac:dyDescent="0.35">
      <c r="H3078" s="83">
        <f t="shared" si="95"/>
        <v>0</v>
      </c>
    </row>
    <row r="3079" spans="8:8" hidden="1" x14ac:dyDescent="0.35">
      <c r="H3079" s="83">
        <f t="shared" si="95"/>
        <v>0</v>
      </c>
    </row>
    <row r="3080" spans="8:8" hidden="1" x14ac:dyDescent="0.35">
      <c r="H3080" s="83">
        <f t="shared" si="95"/>
        <v>0</v>
      </c>
    </row>
    <row r="3081" spans="8:8" hidden="1" x14ac:dyDescent="0.35">
      <c r="H3081" s="83">
        <f t="shared" si="95"/>
        <v>0</v>
      </c>
    </row>
    <row r="3082" spans="8:8" hidden="1" x14ac:dyDescent="0.35">
      <c r="H3082" s="83">
        <f t="shared" si="95"/>
        <v>0</v>
      </c>
    </row>
    <row r="3083" spans="8:8" hidden="1" x14ac:dyDescent="0.35">
      <c r="H3083" s="83">
        <f t="shared" si="95"/>
        <v>0</v>
      </c>
    </row>
    <row r="3084" spans="8:8" hidden="1" x14ac:dyDescent="0.35">
      <c r="H3084" s="83">
        <f t="shared" si="95"/>
        <v>0</v>
      </c>
    </row>
    <row r="3085" spans="8:8" hidden="1" x14ac:dyDescent="0.35">
      <c r="H3085" s="83">
        <f t="shared" si="95"/>
        <v>0</v>
      </c>
    </row>
    <row r="3086" spans="8:8" hidden="1" x14ac:dyDescent="0.35">
      <c r="H3086" s="83">
        <f t="shared" si="95"/>
        <v>0</v>
      </c>
    </row>
    <row r="3087" spans="8:8" hidden="1" x14ac:dyDescent="0.35">
      <c r="H3087" s="83">
        <f t="shared" si="95"/>
        <v>0</v>
      </c>
    </row>
    <row r="3088" spans="8:8" hidden="1" x14ac:dyDescent="0.35">
      <c r="H3088" s="83">
        <f t="shared" si="95"/>
        <v>0</v>
      </c>
    </row>
    <row r="3089" spans="8:8" hidden="1" x14ac:dyDescent="0.35">
      <c r="H3089" s="83">
        <f t="shared" si="95"/>
        <v>0</v>
      </c>
    </row>
    <row r="3090" spans="8:8" hidden="1" x14ac:dyDescent="0.35">
      <c r="H3090" s="83">
        <f t="shared" si="95"/>
        <v>0</v>
      </c>
    </row>
    <row r="3091" spans="8:8" hidden="1" x14ac:dyDescent="0.35">
      <c r="H3091" s="83">
        <f t="shared" si="95"/>
        <v>0</v>
      </c>
    </row>
    <row r="3092" spans="8:8" hidden="1" x14ac:dyDescent="0.35">
      <c r="H3092" s="83">
        <f t="shared" si="95"/>
        <v>0</v>
      </c>
    </row>
    <row r="3093" spans="8:8" hidden="1" x14ac:dyDescent="0.35">
      <c r="H3093" s="83">
        <f t="shared" si="95"/>
        <v>0</v>
      </c>
    </row>
    <row r="3094" spans="8:8" hidden="1" x14ac:dyDescent="0.35">
      <c r="H3094" s="83">
        <f t="shared" si="95"/>
        <v>0</v>
      </c>
    </row>
    <row r="3095" spans="8:8" hidden="1" x14ac:dyDescent="0.35">
      <c r="H3095" s="83">
        <f t="shared" si="95"/>
        <v>0</v>
      </c>
    </row>
    <row r="3096" spans="8:8" hidden="1" x14ac:dyDescent="0.35">
      <c r="H3096" s="83">
        <f t="shared" si="95"/>
        <v>0</v>
      </c>
    </row>
    <row r="3097" spans="8:8" hidden="1" x14ac:dyDescent="0.35">
      <c r="H3097" s="83">
        <f t="shared" si="95"/>
        <v>0</v>
      </c>
    </row>
    <row r="3098" spans="8:8" hidden="1" x14ac:dyDescent="0.35">
      <c r="H3098" s="83">
        <f t="shared" si="95"/>
        <v>0</v>
      </c>
    </row>
    <row r="3099" spans="8:8" hidden="1" x14ac:dyDescent="0.35">
      <c r="H3099" s="83">
        <f t="shared" si="95"/>
        <v>0</v>
      </c>
    </row>
    <row r="3100" spans="8:8" hidden="1" x14ac:dyDescent="0.35">
      <c r="H3100" s="83">
        <f t="shared" si="95"/>
        <v>0</v>
      </c>
    </row>
    <row r="3101" spans="8:8" hidden="1" x14ac:dyDescent="0.35">
      <c r="H3101" s="83">
        <f t="shared" si="95"/>
        <v>0</v>
      </c>
    </row>
    <row r="3102" spans="8:8" hidden="1" x14ac:dyDescent="0.35">
      <c r="H3102" s="83">
        <f t="shared" si="95"/>
        <v>0</v>
      </c>
    </row>
    <row r="3103" spans="8:8" hidden="1" x14ac:dyDescent="0.35">
      <c r="H3103" s="83">
        <f t="shared" si="95"/>
        <v>0</v>
      </c>
    </row>
    <row r="3104" spans="8:8" hidden="1" x14ac:dyDescent="0.35">
      <c r="H3104" s="83">
        <f t="shared" si="95"/>
        <v>0</v>
      </c>
    </row>
    <row r="3105" spans="8:8" hidden="1" x14ac:dyDescent="0.35">
      <c r="H3105" s="83">
        <f t="shared" si="95"/>
        <v>0</v>
      </c>
    </row>
    <row r="3106" spans="8:8" hidden="1" x14ac:dyDescent="0.35">
      <c r="H3106" s="83">
        <f t="shared" si="95"/>
        <v>0</v>
      </c>
    </row>
    <row r="3107" spans="8:8" hidden="1" x14ac:dyDescent="0.35">
      <c r="H3107" s="83">
        <f t="shared" si="95"/>
        <v>0</v>
      </c>
    </row>
    <row r="3108" spans="8:8" hidden="1" x14ac:dyDescent="0.35">
      <c r="H3108" s="83">
        <f t="shared" si="95"/>
        <v>0</v>
      </c>
    </row>
    <row r="3109" spans="8:8" hidden="1" x14ac:dyDescent="0.35">
      <c r="H3109" s="83">
        <f t="shared" si="95"/>
        <v>0</v>
      </c>
    </row>
    <row r="3110" spans="8:8" hidden="1" x14ac:dyDescent="0.35">
      <c r="H3110" s="83">
        <f t="shared" si="95"/>
        <v>0</v>
      </c>
    </row>
    <row r="3111" spans="8:8" hidden="1" x14ac:dyDescent="0.35">
      <c r="H3111" s="83">
        <f t="shared" si="95"/>
        <v>0</v>
      </c>
    </row>
    <row r="3112" spans="8:8" hidden="1" x14ac:dyDescent="0.35">
      <c r="H3112" s="83">
        <f t="shared" si="95"/>
        <v>0</v>
      </c>
    </row>
    <row r="3113" spans="8:8" hidden="1" x14ac:dyDescent="0.35">
      <c r="H3113" s="83">
        <f t="shared" si="95"/>
        <v>0</v>
      </c>
    </row>
    <row r="3114" spans="8:8" hidden="1" x14ac:dyDescent="0.35">
      <c r="H3114" s="83">
        <f t="shared" si="95"/>
        <v>0</v>
      </c>
    </row>
    <row r="3115" spans="8:8" hidden="1" x14ac:dyDescent="0.35">
      <c r="H3115" s="83">
        <f t="shared" si="95"/>
        <v>0</v>
      </c>
    </row>
    <row r="3116" spans="8:8" hidden="1" x14ac:dyDescent="0.35">
      <c r="H3116" s="83">
        <f t="shared" si="95"/>
        <v>0</v>
      </c>
    </row>
    <row r="3117" spans="8:8" hidden="1" x14ac:dyDescent="0.35">
      <c r="H3117" s="83">
        <f t="shared" si="95"/>
        <v>0</v>
      </c>
    </row>
    <row r="3118" spans="8:8" hidden="1" x14ac:dyDescent="0.35">
      <c r="H3118" s="83">
        <f t="shared" si="95"/>
        <v>0</v>
      </c>
    </row>
    <row r="3119" spans="8:8" hidden="1" x14ac:dyDescent="0.35">
      <c r="H3119" s="83">
        <f t="shared" si="95"/>
        <v>0</v>
      </c>
    </row>
    <row r="3120" spans="8:8" hidden="1" x14ac:dyDescent="0.35">
      <c r="H3120" s="83">
        <f t="shared" si="95"/>
        <v>0</v>
      </c>
    </row>
    <row r="3121" spans="8:8" hidden="1" x14ac:dyDescent="0.35">
      <c r="H3121" s="83">
        <f t="shared" si="95"/>
        <v>0</v>
      </c>
    </row>
    <row r="3122" spans="8:8" hidden="1" x14ac:dyDescent="0.35">
      <c r="H3122" s="83">
        <f t="shared" si="95"/>
        <v>0</v>
      </c>
    </row>
    <row r="3123" spans="8:8" hidden="1" x14ac:dyDescent="0.35">
      <c r="H3123" s="83">
        <f t="shared" si="95"/>
        <v>0</v>
      </c>
    </row>
    <row r="3124" spans="8:8" hidden="1" x14ac:dyDescent="0.35">
      <c r="H3124" s="83">
        <f t="shared" si="95"/>
        <v>0</v>
      </c>
    </row>
    <row r="3125" spans="8:8" hidden="1" x14ac:dyDescent="0.35">
      <c r="H3125" s="83">
        <f t="shared" si="95"/>
        <v>0</v>
      </c>
    </row>
    <row r="3126" spans="8:8" hidden="1" x14ac:dyDescent="0.35">
      <c r="H3126" s="83">
        <f t="shared" si="95"/>
        <v>0</v>
      </c>
    </row>
    <row r="3127" spans="8:8" hidden="1" x14ac:dyDescent="0.35">
      <c r="H3127" s="83">
        <f t="shared" si="95"/>
        <v>0</v>
      </c>
    </row>
    <row r="3128" spans="8:8" hidden="1" x14ac:dyDescent="0.35">
      <c r="H3128" s="83">
        <f t="shared" si="95"/>
        <v>0</v>
      </c>
    </row>
    <row r="3129" spans="8:8" hidden="1" x14ac:dyDescent="0.35">
      <c r="H3129" s="83">
        <f t="shared" si="95"/>
        <v>0</v>
      </c>
    </row>
    <row r="3130" spans="8:8" hidden="1" x14ac:dyDescent="0.35">
      <c r="H3130" s="83">
        <f t="shared" si="95"/>
        <v>0</v>
      </c>
    </row>
    <row r="3131" spans="8:8" hidden="1" x14ac:dyDescent="0.35">
      <c r="H3131" s="83">
        <f t="shared" si="95"/>
        <v>0</v>
      </c>
    </row>
    <row r="3132" spans="8:8" hidden="1" x14ac:dyDescent="0.35">
      <c r="H3132" s="83">
        <f t="shared" si="95"/>
        <v>0</v>
      </c>
    </row>
    <row r="3133" spans="8:8" hidden="1" x14ac:dyDescent="0.35">
      <c r="H3133" s="83">
        <f t="shared" si="95"/>
        <v>0</v>
      </c>
    </row>
    <row r="3134" spans="8:8" hidden="1" x14ac:dyDescent="0.35">
      <c r="H3134" s="83">
        <f t="shared" si="95"/>
        <v>0</v>
      </c>
    </row>
    <row r="3135" spans="8:8" hidden="1" x14ac:dyDescent="0.35">
      <c r="H3135" s="83">
        <f t="shared" si="95"/>
        <v>0</v>
      </c>
    </row>
    <row r="3136" spans="8:8" hidden="1" x14ac:dyDescent="0.35">
      <c r="H3136" s="83">
        <f t="shared" si="95"/>
        <v>0</v>
      </c>
    </row>
    <row r="3137" spans="8:8" hidden="1" x14ac:dyDescent="0.35">
      <c r="H3137" s="83">
        <f t="shared" si="95"/>
        <v>0</v>
      </c>
    </row>
    <row r="3138" spans="8:8" hidden="1" x14ac:dyDescent="0.35">
      <c r="H3138" s="83">
        <f t="shared" si="95"/>
        <v>0</v>
      </c>
    </row>
    <row r="3139" spans="8:8" hidden="1" x14ac:dyDescent="0.35">
      <c r="H3139" s="83">
        <f t="shared" si="95"/>
        <v>0</v>
      </c>
    </row>
    <row r="3140" spans="8:8" hidden="1" x14ac:dyDescent="0.35">
      <c r="H3140" s="83">
        <f t="shared" ref="H3140:H3203" si="96">J3140-I3140</f>
        <v>0</v>
      </c>
    </row>
    <row r="3141" spans="8:8" hidden="1" x14ac:dyDescent="0.35">
      <c r="H3141" s="83">
        <f t="shared" si="96"/>
        <v>0</v>
      </c>
    </row>
    <row r="3142" spans="8:8" hidden="1" x14ac:dyDescent="0.35">
      <c r="H3142" s="83">
        <f t="shared" si="96"/>
        <v>0</v>
      </c>
    </row>
    <row r="3143" spans="8:8" hidden="1" x14ac:dyDescent="0.35">
      <c r="H3143" s="83">
        <f t="shared" si="96"/>
        <v>0</v>
      </c>
    </row>
    <row r="3144" spans="8:8" hidden="1" x14ac:dyDescent="0.35">
      <c r="H3144" s="83">
        <f t="shared" si="96"/>
        <v>0</v>
      </c>
    </row>
    <row r="3145" spans="8:8" hidden="1" x14ac:dyDescent="0.35">
      <c r="H3145" s="83">
        <f t="shared" si="96"/>
        <v>0</v>
      </c>
    </row>
    <row r="3146" spans="8:8" hidden="1" x14ac:dyDescent="0.35">
      <c r="H3146" s="83">
        <f t="shared" si="96"/>
        <v>0</v>
      </c>
    </row>
    <row r="3147" spans="8:8" hidden="1" x14ac:dyDescent="0.35">
      <c r="H3147" s="83">
        <f t="shared" si="96"/>
        <v>0</v>
      </c>
    </row>
    <row r="3148" spans="8:8" hidden="1" x14ac:dyDescent="0.35">
      <c r="H3148" s="83">
        <f t="shared" si="96"/>
        <v>0</v>
      </c>
    </row>
    <row r="3149" spans="8:8" hidden="1" x14ac:dyDescent="0.35">
      <c r="H3149" s="83">
        <f t="shared" si="96"/>
        <v>0</v>
      </c>
    </row>
    <row r="3150" spans="8:8" hidden="1" x14ac:dyDescent="0.35">
      <c r="H3150" s="83">
        <f t="shared" si="96"/>
        <v>0</v>
      </c>
    </row>
    <row r="3151" spans="8:8" hidden="1" x14ac:dyDescent="0.35">
      <c r="H3151" s="83">
        <f t="shared" si="96"/>
        <v>0</v>
      </c>
    </row>
    <row r="3152" spans="8:8" hidden="1" x14ac:dyDescent="0.35">
      <c r="H3152" s="83">
        <f t="shared" si="96"/>
        <v>0</v>
      </c>
    </row>
    <row r="3153" spans="8:8" hidden="1" x14ac:dyDescent="0.35">
      <c r="H3153" s="83">
        <f t="shared" si="96"/>
        <v>0</v>
      </c>
    </row>
    <row r="3154" spans="8:8" hidden="1" x14ac:dyDescent="0.35">
      <c r="H3154" s="83">
        <f t="shared" si="96"/>
        <v>0</v>
      </c>
    </row>
    <row r="3155" spans="8:8" hidden="1" x14ac:dyDescent="0.35">
      <c r="H3155" s="83">
        <f t="shared" si="96"/>
        <v>0</v>
      </c>
    </row>
    <row r="3156" spans="8:8" hidden="1" x14ac:dyDescent="0.35">
      <c r="H3156" s="83">
        <f t="shared" si="96"/>
        <v>0</v>
      </c>
    </row>
    <row r="3157" spans="8:8" hidden="1" x14ac:dyDescent="0.35">
      <c r="H3157" s="83">
        <f t="shared" si="96"/>
        <v>0</v>
      </c>
    </row>
    <row r="3158" spans="8:8" hidden="1" x14ac:dyDescent="0.35">
      <c r="H3158" s="83">
        <f t="shared" si="96"/>
        <v>0</v>
      </c>
    </row>
    <row r="3159" spans="8:8" hidden="1" x14ac:dyDescent="0.35">
      <c r="H3159" s="83">
        <f t="shared" si="96"/>
        <v>0</v>
      </c>
    </row>
    <row r="3160" spans="8:8" hidden="1" x14ac:dyDescent="0.35">
      <c r="H3160" s="83">
        <f t="shared" si="96"/>
        <v>0</v>
      </c>
    </row>
    <row r="3161" spans="8:8" hidden="1" x14ac:dyDescent="0.35">
      <c r="H3161" s="83">
        <f t="shared" si="96"/>
        <v>0</v>
      </c>
    </row>
    <row r="3162" spans="8:8" hidden="1" x14ac:dyDescent="0.35">
      <c r="H3162" s="83">
        <f t="shared" si="96"/>
        <v>0</v>
      </c>
    </row>
    <row r="3163" spans="8:8" hidden="1" x14ac:dyDescent="0.35">
      <c r="H3163" s="83">
        <f t="shared" si="96"/>
        <v>0</v>
      </c>
    </row>
    <row r="3164" spans="8:8" hidden="1" x14ac:dyDescent="0.35">
      <c r="H3164" s="83">
        <f t="shared" si="96"/>
        <v>0</v>
      </c>
    </row>
    <row r="3165" spans="8:8" hidden="1" x14ac:dyDescent="0.35">
      <c r="H3165" s="83">
        <f t="shared" si="96"/>
        <v>0</v>
      </c>
    </row>
    <row r="3166" spans="8:8" hidden="1" x14ac:dyDescent="0.35">
      <c r="H3166" s="83">
        <f t="shared" si="96"/>
        <v>0</v>
      </c>
    </row>
    <row r="3167" spans="8:8" hidden="1" x14ac:dyDescent="0.35">
      <c r="H3167" s="83">
        <f t="shared" si="96"/>
        <v>0</v>
      </c>
    </row>
    <row r="3168" spans="8:8" hidden="1" x14ac:dyDescent="0.35">
      <c r="H3168" s="83">
        <f t="shared" si="96"/>
        <v>0</v>
      </c>
    </row>
    <row r="3169" spans="8:8" hidden="1" x14ac:dyDescent="0.35">
      <c r="H3169" s="83">
        <f t="shared" si="96"/>
        <v>0</v>
      </c>
    </row>
    <row r="3170" spans="8:8" hidden="1" x14ac:dyDescent="0.35">
      <c r="H3170" s="83">
        <f t="shared" si="96"/>
        <v>0</v>
      </c>
    </row>
    <row r="3171" spans="8:8" hidden="1" x14ac:dyDescent="0.35">
      <c r="H3171" s="83">
        <f t="shared" si="96"/>
        <v>0</v>
      </c>
    </row>
    <row r="3172" spans="8:8" hidden="1" x14ac:dyDescent="0.35">
      <c r="H3172" s="83">
        <f t="shared" si="96"/>
        <v>0</v>
      </c>
    </row>
    <row r="3173" spans="8:8" hidden="1" x14ac:dyDescent="0.35">
      <c r="H3173" s="83">
        <f t="shared" si="96"/>
        <v>0</v>
      </c>
    </row>
    <row r="3174" spans="8:8" hidden="1" x14ac:dyDescent="0.35">
      <c r="H3174" s="83">
        <f t="shared" si="96"/>
        <v>0</v>
      </c>
    </row>
    <row r="3175" spans="8:8" hidden="1" x14ac:dyDescent="0.35">
      <c r="H3175" s="83">
        <f t="shared" si="96"/>
        <v>0</v>
      </c>
    </row>
    <row r="3176" spans="8:8" hidden="1" x14ac:dyDescent="0.35">
      <c r="H3176" s="83">
        <f t="shared" si="96"/>
        <v>0</v>
      </c>
    </row>
    <row r="3177" spans="8:8" hidden="1" x14ac:dyDescent="0.35">
      <c r="H3177" s="83">
        <f t="shared" si="96"/>
        <v>0</v>
      </c>
    </row>
    <row r="3178" spans="8:8" hidden="1" x14ac:dyDescent="0.35">
      <c r="H3178" s="83">
        <f t="shared" si="96"/>
        <v>0</v>
      </c>
    </row>
    <row r="3179" spans="8:8" hidden="1" x14ac:dyDescent="0.35">
      <c r="H3179" s="83">
        <f t="shared" si="96"/>
        <v>0</v>
      </c>
    </row>
    <row r="3180" spans="8:8" hidden="1" x14ac:dyDescent="0.35">
      <c r="H3180" s="83">
        <f t="shared" si="96"/>
        <v>0</v>
      </c>
    </row>
    <row r="3181" spans="8:8" hidden="1" x14ac:dyDescent="0.35">
      <c r="H3181" s="83">
        <f t="shared" si="96"/>
        <v>0</v>
      </c>
    </row>
    <row r="3182" spans="8:8" hidden="1" x14ac:dyDescent="0.35">
      <c r="H3182" s="83">
        <f t="shared" si="96"/>
        <v>0</v>
      </c>
    </row>
    <row r="3183" spans="8:8" hidden="1" x14ac:dyDescent="0.35">
      <c r="H3183" s="83">
        <f t="shared" si="96"/>
        <v>0</v>
      </c>
    </row>
    <row r="3184" spans="8:8" hidden="1" x14ac:dyDescent="0.35">
      <c r="H3184" s="83">
        <f t="shared" si="96"/>
        <v>0</v>
      </c>
    </row>
    <row r="3185" spans="8:8" hidden="1" x14ac:dyDescent="0.35">
      <c r="H3185" s="83">
        <f t="shared" si="96"/>
        <v>0</v>
      </c>
    </row>
    <row r="3186" spans="8:8" hidden="1" x14ac:dyDescent="0.35">
      <c r="H3186" s="83">
        <f t="shared" si="96"/>
        <v>0</v>
      </c>
    </row>
    <row r="3187" spans="8:8" hidden="1" x14ac:dyDescent="0.35">
      <c r="H3187" s="83">
        <f t="shared" si="96"/>
        <v>0</v>
      </c>
    </row>
    <row r="3188" spans="8:8" hidden="1" x14ac:dyDescent="0.35">
      <c r="H3188" s="83">
        <f t="shared" si="96"/>
        <v>0</v>
      </c>
    </row>
    <row r="3189" spans="8:8" hidden="1" x14ac:dyDescent="0.35">
      <c r="H3189" s="83">
        <f t="shared" si="96"/>
        <v>0</v>
      </c>
    </row>
    <row r="3190" spans="8:8" hidden="1" x14ac:dyDescent="0.35">
      <c r="H3190" s="83">
        <f t="shared" si="96"/>
        <v>0</v>
      </c>
    </row>
    <row r="3191" spans="8:8" hidden="1" x14ac:dyDescent="0.35">
      <c r="H3191" s="83">
        <f t="shared" si="96"/>
        <v>0</v>
      </c>
    </row>
    <row r="3192" spans="8:8" hidden="1" x14ac:dyDescent="0.35">
      <c r="H3192" s="83">
        <f t="shared" si="96"/>
        <v>0</v>
      </c>
    </row>
    <row r="3193" spans="8:8" hidden="1" x14ac:dyDescent="0.35">
      <c r="H3193" s="83">
        <f t="shared" si="96"/>
        <v>0</v>
      </c>
    </row>
    <row r="3194" spans="8:8" hidden="1" x14ac:dyDescent="0.35">
      <c r="H3194" s="83">
        <f t="shared" si="96"/>
        <v>0</v>
      </c>
    </row>
    <row r="3195" spans="8:8" hidden="1" x14ac:dyDescent="0.35">
      <c r="H3195" s="83">
        <f t="shared" si="96"/>
        <v>0</v>
      </c>
    </row>
    <row r="3196" spans="8:8" hidden="1" x14ac:dyDescent="0.35">
      <c r="H3196" s="83">
        <f t="shared" si="96"/>
        <v>0</v>
      </c>
    </row>
    <row r="3197" spans="8:8" hidden="1" x14ac:dyDescent="0.35">
      <c r="H3197" s="83">
        <f t="shared" si="96"/>
        <v>0</v>
      </c>
    </row>
    <row r="3198" spans="8:8" hidden="1" x14ac:dyDescent="0.35">
      <c r="H3198" s="83">
        <f t="shared" si="96"/>
        <v>0</v>
      </c>
    </row>
    <row r="3199" spans="8:8" hidden="1" x14ac:dyDescent="0.35">
      <c r="H3199" s="83">
        <f t="shared" si="96"/>
        <v>0</v>
      </c>
    </row>
    <row r="3200" spans="8:8" hidden="1" x14ac:dyDescent="0.35">
      <c r="H3200" s="83">
        <f t="shared" si="96"/>
        <v>0</v>
      </c>
    </row>
    <row r="3201" spans="8:8" hidden="1" x14ac:dyDescent="0.35">
      <c r="H3201" s="83">
        <f t="shared" si="96"/>
        <v>0</v>
      </c>
    </row>
    <row r="3202" spans="8:8" hidden="1" x14ac:dyDescent="0.35">
      <c r="H3202" s="83">
        <f t="shared" si="96"/>
        <v>0</v>
      </c>
    </row>
    <row r="3203" spans="8:8" hidden="1" x14ac:dyDescent="0.35">
      <c r="H3203" s="83">
        <f t="shared" si="96"/>
        <v>0</v>
      </c>
    </row>
    <row r="3204" spans="8:8" hidden="1" x14ac:dyDescent="0.35">
      <c r="H3204" s="83">
        <f t="shared" ref="H3204:H3267" si="97">J3204-I3204</f>
        <v>0</v>
      </c>
    </row>
    <row r="3205" spans="8:8" hidden="1" x14ac:dyDescent="0.35">
      <c r="H3205" s="83">
        <f t="shared" si="97"/>
        <v>0</v>
      </c>
    </row>
    <row r="3206" spans="8:8" hidden="1" x14ac:dyDescent="0.35">
      <c r="H3206" s="83">
        <f t="shared" si="97"/>
        <v>0</v>
      </c>
    </row>
    <row r="3207" spans="8:8" hidden="1" x14ac:dyDescent="0.35">
      <c r="H3207" s="83">
        <f t="shared" si="97"/>
        <v>0</v>
      </c>
    </row>
    <row r="3208" spans="8:8" hidden="1" x14ac:dyDescent="0.35">
      <c r="H3208" s="83">
        <f t="shared" si="97"/>
        <v>0</v>
      </c>
    </row>
    <row r="3209" spans="8:8" hidden="1" x14ac:dyDescent="0.35">
      <c r="H3209" s="83">
        <f t="shared" si="97"/>
        <v>0</v>
      </c>
    </row>
    <row r="3210" spans="8:8" hidden="1" x14ac:dyDescent="0.35">
      <c r="H3210" s="83">
        <f t="shared" si="97"/>
        <v>0</v>
      </c>
    </row>
    <row r="3211" spans="8:8" hidden="1" x14ac:dyDescent="0.35">
      <c r="H3211" s="83">
        <f t="shared" si="97"/>
        <v>0</v>
      </c>
    </row>
    <row r="3212" spans="8:8" hidden="1" x14ac:dyDescent="0.35">
      <c r="H3212" s="83">
        <f t="shared" si="97"/>
        <v>0</v>
      </c>
    </row>
    <row r="3213" spans="8:8" hidden="1" x14ac:dyDescent="0.35">
      <c r="H3213" s="83">
        <f t="shared" si="97"/>
        <v>0</v>
      </c>
    </row>
    <row r="3214" spans="8:8" hidden="1" x14ac:dyDescent="0.35">
      <c r="H3214" s="83">
        <f t="shared" si="97"/>
        <v>0</v>
      </c>
    </row>
    <row r="3215" spans="8:8" hidden="1" x14ac:dyDescent="0.35">
      <c r="H3215" s="83">
        <f t="shared" si="97"/>
        <v>0</v>
      </c>
    </row>
    <row r="3216" spans="8:8" hidden="1" x14ac:dyDescent="0.35">
      <c r="H3216" s="83">
        <f t="shared" si="97"/>
        <v>0</v>
      </c>
    </row>
    <row r="3217" spans="8:8" hidden="1" x14ac:dyDescent="0.35">
      <c r="H3217" s="83">
        <f t="shared" si="97"/>
        <v>0</v>
      </c>
    </row>
    <row r="3218" spans="8:8" hidden="1" x14ac:dyDescent="0.35">
      <c r="H3218" s="83">
        <f t="shared" si="97"/>
        <v>0</v>
      </c>
    </row>
    <row r="3219" spans="8:8" hidden="1" x14ac:dyDescent="0.35">
      <c r="H3219" s="83">
        <f t="shared" si="97"/>
        <v>0</v>
      </c>
    </row>
    <row r="3220" spans="8:8" hidden="1" x14ac:dyDescent="0.35">
      <c r="H3220" s="83">
        <f t="shared" si="97"/>
        <v>0</v>
      </c>
    </row>
    <row r="3221" spans="8:8" hidden="1" x14ac:dyDescent="0.35">
      <c r="H3221" s="83">
        <f t="shared" si="97"/>
        <v>0</v>
      </c>
    </row>
    <row r="3222" spans="8:8" hidden="1" x14ac:dyDescent="0.35">
      <c r="H3222" s="83">
        <f t="shared" si="97"/>
        <v>0</v>
      </c>
    </row>
    <row r="3223" spans="8:8" hidden="1" x14ac:dyDescent="0.35">
      <c r="H3223" s="83">
        <f t="shared" si="97"/>
        <v>0</v>
      </c>
    </row>
    <row r="3224" spans="8:8" hidden="1" x14ac:dyDescent="0.35">
      <c r="H3224" s="83">
        <f t="shared" si="97"/>
        <v>0</v>
      </c>
    </row>
    <row r="3225" spans="8:8" hidden="1" x14ac:dyDescent="0.35">
      <c r="H3225" s="83">
        <f t="shared" si="97"/>
        <v>0</v>
      </c>
    </row>
    <row r="3226" spans="8:8" hidden="1" x14ac:dyDescent="0.35">
      <c r="H3226" s="83">
        <f t="shared" si="97"/>
        <v>0</v>
      </c>
    </row>
    <row r="3227" spans="8:8" hidden="1" x14ac:dyDescent="0.35">
      <c r="H3227" s="83">
        <f t="shared" si="97"/>
        <v>0</v>
      </c>
    </row>
    <row r="3228" spans="8:8" hidden="1" x14ac:dyDescent="0.35">
      <c r="H3228" s="83">
        <f t="shared" si="97"/>
        <v>0</v>
      </c>
    </row>
    <row r="3229" spans="8:8" hidden="1" x14ac:dyDescent="0.35">
      <c r="H3229" s="83">
        <f t="shared" si="97"/>
        <v>0</v>
      </c>
    </row>
    <row r="3230" spans="8:8" hidden="1" x14ac:dyDescent="0.35">
      <c r="H3230" s="83">
        <f t="shared" si="97"/>
        <v>0</v>
      </c>
    </row>
    <row r="3231" spans="8:8" hidden="1" x14ac:dyDescent="0.35">
      <c r="H3231" s="83">
        <f t="shared" si="97"/>
        <v>0</v>
      </c>
    </row>
    <row r="3232" spans="8:8" hidden="1" x14ac:dyDescent="0.35">
      <c r="H3232" s="83">
        <f t="shared" si="97"/>
        <v>0</v>
      </c>
    </row>
    <row r="3233" spans="8:8" hidden="1" x14ac:dyDescent="0.35">
      <c r="H3233" s="83">
        <f t="shared" si="97"/>
        <v>0</v>
      </c>
    </row>
    <row r="3234" spans="8:8" hidden="1" x14ac:dyDescent="0.35">
      <c r="H3234" s="83">
        <f t="shared" si="97"/>
        <v>0</v>
      </c>
    </row>
    <row r="3235" spans="8:8" hidden="1" x14ac:dyDescent="0.35">
      <c r="H3235" s="83">
        <f t="shared" si="97"/>
        <v>0</v>
      </c>
    </row>
    <row r="3236" spans="8:8" hidden="1" x14ac:dyDescent="0.35">
      <c r="H3236" s="83">
        <f t="shared" si="97"/>
        <v>0</v>
      </c>
    </row>
    <row r="3237" spans="8:8" hidden="1" x14ac:dyDescent="0.35">
      <c r="H3237" s="83">
        <f t="shared" si="97"/>
        <v>0</v>
      </c>
    </row>
    <row r="3238" spans="8:8" hidden="1" x14ac:dyDescent="0.35">
      <c r="H3238" s="83">
        <f t="shared" si="97"/>
        <v>0</v>
      </c>
    </row>
    <row r="3239" spans="8:8" hidden="1" x14ac:dyDescent="0.35">
      <c r="H3239" s="83">
        <f t="shared" si="97"/>
        <v>0</v>
      </c>
    </row>
    <row r="3240" spans="8:8" hidden="1" x14ac:dyDescent="0.35">
      <c r="H3240" s="83">
        <f t="shared" si="97"/>
        <v>0</v>
      </c>
    </row>
    <row r="3241" spans="8:8" hidden="1" x14ac:dyDescent="0.35">
      <c r="H3241" s="83">
        <f t="shared" si="97"/>
        <v>0</v>
      </c>
    </row>
    <row r="3242" spans="8:8" hidden="1" x14ac:dyDescent="0.35">
      <c r="H3242" s="83">
        <f t="shared" si="97"/>
        <v>0</v>
      </c>
    </row>
    <row r="3243" spans="8:8" hidden="1" x14ac:dyDescent="0.35">
      <c r="H3243" s="83">
        <f t="shared" si="97"/>
        <v>0</v>
      </c>
    </row>
    <row r="3244" spans="8:8" hidden="1" x14ac:dyDescent="0.35">
      <c r="H3244" s="83">
        <f t="shared" si="97"/>
        <v>0</v>
      </c>
    </row>
    <row r="3245" spans="8:8" hidden="1" x14ac:dyDescent="0.35">
      <c r="H3245" s="83">
        <f t="shared" si="97"/>
        <v>0</v>
      </c>
    </row>
    <row r="3246" spans="8:8" hidden="1" x14ac:dyDescent="0.35">
      <c r="H3246" s="83">
        <f t="shared" si="97"/>
        <v>0</v>
      </c>
    </row>
    <row r="3247" spans="8:8" hidden="1" x14ac:dyDescent="0.35">
      <c r="H3247" s="83">
        <f t="shared" si="97"/>
        <v>0</v>
      </c>
    </row>
    <row r="3248" spans="8:8" hidden="1" x14ac:dyDescent="0.35">
      <c r="H3248" s="83">
        <f t="shared" si="97"/>
        <v>0</v>
      </c>
    </row>
    <row r="3249" spans="8:8" hidden="1" x14ac:dyDescent="0.35">
      <c r="H3249" s="83">
        <f t="shared" si="97"/>
        <v>0</v>
      </c>
    </row>
    <row r="3250" spans="8:8" hidden="1" x14ac:dyDescent="0.35">
      <c r="H3250" s="83">
        <f t="shared" si="97"/>
        <v>0</v>
      </c>
    </row>
    <row r="3251" spans="8:8" hidden="1" x14ac:dyDescent="0.35">
      <c r="H3251" s="83">
        <f t="shared" si="97"/>
        <v>0</v>
      </c>
    </row>
    <row r="3252" spans="8:8" hidden="1" x14ac:dyDescent="0.35">
      <c r="H3252" s="83">
        <f t="shared" si="97"/>
        <v>0</v>
      </c>
    </row>
    <row r="3253" spans="8:8" hidden="1" x14ac:dyDescent="0.35">
      <c r="H3253" s="83">
        <f t="shared" si="97"/>
        <v>0</v>
      </c>
    </row>
    <row r="3254" spans="8:8" hidden="1" x14ac:dyDescent="0.35">
      <c r="H3254" s="83">
        <f t="shared" si="97"/>
        <v>0</v>
      </c>
    </row>
    <row r="3255" spans="8:8" hidden="1" x14ac:dyDescent="0.35">
      <c r="H3255" s="83">
        <f t="shared" si="97"/>
        <v>0</v>
      </c>
    </row>
    <row r="3256" spans="8:8" hidden="1" x14ac:dyDescent="0.35">
      <c r="H3256" s="83">
        <f t="shared" si="97"/>
        <v>0</v>
      </c>
    </row>
    <row r="3257" spans="8:8" hidden="1" x14ac:dyDescent="0.35">
      <c r="H3257" s="83">
        <f t="shared" si="97"/>
        <v>0</v>
      </c>
    </row>
    <row r="3258" spans="8:8" hidden="1" x14ac:dyDescent="0.35">
      <c r="H3258" s="83">
        <f t="shared" si="97"/>
        <v>0</v>
      </c>
    </row>
    <row r="3259" spans="8:8" hidden="1" x14ac:dyDescent="0.35">
      <c r="H3259" s="83">
        <f t="shared" si="97"/>
        <v>0</v>
      </c>
    </row>
    <row r="3260" spans="8:8" hidden="1" x14ac:dyDescent="0.35">
      <c r="H3260" s="83">
        <f t="shared" si="97"/>
        <v>0</v>
      </c>
    </row>
    <row r="3261" spans="8:8" hidden="1" x14ac:dyDescent="0.35">
      <c r="H3261" s="83">
        <f t="shared" si="97"/>
        <v>0</v>
      </c>
    </row>
    <row r="3262" spans="8:8" hidden="1" x14ac:dyDescent="0.35">
      <c r="H3262" s="83">
        <f t="shared" si="97"/>
        <v>0</v>
      </c>
    </row>
    <row r="3263" spans="8:8" hidden="1" x14ac:dyDescent="0.35">
      <c r="H3263" s="83">
        <f t="shared" si="97"/>
        <v>0</v>
      </c>
    </row>
    <row r="3264" spans="8:8" hidden="1" x14ac:dyDescent="0.35">
      <c r="H3264" s="83">
        <f t="shared" si="97"/>
        <v>0</v>
      </c>
    </row>
    <row r="3265" spans="8:8" hidden="1" x14ac:dyDescent="0.35">
      <c r="H3265" s="83">
        <f t="shared" si="97"/>
        <v>0</v>
      </c>
    </row>
    <row r="3266" spans="8:8" hidden="1" x14ac:dyDescent="0.35">
      <c r="H3266" s="83">
        <f t="shared" si="97"/>
        <v>0</v>
      </c>
    </row>
    <row r="3267" spans="8:8" hidden="1" x14ac:dyDescent="0.35">
      <c r="H3267" s="83">
        <f t="shared" si="97"/>
        <v>0</v>
      </c>
    </row>
    <row r="3268" spans="8:8" hidden="1" x14ac:dyDescent="0.35">
      <c r="H3268" s="83">
        <f t="shared" ref="H3268:H3331" si="98">J3268-I3268</f>
        <v>0</v>
      </c>
    </row>
    <row r="3269" spans="8:8" hidden="1" x14ac:dyDescent="0.35">
      <c r="H3269" s="83">
        <f t="shared" si="98"/>
        <v>0</v>
      </c>
    </row>
    <row r="3270" spans="8:8" hidden="1" x14ac:dyDescent="0.35">
      <c r="H3270" s="83">
        <f t="shared" si="98"/>
        <v>0</v>
      </c>
    </row>
    <row r="3271" spans="8:8" hidden="1" x14ac:dyDescent="0.35">
      <c r="H3271" s="83">
        <f t="shared" si="98"/>
        <v>0</v>
      </c>
    </row>
    <row r="3272" spans="8:8" hidden="1" x14ac:dyDescent="0.35">
      <c r="H3272" s="83">
        <f t="shared" si="98"/>
        <v>0</v>
      </c>
    </row>
    <row r="3273" spans="8:8" hidden="1" x14ac:dyDescent="0.35">
      <c r="H3273" s="83">
        <f t="shared" si="98"/>
        <v>0</v>
      </c>
    </row>
    <row r="3274" spans="8:8" hidden="1" x14ac:dyDescent="0.35">
      <c r="H3274" s="83">
        <f t="shared" si="98"/>
        <v>0</v>
      </c>
    </row>
    <row r="3275" spans="8:8" hidden="1" x14ac:dyDescent="0.35">
      <c r="H3275" s="83">
        <f t="shared" si="98"/>
        <v>0</v>
      </c>
    </row>
    <row r="3276" spans="8:8" hidden="1" x14ac:dyDescent="0.35">
      <c r="H3276" s="83">
        <f t="shared" si="98"/>
        <v>0</v>
      </c>
    </row>
    <row r="3277" spans="8:8" hidden="1" x14ac:dyDescent="0.35">
      <c r="H3277" s="83">
        <f t="shared" si="98"/>
        <v>0</v>
      </c>
    </row>
    <row r="3278" spans="8:8" hidden="1" x14ac:dyDescent="0.35">
      <c r="H3278" s="83">
        <f t="shared" si="98"/>
        <v>0</v>
      </c>
    </row>
    <row r="3279" spans="8:8" hidden="1" x14ac:dyDescent="0.35">
      <c r="H3279" s="83">
        <f t="shared" si="98"/>
        <v>0</v>
      </c>
    </row>
    <row r="3280" spans="8:8" hidden="1" x14ac:dyDescent="0.35">
      <c r="H3280" s="83">
        <f t="shared" si="98"/>
        <v>0</v>
      </c>
    </row>
    <row r="3281" spans="8:8" hidden="1" x14ac:dyDescent="0.35">
      <c r="H3281" s="83">
        <f t="shared" si="98"/>
        <v>0</v>
      </c>
    </row>
    <row r="3282" spans="8:8" hidden="1" x14ac:dyDescent="0.35">
      <c r="H3282" s="83">
        <f t="shared" si="98"/>
        <v>0</v>
      </c>
    </row>
    <row r="3283" spans="8:8" hidden="1" x14ac:dyDescent="0.35">
      <c r="H3283" s="83">
        <f t="shared" si="98"/>
        <v>0</v>
      </c>
    </row>
    <row r="3284" spans="8:8" hidden="1" x14ac:dyDescent="0.35">
      <c r="H3284" s="83">
        <f t="shared" si="98"/>
        <v>0</v>
      </c>
    </row>
    <row r="3285" spans="8:8" hidden="1" x14ac:dyDescent="0.35">
      <c r="H3285" s="83">
        <f t="shared" si="98"/>
        <v>0</v>
      </c>
    </row>
    <row r="3286" spans="8:8" hidden="1" x14ac:dyDescent="0.35">
      <c r="H3286" s="83">
        <f t="shared" si="98"/>
        <v>0</v>
      </c>
    </row>
    <row r="3287" spans="8:8" hidden="1" x14ac:dyDescent="0.35">
      <c r="H3287" s="83">
        <f t="shared" si="98"/>
        <v>0</v>
      </c>
    </row>
    <row r="3288" spans="8:8" hidden="1" x14ac:dyDescent="0.35">
      <c r="H3288" s="83">
        <f t="shared" si="98"/>
        <v>0</v>
      </c>
    </row>
    <row r="3289" spans="8:8" hidden="1" x14ac:dyDescent="0.35">
      <c r="H3289" s="83">
        <f t="shared" si="98"/>
        <v>0</v>
      </c>
    </row>
    <row r="3290" spans="8:8" hidden="1" x14ac:dyDescent="0.35">
      <c r="H3290" s="83">
        <f t="shared" si="98"/>
        <v>0</v>
      </c>
    </row>
    <row r="3291" spans="8:8" hidden="1" x14ac:dyDescent="0.35">
      <c r="H3291" s="83">
        <f t="shared" si="98"/>
        <v>0</v>
      </c>
    </row>
    <row r="3292" spans="8:8" hidden="1" x14ac:dyDescent="0.35">
      <c r="H3292" s="83">
        <f t="shared" si="98"/>
        <v>0</v>
      </c>
    </row>
    <row r="3293" spans="8:8" hidden="1" x14ac:dyDescent="0.35">
      <c r="H3293" s="83">
        <f t="shared" si="98"/>
        <v>0</v>
      </c>
    </row>
    <row r="3294" spans="8:8" hidden="1" x14ac:dyDescent="0.35">
      <c r="H3294" s="83">
        <f t="shared" si="98"/>
        <v>0</v>
      </c>
    </row>
    <row r="3295" spans="8:8" hidden="1" x14ac:dyDescent="0.35">
      <c r="H3295" s="83">
        <f t="shared" si="98"/>
        <v>0</v>
      </c>
    </row>
    <row r="3296" spans="8:8" hidden="1" x14ac:dyDescent="0.35">
      <c r="H3296" s="83">
        <f t="shared" si="98"/>
        <v>0</v>
      </c>
    </row>
    <row r="3297" spans="8:8" hidden="1" x14ac:dyDescent="0.35">
      <c r="H3297" s="83">
        <f t="shared" si="98"/>
        <v>0</v>
      </c>
    </row>
    <row r="3298" spans="8:8" hidden="1" x14ac:dyDescent="0.35">
      <c r="H3298" s="83">
        <f t="shared" si="98"/>
        <v>0</v>
      </c>
    </row>
    <row r="3299" spans="8:8" hidden="1" x14ac:dyDescent="0.35">
      <c r="H3299" s="83">
        <f t="shared" si="98"/>
        <v>0</v>
      </c>
    </row>
    <row r="3300" spans="8:8" hidden="1" x14ac:dyDescent="0.35">
      <c r="H3300" s="83">
        <f t="shared" si="98"/>
        <v>0</v>
      </c>
    </row>
    <row r="3301" spans="8:8" hidden="1" x14ac:dyDescent="0.35">
      <c r="H3301" s="83">
        <f t="shared" si="98"/>
        <v>0</v>
      </c>
    </row>
    <row r="3302" spans="8:8" hidden="1" x14ac:dyDescent="0.35">
      <c r="H3302" s="83">
        <f t="shared" si="98"/>
        <v>0</v>
      </c>
    </row>
    <row r="3303" spans="8:8" hidden="1" x14ac:dyDescent="0.35">
      <c r="H3303" s="83">
        <f t="shared" si="98"/>
        <v>0</v>
      </c>
    </row>
    <row r="3304" spans="8:8" hidden="1" x14ac:dyDescent="0.35">
      <c r="H3304" s="83">
        <f t="shared" si="98"/>
        <v>0</v>
      </c>
    </row>
    <row r="3305" spans="8:8" hidden="1" x14ac:dyDescent="0.35">
      <c r="H3305" s="83">
        <f t="shared" si="98"/>
        <v>0</v>
      </c>
    </row>
    <row r="3306" spans="8:8" hidden="1" x14ac:dyDescent="0.35">
      <c r="H3306" s="83">
        <f t="shared" si="98"/>
        <v>0</v>
      </c>
    </row>
    <row r="3307" spans="8:8" hidden="1" x14ac:dyDescent="0.35">
      <c r="H3307" s="83">
        <f t="shared" si="98"/>
        <v>0</v>
      </c>
    </row>
    <row r="3308" spans="8:8" hidden="1" x14ac:dyDescent="0.35">
      <c r="H3308" s="83">
        <f t="shared" si="98"/>
        <v>0</v>
      </c>
    </row>
    <row r="3309" spans="8:8" hidden="1" x14ac:dyDescent="0.35">
      <c r="H3309" s="83">
        <f t="shared" si="98"/>
        <v>0</v>
      </c>
    </row>
    <row r="3310" spans="8:8" hidden="1" x14ac:dyDescent="0.35">
      <c r="H3310" s="83">
        <f t="shared" si="98"/>
        <v>0</v>
      </c>
    </row>
    <row r="3311" spans="8:8" hidden="1" x14ac:dyDescent="0.35">
      <c r="H3311" s="83">
        <f t="shared" si="98"/>
        <v>0</v>
      </c>
    </row>
    <row r="3312" spans="8:8" hidden="1" x14ac:dyDescent="0.35">
      <c r="H3312" s="83">
        <f t="shared" si="98"/>
        <v>0</v>
      </c>
    </row>
    <row r="3313" spans="8:8" hidden="1" x14ac:dyDescent="0.35">
      <c r="H3313" s="83">
        <f t="shared" si="98"/>
        <v>0</v>
      </c>
    </row>
    <row r="3314" spans="8:8" hidden="1" x14ac:dyDescent="0.35">
      <c r="H3314" s="83">
        <f t="shared" si="98"/>
        <v>0</v>
      </c>
    </row>
    <row r="3315" spans="8:8" hidden="1" x14ac:dyDescent="0.35">
      <c r="H3315" s="83">
        <f t="shared" si="98"/>
        <v>0</v>
      </c>
    </row>
    <row r="3316" spans="8:8" hidden="1" x14ac:dyDescent="0.35">
      <c r="H3316" s="83">
        <f t="shared" si="98"/>
        <v>0</v>
      </c>
    </row>
    <row r="3317" spans="8:8" hidden="1" x14ac:dyDescent="0.35">
      <c r="H3317" s="83">
        <f t="shared" si="98"/>
        <v>0</v>
      </c>
    </row>
    <row r="3318" spans="8:8" hidden="1" x14ac:dyDescent="0.35">
      <c r="H3318" s="83">
        <f t="shared" si="98"/>
        <v>0</v>
      </c>
    </row>
    <row r="3319" spans="8:8" hidden="1" x14ac:dyDescent="0.35">
      <c r="H3319" s="83">
        <f t="shared" si="98"/>
        <v>0</v>
      </c>
    </row>
    <row r="3320" spans="8:8" hidden="1" x14ac:dyDescent="0.35">
      <c r="H3320" s="83">
        <f t="shared" si="98"/>
        <v>0</v>
      </c>
    </row>
    <row r="3321" spans="8:8" hidden="1" x14ac:dyDescent="0.35">
      <c r="H3321" s="83">
        <f t="shared" si="98"/>
        <v>0</v>
      </c>
    </row>
    <row r="3322" spans="8:8" hidden="1" x14ac:dyDescent="0.35">
      <c r="H3322" s="83">
        <f t="shared" si="98"/>
        <v>0</v>
      </c>
    </row>
    <row r="3323" spans="8:8" hidden="1" x14ac:dyDescent="0.35">
      <c r="H3323" s="83">
        <f t="shared" si="98"/>
        <v>0</v>
      </c>
    </row>
    <row r="3324" spans="8:8" hidden="1" x14ac:dyDescent="0.35">
      <c r="H3324" s="83">
        <f t="shared" si="98"/>
        <v>0</v>
      </c>
    </row>
    <row r="3325" spans="8:8" hidden="1" x14ac:dyDescent="0.35">
      <c r="H3325" s="83">
        <f t="shared" si="98"/>
        <v>0</v>
      </c>
    </row>
    <row r="3326" spans="8:8" hidden="1" x14ac:dyDescent="0.35">
      <c r="H3326" s="83">
        <f t="shared" si="98"/>
        <v>0</v>
      </c>
    </row>
    <row r="3327" spans="8:8" hidden="1" x14ac:dyDescent="0.35">
      <c r="H3327" s="83">
        <f t="shared" si="98"/>
        <v>0</v>
      </c>
    </row>
    <row r="3328" spans="8:8" hidden="1" x14ac:dyDescent="0.35">
      <c r="H3328" s="83">
        <f t="shared" si="98"/>
        <v>0</v>
      </c>
    </row>
    <row r="3329" spans="8:8" hidden="1" x14ac:dyDescent="0.35">
      <c r="H3329" s="83">
        <f t="shared" si="98"/>
        <v>0</v>
      </c>
    </row>
    <row r="3330" spans="8:8" hidden="1" x14ac:dyDescent="0.35">
      <c r="H3330" s="83">
        <f t="shared" si="98"/>
        <v>0</v>
      </c>
    </row>
    <row r="3331" spans="8:8" hidden="1" x14ac:dyDescent="0.35">
      <c r="H3331" s="83">
        <f t="shared" si="98"/>
        <v>0</v>
      </c>
    </row>
    <row r="3332" spans="8:8" hidden="1" x14ac:dyDescent="0.35">
      <c r="H3332" s="83">
        <f t="shared" ref="H3332:H3395" si="99">J3332-I3332</f>
        <v>0</v>
      </c>
    </row>
    <row r="3333" spans="8:8" hidden="1" x14ac:dyDescent="0.35">
      <c r="H3333" s="83">
        <f t="shared" si="99"/>
        <v>0</v>
      </c>
    </row>
    <row r="3334" spans="8:8" hidden="1" x14ac:dyDescent="0.35">
      <c r="H3334" s="83">
        <f t="shared" si="99"/>
        <v>0</v>
      </c>
    </row>
    <row r="3335" spans="8:8" hidden="1" x14ac:dyDescent="0.35">
      <c r="H3335" s="83">
        <f t="shared" si="99"/>
        <v>0</v>
      </c>
    </row>
    <row r="3336" spans="8:8" hidden="1" x14ac:dyDescent="0.35">
      <c r="H3336" s="83">
        <f t="shared" si="99"/>
        <v>0</v>
      </c>
    </row>
    <row r="3337" spans="8:8" hidden="1" x14ac:dyDescent="0.35">
      <c r="H3337" s="83">
        <f t="shared" si="99"/>
        <v>0</v>
      </c>
    </row>
    <row r="3338" spans="8:8" hidden="1" x14ac:dyDescent="0.35">
      <c r="H3338" s="83">
        <f t="shared" si="99"/>
        <v>0</v>
      </c>
    </row>
    <row r="3339" spans="8:8" hidden="1" x14ac:dyDescent="0.35">
      <c r="H3339" s="83">
        <f t="shared" si="99"/>
        <v>0</v>
      </c>
    </row>
    <row r="3340" spans="8:8" hidden="1" x14ac:dyDescent="0.35">
      <c r="H3340" s="83">
        <f t="shared" si="99"/>
        <v>0</v>
      </c>
    </row>
    <row r="3341" spans="8:8" hidden="1" x14ac:dyDescent="0.35">
      <c r="H3341" s="83">
        <f t="shared" si="99"/>
        <v>0</v>
      </c>
    </row>
    <row r="3342" spans="8:8" hidden="1" x14ac:dyDescent="0.35">
      <c r="H3342" s="83">
        <f t="shared" si="99"/>
        <v>0</v>
      </c>
    </row>
    <row r="3343" spans="8:8" hidden="1" x14ac:dyDescent="0.35">
      <c r="H3343" s="83">
        <f t="shared" si="99"/>
        <v>0</v>
      </c>
    </row>
    <row r="3344" spans="8:8" hidden="1" x14ac:dyDescent="0.35">
      <c r="H3344" s="83">
        <f t="shared" si="99"/>
        <v>0</v>
      </c>
    </row>
    <row r="3345" spans="8:8" hidden="1" x14ac:dyDescent="0.35">
      <c r="H3345" s="83">
        <f t="shared" si="99"/>
        <v>0</v>
      </c>
    </row>
    <row r="3346" spans="8:8" hidden="1" x14ac:dyDescent="0.35">
      <c r="H3346" s="83">
        <f t="shared" si="99"/>
        <v>0</v>
      </c>
    </row>
    <row r="3347" spans="8:8" hidden="1" x14ac:dyDescent="0.35">
      <c r="H3347" s="83">
        <f t="shared" si="99"/>
        <v>0</v>
      </c>
    </row>
    <row r="3348" spans="8:8" hidden="1" x14ac:dyDescent="0.35">
      <c r="H3348" s="83">
        <f t="shared" si="99"/>
        <v>0</v>
      </c>
    </row>
    <row r="3349" spans="8:8" hidden="1" x14ac:dyDescent="0.35">
      <c r="H3349" s="83">
        <f t="shared" si="99"/>
        <v>0</v>
      </c>
    </row>
    <row r="3350" spans="8:8" hidden="1" x14ac:dyDescent="0.35">
      <c r="H3350" s="83">
        <f t="shared" si="99"/>
        <v>0</v>
      </c>
    </row>
    <row r="3351" spans="8:8" hidden="1" x14ac:dyDescent="0.35">
      <c r="H3351" s="83">
        <f t="shared" si="99"/>
        <v>0</v>
      </c>
    </row>
    <row r="3352" spans="8:8" hidden="1" x14ac:dyDescent="0.35">
      <c r="H3352" s="83">
        <f t="shared" si="99"/>
        <v>0</v>
      </c>
    </row>
    <row r="3353" spans="8:8" hidden="1" x14ac:dyDescent="0.35">
      <c r="H3353" s="83">
        <f t="shared" si="99"/>
        <v>0</v>
      </c>
    </row>
    <row r="3354" spans="8:8" hidden="1" x14ac:dyDescent="0.35">
      <c r="H3354" s="83">
        <f t="shared" si="99"/>
        <v>0</v>
      </c>
    </row>
    <row r="3355" spans="8:8" hidden="1" x14ac:dyDescent="0.35">
      <c r="H3355" s="83">
        <f t="shared" si="99"/>
        <v>0</v>
      </c>
    </row>
    <row r="3356" spans="8:8" hidden="1" x14ac:dyDescent="0.35">
      <c r="H3356" s="83">
        <f t="shared" si="99"/>
        <v>0</v>
      </c>
    </row>
    <row r="3357" spans="8:8" hidden="1" x14ac:dyDescent="0.35">
      <c r="H3357" s="83">
        <f t="shared" si="99"/>
        <v>0</v>
      </c>
    </row>
    <row r="3358" spans="8:8" hidden="1" x14ac:dyDescent="0.35">
      <c r="H3358" s="83">
        <f t="shared" si="99"/>
        <v>0</v>
      </c>
    </row>
    <row r="3359" spans="8:8" hidden="1" x14ac:dyDescent="0.35">
      <c r="H3359" s="83">
        <f t="shared" si="99"/>
        <v>0</v>
      </c>
    </row>
    <row r="3360" spans="8:8" hidden="1" x14ac:dyDescent="0.35">
      <c r="H3360" s="83">
        <f t="shared" si="99"/>
        <v>0</v>
      </c>
    </row>
    <row r="3361" spans="8:8" hidden="1" x14ac:dyDescent="0.35">
      <c r="H3361" s="83">
        <f t="shared" si="99"/>
        <v>0</v>
      </c>
    </row>
    <row r="3362" spans="8:8" hidden="1" x14ac:dyDescent="0.35">
      <c r="H3362" s="83">
        <f t="shared" si="99"/>
        <v>0</v>
      </c>
    </row>
    <row r="3363" spans="8:8" hidden="1" x14ac:dyDescent="0.35">
      <c r="H3363" s="83">
        <f t="shared" si="99"/>
        <v>0</v>
      </c>
    </row>
    <row r="3364" spans="8:8" hidden="1" x14ac:dyDescent="0.35">
      <c r="H3364" s="83">
        <f t="shared" si="99"/>
        <v>0</v>
      </c>
    </row>
    <row r="3365" spans="8:8" hidden="1" x14ac:dyDescent="0.35">
      <c r="H3365" s="83">
        <f t="shared" si="99"/>
        <v>0</v>
      </c>
    </row>
    <row r="3366" spans="8:8" hidden="1" x14ac:dyDescent="0.35">
      <c r="H3366" s="83">
        <f t="shared" si="99"/>
        <v>0</v>
      </c>
    </row>
    <row r="3367" spans="8:8" hidden="1" x14ac:dyDescent="0.35">
      <c r="H3367" s="83">
        <f t="shared" si="99"/>
        <v>0</v>
      </c>
    </row>
    <row r="3368" spans="8:8" hidden="1" x14ac:dyDescent="0.35">
      <c r="H3368" s="83">
        <f t="shared" si="99"/>
        <v>0</v>
      </c>
    </row>
    <row r="3369" spans="8:8" hidden="1" x14ac:dyDescent="0.35">
      <c r="H3369" s="83">
        <f t="shared" si="99"/>
        <v>0</v>
      </c>
    </row>
    <row r="3370" spans="8:8" hidden="1" x14ac:dyDescent="0.35">
      <c r="H3370" s="83">
        <f t="shared" si="99"/>
        <v>0</v>
      </c>
    </row>
    <row r="3371" spans="8:8" hidden="1" x14ac:dyDescent="0.35">
      <c r="H3371" s="83">
        <f t="shared" si="99"/>
        <v>0</v>
      </c>
    </row>
    <row r="3372" spans="8:8" hidden="1" x14ac:dyDescent="0.35">
      <c r="H3372" s="83">
        <f t="shared" si="99"/>
        <v>0</v>
      </c>
    </row>
    <row r="3373" spans="8:8" hidden="1" x14ac:dyDescent="0.35">
      <c r="H3373" s="83">
        <f t="shared" si="99"/>
        <v>0</v>
      </c>
    </row>
    <row r="3374" spans="8:8" hidden="1" x14ac:dyDescent="0.35">
      <c r="H3374" s="83">
        <f t="shared" si="99"/>
        <v>0</v>
      </c>
    </row>
    <row r="3375" spans="8:8" hidden="1" x14ac:dyDescent="0.35">
      <c r="H3375" s="83">
        <f t="shared" si="99"/>
        <v>0</v>
      </c>
    </row>
    <row r="3376" spans="8:8" hidden="1" x14ac:dyDescent="0.35">
      <c r="H3376" s="83">
        <f t="shared" si="99"/>
        <v>0</v>
      </c>
    </row>
    <row r="3377" spans="8:8" hidden="1" x14ac:dyDescent="0.35">
      <c r="H3377" s="83">
        <f t="shared" si="99"/>
        <v>0</v>
      </c>
    </row>
    <row r="3378" spans="8:8" hidden="1" x14ac:dyDescent="0.35">
      <c r="H3378" s="83">
        <f t="shared" si="99"/>
        <v>0</v>
      </c>
    </row>
    <row r="3379" spans="8:8" hidden="1" x14ac:dyDescent="0.35">
      <c r="H3379" s="83">
        <f t="shared" si="99"/>
        <v>0</v>
      </c>
    </row>
    <row r="3380" spans="8:8" hidden="1" x14ac:dyDescent="0.35">
      <c r="H3380" s="83">
        <f t="shared" si="99"/>
        <v>0</v>
      </c>
    </row>
    <row r="3381" spans="8:8" hidden="1" x14ac:dyDescent="0.35">
      <c r="H3381" s="83">
        <f t="shared" si="99"/>
        <v>0</v>
      </c>
    </row>
    <row r="3382" spans="8:8" hidden="1" x14ac:dyDescent="0.35">
      <c r="H3382" s="83">
        <f t="shared" si="99"/>
        <v>0</v>
      </c>
    </row>
    <row r="3383" spans="8:8" hidden="1" x14ac:dyDescent="0.35">
      <c r="H3383" s="83">
        <f t="shared" si="99"/>
        <v>0</v>
      </c>
    </row>
    <row r="3384" spans="8:8" hidden="1" x14ac:dyDescent="0.35">
      <c r="H3384" s="83">
        <f t="shared" si="99"/>
        <v>0</v>
      </c>
    </row>
    <row r="3385" spans="8:8" hidden="1" x14ac:dyDescent="0.35">
      <c r="H3385" s="83">
        <f t="shared" si="99"/>
        <v>0</v>
      </c>
    </row>
    <row r="3386" spans="8:8" hidden="1" x14ac:dyDescent="0.35">
      <c r="H3386" s="83">
        <f t="shared" si="99"/>
        <v>0</v>
      </c>
    </row>
    <row r="3387" spans="8:8" hidden="1" x14ac:dyDescent="0.35">
      <c r="H3387" s="83">
        <f t="shared" si="99"/>
        <v>0</v>
      </c>
    </row>
    <row r="3388" spans="8:8" hidden="1" x14ac:dyDescent="0.35">
      <c r="H3388" s="83">
        <f t="shared" si="99"/>
        <v>0</v>
      </c>
    </row>
    <row r="3389" spans="8:8" hidden="1" x14ac:dyDescent="0.35">
      <c r="H3389" s="83">
        <f t="shared" si="99"/>
        <v>0</v>
      </c>
    </row>
    <row r="3390" spans="8:8" hidden="1" x14ac:dyDescent="0.35">
      <c r="H3390" s="83">
        <f t="shared" si="99"/>
        <v>0</v>
      </c>
    </row>
    <row r="3391" spans="8:8" hidden="1" x14ac:dyDescent="0.35">
      <c r="H3391" s="83">
        <f t="shared" si="99"/>
        <v>0</v>
      </c>
    </row>
    <row r="3392" spans="8:8" hidden="1" x14ac:dyDescent="0.35">
      <c r="H3392" s="83">
        <f t="shared" si="99"/>
        <v>0</v>
      </c>
    </row>
    <row r="3393" spans="8:8" hidden="1" x14ac:dyDescent="0.35">
      <c r="H3393" s="83">
        <f t="shared" si="99"/>
        <v>0</v>
      </c>
    </row>
    <row r="3394" spans="8:8" hidden="1" x14ac:dyDescent="0.35">
      <c r="H3394" s="83">
        <f t="shared" si="99"/>
        <v>0</v>
      </c>
    </row>
    <row r="3395" spans="8:8" hidden="1" x14ac:dyDescent="0.35">
      <c r="H3395" s="83">
        <f t="shared" si="99"/>
        <v>0</v>
      </c>
    </row>
    <row r="3396" spans="8:8" hidden="1" x14ac:dyDescent="0.35">
      <c r="H3396" s="83">
        <f t="shared" ref="H3396:H3459" si="100">J3396-I3396</f>
        <v>0</v>
      </c>
    </row>
    <row r="3397" spans="8:8" hidden="1" x14ac:dyDescent="0.35">
      <c r="H3397" s="83">
        <f t="shared" si="100"/>
        <v>0</v>
      </c>
    </row>
    <row r="3398" spans="8:8" hidden="1" x14ac:dyDescent="0.35">
      <c r="H3398" s="83">
        <f t="shared" si="100"/>
        <v>0</v>
      </c>
    </row>
    <row r="3399" spans="8:8" hidden="1" x14ac:dyDescent="0.35">
      <c r="H3399" s="83">
        <f t="shared" si="100"/>
        <v>0</v>
      </c>
    </row>
    <row r="3400" spans="8:8" hidden="1" x14ac:dyDescent="0.35">
      <c r="H3400" s="83">
        <f t="shared" si="100"/>
        <v>0</v>
      </c>
    </row>
    <row r="3401" spans="8:8" hidden="1" x14ac:dyDescent="0.35">
      <c r="H3401" s="83">
        <f t="shared" si="100"/>
        <v>0</v>
      </c>
    </row>
    <row r="3402" spans="8:8" hidden="1" x14ac:dyDescent="0.35">
      <c r="H3402" s="83">
        <f t="shared" si="100"/>
        <v>0</v>
      </c>
    </row>
    <row r="3403" spans="8:8" hidden="1" x14ac:dyDescent="0.35">
      <c r="H3403" s="83">
        <f t="shared" si="100"/>
        <v>0</v>
      </c>
    </row>
    <row r="3404" spans="8:8" hidden="1" x14ac:dyDescent="0.35">
      <c r="H3404" s="83">
        <f t="shared" si="100"/>
        <v>0</v>
      </c>
    </row>
    <row r="3405" spans="8:8" hidden="1" x14ac:dyDescent="0.35">
      <c r="H3405" s="83">
        <f t="shared" si="100"/>
        <v>0</v>
      </c>
    </row>
    <row r="3406" spans="8:8" hidden="1" x14ac:dyDescent="0.35">
      <c r="H3406" s="83">
        <f t="shared" si="100"/>
        <v>0</v>
      </c>
    </row>
    <row r="3407" spans="8:8" hidden="1" x14ac:dyDescent="0.35">
      <c r="H3407" s="83">
        <f t="shared" si="100"/>
        <v>0</v>
      </c>
    </row>
    <row r="3408" spans="8:8" hidden="1" x14ac:dyDescent="0.35">
      <c r="H3408" s="83">
        <f t="shared" si="100"/>
        <v>0</v>
      </c>
    </row>
    <row r="3409" spans="8:8" hidden="1" x14ac:dyDescent="0.35">
      <c r="H3409" s="83">
        <f t="shared" si="100"/>
        <v>0</v>
      </c>
    </row>
    <row r="3410" spans="8:8" hidden="1" x14ac:dyDescent="0.35">
      <c r="H3410" s="83">
        <f t="shared" si="100"/>
        <v>0</v>
      </c>
    </row>
    <row r="3411" spans="8:8" hidden="1" x14ac:dyDescent="0.35">
      <c r="H3411" s="83">
        <f t="shared" si="100"/>
        <v>0</v>
      </c>
    </row>
    <row r="3412" spans="8:8" hidden="1" x14ac:dyDescent="0.35">
      <c r="H3412" s="83">
        <f t="shared" si="100"/>
        <v>0</v>
      </c>
    </row>
    <row r="3413" spans="8:8" hidden="1" x14ac:dyDescent="0.35">
      <c r="H3413" s="83">
        <f t="shared" si="100"/>
        <v>0</v>
      </c>
    </row>
    <row r="3414" spans="8:8" hidden="1" x14ac:dyDescent="0.35">
      <c r="H3414" s="83">
        <f t="shared" si="100"/>
        <v>0</v>
      </c>
    </row>
    <row r="3415" spans="8:8" hidden="1" x14ac:dyDescent="0.35">
      <c r="H3415" s="83">
        <f t="shared" si="100"/>
        <v>0</v>
      </c>
    </row>
    <row r="3416" spans="8:8" hidden="1" x14ac:dyDescent="0.35">
      <c r="H3416" s="83">
        <f t="shared" si="100"/>
        <v>0</v>
      </c>
    </row>
    <row r="3417" spans="8:8" hidden="1" x14ac:dyDescent="0.35">
      <c r="H3417" s="83">
        <f t="shared" si="100"/>
        <v>0</v>
      </c>
    </row>
    <row r="3418" spans="8:8" hidden="1" x14ac:dyDescent="0.35">
      <c r="H3418" s="83">
        <f t="shared" si="100"/>
        <v>0</v>
      </c>
    </row>
    <row r="3419" spans="8:8" hidden="1" x14ac:dyDescent="0.35">
      <c r="H3419" s="83">
        <f t="shared" si="100"/>
        <v>0</v>
      </c>
    </row>
    <row r="3420" spans="8:8" hidden="1" x14ac:dyDescent="0.35">
      <c r="H3420" s="83">
        <f t="shared" si="100"/>
        <v>0</v>
      </c>
    </row>
    <row r="3421" spans="8:8" hidden="1" x14ac:dyDescent="0.35">
      <c r="H3421" s="83">
        <f t="shared" si="100"/>
        <v>0</v>
      </c>
    </row>
    <row r="3422" spans="8:8" hidden="1" x14ac:dyDescent="0.35">
      <c r="H3422" s="83">
        <f t="shared" si="100"/>
        <v>0</v>
      </c>
    </row>
    <row r="3423" spans="8:8" hidden="1" x14ac:dyDescent="0.35">
      <c r="H3423" s="83">
        <f t="shared" si="100"/>
        <v>0</v>
      </c>
    </row>
    <row r="3424" spans="8:8" hidden="1" x14ac:dyDescent="0.35">
      <c r="H3424" s="83">
        <f t="shared" si="100"/>
        <v>0</v>
      </c>
    </row>
    <row r="3425" spans="8:8" hidden="1" x14ac:dyDescent="0.35">
      <c r="H3425" s="83">
        <f t="shared" si="100"/>
        <v>0</v>
      </c>
    </row>
    <row r="3426" spans="8:8" hidden="1" x14ac:dyDescent="0.35">
      <c r="H3426" s="83">
        <f t="shared" si="100"/>
        <v>0</v>
      </c>
    </row>
    <row r="3427" spans="8:8" hidden="1" x14ac:dyDescent="0.35">
      <c r="H3427" s="83">
        <f t="shared" si="100"/>
        <v>0</v>
      </c>
    </row>
    <row r="3428" spans="8:8" hidden="1" x14ac:dyDescent="0.35">
      <c r="H3428" s="83">
        <f t="shared" si="100"/>
        <v>0</v>
      </c>
    </row>
    <row r="3429" spans="8:8" hidden="1" x14ac:dyDescent="0.35">
      <c r="H3429" s="83">
        <f t="shared" si="100"/>
        <v>0</v>
      </c>
    </row>
    <row r="3430" spans="8:8" hidden="1" x14ac:dyDescent="0.35">
      <c r="H3430" s="83">
        <f t="shared" si="100"/>
        <v>0</v>
      </c>
    </row>
    <row r="3431" spans="8:8" hidden="1" x14ac:dyDescent="0.35">
      <c r="H3431" s="83">
        <f t="shared" si="100"/>
        <v>0</v>
      </c>
    </row>
    <row r="3432" spans="8:8" hidden="1" x14ac:dyDescent="0.35">
      <c r="H3432" s="83">
        <f t="shared" si="100"/>
        <v>0</v>
      </c>
    </row>
    <row r="3433" spans="8:8" hidden="1" x14ac:dyDescent="0.35">
      <c r="H3433" s="83">
        <f t="shared" si="100"/>
        <v>0</v>
      </c>
    </row>
    <row r="3434" spans="8:8" hidden="1" x14ac:dyDescent="0.35">
      <c r="H3434" s="83">
        <f t="shared" si="100"/>
        <v>0</v>
      </c>
    </row>
    <row r="3435" spans="8:8" hidden="1" x14ac:dyDescent="0.35">
      <c r="H3435" s="83">
        <f t="shared" si="100"/>
        <v>0</v>
      </c>
    </row>
    <row r="3436" spans="8:8" hidden="1" x14ac:dyDescent="0.35">
      <c r="H3436" s="83">
        <f t="shared" si="100"/>
        <v>0</v>
      </c>
    </row>
    <row r="3437" spans="8:8" hidden="1" x14ac:dyDescent="0.35">
      <c r="H3437" s="83">
        <f t="shared" si="100"/>
        <v>0</v>
      </c>
    </row>
    <row r="3438" spans="8:8" hidden="1" x14ac:dyDescent="0.35">
      <c r="H3438" s="83">
        <f t="shared" si="100"/>
        <v>0</v>
      </c>
    </row>
    <row r="3439" spans="8:8" hidden="1" x14ac:dyDescent="0.35">
      <c r="H3439" s="83">
        <f t="shared" si="100"/>
        <v>0</v>
      </c>
    </row>
    <row r="3440" spans="8:8" hidden="1" x14ac:dyDescent="0.35">
      <c r="H3440" s="83">
        <f t="shared" si="100"/>
        <v>0</v>
      </c>
    </row>
    <row r="3441" spans="8:8" hidden="1" x14ac:dyDescent="0.35">
      <c r="H3441" s="83">
        <f t="shared" si="100"/>
        <v>0</v>
      </c>
    </row>
    <row r="3442" spans="8:8" hidden="1" x14ac:dyDescent="0.35">
      <c r="H3442" s="83">
        <f t="shared" si="100"/>
        <v>0</v>
      </c>
    </row>
    <row r="3443" spans="8:8" hidden="1" x14ac:dyDescent="0.35">
      <c r="H3443" s="83">
        <f t="shared" si="100"/>
        <v>0</v>
      </c>
    </row>
    <row r="3444" spans="8:8" hidden="1" x14ac:dyDescent="0.35">
      <c r="H3444" s="83">
        <f t="shared" si="100"/>
        <v>0</v>
      </c>
    </row>
    <row r="3445" spans="8:8" hidden="1" x14ac:dyDescent="0.35">
      <c r="H3445" s="83">
        <f t="shared" si="100"/>
        <v>0</v>
      </c>
    </row>
    <row r="3446" spans="8:8" hidden="1" x14ac:dyDescent="0.35">
      <c r="H3446" s="83">
        <f t="shared" si="100"/>
        <v>0</v>
      </c>
    </row>
    <row r="3447" spans="8:8" hidden="1" x14ac:dyDescent="0.35">
      <c r="H3447" s="83">
        <f t="shared" si="100"/>
        <v>0</v>
      </c>
    </row>
    <row r="3448" spans="8:8" hidden="1" x14ac:dyDescent="0.35">
      <c r="H3448" s="83">
        <f t="shared" si="100"/>
        <v>0</v>
      </c>
    </row>
    <row r="3449" spans="8:8" hidden="1" x14ac:dyDescent="0.35">
      <c r="H3449" s="83">
        <f t="shared" si="100"/>
        <v>0</v>
      </c>
    </row>
    <row r="3450" spans="8:8" hidden="1" x14ac:dyDescent="0.35">
      <c r="H3450" s="83">
        <f t="shared" si="100"/>
        <v>0</v>
      </c>
    </row>
    <row r="3451" spans="8:8" hidden="1" x14ac:dyDescent="0.35">
      <c r="H3451" s="83">
        <f t="shared" si="100"/>
        <v>0</v>
      </c>
    </row>
    <row r="3452" spans="8:8" hidden="1" x14ac:dyDescent="0.35">
      <c r="H3452" s="83">
        <f t="shared" si="100"/>
        <v>0</v>
      </c>
    </row>
    <row r="3453" spans="8:8" hidden="1" x14ac:dyDescent="0.35">
      <c r="H3453" s="83">
        <f t="shared" si="100"/>
        <v>0</v>
      </c>
    </row>
    <row r="3454" spans="8:8" hidden="1" x14ac:dyDescent="0.35">
      <c r="H3454" s="83">
        <f t="shared" si="100"/>
        <v>0</v>
      </c>
    </row>
    <row r="3455" spans="8:8" hidden="1" x14ac:dyDescent="0.35">
      <c r="H3455" s="83">
        <f t="shared" si="100"/>
        <v>0</v>
      </c>
    </row>
    <row r="3456" spans="8:8" hidden="1" x14ac:dyDescent="0.35">
      <c r="H3456" s="83">
        <f t="shared" si="100"/>
        <v>0</v>
      </c>
    </row>
    <row r="3457" spans="8:8" hidden="1" x14ac:dyDescent="0.35">
      <c r="H3457" s="83">
        <f t="shared" si="100"/>
        <v>0</v>
      </c>
    </row>
    <row r="3458" spans="8:8" hidden="1" x14ac:dyDescent="0.35">
      <c r="H3458" s="83">
        <f t="shared" si="100"/>
        <v>0</v>
      </c>
    </row>
    <row r="3459" spans="8:8" hidden="1" x14ac:dyDescent="0.35">
      <c r="H3459" s="83">
        <f t="shared" si="100"/>
        <v>0</v>
      </c>
    </row>
    <row r="3460" spans="8:8" hidden="1" x14ac:dyDescent="0.35">
      <c r="H3460" s="83">
        <f t="shared" ref="H3460:H3523" si="101">J3460-I3460</f>
        <v>0</v>
      </c>
    </row>
    <row r="3461" spans="8:8" hidden="1" x14ac:dyDescent="0.35">
      <c r="H3461" s="83">
        <f t="shared" si="101"/>
        <v>0</v>
      </c>
    </row>
    <row r="3462" spans="8:8" hidden="1" x14ac:dyDescent="0.35">
      <c r="H3462" s="83">
        <f t="shared" si="101"/>
        <v>0</v>
      </c>
    </row>
    <row r="3463" spans="8:8" hidden="1" x14ac:dyDescent="0.35">
      <c r="H3463" s="83">
        <f t="shared" si="101"/>
        <v>0</v>
      </c>
    </row>
    <row r="3464" spans="8:8" hidden="1" x14ac:dyDescent="0.35">
      <c r="H3464" s="83">
        <f t="shared" si="101"/>
        <v>0</v>
      </c>
    </row>
    <row r="3465" spans="8:8" hidden="1" x14ac:dyDescent="0.35">
      <c r="H3465" s="83">
        <f t="shared" si="101"/>
        <v>0</v>
      </c>
    </row>
    <row r="3466" spans="8:8" hidden="1" x14ac:dyDescent="0.35">
      <c r="H3466" s="83">
        <f t="shared" si="101"/>
        <v>0</v>
      </c>
    </row>
    <row r="3467" spans="8:8" hidden="1" x14ac:dyDescent="0.35">
      <c r="H3467" s="83">
        <f t="shared" si="101"/>
        <v>0</v>
      </c>
    </row>
    <row r="3468" spans="8:8" hidden="1" x14ac:dyDescent="0.35">
      <c r="H3468" s="83">
        <f t="shared" si="101"/>
        <v>0</v>
      </c>
    </row>
    <row r="3469" spans="8:8" hidden="1" x14ac:dyDescent="0.35">
      <c r="H3469" s="83">
        <f t="shared" si="101"/>
        <v>0</v>
      </c>
    </row>
    <row r="3470" spans="8:8" hidden="1" x14ac:dyDescent="0.35">
      <c r="H3470" s="83">
        <f t="shared" si="101"/>
        <v>0</v>
      </c>
    </row>
    <row r="3471" spans="8:8" hidden="1" x14ac:dyDescent="0.35">
      <c r="H3471" s="83">
        <f t="shared" si="101"/>
        <v>0</v>
      </c>
    </row>
    <row r="3472" spans="8:8" hidden="1" x14ac:dyDescent="0.35">
      <c r="H3472" s="83">
        <f t="shared" si="101"/>
        <v>0</v>
      </c>
    </row>
    <row r="3473" spans="8:8" hidden="1" x14ac:dyDescent="0.35">
      <c r="H3473" s="83">
        <f t="shared" si="101"/>
        <v>0</v>
      </c>
    </row>
    <row r="3474" spans="8:8" hidden="1" x14ac:dyDescent="0.35">
      <c r="H3474" s="83">
        <f t="shared" si="101"/>
        <v>0</v>
      </c>
    </row>
    <row r="3475" spans="8:8" hidden="1" x14ac:dyDescent="0.35">
      <c r="H3475" s="83">
        <f t="shared" si="101"/>
        <v>0</v>
      </c>
    </row>
    <row r="3476" spans="8:8" hidden="1" x14ac:dyDescent="0.35">
      <c r="H3476" s="83">
        <f t="shared" si="101"/>
        <v>0</v>
      </c>
    </row>
    <row r="3477" spans="8:8" hidden="1" x14ac:dyDescent="0.35">
      <c r="H3477" s="83">
        <f t="shared" si="101"/>
        <v>0</v>
      </c>
    </row>
    <row r="3478" spans="8:8" hidden="1" x14ac:dyDescent="0.35">
      <c r="H3478" s="83">
        <f t="shared" si="101"/>
        <v>0</v>
      </c>
    </row>
    <row r="3479" spans="8:8" hidden="1" x14ac:dyDescent="0.35">
      <c r="H3479" s="83">
        <f t="shared" si="101"/>
        <v>0</v>
      </c>
    </row>
    <row r="3480" spans="8:8" hidden="1" x14ac:dyDescent="0.35">
      <c r="H3480" s="83">
        <f t="shared" si="101"/>
        <v>0</v>
      </c>
    </row>
    <row r="3481" spans="8:8" hidden="1" x14ac:dyDescent="0.35">
      <c r="H3481" s="83">
        <f t="shared" si="101"/>
        <v>0</v>
      </c>
    </row>
    <row r="3482" spans="8:8" hidden="1" x14ac:dyDescent="0.35">
      <c r="H3482" s="83">
        <f t="shared" si="101"/>
        <v>0</v>
      </c>
    </row>
    <row r="3483" spans="8:8" hidden="1" x14ac:dyDescent="0.35">
      <c r="H3483" s="83">
        <f t="shared" si="101"/>
        <v>0</v>
      </c>
    </row>
    <row r="3484" spans="8:8" hidden="1" x14ac:dyDescent="0.35">
      <c r="H3484" s="83">
        <f t="shared" si="101"/>
        <v>0</v>
      </c>
    </row>
    <row r="3485" spans="8:8" hidden="1" x14ac:dyDescent="0.35">
      <c r="H3485" s="83">
        <f t="shared" si="101"/>
        <v>0</v>
      </c>
    </row>
    <row r="3486" spans="8:8" hidden="1" x14ac:dyDescent="0.35">
      <c r="H3486" s="83">
        <f t="shared" si="101"/>
        <v>0</v>
      </c>
    </row>
    <row r="3487" spans="8:8" hidden="1" x14ac:dyDescent="0.35">
      <c r="H3487" s="83">
        <f t="shared" si="101"/>
        <v>0</v>
      </c>
    </row>
    <row r="3488" spans="8:8" hidden="1" x14ac:dyDescent="0.35">
      <c r="H3488" s="83">
        <f t="shared" si="101"/>
        <v>0</v>
      </c>
    </row>
    <row r="3489" spans="8:8" hidden="1" x14ac:dyDescent="0.35">
      <c r="H3489" s="83">
        <f t="shared" si="101"/>
        <v>0</v>
      </c>
    </row>
    <row r="3490" spans="8:8" hidden="1" x14ac:dyDescent="0.35">
      <c r="H3490" s="83">
        <f t="shared" si="101"/>
        <v>0</v>
      </c>
    </row>
    <row r="3491" spans="8:8" hidden="1" x14ac:dyDescent="0.35">
      <c r="H3491" s="83">
        <f t="shared" si="101"/>
        <v>0</v>
      </c>
    </row>
    <row r="3492" spans="8:8" hidden="1" x14ac:dyDescent="0.35">
      <c r="H3492" s="83">
        <f t="shared" si="101"/>
        <v>0</v>
      </c>
    </row>
    <row r="3493" spans="8:8" hidden="1" x14ac:dyDescent="0.35">
      <c r="H3493" s="83">
        <f t="shared" si="101"/>
        <v>0</v>
      </c>
    </row>
    <row r="3494" spans="8:8" hidden="1" x14ac:dyDescent="0.35">
      <c r="H3494" s="83">
        <f t="shared" si="101"/>
        <v>0</v>
      </c>
    </row>
    <row r="3495" spans="8:8" hidden="1" x14ac:dyDescent="0.35">
      <c r="H3495" s="83">
        <f t="shared" si="101"/>
        <v>0</v>
      </c>
    </row>
    <row r="3496" spans="8:8" hidden="1" x14ac:dyDescent="0.35">
      <c r="H3496" s="83">
        <f t="shared" si="101"/>
        <v>0</v>
      </c>
    </row>
    <row r="3497" spans="8:8" hidden="1" x14ac:dyDescent="0.35">
      <c r="H3497" s="83">
        <f t="shared" si="101"/>
        <v>0</v>
      </c>
    </row>
    <row r="3498" spans="8:8" hidden="1" x14ac:dyDescent="0.35">
      <c r="H3498" s="83">
        <f t="shared" si="101"/>
        <v>0</v>
      </c>
    </row>
    <row r="3499" spans="8:8" hidden="1" x14ac:dyDescent="0.35">
      <c r="H3499" s="83">
        <f t="shared" si="101"/>
        <v>0</v>
      </c>
    </row>
    <row r="3500" spans="8:8" hidden="1" x14ac:dyDescent="0.35">
      <c r="H3500" s="83">
        <f t="shared" si="101"/>
        <v>0</v>
      </c>
    </row>
    <row r="3501" spans="8:8" hidden="1" x14ac:dyDescent="0.35">
      <c r="H3501" s="83">
        <f t="shared" si="101"/>
        <v>0</v>
      </c>
    </row>
    <row r="3502" spans="8:8" hidden="1" x14ac:dyDescent="0.35">
      <c r="H3502" s="83">
        <f t="shared" si="101"/>
        <v>0</v>
      </c>
    </row>
    <row r="3503" spans="8:8" hidden="1" x14ac:dyDescent="0.35">
      <c r="H3503" s="83">
        <f t="shared" si="101"/>
        <v>0</v>
      </c>
    </row>
    <row r="3504" spans="8:8" hidden="1" x14ac:dyDescent="0.35">
      <c r="H3504" s="83">
        <f t="shared" si="101"/>
        <v>0</v>
      </c>
    </row>
    <row r="3505" spans="8:8" hidden="1" x14ac:dyDescent="0.35">
      <c r="H3505" s="83">
        <f t="shared" si="101"/>
        <v>0</v>
      </c>
    </row>
    <row r="3506" spans="8:8" hidden="1" x14ac:dyDescent="0.35">
      <c r="H3506" s="83">
        <f t="shared" si="101"/>
        <v>0</v>
      </c>
    </row>
    <row r="3507" spans="8:8" hidden="1" x14ac:dyDescent="0.35">
      <c r="H3507" s="83">
        <f t="shared" si="101"/>
        <v>0</v>
      </c>
    </row>
    <row r="3508" spans="8:8" hidden="1" x14ac:dyDescent="0.35">
      <c r="H3508" s="83">
        <f t="shared" si="101"/>
        <v>0</v>
      </c>
    </row>
    <row r="3509" spans="8:8" hidden="1" x14ac:dyDescent="0.35">
      <c r="H3509" s="83">
        <f t="shared" si="101"/>
        <v>0</v>
      </c>
    </row>
    <row r="3510" spans="8:8" hidden="1" x14ac:dyDescent="0.35">
      <c r="H3510" s="83">
        <f t="shared" si="101"/>
        <v>0</v>
      </c>
    </row>
    <row r="3511" spans="8:8" hidden="1" x14ac:dyDescent="0.35">
      <c r="H3511" s="83">
        <f t="shared" si="101"/>
        <v>0</v>
      </c>
    </row>
    <row r="3512" spans="8:8" hidden="1" x14ac:dyDescent="0.35">
      <c r="H3512" s="83">
        <f t="shared" si="101"/>
        <v>0</v>
      </c>
    </row>
    <row r="3513" spans="8:8" hidden="1" x14ac:dyDescent="0.35">
      <c r="H3513" s="83">
        <f t="shared" si="101"/>
        <v>0</v>
      </c>
    </row>
    <row r="3514" spans="8:8" hidden="1" x14ac:dyDescent="0.35">
      <c r="H3514" s="83">
        <f t="shared" si="101"/>
        <v>0</v>
      </c>
    </row>
    <row r="3515" spans="8:8" hidden="1" x14ac:dyDescent="0.35">
      <c r="H3515" s="83">
        <f t="shared" si="101"/>
        <v>0</v>
      </c>
    </row>
    <row r="3516" spans="8:8" hidden="1" x14ac:dyDescent="0.35">
      <c r="H3516" s="83">
        <f t="shared" si="101"/>
        <v>0</v>
      </c>
    </row>
    <row r="3517" spans="8:8" hidden="1" x14ac:dyDescent="0.35">
      <c r="H3517" s="83">
        <f t="shared" si="101"/>
        <v>0</v>
      </c>
    </row>
    <row r="3518" spans="8:8" hidden="1" x14ac:dyDescent="0.35">
      <c r="H3518" s="83">
        <f t="shared" si="101"/>
        <v>0</v>
      </c>
    </row>
    <row r="3519" spans="8:8" hidden="1" x14ac:dyDescent="0.35">
      <c r="H3519" s="83">
        <f t="shared" si="101"/>
        <v>0</v>
      </c>
    </row>
    <row r="3520" spans="8:8" hidden="1" x14ac:dyDescent="0.35">
      <c r="H3520" s="83">
        <f t="shared" si="101"/>
        <v>0</v>
      </c>
    </row>
    <row r="3521" spans="8:8" hidden="1" x14ac:dyDescent="0.35">
      <c r="H3521" s="83">
        <f t="shared" si="101"/>
        <v>0</v>
      </c>
    </row>
    <row r="3522" spans="8:8" hidden="1" x14ac:dyDescent="0.35">
      <c r="H3522" s="83">
        <f t="shared" si="101"/>
        <v>0</v>
      </c>
    </row>
    <row r="3523" spans="8:8" hidden="1" x14ac:dyDescent="0.35">
      <c r="H3523" s="83">
        <f t="shared" si="101"/>
        <v>0</v>
      </c>
    </row>
    <row r="3524" spans="8:8" hidden="1" x14ac:dyDescent="0.35">
      <c r="H3524" s="83">
        <f t="shared" ref="H3524:H3587" si="102">J3524-I3524</f>
        <v>0</v>
      </c>
    </row>
    <row r="3525" spans="8:8" hidden="1" x14ac:dyDescent="0.35">
      <c r="H3525" s="83">
        <f t="shared" si="102"/>
        <v>0</v>
      </c>
    </row>
    <row r="3526" spans="8:8" hidden="1" x14ac:dyDescent="0.35">
      <c r="H3526" s="83">
        <f t="shared" si="102"/>
        <v>0</v>
      </c>
    </row>
    <row r="3527" spans="8:8" hidden="1" x14ac:dyDescent="0.35">
      <c r="H3527" s="83">
        <f t="shared" si="102"/>
        <v>0</v>
      </c>
    </row>
    <row r="3528" spans="8:8" hidden="1" x14ac:dyDescent="0.35">
      <c r="H3528" s="83">
        <f t="shared" si="102"/>
        <v>0</v>
      </c>
    </row>
    <row r="3529" spans="8:8" hidden="1" x14ac:dyDescent="0.35">
      <c r="H3529" s="83">
        <f t="shared" si="102"/>
        <v>0</v>
      </c>
    </row>
    <row r="3530" spans="8:8" hidden="1" x14ac:dyDescent="0.35">
      <c r="H3530" s="83">
        <f t="shared" si="102"/>
        <v>0</v>
      </c>
    </row>
    <row r="3531" spans="8:8" hidden="1" x14ac:dyDescent="0.35">
      <c r="H3531" s="83">
        <f t="shared" si="102"/>
        <v>0</v>
      </c>
    </row>
    <row r="3532" spans="8:8" hidden="1" x14ac:dyDescent="0.35">
      <c r="H3532" s="83">
        <f t="shared" si="102"/>
        <v>0</v>
      </c>
    </row>
    <row r="3533" spans="8:8" hidden="1" x14ac:dyDescent="0.35">
      <c r="H3533" s="83">
        <f t="shared" si="102"/>
        <v>0</v>
      </c>
    </row>
    <row r="3534" spans="8:8" hidden="1" x14ac:dyDescent="0.35">
      <c r="H3534" s="83">
        <f t="shared" si="102"/>
        <v>0</v>
      </c>
    </row>
    <row r="3535" spans="8:8" hidden="1" x14ac:dyDescent="0.35">
      <c r="H3535" s="83">
        <f t="shared" si="102"/>
        <v>0</v>
      </c>
    </row>
    <row r="3536" spans="8:8" hidden="1" x14ac:dyDescent="0.35">
      <c r="H3536" s="83">
        <f t="shared" si="102"/>
        <v>0</v>
      </c>
    </row>
    <row r="3537" spans="8:8" hidden="1" x14ac:dyDescent="0.35">
      <c r="H3537" s="83">
        <f t="shared" si="102"/>
        <v>0</v>
      </c>
    </row>
    <row r="3538" spans="8:8" hidden="1" x14ac:dyDescent="0.35">
      <c r="H3538" s="83">
        <f t="shared" si="102"/>
        <v>0</v>
      </c>
    </row>
    <row r="3539" spans="8:8" hidden="1" x14ac:dyDescent="0.35">
      <c r="H3539" s="83">
        <f t="shared" si="102"/>
        <v>0</v>
      </c>
    </row>
    <row r="3540" spans="8:8" hidden="1" x14ac:dyDescent="0.35">
      <c r="H3540" s="83">
        <f t="shared" si="102"/>
        <v>0</v>
      </c>
    </row>
    <row r="3541" spans="8:8" hidden="1" x14ac:dyDescent="0.35">
      <c r="H3541" s="83">
        <f t="shared" si="102"/>
        <v>0</v>
      </c>
    </row>
    <row r="3542" spans="8:8" hidden="1" x14ac:dyDescent="0.35">
      <c r="H3542" s="83">
        <f t="shared" si="102"/>
        <v>0</v>
      </c>
    </row>
    <row r="3543" spans="8:8" hidden="1" x14ac:dyDescent="0.35">
      <c r="H3543" s="83">
        <f t="shared" si="102"/>
        <v>0</v>
      </c>
    </row>
    <row r="3544" spans="8:8" hidden="1" x14ac:dyDescent="0.35">
      <c r="H3544" s="83">
        <f t="shared" si="102"/>
        <v>0</v>
      </c>
    </row>
    <row r="3545" spans="8:8" hidden="1" x14ac:dyDescent="0.35">
      <c r="H3545" s="83">
        <f t="shared" si="102"/>
        <v>0</v>
      </c>
    </row>
    <row r="3546" spans="8:8" hidden="1" x14ac:dyDescent="0.35">
      <c r="H3546" s="83">
        <f t="shared" si="102"/>
        <v>0</v>
      </c>
    </row>
    <row r="3547" spans="8:8" hidden="1" x14ac:dyDescent="0.35">
      <c r="H3547" s="83">
        <f t="shared" si="102"/>
        <v>0</v>
      </c>
    </row>
    <row r="3548" spans="8:8" hidden="1" x14ac:dyDescent="0.35">
      <c r="H3548" s="83">
        <f t="shared" si="102"/>
        <v>0</v>
      </c>
    </row>
    <row r="3549" spans="8:8" hidden="1" x14ac:dyDescent="0.35">
      <c r="H3549" s="83">
        <f t="shared" si="102"/>
        <v>0</v>
      </c>
    </row>
    <row r="3550" spans="8:8" hidden="1" x14ac:dyDescent="0.35">
      <c r="H3550" s="83">
        <f t="shared" si="102"/>
        <v>0</v>
      </c>
    </row>
    <row r="3551" spans="8:8" hidden="1" x14ac:dyDescent="0.35">
      <c r="H3551" s="83">
        <f t="shared" si="102"/>
        <v>0</v>
      </c>
    </row>
    <row r="3552" spans="8:8" hidden="1" x14ac:dyDescent="0.35">
      <c r="H3552" s="83">
        <f t="shared" si="102"/>
        <v>0</v>
      </c>
    </row>
    <row r="3553" spans="8:8" hidden="1" x14ac:dyDescent="0.35">
      <c r="H3553" s="83">
        <f t="shared" si="102"/>
        <v>0</v>
      </c>
    </row>
    <row r="3554" spans="8:8" hidden="1" x14ac:dyDescent="0.35">
      <c r="H3554" s="83">
        <f t="shared" si="102"/>
        <v>0</v>
      </c>
    </row>
    <row r="3555" spans="8:8" hidden="1" x14ac:dyDescent="0.35">
      <c r="H3555" s="83">
        <f t="shared" si="102"/>
        <v>0</v>
      </c>
    </row>
    <row r="3556" spans="8:8" hidden="1" x14ac:dyDescent="0.35">
      <c r="H3556" s="83">
        <f t="shared" si="102"/>
        <v>0</v>
      </c>
    </row>
    <row r="3557" spans="8:8" hidden="1" x14ac:dyDescent="0.35">
      <c r="H3557" s="83">
        <f t="shared" si="102"/>
        <v>0</v>
      </c>
    </row>
    <row r="3558" spans="8:8" hidden="1" x14ac:dyDescent="0.35">
      <c r="H3558" s="83">
        <f t="shared" si="102"/>
        <v>0</v>
      </c>
    </row>
    <row r="3559" spans="8:8" hidden="1" x14ac:dyDescent="0.35">
      <c r="H3559" s="83">
        <f t="shared" si="102"/>
        <v>0</v>
      </c>
    </row>
    <row r="3560" spans="8:8" hidden="1" x14ac:dyDescent="0.35">
      <c r="H3560" s="83">
        <f t="shared" si="102"/>
        <v>0</v>
      </c>
    </row>
    <row r="3561" spans="8:8" hidden="1" x14ac:dyDescent="0.35">
      <c r="H3561" s="83">
        <f t="shared" si="102"/>
        <v>0</v>
      </c>
    </row>
    <row r="3562" spans="8:8" hidden="1" x14ac:dyDescent="0.35">
      <c r="H3562" s="83">
        <f t="shared" si="102"/>
        <v>0</v>
      </c>
    </row>
    <row r="3563" spans="8:8" hidden="1" x14ac:dyDescent="0.35">
      <c r="H3563" s="83">
        <f t="shared" si="102"/>
        <v>0</v>
      </c>
    </row>
    <row r="3564" spans="8:8" hidden="1" x14ac:dyDescent="0.35">
      <c r="H3564" s="83">
        <f t="shared" si="102"/>
        <v>0</v>
      </c>
    </row>
    <row r="3565" spans="8:8" hidden="1" x14ac:dyDescent="0.35">
      <c r="H3565" s="83">
        <f t="shared" si="102"/>
        <v>0</v>
      </c>
    </row>
    <row r="3566" spans="8:8" hidden="1" x14ac:dyDescent="0.35">
      <c r="H3566" s="83">
        <f t="shared" si="102"/>
        <v>0</v>
      </c>
    </row>
    <row r="3567" spans="8:8" hidden="1" x14ac:dyDescent="0.35">
      <c r="H3567" s="83">
        <f t="shared" si="102"/>
        <v>0</v>
      </c>
    </row>
    <row r="3568" spans="8:8" hidden="1" x14ac:dyDescent="0.35">
      <c r="H3568" s="83">
        <f t="shared" si="102"/>
        <v>0</v>
      </c>
    </row>
    <row r="3569" spans="8:8" hidden="1" x14ac:dyDescent="0.35">
      <c r="H3569" s="83">
        <f t="shared" si="102"/>
        <v>0</v>
      </c>
    </row>
    <row r="3570" spans="8:8" hidden="1" x14ac:dyDescent="0.35">
      <c r="H3570" s="83">
        <f t="shared" si="102"/>
        <v>0</v>
      </c>
    </row>
    <row r="3571" spans="8:8" hidden="1" x14ac:dyDescent="0.35">
      <c r="H3571" s="83">
        <f t="shared" si="102"/>
        <v>0</v>
      </c>
    </row>
    <row r="3572" spans="8:8" hidden="1" x14ac:dyDescent="0.35">
      <c r="H3572" s="83">
        <f t="shared" si="102"/>
        <v>0</v>
      </c>
    </row>
    <row r="3573" spans="8:8" hidden="1" x14ac:dyDescent="0.35">
      <c r="H3573" s="83">
        <f t="shared" si="102"/>
        <v>0</v>
      </c>
    </row>
    <row r="3574" spans="8:8" hidden="1" x14ac:dyDescent="0.35">
      <c r="H3574" s="83">
        <f t="shared" si="102"/>
        <v>0</v>
      </c>
    </row>
    <row r="3575" spans="8:8" hidden="1" x14ac:dyDescent="0.35">
      <c r="H3575" s="83">
        <f t="shared" si="102"/>
        <v>0</v>
      </c>
    </row>
    <row r="3576" spans="8:8" hidden="1" x14ac:dyDescent="0.35">
      <c r="H3576" s="83">
        <f t="shared" si="102"/>
        <v>0</v>
      </c>
    </row>
    <row r="3577" spans="8:8" hidden="1" x14ac:dyDescent="0.35">
      <c r="H3577" s="83">
        <f t="shared" si="102"/>
        <v>0</v>
      </c>
    </row>
    <row r="3578" spans="8:8" hidden="1" x14ac:dyDescent="0.35">
      <c r="H3578" s="83">
        <f t="shared" si="102"/>
        <v>0</v>
      </c>
    </row>
    <row r="3579" spans="8:8" hidden="1" x14ac:dyDescent="0.35">
      <c r="H3579" s="83">
        <f t="shared" si="102"/>
        <v>0</v>
      </c>
    </row>
    <row r="3580" spans="8:8" hidden="1" x14ac:dyDescent="0.35">
      <c r="H3580" s="83">
        <f t="shared" si="102"/>
        <v>0</v>
      </c>
    </row>
    <row r="3581" spans="8:8" hidden="1" x14ac:dyDescent="0.35">
      <c r="H3581" s="83">
        <f t="shared" si="102"/>
        <v>0</v>
      </c>
    </row>
    <row r="3582" spans="8:8" hidden="1" x14ac:dyDescent="0.35">
      <c r="H3582" s="83">
        <f t="shared" si="102"/>
        <v>0</v>
      </c>
    </row>
    <row r="3583" spans="8:8" hidden="1" x14ac:dyDescent="0.35">
      <c r="H3583" s="83">
        <f t="shared" si="102"/>
        <v>0</v>
      </c>
    </row>
    <row r="3584" spans="8:8" hidden="1" x14ac:dyDescent="0.35">
      <c r="H3584" s="83">
        <f t="shared" si="102"/>
        <v>0</v>
      </c>
    </row>
    <row r="3585" spans="8:8" hidden="1" x14ac:dyDescent="0.35">
      <c r="H3585" s="83">
        <f t="shared" si="102"/>
        <v>0</v>
      </c>
    </row>
    <row r="3586" spans="8:8" hidden="1" x14ac:dyDescent="0.35">
      <c r="H3586" s="83">
        <f t="shared" si="102"/>
        <v>0</v>
      </c>
    </row>
    <row r="3587" spans="8:8" hidden="1" x14ac:dyDescent="0.35">
      <c r="H3587" s="83">
        <f t="shared" si="102"/>
        <v>0</v>
      </c>
    </row>
    <row r="3588" spans="8:8" hidden="1" x14ac:dyDescent="0.35">
      <c r="H3588" s="83">
        <f t="shared" ref="H3588:H3651" si="103">J3588-I3588</f>
        <v>0</v>
      </c>
    </row>
    <row r="3589" spans="8:8" hidden="1" x14ac:dyDescent="0.35">
      <c r="H3589" s="83">
        <f t="shared" si="103"/>
        <v>0</v>
      </c>
    </row>
    <row r="3590" spans="8:8" hidden="1" x14ac:dyDescent="0.35">
      <c r="H3590" s="83">
        <f t="shared" si="103"/>
        <v>0</v>
      </c>
    </row>
    <row r="3591" spans="8:8" hidden="1" x14ac:dyDescent="0.35">
      <c r="H3591" s="83">
        <f t="shared" si="103"/>
        <v>0</v>
      </c>
    </row>
    <row r="3592" spans="8:8" hidden="1" x14ac:dyDescent="0.35">
      <c r="H3592" s="83">
        <f t="shared" si="103"/>
        <v>0</v>
      </c>
    </row>
    <row r="3593" spans="8:8" hidden="1" x14ac:dyDescent="0.35">
      <c r="H3593" s="83">
        <f t="shared" si="103"/>
        <v>0</v>
      </c>
    </row>
    <row r="3594" spans="8:8" hidden="1" x14ac:dyDescent="0.35">
      <c r="H3594" s="83">
        <f t="shared" si="103"/>
        <v>0</v>
      </c>
    </row>
    <row r="3595" spans="8:8" hidden="1" x14ac:dyDescent="0.35">
      <c r="H3595" s="83">
        <f t="shared" si="103"/>
        <v>0</v>
      </c>
    </row>
    <row r="3596" spans="8:8" hidden="1" x14ac:dyDescent="0.35">
      <c r="H3596" s="83">
        <f t="shared" si="103"/>
        <v>0</v>
      </c>
    </row>
    <row r="3597" spans="8:8" hidden="1" x14ac:dyDescent="0.35">
      <c r="H3597" s="83">
        <f t="shared" si="103"/>
        <v>0</v>
      </c>
    </row>
    <row r="3598" spans="8:8" hidden="1" x14ac:dyDescent="0.35">
      <c r="H3598" s="83">
        <f t="shared" si="103"/>
        <v>0</v>
      </c>
    </row>
    <row r="3599" spans="8:8" hidden="1" x14ac:dyDescent="0.35">
      <c r="H3599" s="83">
        <f t="shared" si="103"/>
        <v>0</v>
      </c>
    </row>
    <row r="3600" spans="8:8" hidden="1" x14ac:dyDescent="0.35">
      <c r="H3600" s="83">
        <f t="shared" si="103"/>
        <v>0</v>
      </c>
    </row>
    <row r="3601" spans="8:8" hidden="1" x14ac:dyDescent="0.35">
      <c r="H3601" s="83">
        <f t="shared" si="103"/>
        <v>0</v>
      </c>
    </row>
    <row r="3602" spans="8:8" hidden="1" x14ac:dyDescent="0.35">
      <c r="H3602" s="83">
        <f t="shared" si="103"/>
        <v>0</v>
      </c>
    </row>
    <row r="3603" spans="8:8" hidden="1" x14ac:dyDescent="0.35">
      <c r="H3603" s="83">
        <f t="shared" si="103"/>
        <v>0</v>
      </c>
    </row>
    <row r="3604" spans="8:8" hidden="1" x14ac:dyDescent="0.35">
      <c r="H3604" s="83">
        <f t="shared" si="103"/>
        <v>0</v>
      </c>
    </row>
    <row r="3605" spans="8:8" hidden="1" x14ac:dyDescent="0.35">
      <c r="H3605" s="83">
        <f t="shared" si="103"/>
        <v>0</v>
      </c>
    </row>
    <row r="3606" spans="8:8" hidden="1" x14ac:dyDescent="0.35">
      <c r="H3606" s="83">
        <f t="shared" si="103"/>
        <v>0</v>
      </c>
    </row>
    <row r="3607" spans="8:8" hidden="1" x14ac:dyDescent="0.35">
      <c r="H3607" s="83">
        <f t="shared" si="103"/>
        <v>0</v>
      </c>
    </row>
    <row r="3608" spans="8:8" hidden="1" x14ac:dyDescent="0.35">
      <c r="H3608" s="83">
        <f t="shared" si="103"/>
        <v>0</v>
      </c>
    </row>
    <row r="3609" spans="8:8" hidden="1" x14ac:dyDescent="0.35">
      <c r="H3609" s="83">
        <f t="shared" si="103"/>
        <v>0</v>
      </c>
    </row>
    <row r="3610" spans="8:8" hidden="1" x14ac:dyDescent="0.35">
      <c r="H3610" s="83">
        <f t="shared" si="103"/>
        <v>0</v>
      </c>
    </row>
    <row r="3611" spans="8:8" hidden="1" x14ac:dyDescent="0.35">
      <c r="H3611" s="83">
        <f t="shared" si="103"/>
        <v>0</v>
      </c>
    </row>
    <row r="3612" spans="8:8" hidden="1" x14ac:dyDescent="0.35">
      <c r="H3612" s="83">
        <f t="shared" si="103"/>
        <v>0</v>
      </c>
    </row>
    <row r="3613" spans="8:8" hidden="1" x14ac:dyDescent="0.35">
      <c r="H3613" s="83">
        <f t="shared" si="103"/>
        <v>0</v>
      </c>
    </row>
    <row r="3614" spans="8:8" hidden="1" x14ac:dyDescent="0.35">
      <c r="H3614" s="83">
        <f t="shared" si="103"/>
        <v>0</v>
      </c>
    </row>
    <row r="3615" spans="8:8" hidden="1" x14ac:dyDescent="0.35">
      <c r="H3615" s="83">
        <f t="shared" si="103"/>
        <v>0</v>
      </c>
    </row>
    <row r="3616" spans="8:8" hidden="1" x14ac:dyDescent="0.35">
      <c r="H3616" s="83">
        <f t="shared" si="103"/>
        <v>0</v>
      </c>
    </row>
    <row r="3617" spans="8:8" hidden="1" x14ac:dyDescent="0.35">
      <c r="H3617" s="83">
        <f t="shared" si="103"/>
        <v>0</v>
      </c>
    </row>
    <row r="3618" spans="8:8" hidden="1" x14ac:dyDescent="0.35">
      <c r="H3618" s="83">
        <f t="shared" si="103"/>
        <v>0</v>
      </c>
    </row>
    <row r="3619" spans="8:8" hidden="1" x14ac:dyDescent="0.35">
      <c r="H3619" s="83">
        <f t="shared" si="103"/>
        <v>0</v>
      </c>
    </row>
    <row r="3620" spans="8:8" hidden="1" x14ac:dyDescent="0.35">
      <c r="H3620" s="83">
        <f t="shared" si="103"/>
        <v>0</v>
      </c>
    </row>
    <row r="3621" spans="8:8" hidden="1" x14ac:dyDescent="0.35">
      <c r="H3621" s="83">
        <f t="shared" si="103"/>
        <v>0</v>
      </c>
    </row>
    <row r="3622" spans="8:8" hidden="1" x14ac:dyDescent="0.35">
      <c r="H3622" s="83">
        <f t="shared" si="103"/>
        <v>0</v>
      </c>
    </row>
    <row r="3623" spans="8:8" hidden="1" x14ac:dyDescent="0.35">
      <c r="H3623" s="83">
        <f t="shared" si="103"/>
        <v>0</v>
      </c>
    </row>
    <row r="3624" spans="8:8" hidden="1" x14ac:dyDescent="0.35">
      <c r="H3624" s="83">
        <f t="shared" si="103"/>
        <v>0</v>
      </c>
    </row>
    <row r="3625" spans="8:8" hidden="1" x14ac:dyDescent="0.35">
      <c r="H3625" s="83">
        <f t="shared" si="103"/>
        <v>0</v>
      </c>
    </row>
    <row r="3626" spans="8:8" hidden="1" x14ac:dyDescent="0.35">
      <c r="H3626" s="83">
        <f t="shared" si="103"/>
        <v>0</v>
      </c>
    </row>
    <row r="3627" spans="8:8" hidden="1" x14ac:dyDescent="0.35">
      <c r="H3627" s="83">
        <f t="shared" si="103"/>
        <v>0</v>
      </c>
    </row>
    <row r="3628" spans="8:8" hidden="1" x14ac:dyDescent="0.35">
      <c r="H3628" s="83">
        <f t="shared" si="103"/>
        <v>0</v>
      </c>
    </row>
    <row r="3629" spans="8:8" hidden="1" x14ac:dyDescent="0.35">
      <c r="H3629" s="83">
        <f t="shared" si="103"/>
        <v>0</v>
      </c>
    </row>
    <row r="3630" spans="8:8" hidden="1" x14ac:dyDescent="0.35">
      <c r="H3630" s="83">
        <f t="shared" si="103"/>
        <v>0</v>
      </c>
    </row>
    <row r="3631" spans="8:8" hidden="1" x14ac:dyDescent="0.35">
      <c r="H3631" s="83">
        <f t="shared" si="103"/>
        <v>0</v>
      </c>
    </row>
    <row r="3632" spans="8:8" hidden="1" x14ac:dyDescent="0.35">
      <c r="H3632" s="83">
        <f t="shared" si="103"/>
        <v>0</v>
      </c>
    </row>
    <row r="3633" spans="8:8" hidden="1" x14ac:dyDescent="0.35">
      <c r="H3633" s="83">
        <f t="shared" si="103"/>
        <v>0</v>
      </c>
    </row>
    <row r="3634" spans="8:8" hidden="1" x14ac:dyDescent="0.35">
      <c r="H3634" s="83">
        <f t="shared" si="103"/>
        <v>0</v>
      </c>
    </row>
    <row r="3635" spans="8:8" hidden="1" x14ac:dyDescent="0.35">
      <c r="H3635" s="83">
        <f t="shared" si="103"/>
        <v>0</v>
      </c>
    </row>
    <row r="3636" spans="8:8" hidden="1" x14ac:dyDescent="0.35">
      <c r="H3636" s="83">
        <f t="shared" si="103"/>
        <v>0</v>
      </c>
    </row>
    <row r="3637" spans="8:8" hidden="1" x14ac:dyDescent="0.35">
      <c r="H3637" s="83">
        <f t="shared" si="103"/>
        <v>0</v>
      </c>
    </row>
    <row r="3638" spans="8:8" hidden="1" x14ac:dyDescent="0.35">
      <c r="H3638" s="83">
        <f t="shared" si="103"/>
        <v>0</v>
      </c>
    </row>
    <row r="3639" spans="8:8" hidden="1" x14ac:dyDescent="0.35">
      <c r="H3639" s="83">
        <f t="shared" si="103"/>
        <v>0</v>
      </c>
    </row>
    <row r="3640" spans="8:8" hidden="1" x14ac:dyDescent="0.35">
      <c r="H3640" s="83">
        <f t="shared" si="103"/>
        <v>0</v>
      </c>
    </row>
    <row r="3641" spans="8:8" hidden="1" x14ac:dyDescent="0.35">
      <c r="H3641" s="83">
        <f t="shared" si="103"/>
        <v>0</v>
      </c>
    </row>
    <row r="3642" spans="8:8" hidden="1" x14ac:dyDescent="0.35">
      <c r="H3642" s="83">
        <f t="shared" si="103"/>
        <v>0</v>
      </c>
    </row>
    <row r="3643" spans="8:8" hidden="1" x14ac:dyDescent="0.35">
      <c r="H3643" s="83">
        <f t="shared" si="103"/>
        <v>0</v>
      </c>
    </row>
    <row r="3644" spans="8:8" hidden="1" x14ac:dyDescent="0.35">
      <c r="H3644" s="83">
        <f t="shared" si="103"/>
        <v>0</v>
      </c>
    </row>
    <row r="3645" spans="8:8" hidden="1" x14ac:dyDescent="0.35">
      <c r="H3645" s="83">
        <f t="shared" si="103"/>
        <v>0</v>
      </c>
    </row>
    <row r="3646" spans="8:8" hidden="1" x14ac:dyDescent="0.35">
      <c r="H3646" s="83">
        <f t="shared" si="103"/>
        <v>0</v>
      </c>
    </row>
    <row r="3647" spans="8:8" hidden="1" x14ac:dyDescent="0.35">
      <c r="H3647" s="83">
        <f t="shared" si="103"/>
        <v>0</v>
      </c>
    </row>
    <row r="3648" spans="8:8" hidden="1" x14ac:dyDescent="0.35">
      <c r="H3648" s="83">
        <f t="shared" si="103"/>
        <v>0</v>
      </c>
    </row>
    <row r="3649" spans="8:8" hidden="1" x14ac:dyDescent="0.35">
      <c r="H3649" s="83">
        <f t="shared" si="103"/>
        <v>0</v>
      </c>
    </row>
    <row r="3650" spans="8:8" hidden="1" x14ac:dyDescent="0.35">
      <c r="H3650" s="83">
        <f t="shared" si="103"/>
        <v>0</v>
      </c>
    </row>
    <row r="3651" spans="8:8" hidden="1" x14ac:dyDescent="0.35">
      <c r="H3651" s="83">
        <f t="shared" si="103"/>
        <v>0</v>
      </c>
    </row>
    <row r="3652" spans="8:8" hidden="1" x14ac:dyDescent="0.35">
      <c r="H3652" s="83">
        <f t="shared" ref="H3652:H3715" si="104">J3652-I3652</f>
        <v>0</v>
      </c>
    </row>
    <row r="3653" spans="8:8" hidden="1" x14ac:dyDescent="0.35">
      <c r="H3653" s="83">
        <f t="shared" si="104"/>
        <v>0</v>
      </c>
    </row>
    <row r="3654" spans="8:8" hidden="1" x14ac:dyDescent="0.35">
      <c r="H3654" s="83">
        <f t="shared" si="104"/>
        <v>0</v>
      </c>
    </row>
    <row r="3655" spans="8:8" hidden="1" x14ac:dyDescent="0.35">
      <c r="H3655" s="83">
        <f t="shared" si="104"/>
        <v>0</v>
      </c>
    </row>
    <row r="3656" spans="8:8" hidden="1" x14ac:dyDescent="0.35">
      <c r="H3656" s="83">
        <f t="shared" si="104"/>
        <v>0</v>
      </c>
    </row>
    <row r="3657" spans="8:8" hidden="1" x14ac:dyDescent="0.35">
      <c r="H3657" s="83">
        <f t="shared" si="104"/>
        <v>0</v>
      </c>
    </row>
    <row r="3658" spans="8:8" hidden="1" x14ac:dyDescent="0.35">
      <c r="H3658" s="83">
        <f t="shared" si="104"/>
        <v>0</v>
      </c>
    </row>
    <row r="3659" spans="8:8" hidden="1" x14ac:dyDescent="0.35">
      <c r="H3659" s="83">
        <f t="shared" si="104"/>
        <v>0</v>
      </c>
    </row>
    <row r="3660" spans="8:8" hidden="1" x14ac:dyDescent="0.35">
      <c r="H3660" s="83">
        <f t="shared" si="104"/>
        <v>0</v>
      </c>
    </row>
    <row r="3661" spans="8:8" hidden="1" x14ac:dyDescent="0.35">
      <c r="H3661" s="83">
        <f t="shared" si="104"/>
        <v>0</v>
      </c>
    </row>
    <row r="3662" spans="8:8" hidden="1" x14ac:dyDescent="0.35">
      <c r="H3662" s="83">
        <f t="shared" si="104"/>
        <v>0</v>
      </c>
    </row>
    <row r="3663" spans="8:8" hidden="1" x14ac:dyDescent="0.35">
      <c r="H3663" s="83">
        <f t="shared" si="104"/>
        <v>0</v>
      </c>
    </row>
    <row r="3664" spans="8:8" hidden="1" x14ac:dyDescent="0.35">
      <c r="H3664" s="83">
        <f t="shared" si="104"/>
        <v>0</v>
      </c>
    </row>
    <row r="3665" spans="8:8" hidden="1" x14ac:dyDescent="0.35">
      <c r="H3665" s="83">
        <f t="shared" si="104"/>
        <v>0</v>
      </c>
    </row>
    <row r="3666" spans="8:8" hidden="1" x14ac:dyDescent="0.35">
      <c r="H3666" s="83">
        <f t="shared" si="104"/>
        <v>0</v>
      </c>
    </row>
    <row r="3667" spans="8:8" hidden="1" x14ac:dyDescent="0.35">
      <c r="H3667" s="83">
        <f t="shared" si="104"/>
        <v>0</v>
      </c>
    </row>
    <row r="3668" spans="8:8" hidden="1" x14ac:dyDescent="0.35">
      <c r="H3668" s="83">
        <f t="shared" si="104"/>
        <v>0</v>
      </c>
    </row>
    <row r="3669" spans="8:8" hidden="1" x14ac:dyDescent="0.35">
      <c r="H3669" s="83">
        <f t="shared" si="104"/>
        <v>0</v>
      </c>
    </row>
    <row r="3670" spans="8:8" hidden="1" x14ac:dyDescent="0.35">
      <c r="H3670" s="83">
        <f t="shared" si="104"/>
        <v>0</v>
      </c>
    </row>
    <row r="3671" spans="8:8" hidden="1" x14ac:dyDescent="0.35">
      <c r="H3671" s="83">
        <f t="shared" si="104"/>
        <v>0</v>
      </c>
    </row>
    <row r="3672" spans="8:8" hidden="1" x14ac:dyDescent="0.35">
      <c r="H3672" s="83">
        <f t="shared" si="104"/>
        <v>0</v>
      </c>
    </row>
    <row r="3673" spans="8:8" hidden="1" x14ac:dyDescent="0.35">
      <c r="H3673" s="83">
        <f t="shared" si="104"/>
        <v>0</v>
      </c>
    </row>
    <row r="3674" spans="8:8" hidden="1" x14ac:dyDescent="0.35">
      <c r="H3674" s="83">
        <f t="shared" si="104"/>
        <v>0</v>
      </c>
    </row>
    <row r="3675" spans="8:8" hidden="1" x14ac:dyDescent="0.35">
      <c r="H3675" s="83">
        <f t="shared" si="104"/>
        <v>0</v>
      </c>
    </row>
    <row r="3676" spans="8:8" hidden="1" x14ac:dyDescent="0.35">
      <c r="H3676" s="83">
        <f t="shared" si="104"/>
        <v>0</v>
      </c>
    </row>
    <row r="3677" spans="8:8" hidden="1" x14ac:dyDescent="0.35">
      <c r="H3677" s="83">
        <f t="shared" si="104"/>
        <v>0</v>
      </c>
    </row>
    <row r="3678" spans="8:8" hidden="1" x14ac:dyDescent="0.35">
      <c r="H3678" s="83">
        <f t="shared" si="104"/>
        <v>0</v>
      </c>
    </row>
    <row r="3679" spans="8:8" hidden="1" x14ac:dyDescent="0.35">
      <c r="H3679" s="83">
        <f t="shared" si="104"/>
        <v>0</v>
      </c>
    </row>
    <row r="3680" spans="8:8" hidden="1" x14ac:dyDescent="0.35">
      <c r="H3680" s="83">
        <f t="shared" si="104"/>
        <v>0</v>
      </c>
    </row>
    <row r="3681" spans="8:8" hidden="1" x14ac:dyDescent="0.35">
      <c r="H3681" s="83">
        <f t="shared" si="104"/>
        <v>0</v>
      </c>
    </row>
    <row r="3682" spans="8:8" hidden="1" x14ac:dyDescent="0.35">
      <c r="H3682" s="83">
        <f t="shared" si="104"/>
        <v>0</v>
      </c>
    </row>
    <row r="3683" spans="8:8" hidden="1" x14ac:dyDescent="0.35">
      <c r="H3683" s="83">
        <f t="shared" si="104"/>
        <v>0</v>
      </c>
    </row>
    <row r="3684" spans="8:8" hidden="1" x14ac:dyDescent="0.35">
      <c r="H3684" s="83">
        <f t="shared" si="104"/>
        <v>0</v>
      </c>
    </row>
    <row r="3685" spans="8:8" hidden="1" x14ac:dyDescent="0.35">
      <c r="H3685" s="83">
        <f t="shared" si="104"/>
        <v>0</v>
      </c>
    </row>
    <row r="3686" spans="8:8" hidden="1" x14ac:dyDescent="0.35">
      <c r="H3686" s="83">
        <f t="shared" si="104"/>
        <v>0</v>
      </c>
    </row>
    <row r="3687" spans="8:8" hidden="1" x14ac:dyDescent="0.35">
      <c r="H3687" s="83">
        <f t="shared" si="104"/>
        <v>0</v>
      </c>
    </row>
    <row r="3688" spans="8:8" hidden="1" x14ac:dyDescent="0.35">
      <c r="H3688" s="83">
        <f t="shared" si="104"/>
        <v>0</v>
      </c>
    </row>
    <row r="3689" spans="8:8" hidden="1" x14ac:dyDescent="0.35">
      <c r="H3689" s="83">
        <f t="shared" si="104"/>
        <v>0</v>
      </c>
    </row>
    <row r="3690" spans="8:8" hidden="1" x14ac:dyDescent="0.35">
      <c r="H3690" s="83">
        <f t="shared" si="104"/>
        <v>0</v>
      </c>
    </row>
    <row r="3691" spans="8:8" hidden="1" x14ac:dyDescent="0.35">
      <c r="H3691" s="83">
        <f t="shared" si="104"/>
        <v>0</v>
      </c>
    </row>
    <row r="3692" spans="8:8" hidden="1" x14ac:dyDescent="0.35">
      <c r="H3692" s="83">
        <f t="shared" si="104"/>
        <v>0</v>
      </c>
    </row>
    <row r="3693" spans="8:8" hidden="1" x14ac:dyDescent="0.35">
      <c r="H3693" s="83">
        <f t="shared" si="104"/>
        <v>0</v>
      </c>
    </row>
    <row r="3694" spans="8:8" hidden="1" x14ac:dyDescent="0.35">
      <c r="H3694" s="83">
        <f t="shared" si="104"/>
        <v>0</v>
      </c>
    </row>
    <row r="3695" spans="8:8" hidden="1" x14ac:dyDescent="0.35">
      <c r="H3695" s="83">
        <f t="shared" si="104"/>
        <v>0</v>
      </c>
    </row>
    <row r="3696" spans="8:8" hidden="1" x14ac:dyDescent="0.35">
      <c r="H3696" s="83">
        <f t="shared" si="104"/>
        <v>0</v>
      </c>
    </row>
    <row r="3697" spans="8:8" hidden="1" x14ac:dyDescent="0.35">
      <c r="H3697" s="83">
        <f t="shared" si="104"/>
        <v>0</v>
      </c>
    </row>
    <row r="3698" spans="8:8" hidden="1" x14ac:dyDescent="0.35">
      <c r="H3698" s="83">
        <f t="shared" si="104"/>
        <v>0</v>
      </c>
    </row>
    <row r="3699" spans="8:8" hidden="1" x14ac:dyDescent="0.35">
      <c r="H3699" s="83">
        <f t="shared" si="104"/>
        <v>0</v>
      </c>
    </row>
    <row r="3700" spans="8:8" hidden="1" x14ac:dyDescent="0.35">
      <c r="H3700" s="83">
        <f t="shared" si="104"/>
        <v>0</v>
      </c>
    </row>
    <row r="3701" spans="8:8" hidden="1" x14ac:dyDescent="0.35">
      <c r="H3701" s="83">
        <f t="shared" si="104"/>
        <v>0</v>
      </c>
    </row>
    <row r="3702" spans="8:8" hidden="1" x14ac:dyDescent="0.35">
      <c r="H3702" s="83">
        <f t="shared" si="104"/>
        <v>0</v>
      </c>
    </row>
    <row r="3703" spans="8:8" hidden="1" x14ac:dyDescent="0.35">
      <c r="H3703" s="83">
        <f t="shared" si="104"/>
        <v>0</v>
      </c>
    </row>
    <row r="3704" spans="8:8" hidden="1" x14ac:dyDescent="0.35">
      <c r="H3704" s="83">
        <f t="shared" si="104"/>
        <v>0</v>
      </c>
    </row>
    <row r="3705" spans="8:8" hidden="1" x14ac:dyDescent="0.35">
      <c r="H3705" s="83">
        <f t="shared" si="104"/>
        <v>0</v>
      </c>
    </row>
    <row r="3706" spans="8:8" hidden="1" x14ac:dyDescent="0.35">
      <c r="H3706" s="83">
        <f t="shared" si="104"/>
        <v>0</v>
      </c>
    </row>
    <row r="3707" spans="8:8" hidden="1" x14ac:dyDescent="0.35">
      <c r="H3707" s="83">
        <f t="shared" si="104"/>
        <v>0</v>
      </c>
    </row>
    <row r="3708" spans="8:8" hidden="1" x14ac:dyDescent="0.35">
      <c r="H3708" s="83">
        <f t="shared" si="104"/>
        <v>0</v>
      </c>
    </row>
    <row r="3709" spans="8:8" hidden="1" x14ac:dyDescent="0.35">
      <c r="H3709" s="83">
        <f t="shared" si="104"/>
        <v>0</v>
      </c>
    </row>
    <row r="3710" spans="8:8" hidden="1" x14ac:dyDescent="0.35">
      <c r="H3710" s="83">
        <f t="shared" si="104"/>
        <v>0</v>
      </c>
    </row>
    <row r="3711" spans="8:8" hidden="1" x14ac:dyDescent="0.35">
      <c r="H3711" s="83">
        <f t="shared" si="104"/>
        <v>0</v>
      </c>
    </row>
    <row r="3712" spans="8:8" hidden="1" x14ac:dyDescent="0.35">
      <c r="H3712" s="83">
        <f t="shared" si="104"/>
        <v>0</v>
      </c>
    </row>
    <row r="3713" spans="8:8" hidden="1" x14ac:dyDescent="0.35">
      <c r="H3713" s="83">
        <f t="shared" si="104"/>
        <v>0</v>
      </c>
    </row>
    <row r="3714" spans="8:8" hidden="1" x14ac:dyDescent="0.35">
      <c r="H3714" s="83">
        <f t="shared" si="104"/>
        <v>0</v>
      </c>
    </row>
    <row r="3715" spans="8:8" hidden="1" x14ac:dyDescent="0.35">
      <c r="H3715" s="83">
        <f t="shared" si="104"/>
        <v>0</v>
      </c>
    </row>
    <row r="3716" spans="8:8" hidden="1" x14ac:dyDescent="0.35">
      <c r="H3716" s="83">
        <f t="shared" ref="H3716:H3779" si="105">J3716-I3716</f>
        <v>0</v>
      </c>
    </row>
    <row r="3717" spans="8:8" hidden="1" x14ac:dyDescent="0.35">
      <c r="H3717" s="83">
        <f t="shared" si="105"/>
        <v>0</v>
      </c>
    </row>
    <row r="3718" spans="8:8" hidden="1" x14ac:dyDescent="0.35">
      <c r="H3718" s="83">
        <f t="shared" si="105"/>
        <v>0</v>
      </c>
    </row>
    <row r="3719" spans="8:8" hidden="1" x14ac:dyDescent="0.35">
      <c r="H3719" s="83">
        <f t="shared" si="105"/>
        <v>0</v>
      </c>
    </row>
    <row r="3720" spans="8:8" hidden="1" x14ac:dyDescent="0.35">
      <c r="H3720" s="83">
        <f t="shared" si="105"/>
        <v>0</v>
      </c>
    </row>
    <row r="3721" spans="8:8" hidden="1" x14ac:dyDescent="0.35">
      <c r="H3721" s="83">
        <f t="shared" si="105"/>
        <v>0</v>
      </c>
    </row>
    <row r="3722" spans="8:8" hidden="1" x14ac:dyDescent="0.35">
      <c r="H3722" s="83">
        <f t="shared" si="105"/>
        <v>0</v>
      </c>
    </row>
    <row r="3723" spans="8:8" hidden="1" x14ac:dyDescent="0.35">
      <c r="H3723" s="83">
        <f t="shared" si="105"/>
        <v>0</v>
      </c>
    </row>
    <row r="3724" spans="8:8" hidden="1" x14ac:dyDescent="0.35">
      <c r="H3724" s="83">
        <f t="shared" si="105"/>
        <v>0</v>
      </c>
    </row>
    <row r="3725" spans="8:8" hidden="1" x14ac:dyDescent="0.35">
      <c r="H3725" s="83">
        <f t="shared" si="105"/>
        <v>0</v>
      </c>
    </row>
    <row r="3726" spans="8:8" hidden="1" x14ac:dyDescent="0.35">
      <c r="H3726" s="83">
        <f t="shared" si="105"/>
        <v>0</v>
      </c>
    </row>
    <row r="3727" spans="8:8" hidden="1" x14ac:dyDescent="0.35">
      <c r="H3727" s="83">
        <f t="shared" si="105"/>
        <v>0</v>
      </c>
    </row>
    <row r="3728" spans="8:8" hidden="1" x14ac:dyDescent="0.35">
      <c r="H3728" s="83">
        <f t="shared" si="105"/>
        <v>0</v>
      </c>
    </row>
    <row r="3729" spans="8:8" hidden="1" x14ac:dyDescent="0.35">
      <c r="H3729" s="83">
        <f t="shared" si="105"/>
        <v>0</v>
      </c>
    </row>
    <row r="3730" spans="8:8" hidden="1" x14ac:dyDescent="0.35">
      <c r="H3730" s="83">
        <f t="shared" si="105"/>
        <v>0</v>
      </c>
    </row>
    <row r="3731" spans="8:8" hidden="1" x14ac:dyDescent="0.35">
      <c r="H3731" s="83">
        <f t="shared" si="105"/>
        <v>0</v>
      </c>
    </row>
    <row r="3732" spans="8:8" hidden="1" x14ac:dyDescent="0.35">
      <c r="H3732" s="83">
        <f t="shared" si="105"/>
        <v>0</v>
      </c>
    </row>
    <row r="3733" spans="8:8" hidden="1" x14ac:dyDescent="0.35">
      <c r="H3733" s="83">
        <f t="shared" si="105"/>
        <v>0</v>
      </c>
    </row>
    <row r="3734" spans="8:8" hidden="1" x14ac:dyDescent="0.35">
      <c r="H3734" s="83">
        <f t="shared" si="105"/>
        <v>0</v>
      </c>
    </row>
    <row r="3735" spans="8:8" hidden="1" x14ac:dyDescent="0.35">
      <c r="H3735" s="83">
        <f t="shared" si="105"/>
        <v>0</v>
      </c>
    </row>
    <row r="3736" spans="8:8" hidden="1" x14ac:dyDescent="0.35">
      <c r="H3736" s="83">
        <f t="shared" si="105"/>
        <v>0</v>
      </c>
    </row>
    <row r="3737" spans="8:8" hidden="1" x14ac:dyDescent="0.35">
      <c r="H3737" s="83">
        <f t="shared" si="105"/>
        <v>0</v>
      </c>
    </row>
    <row r="3738" spans="8:8" hidden="1" x14ac:dyDescent="0.35">
      <c r="H3738" s="83">
        <f t="shared" si="105"/>
        <v>0</v>
      </c>
    </row>
    <row r="3739" spans="8:8" hidden="1" x14ac:dyDescent="0.35">
      <c r="H3739" s="83">
        <f t="shared" si="105"/>
        <v>0</v>
      </c>
    </row>
    <row r="3740" spans="8:8" hidden="1" x14ac:dyDescent="0.35">
      <c r="H3740" s="83">
        <f t="shared" si="105"/>
        <v>0</v>
      </c>
    </row>
    <row r="3741" spans="8:8" hidden="1" x14ac:dyDescent="0.35">
      <c r="H3741" s="83">
        <f t="shared" si="105"/>
        <v>0</v>
      </c>
    </row>
    <row r="3742" spans="8:8" hidden="1" x14ac:dyDescent="0.35">
      <c r="H3742" s="83">
        <f t="shared" si="105"/>
        <v>0</v>
      </c>
    </row>
    <row r="3743" spans="8:8" hidden="1" x14ac:dyDescent="0.35">
      <c r="H3743" s="83">
        <f t="shared" si="105"/>
        <v>0</v>
      </c>
    </row>
    <row r="3744" spans="8:8" hidden="1" x14ac:dyDescent="0.35">
      <c r="H3744" s="83">
        <f t="shared" si="105"/>
        <v>0</v>
      </c>
    </row>
    <row r="3745" spans="8:8" hidden="1" x14ac:dyDescent="0.35">
      <c r="H3745" s="83">
        <f t="shared" si="105"/>
        <v>0</v>
      </c>
    </row>
    <row r="3746" spans="8:8" hidden="1" x14ac:dyDescent="0.35">
      <c r="H3746" s="83">
        <f t="shared" si="105"/>
        <v>0</v>
      </c>
    </row>
    <row r="3747" spans="8:8" hidden="1" x14ac:dyDescent="0.35">
      <c r="H3747" s="83">
        <f t="shared" si="105"/>
        <v>0</v>
      </c>
    </row>
    <row r="3748" spans="8:8" hidden="1" x14ac:dyDescent="0.35">
      <c r="H3748" s="83">
        <f t="shared" si="105"/>
        <v>0</v>
      </c>
    </row>
    <row r="3749" spans="8:8" hidden="1" x14ac:dyDescent="0.35">
      <c r="H3749" s="83">
        <f t="shared" si="105"/>
        <v>0</v>
      </c>
    </row>
    <row r="3750" spans="8:8" hidden="1" x14ac:dyDescent="0.35">
      <c r="H3750" s="83">
        <f t="shared" si="105"/>
        <v>0</v>
      </c>
    </row>
    <row r="3751" spans="8:8" hidden="1" x14ac:dyDescent="0.35">
      <c r="H3751" s="83">
        <f t="shared" si="105"/>
        <v>0</v>
      </c>
    </row>
    <row r="3752" spans="8:8" hidden="1" x14ac:dyDescent="0.35">
      <c r="H3752" s="83">
        <f t="shared" si="105"/>
        <v>0</v>
      </c>
    </row>
    <row r="3753" spans="8:8" hidden="1" x14ac:dyDescent="0.35">
      <c r="H3753" s="83">
        <f t="shared" si="105"/>
        <v>0</v>
      </c>
    </row>
    <row r="3754" spans="8:8" hidden="1" x14ac:dyDescent="0.35">
      <c r="H3754" s="83">
        <f t="shared" si="105"/>
        <v>0</v>
      </c>
    </row>
    <row r="3755" spans="8:8" hidden="1" x14ac:dyDescent="0.35">
      <c r="H3755" s="83">
        <f t="shared" si="105"/>
        <v>0</v>
      </c>
    </row>
    <row r="3756" spans="8:8" hidden="1" x14ac:dyDescent="0.35">
      <c r="H3756" s="83">
        <f t="shared" si="105"/>
        <v>0</v>
      </c>
    </row>
    <row r="3757" spans="8:8" hidden="1" x14ac:dyDescent="0.35">
      <c r="H3757" s="83">
        <f t="shared" si="105"/>
        <v>0</v>
      </c>
    </row>
    <row r="3758" spans="8:8" hidden="1" x14ac:dyDescent="0.35">
      <c r="H3758" s="83">
        <f t="shared" si="105"/>
        <v>0</v>
      </c>
    </row>
    <row r="3759" spans="8:8" hidden="1" x14ac:dyDescent="0.35">
      <c r="H3759" s="83">
        <f t="shared" si="105"/>
        <v>0</v>
      </c>
    </row>
    <row r="3760" spans="8:8" hidden="1" x14ac:dyDescent="0.35">
      <c r="H3760" s="83">
        <f t="shared" si="105"/>
        <v>0</v>
      </c>
    </row>
    <row r="3761" spans="8:8" hidden="1" x14ac:dyDescent="0.35">
      <c r="H3761" s="83">
        <f t="shared" si="105"/>
        <v>0</v>
      </c>
    </row>
    <row r="3762" spans="8:8" hidden="1" x14ac:dyDescent="0.35">
      <c r="H3762" s="83">
        <f t="shared" si="105"/>
        <v>0</v>
      </c>
    </row>
    <row r="3763" spans="8:8" hidden="1" x14ac:dyDescent="0.35">
      <c r="H3763" s="83">
        <f t="shared" si="105"/>
        <v>0</v>
      </c>
    </row>
    <row r="3764" spans="8:8" hidden="1" x14ac:dyDescent="0.35">
      <c r="H3764" s="83">
        <f t="shared" si="105"/>
        <v>0</v>
      </c>
    </row>
    <row r="3765" spans="8:8" hidden="1" x14ac:dyDescent="0.35">
      <c r="H3765" s="83">
        <f t="shared" si="105"/>
        <v>0</v>
      </c>
    </row>
    <row r="3766" spans="8:8" hidden="1" x14ac:dyDescent="0.35">
      <c r="H3766" s="83">
        <f t="shared" si="105"/>
        <v>0</v>
      </c>
    </row>
    <row r="3767" spans="8:8" hidden="1" x14ac:dyDescent="0.35">
      <c r="H3767" s="83">
        <f t="shared" si="105"/>
        <v>0</v>
      </c>
    </row>
    <row r="3768" spans="8:8" hidden="1" x14ac:dyDescent="0.35">
      <c r="H3768" s="83">
        <f t="shared" si="105"/>
        <v>0</v>
      </c>
    </row>
    <row r="3769" spans="8:8" hidden="1" x14ac:dyDescent="0.35">
      <c r="H3769" s="83">
        <f t="shared" si="105"/>
        <v>0</v>
      </c>
    </row>
    <row r="3770" spans="8:8" hidden="1" x14ac:dyDescent="0.35">
      <c r="H3770" s="83">
        <f t="shared" si="105"/>
        <v>0</v>
      </c>
    </row>
    <row r="3771" spans="8:8" hidden="1" x14ac:dyDescent="0.35">
      <c r="H3771" s="83">
        <f t="shared" si="105"/>
        <v>0</v>
      </c>
    </row>
    <row r="3772" spans="8:8" hidden="1" x14ac:dyDescent="0.35">
      <c r="H3772" s="83">
        <f t="shared" si="105"/>
        <v>0</v>
      </c>
    </row>
    <row r="3773" spans="8:8" hidden="1" x14ac:dyDescent="0.35">
      <c r="H3773" s="83">
        <f t="shared" si="105"/>
        <v>0</v>
      </c>
    </row>
    <row r="3774" spans="8:8" hidden="1" x14ac:dyDescent="0.35">
      <c r="H3774" s="83">
        <f t="shared" si="105"/>
        <v>0</v>
      </c>
    </row>
    <row r="3775" spans="8:8" hidden="1" x14ac:dyDescent="0.35">
      <c r="H3775" s="83">
        <f t="shared" si="105"/>
        <v>0</v>
      </c>
    </row>
    <row r="3776" spans="8:8" hidden="1" x14ac:dyDescent="0.35">
      <c r="H3776" s="83">
        <f t="shared" si="105"/>
        <v>0</v>
      </c>
    </row>
    <row r="3777" spans="8:8" hidden="1" x14ac:dyDescent="0.35">
      <c r="H3777" s="83">
        <f t="shared" si="105"/>
        <v>0</v>
      </c>
    </row>
    <row r="3778" spans="8:8" hidden="1" x14ac:dyDescent="0.35">
      <c r="H3778" s="83">
        <f t="shared" si="105"/>
        <v>0</v>
      </c>
    </row>
    <row r="3779" spans="8:8" hidden="1" x14ac:dyDescent="0.35">
      <c r="H3779" s="83">
        <f t="shared" si="105"/>
        <v>0</v>
      </c>
    </row>
    <row r="3780" spans="8:8" hidden="1" x14ac:dyDescent="0.35">
      <c r="H3780" s="83">
        <f t="shared" ref="H3780:H3843" si="106">J3780-I3780</f>
        <v>0</v>
      </c>
    </row>
    <row r="3781" spans="8:8" hidden="1" x14ac:dyDescent="0.35">
      <c r="H3781" s="83">
        <f t="shared" si="106"/>
        <v>0</v>
      </c>
    </row>
    <row r="3782" spans="8:8" hidden="1" x14ac:dyDescent="0.35">
      <c r="H3782" s="83">
        <f t="shared" si="106"/>
        <v>0</v>
      </c>
    </row>
    <row r="3783" spans="8:8" hidden="1" x14ac:dyDescent="0.35">
      <c r="H3783" s="83">
        <f t="shared" si="106"/>
        <v>0</v>
      </c>
    </row>
    <row r="3784" spans="8:8" hidden="1" x14ac:dyDescent="0.35">
      <c r="H3784" s="83">
        <f t="shared" si="106"/>
        <v>0</v>
      </c>
    </row>
    <row r="3785" spans="8:8" hidden="1" x14ac:dyDescent="0.35">
      <c r="H3785" s="83">
        <f t="shared" si="106"/>
        <v>0</v>
      </c>
    </row>
    <row r="3786" spans="8:8" hidden="1" x14ac:dyDescent="0.35">
      <c r="H3786" s="83">
        <f t="shared" si="106"/>
        <v>0</v>
      </c>
    </row>
    <row r="3787" spans="8:8" hidden="1" x14ac:dyDescent="0.35">
      <c r="H3787" s="83">
        <f t="shared" si="106"/>
        <v>0</v>
      </c>
    </row>
    <row r="3788" spans="8:8" hidden="1" x14ac:dyDescent="0.35">
      <c r="H3788" s="83">
        <f t="shared" si="106"/>
        <v>0</v>
      </c>
    </row>
    <row r="3789" spans="8:8" hidden="1" x14ac:dyDescent="0.35">
      <c r="H3789" s="83">
        <f t="shared" si="106"/>
        <v>0</v>
      </c>
    </row>
    <row r="3790" spans="8:8" hidden="1" x14ac:dyDescent="0.35">
      <c r="H3790" s="83">
        <f t="shared" si="106"/>
        <v>0</v>
      </c>
    </row>
    <row r="3791" spans="8:8" hidden="1" x14ac:dyDescent="0.35">
      <c r="H3791" s="83">
        <f t="shared" si="106"/>
        <v>0</v>
      </c>
    </row>
    <row r="3792" spans="8:8" hidden="1" x14ac:dyDescent="0.35">
      <c r="H3792" s="83">
        <f t="shared" si="106"/>
        <v>0</v>
      </c>
    </row>
    <row r="3793" spans="8:8" hidden="1" x14ac:dyDescent="0.35">
      <c r="H3793" s="83">
        <f t="shared" si="106"/>
        <v>0</v>
      </c>
    </row>
    <row r="3794" spans="8:8" hidden="1" x14ac:dyDescent="0.35">
      <c r="H3794" s="83">
        <f t="shared" si="106"/>
        <v>0</v>
      </c>
    </row>
    <row r="3795" spans="8:8" hidden="1" x14ac:dyDescent="0.35">
      <c r="H3795" s="83">
        <f t="shared" si="106"/>
        <v>0</v>
      </c>
    </row>
    <row r="3796" spans="8:8" hidden="1" x14ac:dyDescent="0.35">
      <c r="H3796" s="83">
        <f t="shared" si="106"/>
        <v>0</v>
      </c>
    </row>
    <row r="3797" spans="8:8" hidden="1" x14ac:dyDescent="0.35">
      <c r="H3797" s="83">
        <f t="shared" si="106"/>
        <v>0</v>
      </c>
    </row>
    <row r="3798" spans="8:8" hidden="1" x14ac:dyDescent="0.35">
      <c r="H3798" s="83">
        <f t="shared" si="106"/>
        <v>0</v>
      </c>
    </row>
    <row r="3799" spans="8:8" hidden="1" x14ac:dyDescent="0.35">
      <c r="H3799" s="83">
        <f t="shared" si="106"/>
        <v>0</v>
      </c>
    </row>
    <row r="3800" spans="8:8" hidden="1" x14ac:dyDescent="0.35">
      <c r="H3800" s="83">
        <f t="shared" si="106"/>
        <v>0</v>
      </c>
    </row>
    <row r="3801" spans="8:8" hidden="1" x14ac:dyDescent="0.35">
      <c r="H3801" s="83">
        <f t="shared" si="106"/>
        <v>0</v>
      </c>
    </row>
    <row r="3802" spans="8:8" hidden="1" x14ac:dyDescent="0.35">
      <c r="H3802" s="83">
        <f t="shared" si="106"/>
        <v>0</v>
      </c>
    </row>
    <row r="3803" spans="8:8" hidden="1" x14ac:dyDescent="0.35">
      <c r="H3803" s="83">
        <f t="shared" si="106"/>
        <v>0</v>
      </c>
    </row>
    <row r="3804" spans="8:8" hidden="1" x14ac:dyDescent="0.35">
      <c r="H3804" s="83">
        <f t="shared" si="106"/>
        <v>0</v>
      </c>
    </row>
    <row r="3805" spans="8:8" hidden="1" x14ac:dyDescent="0.35">
      <c r="H3805" s="83">
        <f t="shared" si="106"/>
        <v>0</v>
      </c>
    </row>
    <row r="3806" spans="8:8" hidden="1" x14ac:dyDescent="0.35">
      <c r="H3806" s="83">
        <f t="shared" si="106"/>
        <v>0</v>
      </c>
    </row>
    <row r="3807" spans="8:8" hidden="1" x14ac:dyDescent="0.35">
      <c r="H3807" s="83">
        <f t="shared" si="106"/>
        <v>0</v>
      </c>
    </row>
    <row r="3808" spans="8:8" hidden="1" x14ac:dyDescent="0.35">
      <c r="H3808" s="83">
        <f t="shared" si="106"/>
        <v>0</v>
      </c>
    </row>
    <row r="3809" spans="8:8" hidden="1" x14ac:dyDescent="0.35">
      <c r="H3809" s="83">
        <f t="shared" si="106"/>
        <v>0</v>
      </c>
    </row>
    <row r="3810" spans="8:8" hidden="1" x14ac:dyDescent="0.35">
      <c r="H3810" s="83">
        <f t="shared" si="106"/>
        <v>0</v>
      </c>
    </row>
    <row r="3811" spans="8:8" hidden="1" x14ac:dyDescent="0.35">
      <c r="H3811" s="83">
        <f t="shared" si="106"/>
        <v>0</v>
      </c>
    </row>
    <row r="3812" spans="8:8" hidden="1" x14ac:dyDescent="0.35">
      <c r="H3812" s="83">
        <f t="shared" si="106"/>
        <v>0</v>
      </c>
    </row>
    <row r="3813" spans="8:8" hidden="1" x14ac:dyDescent="0.35">
      <c r="H3813" s="83">
        <f t="shared" si="106"/>
        <v>0</v>
      </c>
    </row>
    <row r="3814" spans="8:8" hidden="1" x14ac:dyDescent="0.35">
      <c r="H3814" s="83">
        <f t="shared" si="106"/>
        <v>0</v>
      </c>
    </row>
    <row r="3815" spans="8:8" hidden="1" x14ac:dyDescent="0.35">
      <c r="H3815" s="83">
        <f t="shared" si="106"/>
        <v>0</v>
      </c>
    </row>
    <row r="3816" spans="8:8" hidden="1" x14ac:dyDescent="0.35">
      <c r="H3816" s="83">
        <f t="shared" si="106"/>
        <v>0</v>
      </c>
    </row>
    <row r="3817" spans="8:8" hidden="1" x14ac:dyDescent="0.35">
      <c r="H3817" s="83">
        <f t="shared" si="106"/>
        <v>0</v>
      </c>
    </row>
    <row r="3818" spans="8:8" hidden="1" x14ac:dyDescent="0.35">
      <c r="H3818" s="83">
        <f t="shared" si="106"/>
        <v>0</v>
      </c>
    </row>
    <row r="3819" spans="8:8" hidden="1" x14ac:dyDescent="0.35">
      <c r="H3819" s="83">
        <f t="shared" si="106"/>
        <v>0</v>
      </c>
    </row>
    <row r="3820" spans="8:8" hidden="1" x14ac:dyDescent="0.35">
      <c r="H3820" s="83">
        <f t="shared" si="106"/>
        <v>0</v>
      </c>
    </row>
    <row r="3821" spans="8:8" hidden="1" x14ac:dyDescent="0.35">
      <c r="H3821" s="83">
        <f t="shared" si="106"/>
        <v>0</v>
      </c>
    </row>
    <row r="3822" spans="8:8" hidden="1" x14ac:dyDescent="0.35">
      <c r="H3822" s="83">
        <f t="shared" si="106"/>
        <v>0</v>
      </c>
    </row>
    <row r="3823" spans="8:8" hidden="1" x14ac:dyDescent="0.35">
      <c r="H3823" s="83">
        <f t="shared" si="106"/>
        <v>0</v>
      </c>
    </row>
    <row r="3824" spans="8:8" hidden="1" x14ac:dyDescent="0.35">
      <c r="H3824" s="83">
        <f t="shared" si="106"/>
        <v>0</v>
      </c>
    </row>
    <row r="3825" spans="8:8" hidden="1" x14ac:dyDescent="0.35">
      <c r="H3825" s="83">
        <f t="shared" si="106"/>
        <v>0</v>
      </c>
    </row>
    <row r="3826" spans="8:8" hidden="1" x14ac:dyDescent="0.35">
      <c r="H3826" s="83">
        <f t="shared" si="106"/>
        <v>0</v>
      </c>
    </row>
    <row r="3827" spans="8:8" hidden="1" x14ac:dyDescent="0.35">
      <c r="H3827" s="83">
        <f t="shared" si="106"/>
        <v>0</v>
      </c>
    </row>
    <row r="3828" spans="8:8" hidden="1" x14ac:dyDescent="0.35">
      <c r="H3828" s="83">
        <f t="shared" si="106"/>
        <v>0</v>
      </c>
    </row>
    <row r="3829" spans="8:8" hidden="1" x14ac:dyDescent="0.35">
      <c r="H3829" s="83">
        <f t="shared" si="106"/>
        <v>0</v>
      </c>
    </row>
    <row r="3830" spans="8:8" hidden="1" x14ac:dyDescent="0.35">
      <c r="H3830" s="83">
        <f t="shared" si="106"/>
        <v>0</v>
      </c>
    </row>
    <row r="3831" spans="8:8" hidden="1" x14ac:dyDescent="0.35">
      <c r="H3831" s="83">
        <f t="shared" si="106"/>
        <v>0</v>
      </c>
    </row>
    <row r="3832" spans="8:8" hidden="1" x14ac:dyDescent="0.35">
      <c r="H3832" s="83">
        <f t="shared" si="106"/>
        <v>0</v>
      </c>
    </row>
    <row r="3833" spans="8:8" hidden="1" x14ac:dyDescent="0.35">
      <c r="H3833" s="83">
        <f t="shared" si="106"/>
        <v>0</v>
      </c>
    </row>
    <row r="3834" spans="8:8" hidden="1" x14ac:dyDescent="0.35">
      <c r="H3834" s="83">
        <f t="shared" si="106"/>
        <v>0</v>
      </c>
    </row>
    <row r="3835" spans="8:8" hidden="1" x14ac:dyDescent="0.35">
      <c r="H3835" s="83">
        <f t="shared" si="106"/>
        <v>0</v>
      </c>
    </row>
    <row r="3836" spans="8:8" hidden="1" x14ac:dyDescent="0.35">
      <c r="H3836" s="83">
        <f t="shared" si="106"/>
        <v>0</v>
      </c>
    </row>
    <row r="3837" spans="8:8" hidden="1" x14ac:dyDescent="0.35">
      <c r="H3837" s="83">
        <f t="shared" si="106"/>
        <v>0</v>
      </c>
    </row>
    <row r="3838" spans="8:8" hidden="1" x14ac:dyDescent="0.35">
      <c r="H3838" s="83">
        <f t="shared" si="106"/>
        <v>0</v>
      </c>
    </row>
    <row r="3839" spans="8:8" hidden="1" x14ac:dyDescent="0.35">
      <c r="H3839" s="83">
        <f t="shared" si="106"/>
        <v>0</v>
      </c>
    </row>
    <row r="3840" spans="8:8" hidden="1" x14ac:dyDescent="0.35">
      <c r="H3840" s="83">
        <f t="shared" si="106"/>
        <v>0</v>
      </c>
    </row>
    <row r="3841" spans="8:8" hidden="1" x14ac:dyDescent="0.35">
      <c r="H3841" s="83">
        <f t="shared" si="106"/>
        <v>0</v>
      </c>
    </row>
    <row r="3842" spans="8:8" hidden="1" x14ac:dyDescent="0.35">
      <c r="H3842" s="83">
        <f t="shared" si="106"/>
        <v>0</v>
      </c>
    </row>
    <row r="3843" spans="8:8" hidden="1" x14ac:dyDescent="0.35">
      <c r="H3843" s="83">
        <f t="shared" si="106"/>
        <v>0</v>
      </c>
    </row>
    <row r="3844" spans="8:8" hidden="1" x14ac:dyDescent="0.35">
      <c r="H3844" s="83">
        <f t="shared" ref="H3844:H3907" si="107">J3844-I3844</f>
        <v>0</v>
      </c>
    </row>
    <row r="3845" spans="8:8" hidden="1" x14ac:dyDescent="0.35">
      <c r="H3845" s="83">
        <f t="shared" si="107"/>
        <v>0</v>
      </c>
    </row>
    <row r="3846" spans="8:8" hidden="1" x14ac:dyDescent="0.35">
      <c r="H3846" s="83">
        <f t="shared" si="107"/>
        <v>0</v>
      </c>
    </row>
    <row r="3847" spans="8:8" hidden="1" x14ac:dyDescent="0.35">
      <c r="H3847" s="83">
        <f t="shared" si="107"/>
        <v>0</v>
      </c>
    </row>
    <row r="3848" spans="8:8" hidden="1" x14ac:dyDescent="0.35">
      <c r="H3848" s="83">
        <f t="shared" si="107"/>
        <v>0</v>
      </c>
    </row>
    <row r="3849" spans="8:8" hidden="1" x14ac:dyDescent="0.35">
      <c r="H3849" s="83">
        <f t="shared" si="107"/>
        <v>0</v>
      </c>
    </row>
    <row r="3850" spans="8:8" hidden="1" x14ac:dyDescent="0.35">
      <c r="H3850" s="83">
        <f t="shared" si="107"/>
        <v>0</v>
      </c>
    </row>
    <row r="3851" spans="8:8" hidden="1" x14ac:dyDescent="0.35">
      <c r="H3851" s="83">
        <f t="shared" si="107"/>
        <v>0</v>
      </c>
    </row>
    <row r="3852" spans="8:8" hidden="1" x14ac:dyDescent="0.35">
      <c r="H3852" s="83">
        <f t="shared" si="107"/>
        <v>0</v>
      </c>
    </row>
    <row r="3853" spans="8:8" hidden="1" x14ac:dyDescent="0.35">
      <c r="H3853" s="83">
        <f t="shared" si="107"/>
        <v>0</v>
      </c>
    </row>
    <row r="3854" spans="8:8" hidden="1" x14ac:dyDescent="0.35">
      <c r="H3854" s="83">
        <f t="shared" si="107"/>
        <v>0</v>
      </c>
    </row>
    <row r="3855" spans="8:8" hidden="1" x14ac:dyDescent="0.35">
      <c r="H3855" s="83">
        <f t="shared" si="107"/>
        <v>0</v>
      </c>
    </row>
    <row r="3856" spans="8:8" hidden="1" x14ac:dyDescent="0.35">
      <c r="H3856" s="83">
        <f t="shared" si="107"/>
        <v>0</v>
      </c>
    </row>
    <row r="3857" spans="8:8" hidden="1" x14ac:dyDescent="0.35">
      <c r="H3857" s="83">
        <f t="shared" si="107"/>
        <v>0</v>
      </c>
    </row>
    <row r="3858" spans="8:8" hidden="1" x14ac:dyDescent="0.35">
      <c r="H3858" s="83">
        <f t="shared" si="107"/>
        <v>0</v>
      </c>
    </row>
    <row r="3859" spans="8:8" hidden="1" x14ac:dyDescent="0.35">
      <c r="H3859" s="83">
        <f t="shared" si="107"/>
        <v>0</v>
      </c>
    </row>
    <row r="3860" spans="8:8" hidden="1" x14ac:dyDescent="0.35">
      <c r="H3860" s="83">
        <f t="shared" si="107"/>
        <v>0</v>
      </c>
    </row>
    <row r="3861" spans="8:8" hidden="1" x14ac:dyDescent="0.35">
      <c r="H3861" s="83">
        <f t="shared" si="107"/>
        <v>0</v>
      </c>
    </row>
    <row r="3862" spans="8:8" hidden="1" x14ac:dyDescent="0.35">
      <c r="H3862" s="83">
        <f t="shared" si="107"/>
        <v>0</v>
      </c>
    </row>
    <row r="3863" spans="8:8" hidden="1" x14ac:dyDescent="0.35">
      <c r="H3863" s="83">
        <f t="shared" si="107"/>
        <v>0</v>
      </c>
    </row>
    <row r="3864" spans="8:8" hidden="1" x14ac:dyDescent="0.35">
      <c r="H3864" s="83">
        <f t="shared" si="107"/>
        <v>0</v>
      </c>
    </row>
    <row r="3865" spans="8:8" hidden="1" x14ac:dyDescent="0.35">
      <c r="H3865" s="83">
        <f t="shared" si="107"/>
        <v>0</v>
      </c>
    </row>
    <row r="3866" spans="8:8" hidden="1" x14ac:dyDescent="0.35">
      <c r="H3866" s="83">
        <f t="shared" si="107"/>
        <v>0</v>
      </c>
    </row>
    <row r="3867" spans="8:8" hidden="1" x14ac:dyDescent="0.35">
      <c r="H3867" s="83">
        <f t="shared" si="107"/>
        <v>0</v>
      </c>
    </row>
    <row r="3868" spans="8:8" hidden="1" x14ac:dyDescent="0.35">
      <c r="H3868" s="83">
        <f t="shared" si="107"/>
        <v>0</v>
      </c>
    </row>
    <row r="3869" spans="8:8" hidden="1" x14ac:dyDescent="0.35">
      <c r="H3869" s="83">
        <f t="shared" si="107"/>
        <v>0</v>
      </c>
    </row>
    <row r="3870" spans="8:8" hidden="1" x14ac:dyDescent="0.35">
      <c r="H3870" s="83">
        <f t="shared" si="107"/>
        <v>0</v>
      </c>
    </row>
    <row r="3871" spans="8:8" hidden="1" x14ac:dyDescent="0.35">
      <c r="H3871" s="83">
        <f t="shared" si="107"/>
        <v>0</v>
      </c>
    </row>
    <row r="3872" spans="8:8" hidden="1" x14ac:dyDescent="0.35">
      <c r="H3872" s="83">
        <f t="shared" si="107"/>
        <v>0</v>
      </c>
    </row>
    <row r="3873" spans="8:8" hidden="1" x14ac:dyDescent="0.35">
      <c r="H3873" s="83">
        <f t="shared" si="107"/>
        <v>0</v>
      </c>
    </row>
    <row r="3874" spans="8:8" hidden="1" x14ac:dyDescent="0.35">
      <c r="H3874" s="83">
        <f t="shared" si="107"/>
        <v>0</v>
      </c>
    </row>
    <row r="3875" spans="8:8" hidden="1" x14ac:dyDescent="0.35">
      <c r="H3875" s="83">
        <f t="shared" si="107"/>
        <v>0</v>
      </c>
    </row>
    <row r="3876" spans="8:8" hidden="1" x14ac:dyDescent="0.35">
      <c r="H3876" s="83">
        <f t="shared" si="107"/>
        <v>0</v>
      </c>
    </row>
    <row r="3877" spans="8:8" hidden="1" x14ac:dyDescent="0.35">
      <c r="H3877" s="83">
        <f t="shared" si="107"/>
        <v>0</v>
      </c>
    </row>
    <row r="3878" spans="8:8" hidden="1" x14ac:dyDescent="0.35">
      <c r="H3878" s="83">
        <f t="shared" si="107"/>
        <v>0</v>
      </c>
    </row>
    <row r="3879" spans="8:8" hidden="1" x14ac:dyDescent="0.35">
      <c r="H3879" s="83">
        <f t="shared" si="107"/>
        <v>0</v>
      </c>
    </row>
    <row r="3880" spans="8:8" hidden="1" x14ac:dyDescent="0.35">
      <c r="H3880" s="83">
        <f t="shared" si="107"/>
        <v>0</v>
      </c>
    </row>
    <row r="3881" spans="8:8" hidden="1" x14ac:dyDescent="0.35">
      <c r="H3881" s="83">
        <f t="shared" si="107"/>
        <v>0</v>
      </c>
    </row>
    <row r="3882" spans="8:8" hidden="1" x14ac:dyDescent="0.35">
      <c r="H3882" s="83">
        <f t="shared" si="107"/>
        <v>0</v>
      </c>
    </row>
    <row r="3883" spans="8:8" hidden="1" x14ac:dyDescent="0.35">
      <c r="H3883" s="83">
        <f t="shared" si="107"/>
        <v>0</v>
      </c>
    </row>
    <row r="3884" spans="8:8" hidden="1" x14ac:dyDescent="0.35">
      <c r="H3884" s="83">
        <f t="shared" si="107"/>
        <v>0</v>
      </c>
    </row>
    <row r="3885" spans="8:8" hidden="1" x14ac:dyDescent="0.35">
      <c r="H3885" s="83">
        <f t="shared" si="107"/>
        <v>0</v>
      </c>
    </row>
    <row r="3886" spans="8:8" hidden="1" x14ac:dyDescent="0.35">
      <c r="H3886" s="83">
        <f t="shared" si="107"/>
        <v>0</v>
      </c>
    </row>
    <row r="3887" spans="8:8" hidden="1" x14ac:dyDescent="0.35">
      <c r="H3887" s="83">
        <f t="shared" si="107"/>
        <v>0</v>
      </c>
    </row>
    <row r="3888" spans="8:8" hidden="1" x14ac:dyDescent="0.35">
      <c r="H3888" s="83">
        <f t="shared" si="107"/>
        <v>0</v>
      </c>
    </row>
    <row r="3889" spans="8:8" hidden="1" x14ac:dyDescent="0.35">
      <c r="H3889" s="83">
        <f t="shared" si="107"/>
        <v>0</v>
      </c>
    </row>
    <row r="3890" spans="8:8" hidden="1" x14ac:dyDescent="0.35">
      <c r="H3890" s="83">
        <f t="shared" si="107"/>
        <v>0</v>
      </c>
    </row>
    <row r="3891" spans="8:8" hidden="1" x14ac:dyDescent="0.35">
      <c r="H3891" s="83">
        <f t="shared" si="107"/>
        <v>0</v>
      </c>
    </row>
    <row r="3892" spans="8:8" hidden="1" x14ac:dyDescent="0.35">
      <c r="H3892" s="83">
        <f t="shared" si="107"/>
        <v>0</v>
      </c>
    </row>
    <row r="3893" spans="8:8" hidden="1" x14ac:dyDescent="0.35">
      <c r="H3893" s="83">
        <f t="shared" si="107"/>
        <v>0</v>
      </c>
    </row>
    <row r="3894" spans="8:8" hidden="1" x14ac:dyDescent="0.35">
      <c r="H3894" s="83">
        <f t="shared" si="107"/>
        <v>0</v>
      </c>
    </row>
    <row r="3895" spans="8:8" hidden="1" x14ac:dyDescent="0.35">
      <c r="H3895" s="83">
        <f t="shared" si="107"/>
        <v>0</v>
      </c>
    </row>
    <row r="3896" spans="8:8" hidden="1" x14ac:dyDescent="0.35">
      <c r="H3896" s="83">
        <f t="shared" si="107"/>
        <v>0</v>
      </c>
    </row>
    <row r="3897" spans="8:8" hidden="1" x14ac:dyDescent="0.35">
      <c r="H3897" s="83">
        <f t="shared" si="107"/>
        <v>0</v>
      </c>
    </row>
    <row r="3898" spans="8:8" hidden="1" x14ac:dyDescent="0.35">
      <c r="H3898" s="83">
        <f t="shared" si="107"/>
        <v>0</v>
      </c>
    </row>
    <row r="3899" spans="8:8" hidden="1" x14ac:dyDescent="0.35">
      <c r="H3899" s="83">
        <f t="shared" si="107"/>
        <v>0</v>
      </c>
    </row>
    <row r="3900" spans="8:8" hidden="1" x14ac:dyDescent="0.35">
      <c r="H3900" s="83">
        <f t="shared" si="107"/>
        <v>0</v>
      </c>
    </row>
    <row r="3901" spans="8:8" hidden="1" x14ac:dyDescent="0.35">
      <c r="H3901" s="83">
        <f t="shared" si="107"/>
        <v>0</v>
      </c>
    </row>
    <row r="3902" spans="8:8" hidden="1" x14ac:dyDescent="0.35">
      <c r="H3902" s="83">
        <f t="shared" si="107"/>
        <v>0</v>
      </c>
    </row>
    <row r="3903" spans="8:8" hidden="1" x14ac:dyDescent="0.35">
      <c r="H3903" s="83">
        <f t="shared" si="107"/>
        <v>0</v>
      </c>
    </row>
    <row r="3904" spans="8:8" hidden="1" x14ac:dyDescent="0.35">
      <c r="H3904" s="83">
        <f t="shared" si="107"/>
        <v>0</v>
      </c>
    </row>
    <row r="3905" spans="8:8" hidden="1" x14ac:dyDescent="0.35">
      <c r="H3905" s="83">
        <f t="shared" si="107"/>
        <v>0</v>
      </c>
    </row>
    <row r="3906" spans="8:8" hidden="1" x14ac:dyDescent="0.35">
      <c r="H3906" s="83">
        <f t="shared" si="107"/>
        <v>0</v>
      </c>
    </row>
    <row r="3907" spans="8:8" hidden="1" x14ac:dyDescent="0.35">
      <c r="H3907" s="83">
        <f t="shared" si="107"/>
        <v>0</v>
      </c>
    </row>
    <row r="3908" spans="8:8" hidden="1" x14ac:dyDescent="0.35">
      <c r="H3908" s="83">
        <f t="shared" ref="H3908:H3971" si="108">J3908-I3908</f>
        <v>0</v>
      </c>
    </row>
    <row r="3909" spans="8:8" hidden="1" x14ac:dyDescent="0.35">
      <c r="H3909" s="83">
        <f t="shared" si="108"/>
        <v>0</v>
      </c>
    </row>
    <row r="3910" spans="8:8" hidden="1" x14ac:dyDescent="0.35">
      <c r="H3910" s="83">
        <f t="shared" si="108"/>
        <v>0</v>
      </c>
    </row>
    <row r="3911" spans="8:8" hidden="1" x14ac:dyDescent="0.35">
      <c r="H3911" s="83">
        <f t="shared" si="108"/>
        <v>0</v>
      </c>
    </row>
    <row r="3912" spans="8:8" hidden="1" x14ac:dyDescent="0.35">
      <c r="H3912" s="83">
        <f t="shared" si="108"/>
        <v>0</v>
      </c>
    </row>
    <row r="3913" spans="8:8" hidden="1" x14ac:dyDescent="0.35">
      <c r="H3913" s="83">
        <f t="shared" si="108"/>
        <v>0</v>
      </c>
    </row>
    <row r="3914" spans="8:8" hidden="1" x14ac:dyDescent="0.35">
      <c r="H3914" s="83">
        <f t="shared" si="108"/>
        <v>0</v>
      </c>
    </row>
    <row r="3915" spans="8:8" hidden="1" x14ac:dyDescent="0.35">
      <c r="H3915" s="83">
        <f t="shared" si="108"/>
        <v>0</v>
      </c>
    </row>
    <row r="3916" spans="8:8" hidden="1" x14ac:dyDescent="0.35">
      <c r="H3916" s="83">
        <f t="shared" si="108"/>
        <v>0</v>
      </c>
    </row>
    <row r="3917" spans="8:8" hidden="1" x14ac:dyDescent="0.35">
      <c r="H3917" s="83">
        <f t="shared" si="108"/>
        <v>0</v>
      </c>
    </row>
    <row r="3918" spans="8:8" hidden="1" x14ac:dyDescent="0.35">
      <c r="H3918" s="83">
        <f t="shared" si="108"/>
        <v>0</v>
      </c>
    </row>
    <row r="3919" spans="8:8" hidden="1" x14ac:dyDescent="0.35">
      <c r="H3919" s="83">
        <f t="shared" si="108"/>
        <v>0</v>
      </c>
    </row>
    <row r="3920" spans="8:8" hidden="1" x14ac:dyDescent="0.35">
      <c r="H3920" s="83">
        <f t="shared" si="108"/>
        <v>0</v>
      </c>
    </row>
    <row r="3921" spans="8:8" hidden="1" x14ac:dyDescent="0.35">
      <c r="H3921" s="83">
        <f t="shared" si="108"/>
        <v>0</v>
      </c>
    </row>
    <row r="3922" spans="8:8" hidden="1" x14ac:dyDescent="0.35">
      <c r="H3922" s="83">
        <f t="shared" si="108"/>
        <v>0</v>
      </c>
    </row>
    <row r="3923" spans="8:8" hidden="1" x14ac:dyDescent="0.35">
      <c r="H3923" s="83">
        <f t="shared" si="108"/>
        <v>0</v>
      </c>
    </row>
    <row r="3924" spans="8:8" hidden="1" x14ac:dyDescent="0.35">
      <c r="H3924" s="83">
        <f t="shared" si="108"/>
        <v>0</v>
      </c>
    </row>
    <row r="3925" spans="8:8" hidden="1" x14ac:dyDescent="0.35">
      <c r="H3925" s="83">
        <f t="shared" si="108"/>
        <v>0</v>
      </c>
    </row>
    <row r="3926" spans="8:8" hidden="1" x14ac:dyDescent="0.35">
      <c r="H3926" s="83">
        <f t="shared" si="108"/>
        <v>0</v>
      </c>
    </row>
    <row r="3927" spans="8:8" hidden="1" x14ac:dyDescent="0.35">
      <c r="H3927" s="83">
        <f t="shared" si="108"/>
        <v>0</v>
      </c>
    </row>
    <row r="3928" spans="8:8" hidden="1" x14ac:dyDescent="0.35">
      <c r="H3928" s="83">
        <f t="shared" si="108"/>
        <v>0</v>
      </c>
    </row>
    <row r="3929" spans="8:8" hidden="1" x14ac:dyDescent="0.35">
      <c r="H3929" s="83">
        <f t="shared" si="108"/>
        <v>0</v>
      </c>
    </row>
    <row r="3930" spans="8:8" hidden="1" x14ac:dyDescent="0.35">
      <c r="H3930" s="83">
        <f t="shared" si="108"/>
        <v>0</v>
      </c>
    </row>
    <row r="3931" spans="8:8" hidden="1" x14ac:dyDescent="0.35">
      <c r="H3931" s="83">
        <f t="shared" si="108"/>
        <v>0</v>
      </c>
    </row>
    <row r="3932" spans="8:8" hidden="1" x14ac:dyDescent="0.35">
      <c r="H3932" s="83">
        <f t="shared" si="108"/>
        <v>0</v>
      </c>
    </row>
    <row r="3933" spans="8:8" hidden="1" x14ac:dyDescent="0.35">
      <c r="H3933" s="83">
        <f t="shared" si="108"/>
        <v>0</v>
      </c>
    </row>
    <row r="3934" spans="8:8" hidden="1" x14ac:dyDescent="0.35">
      <c r="H3934" s="83">
        <f t="shared" si="108"/>
        <v>0</v>
      </c>
    </row>
    <row r="3935" spans="8:8" hidden="1" x14ac:dyDescent="0.35">
      <c r="H3935" s="83">
        <f t="shared" si="108"/>
        <v>0</v>
      </c>
    </row>
    <row r="3936" spans="8:8" hidden="1" x14ac:dyDescent="0.35">
      <c r="H3936" s="83">
        <f t="shared" si="108"/>
        <v>0</v>
      </c>
    </row>
    <row r="3937" spans="8:8" hidden="1" x14ac:dyDescent="0.35">
      <c r="H3937" s="83">
        <f t="shared" si="108"/>
        <v>0</v>
      </c>
    </row>
    <row r="3938" spans="8:8" hidden="1" x14ac:dyDescent="0.35">
      <c r="H3938" s="83">
        <f t="shared" si="108"/>
        <v>0</v>
      </c>
    </row>
    <row r="3939" spans="8:8" hidden="1" x14ac:dyDescent="0.35">
      <c r="H3939" s="83">
        <f t="shared" si="108"/>
        <v>0</v>
      </c>
    </row>
    <row r="3940" spans="8:8" hidden="1" x14ac:dyDescent="0.35">
      <c r="H3940" s="83">
        <f t="shared" si="108"/>
        <v>0</v>
      </c>
    </row>
    <row r="3941" spans="8:8" hidden="1" x14ac:dyDescent="0.35">
      <c r="H3941" s="83">
        <f t="shared" si="108"/>
        <v>0</v>
      </c>
    </row>
    <row r="3942" spans="8:8" hidden="1" x14ac:dyDescent="0.35">
      <c r="H3942" s="83">
        <f t="shared" si="108"/>
        <v>0</v>
      </c>
    </row>
    <row r="3943" spans="8:8" hidden="1" x14ac:dyDescent="0.35">
      <c r="H3943" s="83">
        <f t="shared" si="108"/>
        <v>0</v>
      </c>
    </row>
    <row r="3944" spans="8:8" hidden="1" x14ac:dyDescent="0.35">
      <c r="H3944" s="83">
        <f t="shared" si="108"/>
        <v>0</v>
      </c>
    </row>
    <row r="3945" spans="8:8" hidden="1" x14ac:dyDescent="0.35">
      <c r="H3945" s="83">
        <f t="shared" si="108"/>
        <v>0</v>
      </c>
    </row>
    <row r="3946" spans="8:8" hidden="1" x14ac:dyDescent="0.35">
      <c r="H3946" s="83">
        <f t="shared" si="108"/>
        <v>0</v>
      </c>
    </row>
    <row r="3947" spans="8:8" hidden="1" x14ac:dyDescent="0.35">
      <c r="H3947" s="83">
        <f t="shared" si="108"/>
        <v>0</v>
      </c>
    </row>
    <row r="3948" spans="8:8" hidden="1" x14ac:dyDescent="0.35">
      <c r="H3948" s="83">
        <f t="shared" si="108"/>
        <v>0</v>
      </c>
    </row>
    <row r="3949" spans="8:8" hidden="1" x14ac:dyDescent="0.35">
      <c r="H3949" s="83">
        <f t="shared" si="108"/>
        <v>0</v>
      </c>
    </row>
    <row r="3950" spans="8:8" hidden="1" x14ac:dyDescent="0.35">
      <c r="H3950" s="83">
        <f t="shared" si="108"/>
        <v>0</v>
      </c>
    </row>
    <row r="3951" spans="8:8" hidden="1" x14ac:dyDescent="0.35">
      <c r="H3951" s="83">
        <f t="shared" si="108"/>
        <v>0</v>
      </c>
    </row>
    <row r="3952" spans="8:8" hidden="1" x14ac:dyDescent="0.35">
      <c r="H3952" s="83">
        <f t="shared" si="108"/>
        <v>0</v>
      </c>
    </row>
    <row r="3953" spans="8:8" hidden="1" x14ac:dyDescent="0.35">
      <c r="H3953" s="83">
        <f t="shared" si="108"/>
        <v>0</v>
      </c>
    </row>
    <row r="3954" spans="8:8" hidden="1" x14ac:dyDescent="0.35">
      <c r="H3954" s="83">
        <f t="shared" si="108"/>
        <v>0</v>
      </c>
    </row>
    <row r="3955" spans="8:8" hidden="1" x14ac:dyDescent="0.35">
      <c r="H3955" s="83">
        <f t="shared" si="108"/>
        <v>0</v>
      </c>
    </row>
    <row r="3956" spans="8:8" hidden="1" x14ac:dyDescent="0.35">
      <c r="H3956" s="83">
        <f t="shared" si="108"/>
        <v>0</v>
      </c>
    </row>
    <row r="3957" spans="8:8" hidden="1" x14ac:dyDescent="0.35">
      <c r="H3957" s="83">
        <f t="shared" si="108"/>
        <v>0</v>
      </c>
    </row>
    <row r="3958" spans="8:8" hidden="1" x14ac:dyDescent="0.35">
      <c r="H3958" s="83">
        <f t="shared" si="108"/>
        <v>0</v>
      </c>
    </row>
    <row r="3959" spans="8:8" hidden="1" x14ac:dyDescent="0.35">
      <c r="H3959" s="83">
        <f t="shared" si="108"/>
        <v>0</v>
      </c>
    </row>
    <row r="3960" spans="8:8" hidden="1" x14ac:dyDescent="0.35">
      <c r="H3960" s="83">
        <f t="shared" si="108"/>
        <v>0</v>
      </c>
    </row>
    <row r="3961" spans="8:8" hidden="1" x14ac:dyDescent="0.35">
      <c r="H3961" s="83">
        <f t="shared" si="108"/>
        <v>0</v>
      </c>
    </row>
    <row r="3962" spans="8:8" hidden="1" x14ac:dyDescent="0.35">
      <c r="H3962" s="83">
        <f t="shared" si="108"/>
        <v>0</v>
      </c>
    </row>
    <row r="3963" spans="8:8" hidden="1" x14ac:dyDescent="0.35">
      <c r="H3963" s="83">
        <f t="shared" si="108"/>
        <v>0</v>
      </c>
    </row>
    <row r="3964" spans="8:8" hidden="1" x14ac:dyDescent="0.35">
      <c r="H3964" s="83">
        <f t="shared" si="108"/>
        <v>0</v>
      </c>
    </row>
    <row r="3965" spans="8:8" hidden="1" x14ac:dyDescent="0.35">
      <c r="H3965" s="83">
        <f t="shared" si="108"/>
        <v>0</v>
      </c>
    </row>
    <row r="3966" spans="8:8" hidden="1" x14ac:dyDescent="0.35">
      <c r="H3966" s="83">
        <f t="shared" si="108"/>
        <v>0</v>
      </c>
    </row>
    <row r="3967" spans="8:8" hidden="1" x14ac:dyDescent="0.35">
      <c r="H3967" s="83">
        <f t="shared" si="108"/>
        <v>0</v>
      </c>
    </row>
    <row r="3968" spans="8:8" hidden="1" x14ac:dyDescent="0.35">
      <c r="H3968" s="83">
        <f t="shared" si="108"/>
        <v>0</v>
      </c>
    </row>
    <row r="3969" spans="8:8" hidden="1" x14ac:dyDescent="0.35">
      <c r="H3969" s="83">
        <f t="shared" si="108"/>
        <v>0</v>
      </c>
    </row>
    <row r="3970" spans="8:8" hidden="1" x14ac:dyDescent="0.35">
      <c r="H3970" s="83">
        <f t="shared" si="108"/>
        <v>0</v>
      </c>
    </row>
    <row r="3971" spans="8:8" hidden="1" x14ac:dyDescent="0.35">
      <c r="H3971" s="83">
        <f t="shared" si="108"/>
        <v>0</v>
      </c>
    </row>
    <row r="3972" spans="8:8" hidden="1" x14ac:dyDescent="0.35">
      <c r="H3972" s="83">
        <f t="shared" ref="H3972:H4035" si="109">J3972-I3972</f>
        <v>0</v>
      </c>
    </row>
    <row r="3973" spans="8:8" hidden="1" x14ac:dyDescent="0.35">
      <c r="H3973" s="83">
        <f t="shared" si="109"/>
        <v>0</v>
      </c>
    </row>
    <row r="3974" spans="8:8" hidden="1" x14ac:dyDescent="0.35">
      <c r="H3974" s="83">
        <f t="shared" si="109"/>
        <v>0</v>
      </c>
    </row>
    <row r="3975" spans="8:8" hidden="1" x14ac:dyDescent="0.35">
      <c r="H3975" s="83">
        <f t="shared" si="109"/>
        <v>0</v>
      </c>
    </row>
    <row r="3976" spans="8:8" hidden="1" x14ac:dyDescent="0.35">
      <c r="H3976" s="83">
        <f t="shared" si="109"/>
        <v>0</v>
      </c>
    </row>
    <row r="3977" spans="8:8" hidden="1" x14ac:dyDescent="0.35">
      <c r="H3977" s="83">
        <f t="shared" si="109"/>
        <v>0</v>
      </c>
    </row>
    <row r="3978" spans="8:8" hidden="1" x14ac:dyDescent="0.35">
      <c r="H3978" s="83">
        <f t="shared" si="109"/>
        <v>0</v>
      </c>
    </row>
    <row r="3979" spans="8:8" hidden="1" x14ac:dyDescent="0.35">
      <c r="H3979" s="83">
        <f t="shared" si="109"/>
        <v>0</v>
      </c>
    </row>
    <row r="3980" spans="8:8" hidden="1" x14ac:dyDescent="0.35">
      <c r="H3980" s="83">
        <f t="shared" si="109"/>
        <v>0</v>
      </c>
    </row>
    <row r="3981" spans="8:8" hidden="1" x14ac:dyDescent="0.35">
      <c r="H3981" s="83">
        <f t="shared" si="109"/>
        <v>0</v>
      </c>
    </row>
    <row r="3982" spans="8:8" hidden="1" x14ac:dyDescent="0.35">
      <c r="H3982" s="83">
        <f t="shared" si="109"/>
        <v>0</v>
      </c>
    </row>
    <row r="3983" spans="8:8" hidden="1" x14ac:dyDescent="0.35">
      <c r="H3983" s="83">
        <f t="shared" si="109"/>
        <v>0</v>
      </c>
    </row>
    <row r="3984" spans="8:8" hidden="1" x14ac:dyDescent="0.35">
      <c r="H3984" s="83">
        <f t="shared" si="109"/>
        <v>0</v>
      </c>
    </row>
    <row r="3985" spans="8:8" hidden="1" x14ac:dyDescent="0.35">
      <c r="H3985" s="83">
        <f t="shared" si="109"/>
        <v>0</v>
      </c>
    </row>
    <row r="3986" spans="8:8" hidden="1" x14ac:dyDescent="0.35">
      <c r="H3986" s="83">
        <f t="shared" si="109"/>
        <v>0</v>
      </c>
    </row>
    <row r="3987" spans="8:8" hidden="1" x14ac:dyDescent="0.35">
      <c r="H3987" s="83">
        <f t="shared" si="109"/>
        <v>0</v>
      </c>
    </row>
    <row r="3988" spans="8:8" hidden="1" x14ac:dyDescent="0.35">
      <c r="H3988" s="83">
        <f t="shared" si="109"/>
        <v>0</v>
      </c>
    </row>
    <row r="3989" spans="8:8" hidden="1" x14ac:dyDescent="0.35">
      <c r="H3989" s="83">
        <f t="shared" si="109"/>
        <v>0</v>
      </c>
    </row>
    <row r="3990" spans="8:8" hidden="1" x14ac:dyDescent="0.35">
      <c r="H3990" s="83">
        <f t="shared" si="109"/>
        <v>0</v>
      </c>
    </row>
    <row r="3991" spans="8:8" hidden="1" x14ac:dyDescent="0.35">
      <c r="H3991" s="83">
        <f t="shared" si="109"/>
        <v>0</v>
      </c>
    </row>
    <row r="3992" spans="8:8" hidden="1" x14ac:dyDescent="0.35">
      <c r="H3992" s="83">
        <f t="shared" si="109"/>
        <v>0</v>
      </c>
    </row>
    <row r="3993" spans="8:8" hidden="1" x14ac:dyDescent="0.35">
      <c r="H3993" s="83">
        <f t="shared" si="109"/>
        <v>0</v>
      </c>
    </row>
    <row r="3994" spans="8:8" hidden="1" x14ac:dyDescent="0.35">
      <c r="H3994" s="83">
        <f t="shared" si="109"/>
        <v>0</v>
      </c>
    </row>
    <row r="3995" spans="8:8" hidden="1" x14ac:dyDescent="0.35">
      <c r="H3995" s="83">
        <f t="shared" si="109"/>
        <v>0</v>
      </c>
    </row>
    <row r="3996" spans="8:8" hidden="1" x14ac:dyDescent="0.35">
      <c r="H3996" s="83">
        <f t="shared" si="109"/>
        <v>0</v>
      </c>
    </row>
    <row r="3997" spans="8:8" hidden="1" x14ac:dyDescent="0.35">
      <c r="H3997" s="83">
        <f t="shared" si="109"/>
        <v>0</v>
      </c>
    </row>
    <row r="3998" spans="8:8" hidden="1" x14ac:dyDescent="0.35">
      <c r="H3998" s="83">
        <f t="shared" si="109"/>
        <v>0</v>
      </c>
    </row>
    <row r="3999" spans="8:8" hidden="1" x14ac:dyDescent="0.35">
      <c r="H3999" s="83">
        <f t="shared" si="109"/>
        <v>0</v>
      </c>
    </row>
    <row r="4000" spans="8:8" hidden="1" x14ac:dyDescent="0.35">
      <c r="H4000" s="83">
        <f t="shared" si="109"/>
        <v>0</v>
      </c>
    </row>
    <row r="4001" spans="8:8" hidden="1" x14ac:dyDescent="0.35">
      <c r="H4001" s="83">
        <f t="shared" si="109"/>
        <v>0</v>
      </c>
    </row>
    <row r="4002" spans="8:8" hidden="1" x14ac:dyDescent="0.35">
      <c r="H4002" s="83">
        <f t="shared" si="109"/>
        <v>0</v>
      </c>
    </row>
    <row r="4003" spans="8:8" hidden="1" x14ac:dyDescent="0.35">
      <c r="H4003" s="83">
        <f t="shared" si="109"/>
        <v>0</v>
      </c>
    </row>
    <row r="4004" spans="8:8" hidden="1" x14ac:dyDescent="0.35">
      <c r="H4004" s="83">
        <f t="shared" si="109"/>
        <v>0</v>
      </c>
    </row>
    <row r="4005" spans="8:8" hidden="1" x14ac:dyDescent="0.35">
      <c r="H4005" s="83">
        <f t="shared" si="109"/>
        <v>0</v>
      </c>
    </row>
    <row r="4006" spans="8:8" hidden="1" x14ac:dyDescent="0.35">
      <c r="H4006" s="83">
        <f t="shared" si="109"/>
        <v>0</v>
      </c>
    </row>
    <row r="4007" spans="8:8" hidden="1" x14ac:dyDescent="0.35">
      <c r="H4007" s="83">
        <f t="shared" si="109"/>
        <v>0</v>
      </c>
    </row>
    <row r="4008" spans="8:8" hidden="1" x14ac:dyDescent="0.35">
      <c r="H4008" s="83">
        <f t="shared" si="109"/>
        <v>0</v>
      </c>
    </row>
    <row r="4009" spans="8:8" hidden="1" x14ac:dyDescent="0.35">
      <c r="H4009" s="83">
        <f t="shared" si="109"/>
        <v>0</v>
      </c>
    </row>
    <row r="4010" spans="8:8" hidden="1" x14ac:dyDescent="0.35">
      <c r="H4010" s="83">
        <f t="shared" si="109"/>
        <v>0</v>
      </c>
    </row>
    <row r="4011" spans="8:8" hidden="1" x14ac:dyDescent="0.35">
      <c r="H4011" s="83">
        <f t="shared" si="109"/>
        <v>0</v>
      </c>
    </row>
    <row r="4012" spans="8:8" hidden="1" x14ac:dyDescent="0.35">
      <c r="H4012" s="83">
        <f t="shared" si="109"/>
        <v>0</v>
      </c>
    </row>
    <row r="4013" spans="8:8" hidden="1" x14ac:dyDescent="0.35">
      <c r="H4013" s="83">
        <f t="shared" si="109"/>
        <v>0</v>
      </c>
    </row>
    <row r="4014" spans="8:8" hidden="1" x14ac:dyDescent="0.35">
      <c r="H4014" s="83">
        <f t="shared" si="109"/>
        <v>0</v>
      </c>
    </row>
    <row r="4015" spans="8:8" hidden="1" x14ac:dyDescent="0.35">
      <c r="H4015" s="83">
        <f t="shared" si="109"/>
        <v>0</v>
      </c>
    </row>
    <row r="4016" spans="8:8" hidden="1" x14ac:dyDescent="0.35">
      <c r="H4016" s="83">
        <f t="shared" si="109"/>
        <v>0</v>
      </c>
    </row>
    <row r="4017" spans="8:8" hidden="1" x14ac:dyDescent="0.35">
      <c r="H4017" s="83">
        <f t="shared" si="109"/>
        <v>0</v>
      </c>
    </row>
    <row r="4018" spans="8:8" hidden="1" x14ac:dyDescent="0.35">
      <c r="H4018" s="83">
        <f t="shared" si="109"/>
        <v>0</v>
      </c>
    </row>
    <row r="4019" spans="8:8" hidden="1" x14ac:dyDescent="0.35">
      <c r="H4019" s="83">
        <f t="shared" si="109"/>
        <v>0</v>
      </c>
    </row>
    <row r="4020" spans="8:8" hidden="1" x14ac:dyDescent="0.35">
      <c r="H4020" s="83">
        <f t="shared" si="109"/>
        <v>0</v>
      </c>
    </row>
    <row r="4021" spans="8:8" hidden="1" x14ac:dyDescent="0.35">
      <c r="H4021" s="83">
        <f t="shared" si="109"/>
        <v>0</v>
      </c>
    </row>
    <row r="4022" spans="8:8" hidden="1" x14ac:dyDescent="0.35">
      <c r="H4022" s="83">
        <f t="shared" si="109"/>
        <v>0</v>
      </c>
    </row>
    <row r="4023" spans="8:8" hidden="1" x14ac:dyDescent="0.35">
      <c r="H4023" s="83">
        <f t="shared" si="109"/>
        <v>0</v>
      </c>
    </row>
    <row r="4024" spans="8:8" hidden="1" x14ac:dyDescent="0.35">
      <c r="H4024" s="83">
        <f t="shared" si="109"/>
        <v>0</v>
      </c>
    </row>
    <row r="4025" spans="8:8" hidden="1" x14ac:dyDescent="0.35">
      <c r="H4025" s="83">
        <f t="shared" si="109"/>
        <v>0</v>
      </c>
    </row>
    <row r="4026" spans="8:8" hidden="1" x14ac:dyDescent="0.35">
      <c r="H4026" s="83">
        <f t="shared" si="109"/>
        <v>0</v>
      </c>
    </row>
    <row r="4027" spans="8:8" hidden="1" x14ac:dyDescent="0.35">
      <c r="H4027" s="83">
        <f t="shared" si="109"/>
        <v>0</v>
      </c>
    </row>
    <row r="4028" spans="8:8" hidden="1" x14ac:dyDescent="0.35">
      <c r="H4028" s="83">
        <f t="shared" si="109"/>
        <v>0</v>
      </c>
    </row>
    <row r="4029" spans="8:8" hidden="1" x14ac:dyDescent="0.35">
      <c r="H4029" s="83">
        <f t="shared" si="109"/>
        <v>0</v>
      </c>
    </row>
    <row r="4030" spans="8:8" hidden="1" x14ac:dyDescent="0.35">
      <c r="H4030" s="83">
        <f t="shared" si="109"/>
        <v>0</v>
      </c>
    </row>
    <row r="4031" spans="8:8" hidden="1" x14ac:dyDescent="0.35">
      <c r="H4031" s="83">
        <f t="shared" si="109"/>
        <v>0</v>
      </c>
    </row>
    <row r="4032" spans="8:8" hidden="1" x14ac:dyDescent="0.35">
      <c r="H4032" s="83">
        <f t="shared" si="109"/>
        <v>0</v>
      </c>
    </row>
    <row r="4033" spans="8:8" hidden="1" x14ac:dyDescent="0.35">
      <c r="H4033" s="83">
        <f t="shared" si="109"/>
        <v>0</v>
      </c>
    </row>
    <row r="4034" spans="8:8" hidden="1" x14ac:dyDescent="0.35">
      <c r="H4034" s="83">
        <f t="shared" si="109"/>
        <v>0</v>
      </c>
    </row>
    <row r="4035" spans="8:8" hidden="1" x14ac:dyDescent="0.35">
      <c r="H4035" s="83">
        <f t="shared" si="109"/>
        <v>0</v>
      </c>
    </row>
    <row r="4036" spans="8:8" hidden="1" x14ac:dyDescent="0.35">
      <c r="H4036" s="83">
        <f t="shared" ref="H4036:H4099" si="110">J4036-I4036</f>
        <v>0</v>
      </c>
    </row>
    <row r="4037" spans="8:8" hidden="1" x14ac:dyDescent="0.35">
      <c r="H4037" s="83">
        <f t="shared" si="110"/>
        <v>0</v>
      </c>
    </row>
    <row r="4038" spans="8:8" hidden="1" x14ac:dyDescent="0.35">
      <c r="H4038" s="83">
        <f t="shared" si="110"/>
        <v>0</v>
      </c>
    </row>
    <row r="4039" spans="8:8" hidden="1" x14ac:dyDescent="0.35">
      <c r="H4039" s="83">
        <f t="shared" si="110"/>
        <v>0</v>
      </c>
    </row>
    <row r="4040" spans="8:8" hidden="1" x14ac:dyDescent="0.35">
      <c r="H4040" s="83">
        <f t="shared" si="110"/>
        <v>0</v>
      </c>
    </row>
    <row r="4041" spans="8:8" hidden="1" x14ac:dyDescent="0.35">
      <c r="H4041" s="83">
        <f t="shared" si="110"/>
        <v>0</v>
      </c>
    </row>
    <row r="4042" spans="8:8" hidden="1" x14ac:dyDescent="0.35">
      <c r="H4042" s="83">
        <f t="shared" si="110"/>
        <v>0</v>
      </c>
    </row>
    <row r="4043" spans="8:8" hidden="1" x14ac:dyDescent="0.35">
      <c r="H4043" s="83">
        <f t="shared" si="110"/>
        <v>0</v>
      </c>
    </row>
    <row r="4044" spans="8:8" hidden="1" x14ac:dyDescent="0.35">
      <c r="H4044" s="83">
        <f t="shared" si="110"/>
        <v>0</v>
      </c>
    </row>
    <row r="4045" spans="8:8" hidden="1" x14ac:dyDescent="0.35">
      <c r="H4045" s="83">
        <f t="shared" si="110"/>
        <v>0</v>
      </c>
    </row>
    <row r="4046" spans="8:8" hidden="1" x14ac:dyDescent="0.35">
      <c r="H4046" s="83">
        <f t="shared" si="110"/>
        <v>0</v>
      </c>
    </row>
    <row r="4047" spans="8:8" hidden="1" x14ac:dyDescent="0.35">
      <c r="H4047" s="83">
        <f t="shared" si="110"/>
        <v>0</v>
      </c>
    </row>
    <row r="4048" spans="8:8" hidden="1" x14ac:dyDescent="0.35">
      <c r="H4048" s="83">
        <f t="shared" si="110"/>
        <v>0</v>
      </c>
    </row>
    <row r="4049" spans="8:8" hidden="1" x14ac:dyDescent="0.35">
      <c r="H4049" s="83">
        <f t="shared" si="110"/>
        <v>0</v>
      </c>
    </row>
    <row r="4050" spans="8:8" hidden="1" x14ac:dyDescent="0.35">
      <c r="H4050" s="83">
        <f t="shared" si="110"/>
        <v>0</v>
      </c>
    </row>
    <row r="4051" spans="8:8" hidden="1" x14ac:dyDescent="0.35">
      <c r="H4051" s="83">
        <f t="shared" si="110"/>
        <v>0</v>
      </c>
    </row>
    <row r="4052" spans="8:8" hidden="1" x14ac:dyDescent="0.35">
      <c r="H4052" s="83">
        <f t="shared" si="110"/>
        <v>0</v>
      </c>
    </row>
    <row r="4053" spans="8:8" hidden="1" x14ac:dyDescent="0.35">
      <c r="H4053" s="83">
        <f t="shared" si="110"/>
        <v>0</v>
      </c>
    </row>
    <row r="4054" spans="8:8" hidden="1" x14ac:dyDescent="0.35">
      <c r="H4054" s="83">
        <f t="shared" si="110"/>
        <v>0</v>
      </c>
    </row>
    <row r="4055" spans="8:8" hidden="1" x14ac:dyDescent="0.35">
      <c r="H4055" s="83">
        <f t="shared" si="110"/>
        <v>0</v>
      </c>
    </row>
    <row r="4056" spans="8:8" hidden="1" x14ac:dyDescent="0.35">
      <c r="H4056" s="83">
        <f t="shared" si="110"/>
        <v>0</v>
      </c>
    </row>
    <row r="4057" spans="8:8" hidden="1" x14ac:dyDescent="0.35">
      <c r="H4057" s="83">
        <f t="shared" si="110"/>
        <v>0</v>
      </c>
    </row>
    <row r="4058" spans="8:8" hidden="1" x14ac:dyDescent="0.35">
      <c r="H4058" s="83">
        <f t="shared" si="110"/>
        <v>0</v>
      </c>
    </row>
    <row r="4059" spans="8:8" hidden="1" x14ac:dyDescent="0.35">
      <c r="H4059" s="83">
        <f t="shared" si="110"/>
        <v>0</v>
      </c>
    </row>
    <row r="4060" spans="8:8" hidden="1" x14ac:dyDescent="0.35">
      <c r="H4060" s="83">
        <f t="shared" si="110"/>
        <v>0</v>
      </c>
    </row>
    <row r="4061" spans="8:8" hidden="1" x14ac:dyDescent="0.35">
      <c r="H4061" s="83">
        <f t="shared" si="110"/>
        <v>0</v>
      </c>
    </row>
    <row r="4062" spans="8:8" hidden="1" x14ac:dyDescent="0.35">
      <c r="H4062" s="83">
        <f t="shared" si="110"/>
        <v>0</v>
      </c>
    </row>
    <row r="4063" spans="8:8" hidden="1" x14ac:dyDescent="0.35">
      <c r="H4063" s="83">
        <f t="shared" si="110"/>
        <v>0</v>
      </c>
    </row>
    <row r="4064" spans="8:8" hidden="1" x14ac:dyDescent="0.35">
      <c r="H4064" s="83">
        <f t="shared" si="110"/>
        <v>0</v>
      </c>
    </row>
    <row r="4065" spans="8:8" hidden="1" x14ac:dyDescent="0.35">
      <c r="H4065" s="83">
        <f t="shared" si="110"/>
        <v>0</v>
      </c>
    </row>
    <row r="4066" spans="8:8" hidden="1" x14ac:dyDescent="0.35">
      <c r="H4066" s="83">
        <f t="shared" si="110"/>
        <v>0</v>
      </c>
    </row>
    <row r="4067" spans="8:8" hidden="1" x14ac:dyDescent="0.35">
      <c r="H4067" s="83">
        <f t="shared" si="110"/>
        <v>0</v>
      </c>
    </row>
    <row r="4068" spans="8:8" hidden="1" x14ac:dyDescent="0.35">
      <c r="H4068" s="83">
        <f t="shared" si="110"/>
        <v>0</v>
      </c>
    </row>
    <row r="4069" spans="8:8" hidden="1" x14ac:dyDescent="0.35">
      <c r="H4069" s="83">
        <f t="shared" si="110"/>
        <v>0</v>
      </c>
    </row>
    <row r="4070" spans="8:8" hidden="1" x14ac:dyDescent="0.35">
      <c r="H4070" s="83">
        <f t="shared" si="110"/>
        <v>0</v>
      </c>
    </row>
    <row r="4071" spans="8:8" hidden="1" x14ac:dyDescent="0.35">
      <c r="H4071" s="83">
        <f t="shared" si="110"/>
        <v>0</v>
      </c>
    </row>
    <row r="4072" spans="8:8" hidden="1" x14ac:dyDescent="0.35">
      <c r="H4072" s="83">
        <f t="shared" si="110"/>
        <v>0</v>
      </c>
    </row>
    <row r="4073" spans="8:8" hidden="1" x14ac:dyDescent="0.35">
      <c r="H4073" s="83">
        <f t="shared" si="110"/>
        <v>0</v>
      </c>
    </row>
    <row r="4074" spans="8:8" hidden="1" x14ac:dyDescent="0.35">
      <c r="H4074" s="83">
        <f t="shared" si="110"/>
        <v>0</v>
      </c>
    </row>
    <row r="4075" spans="8:8" hidden="1" x14ac:dyDescent="0.35">
      <c r="H4075" s="83">
        <f t="shared" si="110"/>
        <v>0</v>
      </c>
    </row>
    <row r="4076" spans="8:8" hidden="1" x14ac:dyDescent="0.35">
      <c r="H4076" s="83">
        <f t="shared" si="110"/>
        <v>0</v>
      </c>
    </row>
    <row r="4077" spans="8:8" hidden="1" x14ac:dyDescent="0.35">
      <c r="H4077" s="83">
        <f t="shared" si="110"/>
        <v>0</v>
      </c>
    </row>
    <row r="4078" spans="8:8" hidden="1" x14ac:dyDescent="0.35">
      <c r="H4078" s="83">
        <f t="shared" si="110"/>
        <v>0</v>
      </c>
    </row>
    <row r="4079" spans="8:8" hidden="1" x14ac:dyDescent="0.35">
      <c r="H4079" s="83">
        <f t="shared" si="110"/>
        <v>0</v>
      </c>
    </row>
    <row r="4080" spans="8:8" hidden="1" x14ac:dyDescent="0.35">
      <c r="H4080" s="83">
        <f t="shared" si="110"/>
        <v>0</v>
      </c>
    </row>
    <row r="4081" spans="8:8" hidden="1" x14ac:dyDescent="0.35">
      <c r="H4081" s="83">
        <f t="shared" si="110"/>
        <v>0</v>
      </c>
    </row>
    <row r="4082" spans="8:8" hidden="1" x14ac:dyDescent="0.35">
      <c r="H4082" s="83">
        <f t="shared" si="110"/>
        <v>0</v>
      </c>
    </row>
    <row r="4083" spans="8:8" hidden="1" x14ac:dyDescent="0.35">
      <c r="H4083" s="83">
        <f t="shared" si="110"/>
        <v>0</v>
      </c>
    </row>
    <row r="4084" spans="8:8" hidden="1" x14ac:dyDescent="0.35">
      <c r="H4084" s="83">
        <f t="shared" si="110"/>
        <v>0</v>
      </c>
    </row>
    <row r="4085" spans="8:8" hidden="1" x14ac:dyDescent="0.35">
      <c r="H4085" s="83">
        <f t="shared" si="110"/>
        <v>0</v>
      </c>
    </row>
    <row r="4086" spans="8:8" hidden="1" x14ac:dyDescent="0.35">
      <c r="H4086" s="83">
        <f t="shared" si="110"/>
        <v>0</v>
      </c>
    </row>
    <row r="4087" spans="8:8" hidden="1" x14ac:dyDescent="0.35">
      <c r="H4087" s="83">
        <f t="shared" si="110"/>
        <v>0</v>
      </c>
    </row>
    <row r="4088" spans="8:8" hidden="1" x14ac:dyDescent="0.35">
      <c r="H4088" s="83">
        <f t="shared" si="110"/>
        <v>0</v>
      </c>
    </row>
    <row r="4089" spans="8:8" hidden="1" x14ac:dyDescent="0.35">
      <c r="H4089" s="83">
        <f t="shared" si="110"/>
        <v>0</v>
      </c>
    </row>
    <row r="4090" spans="8:8" hidden="1" x14ac:dyDescent="0.35">
      <c r="H4090" s="83">
        <f t="shared" si="110"/>
        <v>0</v>
      </c>
    </row>
    <row r="4091" spans="8:8" hidden="1" x14ac:dyDescent="0.35">
      <c r="H4091" s="83">
        <f t="shared" si="110"/>
        <v>0</v>
      </c>
    </row>
    <row r="4092" spans="8:8" hidden="1" x14ac:dyDescent="0.35">
      <c r="H4092" s="83">
        <f t="shared" si="110"/>
        <v>0</v>
      </c>
    </row>
    <row r="4093" spans="8:8" hidden="1" x14ac:dyDescent="0.35">
      <c r="H4093" s="83">
        <f t="shared" si="110"/>
        <v>0</v>
      </c>
    </row>
    <row r="4094" spans="8:8" hidden="1" x14ac:dyDescent="0.35">
      <c r="H4094" s="83">
        <f t="shared" si="110"/>
        <v>0</v>
      </c>
    </row>
    <row r="4095" spans="8:8" hidden="1" x14ac:dyDescent="0.35">
      <c r="H4095" s="83">
        <f t="shared" si="110"/>
        <v>0</v>
      </c>
    </row>
    <row r="4096" spans="8:8" hidden="1" x14ac:dyDescent="0.35">
      <c r="H4096" s="83">
        <f t="shared" si="110"/>
        <v>0</v>
      </c>
    </row>
    <row r="4097" spans="8:8" hidden="1" x14ac:dyDescent="0.35">
      <c r="H4097" s="83">
        <f t="shared" si="110"/>
        <v>0</v>
      </c>
    </row>
    <row r="4098" spans="8:8" hidden="1" x14ac:dyDescent="0.35">
      <c r="H4098" s="83">
        <f t="shared" si="110"/>
        <v>0</v>
      </c>
    </row>
    <row r="4099" spans="8:8" hidden="1" x14ac:dyDescent="0.35">
      <c r="H4099" s="83">
        <f t="shared" si="110"/>
        <v>0</v>
      </c>
    </row>
    <row r="4100" spans="8:8" hidden="1" x14ac:dyDescent="0.35">
      <c r="H4100" s="83">
        <f t="shared" ref="H4100:H4163" si="111">J4100-I4100</f>
        <v>0</v>
      </c>
    </row>
    <row r="4101" spans="8:8" hidden="1" x14ac:dyDescent="0.35">
      <c r="H4101" s="83">
        <f t="shared" si="111"/>
        <v>0</v>
      </c>
    </row>
    <row r="4102" spans="8:8" hidden="1" x14ac:dyDescent="0.35">
      <c r="H4102" s="83">
        <f t="shared" si="111"/>
        <v>0</v>
      </c>
    </row>
    <row r="4103" spans="8:8" hidden="1" x14ac:dyDescent="0.35">
      <c r="H4103" s="83">
        <f t="shared" si="111"/>
        <v>0</v>
      </c>
    </row>
    <row r="4104" spans="8:8" hidden="1" x14ac:dyDescent="0.35">
      <c r="H4104" s="83">
        <f t="shared" si="111"/>
        <v>0</v>
      </c>
    </row>
    <row r="4105" spans="8:8" hidden="1" x14ac:dyDescent="0.35">
      <c r="H4105" s="83">
        <f t="shared" si="111"/>
        <v>0</v>
      </c>
    </row>
    <row r="4106" spans="8:8" hidden="1" x14ac:dyDescent="0.35">
      <c r="H4106" s="83">
        <f t="shared" si="111"/>
        <v>0</v>
      </c>
    </row>
    <row r="4107" spans="8:8" hidden="1" x14ac:dyDescent="0.35">
      <c r="H4107" s="83">
        <f t="shared" si="111"/>
        <v>0</v>
      </c>
    </row>
    <row r="4108" spans="8:8" hidden="1" x14ac:dyDescent="0.35">
      <c r="H4108" s="83">
        <f t="shared" si="111"/>
        <v>0</v>
      </c>
    </row>
    <row r="4109" spans="8:8" hidden="1" x14ac:dyDescent="0.35">
      <c r="H4109" s="83">
        <f t="shared" si="111"/>
        <v>0</v>
      </c>
    </row>
    <row r="4110" spans="8:8" hidden="1" x14ac:dyDescent="0.35">
      <c r="H4110" s="83">
        <f t="shared" si="111"/>
        <v>0</v>
      </c>
    </row>
    <row r="4111" spans="8:8" hidden="1" x14ac:dyDescent="0.35">
      <c r="H4111" s="83">
        <f t="shared" si="111"/>
        <v>0</v>
      </c>
    </row>
    <row r="4112" spans="8:8" hidden="1" x14ac:dyDescent="0.35">
      <c r="H4112" s="83">
        <f t="shared" si="111"/>
        <v>0</v>
      </c>
    </row>
    <row r="4113" spans="8:8" hidden="1" x14ac:dyDescent="0.35">
      <c r="H4113" s="83">
        <f t="shared" si="111"/>
        <v>0</v>
      </c>
    </row>
    <row r="4114" spans="8:8" hidden="1" x14ac:dyDescent="0.35">
      <c r="H4114" s="83">
        <f t="shared" si="111"/>
        <v>0</v>
      </c>
    </row>
    <row r="4115" spans="8:8" hidden="1" x14ac:dyDescent="0.35">
      <c r="H4115" s="83">
        <f t="shared" si="111"/>
        <v>0</v>
      </c>
    </row>
    <row r="4116" spans="8:8" hidden="1" x14ac:dyDescent="0.35">
      <c r="H4116" s="83">
        <f t="shared" si="111"/>
        <v>0</v>
      </c>
    </row>
    <row r="4117" spans="8:8" hidden="1" x14ac:dyDescent="0.35">
      <c r="H4117" s="83">
        <f t="shared" si="111"/>
        <v>0</v>
      </c>
    </row>
    <row r="4118" spans="8:8" hidden="1" x14ac:dyDescent="0.35">
      <c r="H4118" s="83">
        <f t="shared" si="111"/>
        <v>0</v>
      </c>
    </row>
    <row r="4119" spans="8:8" hidden="1" x14ac:dyDescent="0.35">
      <c r="H4119" s="83">
        <f t="shared" si="111"/>
        <v>0</v>
      </c>
    </row>
    <row r="4120" spans="8:8" hidden="1" x14ac:dyDescent="0.35">
      <c r="H4120" s="83">
        <f t="shared" si="111"/>
        <v>0</v>
      </c>
    </row>
    <row r="4121" spans="8:8" hidden="1" x14ac:dyDescent="0.35">
      <c r="H4121" s="83">
        <f t="shared" si="111"/>
        <v>0</v>
      </c>
    </row>
    <row r="4122" spans="8:8" hidden="1" x14ac:dyDescent="0.35">
      <c r="H4122" s="83">
        <f t="shared" si="111"/>
        <v>0</v>
      </c>
    </row>
    <row r="4123" spans="8:8" hidden="1" x14ac:dyDescent="0.35">
      <c r="H4123" s="83">
        <f t="shared" si="111"/>
        <v>0</v>
      </c>
    </row>
    <row r="4124" spans="8:8" hidden="1" x14ac:dyDescent="0.35">
      <c r="H4124" s="83">
        <f t="shared" si="111"/>
        <v>0</v>
      </c>
    </row>
    <row r="4125" spans="8:8" hidden="1" x14ac:dyDescent="0.35">
      <c r="H4125" s="83">
        <f t="shared" si="111"/>
        <v>0</v>
      </c>
    </row>
    <row r="4126" spans="8:8" hidden="1" x14ac:dyDescent="0.35">
      <c r="H4126" s="83">
        <f t="shared" si="111"/>
        <v>0</v>
      </c>
    </row>
    <row r="4127" spans="8:8" hidden="1" x14ac:dyDescent="0.35">
      <c r="H4127" s="83">
        <f t="shared" si="111"/>
        <v>0</v>
      </c>
    </row>
    <row r="4128" spans="8:8" hidden="1" x14ac:dyDescent="0.35">
      <c r="H4128" s="83">
        <f t="shared" si="111"/>
        <v>0</v>
      </c>
    </row>
    <row r="4129" spans="8:8" hidden="1" x14ac:dyDescent="0.35">
      <c r="H4129" s="83">
        <f t="shared" si="111"/>
        <v>0</v>
      </c>
    </row>
    <row r="4130" spans="8:8" hidden="1" x14ac:dyDescent="0.35">
      <c r="H4130" s="83">
        <f t="shared" si="111"/>
        <v>0</v>
      </c>
    </row>
    <row r="4131" spans="8:8" hidden="1" x14ac:dyDescent="0.35">
      <c r="H4131" s="83">
        <f t="shared" si="111"/>
        <v>0</v>
      </c>
    </row>
    <row r="4132" spans="8:8" hidden="1" x14ac:dyDescent="0.35">
      <c r="H4132" s="83">
        <f t="shared" si="111"/>
        <v>0</v>
      </c>
    </row>
    <row r="4133" spans="8:8" hidden="1" x14ac:dyDescent="0.35">
      <c r="H4133" s="83">
        <f t="shared" si="111"/>
        <v>0</v>
      </c>
    </row>
    <row r="4134" spans="8:8" hidden="1" x14ac:dyDescent="0.35">
      <c r="H4134" s="83">
        <f t="shared" si="111"/>
        <v>0</v>
      </c>
    </row>
    <row r="4135" spans="8:8" hidden="1" x14ac:dyDescent="0.35">
      <c r="H4135" s="83">
        <f t="shared" si="111"/>
        <v>0</v>
      </c>
    </row>
    <row r="4136" spans="8:8" hidden="1" x14ac:dyDescent="0.35">
      <c r="H4136" s="83">
        <f t="shared" si="111"/>
        <v>0</v>
      </c>
    </row>
    <row r="4137" spans="8:8" hidden="1" x14ac:dyDescent="0.35">
      <c r="H4137" s="83">
        <f t="shared" si="111"/>
        <v>0</v>
      </c>
    </row>
    <row r="4138" spans="8:8" hidden="1" x14ac:dyDescent="0.35">
      <c r="H4138" s="83">
        <f t="shared" si="111"/>
        <v>0</v>
      </c>
    </row>
    <row r="4139" spans="8:8" hidden="1" x14ac:dyDescent="0.35">
      <c r="H4139" s="83">
        <f t="shared" si="111"/>
        <v>0</v>
      </c>
    </row>
    <row r="4140" spans="8:8" hidden="1" x14ac:dyDescent="0.35">
      <c r="H4140" s="83">
        <f t="shared" si="111"/>
        <v>0</v>
      </c>
    </row>
    <row r="4141" spans="8:8" hidden="1" x14ac:dyDescent="0.35">
      <c r="H4141" s="83">
        <f t="shared" si="111"/>
        <v>0</v>
      </c>
    </row>
    <row r="4142" spans="8:8" hidden="1" x14ac:dyDescent="0.35">
      <c r="H4142" s="83">
        <f t="shared" si="111"/>
        <v>0</v>
      </c>
    </row>
    <row r="4143" spans="8:8" hidden="1" x14ac:dyDescent="0.35">
      <c r="H4143" s="83">
        <f t="shared" si="111"/>
        <v>0</v>
      </c>
    </row>
    <row r="4144" spans="8:8" hidden="1" x14ac:dyDescent="0.35">
      <c r="H4144" s="83">
        <f t="shared" si="111"/>
        <v>0</v>
      </c>
    </row>
    <row r="4145" spans="8:8" hidden="1" x14ac:dyDescent="0.35">
      <c r="H4145" s="83">
        <f t="shared" si="111"/>
        <v>0</v>
      </c>
    </row>
    <row r="4146" spans="8:8" hidden="1" x14ac:dyDescent="0.35">
      <c r="H4146" s="83">
        <f t="shared" si="111"/>
        <v>0</v>
      </c>
    </row>
    <row r="4147" spans="8:8" hidden="1" x14ac:dyDescent="0.35">
      <c r="H4147" s="83">
        <f t="shared" si="111"/>
        <v>0</v>
      </c>
    </row>
    <row r="4148" spans="8:8" hidden="1" x14ac:dyDescent="0.35">
      <c r="H4148" s="83">
        <f t="shared" si="111"/>
        <v>0</v>
      </c>
    </row>
    <row r="4149" spans="8:8" hidden="1" x14ac:dyDescent="0.35">
      <c r="H4149" s="83">
        <f t="shared" si="111"/>
        <v>0</v>
      </c>
    </row>
    <row r="4150" spans="8:8" hidden="1" x14ac:dyDescent="0.35">
      <c r="H4150" s="83">
        <f t="shared" si="111"/>
        <v>0</v>
      </c>
    </row>
    <row r="4151" spans="8:8" hidden="1" x14ac:dyDescent="0.35">
      <c r="H4151" s="83">
        <f t="shared" si="111"/>
        <v>0</v>
      </c>
    </row>
    <row r="4152" spans="8:8" hidden="1" x14ac:dyDescent="0.35">
      <c r="H4152" s="83">
        <f t="shared" si="111"/>
        <v>0</v>
      </c>
    </row>
    <row r="4153" spans="8:8" hidden="1" x14ac:dyDescent="0.35">
      <c r="H4153" s="83">
        <f t="shared" si="111"/>
        <v>0</v>
      </c>
    </row>
    <row r="4154" spans="8:8" hidden="1" x14ac:dyDescent="0.35">
      <c r="H4154" s="83">
        <f t="shared" si="111"/>
        <v>0</v>
      </c>
    </row>
    <row r="4155" spans="8:8" hidden="1" x14ac:dyDescent="0.35">
      <c r="H4155" s="83">
        <f t="shared" si="111"/>
        <v>0</v>
      </c>
    </row>
    <row r="4156" spans="8:8" hidden="1" x14ac:dyDescent="0.35">
      <c r="H4156" s="83">
        <f t="shared" si="111"/>
        <v>0</v>
      </c>
    </row>
    <row r="4157" spans="8:8" hidden="1" x14ac:dyDescent="0.35">
      <c r="H4157" s="83">
        <f t="shared" si="111"/>
        <v>0</v>
      </c>
    </row>
    <row r="4158" spans="8:8" hidden="1" x14ac:dyDescent="0.35">
      <c r="H4158" s="83">
        <f t="shared" si="111"/>
        <v>0</v>
      </c>
    </row>
    <row r="4159" spans="8:8" hidden="1" x14ac:dyDescent="0.35">
      <c r="H4159" s="83">
        <f t="shared" si="111"/>
        <v>0</v>
      </c>
    </row>
    <row r="4160" spans="8:8" hidden="1" x14ac:dyDescent="0.35">
      <c r="H4160" s="83">
        <f t="shared" si="111"/>
        <v>0</v>
      </c>
    </row>
    <row r="4161" spans="8:8" hidden="1" x14ac:dyDescent="0.35">
      <c r="H4161" s="83">
        <f t="shared" si="111"/>
        <v>0</v>
      </c>
    </row>
    <row r="4162" spans="8:8" hidden="1" x14ac:dyDescent="0.35">
      <c r="H4162" s="83">
        <f t="shared" si="111"/>
        <v>0</v>
      </c>
    </row>
    <row r="4163" spans="8:8" hidden="1" x14ac:dyDescent="0.35">
      <c r="H4163" s="83">
        <f t="shared" si="111"/>
        <v>0</v>
      </c>
    </row>
    <row r="4164" spans="8:8" hidden="1" x14ac:dyDescent="0.35">
      <c r="H4164" s="83">
        <f t="shared" ref="H4164:H4227" si="112">J4164-I4164</f>
        <v>0</v>
      </c>
    </row>
    <row r="4165" spans="8:8" hidden="1" x14ac:dyDescent="0.35">
      <c r="H4165" s="83">
        <f t="shared" si="112"/>
        <v>0</v>
      </c>
    </row>
    <row r="4166" spans="8:8" hidden="1" x14ac:dyDescent="0.35">
      <c r="H4166" s="83">
        <f t="shared" si="112"/>
        <v>0</v>
      </c>
    </row>
    <row r="4167" spans="8:8" hidden="1" x14ac:dyDescent="0.35">
      <c r="H4167" s="83">
        <f t="shared" si="112"/>
        <v>0</v>
      </c>
    </row>
    <row r="4168" spans="8:8" hidden="1" x14ac:dyDescent="0.35">
      <c r="H4168" s="83">
        <f t="shared" si="112"/>
        <v>0</v>
      </c>
    </row>
    <row r="4169" spans="8:8" hidden="1" x14ac:dyDescent="0.35">
      <c r="H4169" s="83">
        <f t="shared" si="112"/>
        <v>0</v>
      </c>
    </row>
    <row r="4170" spans="8:8" hidden="1" x14ac:dyDescent="0.35">
      <c r="H4170" s="83">
        <f t="shared" si="112"/>
        <v>0</v>
      </c>
    </row>
    <row r="4171" spans="8:8" hidden="1" x14ac:dyDescent="0.35">
      <c r="H4171" s="83">
        <f t="shared" si="112"/>
        <v>0</v>
      </c>
    </row>
    <row r="4172" spans="8:8" hidden="1" x14ac:dyDescent="0.35">
      <c r="H4172" s="83">
        <f t="shared" si="112"/>
        <v>0</v>
      </c>
    </row>
    <row r="4173" spans="8:8" hidden="1" x14ac:dyDescent="0.35">
      <c r="H4173" s="83">
        <f t="shared" si="112"/>
        <v>0</v>
      </c>
    </row>
    <row r="4174" spans="8:8" hidden="1" x14ac:dyDescent="0.35">
      <c r="H4174" s="83">
        <f t="shared" si="112"/>
        <v>0</v>
      </c>
    </row>
    <row r="4175" spans="8:8" hidden="1" x14ac:dyDescent="0.35">
      <c r="H4175" s="83">
        <f t="shared" si="112"/>
        <v>0</v>
      </c>
    </row>
    <row r="4176" spans="8:8" hidden="1" x14ac:dyDescent="0.35">
      <c r="H4176" s="83">
        <f t="shared" si="112"/>
        <v>0</v>
      </c>
    </row>
    <row r="4177" spans="8:8" hidden="1" x14ac:dyDescent="0.35">
      <c r="H4177" s="83">
        <f t="shared" si="112"/>
        <v>0</v>
      </c>
    </row>
    <row r="4178" spans="8:8" hidden="1" x14ac:dyDescent="0.35">
      <c r="H4178" s="83">
        <f t="shared" si="112"/>
        <v>0</v>
      </c>
    </row>
    <row r="4179" spans="8:8" hidden="1" x14ac:dyDescent="0.35">
      <c r="H4179" s="83">
        <f t="shared" si="112"/>
        <v>0</v>
      </c>
    </row>
    <row r="4180" spans="8:8" hidden="1" x14ac:dyDescent="0.35">
      <c r="H4180" s="83">
        <f t="shared" si="112"/>
        <v>0</v>
      </c>
    </row>
    <row r="4181" spans="8:8" hidden="1" x14ac:dyDescent="0.35">
      <c r="H4181" s="83">
        <f t="shared" si="112"/>
        <v>0</v>
      </c>
    </row>
    <row r="4182" spans="8:8" hidden="1" x14ac:dyDescent="0.35">
      <c r="H4182" s="83">
        <f t="shared" si="112"/>
        <v>0</v>
      </c>
    </row>
    <row r="4183" spans="8:8" hidden="1" x14ac:dyDescent="0.35">
      <c r="H4183" s="83">
        <f t="shared" si="112"/>
        <v>0</v>
      </c>
    </row>
    <row r="4184" spans="8:8" hidden="1" x14ac:dyDescent="0.35">
      <c r="H4184" s="83">
        <f t="shared" si="112"/>
        <v>0</v>
      </c>
    </row>
    <row r="4185" spans="8:8" hidden="1" x14ac:dyDescent="0.35">
      <c r="H4185" s="83">
        <f t="shared" si="112"/>
        <v>0</v>
      </c>
    </row>
    <row r="4186" spans="8:8" hidden="1" x14ac:dyDescent="0.35">
      <c r="H4186" s="83">
        <f t="shared" si="112"/>
        <v>0</v>
      </c>
    </row>
    <row r="4187" spans="8:8" hidden="1" x14ac:dyDescent="0.35">
      <c r="H4187" s="83">
        <f t="shared" si="112"/>
        <v>0</v>
      </c>
    </row>
    <row r="4188" spans="8:8" hidden="1" x14ac:dyDescent="0.35">
      <c r="H4188" s="83">
        <f t="shared" si="112"/>
        <v>0</v>
      </c>
    </row>
    <row r="4189" spans="8:8" hidden="1" x14ac:dyDescent="0.35">
      <c r="H4189" s="83">
        <f t="shared" si="112"/>
        <v>0</v>
      </c>
    </row>
    <row r="4190" spans="8:8" hidden="1" x14ac:dyDescent="0.35">
      <c r="H4190" s="83">
        <f t="shared" si="112"/>
        <v>0</v>
      </c>
    </row>
    <row r="4191" spans="8:8" hidden="1" x14ac:dyDescent="0.35">
      <c r="H4191" s="83">
        <f t="shared" si="112"/>
        <v>0</v>
      </c>
    </row>
    <row r="4192" spans="8:8" hidden="1" x14ac:dyDescent="0.35">
      <c r="H4192" s="83">
        <f t="shared" si="112"/>
        <v>0</v>
      </c>
    </row>
    <row r="4193" spans="8:8" hidden="1" x14ac:dyDescent="0.35">
      <c r="H4193" s="83">
        <f t="shared" si="112"/>
        <v>0</v>
      </c>
    </row>
    <row r="4194" spans="8:8" hidden="1" x14ac:dyDescent="0.35">
      <c r="H4194" s="83">
        <f t="shared" si="112"/>
        <v>0</v>
      </c>
    </row>
    <row r="4195" spans="8:8" hidden="1" x14ac:dyDescent="0.35">
      <c r="H4195" s="83">
        <f t="shared" si="112"/>
        <v>0</v>
      </c>
    </row>
    <row r="4196" spans="8:8" hidden="1" x14ac:dyDescent="0.35">
      <c r="H4196" s="83">
        <f t="shared" si="112"/>
        <v>0</v>
      </c>
    </row>
    <row r="4197" spans="8:8" hidden="1" x14ac:dyDescent="0.35">
      <c r="H4197" s="83">
        <f t="shared" si="112"/>
        <v>0</v>
      </c>
    </row>
    <row r="4198" spans="8:8" hidden="1" x14ac:dyDescent="0.35">
      <c r="H4198" s="83">
        <f t="shared" si="112"/>
        <v>0</v>
      </c>
    </row>
    <row r="4199" spans="8:8" hidden="1" x14ac:dyDescent="0.35">
      <c r="H4199" s="83">
        <f t="shared" si="112"/>
        <v>0</v>
      </c>
    </row>
    <row r="4200" spans="8:8" hidden="1" x14ac:dyDescent="0.35">
      <c r="H4200" s="83">
        <f t="shared" si="112"/>
        <v>0</v>
      </c>
    </row>
    <row r="4201" spans="8:8" hidden="1" x14ac:dyDescent="0.35">
      <c r="H4201" s="83">
        <f t="shared" si="112"/>
        <v>0</v>
      </c>
    </row>
    <row r="4202" spans="8:8" hidden="1" x14ac:dyDescent="0.35">
      <c r="H4202" s="83">
        <f t="shared" si="112"/>
        <v>0</v>
      </c>
    </row>
    <row r="4203" spans="8:8" hidden="1" x14ac:dyDescent="0.35">
      <c r="H4203" s="83">
        <f t="shared" si="112"/>
        <v>0</v>
      </c>
    </row>
    <row r="4204" spans="8:8" hidden="1" x14ac:dyDescent="0.35">
      <c r="H4204" s="83">
        <f t="shared" si="112"/>
        <v>0</v>
      </c>
    </row>
    <row r="4205" spans="8:8" hidden="1" x14ac:dyDescent="0.35">
      <c r="H4205" s="83">
        <f t="shared" si="112"/>
        <v>0</v>
      </c>
    </row>
    <row r="4206" spans="8:8" hidden="1" x14ac:dyDescent="0.35">
      <c r="H4206" s="83">
        <f t="shared" si="112"/>
        <v>0</v>
      </c>
    </row>
    <row r="4207" spans="8:8" hidden="1" x14ac:dyDescent="0.35">
      <c r="H4207" s="83">
        <f t="shared" si="112"/>
        <v>0</v>
      </c>
    </row>
    <row r="4208" spans="8:8" hidden="1" x14ac:dyDescent="0.35">
      <c r="H4208" s="83">
        <f t="shared" si="112"/>
        <v>0</v>
      </c>
    </row>
    <row r="4209" spans="8:8" hidden="1" x14ac:dyDescent="0.35">
      <c r="H4209" s="83">
        <f t="shared" si="112"/>
        <v>0</v>
      </c>
    </row>
    <row r="4210" spans="8:8" hidden="1" x14ac:dyDescent="0.35">
      <c r="H4210" s="83">
        <f t="shared" si="112"/>
        <v>0</v>
      </c>
    </row>
    <row r="4211" spans="8:8" hidden="1" x14ac:dyDescent="0.35">
      <c r="H4211" s="83">
        <f t="shared" si="112"/>
        <v>0</v>
      </c>
    </row>
    <row r="4212" spans="8:8" hidden="1" x14ac:dyDescent="0.35">
      <c r="H4212" s="83">
        <f t="shared" si="112"/>
        <v>0</v>
      </c>
    </row>
    <row r="4213" spans="8:8" hidden="1" x14ac:dyDescent="0.35">
      <c r="H4213" s="83">
        <f t="shared" si="112"/>
        <v>0</v>
      </c>
    </row>
    <row r="4214" spans="8:8" hidden="1" x14ac:dyDescent="0.35">
      <c r="H4214" s="83">
        <f t="shared" si="112"/>
        <v>0</v>
      </c>
    </row>
    <row r="4215" spans="8:8" hidden="1" x14ac:dyDescent="0.35">
      <c r="H4215" s="83">
        <f t="shared" si="112"/>
        <v>0</v>
      </c>
    </row>
    <row r="4216" spans="8:8" hidden="1" x14ac:dyDescent="0.35">
      <c r="H4216" s="83">
        <f t="shared" si="112"/>
        <v>0</v>
      </c>
    </row>
    <row r="4217" spans="8:8" hidden="1" x14ac:dyDescent="0.35">
      <c r="H4217" s="83">
        <f t="shared" si="112"/>
        <v>0</v>
      </c>
    </row>
    <row r="4218" spans="8:8" hidden="1" x14ac:dyDescent="0.35">
      <c r="H4218" s="83">
        <f t="shared" si="112"/>
        <v>0</v>
      </c>
    </row>
    <row r="4219" spans="8:8" hidden="1" x14ac:dyDescent="0.35">
      <c r="H4219" s="83">
        <f t="shared" si="112"/>
        <v>0</v>
      </c>
    </row>
    <row r="4220" spans="8:8" hidden="1" x14ac:dyDescent="0.35">
      <c r="H4220" s="83">
        <f t="shared" si="112"/>
        <v>0</v>
      </c>
    </row>
    <row r="4221" spans="8:8" hidden="1" x14ac:dyDescent="0.35">
      <c r="H4221" s="83">
        <f t="shared" si="112"/>
        <v>0</v>
      </c>
    </row>
    <row r="4222" spans="8:8" hidden="1" x14ac:dyDescent="0.35">
      <c r="H4222" s="83">
        <f t="shared" si="112"/>
        <v>0</v>
      </c>
    </row>
    <row r="4223" spans="8:8" hidden="1" x14ac:dyDescent="0.35">
      <c r="H4223" s="83">
        <f t="shared" si="112"/>
        <v>0</v>
      </c>
    </row>
    <row r="4224" spans="8:8" hidden="1" x14ac:dyDescent="0.35">
      <c r="H4224" s="83">
        <f t="shared" si="112"/>
        <v>0</v>
      </c>
    </row>
    <row r="4225" spans="8:8" hidden="1" x14ac:dyDescent="0.35">
      <c r="H4225" s="83">
        <f t="shared" si="112"/>
        <v>0</v>
      </c>
    </row>
    <row r="4226" spans="8:8" hidden="1" x14ac:dyDescent="0.35">
      <c r="H4226" s="83">
        <f t="shared" si="112"/>
        <v>0</v>
      </c>
    </row>
    <row r="4227" spans="8:8" hidden="1" x14ac:dyDescent="0.35">
      <c r="H4227" s="83">
        <f t="shared" si="112"/>
        <v>0</v>
      </c>
    </row>
    <row r="4228" spans="8:8" hidden="1" x14ac:dyDescent="0.35">
      <c r="H4228" s="83">
        <f t="shared" ref="H4228:H4291" si="113">J4228-I4228</f>
        <v>0</v>
      </c>
    </row>
    <row r="4229" spans="8:8" hidden="1" x14ac:dyDescent="0.35">
      <c r="H4229" s="83">
        <f t="shared" si="113"/>
        <v>0</v>
      </c>
    </row>
    <row r="4230" spans="8:8" hidden="1" x14ac:dyDescent="0.35">
      <c r="H4230" s="83">
        <f t="shared" si="113"/>
        <v>0</v>
      </c>
    </row>
    <row r="4231" spans="8:8" hidden="1" x14ac:dyDescent="0.35">
      <c r="H4231" s="83">
        <f t="shared" si="113"/>
        <v>0</v>
      </c>
    </row>
    <row r="4232" spans="8:8" hidden="1" x14ac:dyDescent="0.35">
      <c r="H4232" s="83">
        <f t="shared" si="113"/>
        <v>0</v>
      </c>
    </row>
    <row r="4233" spans="8:8" hidden="1" x14ac:dyDescent="0.35">
      <c r="H4233" s="83">
        <f t="shared" si="113"/>
        <v>0</v>
      </c>
    </row>
    <row r="4234" spans="8:8" hidden="1" x14ac:dyDescent="0.35">
      <c r="H4234" s="83">
        <f t="shared" si="113"/>
        <v>0</v>
      </c>
    </row>
    <row r="4235" spans="8:8" hidden="1" x14ac:dyDescent="0.35">
      <c r="H4235" s="83">
        <f t="shared" si="113"/>
        <v>0</v>
      </c>
    </row>
    <row r="4236" spans="8:8" hidden="1" x14ac:dyDescent="0.35">
      <c r="H4236" s="83">
        <f t="shared" si="113"/>
        <v>0</v>
      </c>
    </row>
    <row r="4237" spans="8:8" hidden="1" x14ac:dyDescent="0.35">
      <c r="H4237" s="83">
        <f t="shared" si="113"/>
        <v>0</v>
      </c>
    </row>
    <row r="4238" spans="8:8" hidden="1" x14ac:dyDescent="0.35">
      <c r="H4238" s="83">
        <f t="shared" si="113"/>
        <v>0</v>
      </c>
    </row>
    <row r="4239" spans="8:8" hidden="1" x14ac:dyDescent="0.35">
      <c r="H4239" s="83">
        <f t="shared" si="113"/>
        <v>0</v>
      </c>
    </row>
    <row r="4240" spans="8:8" hidden="1" x14ac:dyDescent="0.35">
      <c r="H4240" s="83">
        <f t="shared" si="113"/>
        <v>0</v>
      </c>
    </row>
    <row r="4241" spans="8:8" hidden="1" x14ac:dyDescent="0.35">
      <c r="H4241" s="83">
        <f t="shared" si="113"/>
        <v>0</v>
      </c>
    </row>
    <row r="4242" spans="8:8" hidden="1" x14ac:dyDescent="0.35">
      <c r="H4242" s="83">
        <f t="shared" si="113"/>
        <v>0</v>
      </c>
    </row>
    <row r="4243" spans="8:8" hidden="1" x14ac:dyDescent="0.35">
      <c r="H4243" s="83">
        <f t="shared" si="113"/>
        <v>0</v>
      </c>
    </row>
    <row r="4244" spans="8:8" hidden="1" x14ac:dyDescent="0.35">
      <c r="H4244" s="83">
        <f t="shared" si="113"/>
        <v>0</v>
      </c>
    </row>
    <row r="4245" spans="8:8" hidden="1" x14ac:dyDescent="0.35">
      <c r="H4245" s="83">
        <f t="shared" si="113"/>
        <v>0</v>
      </c>
    </row>
    <row r="4246" spans="8:8" hidden="1" x14ac:dyDescent="0.35">
      <c r="H4246" s="83">
        <f t="shared" si="113"/>
        <v>0</v>
      </c>
    </row>
    <row r="4247" spans="8:8" hidden="1" x14ac:dyDescent="0.35">
      <c r="H4247" s="83">
        <f t="shared" si="113"/>
        <v>0</v>
      </c>
    </row>
    <row r="4248" spans="8:8" hidden="1" x14ac:dyDescent="0.35">
      <c r="H4248" s="83">
        <f t="shared" si="113"/>
        <v>0</v>
      </c>
    </row>
    <row r="4249" spans="8:8" hidden="1" x14ac:dyDescent="0.35">
      <c r="H4249" s="83">
        <f t="shared" si="113"/>
        <v>0</v>
      </c>
    </row>
    <row r="4250" spans="8:8" hidden="1" x14ac:dyDescent="0.35">
      <c r="H4250" s="83">
        <f t="shared" si="113"/>
        <v>0</v>
      </c>
    </row>
    <row r="4251" spans="8:8" hidden="1" x14ac:dyDescent="0.35">
      <c r="H4251" s="83">
        <f t="shared" si="113"/>
        <v>0</v>
      </c>
    </row>
    <row r="4252" spans="8:8" hidden="1" x14ac:dyDescent="0.35">
      <c r="H4252" s="83">
        <f t="shared" si="113"/>
        <v>0</v>
      </c>
    </row>
    <row r="4253" spans="8:8" hidden="1" x14ac:dyDescent="0.35">
      <c r="H4253" s="83">
        <f t="shared" si="113"/>
        <v>0</v>
      </c>
    </row>
    <row r="4254" spans="8:8" hidden="1" x14ac:dyDescent="0.35">
      <c r="H4254" s="83">
        <f t="shared" si="113"/>
        <v>0</v>
      </c>
    </row>
    <row r="4255" spans="8:8" hidden="1" x14ac:dyDescent="0.35">
      <c r="H4255" s="83">
        <f t="shared" si="113"/>
        <v>0</v>
      </c>
    </row>
    <row r="4256" spans="8:8" hidden="1" x14ac:dyDescent="0.35">
      <c r="H4256" s="83">
        <f t="shared" si="113"/>
        <v>0</v>
      </c>
    </row>
    <row r="4257" spans="8:8" hidden="1" x14ac:dyDescent="0.35">
      <c r="H4257" s="83">
        <f t="shared" si="113"/>
        <v>0</v>
      </c>
    </row>
    <row r="4258" spans="8:8" hidden="1" x14ac:dyDescent="0.35">
      <c r="H4258" s="83">
        <f t="shared" si="113"/>
        <v>0</v>
      </c>
    </row>
    <row r="4259" spans="8:8" hidden="1" x14ac:dyDescent="0.35">
      <c r="H4259" s="83">
        <f t="shared" si="113"/>
        <v>0</v>
      </c>
    </row>
    <row r="4260" spans="8:8" hidden="1" x14ac:dyDescent="0.35">
      <c r="H4260" s="83">
        <f t="shared" si="113"/>
        <v>0</v>
      </c>
    </row>
    <row r="4261" spans="8:8" hidden="1" x14ac:dyDescent="0.35">
      <c r="H4261" s="83">
        <f t="shared" si="113"/>
        <v>0</v>
      </c>
    </row>
    <row r="4262" spans="8:8" hidden="1" x14ac:dyDescent="0.35">
      <c r="H4262" s="83">
        <f t="shared" si="113"/>
        <v>0</v>
      </c>
    </row>
    <row r="4263" spans="8:8" hidden="1" x14ac:dyDescent="0.35">
      <c r="H4263" s="83">
        <f t="shared" si="113"/>
        <v>0</v>
      </c>
    </row>
    <row r="4264" spans="8:8" hidden="1" x14ac:dyDescent="0.35">
      <c r="H4264" s="83">
        <f t="shared" si="113"/>
        <v>0</v>
      </c>
    </row>
    <row r="4265" spans="8:8" hidden="1" x14ac:dyDescent="0.35">
      <c r="H4265" s="83">
        <f t="shared" si="113"/>
        <v>0</v>
      </c>
    </row>
    <row r="4266" spans="8:8" hidden="1" x14ac:dyDescent="0.35">
      <c r="H4266" s="83">
        <f t="shared" si="113"/>
        <v>0</v>
      </c>
    </row>
    <row r="4267" spans="8:8" hidden="1" x14ac:dyDescent="0.35">
      <c r="H4267" s="83">
        <f t="shared" si="113"/>
        <v>0</v>
      </c>
    </row>
    <row r="4268" spans="8:8" hidden="1" x14ac:dyDescent="0.35">
      <c r="H4268" s="83">
        <f t="shared" si="113"/>
        <v>0</v>
      </c>
    </row>
    <row r="4269" spans="8:8" hidden="1" x14ac:dyDescent="0.35">
      <c r="H4269" s="83">
        <f t="shared" si="113"/>
        <v>0</v>
      </c>
    </row>
    <row r="4270" spans="8:8" hidden="1" x14ac:dyDescent="0.35">
      <c r="H4270" s="83">
        <f t="shared" si="113"/>
        <v>0</v>
      </c>
    </row>
    <row r="4271" spans="8:8" hidden="1" x14ac:dyDescent="0.35">
      <c r="H4271" s="83">
        <f t="shared" si="113"/>
        <v>0</v>
      </c>
    </row>
    <row r="4272" spans="8:8" hidden="1" x14ac:dyDescent="0.35">
      <c r="H4272" s="83">
        <f t="shared" si="113"/>
        <v>0</v>
      </c>
    </row>
    <row r="4273" spans="8:8" hidden="1" x14ac:dyDescent="0.35">
      <c r="H4273" s="83">
        <f t="shared" si="113"/>
        <v>0</v>
      </c>
    </row>
    <row r="4274" spans="8:8" hidden="1" x14ac:dyDescent="0.35">
      <c r="H4274" s="83">
        <f t="shared" si="113"/>
        <v>0</v>
      </c>
    </row>
    <row r="4275" spans="8:8" hidden="1" x14ac:dyDescent="0.35">
      <c r="H4275" s="83">
        <f t="shared" si="113"/>
        <v>0</v>
      </c>
    </row>
    <row r="4276" spans="8:8" hidden="1" x14ac:dyDescent="0.35">
      <c r="H4276" s="83">
        <f t="shared" si="113"/>
        <v>0</v>
      </c>
    </row>
    <row r="4277" spans="8:8" hidden="1" x14ac:dyDescent="0.35">
      <c r="H4277" s="83">
        <f t="shared" si="113"/>
        <v>0</v>
      </c>
    </row>
    <row r="4278" spans="8:8" hidden="1" x14ac:dyDescent="0.35">
      <c r="H4278" s="83">
        <f t="shared" si="113"/>
        <v>0</v>
      </c>
    </row>
    <row r="4279" spans="8:8" hidden="1" x14ac:dyDescent="0.35">
      <c r="H4279" s="83">
        <f t="shared" si="113"/>
        <v>0</v>
      </c>
    </row>
    <row r="4280" spans="8:8" hidden="1" x14ac:dyDescent="0.35">
      <c r="H4280" s="83">
        <f t="shared" si="113"/>
        <v>0</v>
      </c>
    </row>
    <row r="4281" spans="8:8" hidden="1" x14ac:dyDescent="0.35">
      <c r="H4281" s="83">
        <f t="shared" si="113"/>
        <v>0</v>
      </c>
    </row>
    <row r="4282" spans="8:8" hidden="1" x14ac:dyDescent="0.35">
      <c r="H4282" s="83">
        <f t="shared" si="113"/>
        <v>0</v>
      </c>
    </row>
    <row r="4283" spans="8:8" hidden="1" x14ac:dyDescent="0.35">
      <c r="H4283" s="83">
        <f t="shared" si="113"/>
        <v>0</v>
      </c>
    </row>
    <row r="4284" spans="8:8" hidden="1" x14ac:dyDescent="0.35">
      <c r="H4284" s="83">
        <f t="shared" si="113"/>
        <v>0</v>
      </c>
    </row>
    <row r="4285" spans="8:8" hidden="1" x14ac:dyDescent="0.35">
      <c r="H4285" s="83">
        <f t="shared" si="113"/>
        <v>0</v>
      </c>
    </row>
    <row r="4286" spans="8:8" hidden="1" x14ac:dyDescent="0.35">
      <c r="H4286" s="83">
        <f t="shared" si="113"/>
        <v>0</v>
      </c>
    </row>
    <row r="4287" spans="8:8" hidden="1" x14ac:dyDescent="0.35">
      <c r="H4287" s="83">
        <f t="shared" si="113"/>
        <v>0</v>
      </c>
    </row>
    <row r="4288" spans="8:8" hidden="1" x14ac:dyDescent="0.35">
      <c r="H4288" s="83">
        <f t="shared" si="113"/>
        <v>0</v>
      </c>
    </row>
    <row r="4289" spans="8:8" hidden="1" x14ac:dyDescent="0.35">
      <c r="H4289" s="83">
        <f t="shared" si="113"/>
        <v>0</v>
      </c>
    </row>
    <row r="4290" spans="8:8" hidden="1" x14ac:dyDescent="0.35">
      <c r="H4290" s="83">
        <f t="shared" si="113"/>
        <v>0</v>
      </c>
    </row>
    <row r="4291" spans="8:8" hidden="1" x14ac:dyDescent="0.35">
      <c r="H4291" s="83">
        <f t="shared" si="113"/>
        <v>0</v>
      </c>
    </row>
    <row r="4292" spans="8:8" hidden="1" x14ac:dyDescent="0.35">
      <c r="H4292" s="83">
        <f t="shared" ref="H4292:H4355" si="114">J4292-I4292</f>
        <v>0</v>
      </c>
    </row>
    <row r="4293" spans="8:8" hidden="1" x14ac:dyDescent="0.35">
      <c r="H4293" s="83">
        <f t="shared" si="114"/>
        <v>0</v>
      </c>
    </row>
    <row r="4294" spans="8:8" hidden="1" x14ac:dyDescent="0.35">
      <c r="H4294" s="83">
        <f t="shared" si="114"/>
        <v>0</v>
      </c>
    </row>
    <row r="4295" spans="8:8" hidden="1" x14ac:dyDescent="0.35">
      <c r="H4295" s="83">
        <f t="shared" si="114"/>
        <v>0</v>
      </c>
    </row>
    <row r="4296" spans="8:8" hidden="1" x14ac:dyDescent="0.35">
      <c r="H4296" s="83">
        <f t="shared" si="114"/>
        <v>0</v>
      </c>
    </row>
    <row r="4297" spans="8:8" hidden="1" x14ac:dyDescent="0.35">
      <c r="H4297" s="83">
        <f t="shared" si="114"/>
        <v>0</v>
      </c>
    </row>
    <row r="4298" spans="8:8" hidden="1" x14ac:dyDescent="0.35">
      <c r="H4298" s="83">
        <f t="shared" si="114"/>
        <v>0</v>
      </c>
    </row>
    <row r="4299" spans="8:8" hidden="1" x14ac:dyDescent="0.35">
      <c r="H4299" s="83">
        <f t="shared" si="114"/>
        <v>0</v>
      </c>
    </row>
    <row r="4300" spans="8:8" hidden="1" x14ac:dyDescent="0.35">
      <c r="H4300" s="83">
        <f t="shared" si="114"/>
        <v>0</v>
      </c>
    </row>
    <row r="4301" spans="8:8" hidden="1" x14ac:dyDescent="0.35">
      <c r="H4301" s="83">
        <f t="shared" si="114"/>
        <v>0</v>
      </c>
    </row>
    <row r="4302" spans="8:8" hidden="1" x14ac:dyDescent="0.35">
      <c r="H4302" s="83">
        <f t="shared" si="114"/>
        <v>0</v>
      </c>
    </row>
    <row r="4303" spans="8:8" hidden="1" x14ac:dyDescent="0.35">
      <c r="H4303" s="83">
        <f t="shared" si="114"/>
        <v>0</v>
      </c>
    </row>
    <row r="4304" spans="8:8" hidden="1" x14ac:dyDescent="0.35">
      <c r="H4304" s="83">
        <f t="shared" si="114"/>
        <v>0</v>
      </c>
    </row>
    <row r="4305" spans="8:8" hidden="1" x14ac:dyDescent="0.35">
      <c r="H4305" s="83">
        <f t="shared" si="114"/>
        <v>0</v>
      </c>
    </row>
    <row r="4306" spans="8:8" hidden="1" x14ac:dyDescent="0.35">
      <c r="H4306" s="83">
        <f t="shared" si="114"/>
        <v>0</v>
      </c>
    </row>
    <row r="4307" spans="8:8" hidden="1" x14ac:dyDescent="0.35">
      <c r="H4307" s="83">
        <f t="shared" si="114"/>
        <v>0</v>
      </c>
    </row>
    <row r="4308" spans="8:8" hidden="1" x14ac:dyDescent="0.35">
      <c r="H4308" s="83">
        <f t="shared" si="114"/>
        <v>0</v>
      </c>
    </row>
    <row r="4309" spans="8:8" hidden="1" x14ac:dyDescent="0.35">
      <c r="H4309" s="83">
        <f t="shared" si="114"/>
        <v>0</v>
      </c>
    </row>
    <row r="4310" spans="8:8" hidden="1" x14ac:dyDescent="0.35">
      <c r="H4310" s="83">
        <f t="shared" si="114"/>
        <v>0</v>
      </c>
    </row>
    <row r="4311" spans="8:8" hidden="1" x14ac:dyDescent="0.35">
      <c r="H4311" s="83">
        <f t="shared" si="114"/>
        <v>0</v>
      </c>
    </row>
    <row r="4312" spans="8:8" hidden="1" x14ac:dyDescent="0.35">
      <c r="H4312" s="83">
        <f t="shared" si="114"/>
        <v>0</v>
      </c>
    </row>
    <row r="4313" spans="8:8" hidden="1" x14ac:dyDescent="0.35">
      <c r="H4313" s="83">
        <f t="shared" si="114"/>
        <v>0</v>
      </c>
    </row>
    <row r="4314" spans="8:8" hidden="1" x14ac:dyDescent="0.35">
      <c r="H4314" s="83">
        <f t="shared" si="114"/>
        <v>0</v>
      </c>
    </row>
    <row r="4315" spans="8:8" hidden="1" x14ac:dyDescent="0.35">
      <c r="H4315" s="83">
        <f t="shared" si="114"/>
        <v>0</v>
      </c>
    </row>
    <row r="4316" spans="8:8" hidden="1" x14ac:dyDescent="0.35">
      <c r="H4316" s="83">
        <f t="shared" si="114"/>
        <v>0</v>
      </c>
    </row>
    <row r="4317" spans="8:8" hidden="1" x14ac:dyDescent="0.35">
      <c r="H4317" s="83">
        <f t="shared" si="114"/>
        <v>0</v>
      </c>
    </row>
    <row r="4318" spans="8:8" hidden="1" x14ac:dyDescent="0.35">
      <c r="H4318" s="83">
        <f t="shared" si="114"/>
        <v>0</v>
      </c>
    </row>
    <row r="4319" spans="8:8" hidden="1" x14ac:dyDescent="0.35">
      <c r="H4319" s="83">
        <f t="shared" si="114"/>
        <v>0</v>
      </c>
    </row>
    <row r="4320" spans="8:8" hidden="1" x14ac:dyDescent="0.35">
      <c r="H4320" s="83">
        <f t="shared" si="114"/>
        <v>0</v>
      </c>
    </row>
    <row r="4321" spans="8:8" hidden="1" x14ac:dyDescent="0.35">
      <c r="H4321" s="83">
        <f t="shared" si="114"/>
        <v>0</v>
      </c>
    </row>
    <row r="4322" spans="8:8" hidden="1" x14ac:dyDescent="0.35">
      <c r="H4322" s="83">
        <f t="shared" si="114"/>
        <v>0</v>
      </c>
    </row>
    <row r="4323" spans="8:8" hidden="1" x14ac:dyDescent="0.35">
      <c r="H4323" s="83">
        <f t="shared" si="114"/>
        <v>0</v>
      </c>
    </row>
    <row r="4324" spans="8:8" hidden="1" x14ac:dyDescent="0.35">
      <c r="H4324" s="83">
        <f t="shared" si="114"/>
        <v>0</v>
      </c>
    </row>
    <row r="4325" spans="8:8" hidden="1" x14ac:dyDescent="0.35">
      <c r="H4325" s="83">
        <f t="shared" si="114"/>
        <v>0</v>
      </c>
    </row>
    <row r="4326" spans="8:8" hidden="1" x14ac:dyDescent="0.35">
      <c r="H4326" s="83">
        <f t="shared" si="114"/>
        <v>0</v>
      </c>
    </row>
    <row r="4327" spans="8:8" hidden="1" x14ac:dyDescent="0.35">
      <c r="H4327" s="83">
        <f t="shared" si="114"/>
        <v>0</v>
      </c>
    </row>
    <row r="4328" spans="8:8" hidden="1" x14ac:dyDescent="0.35">
      <c r="H4328" s="83">
        <f t="shared" si="114"/>
        <v>0</v>
      </c>
    </row>
    <row r="4329" spans="8:8" hidden="1" x14ac:dyDescent="0.35">
      <c r="H4329" s="83">
        <f t="shared" si="114"/>
        <v>0</v>
      </c>
    </row>
    <row r="4330" spans="8:8" hidden="1" x14ac:dyDescent="0.35">
      <c r="H4330" s="83">
        <f t="shared" si="114"/>
        <v>0</v>
      </c>
    </row>
    <row r="4331" spans="8:8" hidden="1" x14ac:dyDescent="0.35">
      <c r="H4331" s="83">
        <f t="shared" si="114"/>
        <v>0</v>
      </c>
    </row>
    <row r="4332" spans="8:8" hidden="1" x14ac:dyDescent="0.35">
      <c r="H4332" s="83">
        <f t="shared" si="114"/>
        <v>0</v>
      </c>
    </row>
    <row r="4333" spans="8:8" hidden="1" x14ac:dyDescent="0.35">
      <c r="H4333" s="83">
        <f t="shared" si="114"/>
        <v>0</v>
      </c>
    </row>
    <row r="4334" spans="8:8" hidden="1" x14ac:dyDescent="0.35">
      <c r="H4334" s="83">
        <f t="shared" si="114"/>
        <v>0</v>
      </c>
    </row>
    <row r="4335" spans="8:8" hidden="1" x14ac:dyDescent="0.35">
      <c r="H4335" s="83">
        <f t="shared" si="114"/>
        <v>0</v>
      </c>
    </row>
    <row r="4336" spans="8:8" hidden="1" x14ac:dyDescent="0.35">
      <c r="H4336" s="83">
        <f t="shared" si="114"/>
        <v>0</v>
      </c>
    </row>
    <row r="4337" spans="8:8" hidden="1" x14ac:dyDescent="0.35">
      <c r="H4337" s="83">
        <f t="shared" si="114"/>
        <v>0</v>
      </c>
    </row>
    <row r="4338" spans="8:8" hidden="1" x14ac:dyDescent="0.35">
      <c r="H4338" s="83">
        <f t="shared" si="114"/>
        <v>0</v>
      </c>
    </row>
    <row r="4339" spans="8:8" hidden="1" x14ac:dyDescent="0.35">
      <c r="H4339" s="83">
        <f t="shared" si="114"/>
        <v>0</v>
      </c>
    </row>
    <row r="4340" spans="8:8" hidden="1" x14ac:dyDescent="0.35">
      <c r="H4340" s="83">
        <f t="shared" si="114"/>
        <v>0</v>
      </c>
    </row>
    <row r="4341" spans="8:8" hidden="1" x14ac:dyDescent="0.35">
      <c r="H4341" s="83">
        <f t="shared" si="114"/>
        <v>0</v>
      </c>
    </row>
    <row r="4342" spans="8:8" hidden="1" x14ac:dyDescent="0.35">
      <c r="H4342" s="83">
        <f t="shared" si="114"/>
        <v>0</v>
      </c>
    </row>
    <row r="4343" spans="8:8" hidden="1" x14ac:dyDescent="0.35">
      <c r="H4343" s="83">
        <f t="shared" si="114"/>
        <v>0</v>
      </c>
    </row>
    <row r="4344" spans="8:8" hidden="1" x14ac:dyDescent="0.35">
      <c r="H4344" s="83">
        <f t="shared" si="114"/>
        <v>0</v>
      </c>
    </row>
    <row r="4345" spans="8:8" hidden="1" x14ac:dyDescent="0.35">
      <c r="H4345" s="83">
        <f t="shared" si="114"/>
        <v>0</v>
      </c>
    </row>
    <row r="4346" spans="8:8" hidden="1" x14ac:dyDescent="0.35">
      <c r="H4346" s="83">
        <f t="shared" si="114"/>
        <v>0</v>
      </c>
    </row>
    <row r="4347" spans="8:8" hidden="1" x14ac:dyDescent="0.35">
      <c r="H4347" s="83">
        <f t="shared" si="114"/>
        <v>0</v>
      </c>
    </row>
    <row r="4348" spans="8:8" hidden="1" x14ac:dyDescent="0.35">
      <c r="H4348" s="83">
        <f t="shared" si="114"/>
        <v>0</v>
      </c>
    </row>
    <row r="4349" spans="8:8" hidden="1" x14ac:dyDescent="0.35">
      <c r="H4349" s="83">
        <f t="shared" si="114"/>
        <v>0</v>
      </c>
    </row>
    <row r="4350" spans="8:8" hidden="1" x14ac:dyDescent="0.35">
      <c r="H4350" s="83">
        <f t="shared" si="114"/>
        <v>0</v>
      </c>
    </row>
    <row r="4351" spans="8:8" hidden="1" x14ac:dyDescent="0.35">
      <c r="H4351" s="83">
        <f t="shared" si="114"/>
        <v>0</v>
      </c>
    </row>
    <row r="4352" spans="8:8" hidden="1" x14ac:dyDescent="0.35">
      <c r="H4352" s="83">
        <f t="shared" si="114"/>
        <v>0</v>
      </c>
    </row>
    <row r="4353" spans="8:8" hidden="1" x14ac:dyDescent="0.35">
      <c r="H4353" s="83">
        <f t="shared" si="114"/>
        <v>0</v>
      </c>
    </row>
    <row r="4354" spans="8:8" hidden="1" x14ac:dyDescent="0.35">
      <c r="H4354" s="83">
        <f t="shared" si="114"/>
        <v>0</v>
      </c>
    </row>
    <row r="4355" spans="8:8" hidden="1" x14ac:dyDescent="0.35">
      <c r="H4355" s="83">
        <f t="shared" si="114"/>
        <v>0</v>
      </c>
    </row>
    <row r="4356" spans="8:8" hidden="1" x14ac:dyDescent="0.35">
      <c r="H4356" s="83">
        <f t="shared" ref="H4356:H4419" si="115">J4356-I4356</f>
        <v>0</v>
      </c>
    </row>
    <row r="4357" spans="8:8" hidden="1" x14ac:dyDescent="0.35">
      <c r="H4357" s="83">
        <f t="shared" si="115"/>
        <v>0</v>
      </c>
    </row>
    <row r="4358" spans="8:8" hidden="1" x14ac:dyDescent="0.35">
      <c r="H4358" s="83">
        <f t="shared" si="115"/>
        <v>0</v>
      </c>
    </row>
    <row r="4359" spans="8:8" hidden="1" x14ac:dyDescent="0.35">
      <c r="H4359" s="83">
        <f t="shared" si="115"/>
        <v>0</v>
      </c>
    </row>
    <row r="4360" spans="8:8" hidden="1" x14ac:dyDescent="0.35">
      <c r="H4360" s="83">
        <f t="shared" si="115"/>
        <v>0</v>
      </c>
    </row>
    <row r="4361" spans="8:8" hidden="1" x14ac:dyDescent="0.35">
      <c r="H4361" s="83">
        <f t="shared" si="115"/>
        <v>0</v>
      </c>
    </row>
    <row r="4362" spans="8:8" hidden="1" x14ac:dyDescent="0.35">
      <c r="H4362" s="83">
        <f t="shared" si="115"/>
        <v>0</v>
      </c>
    </row>
    <row r="4363" spans="8:8" hidden="1" x14ac:dyDescent="0.35">
      <c r="H4363" s="83">
        <f t="shared" si="115"/>
        <v>0</v>
      </c>
    </row>
    <row r="4364" spans="8:8" hidden="1" x14ac:dyDescent="0.35">
      <c r="H4364" s="83">
        <f t="shared" si="115"/>
        <v>0</v>
      </c>
    </row>
    <row r="4365" spans="8:8" hidden="1" x14ac:dyDescent="0.35">
      <c r="H4365" s="83">
        <f t="shared" si="115"/>
        <v>0</v>
      </c>
    </row>
    <row r="4366" spans="8:8" hidden="1" x14ac:dyDescent="0.35">
      <c r="H4366" s="83">
        <f t="shared" si="115"/>
        <v>0</v>
      </c>
    </row>
    <row r="4367" spans="8:8" hidden="1" x14ac:dyDescent="0.35">
      <c r="H4367" s="83">
        <f t="shared" si="115"/>
        <v>0</v>
      </c>
    </row>
    <row r="4368" spans="8:8" hidden="1" x14ac:dyDescent="0.35">
      <c r="H4368" s="83">
        <f t="shared" si="115"/>
        <v>0</v>
      </c>
    </row>
    <row r="4369" spans="8:8" hidden="1" x14ac:dyDescent="0.35">
      <c r="H4369" s="83">
        <f t="shared" si="115"/>
        <v>0</v>
      </c>
    </row>
    <row r="4370" spans="8:8" hidden="1" x14ac:dyDescent="0.35">
      <c r="H4370" s="83">
        <f t="shared" si="115"/>
        <v>0</v>
      </c>
    </row>
    <row r="4371" spans="8:8" hidden="1" x14ac:dyDescent="0.35">
      <c r="H4371" s="83">
        <f t="shared" si="115"/>
        <v>0</v>
      </c>
    </row>
    <row r="4372" spans="8:8" hidden="1" x14ac:dyDescent="0.35">
      <c r="H4372" s="83">
        <f t="shared" si="115"/>
        <v>0</v>
      </c>
    </row>
    <row r="4373" spans="8:8" hidden="1" x14ac:dyDescent="0.35">
      <c r="H4373" s="83">
        <f t="shared" si="115"/>
        <v>0</v>
      </c>
    </row>
    <row r="4374" spans="8:8" hidden="1" x14ac:dyDescent="0.35">
      <c r="H4374" s="83">
        <f t="shared" si="115"/>
        <v>0</v>
      </c>
    </row>
    <row r="4375" spans="8:8" hidden="1" x14ac:dyDescent="0.35">
      <c r="H4375" s="83">
        <f t="shared" si="115"/>
        <v>0</v>
      </c>
    </row>
    <row r="4376" spans="8:8" hidden="1" x14ac:dyDescent="0.35">
      <c r="H4376" s="83">
        <f t="shared" si="115"/>
        <v>0</v>
      </c>
    </row>
    <row r="4377" spans="8:8" hidden="1" x14ac:dyDescent="0.35">
      <c r="H4377" s="83">
        <f t="shared" si="115"/>
        <v>0</v>
      </c>
    </row>
    <row r="4378" spans="8:8" hidden="1" x14ac:dyDescent="0.35">
      <c r="H4378" s="83">
        <f t="shared" si="115"/>
        <v>0</v>
      </c>
    </row>
    <row r="4379" spans="8:8" hidden="1" x14ac:dyDescent="0.35">
      <c r="H4379" s="83">
        <f t="shared" si="115"/>
        <v>0</v>
      </c>
    </row>
    <row r="4380" spans="8:8" hidden="1" x14ac:dyDescent="0.35">
      <c r="H4380" s="83">
        <f t="shared" si="115"/>
        <v>0</v>
      </c>
    </row>
    <row r="4381" spans="8:8" hidden="1" x14ac:dyDescent="0.35">
      <c r="H4381" s="83">
        <f t="shared" si="115"/>
        <v>0</v>
      </c>
    </row>
    <row r="4382" spans="8:8" hidden="1" x14ac:dyDescent="0.35">
      <c r="H4382" s="83">
        <f t="shared" si="115"/>
        <v>0</v>
      </c>
    </row>
    <row r="4383" spans="8:8" hidden="1" x14ac:dyDescent="0.35">
      <c r="H4383" s="83">
        <f t="shared" si="115"/>
        <v>0</v>
      </c>
    </row>
    <row r="4384" spans="8:8" hidden="1" x14ac:dyDescent="0.35">
      <c r="H4384" s="83">
        <f t="shared" si="115"/>
        <v>0</v>
      </c>
    </row>
    <row r="4385" spans="8:8" hidden="1" x14ac:dyDescent="0.35">
      <c r="H4385" s="83">
        <f t="shared" si="115"/>
        <v>0</v>
      </c>
    </row>
    <row r="4386" spans="8:8" hidden="1" x14ac:dyDescent="0.35">
      <c r="H4386" s="83">
        <f t="shared" si="115"/>
        <v>0</v>
      </c>
    </row>
    <row r="4387" spans="8:8" hidden="1" x14ac:dyDescent="0.35">
      <c r="H4387" s="83">
        <f t="shared" si="115"/>
        <v>0</v>
      </c>
    </row>
    <row r="4388" spans="8:8" hidden="1" x14ac:dyDescent="0.35">
      <c r="H4388" s="83">
        <f t="shared" si="115"/>
        <v>0</v>
      </c>
    </row>
    <row r="4389" spans="8:8" hidden="1" x14ac:dyDescent="0.35">
      <c r="H4389" s="83">
        <f t="shared" si="115"/>
        <v>0</v>
      </c>
    </row>
    <row r="4390" spans="8:8" hidden="1" x14ac:dyDescent="0.35">
      <c r="H4390" s="83">
        <f t="shared" si="115"/>
        <v>0</v>
      </c>
    </row>
    <row r="4391" spans="8:8" hidden="1" x14ac:dyDescent="0.35">
      <c r="H4391" s="83">
        <f t="shared" si="115"/>
        <v>0</v>
      </c>
    </row>
    <row r="4392" spans="8:8" hidden="1" x14ac:dyDescent="0.35">
      <c r="H4392" s="83">
        <f t="shared" si="115"/>
        <v>0</v>
      </c>
    </row>
    <row r="4393" spans="8:8" hidden="1" x14ac:dyDescent="0.35">
      <c r="H4393" s="83">
        <f t="shared" si="115"/>
        <v>0</v>
      </c>
    </row>
    <row r="4394" spans="8:8" hidden="1" x14ac:dyDescent="0.35">
      <c r="H4394" s="83">
        <f t="shared" si="115"/>
        <v>0</v>
      </c>
    </row>
    <row r="4395" spans="8:8" hidden="1" x14ac:dyDescent="0.35">
      <c r="H4395" s="83">
        <f t="shared" si="115"/>
        <v>0</v>
      </c>
    </row>
    <row r="4396" spans="8:8" hidden="1" x14ac:dyDescent="0.35">
      <c r="H4396" s="83">
        <f t="shared" si="115"/>
        <v>0</v>
      </c>
    </row>
    <row r="4397" spans="8:8" hidden="1" x14ac:dyDescent="0.35">
      <c r="H4397" s="83">
        <f t="shared" si="115"/>
        <v>0</v>
      </c>
    </row>
    <row r="4398" spans="8:8" hidden="1" x14ac:dyDescent="0.35">
      <c r="H4398" s="83">
        <f t="shared" si="115"/>
        <v>0</v>
      </c>
    </row>
    <row r="4399" spans="8:8" hidden="1" x14ac:dyDescent="0.35">
      <c r="H4399" s="83">
        <f t="shared" si="115"/>
        <v>0</v>
      </c>
    </row>
    <row r="4400" spans="8:8" hidden="1" x14ac:dyDescent="0.35">
      <c r="H4400" s="83">
        <f t="shared" si="115"/>
        <v>0</v>
      </c>
    </row>
    <row r="4401" spans="8:8" hidden="1" x14ac:dyDescent="0.35">
      <c r="H4401" s="83">
        <f t="shared" si="115"/>
        <v>0</v>
      </c>
    </row>
    <row r="4402" spans="8:8" hidden="1" x14ac:dyDescent="0.35">
      <c r="H4402" s="83">
        <f t="shared" si="115"/>
        <v>0</v>
      </c>
    </row>
    <row r="4403" spans="8:8" hidden="1" x14ac:dyDescent="0.35">
      <c r="H4403" s="83">
        <f t="shared" si="115"/>
        <v>0</v>
      </c>
    </row>
    <row r="4404" spans="8:8" hidden="1" x14ac:dyDescent="0.35">
      <c r="H4404" s="83">
        <f t="shared" si="115"/>
        <v>0</v>
      </c>
    </row>
    <row r="4405" spans="8:8" hidden="1" x14ac:dyDescent="0.35">
      <c r="H4405" s="83">
        <f t="shared" si="115"/>
        <v>0</v>
      </c>
    </row>
    <row r="4406" spans="8:8" hidden="1" x14ac:dyDescent="0.35">
      <c r="H4406" s="83">
        <f t="shared" si="115"/>
        <v>0</v>
      </c>
    </row>
    <row r="4407" spans="8:8" hidden="1" x14ac:dyDescent="0.35">
      <c r="H4407" s="83">
        <f t="shared" si="115"/>
        <v>0</v>
      </c>
    </row>
    <row r="4408" spans="8:8" hidden="1" x14ac:dyDescent="0.35">
      <c r="H4408" s="83">
        <f t="shared" si="115"/>
        <v>0</v>
      </c>
    </row>
    <row r="4409" spans="8:8" hidden="1" x14ac:dyDescent="0.35">
      <c r="H4409" s="83">
        <f t="shared" si="115"/>
        <v>0</v>
      </c>
    </row>
    <row r="4410" spans="8:8" hidden="1" x14ac:dyDescent="0.35">
      <c r="H4410" s="83">
        <f t="shared" si="115"/>
        <v>0</v>
      </c>
    </row>
    <row r="4411" spans="8:8" hidden="1" x14ac:dyDescent="0.35">
      <c r="H4411" s="83">
        <f t="shared" si="115"/>
        <v>0</v>
      </c>
    </row>
    <row r="4412" spans="8:8" hidden="1" x14ac:dyDescent="0.35">
      <c r="H4412" s="83">
        <f t="shared" si="115"/>
        <v>0</v>
      </c>
    </row>
    <row r="4413" spans="8:8" hidden="1" x14ac:dyDescent="0.35">
      <c r="H4413" s="83">
        <f t="shared" si="115"/>
        <v>0</v>
      </c>
    </row>
    <row r="4414" spans="8:8" hidden="1" x14ac:dyDescent="0.35">
      <c r="H4414" s="83">
        <f t="shared" si="115"/>
        <v>0</v>
      </c>
    </row>
    <row r="4415" spans="8:8" hidden="1" x14ac:dyDescent="0.35">
      <c r="H4415" s="83">
        <f t="shared" si="115"/>
        <v>0</v>
      </c>
    </row>
    <row r="4416" spans="8:8" hidden="1" x14ac:dyDescent="0.35">
      <c r="H4416" s="83">
        <f t="shared" si="115"/>
        <v>0</v>
      </c>
    </row>
    <row r="4417" spans="8:8" hidden="1" x14ac:dyDescent="0.35">
      <c r="H4417" s="83">
        <f t="shared" si="115"/>
        <v>0</v>
      </c>
    </row>
    <row r="4418" spans="8:8" hidden="1" x14ac:dyDescent="0.35">
      <c r="H4418" s="83">
        <f t="shared" si="115"/>
        <v>0</v>
      </c>
    </row>
    <row r="4419" spans="8:8" hidden="1" x14ac:dyDescent="0.35">
      <c r="H4419" s="83">
        <f t="shared" si="115"/>
        <v>0</v>
      </c>
    </row>
    <row r="4420" spans="8:8" hidden="1" x14ac:dyDescent="0.35">
      <c r="H4420" s="83">
        <f t="shared" ref="H4420:H4483" si="116">J4420-I4420</f>
        <v>0</v>
      </c>
    </row>
    <row r="4421" spans="8:8" hidden="1" x14ac:dyDescent="0.35">
      <c r="H4421" s="83">
        <f t="shared" si="116"/>
        <v>0</v>
      </c>
    </row>
    <row r="4422" spans="8:8" hidden="1" x14ac:dyDescent="0.35">
      <c r="H4422" s="83">
        <f t="shared" si="116"/>
        <v>0</v>
      </c>
    </row>
    <row r="4423" spans="8:8" hidden="1" x14ac:dyDescent="0.35">
      <c r="H4423" s="83">
        <f t="shared" si="116"/>
        <v>0</v>
      </c>
    </row>
    <row r="4424" spans="8:8" hidden="1" x14ac:dyDescent="0.35">
      <c r="H4424" s="83">
        <f t="shared" si="116"/>
        <v>0</v>
      </c>
    </row>
    <row r="4425" spans="8:8" hidden="1" x14ac:dyDescent="0.35">
      <c r="H4425" s="83">
        <f t="shared" si="116"/>
        <v>0</v>
      </c>
    </row>
    <row r="4426" spans="8:8" hidden="1" x14ac:dyDescent="0.35">
      <c r="H4426" s="83">
        <f t="shared" si="116"/>
        <v>0</v>
      </c>
    </row>
    <row r="4427" spans="8:8" hidden="1" x14ac:dyDescent="0.35">
      <c r="H4427" s="83">
        <f t="shared" si="116"/>
        <v>0</v>
      </c>
    </row>
    <row r="4428" spans="8:8" hidden="1" x14ac:dyDescent="0.35">
      <c r="H4428" s="83">
        <f t="shared" si="116"/>
        <v>0</v>
      </c>
    </row>
    <row r="4429" spans="8:8" hidden="1" x14ac:dyDescent="0.35">
      <c r="H4429" s="83">
        <f t="shared" si="116"/>
        <v>0</v>
      </c>
    </row>
    <row r="4430" spans="8:8" hidden="1" x14ac:dyDescent="0.35">
      <c r="H4430" s="83">
        <f t="shared" si="116"/>
        <v>0</v>
      </c>
    </row>
    <row r="4431" spans="8:8" hidden="1" x14ac:dyDescent="0.35">
      <c r="H4431" s="83">
        <f t="shared" si="116"/>
        <v>0</v>
      </c>
    </row>
    <row r="4432" spans="8:8" hidden="1" x14ac:dyDescent="0.35">
      <c r="H4432" s="83">
        <f t="shared" si="116"/>
        <v>0</v>
      </c>
    </row>
    <row r="4433" spans="8:8" hidden="1" x14ac:dyDescent="0.35">
      <c r="H4433" s="83">
        <f t="shared" si="116"/>
        <v>0</v>
      </c>
    </row>
    <row r="4434" spans="8:8" hidden="1" x14ac:dyDescent="0.35">
      <c r="H4434" s="83">
        <f t="shared" si="116"/>
        <v>0</v>
      </c>
    </row>
    <row r="4435" spans="8:8" hidden="1" x14ac:dyDescent="0.35">
      <c r="H4435" s="83">
        <f t="shared" si="116"/>
        <v>0</v>
      </c>
    </row>
    <row r="4436" spans="8:8" hidden="1" x14ac:dyDescent="0.35">
      <c r="H4436" s="83">
        <f t="shared" si="116"/>
        <v>0</v>
      </c>
    </row>
    <row r="4437" spans="8:8" hidden="1" x14ac:dyDescent="0.35">
      <c r="H4437" s="83">
        <f t="shared" si="116"/>
        <v>0</v>
      </c>
    </row>
    <row r="4438" spans="8:8" hidden="1" x14ac:dyDescent="0.35">
      <c r="H4438" s="83">
        <f t="shared" si="116"/>
        <v>0</v>
      </c>
    </row>
    <row r="4439" spans="8:8" hidden="1" x14ac:dyDescent="0.35">
      <c r="H4439" s="83">
        <f t="shared" si="116"/>
        <v>0</v>
      </c>
    </row>
    <row r="4440" spans="8:8" hidden="1" x14ac:dyDescent="0.35">
      <c r="H4440" s="83">
        <f t="shared" si="116"/>
        <v>0</v>
      </c>
    </row>
    <row r="4441" spans="8:8" hidden="1" x14ac:dyDescent="0.35">
      <c r="H4441" s="83">
        <f t="shared" si="116"/>
        <v>0</v>
      </c>
    </row>
    <row r="4442" spans="8:8" hidden="1" x14ac:dyDescent="0.35">
      <c r="H4442" s="83">
        <f t="shared" si="116"/>
        <v>0</v>
      </c>
    </row>
    <row r="4443" spans="8:8" hidden="1" x14ac:dyDescent="0.35">
      <c r="H4443" s="83">
        <f t="shared" si="116"/>
        <v>0</v>
      </c>
    </row>
    <row r="4444" spans="8:8" hidden="1" x14ac:dyDescent="0.35">
      <c r="H4444" s="83">
        <f t="shared" si="116"/>
        <v>0</v>
      </c>
    </row>
    <row r="4445" spans="8:8" hidden="1" x14ac:dyDescent="0.35">
      <c r="H4445" s="83">
        <f t="shared" si="116"/>
        <v>0</v>
      </c>
    </row>
    <row r="4446" spans="8:8" hidden="1" x14ac:dyDescent="0.35">
      <c r="H4446" s="83">
        <f t="shared" si="116"/>
        <v>0</v>
      </c>
    </row>
    <row r="4447" spans="8:8" hidden="1" x14ac:dyDescent="0.35">
      <c r="H4447" s="83">
        <f t="shared" si="116"/>
        <v>0</v>
      </c>
    </row>
    <row r="4448" spans="8:8" hidden="1" x14ac:dyDescent="0.35">
      <c r="H4448" s="83">
        <f t="shared" si="116"/>
        <v>0</v>
      </c>
    </row>
    <row r="4449" spans="8:8" hidden="1" x14ac:dyDescent="0.35">
      <c r="H4449" s="83">
        <f t="shared" si="116"/>
        <v>0</v>
      </c>
    </row>
    <row r="4450" spans="8:8" hidden="1" x14ac:dyDescent="0.35">
      <c r="H4450" s="83">
        <f t="shared" si="116"/>
        <v>0</v>
      </c>
    </row>
    <row r="4451" spans="8:8" hidden="1" x14ac:dyDescent="0.35">
      <c r="H4451" s="83">
        <f t="shared" si="116"/>
        <v>0</v>
      </c>
    </row>
    <row r="4452" spans="8:8" hidden="1" x14ac:dyDescent="0.35">
      <c r="H4452" s="83">
        <f t="shared" si="116"/>
        <v>0</v>
      </c>
    </row>
    <row r="4453" spans="8:8" hidden="1" x14ac:dyDescent="0.35">
      <c r="H4453" s="83">
        <f t="shared" si="116"/>
        <v>0</v>
      </c>
    </row>
    <row r="4454" spans="8:8" hidden="1" x14ac:dyDescent="0.35">
      <c r="H4454" s="83">
        <f t="shared" si="116"/>
        <v>0</v>
      </c>
    </row>
    <row r="4455" spans="8:8" hidden="1" x14ac:dyDescent="0.35">
      <c r="H4455" s="83">
        <f t="shared" si="116"/>
        <v>0</v>
      </c>
    </row>
    <row r="4456" spans="8:8" hidden="1" x14ac:dyDescent="0.35">
      <c r="H4456" s="83">
        <f t="shared" si="116"/>
        <v>0</v>
      </c>
    </row>
    <row r="4457" spans="8:8" hidden="1" x14ac:dyDescent="0.35">
      <c r="H4457" s="83">
        <f t="shared" si="116"/>
        <v>0</v>
      </c>
    </row>
    <row r="4458" spans="8:8" hidden="1" x14ac:dyDescent="0.35">
      <c r="H4458" s="83">
        <f t="shared" si="116"/>
        <v>0</v>
      </c>
    </row>
    <row r="4459" spans="8:8" hidden="1" x14ac:dyDescent="0.35">
      <c r="H4459" s="83">
        <f t="shared" si="116"/>
        <v>0</v>
      </c>
    </row>
    <row r="4460" spans="8:8" hidden="1" x14ac:dyDescent="0.35">
      <c r="H4460" s="83">
        <f t="shared" si="116"/>
        <v>0</v>
      </c>
    </row>
    <row r="4461" spans="8:8" hidden="1" x14ac:dyDescent="0.35">
      <c r="H4461" s="83">
        <f t="shared" si="116"/>
        <v>0</v>
      </c>
    </row>
    <row r="4462" spans="8:8" hidden="1" x14ac:dyDescent="0.35">
      <c r="H4462" s="83">
        <f t="shared" si="116"/>
        <v>0</v>
      </c>
    </row>
    <row r="4463" spans="8:8" hidden="1" x14ac:dyDescent="0.35">
      <c r="H4463" s="83">
        <f t="shared" si="116"/>
        <v>0</v>
      </c>
    </row>
    <row r="4464" spans="8:8" hidden="1" x14ac:dyDescent="0.35">
      <c r="H4464" s="83">
        <f t="shared" si="116"/>
        <v>0</v>
      </c>
    </row>
    <row r="4465" spans="8:8" hidden="1" x14ac:dyDescent="0.35">
      <c r="H4465" s="83">
        <f t="shared" si="116"/>
        <v>0</v>
      </c>
    </row>
    <row r="4466" spans="8:8" hidden="1" x14ac:dyDescent="0.35">
      <c r="H4466" s="83">
        <f t="shared" si="116"/>
        <v>0</v>
      </c>
    </row>
    <row r="4467" spans="8:8" hidden="1" x14ac:dyDescent="0.35">
      <c r="H4467" s="83">
        <f t="shared" si="116"/>
        <v>0</v>
      </c>
    </row>
    <row r="4468" spans="8:8" hidden="1" x14ac:dyDescent="0.35">
      <c r="H4468" s="83">
        <f t="shared" si="116"/>
        <v>0</v>
      </c>
    </row>
    <row r="4469" spans="8:8" hidden="1" x14ac:dyDescent="0.35">
      <c r="H4469" s="83">
        <f t="shared" si="116"/>
        <v>0</v>
      </c>
    </row>
    <row r="4470" spans="8:8" hidden="1" x14ac:dyDescent="0.35">
      <c r="H4470" s="83">
        <f t="shared" si="116"/>
        <v>0</v>
      </c>
    </row>
    <row r="4471" spans="8:8" hidden="1" x14ac:dyDescent="0.35">
      <c r="H4471" s="83">
        <f t="shared" si="116"/>
        <v>0</v>
      </c>
    </row>
    <row r="4472" spans="8:8" hidden="1" x14ac:dyDescent="0.35">
      <c r="H4472" s="83">
        <f t="shared" si="116"/>
        <v>0</v>
      </c>
    </row>
    <row r="4473" spans="8:8" hidden="1" x14ac:dyDescent="0.35">
      <c r="H4473" s="83">
        <f t="shared" si="116"/>
        <v>0</v>
      </c>
    </row>
    <row r="4474" spans="8:8" hidden="1" x14ac:dyDescent="0.35">
      <c r="H4474" s="83">
        <f t="shared" si="116"/>
        <v>0</v>
      </c>
    </row>
    <row r="4475" spans="8:8" hidden="1" x14ac:dyDescent="0.35">
      <c r="H4475" s="83">
        <f t="shared" si="116"/>
        <v>0</v>
      </c>
    </row>
    <row r="4476" spans="8:8" hidden="1" x14ac:dyDescent="0.35">
      <c r="H4476" s="83">
        <f t="shared" si="116"/>
        <v>0</v>
      </c>
    </row>
    <row r="4477" spans="8:8" hidden="1" x14ac:dyDescent="0.35">
      <c r="H4477" s="83">
        <f t="shared" si="116"/>
        <v>0</v>
      </c>
    </row>
    <row r="4478" spans="8:8" hidden="1" x14ac:dyDescent="0.35">
      <c r="H4478" s="83">
        <f t="shared" si="116"/>
        <v>0</v>
      </c>
    </row>
    <row r="4479" spans="8:8" hidden="1" x14ac:dyDescent="0.35">
      <c r="H4479" s="83">
        <f t="shared" si="116"/>
        <v>0</v>
      </c>
    </row>
    <row r="4480" spans="8:8" hidden="1" x14ac:dyDescent="0.35">
      <c r="H4480" s="83">
        <f t="shared" si="116"/>
        <v>0</v>
      </c>
    </row>
    <row r="4481" spans="8:8" hidden="1" x14ac:dyDescent="0.35">
      <c r="H4481" s="83">
        <f t="shared" si="116"/>
        <v>0</v>
      </c>
    </row>
    <row r="4482" spans="8:8" hidden="1" x14ac:dyDescent="0.35">
      <c r="H4482" s="83">
        <f t="shared" si="116"/>
        <v>0</v>
      </c>
    </row>
    <row r="4483" spans="8:8" hidden="1" x14ac:dyDescent="0.35">
      <c r="H4483" s="83">
        <f t="shared" si="116"/>
        <v>0</v>
      </c>
    </row>
    <row r="4484" spans="8:8" hidden="1" x14ac:dyDescent="0.35">
      <c r="H4484" s="83">
        <f t="shared" ref="H4484:H4547" si="117">J4484-I4484</f>
        <v>0</v>
      </c>
    </row>
    <row r="4485" spans="8:8" hidden="1" x14ac:dyDescent="0.35">
      <c r="H4485" s="83">
        <f t="shared" si="117"/>
        <v>0</v>
      </c>
    </row>
    <row r="4486" spans="8:8" hidden="1" x14ac:dyDescent="0.35">
      <c r="H4486" s="83">
        <f t="shared" si="117"/>
        <v>0</v>
      </c>
    </row>
    <row r="4487" spans="8:8" hidden="1" x14ac:dyDescent="0.35">
      <c r="H4487" s="83">
        <f t="shared" si="117"/>
        <v>0</v>
      </c>
    </row>
    <row r="4488" spans="8:8" hidden="1" x14ac:dyDescent="0.35">
      <c r="H4488" s="83">
        <f t="shared" si="117"/>
        <v>0</v>
      </c>
    </row>
    <row r="4489" spans="8:8" hidden="1" x14ac:dyDescent="0.35">
      <c r="H4489" s="83">
        <f t="shared" si="117"/>
        <v>0</v>
      </c>
    </row>
    <row r="4490" spans="8:8" hidden="1" x14ac:dyDescent="0.35">
      <c r="H4490" s="83">
        <f t="shared" si="117"/>
        <v>0</v>
      </c>
    </row>
    <row r="4491" spans="8:8" hidden="1" x14ac:dyDescent="0.35">
      <c r="H4491" s="83">
        <f t="shared" si="117"/>
        <v>0</v>
      </c>
    </row>
    <row r="4492" spans="8:8" hidden="1" x14ac:dyDescent="0.35">
      <c r="H4492" s="83">
        <f t="shared" si="117"/>
        <v>0</v>
      </c>
    </row>
    <row r="4493" spans="8:8" hidden="1" x14ac:dyDescent="0.35">
      <c r="H4493" s="83">
        <f t="shared" si="117"/>
        <v>0</v>
      </c>
    </row>
    <row r="4494" spans="8:8" hidden="1" x14ac:dyDescent="0.35">
      <c r="H4494" s="83">
        <f t="shared" si="117"/>
        <v>0</v>
      </c>
    </row>
    <row r="4495" spans="8:8" hidden="1" x14ac:dyDescent="0.35">
      <c r="H4495" s="83">
        <f t="shared" si="117"/>
        <v>0</v>
      </c>
    </row>
    <row r="4496" spans="8:8" hidden="1" x14ac:dyDescent="0.35">
      <c r="H4496" s="83">
        <f t="shared" si="117"/>
        <v>0</v>
      </c>
    </row>
    <row r="4497" spans="8:8" hidden="1" x14ac:dyDescent="0.35">
      <c r="H4497" s="83">
        <f t="shared" si="117"/>
        <v>0</v>
      </c>
    </row>
    <row r="4498" spans="8:8" hidden="1" x14ac:dyDescent="0.35">
      <c r="H4498" s="83">
        <f t="shared" si="117"/>
        <v>0</v>
      </c>
    </row>
    <row r="4499" spans="8:8" hidden="1" x14ac:dyDescent="0.35">
      <c r="H4499" s="83">
        <f t="shared" si="117"/>
        <v>0</v>
      </c>
    </row>
    <row r="4500" spans="8:8" hidden="1" x14ac:dyDescent="0.35">
      <c r="H4500" s="83">
        <f t="shared" si="117"/>
        <v>0</v>
      </c>
    </row>
    <row r="4501" spans="8:8" hidden="1" x14ac:dyDescent="0.35">
      <c r="H4501" s="83">
        <f t="shared" si="117"/>
        <v>0</v>
      </c>
    </row>
    <row r="4502" spans="8:8" hidden="1" x14ac:dyDescent="0.35">
      <c r="H4502" s="83">
        <f t="shared" si="117"/>
        <v>0</v>
      </c>
    </row>
    <row r="4503" spans="8:8" hidden="1" x14ac:dyDescent="0.35">
      <c r="H4503" s="83">
        <f t="shared" si="117"/>
        <v>0</v>
      </c>
    </row>
    <row r="4504" spans="8:8" hidden="1" x14ac:dyDescent="0.35">
      <c r="H4504" s="83">
        <f t="shared" si="117"/>
        <v>0</v>
      </c>
    </row>
    <row r="4505" spans="8:8" hidden="1" x14ac:dyDescent="0.35">
      <c r="H4505" s="83">
        <f t="shared" si="117"/>
        <v>0</v>
      </c>
    </row>
    <row r="4506" spans="8:8" hidden="1" x14ac:dyDescent="0.35">
      <c r="H4506" s="83">
        <f t="shared" si="117"/>
        <v>0</v>
      </c>
    </row>
    <row r="4507" spans="8:8" hidden="1" x14ac:dyDescent="0.35">
      <c r="H4507" s="83">
        <f t="shared" si="117"/>
        <v>0</v>
      </c>
    </row>
    <row r="4508" spans="8:8" hidden="1" x14ac:dyDescent="0.35">
      <c r="H4508" s="83">
        <f t="shared" si="117"/>
        <v>0</v>
      </c>
    </row>
    <row r="4509" spans="8:8" hidden="1" x14ac:dyDescent="0.35">
      <c r="H4509" s="83">
        <f t="shared" si="117"/>
        <v>0</v>
      </c>
    </row>
    <row r="4510" spans="8:8" hidden="1" x14ac:dyDescent="0.35">
      <c r="H4510" s="83">
        <f t="shared" si="117"/>
        <v>0</v>
      </c>
    </row>
    <row r="4511" spans="8:8" hidden="1" x14ac:dyDescent="0.35">
      <c r="H4511" s="83">
        <f t="shared" si="117"/>
        <v>0</v>
      </c>
    </row>
    <row r="4512" spans="8:8" hidden="1" x14ac:dyDescent="0.35">
      <c r="H4512" s="83">
        <f t="shared" si="117"/>
        <v>0</v>
      </c>
    </row>
    <row r="4513" spans="8:8" hidden="1" x14ac:dyDescent="0.35">
      <c r="H4513" s="83">
        <f t="shared" si="117"/>
        <v>0</v>
      </c>
    </row>
    <row r="4514" spans="8:8" hidden="1" x14ac:dyDescent="0.35">
      <c r="H4514" s="83">
        <f t="shared" si="117"/>
        <v>0</v>
      </c>
    </row>
    <row r="4515" spans="8:8" hidden="1" x14ac:dyDescent="0.35">
      <c r="H4515" s="83">
        <f t="shared" si="117"/>
        <v>0</v>
      </c>
    </row>
    <row r="4516" spans="8:8" hidden="1" x14ac:dyDescent="0.35">
      <c r="H4516" s="83">
        <f t="shared" si="117"/>
        <v>0</v>
      </c>
    </row>
    <row r="4517" spans="8:8" hidden="1" x14ac:dyDescent="0.35">
      <c r="H4517" s="83">
        <f t="shared" si="117"/>
        <v>0</v>
      </c>
    </row>
    <row r="4518" spans="8:8" hidden="1" x14ac:dyDescent="0.35">
      <c r="H4518" s="83">
        <f t="shared" si="117"/>
        <v>0</v>
      </c>
    </row>
    <row r="4519" spans="8:8" hidden="1" x14ac:dyDescent="0.35">
      <c r="H4519" s="83">
        <f t="shared" si="117"/>
        <v>0</v>
      </c>
    </row>
    <row r="4520" spans="8:8" hidden="1" x14ac:dyDescent="0.35">
      <c r="H4520" s="83">
        <f t="shared" si="117"/>
        <v>0</v>
      </c>
    </row>
    <row r="4521" spans="8:8" hidden="1" x14ac:dyDescent="0.35">
      <c r="H4521" s="83">
        <f t="shared" si="117"/>
        <v>0</v>
      </c>
    </row>
    <row r="4522" spans="8:8" hidden="1" x14ac:dyDescent="0.35">
      <c r="H4522" s="83">
        <f t="shared" si="117"/>
        <v>0</v>
      </c>
    </row>
    <row r="4523" spans="8:8" hidden="1" x14ac:dyDescent="0.35">
      <c r="H4523" s="83">
        <f t="shared" si="117"/>
        <v>0</v>
      </c>
    </row>
    <row r="4524" spans="8:8" hidden="1" x14ac:dyDescent="0.35">
      <c r="H4524" s="83">
        <f t="shared" si="117"/>
        <v>0</v>
      </c>
    </row>
    <row r="4525" spans="8:8" hidden="1" x14ac:dyDescent="0.35">
      <c r="H4525" s="83">
        <f t="shared" si="117"/>
        <v>0</v>
      </c>
    </row>
    <row r="4526" spans="8:8" hidden="1" x14ac:dyDescent="0.35">
      <c r="H4526" s="83">
        <f t="shared" si="117"/>
        <v>0</v>
      </c>
    </row>
    <row r="4527" spans="8:8" hidden="1" x14ac:dyDescent="0.35">
      <c r="H4527" s="83">
        <f t="shared" si="117"/>
        <v>0</v>
      </c>
    </row>
    <row r="4528" spans="8:8" hidden="1" x14ac:dyDescent="0.35">
      <c r="H4528" s="83">
        <f t="shared" si="117"/>
        <v>0</v>
      </c>
    </row>
    <row r="4529" spans="8:8" hidden="1" x14ac:dyDescent="0.35">
      <c r="H4529" s="83">
        <f t="shared" si="117"/>
        <v>0</v>
      </c>
    </row>
    <row r="4530" spans="8:8" hidden="1" x14ac:dyDescent="0.35">
      <c r="H4530" s="83">
        <f t="shared" si="117"/>
        <v>0</v>
      </c>
    </row>
    <row r="4531" spans="8:8" hidden="1" x14ac:dyDescent="0.35">
      <c r="H4531" s="83">
        <f t="shared" si="117"/>
        <v>0</v>
      </c>
    </row>
    <row r="4532" spans="8:8" hidden="1" x14ac:dyDescent="0.35">
      <c r="H4532" s="83">
        <f t="shared" si="117"/>
        <v>0</v>
      </c>
    </row>
    <row r="4533" spans="8:8" hidden="1" x14ac:dyDescent="0.35">
      <c r="H4533" s="83">
        <f t="shared" si="117"/>
        <v>0</v>
      </c>
    </row>
    <row r="4534" spans="8:8" hidden="1" x14ac:dyDescent="0.35">
      <c r="H4534" s="83">
        <f t="shared" si="117"/>
        <v>0</v>
      </c>
    </row>
    <row r="4535" spans="8:8" hidden="1" x14ac:dyDescent="0.35">
      <c r="H4535" s="83">
        <f t="shared" si="117"/>
        <v>0</v>
      </c>
    </row>
    <row r="4536" spans="8:8" hidden="1" x14ac:dyDescent="0.35">
      <c r="H4536" s="83">
        <f t="shared" si="117"/>
        <v>0</v>
      </c>
    </row>
    <row r="4537" spans="8:8" hidden="1" x14ac:dyDescent="0.35">
      <c r="H4537" s="83">
        <f t="shared" si="117"/>
        <v>0</v>
      </c>
    </row>
    <row r="4538" spans="8:8" hidden="1" x14ac:dyDescent="0.35">
      <c r="H4538" s="83">
        <f t="shared" si="117"/>
        <v>0</v>
      </c>
    </row>
    <row r="4539" spans="8:8" hidden="1" x14ac:dyDescent="0.35">
      <c r="H4539" s="83">
        <f t="shared" si="117"/>
        <v>0</v>
      </c>
    </row>
    <row r="4540" spans="8:8" hidden="1" x14ac:dyDescent="0.35">
      <c r="H4540" s="83">
        <f t="shared" si="117"/>
        <v>0</v>
      </c>
    </row>
    <row r="4541" spans="8:8" hidden="1" x14ac:dyDescent="0.35">
      <c r="H4541" s="83">
        <f t="shared" si="117"/>
        <v>0</v>
      </c>
    </row>
    <row r="4542" spans="8:8" hidden="1" x14ac:dyDescent="0.35">
      <c r="H4542" s="83">
        <f t="shared" si="117"/>
        <v>0</v>
      </c>
    </row>
    <row r="4543" spans="8:8" hidden="1" x14ac:dyDescent="0.35">
      <c r="H4543" s="83">
        <f t="shared" si="117"/>
        <v>0</v>
      </c>
    </row>
    <row r="4544" spans="8:8" hidden="1" x14ac:dyDescent="0.35">
      <c r="H4544" s="83">
        <f t="shared" si="117"/>
        <v>0</v>
      </c>
    </row>
    <row r="4545" spans="8:8" hidden="1" x14ac:dyDescent="0.35">
      <c r="H4545" s="83">
        <f t="shared" si="117"/>
        <v>0</v>
      </c>
    </row>
    <row r="4546" spans="8:8" hidden="1" x14ac:dyDescent="0.35">
      <c r="H4546" s="83">
        <f t="shared" si="117"/>
        <v>0</v>
      </c>
    </row>
    <row r="4547" spans="8:8" hidden="1" x14ac:dyDescent="0.35">
      <c r="H4547" s="83">
        <f t="shared" si="117"/>
        <v>0</v>
      </c>
    </row>
    <row r="4548" spans="8:8" hidden="1" x14ac:dyDescent="0.35">
      <c r="H4548" s="83">
        <f t="shared" ref="H4548:H4611" si="118">J4548-I4548</f>
        <v>0</v>
      </c>
    </row>
    <row r="4549" spans="8:8" hidden="1" x14ac:dyDescent="0.35">
      <c r="H4549" s="83">
        <f t="shared" si="118"/>
        <v>0</v>
      </c>
    </row>
    <row r="4550" spans="8:8" hidden="1" x14ac:dyDescent="0.35">
      <c r="H4550" s="83">
        <f t="shared" si="118"/>
        <v>0</v>
      </c>
    </row>
    <row r="4551" spans="8:8" hidden="1" x14ac:dyDescent="0.35">
      <c r="H4551" s="83">
        <f t="shared" si="118"/>
        <v>0</v>
      </c>
    </row>
    <row r="4552" spans="8:8" hidden="1" x14ac:dyDescent="0.35">
      <c r="H4552" s="83">
        <f t="shared" si="118"/>
        <v>0</v>
      </c>
    </row>
    <row r="4553" spans="8:8" hidden="1" x14ac:dyDescent="0.35">
      <c r="H4553" s="83">
        <f t="shared" si="118"/>
        <v>0</v>
      </c>
    </row>
    <row r="4554" spans="8:8" hidden="1" x14ac:dyDescent="0.35">
      <c r="H4554" s="83">
        <f t="shared" si="118"/>
        <v>0</v>
      </c>
    </row>
    <row r="4555" spans="8:8" hidden="1" x14ac:dyDescent="0.35">
      <c r="H4555" s="83">
        <f t="shared" si="118"/>
        <v>0</v>
      </c>
    </row>
    <row r="4556" spans="8:8" hidden="1" x14ac:dyDescent="0.35">
      <c r="H4556" s="83">
        <f t="shared" si="118"/>
        <v>0</v>
      </c>
    </row>
    <row r="4557" spans="8:8" hidden="1" x14ac:dyDescent="0.35">
      <c r="H4557" s="83">
        <f t="shared" si="118"/>
        <v>0</v>
      </c>
    </row>
    <row r="4558" spans="8:8" hidden="1" x14ac:dyDescent="0.35">
      <c r="H4558" s="83">
        <f t="shared" si="118"/>
        <v>0</v>
      </c>
    </row>
    <row r="4559" spans="8:8" hidden="1" x14ac:dyDescent="0.35">
      <c r="H4559" s="83">
        <f t="shared" si="118"/>
        <v>0</v>
      </c>
    </row>
    <row r="4560" spans="8:8" hidden="1" x14ac:dyDescent="0.35">
      <c r="H4560" s="83">
        <f t="shared" si="118"/>
        <v>0</v>
      </c>
    </row>
    <row r="4561" spans="8:8" hidden="1" x14ac:dyDescent="0.35">
      <c r="H4561" s="83">
        <f t="shared" si="118"/>
        <v>0</v>
      </c>
    </row>
    <row r="4562" spans="8:8" hidden="1" x14ac:dyDescent="0.35">
      <c r="H4562" s="83">
        <f t="shared" si="118"/>
        <v>0</v>
      </c>
    </row>
    <row r="4563" spans="8:8" hidden="1" x14ac:dyDescent="0.35">
      <c r="H4563" s="83">
        <f t="shared" si="118"/>
        <v>0</v>
      </c>
    </row>
    <row r="4564" spans="8:8" hidden="1" x14ac:dyDescent="0.35">
      <c r="H4564" s="83">
        <f t="shared" si="118"/>
        <v>0</v>
      </c>
    </row>
    <row r="4565" spans="8:8" hidden="1" x14ac:dyDescent="0.35">
      <c r="H4565" s="83">
        <f t="shared" si="118"/>
        <v>0</v>
      </c>
    </row>
    <row r="4566" spans="8:8" hidden="1" x14ac:dyDescent="0.35">
      <c r="H4566" s="83">
        <f t="shared" si="118"/>
        <v>0</v>
      </c>
    </row>
    <row r="4567" spans="8:8" hidden="1" x14ac:dyDescent="0.35">
      <c r="H4567" s="83">
        <f t="shared" si="118"/>
        <v>0</v>
      </c>
    </row>
    <row r="4568" spans="8:8" hidden="1" x14ac:dyDescent="0.35">
      <c r="H4568" s="83">
        <f t="shared" si="118"/>
        <v>0</v>
      </c>
    </row>
    <row r="4569" spans="8:8" hidden="1" x14ac:dyDescent="0.35">
      <c r="H4569" s="83">
        <f t="shared" si="118"/>
        <v>0</v>
      </c>
    </row>
    <row r="4570" spans="8:8" hidden="1" x14ac:dyDescent="0.35">
      <c r="H4570" s="83">
        <f t="shared" si="118"/>
        <v>0</v>
      </c>
    </row>
    <row r="4571" spans="8:8" hidden="1" x14ac:dyDescent="0.35">
      <c r="H4571" s="83">
        <f t="shared" si="118"/>
        <v>0</v>
      </c>
    </row>
    <row r="4572" spans="8:8" hidden="1" x14ac:dyDescent="0.35">
      <c r="H4572" s="83">
        <f t="shared" si="118"/>
        <v>0</v>
      </c>
    </row>
    <row r="4573" spans="8:8" hidden="1" x14ac:dyDescent="0.35">
      <c r="H4573" s="83">
        <f t="shared" si="118"/>
        <v>0</v>
      </c>
    </row>
    <row r="4574" spans="8:8" hidden="1" x14ac:dyDescent="0.35">
      <c r="H4574" s="83">
        <f t="shared" si="118"/>
        <v>0</v>
      </c>
    </row>
    <row r="4575" spans="8:8" hidden="1" x14ac:dyDescent="0.35">
      <c r="H4575" s="83">
        <f t="shared" si="118"/>
        <v>0</v>
      </c>
    </row>
    <row r="4576" spans="8:8" hidden="1" x14ac:dyDescent="0.35">
      <c r="H4576" s="83">
        <f t="shared" si="118"/>
        <v>0</v>
      </c>
    </row>
    <row r="4577" spans="8:8" hidden="1" x14ac:dyDescent="0.35">
      <c r="H4577" s="83">
        <f t="shared" si="118"/>
        <v>0</v>
      </c>
    </row>
    <row r="4578" spans="8:8" hidden="1" x14ac:dyDescent="0.35">
      <c r="H4578" s="83">
        <f t="shared" si="118"/>
        <v>0</v>
      </c>
    </row>
    <row r="4579" spans="8:8" hidden="1" x14ac:dyDescent="0.35">
      <c r="H4579" s="83">
        <f t="shared" si="118"/>
        <v>0</v>
      </c>
    </row>
    <row r="4580" spans="8:8" hidden="1" x14ac:dyDescent="0.35">
      <c r="H4580" s="83">
        <f t="shared" si="118"/>
        <v>0</v>
      </c>
    </row>
    <row r="4581" spans="8:8" hidden="1" x14ac:dyDescent="0.35">
      <c r="H4581" s="83">
        <f t="shared" si="118"/>
        <v>0</v>
      </c>
    </row>
    <row r="4582" spans="8:8" hidden="1" x14ac:dyDescent="0.35">
      <c r="H4582" s="83">
        <f t="shared" si="118"/>
        <v>0</v>
      </c>
    </row>
    <row r="4583" spans="8:8" hidden="1" x14ac:dyDescent="0.35">
      <c r="H4583" s="83">
        <f t="shared" si="118"/>
        <v>0</v>
      </c>
    </row>
    <row r="4584" spans="8:8" hidden="1" x14ac:dyDescent="0.35">
      <c r="H4584" s="83">
        <f t="shared" si="118"/>
        <v>0</v>
      </c>
    </row>
    <row r="4585" spans="8:8" hidden="1" x14ac:dyDescent="0.35">
      <c r="H4585" s="83">
        <f t="shared" si="118"/>
        <v>0</v>
      </c>
    </row>
    <row r="4586" spans="8:8" hidden="1" x14ac:dyDescent="0.35">
      <c r="H4586" s="83">
        <f t="shared" si="118"/>
        <v>0</v>
      </c>
    </row>
    <row r="4587" spans="8:8" hidden="1" x14ac:dyDescent="0.35">
      <c r="H4587" s="83">
        <f t="shared" si="118"/>
        <v>0</v>
      </c>
    </row>
    <row r="4588" spans="8:8" hidden="1" x14ac:dyDescent="0.35">
      <c r="H4588" s="83">
        <f t="shared" si="118"/>
        <v>0</v>
      </c>
    </row>
    <row r="4589" spans="8:8" hidden="1" x14ac:dyDescent="0.35">
      <c r="H4589" s="83">
        <f t="shared" si="118"/>
        <v>0</v>
      </c>
    </row>
    <row r="4590" spans="8:8" hidden="1" x14ac:dyDescent="0.35">
      <c r="H4590" s="83">
        <f t="shared" si="118"/>
        <v>0</v>
      </c>
    </row>
    <row r="4591" spans="8:8" hidden="1" x14ac:dyDescent="0.35">
      <c r="H4591" s="83">
        <f t="shared" si="118"/>
        <v>0</v>
      </c>
    </row>
    <row r="4592" spans="8:8" hidden="1" x14ac:dyDescent="0.35">
      <c r="H4592" s="83">
        <f t="shared" si="118"/>
        <v>0</v>
      </c>
    </row>
    <row r="4593" spans="8:8" hidden="1" x14ac:dyDescent="0.35">
      <c r="H4593" s="83">
        <f t="shared" si="118"/>
        <v>0</v>
      </c>
    </row>
    <row r="4594" spans="8:8" hidden="1" x14ac:dyDescent="0.35">
      <c r="H4594" s="83">
        <f t="shared" si="118"/>
        <v>0</v>
      </c>
    </row>
    <row r="4595" spans="8:8" hidden="1" x14ac:dyDescent="0.35">
      <c r="H4595" s="83">
        <f t="shared" si="118"/>
        <v>0</v>
      </c>
    </row>
    <row r="4596" spans="8:8" hidden="1" x14ac:dyDescent="0.35">
      <c r="H4596" s="83">
        <f t="shared" si="118"/>
        <v>0</v>
      </c>
    </row>
    <row r="4597" spans="8:8" hidden="1" x14ac:dyDescent="0.35">
      <c r="H4597" s="83">
        <f t="shared" si="118"/>
        <v>0</v>
      </c>
    </row>
    <row r="4598" spans="8:8" hidden="1" x14ac:dyDescent="0.35">
      <c r="H4598" s="83">
        <f t="shared" si="118"/>
        <v>0</v>
      </c>
    </row>
    <row r="4599" spans="8:8" hidden="1" x14ac:dyDescent="0.35">
      <c r="H4599" s="83">
        <f t="shared" si="118"/>
        <v>0</v>
      </c>
    </row>
    <row r="4600" spans="8:8" hidden="1" x14ac:dyDescent="0.35">
      <c r="H4600" s="83">
        <f t="shared" si="118"/>
        <v>0</v>
      </c>
    </row>
    <row r="4601" spans="8:8" hidden="1" x14ac:dyDescent="0.35">
      <c r="H4601" s="83">
        <f t="shared" si="118"/>
        <v>0</v>
      </c>
    </row>
    <row r="4602" spans="8:8" hidden="1" x14ac:dyDescent="0.35">
      <c r="H4602" s="83">
        <f t="shared" si="118"/>
        <v>0</v>
      </c>
    </row>
    <row r="4603" spans="8:8" hidden="1" x14ac:dyDescent="0.35">
      <c r="H4603" s="83">
        <f t="shared" si="118"/>
        <v>0</v>
      </c>
    </row>
    <row r="4604" spans="8:8" hidden="1" x14ac:dyDescent="0.35">
      <c r="H4604" s="83">
        <f t="shared" si="118"/>
        <v>0</v>
      </c>
    </row>
    <row r="4605" spans="8:8" hidden="1" x14ac:dyDescent="0.35">
      <c r="H4605" s="83">
        <f t="shared" si="118"/>
        <v>0</v>
      </c>
    </row>
    <row r="4606" spans="8:8" hidden="1" x14ac:dyDescent="0.35">
      <c r="H4606" s="83">
        <f t="shared" si="118"/>
        <v>0</v>
      </c>
    </row>
    <row r="4607" spans="8:8" hidden="1" x14ac:dyDescent="0.35">
      <c r="H4607" s="83">
        <f t="shared" si="118"/>
        <v>0</v>
      </c>
    </row>
    <row r="4608" spans="8:8" hidden="1" x14ac:dyDescent="0.35">
      <c r="H4608" s="83">
        <f t="shared" si="118"/>
        <v>0</v>
      </c>
    </row>
    <row r="4609" spans="8:8" hidden="1" x14ac:dyDescent="0.35">
      <c r="H4609" s="83">
        <f t="shared" si="118"/>
        <v>0</v>
      </c>
    </row>
    <row r="4610" spans="8:8" hidden="1" x14ac:dyDescent="0.35">
      <c r="H4610" s="83">
        <f t="shared" si="118"/>
        <v>0</v>
      </c>
    </row>
    <row r="4611" spans="8:8" hidden="1" x14ac:dyDescent="0.35">
      <c r="H4611" s="83">
        <f t="shared" si="118"/>
        <v>0</v>
      </c>
    </row>
    <row r="4612" spans="8:8" hidden="1" x14ac:dyDescent="0.35">
      <c r="H4612" s="83">
        <f t="shared" ref="H4612:H4675" si="119">J4612-I4612</f>
        <v>0</v>
      </c>
    </row>
    <row r="4613" spans="8:8" hidden="1" x14ac:dyDescent="0.35">
      <c r="H4613" s="83">
        <f t="shared" si="119"/>
        <v>0</v>
      </c>
    </row>
    <row r="4614" spans="8:8" hidden="1" x14ac:dyDescent="0.35">
      <c r="H4614" s="83">
        <f t="shared" si="119"/>
        <v>0</v>
      </c>
    </row>
    <row r="4615" spans="8:8" hidden="1" x14ac:dyDescent="0.35">
      <c r="H4615" s="83">
        <f t="shared" si="119"/>
        <v>0</v>
      </c>
    </row>
    <row r="4616" spans="8:8" hidden="1" x14ac:dyDescent="0.35">
      <c r="H4616" s="83">
        <f t="shared" si="119"/>
        <v>0</v>
      </c>
    </row>
    <row r="4617" spans="8:8" hidden="1" x14ac:dyDescent="0.35">
      <c r="H4617" s="83">
        <f t="shared" si="119"/>
        <v>0</v>
      </c>
    </row>
    <row r="4618" spans="8:8" hidden="1" x14ac:dyDescent="0.35">
      <c r="H4618" s="83">
        <f t="shared" si="119"/>
        <v>0</v>
      </c>
    </row>
    <row r="4619" spans="8:8" hidden="1" x14ac:dyDescent="0.35">
      <c r="H4619" s="83">
        <f t="shared" si="119"/>
        <v>0</v>
      </c>
    </row>
    <row r="4620" spans="8:8" hidden="1" x14ac:dyDescent="0.35">
      <c r="H4620" s="83">
        <f t="shared" si="119"/>
        <v>0</v>
      </c>
    </row>
    <row r="4621" spans="8:8" hidden="1" x14ac:dyDescent="0.35">
      <c r="H4621" s="83">
        <f t="shared" si="119"/>
        <v>0</v>
      </c>
    </row>
    <row r="4622" spans="8:8" hidden="1" x14ac:dyDescent="0.35">
      <c r="H4622" s="83">
        <f t="shared" si="119"/>
        <v>0</v>
      </c>
    </row>
    <row r="4623" spans="8:8" hidden="1" x14ac:dyDescent="0.35">
      <c r="H4623" s="83">
        <f t="shared" si="119"/>
        <v>0</v>
      </c>
    </row>
    <row r="4624" spans="8:8" hidden="1" x14ac:dyDescent="0.35">
      <c r="H4624" s="83">
        <f t="shared" si="119"/>
        <v>0</v>
      </c>
    </row>
    <row r="4625" spans="8:8" hidden="1" x14ac:dyDescent="0.35">
      <c r="H4625" s="83">
        <f t="shared" si="119"/>
        <v>0</v>
      </c>
    </row>
    <row r="4626" spans="8:8" hidden="1" x14ac:dyDescent="0.35">
      <c r="H4626" s="83">
        <f t="shared" si="119"/>
        <v>0</v>
      </c>
    </row>
    <row r="4627" spans="8:8" hidden="1" x14ac:dyDescent="0.35">
      <c r="H4627" s="83">
        <f t="shared" si="119"/>
        <v>0</v>
      </c>
    </row>
    <row r="4628" spans="8:8" hidden="1" x14ac:dyDescent="0.35">
      <c r="H4628" s="83">
        <f t="shared" si="119"/>
        <v>0</v>
      </c>
    </row>
    <row r="4629" spans="8:8" hidden="1" x14ac:dyDescent="0.35">
      <c r="H4629" s="83">
        <f t="shared" si="119"/>
        <v>0</v>
      </c>
    </row>
    <row r="4630" spans="8:8" hidden="1" x14ac:dyDescent="0.35">
      <c r="H4630" s="83">
        <f t="shared" si="119"/>
        <v>0</v>
      </c>
    </row>
    <row r="4631" spans="8:8" hidden="1" x14ac:dyDescent="0.35">
      <c r="H4631" s="83">
        <f t="shared" si="119"/>
        <v>0</v>
      </c>
    </row>
    <row r="4632" spans="8:8" hidden="1" x14ac:dyDescent="0.35">
      <c r="H4632" s="83">
        <f t="shared" si="119"/>
        <v>0</v>
      </c>
    </row>
    <row r="4633" spans="8:8" hidden="1" x14ac:dyDescent="0.35">
      <c r="H4633" s="83">
        <f t="shared" si="119"/>
        <v>0</v>
      </c>
    </row>
    <row r="4634" spans="8:8" hidden="1" x14ac:dyDescent="0.35">
      <c r="H4634" s="83">
        <f t="shared" si="119"/>
        <v>0</v>
      </c>
    </row>
    <row r="4635" spans="8:8" hidden="1" x14ac:dyDescent="0.35">
      <c r="H4635" s="83">
        <f t="shared" si="119"/>
        <v>0</v>
      </c>
    </row>
    <row r="4636" spans="8:8" hidden="1" x14ac:dyDescent="0.35">
      <c r="H4636" s="83">
        <f t="shared" si="119"/>
        <v>0</v>
      </c>
    </row>
    <row r="4637" spans="8:8" hidden="1" x14ac:dyDescent="0.35">
      <c r="H4637" s="83">
        <f t="shared" si="119"/>
        <v>0</v>
      </c>
    </row>
    <row r="4638" spans="8:8" hidden="1" x14ac:dyDescent="0.35">
      <c r="H4638" s="83">
        <f t="shared" si="119"/>
        <v>0</v>
      </c>
    </row>
    <row r="4639" spans="8:8" hidden="1" x14ac:dyDescent="0.35">
      <c r="H4639" s="83">
        <f t="shared" si="119"/>
        <v>0</v>
      </c>
    </row>
    <row r="4640" spans="8:8" hidden="1" x14ac:dyDescent="0.35">
      <c r="H4640" s="83">
        <f t="shared" si="119"/>
        <v>0</v>
      </c>
    </row>
    <row r="4641" spans="8:8" hidden="1" x14ac:dyDescent="0.35">
      <c r="H4641" s="83">
        <f t="shared" si="119"/>
        <v>0</v>
      </c>
    </row>
    <row r="4642" spans="8:8" hidden="1" x14ac:dyDescent="0.35">
      <c r="H4642" s="83">
        <f t="shared" si="119"/>
        <v>0</v>
      </c>
    </row>
    <row r="4643" spans="8:8" hidden="1" x14ac:dyDescent="0.35">
      <c r="H4643" s="83">
        <f t="shared" si="119"/>
        <v>0</v>
      </c>
    </row>
    <row r="4644" spans="8:8" hidden="1" x14ac:dyDescent="0.35">
      <c r="H4644" s="83">
        <f t="shared" si="119"/>
        <v>0</v>
      </c>
    </row>
    <row r="4645" spans="8:8" hidden="1" x14ac:dyDescent="0.35">
      <c r="H4645" s="83">
        <f t="shared" si="119"/>
        <v>0</v>
      </c>
    </row>
    <row r="4646" spans="8:8" hidden="1" x14ac:dyDescent="0.35">
      <c r="H4646" s="83">
        <f t="shared" si="119"/>
        <v>0</v>
      </c>
    </row>
    <row r="4647" spans="8:8" hidden="1" x14ac:dyDescent="0.35">
      <c r="H4647" s="83">
        <f t="shared" si="119"/>
        <v>0</v>
      </c>
    </row>
    <row r="4648" spans="8:8" hidden="1" x14ac:dyDescent="0.35">
      <c r="H4648" s="83">
        <f t="shared" si="119"/>
        <v>0</v>
      </c>
    </row>
    <row r="4649" spans="8:8" hidden="1" x14ac:dyDescent="0.35">
      <c r="H4649" s="83">
        <f t="shared" si="119"/>
        <v>0</v>
      </c>
    </row>
    <row r="4650" spans="8:8" hidden="1" x14ac:dyDescent="0.35">
      <c r="H4650" s="83">
        <f t="shared" si="119"/>
        <v>0</v>
      </c>
    </row>
    <row r="4651" spans="8:8" hidden="1" x14ac:dyDescent="0.35">
      <c r="H4651" s="83">
        <f t="shared" si="119"/>
        <v>0</v>
      </c>
    </row>
    <row r="4652" spans="8:8" hidden="1" x14ac:dyDescent="0.35">
      <c r="H4652" s="83">
        <f t="shared" si="119"/>
        <v>0</v>
      </c>
    </row>
    <row r="4653" spans="8:8" hidden="1" x14ac:dyDescent="0.35">
      <c r="H4653" s="83">
        <f t="shared" si="119"/>
        <v>0</v>
      </c>
    </row>
    <row r="4654" spans="8:8" hidden="1" x14ac:dyDescent="0.35">
      <c r="H4654" s="83">
        <f t="shared" si="119"/>
        <v>0</v>
      </c>
    </row>
    <row r="4655" spans="8:8" hidden="1" x14ac:dyDescent="0.35">
      <c r="H4655" s="83">
        <f t="shared" si="119"/>
        <v>0</v>
      </c>
    </row>
    <row r="4656" spans="8:8" hidden="1" x14ac:dyDescent="0.35">
      <c r="H4656" s="83">
        <f t="shared" si="119"/>
        <v>0</v>
      </c>
    </row>
    <row r="4657" spans="8:8" hidden="1" x14ac:dyDescent="0.35">
      <c r="H4657" s="83">
        <f t="shared" si="119"/>
        <v>0</v>
      </c>
    </row>
    <row r="4658" spans="8:8" hidden="1" x14ac:dyDescent="0.35">
      <c r="H4658" s="83">
        <f t="shared" si="119"/>
        <v>0</v>
      </c>
    </row>
    <row r="4659" spans="8:8" hidden="1" x14ac:dyDescent="0.35">
      <c r="H4659" s="83">
        <f t="shared" si="119"/>
        <v>0</v>
      </c>
    </row>
    <row r="4660" spans="8:8" hidden="1" x14ac:dyDescent="0.35">
      <c r="H4660" s="83">
        <f t="shared" si="119"/>
        <v>0</v>
      </c>
    </row>
    <row r="4661" spans="8:8" hidden="1" x14ac:dyDescent="0.35">
      <c r="H4661" s="83">
        <f t="shared" si="119"/>
        <v>0</v>
      </c>
    </row>
    <row r="4662" spans="8:8" hidden="1" x14ac:dyDescent="0.35">
      <c r="H4662" s="83">
        <f t="shared" si="119"/>
        <v>0</v>
      </c>
    </row>
    <row r="4663" spans="8:8" hidden="1" x14ac:dyDescent="0.35">
      <c r="H4663" s="83">
        <f t="shared" si="119"/>
        <v>0</v>
      </c>
    </row>
    <row r="4664" spans="8:8" hidden="1" x14ac:dyDescent="0.35">
      <c r="H4664" s="83">
        <f t="shared" si="119"/>
        <v>0</v>
      </c>
    </row>
    <row r="4665" spans="8:8" hidden="1" x14ac:dyDescent="0.35">
      <c r="H4665" s="83">
        <f t="shared" si="119"/>
        <v>0</v>
      </c>
    </row>
    <row r="4666" spans="8:8" hidden="1" x14ac:dyDescent="0.35">
      <c r="H4666" s="83">
        <f t="shared" si="119"/>
        <v>0</v>
      </c>
    </row>
    <row r="4667" spans="8:8" hidden="1" x14ac:dyDescent="0.35">
      <c r="H4667" s="83">
        <f t="shared" si="119"/>
        <v>0</v>
      </c>
    </row>
    <row r="4668" spans="8:8" hidden="1" x14ac:dyDescent="0.35">
      <c r="H4668" s="83">
        <f t="shared" si="119"/>
        <v>0</v>
      </c>
    </row>
    <row r="4669" spans="8:8" hidden="1" x14ac:dyDescent="0.35">
      <c r="H4669" s="83">
        <f t="shared" si="119"/>
        <v>0</v>
      </c>
    </row>
    <row r="4670" spans="8:8" hidden="1" x14ac:dyDescent="0.35">
      <c r="H4670" s="83">
        <f t="shared" si="119"/>
        <v>0</v>
      </c>
    </row>
    <row r="4671" spans="8:8" hidden="1" x14ac:dyDescent="0.35">
      <c r="H4671" s="83">
        <f t="shared" si="119"/>
        <v>0</v>
      </c>
    </row>
    <row r="4672" spans="8:8" hidden="1" x14ac:dyDescent="0.35">
      <c r="H4672" s="83">
        <f t="shared" si="119"/>
        <v>0</v>
      </c>
    </row>
    <row r="4673" spans="8:8" hidden="1" x14ac:dyDescent="0.35">
      <c r="H4673" s="83">
        <f t="shared" si="119"/>
        <v>0</v>
      </c>
    </row>
    <row r="4674" spans="8:8" hidden="1" x14ac:dyDescent="0.35">
      <c r="H4674" s="83">
        <f t="shared" si="119"/>
        <v>0</v>
      </c>
    </row>
    <row r="4675" spans="8:8" hidden="1" x14ac:dyDescent="0.35">
      <c r="H4675" s="83">
        <f t="shared" si="119"/>
        <v>0</v>
      </c>
    </row>
    <row r="4676" spans="8:8" hidden="1" x14ac:dyDescent="0.35">
      <c r="H4676" s="83">
        <f t="shared" ref="H4676:H4739" si="120">J4676-I4676</f>
        <v>0</v>
      </c>
    </row>
    <row r="4677" spans="8:8" hidden="1" x14ac:dyDescent="0.35">
      <c r="H4677" s="83">
        <f t="shared" si="120"/>
        <v>0</v>
      </c>
    </row>
    <row r="4678" spans="8:8" hidden="1" x14ac:dyDescent="0.35">
      <c r="H4678" s="83">
        <f t="shared" si="120"/>
        <v>0</v>
      </c>
    </row>
    <row r="4679" spans="8:8" hidden="1" x14ac:dyDescent="0.35">
      <c r="H4679" s="83">
        <f t="shared" si="120"/>
        <v>0</v>
      </c>
    </row>
    <row r="4680" spans="8:8" hidden="1" x14ac:dyDescent="0.35">
      <c r="H4680" s="83">
        <f t="shared" si="120"/>
        <v>0</v>
      </c>
    </row>
    <row r="4681" spans="8:8" hidden="1" x14ac:dyDescent="0.35">
      <c r="H4681" s="83">
        <f t="shared" si="120"/>
        <v>0</v>
      </c>
    </row>
    <row r="4682" spans="8:8" hidden="1" x14ac:dyDescent="0.35">
      <c r="H4682" s="83">
        <f t="shared" si="120"/>
        <v>0</v>
      </c>
    </row>
    <row r="4683" spans="8:8" hidden="1" x14ac:dyDescent="0.35">
      <c r="H4683" s="83">
        <f t="shared" si="120"/>
        <v>0</v>
      </c>
    </row>
    <row r="4684" spans="8:8" hidden="1" x14ac:dyDescent="0.35">
      <c r="H4684" s="83">
        <f t="shared" si="120"/>
        <v>0</v>
      </c>
    </row>
    <row r="4685" spans="8:8" hidden="1" x14ac:dyDescent="0.35">
      <c r="H4685" s="83">
        <f t="shared" si="120"/>
        <v>0</v>
      </c>
    </row>
    <row r="4686" spans="8:8" hidden="1" x14ac:dyDescent="0.35">
      <c r="H4686" s="83">
        <f t="shared" si="120"/>
        <v>0</v>
      </c>
    </row>
    <row r="4687" spans="8:8" hidden="1" x14ac:dyDescent="0.35">
      <c r="H4687" s="83">
        <f t="shared" si="120"/>
        <v>0</v>
      </c>
    </row>
    <row r="4688" spans="8:8" hidden="1" x14ac:dyDescent="0.35">
      <c r="H4688" s="83">
        <f t="shared" si="120"/>
        <v>0</v>
      </c>
    </row>
    <row r="4689" spans="8:8" hidden="1" x14ac:dyDescent="0.35">
      <c r="H4689" s="83">
        <f t="shared" si="120"/>
        <v>0</v>
      </c>
    </row>
    <row r="4690" spans="8:8" hidden="1" x14ac:dyDescent="0.35">
      <c r="H4690" s="83">
        <f t="shared" si="120"/>
        <v>0</v>
      </c>
    </row>
    <row r="4691" spans="8:8" hidden="1" x14ac:dyDescent="0.35">
      <c r="H4691" s="83">
        <f t="shared" si="120"/>
        <v>0</v>
      </c>
    </row>
    <row r="4692" spans="8:8" hidden="1" x14ac:dyDescent="0.35">
      <c r="H4692" s="83">
        <f t="shared" si="120"/>
        <v>0</v>
      </c>
    </row>
    <row r="4693" spans="8:8" hidden="1" x14ac:dyDescent="0.35">
      <c r="H4693" s="83">
        <f t="shared" si="120"/>
        <v>0</v>
      </c>
    </row>
    <row r="4694" spans="8:8" hidden="1" x14ac:dyDescent="0.35">
      <c r="H4694" s="83">
        <f t="shared" si="120"/>
        <v>0</v>
      </c>
    </row>
    <row r="4695" spans="8:8" hidden="1" x14ac:dyDescent="0.35">
      <c r="H4695" s="83">
        <f t="shared" si="120"/>
        <v>0</v>
      </c>
    </row>
    <row r="4696" spans="8:8" hidden="1" x14ac:dyDescent="0.35">
      <c r="H4696" s="83">
        <f t="shared" si="120"/>
        <v>0</v>
      </c>
    </row>
    <row r="4697" spans="8:8" hidden="1" x14ac:dyDescent="0.35">
      <c r="H4697" s="83">
        <f t="shared" si="120"/>
        <v>0</v>
      </c>
    </row>
    <row r="4698" spans="8:8" hidden="1" x14ac:dyDescent="0.35">
      <c r="H4698" s="83">
        <f t="shared" si="120"/>
        <v>0</v>
      </c>
    </row>
    <row r="4699" spans="8:8" hidden="1" x14ac:dyDescent="0.35">
      <c r="H4699" s="83">
        <f t="shared" si="120"/>
        <v>0</v>
      </c>
    </row>
    <row r="4700" spans="8:8" hidden="1" x14ac:dyDescent="0.35">
      <c r="H4700" s="83">
        <f t="shared" si="120"/>
        <v>0</v>
      </c>
    </row>
    <row r="4701" spans="8:8" hidden="1" x14ac:dyDescent="0.35">
      <c r="H4701" s="83">
        <f t="shared" si="120"/>
        <v>0</v>
      </c>
    </row>
    <row r="4702" spans="8:8" hidden="1" x14ac:dyDescent="0.35">
      <c r="H4702" s="83">
        <f t="shared" si="120"/>
        <v>0</v>
      </c>
    </row>
    <row r="4703" spans="8:8" hidden="1" x14ac:dyDescent="0.35">
      <c r="H4703" s="83">
        <f t="shared" si="120"/>
        <v>0</v>
      </c>
    </row>
    <row r="4704" spans="8:8" hidden="1" x14ac:dyDescent="0.35">
      <c r="H4704" s="83">
        <f t="shared" si="120"/>
        <v>0</v>
      </c>
    </row>
    <row r="4705" spans="8:8" hidden="1" x14ac:dyDescent="0.35">
      <c r="H4705" s="83">
        <f t="shared" si="120"/>
        <v>0</v>
      </c>
    </row>
    <row r="4706" spans="8:8" hidden="1" x14ac:dyDescent="0.35">
      <c r="H4706" s="83">
        <f t="shared" si="120"/>
        <v>0</v>
      </c>
    </row>
    <row r="4707" spans="8:8" hidden="1" x14ac:dyDescent="0.35">
      <c r="H4707" s="83">
        <f t="shared" si="120"/>
        <v>0</v>
      </c>
    </row>
    <row r="4708" spans="8:8" hidden="1" x14ac:dyDescent="0.35">
      <c r="H4708" s="83">
        <f t="shared" si="120"/>
        <v>0</v>
      </c>
    </row>
    <row r="4709" spans="8:8" hidden="1" x14ac:dyDescent="0.35">
      <c r="H4709" s="83">
        <f t="shared" si="120"/>
        <v>0</v>
      </c>
    </row>
    <row r="4710" spans="8:8" hidden="1" x14ac:dyDescent="0.35">
      <c r="H4710" s="83">
        <f t="shared" si="120"/>
        <v>0</v>
      </c>
    </row>
    <row r="4711" spans="8:8" hidden="1" x14ac:dyDescent="0.35">
      <c r="H4711" s="83">
        <f t="shared" si="120"/>
        <v>0</v>
      </c>
    </row>
    <row r="4712" spans="8:8" hidden="1" x14ac:dyDescent="0.35">
      <c r="H4712" s="83">
        <f t="shared" si="120"/>
        <v>0</v>
      </c>
    </row>
    <row r="4713" spans="8:8" hidden="1" x14ac:dyDescent="0.35">
      <c r="H4713" s="83">
        <f t="shared" si="120"/>
        <v>0</v>
      </c>
    </row>
    <row r="4714" spans="8:8" hidden="1" x14ac:dyDescent="0.35">
      <c r="H4714" s="83">
        <f t="shared" si="120"/>
        <v>0</v>
      </c>
    </row>
    <row r="4715" spans="8:8" hidden="1" x14ac:dyDescent="0.35">
      <c r="H4715" s="83">
        <f t="shared" si="120"/>
        <v>0</v>
      </c>
    </row>
    <row r="4716" spans="8:8" hidden="1" x14ac:dyDescent="0.35">
      <c r="H4716" s="83">
        <f t="shared" si="120"/>
        <v>0</v>
      </c>
    </row>
    <row r="4717" spans="8:8" hidden="1" x14ac:dyDescent="0.35">
      <c r="H4717" s="83">
        <f t="shared" si="120"/>
        <v>0</v>
      </c>
    </row>
    <row r="4718" spans="8:8" hidden="1" x14ac:dyDescent="0.35">
      <c r="H4718" s="83">
        <f t="shared" si="120"/>
        <v>0</v>
      </c>
    </row>
    <row r="4719" spans="8:8" hidden="1" x14ac:dyDescent="0.35">
      <c r="H4719" s="83">
        <f t="shared" si="120"/>
        <v>0</v>
      </c>
    </row>
    <row r="4720" spans="8:8" hidden="1" x14ac:dyDescent="0.35">
      <c r="H4720" s="83">
        <f t="shared" si="120"/>
        <v>0</v>
      </c>
    </row>
    <row r="4721" spans="8:8" hidden="1" x14ac:dyDescent="0.35">
      <c r="H4721" s="83">
        <f t="shared" si="120"/>
        <v>0</v>
      </c>
    </row>
    <row r="4722" spans="8:8" hidden="1" x14ac:dyDescent="0.35">
      <c r="H4722" s="83">
        <f t="shared" si="120"/>
        <v>0</v>
      </c>
    </row>
    <row r="4723" spans="8:8" hidden="1" x14ac:dyDescent="0.35">
      <c r="H4723" s="83">
        <f t="shared" si="120"/>
        <v>0</v>
      </c>
    </row>
    <row r="4724" spans="8:8" hidden="1" x14ac:dyDescent="0.35">
      <c r="H4724" s="83">
        <f t="shared" si="120"/>
        <v>0</v>
      </c>
    </row>
    <row r="4725" spans="8:8" hidden="1" x14ac:dyDescent="0.35">
      <c r="H4725" s="83">
        <f t="shared" si="120"/>
        <v>0</v>
      </c>
    </row>
    <row r="4726" spans="8:8" hidden="1" x14ac:dyDescent="0.35">
      <c r="H4726" s="83">
        <f t="shared" si="120"/>
        <v>0</v>
      </c>
    </row>
    <row r="4727" spans="8:8" hidden="1" x14ac:dyDescent="0.35">
      <c r="H4727" s="83">
        <f t="shared" si="120"/>
        <v>0</v>
      </c>
    </row>
    <row r="4728" spans="8:8" hidden="1" x14ac:dyDescent="0.35">
      <c r="H4728" s="83">
        <f t="shared" si="120"/>
        <v>0</v>
      </c>
    </row>
    <row r="4729" spans="8:8" hidden="1" x14ac:dyDescent="0.35">
      <c r="H4729" s="83">
        <f t="shared" si="120"/>
        <v>0</v>
      </c>
    </row>
    <row r="4730" spans="8:8" hidden="1" x14ac:dyDescent="0.35">
      <c r="H4730" s="83">
        <f t="shared" si="120"/>
        <v>0</v>
      </c>
    </row>
    <row r="4731" spans="8:8" hidden="1" x14ac:dyDescent="0.35">
      <c r="H4731" s="83">
        <f t="shared" si="120"/>
        <v>0</v>
      </c>
    </row>
    <row r="4732" spans="8:8" hidden="1" x14ac:dyDescent="0.35">
      <c r="H4732" s="83">
        <f t="shared" si="120"/>
        <v>0</v>
      </c>
    </row>
    <row r="4733" spans="8:8" hidden="1" x14ac:dyDescent="0.35">
      <c r="H4733" s="83">
        <f t="shared" si="120"/>
        <v>0</v>
      </c>
    </row>
    <row r="4734" spans="8:8" hidden="1" x14ac:dyDescent="0.35">
      <c r="H4734" s="83">
        <f t="shared" si="120"/>
        <v>0</v>
      </c>
    </row>
    <row r="4735" spans="8:8" hidden="1" x14ac:dyDescent="0.35">
      <c r="H4735" s="83">
        <f t="shared" si="120"/>
        <v>0</v>
      </c>
    </row>
    <row r="4736" spans="8:8" hidden="1" x14ac:dyDescent="0.35">
      <c r="H4736" s="83">
        <f t="shared" si="120"/>
        <v>0</v>
      </c>
    </row>
    <row r="4737" spans="8:8" hidden="1" x14ac:dyDescent="0.35">
      <c r="H4737" s="83">
        <f t="shared" si="120"/>
        <v>0</v>
      </c>
    </row>
    <row r="4738" spans="8:8" hidden="1" x14ac:dyDescent="0.35">
      <c r="H4738" s="83">
        <f t="shared" si="120"/>
        <v>0</v>
      </c>
    </row>
    <row r="4739" spans="8:8" hidden="1" x14ac:dyDescent="0.35">
      <c r="H4739" s="83">
        <f t="shared" si="120"/>
        <v>0</v>
      </c>
    </row>
    <row r="4740" spans="8:8" hidden="1" x14ac:dyDescent="0.35">
      <c r="H4740" s="83">
        <f t="shared" ref="H4740:H4803" si="121">J4740-I4740</f>
        <v>0</v>
      </c>
    </row>
    <row r="4741" spans="8:8" hidden="1" x14ac:dyDescent="0.35">
      <c r="H4741" s="83">
        <f t="shared" si="121"/>
        <v>0</v>
      </c>
    </row>
    <row r="4742" spans="8:8" hidden="1" x14ac:dyDescent="0.35">
      <c r="H4742" s="83">
        <f t="shared" si="121"/>
        <v>0</v>
      </c>
    </row>
    <row r="4743" spans="8:8" hidden="1" x14ac:dyDescent="0.35">
      <c r="H4743" s="83">
        <f t="shared" si="121"/>
        <v>0</v>
      </c>
    </row>
    <row r="4744" spans="8:8" hidden="1" x14ac:dyDescent="0.35">
      <c r="H4744" s="83">
        <f t="shared" si="121"/>
        <v>0</v>
      </c>
    </row>
    <row r="4745" spans="8:8" hidden="1" x14ac:dyDescent="0.35">
      <c r="H4745" s="83">
        <f t="shared" si="121"/>
        <v>0</v>
      </c>
    </row>
    <row r="4746" spans="8:8" hidden="1" x14ac:dyDescent="0.35">
      <c r="H4746" s="83">
        <f t="shared" si="121"/>
        <v>0</v>
      </c>
    </row>
    <row r="4747" spans="8:8" hidden="1" x14ac:dyDescent="0.35">
      <c r="H4747" s="83">
        <f t="shared" si="121"/>
        <v>0</v>
      </c>
    </row>
    <row r="4748" spans="8:8" hidden="1" x14ac:dyDescent="0.35">
      <c r="H4748" s="83">
        <f t="shared" si="121"/>
        <v>0</v>
      </c>
    </row>
    <row r="4749" spans="8:8" hidden="1" x14ac:dyDescent="0.35">
      <c r="H4749" s="83">
        <f t="shared" si="121"/>
        <v>0</v>
      </c>
    </row>
    <row r="4750" spans="8:8" hidden="1" x14ac:dyDescent="0.35">
      <c r="H4750" s="83">
        <f t="shared" si="121"/>
        <v>0</v>
      </c>
    </row>
    <row r="4751" spans="8:8" hidden="1" x14ac:dyDescent="0.35">
      <c r="H4751" s="83">
        <f t="shared" si="121"/>
        <v>0</v>
      </c>
    </row>
    <row r="4752" spans="8:8" hidden="1" x14ac:dyDescent="0.35">
      <c r="H4752" s="83">
        <f t="shared" si="121"/>
        <v>0</v>
      </c>
    </row>
    <row r="4753" spans="8:8" hidden="1" x14ac:dyDescent="0.35">
      <c r="H4753" s="83">
        <f t="shared" si="121"/>
        <v>0</v>
      </c>
    </row>
    <row r="4754" spans="8:8" hidden="1" x14ac:dyDescent="0.35">
      <c r="H4754" s="83">
        <f t="shared" si="121"/>
        <v>0</v>
      </c>
    </row>
    <row r="4755" spans="8:8" hidden="1" x14ac:dyDescent="0.35">
      <c r="H4755" s="83">
        <f t="shared" si="121"/>
        <v>0</v>
      </c>
    </row>
    <row r="4756" spans="8:8" hidden="1" x14ac:dyDescent="0.35">
      <c r="H4756" s="83">
        <f t="shared" si="121"/>
        <v>0</v>
      </c>
    </row>
    <row r="4757" spans="8:8" hidden="1" x14ac:dyDescent="0.35">
      <c r="H4757" s="83">
        <f t="shared" si="121"/>
        <v>0</v>
      </c>
    </row>
    <row r="4758" spans="8:8" hidden="1" x14ac:dyDescent="0.35">
      <c r="H4758" s="83">
        <f t="shared" si="121"/>
        <v>0</v>
      </c>
    </row>
    <row r="4759" spans="8:8" hidden="1" x14ac:dyDescent="0.35">
      <c r="H4759" s="83">
        <f t="shared" si="121"/>
        <v>0</v>
      </c>
    </row>
    <row r="4760" spans="8:8" hidden="1" x14ac:dyDescent="0.35">
      <c r="H4760" s="83">
        <f t="shared" si="121"/>
        <v>0</v>
      </c>
    </row>
    <row r="4761" spans="8:8" hidden="1" x14ac:dyDescent="0.35">
      <c r="H4761" s="83">
        <f t="shared" si="121"/>
        <v>0</v>
      </c>
    </row>
    <row r="4762" spans="8:8" hidden="1" x14ac:dyDescent="0.35">
      <c r="H4762" s="83">
        <f t="shared" si="121"/>
        <v>0</v>
      </c>
    </row>
    <row r="4763" spans="8:8" hidden="1" x14ac:dyDescent="0.35">
      <c r="H4763" s="83">
        <f t="shared" si="121"/>
        <v>0</v>
      </c>
    </row>
    <row r="4764" spans="8:8" hidden="1" x14ac:dyDescent="0.35">
      <c r="H4764" s="83">
        <f t="shared" si="121"/>
        <v>0</v>
      </c>
    </row>
    <row r="4765" spans="8:8" hidden="1" x14ac:dyDescent="0.35">
      <c r="H4765" s="83">
        <f t="shared" si="121"/>
        <v>0</v>
      </c>
    </row>
    <row r="4766" spans="8:8" hidden="1" x14ac:dyDescent="0.35">
      <c r="H4766" s="83">
        <f t="shared" si="121"/>
        <v>0</v>
      </c>
    </row>
    <row r="4767" spans="8:8" hidden="1" x14ac:dyDescent="0.35">
      <c r="H4767" s="83">
        <f t="shared" si="121"/>
        <v>0</v>
      </c>
    </row>
    <row r="4768" spans="8:8" hidden="1" x14ac:dyDescent="0.35">
      <c r="H4768" s="83">
        <f t="shared" si="121"/>
        <v>0</v>
      </c>
    </row>
    <row r="4769" spans="8:8" hidden="1" x14ac:dyDescent="0.35">
      <c r="H4769" s="83">
        <f t="shared" si="121"/>
        <v>0</v>
      </c>
    </row>
    <row r="4770" spans="8:8" hidden="1" x14ac:dyDescent="0.35">
      <c r="H4770" s="83">
        <f t="shared" si="121"/>
        <v>0</v>
      </c>
    </row>
    <row r="4771" spans="8:8" hidden="1" x14ac:dyDescent="0.35">
      <c r="H4771" s="83">
        <f t="shared" si="121"/>
        <v>0</v>
      </c>
    </row>
    <row r="4772" spans="8:8" hidden="1" x14ac:dyDescent="0.35">
      <c r="H4772" s="83">
        <f t="shared" si="121"/>
        <v>0</v>
      </c>
    </row>
    <row r="4773" spans="8:8" hidden="1" x14ac:dyDescent="0.35">
      <c r="H4773" s="83">
        <f t="shared" si="121"/>
        <v>0</v>
      </c>
    </row>
    <row r="4774" spans="8:8" hidden="1" x14ac:dyDescent="0.35">
      <c r="H4774" s="83">
        <f t="shared" si="121"/>
        <v>0</v>
      </c>
    </row>
    <row r="4775" spans="8:8" hidden="1" x14ac:dyDescent="0.35">
      <c r="H4775" s="83">
        <f t="shared" si="121"/>
        <v>0</v>
      </c>
    </row>
    <row r="4776" spans="8:8" hidden="1" x14ac:dyDescent="0.35">
      <c r="H4776" s="83">
        <f t="shared" si="121"/>
        <v>0</v>
      </c>
    </row>
    <row r="4777" spans="8:8" hidden="1" x14ac:dyDescent="0.35">
      <c r="H4777" s="83">
        <f t="shared" si="121"/>
        <v>0</v>
      </c>
    </row>
    <row r="4778" spans="8:8" hidden="1" x14ac:dyDescent="0.35">
      <c r="H4778" s="83">
        <f t="shared" si="121"/>
        <v>0</v>
      </c>
    </row>
    <row r="4779" spans="8:8" hidden="1" x14ac:dyDescent="0.35">
      <c r="H4779" s="83">
        <f t="shared" si="121"/>
        <v>0</v>
      </c>
    </row>
    <row r="4780" spans="8:8" hidden="1" x14ac:dyDescent="0.35">
      <c r="H4780" s="83">
        <f t="shared" si="121"/>
        <v>0</v>
      </c>
    </row>
    <row r="4781" spans="8:8" hidden="1" x14ac:dyDescent="0.35">
      <c r="H4781" s="83">
        <f t="shared" si="121"/>
        <v>0</v>
      </c>
    </row>
    <row r="4782" spans="8:8" hidden="1" x14ac:dyDescent="0.35">
      <c r="H4782" s="83">
        <f t="shared" si="121"/>
        <v>0</v>
      </c>
    </row>
    <row r="4783" spans="8:8" hidden="1" x14ac:dyDescent="0.35">
      <c r="H4783" s="83">
        <f t="shared" si="121"/>
        <v>0</v>
      </c>
    </row>
    <row r="4784" spans="8:8" hidden="1" x14ac:dyDescent="0.35">
      <c r="H4784" s="83">
        <f t="shared" si="121"/>
        <v>0</v>
      </c>
    </row>
    <row r="4785" spans="8:8" hidden="1" x14ac:dyDescent="0.35">
      <c r="H4785" s="83">
        <f t="shared" si="121"/>
        <v>0</v>
      </c>
    </row>
    <row r="4786" spans="8:8" hidden="1" x14ac:dyDescent="0.35">
      <c r="H4786" s="83">
        <f t="shared" si="121"/>
        <v>0</v>
      </c>
    </row>
    <row r="4787" spans="8:8" hidden="1" x14ac:dyDescent="0.35">
      <c r="H4787" s="83">
        <f t="shared" si="121"/>
        <v>0</v>
      </c>
    </row>
    <row r="4788" spans="8:8" hidden="1" x14ac:dyDescent="0.35">
      <c r="H4788" s="83">
        <f t="shared" si="121"/>
        <v>0</v>
      </c>
    </row>
    <row r="4789" spans="8:8" hidden="1" x14ac:dyDescent="0.35">
      <c r="H4789" s="83">
        <f t="shared" si="121"/>
        <v>0</v>
      </c>
    </row>
    <row r="4790" spans="8:8" hidden="1" x14ac:dyDescent="0.35">
      <c r="H4790" s="83">
        <f t="shared" si="121"/>
        <v>0</v>
      </c>
    </row>
    <row r="4791" spans="8:8" hidden="1" x14ac:dyDescent="0.35">
      <c r="H4791" s="83">
        <f t="shared" si="121"/>
        <v>0</v>
      </c>
    </row>
    <row r="4792" spans="8:8" hidden="1" x14ac:dyDescent="0.35">
      <c r="H4792" s="83">
        <f t="shared" si="121"/>
        <v>0</v>
      </c>
    </row>
    <row r="4793" spans="8:8" hidden="1" x14ac:dyDescent="0.35">
      <c r="H4793" s="83">
        <f t="shared" si="121"/>
        <v>0</v>
      </c>
    </row>
    <row r="4794" spans="8:8" hidden="1" x14ac:dyDescent="0.35">
      <c r="H4794" s="83">
        <f t="shared" si="121"/>
        <v>0</v>
      </c>
    </row>
    <row r="4795" spans="8:8" hidden="1" x14ac:dyDescent="0.35">
      <c r="H4795" s="83">
        <f t="shared" si="121"/>
        <v>0</v>
      </c>
    </row>
    <row r="4796" spans="8:8" hidden="1" x14ac:dyDescent="0.35">
      <c r="H4796" s="83">
        <f t="shared" si="121"/>
        <v>0</v>
      </c>
    </row>
    <row r="4797" spans="8:8" hidden="1" x14ac:dyDescent="0.35">
      <c r="H4797" s="83">
        <f t="shared" si="121"/>
        <v>0</v>
      </c>
    </row>
    <row r="4798" spans="8:8" hidden="1" x14ac:dyDescent="0.35">
      <c r="H4798" s="83">
        <f t="shared" si="121"/>
        <v>0</v>
      </c>
    </row>
    <row r="4799" spans="8:8" hidden="1" x14ac:dyDescent="0.35">
      <c r="H4799" s="83">
        <f t="shared" si="121"/>
        <v>0</v>
      </c>
    </row>
    <row r="4800" spans="8:8" hidden="1" x14ac:dyDescent="0.35">
      <c r="H4800" s="83">
        <f t="shared" si="121"/>
        <v>0</v>
      </c>
    </row>
    <row r="4801" spans="8:8" hidden="1" x14ac:dyDescent="0.35">
      <c r="H4801" s="83">
        <f t="shared" si="121"/>
        <v>0</v>
      </c>
    </row>
    <row r="4802" spans="8:8" hidden="1" x14ac:dyDescent="0.35">
      <c r="H4802" s="83">
        <f t="shared" si="121"/>
        <v>0</v>
      </c>
    </row>
    <row r="4803" spans="8:8" hidden="1" x14ac:dyDescent="0.35">
      <c r="H4803" s="83">
        <f t="shared" si="121"/>
        <v>0</v>
      </c>
    </row>
    <row r="4804" spans="8:8" hidden="1" x14ac:dyDescent="0.35">
      <c r="H4804" s="83">
        <f t="shared" ref="H4804:H4867" si="122">J4804-I4804</f>
        <v>0</v>
      </c>
    </row>
    <row r="4805" spans="8:8" hidden="1" x14ac:dyDescent="0.35">
      <c r="H4805" s="83">
        <f t="shared" si="122"/>
        <v>0</v>
      </c>
    </row>
    <row r="4806" spans="8:8" hidden="1" x14ac:dyDescent="0.35">
      <c r="H4806" s="83">
        <f t="shared" si="122"/>
        <v>0</v>
      </c>
    </row>
    <row r="4807" spans="8:8" hidden="1" x14ac:dyDescent="0.35">
      <c r="H4807" s="83">
        <f t="shared" si="122"/>
        <v>0</v>
      </c>
    </row>
    <row r="4808" spans="8:8" hidden="1" x14ac:dyDescent="0.35">
      <c r="H4808" s="83">
        <f t="shared" si="122"/>
        <v>0</v>
      </c>
    </row>
    <row r="4809" spans="8:8" hidden="1" x14ac:dyDescent="0.35">
      <c r="H4809" s="83">
        <f t="shared" si="122"/>
        <v>0</v>
      </c>
    </row>
    <row r="4810" spans="8:8" hidden="1" x14ac:dyDescent="0.35">
      <c r="H4810" s="83">
        <f t="shared" si="122"/>
        <v>0</v>
      </c>
    </row>
    <row r="4811" spans="8:8" hidden="1" x14ac:dyDescent="0.35">
      <c r="H4811" s="83">
        <f t="shared" si="122"/>
        <v>0</v>
      </c>
    </row>
    <row r="4812" spans="8:8" hidden="1" x14ac:dyDescent="0.35">
      <c r="H4812" s="83">
        <f t="shared" si="122"/>
        <v>0</v>
      </c>
    </row>
    <row r="4813" spans="8:8" hidden="1" x14ac:dyDescent="0.35">
      <c r="H4813" s="83">
        <f t="shared" si="122"/>
        <v>0</v>
      </c>
    </row>
    <row r="4814" spans="8:8" hidden="1" x14ac:dyDescent="0.35">
      <c r="H4814" s="83">
        <f t="shared" si="122"/>
        <v>0</v>
      </c>
    </row>
    <row r="4815" spans="8:8" hidden="1" x14ac:dyDescent="0.35">
      <c r="H4815" s="83">
        <f t="shared" si="122"/>
        <v>0</v>
      </c>
    </row>
    <row r="4816" spans="8:8" hidden="1" x14ac:dyDescent="0.35">
      <c r="H4816" s="83">
        <f t="shared" si="122"/>
        <v>0</v>
      </c>
    </row>
    <row r="4817" spans="8:8" hidden="1" x14ac:dyDescent="0.35">
      <c r="H4817" s="83">
        <f t="shared" si="122"/>
        <v>0</v>
      </c>
    </row>
    <row r="4818" spans="8:8" hidden="1" x14ac:dyDescent="0.35">
      <c r="H4818" s="83">
        <f t="shared" si="122"/>
        <v>0</v>
      </c>
    </row>
    <row r="4819" spans="8:8" hidden="1" x14ac:dyDescent="0.35">
      <c r="H4819" s="83">
        <f t="shared" si="122"/>
        <v>0</v>
      </c>
    </row>
    <row r="4820" spans="8:8" hidden="1" x14ac:dyDescent="0.35">
      <c r="H4820" s="83">
        <f t="shared" si="122"/>
        <v>0</v>
      </c>
    </row>
    <row r="4821" spans="8:8" hidden="1" x14ac:dyDescent="0.35">
      <c r="H4821" s="83">
        <f t="shared" si="122"/>
        <v>0</v>
      </c>
    </row>
    <row r="4822" spans="8:8" hidden="1" x14ac:dyDescent="0.35">
      <c r="H4822" s="83">
        <f t="shared" si="122"/>
        <v>0</v>
      </c>
    </row>
    <row r="4823" spans="8:8" hidden="1" x14ac:dyDescent="0.35">
      <c r="H4823" s="83">
        <f t="shared" si="122"/>
        <v>0</v>
      </c>
    </row>
    <row r="4824" spans="8:8" hidden="1" x14ac:dyDescent="0.35">
      <c r="H4824" s="83">
        <f t="shared" si="122"/>
        <v>0</v>
      </c>
    </row>
    <row r="4825" spans="8:8" hidden="1" x14ac:dyDescent="0.35">
      <c r="H4825" s="83">
        <f t="shared" si="122"/>
        <v>0</v>
      </c>
    </row>
    <row r="4826" spans="8:8" hidden="1" x14ac:dyDescent="0.35">
      <c r="H4826" s="83">
        <f t="shared" si="122"/>
        <v>0</v>
      </c>
    </row>
    <row r="4827" spans="8:8" hidden="1" x14ac:dyDescent="0.35">
      <c r="H4827" s="83">
        <f t="shared" si="122"/>
        <v>0</v>
      </c>
    </row>
    <row r="4828" spans="8:8" hidden="1" x14ac:dyDescent="0.35">
      <c r="H4828" s="83">
        <f t="shared" si="122"/>
        <v>0</v>
      </c>
    </row>
    <row r="4829" spans="8:8" hidden="1" x14ac:dyDescent="0.35">
      <c r="H4829" s="83">
        <f t="shared" si="122"/>
        <v>0</v>
      </c>
    </row>
    <row r="4830" spans="8:8" hidden="1" x14ac:dyDescent="0.35">
      <c r="H4830" s="83">
        <f t="shared" si="122"/>
        <v>0</v>
      </c>
    </row>
    <row r="4831" spans="8:8" hidden="1" x14ac:dyDescent="0.35">
      <c r="H4831" s="83">
        <f t="shared" si="122"/>
        <v>0</v>
      </c>
    </row>
    <row r="4832" spans="8:8" hidden="1" x14ac:dyDescent="0.35">
      <c r="H4832" s="83">
        <f t="shared" si="122"/>
        <v>0</v>
      </c>
    </row>
    <row r="4833" spans="8:8" hidden="1" x14ac:dyDescent="0.35">
      <c r="H4833" s="83">
        <f t="shared" si="122"/>
        <v>0</v>
      </c>
    </row>
    <row r="4834" spans="8:8" hidden="1" x14ac:dyDescent="0.35">
      <c r="H4834" s="83">
        <f t="shared" si="122"/>
        <v>0</v>
      </c>
    </row>
    <row r="4835" spans="8:8" hidden="1" x14ac:dyDescent="0.35">
      <c r="H4835" s="83">
        <f t="shared" si="122"/>
        <v>0</v>
      </c>
    </row>
    <row r="4836" spans="8:8" hidden="1" x14ac:dyDescent="0.35">
      <c r="H4836" s="83">
        <f t="shared" si="122"/>
        <v>0</v>
      </c>
    </row>
    <row r="4837" spans="8:8" hidden="1" x14ac:dyDescent="0.35">
      <c r="H4837" s="83">
        <f t="shared" si="122"/>
        <v>0</v>
      </c>
    </row>
    <row r="4838" spans="8:8" hidden="1" x14ac:dyDescent="0.35">
      <c r="H4838" s="83">
        <f t="shared" si="122"/>
        <v>0</v>
      </c>
    </row>
    <row r="4839" spans="8:8" hidden="1" x14ac:dyDescent="0.35">
      <c r="H4839" s="83">
        <f t="shared" si="122"/>
        <v>0</v>
      </c>
    </row>
    <row r="4840" spans="8:8" hidden="1" x14ac:dyDescent="0.35">
      <c r="H4840" s="83">
        <f t="shared" si="122"/>
        <v>0</v>
      </c>
    </row>
    <row r="4841" spans="8:8" hidden="1" x14ac:dyDescent="0.35">
      <c r="H4841" s="83">
        <f t="shared" si="122"/>
        <v>0</v>
      </c>
    </row>
    <row r="4842" spans="8:8" hidden="1" x14ac:dyDescent="0.35">
      <c r="H4842" s="83">
        <f t="shared" si="122"/>
        <v>0</v>
      </c>
    </row>
    <row r="4843" spans="8:8" hidden="1" x14ac:dyDescent="0.35">
      <c r="H4843" s="83">
        <f t="shared" si="122"/>
        <v>0</v>
      </c>
    </row>
    <row r="4844" spans="8:8" hidden="1" x14ac:dyDescent="0.35">
      <c r="H4844" s="83">
        <f t="shared" si="122"/>
        <v>0</v>
      </c>
    </row>
    <row r="4845" spans="8:8" hidden="1" x14ac:dyDescent="0.35">
      <c r="H4845" s="83">
        <f t="shared" si="122"/>
        <v>0</v>
      </c>
    </row>
    <row r="4846" spans="8:8" hidden="1" x14ac:dyDescent="0.35">
      <c r="H4846" s="83">
        <f t="shared" si="122"/>
        <v>0</v>
      </c>
    </row>
    <row r="4847" spans="8:8" hidden="1" x14ac:dyDescent="0.35">
      <c r="H4847" s="83">
        <f t="shared" si="122"/>
        <v>0</v>
      </c>
    </row>
    <row r="4848" spans="8:8" hidden="1" x14ac:dyDescent="0.35">
      <c r="H4848" s="83">
        <f t="shared" si="122"/>
        <v>0</v>
      </c>
    </row>
    <row r="4849" spans="8:8" hidden="1" x14ac:dyDescent="0.35">
      <c r="H4849" s="83">
        <f t="shared" si="122"/>
        <v>0</v>
      </c>
    </row>
    <row r="4850" spans="8:8" hidden="1" x14ac:dyDescent="0.35">
      <c r="H4850" s="83">
        <f t="shared" si="122"/>
        <v>0</v>
      </c>
    </row>
    <row r="4851" spans="8:8" hidden="1" x14ac:dyDescent="0.35">
      <c r="H4851" s="83">
        <f t="shared" si="122"/>
        <v>0</v>
      </c>
    </row>
    <row r="4852" spans="8:8" hidden="1" x14ac:dyDescent="0.35">
      <c r="H4852" s="83">
        <f t="shared" si="122"/>
        <v>0</v>
      </c>
    </row>
    <row r="4853" spans="8:8" hidden="1" x14ac:dyDescent="0.35">
      <c r="H4853" s="83">
        <f t="shared" si="122"/>
        <v>0</v>
      </c>
    </row>
    <row r="4854" spans="8:8" hidden="1" x14ac:dyDescent="0.35">
      <c r="H4854" s="83">
        <f t="shared" si="122"/>
        <v>0</v>
      </c>
    </row>
    <row r="4855" spans="8:8" hidden="1" x14ac:dyDescent="0.35">
      <c r="H4855" s="83">
        <f t="shared" si="122"/>
        <v>0</v>
      </c>
    </row>
    <row r="4856" spans="8:8" hidden="1" x14ac:dyDescent="0.35">
      <c r="H4856" s="83">
        <f t="shared" si="122"/>
        <v>0</v>
      </c>
    </row>
    <row r="4857" spans="8:8" hidden="1" x14ac:dyDescent="0.35">
      <c r="H4857" s="83">
        <f t="shared" si="122"/>
        <v>0</v>
      </c>
    </row>
    <row r="4858" spans="8:8" hidden="1" x14ac:dyDescent="0.35">
      <c r="H4858" s="83">
        <f t="shared" si="122"/>
        <v>0</v>
      </c>
    </row>
    <row r="4859" spans="8:8" hidden="1" x14ac:dyDescent="0.35">
      <c r="H4859" s="83">
        <f t="shared" si="122"/>
        <v>0</v>
      </c>
    </row>
    <row r="4860" spans="8:8" hidden="1" x14ac:dyDescent="0.35">
      <c r="H4860" s="83">
        <f t="shared" si="122"/>
        <v>0</v>
      </c>
    </row>
    <row r="4861" spans="8:8" hidden="1" x14ac:dyDescent="0.35">
      <c r="H4861" s="83">
        <f t="shared" si="122"/>
        <v>0</v>
      </c>
    </row>
    <row r="4862" spans="8:8" hidden="1" x14ac:dyDescent="0.35">
      <c r="H4862" s="83">
        <f t="shared" si="122"/>
        <v>0</v>
      </c>
    </row>
    <row r="4863" spans="8:8" hidden="1" x14ac:dyDescent="0.35">
      <c r="H4863" s="83">
        <f t="shared" si="122"/>
        <v>0</v>
      </c>
    </row>
    <row r="4864" spans="8:8" hidden="1" x14ac:dyDescent="0.35">
      <c r="H4864" s="83">
        <f t="shared" si="122"/>
        <v>0</v>
      </c>
    </row>
    <row r="4865" spans="8:8" hidden="1" x14ac:dyDescent="0.35">
      <c r="H4865" s="83">
        <f t="shared" si="122"/>
        <v>0</v>
      </c>
    </row>
    <row r="4866" spans="8:8" hidden="1" x14ac:dyDescent="0.35">
      <c r="H4866" s="83">
        <f t="shared" si="122"/>
        <v>0</v>
      </c>
    </row>
    <row r="4867" spans="8:8" hidden="1" x14ac:dyDescent="0.35">
      <c r="H4867" s="83">
        <f t="shared" si="122"/>
        <v>0</v>
      </c>
    </row>
    <row r="4868" spans="8:8" hidden="1" x14ac:dyDescent="0.35">
      <c r="H4868" s="83">
        <f t="shared" ref="H4868:H4931" si="123">J4868-I4868</f>
        <v>0</v>
      </c>
    </row>
    <row r="4869" spans="8:8" hidden="1" x14ac:dyDescent="0.35">
      <c r="H4869" s="83">
        <f t="shared" si="123"/>
        <v>0</v>
      </c>
    </row>
    <row r="4870" spans="8:8" hidden="1" x14ac:dyDescent="0.35">
      <c r="H4870" s="83">
        <f t="shared" si="123"/>
        <v>0</v>
      </c>
    </row>
    <row r="4871" spans="8:8" hidden="1" x14ac:dyDescent="0.35">
      <c r="H4871" s="83">
        <f t="shared" si="123"/>
        <v>0</v>
      </c>
    </row>
    <row r="4872" spans="8:8" hidden="1" x14ac:dyDescent="0.35">
      <c r="H4872" s="83">
        <f t="shared" si="123"/>
        <v>0</v>
      </c>
    </row>
    <row r="4873" spans="8:8" hidden="1" x14ac:dyDescent="0.35">
      <c r="H4873" s="83">
        <f t="shared" si="123"/>
        <v>0</v>
      </c>
    </row>
    <row r="4874" spans="8:8" hidden="1" x14ac:dyDescent="0.35">
      <c r="H4874" s="83">
        <f t="shared" si="123"/>
        <v>0</v>
      </c>
    </row>
    <row r="4875" spans="8:8" hidden="1" x14ac:dyDescent="0.35">
      <c r="H4875" s="83">
        <f t="shared" si="123"/>
        <v>0</v>
      </c>
    </row>
    <row r="4876" spans="8:8" hidden="1" x14ac:dyDescent="0.35">
      <c r="H4876" s="83">
        <f t="shared" si="123"/>
        <v>0</v>
      </c>
    </row>
    <row r="4877" spans="8:8" hidden="1" x14ac:dyDescent="0.35">
      <c r="H4877" s="83">
        <f t="shared" si="123"/>
        <v>0</v>
      </c>
    </row>
    <row r="4878" spans="8:8" hidden="1" x14ac:dyDescent="0.35">
      <c r="H4878" s="83">
        <f t="shared" si="123"/>
        <v>0</v>
      </c>
    </row>
    <row r="4879" spans="8:8" hidden="1" x14ac:dyDescent="0.35">
      <c r="H4879" s="83">
        <f t="shared" si="123"/>
        <v>0</v>
      </c>
    </row>
    <row r="4880" spans="8:8" hidden="1" x14ac:dyDescent="0.35">
      <c r="H4880" s="83">
        <f t="shared" si="123"/>
        <v>0</v>
      </c>
    </row>
    <row r="4881" spans="8:8" hidden="1" x14ac:dyDescent="0.35">
      <c r="H4881" s="83">
        <f t="shared" si="123"/>
        <v>0</v>
      </c>
    </row>
    <row r="4882" spans="8:8" hidden="1" x14ac:dyDescent="0.35">
      <c r="H4882" s="83">
        <f t="shared" si="123"/>
        <v>0</v>
      </c>
    </row>
    <row r="4883" spans="8:8" hidden="1" x14ac:dyDescent="0.35">
      <c r="H4883" s="83">
        <f t="shared" si="123"/>
        <v>0</v>
      </c>
    </row>
    <row r="4884" spans="8:8" hidden="1" x14ac:dyDescent="0.35">
      <c r="H4884" s="83">
        <f t="shared" si="123"/>
        <v>0</v>
      </c>
    </row>
    <row r="4885" spans="8:8" hidden="1" x14ac:dyDescent="0.35">
      <c r="H4885" s="83">
        <f t="shared" si="123"/>
        <v>0</v>
      </c>
    </row>
    <row r="4886" spans="8:8" hidden="1" x14ac:dyDescent="0.35">
      <c r="H4886" s="83">
        <f t="shared" si="123"/>
        <v>0</v>
      </c>
    </row>
    <row r="4887" spans="8:8" hidden="1" x14ac:dyDescent="0.35">
      <c r="H4887" s="83">
        <f t="shared" si="123"/>
        <v>0</v>
      </c>
    </row>
    <row r="4888" spans="8:8" hidden="1" x14ac:dyDescent="0.35">
      <c r="H4888" s="83">
        <f t="shared" si="123"/>
        <v>0</v>
      </c>
    </row>
    <row r="4889" spans="8:8" hidden="1" x14ac:dyDescent="0.35">
      <c r="H4889" s="83">
        <f t="shared" si="123"/>
        <v>0</v>
      </c>
    </row>
    <row r="4890" spans="8:8" hidden="1" x14ac:dyDescent="0.35">
      <c r="H4890" s="83">
        <f t="shared" si="123"/>
        <v>0</v>
      </c>
    </row>
    <row r="4891" spans="8:8" hidden="1" x14ac:dyDescent="0.35">
      <c r="H4891" s="83">
        <f t="shared" si="123"/>
        <v>0</v>
      </c>
    </row>
    <row r="4892" spans="8:8" hidden="1" x14ac:dyDescent="0.35">
      <c r="H4892" s="83">
        <f t="shared" si="123"/>
        <v>0</v>
      </c>
    </row>
    <row r="4893" spans="8:8" hidden="1" x14ac:dyDescent="0.35">
      <c r="H4893" s="83">
        <f t="shared" si="123"/>
        <v>0</v>
      </c>
    </row>
    <row r="4894" spans="8:8" hidden="1" x14ac:dyDescent="0.35">
      <c r="H4894" s="83">
        <f t="shared" si="123"/>
        <v>0</v>
      </c>
    </row>
    <row r="4895" spans="8:8" hidden="1" x14ac:dyDescent="0.35">
      <c r="H4895" s="83">
        <f t="shared" si="123"/>
        <v>0</v>
      </c>
    </row>
    <row r="4896" spans="8:8" hidden="1" x14ac:dyDescent="0.35">
      <c r="H4896" s="83">
        <f t="shared" si="123"/>
        <v>0</v>
      </c>
    </row>
    <row r="4897" spans="8:8" hidden="1" x14ac:dyDescent="0.35">
      <c r="H4897" s="83">
        <f t="shared" si="123"/>
        <v>0</v>
      </c>
    </row>
    <row r="4898" spans="8:8" hidden="1" x14ac:dyDescent="0.35">
      <c r="H4898" s="83">
        <f t="shared" si="123"/>
        <v>0</v>
      </c>
    </row>
    <row r="4899" spans="8:8" hidden="1" x14ac:dyDescent="0.35">
      <c r="H4899" s="83">
        <f t="shared" si="123"/>
        <v>0</v>
      </c>
    </row>
    <row r="4900" spans="8:8" hidden="1" x14ac:dyDescent="0.35">
      <c r="H4900" s="83">
        <f t="shared" si="123"/>
        <v>0</v>
      </c>
    </row>
    <row r="4901" spans="8:8" hidden="1" x14ac:dyDescent="0.35">
      <c r="H4901" s="83">
        <f t="shared" si="123"/>
        <v>0</v>
      </c>
    </row>
    <row r="4902" spans="8:8" hidden="1" x14ac:dyDescent="0.35">
      <c r="H4902" s="83">
        <f t="shared" si="123"/>
        <v>0</v>
      </c>
    </row>
    <row r="4903" spans="8:8" hidden="1" x14ac:dyDescent="0.35">
      <c r="H4903" s="83">
        <f t="shared" si="123"/>
        <v>0</v>
      </c>
    </row>
    <row r="4904" spans="8:8" hidden="1" x14ac:dyDescent="0.35">
      <c r="H4904" s="83">
        <f t="shared" si="123"/>
        <v>0</v>
      </c>
    </row>
    <row r="4905" spans="8:8" hidden="1" x14ac:dyDescent="0.35">
      <c r="H4905" s="83">
        <f t="shared" si="123"/>
        <v>0</v>
      </c>
    </row>
    <row r="4906" spans="8:8" hidden="1" x14ac:dyDescent="0.35">
      <c r="H4906" s="83">
        <f t="shared" si="123"/>
        <v>0</v>
      </c>
    </row>
    <row r="4907" spans="8:8" hidden="1" x14ac:dyDescent="0.35">
      <c r="H4907" s="83">
        <f t="shared" si="123"/>
        <v>0</v>
      </c>
    </row>
    <row r="4908" spans="8:8" hidden="1" x14ac:dyDescent="0.35">
      <c r="H4908" s="83">
        <f t="shared" si="123"/>
        <v>0</v>
      </c>
    </row>
    <row r="4909" spans="8:8" hidden="1" x14ac:dyDescent="0.35">
      <c r="H4909" s="83">
        <f t="shared" si="123"/>
        <v>0</v>
      </c>
    </row>
    <row r="4910" spans="8:8" hidden="1" x14ac:dyDescent="0.35">
      <c r="H4910" s="83">
        <f t="shared" si="123"/>
        <v>0</v>
      </c>
    </row>
    <row r="4911" spans="8:8" hidden="1" x14ac:dyDescent="0.35">
      <c r="H4911" s="83">
        <f t="shared" si="123"/>
        <v>0</v>
      </c>
    </row>
    <row r="4912" spans="8:8" hidden="1" x14ac:dyDescent="0.35">
      <c r="H4912" s="83">
        <f t="shared" si="123"/>
        <v>0</v>
      </c>
    </row>
    <row r="4913" spans="8:8" hidden="1" x14ac:dyDescent="0.35">
      <c r="H4913" s="83">
        <f t="shared" si="123"/>
        <v>0</v>
      </c>
    </row>
    <row r="4914" spans="8:8" hidden="1" x14ac:dyDescent="0.35">
      <c r="H4914" s="83">
        <f t="shared" si="123"/>
        <v>0</v>
      </c>
    </row>
    <row r="4915" spans="8:8" hidden="1" x14ac:dyDescent="0.35">
      <c r="H4915" s="83">
        <f t="shared" si="123"/>
        <v>0</v>
      </c>
    </row>
    <row r="4916" spans="8:8" hidden="1" x14ac:dyDescent="0.35">
      <c r="H4916" s="83">
        <f t="shared" si="123"/>
        <v>0</v>
      </c>
    </row>
    <row r="4917" spans="8:8" hidden="1" x14ac:dyDescent="0.35">
      <c r="H4917" s="83">
        <f t="shared" si="123"/>
        <v>0</v>
      </c>
    </row>
    <row r="4918" spans="8:8" hidden="1" x14ac:dyDescent="0.35">
      <c r="H4918" s="83">
        <f t="shared" si="123"/>
        <v>0</v>
      </c>
    </row>
    <row r="4919" spans="8:8" hidden="1" x14ac:dyDescent="0.35">
      <c r="H4919" s="83">
        <f t="shared" si="123"/>
        <v>0</v>
      </c>
    </row>
    <row r="4920" spans="8:8" hidden="1" x14ac:dyDescent="0.35">
      <c r="H4920" s="83">
        <f t="shared" si="123"/>
        <v>0</v>
      </c>
    </row>
    <row r="4921" spans="8:8" hidden="1" x14ac:dyDescent="0.35">
      <c r="H4921" s="83">
        <f t="shared" si="123"/>
        <v>0</v>
      </c>
    </row>
    <row r="4922" spans="8:8" hidden="1" x14ac:dyDescent="0.35">
      <c r="H4922" s="83">
        <f t="shared" si="123"/>
        <v>0</v>
      </c>
    </row>
    <row r="4923" spans="8:8" hidden="1" x14ac:dyDescent="0.35">
      <c r="H4923" s="83">
        <f t="shared" si="123"/>
        <v>0</v>
      </c>
    </row>
    <row r="4924" spans="8:8" hidden="1" x14ac:dyDescent="0.35">
      <c r="H4924" s="83">
        <f t="shared" si="123"/>
        <v>0</v>
      </c>
    </row>
    <row r="4925" spans="8:8" hidden="1" x14ac:dyDescent="0.35">
      <c r="H4925" s="83">
        <f t="shared" si="123"/>
        <v>0</v>
      </c>
    </row>
    <row r="4926" spans="8:8" hidden="1" x14ac:dyDescent="0.35">
      <c r="H4926" s="83">
        <f t="shared" si="123"/>
        <v>0</v>
      </c>
    </row>
    <row r="4927" spans="8:8" hidden="1" x14ac:dyDescent="0.35">
      <c r="H4927" s="83">
        <f t="shared" si="123"/>
        <v>0</v>
      </c>
    </row>
    <row r="4928" spans="8:8" hidden="1" x14ac:dyDescent="0.35">
      <c r="H4928" s="83">
        <f t="shared" si="123"/>
        <v>0</v>
      </c>
    </row>
    <row r="4929" spans="8:8" hidden="1" x14ac:dyDescent="0.35">
      <c r="H4929" s="83">
        <f t="shared" si="123"/>
        <v>0</v>
      </c>
    </row>
    <row r="4930" spans="8:8" hidden="1" x14ac:dyDescent="0.35">
      <c r="H4930" s="83">
        <f t="shared" si="123"/>
        <v>0</v>
      </c>
    </row>
    <row r="4931" spans="8:8" hidden="1" x14ac:dyDescent="0.35">
      <c r="H4931" s="83">
        <f t="shared" si="123"/>
        <v>0</v>
      </c>
    </row>
    <row r="4932" spans="8:8" hidden="1" x14ac:dyDescent="0.35">
      <c r="H4932" s="83">
        <f t="shared" ref="H4932:H4995" si="124">J4932-I4932</f>
        <v>0</v>
      </c>
    </row>
    <row r="4933" spans="8:8" hidden="1" x14ac:dyDescent="0.35">
      <c r="H4933" s="83">
        <f t="shared" si="124"/>
        <v>0</v>
      </c>
    </row>
    <row r="4934" spans="8:8" hidden="1" x14ac:dyDescent="0.35">
      <c r="H4934" s="83">
        <f t="shared" si="124"/>
        <v>0</v>
      </c>
    </row>
    <row r="4935" spans="8:8" hidden="1" x14ac:dyDescent="0.35">
      <c r="H4935" s="83">
        <f t="shared" si="124"/>
        <v>0</v>
      </c>
    </row>
    <row r="4936" spans="8:8" hidden="1" x14ac:dyDescent="0.35">
      <c r="H4936" s="83">
        <f t="shared" si="124"/>
        <v>0</v>
      </c>
    </row>
    <row r="4937" spans="8:8" hidden="1" x14ac:dyDescent="0.35">
      <c r="H4937" s="83">
        <f t="shared" si="124"/>
        <v>0</v>
      </c>
    </row>
    <row r="4938" spans="8:8" hidden="1" x14ac:dyDescent="0.35">
      <c r="H4938" s="83">
        <f t="shared" si="124"/>
        <v>0</v>
      </c>
    </row>
    <row r="4939" spans="8:8" hidden="1" x14ac:dyDescent="0.35">
      <c r="H4939" s="83">
        <f t="shared" si="124"/>
        <v>0</v>
      </c>
    </row>
    <row r="4940" spans="8:8" hidden="1" x14ac:dyDescent="0.35">
      <c r="H4940" s="83">
        <f t="shared" si="124"/>
        <v>0</v>
      </c>
    </row>
    <row r="4941" spans="8:8" hidden="1" x14ac:dyDescent="0.35">
      <c r="H4941" s="83">
        <f t="shared" si="124"/>
        <v>0</v>
      </c>
    </row>
    <row r="4942" spans="8:8" hidden="1" x14ac:dyDescent="0.35">
      <c r="H4942" s="83">
        <f t="shared" si="124"/>
        <v>0</v>
      </c>
    </row>
    <row r="4943" spans="8:8" hidden="1" x14ac:dyDescent="0.35">
      <c r="H4943" s="83">
        <f t="shared" si="124"/>
        <v>0</v>
      </c>
    </row>
    <row r="4944" spans="8:8" hidden="1" x14ac:dyDescent="0.35">
      <c r="H4944" s="83">
        <f t="shared" si="124"/>
        <v>0</v>
      </c>
    </row>
    <row r="4945" spans="8:8" hidden="1" x14ac:dyDescent="0.35">
      <c r="H4945" s="83">
        <f t="shared" si="124"/>
        <v>0</v>
      </c>
    </row>
    <row r="4946" spans="8:8" hidden="1" x14ac:dyDescent="0.35">
      <c r="H4946" s="83">
        <f t="shared" si="124"/>
        <v>0</v>
      </c>
    </row>
    <row r="4947" spans="8:8" hidden="1" x14ac:dyDescent="0.35">
      <c r="H4947" s="83">
        <f t="shared" si="124"/>
        <v>0</v>
      </c>
    </row>
    <row r="4948" spans="8:8" hidden="1" x14ac:dyDescent="0.35">
      <c r="H4948" s="83">
        <f t="shared" si="124"/>
        <v>0</v>
      </c>
    </row>
    <row r="4949" spans="8:8" hidden="1" x14ac:dyDescent="0.35">
      <c r="H4949" s="83">
        <f t="shared" si="124"/>
        <v>0</v>
      </c>
    </row>
    <row r="4950" spans="8:8" hidden="1" x14ac:dyDescent="0.35">
      <c r="H4950" s="83">
        <f t="shared" si="124"/>
        <v>0</v>
      </c>
    </row>
    <row r="4951" spans="8:8" hidden="1" x14ac:dyDescent="0.35">
      <c r="H4951" s="83">
        <f t="shared" si="124"/>
        <v>0</v>
      </c>
    </row>
    <row r="4952" spans="8:8" hidden="1" x14ac:dyDescent="0.35">
      <c r="H4952" s="83">
        <f t="shared" si="124"/>
        <v>0</v>
      </c>
    </row>
    <row r="4953" spans="8:8" hidden="1" x14ac:dyDescent="0.35">
      <c r="H4953" s="83">
        <f t="shared" si="124"/>
        <v>0</v>
      </c>
    </row>
    <row r="4954" spans="8:8" hidden="1" x14ac:dyDescent="0.35">
      <c r="H4954" s="83">
        <f t="shared" si="124"/>
        <v>0</v>
      </c>
    </row>
    <row r="4955" spans="8:8" hidden="1" x14ac:dyDescent="0.35">
      <c r="H4955" s="83">
        <f t="shared" si="124"/>
        <v>0</v>
      </c>
    </row>
    <row r="4956" spans="8:8" hidden="1" x14ac:dyDescent="0.35">
      <c r="H4956" s="83">
        <f t="shared" si="124"/>
        <v>0</v>
      </c>
    </row>
    <row r="4957" spans="8:8" hidden="1" x14ac:dyDescent="0.35">
      <c r="H4957" s="83">
        <f t="shared" si="124"/>
        <v>0</v>
      </c>
    </row>
    <row r="4958" spans="8:8" hidden="1" x14ac:dyDescent="0.35">
      <c r="H4958" s="83">
        <f t="shared" si="124"/>
        <v>0</v>
      </c>
    </row>
    <row r="4959" spans="8:8" hidden="1" x14ac:dyDescent="0.35">
      <c r="H4959" s="83">
        <f t="shared" si="124"/>
        <v>0</v>
      </c>
    </row>
    <row r="4960" spans="8:8" hidden="1" x14ac:dyDescent="0.35">
      <c r="H4960" s="83">
        <f t="shared" si="124"/>
        <v>0</v>
      </c>
    </row>
    <row r="4961" spans="8:8" hidden="1" x14ac:dyDescent="0.35">
      <c r="H4961" s="83">
        <f t="shared" si="124"/>
        <v>0</v>
      </c>
    </row>
    <row r="4962" spans="8:8" hidden="1" x14ac:dyDescent="0.35">
      <c r="H4962" s="83">
        <f t="shared" si="124"/>
        <v>0</v>
      </c>
    </row>
    <row r="4963" spans="8:8" hidden="1" x14ac:dyDescent="0.35">
      <c r="H4963" s="83">
        <f t="shared" si="124"/>
        <v>0</v>
      </c>
    </row>
    <row r="4964" spans="8:8" hidden="1" x14ac:dyDescent="0.35">
      <c r="H4964" s="83">
        <f t="shared" si="124"/>
        <v>0</v>
      </c>
    </row>
    <row r="4965" spans="8:8" hidden="1" x14ac:dyDescent="0.35">
      <c r="H4965" s="83">
        <f t="shared" si="124"/>
        <v>0</v>
      </c>
    </row>
    <row r="4966" spans="8:8" hidden="1" x14ac:dyDescent="0.35">
      <c r="H4966" s="83">
        <f t="shared" si="124"/>
        <v>0</v>
      </c>
    </row>
    <row r="4967" spans="8:8" hidden="1" x14ac:dyDescent="0.35">
      <c r="H4967" s="83">
        <f t="shared" si="124"/>
        <v>0</v>
      </c>
    </row>
    <row r="4968" spans="8:8" hidden="1" x14ac:dyDescent="0.35">
      <c r="H4968" s="83">
        <f t="shared" si="124"/>
        <v>0</v>
      </c>
    </row>
    <row r="4969" spans="8:8" hidden="1" x14ac:dyDescent="0.35">
      <c r="H4969" s="83">
        <f t="shared" si="124"/>
        <v>0</v>
      </c>
    </row>
    <row r="4970" spans="8:8" hidden="1" x14ac:dyDescent="0.35">
      <c r="H4970" s="83">
        <f t="shared" si="124"/>
        <v>0</v>
      </c>
    </row>
    <row r="4971" spans="8:8" hidden="1" x14ac:dyDescent="0.35">
      <c r="H4971" s="83">
        <f t="shared" si="124"/>
        <v>0</v>
      </c>
    </row>
    <row r="4972" spans="8:8" hidden="1" x14ac:dyDescent="0.35">
      <c r="H4972" s="83">
        <f t="shared" si="124"/>
        <v>0</v>
      </c>
    </row>
    <row r="4973" spans="8:8" hidden="1" x14ac:dyDescent="0.35">
      <c r="H4973" s="83">
        <f t="shared" si="124"/>
        <v>0</v>
      </c>
    </row>
    <row r="4974" spans="8:8" hidden="1" x14ac:dyDescent="0.35">
      <c r="H4974" s="83">
        <f t="shared" si="124"/>
        <v>0</v>
      </c>
    </row>
    <row r="4975" spans="8:8" hidden="1" x14ac:dyDescent="0.35">
      <c r="H4975" s="83">
        <f t="shared" si="124"/>
        <v>0</v>
      </c>
    </row>
    <row r="4976" spans="8:8" hidden="1" x14ac:dyDescent="0.35">
      <c r="H4976" s="83">
        <f t="shared" si="124"/>
        <v>0</v>
      </c>
    </row>
    <row r="4977" spans="8:8" hidden="1" x14ac:dyDescent="0.35">
      <c r="H4977" s="83">
        <f t="shared" si="124"/>
        <v>0</v>
      </c>
    </row>
    <row r="4978" spans="8:8" hidden="1" x14ac:dyDescent="0.35">
      <c r="H4978" s="83">
        <f t="shared" si="124"/>
        <v>0</v>
      </c>
    </row>
    <row r="4979" spans="8:8" hidden="1" x14ac:dyDescent="0.35">
      <c r="H4979" s="83">
        <f t="shared" si="124"/>
        <v>0</v>
      </c>
    </row>
    <row r="4980" spans="8:8" hidden="1" x14ac:dyDescent="0.35">
      <c r="H4980" s="83">
        <f t="shared" si="124"/>
        <v>0</v>
      </c>
    </row>
    <row r="4981" spans="8:8" hidden="1" x14ac:dyDescent="0.35">
      <c r="H4981" s="83">
        <f t="shared" si="124"/>
        <v>0</v>
      </c>
    </row>
    <row r="4982" spans="8:8" hidden="1" x14ac:dyDescent="0.35">
      <c r="H4982" s="83">
        <f t="shared" si="124"/>
        <v>0</v>
      </c>
    </row>
    <row r="4983" spans="8:8" hidden="1" x14ac:dyDescent="0.35">
      <c r="H4983" s="83">
        <f t="shared" si="124"/>
        <v>0</v>
      </c>
    </row>
    <row r="4984" spans="8:8" hidden="1" x14ac:dyDescent="0.35">
      <c r="H4984" s="83">
        <f t="shared" si="124"/>
        <v>0</v>
      </c>
    </row>
    <row r="4985" spans="8:8" hidden="1" x14ac:dyDescent="0.35">
      <c r="H4985" s="83">
        <f t="shared" si="124"/>
        <v>0</v>
      </c>
    </row>
    <row r="4986" spans="8:8" hidden="1" x14ac:dyDescent="0.35">
      <c r="H4986" s="83">
        <f t="shared" si="124"/>
        <v>0</v>
      </c>
    </row>
    <row r="4987" spans="8:8" hidden="1" x14ac:dyDescent="0.35">
      <c r="H4987" s="83">
        <f t="shared" si="124"/>
        <v>0</v>
      </c>
    </row>
    <row r="4988" spans="8:8" hidden="1" x14ac:dyDescent="0.35">
      <c r="H4988" s="83">
        <f t="shared" si="124"/>
        <v>0</v>
      </c>
    </row>
    <row r="4989" spans="8:8" hidden="1" x14ac:dyDescent="0.35">
      <c r="H4989" s="83">
        <f t="shared" si="124"/>
        <v>0</v>
      </c>
    </row>
    <row r="4990" spans="8:8" hidden="1" x14ac:dyDescent="0.35">
      <c r="H4990" s="83">
        <f t="shared" si="124"/>
        <v>0</v>
      </c>
    </row>
    <row r="4991" spans="8:8" hidden="1" x14ac:dyDescent="0.35">
      <c r="H4991" s="83">
        <f t="shared" si="124"/>
        <v>0</v>
      </c>
    </row>
    <row r="4992" spans="8:8" hidden="1" x14ac:dyDescent="0.35">
      <c r="H4992" s="83">
        <f t="shared" si="124"/>
        <v>0</v>
      </c>
    </row>
    <row r="4993" spans="8:8" hidden="1" x14ac:dyDescent="0.35">
      <c r="H4993" s="83">
        <f t="shared" si="124"/>
        <v>0</v>
      </c>
    </row>
    <row r="4994" spans="8:8" hidden="1" x14ac:dyDescent="0.35">
      <c r="H4994" s="83">
        <f t="shared" si="124"/>
        <v>0</v>
      </c>
    </row>
    <row r="4995" spans="8:8" hidden="1" x14ac:dyDescent="0.35">
      <c r="H4995" s="83">
        <f t="shared" si="124"/>
        <v>0</v>
      </c>
    </row>
    <row r="4996" spans="8:8" hidden="1" x14ac:dyDescent="0.35">
      <c r="H4996" s="83">
        <f t="shared" ref="H4996:H5059" si="125">J4996-I4996</f>
        <v>0</v>
      </c>
    </row>
    <row r="4997" spans="8:8" hidden="1" x14ac:dyDescent="0.35">
      <c r="H4997" s="83">
        <f t="shared" si="125"/>
        <v>0</v>
      </c>
    </row>
    <row r="4998" spans="8:8" hidden="1" x14ac:dyDescent="0.35">
      <c r="H4998" s="83">
        <f t="shared" si="125"/>
        <v>0</v>
      </c>
    </row>
    <row r="4999" spans="8:8" hidden="1" x14ac:dyDescent="0.35">
      <c r="H4999" s="83">
        <f t="shared" si="125"/>
        <v>0</v>
      </c>
    </row>
    <row r="5000" spans="8:8" hidden="1" x14ac:dyDescent="0.35">
      <c r="H5000" s="83">
        <f t="shared" si="125"/>
        <v>0</v>
      </c>
    </row>
    <row r="5001" spans="8:8" hidden="1" x14ac:dyDescent="0.35">
      <c r="H5001" s="83">
        <f t="shared" si="125"/>
        <v>0</v>
      </c>
    </row>
    <row r="5002" spans="8:8" hidden="1" x14ac:dyDescent="0.35">
      <c r="H5002" s="83">
        <f t="shared" si="125"/>
        <v>0</v>
      </c>
    </row>
    <row r="5003" spans="8:8" hidden="1" x14ac:dyDescent="0.35">
      <c r="H5003" s="83">
        <f t="shared" si="125"/>
        <v>0</v>
      </c>
    </row>
    <row r="5004" spans="8:8" hidden="1" x14ac:dyDescent="0.35">
      <c r="H5004" s="83">
        <f t="shared" si="125"/>
        <v>0</v>
      </c>
    </row>
    <row r="5005" spans="8:8" hidden="1" x14ac:dyDescent="0.35">
      <c r="H5005" s="83">
        <f t="shared" si="125"/>
        <v>0</v>
      </c>
    </row>
    <row r="5006" spans="8:8" hidden="1" x14ac:dyDescent="0.35">
      <c r="H5006" s="83">
        <f t="shared" si="125"/>
        <v>0</v>
      </c>
    </row>
    <row r="5007" spans="8:8" hidden="1" x14ac:dyDescent="0.35">
      <c r="H5007" s="83">
        <f t="shared" si="125"/>
        <v>0</v>
      </c>
    </row>
    <row r="5008" spans="8:8" hidden="1" x14ac:dyDescent="0.35">
      <c r="H5008" s="83">
        <f t="shared" si="125"/>
        <v>0</v>
      </c>
    </row>
    <row r="5009" spans="8:8" hidden="1" x14ac:dyDescent="0.35">
      <c r="H5009" s="83">
        <f t="shared" si="125"/>
        <v>0</v>
      </c>
    </row>
    <row r="5010" spans="8:8" hidden="1" x14ac:dyDescent="0.35">
      <c r="H5010" s="83">
        <f t="shared" si="125"/>
        <v>0</v>
      </c>
    </row>
    <row r="5011" spans="8:8" hidden="1" x14ac:dyDescent="0.35">
      <c r="H5011" s="83">
        <f t="shared" si="125"/>
        <v>0</v>
      </c>
    </row>
    <row r="5012" spans="8:8" hidden="1" x14ac:dyDescent="0.35">
      <c r="H5012" s="83">
        <f t="shared" si="125"/>
        <v>0</v>
      </c>
    </row>
    <row r="5013" spans="8:8" hidden="1" x14ac:dyDescent="0.35">
      <c r="H5013" s="83">
        <f t="shared" si="125"/>
        <v>0</v>
      </c>
    </row>
    <row r="5014" spans="8:8" hidden="1" x14ac:dyDescent="0.35">
      <c r="H5014" s="83">
        <f t="shared" si="125"/>
        <v>0</v>
      </c>
    </row>
    <row r="5015" spans="8:8" hidden="1" x14ac:dyDescent="0.35">
      <c r="H5015" s="83">
        <f t="shared" si="125"/>
        <v>0</v>
      </c>
    </row>
    <row r="5016" spans="8:8" hidden="1" x14ac:dyDescent="0.35">
      <c r="H5016" s="83">
        <f t="shared" si="125"/>
        <v>0</v>
      </c>
    </row>
    <row r="5017" spans="8:8" hidden="1" x14ac:dyDescent="0.35">
      <c r="H5017" s="83">
        <f t="shared" si="125"/>
        <v>0</v>
      </c>
    </row>
    <row r="5018" spans="8:8" hidden="1" x14ac:dyDescent="0.35">
      <c r="H5018" s="83">
        <f t="shared" si="125"/>
        <v>0</v>
      </c>
    </row>
    <row r="5019" spans="8:8" hidden="1" x14ac:dyDescent="0.35">
      <c r="H5019" s="83">
        <f t="shared" si="125"/>
        <v>0</v>
      </c>
    </row>
    <row r="5020" spans="8:8" hidden="1" x14ac:dyDescent="0.35">
      <c r="H5020" s="83">
        <f t="shared" si="125"/>
        <v>0</v>
      </c>
    </row>
    <row r="5021" spans="8:8" hidden="1" x14ac:dyDescent="0.35">
      <c r="H5021" s="83">
        <f t="shared" si="125"/>
        <v>0</v>
      </c>
    </row>
    <row r="5022" spans="8:8" hidden="1" x14ac:dyDescent="0.35">
      <c r="H5022" s="83">
        <f t="shared" si="125"/>
        <v>0</v>
      </c>
    </row>
    <row r="5023" spans="8:8" hidden="1" x14ac:dyDescent="0.35">
      <c r="H5023" s="83">
        <f t="shared" si="125"/>
        <v>0</v>
      </c>
    </row>
    <row r="5024" spans="8:8" hidden="1" x14ac:dyDescent="0.35">
      <c r="H5024" s="83">
        <f t="shared" si="125"/>
        <v>0</v>
      </c>
    </row>
    <row r="5025" spans="8:8" hidden="1" x14ac:dyDescent="0.35">
      <c r="H5025" s="83">
        <f t="shared" si="125"/>
        <v>0</v>
      </c>
    </row>
    <row r="5026" spans="8:8" hidden="1" x14ac:dyDescent="0.35">
      <c r="H5026" s="83">
        <f t="shared" si="125"/>
        <v>0</v>
      </c>
    </row>
    <row r="5027" spans="8:8" hidden="1" x14ac:dyDescent="0.35">
      <c r="H5027" s="83">
        <f t="shared" si="125"/>
        <v>0</v>
      </c>
    </row>
    <row r="5028" spans="8:8" hidden="1" x14ac:dyDescent="0.35">
      <c r="H5028" s="83">
        <f t="shared" si="125"/>
        <v>0</v>
      </c>
    </row>
    <row r="5029" spans="8:8" hidden="1" x14ac:dyDescent="0.35">
      <c r="H5029" s="83">
        <f t="shared" si="125"/>
        <v>0</v>
      </c>
    </row>
    <row r="5030" spans="8:8" hidden="1" x14ac:dyDescent="0.35">
      <c r="H5030" s="83">
        <f t="shared" si="125"/>
        <v>0</v>
      </c>
    </row>
    <row r="5031" spans="8:8" hidden="1" x14ac:dyDescent="0.35">
      <c r="H5031" s="83">
        <f t="shared" si="125"/>
        <v>0</v>
      </c>
    </row>
    <row r="5032" spans="8:8" hidden="1" x14ac:dyDescent="0.35">
      <c r="H5032" s="83">
        <f t="shared" si="125"/>
        <v>0</v>
      </c>
    </row>
    <row r="5033" spans="8:8" hidden="1" x14ac:dyDescent="0.35">
      <c r="H5033" s="83">
        <f t="shared" si="125"/>
        <v>0</v>
      </c>
    </row>
    <row r="5034" spans="8:8" hidden="1" x14ac:dyDescent="0.35">
      <c r="H5034" s="83">
        <f t="shared" si="125"/>
        <v>0</v>
      </c>
    </row>
    <row r="5035" spans="8:8" hidden="1" x14ac:dyDescent="0.35">
      <c r="H5035" s="83">
        <f t="shared" si="125"/>
        <v>0</v>
      </c>
    </row>
    <row r="5036" spans="8:8" hidden="1" x14ac:dyDescent="0.35">
      <c r="H5036" s="83">
        <f t="shared" si="125"/>
        <v>0</v>
      </c>
    </row>
    <row r="5037" spans="8:8" hidden="1" x14ac:dyDescent="0.35">
      <c r="H5037" s="83">
        <f t="shared" si="125"/>
        <v>0</v>
      </c>
    </row>
    <row r="5038" spans="8:8" hidden="1" x14ac:dyDescent="0.35">
      <c r="H5038" s="83">
        <f t="shared" si="125"/>
        <v>0</v>
      </c>
    </row>
    <row r="5039" spans="8:8" hidden="1" x14ac:dyDescent="0.35">
      <c r="H5039" s="83">
        <f t="shared" si="125"/>
        <v>0</v>
      </c>
    </row>
    <row r="5040" spans="8:8" hidden="1" x14ac:dyDescent="0.35">
      <c r="H5040" s="83">
        <f t="shared" si="125"/>
        <v>0</v>
      </c>
    </row>
    <row r="5041" spans="8:8" hidden="1" x14ac:dyDescent="0.35">
      <c r="H5041" s="83">
        <f t="shared" si="125"/>
        <v>0</v>
      </c>
    </row>
    <row r="5042" spans="8:8" hidden="1" x14ac:dyDescent="0.35">
      <c r="H5042" s="83">
        <f t="shared" si="125"/>
        <v>0</v>
      </c>
    </row>
    <row r="5043" spans="8:8" hidden="1" x14ac:dyDescent="0.35">
      <c r="H5043" s="83">
        <f t="shared" si="125"/>
        <v>0</v>
      </c>
    </row>
    <row r="5044" spans="8:8" hidden="1" x14ac:dyDescent="0.35">
      <c r="H5044" s="83">
        <f t="shared" si="125"/>
        <v>0</v>
      </c>
    </row>
    <row r="5045" spans="8:8" hidden="1" x14ac:dyDescent="0.35">
      <c r="H5045" s="83">
        <f t="shared" si="125"/>
        <v>0</v>
      </c>
    </row>
    <row r="5046" spans="8:8" hidden="1" x14ac:dyDescent="0.35">
      <c r="H5046" s="83">
        <f t="shared" si="125"/>
        <v>0</v>
      </c>
    </row>
    <row r="5047" spans="8:8" hidden="1" x14ac:dyDescent="0.35">
      <c r="H5047" s="83">
        <f t="shared" si="125"/>
        <v>0</v>
      </c>
    </row>
    <row r="5048" spans="8:8" hidden="1" x14ac:dyDescent="0.35">
      <c r="H5048" s="83">
        <f t="shared" si="125"/>
        <v>0</v>
      </c>
    </row>
    <row r="5049" spans="8:8" hidden="1" x14ac:dyDescent="0.35">
      <c r="H5049" s="83">
        <f t="shared" si="125"/>
        <v>0</v>
      </c>
    </row>
    <row r="5050" spans="8:8" hidden="1" x14ac:dyDescent="0.35">
      <c r="H5050" s="83">
        <f t="shared" si="125"/>
        <v>0</v>
      </c>
    </row>
    <row r="5051" spans="8:8" hidden="1" x14ac:dyDescent="0.35">
      <c r="H5051" s="83">
        <f t="shared" si="125"/>
        <v>0</v>
      </c>
    </row>
    <row r="5052" spans="8:8" hidden="1" x14ac:dyDescent="0.35">
      <c r="H5052" s="83">
        <f t="shared" si="125"/>
        <v>0</v>
      </c>
    </row>
    <row r="5053" spans="8:8" hidden="1" x14ac:dyDescent="0.35">
      <c r="H5053" s="83">
        <f t="shared" si="125"/>
        <v>0</v>
      </c>
    </row>
    <row r="5054" spans="8:8" hidden="1" x14ac:dyDescent="0.35">
      <c r="H5054" s="83">
        <f t="shared" si="125"/>
        <v>0</v>
      </c>
    </row>
    <row r="5055" spans="8:8" hidden="1" x14ac:dyDescent="0.35">
      <c r="H5055" s="83">
        <f t="shared" si="125"/>
        <v>0</v>
      </c>
    </row>
    <row r="5056" spans="8:8" hidden="1" x14ac:dyDescent="0.35">
      <c r="H5056" s="83">
        <f t="shared" si="125"/>
        <v>0</v>
      </c>
    </row>
    <row r="5057" spans="8:8" hidden="1" x14ac:dyDescent="0.35">
      <c r="H5057" s="83">
        <f t="shared" si="125"/>
        <v>0</v>
      </c>
    </row>
    <row r="5058" spans="8:8" hidden="1" x14ac:dyDescent="0.35">
      <c r="H5058" s="83">
        <f t="shared" si="125"/>
        <v>0</v>
      </c>
    </row>
    <row r="5059" spans="8:8" hidden="1" x14ac:dyDescent="0.35">
      <c r="H5059" s="83">
        <f t="shared" si="125"/>
        <v>0</v>
      </c>
    </row>
    <row r="5060" spans="8:8" hidden="1" x14ac:dyDescent="0.35">
      <c r="H5060" s="83">
        <f t="shared" ref="H5060:H5123" si="126">J5060-I5060</f>
        <v>0</v>
      </c>
    </row>
    <row r="5061" spans="8:8" hidden="1" x14ac:dyDescent="0.35">
      <c r="H5061" s="83">
        <f t="shared" si="126"/>
        <v>0</v>
      </c>
    </row>
    <row r="5062" spans="8:8" hidden="1" x14ac:dyDescent="0.35">
      <c r="H5062" s="83">
        <f t="shared" si="126"/>
        <v>0</v>
      </c>
    </row>
    <row r="5063" spans="8:8" hidden="1" x14ac:dyDescent="0.35">
      <c r="H5063" s="83">
        <f t="shared" si="126"/>
        <v>0</v>
      </c>
    </row>
    <row r="5064" spans="8:8" hidden="1" x14ac:dyDescent="0.35">
      <c r="H5064" s="83">
        <f t="shared" si="126"/>
        <v>0</v>
      </c>
    </row>
    <row r="5065" spans="8:8" hidden="1" x14ac:dyDescent="0.35">
      <c r="H5065" s="83">
        <f t="shared" si="126"/>
        <v>0</v>
      </c>
    </row>
    <row r="5066" spans="8:8" hidden="1" x14ac:dyDescent="0.35">
      <c r="H5066" s="83">
        <f t="shared" si="126"/>
        <v>0</v>
      </c>
    </row>
    <row r="5067" spans="8:8" hidden="1" x14ac:dyDescent="0.35">
      <c r="H5067" s="83">
        <f t="shared" si="126"/>
        <v>0</v>
      </c>
    </row>
    <row r="5068" spans="8:8" hidden="1" x14ac:dyDescent="0.35">
      <c r="H5068" s="83">
        <f t="shared" si="126"/>
        <v>0</v>
      </c>
    </row>
    <row r="5069" spans="8:8" hidden="1" x14ac:dyDescent="0.35">
      <c r="H5069" s="83">
        <f t="shared" si="126"/>
        <v>0</v>
      </c>
    </row>
    <row r="5070" spans="8:8" hidden="1" x14ac:dyDescent="0.35">
      <c r="H5070" s="83">
        <f t="shared" si="126"/>
        <v>0</v>
      </c>
    </row>
    <row r="5071" spans="8:8" hidden="1" x14ac:dyDescent="0.35">
      <c r="H5071" s="83">
        <f t="shared" si="126"/>
        <v>0</v>
      </c>
    </row>
    <row r="5072" spans="8:8" hidden="1" x14ac:dyDescent="0.35">
      <c r="H5072" s="83">
        <f t="shared" si="126"/>
        <v>0</v>
      </c>
    </row>
    <row r="5073" spans="8:8" hidden="1" x14ac:dyDescent="0.35">
      <c r="H5073" s="83">
        <f t="shared" si="126"/>
        <v>0</v>
      </c>
    </row>
    <row r="5074" spans="8:8" hidden="1" x14ac:dyDescent="0.35">
      <c r="H5074" s="83">
        <f t="shared" si="126"/>
        <v>0</v>
      </c>
    </row>
    <row r="5075" spans="8:8" hidden="1" x14ac:dyDescent="0.35">
      <c r="H5075" s="83">
        <f t="shared" si="126"/>
        <v>0</v>
      </c>
    </row>
    <row r="5076" spans="8:8" hidden="1" x14ac:dyDescent="0.35">
      <c r="H5076" s="83">
        <f t="shared" si="126"/>
        <v>0</v>
      </c>
    </row>
    <row r="5077" spans="8:8" hidden="1" x14ac:dyDescent="0.35">
      <c r="H5077" s="83">
        <f t="shared" si="126"/>
        <v>0</v>
      </c>
    </row>
    <row r="5078" spans="8:8" hidden="1" x14ac:dyDescent="0.35">
      <c r="H5078" s="83">
        <f t="shared" si="126"/>
        <v>0</v>
      </c>
    </row>
    <row r="5079" spans="8:8" hidden="1" x14ac:dyDescent="0.35">
      <c r="H5079" s="83">
        <f t="shared" si="126"/>
        <v>0</v>
      </c>
    </row>
    <row r="5080" spans="8:8" hidden="1" x14ac:dyDescent="0.35">
      <c r="H5080" s="83">
        <f t="shared" si="126"/>
        <v>0</v>
      </c>
    </row>
    <row r="5081" spans="8:8" hidden="1" x14ac:dyDescent="0.35">
      <c r="H5081" s="83">
        <f t="shared" si="126"/>
        <v>0</v>
      </c>
    </row>
    <row r="5082" spans="8:8" hidden="1" x14ac:dyDescent="0.35">
      <c r="H5082" s="83">
        <f t="shared" si="126"/>
        <v>0</v>
      </c>
    </row>
    <row r="5083" spans="8:8" hidden="1" x14ac:dyDescent="0.35">
      <c r="H5083" s="83">
        <f t="shared" si="126"/>
        <v>0</v>
      </c>
    </row>
    <row r="5084" spans="8:8" hidden="1" x14ac:dyDescent="0.35">
      <c r="H5084" s="83">
        <f t="shared" si="126"/>
        <v>0</v>
      </c>
    </row>
    <row r="5085" spans="8:8" hidden="1" x14ac:dyDescent="0.35">
      <c r="H5085" s="83">
        <f t="shared" si="126"/>
        <v>0</v>
      </c>
    </row>
    <row r="5086" spans="8:8" hidden="1" x14ac:dyDescent="0.35">
      <c r="H5086" s="83">
        <f t="shared" si="126"/>
        <v>0</v>
      </c>
    </row>
    <row r="5087" spans="8:8" hidden="1" x14ac:dyDescent="0.35">
      <c r="H5087" s="83">
        <f t="shared" si="126"/>
        <v>0</v>
      </c>
    </row>
    <row r="5088" spans="8:8" hidden="1" x14ac:dyDescent="0.35">
      <c r="H5088" s="83">
        <f t="shared" si="126"/>
        <v>0</v>
      </c>
    </row>
    <row r="5089" spans="8:8" hidden="1" x14ac:dyDescent="0.35">
      <c r="H5089" s="83">
        <f t="shared" si="126"/>
        <v>0</v>
      </c>
    </row>
    <row r="5090" spans="8:8" hidden="1" x14ac:dyDescent="0.35">
      <c r="H5090" s="83">
        <f t="shared" si="126"/>
        <v>0</v>
      </c>
    </row>
    <row r="5091" spans="8:8" hidden="1" x14ac:dyDescent="0.35">
      <c r="H5091" s="83">
        <f t="shared" si="126"/>
        <v>0</v>
      </c>
    </row>
    <row r="5092" spans="8:8" hidden="1" x14ac:dyDescent="0.35">
      <c r="H5092" s="83">
        <f t="shared" si="126"/>
        <v>0</v>
      </c>
    </row>
    <row r="5093" spans="8:8" hidden="1" x14ac:dyDescent="0.35">
      <c r="H5093" s="83">
        <f t="shared" si="126"/>
        <v>0</v>
      </c>
    </row>
    <row r="5094" spans="8:8" hidden="1" x14ac:dyDescent="0.35">
      <c r="H5094" s="83">
        <f t="shared" si="126"/>
        <v>0</v>
      </c>
    </row>
    <row r="5095" spans="8:8" hidden="1" x14ac:dyDescent="0.35">
      <c r="H5095" s="83">
        <f t="shared" si="126"/>
        <v>0</v>
      </c>
    </row>
    <row r="5096" spans="8:8" hidden="1" x14ac:dyDescent="0.35">
      <c r="H5096" s="83">
        <f t="shared" si="126"/>
        <v>0</v>
      </c>
    </row>
    <row r="5097" spans="8:8" hidden="1" x14ac:dyDescent="0.35">
      <c r="H5097" s="83">
        <f t="shared" si="126"/>
        <v>0</v>
      </c>
    </row>
    <row r="5098" spans="8:8" hidden="1" x14ac:dyDescent="0.35">
      <c r="H5098" s="83">
        <f t="shared" si="126"/>
        <v>0</v>
      </c>
    </row>
    <row r="5099" spans="8:8" hidden="1" x14ac:dyDescent="0.35">
      <c r="H5099" s="83">
        <f t="shared" si="126"/>
        <v>0</v>
      </c>
    </row>
    <row r="5100" spans="8:8" hidden="1" x14ac:dyDescent="0.35">
      <c r="H5100" s="83">
        <f t="shared" si="126"/>
        <v>0</v>
      </c>
    </row>
    <row r="5101" spans="8:8" hidden="1" x14ac:dyDescent="0.35">
      <c r="H5101" s="83">
        <f t="shared" si="126"/>
        <v>0</v>
      </c>
    </row>
    <row r="5102" spans="8:8" hidden="1" x14ac:dyDescent="0.35">
      <c r="H5102" s="83">
        <f t="shared" si="126"/>
        <v>0</v>
      </c>
    </row>
    <row r="5103" spans="8:8" hidden="1" x14ac:dyDescent="0.35">
      <c r="H5103" s="83">
        <f t="shared" si="126"/>
        <v>0</v>
      </c>
    </row>
    <row r="5104" spans="8:8" hidden="1" x14ac:dyDescent="0.35">
      <c r="H5104" s="83">
        <f t="shared" si="126"/>
        <v>0</v>
      </c>
    </row>
    <row r="5105" spans="8:8" hidden="1" x14ac:dyDescent="0.35">
      <c r="H5105" s="83">
        <f t="shared" si="126"/>
        <v>0</v>
      </c>
    </row>
    <row r="5106" spans="8:8" hidden="1" x14ac:dyDescent="0.35">
      <c r="H5106" s="83">
        <f t="shared" si="126"/>
        <v>0</v>
      </c>
    </row>
    <row r="5107" spans="8:8" hidden="1" x14ac:dyDescent="0.35">
      <c r="H5107" s="83">
        <f t="shared" si="126"/>
        <v>0</v>
      </c>
    </row>
    <row r="5108" spans="8:8" hidden="1" x14ac:dyDescent="0.35">
      <c r="H5108" s="83">
        <f t="shared" si="126"/>
        <v>0</v>
      </c>
    </row>
    <row r="5109" spans="8:8" hidden="1" x14ac:dyDescent="0.35">
      <c r="H5109" s="83">
        <f t="shared" si="126"/>
        <v>0</v>
      </c>
    </row>
    <row r="5110" spans="8:8" hidden="1" x14ac:dyDescent="0.35">
      <c r="H5110" s="83">
        <f t="shared" si="126"/>
        <v>0</v>
      </c>
    </row>
    <row r="5111" spans="8:8" hidden="1" x14ac:dyDescent="0.35">
      <c r="H5111" s="83">
        <f t="shared" si="126"/>
        <v>0</v>
      </c>
    </row>
    <row r="5112" spans="8:8" hidden="1" x14ac:dyDescent="0.35">
      <c r="H5112" s="83">
        <f t="shared" si="126"/>
        <v>0</v>
      </c>
    </row>
    <row r="5113" spans="8:8" hidden="1" x14ac:dyDescent="0.35">
      <c r="H5113" s="83">
        <f t="shared" si="126"/>
        <v>0</v>
      </c>
    </row>
    <row r="5114" spans="8:8" hidden="1" x14ac:dyDescent="0.35">
      <c r="H5114" s="83">
        <f t="shared" si="126"/>
        <v>0</v>
      </c>
    </row>
    <row r="5115" spans="8:8" hidden="1" x14ac:dyDescent="0.35">
      <c r="H5115" s="83">
        <f t="shared" si="126"/>
        <v>0</v>
      </c>
    </row>
    <row r="5116" spans="8:8" hidden="1" x14ac:dyDescent="0.35">
      <c r="H5116" s="83">
        <f t="shared" si="126"/>
        <v>0</v>
      </c>
    </row>
    <row r="5117" spans="8:8" hidden="1" x14ac:dyDescent="0.35">
      <c r="H5117" s="83">
        <f t="shared" si="126"/>
        <v>0</v>
      </c>
    </row>
    <row r="5118" spans="8:8" hidden="1" x14ac:dyDescent="0.35">
      <c r="H5118" s="83">
        <f t="shared" si="126"/>
        <v>0</v>
      </c>
    </row>
    <row r="5119" spans="8:8" hidden="1" x14ac:dyDescent="0.35">
      <c r="H5119" s="83">
        <f t="shared" si="126"/>
        <v>0</v>
      </c>
    </row>
    <row r="5120" spans="8:8" hidden="1" x14ac:dyDescent="0.35">
      <c r="H5120" s="83">
        <f t="shared" si="126"/>
        <v>0</v>
      </c>
    </row>
    <row r="5121" spans="8:8" hidden="1" x14ac:dyDescent="0.35">
      <c r="H5121" s="83">
        <f t="shared" si="126"/>
        <v>0</v>
      </c>
    </row>
    <row r="5122" spans="8:8" hidden="1" x14ac:dyDescent="0.35">
      <c r="H5122" s="83">
        <f t="shared" si="126"/>
        <v>0</v>
      </c>
    </row>
    <row r="5123" spans="8:8" hidden="1" x14ac:dyDescent="0.35">
      <c r="H5123" s="83">
        <f t="shared" si="126"/>
        <v>0</v>
      </c>
    </row>
    <row r="5124" spans="8:8" hidden="1" x14ac:dyDescent="0.35">
      <c r="H5124" s="83">
        <f t="shared" ref="H5124:H5187" si="127">J5124-I5124</f>
        <v>0</v>
      </c>
    </row>
    <row r="5125" spans="8:8" hidden="1" x14ac:dyDescent="0.35">
      <c r="H5125" s="83">
        <f t="shared" si="127"/>
        <v>0</v>
      </c>
    </row>
    <row r="5126" spans="8:8" hidden="1" x14ac:dyDescent="0.35">
      <c r="H5126" s="83">
        <f t="shared" si="127"/>
        <v>0</v>
      </c>
    </row>
    <row r="5127" spans="8:8" hidden="1" x14ac:dyDescent="0.35">
      <c r="H5127" s="83">
        <f t="shared" si="127"/>
        <v>0</v>
      </c>
    </row>
    <row r="5128" spans="8:8" hidden="1" x14ac:dyDescent="0.35">
      <c r="H5128" s="83">
        <f t="shared" si="127"/>
        <v>0</v>
      </c>
    </row>
    <row r="5129" spans="8:8" hidden="1" x14ac:dyDescent="0.35">
      <c r="H5129" s="83">
        <f t="shared" si="127"/>
        <v>0</v>
      </c>
    </row>
    <row r="5130" spans="8:8" hidden="1" x14ac:dyDescent="0.35">
      <c r="H5130" s="83">
        <f t="shared" si="127"/>
        <v>0</v>
      </c>
    </row>
    <row r="5131" spans="8:8" hidden="1" x14ac:dyDescent="0.35">
      <c r="H5131" s="83">
        <f t="shared" si="127"/>
        <v>0</v>
      </c>
    </row>
    <row r="5132" spans="8:8" hidden="1" x14ac:dyDescent="0.35">
      <c r="H5132" s="83">
        <f t="shared" si="127"/>
        <v>0</v>
      </c>
    </row>
    <row r="5133" spans="8:8" hidden="1" x14ac:dyDescent="0.35">
      <c r="H5133" s="83">
        <f t="shared" si="127"/>
        <v>0</v>
      </c>
    </row>
    <row r="5134" spans="8:8" hidden="1" x14ac:dyDescent="0.35">
      <c r="H5134" s="83">
        <f t="shared" si="127"/>
        <v>0</v>
      </c>
    </row>
    <row r="5135" spans="8:8" hidden="1" x14ac:dyDescent="0.35">
      <c r="H5135" s="83">
        <f t="shared" si="127"/>
        <v>0</v>
      </c>
    </row>
    <row r="5136" spans="8:8" hidden="1" x14ac:dyDescent="0.35">
      <c r="H5136" s="83">
        <f t="shared" si="127"/>
        <v>0</v>
      </c>
    </row>
    <row r="5137" spans="8:8" hidden="1" x14ac:dyDescent="0.35">
      <c r="H5137" s="83">
        <f t="shared" si="127"/>
        <v>0</v>
      </c>
    </row>
    <row r="5138" spans="8:8" hidden="1" x14ac:dyDescent="0.35">
      <c r="H5138" s="83">
        <f t="shared" si="127"/>
        <v>0</v>
      </c>
    </row>
    <row r="5139" spans="8:8" hidden="1" x14ac:dyDescent="0.35">
      <c r="H5139" s="83">
        <f t="shared" si="127"/>
        <v>0</v>
      </c>
    </row>
    <row r="5140" spans="8:8" hidden="1" x14ac:dyDescent="0.35">
      <c r="H5140" s="83">
        <f t="shared" si="127"/>
        <v>0</v>
      </c>
    </row>
    <row r="5141" spans="8:8" hidden="1" x14ac:dyDescent="0.35">
      <c r="H5141" s="83">
        <f t="shared" si="127"/>
        <v>0</v>
      </c>
    </row>
    <row r="5142" spans="8:8" hidden="1" x14ac:dyDescent="0.35">
      <c r="H5142" s="83">
        <f t="shared" si="127"/>
        <v>0</v>
      </c>
    </row>
    <row r="5143" spans="8:8" hidden="1" x14ac:dyDescent="0.35">
      <c r="H5143" s="83">
        <f t="shared" si="127"/>
        <v>0</v>
      </c>
    </row>
    <row r="5144" spans="8:8" hidden="1" x14ac:dyDescent="0.35">
      <c r="H5144" s="83">
        <f t="shared" si="127"/>
        <v>0</v>
      </c>
    </row>
    <row r="5145" spans="8:8" hidden="1" x14ac:dyDescent="0.35">
      <c r="H5145" s="83">
        <f t="shared" si="127"/>
        <v>0</v>
      </c>
    </row>
    <row r="5146" spans="8:8" hidden="1" x14ac:dyDescent="0.35">
      <c r="H5146" s="83">
        <f t="shared" si="127"/>
        <v>0</v>
      </c>
    </row>
    <row r="5147" spans="8:8" hidden="1" x14ac:dyDescent="0.35">
      <c r="H5147" s="83">
        <f t="shared" si="127"/>
        <v>0</v>
      </c>
    </row>
    <row r="5148" spans="8:8" hidden="1" x14ac:dyDescent="0.35">
      <c r="H5148" s="83">
        <f t="shared" si="127"/>
        <v>0</v>
      </c>
    </row>
    <row r="5149" spans="8:8" hidden="1" x14ac:dyDescent="0.35">
      <c r="H5149" s="83">
        <f t="shared" si="127"/>
        <v>0</v>
      </c>
    </row>
    <row r="5150" spans="8:8" hidden="1" x14ac:dyDescent="0.35">
      <c r="H5150" s="83">
        <f t="shared" si="127"/>
        <v>0</v>
      </c>
    </row>
    <row r="5151" spans="8:8" hidden="1" x14ac:dyDescent="0.35">
      <c r="H5151" s="83">
        <f t="shared" si="127"/>
        <v>0</v>
      </c>
    </row>
    <row r="5152" spans="8:8" hidden="1" x14ac:dyDescent="0.35">
      <c r="H5152" s="83">
        <f t="shared" si="127"/>
        <v>0</v>
      </c>
    </row>
    <row r="5153" spans="8:8" hidden="1" x14ac:dyDescent="0.35">
      <c r="H5153" s="83">
        <f t="shared" si="127"/>
        <v>0</v>
      </c>
    </row>
    <row r="5154" spans="8:8" hidden="1" x14ac:dyDescent="0.35">
      <c r="H5154" s="83">
        <f t="shared" si="127"/>
        <v>0</v>
      </c>
    </row>
    <row r="5155" spans="8:8" hidden="1" x14ac:dyDescent="0.35">
      <c r="H5155" s="83">
        <f t="shared" si="127"/>
        <v>0</v>
      </c>
    </row>
    <row r="5156" spans="8:8" hidden="1" x14ac:dyDescent="0.35">
      <c r="H5156" s="83">
        <f t="shared" si="127"/>
        <v>0</v>
      </c>
    </row>
    <row r="5157" spans="8:8" hidden="1" x14ac:dyDescent="0.35">
      <c r="H5157" s="83">
        <f t="shared" si="127"/>
        <v>0</v>
      </c>
    </row>
    <row r="5158" spans="8:8" hidden="1" x14ac:dyDescent="0.35">
      <c r="H5158" s="83">
        <f t="shared" si="127"/>
        <v>0</v>
      </c>
    </row>
    <row r="5159" spans="8:8" hidden="1" x14ac:dyDescent="0.35">
      <c r="H5159" s="83">
        <f t="shared" si="127"/>
        <v>0</v>
      </c>
    </row>
    <row r="5160" spans="8:8" hidden="1" x14ac:dyDescent="0.35">
      <c r="H5160" s="83">
        <f t="shared" si="127"/>
        <v>0</v>
      </c>
    </row>
    <row r="5161" spans="8:8" hidden="1" x14ac:dyDescent="0.35">
      <c r="H5161" s="83">
        <f t="shared" si="127"/>
        <v>0</v>
      </c>
    </row>
    <row r="5162" spans="8:8" hidden="1" x14ac:dyDescent="0.35">
      <c r="H5162" s="83">
        <f t="shared" si="127"/>
        <v>0</v>
      </c>
    </row>
    <row r="5163" spans="8:8" hidden="1" x14ac:dyDescent="0.35">
      <c r="H5163" s="83">
        <f t="shared" si="127"/>
        <v>0</v>
      </c>
    </row>
    <row r="5164" spans="8:8" hidden="1" x14ac:dyDescent="0.35">
      <c r="H5164" s="83">
        <f t="shared" si="127"/>
        <v>0</v>
      </c>
    </row>
    <row r="5165" spans="8:8" hidden="1" x14ac:dyDescent="0.35">
      <c r="H5165" s="83">
        <f t="shared" si="127"/>
        <v>0</v>
      </c>
    </row>
    <row r="5166" spans="8:8" hidden="1" x14ac:dyDescent="0.35">
      <c r="H5166" s="83">
        <f t="shared" si="127"/>
        <v>0</v>
      </c>
    </row>
    <row r="5167" spans="8:8" hidden="1" x14ac:dyDescent="0.35">
      <c r="H5167" s="83">
        <f t="shared" si="127"/>
        <v>0</v>
      </c>
    </row>
    <row r="5168" spans="8:8" hidden="1" x14ac:dyDescent="0.35">
      <c r="H5168" s="83">
        <f t="shared" si="127"/>
        <v>0</v>
      </c>
    </row>
    <row r="5169" spans="8:8" hidden="1" x14ac:dyDescent="0.35">
      <c r="H5169" s="83">
        <f t="shared" si="127"/>
        <v>0</v>
      </c>
    </row>
    <row r="5170" spans="8:8" hidden="1" x14ac:dyDescent="0.35">
      <c r="H5170" s="83">
        <f t="shared" si="127"/>
        <v>0</v>
      </c>
    </row>
    <row r="5171" spans="8:8" hidden="1" x14ac:dyDescent="0.35">
      <c r="H5171" s="83">
        <f t="shared" si="127"/>
        <v>0</v>
      </c>
    </row>
    <row r="5172" spans="8:8" hidden="1" x14ac:dyDescent="0.35">
      <c r="H5172" s="83">
        <f t="shared" si="127"/>
        <v>0</v>
      </c>
    </row>
    <row r="5173" spans="8:8" hidden="1" x14ac:dyDescent="0.35">
      <c r="H5173" s="83">
        <f t="shared" si="127"/>
        <v>0</v>
      </c>
    </row>
    <row r="5174" spans="8:8" hidden="1" x14ac:dyDescent="0.35">
      <c r="H5174" s="83">
        <f t="shared" si="127"/>
        <v>0</v>
      </c>
    </row>
    <row r="5175" spans="8:8" hidden="1" x14ac:dyDescent="0.35">
      <c r="H5175" s="83">
        <f t="shared" si="127"/>
        <v>0</v>
      </c>
    </row>
    <row r="5176" spans="8:8" hidden="1" x14ac:dyDescent="0.35">
      <c r="H5176" s="83">
        <f t="shared" si="127"/>
        <v>0</v>
      </c>
    </row>
    <row r="5177" spans="8:8" hidden="1" x14ac:dyDescent="0.35">
      <c r="H5177" s="83">
        <f t="shared" si="127"/>
        <v>0</v>
      </c>
    </row>
    <row r="5178" spans="8:8" hidden="1" x14ac:dyDescent="0.35">
      <c r="H5178" s="83">
        <f t="shared" si="127"/>
        <v>0</v>
      </c>
    </row>
    <row r="5179" spans="8:8" hidden="1" x14ac:dyDescent="0.35">
      <c r="H5179" s="83">
        <f t="shared" si="127"/>
        <v>0</v>
      </c>
    </row>
    <row r="5180" spans="8:8" hidden="1" x14ac:dyDescent="0.35">
      <c r="H5180" s="83">
        <f t="shared" si="127"/>
        <v>0</v>
      </c>
    </row>
    <row r="5181" spans="8:8" hidden="1" x14ac:dyDescent="0.35">
      <c r="H5181" s="83">
        <f t="shared" si="127"/>
        <v>0</v>
      </c>
    </row>
    <row r="5182" spans="8:8" hidden="1" x14ac:dyDescent="0.35">
      <c r="H5182" s="83">
        <f t="shared" si="127"/>
        <v>0</v>
      </c>
    </row>
    <row r="5183" spans="8:8" hidden="1" x14ac:dyDescent="0.35">
      <c r="H5183" s="83">
        <f t="shared" si="127"/>
        <v>0</v>
      </c>
    </row>
    <row r="5184" spans="8:8" hidden="1" x14ac:dyDescent="0.35">
      <c r="H5184" s="83">
        <f t="shared" si="127"/>
        <v>0</v>
      </c>
    </row>
    <row r="5185" spans="8:8" hidden="1" x14ac:dyDescent="0.35">
      <c r="H5185" s="83">
        <f t="shared" si="127"/>
        <v>0</v>
      </c>
    </row>
    <row r="5186" spans="8:8" hidden="1" x14ac:dyDescent="0.35">
      <c r="H5186" s="83">
        <f t="shared" si="127"/>
        <v>0</v>
      </c>
    </row>
    <row r="5187" spans="8:8" hidden="1" x14ac:dyDescent="0.35">
      <c r="H5187" s="83">
        <f t="shared" si="127"/>
        <v>0</v>
      </c>
    </row>
    <row r="5188" spans="8:8" hidden="1" x14ac:dyDescent="0.35">
      <c r="H5188" s="83">
        <f t="shared" ref="H5188:H5251" si="128">J5188-I5188</f>
        <v>0</v>
      </c>
    </row>
    <row r="5189" spans="8:8" hidden="1" x14ac:dyDescent="0.35">
      <c r="H5189" s="83">
        <f t="shared" si="128"/>
        <v>0</v>
      </c>
    </row>
    <row r="5190" spans="8:8" hidden="1" x14ac:dyDescent="0.35">
      <c r="H5190" s="83">
        <f t="shared" si="128"/>
        <v>0</v>
      </c>
    </row>
    <row r="5191" spans="8:8" hidden="1" x14ac:dyDescent="0.35">
      <c r="H5191" s="83">
        <f t="shared" si="128"/>
        <v>0</v>
      </c>
    </row>
    <row r="5192" spans="8:8" hidden="1" x14ac:dyDescent="0.35">
      <c r="H5192" s="83">
        <f t="shared" si="128"/>
        <v>0</v>
      </c>
    </row>
    <row r="5193" spans="8:8" hidden="1" x14ac:dyDescent="0.35">
      <c r="H5193" s="83">
        <f t="shared" si="128"/>
        <v>0</v>
      </c>
    </row>
    <row r="5194" spans="8:8" hidden="1" x14ac:dyDescent="0.35">
      <c r="H5194" s="83">
        <f t="shared" si="128"/>
        <v>0</v>
      </c>
    </row>
    <row r="5195" spans="8:8" hidden="1" x14ac:dyDescent="0.35">
      <c r="H5195" s="83">
        <f t="shared" si="128"/>
        <v>0</v>
      </c>
    </row>
    <row r="5196" spans="8:8" hidden="1" x14ac:dyDescent="0.35">
      <c r="H5196" s="83">
        <f t="shared" si="128"/>
        <v>0</v>
      </c>
    </row>
    <row r="5197" spans="8:8" hidden="1" x14ac:dyDescent="0.35">
      <c r="H5197" s="83">
        <f t="shared" si="128"/>
        <v>0</v>
      </c>
    </row>
    <row r="5198" spans="8:8" hidden="1" x14ac:dyDescent="0.35">
      <c r="H5198" s="83">
        <f t="shared" si="128"/>
        <v>0</v>
      </c>
    </row>
    <row r="5199" spans="8:8" hidden="1" x14ac:dyDescent="0.35">
      <c r="H5199" s="83">
        <f t="shared" si="128"/>
        <v>0</v>
      </c>
    </row>
    <row r="5200" spans="8:8" hidden="1" x14ac:dyDescent="0.35">
      <c r="H5200" s="83">
        <f t="shared" si="128"/>
        <v>0</v>
      </c>
    </row>
    <row r="5201" spans="8:8" hidden="1" x14ac:dyDescent="0.35">
      <c r="H5201" s="83">
        <f t="shared" si="128"/>
        <v>0</v>
      </c>
    </row>
    <row r="5202" spans="8:8" hidden="1" x14ac:dyDescent="0.35">
      <c r="H5202" s="83">
        <f t="shared" si="128"/>
        <v>0</v>
      </c>
    </row>
    <row r="5203" spans="8:8" hidden="1" x14ac:dyDescent="0.35">
      <c r="H5203" s="83">
        <f t="shared" si="128"/>
        <v>0</v>
      </c>
    </row>
    <row r="5204" spans="8:8" hidden="1" x14ac:dyDescent="0.35">
      <c r="H5204" s="83">
        <f t="shared" si="128"/>
        <v>0</v>
      </c>
    </row>
    <row r="5205" spans="8:8" hidden="1" x14ac:dyDescent="0.35">
      <c r="H5205" s="83">
        <f t="shared" si="128"/>
        <v>0</v>
      </c>
    </row>
    <row r="5206" spans="8:8" hidden="1" x14ac:dyDescent="0.35">
      <c r="H5206" s="83">
        <f t="shared" si="128"/>
        <v>0</v>
      </c>
    </row>
    <row r="5207" spans="8:8" hidden="1" x14ac:dyDescent="0.35">
      <c r="H5207" s="83">
        <f t="shared" si="128"/>
        <v>0</v>
      </c>
    </row>
    <row r="5208" spans="8:8" hidden="1" x14ac:dyDescent="0.35">
      <c r="H5208" s="83">
        <f t="shared" si="128"/>
        <v>0</v>
      </c>
    </row>
    <row r="5209" spans="8:8" hidden="1" x14ac:dyDescent="0.35">
      <c r="H5209" s="83">
        <f t="shared" si="128"/>
        <v>0</v>
      </c>
    </row>
    <row r="5210" spans="8:8" hidden="1" x14ac:dyDescent="0.35">
      <c r="H5210" s="83">
        <f t="shared" si="128"/>
        <v>0</v>
      </c>
    </row>
    <row r="5211" spans="8:8" hidden="1" x14ac:dyDescent="0.35">
      <c r="H5211" s="83">
        <f t="shared" si="128"/>
        <v>0</v>
      </c>
    </row>
    <row r="5212" spans="8:8" hidden="1" x14ac:dyDescent="0.35">
      <c r="H5212" s="83">
        <f t="shared" si="128"/>
        <v>0</v>
      </c>
    </row>
    <row r="5213" spans="8:8" hidden="1" x14ac:dyDescent="0.35">
      <c r="H5213" s="83">
        <f t="shared" si="128"/>
        <v>0</v>
      </c>
    </row>
    <row r="5214" spans="8:8" hidden="1" x14ac:dyDescent="0.35">
      <c r="H5214" s="83">
        <f t="shared" si="128"/>
        <v>0</v>
      </c>
    </row>
    <row r="5215" spans="8:8" hidden="1" x14ac:dyDescent="0.35">
      <c r="H5215" s="83">
        <f t="shared" si="128"/>
        <v>0</v>
      </c>
    </row>
    <row r="5216" spans="8:8" hidden="1" x14ac:dyDescent="0.35">
      <c r="H5216" s="83">
        <f t="shared" si="128"/>
        <v>0</v>
      </c>
    </row>
    <row r="5217" spans="8:8" hidden="1" x14ac:dyDescent="0.35">
      <c r="H5217" s="83">
        <f t="shared" si="128"/>
        <v>0</v>
      </c>
    </row>
    <row r="5218" spans="8:8" hidden="1" x14ac:dyDescent="0.35">
      <c r="H5218" s="83">
        <f t="shared" si="128"/>
        <v>0</v>
      </c>
    </row>
    <row r="5219" spans="8:8" hidden="1" x14ac:dyDescent="0.35">
      <c r="H5219" s="83">
        <f t="shared" si="128"/>
        <v>0</v>
      </c>
    </row>
    <row r="5220" spans="8:8" hidden="1" x14ac:dyDescent="0.35">
      <c r="H5220" s="83">
        <f t="shared" si="128"/>
        <v>0</v>
      </c>
    </row>
    <row r="5221" spans="8:8" hidden="1" x14ac:dyDescent="0.35">
      <c r="H5221" s="83">
        <f t="shared" si="128"/>
        <v>0</v>
      </c>
    </row>
    <row r="5222" spans="8:8" hidden="1" x14ac:dyDescent="0.35">
      <c r="H5222" s="83">
        <f t="shared" si="128"/>
        <v>0</v>
      </c>
    </row>
    <row r="5223" spans="8:8" hidden="1" x14ac:dyDescent="0.35">
      <c r="H5223" s="83">
        <f t="shared" si="128"/>
        <v>0</v>
      </c>
    </row>
    <row r="5224" spans="8:8" hidden="1" x14ac:dyDescent="0.35">
      <c r="H5224" s="83">
        <f t="shared" si="128"/>
        <v>0</v>
      </c>
    </row>
    <row r="5225" spans="8:8" hidden="1" x14ac:dyDescent="0.35">
      <c r="H5225" s="83">
        <f t="shared" si="128"/>
        <v>0</v>
      </c>
    </row>
    <row r="5226" spans="8:8" hidden="1" x14ac:dyDescent="0.35">
      <c r="H5226" s="83">
        <f t="shared" si="128"/>
        <v>0</v>
      </c>
    </row>
    <row r="5227" spans="8:8" hidden="1" x14ac:dyDescent="0.35">
      <c r="H5227" s="83">
        <f t="shared" si="128"/>
        <v>0</v>
      </c>
    </row>
    <row r="5228" spans="8:8" hidden="1" x14ac:dyDescent="0.35">
      <c r="H5228" s="83">
        <f t="shared" si="128"/>
        <v>0</v>
      </c>
    </row>
    <row r="5229" spans="8:8" hidden="1" x14ac:dyDescent="0.35">
      <c r="H5229" s="83">
        <f t="shared" si="128"/>
        <v>0</v>
      </c>
    </row>
    <row r="5230" spans="8:8" hidden="1" x14ac:dyDescent="0.35">
      <c r="H5230" s="83">
        <f t="shared" si="128"/>
        <v>0</v>
      </c>
    </row>
    <row r="5231" spans="8:8" hidden="1" x14ac:dyDescent="0.35">
      <c r="H5231" s="83">
        <f t="shared" si="128"/>
        <v>0</v>
      </c>
    </row>
    <row r="5232" spans="8:8" hidden="1" x14ac:dyDescent="0.35">
      <c r="H5232" s="83">
        <f t="shared" si="128"/>
        <v>0</v>
      </c>
    </row>
    <row r="5233" spans="8:8" hidden="1" x14ac:dyDescent="0.35">
      <c r="H5233" s="83">
        <f t="shared" si="128"/>
        <v>0</v>
      </c>
    </row>
    <row r="5234" spans="8:8" hidden="1" x14ac:dyDescent="0.35">
      <c r="H5234" s="83">
        <f t="shared" si="128"/>
        <v>0</v>
      </c>
    </row>
    <row r="5235" spans="8:8" hidden="1" x14ac:dyDescent="0.35">
      <c r="H5235" s="83">
        <f t="shared" si="128"/>
        <v>0</v>
      </c>
    </row>
    <row r="5236" spans="8:8" hidden="1" x14ac:dyDescent="0.35">
      <c r="H5236" s="83">
        <f t="shared" si="128"/>
        <v>0</v>
      </c>
    </row>
    <row r="5237" spans="8:8" hidden="1" x14ac:dyDescent="0.35">
      <c r="H5237" s="83">
        <f t="shared" si="128"/>
        <v>0</v>
      </c>
    </row>
    <row r="5238" spans="8:8" hidden="1" x14ac:dyDescent="0.35">
      <c r="H5238" s="83">
        <f t="shared" si="128"/>
        <v>0</v>
      </c>
    </row>
    <row r="5239" spans="8:8" hidden="1" x14ac:dyDescent="0.35">
      <c r="H5239" s="83">
        <f t="shared" si="128"/>
        <v>0</v>
      </c>
    </row>
    <row r="5240" spans="8:8" hidden="1" x14ac:dyDescent="0.35">
      <c r="H5240" s="83">
        <f t="shared" si="128"/>
        <v>0</v>
      </c>
    </row>
    <row r="5241" spans="8:8" hidden="1" x14ac:dyDescent="0.35">
      <c r="H5241" s="83">
        <f t="shared" si="128"/>
        <v>0</v>
      </c>
    </row>
    <row r="5242" spans="8:8" hidden="1" x14ac:dyDescent="0.35">
      <c r="H5242" s="83">
        <f t="shared" si="128"/>
        <v>0</v>
      </c>
    </row>
    <row r="5243" spans="8:8" hidden="1" x14ac:dyDescent="0.35">
      <c r="H5243" s="83">
        <f t="shared" si="128"/>
        <v>0</v>
      </c>
    </row>
    <row r="5244" spans="8:8" hidden="1" x14ac:dyDescent="0.35">
      <c r="H5244" s="83">
        <f t="shared" si="128"/>
        <v>0</v>
      </c>
    </row>
    <row r="5245" spans="8:8" hidden="1" x14ac:dyDescent="0.35">
      <c r="H5245" s="83">
        <f t="shared" si="128"/>
        <v>0</v>
      </c>
    </row>
    <row r="5246" spans="8:8" hidden="1" x14ac:dyDescent="0.35">
      <c r="H5246" s="83">
        <f t="shared" si="128"/>
        <v>0</v>
      </c>
    </row>
    <row r="5247" spans="8:8" hidden="1" x14ac:dyDescent="0.35">
      <c r="H5247" s="83">
        <f t="shared" si="128"/>
        <v>0</v>
      </c>
    </row>
    <row r="5248" spans="8:8" hidden="1" x14ac:dyDescent="0.35">
      <c r="H5248" s="83">
        <f t="shared" si="128"/>
        <v>0</v>
      </c>
    </row>
    <row r="5249" spans="8:8" hidden="1" x14ac:dyDescent="0.35">
      <c r="H5249" s="83">
        <f t="shared" si="128"/>
        <v>0</v>
      </c>
    </row>
    <row r="5250" spans="8:8" hidden="1" x14ac:dyDescent="0.35">
      <c r="H5250" s="83">
        <f t="shared" si="128"/>
        <v>0</v>
      </c>
    </row>
    <row r="5251" spans="8:8" hidden="1" x14ac:dyDescent="0.35">
      <c r="H5251" s="83">
        <f t="shared" si="128"/>
        <v>0</v>
      </c>
    </row>
    <row r="5252" spans="8:8" hidden="1" x14ac:dyDescent="0.35">
      <c r="H5252" s="83">
        <f t="shared" ref="H5252:H5315" si="129">J5252-I5252</f>
        <v>0</v>
      </c>
    </row>
    <row r="5253" spans="8:8" hidden="1" x14ac:dyDescent="0.35">
      <c r="H5253" s="83">
        <f t="shared" si="129"/>
        <v>0</v>
      </c>
    </row>
    <row r="5254" spans="8:8" hidden="1" x14ac:dyDescent="0.35">
      <c r="H5254" s="83">
        <f t="shared" si="129"/>
        <v>0</v>
      </c>
    </row>
    <row r="5255" spans="8:8" hidden="1" x14ac:dyDescent="0.35">
      <c r="H5255" s="83">
        <f t="shared" si="129"/>
        <v>0</v>
      </c>
    </row>
    <row r="5256" spans="8:8" hidden="1" x14ac:dyDescent="0.35">
      <c r="H5256" s="83">
        <f t="shared" si="129"/>
        <v>0</v>
      </c>
    </row>
    <row r="5257" spans="8:8" hidden="1" x14ac:dyDescent="0.35">
      <c r="H5257" s="83">
        <f t="shared" si="129"/>
        <v>0</v>
      </c>
    </row>
    <row r="5258" spans="8:8" hidden="1" x14ac:dyDescent="0.35">
      <c r="H5258" s="83">
        <f t="shared" si="129"/>
        <v>0</v>
      </c>
    </row>
    <row r="5259" spans="8:8" hidden="1" x14ac:dyDescent="0.35">
      <c r="H5259" s="83">
        <f t="shared" si="129"/>
        <v>0</v>
      </c>
    </row>
    <row r="5260" spans="8:8" hidden="1" x14ac:dyDescent="0.35">
      <c r="H5260" s="83">
        <f t="shared" si="129"/>
        <v>0</v>
      </c>
    </row>
    <row r="5261" spans="8:8" hidden="1" x14ac:dyDescent="0.35">
      <c r="H5261" s="83">
        <f t="shared" si="129"/>
        <v>0</v>
      </c>
    </row>
    <row r="5262" spans="8:8" hidden="1" x14ac:dyDescent="0.35">
      <c r="H5262" s="83">
        <f t="shared" si="129"/>
        <v>0</v>
      </c>
    </row>
    <row r="5263" spans="8:8" hidden="1" x14ac:dyDescent="0.35">
      <c r="H5263" s="83">
        <f t="shared" si="129"/>
        <v>0</v>
      </c>
    </row>
    <row r="5264" spans="8:8" hidden="1" x14ac:dyDescent="0.35">
      <c r="H5264" s="83">
        <f t="shared" si="129"/>
        <v>0</v>
      </c>
    </row>
    <row r="5265" spans="8:8" hidden="1" x14ac:dyDescent="0.35">
      <c r="H5265" s="83">
        <f t="shared" si="129"/>
        <v>0</v>
      </c>
    </row>
    <row r="5266" spans="8:8" hidden="1" x14ac:dyDescent="0.35">
      <c r="H5266" s="83">
        <f t="shared" si="129"/>
        <v>0</v>
      </c>
    </row>
    <row r="5267" spans="8:8" hidden="1" x14ac:dyDescent="0.35">
      <c r="H5267" s="83">
        <f t="shared" si="129"/>
        <v>0</v>
      </c>
    </row>
    <row r="5268" spans="8:8" hidden="1" x14ac:dyDescent="0.35">
      <c r="H5268" s="83">
        <f t="shared" si="129"/>
        <v>0</v>
      </c>
    </row>
    <row r="5269" spans="8:8" hidden="1" x14ac:dyDescent="0.35">
      <c r="H5269" s="83">
        <f t="shared" si="129"/>
        <v>0</v>
      </c>
    </row>
    <row r="5270" spans="8:8" hidden="1" x14ac:dyDescent="0.35">
      <c r="H5270" s="83">
        <f t="shared" si="129"/>
        <v>0</v>
      </c>
    </row>
    <row r="5271" spans="8:8" hidden="1" x14ac:dyDescent="0.35">
      <c r="H5271" s="83">
        <f t="shared" si="129"/>
        <v>0</v>
      </c>
    </row>
    <row r="5272" spans="8:8" hidden="1" x14ac:dyDescent="0.35">
      <c r="H5272" s="83">
        <f t="shared" si="129"/>
        <v>0</v>
      </c>
    </row>
    <row r="5273" spans="8:8" hidden="1" x14ac:dyDescent="0.35">
      <c r="H5273" s="83">
        <f t="shared" si="129"/>
        <v>0</v>
      </c>
    </row>
    <row r="5274" spans="8:8" hidden="1" x14ac:dyDescent="0.35">
      <c r="H5274" s="83">
        <f t="shared" si="129"/>
        <v>0</v>
      </c>
    </row>
    <row r="5275" spans="8:8" hidden="1" x14ac:dyDescent="0.35">
      <c r="H5275" s="83">
        <f t="shared" si="129"/>
        <v>0</v>
      </c>
    </row>
    <row r="5276" spans="8:8" hidden="1" x14ac:dyDescent="0.35">
      <c r="H5276" s="83">
        <f t="shared" si="129"/>
        <v>0</v>
      </c>
    </row>
    <row r="5277" spans="8:8" hidden="1" x14ac:dyDescent="0.35">
      <c r="H5277" s="83">
        <f t="shared" si="129"/>
        <v>0</v>
      </c>
    </row>
    <row r="5278" spans="8:8" hidden="1" x14ac:dyDescent="0.35">
      <c r="H5278" s="83">
        <f t="shared" si="129"/>
        <v>0</v>
      </c>
    </row>
    <row r="5279" spans="8:8" hidden="1" x14ac:dyDescent="0.35">
      <c r="H5279" s="83">
        <f t="shared" si="129"/>
        <v>0</v>
      </c>
    </row>
    <row r="5280" spans="8:8" hidden="1" x14ac:dyDescent="0.35">
      <c r="H5280" s="83">
        <f t="shared" si="129"/>
        <v>0</v>
      </c>
    </row>
    <row r="5281" spans="8:8" hidden="1" x14ac:dyDescent="0.35">
      <c r="H5281" s="83">
        <f t="shared" si="129"/>
        <v>0</v>
      </c>
    </row>
    <row r="5282" spans="8:8" hidden="1" x14ac:dyDescent="0.35">
      <c r="H5282" s="83">
        <f t="shared" si="129"/>
        <v>0</v>
      </c>
    </row>
    <row r="5283" spans="8:8" hidden="1" x14ac:dyDescent="0.35">
      <c r="H5283" s="83">
        <f t="shared" si="129"/>
        <v>0</v>
      </c>
    </row>
    <row r="5284" spans="8:8" hidden="1" x14ac:dyDescent="0.35">
      <c r="H5284" s="83">
        <f t="shared" si="129"/>
        <v>0</v>
      </c>
    </row>
    <row r="5285" spans="8:8" hidden="1" x14ac:dyDescent="0.35">
      <c r="H5285" s="83">
        <f t="shared" si="129"/>
        <v>0</v>
      </c>
    </row>
    <row r="5286" spans="8:8" hidden="1" x14ac:dyDescent="0.35">
      <c r="H5286" s="83">
        <f t="shared" si="129"/>
        <v>0</v>
      </c>
    </row>
    <row r="5287" spans="8:8" hidden="1" x14ac:dyDescent="0.35">
      <c r="H5287" s="83">
        <f t="shared" si="129"/>
        <v>0</v>
      </c>
    </row>
    <row r="5288" spans="8:8" hidden="1" x14ac:dyDescent="0.35">
      <c r="H5288" s="83">
        <f t="shared" si="129"/>
        <v>0</v>
      </c>
    </row>
    <row r="5289" spans="8:8" hidden="1" x14ac:dyDescent="0.35">
      <c r="H5289" s="83">
        <f t="shared" si="129"/>
        <v>0</v>
      </c>
    </row>
    <row r="5290" spans="8:8" hidden="1" x14ac:dyDescent="0.35">
      <c r="H5290" s="83">
        <f t="shared" si="129"/>
        <v>0</v>
      </c>
    </row>
    <row r="5291" spans="8:8" hidden="1" x14ac:dyDescent="0.35">
      <c r="H5291" s="83">
        <f t="shared" si="129"/>
        <v>0</v>
      </c>
    </row>
    <row r="5292" spans="8:8" hidden="1" x14ac:dyDescent="0.35">
      <c r="H5292" s="83">
        <f t="shared" si="129"/>
        <v>0</v>
      </c>
    </row>
    <row r="5293" spans="8:8" hidden="1" x14ac:dyDescent="0.35">
      <c r="H5293" s="83">
        <f t="shared" si="129"/>
        <v>0</v>
      </c>
    </row>
    <row r="5294" spans="8:8" hidden="1" x14ac:dyDescent="0.35">
      <c r="H5294" s="83">
        <f t="shared" si="129"/>
        <v>0</v>
      </c>
    </row>
    <row r="5295" spans="8:8" hidden="1" x14ac:dyDescent="0.35">
      <c r="H5295" s="83">
        <f t="shared" si="129"/>
        <v>0</v>
      </c>
    </row>
    <row r="5296" spans="8:8" hidden="1" x14ac:dyDescent="0.35">
      <c r="H5296" s="83">
        <f t="shared" si="129"/>
        <v>0</v>
      </c>
    </row>
    <row r="5297" spans="8:8" hidden="1" x14ac:dyDescent="0.35">
      <c r="H5297" s="83">
        <f t="shared" si="129"/>
        <v>0</v>
      </c>
    </row>
    <row r="5298" spans="8:8" hidden="1" x14ac:dyDescent="0.35">
      <c r="H5298" s="83">
        <f t="shared" si="129"/>
        <v>0</v>
      </c>
    </row>
    <row r="5299" spans="8:8" hidden="1" x14ac:dyDescent="0.35">
      <c r="H5299" s="83">
        <f t="shared" si="129"/>
        <v>0</v>
      </c>
    </row>
    <row r="5300" spans="8:8" hidden="1" x14ac:dyDescent="0.35">
      <c r="H5300" s="83">
        <f t="shared" si="129"/>
        <v>0</v>
      </c>
    </row>
    <row r="5301" spans="8:8" hidden="1" x14ac:dyDescent="0.35">
      <c r="H5301" s="83">
        <f t="shared" si="129"/>
        <v>0</v>
      </c>
    </row>
    <row r="5302" spans="8:8" hidden="1" x14ac:dyDescent="0.35">
      <c r="H5302" s="83">
        <f t="shared" si="129"/>
        <v>0</v>
      </c>
    </row>
    <row r="5303" spans="8:8" hidden="1" x14ac:dyDescent="0.35">
      <c r="H5303" s="83">
        <f t="shared" si="129"/>
        <v>0</v>
      </c>
    </row>
    <row r="5304" spans="8:8" hidden="1" x14ac:dyDescent="0.35">
      <c r="H5304" s="83">
        <f t="shared" si="129"/>
        <v>0</v>
      </c>
    </row>
    <row r="5305" spans="8:8" hidden="1" x14ac:dyDescent="0.35">
      <c r="H5305" s="83">
        <f t="shared" si="129"/>
        <v>0</v>
      </c>
    </row>
    <row r="5306" spans="8:8" hidden="1" x14ac:dyDescent="0.35">
      <c r="H5306" s="83">
        <f t="shared" si="129"/>
        <v>0</v>
      </c>
    </row>
    <row r="5307" spans="8:8" hidden="1" x14ac:dyDescent="0.35">
      <c r="H5307" s="83">
        <f t="shared" si="129"/>
        <v>0</v>
      </c>
    </row>
    <row r="5308" spans="8:8" hidden="1" x14ac:dyDescent="0.35">
      <c r="H5308" s="83">
        <f t="shared" si="129"/>
        <v>0</v>
      </c>
    </row>
    <row r="5309" spans="8:8" hidden="1" x14ac:dyDescent="0.35">
      <c r="H5309" s="83">
        <f t="shared" si="129"/>
        <v>0</v>
      </c>
    </row>
    <row r="5310" spans="8:8" hidden="1" x14ac:dyDescent="0.35">
      <c r="H5310" s="83">
        <f t="shared" si="129"/>
        <v>0</v>
      </c>
    </row>
    <row r="5311" spans="8:8" hidden="1" x14ac:dyDescent="0.35">
      <c r="H5311" s="83">
        <f t="shared" si="129"/>
        <v>0</v>
      </c>
    </row>
    <row r="5312" spans="8:8" hidden="1" x14ac:dyDescent="0.35">
      <c r="H5312" s="83">
        <f t="shared" si="129"/>
        <v>0</v>
      </c>
    </row>
    <row r="5313" spans="8:8" hidden="1" x14ac:dyDescent="0.35">
      <c r="H5313" s="83">
        <f t="shared" si="129"/>
        <v>0</v>
      </c>
    </row>
    <row r="5314" spans="8:8" hidden="1" x14ac:dyDescent="0.35">
      <c r="H5314" s="83">
        <f t="shared" si="129"/>
        <v>0</v>
      </c>
    </row>
    <row r="5315" spans="8:8" hidden="1" x14ac:dyDescent="0.35">
      <c r="H5315" s="83">
        <f t="shared" si="129"/>
        <v>0</v>
      </c>
    </row>
    <row r="5316" spans="8:8" hidden="1" x14ac:dyDescent="0.35">
      <c r="H5316" s="83">
        <f t="shared" ref="H5316:H5379" si="130">J5316-I5316</f>
        <v>0</v>
      </c>
    </row>
    <row r="5317" spans="8:8" hidden="1" x14ac:dyDescent="0.35">
      <c r="H5317" s="83">
        <f t="shared" si="130"/>
        <v>0</v>
      </c>
    </row>
    <row r="5318" spans="8:8" hidden="1" x14ac:dyDescent="0.35">
      <c r="H5318" s="83">
        <f t="shared" si="130"/>
        <v>0</v>
      </c>
    </row>
    <row r="5319" spans="8:8" hidden="1" x14ac:dyDescent="0.35">
      <c r="H5319" s="83">
        <f t="shared" si="130"/>
        <v>0</v>
      </c>
    </row>
    <row r="5320" spans="8:8" hidden="1" x14ac:dyDescent="0.35">
      <c r="H5320" s="83">
        <f t="shared" si="130"/>
        <v>0</v>
      </c>
    </row>
    <row r="5321" spans="8:8" hidden="1" x14ac:dyDescent="0.35">
      <c r="H5321" s="83">
        <f t="shared" si="130"/>
        <v>0</v>
      </c>
    </row>
    <row r="5322" spans="8:8" hidden="1" x14ac:dyDescent="0.35">
      <c r="H5322" s="83">
        <f t="shared" si="130"/>
        <v>0</v>
      </c>
    </row>
    <row r="5323" spans="8:8" hidden="1" x14ac:dyDescent="0.35">
      <c r="H5323" s="83">
        <f t="shared" si="130"/>
        <v>0</v>
      </c>
    </row>
    <row r="5324" spans="8:8" hidden="1" x14ac:dyDescent="0.35">
      <c r="H5324" s="83">
        <f t="shared" si="130"/>
        <v>0</v>
      </c>
    </row>
    <row r="5325" spans="8:8" hidden="1" x14ac:dyDescent="0.35">
      <c r="H5325" s="83">
        <f t="shared" si="130"/>
        <v>0</v>
      </c>
    </row>
    <row r="5326" spans="8:8" hidden="1" x14ac:dyDescent="0.35">
      <c r="H5326" s="83">
        <f t="shared" si="130"/>
        <v>0</v>
      </c>
    </row>
    <row r="5327" spans="8:8" hidden="1" x14ac:dyDescent="0.35">
      <c r="H5327" s="83">
        <f t="shared" si="130"/>
        <v>0</v>
      </c>
    </row>
    <row r="5328" spans="8:8" hidden="1" x14ac:dyDescent="0.35">
      <c r="H5328" s="83">
        <f t="shared" si="130"/>
        <v>0</v>
      </c>
    </row>
    <row r="5329" spans="8:8" hidden="1" x14ac:dyDescent="0.35">
      <c r="H5329" s="83">
        <f t="shared" si="130"/>
        <v>0</v>
      </c>
    </row>
    <row r="5330" spans="8:8" hidden="1" x14ac:dyDescent="0.35">
      <c r="H5330" s="83">
        <f t="shared" si="130"/>
        <v>0</v>
      </c>
    </row>
    <row r="5331" spans="8:8" hidden="1" x14ac:dyDescent="0.35">
      <c r="H5331" s="83">
        <f t="shared" si="130"/>
        <v>0</v>
      </c>
    </row>
    <row r="5332" spans="8:8" hidden="1" x14ac:dyDescent="0.35">
      <c r="H5332" s="83">
        <f t="shared" si="130"/>
        <v>0</v>
      </c>
    </row>
    <row r="5333" spans="8:8" hidden="1" x14ac:dyDescent="0.35">
      <c r="H5333" s="83">
        <f t="shared" si="130"/>
        <v>0</v>
      </c>
    </row>
    <row r="5334" spans="8:8" hidden="1" x14ac:dyDescent="0.35">
      <c r="H5334" s="83">
        <f t="shared" si="130"/>
        <v>0</v>
      </c>
    </row>
    <row r="5335" spans="8:8" hidden="1" x14ac:dyDescent="0.35">
      <c r="H5335" s="83">
        <f t="shared" si="130"/>
        <v>0</v>
      </c>
    </row>
    <row r="5336" spans="8:8" hidden="1" x14ac:dyDescent="0.35">
      <c r="H5336" s="83">
        <f t="shared" si="130"/>
        <v>0</v>
      </c>
    </row>
    <row r="5337" spans="8:8" hidden="1" x14ac:dyDescent="0.35">
      <c r="H5337" s="83">
        <f t="shared" si="130"/>
        <v>0</v>
      </c>
    </row>
    <row r="5338" spans="8:8" hidden="1" x14ac:dyDescent="0.35">
      <c r="H5338" s="83">
        <f t="shared" si="130"/>
        <v>0</v>
      </c>
    </row>
    <row r="5339" spans="8:8" hidden="1" x14ac:dyDescent="0.35">
      <c r="H5339" s="83">
        <f t="shared" si="130"/>
        <v>0</v>
      </c>
    </row>
    <row r="5340" spans="8:8" hidden="1" x14ac:dyDescent="0.35">
      <c r="H5340" s="83">
        <f t="shared" si="130"/>
        <v>0</v>
      </c>
    </row>
    <row r="5341" spans="8:8" hidden="1" x14ac:dyDescent="0.35">
      <c r="H5341" s="83">
        <f t="shared" si="130"/>
        <v>0</v>
      </c>
    </row>
    <row r="5342" spans="8:8" hidden="1" x14ac:dyDescent="0.35">
      <c r="H5342" s="83">
        <f t="shared" si="130"/>
        <v>0</v>
      </c>
    </row>
    <row r="5343" spans="8:8" hidden="1" x14ac:dyDescent="0.35">
      <c r="H5343" s="83">
        <f t="shared" si="130"/>
        <v>0</v>
      </c>
    </row>
    <row r="5344" spans="8:8" hidden="1" x14ac:dyDescent="0.35">
      <c r="H5344" s="83">
        <f t="shared" si="130"/>
        <v>0</v>
      </c>
    </row>
    <row r="5345" spans="8:8" hidden="1" x14ac:dyDescent="0.35">
      <c r="H5345" s="83">
        <f t="shared" si="130"/>
        <v>0</v>
      </c>
    </row>
    <row r="5346" spans="8:8" hidden="1" x14ac:dyDescent="0.35">
      <c r="H5346" s="83">
        <f t="shared" si="130"/>
        <v>0</v>
      </c>
    </row>
    <row r="5347" spans="8:8" hidden="1" x14ac:dyDescent="0.35">
      <c r="H5347" s="83">
        <f t="shared" si="130"/>
        <v>0</v>
      </c>
    </row>
    <row r="5348" spans="8:8" hidden="1" x14ac:dyDescent="0.35">
      <c r="H5348" s="83">
        <f t="shared" si="130"/>
        <v>0</v>
      </c>
    </row>
    <row r="5349" spans="8:8" hidden="1" x14ac:dyDescent="0.35">
      <c r="H5349" s="83">
        <f t="shared" si="130"/>
        <v>0</v>
      </c>
    </row>
    <row r="5350" spans="8:8" hidden="1" x14ac:dyDescent="0.35">
      <c r="H5350" s="83">
        <f t="shared" si="130"/>
        <v>0</v>
      </c>
    </row>
    <row r="5351" spans="8:8" hidden="1" x14ac:dyDescent="0.35">
      <c r="H5351" s="83">
        <f t="shared" si="130"/>
        <v>0</v>
      </c>
    </row>
    <row r="5352" spans="8:8" hidden="1" x14ac:dyDescent="0.35">
      <c r="H5352" s="83">
        <f t="shared" si="130"/>
        <v>0</v>
      </c>
    </row>
    <row r="5353" spans="8:8" hidden="1" x14ac:dyDescent="0.35">
      <c r="H5353" s="83">
        <f t="shared" si="130"/>
        <v>0</v>
      </c>
    </row>
    <row r="5354" spans="8:8" hidden="1" x14ac:dyDescent="0.35">
      <c r="H5354" s="83">
        <f t="shared" si="130"/>
        <v>0</v>
      </c>
    </row>
    <row r="5355" spans="8:8" hidden="1" x14ac:dyDescent="0.35">
      <c r="H5355" s="83">
        <f t="shared" si="130"/>
        <v>0</v>
      </c>
    </row>
    <row r="5356" spans="8:8" hidden="1" x14ac:dyDescent="0.35">
      <c r="H5356" s="83">
        <f t="shared" si="130"/>
        <v>0</v>
      </c>
    </row>
    <row r="5357" spans="8:8" hidden="1" x14ac:dyDescent="0.35">
      <c r="H5357" s="83">
        <f t="shared" si="130"/>
        <v>0</v>
      </c>
    </row>
    <row r="5358" spans="8:8" hidden="1" x14ac:dyDescent="0.35">
      <c r="H5358" s="83">
        <f t="shared" si="130"/>
        <v>0</v>
      </c>
    </row>
    <row r="5359" spans="8:8" hidden="1" x14ac:dyDescent="0.35">
      <c r="H5359" s="83">
        <f t="shared" si="130"/>
        <v>0</v>
      </c>
    </row>
    <row r="5360" spans="8:8" hidden="1" x14ac:dyDescent="0.35">
      <c r="H5360" s="83">
        <f t="shared" si="130"/>
        <v>0</v>
      </c>
    </row>
    <row r="5361" spans="8:8" hidden="1" x14ac:dyDescent="0.35">
      <c r="H5361" s="83">
        <f t="shared" si="130"/>
        <v>0</v>
      </c>
    </row>
    <row r="5362" spans="8:8" hidden="1" x14ac:dyDescent="0.35">
      <c r="H5362" s="83">
        <f t="shared" si="130"/>
        <v>0</v>
      </c>
    </row>
    <row r="5363" spans="8:8" hidden="1" x14ac:dyDescent="0.35">
      <c r="H5363" s="83">
        <f t="shared" si="130"/>
        <v>0</v>
      </c>
    </row>
    <row r="5364" spans="8:8" hidden="1" x14ac:dyDescent="0.35">
      <c r="H5364" s="83">
        <f t="shared" si="130"/>
        <v>0</v>
      </c>
    </row>
    <row r="5365" spans="8:8" hidden="1" x14ac:dyDescent="0.35">
      <c r="H5365" s="83">
        <f t="shared" si="130"/>
        <v>0</v>
      </c>
    </row>
    <row r="5366" spans="8:8" hidden="1" x14ac:dyDescent="0.35">
      <c r="H5366" s="83">
        <f t="shared" si="130"/>
        <v>0</v>
      </c>
    </row>
    <row r="5367" spans="8:8" hidden="1" x14ac:dyDescent="0.35">
      <c r="H5367" s="83">
        <f t="shared" si="130"/>
        <v>0</v>
      </c>
    </row>
    <row r="5368" spans="8:8" hidden="1" x14ac:dyDescent="0.35">
      <c r="H5368" s="83">
        <f t="shared" si="130"/>
        <v>0</v>
      </c>
    </row>
    <row r="5369" spans="8:8" hidden="1" x14ac:dyDescent="0.35">
      <c r="H5369" s="83">
        <f t="shared" si="130"/>
        <v>0</v>
      </c>
    </row>
    <row r="5370" spans="8:8" hidden="1" x14ac:dyDescent="0.35">
      <c r="H5370" s="83">
        <f t="shared" si="130"/>
        <v>0</v>
      </c>
    </row>
    <row r="5371" spans="8:8" hidden="1" x14ac:dyDescent="0.35">
      <c r="H5371" s="83">
        <f t="shared" si="130"/>
        <v>0</v>
      </c>
    </row>
    <row r="5372" spans="8:8" hidden="1" x14ac:dyDescent="0.35">
      <c r="H5372" s="83">
        <f t="shared" si="130"/>
        <v>0</v>
      </c>
    </row>
    <row r="5373" spans="8:8" hidden="1" x14ac:dyDescent="0.35">
      <c r="H5373" s="83">
        <f t="shared" si="130"/>
        <v>0</v>
      </c>
    </row>
    <row r="5374" spans="8:8" hidden="1" x14ac:dyDescent="0.35">
      <c r="H5374" s="83">
        <f t="shared" si="130"/>
        <v>0</v>
      </c>
    </row>
    <row r="5375" spans="8:8" hidden="1" x14ac:dyDescent="0.35">
      <c r="H5375" s="83">
        <f t="shared" si="130"/>
        <v>0</v>
      </c>
    </row>
    <row r="5376" spans="8:8" hidden="1" x14ac:dyDescent="0.35">
      <c r="H5376" s="83">
        <f t="shared" si="130"/>
        <v>0</v>
      </c>
    </row>
    <row r="5377" spans="8:8" hidden="1" x14ac:dyDescent="0.35">
      <c r="H5377" s="83">
        <f t="shared" si="130"/>
        <v>0</v>
      </c>
    </row>
    <row r="5378" spans="8:8" hidden="1" x14ac:dyDescent="0.35">
      <c r="H5378" s="83">
        <f t="shared" si="130"/>
        <v>0</v>
      </c>
    </row>
    <row r="5379" spans="8:8" hidden="1" x14ac:dyDescent="0.35">
      <c r="H5379" s="83">
        <f t="shared" si="130"/>
        <v>0</v>
      </c>
    </row>
    <row r="5380" spans="8:8" hidden="1" x14ac:dyDescent="0.35">
      <c r="H5380" s="83">
        <f t="shared" ref="H5380:H5443" si="131">J5380-I5380</f>
        <v>0</v>
      </c>
    </row>
    <row r="5381" spans="8:8" hidden="1" x14ac:dyDescent="0.35">
      <c r="H5381" s="83">
        <f t="shared" si="131"/>
        <v>0</v>
      </c>
    </row>
    <row r="5382" spans="8:8" hidden="1" x14ac:dyDescent="0.35">
      <c r="H5382" s="83">
        <f t="shared" si="131"/>
        <v>0</v>
      </c>
    </row>
    <row r="5383" spans="8:8" hidden="1" x14ac:dyDescent="0.35">
      <c r="H5383" s="83">
        <f t="shared" si="131"/>
        <v>0</v>
      </c>
    </row>
    <row r="5384" spans="8:8" hidden="1" x14ac:dyDescent="0.35">
      <c r="H5384" s="83">
        <f t="shared" si="131"/>
        <v>0</v>
      </c>
    </row>
    <row r="5385" spans="8:8" hidden="1" x14ac:dyDescent="0.35">
      <c r="H5385" s="83">
        <f t="shared" si="131"/>
        <v>0</v>
      </c>
    </row>
    <row r="5386" spans="8:8" hidden="1" x14ac:dyDescent="0.35">
      <c r="H5386" s="83">
        <f t="shared" si="131"/>
        <v>0</v>
      </c>
    </row>
    <row r="5387" spans="8:8" hidden="1" x14ac:dyDescent="0.35">
      <c r="H5387" s="83">
        <f t="shared" si="131"/>
        <v>0</v>
      </c>
    </row>
    <row r="5388" spans="8:8" hidden="1" x14ac:dyDescent="0.35">
      <c r="H5388" s="83">
        <f t="shared" si="131"/>
        <v>0</v>
      </c>
    </row>
    <row r="5389" spans="8:8" hidden="1" x14ac:dyDescent="0.35">
      <c r="H5389" s="83">
        <f t="shared" si="131"/>
        <v>0</v>
      </c>
    </row>
    <row r="5390" spans="8:8" hidden="1" x14ac:dyDescent="0.35">
      <c r="H5390" s="83">
        <f t="shared" si="131"/>
        <v>0</v>
      </c>
    </row>
    <row r="5391" spans="8:8" hidden="1" x14ac:dyDescent="0.35">
      <c r="H5391" s="83">
        <f t="shared" si="131"/>
        <v>0</v>
      </c>
    </row>
    <row r="5392" spans="8:8" hidden="1" x14ac:dyDescent="0.35">
      <c r="H5392" s="83">
        <f t="shared" si="131"/>
        <v>0</v>
      </c>
    </row>
    <row r="5393" spans="8:8" hidden="1" x14ac:dyDescent="0.35">
      <c r="H5393" s="83">
        <f t="shared" si="131"/>
        <v>0</v>
      </c>
    </row>
    <row r="5394" spans="8:8" hidden="1" x14ac:dyDescent="0.35">
      <c r="H5394" s="83">
        <f t="shared" si="131"/>
        <v>0</v>
      </c>
    </row>
    <row r="5395" spans="8:8" hidden="1" x14ac:dyDescent="0.35">
      <c r="H5395" s="83">
        <f t="shared" si="131"/>
        <v>0</v>
      </c>
    </row>
    <row r="5396" spans="8:8" hidden="1" x14ac:dyDescent="0.35">
      <c r="H5396" s="83">
        <f t="shared" si="131"/>
        <v>0</v>
      </c>
    </row>
    <row r="5397" spans="8:8" hidden="1" x14ac:dyDescent="0.35">
      <c r="H5397" s="83">
        <f t="shared" si="131"/>
        <v>0</v>
      </c>
    </row>
    <row r="5398" spans="8:8" hidden="1" x14ac:dyDescent="0.35">
      <c r="H5398" s="83">
        <f t="shared" si="131"/>
        <v>0</v>
      </c>
    </row>
    <row r="5399" spans="8:8" hidden="1" x14ac:dyDescent="0.35">
      <c r="H5399" s="83">
        <f t="shared" si="131"/>
        <v>0</v>
      </c>
    </row>
    <row r="5400" spans="8:8" hidden="1" x14ac:dyDescent="0.35">
      <c r="H5400" s="83">
        <f t="shared" si="131"/>
        <v>0</v>
      </c>
    </row>
    <row r="5401" spans="8:8" hidden="1" x14ac:dyDescent="0.35">
      <c r="H5401" s="83">
        <f t="shared" si="131"/>
        <v>0</v>
      </c>
    </row>
    <row r="5402" spans="8:8" hidden="1" x14ac:dyDescent="0.35">
      <c r="H5402" s="83">
        <f t="shared" si="131"/>
        <v>0</v>
      </c>
    </row>
    <row r="5403" spans="8:8" hidden="1" x14ac:dyDescent="0.35">
      <c r="H5403" s="83">
        <f t="shared" si="131"/>
        <v>0</v>
      </c>
    </row>
    <row r="5404" spans="8:8" hidden="1" x14ac:dyDescent="0.35">
      <c r="H5404" s="83">
        <f t="shared" si="131"/>
        <v>0</v>
      </c>
    </row>
    <row r="5405" spans="8:8" hidden="1" x14ac:dyDescent="0.35">
      <c r="H5405" s="83">
        <f t="shared" si="131"/>
        <v>0</v>
      </c>
    </row>
    <row r="5406" spans="8:8" hidden="1" x14ac:dyDescent="0.35">
      <c r="H5406" s="83">
        <f t="shared" si="131"/>
        <v>0</v>
      </c>
    </row>
    <row r="5407" spans="8:8" hidden="1" x14ac:dyDescent="0.35">
      <c r="H5407" s="83">
        <f t="shared" si="131"/>
        <v>0</v>
      </c>
    </row>
    <row r="5408" spans="8:8" hidden="1" x14ac:dyDescent="0.35">
      <c r="H5408" s="83">
        <f t="shared" si="131"/>
        <v>0</v>
      </c>
    </row>
    <row r="5409" spans="8:8" hidden="1" x14ac:dyDescent="0.35">
      <c r="H5409" s="83">
        <f t="shared" si="131"/>
        <v>0</v>
      </c>
    </row>
    <row r="5410" spans="8:8" hidden="1" x14ac:dyDescent="0.35">
      <c r="H5410" s="83">
        <f t="shared" si="131"/>
        <v>0</v>
      </c>
    </row>
    <row r="5411" spans="8:8" hidden="1" x14ac:dyDescent="0.35">
      <c r="H5411" s="83">
        <f t="shared" si="131"/>
        <v>0</v>
      </c>
    </row>
    <row r="5412" spans="8:8" hidden="1" x14ac:dyDescent="0.35">
      <c r="H5412" s="83">
        <f t="shared" si="131"/>
        <v>0</v>
      </c>
    </row>
    <row r="5413" spans="8:8" hidden="1" x14ac:dyDescent="0.35">
      <c r="H5413" s="83">
        <f t="shared" si="131"/>
        <v>0</v>
      </c>
    </row>
    <row r="5414" spans="8:8" hidden="1" x14ac:dyDescent="0.35">
      <c r="H5414" s="83">
        <f t="shared" si="131"/>
        <v>0</v>
      </c>
    </row>
    <row r="5415" spans="8:8" hidden="1" x14ac:dyDescent="0.35">
      <c r="H5415" s="83">
        <f t="shared" si="131"/>
        <v>0</v>
      </c>
    </row>
    <row r="5416" spans="8:8" hidden="1" x14ac:dyDescent="0.35">
      <c r="H5416" s="83">
        <f t="shared" si="131"/>
        <v>0</v>
      </c>
    </row>
    <row r="5417" spans="8:8" hidden="1" x14ac:dyDescent="0.35">
      <c r="H5417" s="83">
        <f t="shared" si="131"/>
        <v>0</v>
      </c>
    </row>
    <row r="5418" spans="8:8" hidden="1" x14ac:dyDescent="0.35">
      <c r="H5418" s="83">
        <f t="shared" si="131"/>
        <v>0</v>
      </c>
    </row>
    <row r="5419" spans="8:8" hidden="1" x14ac:dyDescent="0.35">
      <c r="H5419" s="83">
        <f t="shared" si="131"/>
        <v>0</v>
      </c>
    </row>
    <row r="5420" spans="8:8" hidden="1" x14ac:dyDescent="0.35">
      <c r="H5420" s="83">
        <f t="shared" si="131"/>
        <v>0</v>
      </c>
    </row>
    <row r="5421" spans="8:8" hidden="1" x14ac:dyDescent="0.35">
      <c r="H5421" s="83">
        <f t="shared" si="131"/>
        <v>0</v>
      </c>
    </row>
    <row r="5422" spans="8:8" hidden="1" x14ac:dyDescent="0.35">
      <c r="H5422" s="83">
        <f t="shared" si="131"/>
        <v>0</v>
      </c>
    </row>
    <row r="5423" spans="8:8" hidden="1" x14ac:dyDescent="0.35">
      <c r="H5423" s="83">
        <f t="shared" si="131"/>
        <v>0</v>
      </c>
    </row>
    <row r="5424" spans="8:8" hidden="1" x14ac:dyDescent="0.35">
      <c r="H5424" s="83">
        <f t="shared" si="131"/>
        <v>0</v>
      </c>
    </row>
    <row r="5425" spans="8:8" hidden="1" x14ac:dyDescent="0.35">
      <c r="H5425" s="83">
        <f t="shared" si="131"/>
        <v>0</v>
      </c>
    </row>
    <row r="5426" spans="8:8" hidden="1" x14ac:dyDescent="0.35">
      <c r="H5426" s="83">
        <f t="shared" si="131"/>
        <v>0</v>
      </c>
    </row>
    <row r="5427" spans="8:8" hidden="1" x14ac:dyDescent="0.35">
      <c r="H5427" s="83">
        <f t="shared" si="131"/>
        <v>0</v>
      </c>
    </row>
    <row r="5428" spans="8:8" hidden="1" x14ac:dyDescent="0.35">
      <c r="H5428" s="83">
        <f t="shared" si="131"/>
        <v>0</v>
      </c>
    </row>
    <row r="5429" spans="8:8" hidden="1" x14ac:dyDescent="0.35">
      <c r="H5429" s="83">
        <f t="shared" si="131"/>
        <v>0</v>
      </c>
    </row>
    <row r="5430" spans="8:8" hidden="1" x14ac:dyDescent="0.35">
      <c r="H5430" s="83">
        <f t="shared" si="131"/>
        <v>0</v>
      </c>
    </row>
    <row r="5431" spans="8:8" hidden="1" x14ac:dyDescent="0.35">
      <c r="H5431" s="83">
        <f t="shared" si="131"/>
        <v>0</v>
      </c>
    </row>
    <row r="5432" spans="8:8" hidden="1" x14ac:dyDescent="0.35">
      <c r="H5432" s="83">
        <f t="shared" si="131"/>
        <v>0</v>
      </c>
    </row>
    <row r="5433" spans="8:8" hidden="1" x14ac:dyDescent="0.35">
      <c r="H5433" s="83">
        <f t="shared" si="131"/>
        <v>0</v>
      </c>
    </row>
    <row r="5434" spans="8:8" hidden="1" x14ac:dyDescent="0.35">
      <c r="H5434" s="83">
        <f t="shared" si="131"/>
        <v>0</v>
      </c>
    </row>
    <row r="5435" spans="8:8" hidden="1" x14ac:dyDescent="0.35">
      <c r="H5435" s="83">
        <f t="shared" si="131"/>
        <v>0</v>
      </c>
    </row>
    <row r="5436" spans="8:8" hidden="1" x14ac:dyDescent="0.35">
      <c r="H5436" s="83">
        <f t="shared" si="131"/>
        <v>0</v>
      </c>
    </row>
    <row r="5437" spans="8:8" hidden="1" x14ac:dyDescent="0.35">
      <c r="H5437" s="83">
        <f t="shared" si="131"/>
        <v>0</v>
      </c>
    </row>
    <row r="5438" spans="8:8" hidden="1" x14ac:dyDescent="0.35">
      <c r="H5438" s="83">
        <f t="shared" si="131"/>
        <v>0</v>
      </c>
    </row>
    <row r="5439" spans="8:8" hidden="1" x14ac:dyDescent="0.35">
      <c r="H5439" s="83">
        <f t="shared" si="131"/>
        <v>0</v>
      </c>
    </row>
    <row r="5440" spans="8:8" hidden="1" x14ac:dyDescent="0.35">
      <c r="H5440" s="83">
        <f t="shared" si="131"/>
        <v>0</v>
      </c>
    </row>
    <row r="5441" spans="8:8" hidden="1" x14ac:dyDescent="0.35">
      <c r="H5441" s="83">
        <f t="shared" si="131"/>
        <v>0</v>
      </c>
    </row>
    <row r="5442" spans="8:8" hidden="1" x14ac:dyDescent="0.35">
      <c r="H5442" s="83">
        <f t="shared" si="131"/>
        <v>0</v>
      </c>
    </row>
    <row r="5443" spans="8:8" hidden="1" x14ac:dyDescent="0.35">
      <c r="H5443" s="83">
        <f t="shared" si="131"/>
        <v>0</v>
      </c>
    </row>
    <row r="5444" spans="8:8" hidden="1" x14ac:dyDescent="0.35">
      <c r="H5444" s="83">
        <f t="shared" ref="H5444:H5507" si="132">J5444-I5444</f>
        <v>0</v>
      </c>
    </row>
    <row r="5445" spans="8:8" hidden="1" x14ac:dyDescent="0.35">
      <c r="H5445" s="83">
        <f t="shared" si="132"/>
        <v>0</v>
      </c>
    </row>
    <row r="5446" spans="8:8" hidden="1" x14ac:dyDescent="0.35">
      <c r="H5446" s="83">
        <f t="shared" si="132"/>
        <v>0</v>
      </c>
    </row>
    <row r="5447" spans="8:8" hidden="1" x14ac:dyDescent="0.35">
      <c r="H5447" s="83">
        <f t="shared" si="132"/>
        <v>0</v>
      </c>
    </row>
    <row r="5448" spans="8:8" hidden="1" x14ac:dyDescent="0.35">
      <c r="H5448" s="83">
        <f t="shared" si="132"/>
        <v>0</v>
      </c>
    </row>
    <row r="5449" spans="8:8" hidden="1" x14ac:dyDescent="0.35">
      <c r="H5449" s="83">
        <f t="shared" si="132"/>
        <v>0</v>
      </c>
    </row>
    <row r="5450" spans="8:8" hidden="1" x14ac:dyDescent="0.35">
      <c r="H5450" s="83">
        <f t="shared" si="132"/>
        <v>0</v>
      </c>
    </row>
    <row r="5451" spans="8:8" hidden="1" x14ac:dyDescent="0.35">
      <c r="H5451" s="83">
        <f t="shared" si="132"/>
        <v>0</v>
      </c>
    </row>
    <row r="5452" spans="8:8" hidden="1" x14ac:dyDescent="0.35">
      <c r="H5452" s="83">
        <f t="shared" si="132"/>
        <v>0</v>
      </c>
    </row>
    <row r="5453" spans="8:8" hidden="1" x14ac:dyDescent="0.35">
      <c r="H5453" s="83">
        <f t="shared" si="132"/>
        <v>0</v>
      </c>
    </row>
    <row r="5454" spans="8:8" hidden="1" x14ac:dyDescent="0.35">
      <c r="H5454" s="83">
        <f t="shared" si="132"/>
        <v>0</v>
      </c>
    </row>
    <row r="5455" spans="8:8" hidden="1" x14ac:dyDescent="0.35">
      <c r="H5455" s="83">
        <f t="shared" si="132"/>
        <v>0</v>
      </c>
    </row>
    <row r="5456" spans="8:8" hidden="1" x14ac:dyDescent="0.35">
      <c r="H5456" s="83">
        <f t="shared" si="132"/>
        <v>0</v>
      </c>
    </row>
    <row r="5457" spans="8:8" hidden="1" x14ac:dyDescent="0.35">
      <c r="H5457" s="83">
        <f t="shared" si="132"/>
        <v>0</v>
      </c>
    </row>
    <row r="5458" spans="8:8" hidden="1" x14ac:dyDescent="0.35">
      <c r="H5458" s="83">
        <f t="shared" si="132"/>
        <v>0</v>
      </c>
    </row>
    <row r="5459" spans="8:8" hidden="1" x14ac:dyDescent="0.35">
      <c r="H5459" s="83">
        <f t="shared" si="132"/>
        <v>0</v>
      </c>
    </row>
    <row r="5460" spans="8:8" hidden="1" x14ac:dyDescent="0.35">
      <c r="H5460" s="83">
        <f t="shared" si="132"/>
        <v>0</v>
      </c>
    </row>
    <row r="5461" spans="8:8" hidden="1" x14ac:dyDescent="0.35">
      <c r="H5461" s="83">
        <f t="shared" si="132"/>
        <v>0</v>
      </c>
    </row>
    <row r="5462" spans="8:8" hidden="1" x14ac:dyDescent="0.35">
      <c r="H5462" s="83">
        <f t="shared" si="132"/>
        <v>0</v>
      </c>
    </row>
    <row r="5463" spans="8:8" hidden="1" x14ac:dyDescent="0.35">
      <c r="H5463" s="83">
        <f t="shared" si="132"/>
        <v>0</v>
      </c>
    </row>
    <row r="5464" spans="8:8" hidden="1" x14ac:dyDescent="0.35">
      <c r="H5464" s="83">
        <f t="shared" si="132"/>
        <v>0</v>
      </c>
    </row>
    <row r="5465" spans="8:8" hidden="1" x14ac:dyDescent="0.35">
      <c r="H5465" s="83">
        <f t="shared" si="132"/>
        <v>0</v>
      </c>
    </row>
    <row r="5466" spans="8:8" hidden="1" x14ac:dyDescent="0.35">
      <c r="H5466" s="83">
        <f t="shared" si="132"/>
        <v>0</v>
      </c>
    </row>
    <row r="5467" spans="8:8" hidden="1" x14ac:dyDescent="0.35">
      <c r="H5467" s="83">
        <f t="shared" si="132"/>
        <v>0</v>
      </c>
    </row>
    <row r="5468" spans="8:8" hidden="1" x14ac:dyDescent="0.35">
      <c r="H5468" s="83">
        <f t="shared" si="132"/>
        <v>0</v>
      </c>
    </row>
    <row r="5469" spans="8:8" hidden="1" x14ac:dyDescent="0.35">
      <c r="H5469" s="83">
        <f t="shared" si="132"/>
        <v>0</v>
      </c>
    </row>
    <row r="5470" spans="8:8" hidden="1" x14ac:dyDescent="0.35">
      <c r="H5470" s="83">
        <f t="shared" si="132"/>
        <v>0</v>
      </c>
    </row>
    <row r="5471" spans="8:8" hidden="1" x14ac:dyDescent="0.35">
      <c r="H5471" s="83">
        <f t="shared" si="132"/>
        <v>0</v>
      </c>
    </row>
    <row r="5472" spans="8:8" hidden="1" x14ac:dyDescent="0.35">
      <c r="H5472" s="83">
        <f t="shared" si="132"/>
        <v>0</v>
      </c>
    </row>
    <row r="5473" spans="8:8" hidden="1" x14ac:dyDescent="0.35">
      <c r="H5473" s="83">
        <f t="shared" si="132"/>
        <v>0</v>
      </c>
    </row>
    <row r="5474" spans="8:8" hidden="1" x14ac:dyDescent="0.35">
      <c r="H5474" s="83">
        <f t="shared" si="132"/>
        <v>0</v>
      </c>
    </row>
    <row r="5475" spans="8:8" hidden="1" x14ac:dyDescent="0.35">
      <c r="H5475" s="83">
        <f t="shared" si="132"/>
        <v>0</v>
      </c>
    </row>
    <row r="5476" spans="8:8" hidden="1" x14ac:dyDescent="0.35">
      <c r="H5476" s="83">
        <f t="shared" si="132"/>
        <v>0</v>
      </c>
    </row>
    <row r="5477" spans="8:8" hidden="1" x14ac:dyDescent="0.35">
      <c r="H5477" s="83">
        <f t="shared" si="132"/>
        <v>0</v>
      </c>
    </row>
    <row r="5478" spans="8:8" hidden="1" x14ac:dyDescent="0.35">
      <c r="H5478" s="83">
        <f t="shared" si="132"/>
        <v>0</v>
      </c>
    </row>
    <row r="5479" spans="8:8" hidden="1" x14ac:dyDescent="0.35">
      <c r="H5479" s="83">
        <f t="shared" si="132"/>
        <v>0</v>
      </c>
    </row>
    <row r="5480" spans="8:8" hidden="1" x14ac:dyDescent="0.35">
      <c r="H5480" s="83">
        <f t="shared" si="132"/>
        <v>0</v>
      </c>
    </row>
    <row r="5481" spans="8:8" hidden="1" x14ac:dyDescent="0.35">
      <c r="H5481" s="83">
        <f t="shared" si="132"/>
        <v>0</v>
      </c>
    </row>
    <row r="5482" spans="8:8" hidden="1" x14ac:dyDescent="0.35">
      <c r="H5482" s="83">
        <f t="shared" si="132"/>
        <v>0</v>
      </c>
    </row>
    <row r="5483" spans="8:8" hidden="1" x14ac:dyDescent="0.35">
      <c r="H5483" s="83">
        <f t="shared" si="132"/>
        <v>0</v>
      </c>
    </row>
    <row r="5484" spans="8:8" hidden="1" x14ac:dyDescent="0.35">
      <c r="H5484" s="83">
        <f t="shared" si="132"/>
        <v>0</v>
      </c>
    </row>
    <row r="5485" spans="8:8" hidden="1" x14ac:dyDescent="0.35">
      <c r="H5485" s="83">
        <f t="shared" si="132"/>
        <v>0</v>
      </c>
    </row>
    <row r="5486" spans="8:8" hidden="1" x14ac:dyDescent="0.35">
      <c r="H5486" s="83">
        <f t="shared" si="132"/>
        <v>0</v>
      </c>
    </row>
    <row r="5487" spans="8:8" hidden="1" x14ac:dyDescent="0.35">
      <c r="H5487" s="83">
        <f t="shared" si="132"/>
        <v>0</v>
      </c>
    </row>
    <row r="5488" spans="8:8" hidden="1" x14ac:dyDescent="0.35">
      <c r="H5488" s="83">
        <f t="shared" si="132"/>
        <v>0</v>
      </c>
    </row>
    <row r="5489" spans="8:8" hidden="1" x14ac:dyDescent="0.35">
      <c r="H5489" s="83">
        <f t="shared" si="132"/>
        <v>0</v>
      </c>
    </row>
    <row r="5490" spans="8:8" hidden="1" x14ac:dyDescent="0.35">
      <c r="H5490" s="83">
        <f t="shared" si="132"/>
        <v>0</v>
      </c>
    </row>
    <row r="5491" spans="8:8" hidden="1" x14ac:dyDescent="0.35">
      <c r="H5491" s="83">
        <f t="shared" si="132"/>
        <v>0</v>
      </c>
    </row>
    <row r="5492" spans="8:8" hidden="1" x14ac:dyDescent="0.35">
      <c r="H5492" s="83">
        <f t="shared" si="132"/>
        <v>0</v>
      </c>
    </row>
    <row r="5493" spans="8:8" hidden="1" x14ac:dyDescent="0.35">
      <c r="H5493" s="83">
        <f t="shared" si="132"/>
        <v>0</v>
      </c>
    </row>
    <row r="5494" spans="8:8" hidden="1" x14ac:dyDescent="0.35">
      <c r="H5494" s="83">
        <f t="shared" si="132"/>
        <v>0</v>
      </c>
    </row>
    <row r="5495" spans="8:8" hidden="1" x14ac:dyDescent="0.35">
      <c r="H5495" s="83">
        <f t="shared" si="132"/>
        <v>0</v>
      </c>
    </row>
    <row r="5496" spans="8:8" hidden="1" x14ac:dyDescent="0.35">
      <c r="H5496" s="83">
        <f t="shared" si="132"/>
        <v>0</v>
      </c>
    </row>
    <row r="5497" spans="8:8" hidden="1" x14ac:dyDescent="0.35">
      <c r="H5497" s="83">
        <f t="shared" si="132"/>
        <v>0</v>
      </c>
    </row>
    <row r="5498" spans="8:8" hidden="1" x14ac:dyDescent="0.35">
      <c r="H5498" s="83">
        <f t="shared" si="132"/>
        <v>0</v>
      </c>
    </row>
    <row r="5499" spans="8:8" hidden="1" x14ac:dyDescent="0.35">
      <c r="H5499" s="83">
        <f t="shared" si="132"/>
        <v>0</v>
      </c>
    </row>
    <row r="5500" spans="8:8" hidden="1" x14ac:dyDescent="0.35">
      <c r="H5500" s="83">
        <f t="shared" si="132"/>
        <v>0</v>
      </c>
    </row>
    <row r="5501" spans="8:8" hidden="1" x14ac:dyDescent="0.35">
      <c r="H5501" s="83">
        <f t="shared" si="132"/>
        <v>0</v>
      </c>
    </row>
    <row r="5502" spans="8:8" hidden="1" x14ac:dyDescent="0.35">
      <c r="H5502" s="83">
        <f t="shared" si="132"/>
        <v>0</v>
      </c>
    </row>
    <row r="5503" spans="8:8" hidden="1" x14ac:dyDescent="0.35">
      <c r="H5503" s="83">
        <f t="shared" si="132"/>
        <v>0</v>
      </c>
    </row>
    <row r="5504" spans="8:8" hidden="1" x14ac:dyDescent="0.35">
      <c r="H5504" s="83">
        <f t="shared" si="132"/>
        <v>0</v>
      </c>
    </row>
    <row r="5505" spans="8:8" hidden="1" x14ac:dyDescent="0.35">
      <c r="H5505" s="83">
        <f t="shared" si="132"/>
        <v>0</v>
      </c>
    </row>
    <row r="5506" spans="8:8" hidden="1" x14ac:dyDescent="0.35">
      <c r="H5506" s="83">
        <f t="shared" si="132"/>
        <v>0</v>
      </c>
    </row>
    <row r="5507" spans="8:8" hidden="1" x14ac:dyDescent="0.35">
      <c r="H5507" s="83">
        <f t="shared" si="132"/>
        <v>0</v>
      </c>
    </row>
    <row r="5508" spans="8:8" hidden="1" x14ac:dyDescent="0.35">
      <c r="H5508" s="83">
        <f t="shared" ref="H5508:H5571" si="133">J5508-I5508</f>
        <v>0</v>
      </c>
    </row>
    <row r="5509" spans="8:8" hidden="1" x14ac:dyDescent="0.35">
      <c r="H5509" s="83">
        <f t="shared" si="133"/>
        <v>0</v>
      </c>
    </row>
    <row r="5510" spans="8:8" hidden="1" x14ac:dyDescent="0.35">
      <c r="H5510" s="83">
        <f t="shared" si="133"/>
        <v>0</v>
      </c>
    </row>
    <row r="5511" spans="8:8" hidden="1" x14ac:dyDescent="0.35">
      <c r="H5511" s="83">
        <f t="shared" si="133"/>
        <v>0</v>
      </c>
    </row>
    <row r="5512" spans="8:8" hidden="1" x14ac:dyDescent="0.35">
      <c r="H5512" s="83">
        <f t="shared" si="133"/>
        <v>0</v>
      </c>
    </row>
    <row r="5513" spans="8:8" hidden="1" x14ac:dyDescent="0.35">
      <c r="H5513" s="83">
        <f t="shared" si="133"/>
        <v>0</v>
      </c>
    </row>
    <row r="5514" spans="8:8" hidden="1" x14ac:dyDescent="0.35">
      <c r="H5514" s="83">
        <f t="shared" si="133"/>
        <v>0</v>
      </c>
    </row>
    <row r="5515" spans="8:8" hidden="1" x14ac:dyDescent="0.35">
      <c r="H5515" s="83">
        <f t="shared" si="133"/>
        <v>0</v>
      </c>
    </row>
    <row r="5516" spans="8:8" hidden="1" x14ac:dyDescent="0.35">
      <c r="H5516" s="83">
        <f t="shared" si="133"/>
        <v>0</v>
      </c>
    </row>
    <row r="5517" spans="8:8" hidden="1" x14ac:dyDescent="0.35">
      <c r="H5517" s="83">
        <f t="shared" si="133"/>
        <v>0</v>
      </c>
    </row>
    <row r="5518" spans="8:8" hidden="1" x14ac:dyDescent="0.35">
      <c r="H5518" s="83">
        <f t="shared" si="133"/>
        <v>0</v>
      </c>
    </row>
    <row r="5519" spans="8:8" hidden="1" x14ac:dyDescent="0.35">
      <c r="H5519" s="83">
        <f t="shared" si="133"/>
        <v>0</v>
      </c>
    </row>
    <row r="5520" spans="8:8" hidden="1" x14ac:dyDescent="0.35">
      <c r="H5520" s="83">
        <f t="shared" si="133"/>
        <v>0</v>
      </c>
    </row>
    <row r="5521" spans="8:8" hidden="1" x14ac:dyDescent="0.35">
      <c r="H5521" s="83">
        <f t="shared" si="133"/>
        <v>0</v>
      </c>
    </row>
    <row r="5522" spans="8:8" hidden="1" x14ac:dyDescent="0.35">
      <c r="H5522" s="83">
        <f t="shared" si="133"/>
        <v>0</v>
      </c>
    </row>
    <row r="5523" spans="8:8" hidden="1" x14ac:dyDescent="0.35">
      <c r="H5523" s="83">
        <f t="shared" si="133"/>
        <v>0</v>
      </c>
    </row>
    <row r="5524" spans="8:8" hidden="1" x14ac:dyDescent="0.35">
      <c r="H5524" s="83">
        <f t="shared" si="133"/>
        <v>0</v>
      </c>
    </row>
    <row r="5525" spans="8:8" hidden="1" x14ac:dyDescent="0.35">
      <c r="H5525" s="83">
        <f t="shared" si="133"/>
        <v>0</v>
      </c>
    </row>
    <row r="5526" spans="8:8" hidden="1" x14ac:dyDescent="0.35">
      <c r="H5526" s="83">
        <f t="shared" si="133"/>
        <v>0</v>
      </c>
    </row>
    <row r="5527" spans="8:8" hidden="1" x14ac:dyDescent="0.35">
      <c r="H5527" s="83">
        <f t="shared" si="133"/>
        <v>0</v>
      </c>
    </row>
    <row r="5528" spans="8:8" hidden="1" x14ac:dyDescent="0.35">
      <c r="H5528" s="83">
        <f t="shared" si="133"/>
        <v>0</v>
      </c>
    </row>
    <row r="5529" spans="8:8" hidden="1" x14ac:dyDescent="0.35">
      <c r="H5529" s="83">
        <f t="shared" si="133"/>
        <v>0</v>
      </c>
    </row>
    <row r="5530" spans="8:8" hidden="1" x14ac:dyDescent="0.35">
      <c r="H5530" s="83">
        <f t="shared" si="133"/>
        <v>0</v>
      </c>
    </row>
    <row r="5531" spans="8:8" hidden="1" x14ac:dyDescent="0.35">
      <c r="H5531" s="83">
        <f t="shared" si="133"/>
        <v>0</v>
      </c>
    </row>
    <row r="5532" spans="8:8" hidden="1" x14ac:dyDescent="0.35">
      <c r="H5532" s="83">
        <f t="shared" si="133"/>
        <v>0</v>
      </c>
    </row>
    <row r="5533" spans="8:8" hidden="1" x14ac:dyDescent="0.35">
      <c r="H5533" s="83">
        <f t="shared" si="133"/>
        <v>0</v>
      </c>
    </row>
    <row r="5534" spans="8:8" hidden="1" x14ac:dyDescent="0.35">
      <c r="H5534" s="83">
        <f t="shared" si="133"/>
        <v>0</v>
      </c>
    </row>
    <row r="5535" spans="8:8" hidden="1" x14ac:dyDescent="0.35">
      <c r="H5535" s="83">
        <f t="shared" si="133"/>
        <v>0</v>
      </c>
    </row>
    <row r="5536" spans="8:8" hidden="1" x14ac:dyDescent="0.35">
      <c r="H5536" s="83">
        <f t="shared" si="133"/>
        <v>0</v>
      </c>
    </row>
    <row r="5537" spans="8:8" hidden="1" x14ac:dyDescent="0.35">
      <c r="H5537" s="83">
        <f t="shared" si="133"/>
        <v>0</v>
      </c>
    </row>
    <row r="5538" spans="8:8" hidden="1" x14ac:dyDescent="0.35">
      <c r="H5538" s="83">
        <f t="shared" si="133"/>
        <v>0</v>
      </c>
    </row>
    <row r="5539" spans="8:8" hidden="1" x14ac:dyDescent="0.35">
      <c r="H5539" s="83">
        <f t="shared" si="133"/>
        <v>0</v>
      </c>
    </row>
    <row r="5540" spans="8:8" hidden="1" x14ac:dyDescent="0.35">
      <c r="H5540" s="83">
        <f t="shared" si="133"/>
        <v>0</v>
      </c>
    </row>
    <row r="5541" spans="8:8" hidden="1" x14ac:dyDescent="0.35">
      <c r="H5541" s="83">
        <f t="shared" si="133"/>
        <v>0</v>
      </c>
    </row>
    <row r="5542" spans="8:8" hidden="1" x14ac:dyDescent="0.35">
      <c r="H5542" s="83">
        <f t="shared" si="133"/>
        <v>0</v>
      </c>
    </row>
    <row r="5543" spans="8:8" hidden="1" x14ac:dyDescent="0.35">
      <c r="H5543" s="83">
        <f t="shared" si="133"/>
        <v>0</v>
      </c>
    </row>
    <row r="5544" spans="8:8" hidden="1" x14ac:dyDescent="0.35">
      <c r="H5544" s="83">
        <f t="shared" si="133"/>
        <v>0</v>
      </c>
    </row>
    <row r="5545" spans="8:8" hidden="1" x14ac:dyDescent="0.35">
      <c r="H5545" s="83">
        <f t="shared" si="133"/>
        <v>0</v>
      </c>
    </row>
    <row r="5546" spans="8:8" hidden="1" x14ac:dyDescent="0.35">
      <c r="H5546" s="83">
        <f t="shared" si="133"/>
        <v>0</v>
      </c>
    </row>
    <row r="5547" spans="8:8" hidden="1" x14ac:dyDescent="0.35">
      <c r="H5547" s="83">
        <f t="shared" si="133"/>
        <v>0</v>
      </c>
    </row>
    <row r="5548" spans="8:8" hidden="1" x14ac:dyDescent="0.35">
      <c r="H5548" s="83">
        <f t="shared" si="133"/>
        <v>0</v>
      </c>
    </row>
    <row r="5549" spans="8:8" hidden="1" x14ac:dyDescent="0.35">
      <c r="H5549" s="83">
        <f t="shared" si="133"/>
        <v>0</v>
      </c>
    </row>
    <row r="5550" spans="8:8" hidden="1" x14ac:dyDescent="0.35">
      <c r="H5550" s="83">
        <f t="shared" si="133"/>
        <v>0</v>
      </c>
    </row>
    <row r="5551" spans="8:8" hidden="1" x14ac:dyDescent="0.35">
      <c r="H5551" s="83">
        <f t="shared" si="133"/>
        <v>0</v>
      </c>
    </row>
    <row r="5552" spans="8:8" hidden="1" x14ac:dyDescent="0.35">
      <c r="H5552" s="83">
        <f t="shared" si="133"/>
        <v>0</v>
      </c>
    </row>
    <row r="5553" spans="8:8" hidden="1" x14ac:dyDescent="0.35">
      <c r="H5553" s="83">
        <f t="shared" si="133"/>
        <v>0</v>
      </c>
    </row>
    <row r="5554" spans="8:8" hidden="1" x14ac:dyDescent="0.35">
      <c r="H5554" s="83">
        <f t="shared" si="133"/>
        <v>0</v>
      </c>
    </row>
    <row r="5555" spans="8:8" hidden="1" x14ac:dyDescent="0.35">
      <c r="H5555" s="83">
        <f t="shared" si="133"/>
        <v>0</v>
      </c>
    </row>
    <row r="5556" spans="8:8" hidden="1" x14ac:dyDescent="0.35">
      <c r="H5556" s="83">
        <f t="shared" si="133"/>
        <v>0</v>
      </c>
    </row>
    <row r="5557" spans="8:8" hidden="1" x14ac:dyDescent="0.35">
      <c r="H5557" s="83">
        <f t="shared" si="133"/>
        <v>0</v>
      </c>
    </row>
    <row r="5558" spans="8:8" hidden="1" x14ac:dyDescent="0.35">
      <c r="H5558" s="83">
        <f t="shared" si="133"/>
        <v>0</v>
      </c>
    </row>
    <row r="5559" spans="8:8" hidden="1" x14ac:dyDescent="0.35">
      <c r="H5559" s="83">
        <f t="shared" si="133"/>
        <v>0</v>
      </c>
    </row>
    <row r="5560" spans="8:8" hidden="1" x14ac:dyDescent="0.35">
      <c r="H5560" s="83">
        <f t="shared" si="133"/>
        <v>0</v>
      </c>
    </row>
    <row r="5561" spans="8:8" hidden="1" x14ac:dyDescent="0.35">
      <c r="H5561" s="83">
        <f t="shared" si="133"/>
        <v>0</v>
      </c>
    </row>
    <row r="5562" spans="8:8" hidden="1" x14ac:dyDescent="0.35">
      <c r="H5562" s="83">
        <f t="shared" si="133"/>
        <v>0</v>
      </c>
    </row>
    <row r="5563" spans="8:8" hidden="1" x14ac:dyDescent="0.35">
      <c r="H5563" s="83">
        <f t="shared" si="133"/>
        <v>0</v>
      </c>
    </row>
    <row r="5564" spans="8:8" hidden="1" x14ac:dyDescent="0.35">
      <c r="H5564" s="83">
        <f t="shared" si="133"/>
        <v>0</v>
      </c>
    </row>
    <row r="5565" spans="8:8" hidden="1" x14ac:dyDescent="0.35">
      <c r="H5565" s="83">
        <f t="shared" si="133"/>
        <v>0</v>
      </c>
    </row>
    <row r="5566" spans="8:8" hidden="1" x14ac:dyDescent="0.35">
      <c r="H5566" s="83">
        <f t="shared" si="133"/>
        <v>0</v>
      </c>
    </row>
    <row r="5567" spans="8:8" hidden="1" x14ac:dyDescent="0.35">
      <c r="H5567" s="83">
        <f t="shared" si="133"/>
        <v>0</v>
      </c>
    </row>
    <row r="5568" spans="8:8" hidden="1" x14ac:dyDescent="0.35">
      <c r="H5568" s="83">
        <f t="shared" si="133"/>
        <v>0</v>
      </c>
    </row>
    <row r="5569" spans="8:8" hidden="1" x14ac:dyDescent="0.35">
      <c r="H5569" s="83">
        <f t="shared" si="133"/>
        <v>0</v>
      </c>
    </row>
    <row r="5570" spans="8:8" hidden="1" x14ac:dyDescent="0.35">
      <c r="H5570" s="83">
        <f t="shared" si="133"/>
        <v>0</v>
      </c>
    </row>
    <row r="5571" spans="8:8" hidden="1" x14ac:dyDescent="0.35">
      <c r="H5571" s="83">
        <f t="shared" si="133"/>
        <v>0</v>
      </c>
    </row>
    <row r="5572" spans="8:8" hidden="1" x14ac:dyDescent="0.35">
      <c r="H5572" s="83">
        <f t="shared" ref="H5572:H5635" si="134">J5572-I5572</f>
        <v>0</v>
      </c>
    </row>
    <row r="5573" spans="8:8" hidden="1" x14ac:dyDescent="0.35">
      <c r="H5573" s="83">
        <f t="shared" si="134"/>
        <v>0</v>
      </c>
    </row>
    <row r="5574" spans="8:8" hidden="1" x14ac:dyDescent="0.35">
      <c r="H5574" s="83">
        <f t="shared" si="134"/>
        <v>0</v>
      </c>
    </row>
    <row r="5575" spans="8:8" hidden="1" x14ac:dyDescent="0.35">
      <c r="H5575" s="83">
        <f t="shared" si="134"/>
        <v>0</v>
      </c>
    </row>
    <row r="5576" spans="8:8" hidden="1" x14ac:dyDescent="0.35">
      <c r="H5576" s="83">
        <f t="shared" si="134"/>
        <v>0</v>
      </c>
    </row>
    <row r="5577" spans="8:8" hidden="1" x14ac:dyDescent="0.35">
      <c r="H5577" s="83">
        <f t="shared" si="134"/>
        <v>0</v>
      </c>
    </row>
    <row r="5578" spans="8:8" hidden="1" x14ac:dyDescent="0.35">
      <c r="H5578" s="83">
        <f t="shared" si="134"/>
        <v>0</v>
      </c>
    </row>
    <row r="5579" spans="8:8" hidden="1" x14ac:dyDescent="0.35">
      <c r="H5579" s="83">
        <f t="shared" si="134"/>
        <v>0</v>
      </c>
    </row>
    <row r="5580" spans="8:8" hidden="1" x14ac:dyDescent="0.35">
      <c r="H5580" s="83">
        <f t="shared" si="134"/>
        <v>0</v>
      </c>
    </row>
    <row r="5581" spans="8:8" hidden="1" x14ac:dyDescent="0.35">
      <c r="H5581" s="83">
        <f t="shared" si="134"/>
        <v>0</v>
      </c>
    </row>
    <row r="5582" spans="8:8" hidden="1" x14ac:dyDescent="0.35">
      <c r="H5582" s="83">
        <f t="shared" si="134"/>
        <v>0</v>
      </c>
    </row>
    <row r="5583" spans="8:8" hidden="1" x14ac:dyDescent="0.35">
      <c r="H5583" s="83">
        <f t="shared" si="134"/>
        <v>0</v>
      </c>
    </row>
    <row r="5584" spans="8:8" hidden="1" x14ac:dyDescent="0.35">
      <c r="H5584" s="83">
        <f t="shared" si="134"/>
        <v>0</v>
      </c>
    </row>
    <row r="5585" spans="8:8" hidden="1" x14ac:dyDescent="0.35">
      <c r="H5585" s="83">
        <f t="shared" si="134"/>
        <v>0</v>
      </c>
    </row>
    <row r="5586" spans="8:8" hidden="1" x14ac:dyDescent="0.35">
      <c r="H5586" s="83">
        <f t="shared" si="134"/>
        <v>0</v>
      </c>
    </row>
    <row r="5587" spans="8:8" hidden="1" x14ac:dyDescent="0.35">
      <c r="H5587" s="83">
        <f t="shared" si="134"/>
        <v>0</v>
      </c>
    </row>
    <row r="5588" spans="8:8" hidden="1" x14ac:dyDescent="0.35">
      <c r="H5588" s="83">
        <f t="shared" si="134"/>
        <v>0</v>
      </c>
    </row>
    <row r="5589" spans="8:8" hidden="1" x14ac:dyDescent="0.35">
      <c r="H5589" s="83">
        <f t="shared" si="134"/>
        <v>0</v>
      </c>
    </row>
    <row r="5590" spans="8:8" hidden="1" x14ac:dyDescent="0.35">
      <c r="H5590" s="83">
        <f t="shared" si="134"/>
        <v>0</v>
      </c>
    </row>
    <row r="5591" spans="8:8" hidden="1" x14ac:dyDescent="0.35">
      <c r="H5591" s="83">
        <f t="shared" si="134"/>
        <v>0</v>
      </c>
    </row>
    <row r="5592" spans="8:8" hidden="1" x14ac:dyDescent="0.35">
      <c r="H5592" s="83">
        <f t="shared" si="134"/>
        <v>0</v>
      </c>
    </row>
    <row r="5593" spans="8:8" hidden="1" x14ac:dyDescent="0.35">
      <c r="H5593" s="83">
        <f t="shared" si="134"/>
        <v>0</v>
      </c>
    </row>
    <row r="5594" spans="8:8" hidden="1" x14ac:dyDescent="0.35">
      <c r="H5594" s="83">
        <f t="shared" si="134"/>
        <v>0</v>
      </c>
    </row>
    <row r="5595" spans="8:8" hidden="1" x14ac:dyDescent="0.35">
      <c r="H5595" s="83">
        <f t="shared" si="134"/>
        <v>0</v>
      </c>
    </row>
    <row r="5596" spans="8:8" hidden="1" x14ac:dyDescent="0.35">
      <c r="H5596" s="83">
        <f t="shared" si="134"/>
        <v>0</v>
      </c>
    </row>
    <row r="5597" spans="8:8" hidden="1" x14ac:dyDescent="0.35">
      <c r="H5597" s="83">
        <f t="shared" si="134"/>
        <v>0</v>
      </c>
    </row>
    <row r="5598" spans="8:8" hidden="1" x14ac:dyDescent="0.35">
      <c r="H5598" s="83">
        <f t="shared" si="134"/>
        <v>0</v>
      </c>
    </row>
    <row r="5599" spans="8:8" hidden="1" x14ac:dyDescent="0.35">
      <c r="H5599" s="83">
        <f t="shared" si="134"/>
        <v>0</v>
      </c>
    </row>
    <row r="5600" spans="8:8" hidden="1" x14ac:dyDescent="0.35">
      <c r="H5600" s="83">
        <f t="shared" si="134"/>
        <v>0</v>
      </c>
    </row>
    <row r="5601" spans="8:8" hidden="1" x14ac:dyDescent="0.35">
      <c r="H5601" s="83">
        <f t="shared" si="134"/>
        <v>0</v>
      </c>
    </row>
    <row r="5602" spans="8:8" hidden="1" x14ac:dyDescent="0.35">
      <c r="H5602" s="83">
        <f t="shared" si="134"/>
        <v>0</v>
      </c>
    </row>
    <row r="5603" spans="8:8" hidden="1" x14ac:dyDescent="0.35">
      <c r="H5603" s="83">
        <f t="shared" si="134"/>
        <v>0</v>
      </c>
    </row>
    <row r="5604" spans="8:8" hidden="1" x14ac:dyDescent="0.35">
      <c r="H5604" s="83">
        <f t="shared" si="134"/>
        <v>0</v>
      </c>
    </row>
    <row r="5605" spans="8:8" hidden="1" x14ac:dyDescent="0.35">
      <c r="H5605" s="83">
        <f t="shared" si="134"/>
        <v>0</v>
      </c>
    </row>
    <row r="5606" spans="8:8" hidden="1" x14ac:dyDescent="0.35">
      <c r="H5606" s="83">
        <f t="shared" si="134"/>
        <v>0</v>
      </c>
    </row>
    <row r="5607" spans="8:8" hidden="1" x14ac:dyDescent="0.35">
      <c r="H5607" s="83">
        <f t="shared" si="134"/>
        <v>0</v>
      </c>
    </row>
    <row r="5608" spans="8:8" hidden="1" x14ac:dyDescent="0.35">
      <c r="H5608" s="83">
        <f t="shared" si="134"/>
        <v>0</v>
      </c>
    </row>
    <row r="5609" spans="8:8" hidden="1" x14ac:dyDescent="0.35">
      <c r="H5609" s="83">
        <f t="shared" si="134"/>
        <v>0</v>
      </c>
    </row>
    <row r="5610" spans="8:8" hidden="1" x14ac:dyDescent="0.35">
      <c r="H5610" s="83">
        <f t="shared" si="134"/>
        <v>0</v>
      </c>
    </row>
    <row r="5611" spans="8:8" hidden="1" x14ac:dyDescent="0.35">
      <c r="H5611" s="83">
        <f t="shared" si="134"/>
        <v>0</v>
      </c>
    </row>
    <row r="5612" spans="8:8" hidden="1" x14ac:dyDescent="0.35">
      <c r="H5612" s="83">
        <f t="shared" si="134"/>
        <v>0</v>
      </c>
    </row>
    <row r="5613" spans="8:8" hidden="1" x14ac:dyDescent="0.35">
      <c r="H5613" s="83">
        <f t="shared" si="134"/>
        <v>0</v>
      </c>
    </row>
    <row r="5614" spans="8:8" hidden="1" x14ac:dyDescent="0.35">
      <c r="H5614" s="83">
        <f t="shared" si="134"/>
        <v>0</v>
      </c>
    </row>
    <row r="5615" spans="8:8" hidden="1" x14ac:dyDescent="0.35">
      <c r="H5615" s="83">
        <f t="shared" si="134"/>
        <v>0</v>
      </c>
    </row>
    <row r="5616" spans="8:8" hidden="1" x14ac:dyDescent="0.35">
      <c r="H5616" s="83">
        <f t="shared" si="134"/>
        <v>0</v>
      </c>
    </row>
    <row r="5617" spans="8:8" hidden="1" x14ac:dyDescent="0.35">
      <c r="H5617" s="83">
        <f t="shared" si="134"/>
        <v>0</v>
      </c>
    </row>
    <row r="5618" spans="8:8" hidden="1" x14ac:dyDescent="0.35">
      <c r="H5618" s="83">
        <f t="shared" si="134"/>
        <v>0</v>
      </c>
    </row>
    <row r="5619" spans="8:8" hidden="1" x14ac:dyDescent="0.35">
      <c r="H5619" s="83">
        <f t="shared" si="134"/>
        <v>0</v>
      </c>
    </row>
    <row r="5620" spans="8:8" hidden="1" x14ac:dyDescent="0.35">
      <c r="H5620" s="83">
        <f t="shared" si="134"/>
        <v>0</v>
      </c>
    </row>
    <row r="5621" spans="8:8" hidden="1" x14ac:dyDescent="0.35">
      <c r="H5621" s="83">
        <f t="shared" si="134"/>
        <v>0</v>
      </c>
    </row>
    <row r="5622" spans="8:8" hidden="1" x14ac:dyDescent="0.35">
      <c r="H5622" s="83">
        <f t="shared" si="134"/>
        <v>0</v>
      </c>
    </row>
    <row r="5623" spans="8:8" hidden="1" x14ac:dyDescent="0.35">
      <c r="H5623" s="83">
        <f t="shared" si="134"/>
        <v>0</v>
      </c>
    </row>
    <row r="5624" spans="8:8" hidden="1" x14ac:dyDescent="0.35">
      <c r="H5624" s="83">
        <f t="shared" si="134"/>
        <v>0</v>
      </c>
    </row>
    <row r="5625" spans="8:8" hidden="1" x14ac:dyDescent="0.35">
      <c r="H5625" s="83">
        <f t="shared" si="134"/>
        <v>0</v>
      </c>
    </row>
    <row r="5626" spans="8:8" hidden="1" x14ac:dyDescent="0.35">
      <c r="H5626" s="83">
        <f t="shared" si="134"/>
        <v>0</v>
      </c>
    </row>
    <row r="5627" spans="8:8" hidden="1" x14ac:dyDescent="0.35">
      <c r="H5627" s="83">
        <f t="shared" si="134"/>
        <v>0</v>
      </c>
    </row>
    <row r="5628" spans="8:8" hidden="1" x14ac:dyDescent="0.35">
      <c r="H5628" s="83">
        <f t="shared" si="134"/>
        <v>0</v>
      </c>
    </row>
    <row r="5629" spans="8:8" hidden="1" x14ac:dyDescent="0.35">
      <c r="H5629" s="83">
        <f t="shared" si="134"/>
        <v>0</v>
      </c>
    </row>
    <row r="5630" spans="8:8" hidden="1" x14ac:dyDescent="0.35">
      <c r="H5630" s="83">
        <f t="shared" si="134"/>
        <v>0</v>
      </c>
    </row>
    <row r="5631" spans="8:8" hidden="1" x14ac:dyDescent="0.35">
      <c r="H5631" s="83">
        <f t="shared" si="134"/>
        <v>0</v>
      </c>
    </row>
    <row r="5632" spans="8:8" hidden="1" x14ac:dyDescent="0.35">
      <c r="H5632" s="83">
        <f t="shared" si="134"/>
        <v>0</v>
      </c>
    </row>
    <row r="5633" spans="8:8" hidden="1" x14ac:dyDescent="0.35">
      <c r="H5633" s="83">
        <f t="shared" si="134"/>
        <v>0</v>
      </c>
    </row>
    <row r="5634" spans="8:8" hidden="1" x14ac:dyDescent="0.35">
      <c r="H5634" s="83">
        <f t="shared" si="134"/>
        <v>0</v>
      </c>
    </row>
    <row r="5635" spans="8:8" hidden="1" x14ac:dyDescent="0.35">
      <c r="H5635" s="83">
        <f t="shared" si="134"/>
        <v>0</v>
      </c>
    </row>
    <row r="5636" spans="8:8" hidden="1" x14ac:dyDescent="0.35">
      <c r="H5636" s="83">
        <f t="shared" ref="H5636:H5699" si="135">J5636-I5636</f>
        <v>0</v>
      </c>
    </row>
    <row r="5637" spans="8:8" hidden="1" x14ac:dyDescent="0.35">
      <c r="H5637" s="83">
        <f t="shared" si="135"/>
        <v>0</v>
      </c>
    </row>
    <row r="5638" spans="8:8" hidden="1" x14ac:dyDescent="0.35">
      <c r="H5638" s="83">
        <f t="shared" si="135"/>
        <v>0</v>
      </c>
    </row>
    <row r="5639" spans="8:8" hidden="1" x14ac:dyDescent="0.35">
      <c r="H5639" s="83">
        <f t="shared" si="135"/>
        <v>0</v>
      </c>
    </row>
    <row r="5640" spans="8:8" hidden="1" x14ac:dyDescent="0.35">
      <c r="H5640" s="83">
        <f t="shared" si="135"/>
        <v>0</v>
      </c>
    </row>
    <row r="5641" spans="8:8" hidden="1" x14ac:dyDescent="0.35">
      <c r="H5641" s="83">
        <f t="shared" si="135"/>
        <v>0</v>
      </c>
    </row>
    <row r="5642" spans="8:8" hidden="1" x14ac:dyDescent="0.35">
      <c r="H5642" s="83">
        <f t="shared" si="135"/>
        <v>0</v>
      </c>
    </row>
    <row r="5643" spans="8:8" hidden="1" x14ac:dyDescent="0.35">
      <c r="H5643" s="83">
        <f t="shared" si="135"/>
        <v>0</v>
      </c>
    </row>
    <row r="5644" spans="8:8" hidden="1" x14ac:dyDescent="0.35">
      <c r="H5644" s="83">
        <f t="shared" si="135"/>
        <v>0</v>
      </c>
    </row>
    <row r="5645" spans="8:8" hidden="1" x14ac:dyDescent="0.35">
      <c r="H5645" s="83">
        <f t="shared" si="135"/>
        <v>0</v>
      </c>
    </row>
    <row r="5646" spans="8:8" hidden="1" x14ac:dyDescent="0.35">
      <c r="H5646" s="83">
        <f t="shared" si="135"/>
        <v>0</v>
      </c>
    </row>
    <row r="5647" spans="8:8" hidden="1" x14ac:dyDescent="0.35">
      <c r="H5647" s="83">
        <f t="shared" si="135"/>
        <v>0</v>
      </c>
    </row>
    <row r="5648" spans="8:8" hidden="1" x14ac:dyDescent="0.35">
      <c r="H5648" s="83">
        <f t="shared" si="135"/>
        <v>0</v>
      </c>
    </row>
    <row r="5649" spans="8:8" hidden="1" x14ac:dyDescent="0.35">
      <c r="H5649" s="83">
        <f t="shared" si="135"/>
        <v>0</v>
      </c>
    </row>
    <row r="5650" spans="8:8" hidden="1" x14ac:dyDescent="0.35">
      <c r="H5650" s="83">
        <f t="shared" si="135"/>
        <v>0</v>
      </c>
    </row>
    <row r="5651" spans="8:8" hidden="1" x14ac:dyDescent="0.35">
      <c r="H5651" s="83">
        <f t="shared" si="135"/>
        <v>0</v>
      </c>
    </row>
    <row r="5652" spans="8:8" hidden="1" x14ac:dyDescent="0.35">
      <c r="H5652" s="83">
        <f t="shared" si="135"/>
        <v>0</v>
      </c>
    </row>
    <row r="5653" spans="8:8" hidden="1" x14ac:dyDescent="0.35">
      <c r="H5653" s="83">
        <f t="shared" si="135"/>
        <v>0</v>
      </c>
    </row>
    <row r="5654" spans="8:8" hidden="1" x14ac:dyDescent="0.35">
      <c r="H5654" s="83">
        <f t="shared" si="135"/>
        <v>0</v>
      </c>
    </row>
    <row r="5655" spans="8:8" hidden="1" x14ac:dyDescent="0.35">
      <c r="H5655" s="83">
        <f t="shared" si="135"/>
        <v>0</v>
      </c>
    </row>
    <row r="5656" spans="8:8" hidden="1" x14ac:dyDescent="0.35">
      <c r="H5656" s="83">
        <f t="shared" si="135"/>
        <v>0</v>
      </c>
    </row>
    <row r="5657" spans="8:8" hidden="1" x14ac:dyDescent="0.35">
      <c r="H5657" s="83">
        <f t="shared" si="135"/>
        <v>0</v>
      </c>
    </row>
    <row r="5658" spans="8:8" hidden="1" x14ac:dyDescent="0.35">
      <c r="H5658" s="83">
        <f t="shared" si="135"/>
        <v>0</v>
      </c>
    </row>
    <row r="5659" spans="8:8" hidden="1" x14ac:dyDescent="0.35">
      <c r="H5659" s="83">
        <f t="shared" si="135"/>
        <v>0</v>
      </c>
    </row>
    <row r="5660" spans="8:8" hidden="1" x14ac:dyDescent="0.35">
      <c r="H5660" s="83">
        <f t="shared" si="135"/>
        <v>0</v>
      </c>
    </row>
    <row r="5661" spans="8:8" hidden="1" x14ac:dyDescent="0.35">
      <c r="H5661" s="83">
        <f t="shared" si="135"/>
        <v>0</v>
      </c>
    </row>
    <row r="5662" spans="8:8" hidden="1" x14ac:dyDescent="0.35">
      <c r="H5662" s="83">
        <f t="shared" si="135"/>
        <v>0</v>
      </c>
    </row>
    <row r="5663" spans="8:8" hidden="1" x14ac:dyDescent="0.35">
      <c r="H5663" s="83">
        <f t="shared" si="135"/>
        <v>0</v>
      </c>
    </row>
    <row r="5664" spans="8:8" hidden="1" x14ac:dyDescent="0.35">
      <c r="H5664" s="83">
        <f t="shared" si="135"/>
        <v>0</v>
      </c>
    </row>
    <row r="5665" spans="8:8" hidden="1" x14ac:dyDescent="0.35">
      <c r="H5665" s="83">
        <f t="shared" si="135"/>
        <v>0</v>
      </c>
    </row>
    <row r="5666" spans="8:8" hidden="1" x14ac:dyDescent="0.35">
      <c r="H5666" s="83">
        <f t="shared" si="135"/>
        <v>0</v>
      </c>
    </row>
    <row r="5667" spans="8:8" hidden="1" x14ac:dyDescent="0.35">
      <c r="H5667" s="83">
        <f t="shared" si="135"/>
        <v>0</v>
      </c>
    </row>
    <row r="5668" spans="8:8" hidden="1" x14ac:dyDescent="0.35">
      <c r="H5668" s="83">
        <f t="shared" si="135"/>
        <v>0</v>
      </c>
    </row>
    <row r="5669" spans="8:8" hidden="1" x14ac:dyDescent="0.35">
      <c r="H5669" s="83">
        <f t="shared" si="135"/>
        <v>0</v>
      </c>
    </row>
    <row r="5670" spans="8:8" hidden="1" x14ac:dyDescent="0.35">
      <c r="H5670" s="83">
        <f t="shared" si="135"/>
        <v>0</v>
      </c>
    </row>
    <row r="5671" spans="8:8" hidden="1" x14ac:dyDescent="0.35">
      <c r="H5671" s="83">
        <f t="shared" si="135"/>
        <v>0</v>
      </c>
    </row>
    <row r="5672" spans="8:8" hidden="1" x14ac:dyDescent="0.35">
      <c r="H5672" s="83">
        <f t="shared" si="135"/>
        <v>0</v>
      </c>
    </row>
    <row r="5673" spans="8:8" hidden="1" x14ac:dyDescent="0.35">
      <c r="H5673" s="83">
        <f t="shared" si="135"/>
        <v>0</v>
      </c>
    </row>
    <row r="5674" spans="8:8" hidden="1" x14ac:dyDescent="0.35">
      <c r="H5674" s="83">
        <f t="shared" si="135"/>
        <v>0</v>
      </c>
    </row>
    <row r="5675" spans="8:8" hidden="1" x14ac:dyDescent="0.35">
      <c r="H5675" s="83">
        <f t="shared" si="135"/>
        <v>0</v>
      </c>
    </row>
    <row r="5676" spans="8:8" hidden="1" x14ac:dyDescent="0.35">
      <c r="H5676" s="83">
        <f t="shared" si="135"/>
        <v>0</v>
      </c>
    </row>
    <row r="5677" spans="8:8" hidden="1" x14ac:dyDescent="0.35">
      <c r="H5677" s="83">
        <f t="shared" si="135"/>
        <v>0</v>
      </c>
    </row>
    <row r="5678" spans="8:8" hidden="1" x14ac:dyDescent="0.35">
      <c r="H5678" s="83">
        <f t="shared" si="135"/>
        <v>0</v>
      </c>
    </row>
    <row r="5679" spans="8:8" hidden="1" x14ac:dyDescent="0.35">
      <c r="H5679" s="83">
        <f t="shared" si="135"/>
        <v>0</v>
      </c>
    </row>
    <row r="5680" spans="8:8" hidden="1" x14ac:dyDescent="0.35">
      <c r="H5680" s="83">
        <f t="shared" si="135"/>
        <v>0</v>
      </c>
    </row>
    <row r="5681" spans="8:8" hidden="1" x14ac:dyDescent="0.35">
      <c r="H5681" s="83">
        <f t="shared" si="135"/>
        <v>0</v>
      </c>
    </row>
    <row r="5682" spans="8:8" hidden="1" x14ac:dyDescent="0.35">
      <c r="H5682" s="83">
        <f t="shared" si="135"/>
        <v>0</v>
      </c>
    </row>
    <row r="5683" spans="8:8" hidden="1" x14ac:dyDescent="0.35">
      <c r="H5683" s="83">
        <f t="shared" si="135"/>
        <v>0</v>
      </c>
    </row>
    <row r="5684" spans="8:8" hidden="1" x14ac:dyDescent="0.35">
      <c r="H5684" s="83">
        <f t="shared" si="135"/>
        <v>0</v>
      </c>
    </row>
    <row r="5685" spans="8:8" hidden="1" x14ac:dyDescent="0.35">
      <c r="H5685" s="83">
        <f t="shared" si="135"/>
        <v>0</v>
      </c>
    </row>
    <row r="5686" spans="8:8" hidden="1" x14ac:dyDescent="0.35">
      <c r="H5686" s="83">
        <f t="shared" si="135"/>
        <v>0</v>
      </c>
    </row>
    <row r="5687" spans="8:8" hidden="1" x14ac:dyDescent="0.35">
      <c r="H5687" s="83">
        <f t="shared" si="135"/>
        <v>0</v>
      </c>
    </row>
    <row r="5688" spans="8:8" hidden="1" x14ac:dyDescent="0.35">
      <c r="H5688" s="83">
        <f t="shared" si="135"/>
        <v>0</v>
      </c>
    </row>
    <row r="5689" spans="8:8" hidden="1" x14ac:dyDescent="0.35">
      <c r="H5689" s="83">
        <f t="shared" si="135"/>
        <v>0</v>
      </c>
    </row>
    <row r="5690" spans="8:8" hidden="1" x14ac:dyDescent="0.35">
      <c r="H5690" s="83">
        <f t="shared" si="135"/>
        <v>0</v>
      </c>
    </row>
    <row r="5691" spans="8:8" hidden="1" x14ac:dyDescent="0.35">
      <c r="H5691" s="83">
        <f t="shared" si="135"/>
        <v>0</v>
      </c>
    </row>
    <row r="5692" spans="8:8" hidden="1" x14ac:dyDescent="0.35">
      <c r="H5692" s="83">
        <f t="shared" si="135"/>
        <v>0</v>
      </c>
    </row>
    <row r="5693" spans="8:8" hidden="1" x14ac:dyDescent="0.35">
      <c r="H5693" s="83">
        <f t="shared" si="135"/>
        <v>0</v>
      </c>
    </row>
    <row r="5694" spans="8:8" hidden="1" x14ac:dyDescent="0.35">
      <c r="H5694" s="83">
        <f t="shared" si="135"/>
        <v>0</v>
      </c>
    </row>
    <row r="5695" spans="8:8" hidden="1" x14ac:dyDescent="0.35">
      <c r="H5695" s="83">
        <f t="shared" si="135"/>
        <v>0</v>
      </c>
    </row>
    <row r="5696" spans="8:8" hidden="1" x14ac:dyDescent="0.35">
      <c r="H5696" s="83">
        <f t="shared" si="135"/>
        <v>0</v>
      </c>
    </row>
    <row r="5697" spans="8:8" hidden="1" x14ac:dyDescent="0.35">
      <c r="H5697" s="83">
        <f t="shared" si="135"/>
        <v>0</v>
      </c>
    </row>
    <row r="5698" spans="8:8" hidden="1" x14ac:dyDescent="0.35">
      <c r="H5698" s="83">
        <f t="shared" si="135"/>
        <v>0</v>
      </c>
    </row>
    <row r="5699" spans="8:8" hidden="1" x14ac:dyDescent="0.35">
      <c r="H5699" s="83">
        <f t="shared" si="135"/>
        <v>0</v>
      </c>
    </row>
    <row r="5700" spans="8:8" hidden="1" x14ac:dyDescent="0.35">
      <c r="H5700" s="83">
        <f t="shared" ref="H5700:H5763" si="136">J5700-I5700</f>
        <v>0</v>
      </c>
    </row>
    <row r="5701" spans="8:8" hidden="1" x14ac:dyDescent="0.35">
      <c r="H5701" s="83">
        <f t="shared" si="136"/>
        <v>0</v>
      </c>
    </row>
    <row r="5702" spans="8:8" hidden="1" x14ac:dyDescent="0.35">
      <c r="H5702" s="83">
        <f t="shared" si="136"/>
        <v>0</v>
      </c>
    </row>
    <row r="5703" spans="8:8" hidden="1" x14ac:dyDescent="0.35">
      <c r="H5703" s="83">
        <f t="shared" si="136"/>
        <v>0</v>
      </c>
    </row>
    <row r="5704" spans="8:8" hidden="1" x14ac:dyDescent="0.35">
      <c r="H5704" s="83">
        <f t="shared" si="136"/>
        <v>0</v>
      </c>
    </row>
    <row r="5705" spans="8:8" hidden="1" x14ac:dyDescent="0.35">
      <c r="H5705" s="83">
        <f t="shared" si="136"/>
        <v>0</v>
      </c>
    </row>
    <row r="5706" spans="8:8" hidden="1" x14ac:dyDescent="0.35">
      <c r="H5706" s="83">
        <f t="shared" si="136"/>
        <v>0</v>
      </c>
    </row>
    <row r="5707" spans="8:8" hidden="1" x14ac:dyDescent="0.35">
      <c r="H5707" s="83">
        <f t="shared" si="136"/>
        <v>0</v>
      </c>
    </row>
    <row r="5708" spans="8:8" hidden="1" x14ac:dyDescent="0.35">
      <c r="H5708" s="83">
        <f t="shared" si="136"/>
        <v>0</v>
      </c>
    </row>
    <row r="5709" spans="8:8" hidden="1" x14ac:dyDescent="0.35">
      <c r="H5709" s="83">
        <f t="shared" si="136"/>
        <v>0</v>
      </c>
    </row>
    <row r="5710" spans="8:8" hidden="1" x14ac:dyDescent="0.35">
      <c r="H5710" s="83">
        <f t="shared" si="136"/>
        <v>0</v>
      </c>
    </row>
    <row r="5711" spans="8:8" hidden="1" x14ac:dyDescent="0.35">
      <c r="H5711" s="83">
        <f t="shared" si="136"/>
        <v>0</v>
      </c>
    </row>
    <row r="5712" spans="8:8" hidden="1" x14ac:dyDescent="0.35">
      <c r="H5712" s="83">
        <f t="shared" si="136"/>
        <v>0</v>
      </c>
    </row>
    <row r="5713" spans="8:8" hidden="1" x14ac:dyDescent="0.35">
      <c r="H5713" s="83">
        <f t="shared" si="136"/>
        <v>0</v>
      </c>
    </row>
    <row r="5714" spans="8:8" hidden="1" x14ac:dyDescent="0.35">
      <c r="H5714" s="83">
        <f t="shared" si="136"/>
        <v>0</v>
      </c>
    </row>
    <row r="5715" spans="8:8" hidden="1" x14ac:dyDescent="0.35">
      <c r="H5715" s="83">
        <f t="shared" si="136"/>
        <v>0</v>
      </c>
    </row>
    <row r="5716" spans="8:8" hidden="1" x14ac:dyDescent="0.35">
      <c r="H5716" s="83">
        <f t="shared" si="136"/>
        <v>0</v>
      </c>
    </row>
    <row r="5717" spans="8:8" hidden="1" x14ac:dyDescent="0.35">
      <c r="H5717" s="83">
        <f t="shared" si="136"/>
        <v>0</v>
      </c>
    </row>
    <row r="5718" spans="8:8" hidden="1" x14ac:dyDescent="0.35">
      <c r="H5718" s="83">
        <f t="shared" si="136"/>
        <v>0</v>
      </c>
    </row>
    <row r="5719" spans="8:8" hidden="1" x14ac:dyDescent="0.35">
      <c r="H5719" s="83">
        <f t="shared" si="136"/>
        <v>0</v>
      </c>
    </row>
    <row r="5720" spans="8:8" hidden="1" x14ac:dyDescent="0.35">
      <c r="H5720" s="83">
        <f t="shared" si="136"/>
        <v>0</v>
      </c>
    </row>
    <row r="5721" spans="8:8" hidden="1" x14ac:dyDescent="0.35">
      <c r="H5721" s="83">
        <f t="shared" si="136"/>
        <v>0</v>
      </c>
    </row>
    <row r="5722" spans="8:8" hidden="1" x14ac:dyDescent="0.35">
      <c r="H5722" s="83">
        <f t="shared" si="136"/>
        <v>0</v>
      </c>
    </row>
    <row r="5723" spans="8:8" hidden="1" x14ac:dyDescent="0.35">
      <c r="H5723" s="83">
        <f t="shared" si="136"/>
        <v>0</v>
      </c>
    </row>
    <row r="5724" spans="8:8" hidden="1" x14ac:dyDescent="0.35">
      <c r="H5724" s="83">
        <f t="shared" si="136"/>
        <v>0</v>
      </c>
    </row>
    <row r="5725" spans="8:8" hidden="1" x14ac:dyDescent="0.35">
      <c r="H5725" s="83">
        <f t="shared" si="136"/>
        <v>0</v>
      </c>
    </row>
    <row r="5726" spans="8:8" hidden="1" x14ac:dyDescent="0.35">
      <c r="H5726" s="83">
        <f t="shared" si="136"/>
        <v>0</v>
      </c>
    </row>
    <row r="5727" spans="8:8" hidden="1" x14ac:dyDescent="0.35">
      <c r="H5727" s="83">
        <f t="shared" si="136"/>
        <v>0</v>
      </c>
    </row>
    <row r="5728" spans="8:8" hidden="1" x14ac:dyDescent="0.35">
      <c r="H5728" s="83">
        <f t="shared" si="136"/>
        <v>0</v>
      </c>
    </row>
    <row r="5729" spans="8:8" hidden="1" x14ac:dyDescent="0.35">
      <c r="H5729" s="83">
        <f t="shared" si="136"/>
        <v>0</v>
      </c>
    </row>
    <row r="5730" spans="8:8" hidden="1" x14ac:dyDescent="0.35">
      <c r="H5730" s="83">
        <f t="shared" si="136"/>
        <v>0</v>
      </c>
    </row>
    <row r="5731" spans="8:8" hidden="1" x14ac:dyDescent="0.35">
      <c r="H5731" s="83">
        <f t="shared" si="136"/>
        <v>0</v>
      </c>
    </row>
    <row r="5732" spans="8:8" hidden="1" x14ac:dyDescent="0.35">
      <c r="H5732" s="83">
        <f t="shared" si="136"/>
        <v>0</v>
      </c>
    </row>
    <row r="5733" spans="8:8" hidden="1" x14ac:dyDescent="0.35">
      <c r="H5733" s="83">
        <f t="shared" si="136"/>
        <v>0</v>
      </c>
    </row>
    <row r="5734" spans="8:8" hidden="1" x14ac:dyDescent="0.35">
      <c r="H5734" s="83">
        <f t="shared" si="136"/>
        <v>0</v>
      </c>
    </row>
    <row r="5735" spans="8:8" hidden="1" x14ac:dyDescent="0.35">
      <c r="H5735" s="83">
        <f t="shared" si="136"/>
        <v>0</v>
      </c>
    </row>
    <row r="5736" spans="8:8" hidden="1" x14ac:dyDescent="0.35">
      <c r="H5736" s="83">
        <f t="shared" si="136"/>
        <v>0</v>
      </c>
    </row>
    <row r="5737" spans="8:8" hidden="1" x14ac:dyDescent="0.35">
      <c r="H5737" s="83">
        <f t="shared" si="136"/>
        <v>0</v>
      </c>
    </row>
    <row r="5738" spans="8:8" hidden="1" x14ac:dyDescent="0.35">
      <c r="H5738" s="83">
        <f t="shared" si="136"/>
        <v>0</v>
      </c>
    </row>
    <row r="5739" spans="8:8" hidden="1" x14ac:dyDescent="0.35">
      <c r="H5739" s="83">
        <f t="shared" si="136"/>
        <v>0</v>
      </c>
    </row>
    <row r="5740" spans="8:8" hidden="1" x14ac:dyDescent="0.35">
      <c r="H5740" s="83">
        <f t="shared" si="136"/>
        <v>0</v>
      </c>
    </row>
    <row r="5741" spans="8:8" hidden="1" x14ac:dyDescent="0.35">
      <c r="H5741" s="83">
        <f t="shared" si="136"/>
        <v>0</v>
      </c>
    </row>
    <row r="5742" spans="8:8" hidden="1" x14ac:dyDescent="0.35">
      <c r="H5742" s="83">
        <f t="shared" si="136"/>
        <v>0</v>
      </c>
    </row>
    <row r="5743" spans="8:8" hidden="1" x14ac:dyDescent="0.35">
      <c r="H5743" s="83">
        <f t="shared" si="136"/>
        <v>0</v>
      </c>
    </row>
    <row r="5744" spans="8:8" hidden="1" x14ac:dyDescent="0.35">
      <c r="H5744" s="83">
        <f t="shared" si="136"/>
        <v>0</v>
      </c>
    </row>
    <row r="5745" spans="8:8" hidden="1" x14ac:dyDescent="0.35">
      <c r="H5745" s="83">
        <f t="shared" si="136"/>
        <v>0</v>
      </c>
    </row>
    <row r="5746" spans="8:8" hidden="1" x14ac:dyDescent="0.35">
      <c r="H5746" s="83">
        <f t="shared" si="136"/>
        <v>0</v>
      </c>
    </row>
    <row r="5747" spans="8:8" hidden="1" x14ac:dyDescent="0.35">
      <c r="H5747" s="83">
        <f t="shared" si="136"/>
        <v>0</v>
      </c>
    </row>
    <row r="5748" spans="8:8" hidden="1" x14ac:dyDescent="0.35">
      <c r="H5748" s="83">
        <f t="shared" si="136"/>
        <v>0</v>
      </c>
    </row>
    <row r="5749" spans="8:8" hidden="1" x14ac:dyDescent="0.35">
      <c r="H5749" s="83">
        <f t="shared" si="136"/>
        <v>0</v>
      </c>
    </row>
    <row r="5750" spans="8:8" hidden="1" x14ac:dyDescent="0.35">
      <c r="H5750" s="83">
        <f t="shared" si="136"/>
        <v>0</v>
      </c>
    </row>
    <row r="5751" spans="8:8" hidden="1" x14ac:dyDescent="0.35">
      <c r="H5751" s="83">
        <f t="shared" si="136"/>
        <v>0</v>
      </c>
    </row>
    <row r="5752" spans="8:8" hidden="1" x14ac:dyDescent="0.35">
      <c r="H5752" s="83">
        <f t="shared" si="136"/>
        <v>0</v>
      </c>
    </row>
    <row r="5753" spans="8:8" hidden="1" x14ac:dyDescent="0.35">
      <c r="H5753" s="83">
        <f t="shared" si="136"/>
        <v>0</v>
      </c>
    </row>
    <row r="5754" spans="8:8" hidden="1" x14ac:dyDescent="0.35">
      <c r="H5754" s="83">
        <f t="shared" si="136"/>
        <v>0</v>
      </c>
    </row>
    <row r="5755" spans="8:8" hidden="1" x14ac:dyDescent="0.35">
      <c r="H5755" s="83">
        <f t="shared" si="136"/>
        <v>0</v>
      </c>
    </row>
    <row r="5756" spans="8:8" hidden="1" x14ac:dyDescent="0.35">
      <c r="H5756" s="83">
        <f t="shared" si="136"/>
        <v>0</v>
      </c>
    </row>
    <row r="5757" spans="8:8" hidden="1" x14ac:dyDescent="0.35">
      <c r="H5757" s="83">
        <f t="shared" si="136"/>
        <v>0</v>
      </c>
    </row>
    <row r="5758" spans="8:8" hidden="1" x14ac:dyDescent="0.35">
      <c r="H5758" s="83">
        <f t="shared" si="136"/>
        <v>0</v>
      </c>
    </row>
    <row r="5759" spans="8:8" hidden="1" x14ac:dyDescent="0.35">
      <c r="H5759" s="83">
        <f t="shared" si="136"/>
        <v>0</v>
      </c>
    </row>
    <row r="5760" spans="8:8" hidden="1" x14ac:dyDescent="0.35">
      <c r="H5760" s="83">
        <f t="shared" si="136"/>
        <v>0</v>
      </c>
    </row>
    <row r="5761" spans="8:8" hidden="1" x14ac:dyDescent="0.35">
      <c r="H5761" s="83">
        <f t="shared" si="136"/>
        <v>0</v>
      </c>
    </row>
    <row r="5762" spans="8:8" hidden="1" x14ac:dyDescent="0.35">
      <c r="H5762" s="83">
        <f t="shared" si="136"/>
        <v>0</v>
      </c>
    </row>
    <row r="5763" spans="8:8" hidden="1" x14ac:dyDescent="0.35">
      <c r="H5763" s="83">
        <f t="shared" si="136"/>
        <v>0</v>
      </c>
    </row>
    <row r="5764" spans="8:8" hidden="1" x14ac:dyDescent="0.35">
      <c r="H5764" s="83">
        <f t="shared" ref="H5764:H5827" si="137">J5764-I5764</f>
        <v>0</v>
      </c>
    </row>
    <row r="5765" spans="8:8" hidden="1" x14ac:dyDescent="0.35">
      <c r="H5765" s="83">
        <f t="shared" si="137"/>
        <v>0</v>
      </c>
    </row>
    <row r="5766" spans="8:8" hidden="1" x14ac:dyDescent="0.35">
      <c r="H5766" s="83">
        <f t="shared" si="137"/>
        <v>0</v>
      </c>
    </row>
    <row r="5767" spans="8:8" hidden="1" x14ac:dyDescent="0.35">
      <c r="H5767" s="83">
        <f t="shared" si="137"/>
        <v>0</v>
      </c>
    </row>
    <row r="5768" spans="8:8" hidden="1" x14ac:dyDescent="0.35">
      <c r="H5768" s="83">
        <f t="shared" si="137"/>
        <v>0</v>
      </c>
    </row>
    <row r="5769" spans="8:8" hidden="1" x14ac:dyDescent="0.35">
      <c r="H5769" s="83">
        <f t="shared" si="137"/>
        <v>0</v>
      </c>
    </row>
    <row r="5770" spans="8:8" hidden="1" x14ac:dyDescent="0.35">
      <c r="H5770" s="83">
        <f t="shared" si="137"/>
        <v>0</v>
      </c>
    </row>
    <row r="5771" spans="8:8" hidden="1" x14ac:dyDescent="0.35">
      <c r="H5771" s="83">
        <f t="shared" si="137"/>
        <v>0</v>
      </c>
    </row>
    <row r="5772" spans="8:8" hidden="1" x14ac:dyDescent="0.35">
      <c r="H5772" s="83">
        <f t="shared" si="137"/>
        <v>0</v>
      </c>
    </row>
    <row r="5773" spans="8:8" hidden="1" x14ac:dyDescent="0.35">
      <c r="H5773" s="83">
        <f t="shared" si="137"/>
        <v>0</v>
      </c>
    </row>
    <row r="5774" spans="8:8" hidden="1" x14ac:dyDescent="0.35">
      <c r="H5774" s="83">
        <f t="shared" si="137"/>
        <v>0</v>
      </c>
    </row>
    <row r="5775" spans="8:8" hidden="1" x14ac:dyDescent="0.35">
      <c r="H5775" s="83">
        <f t="shared" si="137"/>
        <v>0</v>
      </c>
    </row>
    <row r="5776" spans="8:8" hidden="1" x14ac:dyDescent="0.35">
      <c r="H5776" s="83">
        <f t="shared" si="137"/>
        <v>0</v>
      </c>
    </row>
    <row r="5777" spans="8:8" hidden="1" x14ac:dyDescent="0.35">
      <c r="H5777" s="83">
        <f t="shared" si="137"/>
        <v>0</v>
      </c>
    </row>
    <row r="5778" spans="8:8" hidden="1" x14ac:dyDescent="0.35">
      <c r="H5778" s="83">
        <f t="shared" si="137"/>
        <v>0</v>
      </c>
    </row>
    <row r="5779" spans="8:8" hidden="1" x14ac:dyDescent="0.35">
      <c r="H5779" s="83">
        <f t="shared" si="137"/>
        <v>0</v>
      </c>
    </row>
    <row r="5780" spans="8:8" hidden="1" x14ac:dyDescent="0.35">
      <c r="H5780" s="83">
        <f t="shared" si="137"/>
        <v>0</v>
      </c>
    </row>
    <row r="5781" spans="8:8" hidden="1" x14ac:dyDescent="0.35">
      <c r="H5781" s="83">
        <f t="shared" si="137"/>
        <v>0</v>
      </c>
    </row>
    <row r="5782" spans="8:8" hidden="1" x14ac:dyDescent="0.35">
      <c r="H5782" s="83">
        <f t="shared" si="137"/>
        <v>0</v>
      </c>
    </row>
    <row r="5783" spans="8:8" hidden="1" x14ac:dyDescent="0.35">
      <c r="H5783" s="83">
        <f t="shared" si="137"/>
        <v>0</v>
      </c>
    </row>
    <row r="5784" spans="8:8" hidden="1" x14ac:dyDescent="0.35">
      <c r="H5784" s="83">
        <f t="shared" si="137"/>
        <v>0</v>
      </c>
    </row>
    <row r="5785" spans="8:8" hidden="1" x14ac:dyDescent="0.35">
      <c r="H5785" s="83">
        <f t="shared" si="137"/>
        <v>0</v>
      </c>
    </row>
    <row r="5786" spans="8:8" hidden="1" x14ac:dyDescent="0.35">
      <c r="H5786" s="83">
        <f t="shared" si="137"/>
        <v>0</v>
      </c>
    </row>
    <row r="5787" spans="8:8" hidden="1" x14ac:dyDescent="0.35">
      <c r="H5787" s="83">
        <f t="shared" si="137"/>
        <v>0</v>
      </c>
    </row>
    <row r="5788" spans="8:8" hidden="1" x14ac:dyDescent="0.35">
      <c r="H5788" s="83">
        <f t="shared" si="137"/>
        <v>0</v>
      </c>
    </row>
    <row r="5789" spans="8:8" hidden="1" x14ac:dyDescent="0.35">
      <c r="H5789" s="83">
        <f t="shared" si="137"/>
        <v>0</v>
      </c>
    </row>
    <row r="5790" spans="8:8" hidden="1" x14ac:dyDescent="0.35">
      <c r="H5790" s="83">
        <f t="shared" si="137"/>
        <v>0</v>
      </c>
    </row>
    <row r="5791" spans="8:8" hidden="1" x14ac:dyDescent="0.35">
      <c r="H5791" s="83">
        <f t="shared" si="137"/>
        <v>0</v>
      </c>
    </row>
    <row r="5792" spans="8:8" hidden="1" x14ac:dyDescent="0.35">
      <c r="H5792" s="83">
        <f t="shared" si="137"/>
        <v>0</v>
      </c>
    </row>
    <row r="5793" spans="8:8" hidden="1" x14ac:dyDescent="0.35">
      <c r="H5793" s="83">
        <f t="shared" si="137"/>
        <v>0</v>
      </c>
    </row>
    <row r="5794" spans="8:8" hidden="1" x14ac:dyDescent="0.35">
      <c r="H5794" s="83">
        <f t="shared" si="137"/>
        <v>0</v>
      </c>
    </row>
    <row r="5795" spans="8:8" hidden="1" x14ac:dyDescent="0.35">
      <c r="H5795" s="83">
        <f t="shared" si="137"/>
        <v>0</v>
      </c>
    </row>
    <row r="5796" spans="8:8" hidden="1" x14ac:dyDescent="0.35">
      <c r="H5796" s="83">
        <f t="shared" si="137"/>
        <v>0</v>
      </c>
    </row>
    <row r="5797" spans="8:8" hidden="1" x14ac:dyDescent="0.35">
      <c r="H5797" s="83">
        <f t="shared" si="137"/>
        <v>0</v>
      </c>
    </row>
    <row r="5798" spans="8:8" hidden="1" x14ac:dyDescent="0.35">
      <c r="H5798" s="83">
        <f t="shared" si="137"/>
        <v>0</v>
      </c>
    </row>
    <row r="5799" spans="8:8" hidden="1" x14ac:dyDescent="0.35">
      <c r="H5799" s="83">
        <f t="shared" si="137"/>
        <v>0</v>
      </c>
    </row>
    <row r="5800" spans="8:8" hidden="1" x14ac:dyDescent="0.35">
      <c r="H5800" s="83">
        <f t="shared" si="137"/>
        <v>0</v>
      </c>
    </row>
    <row r="5801" spans="8:8" hidden="1" x14ac:dyDescent="0.35">
      <c r="H5801" s="83">
        <f t="shared" si="137"/>
        <v>0</v>
      </c>
    </row>
    <row r="5802" spans="8:8" hidden="1" x14ac:dyDescent="0.35">
      <c r="H5802" s="83">
        <f t="shared" si="137"/>
        <v>0</v>
      </c>
    </row>
    <row r="5803" spans="8:8" hidden="1" x14ac:dyDescent="0.35">
      <c r="H5803" s="83">
        <f t="shared" si="137"/>
        <v>0</v>
      </c>
    </row>
    <row r="5804" spans="8:8" hidden="1" x14ac:dyDescent="0.35">
      <c r="H5804" s="83">
        <f t="shared" si="137"/>
        <v>0</v>
      </c>
    </row>
    <row r="5805" spans="8:8" hidden="1" x14ac:dyDescent="0.35">
      <c r="H5805" s="83">
        <f t="shared" si="137"/>
        <v>0</v>
      </c>
    </row>
    <row r="5806" spans="8:8" hidden="1" x14ac:dyDescent="0.35">
      <c r="H5806" s="83">
        <f t="shared" si="137"/>
        <v>0</v>
      </c>
    </row>
    <row r="5807" spans="8:8" hidden="1" x14ac:dyDescent="0.35">
      <c r="H5807" s="83">
        <f t="shared" si="137"/>
        <v>0</v>
      </c>
    </row>
    <row r="5808" spans="8:8" hidden="1" x14ac:dyDescent="0.35">
      <c r="H5808" s="83">
        <f t="shared" si="137"/>
        <v>0</v>
      </c>
    </row>
    <row r="5809" spans="8:8" hidden="1" x14ac:dyDescent="0.35">
      <c r="H5809" s="83">
        <f t="shared" si="137"/>
        <v>0</v>
      </c>
    </row>
    <row r="5810" spans="8:8" hidden="1" x14ac:dyDescent="0.35">
      <c r="H5810" s="83">
        <f t="shared" si="137"/>
        <v>0</v>
      </c>
    </row>
    <row r="5811" spans="8:8" hidden="1" x14ac:dyDescent="0.35">
      <c r="H5811" s="83">
        <f t="shared" si="137"/>
        <v>0</v>
      </c>
    </row>
    <row r="5812" spans="8:8" hidden="1" x14ac:dyDescent="0.35">
      <c r="H5812" s="83">
        <f t="shared" si="137"/>
        <v>0</v>
      </c>
    </row>
    <row r="5813" spans="8:8" hidden="1" x14ac:dyDescent="0.35">
      <c r="H5813" s="83">
        <f t="shared" si="137"/>
        <v>0</v>
      </c>
    </row>
    <row r="5814" spans="8:8" hidden="1" x14ac:dyDescent="0.35">
      <c r="H5814" s="83">
        <f t="shared" si="137"/>
        <v>0</v>
      </c>
    </row>
    <row r="5815" spans="8:8" hidden="1" x14ac:dyDescent="0.35">
      <c r="H5815" s="83">
        <f t="shared" si="137"/>
        <v>0</v>
      </c>
    </row>
    <row r="5816" spans="8:8" hidden="1" x14ac:dyDescent="0.35">
      <c r="H5816" s="83">
        <f t="shared" si="137"/>
        <v>0</v>
      </c>
    </row>
    <row r="5817" spans="8:8" hidden="1" x14ac:dyDescent="0.35">
      <c r="H5817" s="83">
        <f t="shared" si="137"/>
        <v>0</v>
      </c>
    </row>
    <row r="5818" spans="8:8" hidden="1" x14ac:dyDescent="0.35">
      <c r="H5818" s="83">
        <f t="shared" si="137"/>
        <v>0</v>
      </c>
    </row>
    <row r="5819" spans="8:8" hidden="1" x14ac:dyDescent="0.35">
      <c r="H5819" s="83">
        <f t="shared" si="137"/>
        <v>0</v>
      </c>
    </row>
    <row r="5820" spans="8:8" hidden="1" x14ac:dyDescent="0.35">
      <c r="H5820" s="83">
        <f t="shared" si="137"/>
        <v>0</v>
      </c>
    </row>
    <row r="5821" spans="8:8" hidden="1" x14ac:dyDescent="0.35">
      <c r="H5821" s="83">
        <f t="shared" si="137"/>
        <v>0</v>
      </c>
    </row>
    <row r="5822" spans="8:8" hidden="1" x14ac:dyDescent="0.35">
      <c r="H5822" s="83">
        <f t="shared" si="137"/>
        <v>0</v>
      </c>
    </row>
    <row r="5823" spans="8:8" hidden="1" x14ac:dyDescent="0.35">
      <c r="H5823" s="83">
        <f t="shared" si="137"/>
        <v>0</v>
      </c>
    </row>
    <row r="5824" spans="8:8" hidden="1" x14ac:dyDescent="0.35">
      <c r="H5824" s="83">
        <f t="shared" si="137"/>
        <v>0</v>
      </c>
    </row>
    <row r="5825" spans="8:8" hidden="1" x14ac:dyDescent="0.35">
      <c r="H5825" s="83">
        <f t="shared" si="137"/>
        <v>0</v>
      </c>
    </row>
    <row r="5826" spans="8:8" hidden="1" x14ac:dyDescent="0.35">
      <c r="H5826" s="83">
        <f t="shared" si="137"/>
        <v>0</v>
      </c>
    </row>
    <row r="5827" spans="8:8" hidden="1" x14ac:dyDescent="0.35">
      <c r="H5827" s="83">
        <f t="shared" si="137"/>
        <v>0</v>
      </c>
    </row>
    <row r="5828" spans="8:8" hidden="1" x14ac:dyDescent="0.35">
      <c r="H5828" s="83">
        <f t="shared" ref="H5828:H5891" si="138">J5828-I5828</f>
        <v>0</v>
      </c>
    </row>
    <row r="5829" spans="8:8" hidden="1" x14ac:dyDescent="0.35">
      <c r="H5829" s="83">
        <f t="shared" si="138"/>
        <v>0</v>
      </c>
    </row>
    <row r="5830" spans="8:8" hidden="1" x14ac:dyDescent="0.35">
      <c r="H5830" s="83">
        <f t="shared" si="138"/>
        <v>0</v>
      </c>
    </row>
    <row r="5831" spans="8:8" hidden="1" x14ac:dyDescent="0.35">
      <c r="H5831" s="83">
        <f t="shared" si="138"/>
        <v>0</v>
      </c>
    </row>
    <row r="5832" spans="8:8" hidden="1" x14ac:dyDescent="0.35">
      <c r="H5832" s="83">
        <f t="shared" si="138"/>
        <v>0</v>
      </c>
    </row>
    <row r="5833" spans="8:8" hidden="1" x14ac:dyDescent="0.35">
      <c r="H5833" s="83">
        <f t="shared" si="138"/>
        <v>0</v>
      </c>
    </row>
    <row r="5834" spans="8:8" hidden="1" x14ac:dyDescent="0.35">
      <c r="H5834" s="83">
        <f t="shared" si="138"/>
        <v>0</v>
      </c>
    </row>
    <row r="5835" spans="8:8" hidden="1" x14ac:dyDescent="0.35">
      <c r="H5835" s="83">
        <f t="shared" si="138"/>
        <v>0</v>
      </c>
    </row>
    <row r="5836" spans="8:8" hidden="1" x14ac:dyDescent="0.35">
      <c r="H5836" s="83">
        <f t="shared" si="138"/>
        <v>0</v>
      </c>
    </row>
    <row r="5837" spans="8:8" hidden="1" x14ac:dyDescent="0.35">
      <c r="H5837" s="83">
        <f t="shared" si="138"/>
        <v>0</v>
      </c>
    </row>
    <row r="5838" spans="8:8" hidden="1" x14ac:dyDescent="0.35">
      <c r="H5838" s="83">
        <f t="shared" si="138"/>
        <v>0</v>
      </c>
    </row>
    <row r="5839" spans="8:8" hidden="1" x14ac:dyDescent="0.35">
      <c r="H5839" s="83">
        <f t="shared" si="138"/>
        <v>0</v>
      </c>
    </row>
    <row r="5840" spans="8:8" hidden="1" x14ac:dyDescent="0.35">
      <c r="H5840" s="83">
        <f t="shared" si="138"/>
        <v>0</v>
      </c>
    </row>
    <row r="5841" spans="8:8" hidden="1" x14ac:dyDescent="0.35">
      <c r="H5841" s="83">
        <f t="shared" si="138"/>
        <v>0</v>
      </c>
    </row>
    <row r="5842" spans="8:8" hidden="1" x14ac:dyDescent="0.35">
      <c r="H5842" s="83">
        <f t="shared" si="138"/>
        <v>0</v>
      </c>
    </row>
    <row r="5843" spans="8:8" hidden="1" x14ac:dyDescent="0.35">
      <c r="H5843" s="83">
        <f t="shared" si="138"/>
        <v>0</v>
      </c>
    </row>
    <row r="5844" spans="8:8" hidden="1" x14ac:dyDescent="0.35">
      <c r="H5844" s="83">
        <f t="shared" si="138"/>
        <v>0</v>
      </c>
    </row>
    <row r="5845" spans="8:8" hidden="1" x14ac:dyDescent="0.35">
      <c r="H5845" s="83">
        <f t="shared" si="138"/>
        <v>0</v>
      </c>
    </row>
    <row r="5846" spans="8:8" hidden="1" x14ac:dyDescent="0.35">
      <c r="H5846" s="83">
        <f t="shared" si="138"/>
        <v>0</v>
      </c>
    </row>
    <row r="5847" spans="8:8" hidden="1" x14ac:dyDescent="0.35">
      <c r="H5847" s="83">
        <f t="shared" si="138"/>
        <v>0</v>
      </c>
    </row>
    <row r="5848" spans="8:8" hidden="1" x14ac:dyDescent="0.35">
      <c r="H5848" s="83">
        <f t="shared" si="138"/>
        <v>0</v>
      </c>
    </row>
    <row r="5849" spans="8:8" hidden="1" x14ac:dyDescent="0.35">
      <c r="H5849" s="83">
        <f t="shared" si="138"/>
        <v>0</v>
      </c>
    </row>
    <row r="5850" spans="8:8" hidden="1" x14ac:dyDescent="0.35">
      <c r="H5850" s="83">
        <f t="shared" si="138"/>
        <v>0</v>
      </c>
    </row>
    <row r="5851" spans="8:8" hidden="1" x14ac:dyDescent="0.35">
      <c r="H5851" s="83">
        <f t="shared" si="138"/>
        <v>0</v>
      </c>
    </row>
    <row r="5852" spans="8:8" hidden="1" x14ac:dyDescent="0.35">
      <c r="H5852" s="83">
        <f t="shared" si="138"/>
        <v>0</v>
      </c>
    </row>
    <row r="5853" spans="8:8" hidden="1" x14ac:dyDescent="0.35">
      <c r="H5853" s="83">
        <f t="shared" si="138"/>
        <v>0</v>
      </c>
    </row>
    <row r="5854" spans="8:8" hidden="1" x14ac:dyDescent="0.35">
      <c r="H5854" s="83">
        <f t="shared" si="138"/>
        <v>0</v>
      </c>
    </row>
    <row r="5855" spans="8:8" hidden="1" x14ac:dyDescent="0.35">
      <c r="H5855" s="83">
        <f t="shared" si="138"/>
        <v>0</v>
      </c>
    </row>
    <row r="5856" spans="8:8" hidden="1" x14ac:dyDescent="0.35">
      <c r="H5856" s="83">
        <f t="shared" si="138"/>
        <v>0</v>
      </c>
    </row>
    <row r="5857" spans="8:8" hidden="1" x14ac:dyDescent="0.35">
      <c r="H5857" s="83">
        <f t="shared" si="138"/>
        <v>0</v>
      </c>
    </row>
    <row r="5858" spans="8:8" hidden="1" x14ac:dyDescent="0.35">
      <c r="H5858" s="83">
        <f t="shared" si="138"/>
        <v>0</v>
      </c>
    </row>
    <row r="5859" spans="8:8" hidden="1" x14ac:dyDescent="0.35">
      <c r="H5859" s="83">
        <f t="shared" si="138"/>
        <v>0</v>
      </c>
    </row>
    <row r="5860" spans="8:8" hidden="1" x14ac:dyDescent="0.35">
      <c r="H5860" s="83">
        <f t="shared" si="138"/>
        <v>0</v>
      </c>
    </row>
    <row r="5861" spans="8:8" hidden="1" x14ac:dyDescent="0.35">
      <c r="H5861" s="83">
        <f t="shared" si="138"/>
        <v>0</v>
      </c>
    </row>
    <row r="5862" spans="8:8" hidden="1" x14ac:dyDescent="0.35">
      <c r="H5862" s="83">
        <f t="shared" si="138"/>
        <v>0</v>
      </c>
    </row>
    <row r="5863" spans="8:8" hidden="1" x14ac:dyDescent="0.35">
      <c r="H5863" s="83">
        <f t="shared" si="138"/>
        <v>0</v>
      </c>
    </row>
    <row r="5864" spans="8:8" hidden="1" x14ac:dyDescent="0.35">
      <c r="H5864" s="83">
        <f t="shared" si="138"/>
        <v>0</v>
      </c>
    </row>
    <row r="5865" spans="8:8" hidden="1" x14ac:dyDescent="0.35">
      <c r="H5865" s="83">
        <f t="shared" si="138"/>
        <v>0</v>
      </c>
    </row>
    <row r="5866" spans="8:8" hidden="1" x14ac:dyDescent="0.35">
      <c r="H5866" s="83">
        <f t="shared" si="138"/>
        <v>0</v>
      </c>
    </row>
    <row r="5867" spans="8:8" hidden="1" x14ac:dyDescent="0.35">
      <c r="H5867" s="83">
        <f t="shared" si="138"/>
        <v>0</v>
      </c>
    </row>
    <row r="5868" spans="8:8" hidden="1" x14ac:dyDescent="0.35">
      <c r="H5868" s="83">
        <f t="shared" si="138"/>
        <v>0</v>
      </c>
    </row>
    <row r="5869" spans="8:8" hidden="1" x14ac:dyDescent="0.35">
      <c r="H5869" s="83">
        <f t="shared" si="138"/>
        <v>0</v>
      </c>
    </row>
    <row r="5870" spans="8:8" hidden="1" x14ac:dyDescent="0.35">
      <c r="H5870" s="83">
        <f t="shared" si="138"/>
        <v>0</v>
      </c>
    </row>
    <row r="5871" spans="8:8" hidden="1" x14ac:dyDescent="0.35">
      <c r="H5871" s="83">
        <f t="shared" si="138"/>
        <v>0</v>
      </c>
    </row>
    <row r="5872" spans="8:8" hidden="1" x14ac:dyDescent="0.35">
      <c r="H5872" s="83">
        <f t="shared" si="138"/>
        <v>0</v>
      </c>
    </row>
    <row r="5873" spans="8:8" hidden="1" x14ac:dyDescent="0.35">
      <c r="H5873" s="83">
        <f t="shared" si="138"/>
        <v>0</v>
      </c>
    </row>
    <row r="5874" spans="8:8" hidden="1" x14ac:dyDescent="0.35">
      <c r="H5874" s="83">
        <f t="shared" si="138"/>
        <v>0</v>
      </c>
    </row>
    <row r="5875" spans="8:8" hidden="1" x14ac:dyDescent="0.35">
      <c r="H5875" s="83">
        <f t="shared" si="138"/>
        <v>0</v>
      </c>
    </row>
    <row r="5876" spans="8:8" hidden="1" x14ac:dyDescent="0.35">
      <c r="H5876" s="83">
        <f t="shared" si="138"/>
        <v>0</v>
      </c>
    </row>
    <row r="5877" spans="8:8" hidden="1" x14ac:dyDescent="0.35">
      <c r="H5877" s="83">
        <f t="shared" si="138"/>
        <v>0</v>
      </c>
    </row>
    <row r="5878" spans="8:8" hidden="1" x14ac:dyDescent="0.35">
      <c r="H5878" s="83">
        <f t="shared" si="138"/>
        <v>0</v>
      </c>
    </row>
    <row r="5879" spans="8:8" hidden="1" x14ac:dyDescent="0.35">
      <c r="H5879" s="83">
        <f t="shared" si="138"/>
        <v>0</v>
      </c>
    </row>
    <row r="5880" spans="8:8" hidden="1" x14ac:dyDescent="0.35">
      <c r="H5880" s="83">
        <f t="shared" si="138"/>
        <v>0</v>
      </c>
    </row>
    <row r="5881" spans="8:8" hidden="1" x14ac:dyDescent="0.35">
      <c r="H5881" s="83">
        <f t="shared" si="138"/>
        <v>0</v>
      </c>
    </row>
    <row r="5882" spans="8:8" hidden="1" x14ac:dyDescent="0.35">
      <c r="H5882" s="83">
        <f t="shared" si="138"/>
        <v>0</v>
      </c>
    </row>
    <row r="5883" spans="8:8" hidden="1" x14ac:dyDescent="0.35">
      <c r="H5883" s="83">
        <f t="shared" si="138"/>
        <v>0</v>
      </c>
    </row>
    <row r="5884" spans="8:8" hidden="1" x14ac:dyDescent="0.35">
      <c r="H5884" s="83">
        <f t="shared" si="138"/>
        <v>0</v>
      </c>
    </row>
    <row r="5885" spans="8:8" hidden="1" x14ac:dyDescent="0.35">
      <c r="H5885" s="83">
        <f t="shared" si="138"/>
        <v>0</v>
      </c>
    </row>
    <row r="5886" spans="8:8" hidden="1" x14ac:dyDescent="0.35">
      <c r="H5886" s="83">
        <f t="shared" si="138"/>
        <v>0</v>
      </c>
    </row>
    <row r="5887" spans="8:8" hidden="1" x14ac:dyDescent="0.35">
      <c r="H5887" s="83">
        <f t="shared" si="138"/>
        <v>0</v>
      </c>
    </row>
    <row r="5888" spans="8:8" hidden="1" x14ac:dyDescent="0.35">
      <c r="H5888" s="83">
        <f t="shared" si="138"/>
        <v>0</v>
      </c>
    </row>
    <row r="5889" spans="8:8" hidden="1" x14ac:dyDescent="0.35">
      <c r="H5889" s="83">
        <f t="shared" si="138"/>
        <v>0</v>
      </c>
    </row>
    <row r="5890" spans="8:8" hidden="1" x14ac:dyDescent="0.35">
      <c r="H5890" s="83">
        <f t="shared" si="138"/>
        <v>0</v>
      </c>
    </row>
    <row r="5891" spans="8:8" hidden="1" x14ac:dyDescent="0.35">
      <c r="H5891" s="83">
        <f t="shared" si="138"/>
        <v>0</v>
      </c>
    </row>
    <row r="5892" spans="8:8" hidden="1" x14ac:dyDescent="0.35">
      <c r="H5892" s="83">
        <f t="shared" ref="H5892:H5955" si="139">J5892-I5892</f>
        <v>0</v>
      </c>
    </row>
    <row r="5893" spans="8:8" hidden="1" x14ac:dyDescent="0.35">
      <c r="H5893" s="83">
        <f t="shared" si="139"/>
        <v>0</v>
      </c>
    </row>
    <row r="5894" spans="8:8" hidden="1" x14ac:dyDescent="0.35">
      <c r="H5894" s="83">
        <f t="shared" si="139"/>
        <v>0</v>
      </c>
    </row>
    <row r="5895" spans="8:8" hidden="1" x14ac:dyDescent="0.35">
      <c r="H5895" s="83">
        <f t="shared" si="139"/>
        <v>0</v>
      </c>
    </row>
    <row r="5896" spans="8:8" hidden="1" x14ac:dyDescent="0.35">
      <c r="H5896" s="83">
        <f t="shared" si="139"/>
        <v>0</v>
      </c>
    </row>
    <row r="5897" spans="8:8" hidden="1" x14ac:dyDescent="0.35">
      <c r="H5897" s="83">
        <f t="shared" si="139"/>
        <v>0</v>
      </c>
    </row>
    <row r="5898" spans="8:8" hidden="1" x14ac:dyDescent="0.35">
      <c r="H5898" s="83">
        <f t="shared" si="139"/>
        <v>0</v>
      </c>
    </row>
    <row r="5899" spans="8:8" hidden="1" x14ac:dyDescent="0.35">
      <c r="H5899" s="83">
        <f t="shared" si="139"/>
        <v>0</v>
      </c>
    </row>
    <row r="5900" spans="8:8" hidden="1" x14ac:dyDescent="0.35">
      <c r="H5900" s="83">
        <f t="shared" si="139"/>
        <v>0</v>
      </c>
    </row>
    <row r="5901" spans="8:8" hidden="1" x14ac:dyDescent="0.35">
      <c r="H5901" s="83">
        <f t="shared" si="139"/>
        <v>0</v>
      </c>
    </row>
    <row r="5902" spans="8:8" hidden="1" x14ac:dyDescent="0.35">
      <c r="H5902" s="83">
        <f t="shared" si="139"/>
        <v>0</v>
      </c>
    </row>
    <row r="5903" spans="8:8" hidden="1" x14ac:dyDescent="0.35">
      <c r="H5903" s="83">
        <f t="shared" si="139"/>
        <v>0</v>
      </c>
    </row>
    <row r="5904" spans="8:8" hidden="1" x14ac:dyDescent="0.35">
      <c r="H5904" s="83">
        <f t="shared" si="139"/>
        <v>0</v>
      </c>
    </row>
    <row r="5905" spans="8:8" hidden="1" x14ac:dyDescent="0.35">
      <c r="H5905" s="83">
        <f t="shared" si="139"/>
        <v>0</v>
      </c>
    </row>
    <row r="5906" spans="8:8" hidden="1" x14ac:dyDescent="0.35">
      <c r="H5906" s="83">
        <f t="shared" si="139"/>
        <v>0</v>
      </c>
    </row>
    <row r="5907" spans="8:8" hidden="1" x14ac:dyDescent="0.35">
      <c r="H5907" s="83">
        <f t="shared" si="139"/>
        <v>0</v>
      </c>
    </row>
    <row r="5908" spans="8:8" hidden="1" x14ac:dyDescent="0.35">
      <c r="H5908" s="83">
        <f t="shared" si="139"/>
        <v>0</v>
      </c>
    </row>
    <row r="5909" spans="8:8" hidden="1" x14ac:dyDescent="0.35">
      <c r="H5909" s="83">
        <f t="shared" si="139"/>
        <v>0</v>
      </c>
    </row>
    <row r="5910" spans="8:8" hidden="1" x14ac:dyDescent="0.35">
      <c r="H5910" s="83">
        <f t="shared" si="139"/>
        <v>0</v>
      </c>
    </row>
    <row r="5911" spans="8:8" hidden="1" x14ac:dyDescent="0.35">
      <c r="H5911" s="83">
        <f t="shared" si="139"/>
        <v>0</v>
      </c>
    </row>
    <row r="5912" spans="8:8" hidden="1" x14ac:dyDescent="0.35">
      <c r="H5912" s="83">
        <f t="shared" si="139"/>
        <v>0</v>
      </c>
    </row>
    <row r="5913" spans="8:8" hidden="1" x14ac:dyDescent="0.35">
      <c r="H5913" s="83">
        <f t="shared" si="139"/>
        <v>0</v>
      </c>
    </row>
    <row r="5914" spans="8:8" hidden="1" x14ac:dyDescent="0.35">
      <c r="H5914" s="83">
        <f t="shared" si="139"/>
        <v>0</v>
      </c>
    </row>
    <row r="5915" spans="8:8" hidden="1" x14ac:dyDescent="0.35">
      <c r="H5915" s="83">
        <f t="shared" si="139"/>
        <v>0</v>
      </c>
    </row>
    <row r="5916" spans="8:8" hidden="1" x14ac:dyDescent="0.35">
      <c r="H5916" s="83">
        <f t="shared" si="139"/>
        <v>0</v>
      </c>
    </row>
    <row r="5917" spans="8:8" hidden="1" x14ac:dyDescent="0.35">
      <c r="H5917" s="83">
        <f t="shared" si="139"/>
        <v>0</v>
      </c>
    </row>
    <row r="5918" spans="8:8" hidden="1" x14ac:dyDescent="0.35">
      <c r="H5918" s="83">
        <f t="shared" si="139"/>
        <v>0</v>
      </c>
    </row>
    <row r="5919" spans="8:8" hidden="1" x14ac:dyDescent="0.35">
      <c r="H5919" s="83">
        <f t="shared" si="139"/>
        <v>0</v>
      </c>
    </row>
    <row r="5920" spans="8:8" hidden="1" x14ac:dyDescent="0.35">
      <c r="H5920" s="83">
        <f t="shared" si="139"/>
        <v>0</v>
      </c>
    </row>
    <row r="5921" spans="8:8" hidden="1" x14ac:dyDescent="0.35">
      <c r="H5921" s="83">
        <f t="shared" si="139"/>
        <v>0</v>
      </c>
    </row>
    <row r="5922" spans="8:8" hidden="1" x14ac:dyDescent="0.35">
      <c r="H5922" s="83">
        <f t="shared" si="139"/>
        <v>0</v>
      </c>
    </row>
    <row r="5923" spans="8:8" hidden="1" x14ac:dyDescent="0.35">
      <c r="H5923" s="83">
        <f t="shared" si="139"/>
        <v>0</v>
      </c>
    </row>
    <row r="5924" spans="8:8" hidden="1" x14ac:dyDescent="0.35">
      <c r="H5924" s="83">
        <f t="shared" si="139"/>
        <v>0</v>
      </c>
    </row>
    <row r="5925" spans="8:8" hidden="1" x14ac:dyDescent="0.35">
      <c r="H5925" s="83">
        <f t="shared" si="139"/>
        <v>0</v>
      </c>
    </row>
    <row r="5926" spans="8:8" hidden="1" x14ac:dyDescent="0.35">
      <c r="H5926" s="83">
        <f t="shared" si="139"/>
        <v>0</v>
      </c>
    </row>
    <row r="5927" spans="8:8" hidden="1" x14ac:dyDescent="0.35">
      <c r="H5927" s="83">
        <f t="shared" si="139"/>
        <v>0</v>
      </c>
    </row>
    <row r="5928" spans="8:8" hidden="1" x14ac:dyDescent="0.35">
      <c r="H5928" s="83">
        <f t="shared" si="139"/>
        <v>0</v>
      </c>
    </row>
    <row r="5929" spans="8:8" hidden="1" x14ac:dyDescent="0.35">
      <c r="H5929" s="83">
        <f t="shared" si="139"/>
        <v>0</v>
      </c>
    </row>
    <row r="5930" spans="8:8" hidden="1" x14ac:dyDescent="0.35">
      <c r="H5930" s="83">
        <f t="shared" si="139"/>
        <v>0</v>
      </c>
    </row>
    <row r="5931" spans="8:8" hidden="1" x14ac:dyDescent="0.35">
      <c r="H5931" s="83">
        <f t="shared" si="139"/>
        <v>0</v>
      </c>
    </row>
    <row r="5932" spans="8:8" hidden="1" x14ac:dyDescent="0.35">
      <c r="H5932" s="83">
        <f t="shared" si="139"/>
        <v>0</v>
      </c>
    </row>
    <row r="5933" spans="8:8" hidden="1" x14ac:dyDescent="0.35">
      <c r="H5933" s="83">
        <f t="shared" si="139"/>
        <v>0</v>
      </c>
    </row>
    <row r="5934" spans="8:8" hidden="1" x14ac:dyDescent="0.35">
      <c r="H5934" s="83">
        <f t="shared" si="139"/>
        <v>0</v>
      </c>
    </row>
    <row r="5935" spans="8:8" hidden="1" x14ac:dyDescent="0.35">
      <c r="H5935" s="83">
        <f t="shared" si="139"/>
        <v>0</v>
      </c>
    </row>
    <row r="5936" spans="8:8" hidden="1" x14ac:dyDescent="0.35">
      <c r="H5936" s="83">
        <f t="shared" si="139"/>
        <v>0</v>
      </c>
    </row>
    <row r="5937" spans="8:8" hidden="1" x14ac:dyDescent="0.35">
      <c r="H5937" s="83">
        <f t="shared" si="139"/>
        <v>0</v>
      </c>
    </row>
    <row r="5938" spans="8:8" hidden="1" x14ac:dyDescent="0.35">
      <c r="H5938" s="83">
        <f t="shared" si="139"/>
        <v>0</v>
      </c>
    </row>
    <row r="5939" spans="8:8" hidden="1" x14ac:dyDescent="0.35">
      <c r="H5939" s="83">
        <f t="shared" si="139"/>
        <v>0</v>
      </c>
    </row>
    <row r="5940" spans="8:8" hidden="1" x14ac:dyDescent="0.35">
      <c r="H5940" s="83">
        <f t="shared" si="139"/>
        <v>0</v>
      </c>
    </row>
    <row r="5941" spans="8:8" hidden="1" x14ac:dyDescent="0.35">
      <c r="H5941" s="83">
        <f t="shared" si="139"/>
        <v>0</v>
      </c>
    </row>
    <row r="5942" spans="8:8" hidden="1" x14ac:dyDescent="0.35">
      <c r="H5942" s="83">
        <f t="shared" si="139"/>
        <v>0</v>
      </c>
    </row>
    <row r="5943" spans="8:8" hidden="1" x14ac:dyDescent="0.35">
      <c r="H5943" s="83">
        <f t="shared" si="139"/>
        <v>0</v>
      </c>
    </row>
    <row r="5944" spans="8:8" hidden="1" x14ac:dyDescent="0.35">
      <c r="H5944" s="83">
        <f t="shared" si="139"/>
        <v>0</v>
      </c>
    </row>
    <row r="5945" spans="8:8" hidden="1" x14ac:dyDescent="0.35">
      <c r="H5945" s="83">
        <f t="shared" si="139"/>
        <v>0</v>
      </c>
    </row>
    <row r="5946" spans="8:8" hidden="1" x14ac:dyDescent="0.35">
      <c r="H5946" s="83">
        <f t="shared" si="139"/>
        <v>0</v>
      </c>
    </row>
    <row r="5947" spans="8:8" hidden="1" x14ac:dyDescent="0.35">
      <c r="H5947" s="83">
        <f t="shared" si="139"/>
        <v>0</v>
      </c>
    </row>
    <row r="5948" spans="8:8" hidden="1" x14ac:dyDescent="0.35">
      <c r="H5948" s="83">
        <f t="shared" si="139"/>
        <v>0</v>
      </c>
    </row>
    <row r="5949" spans="8:8" hidden="1" x14ac:dyDescent="0.35">
      <c r="H5949" s="83">
        <f t="shared" si="139"/>
        <v>0</v>
      </c>
    </row>
    <row r="5950" spans="8:8" hidden="1" x14ac:dyDescent="0.35">
      <c r="H5950" s="83">
        <f t="shared" si="139"/>
        <v>0</v>
      </c>
    </row>
    <row r="5951" spans="8:8" hidden="1" x14ac:dyDescent="0.35">
      <c r="H5951" s="83">
        <f t="shared" si="139"/>
        <v>0</v>
      </c>
    </row>
    <row r="5952" spans="8:8" hidden="1" x14ac:dyDescent="0.35">
      <c r="H5952" s="83">
        <f t="shared" si="139"/>
        <v>0</v>
      </c>
    </row>
    <row r="5953" spans="8:8" hidden="1" x14ac:dyDescent="0.35">
      <c r="H5953" s="83">
        <f t="shared" si="139"/>
        <v>0</v>
      </c>
    </row>
    <row r="5954" spans="8:8" hidden="1" x14ac:dyDescent="0.35">
      <c r="H5954" s="83">
        <f t="shared" si="139"/>
        <v>0</v>
      </c>
    </row>
    <row r="5955" spans="8:8" hidden="1" x14ac:dyDescent="0.35">
      <c r="H5955" s="83">
        <f t="shared" si="139"/>
        <v>0</v>
      </c>
    </row>
    <row r="5956" spans="8:8" hidden="1" x14ac:dyDescent="0.35">
      <c r="H5956" s="83">
        <f t="shared" ref="H5956:H6019" si="140">J5956-I5956</f>
        <v>0</v>
      </c>
    </row>
    <row r="5957" spans="8:8" hidden="1" x14ac:dyDescent="0.35">
      <c r="H5957" s="83">
        <f t="shared" si="140"/>
        <v>0</v>
      </c>
    </row>
    <row r="5958" spans="8:8" hidden="1" x14ac:dyDescent="0.35">
      <c r="H5958" s="83">
        <f t="shared" si="140"/>
        <v>0</v>
      </c>
    </row>
    <row r="5959" spans="8:8" hidden="1" x14ac:dyDescent="0.35">
      <c r="H5959" s="83">
        <f t="shared" si="140"/>
        <v>0</v>
      </c>
    </row>
    <row r="5960" spans="8:8" hidden="1" x14ac:dyDescent="0.35">
      <c r="H5960" s="83">
        <f t="shared" si="140"/>
        <v>0</v>
      </c>
    </row>
    <row r="5961" spans="8:8" hidden="1" x14ac:dyDescent="0.35">
      <c r="H5961" s="83">
        <f t="shared" si="140"/>
        <v>0</v>
      </c>
    </row>
    <row r="5962" spans="8:8" hidden="1" x14ac:dyDescent="0.35">
      <c r="H5962" s="83">
        <f t="shared" si="140"/>
        <v>0</v>
      </c>
    </row>
    <row r="5963" spans="8:8" hidden="1" x14ac:dyDescent="0.35">
      <c r="H5963" s="83">
        <f t="shared" si="140"/>
        <v>0</v>
      </c>
    </row>
    <row r="5964" spans="8:8" hidden="1" x14ac:dyDescent="0.35">
      <c r="H5964" s="83">
        <f t="shared" si="140"/>
        <v>0</v>
      </c>
    </row>
    <row r="5965" spans="8:8" hidden="1" x14ac:dyDescent="0.35">
      <c r="H5965" s="83">
        <f t="shared" si="140"/>
        <v>0</v>
      </c>
    </row>
    <row r="5966" spans="8:8" hidden="1" x14ac:dyDescent="0.35">
      <c r="H5966" s="83">
        <f t="shared" si="140"/>
        <v>0</v>
      </c>
    </row>
    <row r="5967" spans="8:8" hidden="1" x14ac:dyDescent="0.35">
      <c r="H5967" s="83">
        <f t="shared" si="140"/>
        <v>0</v>
      </c>
    </row>
    <row r="5968" spans="8:8" hidden="1" x14ac:dyDescent="0.35">
      <c r="H5968" s="83">
        <f t="shared" si="140"/>
        <v>0</v>
      </c>
    </row>
    <row r="5969" spans="8:8" hidden="1" x14ac:dyDescent="0.35">
      <c r="H5969" s="83">
        <f t="shared" si="140"/>
        <v>0</v>
      </c>
    </row>
    <row r="5970" spans="8:8" hidden="1" x14ac:dyDescent="0.35">
      <c r="H5970" s="83">
        <f t="shared" si="140"/>
        <v>0</v>
      </c>
    </row>
    <row r="5971" spans="8:8" hidden="1" x14ac:dyDescent="0.35">
      <c r="H5971" s="83">
        <f t="shared" si="140"/>
        <v>0</v>
      </c>
    </row>
    <row r="5972" spans="8:8" hidden="1" x14ac:dyDescent="0.35">
      <c r="H5972" s="83">
        <f t="shared" si="140"/>
        <v>0</v>
      </c>
    </row>
    <row r="5973" spans="8:8" hidden="1" x14ac:dyDescent="0.35">
      <c r="H5973" s="83">
        <f t="shared" si="140"/>
        <v>0</v>
      </c>
    </row>
    <row r="5974" spans="8:8" hidden="1" x14ac:dyDescent="0.35">
      <c r="H5974" s="83">
        <f t="shared" si="140"/>
        <v>0</v>
      </c>
    </row>
    <row r="5975" spans="8:8" hidden="1" x14ac:dyDescent="0.35">
      <c r="H5975" s="83">
        <f t="shared" si="140"/>
        <v>0</v>
      </c>
    </row>
    <row r="5976" spans="8:8" hidden="1" x14ac:dyDescent="0.35">
      <c r="H5976" s="83">
        <f t="shared" si="140"/>
        <v>0</v>
      </c>
    </row>
    <row r="5977" spans="8:8" hidden="1" x14ac:dyDescent="0.35">
      <c r="H5977" s="83">
        <f t="shared" si="140"/>
        <v>0</v>
      </c>
    </row>
    <row r="5978" spans="8:8" hidden="1" x14ac:dyDescent="0.35">
      <c r="H5978" s="83">
        <f t="shared" si="140"/>
        <v>0</v>
      </c>
    </row>
    <row r="5979" spans="8:8" hidden="1" x14ac:dyDescent="0.35">
      <c r="H5979" s="83">
        <f t="shared" si="140"/>
        <v>0</v>
      </c>
    </row>
    <row r="5980" spans="8:8" hidden="1" x14ac:dyDescent="0.35">
      <c r="H5980" s="83">
        <f t="shared" si="140"/>
        <v>0</v>
      </c>
    </row>
    <row r="5981" spans="8:8" hidden="1" x14ac:dyDescent="0.35">
      <c r="H5981" s="83">
        <f t="shared" si="140"/>
        <v>0</v>
      </c>
    </row>
    <row r="5982" spans="8:8" hidden="1" x14ac:dyDescent="0.35">
      <c r="H5982" s="83">
        <f t="shared" si="140"/>
        <v>0</v>
      </c>
    </row>
    <row r="5983" spans="8:8" hidden="1" x14ac:dyDescent="0.35">
      <c r="H5983" s="83">
        <f t="shared" si="140"/>
        <v>0</v>
      </c>
    </row>
    <row r="5984" spans="8:8" hidden="1" x14ac:dyDescent="0.35">
      <c r="H5984" s="83">
        <f t="shared" si="140"/>
        <v>0</v>
      </c>
    </row>
    <row r="5985" spans="8:8" hidden="1" x14ac:dyDescent="0.35">
      <c r="H5985" s="83">
        <f t="shared" si="140"/>
        <v>0</v>
      </c>
    </row>
    <row r="5986" spans="8:8" hidden="1" x14ac:dyDescent="0.35">
      <c r="H5986" s="83">
        <f t="shared" si="140"/>
        <v>0</v>
      </c>
    </row>
    <row r="5987" spans="8:8" hidden="1" x14ac:dyDescent="0.35">
      <c r="H5987" s="83">
        <f t="shared" si="140"/>
        <v>0</v>
      </c>
    </row>
    <row r="5988" spans="8:8" hidden="1" x14ac:dyDescent="0.35">
      <c r="H5988" s="83">
        <f t="shared" si="140"/>
        <v>0</v>
      </c>
    </row>
    <row r="5989" spans="8:8" hidden="1" x14ac:dyDescent="0.35">
      <c r="H5989" s="83">
        <f t="shared" si="140"/>
        <v>0</v>
      </c>
    </row>
    <row r="5990" spans="8:8" hidden="1" x14ac:dyDescent="0.35">
      <c r="H5990" s="83">
        <f t="shared" si="140"/>
        <v>0</v>
      </c>
    </row>
    <row r="5991" spans="8:8" hidden="1" x14ac:dyDescent="0.35">
      <c r="H5991" s="83">
        <f t="shared" si="140"/>
        <v>0</v>
      </c>
    </row>
    <row r="5992" spans="8:8" hidden="1" x14ac:dyDescent="0.35">
      <c r="H5992" s="83">
        <f t="shared" si="140"/>
        <v>0</v>
      </c>
    </row>
    <row r="5993" spans="8:8" hidden="1" x14ac:dyDescent="0.35">
      <c r="H5993" s="83">
        <f t="shared" si="140"/>
        <v>0</v>
      </c>
    </row>
    <row r="5994" spans="8:8" hidden="1" x14ac:dyDescent="0.35">
      <c r="H5994" s="83">
        <f t="shared" si="140"/>
        <v>0</v>
      </c>
    </row>
    <row r="5995" spans="8:8" hidden="1" x14ac:dyDescent="0.35">
      <c r="H5995" s="83">
        <f t="shared" si="140"/>
        <v>0</v>
      </c>
    </row>
    <row r="5996" spans="8:8" hidden="1" x14ac:dyDescent="0.35">
      <c r="H5996" s="83">
        <f t="shared" si="140"/>
        <v>0</v>
      </c>
    </row>
    <row r="5997" spans="8:8" hidden="1" x14ac:dyDescent="0.35">
      <c r="H5997" s="83">
        <f t="shared" si="140"/>
        <v>0</v>
      </c>
    </row>
    <row r="5998" spans="8:8" hidden="1" x14ac:dyDescent="0.35">
      <c r="H5998" s="83">
        <f t="shared" si="140"/>
        <v>0</v>
      </c>
    </row>
    <row r="5999" spans="8:8" hidden="1" x14ac:dyDescent="0.35">
      <c r="H5999" s="83">
        <f t="shared" si="140"/>
        <v>0</v>
      </c>
    </row>
    <row r="6000" spans="8:8" hidden="1" x14ac:dyDescent="0.35">
      <c r="H6000" s="83">
        <f t="shared" si="140"/>
        <v>0</v>
      </c>
    </row>
    <row r="6001" spans="8:8" hidden="1" x14ac:dyDescent="0.35">
      <c r="H6001" s="83">
        <f t="shared" si="140"/>
        <v>0</v>
      </c>
    </row>
    <row r="6002" spans="8:8" hidden="1" x14ac:dyDescent="0.35">
      <c r="H6002" s="83">
        <f t="shared" si="140"/>
        <v>0</v>
      </c>
    </row>
    <row r="6003" spans="8:8" hidden="1" x14ac:dyDescent="0.35">
      <c r="H6003" s="83">
        <f t="shared" si="140"/>
        <v>0</v>
      </c>
    </row>
    <row r="6004" spans="8:8" hidden="1" x14ac:dyDescent="0.35">
      <c r="H6004" s="83">
        <f t="shared" si="140"/>
        <v>0</v>
      </c>
    </row>
    <row r="6005" spans="8:8" hidden="1" x14ac:dyDescent="0.35">
      <c r="H6005" s="83">
        <f t="shared" si="140"/>
        <v>0</v>
      </c>
    </row>
    <row r="6006" spans="8:8" hidden="1" x14ac:dyDescent="0.35">
      <c r="H6006" s="83">
        <f t="shared" si="140"/>
        <v>0</v>
      </c>
    </row>
    <row r="6007" spans="8:8" hidden="1" x14ac:dyDescent="0.35">
      <c r="H6007" s="83">
        <f t="shared" si="140"/>
        <v>0</v>
      </c>
    </row>
    <row r="6008" spans="8:8" hidden="1" x14ac:dyDescent="0.35">
      <c r="H6008" s="83">
        <f t="shared" si="140"/>
        <v>0</v>
      </c>
    </row>
    <row r="6009" spans="8:8" hidden="1" x14ac:dyDescent="0.35">
      <c r="H6009" s="83">
        <f t="shared" si="140"/>
        <v>0</v>
      </c>
    </row>
    <row r="6010" spans="8:8" hidden="1" x14ac:dyDescent="0.35">
      <c r="H6010" s="83">
        <f t="shared" si="140"/>
        <v>0</v>
      </c>
    </row>
    <row r="6011" spans="8:8" hidden="1" x14ac:dyDescent="0.35">
      <c r="H6011" s="83">
        <f t="shared" si="140"/>
        <v>0</v>
      </c>
    </row>
    <row r="6012" spans="8:8" hidden="1" x14ac:dyDescent="0.35">
      <c r="H6012" s="83">
        <f t="shared" si="140"/>
        <v>0</v>
      </c>
    </row>
    <row r="6013" spans="8:8" hidden="1" x14ac:dyDescent="0.35">
      <c r="H6013" s="83">
        <f t="shared" si="140"/>
        <v>0</v>
      </c>
    </row>
    <row r="6014" spans="8:8" hidden="1" x14ac:dyDescent="0.35">
      <c r="H6014" s="83">
        <f t="shared" si="140"/>
        <v>0</v>
      </c>
    </row>
    <row r="6015" spans="8:8" hidden="1" x14ac:dyDescent="0.35">
      <c r="H6015" s="83">
        <f t="shared" si="140"/>
        <v>0</v>
      </c>
    </row>
    <row r="6016" spans="8:8" hidden="1" x14ac:dyDescent="0.35">
      <c r="H6016" s="83">
        <f t="shared" si="140"/>
        <v>0</v>
      </c>
    </row>
    <row r="6017" spans="8:8" hidden="1" x14ac:dyDescent="0.35">
      <c r="H6017" s="83">
        <f t="shared" si="140"/>
        <v>0</v>
      </c>
    </row>
    <row r="6018" spans="8:8" hidden="1" x14ac:dyDescent="0.35">
      <c r="H6018" s="83">
        <f t="shared" si="140"/>
        <v>0</v>
      </c>
    </row>
    <row r="6019" spans="8:8" hidden="1" x14ac:dyDescent="0.35">
      <c r="H6019" s="83">
        <f t="shared" si="140"/>
        <v>0</v>
      </c>
    </row>
    <row r="6020" spans="8:8" hidden="1" x14ac:dyDescent="0.35">
      <c r="H6020" s="83">
        <f t="shared" ref="H6020:H6083" si="141">J6020-I6020</f>
        <v>0</v>
      </c>
    </row>
    <row r="6021" spans="8:8" hidden="1" x14ac:dyDescent="0.35">
      <c r="H6021" s="83">
        <f t="shared" si="141"/>
        <v>0</v>
      </c>
    </row>
    <row r="6022" spans="8:8" hidden="1" x14ac:dyDescent="0.35">
      <c r="H6022" s="83">
        <f t="shared" si="141"/>
        <v>0</v>
      </c>
    </row>
    <row r="6023" spans="8:8" hidden="1" x14ac:dyDescent="0.35">
      <c r="H6023" s="83">
        <f t="shared" si="141"/>
        <v>0</v>
      </c>
    </row>
    <row r="6024" spans="8:8" hidden="1" x14ac:dyDescent="0.35">
      <c r="H6024" s="83">
        <f t="shared" si="141"/>
        <v>0</v>
      </c>
    </row>
    <row r="6025" spans="8:8" hidden="1" x14ac:dyDescent="0.35">
      <c r="H6025" s="83">
        <f t="shared" si="141"/>
        <v>0</v>
      </c>
    </row>
    <row r="6026" spans="8:8" hidden="1" x14ac:dyDescent="0.35">
      <c r="H6026" s="83">
        <f t="shared" si="141"/>
        <v>0</v>
      </c>
    </row>
    <row r="6027" spans="8:8" hidden="1" x14ac:dyDescent="0.35">
      <c r="H6027" s="83">
        <f t="shared" si="141"/>
        <v>0</v>
      </c>
    </row>
    <row r="6028" spans="8:8" hidden="1" x14ac:dyDescent="0.35">
      <c r="H6028" s="83">
        <f t="shared" si="141"/>
        <v>0</v>
      </c>
    </row>
    <row r="6029" spans="8:8" hidden="1" x14ac:dyDescent="0.35">
      <c r="H6029" s="83">
        <f t="shared" si="141"/>
        <v>0</v>
      </c>
    </row>
    <row r="6030" spans="8:8" hidden="1" x14ac:dyDescent="0.35">
      <c r="H6030" s="83">
        <f t="shared" si="141"/>
        <v>0</v>
      </c>
    </row>
    <row r="6031" spans="8:8" hidden="1" x14ac:dyDescent="0.35">
      <c r="H6031" s="83">
        <f t="shared" si="141"/>
        <v>0</v>
      </c>
    </row>
    <row r="6032" spans="8:8" hidden="1" x14ac:dyDescent="0.35">
      <c r="H6032" s="83">
        <f t="shared" si="141"/>
        <v>0</v>
      </c>
    </row>
    <row r="6033" spans="8:8" hidden="1" x14ac:dyDescent="0.35">
      <c r="H6033" s="83">
        <f t="shared" si="141"/>
        <v>0</v>
      </c>
    </row>
    <row r="6034" spans="8:8" hidden="1" x14ac:dyDescent="0.35">
      <c r="H6034" s="83">
        <f t="shared" si="141"/>
        <v>0</v>
      </c>
    </row>
    <row r="6035" spans="8:8" hidden="1" x14ac:dyDescent="0.35">
      <c r="H6035" s="83">
        <f t="shared" si="141"/>
        <v>0</v>
      </c>
    </row>
    <row r="6036" spans="8:8" hidden="1" x14ac:dyDescent="0.35">
      <c r="H6036" s="83">
        <f t="shared" si="141"/>
        <v>0</v>
      </c>
    </row>
    <row r="6037" spans="8:8" hidden="1" x14ac:dyDescent="0.35">
      <c r="H6037" s="83">
        <f t="shared" si="141"/>
        <v>0</v>
      </c>
    </row>
    <row r="6038" spans="8:8" hidden="1" x14ac:dyDescent="0.35">
      <c r="H6038" s="83">
        <f t="shared" si="141"/>
        <v>0</v>
      </c>
    </row>
    <row r="6039" spans="8:8" hidden="1" x14ac:dyDescent="0.35">
      <c r="H6039" s="83">
        <f t="shared" si="141"/>
        <v>0</v>
      </c>
    </row>
    <row r="6040" spans="8:8" hidden="1" x14ac:dyDescent="0.35">
      <c r="H6040" s="83">
        <f t="shared" si="141"/>
        <v>0</v>
      </c>
    </row>
    <row r="6041" spans="8:8" hidden="1" x14ac:dyDescent="0.35">
      <c r="H6041" s="83">
        <f t="shared" si="141"/>
        <v>0</v>
      </c>
    </row>
    <row r="6042" spans="8:8" hidden="1" x14ac:dyDescent="0.35">
      <c r="H6042" s="83">
        <f t="shared" si="141"/>
        <v>0</v>
      </c>
    </row>
    <row r="6043" spans="8:8" hidden="1" x14ac:dyDescent="0.35">
      <c r="H6043" s="83">
        <f t="shared" si="141"/>
        <v>0</v>
      </c>
    </row>
    <row r="6044" spans="8:8" hidden="1" x14ac:dyDescent="0.35">
      <c r="H6044" s="83">
        <f t="shared" si="141"/>
        <v>0</v>
      </c>
    </row>
    <row r="6045" spans="8:8" hidden="1" x14ac:dyDescent="0.35">
      <c r="H6045" s="83">
        <f t="shared" si="141"/>
        <v>0</v>
      </c>
    </row>
    <row r="6046" spans="8:8" hidden="1" x14ac:dyDescent="0.35">
      <c r="H6046" s="83">
        <f t="shared" si="141"/>
        <v>0</v>
      </c>
    </row>
    <row r="6047" spans="8:8" hidden="1" x14ac:dyDescent="0.35">
      <c r="H6047" s="83">
        <f t="shared" si="141"/>
        <v>0</v>
      </c>
    </row>
    <row r="6048" spans="8:8" hidden="1" x14ac:dyDescent="0.35">
      <c r="H6048" s="83">
        <f t="shared" si="141"/>
        <v>0</v>
      </c>
    </row>
    <row r="6049" spans="8:8" hidden="1" x14ac:dyDescent="0.35">
      <c r="H6049" s="83">
        <f t="shared" si="141"/>
        <v>0</v>
      </c>
    </row>
    <row r="6050" spans="8:8" hidden="1" x14ac:dyDescent="0.35">
      <c r="H6050" s="83">
        <f t="shared" si="141"/>
        <v>0</v>
      </c>
    </row>
    <row r="6051" spans="8:8" hidden="1" x14ac:dyDescent="0.35">
      <c r="H6051" s="83">
        <f t="shared" si="141"/>
        <v>0</v>
      </c>
    </row>
    <row r="6052" spans="8:8" hidden="1" x14ac:dyDescent="0.35">
      <c r="H6052" s="83">
        <f t="shared" si="141"/>
        <v>0</v>
      </c>
    </row>
    <row r="6053" spans="8:8" hidden="1" x14ac:dyDescent="0.35">
      <c r="H6053" s="83">
        <f t="shared" si="141"/>
        <v>0</v>
      </c>
    </row>
    <row r="6054" spans="8:8" hidden="1" x14ac:dyDescent="0.35">
      <c r="H6054" s="83">
        <f t="shared" si="141"/>
        <v>0</v>
      </c>
    </row>
    <row r="6055" spans="8:8" hidden="1" x14ac:dyDescent="0.35">
      <c r="H6055" s="83">
        <f t="shared" si="141"/>
        <v>0</v>
      </c>
    </row>
    <row r="6056" spans="8:8" hidden="1" x14ac:dyDescent="0.35">
      <c r="H6056" s="83">
        <f t="shared" si="141"/>
        <v>0</v>
      </c>
    </row>
    <row r="6057" spans="8:8" hidden="1" x14ac:dyDescent="0.35">
      <c r="H6057" s="83">
        <f t="shared" si="141"/>
        <v>0</v>
      </c>
    </row>
    <row r="6058" spans="8:8" hidden="1" x14ac:dyDescent="0.35">
      <c r="H6058" s="83">
        <f t="shared" si="141"/>
        <v>0</v>
      </c>
    </row>
    <row r="6059" spans="8:8" hidden="1" x14ac:dyDescent="0.35">
      <c r="H6059" s="83">
        <f t="shared" si="141"/>
        <v>0</v>
      </c>
    </row>
    <row r="6060" spans="8:8" hidden="1" x14ac:dyDescent="0.35">
      <c r="H6060" s="83">
        <f t="shared" si="141"/>
        <v>0</v>
      </c>
    </row>
    <row r="6061" spans="8:8" hidden="1" x14ac:dyDescent="0.35">
      <c r="H6061" s="83">
        <f t="shared" si="141"/>
        <v>0</v>
      </c>
    </row>
    <row r="6062" spans="8:8" hidden="1" x14ac:dyDescent="0.35">
      <c r="H6062" s="83">
        <f t="shared" si="141"/>
        <v>0</v>
      </c>
    </row>
    <row r="6063" spans="8:8" hidden="1" x14ac:dyDescent="0.35">
      <c r="H6063" s="83">
        <f t="shared" si="141"/>
        <v>0</v>
      </c>
    </row>
    <row r="6064" spans="8:8" hidden="1" x14ac:dyDescent="0.35">
      <c r="H6064" s="83">
        <f t="shared" si="141"/>
        <v>0</v>
      </c>
    </row>
    <row r="6065" spans="8:8" hidden="1" x14ac:dyDescent="0.35">
      <c r="H6065" s="83">
        <f t="shared" si="141"/>
        <v>0</v>
      </c>
    </row>
    <row r="6066" spans="8:8" hidden="1" x14ac:dyDescent="0.35">
      <c r="H6066" s="83">
        <f t="shared" si="141"/>
        <v>0</v>
      </c>
    </row>
    <row r="6067" spans="8:8" hidden="1" x14ac:dyDescent="0.35">
      <c r="H6067" s="83">
        <f t="shared" si="141"/>
        <v>0</v>
      </c>
    </row>
    <row r="6068" spans="8:8" hidden="1" x14ac:dyDescent="0.35">
      <c r="H6068" s="83">
        <f t="shared" si="141"/>
        <v>0</v>
      </c>
    </row>
    <row r="6069" spans="8:8" hidden="1" x14ac:dyDescent="0.35">
      <c r="H6069" s="83">
        <f t="shared" si="141"/>
        <v>0</v>
      </c>
    </row>
    <row r="6070" spans="8:8" hidden="1" x14ac:dyDescent="0.35">
      <c r="H6070" s="83">
        <f t="shared" si="141"/>
        <v>0</v>
      </c>
    </row>
    <row r="6071" spans="8:8" hidden="1" x14ac:dyDescent="0.35">
      <c r="H6071" s="83">
        <f t="shared" si="141"/>
        <v>0</v>
      </c>
    </row>
    <row r="6072" spans="8:8" hidden="1" x14ac:dyDescent="0.35">
      <c r="H6072" s="83">
        <f t="shared" si="141"/>
        <v>0</v>
      </c>
    </row>
    <row r="6073" spans="8:8" hidden="1" x14ac:dyDescent="0.35">
      <c r="H6073" s="83">
        <f t="shared" si="141"/>
        <v>0</v>
      </c>
    </row>
    <row r="6074" spans="8:8" hidden="1" x14ac:dyDescent="0.35">
      <c r="H6074" s="83">
        <f t="shared" si="141"/>
        <v>0</v>
      </c>
    </row>
    <row r="6075" spans="8:8" hidden="1" x14ac:dyDescent="0.35">
      <c r="H6075" s="83">
        <f t="shared" si="141"/>
        <v>0</v>
      </c>
    </row>
    <row r="6076" spans="8:8" hidden="1" x14ac:dyDescent="0.35">
      <c r="H6076" s="83">
        <f t="shared" si="141"/>
        <v>0</v>
      </c>
    </row>
    <row r="6077" spans="8:8" hidden="1" x14ac:dyDescent="0.35">
      <c r="H6077" s="83">
        <f t="shared" si="141"/>
        <v>0</v>
      </c>
    </row>
    <row r="6078" spans="8:8" hidden="1" x14ac:dyDescent="0.35">
      <c r="H6078" s="83">
        <f t="shared" si="141"/>
        <v>0</v>
      </c>
    </row>
    <row r="6079" spans="8:8" hidden="1" x14ac:dyDescent="0.35">
      <c r="H6079" s="83">
        <f t="shared" si="141"/>
        <v>0</v>
      </c>
    </row>
    <row r="6080" spans="8:8" hidden="1" x14ac:dyDescent="0.35">
      <c r="H6080" s="83">
        <f t="shared" si="141"/>
        <v>0</v>
      </c>
    </row>
    <row r="6081" spans="8:8" hidden="1" x14ac:dyDescent="0.35">
      <c r="H6081" s="83">
        <f t="shared" si="141"/>
        <v>0</v>
      </c>
    </row>
    <row r="6082" spans="8:8" hidden="1" x14ac:dyDescent="0.35">
      <c r="H6082" s="83">
        <f t="shared" si="141"/>
        <v>0</v>
      </c>
    </row>
    <row r="6083" spans="8:8" hidden="1" x14ac:dyDescent="0.35">
      <c r="H6083" s="83">
        <f t="shared" si="141"/>
        <v>0</v>
      </c>
    </row>
    <row r="6084" spans="8:8" hidden="1" x14ac:dyDescent="0.35">
      <c r="H6084" s="83">
        <f t="shared" ref="H6084:H6147" si="142">J6084-I6084</f>
        <v>0</v>
      </c>
    </row>
    <row r="6085" spans="8:8" hidden="1" x14ac:dyDescent="0.35">
      <c r="H6085" s="83">
        <f t="shared" si="142"/>
        <v>0</v>
      </c>
    </row>
    <row r="6086" spans="8:8" hidden="1" x14ac:dyDescent="0.35">
      <c r="H6086" s="83">
        <f t="shared" si="142"/>
        <v>0</v>
      </c>
    </row>
    <row r="6087" spans="8:8" hidden="1" x14ac:dyDescent="0.35">
      <c r="H6087" s="83">
        <f t="shared" si="142"/>
        <v>0</v>
      </c>
    </row>
    <row r="6088" spans="8:8" hidden="1" x14ac:dyDescent="0.35">
      <c r="H6088" s="83">
        <f t="shared" si="142"/>
        <v>0</v>
      </c>
    </row>
    <row r="6089" spans="8:8" hidden="1" x14ac:dyDescent="0.35">
      <c r="H6089" s="83">
        <f t="shared" si="142"/>
        <v>0</v>
      </c>
    </row>
    <row r="6090" spans="8:8" hidden="1" x14ac:dyDescent="0.35">
      <c r="H6090" s="83">
        <f t="shared" si="142"/>
        <v>0</v>
      </c>
    </row>
    <row r="6091" spans="8:8" hidden="1" x14ac:dyDescent="0.35">
      <c r="H6091" s="83">
        <f t="shared" si="142"/>
        <v>0</v>
      </c>
    </row>
    <row r="6092" spans="8:8" hidden="1" x14ac:dyDescent="0.35">
      <c r="H6092" s="83">
        <f t="shared" si="142"/>
        <v>0</v>
      </c>
    </row>
    <row r="6093" spans="8:8" hidden="1" x14ac:dyDescent="0.35">
      <c r="H6093" s="83">
        <f t="shared" si="142"/>
        <v>0</v>
      </c>
    </row>
    <row r="6094" spans="8:8" hidden="1" x14ac:dyDescent="0.35">
      <c r="H6094" s="83">
        <f t="shared" si="142"/>
        <v>0</v>
      </c>
    </row>
    <row r="6095" spans="8:8" hidden="1" x14ac:dyDescent="0.35">
      <c r="H6095" s="83">
        <f t="shared" si="142"/>
        <v>0</v>
      </c>
    </row>
    <row r="6096" spans="8:8" hidden="1" x14ac:dyDescent="0.35">
      <c r="H6096" s="83">
        <f t="shared" si="142"/>
        <v>0</v>
      </c>
    </row>
    <row r="6097" spans="8:8" hidden="1" x14ac:dyDescent="0.35">
      <c r="H6097" s="83">
        <f t="shared" si="142"/>
        <v>0</v>
      </c>
    </row>
    <row r="6098" spans="8:8" hidden="1" x14ac:dyDescent="0.35">
      <c r="H6098" s="83">
        <f t="shared" si="142"/>
        <v>0</v>
      </c>
    </row>
    <row r="6099" spans="8:8" hidden="1" x14ac:dyDescent="0.35">
      <c r="H6099" s="83">
        <f t="shared" si="142"/>
        <v>0</v>
      </c>
    </row>
    <row r="6100" spans="8:8" hidden="1" x14ac:dyDescent="0.35">
      <c r="H6100" s="83">
        <f t="shared" si="142"/>
        <v>0</v>
      </c>
    </row>
    <row r="6101" spans="8:8" hidden="1" x14ac:dyDescent="0.35">
      <c r="H6101" s="83">
        <f t="shared" si="142"/>
        <v>0</v>
      </c>
    </row>
    <row r="6102" spans="8:8" hidden="1" x14ac:dyDescent="0.35">
      <c r="H6102" s="83">
        <f t="shared" si="142"/>
        <v>0</v>
      </c>
    </row>
    <row r="6103" spans="8:8" hidden="1" x14ac:dyDescent="0.35">
      <c r="H6103" s="83">
        <f t="shared" si="142"/>
        <v>0</v>
      </c>
    </row>
    <row r="6104" spans="8:8" hidden="1" x14ac:dyDescent="0.35">
      <c r="H6104" s="83">
        <f t="shared" si="142"/>
        <v>0</v>
      </c>
    </row>
    <row r="6105" spans="8:8" hidden="1" x14ac:dyDescent="0.35">
      <c r="H6105" s="83">
        <f t="shared" si="142"/>
        <v>0</v>
      </c>
    </row>
    <row r="6106" spans="8:8" hidden="1" x14ac:dyDescent="0.35">
      <c r="H6106" s="83">
        <f t="shared" si="142"/>
        <v>0</v>
      </c>
    </row>
    <row r="6107" spans="8:8" hidden="1" x14ac:dyDescent="0.35">
      <c r="H6107" s="83">
        <f t="shared" si="142"/>
        <v>0</v>
      </c>
    </row>
    <row r="6108" spans="8:8" hidden="1" x14ac:dyDescent="0.35">
      <c r="H6108" s="83">
        <f t="shared" si="142"/>
        <v>0</v>
      </c>
    </row>
    <row r="6109" spans="8:8" hidden="1" x14ac:dyDescent="0.35">
      <c r="H6109" s="83">
        <f t="shared" si="142"/>
        <v>0</v>
      </c>
    </row>
    <row r="6110" spans="8:8" hidden="1" x14ac:dyDescent="0.35">
      <c r="H6110" s="83">
        <f t="shared" si="142"/>
        <v>0</v>
      </c>
    </row>
    <row r="6111" spans="8:8" hidden="1" x14ac:dyDescent="0.35">
      <c r="H6111" s="83">
        <f t="shared" si="142"/>
        <v>0</v>
      </c>
    </row>
    <row r="6112" spans="8:8" hidden="1" x14ac:dyDescent="0.35">
      <c r="H6112" s="83">
        <f t="shared" si="142"/>
        <v>0</v>
      </c>
    </row>
    <row r="6113" spans="8:8" hidden="1" x14ac:dyDescent="0.35">
      <c r="H6113" s="83">
        <f t="shared" si="142"/>
        <v>0</v>
      </c>
    </row>
    <row r="6114" spans="8:8" hidden="1" x14ac:dyDescent="0.35">
      <c r="H6114" s="83">
        <f t="shared" si="142"/>
        <v>0</v>
      </c>
    </row>
    <row r="6115" spans="8:8" hidden="1" x14ac:dyDescent="0.35">
      <c r="H6115" s="83">
        <f t="shared" si="142"/>
        <v>0</v>
      </c>
    </row>
    <row r="6116" spans="8:8" hidden="1" x14ac:dyDescent="0.35">
      <c r="H6116" s="83">
        <f t="shared" si="142"/>
        <v>0</v>
      </c>
    </row>
    <row r="6117" spans="8:8" hidden="1" x14ac:dyDescent="0.35">
      <c r="H6117" s="83">
        <f t="shared" si="142"/>
        <v>0</v>
      </c>
    </row>
    <row r="6118" spans="8:8" hidden="1" x14ac:dyDescent="0.35">
      <c r="H6118" s="83">
        <f t="shared" si="142"/>
        <v>0</v>
      </c>
    </row>
    <row r="6119" spans="8:8" hidden="1" x14ac:dyDescent="0.35">
      <c r="H6119" s="83">
        <f t="shared" si="142"/>
        <v>0</v>
      </c>
    </row>
    <row r="6120" spans="8:8" hidden="1" x14ac:dyDescent="0.35">
      <c r="H6120" s="83">
        <f t="shared" si="142"/>
        <v>0</v>
      </c>
    </row>
    <row r="6121" spans="8:8" hidden="1" x14ac:dyDescent="0.35">
      <c r="H6121" s="83">
        <f t="shared" si="142"/>
        <v>0</v>
      </c>
    </row>
    <row r="6122" spans="8:8" hidden="1" x14ac:dyDescent="0.35">
      <c r="H6122" s="83">
        <f t="shared" si="142"/>
        <v>0</v>
      </c>
    </row>
    <row r="6123" spans="8:8" hidden="1" x14ac:dyDescent="0.35">
      <c r="H6123" s="83">
        <f t="shared" si="142"/>
        <v>0</v>
      </c>
    </row>
    <row r="6124" spans="8:8" hidden="1" x14ac:dyDescent="0.35">
      <c r="H6124" s="83">
        <f t="shared" si="142"/>
        <v>0</v>
      </c>
    </row>
    <row r="6125" spans="8:8" hidden="1" x14ac:dyDescent="0.35">
      <c r="H6125" s="83">
        <f t="shared" si="142"/>
        <v>0</v>
      </c>
    </row>
    <row r="6126" spans="8:8" hidden="1" x14ac:dyDescent="0.35">
      <c r="H6126" s="83">
        <f t="shared" si="142"/>
        <v>0</v>
      </c>
    </row>
    <row r="6127" spans="8:8" hidden="1" x14ac:dyDescent="0.35">
      <c r="H6127" s="83">
        <f t="shared" si="142"/>
        <v>0</v>
      </c>
    </row>
    <row r="6128" spans="8:8" hidden="1" x14ac:dyDescent="0.35">
      <c r="H6128" s="83">
        <f t="shared" si="142"/>
        <v>0</v>
      </c>
    </row>
    <row r="6129" spans="8:8" hidden="1" x14ac:dyDescent="0.35">
      <c r="H6129" s="83">
        <f t="shared" si="142"/>
        <v>0</v>
      </c>
    </row>
    <row r="6130" spans="8:8" hidden="1" x14ac:dyDescent="0.35">
      <c r="H6130" s="83">
        <f t="shared" si="142"/>
        <v>0</v>
      </c>
    </row>
    <row r="6131" spans="8:8" hidden="1" x14ac:dyDescent="0.35">
      <c r="H6131" s="83">
        <f t="shared" si="142"/>
        <v>0</v>
      </c>
    </row>
    <row r="6132" spans="8:8" hidden="1" x14ac:dyDescent="0.35">
      <c r="H6132" s="83">
        <f t="shared" si="142"/>
        <v>0</v>
      </c>
    </row>
    <row r="6133" spans="8:8" hidden="1" x14ac:dyDescent="0.35">
      <c r="H6133" s="83">
        <f t="shared" si="142"/>
        <v>0</v>
      </c>
    </row>
    <row r="6134" spans="8:8" hidden="1" x14ac:dyDescent="0.35">
      <c r="H6134" s="83">
        <f t="shared" si="142"/>
        <v>0</v>
      </c>
    </row>
    <row r="6135" spans="8:8" hidden="1" x14ac:dyDescent="0.35">
      <c r="H6135" s="83">
        <f t="shared" si="142"/>
        <v>0</v>
      </c>
    </row>
    <row r="6136" spans="8:8" hidden="1" x14ac:dyDescent="0.35">
      <c r="H6136" s="83">
        <f t="shared" si="142"/>
        <v>0</v>
      </c>
    </row>
    <row r="6137" spans="8:8" hidden="1" x14ac:dyDescent="0.35">
      <c r="H6137" s="83">
        <f t="shared" si="142"/>
        <v>0</v>
      </c>
    </row>
    <row r="6138" spans="8:8" hidden="1" x14ac:dyDescent="0.35">
      <c r="H6138" s="83">
        <f t="shared" si="142"/>
        <v>0</v>
      </c>
    </row>
    <row r="6139" spans="8:8" hidden="1" x14ac:dyDescent="0.35">
      <c r="H6139" s="83">
        <f t="shared" si="142"/>
        <v>0</v>
      </c>
    </row>
    <row r="6140" spans="8:8" hidden="1" x14ac:dyDescent="0.35">
      <c r="H6140" s="83">
        <f t="shared" si="142"/>
        <v>0</v>
      </c>
    </row>
    <row r="6141" spans="8:8" hidden="1" x14ac:dyDescent="0.35">
      <c r="H6141" s="83">
        <f t="shared" si="142"/>
        <v>0</v>
      </c>
    </row>
    <row r="6142" spans="8:8" hidden="1" x14ac:dyDescent="0.35">
      <c r="H6142" s="83">
        <f t="shared" si="142"/>
        <v>0</v>
      </c>
    </row>
    <row r="6143" spans="8:8" hidden="1" x14ac:dyDescent="0.35">
      <c r="H6143" s="83">
        <f t="shared" si="142"/>
        <v>0</v>
      </c>
    </row>
    <row r="6144" spans="8:8" hidden="1" x14ac:dyDescent="0.35">
      <c r="H6144" s="83">
        <f t="shared" si="142"/>
        <v>0</v>
      </c>
    </row>
    <row r="6145" spans="8:8" hidden="1" x14ac:dyDescent="0.35">
      <c r="H6145" s="83">
        <f t="shared" si="142"/>
        <v>0</v>
      </c>
    </row>
    <row r="6146" spans="8:8" hidden="1" x14ac:dyDescent="0.35">
      <c r="H6146" s="83">
        <f t="shared" si="142"/>
        <v>0</v>
      </c>
    </row>
    <row r="6147" spans="8:8" hidden="1" x14ac:dyDescent="0.35">
      <c r="H6147" s="83">
        <f t="shared" si="142"/>
        <v>0</v>
      </c>
    </row>
    <row r="6148" spans="8:8" hidden="1" x14ac:dyDescent="0.35">
      <c r="H6148" s="83">
        <f t="shared" ref="H6148:H6211" si="143">J6148-I6148</f>
        <v>0</v>
      </c>
    </row>
    <row r="6149" spans="8:8" hidden="1" x14ac:dyDescent="0.35">
      <c r="H6149" s="83">
        <f t="shared" si="143"/>
        <v>0</v>
      </c>
    </row>
    <row r="6150" spans="8:8" hidden="1" x14ac:dyDescent="0.35">
      <c r="H6150" s="83">
        <f t="shared" si="143"/>
        <v>0</v>
      </c>
    </row>
    <row r="6151" spans="8:8" hidden="1" x14ac:dyDescent="0.35">
      <c r="H6151" s="83">
        <f t="shared" si="143"/>
        <v>0</v>
      </c>
    </row>
    <row r="6152" spans="8:8" hidden="1" x14ac:dyDescent="0.35">
      <c r="H6152" s="83">
        <f t="shared" si="143"/>
        <v>0</v>
      </c>
    </row>
    <row r="6153" spans="8:8" hidden="1" x14ac:dyDescent="0.35">
      <c r="H6153" s="83">
        <f t="shared" si="143"/>
        <v>0</v>
      </c>
    </row>
    <row r="6154" spans="8:8" hidden="1" x14ac:dyDescent="0.35">
      <c r="H6154" s="83">
        <f t="shared" si="143"/>
        <v>0</v>
      </c>
    </row>
    <row r="6155" spans="8:8" hidden="1" x14ac:dyDescent="0.35">
      <c r="H6155" s="83">
        <f t="shared" si="143"/>
        <v>0</v>
      </c>
    </row>
    <row r="6156" spans="8:8" hidden="1" x14ac:dyDescent="0.35">
      <c r="H6156" s="83">
        <f t="shared" si="143"/>
        <v>0</v>
      </c>
    </row>
    <row r="6157" spans="8:8" hidden="1" x14ac:dyDescent="0.35">
      <c r="H6157" s="83">
        <f t="shared" si="143"/>
        <v>0</v>
      </c>
    </row>
    <row r="6158" spans="8:8" hidden="1" x14ac:dyDescent="0.35">
      <c r="H6158" s="83">
        <f t="shared" si="143"/>
        <v>0</v>
      </c>
    </row>
    <row r="6159" spans="8:8" hidden="1" x14ac:dyDescent="0.35">
      <c r="H6159" s="83">
        <f t="shared" si="143"/>
        <v>0</v>
      </c>
    </row>
    <row r="6160" spans="8:8" hidden="1" x14ac:dyDescent="0.35">
      <c r="H6160" s="83">
        <f t="shared" si="143"/>
        <v>0</v>
      </c>
    </row>
    <row r="6161" spans="8:8" hidden="1" x14ac:dyDescent="0.35">
      <c r="H6161" s="83">
        <f t="shared" si="143"/>
        <v>0</v>
      </c>
    </row>
    <row r="6162" spans="8:8" hidden="1" x14ac:dyDescent="0.35">
      <c r="H6162" s="83">
        <f t="shared" si="143"/>
        <v>0</v>
      </c>
    </row>
    <row r="6163" spans="8:8" hidden="1" x14ac:dyDescent="0.35">
      <c r="H6163" s="83">
        <f t="shared" si="143"/>
        <v>0</v>
      </c>
    </row>
    <row r="6164" spans="8:8" hidden="1" x14ac:dyDescent="0.35">
      <c r="H6164" s="83">
        <f t="shared" si="143"/>
        <v>0</v>
      </c>
    </row>
    <row r="6165" spans="8:8" hidden="1" x14ac:dyDescent="0.35">
      <c r="H6165" s="83">
        <f t="shared" si="143"/>
        <v>0</v>
      </c>
    </row>
    <row r="6166" spans="8:8" hidden="1" x14ac:dyDescent="0.35">
      <c r="H6166" s="83">
        <f t="shared" si="143"/>
        <v>0</v>
      </c>
    </row>
    <row r="6167" spans="8:8" hidden="1" x14ac:dyDescent="0.35">
      <c r="H6167" s="83">
        <f t="shared" si="143"/>
        <v>0</v>
      </c>
    </row>
    <row r="6168" spans="8:8" hidden="1" x14ac:dyDescent="0.35">
      <c r="H6168" s="83">
        <f t="shared" si="143"/>
        <v>0</v>
      </c>
    </row>
    <row r="6169" spans="8:8" hidden="1" x14ac:dyDescent="0.35">
      <c r="H6169" s="83">
        <f t="shared" si="143"/>
        <v>0</v>
      </c>
    </row>
    <row r="6170" spans="8:8" hidden="1" x14ac:dyDescent="0.35">
      <c r="H6170" s="83">
        <f t="shared" si="143"/>
        <v>0</v>
      </c>
    </row>
    <row r="6171" spans="8:8" hidden="1" x14ac:dyDescent="0.35">
      <c r="H6171" s="83">
        <f t="shared" si="143"/>
        <v>0</v>
      </c>
    </row>
    <row r="6172" spans="8:8" hidden="1" x14ac:dyDescent="0.35">
      <c r="H6172" s="83">
        <f t="shared" si="143"/>
        <v>0</v>
      </c>
    </row>
    <row r="6173" spans="8:8" hidden="1" x14ac:dyDescent="0.35">
      <c r="H6173" s="83">
        <f t="shared" si="143"/>
        <v>0</v>
      </c>
    </row>
    <row r="6174" spans="8:8" hidden="1" x14ac:dyDescent="0.35">
      <c r="H6174" s="83">
        <f t="shared" si="143"/>
        <v>0</v>
      </c>
    </row>
    <row r="6175" spans="8:8" hidden="1" x14ac:dyDescent="0.35">
      <c r="H6175" s="83">
        <f t="shared" si="143"/>
        <v>0</v>
      </c>
    </row>
    <row r="6176" spans="8:8" hidden="1" x14ac:dyDescent="0.35">
      <c r="H6176" s="83">
        <f t="shared" si="143"/>
        <v>0</v>
      </c>
    </row>
    <row r="6177" spans="8:8" hidden="1" x14ac:dyDescent="0.35">
      <c r="H6177" s="83">
        <f t="shared" si="143"/>
        <v>0</v>
      </c>
    </row>
    <row r="6178" spans="8:8" hidden="1" x14ac:dyDescent="0.35">
      <c r="H6178" s="83">
        <f t="shared" si="143"/>
        <v>0</v>
      </c>
    </row>
    <row r="6179" spans="8:8" hidden="1" x14ac:dyDescent="0.35">
      <c r="H6179" s="83">
        <f t="shared" si="143"/>
        <v>0</v>
      </c>
    </row>
    <row r="6180" spans="8:8" hidden="1" x14ac:dyDescent="0.35">
      <c r="H6180" s="83">
        <f t="shared" si="143"/>
        <v>0</v>
      </c>
    </row>
    <row r="6181" spans="8:8" hidden="1" x14ac:dyDescent="0.35">
      <c r="H6181" s="83">
        <f t="shared" si="143"/>
        <v>0</v>
      </c>
    </row>
    <row r="6182" spans="8:8" hidden="1" x14ac:dyDescent="0.35">
      <c r="H6182" s="83">
        <f t="shared" si="143"/>
        <v>0</v>
      </c>
    </row>
    <row r="6183" spans="8:8" hidden="1" x14ac:dyDescent="0.35">
      <c r="H6183" s="83">
        <f t="shared" si="143"/>
        <v>0</v>
      </c>
    </row>
    <row r="6184" spans="8:8" hidden="1" x14ac:dyDescent="0.35">
      <c r="H6184" s="83">
        <f t="shared" si="143"/>
        <v>0</v>
      </c>
    </row>
    <row r="6185" spans="8:8" hidden="1" x14ac:dyDescent="0.35">
      <c r="H6185" s="83">
        <f t="shared" si="143"/>
        <v>0</v>
      </c>
    </row>
    <row r="6186" spans="8:8" hidden="1" x14ac:dyDescent="0.35">
      <c r="H6186" s="83">
        <f t="shared" si="143"/>
        <v>0</v>
      </c>
    </row>
    <row r="6187" spans="8:8" hidden="1" x14ac:dyDescent="0.35">
      <c r="H6187" s="83">
        <f t="shared" si="143"/>
        <v>0</v>
      </c>
    </row>
    <row r="6188" spans="8:8" hidden="1" x14ac:dyDescent="0.35">
      <c r="H6188" s="83">
        <f t="shared" si="143"/>
        <v>0</v>
      </c>
    </row>
    <row r="6189" spans="8:8" hidden="1" x14ac:dyDescent="0.35">
      <c r="H6189" s="83">
        <f t="shared" si="143"/>
        <v>0</v>
      </c>
    </row>
    <row r="6190" spans="8:8" hidden="1" x14ac:dyDescent="0.35">
      <c r="H6190" s="83">
        <f t="shared" si="143"/>
        <v>0</v>
      </c>
    </row>
    <row r="6191" spans="8:8" hidden="1" x14ac:dyDescent="0.35">
      <c r="H6191" s="83">
        <f t="shared" si="143"/>
        <v>0</v>
      </c>
    </row>
    <row r="6192" spans="8:8" hidden="1" x14ac:dyDescent="0.35">
      <c r="H6192" s="83">
        <f t="shared" si="143"/>
        <v>0</v>
      </c>
    </row>
    <row r="6193" spans="8:8" hidden="1" x14ac:dyDescent="0.35">
      <c r="H6193" s="83">
        <f t="shared" si="143"/>
        <v>0</v>
      </c>
    </row>
    <row r="6194" spans="8:8" hidden="1" x14ac:dyDescent="0.35">
      <c r="H6194" s="83">
        <f t="shared" si="143"/>
        <v>0</v>
      </c>
    </row>
    <row r="6195" spans="8:8" hidden="1" x14ac:dyDescent="0.35">
      <c r="H6195" s="83">
        <f t="shared" si="143"/>
        <v>0</v>
      </c>
    </row>
    <row r="6196" spans="8:8" hidden="1" x14ac:dyDescent="0.35">
      <c r="H6196" s="83">
        <f t="shared" si="143"/>
        <v>0</v>
      </c>
    </row>
    <row r="6197" spans="8:8" hidden="1" x14ac:dyDescent="0.35">
      <c r="H6197" s="83">
        <f t="shared" si="143"/>
        <v>0</v>
      </c>
    </row>
    <row r="6198" spans="8:8" hidden="1" x14ac:dyDescent="0.35">
      <c r="H6198" s="83">
        <f t="shared" si="143"/>
        <v>0</v>
      </c>
    </row>
    <row r="6199" spans="8:8" hidden="1" x14ac:dyDescent="0.35">
      <c r="H6199" s="83">
        <f t="shared" si="143"/>
        <v>0</v>
      </c>
    </row>
    <row r="6200" spans="8:8" hidden="1" x14ac:dyDescent="0.35">
      <c r="H6200" s="83">
        <f t="shared" si="143"/>
        <v>0</v>
      </c>
    </row>
    <row r="6201" spans="8:8" hidden="1" x14ac:dyDescent="0.35">
      <c r="H6201" s="83">
        <f t="shared" si="143"/>
        <v>0</v>
      </c>
    </row>
    <row r="6202" spans="8:8" hidden="1" x14ac:dyDescent="0.35">
      <c r="H6202" s="83">
        <f t="shared" si="143"/>
        <v>0</v>
      </c>
    </row>
    <row r="6203" spans="8:8" hidden="1" x14ac:dyDescent="0.35">
      <c r="H6203" s="83">
        <f t="shared" si="143"/>
        <v>0</v>
      </c>
    </row>
    <row r="6204" spans="8:8" hidden="1" x14ac:dyDescent="0.35">
      <c r="H6204" s="83">
        <f t="shared" si="143"/>
        <v>0</v>
      </c>
    </row>
    <row r="6205" spans="8:8" hidden="1" x14ac:dyDescent="0.35">
      <c r="H6205" s="83">
        <f t="shared" si="143"/>
        <v>0</v>
      </c>
    </row>
    <row r="6206" spans="8:8" hidden="1" x14ac:dyDescent="0.35">
      <c r="H6206" s="83">
        <f t="shared" si="143"/>
        <v>0</v>
      </c>
    </row>
    <row r="6207" spans="8:8" hidden="1" x14ac:dyDescent="0.35">
      <c r="H6207" s="83">
        <f t="shared" si="143"/>
        <v>0</v>
      </c>
    </row>
    <row r="6208" spans="8:8" hidden="1" x14ac:dyDescent="0.35">
      <c r="H6208" s="83">
        <f t="shared" si="143"/>
        <v>0</v>
      </c>
    </row>
    <row r="6209" spans="8:8" hidden="1" x14ac:dyDescent="0.35">
      <c r="H6209" s="83">
        <f t="shared" si="143"/>
        <v>0</v>
      </c>
    </row>
    <row r="6210" spans="8:8" hidden="1" x14ac:dyDescent="0.35">
      <c r="H6210" s="83">
        <f t="shared" si="143"/>
        <v>0</v>
      </c>
    </row>
    <row r="6211" spans="8:8" hidden="1" x14ac:dyDescent="0.35">
      <c r="H6211" s="83">
        <f t="shared" si="143"/>
        <v>0</v>
      </c>
    </row>
    <row r="6212" spans="8:8" hidden="1" x14ac:dyDescent="0.35">
      <c r="H6212" s="83">
        <f t="shared" ref="H6212:H6275" si="144">J6212-I6212</f>
        <v>0</v>
      </c>
    </row>
    <row r="6213" spans="8:8" hidden="1" x14ac:dyDescent="0.35">
      <c r="H6213" s="83">
        <f t="shared" si="144"/>
        <v>0</v>
      </c>
    </row>
    <row r="6214" spans="8:8" hidden="1" x14ac:dyDescent="0.35">
      <c r="H6214" s="83">
        <f t="shared" si="144"/>
        <v>0</v>
      </c>
    </row>
    <row r="6215" spans="8:8" hidden="1" x14ac:dyDescent="0.35">
      <c r="H6215" s="83">
        <f t="shared" si="144"/>
        <v>0</v>
      </c>
    </row>
    <row r="6216" spans="8:8" hidden="1" x14ac:dyDescent="0.35">
      <c r="H6216" s="83">
        <f t="shared" si="144"/>
        <v>0</v>
      </c>
    </row>
    <row r="6217" spans="8:8" hidden="1" x14ac:dyDescent="0.35">
      <c r="H6217" s="83">
        <f t="shared" si="144"/>
        <v>0</v>
      </c>
    </row>
    <row r="6218" spans="8:8" hidden="1" x14ac:dyDescent="0.35">
      <c r="H6218" s="83">
        <f t="shared" si="144"/>
        <v>0</v>
      </c>
    </row>
    <row r="6219" spans="8:8" hidden="1" x14ac:dyDescent="0.35">
      <c r="H6219" s="83">
        <f t="shared" si="144"/>
        <v>0</v>
      </c>
    </row>
    <row r="6220" spans="8:8" hidden="1" x14ac:dyDescent="0.35">
      <c r="H6220" s="83">
        <f t="shared" si="144"/>
        <v>0</v>
      </c>
    </row>
    <row r="6221" spans="8:8" hidden="1" x14ac:dyDescent="0.35">
      <c r="H6221" s="83">
        <f t="shared" si="144"/>
        <v>0</v>
      </c>
    </row>
    <row r="6222" spans="8:8" hidden="1" x14ac:dyDescent="0.35">
      <c r="H6222" s="83">
        <f t="shared" si="144"/>
        <v>0</v>
      </c>
    </row>
    <row r="6223" spans="8:8" hidden="1" x14ac:dyDescent="0.35">
      <c r="H6223" s="83">
        <f t="shared" si="144"/>
        <v>0</v>
      </c>
    </row>
    <row r="6224" spans="8:8" hidden="1" x14ac:dyDescent="0.35">
      <c r="H6224" s="83">
        <f t="shared" si="144"/>
        <v>0</v>
      </c>
    </row>
    <row r="6225" spans="8:8" hidden="1" x14ac:dyDescent="0.35">
      <c r="H6225" s="83">
        <f t="shared" si="144"/>
        <v>0</v>
      </c>
    </row>
    <row r="6226" spans="8:8" hidden="1" x14ac:dyDescent="0.35">
      <c r="H6226" s="83">
        <f t="shared" si="144"/>
        <v>0</v>
      </c>
    </row>
    <row r="6227" spans="8:8" hidden="1" x14ac:dyDescent="0.35">
      <c r="H6227" s="83">
        <f t="shared" si="144"/>
        <v>0</v>
      </c>
    </row>
    <row r="6228" spans="8:8" hidden="1" x14ac:dyDescent="0.35">
      <c r="H6228" s="83">
        <f t="shared" si="144"/>
        <v>0</v>
      </c>
    </row>
    <row r="6229" spans="8:8" hidden="1" x14ac:dyDescent="0.35">
      <c r="H6229" s="83">
        <f t="shared" si="144"/>
        <v>0</v>
      </c>
    </row>
    <row r="6230" spans="8:8" hidden="1" x14ac:dyDescent="0.35">
      <c r="H6230" s="83">
        <f t="shared" si="144"/>
        <v>0</v>
      </c>
    </row>
    <row r="6231" spans="8:8" hidden="1" x14ac:dyDescent="0.35">
      <c r="H6231" s="83">
        <f t="shared" si="144"/>
        <v>0</v>
      </c>
    </row>
    <row r="6232" spans="8:8" hidden="1" x14ac:dyDescent="0.35">
      <c r="H6232" s="83">
        <f t="shared" si="144"/>
        <v>0</v>
      </c>
    </row>
    <row r="6233" spans="8:8" hidden="1" x14ac:dyDescent="0.35">
      <c r="H6233" s="83">
        <f t="shared" si="144"/>
        <v>0</v>
      </c>
    </row>
    <row r="6234" spans="8:8" hidden="1" x14ac:dyDescent="0.35">
      <c r="H6234" s="83">
        <f t="shared" si="144"/>
        <v>0</v>
      </c>
    </row>
    <row r="6235" spans="8:8" hidden="1" x14ac:dyDescent="0.35">
      <c r="H6235" s="83">
        <f t="shared" si="144"/>
        <v>0</v>
      </c>
    </row>
    <row r="6236" spans="8:8" hidden="1" x14ac:dyDescent="0.35">
      <c r="H6236" s="83">
        <f t="shared" si="144"/>
        <v>0</v>
      </c>
    </row>
    <row r="6237" spans="8:8" hidden="1" x14ac:dyDescent="0.35">
      <c r="H6237" s="83">
        <f t="shared" si="144"/>
        <v>0</v>
      </c>
    </row>
    <row r="6238" spans="8:8" hidden="1" x14ac:dyDescent="0.35">
      <c r="H6238" s="83">
        <f t="shared" si="144"/>
        <v>0</v>
      </c>
    </row>
    <row r="6239" spans="8:8" hidden="1" x14ac:dyDescent="0.35">
      <c r="H6239" s="83">
        <f t="shared" si="144"/>
        <v>0</v>
      </c>
    </row>
    <row r="6240" spans="8:8" hidden="1" x14ac:dyDescent="0.35">
      <c r="H6240" s="83">
        <f t="shared" si="144"/>
        <v>0</v>
      </c>
    </row>
    <row r="6241" spans="8:8" hidden="1" x14ac:dyDescent="0.35">
      <c r="H6241" s="83">
        <f t="shared" si="144"/>
        <v>0</v>
      </c>
    </row>
    <row r="6242" spans="8:8" hidden="1" x14ac:dyDescent="0.35">
      <c r="H6242" s="83">
        <f t="shared" si="144"/>
        <v>0</v>
      </c>
    </row>
    <row r="6243" spans="8:8" hidden="1" x14ac:dyDescent="0.35">
      <c r="H6243" s="83">
        <f t="shared" si="144"/>
        <v>0</v>
      </c>
    </row>
    <row r="6244" spans="8:8" hidden="1" x14ac:dyDescent="0.35">
      <c r="H6244" s="83">
        <f t="shared" si="144"/>
        <v>0</v>
      </c>
    </row>
    <row r="6245" spans="8:8" hidden="1" x14ac:dyDescent="0.35">
      <c r="H6245" s="83">
        <f t="shared" si="144"/>
        <v>0</v>
      </c>
    </row>
    <row r="6246" spans="8:8" hidden="1" x14ac:dyDescent="0.35">
      <c r="H6246" s="83">
        <f t="shared" si="144"/>
        <v>0</v>
      </c>
    </row>
    <row r="6247" spans="8:8" hidden="1" x14ac:dyDescent="0.35">
      <c r="H6247" s="83">
        <f t="shared" si="144"/>
        <v>0</v>
      </c>
    </row>
    <row r="6248" spans="8:8" hidden="1" x14ac:dyDescent="0.35">
      <c r="H6248" s="83">
        <f t="shared" si="144"/>
        <v>0</v>
      </c>
    </row>
    <row r="6249" spans="8:8" hidden="1" x14ac:dyDescent="0.35">
      <c r="H6249" s="83">
        <f t="shared" si="144"/>
        <v>0</v>
      </c>
    </row>
    <row r="6250" spans="8:8" hidden="1" x14ac:dyDescent="0.35">
      <c r="H6250" s="83">
        <f t="shared" si="144"/>
        <v>0</v>
      </c>
    </row>
    <row r="6251" spans="8:8" hidden="1" x14ac:dyDescent="0.35">
      <c r="H6251" s="83">
        <f t="shared" si="144"/>
        <v>0</v>
      </c>
    </row>
    <row r="6252" spans="8:8" hidden="1" x14ac:dyDescent="0.35">
      <c r="H6252" s="83">
        <f t="shared" si="144"/>
        <v>0</v>
      </c>
    </row>
    <row r="6253" spans="8:8" hidden="1" x14ac:dyDescent="0.35">
      <c r="H6253" s="83">
        <f t="shared" si="144"/>
        <v>0</v>
      </c>
    </row>
    <row r="6254" spans="8:8" hidden="1" x14ac:dyDescent="0.35">
      <c r="H6254" s="83">
        <f t="shared" si="144"/>
        <v>0</v>
      </c>
    </row>
    <row r="6255" spans="8:8" hidden="1" x14ac:dyDescent="0.35">
      <c r="H6255" s="83">
        <f t="shared" si="144"/>
        <v>0</v>
      </c>
    </row>
    <row r="6256" spans="8:8" hidden="1" x14ac:dyDescent="0.35">
      <c r="H6256" s="83">
        <f t="shared" si="144"/>
        <v>0</v>
      </c>
    </row>
    <row r="6257" spans="8:8" hidden="1" x14ac:dyDescent="0.35">
      <c r="H6257" s="83">
        <f t="shared" si="144"/>
        <v>0</v>
      </c>
    </row>
    <row r="6258" spans="8:8" hidden="1" x14ac:dyDescent="0.35">
      <c r="H6258" s="83">
        <f t="shared" si="144"/>
        <v>0</v>
      </c>
    </row>
    <row r="6259" spans="8:8" hidden="1" x14ac:dyDescent="0.35">
      <c r="H6259" s="83">
        <f t="shared" si="144"/>
        <v>0</v>
      </c>
    </row>
    <row r="6260" spans="8:8" hidden="1" x14ac:dyDescent="0.35">
      <c r="H6260" s="83">
        <f t="shared" si="144"/>
        <v>0</v>
      </c>
    </row>
    <row r="6261" spans="8:8" hidden="1" x14ac:dyDescent="0.35">
      <c r="H6261" s="83">
        <f t="shared" si="144"/>
        <v>0</v>
      </c>
    </row>
    <row r="6262" spans="8:8" hidden="1" x14ac:dyDescent="0.35">
      <c r="H6262" s="83">
        <f t="shared" si="144"/>
        <v>0</v>
      </c>
    </row>
    <row r="6263" spans="8:8" hidden="1" x14ac:dyDescent="0.35">
      <c r="H6263" s="83">
        <f t="shared" si="144"/>
        <v>0</v>
      </c>
    </row>
    <row r="6264" spans="8:8" hidden="1" x14ac:dyDescent="0.35">
      <c r="H6264" s="83">
        <f t="shared" si="144"/>
        <v>0</v>
      </c>
    </row>
    <row r="6265" spans="8:8" hidden="1" x14ac:dyDescent="0.35">
      <c r="H6265" s="83">
        <f t="shared" si="144"/>
        <v>0</v>
      </c>
    </row>
    <row r="6266" spans="8:8" hidden="1" x14ac:dyDescent="0.35">
      <c r="H6266" s="83">
        <f t="shared" si="144"/>
        <v>0</v>
      </c>
    </row>
    <row r="6267" spans="8:8" hidden="1" x14ac:dyDescent="0.35">
      <c r="H6267" s="83">
        <f t="shared" si="144"/>
        <v>0</v>
      </c>
    </row>
    <row r="6268" spans="8:8" hidden="1" x14ac:dyDescent="0.35">
      <c r="H6268" s="83">
        <f t="shared" si="144"/>
        <v>0</v>
      </c>
    </row>
    <row r="6269" spans="8:8" hidden="1" x14ac:dyDescent="0.35">
      <c r="H6269" s="83">
        <f t="shared" si="144"/>
        <v>0</v>
      </c>
    </row>
    <row r="6270" spans="8:8" hidden="1" x14ac:dyDescent="0.35">
      <c r="H6270" s="83">
        <f t="shared" si="144"/>
        <v>0</v>
      </c>
    </row>
    <row r="6271" spans="8:8" hidden="1" x14ac:dyDescent="0.35">
      <c r="H6271" s="83">
        <f t="shared" si="144"/>
        <v>0</v>
      </c>
    </row>
    <row r="6272" spans="8:8" hidden="1" x14ac:dyDescent="0.35">
      <c r="H6272" s="83">
        <f t="shared" si="144"/>
        <v>0</v>
      </c>
    </row>
    <row r="6273" spans="8:8" hidden="1" x14ac:dyDescent="0.35">
      <c r="H6273" s="83">
        <f t="shared" si="144"/>
        <v>0</v>
      </c>
    </row>
    <row r="6274" spans="8:8" hidden="1" x14ac:dyDescent="0.35">
      <c r="H6274" s="83">
        <f t="shared" si="144"/>
        <v>0</v>
      </c>
    </row>
    <row r="6275" spans="8:8" hidden="1" x14ac:dyDescent="0.35">
      <c r="H6275" s="83">
        <f t="shared" si="144"/>
        <v>0</v>
      </c>
    </row>
    <row r="6276" spans="8:8" hidden="1" x14ac:dyDescent="0.35">
      <c r="H6276" s="83">
        <f t="shared" ref="H6276:H6339" si="145">J6276-I6276</f>
        <v>0</v>
      </c>
    </row>
    <row r="6277" spans="8:8" hidden="1" x14ac:dyDescent="0.35">
      <c r="H6277" s="83">
        <f t="shared" si="145"/>
        <v>0</v>
      </c>
    </row>
    <row r="6278" spans="8:8" hidden="1" x14ac:dyDescent="0.35">
      <c r="H6278" s="83">
        <f t="shared" si="145"/>
        <v>0</v>
      </c>
    </row>
    <row r="6279" spans="8:8" hidden="1" x14ac:dyDescent="0.35">
      <c r="H6279" s="83">
        <f t="shared" si="145"/>
        <v>0</v>
      </c>
    </row>
    <row r="6280" spans="8:8" hidden="1" x14ac:dyDescent="0.35">
      <c r="H6280" s="83">
        <f t="shared" si="145"/>
        <v>0</v>
      </c>
    </row>
    <row r="6281" spans="8:8" hidden="1" x14ac:dyDescent="0.35">
      <c r="H6281" s="83">
        <f t="shared" si="145"/>
        <v>0</v>
      </c>
    </row>
    <row r="6282" spans="8:8" hidden="1" x14ac:dyDescent="0.35">
      <c r="H6282" s="83">
        <f t="shared" si="145"/>
        <v>0</v>
      </c>
    </row>
    <row r="6283" spans="8:8" hidden="1" x14ac:dyDescent="0.35">
      <c r="H6283" s="83">
        <f t="shared" si="145"/>
        <v>0</v>
      </c>
    </row>
    <row r="6284" spans="8:8" hidden="1" x14ac:dyDescent="0.35">
      <c r="H6284" s="83">
        <f t="shared" si="145"/>
        <v>0</v>
      </c>
    </row>
    <row r="6285" spans="8:8" hidden="1" x14ac:dyDescent="0.35">
      <c r="H6285" s="83">
        <f t="shared" si="145"/>
        <v>0</v>
      </c>
    </row>
    <row r="6286" spans="8:8" hidden="1" x14ac:dyDescent="0.35">
      <c r="H6286" s="83">
        <f t="shared" si="145"/>
        <v>0</v>
      </c>
    </row>
    <row r="6287" spans="8:8" hidden="1" x14ac:dyDescent="0.35">
      <c r="H6287" s="83">
        <f t="shared" si="145"/>
        <v>0</v>
      </c>
    </row>
    <row r="6288" spans="8:8" hidden="1" x14ac:dyDescent="0.35">
      <c r="H6288" s="83">
        <f t="shared" si="145"/>
        <v>0</v>
      </c>
    </row>
    <row r="6289" spans="8:8" hidden="1" x14ac:dyDescent="0.35">
      <c r="H6289" s="83">
        <f t="shared" si="145"/>
        <v>0</v>
      </c>
    </row>
    <row r="6290" spans="8:8" hidden="1" x14ac:dyDescent="0.35">
      <c r="H6290" s="83">
        <f t="shared" si="145"/>
        <v>0</v>
      </c>
    </row>
    <row r="6291" spans="8:8" hidden="1" x14ac:dyDescent="0.35">
      <c r="H6291" s="83">
        <f t="shared" si="145"/>
        <v>0</v>
      </c>
    </row>
    <row r="6292" spans="8:8" hidden="1" x14ac:dyDescent="0.35">
      <c r="H6292" s="83">
        <f t="shared" si="145"/>
        <v>0</v>
      </c>
    </row>
    <row r="6293" spans="8:8" hidden="1" x14ac:dyDescent="0.35">
      <c r="H6293" s="83">
        <f t="shared" si="145"/>
        <v>0</v>
      </c>
    </row>
    <row r="6294" spans="8:8" hidden="1" x14ac:dyDescent="0.35">
      <c r="H6294" s="83">
        <f t="shared" si="145"/>
        <v>0</v>
      </c>
    </row>
    <row r="6295" spans="8:8" hidden="1" x14ac:dyDescent="0.35">
      <c r="H6295" s="83">
        <f t="shared" si="145"/>
        <v>0</v>
      </c>
    </row>
    <row r="6296" spans="8:8" hidden="1" x14ac:dyDescent="0.35">
      <c r="H6296" s="83">
        <f t="shared" si="145"/>
        <v>0</v>
      </c>
    </row>
    <row r="6297" spans="8:8" hidden="1" x14ac:dyDescent="0.35">
      <c r="H6297" s="83">
        <f t="shared" si="145"/>
        <v>0</v>
      </c>
    </row>
    <row r="6298" spans="8:8" hidden="1" x14ac:dyDescent="0.35">
      <c r="H6298" s="83">
        <f t="shared" si="145"/>
        <v>0</v>
      </c>
    </row>
    <row r="6299" spans="8:8" hidden="1" x14ac:dyDescent="0.35">
      <c r="H6299" s="83">
        <f t="shared" si="145"/>
        <v>0</v>
      </c>
    </row>
    <row r="6300" spans="8:8" hidden="1" x14ac:dyDescent="0.35">
      <c r="H6300" s="83">
        <f t="shared" si="145"/>
        <v>0</v>
      </c>
    </row>
    <row r="6301" spans="8:8" hidden="1" x14ac:dyDescent="0.35">
      <c r="H6301" s="83">
        <f t="shared" si="145"/>
        <v>0</v>
      </c>
    </row>
    <row r="6302" spans="8:8" hidden="1" x14ac:dyDescent="0.35">
      <c r="H6302" s="83">
        <f t="shared" si="145"/>
        <v>0</v>
      </c>
    </row>
    <row r="6303" spans="8:8" hidden="1" x14ac:dyDescent="0.35">
      <c r="H6303" s="83">
        <f t="shared" si="145"/>
        <v>0</v>
      </c>
    </row>
    <row r="6304" spans="8:8" hidden="1" x14ac:dyDescent="0.35">
      <c r="H6304" s="83">
        <f t="shared" si="145"/>
        <v>0</v>
      </c>
    </row>
    <row r="6305" spans="8:8" hidden="1" x14ac:dyDescent="0.35">
      <c r="H6305" s="83">
        <f t="shared" si="145"/>
        <v>0</v>
      </c>
    </row>
    <row r="6306" spans="8:8" hidden="1" x14ac:dyDescent="0.35">
      <c r="H6306" s="83">
        <f t="shared" si="145"/>
        <v>0</v>
      </c>
    </row>
    <row r="6307" spans="8:8" hidden="1" x14ac:dyDescent="0.35">
      <c r="H6307" s="83">
        <f t="shared" si="145"/>
        <v>0</v>
      </c>
    </row>
    <row r="6308" spans="8:8" hidden="1" x14ac:dyDescent="0.35">
      <c r="H6308" s="83">
        <f t="shared" si="145"/>
        <v>0</v>
      </c>
    </row>
    <row r="6309" spans="8:8" hidden="1" x14ac:dyDescent="0.35">
      <c r="H6309" s="83">
        <f t="shared" si="145"/>
        <v>0</v>
      </c>
    </row>
    <row r="6310" spans="8:8" hidden="1" x14ac:dyDescent="0.35">
      <c r="H6310" s="83">
        <f t="shared" si="145"/>
        <v>0</v>
      </c>
    </row>
    <row r="6311" spans="8:8" hidden="1" x14ac:dyDescent="0.35">
      <c r="H6311" s="83">
        <f t="shared" si="145"/>
        <v>0</v>
      </c>
    </row>
    <row r="6312" spans="8:8" hidden="1" x14ac:dyDescent="0.35">
      <c r="H6312" s="83">
        <f t="shared" si="145"/>
        <v>0</v>
      </c>
    </row>
    <row r="6313" spans="8:8" hidden="1" x14ac:dyDescent="0.35">
      <c r="H6313" s="83">
        <f t="shared" si="145"/>
        <v>0</v>
      </c>
    </row>
    <row r="6314" spans="8:8" hidden="1" x14ac:dyDescent="0.35">
      <c r="H6314" s="83">
        <f t="shared" si="145"/>
        <v>0</v>
      </c>
    </row>
    <row r="6315" spans="8:8" hidden="1" x14ac:dyDescent="0.35">
      <c r="H6315" s="83">
        <f t="shared" si="145"/>
        <v>0</v>
      </c>
    </row>
    <row r="6316" spans="8:8" hidden="1" x14ac:dyDescent="0.35">
      <c r="H6316" s="83">
        <f t="shared" si="145"/>
        <v>0</v>
      </c>
    </row>
    <row r="6317" spans="8:8" hidden="1" x14ac:dyDescent="0.35">
      <c r="H6317" s="83">
        <f t="shared" si="145"/>
        <v>0</v>
      </c>
    </row>
    <row r="6318" spans="8:8" hidden="1" x14ac:dyDescent="0.35">
      <c r="H6318" s="83">
        <f t="shared" si="145"/>
        <v>0</v>
      </c>
    </row>
    <row r="6319" spans="8:8" hidden="1" x14ac:dyDescent="0.35">
      <c r="H6319" s="83">
        <f t="shared" si="145"/>
        <v>0</v>
      </c>
    </row>
    <row r="6320" spans="8:8" hidden="1" x14ac:dyDescent="0.35">
      <c r="H6320" s="83">
        <f t="shared" si="145"/>
        <v>0</v>
      </c>
    </row>
    <row r="6321" spans="8:8" hidden="1" x14ac:dyDescent="0.35">
      <c r="H6321" s="83">
        <f t="shared" si="145"/>
        <v>0</v>
      </c>
    </row>
    <row r="6322" spans="8:8" hidden="1" x14ac:dyDescent="0.35">
      <c r="H6322" s="83">
        <f t="shared" si="145"/>
        <v>0</v>
      </c>
    </row>
    <row r="6323" spans="8:8" hidden="1" x14ac:dyDescent="0.35">
      <c r="H6323" s="83">
        <f t="shared" si="145"/>
        <v>0</v>
      </c>
    </row>
    <row r="6324" spans="8:8" hidden="1" x14ac:dyDescent="0.35">
      <c r="H6324" s="83">
        <f t="shared" si="145"/>
        <v>0</v>
      </c>
    </row>
    <row r="6325" spans="8:8" hidden="1" x14ac:dyDescent="0.35">
      <c r="H6325" s="83">
        <f t="shared" si="145"/>
        <v>0</v>
      </c>
    </row>
    <row r="6326" spans="8:8" hidden="1" x14ac:dyDescent="0.35">
      <c r="H6326" s="83">
        <f t="shared" si="145"/>
        <v>0</v>
      </c>
    </row>
    <row r="6327" spans="8:8" hidden="1" x14ac:dyDescent="0.35">
      <c r="H6327" s="83">
        <f t="shared" si="145"/>
        <v>0</v>
      </c>
    </row>
    <row r="6328" spans="8:8" hidden="1" x14ac:dyDescent="0.35">
      <c r="H6328" s="83">
        <f t="shared" si="145"/>
        <v>0</v>
      </c>
    </row>
    <row r="6329" spans="8:8" hidden="1" x14ac:dyDescent="0.35">
      <c r="H6329" s="83">
        <f t="shared" si="145"/>
        <v>0</v>
      </c>
    </row>
    <row r="6330" spans="8:8" hidden="1" x14ac:dyDescent="0.35">
      <c r="H6330" s="83">
        <f t="shared" si="145"/>
        <v>0</v>
      </c>
    </row>
    <row r="6331" spans="8:8" hidden="1" x14ac:dyDescent="0.35">
      <c r="H6331" s="83">
        <f t="shared" si="145"/>
        <v>0</v>
      </c>
    </row>
    <row r="6332" spans="8:8" hidden="1" x14ac:dyDescent="0.35">
      <c r="H6332" s="83">
        <f t="shared" si="145"/>
        <v>0</v>
      </c>
    </row>
    <row r="6333" spans="8:8" hidden="1" x14ac:dyDescent="0.35">
      <c r="H6333" s="83">
        <f t="shared" si="145"/>
        <v>0</v>
      </c>
    </row>
    <row r="6334" spans="8:8" hidden="1" x14ac:dyDescent="0.35">
      <c r="H6334" s="83">
        <f t="shared" si="145"/>
        <v>0</v>
      </c>
    </row>
    <row r="6335" spans="8:8" hidden="1" x14ac:dyDescent="0.35">
      <c r="H6335" s="83">
        <f t="shared" si="145"/>
        <v>0</v>
      </c>
    </row>
    <row r="6336" spans="8:8" hidden="1" x14ac:dyDescent="0.35">
      <c r="H6336" s="83">
        <f t="shared" si="145"/>
        <v>0</v>
      </c>
    </row>
    <row r="6337" spans="8:8" hidden="1" x14ac:dyDescent="0.35">
      <c r="H6337" s="83">
        <f t="shared" si="145"/>
        <v>0</v>
      </c>
    </row>
    <row r="6338" spans="8:8" hidden="1" x14ac:dyDescent="0.35">
      <c r="H6338" s="83">
        <f t="shared" si="145"/>
        <v>0</v>
      </c>
    </row>
    <row r="6339" spans="8:8" hidden="1" x14ac:dyDescent="0.35">
      <c r="H6339" s="83">
        <f t="shared" si="145"/>
        <v>0</v>
      </c>
    </row>
    <row r="6340" spans="8:8" hidden="1" x14ac:dyDescent="0.35">
      <c r="H6340" s="83">
        <f t="shared" ref="H6340:H6403" si="146">J6340-I6340</f>
        <v>0</v>
      </c>
    </row>
    <row r="6341" spans="8:8" hidden="1" x14ac:dyDescent="0.35">
      <c r="H6341" s="83">
        <f t="shared" si="146"/>
        <v>0</v>
      </c>
    </row>
    <row r="6342" spans="8:8" hidden="1" x14ac:dyDescent="0.35">
      <c r="H6342" s="83">
        <f t="shared" si="146"/>
        <v>0</v>
      </c>
    </row>
    <row r="6343" spans="8:8" hidden="1" x14ac:dyDescent="0.35">
      <c r="H6343" s="83">
        <f t="shared" si="146"/>
        <v>0</v>
      </c>
    </row>
    <row r="6344" spans="8:8" hidden="1" x14ac:dyDescent="0.35">
      <c r="H6344" s="83">
        <f t="shared" si="146"/>
        <v>0</v>
      </c>
    </row>
    <row r="6345" spans="8:8" hidden="1" x14ac:dyDescent="0.35">
      <c r="H6345" s="83">
        <f t="shared" si="146"/>
        <v>0</v>
      </c>
    </row>
    <row r="6346" spans="8:8" hidden="1" x14ac:dyDescent="0.35">
      <c r="H6346" s="83">
        <f t="shared" si="146"/>
        <v>0</v>
      </c>
    </row>
    <row r="6347" spans="8:8" hidden="1" x14ac:dyDescent="0.35">
      <c r="H6347" s="83">
        <f t="shared" si="146"/>
        <v>0</v>
      </c>
    </row>
    <row r="6348" spans="8:8" hidden="1" x14ac:dyDescent="0.35">
      <c r="H6348" s="83">
        <f t="shared" si="146"/>
        <v>0</v>
      </c>
    </row>
    <row r="6349" spans="8:8" hidden="1" x14ac:dyDescent="0.35">
      <c r="H6349" s="83">
        <f t="shared" si="146"/>
        <v>0</v>
      </c>
    </row>
    <row r="6350" spans="8:8" hidden="1" x14ac:dyDescent="0.35">
      <c r="H6350" s="83">
        <f t="shared" si="146"/>
        <v>0</v>
      </c>
    </row>
    <row r="6351" spans="8:8" hidden="1" x14ac:dyDescent="0.35">
      <c r="H6351" s="83">
        <f t="shared" si="146"/>
        <v>0</v>
      </c>
    </row>
    <row r="6352" spans="8:8" hidden="1" x14ac:dyDescent="0.35">
      <c r="H6352" s="83">
        <f t="shared" si="146"/>
        <v>0</v>
      </c>
    </row>
    <row r="6353" spans="8:8" hidden="1" x14ac:dyDescent="0.35">
      <c r="H6353" s="83">
        <f t="shared" si="146"/>
        <v>0</v>
      </c>
    </row>
    <row r="6354" spans="8:8" hidden="1" x14ac:dyDescent="0.35">
      <c r="H6354" s="83">
        <f t="shared" si="146"/>
        <v>0</v>
      </c>
    </row>
    <row r="6355" spans="8:8" hidden="1" x14ac:dyDescent="0.35">
      <c r="H6355" s="83">
        <f t="shared" si="146"/>
        <v>0</v>
      </c>
    </row>
    <row r="6356" spans="8:8" hidden="1" x14ac:dyDescent="0.35">
      <c r="H6356" s="83">
        <f t="shared" si="146"/>
        <v>0</v>
      </c>
    </row>
    <row r="6357" spans="8:8" hidden="1" x14ac:dyDescent="0.35">
      <c r="H6357" s="83">
        <f t="shared" si="146"/>
        <v>0</v>
      </c>
    </row>
    <row r="6358" spans="8:8" hidden="1" x14ac:dyDescent="0.35">
      <c r="H6358" s="83">
        <f t="shared" si="146"/>
        <v>0</v>
      </c>
    </row>
    <row r="6359" spans="8:8" hidden="1" x14ac:dyDescent="0.35">
      <c r="H6359" s="83">
        <f t="shared" si="146"/>
        <v>0</v>
      </c>
    </row>
    <row r="6360" spans="8:8" hidden="1" x14ac:dyDescent="0.35">
      <c r="H6360" s="83">
        <f t="shared" si="146"/>
        <v>0</v>
      </c>
    </row>
    <row r="6361" spans="8:8" hidden="1" x14ac:dyDescent="0.35">
      <c r="H6361" s="83">
        <f t="shared" si="146"/>
        <v>0</v>
      </c>
    </row>
    <row r="6362" spans="8:8" hidden="1" x14ac:dyDescent="0.35">
      <c r="H6362" s="83">
        <f t="shared" si="146"/>
        <v>0</v>
      </c>
    </row>
    <row r="6363" spans="8:8" hidden="1" x14ac:dyDescent="0.35">
      <c r="H6363" s="83">
        <f t="shared" si="146"/>
        <v>0</v>
      </c>
    </row>
    <row r="6364" spans="8:8" hidden="1" x14ac:dyDescent="0.35">
      <c r="H6364" s="83">
        <f t="shared" si="146"/>
        <v>0</v>
      </c>
    </row>
    <row r="6365" spans="8:8" hidden="1" x14ac:dyDescent="0.35">
      <c r="H6365" s="83">
        <f t="shared" si="146"/>
        <v>0</v>
      </c>
    </row>
    <row r="6366" spans="8:8" hidden="1" x14ac:dyDescent="0.35">
      <c r="H6366" s="83">
        <f t="shared" si="146"/>
        <v>0</v>
      </c>
    </row>
    <row r="6367" spans="8:8" hidden="1" x14ac:dyDescent="0.35">
      <c r="H6367" s="83">
        <f t="shared" si="146"/>
        <v>0</v>
      </c>
    </row>
    <row r="6368" spans="8:8" hidden="1" x14ac:dyDescent="0.35">
      <c r="H6368" s="83">
        <f t="shared" si="146"/>
        <v>0</v>
      </c>
    </row>
    <row r="6369" spans="8:8" hidden="1" x14ac:dyDescent="0.35">
      <c r="H6369" s="83">
        <f t="shared" si="146"/>
        <v>0</v>
      </c>
    </row>
    <row r="6370" spans="8:8" hidden="1" x14ac:dyDescent="0.35">
      <c r="H6370" s="83">
        <f t="shared" si="146"/>
        <v>0</v>
      </c>
    </row>
    <row r="6371" spans="8:8" hidden="1" x14ac:dyDescent="0.35">
      <c r="H6371" s="83">
        <f t="shared" si="146"/>
        <v>0</v>
      </c>
    </row>
    <row r="6372" spans="8:8" hidden="1" x14ac:dyDescent="0.35">
      <c r="H6372" s="83">
        <f t="shared" si="146"/>
        <v>0</v>
      </c>
    </row>
    <row r="6373" spans="8:8" hidden="1" x14ac:dyDescent="0.35">
      <c r="H6373" s="83">
        <f t="shared" si="146"/>
        <v>0</v>
      </c>
    </row>
    <row r="6374" spans="8:8" hidden="1" x14ac:dyDescent="0.35">
      <c r="H6374" s="83">
        <f t="shared" si="146"/>
        <v>0</v>
      </c>
    </row>
    <row r="6375" spans="8:8" hidden="1" x14ac:dyDescent="0.35">
      <c r="H6375" s="83">
        <f t="shared" si="146"/>
        <v>0</v>
      </c>
    </row>
    <row r="6376" spans="8:8" hidden="1" x14ac:dyDescent="0.35">
      <c r="H6376" s="83">
        <f t="shared" si="146"/>
        <v>0</v>
      </c>
    </row>
    <row r="6377" spans="8:8" hidden="1" x14ac:dyDescent="0.35">
      <c r="H6377" s="83">
        <f t="shared" si="146"/>
        <v>0</v>
      </c>
    </row>
    <row r="6378" spans="8:8" hidden="1" x14ac:dyDescent="0.35">
      <c r="H6378" s="83">
        <f t="shared" si="146"/>
        <v>0</v>
      </c>
    </row>
    <row r="6379" spans="8:8" hidden="1" x14ac:dyDescent="0.35">
      <c r="H6379" s="83">
        <f t="shared" si="146"/>
        <v>0</v>
      </c>
    </row>
    <row r="6380" spans="8:8" hidden="1" x14ac:dyDescent="0.35">
      <c r="H6380" s="83">
        <f t="shared" si="146"/>
        <v>0</v>
      </c>
    </row>
    <row r="6381" spans="8:8" hidden="1" x14ac:dyDescent="0.35">
      <c r="H6381" s="83">
        <f t="shared" si="146"/>
        <v>0</v>
      </c>
    </row>
    <row r="6382" spans="8:8" hidden="1" x14ac:dyDescent="0.35">
      <c r="H6382" s="83">
        <f t="shared" si="146"/>
        <v>0</v>
      </c>
    </row>
    <row r="6383" spans="8:8" hidden="1" x14ac:dyDescent="0.35">
      <c r="H6383" s="83">
        <f t="shared" si="146"/>
        <v>0</v>
      </c>
    </row>
    <row r="6384" spans="8:8" hidden="1" x14ac:dyDescent="0.35">
      <c r="H6384" s="83">
        <f t="shared" si="146"/>
        <v>0</v>
      </c>
    </row>
    <row r="6385" spans="8:8" hidden="1" x14ac:dyDescent="0.35">
      <c r="H6385" s="83">
        <f t="shared" si="146"/>
        <v>0</v>
      </c>
    </row>
    <row r="6386" spans="8:8" hidden="1" x14ac:dyDescent="0.35">
      <c r="H6386" s="83">
        <f t="shared" si="146"/>
        <v>0</v>
      </c>
    </row>
    <row r="6387" spans="8:8" hidden="1" x14ac:dyDescent="0.35">
      <c r="H6387" s="83">
        <f t="shared" si="146"/>
        <v>0</v>
      </c>
    </row>
    <row r="6388" spans="8:8" hidden="1" x14ac:dyDescent="0.35">
      <c r="H6388" s="83">
        <f t="shared" si="146"/>
        <v>0</v>
      </c>
    </row>
    <row r="6389" spans="8:8" hidden="1" x14ac:dyDescent="0.35">
      <c r="H6389" s="83">
        <f t="shared" si="146"/>
        <v>0</v>
      </c>
    </row>
    <row r="6390" spans="8:8" hidden="1" x14ac:dyDescent="0.35">
      <c r="H6390" s="83">
        <f t="shared" si="146"/>
        <v>0</v>
      </c>
    </row>
    <row r="6391" spans="8:8" hidden="1" x14ac:dyDescent="0.35">
      <c r="H6391" s="83">
        <f t="shared" si="146"/>
        <v>0</v>
      </c>
    </row>
    <row r="6392" spans="8:8" hidden="1" x14ac:dyDescent="0.35">
      <c r="H6392" s="83">
        <f t="shared" si="146"/>
        <v>0</v>
      </c>
    </row>
    <row r="6393" spans="8:8" hidden="1" x14ac:dyDescent="0.35">
      <c r="H6393" s="83">
        <f t="shared" si="146"/>
        <v>0</v>
      </c>
    </row>
    <row r="6394" spans="8:8" hidden="1" x14ac:dyDescent="0.35">
      <c r="H6394" s="83">
        <f t="shared" si="146"/>
        <v>0</v>
      </c>
    </row>
    <row r="6395" spans="8:8" hidden="1" x14ac:dyDescent="0.35">
      <c r="H6395" s="83">
        <f t="shared" si="146"/>
        <v>0</v>
      </c>
    </row>
    <row r="6396" spans="8:8" hidden="1" x14ac:dyDescent="0.35">
      <c r="H6396" s="83">
        <f t="shared" si="146"/>
        <v>0</v>
      </c>
    </row>
    <row r="6397" spans="8:8" hidden="1" x14ac:dyDescent="0.35">
      <c r="H6397" s="83">
        <f t="shared" si="146"/>
        <v>0</v>
      </c>
    </row>
    <row r="6398" spans="8:8" hidden="1" x14ac:dyDescent="0.35">
      <c r="H6398" s="83">
        <f t="shared" si="146"/>
        <v>0</v>
      </c>
    </row>
    <row r="6399" spans="8:8" hidden="1" x14ac:dyDescent="0.35">
      <c r="H6399" s="83">
        <f t="shared" si="146"/>
        <v>0</v>
      </c>
    </row>
    <row r="6400" spans="8:8" hidden="1" x14ac:dyDescent="0.35">
      <c r="H6400" s="83">
        <f t="shared" si="146"/>
        <v>0</v>
      </c>
    </row>
    <row r="6401" spans="8:8" hidden="1" x14ac:dyDescent="0.35">
      <c r="H6401" s="83">
        <f t="shared" si="146"/>
        <v>0</v>
      </c>
    </row>
    <row r="6402" spans="8:8" hidden="1" x14ac:dyDescent="0.35">
      <c r="H6402" s="83">
        <f t="shared" si="146"/>
        <v>0</v>
      </c>
    </row>
    <row r="6403" spans="8:8" hidden="1" x14ac:dyDescent="0.35">
      <c r="H6403" s="83">
        <f t="shared" si="146"/>
        <v>0</v>
      </c>
    </row>
    <row r="6404" spans="8:8" hidden="1" x14ac:dyDescent="0.35">
      <c r="H6404" s="83">
        <f t="shared" ref="H6404:H6467" si="147">J6404-I6404</f>
        <v>0</v>
      </c>
    </row>
    <row r="6405" spans="8:8" hidden="1" x14ac:dyDescent="0.35">
      <c r="H6405" s="83">
        <f t="shared" si="147"/>
        <v>0</v>
      </c>
    </row>
    <row r="6406" spans="8:8" hidden="1" x14ac:dyDescent="0.35">
      <c r="H6406" s="83">
        <f t="shared" si="147"/>
        <v>0</v>
      </c>
    </row>
    <row r="6407" spans="8:8" hidden="1" x14ac:dyDescent="0.35">
      <c r="H6407" s="83">
        <f t="shared" si="147"/>
        <v>0</v>
      </c>
    </row>
    <row r="6408" spans="8:8" hidden="1" x14ac:dyDescent="0.35">
      <c r="H6408" s="83">
        <f t="shared" si="147"/>
        <v>0</v>
      </c>
    </row>
    <row r="6409" spans="8:8" hidden="1" x14ac:dyDescent="0.35">
      <c r="H6409" s="83">
        <f t="shared" si="147"/>
        <v>0</v>
      </c>
    </row>
    <row r="6410" spans="8:8" hidden="1" x14ac:dyDescent="0.35">
      <c r="H6410" s="83">
        <f t="shared" si="147"/>
        <v>0</v>
      </c>
    </row>
    <row r="6411" spans="8:8" hidden="1" x14ac:dyDescent="0.35">
      <c r="H6411" s="83">
        <f t="shared" si="147"/>
        <v>0</v>
      </c>
    </row>
    <row r="6412" spans="8:8" hidden="1" x14ac:dyDescent="0.35">
      <c r="H6412" s="83">
        <f t="shared" si="147"/>
        <v>0</v>
      </c>
    </row>
    <row r="6413" spans="8:8" hidden="1" x14ac:dyDescent="0.35">
      <c r="H6413" s="83">
        <f t="shared" si="147"/>
        <v>0</v>
      </c>
    </row>
    <row r="6414" spans="8:8" hidden="1" x14ac:dyDescent="0.35">
      <c r="H6414" s="83">
        <f t="shared" si="147"/>
        <v>0</v>
      </c>
    </row>
    <row r="6415" spans="8:8" hidden="1" x14ac:dyDescent="0.35">
      <c r="H6415" s="83">
        <f t="shared" si="147"/>
        <v>0</v>
      </c>
    </row>
    <row r="6416" spans="8:8" hidden="1" x14ac:dyDescent="0.35">
      <c r="H6416" s="83">
        <f t="shared" si="147"/>
        <v>0</v>
      </c>
    </row>
    <row r="6417" spans="8:8" hidden="1" x14ac:dyDescent="0.35">
      <c r="H6417" s="83">
        <f t="shared" si="147"/>
        <v>0</v>
      </c>
    </row>
    <row r="6418" spans="8:8" hidden="1" x14ac:dyDescent="0.35">
      <c r="H6418" s="83">
        <f t="shared" si="147"/>
        <v>0</v>
      </c>
    </row>
    <row r="6419" spans="8:8" hidden="1" x14ac:dyDescent="0.35">
      <c r="H6419" s="83">
        <f t="shared" si="147"/>
        <v>0</v>
      </c>
    </row>
    <row r="6420" spans="8:8" hidden="1" x14ac:dyDescent="0.35">
      <c r="H6420" s="83">
        <f t="shared" si="147"/>
        <v>0</v>
      </c>
    </row>
    <row r="6421" spans="8:8" hidden="1" x14ac:dyDescent="0.35">
      <c r="H6421" s="83">
        <f t="shared" si="147"/>
        <v>0</v>
      </c>
    </row>
    <row r="6422" spans="8:8" hidden="1" x14ac:dyDescent="0.35">
      <c r="H6422" s="83">
        <f t="shared" si="147"/>
        <v>0</v>
      </c>
    </row>
    <row r="6423" spans="8:8" hidden="1" x14ac:dyDescent="0.35">
      <c r="H6423" s="83">
        <f t="shared" si="147"/>
        <v>0</v>
      </c>
    </row>
    <row r="6424" spans="8:8" hidden="1" x14ac:dyDescent="0.35">
      <c r="H6424" s="83">
        <f t="shared" si="147"/>
        <v>0</v>
      </c>
    </row>
    <row r="6425" spans="8:8" hidden="1" x14ac:dyDescent="0.35">
      <c r="H6425" s="83">
        <f t="shared" si="147"/>
        <v>0</v>
      </c>
    </row>
    <row r="6426" spans="8:8" hidden="1" x14ac:dyDescent="0.35">
      <c r="H6426" s="83">
        <f t="shared" si="147"/>
        <v>0</v>
      </c>
    </row>
    <row r="6427" spans="8:8" hidden="1" x14ac:dyDescent="0.35">
      <c r="H6427" s="83">
        <f t="shared" si="147"/>
        <v>0</v>
      </c>
    </row>
    <row r="6428" spans="8:8" hidden="1" x14ac:dyDescent="0.35">
      <c r="H6428" s="83">
        <f t="shared" si="147"/>
        <v>0</v>
      </c>
    </row>
    <row r="6429" spans="8:8" hidden="1" x14ac:dyDescent="0.35">
      <c r="H6429" s="83">
        <f t="shared" si="147"/>
        <v>0</v>
      </c>
    </row>
    <row r="6430" spans="8:8" hidden="1" x14ac:dyDescent="0.35">
      <c r="H6430" s="83">
        <f t="shared" si="147"/>
        <v>0</v>
      </c>
    </row>
    <row r="6431" spans="8:8" hidden="1" x14ac:dyDescent="0.35">
      <c r="H6431" s="83">
        <f t="shared" si="147"/>
        <v>0</v>
      </c>
    </row>
    <row r="6432" spans="8:8" hidden="1" x14ac:dyDescent="0.35">
      <c r="H6432" s="83">
        <f t="shared" si="147"/>
        <v>0</v>
      </c>
    </row>
    <row r="6433" spans="8:8" hidden="1" x14ac:dyDescent="0.35">
      <c r="H6433" s="83">
        <f t="shared" si="147"/>
        <v>0</v>
      </c>
    </row>
    <row r="6434" spans="8:8" hidden="1" x14ac:dyDescent="0.35">
      <c r="H6434" s="83">
        <f t="shared" si="147"/>
        <v>0</v>
      </c>
    </row>
    <row r="6435" spans="8:8" hidden="1" x14ac:dyDescent="0.35">
      <c r="H6435" s="83">
        <f t="shared" si="147"/>
        <v>0</v>
      </c>
    </row>
    <row r="6436" spans="8:8" hidden="1" x14ac:dyDescent="0.35">
      <c r="H6436" s="83">
        <f t="shared" si="147"/>
        <v>0</v>
      </c>
    </row>
    <row r="6437" spans="8:8" hidden="1" x14ac:dyDescent="0.35">
      <c r="H6437" s="83">
        <f t="shared" si="147"/>
        <v>0</v>
      </c>
    </row>
    <row r="6438" spans="8:8" hidden="1" x14ac:dyDescent="0.35">
      <c r="H6438" s="83">
        <f t="shared" si="147"/>
        <v>0</v>
      </c>
    </row>
    <row r="6439" spans="8:8" hidden="1" x14ac:dyDescent="0.35">
      <c r="H6439" s="83">
        <f t="shared" si="147"/>
        <v>0</v>
      </c>
    </row>
    <row r="6440" spans="8:8" hidden="1" x14ac:dyDescent="0.35">
      <c r="H6440" s="83">
        <f t="shared" si="147"/>
        <v>0</v>
      </c>
    </row>
    <row r="6441" spans="8:8" hidden="1" x14ac:dyDescent="0.35">
      <c r="H6441" s="83">
        <f t="shared" si="147"/>
        <v>0</v>
      </c>
    </row>
    <row r="6442" spans="8:8" hidden="1" x14ac:dyDescent="0.35">
      <c r="H6442" s="83">
        <f t="shared" si="147"/>
        <v>0</v>
      </c>
    </row>
    <row r="6443" spans="8:8" hidden="1" x14ac:dyDescent="0.35">
      <c r="H6443" s="83">
        <f t="shared" si="147"/>
        <v>0</v>
      </c>
    </row>
    <row r="6444" spans="8:8" hidden="1" x14ac:dyDescent="0.35">
      <c r="H6444" s="83">
        <f t="shared" si="147"/>
        <v>0</v>
      </c>
    </row>
    <row r="6445" spans="8:8" hidden="1" x14ac:dyDescent="0.35">
      <c r="H6445" s="83">
        <f t="shared" si="147"/>
        <v>0</v>
      </c>
    </row>
    <row r="6446" spans="8:8" hidden="1" x14ac:dyDescent="0.35">
      <c r="H6446" s="83">
        <f t="shared" si="147"/>
        <v>0</v>
      </c>
    </row>
    <row r="6447" spans="8:8" hidden="1" x14ac:dyDescent="0.35">
      <c r="H6447" s="83">
        <f t="shared" si="147"/>
        <v>0</v>
      </c>
    </row>
    <row r="6448" spans="8:8" hidden="1" x14ac:dyDescent="0.35">
      <c r="H6448" s="83">
        <f t="shared" si="147"/>
        <v>0</v>
      </c>
    </row>
    <row r="6449" spans="8:8" hidden="1" x14ac:dyDescent="0.35">
      <c r="H6449" s="83">
        <f t="shared" si="147"/>
        <v>0</v>
      </c>
    </row>
    <row r="6450" spans="8:8" hidden="1" x14ac:dyDescent="0.35">
      <c r="H6450" s="83">
        <f t="shared" si="147"/>
        <v>0</v>
      </c>
    </row>
    <row r="6451" spans="8:8" hidden="1" x14ac:dyDescent="0.35">
      <c r="H6451" s="83">
        <f t="shared" si="147"/>
        <v>0</v>
      </c>
    </row>
    <row r="6452" spans="8:8" hidden="1" x14ac:dyDescent="0.35">
      <c r="H6452" s="83">
        <f t="shared" si="147"/>
        <v>0</v>
      </c>
    </row>
    <row r="6453" spans="8:8" hidden="1" x14ac:dyDescent="0.35">
      <c r="H6453" s="83">
        <f t="shared" si="147"/>
        <v>0</v>
      </c>
    </row>
    <row r="6454" spans="8:8" hidden="1" x14ac:dyDescent="0.35">
      <c r="H6454" s="83">
        <f t="shared" si="147"/>
        <v>0</v>
      </c>
    </row>
    <row r="6455" spans="8:8" hidden="1" x14ac:dyDescent="0.35">
      <c r="H6455" s="83">
        <f t="shared" si="147"/>
        <v>0</v>
      </c>
    </row>
    <row r="6456" spans="8:8" hidden="1" x14ac:dyDescent="0.35">
      <c r="H6456" s="83">
        <f t="shared" si="147"/>
        <v>0</v>
      </c>
    </row>
    <row r="6457" spans="8:8" hidden="1" x14ac:dyDescent="0.35">
      <c r="H6457" s="83">
        <f t="shared" si="147"/>
        <v>0</v>
      </c>
    </row>
    <row r="6458" spans="8:8" hidden="1" x14ac:dyDescent="0.35">
      <c r="H6458" s="83">
        <f t="shared" si="147"/>
        <v>0</v>
      </c>
    </row>
    <row r="6459" spans="8:8" hidden="1" x14ac:dyDescent="0.35">
      <c r="H6459" s="83">
        <f t="shared" si="147"/>
        <v>0</v>
      </c>
    </row>
    <row r="6460" spans="8:8" hidden="1" x14ac:dyDescent="0.35">
      <c r="H6460" s="83">
        <f t="shared" si="147"/>
        <v>0</v>
      </c>
    </row>
    <row r="6461" spans="8:8" hidden="1" x14ac:dyDescent="0.35">
      <c r="H6461" s="83">
        <f t="shared" si="147"/>
        <v>0</v>
      </c>
    </row>
    <row r="6462" spans="8:8" hidden="1" x14ac:dyDescent="0.35">
      <c r="H6462" s="83">
        <f t="shared" si="147"/>
        <v>0</v>
      </c>
    </row>
    <row r="6463" spans="8:8" hidden="1" x14ac:dyDescent="0.35">
      <c r="H6463" s="83">
        <f t="shared" si="147"/>
        <v>0</v>
      </c>
    </row>
    <row r="6464" spans="8:8" hidden="1" x14ac:dyDescent="0.35">
      <c r="H6464" s="83">
        <f t="shared" si="147"/>
        <v>0</v>
      </c>
    </row>
    <row r="6465" spans="8:8" hidden="1" x14ac:dyDescent="0.35">
      <c r="H6465" s="83">
        <f t="shared" si="147"/>
        <v>0</v>
      </c>
    </row>
    <row r="6466" spans="8:8" hidden="1" x14ac:dyDescent="0.35">
      <c r="H6466" s="83">
        <f t="shared" si="147"/>
        <v>0</v>
      </c>
    </row>
    <row r="6467" spans="8:8" hidden="1" x14ac:dyDescent="0.35">
      <c r="H6467" s="83">
        <f t="shared" si="147"/>
        <v>0</v>
      </c>
    </row>
    <row r="6468" spans="8:8" hidden="1" x14ac:dyDescent="0.35">
      <c r="H6468" s="83">
        <f t="shared" ref="H6468:H6531" si="148">J6468-I6468</f>
        <v>0</v>
      </c>
    </row>
    <row r="6469" spans="8:8" hidden="1" x14ac:dyDescent="0.35">
      <c r="H6469" s="83">
        <f t="shared" si="148"/>
        <v>0</v>
      </c>
    </row>
    <row r="6470" spans="8:8" hidden="1" x14ac:dyDescent="0.35">
      <c r="H6470" s="83">
        <f t="shared" si="148"/>
        <v>0</v>
      </c>
    </row>
    <row r="6471" spans="8:8" hidden="1" x14ac:dyDescent="0.35">
      <c r="H6471" s="83">
        <f t="shared" si="148"/>
        <v>0</v>
      </c>
    </row>
    <row r="6472" spans="8:8" hidden="1" x14ac:dyDescent="0.35">
      <c r="H6472" s="83">
        <f t="shared" si="148"/>
        <v>0</v>
      </c>
    </row>
    <row r="6473" spans="8:8" hidden="1" x14ac:dyDescent="0.35">
      <c r="H6473" s="83">
        <f t="shared" si="148"/>
        <v>0</v>
      </c>
    </row>
    <row r="6474" spans="8:8" hidden="1" x14ac:dyDescent="0.35">
      <c r="H6474" s="83">
        <f t="shared" si="148"/>
        <v>0</v>
      </c>
    </row>
    <row r="6475" spans="8:8" hidden="1" x14ac:dyDescent="0.35">
      <c r="H6475" s="83">
        <f t="shared" si="148"/>
        <v>0</v>
      </c>
    </row>
    <row r="6476" spans="8:8" hidden="1" x14ac:dyDescent="0.35">
      <c r="H6476" s="83">
        <f t="shared" si="148"/>
        <v>0</v>
      </c>
    </row>
    <row r="6477" spans="8:8" hidden="1" x14ac:dyDescent="0.35">
      <c r="H6477" s="83">
        <f t="shared" si="148"/>
        <v>0</v>
      </c>
    </row>
    <row r="6478" spans="8:8" hidden="1" x14ac:dyDescent="0.35">
      <c r="H6478" s="83">
        <f t="shared" si="148"/>
        <v>0</v>
      </c>
    </row>
    <row r="6479" spans="8:8" hidden="1" x14ac:dyDescent="0.35">
      <c r="H6479" s="83">
        <f t="shared" si="148"/>
        <v>0</v>
      </c>
    </row>
    <row r="6480" spans="8:8" hidden="1" x14ac:dyDescent="0.35">
      <c r="H6480" s="83">
        <f t="shared" si="148"/>
        <v>0</v>
      </c>
    </row>
    <row r="6481" spans="8:8" hidden="1" x14ac:dyDescent="0.35">
      <c r="H6481" s="83">
        <f t="shared" si="148"/>
        <v>0</v>
      </c>
    </row>
    <row r="6482" spans="8:8" hidden="1" x14ac:dyDescent="0.35">
      <c r="H6482" s="83">
        <f t="shared" si="148"/>
        <v>0</v>
      </c>
    </row>
    <row r="6483" spans="8:8" hidden="1" x14ac:dyDescent="0.35">
      <c r="H6483" s="83">
        <f t="shared" si="148"/>
        <v>0</v>
      </c>
    </row>
    <row r="6484" spans="8:8" hidden="1" x14ac:dyDescent="0.35">
      <c r="H6484" s="83">
        <f t="shared" si="148"/>
        <v>0</v>
      </c>
    </row>
    <row r="6485" spans="8:8" hidden="1" x14ac:dyDescent="0.35">
      <c r="H6485" s="83">
        <f t="shared" si="148"/>
        <v>0</v>
      </c>
    </row>
    <row r="6486" spans="8:8" hidden="1" x14ac:dyDescent="0.35">
      <c r="H6486" s="83">
        <f t="shared" si="148"/>
        <v>0</v>
      </c>
    </row>
    <row r="6487" spans="8:8" hidden="1" x14ac:dyDescent="0.35">
      <c r="H6487" s="83">
        <f t="shared" si="148"/>
        <v>0</v>
      </c>
    </row>
    <row r="6488" spans="8:8" hidden="1" x14ac:dyDescent="0.35">
      <c r="H6488" s="83">
        <f t="shared" si="148"/>
        <v>0</v>
      </c>
    </row>
    <row r="6489" spans="8:8" hidden="1" x14ac:dyDescent="0.35">
      <c r="H6489" s="83">
        <f t="shared" si="148"/>
        <v>0</v>
      </c>
    </row>
    <row r="6490" spans="8:8" hidden="1" x14ac:dyDescent="0.35">
      <c r="H6490" s="83">
        <f t="shared" si="148"/>
        <v>0</v>
      </c>
    </row>
    <row r="6491" spans="8:8" hidden="1" x14ac:dyDescent="0.35">
      <c r="H6491" s="83">
        <f t="shared" si="148"/>
        <v>0</v>
      </c>
    </row>
    <row r="6492" spans="8:8" hidden="1" x14ac:dyDescent="0.35">
      <c r="H6492" s="83">
        <f t="shared" si="148"/>
        <v>0</v>
      </c>
    </row>
    <row r="6493" spans="8:8" hidden="1" x14ac:dyDescent="0.35">
      <c r="H6493" s="83">
        <f t="shared" si="148"/>
        <v>0</v>
      </c>
    </row>
    <row r="6494" spans="8:8" hidden="1" x14ac:dyDescent="0.35">
      <c r="H6494" s="83">
        <f t="shared" si="148"/>
        <v>0</v>
      </c>
    </row>
    <row r="6495" spans="8:8" hidden="1" x14ac:dyDescent="0.35">
      <c r="H6495" s="83">
        <f t="shared" si="148"/>
        <v>0</v>
      </c>
    </row>
    <row r="6496" spans="8:8" hidden="1" x14ac:dyDescent="0.35">
      <c r="H6496" s="83">
        <f t="shared" si="148"/>
        <v>0</v>
      </c>
    </row>
    <row r="6497" spans="8:8" hidden="1" x14ac:dyDescent="0.35">
      <c r="H6497" s="83">
        <f t="shared" si="148"/>
        <v>0</v>
      </c>
    </row>
    <row r="6498" spans="8:8" hidden="1" x14ac:dyDescent="0.35">
      <c r="H6498" s="83">
        <f t="shared" si="148"/>
        <v>0</v>
      </c>
    </row>
    <row r="6499" spans="8:8" hidden="1" x14ac:dyDescent="0.35">
      <c r="H6499" s="83">
        <f t="shared" si="148"/>
        <v>0</v>
      </c>
    </row>
    <row r="6500" spans="8:8" hidden="1" x14ac:dyDescent="0.35">
      <c r="H6500" s="83">
        <f t="shared" si="148"/>
        <v>0</v>
      </c>
    </row>
    <row r="6501" spans="8:8" hidden="1" x14ac:dyDescent="0.35">
      <c r="H6501" s="83">
        <f t="shared" si="148"/>
        <v>0</v>
      </c>
    </row>
    <row r="6502" spans="8:8" hidden="1" x14ac:dyDescent="0.35">
      <c r="H6502" s="83">
        <f t="shared" si="148"/>
        <v>0</v>
      </c>
    </row>
    <row r="6503" spans="8:8" hidden="1" x14ac:dyDescent="0.35">
      <c r="H6503" s="83">
        <f t="shared" si="148"/>
        <v>0</v>
      </c>
    </row>
    <row r="6504" spans="8:8" hidden="1" x14ac:dyDescent="0.35">
      <c r="H6504" s="83">
        <f t="shared" si="148"/>
        <v>0</v>
      </c>
    </row>
    <row r="6505" spans="8:8" hidden="1" x14ac:dyDescent="0.35">
      <c r="H6505" s="83">
        <f t="shared" si="148"/>
        <v>0</v>
      </c>
    </row>
    <row r="6506" spans="8:8" hidden="1" x14ac:dyDescent="0.35">
      <c r="H6506" s="83">
        <f t="shared" si="148"/>
        <v>0</v>
      </c>
    </row>
    <row r="6507" spans="8:8" hidden="1" x14ac:dyDescent="0.35">
      <c r="H6507" s="83">
        <f t="shared" si="148"/>
        <v>0</v>
      </c>
    </row>
    <row r="6508" spans="8:8" hidden="1" x14ac:dyDescent="0.35">
      <c r="H6508" s="83">
        <f t="shared" si="148"/>
        <v>0</v>
      </c>
    </row>
    <row r="6509" spans="8:8" hidden="1" x14ac:dyDescent="0.35">
      <c r="H6509" s="83">
        <f t="shared" si="148"/>
        <v>0</v>
      </c>
    </row>
    <row r="6510" spans="8:8" hidden="1" x14ac:dyDescent="0.35">
      <c r="H6510" s="83">
        <f t="shared" si="148"/>
        <v>0</v>
      </c>
    </row>
    <row r="6511" spans="8:8" hidden="1" x14ac:dyDescent="0.35">
      <c r="H6511" s="83">
        <f t="shared" si="148"/>
        <v>0</v>
      </c>
    </row>
    <row r="6512" spans="8:8" hidden="1" x14ac:dyDescent="0.35">
      <c r="H6512" s="83">
        <f t="shared" si="148"/>
        <v>0</v>
      </c>
    </row>
    <row r="6513" spans="8:8" hidden="1" x14ac:dyDescent="0.35">
      <c r="H6513" s="83">
        <f t="shared" si="148"/>
        <v>0</v>
      </c>
    </row>
    <row r="6514" spans="8:8" hidden="1" x14ac:dyDescent="0.35">
      <c r="H6514" s="83">
        <f t="shared" si="148"/>
        <v>0</v>
      </c>
    </row>
    <row r="6515" spans="8:8" hidden="1" x14ac:dyDescent="0.35">
      <c r="H6515" s="83">
        <f t="shared" si="148"/>
        <v>0</v>
      </c>
    </row>
    <row r="6516" spans="8:8" hidden="1" x14ac:dyDescent="0.35">
      <c r="H6516" s="83">
        <f t="shared" si="148"/>
        <v>0</v>
      </c>
    </row>
    <row r="6517" spans="8:8" hidden="1" x14ac:dyDescent="0.35">
      <c r="H6517" s="83">
        <f t="shared" si="148"/>
        <v>0</v>
      </c>
    </row>
    <row r="6518" spans="8:8" hidden="1" x14ac:dyDescent="0.35">
      <c r="H6518" s="83">
        <f t="shared" si="148"/>
        <v>0</v>
      </c>
    </row>
    <row r="6519" spans="8:8" hidden="1" x14ac:dyDescent="0.35">
      <c r="H6519" s="83">
        <f t="shared" si="148"/>
        <v>0</v>
      </c>
    </row>
    <row r="6520" spans="8:8" hidden="1" x14ac:dyDescent="0.35">
      <c r="H6520" s="83">
        <f t="shared" si="148"/>
        <v>0</v>
      </c>
    </row>
    <row r="6521" spans="8:8" hidden="1" x14ac:dyDescent="0.35">
      <c r="H6521" s="83">
        <f t="shared" si="148"/>
        <v>0</v>
      </c>
    </row>
    <row r="6522" spans="8:8" hidden="1" x14ac:dyDescent="0.35">
      <c r="H6522" s="83">
        <f t="shared" si="148"/>
        <v>0</v>
      </c>
    </row>
    <row r="6523" spans="8:8" hidden="1" x14ac:dyDescent="0.35">
      <c r="H6523" s="83">
        <f t="shared" si="148"/>
        <v>0</v>
      </c>
    </row>
    <row r="6524" spans="8:8" hidden="1" x14ac:dyDescent="0.35">
      <c r="H6524" s="83">
        <f t="shared" si="148"/>
        <v>0</v>
      </c>
    </row>
    <row r="6525" spans="8:8" hidden="1" x14ac:dyDescent="0.35">
      <c r="H6525" s="83">
        <f t="shared" si="148"/>
        <v>0</v>
      </c>
    </row>
    <row r="6526" spans="8:8" hidden="1" x14ac:dyDescent="0.35">
      <c r="H6526" s="83">
        <f t="shared" si="148"/>
        <v>0</v>
      </c>
    </row>
    <row r="6527" spans="8:8" hidden="1" x14ac:dyDescent="0.35">
      <c r="H6527" s="83">
        <f t="shared" si="148"/>
        <v>0</v>
      </c>
    </row>
    <row r="6528" spans="8:8" hidden="1" x14ac:dyDescent="0.35">
      <c r="H6528" s="83">
        <f t="shared" si="148"/>
        <v>0</v>
      </c>
    </row>
    <row r="6529" spans="8:8" hidden="1" x14ac:dyDescent="0.35">
      <c r="H6529" s="83">
        <f t="shared" si="148"/>
        <v>0</v>
      </c>
    </row>
    <row r="6530" spans="8:8" hidden="1" x14ac:dyDescent="0.35">
      <c r="H6530" s="83">
        <f t="shared" si="148"/>
        <v>0</v>
      </c>
    </row>
    <row r="6531" spans="8:8" hidden="1" x14ac:dyDescent="0.35">
      <c r="H6531" s="83">
        <f t="shared" si="148"/>
        <v>0</v>
      </c>
    </row>
    <row r="6532" spans="8:8" hidden="1" x14ac:dyDescent="0.35">
      <c r="H6532" s="83">
        <f t="shared" ref="H6532:H6595" si="149">J6532-I6532</f>
        <v>0</v>
      </c>
    </row>
    <row r="6533" spans="8:8" hidden="1" x14ac:dyDescent="0.35">
      <c r="H6533" s="83">
        <f t="shared" si="149"/>
        <v>0</v>
      </c>
    </row>
    <row r="6534" spans="8:8" hidden="1" x14ac:dyDescent="0.35">
      <c r="H6534" s="83">
        <f t="shared" si="149"/>
        <v>0</v>
      </c>
    </row>
    <row r="6535" spans="8:8" hidden="1" x14ac:dyDescent="0.35">
      <c r="H6535" s="83">
        <f t="shared" si="149"/>
        <v>0</v>
      </c>
    </row>
    <row r="6536" spans="8:8" hidden="1" x14ac:dyDescent="0.35">
      <c r="H6536" s="83">
        <f t="shared" si="149"/>
        <v>0</v>
      </c>
    </row>
    <row r="6537" spans="8:8" hidden="1" x14ac:dyDescent="0.35">
      <c r="H6537" s="83">
        <f t="shared" si="149"/>
        <v>0</v>
      </c>
    </row>
    <row r="6538" spans="8:8" hidden="1" x14ac:dyDescent="0.35">
      <c r="H6538" s="83">
        <f t="shared" si="149"/>
        <v>0</v>
      </c>
    </row>
    <row r="6539" spans="8:8" hidden="1" x14ac:dyDescent="0.35">
      <c r="H6539" s="83">
        <f t="shared" si="149"/>
        <v>0</v>
      </c>
    </row>
    <row r="6540" spans="8:8" hidden="1" x14ac:dyDescent="0.35">
      <c r="H6540" s="83">
        <f t="shared" si="149"/>
        <v>0</v>
      </c>
    </row>
    <row r="6541" spans="8:8" hidden="1" x14ac:dyDescent="0.35">
      <c r="H6541" s="83">
        <f t="shared" si="149"/>
        <v>0</v>
      </c>
    </row>
    <row r="6542" spans="8:8" hidden="1" x14ac:dyDescent="0.35">
      <c r="H6542" s="83">
        <f t="shared" si="149"/>
        <v>0</v>
      </c>
    </row>
    <row r="6543" spans="8:8" hidden="1" x14ac:dyDescent="0.35">
      <c r="H6543" s="83">
        <f t="shared" si="149"/>
        <v>0</v>
      </c>
    </row>
    <row r="6544" spans="8:8" hidden="1" x14ac:dyDescent="0.35">
      <c r="H6544" s="83">
        <f t="shared" si="149"/>
        <v>0</v>
      </c>
    </row>
    <row r="6545" spans="8:8" hidden="1" x14ac:dyDescent="0.35">
      <c r="H6545" s="83">
        <f t="shared" si="149"/>
        <v>0</v>
      </c>
    </row>
    <row r="6546" spans="8:8" hidden="1" x14ac:dyDescent="0.35">
      <c r="H6546" s="83">
        <f t="shared" si="149"/>
        <v>0</v>
      </c>
    </row>
    <row r="6547" spans="8:8" hidden="1" x14ac:dyDescent="0.35">
      <c r="H6547" s="83">
        <f t="shared" si="149"/>
        <v>0</v>
      </c>
    </row>
    <row r="6548" spans="8:8" hidden="1" x14ac:dyDescent="0.35">
      <c r="H6548" s="83">
        <f t="shared" si="149"/>
        <v>0</v>
      </c>
    </row>
    <row r="6549" spans="8:8" hidden="1" x14ac:dyDescent="0.35">
      <c r="H6549" s="83">
        <f t="shared" si="149"/>
        <v>0</v>
      </c>
    </row>
    <row r="6550" spans="8:8" hidden="1" x14ac:dyDescent="0.35">
      <c r="H6550" s="83">
        <f t="shared" si="149"/>
        <v>0</v>
      </c>
    </row>
    <row r="6551" spans="8:8" hidden="1" x14ac:dyDescent="0.35">
      <c r="H6551" s="83">
        <f t="shared" si="149"/>
        <v>0</v>
      </c>
    </row>
    <row r="6552" spans="8:8" hidden="1" x14ac:dyDescent="0.35">
      <c r="H6552" s="83">
        <f t="shared" si="149"/>
        <v>0</v>
      </c>
    </row>
    <row r="6553" spans="8:8" hidden="1" x14ac:dyDescent="0.35">
      <c r="H6553" s="83">
        <f t="shared" si="149"/>
        <v>0</v>
      </c>
    </row>
    <row r="6554" spans="8:8" hidden="1" x14ac:dyDescent="0.35">
      <c r="H6554" s="83">
        <f t="shared" si="149"/>
        <v>0</v>
      </c>
    </row>
    <row r="6555" spans="8:8" hidden="1" x14ac:dyDescent="0.35">
      <c r="H6555" s="83">
        <f t="shared" si="149"/>
        <v>0</v>
      </c>
    </row>
    <row r="6556" spans="8:8" hidden="1" x14ac:dyDescent="0.35">
      <c r="H6556" s="83">
        <f t="shared" si="149"/>
        <v>0</v>
      </c>
    </row>
    <row r="6557" spans="8:8" hidden="1" x14ac:dyDescent="0.35">
      <c r="H6557" s="83">
        <f t="shared" si="149"/>
        <v>0</v>
      </c>
    </row>
    <row r="6558" spans="8:8" hidden="1" x14ac:dyDescent="0.35">
      <c r="H6558" s="83">
        <f t="shared" si="149"/>
        <v>0</v>
      </c>
    </row>
    <row r="6559" spans="8:8" hidden="1" x14ac:dyDescent="0.35">
      <c r="H6559" s="83">
        <f t="shared" si="149"/>
        <v>0</v>
      </c>
    </row>
    <row r="6560" spans="8:8" hidden="1" x14ac:dyDescent="0.35">
      <c r="H6560" s="83">
        <f t="shared" si="149"/>
        <v>0</v>
      </c>
    </row>
    <row r="6561" spans="8:8" hidden="1" x14ac:dyDescent="0.35">
      <c r="H6561" s="83">
        <f t="shared" si="149"/>
        <v>0</v>
      </c>
    </row>
    <row r="6562" spans="8:8" hidden="1" x14ac:dyDescent="0.35">
      <c r="H6562" s="83">
        <f t="shared" si="149"/>
        <v>0</v>
      </c>
    </row>
    <row r="6563" spans="8:8" hidden="1" x14ac:dyDescent="0.35">
      <c r="H6563" s="83">
        <f t="shared" si="149"/>
        <v>0</v>
      </c>
    </row>
    <row r="6564" spans="8:8" hidden="1" x14ac:dyDescent="0.35">
      <c r="H6564" s="83">
        <f t="shared" si="149"/>
        <v>0</v>
      </c>
    </row>
    <row r="6565" spans="8:8" hidden="1" x14ac:dyDescent="0.35">
      <c r="H6565" s="83">
        <f t="shared" si="149"/>
        <v>0</v>
      </c>
    </row>
    <row r="6566" spans="8:8" hidden="1" x14ac:dyDescent="0.35">
      <c r="H6566" s="83">
        <f t="shared" si="149"/>
        <v>0</v>
      </c>
    </row>
    <row r="6567" spans="8:8" hidden="1" x14ac:dyDescent="0.35">
      <c r="H6567" s="83">
        <f t="shared" si="149"/>
        <v>0</v>
      </c>
    </row>
    <row r="6568" spans="8:8" hidden="1" x14ac:dyDescent="0.35">
      <c r="H6568" s="83">
        <f t="shared" si="149"/>
        <v>0</v>
      </c>
    </row>
    <row r="6569" spans="8:8" hidden="1" x14ac:dyDescent="0.35">
      <c r="H6569" s="83">
        <f t="shared" si="149"/>
        <v>0</v>
      </c>
    </row>
    <row r="6570" spans="8:8" hidden="1" x14ac:dyDescent="0.35">
      <c r="H6570" s="83">
        <f t="shared" si="149"/>
        <v>0</v>
      </c>
    </row>
    <row r="6571" spans="8:8" hidden="1" x14ac:dyDescent="0.35">
      <c r="H6571" s="83">
        <f t="shared" si="149"/>
        <v>0</v>
      </c>
    </row>
    <row r="6572" spans="8:8" hidden="1" x14ac:dyDescent="0.35">
      <c r="H6572" s="83">
        <f t="shared" si="149"/>
        <v>0</v>
      </c>
    </row>
    <row r="6573" spans="8:8" hidden="1" x14ac:dyDescent="0.35">
      <c r="H6573" s="83">
        <f t="shared" si="149"/>
        <v>0</v>
      </c>
    </row>
    <row r="6574" spans="8:8" hidden="1" x14ac:dyDescent="0.35">
      <c r="H6574" s="83">
        <f t="shared" si="149"/>
        <v>0</v>
      </c>
    </row>
    <row r="6575" spans="8:8" hidden="1" x14ac:dyDescent="0.35">
      <c r="H6575" s="83">
        <f t="shared" si="149"/>
        <v>0</v>
      </c>
    </row>
    <row r="6576" spans="8:8" hidden="1" x14ac:dyDescent="0.35">
      <c r="H6576" s="83">
        <f t="shared" si="149"/>
        <v>0</v>
      </c>
    </row>
    <row r="6577" spans="8:8" hidden="1" x14ac:dyDescent="0.35">
      <c r="H6577" s="83">
        <f t="shared" si="149"/>
        <v>0</v>
      </c>
    </row>
    <row r="6578" spans="8:8" hidden="1" x14ac:dyDescent="0.35">
      <c r="H6578" s="83">
        <f t="shared" si="149"/>
        <v>0</v>
      </c>
    </row>
    <row r="6579" spans="8:8" hidden="1" x14ac:dyDescent="0.35">
      <c r="H6579" s="83">
        <f t="shared" si="149"/>
        <v>0</v>
      </c>
    </row>
    <row r="6580" spans="8:8" hidden="1" x14ac:dyDescent="0.35">
      <c r="H6580" s="83">
        <f t="shared" si="149"/>
        <v>0</v>
      </c>
    </row>
    <row r="6581" spans="8:8" hidden="1" x14ac:dyDescent="0.35">
      <c r="H6581" s="83">
        <f t="shared" si="149"/>
        <v>0</v>
      </c>
    </row>
    <row r="6582" spans="8:8" hidden="1" x14ac:dyDescent="0.35">
      <c r="H6582" s="83">
        <f t="shared" si="149"/>
        <v>0</v>
      </c>
    </row>
    <row r="6583" spans="8:8" hidden="1" x14ac:dyDescent="0.35">
      <c r="H6583" s="83">
        <f t="shared" si="149"/>
        <v>0</v>
      </c>
    </row>
    <row r="6584" spans="8:8" hidden="1" x14ac:dyDescent="0.35">
      <c r="H6584" s="83">
        <f t="shared" si="149"/>
        <v>0</v>
      </c>
    </row>
    <row r="6585" spans="8:8" hidden="1" x14ac:dyDescent="0.35">
      <c r="H6585" s="83">
        <f t="shared" si="149"/>
        <v>0</v>
      </c>
    </row>
    <row r="6586" spans="8:8" hidden="1" x14ac:dyDescent="0.35">
      <c r="H6586" s="83">
        <f t="shared" si="149"/>
        <v>0</v>
      </c>
    </row>
    <row r="6587" spans="8:8" hidden="1" x14ac:dyDescent="0.35">
      <c r="H6587" s="83">
        <f t="shared" si="149"/>
        <v>0</v>
      </c>
    </row>
    <row r="6588" spans="8:8" hidden="1" x14ac:dyDescent="0.35">
      <c r="H6588" s="83">
        <f t="shared" si="149"/>
        <v>0</v>
      </c>
    </row>
    <row r="6589" spans="8:8" hidden="1" x14ac:dyDescent="0.35">
      <c r="H6589" s="83">
        <f t="shared" si="149"/>
        <v>0</v>
      </c>
    </row>
    <row r="6590" spans="8:8" hidden="1" x14ac:dyDescent="0.35">
      <c r="H6590" s="83">
        <f t="shared" si="149"/>
        <v>0</v>
      </c>
    </row>
    <row r="6591" spans="8:8" hidden="1" x14ac:dyDescent="0.35">
      <c r="H6591" s="83">
        <f t="shared" si="149"/>
        <v>0</v>
      </c>
    </row>
    <row r="6592" spans="8:8" hidden="1" x14ac:dyDescent="0.35">
      <c r="H6592" s="83">
        <f t="shared" si="149"/>
        <v>0</v>
      </c>
    </row>
    <row r="6593" spans="8:8" hidden="1" x14ac:dyDescent="0.35">
      <c r="H6593" s="83">
        <f t="shared" si="149"/>
        <v>0</v>
      </c>
    </row>
    <row r="6594" spans="8:8" hidden="1" x14ac:dyDescent="0.35">
      <c r="H6594" s="83">
        <f t="shared" si="149"/>
        <v>0</v>
      </c>
    </row>
    <row r="6595" spans="8:8" hidden="1" x14ac:dyDescent="0.35">
      <c r="H6595" s="83">
        <f t="shared" si="149"/>
        <v>0</v>
      </c>
    </row>
    <row r="6596" spans="8:8" hidden="1" x14ac:dyDescent="0.35">
      <c r="H6596" s="83">
        <f t="shared" ref="H6596:H6659" si="150">J6596-I6596</f>
        <v>0</v>
      </c>
    </row>
    <row r="6597" spans="8:8" hidden="1" x14ac:dyDescent="0.35">
      <c r="H6597" s="83">
        <f t="shared" si="150"/>
        <v>0</v>
      </c>
    </row>
    <row r="6598" spans="8:8" hidden="1" x14ac:dyDescent="0.35">
      <c r="H6598" s="83">
        <f t="shared" si="150"/>
        <v>0</v>
      </c>
    </row>
    <row r="6599" spans="8:8" hidden="1" x14ac:dyDescent="0.35">
      <c r="H6599" s="83">
        <f t="shared" si="150"/>
        <v>0</v>
      </c>
    </row>
    <row r="6600" spans="8:8" hidden="1" x14ac:dyDescent="0.35">
      <c r="H6600" s="83">
        <f t="shared" si="150"/>
        <v>0</v>
      </c>
    </row>
    <row r="6601" spans="8:8" hidden="1" x14ac:dyDescent="0.35">
      <c r="H6601" s="83">
        <f t="shared" si="150"/>
        <v>0</v>
      </c>
    </row>
    <row r="6602" spans="8:8" hidden="1" x14ac:dyDescent="0.35">
      <c r="H6602" s="83">
        <f t="shared" si="150"/>
        <v>0</v>
      </c>
    </row>
    <row r="6603" spans="8:8" hidden="1" x14ac:dyDescent="0.35">
      <c r="H6603" s="83">
        <f t="shared" si="150"/>
        <v>0</v>
      </c>
    </row>
    <row r="6604" spans="8:8" hidden="1" x14ac:dyDescent="0.35">
      <c r="H6604" s="83">
        <f t="shared" si="150"/>
        <v>0</v>
      </c>
    </row>
    <row r="6605" spans="8:8" hidden="1" x14ac:dyDescent="0.35">
      <c r="H6605" s="83">
        <f t="shared" si="150"/>
        <v>0</v>
      </c>
    </row>
    <row r="6606" spans="8:8" hidden="1" x14ac:dyDescent="0.35">
      <c r="H6606" s="83">
        <f t="shared" si="150"/>
        <v>0</v>
      </c>
    </row>
    <row r="6607" spans="8:8" hidden="1" x14ac:dyDescent="0.35">
      <c r="H6607" s="83">
        <f t="shared" si="150"/>
        <v>0</v>
      </c>
    </row>
    <row r="6608" spans="8:8" hidden="1" x14ac:dyDescent="0.35">
      <c r="H6608" s="83">
        <f t="shared" si="150"/>
        <v>0</v>
      </c>
    </row>
    <row r="6609" spans="8:8" hidden="1" x14ac:dyDescent="0.35">
      <c r="H6609" s="83">
        <f t="shared" si="150"/>
        <v>0</v>
      </c>
    </row>
    <row r="6610" spans="8:8" hidden="1" x14ac:dyDescent="0.35">
      <c r="H6610" s="83">
        <f t="shared" si="150"/>
        <v>0</v>
      </c>
    </row>
    <row r="6611" spans="8:8" hidden="1" x14ac:dyDescent="0.35">
      <c r="H6611" s="83">
        <f t="shared" si="150"/>
        <v>0</v>
      </c>
    </row>
    <row r="6612" spans="8:8" hidden="1" x14ac:dyDescent="0.35">
      <c r="H6612" s="83">
        <f t="shared" si="150"/>
        <v>0</v>
      </c>
    </row>
    <row r="6613" spans="8:8" hidden="1" x14ac:dyDescent="0.35">
      <c r="H6613" s="83">
        <f t="shared" si="150"/>
        <v>0</v>
      </c>
    </row>
    <row r="6614" spans="8:8" hidden="1" x14ac:dyDescent="0.35">
      <c r="H6614" s="83">
        <f t="shared" si="150"/>
        <v>0</v>
      </c>
    </row>
    <row r="6615" spans="8:8" hidden="1" x14ac:dyDescent="0.35">
      <c r="H6615" s="83">
        <f t="shared" si="150"/>
        <v>0</v>
      </c>
    </row>
    <row r="6616" spans="8:8" hidden="1" x14ac:dyDescent="0.35">
      <c r="H6616" s="83">
        <f t="shared" si="150"/>
        <v>0</v>
      </c>
    </row>
    <row r="6617" spans="8:8" hidden="1" x14ac:dyDescent="0.35">
      <c r="H6617" s="83">
        <f t="shared" si="150"/>
        <v>0</v>
      </c>
    </row>
    <row r="6618" spans="8:8" hidden="1" x14ac:dyDescent="0.35">
      <c r="H6618" s="83">
        <f t="shared" si="150"/>
        <v>0</v>
      </c>
    </row>
    <row r="6619" spans="8:8" hidden="1" x14ac:dyDescent="0.35">
      <c r="H6619" s="83">
        <f t="shared" si="150"/>
        <v>0</v>
      </c>
    </row>
    <row r="6620" spans="8:8" hidden="1" x14ac:dyDescent="0.35">
      <c r="H6620" s="83">
        <f t="shared" si="150"/>
        <v>0</v>
      </c>
    </row>
    <row r="6621" spans="8:8" hidden="1" x14ac:dyDescent="0.35">
      <c r="H6621" s="83">
        <f t="shared" si="150"/>
        <v>0</v>
      </c>
    </row>
    <row r="6622" spans="8:8" hidden="1" x14ac:dyDescent="0.35">
      <c r="H6622" s="83">
        <f t="shared" si="150"/>
        <v>0</v>
      </c>
    </row>
    <row r="6623" spans="8:8" hidden="1" x14ac:dyDescent="0.35">
      <c r="H6623" s="83">
        <f t="shared" si="150"/>
        <v>0</v>
      </c>
    </row>
    <row r="6624" spans="8:8" hidden="1" x14ac:dyDescent="0.35">
      <c r="H6624" s="83">
        <f t="shared" si="150"/>
        <v>0</v>
      </c>
    </row>
    <row r="6625" spans="8:8" hidden="1" x14ac:dyDescent="0.35">
      <c r="H6625" s="83">
        <f t="shared" si="150"/>
        <v>0</v>
      </c>
    </row>
    <row r="6626" spans="8:8" hidden="1" x14ac:dyDescent="0.35">
      <c r="H6626" s="83">
        <f t="shared" si="150"/>
        <v>0</v>
      </c>
    </row>
    <row r="6627" spans="8:8" hidden="1" x14ac:dyDescent="0.35">
      <c r="H6627" s="83">
        <f t="shared" si="150"/>
        <v>0</v>
      </c>
    </row>
    <row r="6628" spans="8:8" hidden="1" x14ac:dyDescent="0.35">
      <c r="H6628" s="83">
        <f t="shared" si="150"/>
        <v>0</v>
      </c>
    </row>
    <row r="6629" spans="8:8" hidden="1" x14ac:dyDescent="0.35">
      <c r="H6629" s="83">
        <f t="shared" si="150"/>
        <v>0</v>
      </c>
    </row>
    <row r="6630" spans="8:8" hidden="1" x14ac:dyDescent="0.35">
      <c r="H6630" s="83">
        <f t="shared" si="150"/>
        <v>0</v>
      </c>
    </row>
    <row r="6631" spans="8:8" hidden="1" x14ac:dyDescent="0.35">
      <c r="H6631" s="83">
        <f t="shared" si="150"/>
        <v>0</v>
      </c>
    </row>
    <row r="6632" spans="8:8" hidden="1" x14ac:dyDescent="0.35">
      <c r="H6632" s="83">
        <f t="shared" si="150"/>
        <v>0</v>
      </c>
    </row>
    <row r="6633" spans="8:8" hidden="1" x14ac:dyDescent="0.35">
      <c r="H6633" s="83">
        <f t="shared" si="150"/>
        <v>0</v>
      </c>
    </row>
    <row r="6634" spans="8:8" hidden="1" x14ac:dyDescent="0.35">
      <c r="H6634" s="83">
        <f t="shared" si="150"/>
        <v>0</v>
      </c>
    </row>
    <row r="6635" spans="8:8" hidden="1" x14ac:dyDescent="0.35">
      <c r="H6635" s="83">
        <f t="shared" si="150"/>
        <v>0</v>
      </c>
    </row>
    <row r="6636" spans="8:8" hidden="1" x14ac:dyDescent="0.35">
      <c r="H6636" s="83">
        <f t="shared" si="150"/>
        <v>0</v>
      </c>
    </row>
    <row r="6637" spans="8:8" hidden="1" x14ac:dyDescent="0.35">
      <c r="H6637" s="83">
        <f t="shared" si="150"/>
        <v>0</v>
      </c>
    </row>
    <row r="6638" spans="8:8" hidden="1" x14ac:dyDescent="0.35">
      <c r="H6638" s="83">
        <f t="shared" si="150"/>
        <v>0</v>
      </c>
    </row>
    <row r="6639" spans="8:8" hidden="1" x14ac:dyDescent="0.35">
      <c r="H6639" s="83">
        <f t="shared" si="150"/>
        <v>0</v>
      </c>
    </row>
    <row r="6640" spans="8:8" hidden="1" x14ac:dyDescent="0.35">
      <c r="H6640" s="83">
        <f t="shared" si="150"/>
        <v>0</v>
      </c>
    </row>
    <row r="6641" spans="8:8" hidden="1" x14ac:dyDescent="0.35">
      <c r="H6641" s="83">
        <f t="shared" si="150"/>
        <v>0</v>
      </c>
    </row>
    <row r="6642" spans="8:8" hidden="1" x14ac:dyDescent="0.35">
      <c r="H6642" s="83">
        <f t="shared" si="150"/>
        <v>0</v>
      </c>
    </row>
    <row r="6643" spans="8:8" hidden="1" x14ac:dyDescent="0.35">
      <c r="H6643" s="83">
        <f t="shared" si="150"/>
        <v>0</v>
      </c>
    </row>
    <row r="6644" spans="8:8" hidden="1" x14ac:dyDescent="0.35">
      <c r="H6644" s="83">
        <f t="shared" si="150"/>
        <v>0</v>
      </c>
    </row>
    <row r="6645" spans="8:8" hidden="1" x14ac:dyDescent="0.35">
      <c r="H6645" s="83">
        <f t="shared" si="150"/>
        <v>0</v>
      </c>
    </row>
    <row r="6646" spans="8:8" hidden="1" x14ac:dyDescent="0.35">
      <c r="H6646" s="83">
        <f t="shared" si="150"/>
        <v>0</v>
      </c>
    </row>
    <row r="6647" spans="8:8" hidden="1" x14ac:dyDescent="0.35">
      <c r="H6647" s="83">
        <f t="shared" si="150"/>
        <v>0</v>
      </c>
    </row>
    <row r="6648" spans="8:8" hidden="1" x14ac:dyDescent="0.35">
      <c r="H6648" s="83">
        <f t="shared" si="150"/>
        <v>0</v>
      </c>
    </row>
    <row r="6649" spans="8:8" hidden="1" x14ac:dyDescent="0.35">
      <c r="H6649" s="83">
        <f t="shared" si="150"/>
        <v>0</v>
      </c>
    </row>
    <row r="6650" spans="8:8" hidden="1" x14ac:dyDescent="0.35">
      <c r="H6650" s="83">
        <f t="shared" si="150"/>
        <v>0</v>
      </c>
    </row>
    <row r="6651" spans="8:8" hidden="1" x14ac:dyDescent="0.35">
      <c r="H6651" s="83">
        <f t="shared" si="150"/>
        <v>0</v>
      </c>
    </row>
    <row r="6652" spans="8:8" hidden="1" x14ac:dyDescent="0.35">
      <c r="H6652" s="83">
        <f t="shared" si="150"/>
        <v>0</v>
      </c>
    </row>
    <row r="6653" spans="8:8" hidden="1" x14ac:dyDescent="0.35">
      <c r="H6653" s="83">
        <f t="shared" si="150"/>
        <v>0</v>
      </c>
    </row>
    <row r="6654" spans="8:8" hidden="1" x14ac:dyDescent="0.35">
      <c r="H6654" s="83">
        <f t="shared" si="150"/>
        <v>0</v>
      </c>
    </row>
    <row r="6655" spans="8:8" hidden="1" x14ac:dyDescent="0.35">
      <c r="H6655" s="83">
        <f t="shared" si="150"/>
        <v>0</v>
      </c>
    </row>
    <row r="6656" spans="8:8" hidden="1" x14ac:dyDescent="0.35">
      <c r="H6656" s="83">
        <f t="shared" si="150"/>
        <v>0</v>
      </c>
    </row>
    <row r="6657" spans="8:8" hidden="1" x14ac:dyDescent="0.35">
      <c r="H6657" s="83">
        <f t="shared" si="150"/>
        <v>0</v>
      </c>
    </row>
    <row r="6658" spans="8:8" hidden="1" x14ac:dyDescent="0.35">
      <c r="H6658" s="83">
        <f t="shared" si="150"/>
        <v>0</v>
      </c>
    </row>
    <row r="6659" spans="8:8" hidden="1" x14ac:dyDescent="0.35">
      <c r="H6659" s="83">
        <f t="shared" si="150"/>
        <v>0</v>
      </c>
    </row>
    <row r="6660" spans="8:8" hidden="1" x14ac:dyDescent="0.35">
      <c r="H6660" s="83">
        <f t="shared" ref="H6660:H6723" si="151">J6660-I6660</f>
        <v>0</v>
      </c>
    </row>
    <row r="6661" spans="8:8" hidden="1" x14ac:dyDescent="0.35">
      <c r="H6661" s="83">
        <f t="shared" si="151"/>
        <v>0</v>
      </c>
    </row>
    <row r="6662" spans="8:8" hidden="1" x14ac:dyDescent="0.35">
      <c r="H6662" s="83">
        <f t="shared" si="151"/>
        <v>0</v>
      </c>
    </row>
    <row r="6663" spans="8:8" hidden="1" x14ac:dyDescent="0.35">
      <c r="H6663" s="83">
        <f t="shared" si="151"/>
        <v>0</v>
      </c>
    </row>
    <row r="6664" spans="8:8" hidden="1" x14ac:dyDescent="0.35">
      <c r="H6664" s="83">
        <f t="shared" si="151"/>
        <v>0</v>
      </c>
    </row>
    <row r="6665" spans="8:8" hidden="1" x14ac:dyDescent="0.35">
      <c r="H6665" s="83">
        <f t="shared" si="151"/>
        <v>0</v>
      </c>
    </row>
    <row r="6666" spans="8:8" hidden="1" x14ac:dyDescent="0.35">
      <c r="H6666" s="83">
        <f t="shared" si="151"/>
        <v>0</v>
      </c>
    </row>
    <row r="6667" spans="8:8" hidden="1" x14ac:dyDescent="0.35">
      <c r="H6667" s="83">
        <f t="shared" si="151"/>
        <v>0</v>
      </c>
    </row>
    <row r="6668" spans="8:8" hidden="1" x14ac:dyDescent="0.35">
      <c r="H6668" s="83">
        <f t="shared" si="151"/>
        <v>0</v>
      </c>
    </row>
    <row r="6669" spans="8:8" hidden="1" x14ac:dyDescent="0.35">
      <c r="H6669" s="83">
        <f t="shared" si="151"/>
        <v>0</v>
      </c>
    </row>
    <row r="6670" spans="8:8" hidden="1" x14ac:dyDescent="0.35">
      <c r="H6670" s="83">
        <f t="shared" si="151"/>
        <v>0</v>
      </c>
    </row>
    <row r="6671" spans="8:8" hidden="1" x14ac:dyDescent="0.35">
      <c r="H6671" s="83">
        <f t="shared" si="151"/>
        <v>0</v>
      </c>
    </row>
    <row r="6672" spans="8:8" hidden="1" x14ac:dyDescent="0.35">
      <c r="H6672" s="83">
        <f t="shared" si="151"/>
        <v>0</v>
      </c>
    </row>
    <row r="6673" spans="8:8" hidden="1" x14ac:dyDescent="0.35">
      <c r="H6673" s="83">
        <f t="shared" si="151"/>
        <v>0</v>
      </c>
    </row>
    <row r="6674" spans="8:8" hidden="1" x14ac:dyDescent="0.35">
      <c r="H6674" s="83">
        <f t="shared" si="151"/>
        <v>0</v>
      </c>
    </row>
    <row r="6675" spans="8:8" hidden="1" x14ac:dyDescent="0.35">
      <c r="H6675" s="83">
        <f t="shared" si="151"/>
        <v>0</v>
      </c>
    </row>
    <row r="6676" spans="8:8" hidden="1" x14ac:dyDescent="0.35">
      <c r="H6676" s="83">
        <f t="shared" si="151"/>
        <v>0</v>
      </c>
    </row>
    <row r="6677" spans="8:8" hidden="1" x14ac:dyDescent="0.35">
      <c r="H6677" s="83">
        <f t="shared" si="151"/>
        <v>0</v>
      </c>
    </row>
    <row r="6678" spans="8:8" hidden="1" x14ac:dyDescent="0.35">
      <c r="H6678" s="83">
        <f t="shared" si="151"/>
        <v>0</v>
      </c>
    </row>
    <row r="6679" spans="8:8" hidden="1" x14ac:dyDescent="0.35">
      <c r="H6679" s="83">
        <f t="shared" si="151"/>
        <v>0</v>
      </c>
    </row>
    <row r="6680" spans="8:8" hidden="1" x14ac:dyDescent="0.35">
      <c r="H6680" s="83">
        <f t="shared" si="151"/>
        <v>0</v>
      </c>
    </row>
    <row r="6681" spans="8:8" hidden="1" x14ac:dyDescent="0.35">
      <c r="H6681" s="83">
        <f t="shared" si="151"/>
        <v>0</v>
      </c>
    </row>
    <row r="6682" spans="8:8" hidden="1" x14ac:dyDescent="0.35">
      <c r="H6682" s="83">
        <f t="shared" si="151"/>
        <v>0</v>
      </c>
    </row>
    <row r="6683" spans="8:8" hidden="1" x14ac:dyDescent="0.35">
      <c r="H6683" s="83">
        <f t="shared" si="151"/>
        <v>0</v>
      </c>
    </row>
    <row r="6684" spans="8:8" hidden="1" x14ac:dyDescent="0.35">
      <c r="H6684" s="83">
        <f t="shared" si="151"/>
        <v>0</v>
      </c>
    </row>
    <row r="6685" spans="8:8" hidden="1" x14ac:dyDescent="0.35">
      <c r="H6685" s="83">
        <f t="shared" si="151"/>
        <v>0</v>
      </c>
    </row>
    <row r="6686" spans="8:8" hidden="1" x14ac:dyDescent="0.35">
      <c r="H6686" s="83">
        <f t="shared" si="151"/>
        <v>0</v>
      </c>
    </row>
    <row r="6687" spans="8:8" hidden="1" x14ac:dyDescent="0.35">
      <c r="H6687" s="83">
        <f t="shared" si="151"/>
        <v>0</v>
      </c>
    </row>
    <row r="6688" spans="8:8" hidden="1" x14ac:dyDescent="0.35">
      <c r="H6688" s="83">
        <f t="shared" si="151"/>
        <v>0</v>
      </c>
    </row>
    <row r="6689" spans="8:8" hidden="1" x14ac:dyDescent="0.35">
      <c r="H6689" s="83">
        <f t="shared" si="151"/>
        <v>0</v>
      </c>
    </row>
    <row r="6690" spans="8:8" hidden="1" x14ac:dyDescent="0.35">
      <c r="H6690" s="83">
        <f t="shared" si="151"/>
        <v>0</v>
      </c>
    </row>
    <row r="6691" spans="8:8" hidden="1" x14ac:dyDescent="0.35">
      <c r="H6691" s="83">
        <f t="shared" si="151"/>
        <v>0</v>
      </c>
    </row>
    <row r="6692" spans="8:8" hidden="1" x14ac:dyDescent="0.35">
      <c r="H6692" s="83">
        <f t="shared" si="151"/>
        <v>0</v>
      </c>
    </row>
    <row r="6693" spans="8:8" hidden="1" x14ac:dyDescent="0.35">
      <c r="H6693" s="83">
        <f t="shared" si="151"/>
        <v>0</v>
      </c>
    </row>
    <row r="6694" spans="8:8" hidden="1" x14ac:dyDescent="0.35">
      <c r="H6694" s="83">
        <f t="shared" si="151"/>
        <v>0</v>
      </c>
    </row>
    <row r="6695" spans="8:8" hidden="1" x14ac:dyDescent="0.35">
      <c r="H6695" s="83">
        <f t="shared" si="151"/>
        <v>0</v>
      </c>
    </row>
    <row r="6696" spans="8:8" hidden="1" x14ac:dyDescent="0.35">
      <c r="H6696" s="83">
        <f t="shared" si="151"/>
        <v>0</v>
      </c>
    </row>
    <row r="6697" spans="8:8" hidden="1" x14ac:dyDescent="0.35">
      <c r="H6697" s="83">
        <f t="shared" si="151"/>
        <v>0</v>
      </c>
    </row>
    <row r="6698" spans="8:8" hidden="1" x14ac:dyDescent="0.35">
      <c r="H6698" s="83">
        <f t="shared" si="151"/>
        <v>0</v>
      </c>
    </row>
    <row r="6699" spans="8:8" hidden="1" x14ac:dyDescent="0.35">
      <c r="H6699" s="83">
        <f t="shared" si="151"/>
        <v>0</v>
      </c>
    </row>
    <row r="6700" spans="8:8" hidden="1" x14ac:dyDescent="0.35">
      <c r="H6700" s="83">
        <f t="shared" si="151"/>
        <v>0</v>
      </c>
    </row>
    <row r="6701" spans="8:8" hidden="1" x14ac:dyDescent="0.35">
      <c r="H6701" s="83">
        <f t="shared" si="151"/>
        <v>0</v>
      </c>
    </row>
    <row r="6702" spans="8:8" hidden="1" x14ac:dyDescent="0.35">
      <c r="H6702" s="83">
        <f t="shared" si="151"/>
        <v>0</v>
      </c>
    </row>
    <row r="6703" spans="8:8" hidden="1" x14ac:dyDescent="0.35">
      <c r="H6703" s="83">
        <f t="shared" si="151"/>
        <v>0</v>
      </c>
    </row>
    <row r="6704" spans="8:8" hidden="1" x14ac:dyDescent="0.35">
      <c r="H6704" s="83">
        <f t="shared" si="151"/>
        <v>0</v>
      </c>
    </row>
    <row r="6705" spans="8:8" hidden="1" x14ac:dyDescent="0.35">
      <c r="H6705" s="83">
        <f t="shared" si="151"/>
        <v>0</v>
      </c>
    </row>
    <row r="6706" spans="8:8" hidden="1" x14ac:dyDescent="0.35">
      <c r="H6706" s="83">
        <f t="shared" si="151"/>
        <v>0</v>
      </c>
    </row>
    <row r="6707" spans="8:8" hidden="1" x14ac:dyDescent="0.35">
      <c r="H6707" s="83">
        <f t="shared" si="151"/>
        <v>0</v>
      </c>
    </row>
    <row r="6708" spans="8:8" hidden="1" x14ac:dyDescent="0.35">
      <c r="H6708" s="83">
        <f t="shared" si="151"/>
        <v>0</v>
      </c>
    </row>
    <row r="6709" spans="8:8" hidden="1" x14ac:dyDescent="0.35">
      <c r="H6709" s="83">
        <f t="shared" si="151"/>
        <v>0</v>
      </c>
    </row>
    <row r="6710" spans="8:8" hidden="1" x14ac:dyDescent="0.35">
      <c r="H6710" s="83">
        <f t="shared" si="151"/>
        <v>0</v>
      </c>
    </row>
    <row r="6711" spans="8:8" hidden="1" x14ac:dyDescent="0.35">
      <c r="H6711" s="83">
        <f t="shared" si="151"/>
        <v>0</v>
      </c>
    </row>
    <row r="6712" spans="8:8" hidden="1" x14ac:dyDescent="0.35">
      <c r="H6712" s="83">
        <f t="shared" si="151"/>
        <v>0</v>
      </c>
    </row>
    <row r="6713" spans="8:8" hidden="1" x14ac:dyDescent="0.35">
      <c r="H6713" s="83">
        <f t="shared" si="151"/>
        <v>0</v>
      </c>
    </row>
    <row r="6714" spans="8:8" hidden="1" x14ac:dyDescent="0.35">
      <c r="H6714" s="83">
        <f t="shared" si="151"/>
        <v>0</v>
      </c>
    </row>
    <row r="6715" spans="8:8" hidden="1" x14ac:dyDescent="0.35">
      <c r="H6715" s="83">
        <f t="shared" si="151"/>
        <v>0</v>
      </c>
    </row>
    <row r="6716" spans="8:8" hidden="1" x14ac:dyDescent="0.35">
      <c r="H6716" s="83">
        <f t="shared" si="151"/>
        <v>0</v>
      </c>
    </row>
    <row r="6717" spans="8:8" hidden="1" x14ac:dyDescent="0.35">
      <c r="H6717" s="83">
        <f t="shared" si="151"/>
        <v>0</v>
      </c>
    </row>
    <row r="6718" spans="8:8" hidden="1" x14ac:dyDescent="0.35">
      <c r="H6718" s="83">
        <f t="shared" si="151"/>
        <v>0</v>
      </c>
    </row>
    <row r="6719" spans="8:8" hidden="1" x14ac:dyDescent="0.35">
      <c r="H6719" s="83">
        <f t="shared" si="151"/>
        <v>0</v>
      </c>
    </row>
    <row r="6720" spans="8:8" hidden="1" x14ac:dyDescent="0.35">
      <c r="H6720" s="83">
        <f t="shared" si="151"/>
        <v>0</v>
      </c>
    </row>
    <row r="6721" spans="8:8" hidden="1" x14ac:dyDescent="0.35">
      <c r="H6721" s="83">
        <f t="shared" si="151"/>
        <v>0</v>
      </c>
    </row>
    <row r="6722" spans="8:8" hidden="1" x14ac:dyDescent="0.35">
      <c r="H6722" s="83">
        <f t="shared" si="151"/>
        <v>0</v>
      </c>
    </row>
    <row r="6723" spans="8:8" hidden="1" x14ac:dyDescent="0.35">
      <c r="H6723" s="83">
        <f t="shared" si="151"/>
        <v>0</v>
      </c>
    </row>
    <row r="6724" spans="8:8" hidden="1" x14ac:dyDescent="0.35">
      <c r="H6724" s="83">
        <f t="shared" ref="H6724:H6787" si="152">J6724-I6724</f>
        <v>0</v>
      </c>
    </row>
    <row r="6725" spans="8:8" hidden="1" x14ac:dyDescent="0.35">
      <c r="H6725" s="83">
        <f t="shared" si="152"/>
        <v>0</v>
      </c>
    </row>
    <row r="6726" spans="8:8" hidden="1" x14ac:dyDescent="0.35">
      <c r="H6726" s="83">
        <f t="shared" si="152"/>
        <v>0</v>
      </c>
    </row>
    <row r="6727" spans="8:8" hidden="1" x14ac:dyDescent="0.35">
      <c r="H6727" s="83">
        <f t="shared" si="152"/>
        <v>0</v>
      </c>
    </row>
    <row r="6728" spans="8:8" hidden="1" x14ac:dyDescent="0.35">
      <c r="H6728" s="83">
        <f t="shared" si="152"/>
        <v>0</v>
      </c>
    </row>
    <row r="6729" spans="8:8" hidden="1" x14ac:dyDescent="0.35">
      <c r="H6729" s="83">
        <f t="shared" si="152"/>
        <v>0</v>
      </c>
    </row>
    <row r="6730" spans="8:8" hidden="1" x14ac:dyDescent="0.35">
      <c r="H6730" s="83">
        <f t="shared" si="152"/>
        <v>0</v>
      </c>
    </row>
    <row r="6731" spans="8:8" hidden="1" x14ac:dyDescent="0.35">
      <c r="H6731" s="83">
        <f t="shared" si="152"/>
        <v>0</v>
      </c>
    </row>
    <row r="6732" spans="8:8" hidden="1" x14ac:dyDescent="0.35">
      <c r="H6732" s="83">
        <f t="shared" si="152"/>
        <v>0</v>
      </c>
    </row>
    <row r="6733" spans="8:8" hidden="1" x14ac:dyDescent="0.35">
      <c r="H6733" s="83">
        <f t="shared" si="152"/>
        <v>0</v>
      </c>
    </row>
    <row r="6734" spans="8:8" hidden="1" x14ac:dyDescent="0.35">
      <c r="H6734" s="83">
        <f t="shared" si="152"/>
        <v>0</v>
      </c>
    </row>
    <row r="6735" spans="8:8" hidden="1" x14ac:dyDescent="0.35">
      <c r="H6735" s="83">
        <f t="shared" si="152"/>
        <v>0</v>
      </c>
    </row>
    <row r="6736" spans="8:8" hidden="1" x14ac:dyDescent="0.35">
      <c r="H6736" s="83">
        <f t="shared" si="152"/>
        <v>0</v>
      </c>
    </row>
    <row r="6737" spans="8:8" hidden="1" x14ac:dyDescent="0.35">
      <c r="H6737" s="83">
        <f t="shared" si="152"/>
        <v>0</v>
      </c>
    </row>
    <row r="6738" spans="8:8" hidden="1" x14ac:dyDescent="0.35">
      <c r="H6738" s="83">
        <f t="shared" si="152"/>
        <v>0</v>
      </c>
    </row>
    <row r="6739" spans="8:8" hidden="1" x14ac:dyDescent="0.35">
      <c r="H6739" s="83">
        <f t="shared" si="152"/>
        <v>0</v>
      </c>
    </row>
    <row r="6740" spans="8:8" hidden="1" x14ac:dyDescent="0.35">
      <c r="H6740" s="83">
        <f t="shared" si="152"/>
        <v>0</v>
      </c>
    </row>
    <row r="6741" spans="8:8" hidden="1" x14ac:dyDescent="0.35">
      <c r="H6741" s="83">
        <f t="shared" si="152"/>
        <v>0</v>
      </c>
    </row>
    <row r="6742" spans="8:8" hidden="1" x14ac:dyDescent="0.35">
      <c r="H6742" s="83">
        <f t="shared" si="152"/>
        <v>0</v>
      </c>
    </row>
    <row r="6743" spans="8:8" hidden="1" x14ac:dyDescent="0.35">
      <c r="H6743" s="83">
        <f t="shared" si="152"/>
        <v>0</v>
      </c>
    </row>
    <row r="6744" spans="8:8" hidden="1" x14ac:dyDescent="0.35">
      <c r="H6744" s="83">
        <f t="shared" si="152"/>
        <v>0</v>
      </c>
    </row>
    <row r="6745" spans="8:8" hidden="1" x14ac:dyDescent="0.35">
      <c r="H6745" s="83">
        <f t="shared" si="152"/>
        <v>0</v>
      </c>
    </row>
    <row r="6746" spans="8:8" hidden="1" x14ac:dyDescent="0.35">
      <c r="H6746" s="83">
        <f t="shared" si="152"/>
        <v>0</v>
      </c>
    </row>
    <row r="6747" spans="8:8" hidden="1" x14ac:dyDescent="0.35">
      <c r="H6747" s="83">
        <f t="shared" si="152"/>
        <v>0</v>
      </c>
    </row>
    <row r="6748" spans="8:8" hidden="1" x14ac:dyDescent="0.35">
      <c r="H6748" s="83">
        <f t="shared" si="152"/>
        <v>0</v>
      </c>
    </row>
    <row r="6749" spans="8:8" hidden="1" x14ac:dyDescent="0.35">
      <c r="H6749" s="83">
        <f t="shared" si="152"/>
        <v>0</v>
      </c>
    </row>
    <row r="6750" spans="8:8" hidden="1" x14ac:dyDescent="0.35">
      <c r="H6750" s="83">
        <f t="shared" si="152"/>
        <v>0</v>
      </c>
    </row>
    <row r="6751" spans="8:8" hidden="1" x14ac:dyDescent="0.35">
      <c r="H6751" s="83">
        <f t="shared" si="152"/>
        <v>0</v>
      </c>
    </row>
    <row r="6752" spans="8:8" hidden="1" x14ac:dyDescent="0.35">
      <c r="H6752" s="83">
        <f t="shared" si="152"/>
        <v>0</v>
      </c>
    </row>
    <row r="6753" spans="8:8" hidden="1" x14ac:dyDescent="0.35">
      <c r="H6753" s="83">
        <f t="shared" si="152"/>
        <v>0</v>
      </c>
    </row>
    <row r="6754" spans="8:8" hidden="1" x14ac:dyDescent="0.35">
      <c r="H6754" s="83">
        <f t="shared" si="152"/>
        <v>0</v>
      </c>
    </row>
    <row r="6755" spans="8:8" hidden="1" x14ac:dyDescent="0.35">
      <c r="H6755" s="83">
        <f t="shared" si="152"/>
        <v>0</v>
      </c>
    </row>
    <row r="6756" spans="8:8" hidden="1" x14ac:dyDescent="0.35">
      <c r="H6756" s="83">
        <f t="shared" si="152"/>
        <v>0</v>
      </c>
    </row>
    <row r="6757" spans="8:8" hidden="1" x14ac:dyDescent="0.35">
      <c r="H6757" s="83">
        <f t="shared" si="152"/>
        <v>0</v>
      </c>
    </row>
    <row r="6758" spans="8:8" hidden="1" x14ac:dyDescent="0.35">
      <c r="H6758" s="83">
        <f t="shared" si="152"/>
        <v>0</v>
      </c>
    </row>
    <row r="6759" spans="8:8" hidden="1" x14ac:dyDescent="0.35">
      <c r="H6759" s="83">
        <f t="shared" si="152"/>
        <v>0</v>
      </c>
    </row>
    <row r="6760" spans="8:8" hidden="1" x14ac:dyDescent="0.35">
      <c r="H6760" s="83">
        <f t="shared" si="152"/>
        <v>0</v>
      </c>
    </row>
    <row r="6761" spans="8:8" hidden="1" x14ac:dyDescent="0.35">
      <c r="H6761" s="83">
        <f t="shared" si="152"/>
        <v>0</v>
      </c>
    </row>
    <row r="6762" spans="8:8" hidden="1" x14ac:dyDescent="0.35">
      <c r="H6762" s="83">
        <f t="shared" si="152"/>
        <v>0</v>
      </c>
    </row>
    <row r="6763" spans="8:8" hidden="1" x14ac:dyDescent="0.35">
      <c r="H6763" s="83">
        <f t="shared" si="152"/>
        <v>0</v>
      </c>
    </row>
    <row r="6764" spans="8:8" hidden="1" x14ac:dyDescent="0.35">
      <c r="H6764" s="83">
        <f t="shared" si="152"/>
        <v>0</v>
      </c>
    </row>
    <row r="6765" spans="8:8" hidden="1" x14ac:dyDescent="0.35">
      <c r="H6765" s="83">
        <f t="shared" si="152"/>
        <v>0</v>
      </c>
    </row>
    <row r="6766" spans="8:8" hidden="1" x14ac:dyDescent="0.35">
      <c r="H6766" s="83">
        <f t="shared" si="152"/>
        <v>0</v>
      </c>
    </row>
    <row r="6767" spans="8:8" hidden="1" x14ac:dyDescent="0.35">
      <c r="H6767" s="83">
        <f t="shared" si="152"/>
        <v>0</v>
      </c>
    </row>
    <row r="6768" spans="8:8" hidden="1" x14ac:dyDescent="0.35">
      <c r="H6768" s="83">
        <f t="shared" si="152"/>
        <v>0</v>
      </c>
    </row>
    <row r="6769" spans="8:8" hidden="1" x14ac:dyDescent="0.35">
      <c r="H6769" s="83">
        <f t="shared" si="152"/>
        <v>0</v>
      </c>
    </row>
    <row r="6770" spans="8:8" hidden="1" x14ac:dyDescent="0.35">
      <c r="H6770" s="83">
        <f t="shared" si="152"/>
        <v>0</v>
      </c>
    </row>
    <row r="6771" spans="8:8" hidden="1" x14ac:dyDescent="0.35">
      <c r="H6771" s="83">
        <f t="shared" si="152"/>
        <v>0</v>
      </c>
    </row>
    <row r="6772" spans="8:8" hidden="1" x14ac:dyDescent="0.35">
      <c r="H6772" s="83">
        <f t="shared" si="152"/>
        <v>0</v>
      </c>
    </row>
    <row r="6773" spans="8:8" hidden="1" x14ac:dyDescent="0.35">
      <c r="H6773" s="83">
        <f t="shared" si="152"/>
        <v>0</v>
      </c>
    </row>
    <row r="6774" spans="8:8" hidden="1" x14ac:dyDescent="0.35">
      <c r="H6774" s="83">
        <f t="shared" si="152"/>
        <v>0</v>
      </c>
    </row>
    <row r="6775" spans="8:8" hidden="1" x14ac:dyDescent="0.35">
      <c r="H6775" s="83">
        <f t="shared" si="152"/>
        <v>0</v>
      </c>
    </row>
    <row r="6776" spans="8:8" hidden="1" x14ac:dyDescent="0.35">
      <c r="H6776" s="83">
        <f t="shared" si="152"/>
        <v>0</v>
      </c>
    </row>
    <row r="6777" spans="8:8" hidden="1" x14ac:dyDescent="0.35">
      <c r="H6777" s="83">
        <f t="shared" si="152"/>
        <v>0</v>
      </c>
    </row>
    <row r="6778" spans="8:8" hidden="1" x14ac:dyDescent="0.35">
      <c r="H6778" s="83">
        <f t="shared" si="152"/>
        <v>0</v>
      </c>
    </row>
    <row r="6779" spans="8:8" hidden="1" x14ac:dyDescent="0.35">
      <c r="H6779" s="83">
        <f t="shared" si="152"/>
        <v>0</v>
      </c>
    </row>
    <row r="6780" spans="8:8" hidden="1" x14ac:dyDescent="0.35">
      <c r="H6780" s="83">
        <f t="shared" si="152"/>
        <v>0</v>
      </c>
    </row>
    <row r="6781" spans="8:8" hidden="1" x14ac:dyDescent="0.35">
      <c r="H6781" s="83">
        <f t="shared" si="152"/>
        <v>0</v>
      </c>
    </row>
    <row r="6782" spans="8:8" hidden="1" x14ac:dyDescent="0.35">
      <c r="H6782" s="83">
        <f t="shared" si="152"/>
        <v>0</v>
      </c>
    </row>
    <row r="6783" spans="8:8" hidden="1" x14ac:dyDescent="0.35">
      <c r="H6783" s="83">
        <f t="shared" si="152"/>
        <v>0</v>
      </c>
    </row>
    <row r="6784" spans="8:8" hidden="1" x14ac:dyDescent="0.35">
      <c r="H6784" s="83">
        <f t="shared" si="152"/>
        <v>0</v>
      </c>
    </row>
    <row r="6785" spans="8:8" hidden="1" x14ac:dyDescent="0.35">
      <c r="H6785" s="83">
        <f t="shared" si="152"/>
        <v>0</v>
      </c>
    </row>
    <row r="6786" spans="8:8" hidden="1" x14ac:dyDescent="0.35">
      <c r="H6786" s="83">
        <f t="shared" si="152"/>
        <v>0</v>
      </c>
    </row>
    <row r="6787" spans="8:8" hidden="1" x14ac:dyDescent="0.35">
      <c r="H6787" s="83">
        <f t="shared" si="152"/>
        <v>0</v>
      </c>
    </row>
    <row r="6788" spans="8:8" hidden="1" x14ac:dyDescent="0.35">
      <c r="H6788" s="83">
        <f t="shared" ref="H6788:H6851" si="153">J6788-I6788</f>
        <v>0</v>
      </c>
    </row>
    <row r="6789" spans="8:8" hidden="1" x14ac:dyDescent="0.35">
      <c r="H6789" s="83">
        <f t="shared" si="153"/>
        <v>0</v>
      </c>
    </row>
    <row r="6790" spans="8:8" hidden="1" x14ac:dyDescent="0.35">
      <c r="H6790" s="83">
        <f t="shared" si="153"/>
        <v>0</v>
      </c>
    </row>
    <row r="6791" spans="8:8" hidden="1" x14ac:dyDescent="0.35">
      <c r="H6791" s="83">
        <f t="shared" si="153"/>
        <v>0</v>
      </c>
    </row>
    <row r="6792" spans="8:8" hidden="1" x14ac:dyDescent="0.35">
      <c r="H6792" s="83">
        <f t="shared" si="153"/>
        <v>0</v>
      </c>
    </row>
    <row r="6793" spans="8:8" hidden="1" x14ac:dyDescent="0.35">
      <c r="H6793" s="83">
        <f t="shared" si="153"/>
        <v>0</v>
      </c>
    </row>
    <row r="6794" spans="8:8" hidden="1" x14ac:dyDescent="0.35">
      <c r="H6794" s="83">
        <f t="shared" si="153"/>
        <v>0</v>
      </c>
    </row>
    <row r="6795" spans="8:8" hidden="1" x14ac:dyDescent="0.35">
      <c r="H6795" s="83">
        <f t="shared" si="153"/>
        <v>0</v>
      </c>
    </row>
    <row r="6796" spans="8:8" hidden="1" x14ac:dyDescent="0.35">
      <c r="H6796" s="83">
        <f t="shared" si="153"/>
        <v>0</v>
      </c>
    </row>
    <row r="6797" spans="8:8" hidden="1" x14ac:dyDescent="0.35">
      <c r="H6797" s="83">
        <f t="shared" si="153"/>
        <v>0</v>
      </c>
    </row>
    <row r="6798" spans="8:8" hidden="1" x14ac:dyDescent="0.35">
      <c r="H6798" s="83">
        <f t="shared" si="153"/>
        <v>0</v>
      </c>
    </row>
    <row r="6799" spans="8:8" hidden="1" x14ac:dyDescent="0.35">
      <c r="H6799" s="83">
        <f t="shared" si="153"/>
        <v>0</v>
      </c>
    </row>
    <row r="6800" spans="8:8" hidden="1" x14ac:dyDescent="0.35">
      <c r="H6800" s="83">
        <f t="shared" si="153"/>
        <v>0</v>
      </c>
    </row>
    <row r="6801" spans="8:8" hidden="1" x14ac:dyDescent="0.35">
      <c r="H6801" s="83">
        <f t="shared" si="153"/>
        <v>0</v>
      </c>
    </row>
    <row r="6802" spans="8:8" hidden="1" x14ac:dyDescent="0.35">
      <c r="H6802" s="83">
        <f t="shared" si="153"/>
        <v>0</v>
      </c>
    </row>
    <row r="6803" spans="8:8" hidden="1" x14ac:dyDescent="0.35">
      <c r="H6803" s="83">
        <f t="shared" si="153"/>
        <v>0</v>
      </c>
    </row>
    <row r="6804" spans="8:8" hidden="1" x14ac:dyDescent="0.35">
      <c r="H6804" s="83">
        <f t="shared" si="153"/>
        <v>0</v>
      </c>
    </row>
    <row r="6805" spans="8:8" hidden="1" x14ac:dyDescent="0.35">
      <c r="H6805" s="83">
        <f t="shared" si="153"/>
        <v>0</v>
      </c>
    </row>
    <row r="6806" spans="8:8" hidden="1" x14ac:dyDescent="0.35">
      <c r="H6806" s="83">
        <f t="shared" si="153"/>
        <v>0</v>
      </c>
    </row>
    <row r="6807" spans="8:8" hidden="1" x14ac:dyDescent="0.35">
      <c r="H6807" s="83">
        <f t="shared" si="153"/>
        <v>0</v>
      </c>
    </row>
    <row r="6808" spans="8:8" hidden="1" x14ac:dyDescent="0.35">
      <c r="H6808" s="83">
        <f t="shared" si="153"/>
        <v>0</v>
      </c>
    </row>
    <row r="6809" spans="8:8" hidden="1" x14ac:dyDescent="0.35">
      <c r="H6809" s="83">
        <f t="shared" si="153"/>
        <v>0</v>
      </c>
    </row>
    <row r="6810" spans="8:8" hidden="1" x14ac:dyDescent="0.35">
      <c r="H6810" s="83">
        <f t="shared" si="153"/>
        <v>0</v>
      </c>
    </row>
    <row r="6811" spans="8:8" hidden="1" x14ac:dyDescent="0.35">
      <c r="H6811" s="83">
        <f t="shared" si="153"/>
        <v>0</v>
      </c>
    </row>
    <row r="6812" spans="8:8" hidden="1" x14ac:dyDescent="0.35">
      <c r="H6812" s="83">
        <f t="shared" si="153"/>
        <v>0</v>
      </c>
    </row>
    <row r="6813" spans="8:8" hidden="1" x14ac:dyDescent="0.35">
      <c r="H6813" s="83">
        <f t="shared" si="153"/>
        <v>0</v>
      </c>
    </row>
    <row r="6814" spans="8:8" hidden="1" x14ac:dyDescent="0.35">
      <c r="H6814" s="83">
        <f t="shared" si="153"/>
        <v>0</v>
      </c>
    </row>
    <row r="6815" spans="8:8" hidden="1" x14ac:dyDescent="0.35">
      <c r="H6815" s="83">
        <f t="shared" si="153"/>
        <v>0</v>
      </c>
    </row>
    <row r="6816" spans="8:8" hidden="1" x14ac:dyDescent="0.35">
      <c r="H6816" s="83">
        <f t="shared" si="153"/>
        <v>0</v>
      </c>
    </row>
    <row r="6817" spans="8:8" hidden="1" x14ac:dyDescent="0.35">
      <c r="H6817" s="83">
        <f t="shared" si="153"/>
        <v>0</v>
      </c>
    </row>
    <row r="6818" spans="8:8" hidden="1" x14ac:dyDescent="0.35">
      <c r="H6818" s="83">
        <f t="shared" si="153"/>
        <v>0</v>
      </c>
    </row>
    <row r="6819" spans="8:8" hidden="1" x14ac:dyDescent="0.35">
      <c r="H6819" s="83">
        <f t="shared" si="153"/>
        <v>0</v>
      </c>
    </row>
    <row r="6820" spans="8:8" hidden="1" x14ac:dyDescent="0.35">
      <c r="H6820" s="83">
        <f t="shared" si="153"/>
        <v>0</v>
      </c>
    </row>
    <row r="6821" spans="8:8" hidden="1" x14ac:dyDescent="0.35">
      <c r="H6821" s="83">
        <f t="shared" si="153"/>
        <v>0</v>
      </c>
    </row>
    <row r="6822" spans="8:8" hidden="1" x14ac:dyDescent="0.35">
      <c r="H6822" s="83">
        <f t="shared" si="153"/>
        <v>0</v>
      </c>
    </row>
    <row r="6823" spans="8:8" hidden="1" x14ac:dyDescent="0.35">
      <c r="H6823" s="83">
        <f t="shared" si="153"/>
        <v>0</v>
      </c>
    </row>
    <row r="6824" spans="8:8" hidden="1" x14ac:dyDescent="0.35">
      <c r="H6824" s="83">
        <f t="shared" si="153"/>
        <v>0</v>
      </c>
    </row>
    <row r="6825" spans="8:8" hidden="1" x14ac:dyDescent="0.35">
      <c r="H6825" s="83">
        <f t="shared" si="153"/>
        <v>0</v>
      </c>
    </row>
    <row r="6826" spans="8:8" hidden="1" x14ac:dyDescent="0.35">
      <c r="H6826" s="83">
        <f t="shared" si="153"/>
        <v>0</v>
      </c>
    </row>
    <row r="6827" spans="8:8" hidden="1" x14ac:dyDescent="0.35">
      <c r="H6827" s="83">
        <f t="shared" si="153"/>
        <v>0</v>
      </c>
    </row>
    <row r="6828" spans="8:8" hidden="1" x14ac:dyDescent="0.35">
      <c r="H6828" s="83">
        <f t="shared" si="153"/>
        <v>0</v>
      </c>
    </row>
    <row r="6829" spans="8:8" hidden="1" x14ac:dyDescent="0.35">
      <c r="H6829" s="83">
        <f t="shared" si="153"/>
        <v>0</v>
      </c>
    </row>
    <row r="6830" spans="8:8" hidden="1" x14ac:dyDescent="0.35">
      <c r="H6830" s="83">
        <f t="shared" si="153"/>
        <v>0</v>
      </c>
    </row>
    <row r="6831" spans="8:8" hidden="1" x14ac:dyDescent="0.35">
      <c r="H6831" s="83">
        <f t="shared" si="153"/>
        <v>0</v>
      </c>
    </row>
    <row r="6832" spans="8:8" hidden="1" x14ac:dyDescent="0.35">
      <c r="H6832" s="83">
        <f t="shared" si="153"/>
        <v>0</v>
      </c>
    </row>
    <row r="6833" spans="8:8" hidden="1" x14ac:dyDescent="0.35">
      <c r="H6833" s="83">
        <f t="shared" si="153"/>
        <v>0</v>
      </c>
    </row>
    <row r="6834" spans="8:8" hidden="1" x14ac:dyDescent="0.35">
      <c r="H6834" s="83">
        <f t="shared" si="153"/>
        <v>0</v>
      </c>
    </row>
    <row r="6835" spans="8:8" hidden="1" x14ac:dyDescent="0.35">
      <c r="H6835" s="83">
        <f t="shared" si="153"/>
        <v>0</v>
      </c>
    </row>
    <row r="6836" spans="8:8" hidden="1" x14ac:dyDescent="0.35">
      <c r="H6836" s="83">
        <f t="shared" si="153"/>
        <v>0</v>
      </c>
    </row>
    <row r="6837" spans="8:8" hidden="1" x14ac:dyDescent="0.35">
      <c r="H6837" s="83">
        <f t="shared" si="153"/>
        <v>0</v>
      </c>
    </row>
    <row r="6838" spans="8:8" hidden="1" x14ac:dyDescent="0.35">
      <c r="H6838" s="83">
        <f t="shared" si="153"/>
        <v>0</v>
      </c>
    </row>
    <row r="6839" spans="8:8" hidden="1" x14ac:dyDescent="0.35">
      <c r="H6839" s="83">
        <f t="shared" si="153"/>
        <v>0</v>
      </c>
    </row>
    <row r="6840" spans="8:8" hidden="1" x14ac:dyDescent="0.35">
      <c r="H6840" s="83">
        <f t="shared" si="153"/>
        <v>0</v>
      </c>
    </row>
    <row r="6841" spans="8:8" hidden="1" x14ac:dyDescent="0.35">
      <c r="H6841" s="83">
        <f t="shared" si="153"/>
        <v>0</v>
      </c>
    </row>
    <row r="6842" spans="8:8" hidden="1" x14ac:dyDescent="0.35">
      <c r="H6842" s="83">
        <f t="shared" si="153"/>
        <v>0</v>
      </c>
    </row>
    <row r="6843" spans="8:8" hidden="1" x14ac:dyDescent="0.35">
      <c r="H6843" s="83">
        <f t="shared" si="153"/>
        <v>0</v>
      </c>
    </row>
    <row r="6844" spans="8:8" hidden="1" x14ac:dyDescent="0.35">
      <c r="H6844" s="83">
        <f t="shared" si="153"/>
        <v>0</v>
      </c>
    </row>
    <row r="6845" spans="8:8" hidden="1" x14ac:dyDescent="0.35">
      <c r="H6845" s="83">
        <f t="shared" si="153"/>
        <v>0</v>
      </c>
    </row>
    <row r="6846" spans="8:8" hidden="1" x14ac:dyDescent="0.35">
      <c r="H6846" s="83">
        <f t="shared" si="153"/>
        <v>0</v>
      </c>
    </row>
    <row r="6847" spans="8:8" hidden="1" x14ac:dyDescent="0.35">
      <c r="H6847" s="83">
        <f t="shared" si="153"/>
        <v>0</v>
      </c>
    </row>
    <row r="6848" spans="8:8" hidden="1" x14ac:dyDescent="0.35">
      <c r="H6848" s="83">
        <f t="shared" si="153"/>
        <v>0</v>
      </c>
    </row>
    <row r="6849" spans="8:8" hidden="1" x14ac:dyDescent="0.35">
      <c r="H6849" s="83">
        <f t="shared" si="153"/>
        <v>0</v>
      </c>
    </row>
    <row r="6850" spans="8:8" hidden="1" x14ac:dyDescent="0.35">
      <c r="H6850" s="83">
        <f t="shared" si="153"/>
        <v>0</v>
      </c>
    </row>
    <row r="6851" spans="8:8" hidden="1" x14ac:dyDescent="0.35">
      <c r="H6851" s="83">
        <f t="shared" si="153"/>
        <v>0</v>
      </c>
    </row>
    <row r="6852" spans="8:8" hidden="1" x14ac:dyDescent="0.35">
      <c r="H6852" s="83">
        <f t="shared" ref="H6852:H6915" si="154">J6852-I6852</f>
        <v>0</v>
      </c>
    </row>
    <row r="6853" spans="8:8" hidden="1" x14ac:dyDescent="0.35">
      <c r="H6853" s="83">
        <f t="shared" si="154"/>
        <v>0</v>
      </c>
    </row>
    <row r="6854" spans="8:8" hidden="1" x14ac:dyDescent="0.35">
      <c r="H6854" s="83">
        <f t="shared" si="154"/>
        <v>0</v>
      </c>
    </row>
    <row r="6855" spans="8:8" hidden="1" x14ac:dyDescent="0.35">
      <c r="H6855" s="83">
        <f t="shared" si="154"/>
        <v>0</v>
      </c>
    </row>
    <row r="6856" spans="8:8" hidden="1" x14ac:dyDescent="0.35">
      <c r="H6856" s="83">
        <f t="shared" si="154"/>
        <v>0</v>
      </c>
    </row>
    <row r="6857" spans="8:8" hidden="1" x14ac:dyDescent="0.35">
      <c r="H6857" s="83">
        <f t="shared" si="154"/>
        <v>0</v>
      </c>
    </row>
    <row r="6858" spans="8:8" hidden="1" x14ac:dyDescent="0.35">
      <c r="H6858" s="83">
        <f t="shared" si="154"/>
        <v>0</v>
      </c>
    </row>
    <row r="6859" spans="8:8" hidden="1" x14ac:dyDescent="0.35">
      <c r="H6859" s="83">
        <f t="shared" si="154"/>
        <v>0</v>
      </c>
    </row>
    <row r="6860" spans="8:8" hidden="1" x14ac:dyDescent="0.35">
      <c r="H6860" s="83">
        <f t="shared" si="154"/>
        <v>0</v>
      </c>
    </row>
    <row r="6861" spans="8:8" hidden="1" x14ac:dyDescent="0.35">
      <c r="H6861" s="83">
        <f t="shared" si="154"/>
        <v>0</v>
      </c>
    </row>
    <row r="6862" spans="8:8" hidden="1" x14ac:dyDescent="0.35">
      <c r="H6862" s="83">
        <f t="shared" si="154"/>
        <v>0</v>
      </c>
    </row>
    <row r="6863" spans="8:8" hidden="1" x14ac:dyDescent="0.35">
      <c r="H6863" s="83">
        <f t="shared" si="154"/>
        <v>0</v>
      </c>
    </row>
    <row r="6864" spans="8:8" hidden="1" x14ac:dyDescent="0.35">
      <c r="H6864" s="83">
        <f t="shared" si="154"/>
        <v>0</v>
      </c>
    </row>
    <row r="6865" spans="8:8" hidden="1" x14ac:dyDescent="0.35">
      <c r="H6865" s="83">
        <f t="shared" si="154"/>
        <v>0</v>
      </c>
    </row>
    <row r="6866" spans="8:8" hidden="1" x14ac:dyDescent="0.35">
      <c r="H6866" s="83">
        <f t="shared" si="154"/>
        <v>0</v>
      </c>
    </row>
    <row r="6867" spans="8:8" hidden="1" x14ac:dyDescent="0.35">
      <c r="H6867" s="83">
        <f t="shared" si="154"/>
        <v>0</v>
      </c>
    </row>
    <row r="6868" spans="8:8" hidden="1" x14ac:dyDescent="0.35">
      <c r="H6868" s="83">
        <f t="shared" si="154"/>
        <v>0</v>
      </c>
    </row>
    <row r="6869" spans="8:8" hidden="1" x14ac:dyDescent="0.35">
      <c r="H6869" s="83">
        <f t="shared" si="154"/>
        <v>0</v>
      </c>
    </row>
    <row r="6870" spans="8:8" hidden="1" x14ac:dyDescent="0.35">
      <c r="H6870" s="83">
        <f t="shared" si="154"/>
        <v>0</v>
      </c>
    </row>
    <row r="6871" spans="8:8" hidden="1" x14ac:dyDescent="0.35">
      <c r="H6871" s="83">
        <f t="shared" si="154"/>
        <v>0</v>
      </c>
    </row>
    <row r="6872" spans="8:8" hidden="1" x14ac:dyDescent="0.35">
      <c r="H6872" s="83">
        <f t="shared" si="154"/>
        <v>0</v>
      </c>
    </row>
    <row r="6873" spans="8:8" hidden="1" x14ac:dyDescent="0.35">
      <c r="H6873" s="83">
        <f t="shared" si="154"/>
        <v>0</v>
      </c>
    </row>
    <row r="6874" spans="8:8" hidden="1" x14ac:dyDescent="0.35">
      <c r="H6874" s="83">
        <f t="shared" si="154"/>
        <v>0</v>
      </c>
    </row>
    <row r="6875" spans="8:8" hidden="1" x14ac:dyDescent="0.35">
      <c r="H6875" s="83">
        <f t="shared" si="154"/>
        <v>0</v>
      </c>
    </row>
    <row r="6876" spans="8:8" hidden="1" x14ac:dyDescent="0.35">
      <c r="H6876" s="83">
        <f t="shared" si="154"/>
        <v>0</v>
      </c>
    </row>
    <row r="6877" spans="8:8" hidden="1" x14ac:dyDescent="0.35">
      <c r="H6877" s="83">
        <f t="shared" si="154"/>
        <v>0</v>
      </c>
    </row>
    <row r="6878" spans="8:8" hidden="1" x14ac:dyDescent="0.35">
      <c r="H6878" s="83">
        <f t="shared" si="154"/>
        <v>0</v>
      </c>
    </row>
    <row r="6879" spans="8:8" hidden="1" x14ac:dyDescent="0.35">
      <c r="H6879" s="83">
        <f t="shared" si="154"/>
        <v>0</v>
      </c>
    </row>
    <row r="6880" spans="8:8" hidden="1" x14ac:dyDescent="0.35">
      <c r="H6880" s="83">
        <f t="shared" si="154"/>
        <v>0</v>
      </c>
    </row>
    <row r="6881" spans="8:8" hidden="1" x14ac:dyDescent="0.35">
      <c r="H6881" s="83">
        <f t="shared" si="154"/>
        <v>0</v>
      </c>
    </row>
    <row r="6882" spans="8:8" hidden="1" x14ac:dyDescent="0.35">
      <c r="H6882" s="83">
        <f t="shared" si="154"/>
        <v>0</v>
      </c>
    </row>
    <row r="6883" spans="8:8" hidden="1" x14ac:dyDescent="0.35">
      <c r="H6883" s="83">
        <f t="shared" si="154"/>
        <v>0</v>
      </c>
    </row>
    <row r="6884" spans="8:8" hidden="1" x14ac:dyDescent="0.35">
      <c r="H6884" s="83">
        <f t="shared" si="154"/>
        <v>0</v>
      </c>
    </row>
    <row r="6885" spans="8:8" hidden="1" x14ac:dyDescent="0.35">
      <c r="H6885" s="83">
        <f t="shared" si="154"/>
        <v>0</v>
      </c>
    </row>
    <row r="6886" spans="8:8" hidden="1" x14ac:dyDescent="0.35">
      <c r="H6886" s="83">
        <f t="shared" si="154"/>
        <v>0</v>
      </c>
    </row>
    <row r="6887" spans="8:8" hidden="1" x14ac:dyDescent="0.35">
      <c r="H6887" s="83">
        <f t="shared" si="154"/>
        <v>0</v>
      </c>
    </row>
    <row r="6888" spans="8:8" hidden="1" x14ac:dyDescent="0.35">
      <c r="H6888" s="83">
        <f t="shared" si="154"/>
        <v>0</v>
      </c>
    </row>
    <row r="6889" spans="8:8" hidden="1" x14ac:dyDescent="0.35">
      <c r="H6889" s="83">
        <f t="shared" si="154"/>
        <v>0</v>
      </c>
    </row>
    <row r="6890" spans="8:8" hidden="1" x14ac:dyDescent="0.35">
      <c r="H6890" s="83">
        <f t="shared" si="154"/>
        <v>0</v>
      </c>
    </row>
    <row r="6891" spans="8:8" hidden="1" x14ac:dyDescent="0.35">
      <c r="H6891" s="83">
        <f t="shared" si="154"/>
        <v>0</v>
      </c>
    </row>
    <row r="6892" spans="8:8" hidden="1" x14ac:dyDescent="0.35">
      <c r="H6892" s="83">
        <f t="shared" si="154"/>
        <v>0</v>
      </c>
    </row>
    <row r="6893" spans="8:8" hidden="1" x14ac:dyDescent="0.35">
      <c r="H6893" s="83">
        <f t="shared" si="154"/>
        <v>0</v>
      </c>
    </row>
    <row r="6894" spans="8:8" hidden="1" x14ac:dyDescent="0.35">
      <c r="H6894" s="83">
        <f t="shared" si="154"/>
        <v>0</v>
      </c>
    </row>
    <row r="6895" spans="8:8" hidden="1" x14ac:dyDescent="0.35">
      <c r="H6895" s="83">
        <f t="shared" si="154"/>
        <v>0</v>
      </c>
    </row>
    <row r="6896" spans="8:8" hidden="1" x14ac:dyDescent="0.35">
      <c r="H6896" s="83">
        <f t="shared" si="154"/>
        <v>0</v>
      </c>
    </row>
    <row r="6897" spans="8:8" hidden="1" x14ac:dyDescent="0.35">
      <c r="H6897" s="83">
        <f t="shared" si="154"/>
        <v>0</v>
      </c>
    </row>
    <row r="6898" spans="8:8" hidden="1" x14ac:dyDescent="0.35">
      <c r="H6898" s="83">
        <f t="shared" si="154"/>
        <v>0</v>
      </c>
    </row>
    <row r="6899" spans="8:8" hidden="1" x14ac:dyDescent="0.35">
      <c r="H6899" s="83">
        <f t="shared" si="154"/>
        <v>0</v>
      </c>
    </row>
    <row r="6900" spans="8:8" hidden="1" x14ac:dyDescent="0.35">
      <c r="H6900" s="83">
        <f t="shared" si="154"/>
        <v>0</v>
      </c>
    </row>
    <row r="6901" spans="8:8" hidden="1" x14ac:dyDescent="0.35">
      <c r="H6901" s="83">
        <f t="shared" si="154"/>
        <v>0</v>
      </c>
    </row>
    <row r="6902" spans="8:8" hidden="1" x14ac:dyDescent="0.35">
      <c r="H6902" s="83">
        <f t="shared" si="154"/>
        <v>0</v>
      </c>
    </row>
    <row r="6903" spans="8:8" hidden="1" x14ac:dyDescent="0.35">
      <c r="H6903" s="83">
        <f t="shared" si="154"/>
        <v>0</v>
      </c>
    </row>
    <row r="6904" spans="8:8" hidden="1" x14ac:dyDescent="0.35">
      <c r="H6904" s="83">
        <f t="shared" si="154"/>
        <v>0</v>
      </c>
    </row>
    <row r="6905" spans="8:8" hidden="1" x14ac:dyDescent="0.35">
      <c r="H6905" s="83">
        <f t="shared" si="154"/>
        <v>0</v>
      </c>
    </row>
    <row r="6906" spans="8:8" hidden="1" x14ac:dyDescent="0.35">
      <c r="H6906" s="83">
        <f t="shared" si="154"/>
        <v>0</v>
      </c>
    </row>
    <row r="6907" spans="8:8" hidden="1" x14ac:dyDescent="0.35">
      <c r="H6907" s="83">
        <f t="shared" si="154"/>
        <v>0</v>
      </c>
    </row>
    <row r="6908" spans="8:8" hidden="1" x14ac:dyDescent="0.35">
      <c r="H6908" s="83">
        <f t="shared" si="154"/>
        <v>0</v>
      </c>
    </row>
    <row r="6909" spans="8:8" hidden="1" x14ac:dyDescent="0.35">
      <c r="H6909" s="83">
        <f t="shared" si="154"/>
        <v>0</v>
      </c>
    </row>
    <row r="6910" spans="8:8" hidden="1" x14ac:dyDescent="0.35">
      <c r="H6910" s="83">
        <f t="shared" si="154"/>
        <v>0</v>
      </c>
    </row>
    <row r="6911" spans="8:8" hidden="1" x14ac:dyDescent="0.35">
      <c r="H6911" s="83">
        <f t="shared" si="154"/>
        <v>0</v>
      </c>
    </row>
    <row r="6912" spans="8:8" hidden="1" x14ac:dyDescent="0.35">
      <c r="H6912" s="83">
        <f t="shared" si="154"/>
        <v>0</v>
      </c>
    </row>
    <row r="6913" spans="8:8" hidden="1" x14ac:dyDescent="0.35">
      <c r="H6913" s="83">
        <f t="shared" si="154"/>
        <v>0</v>
      </c>
    </row>
    <row r="6914" spans="8:8" hidden="1" x14ac:dyDescent="0.35">
      <c r="H6914" s="83">
        <f t="shared" si="154"/>
        <v>0</v>
      </c>
    </row>
    <row r="6915" spans="8:8" hidden="1" x14ac:dyDescent="0.35">
      <c r="H6915" s="83">
        <f t="shared" si="154"/>
        <v>0</v>
      </c>
    </row>
    <row r="6916" spans="8:8" hidden="1" x14ac:dyDescent="0.35">
      <c r="H6916" s="83">
        <f t="shared" ref="H6916:H6979" si="155">J6916-I6916</f>
        <v>0</v>
      </c>
    </row>
    <row r="6917" spans="8:8" hidden="1" x14ac:dyDescent="0.35">
      <c r="H6917" s="83">
        <f t="shared" si="155"/>
        <v>0</v>
      </c>
    </row>
    <row r="6918" spans="8:8" hidden="1" x14ac:dyDescent="0.35">
      <c r="H6918" s="83">
        <f t="shared" si="155"/>
        <v>0</v>
      </c>
    </row>
    <row r="6919" spans="8:8" hidden="1" x14ac:dyDescent="0.35">
      <c r="H6919" s="83">
        <f t="shared" si="155"/>
        <v>0</v>
      </c>
    </row>
    <row r="6920" spans="8:8" hidden="1" x14ac:dyDescent="0.35">
      <c r="H6920" s="83">
        <f t="shared" si="155"/>
        <v>0</v>
      </c>
    </row>
    <row r="6921" spans="8:8" hidden="1" x14ac:dyDescent="0.35">
      <c r="H6921" s="83">
        <f t="shared" si="155"/>
        <v>0</v>
      </c>
    </row>
    <row r="6922" spans="8:8" hidden="1" x14ac:dyDescent="0.35">
      <c r="H6922" s="83">
        <f t="shared" si="155"/>
        <v>0</v>
      </c>
    </row>
    <row r="6923" spans="8:8" hidden="1" x14ac:dyDescent="0.35">
      <c r="H6923" s="83">
        <f t="shared" si="155"/>
        <v>0</v>
      </c>
    </row>
    <row r="6924" spans="8:8" hidden="1" x14ac:dyDescent="0.35">
      <c r="H6924" s="83">
        <f t="shared" si="155"/>
        <v>0</v>
      </c>
    </row>
    <row r="6925" spans="8:8" hidden="1" x14ac:dyDescent="0.35">
      <c r="H6925" s="83">
        <f t="shared" si="155"/>
        <v>0</v>
      </c>
    </row>
    <row r="6926" spans="8:8" hidden="1" x14ac:dyDescent="0.35">
      <c r="H6926" s="83">
        <f t="shared" si="155"/>
        <v>0</v>
      </c>
    </row>
    <row r="6927" spans="8:8" hidden="1" x14ac:dyDescent="0.35">
      <c r="H6927" s="83">
        <f t="shared" si="155"/>
        <v>0</v>
      </c>
    </row>
    <row r="6928" spans="8:8" hidden="1" x14ac:dyDescent="0.35">
      <c r="H6928" s="83">
        <f t="shared" si="155"/>
        <v>0</v>
      </c>
    </row>
    <row r="6929" spans="8:8" hidden="1" x14ac:dyDescent="0.35">
      <c r="H6929" s="83">
        <f t="shared" si="155"/>
        <v>0</v>
      </c>
    </row>
    <row r="6930" spans="8:8" hidden="1" x14ac:dyDescent="0.35">
      <c r="H6930" s="83">
        <f t="shared" si="155"/>
        <v>0</v>
      </c>
    </row>
    <row r="6931" spans="8:8" hidden="1" x14ac:dyDescent="0.35">
      <c r="H6931" s="83">
        <f t="shared" si="155"/>
        <v>0</v>
      </c>
    </row>
    <row r="6932" spans="8:8" hidden="1" x14ac:dyDescent="0.35">
      <c r="H6932" s="83">
        <f t="shared" si="155"/>
        <v>0</v>
      </c>
    </row>
    <row r="6933" spans="8:8" hidden="1" x14ac:dyDescent="0.35">
      <c r="H6933" s="83">
        <f t="shared" si="155"/>
        <v>0</v>
      </c>
    </row>
    <row r="6934" spans="8:8" hidden="1" x14ac:dyDescent="0.35">
      <c r="H6934" s="83">
        <f t="shared" si="155"/>
        <v>0</v>
      </c>
    </row>
    <row r="6935" spans="8:8" hidden="1" x14ac:dyDescent="0.35">
      <c r="H6935" s="83">
        <f t="shared" si="155"/>
        <v>0</v>
      </c>
    </row>
    <row r="6936" spans="8:8" hidden="1" x14ac:dyDescent="0.35">
      <c r="H6936" s="83">
        <f t="shared" si="155"/>
        <v>0</v>
      </c>
    </row>
    <row r="6937" spans="8:8" hidden="1" x14ac:dyDescent="0.35">
      <c r="H6937" s="83">
        <f t="shared" si="155"/>
        <v>0</v>
      </c>
    </row>
    <row r="6938" spans="8:8" hidden="1" x14ac:dyDescent="0.35">
      <c r="H6938" s="83">
        <f t="shared" si="155"/>
        <v>0</v>
      </c>
    </row>
    <row r="6939" spans="8:8" hidden="1" x14ac:dyDescent="0.35">
      <c r="H6939" s="83">
        <f t="shared" si="155"/>
        <v>0</v>
      </c>
    </row>
    <row r="6940" spans="8:8" hidden="1" x14ac:dyDescent="0.35">
      <c r="H6940" s="83">
        <f t="shared" si="155"/>
        <v>0</v>
      </c>
    </row>
    <row r="6941" spans="8:8" hidden="1" x14ac:dyDescent="0.35">
      <c r="H6941" s="83">
        <f t="shared" si="155"/>
        <v>0</v>
      </c>
    </row>
    <row r="6942" spans="8:8" hidden="1" x14ac:dyDescent="0.35">
      <c r="H6942" s="83">
        <f t="shared" si="155"/>
        <v>0</v>
      </c>
    </row>
    <row r="6943" spans="8:8" hidden="1" x14ac:dyDescent="0.35">
      <c r="H6943" s="83">
        <f t="shared" si="155"/>
        <v>0</v>
      </c>
    </row>
    <row r="6944" spans="8:8" hidden="1" x14ac:dyDescent="0.35">
      <c r="H6944" s="83">
        <f t="shared" si="155"/>
        <v>0</v>
      </c>
    </row>
    <row r="6945" spans="8:8" hidden="1" x14ac:dyDescent="0.35">
      <c r="H6945" s="83">
        <f t="shared" si="155"/>
        <v>0</v>
      </c>
    </row>
    <row r="6946" spans="8:8" hidden="1" x14ac:dyDescent="0.35">
      <c r="H6946" s="83">
        <f t="shared" si="155"/>
        <v>0</v>
      </c>
    </row>
    <row r="6947" spans="8:8" hidden="1" x14ac:dyDescent="0.35">
      <c r="H6947" s="83">
        <f t="shared" si="155"/>
        <v>0</v>
      </c>
    </row>
    <row r="6948" spans="8:8" hidden="1" x14ac:dyDescent="0.35">
      <c r="H6948" s="83">
        <f t="shared" si="155"/>
        <v>0</v>
      </c>
    </row>
    <row r="6949" spans="8:8" hidden="1" x14ac:dyDescent="0.35">
      <c r="H6949" s="83">
        <f t="shared" si="155"/>
        <v>0</v>
      </c>
    </row>
    <row r="6950" spans="8:8" hidden="1" x14ac:dyDescent="0.35">
      <c r="H6950" s="83">
        <f t="shared" si="155"/>
        <v>0</v>
      </c>
    </row>
    <row r="6951" spans="8:8" hidden="1" x14ac:dyDescent="0.35">
      <c r="H6951" s="83">
        <f t="shared" si="155"/>
        <v>0</v>
      </c>
    </row>
    <row r="6952" spans="8:8" hidden="1" x14ac:dyDescent="0.35">
      <c r="H6952" s="83">
        <f t="shared" si="155"/>
        <v>0</v>
      </c>
    </row>
    <row r="6953" spans="8:8" hidden="1" x14ac:dyDescent="0.35">
      <c r="H6953" s="83">
        <f t="shared" si="155"/>
        <v>0</v>
      </c>
    </row>
    <row r="6954" spans="8:8" hidden="1" x14ac:dyDescent="0.35">
      <c r="H6954" s="83">
        <f t="shared" si="155"/>
        <v>0</v>
      </c>
    </row>
    <row r="6955" spans="8:8" hidden="1" x14ac:dyDescent="0.35">
      <c r="H6955" s="83">
        <f t="shared" si="155"/>
        <v>0</v>
      </c>
    </row>
    <row r="6956" spans="8:8" hidden="1" x14ac:dyDescent="0.35">
      <c r="H6956" s="83">
        <f t="shared" si="155"/>
        <v>0</v>
      </c>
    </row>
    <row r="6957" spans="8:8" hidden="1" x14ac:dyDescent="0.35">
      <c r="H6957" s="83">
        <f t="shared" si="155"/>
        <v>0</v>
      </c>
    </row>
    <row r="6958" spans="8:8" hidden="1" x14ac:dyDescent="0.35">
      <c r="H6958" s="83">
        <f t="shared" si="155"/>
        <v>0</v>
      </c>
    </row>
    <row r="6959" spans="8:8" hidden="1" x14ac:dyDescent="0.35">
      <c r="H6959" s="83">
        <f t="shared" si="155"/>
        <v>0</v>
      </c>
    </row>
    <row r="6960" spans="8:8" hidden="1" x14ac:dyDescent="0.35">
      <c r="H6960" s="83">
        <f t="shared" si="155"/>
        <v>0</v>
      </c>
    </row>
    <row r="6961" spans="8:8" hidden="1" x14ac:dyDescent="0.35">
      <c r="H6961" s="83">
        <f t="shared" si="155"/>
        <v>0</v>
      </c>
    </row>
    <row r="6962" spans="8:8" hidden="1" x14ac:dyDescent="0.35">
      <c r="H6962" s="83">
        <f t="shared" si="155"/>
        <v>0</v>
      </c>
    </row>
    <row r="6963" spans="8:8" hidden="1" x14ac:dyDescent="0.35">
      <c r="H6963" s="83">
        <f t="shared" si="155"/>
        <v>0</v>
      </c>
    </row>
    <row r="6964" spans="8:8" hidden="1" x14ac:dyDescent="0.35">
      <c r="H6964" s="83">
        <f t="shared" si="155"/>
        <v>0</v>
      </c>
    </row>
    <row r="6965" spans="8:8" hidden="1" x14ac:dyDescent="0.35">
      <c r="H6965" s="83">
        <f t="shared" si="155"/>
        <v>0</v>
      </c>
    </row>
    <row r="6966" spans="8:8" hidden="1" x14ac:dyDescent="0.35">
      <c r="H6966" s="83">
        <f t="shared" si="155"/>
        <v>0</v>
      </c>
    </row>
    <row r="6967" spans="8:8" hidden="1" x14ac:dyDescent="0.35">
      <c r="H6967" s="83">
        <f t="shared" si="155"/>
        <v>0</v>
      </c>
    </row>
    <row r="6968" spans="8:8" hidden="1" x14ac:dyDescent="0.35">
      <c r="H6968" s="83">
        <f t="shared" si="155"/>
        <v>0</v>
      </c>
    </row>
    <row r="6969" spans="8:8" hidden="1" x14ac:dyDescent="0.35">
      <c r="H6969" s="83">
        <f t="shared" si="155"/>
        <v>0</v>
      </c>
    </row>
    <row r="6970" spans="8:8" hidden="1" x14ac:dyDescent="0.35">
      <c r="H6970" s="83">
        <f t="shared" si="155"/>
        <v>0</v>
      </c>
    </row>
    <row r="6971" spans="8:8" hidden="1" x14ac:dyDescent="0.35">
      <c r="H6971" s="83">
        <f t="shared" si="155"/>
        <v>0</v>
      </c>
    </row>
    <row r="6972" spans="8:8" hidden="1" x14ac:dyDescent="0.35">
      <c r="H6972" s="83">
        <f t="shared" si="155"/>
        <v>0</v>
      </c>
    </row>
    <row r="6973" spans="8:8" hidden="1" x14ac:dyDescent="0.35">
      <c r="H6973" s="83">
        <f t="shared" si="155"/>
        <v>0</v>
      </c>
    </row>
    <row r="6974" spans="8:8" hidden="1" x14ac:dyDescent="0.35">
      <c r="H6974" s="83">
        <f t="shared" si="155"/>
        <v>0</v>
      </c>
    </row>
    <row r="6975" spans="8:8" hidden="1" x14ac:dyDescent="0.35">
      <c r="H6975" s="83">
        <f t="shared" si="155"/>
        <v>0</v>
      </c>
    </row>
    <row r="6976" spans="8:8" hidden="1" x14ac:dyDescent="0.35">
      <c r="H6976" s="83">
        <f t="shared" si="155"/>
        <v>0</v>
      </c>
    </row>
    <row r="6977" spans="8:8" hidden="1" x14ac:dyDescent="0.35">
      <c r="H6977" s="83">
        <f t="shared" si="155"/>
        <v>0</v>
      </c>
    </row>
    <row r="6978" spans="8:8" hidden="1" x14ac:dyDescent="0.35">
      <c r="H6978" s="83">
        <f t="shared" si="155"/>
        <v>0</v>
      </c>
    </row>
    <row r="6979" spans="8:8" hidden="1" x14ac:dyDescent="0.35">
      <c r="H6979" s="83">
        <f t="shared" si="155"/>
        <v>0</v>
      </c>
    </row>
    <row r="6980" spans="8:8" hidden="1" x14ac:dyDescent="0.35">
      <c r="H6980" s="83">
        <f t="shared" ref="H6980:H7043" si="156">J6980-I6980</f>
        <v>0</v>
      </c>
    </row>
    <row r="6981" spans="8:8" hidden="1" x14ac:dyDescent="0.35">
      <c r="H6981" s="83">
        <f t="shared" si="156"/>
        <v>0</v>
      </c>
    </row>
    <row r="6982" spans="8:8" hidden="1" x14ac:dyDescent="0.35">
      <c r="H6982" s="83">
        <f t="shared" si="156"/>
        <v>0</v>
      </c>
    </row>
    <row r="6983" spans="8:8" hidden="1" x14ac:dyDescent="0.35">
      <c r="H6983" s="83">
        <f t="shared" si="156"/>
        <v>0</v>
      </c>
    </row>
    <row r="6984" spans="8:8" hidden="1" x14ac:dyDescent="0.35">
      <c r="H6984" s="83">
        <f t="shared" si="156"/>
        <v>0</v>
      </c>
    </row>
    <row r="6985" spans="8:8" hidden="1" x14ac:dyDescent="0.35">
      <c r="H6985" s="83">
        <f t="shared" si="156"/>
        <v>0</v>
      </c>
    </row>
    <row r="6986" spans="8:8" hidden="1" x14ac:dyDescent="0.35">
      <c r="H6986" s="83">
        <f t="shared" si="156"/>
        <v>0</v>
      </c>
    </row>
    <row r="6987" spans="8:8" hidden="1" x14ac:dyDescent="0.35">
      <c r="H6987" s="83">
        <f t="shared" si="156"/>
        <v>0</v>
      </c>
    </row>
    <row r="6988" spans="8:8" hidden="1" x14ac:dyDescent="0.35">
      <c r="H6988" s="83">
        <f t="shared" si="156"/>
        <v>0</v>
      </c>
    </row>
    <row r="6989" spans="8:8" hidden="1" x14ac:dyDescent="0.35">
      <c r="H6989" s="83">
        <f t="shared" si="156"/>
        <v>0</v>
      </c>
    </row>
    <row r="6990" spans="8:8" hidden="1" x14ac:dyDescent="0.35">
      <c r="H6990" s="83">
        <f t="shared" si="156"/>
        <v>0</v>
      </c>
    </row>
    <row r="6991" spans="8:8" hidden="1" x14ac:dyDescent="0.35">
      <c r="H6991" s="83">
        <f t="shared" si="156"/>
        <v>0</v>
      </c>
    </row>
    <row r="6992" spans="8:8" hidden="1" x14ac:dyDescent="0.35">
      <c r="H6992" s="83">
        <f t="shared" si="156"/>
        <v>0</v>
      </c>
    </row>
    <row r="6993" spans="8:8" hidden="1" x14ac:dyDescent="0.35">
      <c r="H6993" s="83">
        <f t="shared" si="156"/>
        <v>0</v>
      </c>
    </row>
    <row r="6994" spans="8:8" hidden="1" x14ac:dyDescent="0.35">
      <c r="H6994" s="83">
        <f t="shared" si="156"/>
        <v>0</v>
      </c>
    </row>
    <row r="6995" spans="8:8" hidden="1" x14ac:dyDescent="0.35">
      <c r="H6995" s="83">
        <f t="shared" si="156"/>
        <v>0</v>
      </c>
    </row>
    <row r="6996" spans="8:8" hidden="1" x14ac:dyDescent="0.35">
      <c r="H6996" s="83">
        <f t="shared" si="156"/>
        <v>0</v>
      </c>
    </row>
    <row r="6997" spans="8:8" hidden="1" x14ac:dyDescent="0.35">
      <c r="H6997" s="83">
        <f t="shared" si="156"/>
        <v>0</v>
      </c>
    </row>
    <row r="6998" spans="8:8" hidden="1" x14ac:dyDescent="0.35">
      <c r="H6998" s="83">
        <f t="shared" si="156"/>
        <v>0</v>
      </c>
    </row>
    <row r="6999" spans="8:8" hidden="1" x14ac:dyDescent="0.35">
      <c r="H6999" s="83">
        <f t="shared" si="156"/>
        <v>0</v>
      </c>
    </row>
    <row r="7000" spans="8:8" hidden="1" x14ac:dyDescent="0.35">
      <c r="H7000" s="83">
        <f t="shared" si="156"/>
        <v>0</v>
      </c>
    </row>
    <row r="7001" spans="8:8" hidden="1" x14ac:dyDescent="0.35">
      <c r="H7001" s="83">
        <f t="shared" si="156"/>
        <v>0</v>
      </c>
    </row>
    <row r="7002" spans="8:8" hidden="1" x14ac:dyDescent="0.35">
      <c r="H7002" s="83">
        <f t="shared" si="156"/>
        <v>0</v>
      </c>
    </row>
    <row r="7003" spans="8:8" hidden="1" x14ac:dyDescent="0.35">
      <c r="H7003" s="83">
        <f t="shared" si="156"/>
        <v>0</v>
      </c>
    </row>
    <row r="7004" spans="8:8" hidden="1" x14ac:dyDescent="0.35">
      <c r="H7004" s="83">
        <f t="shared" si="156"/>
        <v>0</v>
      </c>
    </row>
    <row r="7005" spans="8:8" hidden="1" x14ac:dyDescent="0.35">
      <c r="H7005" s="83">
        <f t="shared" si="156"/>
        <v>0</v>
      </c>
    </row>
    <row r="7006" spans="8:8" hidden="1" x14ac:dyDescent="0.35">
      <c r="H7006" s="83">
        <f t="shared" si="156"/>
        <v>0</v>
      </c>
    </row>
    <row r="7007" spans="8:8" hidden="1" x14ac:dyDescent="0.35">
      <c r="H7007" s="83">
        <f t="shared" si="156"/>
        <v>0</v>
      </c>
    </row>
    <row r="7008" spans="8:8" hidden="1" x14ac:dyDescent="0.35">
      <c r="H7008" s="83">
        <f t="shared" si="156"/>
        <v>0</v>
      </c>
    </row>
    <row r="7009" spans="8:8" hidden="1" x14ac:dyDescent="0.35">
      <c r="H7009" s="83">
        <f t="shared" si="156"/>
        <v>0</v>
      </c>
    </row>
    <row r="7010" spans="8:8" hidden="1" x14ac:dyDescent="0.35">
      <c r="H7010" s="83">
        <f t="shared" si="156"/>
        <v>0</v>
      </c>
    </row>
    <row r="7011" spans="8:8" hidden="1" x14ac:dyDescent="0.35">
      <c r="H7011" s="83">
        <f t="shared" si="156"/>
        <v>0</v>
      </c>
    </row>
    <row r="7012" spans="8:8" hidden="1" x14ac:dyDescent="0.35">
      <c r="H7012" s="83">
        <f t="shared" si="156"/>
        <v>0</v>
      </c>
    </row>
    <row r="7013" spans="8:8" hidden="1" x14ac:dyDescent="0.35">
      <c r="H7013" s="83">
        <f t="shared" si="156"/>
        <v>0</v>
      </c>
    </row>
    <row r="7014" spans="8:8" hidden="1" x14ac:dyDescent="0.35">
      <c r="H7014" s="83">
        <f t="shared" si="156"/>
        <v>0</v>
      </c>
    </row>
    <row r="7015" spans="8:8" hidden="1" x14ac:dyDescent="0.35">
      <c r="H7015" s="83">
        <f t="shared" si="156"/>
        <v>0</v>
      </c>
    </row>
    <row r="7016" spans="8:8" hidden="1" x14ac:dyDescent="0.35">
      <c r="H7016" s="83">
        <f t="shared" si="156"/>
        <v>0</v>
      </c>
    </row>
    <row r="7017" spans="8:8" hidden="1" x14ac:dyDescent="0.35">
      <c r="H7017" s="83">
        <f t="shared" si="156"/>
        <v>0</v>
      </c>
    </row>
    <row r="7018" spans="8:8" hidden="1" x14ac:dyDescent="0.35">
      <c r="H7018" s="83">
        <f t="shared" si="156"/>
        <v>0</v>
      </c>
    </row>
    <row r="7019" spans="8:8" hidden="1" x14ac:dyDescent="0.35">
      <c r="H7019" s="83">
        <f t="shared" si="156"/>
        <v>0</v>
      </c>
    </row>
    <row r="7020" spans="8:8" hidden="1" x14ac:dyDescent="0.35">
      <c r="H7020" s="83">
        <f t="shared" si="156"/>
        <v>0</v>
      </c>
    </row>
    <row r="7021" spans="8:8" hidden="1" x14ac:dyDescent="0.35">
      <c r="H7021" s="83">
        <f t="shared" si="156"/>
        <v>0</v>
      </c>
    </row>
    <row r="7022" spans="8:8" hidden="1" x14ac:dyDescent="0.35">
      <c r="H7022" s="83">
        <f t="shared" si="156"/>
        <v>0</v>
      </c>
    </row>
    <row r="7023" spans="8:8" hidden="1" x14ac:dyDescent="0.35">
      <c r="H7023" s="83">
        <f t="shared" si="156"/>
        <v>0</v>
      </c>
    </row>
    <row r="7024" spans="8:8" hidden="1" x14ac:dyDescent="0.35">
      <c r="H7024" s="83">
        <f t="shared" si="156"/>
        <v>0</v>
      </c>
    </row>
    <row r="7025" spans="8:8" hidden="1" x14ac:dyDescent="0.35">
      <c r="H7025" s="83">
        <f t="shared" si="156"/>
        <v>0</v>
      </c>
    </row>
    <row r="7026" spans="8:8" hidden="1" x14ac:dyDescent="0.35">
      <c r="H7026" s="83">
        <f t="shared" si="156"/>
        <v>0</v>
      </c>
    </row>
    <row r="7027" spans="8:8" hidden="1" x14ac:dyDescent="0.35">
      <c r="H7027" s="83">
        <f t="shared" si="156"/>
        <v>0</v>
      </c>
    </row>
    <row r="7028" spans="8:8" hidden="1" x14ac:dyDescent="0.35">
      <c r="H7028" s="83">
        <f t="shared" si="156"/>
        <v>0</v>
      </c>
    </row>
    <row r="7029" spans="8:8" hidden="1" x14ac:dyDescent="0.35">
      <c r="H7029" s="83">
        <f t="shared" si="156"/>
        <v>0</v>
      </c>
    </row>
    <row r="7030" spans="8:8" hidden="1" x14ac:dyDescent="0.35">
      <c r="H7030" s="83">
        <f t="shared" si="156"/>
        <v>0</v>
      </c>
    </row>
    <row r="7031" spans="8:8" hidden="1" x14ac:dyDescent="0.35">
      <c r="H7031" s="83">
        <f t="shared" si="156"/>
        <v>0</v>
      </c>
    </row>
    <row r="7032" spans="8:8" hidden="1" x14ac:dyDescent="0.35">
      <c r="H7032" s="83">
        <f t="shared" si="156"/>
        <v>0</v>
      </c>
    </row>
    <row r="7033" spans="8:8" hidden="1" x14ac:dyDescent="0.35">
      <c r="H7033" s="83">
        <f t="shared" si="156"/>
        <v>0</v>
      </c>
    </row>
    <row r="7034" spans="8:8" hidden="1" x14ac:dyDescent="0.35">
      <c r="H7034" s="83">
        <f t="shared" si="156"/>
        <v>0</v>
      </c>
    </row>
    <row r="7035" spans="8:8" hidden="1" x14ac:dyDescent="0.35">
      <c r="H7035" s="83">
        <f t="shared" si="156"/>
        <v>0</v>
      </c>
    </row>
    <row r="7036" spans="8:8" hidden="1" x14ac:dyDescent="0.35">
      <c r="H7036" s="83">
        <f t="shared" si="156"/>
        <v>0</v>
      </c>
    </row>
    <row r="7037" spans="8:8" hidden="1" x14ac:dyDescent="0.35">
      <c r="H7037" s="83">
        <f t="shared" si="156"/>
        <v>0</v>
      </c>
    </row>
    <row r="7038" spans="8:8" hidden="1" x14ac:dyDescent="0.35">
      <c r="H7038" s="83">
        <f t="shared" si="156"/>
        <v>0</v>
      </c>
    </row>
    <row r="7039" spans="8:8" hidden="1" x14ac:dyDescent="0.35">
      <c r="H7039" s="83">
        <f t="shared" si="156"/>
        <v>0</v>
      </c>
    </row>
    <row r="7040" spans="8:8" hidden="1" x14ac:dyDescent="0.35">
      <c r="H7040" s="83">
        <f t="shared" si="156"/>
        <v>0</v>
      </c>
    </row>
    <row r="7041" spans="8:8" hidden="1" x14ac:dyDescent="0.35">
      <c r="H7041" s="83">
        <f t="shared" si="156"/>
        <v>0</v>
      </c>
    </row>
    <row r="7042" spans="8:8" hidden="1" x14ac:dyDescent="0.35">
      <c r="H7042" s="83">
        <f t="shared" si="156"/>
        <v>0</v>
      </c>
    </row>
    <row r="7043" spans="8:8" hidden="1" x14ac:dyDescent="0.35">
      <c r="H7043" s="83">
        <f t="shared" si="156"/>
        <v>0</v>
      </c>
    </row>
    <row r="7044" spans="8:8" hidden="1" x14ac:dyDescent="0.35">
      <c r="H7044" s="83">
        <f t="shared" ref="H7044:H7107" si="157">J7044-I7044</f>
        <v>0</v>
      </c>
    </row>
    <row r="7045" spans="8:8" hidden="1" x14ac:dyDescent="0.35">
      <c r="H7045" s="83">
        <f t="shared" si="157"/>
        <v>0</v>
      </c>
    </row>
    <row r="7046" spans="8:8" hidden="1" x14ac:dyDescent="0.35">
      <c r="H7046" s="83">
        <f t="shared" si="157"/>
        <v>0</v>
      </c>
    </row>
    <row r="7047" spans="8:8" hidden="1" x14ac:dyDescent="0.35">
      <c r="H7047" s="83">
        <f t="shared" si="157"/>
        <v>0</v>
      </c>
    </row>
    <row r="7048" spans="8:8" hidden="1" x14ac:dyDescent="0.35">
      <c r="H7048" s="83">
        <f t="shared" si="157"/>
        <v>0</v>
      </c>
    </row>
    <row r="7049" spans="8:8" hidden="1" x14ac:dyDescent="0.35">
      <c r="H7049" s="83">
        <f t="shared" si="157"/>
        <v>0</v>
      </c>
    </row>
    <row r="7050" spans="8:8" hidden="1" x14ac:dyDescent="0.35">
      <c r="H7050" s="83">
        <f t="shared" si="157"/>
        <v>0</v>
      </c>
    </row>
    <row r="7051" spans="8:8" hidden="1" x14ac:dyDescent="0.35">
      <c r="H7051" s="83">
        <f t="shared" si="157"/>
        <v>0</v>
      </c>
    </row>
    <row r="7052" spans="8:8" hidden="1" x14ac:dyDescent="0.35">
      <c r="H7052" s="83">
        <f t="shared" si="157"/>
        <v>0</v>
      </c>
    </row>
    <row r="7053" spans="8:8" hidden="1" x14ac:dyDescent="0.35">
      <c r="H7053" s="83">
        <f t="shared" si="157"/>
        <v>0</v>
      </c>
    </row>
    <row r="7054" spans="8:8" hidden="1" x14ac:dyDescent="0.35">
      <c r="H7054" s="83">
        <f t="shared" si="157"/>
        <v>0</v>
      </c>
    </row>
    <row r="7055" spans="8:8" hidden="1" x14ac:dyDescent="0.35">
      <c r="H7055" s="83">
        <f t="shared" si="157"/>
        <v>0</v>
      </c>
    </row>
    <row r="7056" spans="8:8" hidden="1" x14ac:dyDescent="0.35">
      <c r="H7056" s="83">
        <f t="shared" si="157"/>
        <v>0</v>
      </c>
    </row>
    <row r="7057" spans="8:8" hidden="1" x14ac:dyDescent="0.35">
      <c r="H7057" s="83">
        <f t="shared" si="157"/>
        <v>0</v>
      </c>
    </row>
    <row r="7058" spans="8:8" hidden="1" x14ac:dyDescent="0.35">
      <c r="H7058" s="83">
        <f t="shared" si="157"/>
        <v>0</v>
      </c>
    </row>
    <row r="7059" spans="8:8" hidden="1" x14ac:dyDescent="0.35">
      <c r="H7059" s="83">
        <f t="shared" si="157"/>
        <v>0</v>
      </c>
    </row>
    <row r="7060" spans="8:8" hidden="1" x14ac:dyDescent="0.35">
      <c r="H7060" s="83">
        <f t="shared" si="157"/>
        <v>0</v>
      </c>
    </row>
    <row r="7061" spans="8:8" hidden="1" x14ac:dyDescent="0.35">
      <c r="H7061" s="83">
        <f t="shared" si="157"/>
        <v>0</v>
      </c>
    </row>
    <row r="7062" spans="8:8" hidden="1" x14ac:dyDescent="0.35">
      <c r="H7062" s="83">
        <f t="shared" si="157"/>
        <v>0</v>
      </c>
    </row>
    <row r="7063" spans="8:8" hidden="1" x14ac:dyDescent="0.35">
      <c r="H7063" s="83">
        <f t="shared" si="157"/>
        <v>0</v>
      </c>
    </row>
    <row r="7064" spans="8:8" hidden="1" x14ac:dyDescent="0.35">
      <c r="H7064" s="83">
        <f t="shared" si="157"/>
        <v>0</v>
      </c>
    </row>
    <row r="7065" spans="8:8" hidden="1" x14ac:dyDescent="0.35">
      <c r="H7065" s="83">
        <f t="shared" si="157"/>
        <v>0</v>
      </c>
    </row>
    <row r="7066" spans="8:8" hidden="1" x14ac:dyDescent="0.35">
      <c r="H7066" s="83">
        <f t="shared" si="157"/>
        <v>0</v>
      </c>
    </row>
    <row r="7067" spans="8:8" hidden="1" x14ac:dyDescent="0.35">
      <c r="H7067" s="83">
        <f t="shared" si="157"/>
        <v>0</v>
      </c>
    </row>
    <row r="7068" spans="8:8" hidden="1" x14ac:dyDescent="0.35">
      <c r="H7068" s="83">
        <f t="shared" si="157"/>
        <v>0</v>
      </c>
    </row>
    <row r="7069" spans="8:8" hidden="1" x14ac:dyDescent="0.35">
      <c r="H7069" s="83">
        <f t="shared" si="157"/>
        <v>0</v>
      </c>
    </row>
    <row r="7070" spans="8:8" hidden="1" x14ac:dyDescent="0.35">
      <c r="H7070" s="83">
        <f t="shared" si="157"/>
        <v>0</v>
      </c>
    </row>
    <row r="7071" spans="8:8" hidden="1" x14ac:dyDescent="0.35">
      <c r="H7071" s="83">
        <f t="shared" si="157"/>
        <v>0</v>
      </c>
    </row>
    <row r="7072" spans="8:8" hidden="1" x14ac:dyDescent="0.35">
      <c r="H7072" s="83">
        <f t="shared" si="157"/>
        <v>0</v>
      </c>
    </row>
    <row r="7073" spans="8:8" hidden="1" x14ac:dyDescent="0.35">
      <c r="H7073" s="83">
        <f t="shared" si="157"/>
        <v>0</v>
      </c>
    </row>
    <row r="7074" spans="8:8" hidden="1" x14ac:dyDescent="0.35">
      <c r="H7074" s="83">
        <f t="shared" si="157"/>
        <v>0</v>
      </c>
    </row>
    <row r="7075" spans="8:8" hidden="1" x14ac:dyDescent="0.35">
      <c r="H7075" s="83">
        <f t="shared" si="157"/>
        <v>0</v>
      </c>
    </row>
    <row r="7076" spans="8:8" hidden="1" x14ac:dyDescent="0.35">
      <c r="H7076" s="83">
        <f t="shared" si="157"/>
        <v>0</v>
      </c>
    </row>
    <row r="7077" spans="8:8" hidden="1" x14ac:dyDescent="0.35">
      <c r="H7077" s="83">
        <f t="shared" si="157"/>
        <v>0</v>
      </c>
    </row>
    <row r="7078" spans="8:8" hidden="1" x14ac:dyDescent="0.35">
      <c r="H7078" s="83">
        <f t="shared" si="157"/>
        <v>0</v>
      </c>
    </row>
    <row r="7079" spans="8:8" hidden="1" x14ac:dyDescent="0.35">
      <c r="H7079" s="83">
        <f t="shared" si="157"/>
        <v>0</v>
      </c>
    </row>
    <row r="7080" spans="8:8" hidden="1" x14ac:dyDescent="0.35">
      <c r="H7080" s="83">
        <f t="shared" si="157"/>
        <v>0</v>
      </c>
    </row>
    <row r="7081" spans="8:8" hidden="1" x14ac:dyDescent="0.35">
      <c r="H7081" s="83">
        <f t="shared" si="157"/>
        <v>0</v>
      </c>
    </row>
    <row r="7082" spans="8:8" hidden="1" x14ac:dyDescent="0.35">
      <c r="H7082" s="83">
        <f t="shared" si="157"/>
        <v>0</v>
      </c>
    </row>
    <row r="7083" spans="8:8" hidden="1" x14ac:dyDescent="0.35">
      <c r="H7083" s="83">
        <f t="shared" si="157"/>
        <v>0</v>
      </c>
    </row>
    <row r="7084" spans="8:8" hidden="1" x14ac:dyDescent="0.35">
      <c r="H7084" s="83">
        <f t="shared" si="157"/>
        <v>0</v>
      </c>
    </row>
    <row r="7085" spans="8:8" hidden="1" x14ac:dyDescent="0.35">
      <c r="H7085" s="83">
        <f t="shared" si="157"/>
        <v>0</v>
      </c>
    </row>
    <row r="7086" spans="8:8" hidden="1" x14ac:dyDescent="0.35">
      <c r="H7086" s="83">
        <f t="shared" si="157"/>
        <v>0</v>
      </c>
    </row>
    <row r="7087" spans="8:8" hidden="1" x14ac:dyDescent="0.35">
      <c r="H7087" s="83">
        <f t="shared" si="157"/>
        <v>0</v>
      </c>
    </row>
    <row r="7088" spans="8:8" hidden="1" x14ac:dyDescent="0.35">
      <c r="H7088" s="83">
        <f t="shared" si="157"/>
        <v>0</v>
      </c>
    </row>
    <row r="7089" spans="8:8" hidden="1" x14ac:dyDescent="0.35">
      <c r="H7089" s="83">
        <f t="shared" si="157"/>
        <v>0</v>
      </c>
    </row>
    <row r="7090" spans="8:8" hidden="1" x14ac:dyDescent="0.35">
      <c r="H7090" s="83">
        <f t="shared" si="157"/>
        <v>0</v>
      </c>
    </row>
    <row r="7091" spans="8:8" hidden="1" x14ac:dyDescent="0.35">
      <c r="H7091" s="83">
        <f t="shared" si="157"/>
        <v>0</v>
      </c>
    </row>
    <row r="7092" spans="8:8" hidden="1" x14ac:dyDescent="0.35">
      <c r="H7092" s="83">
        <f t="shared" si="157"/>
        <v>0</v>
      </c>
    </row>
    <row r="7093" spans="8:8" hidden="1" x14ac:dyDescent="0.35">
      <c r="H7093" s="83">
        <f t="shared" si="157"/>
        <v>0</v>
      </c>
    </row>
    <row r="7094" spans="8:8" hidden="1" x14ac:dyDescent="0.35">
      <c r="H7094" s="83">
        <f t="shared" si="157"/>
        <v>0</v>
      </c>
    </row>
    <row r="7095" spans="8:8" hidden="1" x14ac:dyDescent="0.35">
      <c r="H7095" s="83">
        <f t="shared" si="157"/>
        <v>0</v>
      </c>
    </row>
    <row r="7096" spans="8:8" hidden="1" x14ac:dyDescent="0.35">
      <c r="H7096" s="83">
        <f t="shared" si="157"/>
        <v>0</v>
      </c>
    </row>
    <row r="7097" spans="8:8" hidden="1" x14ac:dyDescent="0.35">
      <c r="H7097" s="83">
        <f t="shared" si="157"/>
        <v>0</v>
      </c>
    </row>
    <row r="7098" spans="8:8" hidden="1" x14ac:dyDescent="0.35">
      <c r="H7098" s="83">
        <f t="shared" si="157"/>
        <v>0</v>
      </c>
    </row>
    <row r="7099" spans="8:8" hidden="1" x14ac:dyDescent="0.35">
      <c r="H7099" s="83">
        <f t="shared" si="157"/>
        <v>0</v>
      </c>
    </row>
    <row r="7100" spans="8:8" hidden="1" x14ac:dyDescent="0.35">
      <c r="H7100" s="83">
        <f t="shared" si="157"/>
        <v>0</v>
      </c>
    </row>
    <row r="7101" spans="8:8" hidden="1" x14ac:dyDescent="0.35">
      <c r="H7101" s="83">
        <f t="shared" si="157"/>
        <v>0</v>
      </c>
    </row>
    <row r="7102" spans="8:8" hidden="1" x14ac:dyDescent="0.35">
      <c r="H7102" s="83">
        <f t="shared" si="157"/>
        <v>0</v>
      </c>
    </row>
    <row r="7103" spans="8:8" hidden="1" x14ac:dyDescent="0.35">
      <c r="H7103" s="83">
        <f t="shared" si="157"/>
        <v>0</v>
      </c>
    </row>
    <row r="7104" spans="8:8" hidden="1" x14ac:dyDescent="0.35">
      <c r="H7104" s="83">
        <f t="shared" si="157"/>
        <v>0</v>
      </c>
    </row>
    <row r="7105" spans="8:8" hidden="1" x14ac:dyDescent="0.35">
      <c r="H7105" s="83">
        <f t="shared" si="157"/>
        <v>0</v>
      </c>
    </row>
    <row r="7106" spans="8:8" hidden="1" x14ac:dyDescent="0.35">
      <c r="H7106" s="83">
        <f t="shared" si="157"/>
        <v>0</v>
      </c>
    </row>
    <row r="7107" spans="8:8" hidden="1" x14ac:dyDescent="0.35">
      <c r="H7107" s="83">
        <f t="shared" si="157"/>
        <v>0</v>
      </c>
    </row>
    <row r="7108" spans="8:8" hidden="1" x14ac:dyDescent="0.35">
      <c r="H7108" s="83">
        <f t="shared" ref="H7108:H7171" si="158">J7108-I7108</f>
        <v>0</v>
      </c>
    </row>
    <row r="7109" spans="8:8" hidden="1" x14ac:dyDescent="0.35">
      <c r="H7109" s="83">
        <f t="shared" si="158"/>
        <v>0</v>
      </c>
    </row>
    <row r="7110" spans="8:8" hidden="1" x14ac:dyDescent="0.35">
      <c r="H7110" s="83">
        <f t="shared" si="158"/>
        <v>0</v>
      </c>
    </row>
    <row r="7111" spans="8:8" hidden="1" x14ac:dyDescent="0.35">
      <c r="H7111" s="83">
        <f t="shared" si="158"/>
        <v>0</v>
      </c>
    </row>
    <row r="7112" spans="8:8" hidden="1" x14ac:dyDescent="0.35">
      <c r="H7112" s="83">
        <f t="shared" si="158"/>
        <v>0</v>
      </c>
    </row>
    <row r="7113" spans="8:8" hidden="1" x14ac:dyDescent="0.35">
      <c r="H7113" s="83">
        <f t="shared" si="158"/>
        <v>0</v>
      </c>
    </row>
    <row r="7114" spans="8:8" hidden="1" x14ac:dyDescent="0.35">
      <c r="H7114" s="83">
        <f t="shared" si="158"/>
        <v>0</v>
      </c>
    </row>
    <row r="7115" spans="8:8" hidden="1" x14ac:dyDescent="0.35">
      <c r="H7115" s="83">
        <f t="shared" si="158"/>
        <v>0</v>
      </c>
    </row>
    <row r="7116" spans="8:8" hidden="1" x14ac:dyDescent="0.35">
      <c r="H7116" s="83">
        <f t="shared" si="158"/>
        <v>0</v>
      </c>
    </row>
    <row r="7117" spans="8:8" hidden="1" x14ac:dyDescent="0.35">
      <c r="H7117" s="83">
        <f t="shared" si="158"/>
        <v>0</v>
      </c>
    </row>
    <row r="7118" spans="8:8" hidden="1" x14ac:dyDescent="0.35">
      <c r="H7118" s="83">
        <f t="shared" si="158"/>
        <v>0</v>
      </c>
    </row>
    <row r="7119" spans="8:8" hidden="1" x14ac:dyDescent="0.35">
      <c r="H7119" s="83">
        <f t="shared" si="158"/>
        <v>0</v>
      </c>
    </row>
    <row r="7120" spans="8:8" hidden="1" x14ac:dyDescent="0.35">
      <c r="H7120" s="83">
        <f t="shared" si="158"/>
        <v>0</v>
      </c>
    </row>
    <row r="7121" spans="8:8" hidden="1" x14ac:dyDescent="0.35">
      <c r="H7121" s="83">
        <f t="shared" si="158"/>
        <v>0</v>
      </c>
    </row>
    <row r="7122" spans="8:8" hidden="1" x14ac:dyDescent="0.35">
      <c r="H7122" s="83">
        <f t="shared" si="158"/>
        <v>0</v>
      </c>
    </row>
    <row r="7123" spans="8:8" hidden="1" x14ac:dyDescent="0.35">
      <c r="H7123" s="83">
        <f t="shared" si="158"/>
        <v>0</v>
      </c>
    </row>
    <row r="7124" spans="8:8" hidden="1" x14ac:dyDescent="0.35">
      <c r="H7124" s="83">
        <f t="shared" si="158"/>
        <v>0</v>
      </c>
    </row>
    <row r="7125" spans="8:8" hidden="1" x14ac:dyDescent="0.35">
      <c r="H7125" s="83">
        <f t="shared" si="158"/>
        <v>0</v>
      </c>
    </row>
    <row r="7126" spans="8:8" hidden="1" x14ac:dyDescent="0.35">
      <c r="H7126" s="83">
        <f t="shared" si="158"/>
        <v>0</v>
      </c>
    </row>
    <row r="7127" spans="8:8" hidden="1" x14ac:dyDescent="0.35">
      <c r="H7127" s="83">
        <f t="shared" si="158"/>
        <v>0</v>
      </c>
    </row>
    <row r="7128" spans="8:8" hidden="1" x14ac:dyDescent="0.35">
      <c r="H7128" s="83">
        <f t="shared" si="158"/>
        <v>0</v>
      </c>
    </row>
    <row r="7129" spans="8:8" hidden="1" x14ac:dyDescent="0.35">
      <c r="H7129" s="83">
        <f t="shared" si="158"/>
        <v>0</v>
      </c>
    </row>
    <row r="7130" spans="8:8" hidden="1" x14ac:dyDescent="0.35">
      <c r="H7130" s="83">
        <f t="shared" si="158"/>
        <v>0</v>
      </c>
    </row>
    <row r="7131" spans="8:8" hidden="1" x14ac:dyDescent="0.35">
      <c r="H7131" s="83">
        <f t="shared" si="158"/>
        <v>0</v>
      </c>
    </row>
    <row r="7132" spans="8:8" hidden="1" x14ac:dyDescent="0.35">
      <c r="H7132" s="83">
        <f t="shared" si="158"/>
        <v>0</v>
      </c>
    </row>
    <row r="7133" spans="8:8" hidden="1" x14ac:dyDescent="0.35">
      <c r="H7133" s="83">
        <f t="shared" si="158"/>
        <v>0</v>
      </c>
    </row>
    <row r="7134" spans="8:8" hidden="1" x14ac:dyDescent="0.35">
      <c r="H7134" s="83">
        <f t="shared" si="158"/>
        <v>0</v>
      </c>
    </row>
    <row r="7135" spans="8:8" hidden="1" x14ac:dyDescent="0.35">
      <c r="H7135" s="83">
        <f t="shared" si="158"/>
        <v>0</v>
      </c>
    </row>
    <row r="7136" spans="8:8" hidden="1" x14ac:dyDescent="0.35">
      <c r="H7136" s="83">
        <f t="shared" si="158"/>
        <v>0</v>
      </c>
    </row>
    <row r="7137" spans="8:8" hidden="1" x14ac:dyDescent="0.35">
      <c r="H7137" s="83">
        <f t="shared" si="158"/>
        <v>0</v>
      </c>
    </row>
    <row r="7138" spans="8:8" hidden="1" x14ac:dyDescent="0.35">
      <c r="H7138" s="83">
        <f t="shared" si="158"/>
        <v>0</v>
      </c>
    </row>
    <row r="7139" spans="8:8" hidden="1" x14ac:dyDescent="0.35">
      <c r="H7139" s="83">
        <f t="shared" si="158"/>
        <v>0</v>
      </c>
    </row>
    <row r="7140" spans="8:8" hidden="1" x14ac:dyDescent="0.35">
      <c r="H7140" s="83">
        <f t="shared" si="158"/>
        <v>0</v>
      </c>
    </row>
    <row r="7141" spans="8:8" hidden="1" x14ac:dyDescent="0.35">
      <c r="H7141" s="83">
        <f t="shared" si="158"/>
        <v>0</v>
      </c>
    </row>
    <row r="7142" spans="8:8" hidden="1" x14ac:dyDescent="0.35">
      <c r="H7142" s="83">
        <f t="shared" si="158"/>
        <v>0</v>
      </c>
    </row>
    <row r="7143" spans="8:8" hidden="1" x14ac:dyDescent="0.35">
      <c r="H7143" s="83">
        <f t="shared" si="158"/>
        <v>0</v>
      </c>
    </row>
    <row r="7144" spans="8:8" hidden="1" x14ac:dyDescent="0.35">
      <c r="H7144" s="83">
        <f t="shared" si="158"/>
        <v>0</v>
      </c>
    </row>
    <row r="7145" spans="8:8" hidden="1" x14ac:dyDescent="0.35">
      <c r="H7145" s="83">
        <f t="shared" si="158"/>
        <v>0</v>
      </c>
    </row>
    <row r="7146" spans="8:8" hidden="1" x14ac:dyDescent="0.35">
      <c r="H7146" s="83">
        <f t="shared" si="158"/>
        <v>0</v>
      </c>
    </row>
    <row r="7147" spans="8:8" hidden="1" x14ac:dyDescent="0.35">
      <c r="H7147" s="83">
        <f t="shared" si="158"/>
        <v>0</v>
      </c>
    </row>
    <row r="7148" spans="8:8" hidden="1" x14ac:dyDescent="0.35">
      <c r="H7148" s="83">
        <f t="shared" si="158"/>
        <v>0</v>
      </c>
    </row>
    <row r="7149" spans="8:8" hidden="1" x14ac:dyDescent="0.35">
      <c r="H7149" s="83">
        <f t="shared" si="158"/>
        <v>0</v>
      </c>
    </row>
    <row r="7150" spans="8:8" hidden="1" x14ac:dyDescent="0.35">
      <c r="H7150" s="83">
        <f t="shared" si="158"/>
        <v>0</v>
      </c>
    </row>
    <row r="7151" spans="8:8" hidden="1" x14ac:dyDescent="0.35">
      <c r="H7151" s="83">
        <f t="shared" si="158"/>
        <v>0</v>
      </c>
    </row>
    <row r="7152" spans="8:8" hidden="1" x14ac:dyDescent="0.35">
      <c r="H7152" s="83">
        <f t="shared" si="158"/>
        <v>0</v>
      </c>
    </row>
    <row r="7153" spans="8:8" hidden="1" x14ac:dyDescent="0.35">
      <c r="H7153" s="83">
        <f t="shared" si="158"/>
        <v>0</v>
      </c>
    </row>
    <row r="7154" spans="8:8" hidden="1" x14ac:dyDescent="0.35">
      <c r="H7154" s="83">
        <f t="shared" si="158"/>
        <v>0</v>
      </c>
    </row>
    <row r="7155" spans="8:8" hidden="1" x14ac:dyDescent="0.35">
      <c r="H7155" s="83">
        <f t="shared" si="158"/>
        <v>0</v>
      </c>
    </row>
    <row r="7156" spans="8:8" hidden="1" x14ac:dyDescent="0.35">
      <c r="H7156" s="83">
        <f t="shared" si="158"/>
        <v>0</v>
      </c>
    </row>
    <row r="7157" spans="8:8" hidden="1" x14ac:dyDescent="0.35">
      <c r="H7157" s="83">
        <f t="shared" si="158"/>
        <v>0</v>
      </c>
    </row>
    <row r="7158" spans="8:8" hidden="1" x14ac:dyDescent="0.35">
      <c r="H7158" s="83">
        <f t="shared" si="158"/>
        <v>0</v>
      </c>
    </row>
    <row r="7159" spans="8:8" hidden="1" x14ac:dyDescent="0.35">
      <c r="H7159" s="83">
        <f t="shared" si="158"/>
        <v>0</v>
      </c>
    </row>
    <row r="7160" spans="8:8" hidden="1" x14ac:dyDescent="0.35">
      <c r="H7160" s="83">
        <f t="shared" si="158"/>
        <v>0</v>
      </c>
    </row>
    <row r="7161" spans="8:8" hidden="1" x14ac:dyDescent="0.35">
      <c r="H7161" s="83">
        <f t="shared" si="158"/>
        <v>0</v>
      </c>
    </row>
    <row r="7162" spans="8:8" hidden="1" x14ac:dyDescent="0.35">
      <c r="H7162" s="83">
        <f t="shared" si="158"/>
        <v>0</v>
      </c>
    </row>
    <row r="7163" spans="8:8" hidden="1" x14ac:dyDescent="0.35">
      <c r="H7163" s="83">
        <f t="shared" si="158"/>
        <v>0</v>
      </c>
    </row>
    <row r="7164" spans="8:8" hidden="1" x14ac:dyDescent="0.35">
      <c r="H7164" s="83">
        <f t="shared" si="158"/>
        <v>0</v>
      </c>
    </row>
    <row r="7165" spans="8:8" hidden="1" x14ac:dyDescent="0.35">
      <c r="H7165" s="83">
        <f t="shared" si="158"/>
        <v>0</v>
      </c>
    </row>
    <row r="7166" spans="8:8" hidden="1" x14ac:dyDescent="0.35">
      <c r="H7166" s="83">
        <f t="shared" si="158"/>
        <v>0</v>
      </c>
    </row>
    <row r="7167" spans="8:8" hidden="1" x14ac:dyDescent="0.35">
      <c r="H7167" s="83">
        <f t="shared" si="158"/>
        <v>0</v>
      </c>
    </row>
    <row r="7168" spans="8:8" hidden="1" x14ac:dyDescent="0.35">
      <c r="H7168" s="83">
        <f t="shared" si="158"/>
        <v>0</v>
      </c>
    </row>
    <row r="7169" spans="8:8" hidden="1" x14ac:dyDescent="0.35">
      <c r="H7169" s="83">
        <f t="shared" si="158"/>
        <v>0</v>
      </c>
    </row>
    <row r="7170" spans="8:8" hidden="1" x14ac:dyDescent="0.35">
      <c r="H7170" s="83">
        <f t="shared" si="158"/>
        <v>0</v>
      </c>
    </row>
    <row r="7171" spans="8:8" hidden="1" x14ac:dyDescent="0.35">
      <c r="H7171" s="83">
        <f t="shared" si="158"/>
        <v>0</v>
      </c>
    </row>
    <row r="7172" spans="8:8" hidden="1" x14ac:dyDescent="0.35">
      <c r="H7172" s="83">
        <f t="shared" ref="H7172:H7235" si="159">J7172-I7172</f>
        <v>0</v>
      </c>
    </row>
    <row r="7173" spans="8:8" hidden="1" x14ac:dyDescent="0.35">
      <c r="H7173" s="83">
        <f t="shared" si="159"/>
        <v>0</v>
      </c>
    </row>
    <row r="7174" spans="8:8" hidden="1" x14ac:dyDescent="0.35">
      <c r="H7174" s="83">
        <f t="shared" si="159"/>
        <v>0</v>
      </c>
    </row>
    <row r="7175" spans="8:8" hidden="1" x14ac:dyDescent="0.35">
      <c r="H7175" s="83">
        <f t="shared" si="159"/>
        <v>0</v>
      </c>
    </row>
    <row r="7176" spans="8:8" hidden="1" x14ac:dyDescent="0.35">
      <c r="H7176" s="83">
        <f t="shared" si="159"/>
        <v>0</v>
      </c>
    </row>
    <row r="7177" spans="8:8" hidden="1" x14ac:dyDescent="0.35">
      <c r="H7177" s="83">
        <f t="shared" si="159"/>
        <v>0</v>
      </c>
    </row>
    <row r="7178" spans="8:8" hidden="1" x14ac:dyDescent="0.35">
      <c r="H7178" s="83">
        <f t="shared" si="159"/>
        <v>0</v>
      </c>
    </row>
    <row r="7179" spans="8:8" hidden="1" x14ac:dyDescent="0.35">
      <c r="H7179" s="83">
        <f t="shared" si="159"/>
        <v>0</v>
      </c>
    </row>
    <row r="7180" spans="8:8" hidden="1" x14ac:dyDescent="0.35">
      <c r="H7180" s="83">
        <f t="shared" si="159"/>
        <v>0</v>
      </c>
    </row>
    <row r="7181" spans="8:8" hidden="1" x14ac:dyDescent="0.35">
      <c r="H7181" s="83">
        <f t="shared" si="159"/>
        <v>0</v>
      </c>
    </row>
    <row r="7182" spans="8:8" hidden="1" x14ac:dyDescent="0.35">
      <c r="H7182" s="83">
        <f t="shared" si="159"/>
        <v>0</v>
      </c>
    </row>
    <row r="7183" spans="8:8" hidden="1" x14ac:dyDescent="0.35">
      <c r="H7183" s="83">
        <f t="shared" si="159"/>
        <v>0</v>
      </c>
    </row>
    <row r="7184" spans="8:8" hidden="1" x14ac:dyDescent="0.35">
      <c r="H7184" s="83">
        <f t="shared" si="159"/>
        <v>0</v>
      </c>
    </row>
    <row r="7185" spans="8:8" hidden="1" x14ac:dyDescent="0.35">
      <c r="H7185" s="83">
        <f t="shared" si="159"/>
        <v>0</v>
      </c>
    </row>
    <row r="7186" spans="8:8" hidden="1" x14ac:dyDescent="0.35">
      <c r="H7186" s="83">
        <f t="shared" si="159"/>
        <v>0</v>
      </c>
    </row>
    <row r="7187" spans="8:8" hidden="1" x14ac:dyDescent="0.35">
      <c r="H7187" s="83">
        <f t="shared" si="159"/>
        <v>0</v>
      </c>
    </row>
    <row r="7188" spans="8:8" hidden="1" x14ac:dyDescent="0.35">
      <c r="H7188" s="83">
        <f t="shared" si="159"/>
        <v>0</v>
      </c>
    </row>
    <row r="7189" spans="8:8" hidden="1" x14ac:dyDescent="0.35">
      <c r="H7189" s="83">
        <f t="shared" si="159"/>
        <v>0</v>
      </c>
    </row>
    <row r="7190" spans="8:8" hidden="1" x14ac:dyDescent="0.35">
      <c r="H7190" s="83">
        <f t="shared" si="159"/>
        <v>0</v>
      </c>
    </row>
    <row r="7191" spans="8:8" hidden="1" x14ac:dyDescent="0.35">
      <c r="H7191" s="83">
        <f t="shared" si="159"/>
        <v>0</v>
      </c>
    </row>
    <row r="7192" spans="8:8" hidden="1" x14ac:dyDescent="0.35">
      <c r="H7192" s="83">
        <f t="shared" si="159"/>
        <v>0</v>
      </c>
    </row>
    <row r="7193" spans="8:8" hidden="1" x14ac:dyDescent="0.35">
      <c r="H7193" s="83">
        <f t="shared" si="159"/>
        <v>0</v>
      </c>
    </row>
    <row r="7194" spans="8:8" hidden="1" x14ac:dyDescent="0.35">
      <c r="H7194" s="83">
        <f t="shared" si="159"/>
        <v>0</v>
      </c>
    </row>
    <row r="7195" spans="8:8" hidden="1" x14ac:dyDescent="0.35">
      <c r="H7195" s="83">
        <f t="shared" si="159"/>
        <v>0</v>
      </c>
    </row>
    <row r="7196" spans="8:8" hidden="1" x14ac:dyDescent="0.35">
      <c r="H7196" s="83">
        <f t="shared" si="159"/>
        <v>0</v>
      </c>
    </row>
    <row r="7197" spans="8:8" hidden="1" x14ac:dyDescent="0.35">
      <c r="H7197" s="83">
        <f t="shared" si="159"/>
        <v>0</v>
      </c>
    </row>
    <row r="7198" spans="8:8" hidden="1" x14ac:dyDescent="0.35">
      <c r="H7198" s="83">
        <f t="shared" si="159"/>
        <v>0</v>
      </c>
    </row>
    <row r="7199" spans="8:8" hidden="1" x14ac:dyDescent="0.35">
      <c r="H7199" s="83">
        <f t="shared" si="159"/>
        <v>0</v>
      </c>
    </row>
    <row r="7200" spans="8:8" hidden="1" x14ac:dyDescent="0.35">
      <c r="H7200" s="83">
        <f t="shared" si="159"/>
        <v>0</v>
      </c>
    </row>
    <row r="7201" spans="8:8" hidden="1" x14ac:dyDescent="0.35">
      <c r="H7201" s="83">
        <f t="shared" si="159"/>
        <v>0</v>
      </c>
    </row>
    <row r="7202" spans="8:8" hidden="1" x14ac:dyDescent="0.35">
      <c r="H7202" s="83">
        <f t="shared" si="159"/>
        <v>0</v>
      </c>
    </row>
    <row r="7203" spans="8:8" hidden="1" x14ac:dyDescent="0.35">
      <c r="H7203" s="83">
        <f t="shared" si="159"/>
        <v>0</v>
      </c>
    </row>
    <row r="7204" spans="8:8" hidden="1" x14ac:dyDescent="0.35">
      <c r="H7204" s="83">
        <f t="shared" si="159"/>
        <v>0</v>
      </c>
    </row>
    <row r="7205" spans="8:8" hidden="1" x14ac:dyDescent="0.35">
      <c r="H7205" s="83">
        <f t="shared" si="159"/>
        <v>0</v>
      </c>
    </row>
    <row r="7206" spans="8:8" hidden="1" x14ac:dyDescent="0.35">
      <c r="H7206" s="83">
        <f t="shared" si="159"/>
        <v>0</v>
      </c>
    </row>
    <row r="7207" spans="8:8" hidden="1" x14ac:dyDescent="0.35">
      <c r="H7207" s="83">
        <f t="shared" si="159"/>
        <v>0</v>
      </c>
    </row>
    <row r="7208" spans="8:8" hidden="1" x14ac:dyDescent="0.35">
      <c r="H7208" s="83">
        <f t="shared" si="159"/>
        <v>0</v>
      </c>
    </row>
    <row r="7209" spans="8:8" hidden="1" x14ac:dyDescent="0.35">
      <c r="H7209" s="83">
        <f t="shared" si="159"/>
        <v>0</v>
      </c>
    </row>
    <row r="7210" spans="8:8" hidden="1" x14ac:dyDescent="0.35">
      <c r="H7210" s="83">
        <f t="shared" si="159"/>
        <v>0</v>
      </c>
    </row>
    <row r="7211" spans="8:8" hidden="1" x14ac:dyDescent="0.35">
      <c r="H7211" s="83">
        <f t="shared" si="159"/>
        <v>0</v>
      </c>
    </row>
    <row r="7212" spans="8:8" hidden="1" x14ac:dyDescent="0.35">
      <c r="H7212" s="83">
        <f t="shared" si="159"/>
        <v>0</v>
      </c>
    </row>
    <row r="7213" spans="8:8" hidden="1" x14ac:dyDescent="0.35">
      <c r="H7213" s="83">
        <f t="shared" si="159"/>
        <v>0</v>
      </c>
    </row>
    <row r="7214" spans="8:8" hidden="1" x14ac:dyDescent="0.35">
      <c r="H7214" s="83">
        <f t="shared" si="159"/>
        <v>0</v>
      </c>
    </row>
    <row r="7215" spans="8:8" hidden="1" x14ac:dyDescent="0.35">
      <c r="H7215" s="83">
        <f t="shared" si="159"/>
        <v>0</v>
      </c>
    </row>
    <row r="7216" spans="8:8" hidden="1" x14ac:dyDescent="0.35">
      <c r="H7216" s="83">
        <f t="shared" si="159"/>
        <v>0</v>
      </c>
    </row>
    <row r="7217" spans="8:8" hidden="1" x14ac:dyDescent="0.35">
      <c r="H7217" s="83">
        <f t="shared" si="159"/>
        <v>0</v>
      </c>
    </row>
    <row r="7218" spans="8:8" hidden="1" x14ac:dyDescent="0.35">
      <c r="H7218" s="83">
        <f t="shared" si="159"/>
        <v>0</v>
      </c>
    </row>
    <row r="7219" spans="8:8" hidden="1" x14ac:dyDescent="0.35">
      <c r="H7219" s="83">
        <f t="shared" si="159"/>
        <v>0</v>
      </c>
    </row>
    <row r="7220" spans="8:8" hidden="1" x14ac:dyDescent="0.35">
      <c r="H7220" s="83">
        <f t="shared" si="159"/>
        <v>0</v>
      </c>
    </row>
    <row r="7221" spans="8:8" hidden="1" x14ac:dyDescent="0.35">
      <c r="H7221" s="83">
        <f t="shared" si="159"/>
        <v>0</v>
      </c>
    </row>
    <row r="7222" spans="8:8" hidden="1" x14ac:dyDescent="0.35">
      <c r="H7222" s="83">
        <f t="shared" si="159"/>
        <v>0</v>
      </c>
    </row>
    <row r="7223" spans="8:8" hidden="1" x14ac:dyDescent="0.35">
      <c r="H7223" s="83">
        <f t="shared" si="159"/>
        <v>0</v>
      </c>
    </row>
    <row r="7224" spans="8:8" hidden="1" x14ac:dyDescent="0.35">
      <c r="H7224" s="83">
        <f t="shared" si="159"/>
        <v>0</v>
      </c>
    </row>
    <row r="7225" spans="8:8" hidden="1" x14ac:dyDescent="0.35">
      <c r="H7225" s="83">
        <f t="shared" si="159"/>
        <v>0</v>
      </c>
    </row>
    <row r="7226" spans="8:8" hidden="1" x14ac:dyDescent="0.35">
      <c r="H7226" s="83">
        <f t="shared" si="159"/>
        <v>0</v>
      </c>
    </row>
    <row r="7227" spans="8:8" hidden="1" x14ac:dyDescent="0.35">
      <c r="H7227" s="83">
        <f t="shared" si="159"/>
        <v>0</v>
      </c>
    </row>
    <row r="7228" spans="8:8" hidden="1" x14ac:dyDescent="0.35">
      <c r="H7228" s="83">
        <f t="shared" si="159"/>
        <v>0</v>
      </c>
    </row>
    <row r="7229" spans="8:8" hidden="1" x14ac:dyDescent="0.35">
      <c r="H7229" s="83">
        <f t="shared" si="159"/>
        <v>0</v>
      </c>
    </row>
    <row r="7230" spans="8:8" hidden="1" x14ac:dyDescent="0.35">
      <c r="H7230" s="83">
        <f t="shared" si="159"/>
        <v>0</v>
      </c>
    </row>
    <row r="7231" spans="8:8" hidden="1" x14ac:dyDescent="0.35">
      <c r="H7231" s="83">
        <f t="shared" si="159"/>
        <v>0</v>
      </c>
    </row>
    <row r="7232" spans="8:8" hidden="1" x14ac:dyDescent="0.35">
      <c r="H7232" s="83">
        <f t="shared" si="159"/>
        <v>0</v>
      </c>
    </row>
    <row r="7233" spans="8:8" hidden="1" x14ac:dyDescent="0.35">
      <c r="H7233" s="83">
        <f t="shared" si="159"/>
        <v>0</v>
      </c>
    </row>
    <row r="7234" spans="8:8" hidden="1" x14ac:dyDescent="0.35">
      <c r="H7234" s="83">
        <f t="shared" si="159"/>
        <v>0</v>
      </c>
    </row>
    <row r="7235" spans="8:8" hidden="1" x14ac:dyDescent="0.35">
      <c r="H7235" s="83">
        <f t="shared" si="159"/>
        <v>0</v>
      </c>
    </row>
    <row r="7236" spans="8:8" hidden="1" x14ac:dyDescent="0.35">
      <c r="H7236" s="83">
        <f t="shared" ref="H7236:H7299" si="160">J7236-I7236</f>
        <v>0</v>
      </c>
    </row>
    <row r="7237" spans="8:8" hidden="1" x14ac:dyDescent="0.35">
      <c r="H7237" s="83">
        <f t="shared" si="160"/>
        <v>0</v>
      </c>
    </row>
    <row r="7238" spans="8:8" hidden="1" x14ac:dyDescent="0.35">
      <c r="H7238" s="83">
        <f t="shared" si="160"/>
        <v>0</v>
      </c>
    </row>
    <row r="7239" spans="8:8" hidden="1" x14ac:dyDescent="0.35">
      <c r="H7239" s="83">
        <f t="shared" si="160"/>
        <v>0</v>
      </c>
    </row>
    <row r="7240" spans="8:8" hidden="1" x14ac:dyDescent="0.35">
      <c r="H7240" s="83">
        <f t="shared" si="160"/>
        <v>0</v>
      </c>
    </row>
    <row r="7241" spans="8:8" hidden="1" x14ac:dyDescent="0.35">
      <c r="H7241" s="83">
        <f t="shared" si="160"/>
        <v>0</v>
      </c>
    </row>
    <row r="7242" spans="8:8" hidden="1" x14ac:dyDescent="0.35">
      <c r="H7242" s="83">
        <f t="shared" si="160"/>
        <v>0</v>
      </c>
    </row>
    <row r="7243" spans="8:8" hidden="1" x14ac:dyDescent="0.35">
      <c r="H7243" s="83">
        <f t="shared" si="160"/>
        <v>0</v>
      </c>
    </row>
    <row r="7244" spans="8:8" hidden="1" x14ac:dyDescent="0.35">
      <c r="H7244" s="83">
        <f t="shared" si="160"/>
        <v>0</v>
      </c>
    </row>
    <row r="7245" spans="8:8" hidden="1" x14ac:dyDescent="0.35">
      <c r="H7245" s="83">
        <f t="shared" si="160"/>
        <v>0</v>
      </c>
    </row>
    <row r="7246" spans="8:8" hidden="1" x14ac:dyDescent="0.35">
      <c r="H7246" s="83">
        <f t="shared" si="160"/>
        <v>0</v>
      </c>
    </row>
    <row r="7247" spans="8:8" hidden="1" x14ac:dyDescent="0.35">
      <c r="H7247" s="83">
        <f t="shared" si="160"/>
        <v>0</v>
      </c>
    </row>
    <row r="7248" spans="8:8" hidden="1" x14ac:dyDescent="0.35">
      <c r="H7248" s="83">
        <f t="shared" si="160"/>
        <v>0</v>
      </c>
    </row>
    <row r="7249" spans="8:8" hidden="1" x14ac:dyDescent="0.35">
      <c r="H7249" s="83">
        <f t="shared" si="160"/>
        <v>0</v>
      </c>
    </row>
    <row r="7250" spans="8:8" hidden="1" x14ac:dyDescent="0.35">
      <c r="H7250" s="83">
        <f t="shared" si="160"/>
        <v>0</v>
      </c>
    </row>
    <row r="7251" spans="8:8" hidden="1" x14ac:dyDescent="0.35">
      <c r="H7251" s="83">
        <f t="shared" si="160"/>
        <v>0</v>
      </c>
    </row>
    <row r="7252" spans="8:8" hidden="1" x14ac:dyDescent="0.35">
      <c r="H7252" s="83">
        <f t="shared" si="160"/>
        <v>0</v>
      </c>
    </row>
    <row r="7253" spans="8:8" hidden="1" x14ac:dyDescent="0.35">
      <c r="H7253" s="83">
        <f t="shared" si="160"/>
        <v>0</v>
      </c>
    </row>
    <row r="7254" spans="8:8" hidden="1" x14ac:dyDescent="0.35">
      <c r="H7254" s="83">
        <f t="shared" si="160"/>
        <v>0</v>
      </c>
    </row>
    <row r="7255" spans="8:8" hidden="1" x14ac:dyDescent="0.35">
      <c r="H7255" s="83">
        <f t="shared" si="160"/>
        <v>0</v>
      </c>
    </row>
    <row r="7256" spans="8:8" hidden="1" x14ac:dyDescent="0.35">
      <c r="H7256" s="83">
        <f t="shared" si="160"/>
        <v>0</v>
      </c>
    </row>
    <row r="7257" spans="8:8" hidden="1" x14ac:dyDescent="0.35">
      <c r="H7257" s="83">
        <f t="shared" si="160"/>
        <v>0</v>
      </c>
    </row>
    <row r="7258" spans="8:8" hidden="1" x14ac:dyDescent="0.35">
      <c r="H7258" s="83">
        <f t="shared" si="160"/>
        <v>0</v>
      </c>
    </row>
    <row r="7259" spans="8:8" hidden="1" x14ac:dyDescent="0.35">
      <c r="H7259" s="83">
        <f t="shared" si="160"/>
        <v>0</v>
      </c>
    </row>
    <row r="7260" spans="8:8" hidden="1" x14ac:dyDescent="0.35">
      <c r="H7260" s="83">
        <f t="shared" si="160"/>
        <v>0</v>
      </c>
    </row>
    <row r="7261" spans="8:8" hidden="1" x14ac:dyDescent="0.35">
      <c r="H7261" s="83">
        <f t="shared" si="160"/>
        <v>0</v>
      </c>
    </row>
    <row r="7262" spans="8:8" hidden="1" x14ac:dyDescent="0.35">
      <c r="H7262" s="83">
        <f t="shared" si="160"/>
        <v>0</v>
      </c>
    </row>
    <row r="7263" spans="8:8" hidden="1" x14ac:dyDescent="0.35">
      <c r="H7263" s="83">
        <f t="shared" si="160"/>
        <v>0</v>
      </c>
    </row>
    <row r="7264" spans="8:8" hidden="1" x14ac:dyDescent="0.35">
      <c r="H7264" s="83">
        <f t="shared" si="160"/>
        <v>0</v>
      </c>
    </row>
    <row r="7265" spans="8:8" hidden="1" x14ac:dyDescent="0.35">
      <c r="H7265" s="83">
        <f t="shared" si="160"/>
        <v>0</v>
      </c>
    </row>
    <row r="7266" spans="8:8" hidden="1" x14ac:dyDescent="0.35">
      <c r="H7266" s="83">
        <f t="shared" si="160"/>
        <v>0</v>
      </c>
    </row>
    <row r="7267" spans="8:8" hidden="1" x14ac:dyDescent="0.35">
      <c r="H7267" s="83">
        <f t="shared" si="160"/>
        <v>0</v>
      </c>
    </row>
    <row r="7268" spans="8:8" hidden="1" x14ac:dyDescent="0.35">
      <c r="H7268" s="83">
        <f t="shared" si="160"/>
        <v>0</v>
      </c>
    </row>
    <row r="7269" spans="8:8" hidden="1" x14ac:dyDescent="0.35">
      <c r="H7269" s="83">
        <f t="shared" si="160"/>
        <v>0</v>
      </c>
    </row>
    <row r="7270" spans="8:8" hidden="1" x14ac:dyDescent="0.35">
      <c r="H7270" s="83">
        <f t="shared" si="160"/>
        <v>0</v>
      </c>
    </row>
    <row r="7271" spans="8:8" hidden="1" x14ac:dyDescent="0.35">
      <c r="H7271" s="83">
        <f t="shared" si="160"/>
        <v>0</v>
      </c>
    </row>
    <row r="7272" spans="8:8" hidden="1" x14ac:dyDescent="0.35">
      <c r="H7272" s="83">
        <f t="shared" si="160"/>
        <v>0</v>
      </c>
    </row>
    <row r="7273" spans="8:8" hidden="1" x14ac:dyDescent="0.35">
      <c r="H7273" s="83">
        <f t="shared" si="160"/>
        <v>0</v>
      </c>
    </row>
    <row r="7274" spans="8:8" hidden="1" x14ac:dyDescent="0.35">
      <c r="H7274" s="83">
        <f t="shared" si="160"/>
        <v>0</v>
      </c>
    </row>
    <row r="7275" spans="8:8" hidden="1" x14ac:dyDescent="0.35">
      <c r="H7275" s="83">
        <f t="shared" si="160"/>
        <v>0</v>
      </c>
    </row>
    <row r="7276" spans="8:8" hidden="1" x14ac:dyDescent="0.35">
      <c r="H7276" s="83">
        <f t="shared" si="160"/>
        <v>0</v>
      </c>
    </row>
    <row r="7277" spans="8:8" hidden="1" x14ac:dyDescent="0.35">
      <c r="H7277" s="83">
        <f t="shared" si="160"/>
        <v>0</v>
      </c>
    </row>
    <row r="7278" spans="8:8" hidden="1" x14ac:dyDescent="0.35">
      <c r="H7278" s="83">
        <f t="shared" si="160"/>
        <v>0</v>
      </c>
    </row>
    <row r="7279" spans="8:8" hidden="1" x14ac:dyDescent="0.35">
      <c r="H7279" s="83">
        <f t="shared" si="160"/>
        <v>0</v>
      </c>
    </row>
    <row r="7280" spans="8:8" hidden="1" x14ac:dyDescent="0.35">
      <c r="H7280" s="83">
        <f t="shared" si="160"/>
        <v>0</v>
      </c>
    </row>
    <row r="7281" spans="8:8" hidden="1" x14ac:dyDescent="0.35">
      <c r="H7281" s="83">
        <f t="shared" si="160"/>
        <v>0</v>
      </c>
    </row>
    <row r="7282" spans="8:8" hidden="1" x14ac:dyDescent="0.35">
      <c r="H7282" s="83">
        <f t="shared" si="160"/>
        <v>0</v>
      </c>
    </row>
    <row r="7283" spans="8:8" hidden="1" x14ac:dyDescent="0.35">
      <c r="H7283" s="83">
        <f t="shared" si="160"/>
        <v>0</v>
      </c>
    </row>
    <row r="7284" spans="8:8" hidden="1" x14ac:dyDescent="0.35">
      <c r="H7284" s="83">
        <f t="shared" si="160"/>
        <v>0</v>
      </c>
    </row>
    <row r="7285" spans="8:8" hidden="1" x14ac:dyDescent="0.35">
      <c r="H7285" s="83">
        <f t="shared" si="160"/>
        <v>0</v>
      </c>
    </row>
    <row r="7286" spans="8:8" hidden="1" x14ac:dyDescent="0.35">
      <c r="H7286" s="83">
        <f t="shared" si="160"/>
        <v>0</v>
      </c>
    </row>
    <row r="7287" spans="8:8" hidden="1" x14ac:dyDescent="0.35">
      <c r="H7287" s="83">
        <f t="shared" si="160"/>
        <v>0</v>
      </c>
    </row>
    <row r="7288" spans="8:8" hidden="1" x14ac:dyDescent="0.35">
      <c r="H7288" s="83">
        <f t="shared" si="160"/>
        <v>0</v>
      </c>
    </row>
    <row r="7289" spans="8:8" hidden="1" x14ac:dyDescent="0.35">
      <c r="H7289" s="83">
        <f t="shared" si="160"/>
        <v>0</v>
      </c>
    </row>
    <row r="7290" spans="8:8" hidden="1" x14ac:dyDescent="0.35">
      <c r="H7290" s="83">
        <f t="shared" si="160"/>
        <v>0</v>
      </c>
    </row>
    <row r="7291" spans="8:8" hidden="1" x14ac:dyDescent="0.35">
      <c r="H7291" s="83">
        <f t="shared" si="160"/>
        <v>0</v>
      </c>
    </row>
    <row r="7292" spans="8:8" hidden="1" x14ac:dyDescent="0.35">
      <c r="H7292" s="83">
        <f t="shared" si="160"/>
        <v>0</v>
      </c>
    </row>
    <row r="7293" spans="8:8" hidden="1" x14ac:dyDescent="0.35">
      <c r="H7293" s="83">
        <f t="shared" si="160"/>
        <v>0</v>
      </c>
    </row>
    <row r="7294" spans="8:8" hidden="1" x14ac:dyDescent="0.35">
      <c r="H7294" s="83">
        <f t="shared" si="160"/>
        <v>0</v>
      </c>
    </row>
    <row r="7295" spans="8:8" hidden="1" x14ac:dyDescent="0.35">
      <c r="H7295" s="83">
        <f t="shared" si="160"/>
        <v>0</v>
      </c>
    </row>
    <row r="7296" spans="8:8" hidden="1" x14ac:dyDescent="0.35">
      <c r="H7296" s="83">
        <f t="shared" si="160"/>
        <v>0</v>
      </c>
    </row>
    <row r="7297" spans="8:8" hidden="1" x14ac:dyDescent="0.35">
      <c r="H7297" s="83">
        <f t="shared" si="160"/>
        <v>0</v>
      </c>
    </row>
    <row r="7298" spans="8:8" hidden="1" x14ac:dyDescent="0.35">
      <c r="H7298" s="83">
        <f t="shared" si="160"/>
        <v>0</v>
      </c>
    </row>
    <row r="7299" spans="8:8" hidden="1" x14ac:dyDescent="0.35">
      <c r="H7299" s="83">
        <f t="shared" si="160"/>
        <v>0</v>
      </c>
    </row>
    <row r="7300" spans="8:8" hidden="1" x14ac:dyDescent="0.35">
      <c r="H7300" s="83">
        <f t="shared" ref="H7300:H7363" si="161">J7300-I7300</f>
        <v>0</v>
      </c>
    </row>
    <row r="7301" spans="8:8" hidden="1" x14ac:dyDescent="0.35">
      <c r="H7301" s="83">
        <f t="shared" si="161"/>
        <v>0</v>
      </c>
    </row>
    <row r="7302" spans="8:8" hidden="1" x14ac:dyDescent="0.35">
      <c r="H7302" s="83">
        <f t="shared" si="161"/>
        <v>0</v>
      </c>
    </row>
    <row r="7303" spans="8:8" hidden="1" x14ac:dyDescent="0.35">
      <c r="H7303" s="83">
        <f t="shared" si="161"/>
        <v>0</v>
      </c>
    </row>
    <row r="7304" spans="8:8" hidden="1" x14ac:dyDescent="0.35">
      <c r="H7304" s="83">
        <f t="shared" si="161"/>
        <v>0</v>
      </c>
    </row>
    <row r="7305" spans="8:8" hidden="1" x14ac:dyDescent="0.35">
      <c r="H7305" s="83">
        <f t="shared" si="161"/>
        <v>0</v>
      </c>
    </row>
    <row r="7306" spans="8:8" hidden="1" x14ac:dyDescent="0.35">
      <c r="H7306" s="83">
        <f t="shared" si="161"/>
        <v>0</v>
      </c>
    </row>
    <row r="7307" spans="8:8" hidden="1" x14ac:dyDescent="0.35">
      <c r="H7307" s="83">
        <f t="shared" si="161"/>
        <v>0</v>
      </c>
    </row>
    <row r="7308" spans="8:8" hidden="1" x14ac:dyDescent="0.35">
      <c r="H7308" s="83">
        <f t="shared" si="161"/>
        <v>0</v>
      </c>
    </row>
    <row r="7309" spans="8:8" hidden="1" x14ac:dyDescent="0.35">
      <c r="H7309" s="83">
        <f t="shared" si="161"/>
        <v>0</v>
      </c>
    </row>
    <row r="7310" spans="8:8" hidden="1" x14ac:dyDescent="0.35">
      <c r="H7310" s="83">
        <f t="shared" si="161"/>
        <v>0</v>
      </c>
    </row>
    <row r="7311" spans="8:8" hidden="1" x14ac:dyDescent="0.35">
      <c r="H7311" s="83">
        <f t="shared" si="161"/>
        <v>0</v>
      </c>
    </row>
    <row r="7312" spans="8:8" hidden="1" x14ac:dyDescent="0.35">
      <c r="H7312" s="83">
        <f t="shared" si="161"/>
        <v>0</v>
      </c>
    </row>
    <row r="7313" spans="8:8" hidden="1" x14ac:dyDescent="0.35">
      <c r="H7313" s="83">
        <f t="shared" si="161"/>
        <v>0</v>
      </c>
    </row>
    <row r="7314" spans="8:8" hidden="1" x14ac:dyDescent="0.35">
      <c r="H7314" s="83">
        <f t="shared" si="161"/>
        <v>0</v>
      </c>
    </row>
    <row r="7315" spans="8:8" hidden="1" x14ac:dyDescent="0.35">
      <c r="H7315" s="83">
        <f t="shared" si="161"/>
        <v>0</v>
      </c>
    </row>
    <row r="7316" spans="8:8" hidden="1" x14ac:dyDescent="0.35">
      <c r="H7316" s="83">
        <f t="shared" si="161"/>
        <v>0</v>
      </c>
    </row>
    <row r="7317" spans="8:8" hidden="1" x14ac:dyDescent="0.35">
      <c r="H7317" s="83">
        <f t="shared" si="161"/>
        <v>0</v>
      </c>
    </row>
    <row r="7318" spans="8:8" hidden="1" x14ac:dyDescent="0.35">
      <c r="H7318" s="83">
        <f t="shared" si="161"/>
        <v>0</v>
      </c>
    </row>
    <row r="7319" spans="8:8" hidden="1" x14ac:dyDescent="0.35">
      <c r="H7319" s="83">
        <f t="shared" si="161"/>
        <v>0</v>
      </c>
    </row>
    <row r="7320" spans="8:8" hidden="1" x14ac:dyDescent="0.35">
      <c r="H7320" s="83">
        <f t="shared" si="161"/>
        <v>0</v>
      </c>
    </row>
    <row r="7321" spans="8:8" hidden="1" x14ac:dyDescent="0.35">
      <c r="H7321" s="83">
        <f t="shared" si="161"/>
        <v>0</v>
      </c>
    </row>
    <row r="7322" spans="8:8" hidden="1" x14ac:dyDescent="0.35">
      <c r="H7322" s="83">
        <f t="shared" si="161"/>
        <v>0</v>
      </c>
    </row>
    <row r="7323" spans="8:8" hidden="1" x14ac:dyDescent="0.35">
      <c r="H7323" s="83">
        <f t="shared" si="161"/>
        <v>0</v>
      </c>
    </row>
    <row r="7324" spans="8:8" hidden="1" x14ac:dyDescent="0.35">
      <c r="H7324" s="83">
        <f t="shared" si="161"/>
        <v>0</v>
      </c>
    </row>
    <row r="7325" spans="8:8" hidden="1" x14ac:dyDescent="0.35">
      <c r="H7325" s="83">
        <f t="shared" si="161"/>
        <v>0</v>
      </c>
    </row>
    <row r="7326" spans="8:8" hidden="1" x14ac:dyDescent="0.35">
      <c r="H7326" s="83">
        <f t="shared" si="161"/>
        <v>0</v>
      </c>
    </row>
    <row r="7327" spans="8:8" hidden="1" x14ac:dyDescent="0.35">
      <c r="H7327" s="83">
        <f t="shared" si="161"/>
        <v>0</v>
      </c>
    </row>
    <row r="7328" spans="8:8" hidden="1" x14ac:dyDescent="0.35">
      <c r="H7328" s="83">
        <f t="shared" si="161"/>
        <v>0</v>
      </c>
    </row>
    <row r="7329" spans="8:8" hidden="1" x14ac:dyDescent="0.35">
      <c r="H7329" s="83">
        <f t="shared" si="161"/>
        <v>0</v>
      </c>
    </row>
    <row r="7330" spans="8:8" hidden="1" x14ac:dyDescent="0.35">
      <c r="H7330" s="83">
        <f t="shared" si="161"/>
        <v>0</v>
      </c>
    </row>
    <row r="7331" spans="8:8" hidden="1" x14ac:dyDescent="0.35">
      <c r="H7331" s="83">
        <f t="shared" si="161"/>
        <v>0</v>
      </c>
    </row>
    <row r="7332" spans="8:8" hidden="1" x14ac:dyDescent="0.35">
      <c r="H7332" s="83">
        <f t="shared" si="161"/>
        <v>0</v>
      </c>
    </row>
    <row r="7333" spans="8:8" hidden="1" x14ac:dyDescent="0.35">
      <c r="H7333" s="83">
        <f t="shared" si="161"/>
        <v>0</v>
      </c>
    </row>
    <row r="7334" spans="8:8" hidden="1" x14ac:dyDescent="0.35">
      <c r="H7334" s="83">
        <f t="shared" si="161"/>
        <v>0</v>
      </c>
    </row>
    <row r="7335" spans="8:8" hidden="1" x14ac:dyDescent="0.35">
      <c r="H7335" s="83">
        <f t="shared" si="161"/>
        <v>0</v>
      </c>
    </row>
    <row r="7336" spans="8:8" hidden="1" x14ac:dyDescent="0.35">
      <c r="H7336" s="83">
        <f t="shared" si="161"/>
        <v>0</v>
      </c>
    </row>
    <row r="7337" spans="8:8" hidden="1" x14ac:dyDescent="0.35">
      <c r="H7337" s="83">
        <f t="shared" si="161"/>
        <v>0</v>
      </c>
    </row>
    <row r="7338" spans="8:8" hidden="1" x14ac:dyDescent="0.35">
      <c r="H7338" s="83">
        <f t="shared" si="161"/>
        <v>0</v>
      </c>
    </row>
    <row r="7339" spans="8:8" hidden="1" x14ac:dyDescent="0.35">
      <c r="H7339" s="83">
        <f t="shared" si="161"/>
        <v>0</v>
      </c>
    </row>
    <row r="7340" spans="8:8" hidden="1" x14ac:dyDescent="0.35">
      <c r="H7340" s="83">
        <f t="shared" si="161"/>
        <v>0</v>
      </c>
    </row>
    <row r="7341" spans="8:8" hidden="1" x14ac:dyDescent="0.35">
      <c r="H7341" s="83">
        <f t="shared" si="161"/>
        <v>0</v>
      </c>
    </row>
    <row r="7342" spans="8:8" hidden="1" x14ac:dyDescent="0.35">
      <c r="H7342" s="83">
        <f t="shared" si="161"/>
        <v>0</v>
      </c>
    </row>
    <row r="7343" spans="8:8" hidden="1" x14ac:dyDescent="0.35">
      <c r="H7343" s="83">
        <f t="shared" si="161"/>
        <v>0</v>
      </c>
    </row>
    <row r="7344" spans="8:8" hidden="1" x14ac:dyDescent="0.35">
      <c r="H7344" s="83">
        <f t="shared" si="161"/>
        <v>0</v>
      </c>
    </row>
    <row r="7345" spans="8:8" hidden="1" x14ac:dyDescent="0.35">
      <c r="H7345" s="83">
        <f t="shared" si="161"/>
        <v>0</v>
      </c>
    </row>
    <row r="7346" spans="8:8" hidden="1" x14ac:dyDescent="0.35">
      <c r="H7346" s="83">
        <f t="shared" si="161"/>
        <v>0</v>
      </c>
    </row>
    <row r="7347" spans="8:8" hidden="1" x14ac:dyDescent="0.35">
      <c r="H7347" s="83">
        <f t="shared" si="161"/>
        <v>0</v>
      </c>
    </row>
    <row r="7348" spans="8:8" hidden="1" x14ac:dyDescent="0.35">
      <c r="H7348" s="83">
        <f t="shared" si="161"/>
        <v>0</v>
      </c>
    </row>
    <row r="7349" spans="8:8" hidden="1" x14ac:dyDescent="0.35">
      <c r="H7349" s="83">
        <f t="shared" si="161"/>
        <v>0</v>
      </c>
    </row>
    <row r="7350" spans="8:8" hidden="1" x14ac:dyDescent="0.35">
      <c r="H7350" s="83">
        <f t="shared" si="161"/>
        <v>0</v>
      </c>
    </row>
    <row r="7351" spans="8:8" hidden="1" x14ac:dyDescent="0.35">
      <c r="H7351" s="83">
        <f t="shared" si="161"/>
        <v>0</v>
      </c>
    </row>
    <row r="7352" spans="8:8" hidden="1" x14ac:dyDescent="0.35">
      <c r="H7352" s="83">
        <f t="shared" si="161"/>
        <v>0</v>
      </c>
    </row>
    <row r="7353" spans="8:8" hidden="1" x14ac:dyDescent="0.35">
      <c r="H7353" s="83">
        <f t="shared" si="161"/>
        <v>0</v>
      </c>
    </row>
    <row r="7354" spans="8:8" hidden="1" x14ac:dyDescent="0.35">
      <c r="H7354" s="83">
        <f t="shared" si="161"/>
        <v>0</v>
      </c>
    </row>
    <row r="7355" spans="8:8" hidden="1" x14ac:dyDescent="0.35">
      <c r="H7355" s="83">
        <f t="shared" si="161"/>
        <v>0</v>
      </c>
    </row>
    <row r="7356" spans="8:8" hidden="1" x14ac:dyDescent="0.35">
      <c r="H7356" s="83">
        <f t="shared" si="161"/>
        <v>0</v>
      </c>
    </row>
    <row r="7357" spans="8:8" hidden="1" x14ac:dyDescent="0.35">
      <c r="H7357" s="83">
        <f t="shared" si="161"/>
        <v>0</v>
      </c>
    </row>
    <row r="7358" spans="8:8" hidden="1" x14ac:dyDescent="0.35">
      <c r="H7358" s="83">
        <f t="shared" si="161"/>
        <v>0</v>
      </c>
    </row>
    <row r="7359" spans="8:8" hidden="1" x14ac:dyDescent="0.35">
      <c r="H7359" s="83">
        <f t="shared" si="161"/>
        <v>0</v>
      </c>
    </row>
    <row r="7360" spans="8:8" hidden="1" x14ac:dyDescent="0.35">
      <c r="H7360" s="83">
        <f t="shared" si="161"/>
        <v>0</v>
      </c>
    </row>
    <row r="7361" spans="8:8" hidden="1" x14ac:dyDescent="0.35">
      <c r="H7361" s="83">
        <f t="shared" si="161"/>
        <v>0</v>
      </c>
    </row>
    <row r="7362" spans="8:8" hidden="1" x14ac:dyDescent="0.35">
      <c r="H7362" s="83">
        <f t="shared" si="161"/>
        <v>0</v>
      </c>
    </row>
    <row r="7363" spans="8:8" hidden="1" x14ac:dyDescent="0.35">
      <c r="H7363" s="83">
        <f t="shared" si="161"/>
        <v>0</v>
      </c>
    </row>
    <row r="7364" spans="8:8" hidden="1" x14ac:dyDescent="0.35">
      <c r="H7364" s="83">
        <f t="shared" ref="H7364:H7427" si="162">J7364-I7364</f>
        <v>0</v>
      </c>
    </row>
    <row r="7365" spans="8:8" hidden="1" x14ac:dyDescent="0.35">
      <c r="H7365" s="83">
        <f t="shared" si="162"/>
        <v>0</v>
      </c>
    </row>
    <row r="7366" spans="8:8" hidden="1" x14ac:dyDescent="0.35">
      <c r="H7366" s="83">
        <f t="shared" si="162"/>
        <v>0</v>
      </c>
    </row>
    <row r="7367" spans="8:8" hidden="1" x14ac:dyDescent="0.35">
      <c r="H7367" s="83">
        <f t="shared" si="162"/>
        <v>0</v>
      </c>
    </row>
    <row r="7368" spans="8:8" hidden="1" x14ac:dyDescent="0.35">
      <c r="H7368" s="83">
        <f t="shared" si="162"/>
        <v>0</v>
      </c>
    </row>
    <row r="7369" spans="8:8" hidden="1" x14ac:dyDescent="0.35">
      <c r="H7369" s="83">
        <f t="shared" si="162"/>
        <v>0</v>
      </c>
    </row>
    <row r="7370" spans="8:8" hidden="1" x14ac:dyDescent="0.35">
      <c r="H7370" s="83">
        <f t="shared" si="162"/>
        <v>0</v>
      </c>
    </row>
    <row r="7371" spans="8:8" hidden="1" x14ac:dyDescent="0.35">
      <c r="H7371" s="83">
        <f t="shared" si="162"/>
        <v>0</v>
      </c>
    </row>
    <row r="7372" spans="8:8" hidden="1" x14ac:dyDescent="0.35">
      <c r="H7372" s="83">
        <f t="shared" si="162"/>
        <v>0</v>
      </c>
    </row>
    <row r="7373" spans="8:8" hidden="1" x14ac:dyDescent="0.35">
      <c r="H7373" s="83">
        <f t="shared" si="162"/>
        <v>0</v>
      </c>
    </row>
    <row r="7374" spans="8:8" hidden="1" x14ac:dyDescent="0.35">
      <c r="H7374" s="83">
        <f t="shared" si="162"/>
        <v>0</v>
      </c>
    </row>
    <row r="7375" spans="8:8" hidden="1" x14ac:dyDescent="0.35">
      <c r="H7375" s="83">
        <f t="shared" si="162"/>
        <v>0</v>
      </c>
    </row>
    <row r="7376" spans="8:8" hidden="1" x14ac:dyDescent="0.35">
      <c r="H7376" s="83">
        <f t="shared" si="162"/>
        <v>0</v>
      </c>
    </row>
    <row r="7377" spans="8:8" hidden="1" x14ac:dyDescent="0.35">
      <c r="H7377" s="83">
        <f t="shared" si="162"/>
        <v>0</v>
      </c>
    </row>
    <row r="7378" spans="8:8" hidden="1" x14ac:dyDescent="0.35">
      <c r="H7378" s="83">
        <f t="shared" si="162"/>
        <v>0</v>
      </c>
    </row>
    <row r="7379" spans="8:8" hidden="1" x14ac:dyDescent="0.35">
      <c r="H7379" s="83">
        <f t="shared" si="162"/>
        <v>0</v>
      </c>
    </row>
    <row r="7380" spans="8:8" hidden="1" x14ac:dyDescent="0.35">
      <c r="H7380" s="83">
        <f t="shared" si="162"/>
        <v>0</v>
      </c>
    </row>
    <row r="7381" spans="8:8" hidden="1" x14ac:dyDescent="0.35">
      <c r="H7381" s="83">
        <f t="shared" si="162"/>
        <v>0</v>
      </c>
    </row>
    <row r="7382" spans="8:8" hidden="1" x14ac:dyDescent="0.35">
      <c r="H7382" s="83">
        <f t="shared" si="162"/>
        <v>0</v>
      </c>
    </row>
    <row r="7383" spans="8:8" hidden="1" x14ac:dyDescent="0.35">
      <c r="H7383" s="83">
        <f t="shared" si="162"/>
        <v>0</v>
      </c>
    </row>
    <row r="7384" spans="8:8" hidden="1" x14ac:dyDescent="0.35">
      <c r="H7384" s="83">
        <f t="shared" si="162"/>
        <v>0</v>
      </c>
    </row>
    <row r="7385" spans="8:8" hidden="1" x14ac:dyDescent="0.35">
      <c r="H7385" s="83">
        <f t="shared" si="162"/>
        <v>0</v>
      </c>
    </row>
    <row r="7386" spans="8:8" hidden="1" x14ac:dyDescent="0.35">
      <c r="H7386" s="83">
        <f t="shared" si="162"/>
        <v>0</v>
      </c>
    </row>
    <row r="7387" spans="8:8" hidden="1" x14ac:dyDescent="0.35">
      <c r="H7387" s="83">
        <f t="shared" si="162"/>
        <v>0</v>
      </c>
    </row>
    <row r="7388" spans="8:8" hidden="1" x14ac:dyDescent="0.35">
      <c r="H7388" s="83">
        <f t="shared" si="162"/>
        <v>0</v>
      </c>
    </row>
    <row r="7389" spans="8:8" hidden="1" x14ac:dyDescent="0.35">
      <c r="H7389" s="83">
        <f t="shared" si="162"/>
        <v>0</v>
      </c>
    </row>
    <row r="7390" spans="8:8" hidden="1" x14ac:dyDescent="0.35">
      <c r="H7390" s="83">
        <f t="shared" si="162"/>
        <v>0</v>
      </c>
    </row>
    <row r="7391" spans="8:8" hidden="1" x14ac:dyDescent="0.35">
      <c r="H7391" s="83">
        <f t="shared" si="162"/>
        <v>0</v>
      </c>
    </row>
    <row r="7392" spans="8:8" hidden="1" x14ac:dyDescent="0.35">
      <c r="H7392" s="83">
        <f t="shared" si="162"/>
        <v>0</v>
      </c>
    </row>
    <row r="7393" spans="8:8" hidden="1" x14ac:dyDescent="0.35">
      <c r="H7393" s="83">
        <f t="shared" si="162"/>
        <v>0</v>
      </c>
    </row>
    <row r="7394" spans="8:8" hidden="1" x14ac:dyDescent="0.35">
      <c r="H7394" s="83">
        <f t="shared" si="162"/>
        <v>0</v>
      </c>
    </row>
    <row r="7395" spans="8:8" hidden="1" x14ac:dyDescent="0.35">
      <c r="H7395" s="83">
        <f t="shared" si="162"/>
        <v>0</v>
      </c>
    </row>
    <row r="7396" spans="8:8" hidden="1" x14ac:dyDescent="0.35">
      <c r="H7396" s="83">
        <f t="shared" si="162"/>
        <v>0</v>
      </c>
    </row>
    <row r="7397" spans="8:8" hidden="1" x14ac:dyDescent="0.35">
      <c r="H7397" s="83">
        <f t="shared" si="162"/>
        <v>0</v>
      </c>
    </row>
    <row r="7398" spans="8:8" hidden="1" x14ac:dyDescent="0.35">
      <c r="H7398" s="83">
        <f t="shared" si="162"/>
        <v>0</v>
      </c>
    </row>
    <row r="7399" spans="8:8" hidden="1" x14ac:dyDescent="0.35">
      <c r="H7399" s="83">
        <f t="shared" si="162"/>
        <v>0</v>
      </c>
    </row>
    <row r="7400" spans="8:8" hidden="1" x14ac:dyDescent="0.35">
      <c r="H7400" s="83">
        <f t="shared" si="162"/>
        <v>0</v>
      </c>
    </row>
    <row r="7401" spans="8:8" hidden="1" x14ac:dyDescent="0.35">
      <c r="H7401" s="83">
        <f t="shared" si="162"/>
        <v>0</v>
      </c>
    </row>
    <row r="7402" spans="8:8" hidden="1" x14ac:dyDescent="0.35">
      <c r="H7402" s="83">
        <f t="shared" si="162"/>
        <v>0</v>
      </c>
    </row>
    <row r="7403" spans="8:8" hidden="1" x14ac:dyDescent="0.35">
      <c r="H7403" s="83">
        <f t="shared" si="162"/>
        <v>0</v>
      </c>
    </row>
    <row r="7404" spans="8:8" hidden="1" x14ac:dyDescent="0.35">
      <c r="H7404" s="83">
        <f t="shared" si="162"/>
        <v>0</v>
      </c>
    </row>
    <row r="7405" spans="8:8" hidden="1" x14ac:dyDescent="0.35">
      <c r="H7405" s="83">
        <f t="shared" si="162"/>
        <v>0</v>
      </c>
    </row>
    <row r="7406" spans="8:8" hidden="1" x14ac:dyDescent="0.35">
      <c r="H7406" s="83">
        <f t="shared" si="162"/>
        <v>0</v>
      </c>
    </row>
    <row r="7407" spans="8:8" hidden="1" x14ac:dyDescent="0.35">
      <c r="H7407" s="83">
        <f t="shared" si="162"/>
        <v>0</v>
      </c>
    </row>
    <row r="7408" spans="8:8" hidden="1" x14ac:dyDescent="0.35">
      <c r="H7408" s="83">
        <f t="shared" si="162"/>
        <v>0</v>
      </c>
    </row>
    <row r="7409" spans="8:8" hidden="1" x14ac:dyDescent="0.35">
      <c r="H7409" s="83">
        <f t="shared" si="162"/>
        <v>0</v>
      </c>
    </row>
    <row r="7410" spans="8:8" hidden="1" x14ac:dyDescent="0.35">
      <c r="H7410" s="83">
        <f t="shared" si="162"/>
        <v>0</v>
      </c>
    </row>
    <row r="7411" spans="8:8" hidden="1" x14ac:dyDescent="0.35">
      <c r="H7411" s="83">
        <f t="shared" si="162"/>
        <v>0</v>
      </c>
    </row>
    <row r="7412" spans="8:8" hidden="1" x14ac:dyDescent="0.35">
      <c r="H7412" s="83">
        <f t="shared" si="162"/>
        <v>0</v>
      </c>
    </row>
    <row r="7413" spans="8:8" hidden="1" x14ac:dyDescent="0.35">
      <c r="H7413" s="83">
        <f t="shared" si="162"/>
        <v>0</v>
      </c>
    </row>
    <row r="7414" spans="8:8" hidden="1" x14ac:dyDescent="0.35">
      <c r="H7414" s="83">
        <f t="shared" si="162"/>
        <v>0</v>
      </c>
    </row>
    <row r="7415" spans="8:8" hidden="1" x14ac:dyDescent="0.35">
      <c r="H7415" s="83">
        <f t="shared" si="162"/>
        <v>0</v>
      </c>
    </row>
    <row r="7416" spans="8:8" hidden="1" x14ac:dyDescent="0.35">
      <c r="H7416" s="83">
        <f t="shared" si="162"/>
        <v>0</v>
      </c>
    </row>
    <row r="7417" spans="8:8" hidden="1" x14ac:dyDescent="0.35">
      <c r="H7417" s="83">
        <f t="shared" si="162"/>
        <v>0</v>
      </c>
    </row>
    <row r="7418" spans="8:8" hidden="1" x14ac:dyDescent="0.35">
      <c r="H7418" s="83">
        <f t="shared" si="162"/>
        <v>0</v>
      </c>
    </row>
    <row r="7419" spans="8:8" hidden="1" x14ac:dyDescent="0.35">
      <c r="H7419" s="83">
        <f t="shared" si="162"/>
        <v>0</v>
      </c>
    </row>
    <row r="7420" spans="8:8" hidden="1" x14ac:dyDescent="0.35">
      <c r="H7420" s="83">
        <f t="shared" si="162"/>
        <v>0</v>
      </c>
    </row>
    <row r="7421" spans="8:8" hidden="1" x14ac:dyDescent="0.35">
      <c r="H7421" s="83">
        <f t="shared" si="162"/>
        <v>0</v>
      </c>
    </row>
    <row r="7422" spans="8:8" hidden="1" x14ac:dyDescent="0.35">
      <c r="H7422" s="83">
        <f t="shared" si="162"/>
        <v>0</v>
      </c>
    </row>
    <row r="7423" spans="8:8" hidden="1" x14ac:dyDescent="0.35">
      <c r="H7423" s="83">
        <f t="shared" si="162"/>
        <v>0</v>
      </c>
    </row>
    <row r="7424" spans="8:8" hidden="1" x14ac:dyDescent="0.35">
      <c r="H7424" s="83">
        <f t="shared" si="162"/>
        <v>0</v>
      </c>
    </row>
    <row r="7425" spans="8:8" hidden="1" x14ac:dyDescent="0.35">
      <c r="H7425" s="83">
        <f t="shared" si="162"/>
        <v>0</v>
      </c>
    </row>
    <row r="7426" spans="8:8" hidden="1" x14ac:dyDescent="0.35">
      <c r="H7426" s="83">
        <f t="shared" si="162"/>
        <v>0</v>
      </c>
    </row>
    <row r="7427" spans="8:8" hidden="1" x14ac:dyDescent="0.35">
      <c r="H7427" s="83">
        <f t="shared" si="162"/>
        <v>0</v>
      </c>
    </row>
    <row r="7428" spans="8:8" hidden="1" x14ac:dyDescent="0.35">
      <c r="H7428" s="83">
        <f t="shared" ref="H7428:H7491" si="163">J7428-I7428</f>
        <v>0</v>
      </c>
    </row>
    <row r="7429" spans="8:8" hidden="1" x14ac:dyDescent="0.35">
      <c r="H7429" s="83">
        <f t="shared" si="163"/>
        <v>0</v>
      </c>
    </row>
    <row r="7430" spans="8:8" hidden="1" x14ac:dyDescent="0.35">
      <c r="H7430" s="83">
        <f t="shared" si="163"/>
        <v>0</v>
      </c>
    </row>
    <row r="7431" spans="8:8" hidden="1" x14ac:dyDescent="0.35">
      <c r="H7431" s="83">
        <f t="shared" si="163"/>
        <v>0</v>
      </c>
    </row>
    <row r="7432" spans="8:8" hidden="1" x14ac:dyDescent="0.35">
      <c r="H7432" s="83">
        <f t="shared" si="163"/>
        <v>0</v>
      </c>
    </row>
    <row r="7433" spans="8:8" hidden="1" x14ac:dyDescent="0.35">
      <c r="H7433" s="83">
        <f t="shared" si="163"/>
        <v>0</v>
      </c>
    </row>
    <row r="7434" spans="8:8" hidden="1" x14ac:dyDescent="0.35">
      <c r="H7434" s="83">
        <f t="shared" si="163"/>
        <v>0</v>
      </c>
    </row>
    <row r="7435" spans="8:8" hidden="1" x14ac:dyDescent="0.35">
      <c r="H7435" s="83">
        <f t="shared" si="163"/>
        <v>0</v>
      </c>
    </row>
    <row r="7436" spans="8:8" hidden="1" x14ac:dyDescent="0.35">
      <c r="H7436" s="83">
        <f t="shared" si="163"/>
        <v>0</v>
      </c>
    </row>
    <row r="7437" spans="8:8" hidden="1" x14ac:dyDescent="0.35">
      <c r="H7437" s="83">
        <f t="shared" si="163"/>
        <v>0</v>
      </c>
    </row>
    <row r="7438" spans="8:8" hidden="1" x14ac:dyDescent="0.35">
      <c r="H7438" s="83">
        <f t="shared" si="163"/>
        <v>0</v>
      </c>
    </row>
    <row r="7439" spans="8:8" hidden="1" x14ac:dyDescent="0.35">
      <c r="H7439" s="83">
        <f t="shared" si="163"/>
        <v>0</v>
      </c>
    </row>
    <row r="7440" spans="8:8" hidden="1" x14ac:dyDescent="0.35">
      <c r="H7440" s="83">
        <f t="shared" si="163"/>
        <v>0</v>
      </c>
    </row>
    <row r="7441" spans="8:8" hidden="1" x14ac:dyDescent="0.35">
      <c r="H7441" s="83">
        <f t="shared" si="163"/>
        <v>0</v>
      </c>
    </row>
    <row r="7442" spans="8:8" hidden="1" x14ac:dyDescent="0.35">
      <c r="H7442" s="83">
        <f t="shared" si="163"/>
        <v>0</v>
      </c>
    </row>
    <row r="7443" spans="8:8" hidden="1" x14ac:dyDescent="0.35">
      <c r="H7443" s="83">
        <f t="shared" si="163"/>
        <v>0</v>
      </c>
    </row>
    <row r="7444" spans="8:8" hidden="1" x14ac:dyDescent="0.35">
      <c r="H7444" s="83">
        <f t="shared" si="163"/>
        <v>0</v>
      </c>
    </row>
    <row r="7445" spans="8:8" hidden="1" x14ac:dyDescent="0.35">
      <c r="H7445" s="83">
        <f t="shared" si="163"/>
        <v>0</v>
      </c>
    </row>
    <row r="7446" spans="8:8" hidden="1" x14ac:dyDescent="0.35">
      <c r="H7446" s="83">
        <f t="shared" si="163"/>
        <v>0</v>
      </c>
    </row>
    <row r="7447" spans="8:8" hidden="1" x14ac:dyDescent="0.35">
      <c r="H7447" s="83">
        <f t="shared" si="163"/>
        <v>0</v>
      </c>
    </row>
    <row r="7448" spans="8:8" hidden="1" x14ac:dyDescent="0.35">
      <c r="H7448" s="83">
        <f t="shared" si="163"/>
        <v>0</v>
      </c>
    </row>
    <row r="7449" spans="8:8" hidden="1" x14ac:dyDescent="0.35">
      <c r="H7449" s="83">
        <f t="shared" si="163"/>
        <v>0</v>
      </c>
    </row>
    <row r="7450" spans="8:8" hidden="1" x14ac:dyDescent="0.35">
      <c r="H7450" s="83">
        <f t="shared" si="163"/>
        <v>0</v>
      </c>
    </row>
    <row r="7451" spans="8:8" hidden="1" x14ac:dyDescent="0.35">
      <c r="H7451" s="83">
        <f t="shared" si="163"/>
        <v>0</v>
      </c>
    </row>
    <row r="7452" spans="8:8" hidden="1" x14ac:dyDescent="0.35">
      <c r="H7452" s="83">
        <f t="shared" si="163"/>
        <v>0</v>
      </c>
    </row>
    <row r="7453" spans="8:8" hidden="1" x14ac:dyDescent="0.35">
      <c r="H7453" s="83">
        <f t="shared" si="163"/>
        <v>0</v>
      </c>
    </row>
    <row r="7454" spans="8:8" hidden="1" x14ac:dyDescent="0.35">
      <c r="H7454" s="83">
        <f t="shared" si="163"/>
        <v>0</v>
      </c>
    </row>
    <row r="7455" spans="8:8" hidden="1" x14ac:dyDescent="0.35">
      <c r="H7455" s="83">
        <f t="shared" si="163"/>
        <v>0</v>
      </c>
    </row>
    <row r="7456" spans="8:8" hidden="1" x14ac:dyDescent="0.35">
      <c r="H7456" s="83">
        <f t="shared" si="163"/>
        <v>0</v>
      </c>
    </row>
    <row r="7457" spans="8:8" hidden="1" x14ac:dyDescent="0.35">
      <c r="H7457" s="83">
        <f t="shared" si="163"/>
        <v>0</v>
      </c>
    </row>
    <row r="7458" spans="8:8" hidden="1" x14ac:dyDescent="0.35">
      <c r="H7458" s="83">
        <f t="shared" si="163"/>
        <v>0</v>
      </c>
    </row>
    <row r="7459" spans="8:8" hidden="1" x14ac:dyDescent="0.35">
      <c r="H7459" s="83">
        <f t="shared" si="163"/>
        <v>0</v>
      </c>
    </row>
    <row r="7460" spans="8:8" hidden="1" x14ac:dyDescent="0.35">
      <c r="H7460" s="83">
        <f t="shared" si="163"/>
        <v>0</v>
      </c>
    </row>
    <row r="7461" spans="8:8" hidden="1" x14ac:dyDescent="0.35">
      <c r="H7461" s="83">
        <f t="shared" si="163"/>
        <v>0</v>
      </c>
    </row>
    <row r="7462" spans="8:8" hidden="1" x14ac:dyDescent="0.35">
      <c r="H7462" s="83">
        <f t="shared" si="163"/>
        <v>0</v>
      </c>
    </row>
    <row r="7463" spans="8:8" hidden="1" x14ac:dyDescent="0.35">
      <c r="H7463" s="83">
        <f t="shared" si="163"/>
        <v>0</v>
      </c>
    </row>
    <row r="7464" spans="8:8" hidden="1" x14ac:dyDescent="0.35">
      <c r="H7464" s="83">
        <f t="shared" si="163"/>
        <v>0</v>
      </c>
    </row>
    <row r="7465" spans="8:8" hidden="1" x14ac:dyDescent="0.35">
      <c r="H7465" s="83">
        <f t="shared" si="163"/>
        <v>0</v>
      </c>
    </row>
    <row r="7466" spans="8:8" hidden="1" x14ac:dyDescent="0.35">
      <c r="H7466" s="83">
        <f t="shared" si="163"/>
        <v>0</v>
      </c>
    </row>
    <row r="7467" spans="8:8" hidden="1" x14ac:dyDescent="0.35">
      <c r="H7467" s="83">
        <f t="shared" si="163"/>
        <v>0</v>
      </c>
    </row>
    <row r="7468" spans="8:8" hidden="1" x14ac:dyDescent="0.35">
      <c r="H7468" s="83">
        <f t="shared" si="163"/>
        <v>0</v>
      </c>
    </row>
    <row r="7469" spans="8:8" hidden="1" x14ac:dyDescent="0.35">
      <c r="H7469" s="83">
        <f t="shared" si="163"/>
        <v>0</v>
      </c>
    </row>
    <row r="7470" spans="8:8" hidden="1" x14ac:dyDescent="0.35">
      <c r="H7470" s="83">
        <f t="shared" si="163"/>
        <v>0</v>
      </c>
    </row>
    <row r="7471" spans="8:8" hidden="1" x14ac:dyDescent="0.35">
      <c r="H7471" s="83">
        <f t="shared" si="163"/>
        <v>0</v>
      </c>
    </row>
    <row r="7472" spans="8:8" hidden="1" x14ac:dyDescent="0.35">
      <c r="H7472" s="83">
        <f t="shared" si="163"/>
        <v>0</v>
      </c>
    </row>
    <row r="7473" spans="8:8" hidden="1" x14ac:dyDescent="0.35">
      <c r="H7473" s="83">
        <f t="shared" si="163"/>
        <v>0</v>
      </c>
    </row>
    <row r="7474" spans="8:8" hidden="1" x14ac:dyDescent="0.35">
      <c r="H7474" s="83">
        <f t="shared" si="163"/>
        <v>0</v>
      </c>
    </row>
    <row r="7475" spans="8:8" hidden="1" x14ac:dyDescent="0.35">
      <c r="H7475" s="83">
        <f t="shared" si="163"/>
        <v>0</v>
      </c>
    </row>
    <row r="7476" spans="8:8" hidden="1" x14ac:dyDescent="0.35">
      <c r="H7476" s="83">
        <f t="shared" si="163"/>
        <v>0</v>
      </c>
    </row>
    <row r="7477" spans="8:8" hidden="1" x14ac:dyDescent="0.35">
      <c r="H7477" s="83">
        <f t="shared" si="163"/>
        <v>0</v>
      </c>
    </row>
    <row r="7478" spans="8:8" hidden="1" x14ac:dyDescent="0.35">
      <c r="H7478" s="83">
        <f t="shared" si="163"/>
        <v>0</v>
      </c>
    </row>
    <row r="7479" spans="8:8" hidden="1" x14ac:dyDescent="0.35">
      <c r="H7479" s="83">
        <f t="shared" si="163"/>
        <v>0</v>
      </c>
    </row>
    <row r="7480" spans="8:8" hidden="1" x14ac:dyDescent="0.35">
      <c r="H7480" s="83">
        <f t="shared" si="163"/>
        <v>0</v>
      </c>
    </row>
    <row r="7481" spans="8:8" hidden="1" x14ac:dyDescent="0.35">
      <c r="H7481" s="83">
        <f t="shared" si="163"/>
        <v>0</v>
      </c>
    </row>
    <row r="7482" spans="8:8" hidden="1" x14ac:dyDescent="0.35">
      <c r="H7482" s="83">
        <f t="shared" si="163"/>
        <v>0</v>
      </c>
    </row>
    <row r="7483" spans="8:8" hidden="1" x14ac:dyDescent="0.35">
      <c r="H7483" s="83">
        <f t="shared" si="163"/>
        <v>0</v>
      </c>
    </row>
    <row r="7484" spans="8:8" hidden="1" x14ac:dyDescent="0.35">
      <c r="H7484" s="83">
        <f t="shared" si="163"/>
        <v>0</v>
      </c>
    </row>
    <row r="7485" spans="8:8" hidden="1" x14ac:dyDescent="0.35">
      <c r="H7485" s="83">
        <f t="shared" si="163"/>
        <v>0</v>
      </c>
    </row>
    <row r="7486" spans="8:8" hidden="1" x14ac:dyDescent="0.35">
      <c r="H7486" s="83">
        <f t="shared" si="163"/>
        <v>0</v>
      </c>
    </row>
    <row r="7487" spans="8:8" hidden="1" x14ac:dyDescent="0.35">
      <c r="H7487" s="83">
        <f t="shared" si="163"/>
        <v>0</v>
      </c>
    </row>
    <row r="7488" spans="8:8" hidden="1" x14ac:dyDescent="0.35">
      <c r="H7488" s="83">
        <f t="shared" si="163"/>
        <v>0</v>
      </c>
    </row>
    <row r="7489" spans="8:8" hidden="1" x14ac:dyDescent="0.35">
      <c r="H7489" s="83">
        <f t="shared" si="163"/>
        <v>0</v>
      </c>
    </row>
    <row r="7490" spans="8:8" hidden="1" x14ac:dyDescent="0.35">
      <c r="H7490" s="83">
        <f t="shared" si="163"/>
        <v>0</v>
      </c>
    </row>
    <row r="7491" spans="8:8" hidden="1" x14ac:dyDescent="0.35">
      <c r="H7491" s="83">
        <f t="shared" si="163"/>
        <v>0</v>
      </c>
    </row>
    <row r="7492" spans="8:8" hidden="1" x14ac:dyDescent="0.35">
      <c r="H7492" s="83">
        <f t="shared" ref="H7492:H7555" si="164">J7492-I7492</f>
        <v>0</v>
      </c>
    </row>
    <row r="7493" spans="8:8" hidden="1" x14ac:dyDescent="0.35">
      <c r="H7493" s="83">
        <f t="shared" si="164"/>
        <v>0</v>
      </c>
    </row>
    <row r="7494" spans="8:8" hidden="1" x14ac:dyDescent="0.35">
      <c r="H7494" s="83">
        <f t="shared" si="164"/>
        <v>0</v>
      </c>
    </row>
    <row r="7495" spans="8:8" hidden="1" x14ac:dyDescent="0.35">
      <c r="H7495" s="83">
        <f t="shared" si="164"/>
        <v>0</v>
      </c>
    </row>
    <row r="7496" spans="8:8" hidden="1" x14ac:dyDescent="0.35">
      <c r="H7496" s="83">
        <f t="shared" si="164"/>
        <v>0</v>
      </c>
    </row>
    <row r="7497" spans="8:8" hidden="1" x14ac:dyDescent="0.35">
      <c r="H7497" s="83">
        <f t="shared" si="164"/>
        <v>0</v>
      </c>
    </row>
    <row r="7498" spans="8:8" hidden="1" x14ac:dyDescent="0.35">
      <c r="H7498" s="83">
        <f t="shared" si="164"/>
        <v>0</v>
      </c>
    </row>
    <row r="7499" spans="8:8" hidden="1" x14ac:dyDescent="0.35">
      <c r="H7499" s="83">
        <f t="shared" si="164"/>
        <v>0</v>
      </c>
    </row>
    <row r="7500" spans="8:8" hidden="1" x14ac:dyDescent="0.35">
      <c r="H7500" s="83">
        <f t="shared" si="164"/>
        <v>0</v>
      </c>
    </row>
    <row r="7501" spans="8:8" hidden="1" x14ac:dyDescent="0.35">
      <c r="H7501" s="83">
        <f t="shared" si="164"/>
        <v>0</v>
      </c>
    </row>
    <row r="7502" spans="8:8" hidden="1" x14ac:dyDescent="0.35">
      <c r="H7502" s="83">
        <f t="shared" si="164"/>
        <v>0</v>
      </c>
    </row>
    <row r="7503" spans="8:8" hidden="1" x14ac:dyDescent="0.35">
      <c r="H7503" s="83">
        <f t="shared" si="164"/>
        <v>0</v>
      </c>
    </row>
    <row r="7504" spans="8:8" hidden="1" x14ac:dyDescent="0.35">
      <c r="H7504" s="83">
        <f t="shared" si="164"/>
        <v>0</v>
      </c>
    </row>
    <row r="7505" spans="8:8" hidden="1" x14ac:dyDescent="0.35">
      <c r="H7505" s="83">
        <f t="shared" si="164"/>
        <v>0</v>
      </c>
    </row>
    <row r="7506" spans="8:8" hidden="1" x14ac:dyDescent="0.35">
      <c r="H7506" s="83">
        <f t="shared" si="164"/>
        <v>0</v>
      </c>
    </row>
    <row r="7507" spans="8:8" hidden="1" x14ac:dyDescent="0.35">
      <c r="H7507" s="83">
        <f t="shared" si="164"/>
        <v>0</v>
      </c>
    </row>
    <row r="7508" spans="8:8" hidden="1" x14ac:dyDescent="0.35">
      <c r="H7508" s="83">
        <f t="shared" si="164"/>
        <v>0</v>
      </c>
    </row>
    <row r="7509" spans="8:8" hidden="1" x14ac:dyDescent="0.35">
      <c r="H7509" s="83">
        <f t="shared" si="164"/>
        <v>0</v>
      </c>
    </row>
    <row r="7510" spans="8:8" hidden="1" x14ac:dyDescent="0.35">
      <c r="H7510" s="83">
        <f t="shared" si="164"/>
        <v>0</v>
      </c>
    </row>
    <row r="7511" spans="8:8" hidden="1" x14ac:dyDescent="0.35">
      <c r="H7511" s="83">
        <f t="shared" si="164"/>
        <v>0</v>
      </c>
    </row>
    <row r="7512" spans="8:8" hidden="1" x14ac:dyDescent="0.35">
      <c r="H7512" s="83">
        <f t="shared" si="164"/>
        <v>0</v>
      </c>
    </row>
    <row r="7513" spans="8:8" hidden="1" x14ac:dyDescent="0.35">
      <c r="H7513" s="83">
        <f t="shared" si="164"/>
        <v>0</v>
      </c>
    </row>
    <row r="7514" spans="8:8" hidden="1" x14ac:dyDescent="0.35">
      <c r="H7514" s="83">
        <f t="shared" si="164"/>
        <v>0</v>
      </c>
    </row>
    <row r="7515" spans="8:8" hidden="1" x14ac:dyDescent="0.35">
      <c r="H7515" s="83">
        <f t="shared" si="164"/>
        <v>0</v>
      </c>
    </row>
    <row r="7516" spans="8:8" hidden="1" x14ac:dyDescent="0.35">
      <c r="H7516" s="83">
        <f t="shared" si="164"/>
        <v>0</v>
      </c>
    </row>
    <row r="7517" spans="8:8" hidden="1" x14ac:dyDescent="0.35">
      <c r="H7517" s="83">
        <f t="shared" si="164"/>
        <v>0</v>
      </c>
    </row>
    <row r="7518" spans="8:8" hidden="1" x14ac:dyDescent="0.35">
      <c r="H7518" s="83">
        <f t="shared" si="164"/>
        <v>0</v>
      </c>
    </row>
    <row r="7519" spans="8:8" hidden="1" x14ac:dyDescent="0.35">
      <c r="H7519" s="83">
        <f t="shared" si="164"/>
        <v>0</v>
      </c>
    </row>
    <row r="7520" spans="8:8" hidden="1" x14ac:dyDescent="0.35">
      <c r="H7520" s="83">
        <f t="shared" si="164"/>
        <v>0</v>
      </c>
    </row>
    <row r="7521" spans="8:8" hidden="1" x14ac:dyDescent="0.35">
      <c r="H7521" s="83">
        <f t="shared" si="164"/>
        <v>0</v>
      </c>
    </row>
    <row r="7522" spans="8:8" hidden="1" x14ac:dyDescent="0.35">
      <c r="H7522" s="83">
        <f t="shared" si="164"/>
        <v>0</v>
      </c>
    </row>
    <row r="7523" spans="8:8" hidden="1" x14ac:dyDescent="0.35">
      <c r="H7523" s="83">
        <f t="shared" si="164"/>
        <v>0</v>
      </c>
    </row>
    <row r="7524" spans="8:8" hidden="1" x14ac:dyDescent="0.35">
      <c r="H7524" s="83">
        <f t="shared" si="164"/>
        <v>0</v>
      </c>
    </row>
    <row r="7525" spans="8:8" hidden="1" x14ac:dyDescent="0.35">
      <c r="H7525" s="83">
        <f t="shared" si="164"/>
        <v>0</v>
      </c>
    </row>
    <row r="7526" spans="8:8" hidden="1" x14ac:dyDescent="0.35">
      <c r="H7526" s="83">
        <f t="shared" si="164"/>
        <v>0</v>
      </c>
    </row>
    <row r="7527" spans="8:8" hidden="1" x14ac:dyDescent="0.35">
      <c r="H7527" s="83">
        <f t="shared" si="164"/>
        <v>0</v>
      </c>
    </row>
    <row r="7528" spans="8:8" hidden="1" x14ac:dyDescent="0.35">
      <c r="H7528" s="83">
        <f t="shared" si="164"/>
        <v>0</v>
      </c>
    </row>
    <row r="7529" spans="8:8" hidden="1" x14ac:dyDescent="0.35">
      <c r="H7529" s="83">
        <f t="shared" si="164"/>
        <v>0</v>
      </c>
    </row>
    <row r="7530" spans="8:8" hidden="1" x14ac:dyDescent="0.35">
      <c r="H7530" s="83">
        <f t="shared" si="164"/>
        <v>0</v>
      </c>
    </row>
    <row r="7531" spans="8:8" hidden="1" x14ac:dyDescent="0.35">
      <c r="H7531" s="83">
        <f t="shared" si="164"/>
        <v>0</v>
      </c>
    </row>
    <row r="7532" spans="8:8" hidden="1" x14ac:dyDescent="0.35">
      <c r="H7532" s="83">
        <f t="shared" si="164"/>
        <v>0</v>
      </c>
    </row>
    <row r="7533" spans="8:8" hidden="1" x14ac:dyDescent="0.35">
      <c r="H7533" s="83">
        <f t="shared" si="164"/>
        <v>0</v>
      </c>
    </row>
    <row r="7534" spans="8:8" hidden="1" x14ac:dyDescent="0.35">
      <c r="H7534" s="83">
        <f t="shared" si="164"/>
        <v>0</v>
      </c>
    </row>
    <row r="7535" spans="8:8" hidden="1" x14ac:dyDescent="0.35">
      <c r="H7535" s="83">
        <f t="shared" si="164"/>
        <v>0</v>
      </c>
    </row>
    <row r="7536" spans="8:8" hidden="1" x14ac:dyDescent="0.35">
      <c r="H7536" s="83">
        <f t="shared" si="164"/>
        <v>0</v>
      </c>
    </row>
    <row r="7537" spans="8:8" hidden="1" x14ac:dyDescent="0.35">
      <c r="H7537" s="83">
        <f t="shared" si="164"/>
        <v>0</v>
      </c>
    </row>
    <row r="7538" spans="8:8" hidden="1" x14ac:dyDescent="0.35">
      <c r="H7538" s="83">
        <f t="shared" si="164"/>
        <v>0</v>
      </c>
    </row>
    <row r="7539" spans="8:8" hidden="1" x14ac:dyDescent="0.35">
      <c r="H7539" s="83">
        <f t="shared" si="164"/>
        <v>0</v>
      </c>
    </row>
    <row r="7540" spans="8:8" hidden="1" x14ac:dyDescent="0.35">
      <c r="H7540" s="83">
        <f t="shared" si="164"/>
        <v>0</v>
      </c>
    </row>
    <row r="7541" spans="8:8" hidden="1" x14ac:dyDescent="0.35">
      <c r="H7541" s="83">
        <f t="shared" si="164"/>
        <v>0</v>
      </c>
    </row>
    <row r="7542" spans="8:8" hidden="1" x14ac:dyDescent="0.35">
      <c r="H7542" s="83">
        <f t="shared" si="164"/>
        <v>0</v>
      </c>
    </row>
    <row r="7543" spans="8:8" hidden="1" x14ac:dyDescent="0.35">
      <c r="H7543" s="83">
        <f t="shared" si="164"/>
        <v>0</v>
      </c>
    </row>
    <row r="7544" spans="8:8" hidden="1" x14ac:dyDescent="0.35">
      <c r="H7544" s="83">
        <f t="shared" si="164"/>
        <v>0</v>
      </c>
    </row>
    <row r="7545" spans="8:8" hidden="1" x14ac:dyDescent="0.35">
      <c r="H7545" s="83">
        <f t="shared" si="164"/>
        <v>0</v>
      </c>
    </row>
    <row r="7546" spans="8:8" hidden="1" x14ac:dyDescent="0.35">
      <c r="H7546" s="83">
        <f t="shared" si="164"/>
        <v>0</v>
      </c>
    </row>
    <row r="7547" spans="8:8" hidden="1" x14ac:dyDescent="0.35">
      <c r="H7547" s="83">
        <f t="shared" si="164"/>
        <v>0</v>
      </c>
    </row>
    <row r="7548" spans="8:8" hidden="1" x14ac:dyDescent="0.35">
      <c r="H7548" s="83">
        <f t="shared" si="164"/>
        <v>0</v>
      </c>
    </row>
    <row r="7549" spans="8:8" hidden="1" x14ac:dyDescent="0.35">
      <c r="H7549" s="83">
        <f t="shared" si="164"/>
        <v>0</v>
      </c>
    </row>
    <row r="7550" spans="8:8" hidden="1" x14ac:dyDescent="0.35">
      <c r="H7550" s="83">
        <f t="shared" si="164"/>
        <v>0</v>
      </c>
    </row>
    <row r="7551" spans="8:8" hidden="1" x14ac:dyDescent="0.35">
      <c r="H7551" s="83">
        <f t="shared" si="164"/>
        <v>0</v>
      </c>
    </row>
    <row r="7552" spans="8:8" hidden="1" x14ac:dyDescent="0.35">
      <c r="H7552" s="83">
        <f t="shared" si="164"/>
        <v>0</v>
      </c>
    </row>
    <row r="7553" spans="8:8" hidden="1" x14ac:dyDescent="0.35">
      <c r="H7553" s="83">
        <f t="shared" si="164"/>
        <v>0</v>
      </c>
    </row>
    <row r="7554" spans="8:8" hidden="1" x14ac:dyDescent="0.35">
      <c r="H7554" s="83">
        <f t="shared" si="164"/>
        <v>0</v>
      </c>
    </row>
    <row r="7555" spans="8:8" hidden="1" x14ac:dyDescent="0.35">
      <c r="H7555" s="83">
        <f t="shared" si="164"/>
        <v>0</v>
      </c>
    </row>
    <row r="7556" spans="8:8" hidden="1" x14ac:dyDescent="0.35">
      <c r="H7556" s="83">
        <f t="shared" ref="H7556:H7619" si="165">J7556-I7556</f>
        <v>0</v>
      </c>
    </row>
    <row r="7557" spans="8:8" hidden="1" x14ac:dyDescent="0.35">
      <c r="H7557" s="83">
        <f t="shared" si="165"/>
        <v>0</v>
      </c>
    </row>
    <row r="7558" spans="8:8" hidden="1" x14ac:dyDescent="0.35">
      <c r="H7558" s="83">
        <f t="shared" si="165"/>
        <v>0</v>
      </c>
    </row>
    <row r="7559" spans="8:8" hidden="1" x14ac:dyDescent="0.35">
      <c r="H7559" s="83">
        <f t="shared" si="165"/>
        <v>0</v>
      </c>
    </row>
    <row r="7560" spans="8:8" hidden="1" x14ac:dyDescent="0.35">
      <c r="H7560" s="83">
        <f t="shared" si="165"/>
        <v>0</v>
      </c>
    </row>
    <row r="7561" spans="8:8" hidden="1" x14ac:dyDescent="0.35">
      <c r="H7561" s="83">
        <f t="shared" si="165"/>
        <v>0</v>
      </c>
    </row>
    <row r="7562" spans="8:8" hidden="1" x14ac:dyDescent="0.35">
      <c r="H7562" s="83">
        <f t="shared" si="165"/>
        <v>0</v>
      </c>
    </row>
    <row r="7563" spans="8:8" hidden="1" x14ac:dyDescent="0.35">
      <c r="H7563" s="83">
        <f t="shared" si="165"/>
        <v>0</v>
      </c>
    </row>
    <row r="7564" spans="8:8" hidden="1" x14ac:dyDescent="0.35">
      <c r="H7564" s="83">
        <f t="shared" si="165"/>
        <v>0</v>
      </c>
    </row>
    <row r="7565" spans="8:8" hidden="1" x14ac:dyDescent="0.35">
      <c r="H7565" s="83">
        <f t="shared" si="165"/>
        <v>0</v>
      </c>
    </row>
    <row r="7566" spans="8:8" hidden="1" x14ac:dyDescent="0.35">
      <c r="H7566" s="83">
        <f t="shared" si="165"/>
        <v>0</v>
      </c>
    </row>
    <row r="7567" spans="8:8" hidden="1" x14ac:dyDescent="0.35">
      <c r="H7567" s="83">
        <f t="shared" si="165"/>
        <v>0</v>
      </c>
    </row>
    <row r="7568" spans="8:8" hidden="1" x14ac:dyDescent="0.35">
      <c r="H7568" s="83">
        <f t="shared" si="165"/>
        <v>0</v>
      </c>
    </row>
    <row r="7569" spans="8:8" hidden="1" x14ac:dyDescent="0.35">
      <c r="H7569" s="83">
        <f t="shared" si="165"/>
        <v>0</v>
      </c>
    </row>
    <row r="7570" spans="8:8" hidden="1" x14ac:dyDescent="0.35">
      <c r="H7570" s="83">
        <f t="shared" si="165"/>
        <v>0</v>
      </c>
    </row>
    <row r="7571" spans="8:8" hidden="1" x14ac:dyDescent="0.35">
      <c r="H7571" s="83">
        <f t="shared" si="165"/>
        <v>0</v>
      </c>
    </row>
    <row r="7572" spans="8:8" hidden="1" x14ac:dyDescent="0.35">
      <c r="H7572" s="83">
        <f t="shared" si="165"/>
        <v>0</v>
      </c>
    </row>
    <row r="7573" spans="8:8" hidden="1" x14ac:dyDescent="0.35">
      <c r="H7573" s="83">
        <f t="shared" si="165"/>
        <v>0</v>
      </c>
    </row>
    <row r="7574" spans="8:8" hidden="1" x14ac:dyDescent="0.35">
      <c r="H7574" s="83">
        <f t="shared" si="165"/>
        <v>0</v>
      </c>
    </row>
    <row r="7575" spans="8:8" hidden="1" x14ac:dyDescent="0.35">
      <c r="H7575" s="83">
        <f t="shared" si="165"/>
        <v>0</v>
      </c>
    </row>
    <row r="7576" spans="8:8" hidden="1" x14ac:dyDescent="0.35">
      <c r="H7576" s="83">
        <f t="shared" si="165"/>
        <v>0</v>
      </c>
    </row>
    <row r="7577" spans="8:8" hidden="1" x14ac:dyDescent="0.35">
      <c r="H7577" s="83">
        <f t="shared" si="165"/>
        <v>0</v>
      </c>
    </row>
    <row r="7578" spans="8:8" hidden="1" x14ac:dyDescent="0.35">
      <c r="H7578" s="83">
        <f t="shared" si="165"/>
        <v>0</v>
      </c>
    </row>
    <row r="7579" spans="8:8" hidden="1" x14ac:dyDescent="0.35">
      <c r="H7579" s="83">
        <f t="shared" si="165"/>
        <v>0</v>
      </c>
    </row>
    <row r="7580" spans="8:8" hidden="1" x14ac:dyDescent="0.35">
      <c r="H7580" s="83">
        <f t="shared" si="165"/>
        <v>0</v>
      </c>
    </row>
    <row r="7581" spans="8:8" hidden="1" x14ac:dyDescent="0.35">
      <c r="H7581" s="83">
        <f t="shared" si="165"/>
        <v>0</v>
      </c>
    </row>
    <row r="7582" spans="8:8" hidden="1" x14ac:dyDescent="0.35">
      <c r="H7582" s="83">
        <f t="shared" si="165"/>
        <v>0</v>
      </c>
    </row>
    <row r="7583" spans="8:8" hidden="1" x14ac:dyDescent="0.35">
      <c r="H7583" s="83">
        <f t="shared" si="165"/>
        <v>0</v>
      </c>
    </row>
    <row r="7584" spans="8:8" hidden="1" x14ac:dyDescent="0.35">
      <c r="H7584" s="83">
        <f t="shared" si="165"/>
        <v>0</v>
      </c>
    </row>
    <row r="7585" spans="8:8" hidden="1" x14ac:dyDescent="0.35">
      <c r="H7585" s="83">
        <f t="shared" si="165"/>
        <v>0</v>
      </c>
    </row>
    <row r="7586" spans="8:8" hidden="1" x14ac:dyDescent="0.35">
      <c r="H7586" s="83">
        <f t="shared" si="165"/>
        <v>0</v>
      </c>
    </row>
    <row r="7587" spans="8:8" hidden="1" x14ac:dyDescent="0.35">
      <c r="H7587" s="83">
        <f t="shared" si="165"/>
        <v>0</v>
      </c>
    </row>
    <row r="7588" spans="8:8" hidden="1" x14ac:dyDescent="0.35">
      <c r="H7588" s="83">
        <f t="shared" si="165"/>
        <v>0</v>
      </c>
    </row>
    <row r="7589" spans="8:8" hidden="1" x14ac:dyDescent="0.35">
      <c r="H7589" s="83">
        <f t="shared" si="165"/>
        <v>0</v>
      </c>
    </row>
    <row r="7590" spans="8:8" hidden="1" x14ac:dyDescent="0.35">
      <c r="H7590" s="83">
        <f t="shared" si="165"/>
        <v>0</v>
      </c>
    </row>
    <row r="7591" spans="8:8" hidden="1" x14ac:dyDescent="0.35">
      <c r="H7591" s="83">
        <f t="shared" si="165"/>
        <v>0</v>
      </c>
    </row>
    <row r="7592" spans="8:8" hidden="1" x14ac:dyDescent="0.35">
      <c r="H7592" s="83">
        <f t="shared" si="165"/>
        <v>0</v>
      </c>
    </row>
    <row r="7593" spans="8:8" hidden="1" x14ac:dyDescent="0.35">
      <c r="H7593" s="83">
        <f t="shared" si="165"/>
        <v>0</v>
      </c>
    </row>
    <row r="7594" spans="8:8" hidden="1" x14ac:dyDescent="0.35">
      <c r="H7594" s="83">
        <f t="shared" si="165"/>
        <v>0</v>
      </c>
    </row>
    <row r="7595" spans="8:8" hidden="1" x14ac:dyDescent="0.35">
      <c r="H7595" s="83">
        <f t="shared" si="165"/>
        <v>0</v>
      </c>
    </row>
    <row r="7596" spans="8:8" hidden="1" x14ac:dyDescent="0.35">
      <c r="H7596" s="83">
        <f t="shared" si="165"/>
        <v>0</v>
      </c>
    </row>
    <row r="7597" spans="8:8" hidden="1" x14ac:dyDescent="0.35">
      <c r="H7597" s="83">
        <f t="shared" si="165"/>
        <v>0</v>
      </c>
    </row>
    <row r="7598" spans="8:8" hidden="1" x14ac:dyDescent="0.35">
      <c r="H7598" s="83">
        <f t="shared" si="165"/>
        <v>0</v>
      </c>
    </row>
    <row r="7599" spans="8:8" hidden="1" x14ac:dyDescent="0.35">
      <c r="H7599" s="83">
        <f t="shared" si="165"/>
        <v>0</v>
      </c>
    </row>
    <row r="7600" spans="8:8" hidden="1" x14ac:dyDescent="0.35">
      <c r="H7600" s="83">
        <f t="shared" si="165"/>
        <v>0</v>
      </c>
    </row>
    <row r="7601" spans="8:8" hidden="1" x14ac:dyDescent="0.35">
      <c r="H7601" s="83">
        <f t="shared" si="165"/>
        <v>0</v>
      </c>
    </row>
    <row r="7602" spans="8:8" hidden="1" x14ac:dyDescent="0.35">
      <c r="H7602" s="83">
        <f t="shared" si="165"/>
        <v>0</v>
      </c>
    </row>
    <row r="7603" spans="8:8" hidden="1" x14ac:dyDescent="0.35">
      <c r="H7603" s="83">
        <f t="shared" si="165"/>
        <v>0</v>
      </c>
    </row>
    <row r="7604" spans="8:8" hidden="1" x14ac:dyDescent="0.35">
      <c r="H7604" s="83">
        <f t="shared" si="165"/>
        <v>0</v>
      </c>
    </row>
    <row r="7605" spans="8:8" hidden="1" x14ac:dyDescent="0.35">
      <c r="H7605" s="83">
        <f t="shared" si="165"/>
        <v>0</v>
      </c>
    </row>
    <row r="7606" spans="8:8" hidden="1" x14ac:dyDescent="0.35">
      <c r="H7606" s="83">
        <f t="shared" si="165"/>
        <v>0</v>
      </c>
    </row>
    <row r="7607" spans="8:8" hidden="1" x14ac:dyDescent="0.35">
      <c r="H7607" s="83">
        <f t="shared" si="165"/>
        <v>0</v>
      </c>
    </row>
    <row r="7608" spans="8:8" hidden="1" x14ac:dyDescent="0.35">
      <c r="H7608" s="83">
        <f t="shared" si="165"/>
        <v>0</v>
      </c>
    </row>
    <row r="7609" spans="8:8" hidden="1" x14ac:dyDescent="0.35">
      <c r="H7609" s="83">
        <f t="shared" si="165"/>
        <v>0</v>
      </c>
    </row>
    <row r="7610" spans="8:8" hidden="1" x14ac:dyDescent="0.35">
      <c r="H7610" s="83">
        <f t="shared" si="165"/>
        <v>0</v>
      </c>
    </row>
    <row r="7611" spans="8:8" hidden="1" x14ac:dyDescent="0.35">
      <c r="H7611" s="83">
        <f t="shared" si="165"/>
        <v>0</v>
      </c>
    </row>
    <row r="7612" spans="8:8" hidden="1" x14ac:dyDescent="0.35">
      <c r="H7612" s="83">
        <f t="shared" si="165"/>
        <v>0</v>
      </c>
    </row>
    <row r="7613" spans="8:8" hidden="1" x14ac:dyDescent="0.35">
      <c r="H7613" s="83">
        <f t="shared" si="165"/>
        <v>0</v>
      </c>
    </row>
    <row r="7614" spans="8:8" hidden="1" x14ac:dyDescent="0.35">
      <c r="H7614" s="83">
        <f t="shared" si="165"/>
        <v>0</v>
      </c>
    </row>
    <row r="7615" spans="8:8" hidden="1" x14ac:dyDescent="0.35">
      <c r="H7615" s="83">
        <f t="shared" si="165"/>
        <v>0</v>
      </c>
    </row>
    <row r="7616" spans="8:8" hidden="1" x14ac:dyDescent="0.35">
      <c r="H7616" s="83">
        <f t="shared" si="165"/>
        <v>0</v>
      </c>
    </row>
    <row r="7617" spans="8:8" hidden="1" x14ac:dyDescent="0.35">
      <c r="H7617" s="83">
        <f t="shared" si="165"/>
        <v>0</v>
      </c>
    </row>
    <row r="7618" spans="8:8" hidden="1" x14ac:dyDescent="0.35">
      <c r="H7618" s="83">
        <f t="shared" si="165"/>
        <v>0</v>
      </c>
    </row>
    <row r="7619" spans="8:8" hidden="1" x14ac:dyDescent="0.35">
      <c r="H7619" s="83">
        <f t="shared" si="165"/>
        <v>0</v>
      </c>
    </row>
    <row r="7620" spans="8:8" hidden="1" x14ac:dyDescent="0.35">
      <c r="H7620" s="83">
        <f t="shared" ref="H7620:H7683" si="166">J7620-I7620</f>
        <v>0</v>
      </c>
    </row>
    <row r="7621" spans="8:8" hidden="1" x14ac:dyDescent="0.35">
      <c r="H7621" s="83">
        <f t="shared" si="166"/>
        <v>0</v>
      </c>
    </row>
    <row r="7622" spans="8:8" hidden="1" x14ac:dyDescent="0.35">
      <c r="H7622" s="83">
        <f t="shared" si="166"/>
        <v>0</v>
      </c>
    </row>
    <row r="7623" spans="8:8" hidden="1" x14ac:dyDescent="0.35">
      <c r="H7623" s="83">
        <f t="shared" si="166"/>
        <v>0</v>
      </c>
    </row>
    <row r="7624" spans="8:8" hidden="1" x14ac:dyDescent="0.35">
      <c r="H7624" s="83">
        <f t="shared" si="166"/>
        <v>0</v>
      </c>
    </row>
    <row r="7625" spans="8:8" hidden="1" x14ac:dyDescent="0.35">
      <c r="H7625" s="83">
        <f t="shared" si="166"/>
        <v>0</v>
      </c>
    </row>
    <row r="7626" spans="8:8" hidden="1" x14ac:dyDescent="0.35">
      <c r="H7626" s="83">
        <f t="shared" si="166"/>
        <v>0</v>
      </c>
    </row>
    <row r="7627" spans="8:8" hidden="1" x14ac:dyDescent="0.35">
      <c r="H7627" s="83">
        <f t="shared" si="166"/>
        <v>0</v>
      </c>
    </row>
    <row r="7628" spans="8:8" hidden="1" x14ac:dyDescent="0.35">
      <c r="H7628" s="83">
        <f t="shared" si="166"/>
        <v>0</v>
      </c>
    </row>
    <row r="7629" spans="8:8" hidden="1" x14ac:dyDescent="0.35">
      <c r="H7629" s="83">
        <f t="shared" si="166"/>
        <v>0</v>
      </c>
    </row>
    <row r="7630" spans="8:8" hidden="1" x14ac:dyDescent="0.35">
      <c r="H7630" s="83">
        <f t="shared" si="166"/>
        <v>0</v>
      </c>
    </row>
    <row r="7631" spans="8:8" hidden="1" x14ac:dyDescent="0.35">
      <c r="H7631" s="83">
        <f t="shared" si="166"/>
        <v>0</v>
      </c>
    </row>
    <row r="7632" spans="8:8" hidden="1" x14ac:dyDescent="0.35">
      <c r="H7632" s="83">
        <f t="shared" si="166"/>
        <v>0</v>
      </c>
    </row>
    <row r="7633" spans="8:8" hidden="1" x14ac:dyDescent="0.35">
      <c r="H7633" s="83">
        <f t="shared" si="166"/>
        <v>0</v>
      </c>
    </row>
    <row r="7634" spans="8:8" hidden="1" x14ac:dyDescent="0.35">
      <c r="H7634" s="83">
        <f t="shared" si="166"/>
        <v>0</v>
      </c>
    </row>
    <row r="7635" spans="8:8" hidden="1" x14ac:dyDescent="0.35">
      <c r="H7635" s="83">
        <f t="shared" si="166"/>
        <v>0</v>
      </c>
    </row>
    <row r="7636" spans="8:8" hidden="1" x14ac:dyDescent="0.35">
      <c r="H7636" s="83">
        <f t="shared" si="166"/>
        <v>0</v>
      </c>
    </row>
    <row r="7637" spans="8:8" hidden="1" x14ac:dyDescent="0.35">
      <c r="H7637" s="83">
        <f t="shared" si="166"/>
        <v>0</v>
      </c>
    </row>
    <row r="7638" spans="8:8" hidden="1" x14ac:dyDescent="0.35">
      <c r="H7638" s="83">
        <f t="shared" si="166"/>
        <v>0</v>
      </c>
    </row>
    <row r="7639" spans="8:8" hidden="1" x14ac:dyDescent="0.35">
      <c r="H7639" s="83">
        <f t="shared" si="166"/>
        <v>0</v>
      </c>
    </row>
    <row r="7640" spans="8:8" hidden="1" x14ac:dyDescent="0.35">
      <c r="H7640" s="83">
        <f t="shared" si="166"/>
        <v>0</v>
      </c>
    </row>
    <row r="7641" spans="8:8" hidden="1" x14ac:dyDescent="0.35">
      <c r="H7641" s="83">
        <f t="shared" si="166"/>
        <v>0</v>
      </c>
    </row>
    <row r="7642" spans="8:8" hidden="1" x14ac:dyDescent="0.35">
      <c r="H7642" s="83">
        <f t="shared" si="166"/>
        <v>0</v>
      </c>
    </row>
    <row r="7643" spans="8:8" hidden="1" x14ac:dyDescent="0.35">
      <c r="H7643" s="83">
        <f t="shared" si="166"/>
        <v>0</v>
      </c>
    </row>
    <row r="7644" spans="8:8" hidden="1" x14ac:dyDescent="0.35">
      <c r="H7644" s="83">
        <f t="shared" si="166"/>
        <v>0</v>
      </c>
    </row>
    <row r="7645" spans="8:8" hidden="1" x14ac:dyDescent="0.35">
      <c r="H7645" s="83">
        <f t="shared" si="166"/>
        <v>0</v>
      </c>
    </row>
    <row r="7646" spans="8:8" hidden="1" x14ac:dyDescent="0.35">
      <c r="H7646" s="83">
        <f t="shared" si="166"/>
        <v>0</v>
      </c>
    </row>
    <row r="7647" spans="8:8" hidden="1" x14ac:dyDescent="0.35">
      <c r="H7647" s="83">
        <f t="shared" si="166"/>
        <v>0</v>
      </c>
    </row>
    <row r="7648" spans="8:8" hidden="1" x14ac:dyDescent="0.35">
      <c r="H7648" s="83">
        <f t="shared" si="166"/>
        <v>0</v>
      </c>
    </row>
    <row r="7649" spans="8:8" hidden="1" x14ac:dyDescent="0.35">
      <c r="H7649" s="83">
        <f t="shared" si="166"/>
        <v>0</v>
      </c>
    </row>
    <row r="7650" spans="8:8" hidden="1" x14ac:dyDescent="0.35">
      <c r="H7650" s="83">
        <f t="shared" si="166"/>
        <v>0</v>
      </c>
    </row>
    <row r="7651" spans="8:8" hidden="1" x14ac:dyDescent="0.35">
      <c r="H7651" s="83">
        <f t="shared" si="166"/>
        <v>0</v>
      </c>
    </row>
    <row r="7652" spans="8:8" hidden="1" x14ac:dyDescent="0.35">
      <c r="H7652" s="83">
        <f t="shared" si="166"/>
        <v>0</v>
      </c>
    </row>
    <row r="7653" spans="8:8" hidden="1" x14ac:dyDescent="0.35">
      <c r="H7653" s="83">
        <f t="shared" si="166"/>
        <v>0</v>
      </c>
    </row>
    <row r="7654" spans="8:8" hidden="1" x14ac:dyDescent="0.35">
      <c r="H7654" s="83">
        <f t="shared" si="166"/>
        <v>0</v>
      </c>
    </row>
    <row r="7655" spans="8:8" hidden="1" x14ac:dyDescent="0.35">
      <c r="H7655" s="83">
        <f t="shared" si="166"/>
        <v>0</v>
      </c>
    </row>
    <row r="7656" spans="8:8" hidden="1" x14ac:dyDescent="0.35">
      <c r="H7656" s="83">
        <f t="shared" si="166"/>
        <v>0</v>
      </c>
    </row>
    <row r="7657" spans="8:8" hidden="1" x14ac:dyDescent="0.35">
      <c r="H7657" s="83">
        <f t="shared" si="166"/>
        <v>0</v>
      </c>
    </row>
    <row r="7658" spans="8:8" hidden="1" x14ac:dyDescent="0.35">
      <c r="H7658" s="83">
        <f t="shared" si="166"/>
        <v>0</v>
      </c>
    </row>
    <row r="7659" spans="8:8" hidden="1" x14ac:dyDescent="0.35">
      <c r="H7659" s="83">
        <f t="shared" si="166"/>
        <v>0</v>
      </c>
    </row>
    <row r="7660" spans="8:8" hidden="1" x14ac:dyDescent="0.35">
      <c r="H7660" s="83">
        <f t="shared" si="166"/>
        <v>0</v>
      </c>
    </row>
    <row r="7661" spans="8:8" hidden="1" x14ac:dyDescent="0.35">
      <c r="H7661" s="83">
        <f t="shared" si="166"/>
        <v>0</v>
      </c>
    </row>
    <row r="7662" spans="8:8" hidden="1" x14ac:dyDescent="0.35">
      <c r="H7662" s="83">
        <f t="shared" si="166"/>
        <v>0</v>
      </c>
    </row>
    <row r="7663" spans="8:8" hidden="1" x14ac:dyDescent="0.35">
      <c r="H7663" s="83">
        <f t="shared" si="166"/>
        <v>0</v>
      </c>
    </row>
    <row r="7664" spans="8:8" hidden="1" x14ac:dyDescent="0.35">
      <c r="H7664" s="83">
        <f t="shared" si="166"/>
        <v>0</v>
      </c>
    </row>
    <row r="7665" spans="8:8" hidden="1" x14ac:dyDescent="0.35">
      <c r="H7665" s="83">
        <f t="shared" si="166"/>
        <v>0</v>
      </c>
    </row>
    <row r="7666" spans="8:8" hidden="1" x14ac:dyDescent="0.35">
      <c r="H7666" s="83">
        <f t="shared" si="166"/>
        <v>0</v>
      </c>
    </row>
    <row r="7667" spans="8:8" hidden="1" x14ac:dyDescent="0.35">
      <c r="H7667" s="83">
        <f t="shared" si="166"/>
        <v>0</v>
      </c>
    </row>
    <row r="7668" spans="8:8" hidden="1" x14ac:dyDescent="0.35">
      <c r="H7668" s="83">
        <f t="shared" si="166"/>
        <v>0</v>
      </c>
    </row>
    <row r="7669" spans="8:8" hidden="1" x14ac:dyDescent="0.35">
      <c r="H7669" s="83">
        <f t="shared" si="166"/>
        <v>0</v>
      </c>
    </row>
    <row r="7670" spans="8:8" hidden="1" x14ac:dyDescent="0.35">
      <c r="H7670" s="83">
        <f t="shared" si="166"/>
        <v>0</v>
      </c>
    </row>
    <row r="7671" spans="8:8" hidden="1" x14ac:dyDescent="0.35">
      <c r="H7671" s="83">
        <f t="shared" si="166"/>
        <v>0</v>
      </c>
    </row>
    <row r="7672" spans="8:8" hidden="1" x14ac:dyDescent="0.35">
      <c r="H7672" s="83">
        <f t="shared" si="166"/>
        <v>0</v>
      </c>
    </row>
    <row r="7673" spans="8:8" hidden="1" x14ac:dyDescent="0.35">
      <c r="H7673" s="83">
        <f t="shared" si="166"/>
        <v>0</v>
      </c>
    </row>
    <row r="7674" spans="8:8" hidden="1" x14ac:dyDescent="0.35">
      <c r="H7674" s="83">
        <f t="shared" si="166"/>
        <v>0</v>
      </c>
    </row>
    <row r="7675" spans="8:8" hidden="1" x14ac:dyDescent="0.35">
      <c r="H7675" s="83">
        <f t="shared" si="166"/>
        <v>0</v>
      </c>
    </row>
    <row r="7676" spans="8:8" hidden="1" x14ac:dyDescent="0.35">
      <c r="H7676" s="83">
        <f t="shared" si="166"/>
        <v>0</v>
      </c>
    </row>
    <row r="7677" spans="8:8" hidden="1" x14ac:dyDescent="0.35">
      <c r="H7677" s="83">
        <f t="shared" si="166"/>
        <v>0</v>
      </c>
    </row>
    <row r="7678" spans="8:8" hidden="1" x14ac:dyDescent="0.35">
      <c r="H7678" s="83">
        <f t="shared" si="166"/>
        <v>0</v>
      </c>
    </row>
    <row r="7679" spans="8:8" hidden="1" x14ac:dyDescent="0.35">
      <c r="H7679" s="83">
        <f t="shared" si="166"/>
        <v>0</v>
      </c>
    </row>
    <row r="7680" spans="8:8" hidden="1" x14ac:dyDescent="0.35">
      <c r="H7680" s="83">
        <f t="shared" si="166"/>
        <v>0</v>
      </c>
    </row>
    <row r="7681" spans="8:8" hidden="1" x14ac:dyDescent="0.35">
      <c r="H7681" s="83">
        <f t="shared" si="166"/>
        <v>0</v>
      </c>
    </row>
    <row r="7682" spans="8:8" hidden="1" x14ac:dyDescent="0.35">
      <c r="H7682" s="83">
        <f t="shared" si="166"/>
        <v>0</v>
      </c>
    </row>
    <row r="7683" spans="8:8" hidden="1" x14ac:dyDescent="0.35">
      <c r="H7683" s="83">
        <f t="shared" si="166"/>
        <v>0</v>
      </c>
    </row>
    <row r="7684" spans="8:8" hidden="1" x14ac:dyDescent="0.35">
      <c r="H7684" s="83">
        <f t="shared" ref="H7684:H7747" si="167">J7684-I7684</f>
        <v>0</v>
      </c>
    </row>
    <row r="7685" spans="8:8" hidden="1" x14ac:dyDescent="0.35">
      <c r="H7685" s="83">
        <f t="shared" si="167"/>
        <v>0</v>
      </c>
    </row>
    <row r="7686" spans="8:8" hidden="1" x14ac:dyDescent="0.35">
      <c r="H7686" s="83">
        <f t="shared" si="167"/>
        <v>0</v>
      </c>
    </row>
    <row r="7687" spans="8:8" hidden="1" x14ac:dyDescent="0.35">
      <c r="H7687" s="83">
        <f t="shared" si="167"/>
        <v>0</v>
      </c>
    </row>
    <row r="7688" spans="8:8" hidden="1" x14ac:dyDescent="0.35">
      <c r="H7688" s="83">
        <f t="shared" si="167"/>
        <v>0</v>
      </c>
    </row>
    <row r="7689" spans="8:8" hidden="1" x14ac:dyDescent="0.35">
      <c r="H7689" s="83">
        <f t="shared" si="167"/>
        <v>0</v>
      </c>
    </row>
    <row r="7690" spans="8:8" hidden="1" x14ac:dyDescent="0.35">
      <c r="H7690" s="83">
        <f t="shared" si="167"/>
        <v>0</v>
      </c>
    </row>
    <row r="7691" spans="8:8" hidden="1" x14ac:dyDescent="0.35">
      <c r="H7691" s="83">
        <f t="shared" si="167"/>
        <v>0</v>
      </c>
    </row>
    <row r="7692" spans="8:8" hidden="1" x14ac:dyDescent="0.35">
      <c r="H7692" s="83">
        <f t="shared" si="167"/>
        <v>0</v>
      </c>
    </row>
    <row r="7693" spans="8:8" hidden="1" x14ac:dyDescent="0.35">
      <c r="H7693" s="83">
        <f t="shared" si="167"/>
        <v>0</v>
      </c>
    </row>
    <row r="7694" spans="8:8" hidden="1" x14ac:dyDescent="0.35">
      <c r="H7694" s="83">
        <f t="shared" si="167"/>
        <v>0</v>
      </c>
    </row>
    <row r="7695" spans="8:8" hidden="1" x14ac:dyDescent="0.35">
      <c r="H7695" s="83">
        <f t="shared" si="167"/>
        <v>0</v>
      </c>
    </row>
    <row r="7696" spans="8:8" hidden="1" x14ac:dyDescent="0.35">
      <c r="H7696" s="83">
        <f t="shared" si="167"/>
        <v>0</v>
      </c>
    </row>
    <row r="7697" spans="8:8" hidden="1" x14ac:dyDescent="0.35">
      <c r="H7697" s="83">
        <f t="shared" si="167"/>
        <v>0</v>
      </c>
    </row>
    <row r="7698" spans="8:8" hidden="1" x14ac:dyDescent="0.35">
      <c r="H7698" s="83">
        <f t="shared" si="167"/>
        <v>0</v>
      </c>
    </row>
    <row r="7699" spans="8:8" hidden="1" x14ac:dyDescent="0.35">
      <c r="H7699" s="83">
        <f t="shared" si="167"/>
        <v>0</v>
      </c>
    </row>
    <row r="7700" spans="8:8" hidden="1" x14ac:dyDescent="0.35">
      <c r="H7700" s="83">
        <f t="shared" si="167"/>
        <v>0</v>
      </c>
    </row>
    <row r="7701" spans="8:8" hidden="1" x14ac:dyDescent="0.35">
      <c r="H7701" s="83">
        <f t="shared" si="167"/>
        <v>0</v>
      </c>
    </row>
    <row r="7702" spans="8:8" hidden="1" x14ac:dyDescent="0.35">
      <c r="H7702" s="83">
        <f t="shared" si="167"/>
        <v>0</v>
      </c>
    </row>
    <row r="7703" spans="8:8" hidden="1" x14ac:dyDescent="0.35">
      <c r="H7703" s="83">
        <f t="shared" si="167"/>
        <v>0</v>
      </c>
    </row>
    <row r="7704" spans="8:8" hidden="1" x14ac:dyDescent="0.35">
      <c r="H7704" s="83">
        <f t="shared" si="167"/>
        <v>0</v>
      </c>
    </row>
    <row r="7705" spans="8:8" hidden="1" x14ac:dyDescent="0.35">
      <c r="H7705" s="83">
        <f t="shared" si="167"/>
        <v>0</v>
      </c>
    </row>
    <row r="7706" spans="8:8" hidden="1" x14ac:dyDescent="0.35">
      <c r="H7706" s="83">
        <f t="shared" si="167"/>
        <v>0</v>
      </c>
    </row>
    <row r="7707" spans="8:8" hidden="1" x14ac:dyDescent="0.35">
      <c r="H7707" s="83">
        <f t="shared" si="167"/>
        <v>0</v>
      </c>
    </row>
    <row r="7708" spans="8:8" hidden="1" x14ac:dyDescent="0.35">
      <c r="H7708" s="83">
        <f t="shared" si="167"/>
        <v>0</v>
      </c>
    </row>
    <row r="7709" spans="8:8" hidden="1" x14ac:dyDescent="0.35">
      <c r="H7709" s="83">
        <f t="shared" si="167"/>
        <v>0</v>
      </c>
    </row>
    <row r="7710" spans="8:8" hidden="1" x14ac:dyDescent="0.35">
      <c r="H7710" s="83">
        <f t="shared" si="167"/>
        <v>0</v>
      </c>
    </row>
    <row r="7711" spans="8:8" hidden="1" x14ac:dyDescent="0.35">
      <c r="H7711" s="83">
        <f t="shared" si="167"/>
        <v>0</v>
      </c>
    </row>
    <row r="7712" spans="8:8" hidden="1" x14ac:dyDescent="0.35">
      <c r="H7712" s="83">
        <f t="shared" si="167"/>
        <v>0</v>
      </c>
    </row>
    <row r="7713" spans="8:8" hidden="1" x14ac:dyDescent="0.35">
      <c r="H7713" s="83">
        <f t="shared" si="167"/>
        <v>0</v>
      </c>
    </row>
    <row r="7714" spans="8:8" hidden="1" x14ac:dyDescent="0.35">
      <c r="H7714" s="83">
        <f t="shared" si="167"/>
        <v>0</v>
      </c>
    </row>
    <row r="7715" spans="8:8" hidden="1" x14ac:dyDescent="0.35">
      <c r="H7715" s="83">
        <f t="shared" si="167"/>
        <v>0</v>
      </c>
    </row>
    <row r="7716" spans="8:8" hidden="1" x14ac:dyDescent="0.35">
      <c r="H7716" s="83">
        <f t="shared" si="167"/>
        <v>0</v>
      </c>
    </row>
    <row r="7717" spans="8:8" hidden="1" x14ac:dyDescent="0.35">
      <c r="H7717" s="83">
        <f t="shared" si="167"/>
        <v>0</v>
      </c>
    </row>
    <row r="7718" spans="8:8" hidden="1" x14ac:dyDescent="0.35">
      <c r="H7718" s="83">
        <f t="shared" si="167"/>
        <v>0</v>
      </c>
    </row>
    <row r="7719" spans="8:8" hidden="1" x14ac:dyDescent="0.35">
      <c r="H7719" s="83">
        <f t="shared" si="167"/>
        <v>0</v>
      </c>
    </row>
    <row r="7720" spans="8:8" hidden="1" x14ac:dyDescent="0.35">
      <c r="H7720" s="83">
        <f t="shared" si="167"/>
        <v>0</v>
      </c>
    </row>
    <row r="7721" spans="8:8" hidden="1" x14ac:dyDescent="0.35">
      <c r="H7721" s="83">
        <f t="shared" si="167"/>
        <v>0</v>
      </c>
    </row>
    <row r="7722" spans="8:8" hidden="1" x14ac:dyDescent="0.35">
      <c r="H7722" s="83">
        <f t="shared" si="167"/>
        <v>0</v>
      </c>
    </row>
    <row r="7723" spans="8:8" hidden="1" x14ac:dyDescent="0.35">
      <c r="H7723" s="83">
        <f t="shared" si="167"/>
        <v>0</v>
      </c>
    </row>
    <row r="7724" spans="8:8" hidden="1" x14ac:dyDescent="0.35">
      <c r="H7724" s="83">
        <f t="shared" si="167"/>
        <v>0</v>
      </c>
    </row>
    <row r="7725" spans="8:8" hidden="1" x14ac:dyDescent="0.35">
      <c r="H7725" s="83">
        <f t="shared" si="167"/>
        <v>0</v>
      </c>
    </row>
    <row r="7726" spans="8:8" hidden="1" x14ac:dyDescent="0.35">
      <c r="H7726" s="83">
        <f t="shared" si="167"/>
        <v>0</v>
      </c>
    </row>
    <row r="7727" spans="8:8" hidden="1" x14ac:dyDescent="0.35">
      <c r="H7727" s="83">
        <f t="shared" si="167"/>
        <v>0</v>
      </c>
    </row>
    <row r="7728" spans="8:8" hidden="1" x14ac:dyDescent="0.35">
      <c r="H7728" s="83">
        <f t="shared" si="167"/>
        <v>0</v>
      </c>
    </row>
    <row r="7729" spans="8:8" hidden="1" x14ac:dyDescent="0.35">
      <c r="H7729" s="83">
        <f t="shared" si="167"/>
        <v>0</v>
      </c>
    </row>
    <row r="7730" spans="8:8" hidden="1" x14ac:dyDescent="0.35">
      <c r="H7730" s="83">
        <f t="shared" si="167"/>
        <v>0</v>
      </c>
    </row>
    <row r="7731" spans="8:8" hidden="1" x14ac:dyDescent="0.35">
      <c r="H7731" s="83">
        <f t="shared" si="167"/>
        <v>0</v>
      </c>
    </row>
    <row r="7732" spans="8:8" hidden="1" x14ac:dyDescent="0.35">
      <c r="H7732" s="83">
        <f t="shared" si="167"/>
        <v>0</v>
      </c>
    </row>
    <row r="7733" spans="8:8" hidden="1" x14ac:dyDescent="0.35">
      <c r="H7733" s="83">
        <f t="shared" si="167"/>
        <v>0</v>
      </c>
    </row>
    <row r="7734" spans="8:8" hidden="1" x14ac:dyDescent="0.35">
      <c r="H7734" s="83">
        <f t="shared" si="167"/>
        <v>0</v>
      </c>
    </row>
    <row r="7735" spans="8:8" hidden="1" x14ac:dyDescent="0.35">
      <c r="H7735" s="83">
        <f t="shared" si="167"/>
        <v>0</v>
      </c>
    </row>
    <row r="7736" spans="8:8" hidden="1" x14ac:dyDescent="0.35">
      <c r="H7736" s="83">
        <f t="shared" si="167"/>
        <v>0</v>
      </c>
    </row>
    <row r="7737" spans="8:8" hidden="1" x14ac:dyDescent="0.35">
      <c r="H7737" s="83">
        <f t="shared" si="167"/>
        <v>0</v>
      </c>
    </row>
    <row r="7738" spans="8:8" hidden="1" x14ac:dyDescent="0.35">
      <c r="H7738" s="83">
        <f t="shared" si="167"/>
        <v>0</v>
      </c>
    </row>
    <row r="7739" spans="8:8" hidden="1" x14ac:dyDescent="0.35">
      <c r="H7739" s="83">
        <f t="shared" si="167"/>
        <v>0</v>
      </c>
    </row>
    <row r="7740" spans="8:8" hidden="1" x14ac:dyDescent="0.35">
      <c r="H7740" s="83">
        <f t="shared" si="167"/>
        <v>0</v>
      </c>
    </row>
    <row r="7741" spans="8:8" hidden="1" x14ac:dyDescent="0.35">
      <c r="H7741" s="83">
        <f t="shared" si="167"/>
        <v>0</v>
      </c>
    </row>
    <row r="7742" spans="8:8" hidden="1" x14ac:dyDescent="0.35">
      <c r="H7742" s="83">
        <f t="shared" si="167"/>
        <v>0</v>
      </c>
    </row>
    <row r="7743" spans="8:8" hidden="1" x14ac:dyDescent="0.35">
      <c r="H7743" s="83">
        <f t="shared" si="167"/>
        <v>0</v>
      </c>
    </row>
    <row r="7744" spans="8:8" hidden="1" x14ac:dyDescent="0.35">
      <c r="H7744" s="83">
        <f t="shared" si="167"/>
        <v>0</v>
      </c>
    </row>
    <row r="7745" spans="8:8" hidden="1" x14ac:dyDescent="0.35">
      <c r="H7745" s="83">
        <f t="shared" si="167"/>
        <v>0</v>
      </c>
    </row>
    <row r="7746" spans="8:8" hidden="1" x14ac:dyDescent="0.35">
      <c r="H7746" s="83">
        <f t="shared" si="167"/>
        <v>0</v>
      </c>
    </row>
    <row r="7747" spans="8:8" hidden="1" x14ac:dyDescent="0.35">
      <c r="H7747" s="83">
        <f t="shared" si="167"/>
        <v>0</v>
      </c>
    </row>
    <row r="7748" spans="8:8" hidden="1" x14ac:dyDescent="0.35">
      <c r="H7748" s="83">
        <f t="shared" ref="H7748:H7811" si="168">J7748-I7748</f>
        <v>0</v>
      </c>
    </row>
    <row r="7749" spans="8:8" hidden="1" x14ac:dyDescent="0.35">
      <c r="H7749" s="83">
        <f t="shared" si="168"/>
        <v>0</v>
      </c>
    </row>
    <row r="7750" spans="8:8" hidden="1" x14ac:dyDescent="0.35">
      <c r="H7750" s="83">
        <f t="shared" si="168"/>
        <v>0</v>
      </c>
    </row>
    <row r="7751" spans="8:8" hidden="1" x14ac:dyDescent="0.35">
      <c r="H7751" s="83">
        <f t="shared" si="168"/>
        <v>0</v>
      </c>
    </row>
    <row r="7752" spans="8:8" hidden="1" x14ac:dyDescent="0.35">
      <c r="H7752" s="83">
        <f t="shared" si="168"/>
        <v>0</v>
      </c>
    </row>
    <row r="7753" spans="8:8" hidden="1" x14ac:dyDescent="0.35">
      <c r="H7753" s="83">
        <f t="shared" si="168"/>
        <v>0</v>
      </c>
    </row>
    <row r="7754" spans="8:8" hidden="1" x14ac:dyDescent="0.35">
      <c r="H7754" s="83">
        <f t="shared" si="168"/>
        <v>0</v>
      </c>
    </row>
    <row r="7755" spans="8:8" hidden="1" x14ac:dyDescent="0.35">
      <c r="H7755" s="83">
        <f t="shared" si="168"/>
        <v>0</v>
      </c>
    </row>
    <row r="7756" spans="8:8" hidden="1" x14ac:dyDescent="0.35">
      <c r="H7756" s="83">
        <f t="shared" si="168"/>
        <v>0</v>
      </c>
    </row>
    <row r="7757" spans="8:8" hidden="1" x14ac:dyDescent="0.35">
      <c r="H7757" s="83">
        <f t="shared" si="168"/>
        <v>0</v>
      </c>
    </row>
    <row r="7758" spans="8:8" hidden="1" x14ac:dyDescent="0.35">
      <c r="H7758" s="83">
        <f t="shared" si="168"/>
        <v>0</v>
      </c>
    </row>
    <row r="7759" spans="8:8" hidden="1" x14ac:dyDescent="0.35">
      <c r="H7759" s="83">
        <f t="shared" si="168"/>
        <v>0</v>
      </c>
    </row>
    <row r="7760" spans="8:8" hidden="1" x14ac:dyDescent="0.35">
      <c r="H7760" s="83">
        <f t="shared" si="168"/>
        <v>0</v>
      </c>
    </row>
    <row r="7761" spans="8:8" hidden="1" x14ac:dyDescent="0.35">
      <c r="H7761" s="83">
        <f t="shared" si="168"/>
        <v>0</v>
      </c>
    </row>
    <row r="7762" spans="8:8" hidden="1" x14ac:dyDescent="0.35">
      <c r="H7762" s="83">
        <f t="shared" si="168"/>
        <v>0</v>
      </c>
    </row>
    <row r="7763" spans="8:8" hidden="1" x14ac:dyDescent="0.35">
      <c r="H7763" s="83">
        <f t="shared" si="168"/>
        <v>0</v>
      </c>
    </row>
    <row r="7764" spans="8:8" hidden="1" x14ac:dyDescent="0.35">
      <c r="H7764" s="83">
        <f t="shared" si="168"/>
        <v>0</v>
      </c>
    </row>
    <row r="7765" spans="8:8" hidden="1" x14ac:dyDescent="0.35">
      <c r="H7765" s="83">
        <f t="shared" si="168"/>
        <v>0</v>
      </c>
    </row>
    <row r="7766" spans="8:8" hidden="1" x14ac:dyDescent="0.35">
      <c r="H7766" s="83">
        <f t="shared" si="168"/>
        <v>0</v>
      </c>
    </row>
    <row r="7767" spans="8:8" hidden="1" x14ac:dyDescent="0.35">
      <c r="H7767" s="83">
        <f t="shared" si="168"/>
        <v>0</v>
      </c>
    </row>
    <row r="7768" spans="8:8" hidden="1" x14ac:dyDescent="0.35">
      <c r="H7768" s="83">
        <f t="shared" si="168"/>
        <v>0</v>
      </c>
    </row>
    <row r="7769" spans="8:8" hidden="1" x14ac:dyDescent="0.35">
      <c r="H7769" s="83">
        <f t="shared" si="168"/>
        <v>0</v>
      </c>
    </row>
    <row r="7770" spans="8:8" hidden="1" x14ac:dyDescent="0.35">
      <c r="H7770" s="83">
        <f t="shared" si="168"/>
        <v>0</v>
      </c>
    </row>
    <row r="7771" spans="8:8" hidden="1" x14ac:dyDescent="0.35">
      <c r="H7771" s="83">
        <f t="shared" si="168"/>
        <v>0</v>
      </c>
    </row>
    <row r="7772" spans="8:8" hidden="1" x14ac:dyDescent="0.35">
      <c r="H7772" s="83">
        <f t="shared" si="168"/>
        <v>0</v>
      </c>
    </row>
    <row r="7773" spans="8:8" hidden="1" x14ac:dyDescent="0.35">
      <c r="H7773" s="83">
        <f t="shared" si="168"/>
        <v>0</v>
      </c>
    </row>
    <row r="7774" spans="8:8" hidden="1" x14ac:dyDescent="0.35">
      <c r="H7774" s="83">
        <f t="shared" si="168"/>
        <v>0</v>
      </c>
    </row>
    <row r="7775" spans="8:8" hidden="1" x14ac:dyDescent="0.35">
      <c r="H7775" s="83">
        <f t="shared" si="168"/>
        <v>0</v>
      </c>
    </row>
    <row r="7776" spans="8:8" hidden="1" x14ac:dyDescent="0.35">
      <c r="H7776" s="83">
        <f t="shared" si="168"/>
        <v>0</v>
      </c>
    </row>
    <row r="7777" spans="8:8" hidden="1" x14ac:dyDescent="0.35">
      <c r="H7777" s="83">
        <f t="shared" si="168"/>
        <v>0</v>
      </c>
    </row>
    <row r="7778" spans="8:8" hidden="1" x14ac:dyDescent="0.35">
      <c r="H7778" s="83">
        <f t="shared" si="168"/>
        <v>0</v>
      </c>
    </row>
    <row r="7779" spans="8:8" hidden="1" x14ac:dyDescent="0.35">
      <c r="H7779" s="83">
        <f t="shared" si="168"/>
        <v>0</v>
      </c>
    </row>
    <row r="7780" spans="8:8" hidden="1" x14ac:dyDescent="0.35">
      <c r="H7780" s="83">
        <f t="shared" si="168"/>
        <v>0</v>
      </c>
    </row>
    <row r="7781" spans="8:8" hidden="1" x14ac:dyDescent="0.35">
      <c r="H7781" s="83">
        <f t="shared" si="168"/>
        <v>0</v>
      </c>
    </row>
    <row r="7782" spans="8:8" hidden="1" x14ac:dyDescent="0.35">
      <c r="H7782" s="83">
        <f t="shared" si="168"/>
        <v>0</v>
      </c>
    </row>
    <row r="7783" spans="8:8" hidden="1" x14ac:dyDescent="0.35">
      <c r="H7783" s="83">
        <f t="shared" si="168"/>
        <v>0</v>
      </c>
    </row>
    <row r="7784" spans="8:8" hidden="1" x14ac:dyDescent="0.35">
      <c r="H7784" s="83">
        <f t="shared" si="168"/>
        <v>0</v>
      </c>
    </row>
    <row r="7785" spans="8:8" hidden="1" x14ac:dyDescent="0.35">
      <c r="H7785" s="83">
        <f t="shared" si="168"/>
        <v>0</v>
      </c>
    </row>
    <row r="7786" spans="8:8" hidden="1" x14ac:dyDescent="0.35">
      <c r="H7786" s="83">
        <f t="shared" si="168"/>
        <v>0</v>
      </c>
    </row>
    <row r="7787" spans="8:8" hidden="1" x14ac:dyDescent="0.35">
      <c r="H7787" s="83">
        <f t="shared" si="168"/>
        <v>0</v>
      </c>
    </row>
    <row r="7788" spans="8:8" hidden="1" x14ac:dyDescent="0.35">
      <c r="H7788" s="83">
        <f t="shared" si="168"/>
        <v>0</v>
      </c>
    </row>
    <row r="7789" spans="8:8" hidden="1" x14ac:dyDescent="0.35">
      <c r="H7789" s="83">
        <f t="shared" si="168"/>
        <v>0</v>
      </c>
    </row>
    <row r="7790" spans="8:8" hidden="1" x14ac:dyDescent="0.35">
      <c r="H7790" s="83">
        <f t="shared" si="168"/>
        <v>0</v>
      </c>
    </row>
    <row r="7791" spans="8:8" hidden="1" x14ac:dyDescent="0.35">
      <c r="H7791" s="83">
        <f t="shared" si="168"/>
        <v>0</v>
      </c>
    </row>
    <row r="7792" spans="8:8" hidden="1" x14ac:dyDescent="0.35">
      <c r="H7792" s="83">
        <f t="shared" si="168"/>
        <v>0</v>
      </c>
    </row>
    <row r="7793" spans="8:8" hidden="1" x14ac:dyDescent="0.35">
      <c r="H7793" s="83">
        <f t="shared" si="168"/>
        <v>0</v>
      </c>
    </row>
    <row r="7794" spans="8:8" hidden="1" x14ac:dyDescent="0.35">
      <c r="H7794" s="83">
        <f t="shared" si="168"/>
        <v>0</v>
      </c>
    </row>
    <row r="7795" spans="8:8" hidden="1" x14ac:dyDescent="0.35">
      <c r="H7795" s="83">
        <f t="shared" si="168"/>
        <v>0</v>
      </c>
    </row>
    <row r="7796" spans="8:8" hidden="1" x14ac:dyDescent="0.35">
      <c r="H7796" s="83">
        <f t="shared" si="168"/>
        <v>0</v>
      </c>
    </row>
    <row r="7797" spans="8:8" hidden="1" x14ac:dyDescent="0.35">
      <c r="H7797" s="83">
        <f t="shared" si="168"/>
        <v>0</v>
      </c>
    </row>
    <row r="7798" spans="8:8" hidden="1" x14ac:dyDescent="0.35">
      <c r="H7798" s="83">
        <f t="shared" si="168"/>
        <v>0</v>
      </c>
    </row>
    <row r="7799" spans="8:8" hidden="1" x14ac:dyDescent="0.35">
      <c r="H7799" s="83">
        <f t="shared" si="168"/>
        <v>0</v>
      </c>
    </row>
    <row r="7800" spans="8:8" hidden="1" x14ac:dyDescent="0.35">
      <c r="H7800" s="83">
        <f t="shared" si="168"/>
        <v>0</v>
      </c>
    </row>
    <row r="7801" spans="8:8" hidden="1" x14ac:dyDescent="0.35">
      <c r="H7801" s="83">
        <f t="shared" si="168"/>
        <v>0</v>
      </c>
    </row>
    <row r="7802" spans="8:8" hidden="1" x14ac:dyDescent="0.35">
      <c r="H7802" s="83">
        <f t="shared" si="168"/>
        <v>0</v>
      </c>
    </row>
    <row r="7803" spans="8:8" hidden="1" x14ac:dyDescent="0.35">
      <c r="H7803" s="83">
        <f t="shared" si="168"/>
        <v>0</v>
      </c>
    </row>
    <row r="7804" spans="8:8" hidden="1" x14ac:dyDescent="0.35">
      <c r="H7804" s="83">
        <f t="shared" si="168"/>
        <v>0</v>
      </c>
    </row>
    <row r="7805" spans="8:8" hidden="1" x14ac:dyDescent="0.35">
      <c r="H7805" s="83">
        <f t="shared" si="168"/>
        <v>0</v>
      </c>
    </row>
    <row r="7806" spans="8:8" hidden="1" x14ac:dyDescent="0.35">
      <c r="H7806" s="83">
        <f t="shared" si="168"/>
        <v>0</v>
      </c>
    </row>
    <row r="7807" spans="8:8" hidden="1" x14ac:dyDescent="0.35">
      <c r="H7807" s="83">
        <f t="shared" si="168"/>
        <v>0</v>
      </c>
    </row>
    <row r="7808" spans="8:8" hidden="1" x14ac:dyDescent="0.35">
      <c r="H7808" s="83">
        <f t="shared" si="168"/>
        <v>0</v>
      </c>
    </row>
    <row r="7809" spans="8:8" hidden="1" x14ac:dyDescent="0.35">
      <c r="H7809" s="83">
        <f t="shared" si="168"/>
        <v>0</v>
      </c>
    </row>
    <row r="7810" spans="8:8" hidden="1" x14ac:dyDescent="0.35">
      <c r="H7810" s="83">
        <f t="shared" si="168"/>
        <v>0</v>
      </c>
    </row>
    <row r="7811" spans="8:8" hidden="1" x14ac:dyDescent="0.35">
      <c r="H7811" s="83">
        <f t="shared" si="168"/>
        <v>0</v>
      </c>
    </row>
    <row r="7812" spans="8:8" hidden="1" x14ac:dyDescent="0.35">
      <c r="H7812" s="83">
        <f t="shared" ref="H7812:H7875" si="169">J7812-I7812</f>
        <v>0</v>
      </c>
    </row>
    <row r="7813" spans="8:8" hidden="1" x14ac:dyDescent="0.35">
      <c r="H7813" s="83">
        <f t="shared" si="169"/>
        <v>0</v>
      </c>
    </row>
    <row r="7814" spans="8:8" hidden="1" x14ac:dyDescent="0.35">
      <c r="H7814" s="83">
        <f t="shared" si="169"/>
        <v>0</v>
      </c>
    </row>
    <row r="7815" spans="8:8" hidden="1" x14ac:dyDescent="0.35">
      <c r="H7815" s="83">
        <f t="shared" si="169"/>
        <v>0</v>
      </c>
    </row>
    <row r="7816" spans="8:8" hidden="1" x14ac:dyDescent="0.35">
      <c r="H7816" s="83">
        <f t="shared" si="169"/>
        <v>0</v>
      </c>
    </row>
    <row r="7817" spans="8:8" hidden="1" x14ac:dyDescent="0.35">
      <c r="H7817" s="83">
        <f t="shared" si="169"/>
        <v>0</v>
      </c>
    </row>
    <row r="7818" spans="8:8" hidden="1" x14ac:dyDescent="0.35">
      <c r="H7818" s="83">
        <f t="shared" si="169"/>
        <v>0</v>
      </c>
    </row>
    <row r="7819" spans="8:8" hidden="1" x14ac:dyDescent="0.35">
      <c r="H7819" s="83">
        <f t="shared" si="169"/>
        <v>0</v>
      </c>
    </row>
    <row r="7820" spans="8:8" hidden="1" x14ac:dyDescent="0.35">
      <c r="H7820" s="83">
        <f t="shared" si="169"/>
        <v>0</v>
      </c>
    </row>
    <row r="7821" spans="8:8" hidden="1" x14ac:dyDescent="0.35">
      <c r="H7821" s="83">
        <f t="shared" si="169"/>
        <v>0</v>
      </c>
    </row>
    <row r="7822" spans="8:8" hidden="1" x14ac:dyDescent="0.35">
      <c r="H7822" s="83">
        <f t="shared" si="169"/>
        <v>0</v>
      </c>
    </row>
    <row r="7823" spans="8:8" hidden="1" x14ac:dyDescent="0.35">
      <c r="H7823" s="83">
        <f t="shared" si="169"/>
        <v>0</v>
      </c>
    </row>
    <row r="7824" spans="8:8" hidden="1" x14ac:dyDescent="0.35">
      <c r="H7824" s="83">
        <f t="shared" si="169"/>
        <v>0</v>
      </c>
    </row>
    <row r="7825" spans="8:8" hidden="1" x14ac:dyDescent="0.35">
      <c r="H7825" s="83">
        <f t="shared" si="169"/>
        <v>0</v>
      </c>
    </row>
    <row r="7826" spans="8:8" hidden="1" x14ac:dyDescent="0.35">
      <c r="H7826" s="83">
        <f t="shared" si="169"/>
        <v>0</v>
      </c>
    </row>
    <row r="7827" spans="8:8" hidden="1" x14ac:dyDescent="0.35">
      <c r="H7827" s="83">
        <f t="shared" si="169"/>
        <v>0</v>
      </c>
    </row>
    <row r="7828" spans="8:8" hidden="1" x14ac:dyDescent="0.35">
      <c r="H7828" s="83">
        <f t="shared" si="169"/>
        <v>0</v>
      </c>
    </row>
    <row r="7829" spans="8:8" hidden="1" x14ac:dyDescent="0.35">
      <c r="H7829" s="83">
        <f t="shared" si="169"/>
        <v>0</v>
      </c>
    </row>
    <row r="7830" spans="8:8" hidden="1" x14ac:dyDescent="0.35">
      <c r="H7830" s="83">
        <f t="shared" si="169"/>
        <v>0</v>
      </c>
    </row>
    <row r="7831" spans="8:8" hidden="1" x14ac:dyDescent="0.35">
      <c r="H7831" s="83">
        <f t="shared" si="169"/>
        <v>0</v>
      </c>
    </row>
    <row r="7832" spans="8:8" hidden="1" x14ac:dyDescent="0.35">
      <c r="H7832" s="83">
        <f t="shared" si="169"/>
        <v>0</v>
      </c>
    </row>
    <row r="7833" spans="8:8" hidden="1" x14ac:dyDescent="0.35">
      <c r="H7833" s="83">
        <f t="shared" si="169"/>
        <v>0</v>
      </c>
    </row>
    <row r="7834" spans="8:8" hidden="1" x14ac:dyDescent="0.35">
      <c r="H7834" s="83">
        <f t="shared" si="169"/>
        <v>0</v>
      </c>
    </row>
    <row r="7835" spans="8:8" hidden="1" x14ac:dyDescent="0.35">
      <c r="H7835" s="83">
        <f t="shared" si="169"/>
        <v>0</v>
      </c>
    </row>
    <row r="7836" spans="8:8" hidden="1" x14ac:dyDescent="0.35">
      <c r="H7836" s="83">
        <f t="shared" si="169"/>
        <v>0</v>
      </c>
    </row>
    <row r="7837" spans="8:8" hidden="1" x14ac:dyDescent="0.35">
      <c r="H7837" s="83">
        <f t="shared" si="169"/>
        <v>0</v>
      </c>
    </row>
    <row r="7838" spans="8:8" hidden="1" x14ac:dyDescent="0.35">
      <c r="H7838" s="83">
        <f t="shared" si="169"/>
        <v>0</v>
      </c>
    </row>
    <row r="7839" spans="8:8" hidden="1" x14ac:dyDescent="0.35">
      <c r="H7839" s="83">
        <f t="shared" si="169"/>
        <v>0</v>
      </c>
    </row>
    <row r="7840" spans="8:8" hidden="1" x14ac:dyDescent="0.35">
      <c r="H7840" s="83">
        <f t="shared" si="169"/>
        <v>0</v>
      </c>
    </row>
    <row r="7841" spans="8:8" hidden="1" x14ac:dyDescent="0.35">
      <c r="H7841" s="83">
        <f t="shared" si="169"/>
        <v>0</v>
      </c>
    </row>
    <row r="7842" spans="8:8" hidden="1" x14ac:dyDescent="0.35">
      <c r="H7842" s="83">
        <f t="shared" si="169"/>
        <v>0</v>
      </c>
    </row>
    <row r="7843" spans="8:8" hidden="1" x14ac:dyDescent="0.35">
      <c r="H7843" s="83">
        <f t="shared" si="169"/>
        <v>0</v>
      </c>
    </row>
    <row r="7844" spans="8:8" hidden="1" x14ac:dyDescent="0.35">
      <c r="H7844" s="83">
        <f t="shared" si="169"/>
        <v>0</v>
      </c>
    </row>
    <row r="7845" spans="8:8" hidden="1" x14ac:dyDescent="0.35">
      <c r="H7845" s="83">
        <f t="shared" si="169"/>
        <v>0</v>
      </c>
    </row>
    <row r="7846" spans="8:8" hidden="1" x14ac:dyDescent="0.35">
      <c r="H7846" s="83">
        <f t="shared" si="169"/>
        <v>0</v>
      </c>
    </row>
    <row r="7847" spans="8:8" hidden="1" x14ac:dyDescent="0.35">
      <c r="H7847" s="83">
        <f t="shared" si="169"/>
        <v>0</v>
      </c>
    </row>
    <row r="7848" spans="8:8" hidden="1" x14ac:dyDescent="0.35">
      <c r="H7848" s="83">
        <f t="shared" si="169"/>
        <v>0</v>
      </c>
    </row>
    <row r="7849" spans="8:8" hidden="1" x14ac:dyDescent="0.35">
      <c r="H7849" s="83">
        <f t="shared" si="169"/>
        <v>0</v>
      </c>
    </row>
    <row r="7850" spans="8:8" hidden="1" x14ac:dyDescent="0.35">
      <c r="H7850" s="83">
        <f t="shared" si="169"/>
        <v>0</v>
      </c>
    </row>
    <row r="7851" spans="8:8" hidden="1" x14ac:dyDescent="0.35">
      <c r="H7851" s="83">
        <f t="shared" si="169"/>
        <v>0</v>
      </c>
    </row>
    <row r="7852" spans="8:8" hidden="1" x14ac:dyDescent="0.35">
      <c r="H7852" s="83">
        <f t="shared" si="169"/>
        <v>0</v>
      </c>
    </row>
    <row r="7853" spans="8:8" hidden="1" x14ac:dyDescent="0.35">
      <c r="H7853" s="83">
        <f t="shared" si="169"/>
        <v>0</v>
      </c>
    </row>
    <row r="7854" spans="8:8" hidden="1" x14ac:dyDescent="0.35">
      <c r="H7854" s="83">
        <f t="shared" si="169"/>
        <v>0</v>
      </c>
    </row>
    <row r="7855" spans="8:8" hidden="1" x14ac:dyDescent="0.35">
      <c r="H7855" s="83">
        <f t="shared" si="169"/>
        <v>0</v>
      </c>
    </row>
    <row r="7856" spans="8:8" hidden="1" x14ac:dyDescent="0.35">
      <c r="H7856" s="83">
        <f t="shared" si="169"/>
        <v>0</v>
      </c>
    </row>
    <row r="7857" spans="8:8" hidden="1" x14ac:dyDescent="0.35">
      <c r="H7857" s="83">
        <f t="shared" si="169"/>
        <v>0</v>
      </c>
    </row>
    <row r="7858" spans="8:8" hidden="1" x14ac:dyDescent="0.35">
      <c r="H7858" s="83">
        <f t="shared" si="169"/>
        <v>0</v>
      </c>
    </row>
    <row r="7859" spans="8:8" hidden="1" x14ac:dyDescent="0.35">
      <c r="H7859" s="83">
        <f t="shared" si="169"/>
        <v>0</v>
      </c>
    </row>
    <row r="7860" spans="8:8" hidden="1" x14ac:dyDescent="0.35">
      <c r="H7860" s="83">
        <f t="shared" si="169"/>
        <v>0</v>
      </c>
    </row>
    <row r="7861" spans="8:8" hidden="1" x14ac:dyDescent="0.35">
      <c r="H7861" s="83">
        <f t="shared" si="169"/>
        <v>0</v>
      </c>
    </row>
    <row r="7862" spans="8:8" hidden="1" x14ac:dyDescent="0.35">
      <c r="H7862" s="83">
        <f t="shared" si="169"/>
        <v>0</v>
      </c>
    </row>
    <row r="7863" spans="8:8" hidden="1" x14ac:dyDescent="0.35">
      <c r="H7863" s="83">
        <f t="shared" si="169"/>
        <v>0</v>
      </c>
    </row>
    <row r="7864" spans="8:8" hidden="1" x14ac:dyDescent="0.35">
      <c r="H7864" s="83">
        <f t="shared" si="169"/>
        <v>0</v>
      </c>
    </row>
    <row r="7865" spans="8:8" hidden="1" x14ac:dyDescent="0.35">
      <c r="H7865" s="83">
        <f t="shared" si="169"/>
        <v>0</v>
      </c>
    </row>
    <row r="7866" spans="8:8" hidden="1" x14ac:dyDescent="0.35">
      <c r="H7866" s="83">
        <f t="shared" si="169"/>
        <v>0</v>
      </c>
    </row>
    <row r="7867" spans="8:8" hidden="1" x14ac:dyDescent="0.35">
      <c r="H7867" s="83">
        <f t="shared" si="169"/>
        <v>0</v>
      </c>
    </row>
    <row r="7868" spans="8:8" hidden="1" x14ac:dyDescent="0.35">
      <c r="H7868" s="83">
        <f t="shared" si="169"/>
        <v>0</v>
      </c>
    </row>
    <row r="7869" spans="8:8" hidden="1" x14ac:dyDescent="0.35">
      <c r="H7869" s="83">
        <f t="shared" si="169"/>
        <v>0</v>
      </c>
    </row>
    <row r="7870" spans="8:8" hidden="1" x14ac:dyDescent="0.35">
      <c r="H7870" s="83">
        <f t="shared" si="169"/>
        <v>0</v>
      </c>
    </row>
    <row r="7871" spans="8:8" hidden="1" x14ac:dyDescent="0.35">
      <c r="H7871" s="83">
        <f t="shared" si="169"/>
        <v>0</v>
      </c>
    </row>
    <row r="7872" spans="8:8" hidden="1" x14ac:dyDescent="0.35">
      <c r="H7872" s="83">
        <f t="shared" si="169"/>
        <v>0</v>
      </c>
    </row>
    <row r="7873" spans="8:8" hidden="1" x14ac:dyDescent="0.35">
      <c r="H7873" s="83">
        <f t="shared" si="169"/>
        <v>0</v>
      </c>
    </row>
    <row r="7874" spans="8:8" hidden="1" x14ac:dyDescent="0.35">
      <c r="H7874" s="83">
        <f t="shared" si="169"/>
        <v>0</v>
      </c>
    </row>
    <row r="7875" spans="8:8" hidden="1" x14ac:dyDescent="0.35">
      <c r="H7875" s="83">
        <f t="shared" si="169"/>
        <v>0</v>
      </c>
    </row>
    <row r="7876" spans="8:8" hidden="1" x14ac:dyDescent="0.35">
      <c r="H7876" s="83">
        <f t="shared" ref="H7876:H7939" si="170">J7876-I7876</f>
        <v>0</v>
      </c>
    </row>
    <row r="7877" spans="8:8" hidden="1" x14ac:dyDescent="0.35">
      <c r="H7877" s="83">
        <f t="shared" si="170"/>
        <v>0</v>
      </c>
    </row>
    <row r="7878" spans="8:8" hidden="1" x14ac:dyDescent="0.35">
      <c r="H7878" s="83">
        <f t="shared" si="170"/>
        <v>0</v>
      </c>
    </row>
    <row r="7879" spans="8:8" hidden="1" x14ac:dyDescent="0.35">
      <c r="H7879" s="83">
        <f t="shared" si="170"/>
        <v>0</v>
      </c>
    </row>
    <row r="7880" spans="8:8" hidden="1" x14ac:dyDescent="0.35">
      <c r="H7880" s="83">
        <f t="shared" si="170"/>
        <v>0</v>
      </c>
    </row>
    <row r="7881" spans="8:8" hidden="1" x14ac:dyDescent="0.35">
      <c r="H7881" s="83">
        <f t="shared" si="170"/>
        <v>0</v>
      </c>
    </row>
    <row r="7882" spans="8:8" hidden="1" x14ac:dyDescent="0.35">
      <c r="H7882" s="83">
        <f t="shared" si="170"/>
        <v>0</v>
      </c>
    </row>
    <row r="7883" spans="8:8" hidden="1" x14ac:dyDescent="0.35">
      <c r="H7883" s="83">
        <f t="shared" si="170"/>
        <v>0</v>
      </c>
    </row>
    <row r="7884" spans="8:8" hidden="1" x14ac:dyDescent="0.35">
      <c r="H7884" s="83">
        <f t="shared" si="170"/>
        <v>0</v>
      </c>
    </row>
    <row r="7885" spans="8:8" hidden="1" x14ac:dyDescent="0.35">
      <c r="H7885" s="83">
        <f t="shared" si="170"/>
        <v>0</v>
      </c>
    </row>
    <row r="7886" spans="8:8" hidden="1" x14ac:dyDescent="0.35">
      <c r="H7886" s="83">
        <f t="shared" si="170"/>
        <v>0</v>
      </c>
    </row>
    <row r="7887" spans="8:8" hidden="1" x14ac:dyDescent="0.35">
      <c r="H7887" s="83">
        <f t="shared" si="170"/>
        <v>0</v>
      </c>
    </row>
    <row r="7888" spans="8:8" hidden="1" x14ac:dyDescent="0.35">
      <c r="H7888" s="83">
        <f t="shared" si="170"/>
        <v>0</v>
      </c>
    </row>
    <row r="7889" spans="8:8" hidden="1" x14ac:dyDescent="0.35">
      <c r="H7889" s="83">
        <f t="shared" si="170"/>
        <v>0</v>
      </c>
    </row>
    <row r="7890" spans="8:8" hidden="1" x14ac:dyDescent="0.35">
      <c r="H7890" s="83">
        <f t="shared" si="170"/>
        <v>0</v>
      </c>
    </row>
    <row r="7891" spans="8:8" hidden="1" x14ac:dyDescent="0.35">
      <c r="H7891" s="83">
        <f t="shared" si="170"/>
        <v>0</v>
      </c>
    </row>
    <row r="7892" spans="8:8" hidden="1" x14ac:dyDescent="0.35">
      <c r="H7892" s="83">
        <f t="shared" si="170"/>
        <v>0</v>
      </c>
    </row>
    <row r="7893" spans="8:8" hidden="1" x14ac:dyDescent="0.35">
      <c r="H7893" s="83">
        <f t="shared" si="170"/>
        <v>0</v>
      </c>
    </row>
    <row r="7894" spans="8:8" hidden="1" x14ac:dyDescent="0.35">
      <c r="H7894" s="83">
        <f t="shared" si="170"/>
        <v>0</v>
      </c>
    </row>
    <row r="7895" spans="8:8" hidden="1" x14ac:dyDescent="0.35">
      <c r="H7895" s="83">
        <f t="shared" si="170"/>
        <v>0</v>
      </c>
    </row>
    <row r="7896" spans="8:8" hidden="1" x14ac:dyDescent="0.35">
      <c r="H7896" s="83">
        <f t="shared" si="170"/>
        <v>0</v>
      </c>
    </row>
    <row r="7897" spans="8:8" hidden="1" x14ac:dyDescent="0.35">
      <c r="H7897" s="83">
        <f t="shared" si="170"/>
        <v>0</v>
      </c>
    </row>
    <row r="7898" spans="8:8" hidden="1" x14ac:dyDescent="0.35">
      <c r="H7898" s="83">
        <f t="shared" si="170"/>
        <v>0</v>
      </c>
    </row>
    <row r="7899" spans="8:8" hidden="1" x14ac:dyDescent="0.35">
      <c r="H7899" s="83">
        <f t="shared" si="170"/>
        <v>0</v>
      </c>
    </row>
    <row r="7900" spans="8:8" hidden="1" x14ac:dyDescent="0.35">
      <c r="H7900" s="83">
        <f t="shared" si="170"/>
        <v>0</v>
      </c>
    </row>
    <row r="7901" spans="8:8" hidden="1" x14ac:dyDescent="0.35">
      <c r="H7901" s="83">
        <f t="shared" si="170"/>
        <v>0</v>
      </c>
    </row>
    <row r="7902" spans="8:8" hidden="1" x14ac:dyDescent="0.35">
      <c r="H7902" s="83">
        <f t="shared" si="170"/>
        <v>0</v>
      </c>
    </row>
    <row r="7903" spans="8:8" hidden="1" x14ac:dyDescent="0.35">
      <c r="H7903" s="83">
        <f t="shared" si="170"/>
        <v>0</v>
      </c>
    </row>
    <row r="7904" spans="8:8" hidden="1" x14ac:dyDescent="0.35">
      <c r="H7904" s="83">
        <f t="shared" si="170"/>
        <v>0</v>
      </c>
    </row>
    <row r="7905" spans="8:8" hidden="1" x14ac:dyDescent="0.35">
      <c r="H7905" s="83">
        <f t="shared" si="170"/>
        <v>0</v>
      </c>
    </row>
    <row r="7906" spans="8:8" hidden="1" x14ac:dyDescent="0.35">
      <c r="H7906" s="83">
        <f t="shared" si="170"/>
        <v>0</v>
      </c>
    </row>
    <row r="7907" spans="8:8" hidden="1" x14ac:dyDescent="0.35">
      <c r="H7907" s="83">
        <f t="shared" si="170"/>
        <v>0</v>
      </c>
    </row>
    <row r="7908" spans="8:8" hidden="1" x14ac:dyDescent="0.35">
      <c r="H7908" s="83">
        <f t="shared" si="170"/>
        <v>0</v>
      </c>
    </row>
    <row r="7909" spans="8:8" hidden="1" x14ac:dyDescent="0.35">
      <c r="H7909" s="83">
        <f t="shared" si="170"/>
        <v>0</v>
      </c>
    </row>
    <row r="7910" spans="8:8" hidden="1" x14ac:dyDescent="0.35">
      <c r="H7910" s="83">
        <f t="shared" si="170"/>
        <v>0</v>
      </c>
    </row>
    <row r="7911" spans="8:8" hidden="1" x14ac:dyDescent="0.35">
      <c r="H7911" s="83">
        <f t="shared" si="170"/>
        <v>0</v>
      </c>
    </row>
    <row r="7912" spans="8:8" hidden="1" x14ac:dyDescent="0.35">
      <c r="H7912" s="83">
        <f t="shared" si="170"/>
        <v>0</v>
      </c>
    </row>
    <row r="7913" spans="8:8" hidden="1" x14ac:dyDescent="0.35">
      <c r="H7913" s="83">
        <f t="shared" si="170"/>
        <v>0</v>
      </c>
    </row>
    <row r="7914" spans="8:8" hidden="1" x14ac:dyDescent="0.35">
      <c r="H7914" s="83">
        <f t="shared" si="170"/>
        <v>0</v>
      </c>
    </row>
    <row r="7915" spans="8:8" hidden="1" x14ac:dyDescent="0.35">
      <c r="H7915" s="83">
        <f t="shared" si="170"/>
        <v>0</v>
      </c>
    </row>
    <row r="7916" spans="8:8" hidden="1" x14ac:dyDescent="0.35">
      <c r="H7916" s="83">
        <f t="shared" si="170"/>
        <v>0</v>
      </c>
    </row>
    <row r="7917" spans="8:8" hidden="1" x14ac:dyDescent="0.35">
      <c r="H7917" s="83">
        <f t="shared" si="170"/>
        <v>0</v>
      </c>
    </row>
    <row r="7918" spans="8:8" hidden="1" x14ac:dyDescent="0.35">
      <c r="H7918" s="83">
        <f t="shared" si="170"/>
        <v>0</v>
      </c>
    </row>
    <row r="7919" spans="8:8" hidden="1" x14ac:dyDescent="0.35">
      <c r="H7919" s="83">
        <f t="shared" si="170"/>
        <v>0</v>
      </c>
    </row>
    <row r="7920" spans="8:8" hidden="1" x14ac:dyDescent="0.35">
      <c r="H7920" s="83">
        <f t="shared" si="170"/>
        <v>0</v>
      </c>
    </row>
    <row r="7921" spans="8:8" hidden="1" x14ac:dyDescent="0.35">
      <c r="H7921" s="83">
        <f t="shared" si="170"/>
        <v>0</v>
      </c>
    </row>
    <row r="7922" spans="8:8" hidden="1" x14ac:dyDescent="0.35">
      <c r="H7922" s="83">
        <f t="shared" si="170"/>
        <v>0</v>
      </c>
    </row>
    <row r="7923" spans="8:8" hidden="1" x14ac:dyDescent="0.35">
      <c r="H7923" s="83">
        <f t="shared" si="170"/>
        <v>0</v>
      </c>
    </row>
    <row r="7924" spans="8:8" hidden="1" x14ac:dyDescent="0.35">
      <c r="H7924" s="83">
        <f t="shared" si="170"/>
        <v>0</v>
      </c>
    </row>
    <row r="7925" spans="8:8" hidden="1" x14ac:dyDescent="0.35">
      <c r="H7925" s="83">
        <f t="shared" si="170"/>
        <v>0</v>
      </c>
    </row>
    <row r="7926" spans="8:8" hidden="1" x14ac:dyDescent="0.35">
      <c r="H7926" s="83">
        <f t="shared" si="170"/>
        <v>0</v>
      </c>
    </row>
    <row r="7927" spans="8:8" hidden="1" x14ac:dyDescent="0.35">
      <c r="H7927" s="83">
        <f t="shared" si="170"/>
        <v>0</v>
      </c>
    </row>
    <row r="7928" spans="8:8" hidden="1" x14ac:dyDescent="0.35">
      <c r="H7928" s="83">
        <f t="shared" si="170"/>
        <v>0</v>
      </c>
    </row>
    <row r="7929" spans="8:8" hidden="1" x14ac:dyDescent="0.35">
      <c r="H7929" s="83">
        <f t="shared" si="170"/>
        <v>0</v>
      </c>
    </row>
    <row r="7930" spans="8:8" hidden="1" x14ac:dyDescent="0.35">
      <c r="H7930" s="83">
        <f t="shared" si="170"/>
        <v>0</v>
      </c>
    </row>
    <row r="7931" spans="8:8" hidden="1" x14ac:dyDescent="0.35">
      <c r="H7931" s="83">
        <f t="shared" si="170"/>
        <v>0</v>
      </c>
    </row>
    <row r="7932" spans="8:8" hidden="1" x14ac:dyDescent="0.35">
      <c r="H7932" s="83">
        <f t="shared" si="170"/>
        <v>0</v>
      </c>
    </row>
    <row r="7933" spans="8:8" hidden="1" x14ac:dyDescent="0.35">
      <c r="H7933" s="83">
        <f t="shared" si="170"/>
        <v>0</v>
      </c>
    </row>
    <row r="7934" spans="8:8" hidden="1" x14ac:dyDescent="0.35">
      <c r="H7934" s="83">
        <f t="shared" si="170"/>
        <v>0</v>
      </c>
    </row>
    <row r="7935" spans="8:8" hidden="1" x14ac:dyDescent="0.35">
      <c r="H7935" s="83">
        <f t="shared" si="170"/>
        <v>0</v>
      </c>
    </row>
    <row r="7936" spans="8:8" hidden="1" x14ac:dyDescent="0.35">
      <c r="H7936" s="83">
        <f t="shared" si="170"/>
        <v>0</v>
      </c>
    </row>
    <row r="7937" spans="8:8" hidden="1" x14ac:dyDescent="0.35">
      <c r="H7937" s="83">
        <f t="shared" si="170"/>
        <v>0</v>
      </c>
    </row>
    <row r="7938" spans="8:8" hidden="1" x14ac:dyDescent="0.35">
      <c r="H7938" s="83">
        <f t="shared" si="170"/>
        <v>0</v>
      </c>
    </row>
    <row r="7939" spans="8:8" hidden="1" x14ac:dyDescent="0.35">
      <c r="H7939" s="83">
        <f t="shared" si="170"/>
        <v>0</v>
      </c>
    </row>
    <row r="7940" spans="8:8" hidden="1" x14ac:dyDescent="0.35">
      <c r="H7940" s="83">
        <f t="shared" ref="H7940:H8003" si="171">J7940-I7940</f>
        <v>0</v>
      </c>
    </row>
    <row r="7941" spans="8:8" hidden="1" x14ac:dyDescent="0.35">
      <c r="H7941" s="83">
        <f t="shared" si="171"/>
        <v>0</v>
      </c>
    </row>
    <row r="7942" spans="8:8" hidden="1" x14ac:dyDescent="0.35">
      <c r="H7942" s="83">
        <f t="shared" si="171"/>
        <v>0</v>
      </c>
    </row>
    <row r="7943" spans="8:8" hidden="1" x14ac:dyDescent="0.35">
      <c r="H7943" s="83">
        <f t="shared" si="171"/>
        <v>0</v>
      </c>
    </row>
    <row r="7944" spans="8:8" hidden="1" x14ac:dyDescent="0.35">
      <c r="H7944" s="83">
        <f t="shared" si="171"/>
        <v>0</v>
      </c>
    </row>
    <row r="7945" spans="8:8" hidden="1" x14ac:dyDescent="0.35">
      <c r="H7945" s="83">
        <f t="shared" si="171"/>
        <v>0</v>
      </c>
    </row>
    <row r="7946" spans="8:8" hidden="1" x14ac:dyDescent="0.35">
      <c r="H7946" s="83">
        <f t="shared" si="171"/>
        <v>0</v>
      </c>
    </row>
    <row r="7947" spans="8:8" hidden="1" x14ac:dyDescent="0.35">
      <c r="H7947" s="83">
        <f t="shared" si="171"/>
        <v>0</v>
      </c>
    </row>
    <row r="7948" spans="8:8" hidden="1" x14ac:dyDescent="0.35">
      <c r="H7948" s="83">
        <f t="shared" si="171"/>
        <v>0</v>
      </c>
    </row>
    <row r="7949" spans="8:8" hidden="1" x14ac:dyDescent="0.35">
      <c r="H7949" s="83">
        <f t="shared" si="171"/>
        <v>0</v>
      </c>
    </row>
    <row r="7950" spans="8:8" hidden="1" x14ac:dyDescent="0.35">
      <c r="H7950" s="83">
        <f t="shared" si="171"/>
        <v>0</v>
      </c>
    </row>
    <row r="7951" spans="8:8" hidden="1" x14ac:dyDescent="0.35">
      <c r="H7951" s="83">
        <f t="shared" si="171"/>
        <v>0</v>
      </c>
    </row>
    <row r="7952" spans="8:8" hidden="1" x14ac:dyDescent="0.35">
      <c r="H7952" s="83">
        <f t="shared" si="171"/>
        <v>0</v>
      </c>
    </row>
    <row r="7953" spans="8:8" hidden="1" x14ac:dyDescent="0.35">
      <c r="H7953" s="83">
        <f t="shared" si="171"/>
        <v>0</v>
      </c>
    </row>
    <row r="7954" spans="8:8" hidden="1" x14ac:dyDescent="0.35">
      <c r="H7954" s="83">
        <f t="shared" si="171"/>
        <v>0</v>
      </c>
    </row>
    <row r="7955" spans="8:8" hidden="1" x14ac:dyDescent="0.35">
      <c r="H7955" s="83">
        <f t="shared" si="171"/>
        <v>0</v>
      </c>
    </row>
    <row r="7956" spans="8:8" hidden="1" x14ac:dyDescent="0.35">
      <c r="H7956" s="83">
        <f t="shared" si="171"/>
        <v>0</v>
      </c>
    </row>
    <row r="7957" spans="8:8" hidden="1" x14ac:dyDescent="0.35">
      <c r="H7957" s="83">
        <f t="shared" si="171"/>
        <v>0</v>
      </c>
    </row>
    <row r="7958" spans="8:8" hidden="1" x14ac:dyDescent="0.35">
      <c r="H7958" s="83">
        <f t="shared" si="171"/>
        <v>0</v>
      </c>
    </row>
    <row r="7959" spans="8:8" hidden="1" x14ac:dyDescent="0.35">
      <c r="H7959" s="83">
        <f t="shared" si="171"/>
        <v>0</v>
      </c>
    </row>
    <row r="7960" spans="8:8" hidden="1" x14ac:dyDescent="0.35">
      <c r="H7960" s="83">
        <f t="shared" si="171"/>
        <v>0</v>
      </c>
    </row>
    <row r="7961" spans="8:8" hidden="1" x14ac:dyDescent="0.35">
      <c r="H7961" s="83">
        <f t="shared" si="171"/>
        <v>0</v>
      </c>
    </row>
    <row r="7962" spans="8:8" hidden="1" x14ac:dyDescent="0.35">
      <c r="H7962" s="83">
        <f t="shared" si="171"/>
        <v>0</v>
      </c>
    </row>
    <row r="7963" spans="8:8" hidden="1" x14ac:dyDescent="0.35">
      <c r="H7963" s="83">
        <f t="shared" si="171"/>
        <v>0</v>
      </c>
    </row>
    <row r="7964" spans="8:8" hidden="1" x14ac:dyDescent="0.35">
      <c r="H7964" s="83">
        <f t="shared" si="171"/>
        <v>0</v>
      </c>
    </row>
    <row r="7965" spans="8:8" hidden="1" x14ac:dyDescent="0.35">
      <c r="H7965" s="83">
        <f t="shared" si="171"/>
        <v>0</v>
      </c>
    </row>
    <row r="7966" spans="8:8" hidden="1" x14ac:dyDescent="0.35">
      <c r="H7966" s="83">
        <f t="shared" si="171"/>
        <v>0</v>
      </c>
    </row>
    <row r="7967" spans="8:8" hidden="1" x14ac:dyDescent="0.35">
      <c r="H7967" s="83">
        <f t="shared" si="171"/>
        <v>0</v>
      </c>
    </row>
    <row r="7968" spans="8:8" hidden="1" x14ac:dyDescent="0.35">
      <c r="H7968" s="83">
        <f t="shared" si="171"/>
        <v>0</v>
      </c>
    </row>
    <row r="7969" spans="8:8" hidden="1" x14ac:dyDescent="0.35">
      <c r="H7969" s="83">
        <f t="shared" si="171"/>
        <v>0</v>
      </c>
    </row>
    <row r="7970" spans="8:8" hidden="1" x14ac:dyDescent="0.35">
      <c r="H7970" s="83">
        <f t="shared" si="171"/>
        <v>0</v>
      </c>
    </row>
    <row r="7971" spans="8:8" hidden="1" x14ac:dyDescent="0.35">
      <c r="H7971" s="83">
        <f t="shared" si="171"/>
        <v>0</v>
      </c>
    </row>
    <row r="7972" spans="8:8" hidden="1" x14ac:dyDescent="0.35">
      <c r="H7972" s="83">
        <f t="shared" si="171"/>
        <v>0</v>
      </c>
    </row>
    <row r="7973" spans="8:8" hidden="1" x14ac:dyDescent="0.35">
      <c r="H7973" s="83">
        <f t="shared" si="171"/>
        <v>0</v>
      </c>
    </row>
    <row r="7974" spans="8:8" hidden="1" x14ac:dyDescent="0.35">
      <c r="H7974" s="83">
        <f t="shared" si="171"/>
        <v>0</v>
      </c>
    </row>
    <row r="7975" spans="8:8" hidden="1" x14ac:dyDescent="0.35">
      <c r="H7975" s="83">
        <f t="shared" si="171"/>
        <v>0</v>
      </c>
    </row>
    <row r="7976" spans="8:8" hidden="1" x14ac:dyDescent="0.35">
      <c r="H7976" s="83">
        <f t="shared" si="171"/>
        <v>0</v>
      </c>
    </row>
    <row r="7977" spans="8:8" hidden="1" x14ac:dyDescent="0.35">
      <c r="H7977" s="83">
        <f t="shared" si="171"/>
        <v>0</v>
      </c>
    </row>
    <row r="7978" spans="8:8" hidden="1" x14ac:dyDescent="0.35">
      <c r="H7978" s="83">
        <f t="shared" si="171"/>
        <v>0</v>
      </c>
    </row>
    <row r="7979" spans="8:8" hidden="1" x14ac:dyDescent="0.35">
      <c r="H7979" s="83">
        <f t="shared" si="171"/>
        <v>0</v>
      </c>
    </row>
    <row r="7980" spans="8:8" hidden="1" x14ac:dyDescent="0.35">
      <c r="H7980" s="83">
        <f t="shared" si="171"/>
        <v>0</v>
      </c>
    </row>
    <row r="7981" spans="8:8" hidden="1" x14ac:dyDescent="0.35">
      <c r="H7981" s="83">
        <f t="shared" si="171"/>
        <v>0</v>
      </c>
    </row>
    <row r="7982" spans="8:8" hidden="1" x14ac:dyDescent="0.35">
      <c r="H7982" s="83">
        <f t="shared" si="171"/>
        <v>0</v>
      </c>
    </row>
    <row r="7983" spans="8:8" hidden="1" x14ac:dyDescent="0.35">
      <c r="H7983" s="83">
        <f t="shared" si="171"/>
        <v>0</v>
      </c>
    </row>
    <row r="7984" spans="8:8" hidden="1" x14ac:dyDescent="0.35">
      <c r="H7984" s="83">
        <f t="shared" si="171"/>
        <v>0</v>
      </c>
    </row>
    <row r="7985" spans="8:8" hidden="1" x14ac:dyDescent="0.35">
      <c r="H7985" s="83">
        <f t="shared" si="171"/>
        <v>0</v>
      </c>
    </row>
    <row r="7986" spans="8:8" hidden="1" x14ac:dyDescent="0.35">
      <c r="H7986" s="83">
        <f t="shared" si="171"/>
        <v>0</v>
      </c>
    </row>
    <row r="7987" spans="8:8" hidden="1" x14ac:dyDescent="0.35">
      <c r="H7987" s="83">
        <f t="shared" si="171"/>
        <v>0</v>
      </c>
    </row>
    <row r="7988" spans="8:8" hidden="1" x14ac:dyDescent="0.35">
      <c r="H7988" s="83">
        <f t="shared" si="171"/>
        <v>0</v>
      </c>
    </row>
    <row r="7989" spans="8:8" hidden="1" x14ac:dyDescent="0.35">
      <c r="H7989" s="83">
        <f t="shared" si="171"/>
        <v>0</v>
      </c>
    </row>
    <row r="7990" spans="8:8" hidden="1" x14ac:dyDescent="0.35">
      <c r="H7990" s="83">
        <f t="shared" si="171"/>
        <v>0</v>
      </c>
    </row>
    <row r="7991" spans="8:8" hidden="1" x14ac:dyDescent="0.35">
      <c r="H7991" s="83">
        <f t="shared" si="171"/>
        <v>0</v>
      </c>
    </row>
    <row r="7992" spans="8:8" hidden="1" x14ac:dyDescent="0.35">
      <c r="H7992" s="83">
        <f t="shared" si="171"/>
        <v>0</v>
      </c>
    </row>
    <row r="7993" spans="8:8" hidden="1" x14ac:dyDescent="0.35">
      <c r="H7993" s="83">
        <f t="shared" si="171"/>
        <v>0</v>
      </c>
    </row>
    <row r="7994" spans="8:8" hidden="1" x14ac:dyDescent="0.35">
      <c r="H7994" s="83">
        <f t="shared" si="171"/>
        <v>0</v>
      </c>
    </row>
    <row r="7995" spans="8:8" hidden="1" x14ac:dyDescent="0.35">
      <c r="H7995" s="83">
        <f t="shared" si="171"/>
        <v>0</v>
      </c>
    </row>
    <row r="7996" spans="8:8" hidden="1" x14ac:dyDescent="0.35">
      <c r="H7996" s="83">
        <f t="shared" si="171"/>
        <v>0</v>
      </c>
    </row>
    <row r="7997" spans="8:8" hidden="1" x14ac:dyDescent="0.35">
      <c r="H7997" s="83">
        <f t="shared" si="171"/>
        <v>0</v>
      </c>
    </row>
    <row r="7998" spans="8:8" hidden="1" x14ac:dyDescent="0.35">
      <c r="H7998" s="83">
        <f t="shared" si="171"/>
        <v>0</v>
      </c>
    </row>
    <row r="7999" spans="8:8" hidden="1" x14ac:dyDescent="0.35">
      <c r="H7999" s="83">
        <f t="shared" si="171"/>
        <v>0</v>
      </c>
    </row>
    <row r="8000" spans="8:8" hidden="1" x14ac:dyDescent="0.35">
      <c r="H8000" s="83">
        <f t="shared" si="171"/>
        <v>0</v>
      </c>
    </row>
    <row r="8001" spans="8:8" hidden="1" x14ac:dyDescent="0.35">
      <c r="H8001" s="83">
        <f t="shared" si="171"/>
        <v>0</v>
      </c>
    </row>
    <row r="8002" spans="8:8" hidden="1" x14ac:dyDescent="0.35">
      <c r="H8002" s="83">
        <f t="shared" si="171"/>
        <v>0</v>
      </c>
    </row>
    <row r="8003" spans="8:8" hidden="1" x14ac:dyDescent="0.35">
      <c r="H8003" s="83">
        <f t="shared" si="171"/>
        <v>0</v>
      </c>
    </row>
    <row r="8004" spans="8:8" hidden="1" x14ac:dyDescent="0.35">
      <c r="H8004" s="83">
        <f t="shared" ref="H8004:H8067" si="172">J8004-I8004</f>
        <v>0</v>
      </c>
    </row>
    <row r="8005" spans="8:8" hidden="1" x14ac:dyDescent="0.35">
      <c r="H8005" s="83">
        <f t="shared" si="172"/>
        <v>0</v>
      </c>
    </row>
    <row r="8006" spans="8:8" hidden="1" x14ac:dyDescent="0.35">
      <c r="H8006" s="83">
        <f t="shared" si="172"/>
        <v>0</v>
      </c>
    </row>
    <row r="8007" spans="8:8" hidden="1" x14ac:dyDescent="0.35">
      <c r="H8007" s="83">
        <f t="shared" si="172"/>
        <v>0</v>
      </c>
    </row>
    <row r="8008" spans="8:8" hidden="1" x14ac:dyDescent="0.35">
      <c r="H8008" s="83">
        <f t="shared" si="172"/>
        <v>0</v>
      </c>
    </row>
    <row r="8009" spans="8:8" hidden="1" x14ac:dyDescent="0.35">
      <c r="H8009" s="83">
        <f t="shared" si="172"/>
        <v>0</v>
      </c>
    </row>
    <row r="8010" spans="8:8" hidden="1" x14ac:dyDescent="0.35">
      <c r="H8010" s="83">
        <f t="shared" si="172"/>
        <v>0</v>
      </c>
    </row>
    <row r="8011" spans="8:8" hidden="1" x14ac:dyDescent="0.35">
      <c r="H8011" s="83">
        <f t="shared" si="172"/>
        <v>0</v>
      </c>
    </row>
    <row r="8012" spans="8:8" hidden="1" x14ac:dyDescent="0.35">
      <c r="H8012" s="83">
        <f t="shared" si="172"/>
        <v>0</v>
      </c>
    </row>
    <row r="8013" spans="8:8" hidden="1" x14ac:dyDescent="0.35">
      <c r="H8013" s="83">
        <f t="shared" si="172"/>
        <v>0</v>
      </c>
    </row>
    <row r="8014" spans="8:8" hidden="1" x14ac:dyDescent="0.35">
      <c r="H8014" s="83">
        <f t="shared" si="172"/>
        <v>0</v>
      </c>
    </row>
    <row r="8015" spans="8:8" hidden="1" x14ac:dyDescent="0.35">
      <c r="H8015" s="83">
        <f t="shared" si="172"/>
        <v>0</v>
      </c>
    </row>
    <row r="8016" spans="8:8" hidden="1" x14ac:dyDescent="0.35">
      <c r="H8016" s="83">
        <f t="shared" si="172"/>
        <v>0</v>
      </c>
    </row>
    <row r="8017" spans="8:8" hidden="1" x14ac:dyDescent="0.35">
      <c r="H8017" s="83">
        <f t="shared" si="172"/>
        <v>0</v>
      </c>
    </row>
    <row r="8018" spans="8:8" hidden="1" x14ac:dyDescent="0.35">
      <c r="H8018" s="83">
        <f t="shared" si="172"/>
        <v>0</v>
      </c>
    </row>
    <row r="8019" spans="8:8" hidden="1" x14ac:dyDescent="0.35">
      <c r="H8019" s="83">
        <f t="shared" si="172"/>
        <v>0</v>
      </c>
    </row>
    <row r="8020" spans="8:8" hidden="1" x14ac:dyDescent="0.35">
      <c r="H8020" s="83">
        <f t="shared" si="172"/>
        <v>0</v>
      </c>
    </row>
    <row r="8021" spans="8:8" hidden="1" x14ac:dyDescent="0.35">
      <c r="H8021" s="83">
        <f t="shared" si="172"/>
        <v>0</v>
      </c>
    </row>
    <row r="8022" spans="8:8" hidden="1" x14ac:dyDescent="0.35">
      <c r="H8022" s="83">
        <f t="shared" si="172"/>
        <v>0</v>
      </c>
    </row>
    <row r="8023" spans="8:8" hidden="1" x14ac:dyDescent="0.35">
      <c r="H8023" s="83">
        <f t="shared" si="172"/>
        <v>0</v>
      </c>
    </row>
    <row r="8024" spans="8:8" hidden="1" x14ac:dyDescent="0.35">
      <c r="H8024" s="83">
        <f t="shared" si="172"/>
        <v>0</v>
      </c>
    </row>
    <row r="8025" spans="8:8" hidden="1" x14ac:dyDescent="0.35">
      <c r="H8025" s="83">
        <f t="shared" si="172"/>
        <v>0</v>
      </c>
    </row>
    <row r="8026" spans="8:8" hidden="1" x14ac:dyDescent="0.35">
      <c r="H8026" s="83">
        <f t="shared" si="172"/>
        <v>0</v>
      </c>
    </row>
    <row r="8027" spans="8:8" hidden="1" x14ac:dyDescent="0.35">
      <c r="H8027" s="83">
        <f t="shared" si="172"/>
        <v>0</v>
      </c>
    </row>
    <row r="8028" spans="8:8" hidden="1" x14ac:dyDescent="0.35">
      <c r="H8028" s="83">
        <f t="shared" si="172"/>
        <v>0</v>
      </c>
    </row>
    <row r="8029" spans="8:8" hidden="1" x14ac:dyDescent="0.35">
      <c r="H8029" s="83">
        <f t="shared" si="172"/>
        <v>0</v>
      </c>
    </row>
    <row r="8030" spans="8:8" hidden="1" x14ac:dyDescent="0.35">
      <c r="H8030" s="83">
        <f t="shared" si="172"/>
        <v>0</v>
      </c>
    </row>
    <row r="8031" spans="8:8" hidden="1" x14ac:dyDescent="0.35">
      <c r="H8031" s="83">
        <f t="shared" si="172"/>
        <v>0</v>
      </c>
    </row>
    <row r="8032" spans="8:8" hidden="1" x14ac:dyDescent="0.35">
      <c r="H8032" s="83">
        <f t="shared" si="172"/>
        <v>0</v>
      </c>
    </row>
    <row r="8033" spans="8:8" hidden="1" x14ac:dyDescent="0.35">
      <c r="H8033" s="83">
        <f t="shared" si="172"/>
        <v>0</v>
      </c>
    </row>
    <row r="8034" spans="8:8" hidden="1" x14ac:dyDescent="0.35">
      <c r="H8034" s="83">
        <f t="shared" si="172"/>
        <v>0</v>
      </c>
    </row>
    <row r="8035" spans="8:8" hidden="1" x14ac:dyDescent="0.35">
      <c r="H8035" s="83">
        <f t="shared" si="172"/>
        <v>0</v>
      </c>
    </row>
    <row r="8036" spans="8:8" hidden="1" x14ac:dyDescent="0.35">
      <c r="H8036" s="83">
        <f t="shared" si="172"/>
        <v>0</v>
      </c>
    </row>
    <row r="8037" spans="8:8" hidden="1" x14ac:dyDescent="0.35">
      <c r="H8037" s="83">
        <f t="shared" si="172"/>
        <v>0</v>
      </c>
    </row>
    <row r="8038" spans="8:8" hidden="1" x14ac:dyDescent="0.35">
      <c r="H8038" s="83">
        <f t="shared" si="172"/>
        <v>0</v>
      </c>
    </row>
    <row r="8039" spans="8:8" hidden="1" x14ac:dyDescent="0.35">
      <c r="H8039" s="83">
        <f t="shared" si="172"/>
        <v>0</v>
      </c>
    </row>
    <row r="8040" spans="8:8" hidden="1" x14ac:dyDescent="0.35">
      <c r="H8040" s="83">
        <f t="shared" si="172"/>
        <v>0</v>
      </c>
    </row>
    <row r="8041" spans="8:8" hidden="1" x14ac:dyDescent="0.35">
      <c r="H8041" s="83">
        <f t="shared" si="172"/>
        <v>0</v>
      </c>
    </row>
    <row r="8042" spans="8:8" hidden="1" x14ac:dyDescent="0.35">
      <c r="H8042" s="83">
        <f t="shared" si="172"/>
        <v>0</v>
      </c>
    </row>
    <row r="8043" spans="8:8" hidden="1" x14ac:dyDescent="0.35">
      <c r="H8043" s="83">
        <f t="shared" si="172"/>
        <v>0</v>
      </c>
    </row>
    <row r="8044" spans="8:8" hidden="1" x14ac:dyDescent="0.35">
      <c r="H8044" s="83">
        <f t="shared" si="172"/>
        <v>0</v>
      </c>
    </row>
    <row r="8045" spans="8:8" hidden="1" x14ac:dyDescent="0.35">
      <c r="H8045" s="83">
        <f t="shared" si="172"/>
        <v>0</v>
      </c>
    </row>
    <row r="8046" spans="8:8" hidden="1" x14ac:dyDescent="0.35">
      <c r="H8046" s="83">
        <f t="shared" si="172"/>
        <v>0</v>
      </c>
    </row>
    <row r="8047" spans="8:8" hidden="1" x14ac:dyDescent="0.35">
      <c r="H8047" s="83">
        <f t="shared" si="172"/>
        <v>0</v>
      </c>
    </row>
    <row r="8048" spans="8:8" hidden="1" x14ac:dyDescent="0.35">
      <c r="H8048" s="83">
        <f t="shared" si="172"/>
        <v>0</v>
      </c>
    </row>
    <row r="8049" spans="8:8" hidden="1" x14ac:dyDescent="0.35">
      <c r="H8049" s="83">
        <f t="shared" si="172"/>
        <v>0</v>
      </c>
    </row>
    <row r="8050" spans="8:8" hidden="1" x14ac:dyDescent="0.35">
      <c r="H8050" s="83">
        <f t="shared" si="172"/>
        <v>0</v>
      </c>
    </row>
    <row r="8051" spans="8:8" hidden="1" x14ac:dyDescent="0.35">
      <c r="H8051" s="83">
        <f t="shared" si="172"/>
        <v>0</v>
      </c>
    </row>
    <row r="8052" spans="8:8" hidden="1" x14ac:dyDescent="0.35">
      <c r="H8052" s="83">
        <f t="shared" si="172"/>
        <v>0</v>
      </c>
    </row>
    <row r="8053" spans="8:8" hidden="1" x14ac:dyDescent="0.35">
      <c r="H8053" s="83">
        <f t="shared" si="172"/>
        <v>0</v>
      </c>
    </row>
    <row r="8054" spans="8:8" hidden="1" x14ac:dyDescent="0.35">
      <c r="H8054" s="83">
        <f t="shared" si="172"/>
        <v>0</v>
      </c>
    </row>
    <row r="8055" spans="8:8" hidden="1" x14ac:dyDescent="0.35">
      <c r="H8055" s="83">
        <f t="shared" si="172"/>
        <v>0</v>
      </c>
    </row>
    <row r="8056" spans="8:8" hidden="1" x14ac:dyDescent="0.35">
      <c r="H8056" s="83">
        <f t="shared" si="172"/>
        <v>0</v>
      </c>
    </row>
    <row r="8057" spans="8:8" hidden="1" x14ac:dyDescent="0.35">
      <c r="H8057" s="83">
        <f t="shared" si="172"/>
        <v>0</v>
      </c>
    </row>
    <row r="8058" spans="8:8" hidden="1" x14ac:dyDescent="0.35">
      <c r="H8058" s="83">
        <f t="shared" si="172"/>
        <v>0</v>
      </c>
    </row>
    <row r="8059" spans="8:8" hidden="1" x14ac:dyDescent="0.35">
      <c r="H8059" s="83">
        <f t="shared" si="172"/>
        <v>0</v>
      </c>
    </row>
    <row r="8060" spans="8:8" hidden="1" x14ac:dyDescent="0.35">
      <c r="H8060" s="83">
        <f t="shared" si="172"/>
        <v>0</v>
      </c>
    </row>
    <row r="8061" spans="8:8" hidden="1" x14ac:dyDescent="0.35">
      <c r="H8061" s="83">
        <f t="shared" si="172"/>
        <v>0</v>
      </c>
    </row>
    <row r="8062" spans="8:8" hidden="1" x14ac:dyDescent="0.35">
      <c r="H8062" s="83">
        <f t="shared" si="172"/>
        <v>0</v>
      </c>
    </row>
    <row r="8063" spans="8:8" hidden="1" x14ac:dyDescent="0.35">
      <c r="H8063" s="83">
        <f t="shared" si="172"/>
        <v>0</v>
      </c>
    </row>
    <row r="8064" spans="8:8" hidden="1" x14ac:dyDescent="0.35">
      <c r="H8064" s="83">
        <f t="shared" si="172"/>
        <v>0</v>
      </c>
    </row>
    <row r="8065" spans="8:8" hidden="1" x14ac:dyDescent="0.35">
      <c r="H8065" s="83">
        <f t="shared" si="172"/>
        <v>0</v>
      </c>
    </row>
    <row r="8066" spans="8:8" hidden="1" x14ac:dyDescent="0.35">
      <c r="H8066" s="83">
        <f t="shared" si="172"/>
        <v>0</v>
      </c>
    </row>
    <row r="8067" spans="8:8" hidden="1" x14ac:dyDescent="0.35">
      <c r="H8067" s="83">
        <f t="shared" si="172"/>
        <v>0</v>
      </c>
    </row>
    <row r="8068" spans="8:8" hidden="1" x14ac:dyDescent="0.35">
      <c r="H8068" s="83">
        <f t="shared" ref="H8068:H8131" si="173">J8068-I8068</f>
        <v>0</v>
      </c>
    </row>
    <row r="8069" spans="8:8" hidden="1" x14ac:dyDescent="0.35">
      <c r="H8069" s="83">
        <f t="shared" si="173"/>
        <v>0</v>
      </c>
    </row>
    <row r="8070" spans="8:8" hidden="1" x14ac:dyDescent="0.35">
      <c r="H8070" s="83">
        <f t="shared" si="173"/>
        <v>0</v>
      </c>
    </row>
    <row r="8071" spans="8:8" hidden="1" x14ac:dyDescent="0.35">
      <c r="H8071" s="83">
        <f t="shared" si="173"/>
        <v>0</v>
      </c>
    </row>
    <row r="8072" spans="8:8" hidden="1" x14ac:dyDescent="0.35">
      <c r="H8072" s="83">
        <f t="shared" si="173"/>
        <v>0</v>
      </c>
    </row>
    <row r="8073" spans="8:8" hidden="1" x14ac:dyDescent="0.35">
      <c r="H8073" s="83">
        <f t="shared" si="173"/>
        <v>0</v>
      </c>
    </row>
    <row r="8074" spans="8:8" hidden="1" x14ac:dyDescent="0.35">
      <c r="H8074" s="83">
        <f t="shared" si="173"/>
        <v>0</v>
      </c>
    </row>
    <row r="8075" spans="8:8" hidden="1" x14ac:dyDescent="0.35">
      <c r="H8075" s="83">
        <f t="shared" si="173"/>
        <v>0</v>
      </c>
    </row>
    <row r="8076" spans="8:8" hidden="1" x14ac:dyDescent="0.35">
      <c r="H8076" s="83">
        <f t="shared" si="173"/>
        <v>0</v>
      </c>
    </row>
    <row r="8077" spans="8:8" hidden="1" x14ac:dyDescent="0.35">
      <c r="H8077" s="83">
        <f t="shared" si="173"/>
        <v>0</v>
      </c>
    </row>
    <row r="8078" spans="8:8" hidden="1" x14ac:dyDescent="0.35">
      <c r="H8078" s="83">
        <f t="shared" si="173"/>
        <v>0</v>
      </c>
    </row>
    <row r="8079" spans="8:8" hidden="1" x14ac:dyDescent="0.35">
      <c r="H8079" s="83">
        <f t="shared" si="173"/>
        <v>0</v>
      </c>
    </row>
    <row r="8080" spans="8:8" hidden="1" x14ac:dyDescent="0.35">
      <c r="H8080" s="83">
        <f t="shared" si="173"/>
        <v>0</v>
      </c>
    </row>
    <row r="8081" spans="8:8" hidden="1" x14ac:dyDescent="0.35">
      <c r="H8081" s="83">
        <f t="shared" si="173"/>
        <v>0</v>
      </c>
    </row>
    <row r="8082" spans="8:8" hidden="1" x14ac:dyDescent="0.35">
      <c r="H8082" s="83">
        <f t="shared" si="173"/>
        <v>0</v>
      </c>
    </row>
    <row r="8083" spans="8:8" hidden="1" x14ac:dyDescent="0.35">
      <c r="H8083" s="83">
        <f t="shared" si="173"/>
        <v>0</v>
      </c>
    </row>
    <row r="8084" spans="8:8" hidden="1" x14ac:dyDescent="0.35">
      <c r="H8084" s="83">
        <f t="shared" si="173"/>
        <v>0</v>
      </c>
    </row>
    <row r="8085" spans="8:8" hidden="1" x14ac:dyDescent="0.35">
      <c r="H8085" s="83">
        <f t="shared" si="173"/>
        <v>0</v>
      </c>
    </row>
    <row r="8086" spans="8:8" hidden="1" x14ac:dyDescent="0.35">
      <c r="H8086" s="83">
        <f t="shared" si="173"/>
        <v>0</v>
      </c>
    </row>
    <row r="8087" spans="8:8" hidden="1" x14ac:dyDescent="0.35">
      <c r="H8087" s="83">
        <f t="shared" si="173"/>
        <v>0</v>
      </c>
    </row>
    <row r="8088" spans="8:8" hidden="1" x14ac:dyDescent="0.35">
      <c r="H8088" s="83">
        <f t="shared" si="173"/>
        <v>0</v>
      </c>
    </row>
    <row r="8089" spans="8:8" hidden="1" x14ac:dyDescent="0.35">
      <c r="H8089" s="83">
        <f t="shared" si="173"/>
        <v>0</v>
      </c>
    </row>
    <row r="8090" spans="8:8" hidden="1" x14ac:dyDescent="0.35">
      <c r="H8090" s="83">
        <f t="shared" si="173"/>
        <v>0</v>
      </c>
    </row>
    <row r="8091" spans="8:8" hidden="1" x14ac:dyDescent="0.35">
      <c r="H8091" s="83">
        <f t="shared" si="173"/>
        <v>0</v>
      </c>
    </row>
    <row r="8092" spans="8:8" hidden="1" x14ac:dyDescent="0.35">
      <c r="H8092" s="83">
        <f t="shared" si="173"/>
        <v>0</v>
      </c>
    </row>
    <row r="8093" spans="8:8" hidden="1" x14ac:dyDescent="0.35">
      <c r="H8093" s="83">
        <f t="shared" si="173"/>
        <v>0</v>
      </c>
    </row>
    <row r="8094" spans="8:8" hidden="1" x14ac:dyDescent="0.35">
      <c r="H8094" s="83">
        <f t="shared" si="173"/>
        <v>0</v>
      </c>
    </row>
    <row r="8095" spans="8:8" hidden="1" x14ac:dyDescent="0.35">
      <c r="H8095" s="83">
        <f t="shared" si="173"/>
        <v>0</v>
      </c>
    </row>
    <row r="8096" spans="8:8" hidden="1" x14ac:dyDescent="0.35">
      <c r="H8096" s="83">
        <f t="shared" si="173"/>
        <v>0</v>
      </c>
    </row>
    <row r="8097" spans="8:8" hidden="1" x14ac:dyDescent="0.35">
      <c r="H8097" s="83">
        <f t="shared" si="173"/>
        <v>0</v>
      </c>
    </row>
    <row r="8098" spans="8:8" hidden="1" x14ac:dyDescent="0.35">
      <c r="H8098" s="83">
        <f t="shared" si="173"/>
        <v>0</v>
      </c>
    </row>
    <row r="8099" spans="8:8" hidden="1" x14ac:dyDescent="0.35">
      <c r="H8099" s="83">
        <f t="shared" si="173"/>
        <v>0</v>
      </c>
    </row>
    <row r="8100" spans="8:8" hidden="1" x14ac:dyDescent="0.35">
      <c r="H8100" s="83">
        <f t="shared" si="173"/>
        <v>0</v>
      </c>
    </row>
    <row r="8101" spans="8:8" hidden="1" x14ac:dyDescent="0.35">
      <c r="H8101" s="83">
        <f t="shared" si="173"/>
        <v>0</v>
      </c>
    </row>
    <row r="8102" spans="8:8" hidden="1" x14ac:dyDescent="0.35">
      <c r="H8102" s="83">
        <f t="shared" si="173"/>
        <v>0</v>
      </c>
    </row>
    <row r="8103" spans="8:8" hidden="1" x14ac:dyDescent="0.35">
      <c r="H8103" s="83">
        <f t="shared" si="173"/>
        <v>0</v>
      </c>
    </row>
    <row r="8104" spans="8:8" hidden="1" x14ac:dyDescent="0.35">
      <c r="H8104" s="83">
        <f t="shared" si="173"/>
        <v>0</v>
      </c>
    </row>
    <row r="8105" spans="8:8" hidden="1" x14ac:dyDescent="0.35">
      <c r="H8105" s="83">
        <f t="shared" si="173"/>
        <v>0</v>
      </c>
    </row>
    <row r="8106" spans="8:8" hidden="1" x14ac:dyDescent="0.35">
      <c r="H8106" s="83">
        <f t="shared" si="173"/>
        <v>0</v>
      </c>
    </row>
    <row r="8107" spans="8:8" hidden="1" x14ac:dyDescent="0.35">
      <c r="H8107" s="83">
        <f t="shared" si="173"/>
        <v>0</v>
      </c>
    </row>
    <row r="8108" spans="8:8" hidden="1" x14ac:dyDescent="0.35">
      <c r="H8108" s="83">
        <f t="shared" si="173"/>
        <v>0</v>
      </c>
    </row>
    <row r="8109" spans="8:8" hidden="1" x14ac:dyDescent="0.35">
      <c r="H8109" s="83">
        <f t="shared" si="173"/>
        <v>0</v>
      </c>
    </row>
    <row r="8110" spans="8:8" hidden="1" x14ac:dyDescent="0.35">
      <c r="H8110" s="83">
        <f t="shared" si="173"/>
        <v>0</v>
      </c>
    </row>
    <row r="8111" spans="8:8" hidden="1" x14ac:dyDescent="0.35">
      <c r="H8111" s="83">
        <f t="shared" si="173"/>
        <v>0</v>
      </c>
    </row>
    <row r="8112" spans="8:8" hidden="1" x14ac:dyDescent="0.35">
      <c r="H8112" s="83">
        <f t="shared" si="173"/>
        <v>0</v>
      </c>
    </row>
    <row r="8113" spans="8:8" hidden="1" x14ac:dyDescent="0.35">
      <c r="H8113" s="83">
        <f t="shared" si="173"/>
        <v>0</v>
      </c>
    </row>
    <row r="8114" spans="8:8" hidden="1" x14ac:dyDescent="0.35">
      <c r="H8114" s="83">
        <f t="shared" si="173"/>
        <v>0</v>
      </c>
    </row>
    <row r="8115" spans="8:8" hidden="1" x14ac:dyDescent="0.35">
      <c r="H8115" s="83">
        <f t="shared" si="173"/>
        <v>0</v>
      </c>
    </row>
    <row r="8116" spans="8:8" hidden="1" x14ac:dyDescent="0.35">
      <c r="H8116" s="83">
        <f t="shared" si="173"/>
        <v>0</v>
      </c>
    </row>
    <row r="8117" spans="8:8" hidden="1" x14ac:dyDescent="0.35">
      <c r="H8117" s="83">
        <f t="shared" si="173"/>
        <v>0</v>
      </c>
    </row>
    <row r="8118" spans="8:8" hidden="1" x14ac:dyDescent="0.35">
      <c r="H8118" s="83">
        <f t="shared" si="173"/>
        <v>0</v>
      </c>
    </row>
    <row r="8119" spans="8:8" hidden="1" x14ac:dyDescent="0.35">
      <c r="H8119" s="83">
        <f t="shared" si="173"/>
        <v>0</v>
      </c>
    </row>
    <row r="8120" spans="8:8" hidden="1" x14ac:dyDescent="0.35">
      <c r="H8120" s="83">
        <f t="shared" si="173"/>
        <v>0</v>
      </c>
    </row>
    <row r="8121" spans="8:8" hidden="1" x14ac:dyDescent="0.35">
      <c r="H8121" s="83">
        <f t="shared" si="173"/>
        <v>0</v>
      </c>
    </row>
    <row r="8122" spans="8:8" hidden="1" x14ac:dyDescent="0.35">
      <c r="H8122" s="83">
        <f t="shared" si="173"/>
        <v>0</v>
      </c>
    </row>
    <row r="8123" spans="8:8" hidden="1" x14ac:dyDescent="0.35">
      <c r="H8123" s="83">
        <f t="shared" si="173"/>
        <v>0</v>
      </c>
    </row>
    <row r="8124" spans="8:8" hidden="1" x14ac:dyDescent="0.35">
      <c r="H8124" s="83">
        <f t="shared" si="173"/>
        <v>0</v>
      </c>
    </row>
    <row r="8125" spans="8:8" hidden="1" x14ac:dyDescent="0.35">
      <c r="H8125" s="83">
        <f t="shared" si="173"/>
        <v>0</v>
      </c>
    </row>
    <row r="8126" spans="8:8" hidden="1" x14ac:dyDescent="0.35">
      <c r="H8126" s="83">
        <f t="shared" si="173"/>
        <v>0</v>
      </c>
    </row>
    <row r="8127" spans="8:8" hidden="1" x14ac:dyDescent="0.35">
      <c r="H8127" s="83">
        <f t="shared" si="173"/>
        <v>0</v>
      </c>
    </row>
    <row r="8128" spans="8:8" hidden="1" x14ac:dyDescent="0.35">
      <c r="H8128" s="83">
        <f t="shared" si="173"/>
        <v>0</v>
      </c>
    </row>
    <row r="8129" spans="8:8" hidden="1" x14ac:dyDescent="0.35">
      <c r="H8129" s="83">
        <f t="shared" si="173"/>
        <v>0</v>
      </c>
    </row>
    <row r="8130" spans="8:8" hidden="1" x14ac:dyDescent="0.35">
      <c r="H8130" s="83">
        <f t="shared" si="173"/>
        <v>0</v>
      </c>
    </row>
    <row r="8131" spans="8:8" hidden="1" x14ac:dyDescent="0.35">
      <c r="H8131" s="83">
        <f t="shared" si="173"/>
        <v>0</v>
      </c>
    </row>
    <row r="8132" spans="8:8" hidden="1" x14ac:dyDescent="0.35">
      <c r="H8132" s="83">
        <f t="shared" ref="H8132:H8195" si="174">J8132-I8132</f>
        <v>0</v>
      </c>
    </row>
    <row r="8133" spans="8:8" hidden="1" x14ac:dyDescent="0.35">
      <c r="H8133" s="83">
        <f t="shared" si="174"/>
        <v>0</v>
      </c>
    </row>
    <row r="8134" spans="8:8" hidden="1" x14ac:dyDescent="0.35">
      <c r="H8134" s="83">
        <f t="shared" si="174"/>
        <v>0</v>
      </c>
    </row>
    <row r="8135" spans="8:8" hidden="1" x14ac:dyDescent="0.35">
      <c r="H8135" s="83">
        <f t="shared" si="174"/>
        <v>0</v>
      </c>
    </row>
    <row r="8136" spans="8:8" hidden="1" x14ac:dyDescent="0.35">
      <c r="H8136" s="83">
        <f t="shared" si="174"/>
        <v>0</v>
      </c>
    </row>
    <row r="8137" spans="8:8" hidden="1" x14ac:dyDescent="0.35">
      <c r="H8137" s="83">
        <f t="shared" si="174"/>
        <v>0</v>
      </c>
    </row>
    <row r="8138" spans="8:8" hidden="1" x14ac:dyDescent="0.35">
      <c r="H8138" s="83">
        <f t="shared" si="174"/>
        <v>0</v>
      </c>
    </row>
    <row r="8139" spans="8:8" hidden="1" x14ac:dyDescent="0.35">
      <c r="H8139" s="83">
        <f t="shared" si="174"/>
        <v>0</v>
      </c>
    </row>
    <row r="8140" spans="8:8" hidden="1" x14ac:dyDescent="0.35">
      <c r="H8140" s="83">
        <f t="shared" si="174"/>
        <v>0</v>
      </c>
    </row>
    <row r="8141" spans="8:8" hidden="1" x14ac:dyDescent="0.35">
      <c r="H8141" s="83">
        <f t="shared" si="174"/>
        <v>0</v>
      </c>
    </row>
    <row r="8142" spans="8:8" hidden="1" x14ac:dyDescent="0.35">
      <c r="H8142" s="83">
        <f t="shared" si="174"/>
        <v>0</v>
      </c>
    </row>
    <row r="8143" spans="8:8" hidden="1" x14ac:dyDescent="0.35">
      <c r="H8143" s="83">
        <f t="shared" si="174"/>
        <v>0</v>
      </c>
    </row>
    <row r="8144" spans="8:8" hidden="1" x14ac:dyDescent="0.35">
      <c r="H8144" s="83">
        <f t="shared" si="174"/>
        <v>0</v>
      </c>
    </row>
    <row r="8145" spans="8:8" hidden="1" x14ac:dyDescent="0.35">
      <c r="H8145" s="83">
        <f t="shared" si="174"/>
        <v>0</v>
      </c>
    </row>
    <row r="8146" spans="8:8" hidden="1" x14ac:dyDescent="0.35">
      <c r="H8146" s="83">
        <f t="shared" si="174"/>
        <v>0</v>
      </c>
    </row>
    <row r="8147" spans="8:8" hidden="1" x14ac:dyDescent="0.35">
      <c r="H8147" s="83">
        <f t="shared" si="174"/>
        <v>0</v>
      </c>
    </row>
    <row r="8148" spans="8:8" hidden="1" x14ac:dyDescent="0.35">
      <c r="H8148" s="83">
        <f t="shared" si="174"/>
        <v>0</v>
      </c>
    </row>
    <row r="8149" spans="8:8" hidden="1" x14ac:dyDescent="0.35">
      <c r="H8149" s="83">
        <f t="shared" si="174"/>
        <v>0</v>
      </c>
    </row>
    <row r="8150" spans="8:8" hidden="1" x14ac:dyDescent="0.35">
      <c r="H8150" s="83">
        <f t="shared" si="174"/>
        <v>0</v>
      </c>
    </row>
    <row r="8151" spans="8:8" hidden="1" x14ac:dyDescent="0.35">
      <c r="H8151" s="83">
        <f t="shared" si="174"/>
        <v>0</v>
      </c>
    </row>
    <row r="8152" spans="8:8" hidden="1" x14ac:dyDescent="0.35">
      <c r="H8152" s="83">
        <f t="shared" si="174"/>
        <v>0</v>
      </c>
    </row>
    <row r="8153" spans="8:8" hidden="1" x14ac:dyDescent="0.35">
      <c r="H8153" s="83">
        <f t="shared" si="174"/>
        <v>0</v>
      </c>
    </row>
    <row r="8154" spans="8:8" hidden="1" x14ac:dyDescent="0.35">
      <c r="H8154" s="83">
        <f t="shared" si="174"/>
        <v>0</v>
      </c>
    </row>
    <row r="8155" spans="8:8" hidden="1" x14ac:dyDescent="0.35">
      <c r="H8155" s="83">
        <f t="shared" si="174"/>
        <v>0</v>
      </c>
    </row>
    <row r="8156" spans="8:8" hidden="1" x14ac:dyDescent="0.35">
      <c r="H8156" s="83">
        <f t="shared" si="174"/>
        <v>0</v>
      </c>
    </row>
    <row r="8157" spans="8:8" hidden="1" x14ac:dyDescent="0.35">
      <c r="H8157" s="83">
        <f t="shared" si="174"/>
        <v>0</v>
      </c>
    </row>
    <row r="8158" spans="8:8" hidden="1" x14ac:dyDescent="0.35">
      <c r="H8158" s="83">
        <f t="shared" si="174"/>
        <v>0</v>
      </c>
    </row>
    <row r="8159" spans="8:8" hidden="1" x14ac:dyDescent="0.35">
      <c r="H8159" s="83">
        <f t="shared" si="174"/>
        <v>0</v>
      </c>
    </row>
    <row r="8160" spans="8:8" hidden="1" x14ac:dyDescent="0.35">
      <c r="H8160" s="83">
        <f t="shared" si="174"/>
        <v>0</v>
      </c>
    </row>
    <row r="8161" spans="8:8" hidden="1" x14ac:dyDescent="0.35">
      <c r="H8161" s="83">
        <f t="shared" si="174"/>
        <v>0</v>
      </c>
    </row>
    <row r="8162" spans="8:8" hidden="1" x14ac:dyDescent="0.35">
      <c r="H8162" s="83">
        <f t="shared" si="174"/>
        <v>0</v>
      </c>
    </row>
    <row r="8163" spans="8:8" hidden="1" x14ac:dyDescent="0.35">
      <c r="H8163" s="83">
        <f t="shared" si="174"/>
        <v>0</v>
      </c>
    </row>
    <row r="8164" spans="8:8" hidden="1" x14ac:dyDescent="0.35">
      <c r="H8164" s="83">
        <f t="shared" si="174"/>
        <v>0</v>
      </c>
    </row>
    <row r="8165" spans="8:8" hidden="1" x14ac:dyDescent="0.35">
      <c r="H8165" s="83">
        <f t="shared" si="174"/>
        <v>0</v>
      </c>
    </row>
    <row r="8166" spans="8:8" hidden="1" x14ac:dyDescent="0.35">
      <c r="H8166" s="83">
        <f t="shared" si="174"/>
        <v>0</v>
      </c>
    </row>
    <row r="8167" spans="8:8" hidden="1" x14ac:dyDescent="0.35">
      <c r="H8167" s="83">
        <f t="shared" si="174"/>
        <v>0</v>
      </c>
    </row>
    <row r="8168" spans="8:8" hidden="1" x14ac:dyDescent="0.35">
      <c r="H8168" s="83">
        <f t="shared" si="174"/>
        <v>0</v>
      </c>
    </row>
    <row r="8169" spans="8:8" hidden="1" x14ac:dyDescent="0.35">
      <c r="H8169" s="83">
        <f t="shared" si="174"/>
        <v>0</v>
      </c>
    </row>
    <row r="8170" spans="8:8" hidden="1" x14ac:dyDescent="0.35">
      <c r="H8170" s="83">
        <f t="shared" si="174"/>
        <v>0</v>
      </c>
    </row>
    <row r="8171" spans="8:8" hidden="1" x14ac:dyDescent="0.35">
      <c r="H8171" s="83">
        <f t="shared" si="174"/>
        <v>0</v>
      </c>
    </row>
    <row r="8172" spans="8:8" hidden="1" x14ac:dyDescent="0.35">
      <c r="H8172" s="83">
        <f t="shared" si="174"/>
        <v>0</v>
      </c>
    </row>
    <row r="8173" spans="8:8" hidden="1" x14ac:dyDescent="0.35">
      <c r="H8173" s="83">
        <f t="shared" si="174"/>
        <v>0</v>
      </c>
    </row>
    <row r="8174" spans="8:8" hidden="1" x14ac:dyDescent="0.35">
      <c r="H8174" s="83">
        <f t="shared" si="174"/>
        <v>0</v>
      </c>
    </row>
    <row r="8175" spans="8:8" hidden="1" x14ac:dyDescent="0.35">
      <c r="H8175" s="83">
        <f t="shared" si="174"/>
        <v>0</v>
      </c>
    </row>
    <row r="8176" spans="8:8" hidden="1" x14ac:dyDescent="0.35">
      <c r="H8176" s="83">
        <f t="shared" si="174"/>
        <v>0</v>
      </c>
    </row>
    <row r="8177" spans="8:8" hidden="1" x14ac:dyDescent="0.35">
      <c r="H8177" s="83">
        <f t="shared" si="174"/>
        <v>0</v>
      </c>
    </row>
    <row r="8178" spans="8:8" hidden="1" x14ac:dyDescent="0.35">
      <c r="H8178" s="83">
        <f t="shared" si="174"/>
        <v>0</v>
      </c>
    </row>
    <row r="8179" spans="8:8" hidden="1" x14ac:dyDescent="0.35">
      <c r="H8179" s="83">
        <f t="shared" si="174"/>
        <v>0</v>
      </c>
    </row>
    <row r="8180" spans="8:8" hidden="1" x14ac:dyDescent="0.35">
      <c r="H8180" s="83">
        <f t="shared" si="174"/>
        <v>0</v>
      </c>
    </row>
    <row r="8181" spans="8:8" hidden="1" x14ac:dyDescent="0.35">
      <c r="H8181" s="83">
        <f t="shared" si="174"/>
        <v>0</v>
      </c>
    </row>
    <row r="8182" spans="8:8" hidden="1" x14ac:dyDescent="0.35">
      <c r="H8182" s="83">
        <f t="shared" si="174"/>
        <v>0</v>
      </c>
    </row>
    <row r="8183" spans="8:8" hidden="1" x14ac:dyDescent="0.35">
      <c r="H8183" s="83">
        <f t="shared" si="174"/>
        <v>0</v>
      </c>
    </row>
    <row r="8184" spans="8:8" hidden="1" x14ac:dyDescent="0.35">
      <c r="H8184" s="83">
        <f t="shared" si="174"/>
        <v>0</v>
      </c>
    </row>
    <row r="8185" spans="8:8" hidden="1" x14ac:dyDescent="0.35">
      <c r="H8185" s="83">
        <f t="shared" si="174"/>
        <v>0</v>
      </c>
    </row>
    <row r="8186" spans="8:8" hidden="1" x14ac:dyDescent="0.35">
      <c r="H8186" s="83">
        <f t="shared" si="174"/>
        <v>0</v>
      </c>
    </row>
    <row r="8187" spans="8:8" hidden="1" x14ac:dyDescent="0.35">
      <c r="H8187" s="83">
        <f t="shared" si="174"/>
        <v>0</v>
      </c>
    </row>
    <row r="8188" spans="8:8" hidden="1" x14ac:dyDescent="0.35">
      <c r="H8188" s="83">
        <f t="shared" si="174"/>
        <v>0</v>
      </c>
    </row>
    <row r="8189" spans="8:8" hidden="1" x14ac:dyDescent="0.35">
      <c r="H8189" s="83">
        <f t="shared" si="174"/>
        <v>0</v>
      </c>
    </row>
    <row r="8190" spans="8:8" hidden="1" x14ac:dyDescent="0.35">
      <c r="H8190" s="83">
        <f t="shared" si="174"/>
        <v>0</v>
      </c>
    </row>
    <row r="8191" spans="8:8" hidden="1" x14ac:dyDescent="0.35">
      <c r="H8191" s="83">
        <f t="shared" si="174"/>
        <v>0</v>
      </c>
    </row>
    <row r="8192" spans="8:8" hidden="1" x14ac:dyDescent="0.35">
      <c r="H8192" s="83">
        <f t="shared" si="174"/>
        <v>0</v>
      </c>
    </row>
    <row r="8193" spans="8:8" hidden="1" x14ac:dyDescent="0.35">
      <c r="H8193" s="83">
        <f t="shared" si="174"/>
        <v>0</v>
      </c>
    </row>
    <row r="8194" spans="8:8" hidden="1" x14ac:dyDescent="0.35">
      <c r="H8194" s="83">
        <f t="shared" si="174"/>
        <v>0</v>
      </c>
    </row>
    <row r="8195" spans="8:8" hidden="1" x14ac:dyDescent="0.35">
      <c r="H8195" s="83">
        <f t="shared" si="174"/>
        <v>0</v>
      </c>
    </row>
    <row r="8196" spans="8:8" hidden="1" x14ac:dyDescent="0.35">
      <c r="H8196" s="83">
        <f t="shared" ref="H8196:H8259" si="175">J8196-I8196</f>
        <v>0</v>
      </c>
    </row>
    <row r="8197" spans="8:8" hidden="1" x14ac:dyDescent="0.35">
      <c r="H8197" s="83">
        <f t="shared" si="175"/>
        <v>0</v>
      </c>
    </row>
    <row r="8198" spans="8:8" hidden="1" x14ac:dyDescent="0.35">
      <c r="H8198" s="83">
        <f t="shared" si="175"/>
        <v>0</v>
      </c>
    </row>
    <row r="8199" spans="8:8" hidden="1" x14ac:dyDescent="0.35">
      <c r="H8199" s="83">
        <f t="shared" si="175"/>
        <v>0</v>
      </c>
    </row>
    <row r="8200" spans="8:8" hidden="1" x14ac:dyDescent="0.35">
      <c r="H8200" s="83">
        <f t="shared" si="175"/>
        <v>0</v>
      </c>
    </row>
    <row r="8201" spans="8:8" hidden="1" x14ac:dyDescent="0.35">
      <c r="H8201" s="83">
        <f t="shared" si="175"/>
        <v>0</v>
      </c>
    </row>
    <row r="8202" spans="8:8" hidden="1" x14ac:dyDescent="0.35">
      <c r="H8202" s="83">
        <f t="shared" si="175"/>
        <v>0</v>
      </c>
    </row>
    <row r="8203" spans="8:8" hidden="1" x14ac:dyDescent="0.35">
      <c r="H8203" s="83">
        <f t="shared" si="175"/>
        <v>0</v>
      </c>
    </row>
    <row r="8204" spans="8:8" hidden="1" x14ac:dyDescent="0.35">
      <c r="H8204" s="83">
        <f t="shared" si="175"/>
        <v>0</v>
      </c>
    </row>
    <row r="8205" spans="8:8" hidden="1" x14ac:dyDescent="0.35">
      <c r="H8205" s="83">
        <f t="shared" si="175"/>
        <v>0</v>
      </c>
    </row>
    <row r="8206" spans="8:8" hidden="1" x14ac:dyDescent="0.35">
      <c r="H8206" s="83">
        <f t="shared" si="175"/>
        <v>0</v>
      </c>
    </row>
    <row r="8207" spans="8:8" hidden="1" x14ac:dyDescent="0.35">
      <c r="H8207" s="83">
        <f t="shared" si="175"/>
        <v>0</v>
      </c>
    </row>
    <row r="8208" spans="8:8" hidden="1" x14ac:dyDescent="0.35">
      <c r="H8208" s="83">
        <f t="shared" si="175"/>
        <v>0</v>
      </c>
    </row>
    <row r="8209" spans="8:8" hidden="1" x14ac:dyDescent="0.35">
      <c r="H8209" s="83">
        <f t="shared" si="175"/>
        <v>0</v>
      </c>
    </row>
    <row r="8210" spans="8:8" hidden="1" x14ac:dyDescent="0.35">
      <c r="H8210" s="83">
        <f t="shared" si="175"/>
        <v>0</v>
      </c>
    </row>
    <row r="8211" spans="8:8" hidden="1" x14ac:dyDescent="0.35">
      <c r="H8211" s="83">
        <f t="shared" si="175"/>
        <v>0</v>
      </c>
    </row>
    <row r="8212" spans="8:8" hidden="1" x14ac:dyDescent="0.35">
      <c r="H8212" s="83">
        <f t="shared" si="175"/>
        <v>0</v>
      </c>
    </row>
    <row r="8213" spans="8:8" hidden="1" x14ac:dyDescent="0.35">
      <c r="H8213" s="83">
        <f t="shared" si="175"/>
        <v>0</v>
      </c>
    </row>
    <row r="8214" spans="8:8" hidden="1" x14ac:dyDescent="0.35">
      <c r="H8214" s="83">
        <f t="shared" si="175"/>
        <v>0</v>
      </c>
    </row>
    <row r="8215" spans="8:8" hidden="1" x14ac:dyDescent="0.35">
      <c r="H8215" s="83">
        <f t="shared" si="175"/>
        <v>0</v>
      </c>
    </row>
    <row r="8216" spans="8:8" hidden="1" x14ac:dyDescent="0.35">
      <c r="H8216" s="83">
        <f t="shared" si="175"/>
        <v>0</v>
      </c>
    </row>
    <row r="8217" spans="8:8" hidden="1" x14ac:dyDescent="0.35">
      <c r="H8217" s="83">
        <f t="shared" si="175"/>
        <v>0</v>
      </c>
    </row>
    <row r="8218" spans="8:8" hidden="1" x14ac:dyDescent="0.35">
      <c r="H8218" s="83">
        <f t="shared" si="175"/>
        <v>0</v>
      </c>
    </row>
    <row r="8219" spans="8:8" hidden="1" x14ac:dyDescent="0.35">
      <c r="H8219" s="83">
        <f t="shared" si="175"/>
        <v>0</v>
      </c>
    </row>
    <row r="8220" spans="8:8" hidden="1" x14ac:dyDescent="0.35">
      <c r="H8220" s="83">
        <f t="shared" si="175"/>
        <v>0</v>
      </c>
    </row>
    <row r="8221" spans="8:8" hidden="1" x14ac:dyDescent="0.35">
      <c r="H8221" s="83">
        <f t="shared" si="175"/>
        <v>0</v>
      </c>
    </row>
    <row r="8222" spans="8:8" hidden="1" x14ac:dyDescent="0.35">
      <c r="H8222" s="83">
        <f t="shared" si="175"/>
        <v>0</v>
      </c>
    </row>
    <row r="8223" spans="8:8" hidden="1" x14ac:dyDescent="0.35">
      <c r="H8223" s="83">
        <f t="shared" si="175"/>
        <v>0</v>
      </c>
    </row>
    <row r="8224" spans="8:8" hidden="1" x14ac:dyDescent="0.35">
      <c r="H8224" s="83">
        <f t="shared" si="175"/>
        <v>0</v>
      </c>
    </row>
    <row r="8225" spans="8:8" hidden="1" x14ac:dyDescent="0.35">
      <c r="H8225" s="83">
        <f t="shared" si="175"/>
        <v>0</v>
      </c>
    </row>
    <row r="8226" spans="8:8" hidden="1" x14ac:dyDescent="0.35">
      <c r="H8226" s="83">
        <f t="shared" si="175"/>
        <v>0</v>
      </c>
    </row>
    <row r="8227" spans="8:8" hidden="1" x14ac:dyDescent="0.35">
      <c r="H8227" s="83">
        <f t="shared" si="175"/>
        <v>0</v>
      </c>
    </row>
    <row r="8228" spans="8:8" hidden="1" x14ac:dyDescent="0.35">
      <c r="H8228" s="83">
        <f t="shared" si="175"/>
        <v>0</v>
      </c>
    </row>
    <row r="8229" spans="8:8" hidden="1" x14ac:dyDescent="0.35">
      <c r="H8229" s="83">
        <f t="shared" si="175"/>
        <v>0</v>
      </c>
    </row>
    <row r="8230" spans="8:8" hidden="1" x14ac:dyDescent="0.35">
      <c r="H8230" s="83">
        <f t="shared" si="175"/>
        <v>0</v>
      </c>
    </row>
    <row r="8231" spans="8:8" hidden="1" x14ac:dyDescent="0.35">
      <c r="H8231" s="83">
        <f t="shared" si="175"/>
        <v>0</v>
      </c>
    </row>
    <row r="8232" spans="8:8" hidden="1" x14ac:dyDescent="0.35">
      <c r="H8232" s="83">
        <f t="shared" si="175"/>
        <v>0</v>
      </c>
    </row>
    <row r="8233" spans="8:8" hidden="1" x14ac:dyDescent="0.35">
      <c r="H8233" s="83">
        <f t="shared" si="175"/>
        <v>0</v>
      </c>
    </row>
    <row r="8234" spans="8:8" hidden="1" x14ac:dyDescent="0.35">
      <c r="H8234" s="83">
        <f t="shared" si="175"/>
        <v>0</v>
      </c>
    </row>
    <row r="8235" spans="8:8" hidden="1" x14ac:dyDescent="0.35">
      <c r="H8235" s="83">
        <f t="shared" si="175"/>
        <v>0</v>
      </c>
    </row>
    <row r="8236" spans="8:8" hidden="1" x14ac:dyDescent="0.35">
      <c r="H8236" s="83">
        <f t="shared" si="175"/>
        <v>0</v>
      </c>
    </row>
    <row r="8237" spans="8:8" hidden="1" x14ac:dyDescent="0.35">
      <c r="H8237" s="83">
        <f t="shared" si="175"/>
        <v>0</v>
      </c>
    </row>
    <row r="8238" spans="8:8" hidden="1" x14ac:dyDescent="0.35">
      <c r="H8238" s="83">
        <f t="shared" si="175"/>
        <v>0</v>
      </c>
    </row>
    <row r="8239" spans="8:8" hidden="1" x14ac:dyDescent="0.35">
      <c r="H8239" s="83">
        <f t="shared" si="175"/>
        <v>0</v>
      </c>
    </row>
    <row r="8240" spans="8:8" hidden="1" x14ac:dyDescent="0.35">
      <c r="H8240" s="83">
        <f t="shared" si="175"/>
        <v>0</v>
      </c>
    </row>
    <row r="8241" spans="8:8" hidden="1" x14ac:dyDescent="0.35">
      <c r="H8241" s="83">
        <f t="shared" si="175"/>
        <v>0</v>
      </c>
    </row>
    <row r="8242" spans="8:8" hidden="1" x14ac:dyDescent="0.35">
      <c r="H8242" s="83">
        <f t="shared" si="175"/>
        <v>0</v>
      </c>
    </row>
    <row r="8243" spans="8:8" hidden="1" x14ac:dyDescent="0.35">
      <c r="H8243" s="83">
        <f t="shared" si="175"/>
        <v>0</v>
      </c>
    </row>
    <row r="8244" spans="8:8" hidden="1" x14ac:dyDescent="0.35">
      <c r="H8244" s="83">
        <f t="shared" si="175"/>
        <v>0</v>
      </c>
    </row>
    <row r="8245" spans="8:8" hidden="1" x14ac:dyDescent="0.35">
      <c r="H8245" s="83">
        <f t="shared" si="175"/>
        <v>0</v>
      </c>
    </row>
    <row r="8246" spans="8:8" hidden="1" x14ac:dyDescent="0.35">
      <c r="H8246" s="83">
        <f t="shared" si="175"/>
        <v>0</v>
      </c>
    </row>
    <row r="8247" spans="8:8" hidden="1" x14ac:dyDescent="0.35">
      <c r="H8247" s="83">
        <f t="shared" si="175"/>
        <v>0</v>
      </c>
    </row>
    <row r="8248" spans="8:8" hidden="1" x14ac:dyDescent="0.35">
      <c r="H8248" s="83">
        <f t="shared" si="175"/>
        <v>0</v>
      </c>
    </row>
    <row r="8249" spans="8:8" hidden="1" x14ac:dyDescent="0.35">
      <c r="H8249" s="83">
        <f t="shared" si="175"/>
        <v>0</v>
      </c>
    </row>
    <row r="8250" spans="8:8" hidden="1" x14ac:dyDescent="0.35">
      <c r="H8250" s="83">
        <f t="shared" si="175"/>
        <v>0</v>
      </c>
    </row>
    <row r="8251" spans="8:8" hidden="1" x14ac:dyDescent="0.35">
      <c r="H8251" s="83">
        <f t="shared" si="175"/>
        <v>0</v>
      </c>
    </row>
    <row r="8252" spans="8:8" hidden="1" x14ac:dyDescent="0.35">
      <c r="H8252" s="83">
        <f t="shared" si="175"/>
        <v>0</v>
      </c>
    </row>
    <row r="8253" spans="8:8" hidden="1" x14ac:dyDescent="0.35">
      <c r="H8253" s="83">
        <f t="shared" si="175"/>
        <v>0</v>
      </c>
    </row>
    <row r="8254" spans="8:8" hidden="1" x14ac:dyDescent="0.35">
      <c r="H8254" s="83">
        <f t="shared" si="175"/>
        <v>0</v>
      </c>
    </row>
    <row r="8255" spans="8:8" hidden="1" x14ac:dyDescent="0.35">
      <c r="H8255" s="83">
        <f t="shared" si="175"/>
        <v>0</v>
      </c>
    </row>
    <row r="8256" spans="8:8" hidden="1" x14ac:dyDescent="0.35">
      <c r="H8256" s="83">
        <f t="shared" si="175"/>
        <v>0</v>
      </c>
    </row>
    <row r="8257" spans="8:8" hidden="1" x14ac:dyDescent="0.35">
      <c r="H8257" s="83">
        <f t="shared" si="175"/>
        <v>0</v>
      </c>
    </row>
    <row r="8258" spans="8:8" hidden="1" x14ac:dyDescent="0.35">
      <c r="H8258" s="83">
        <f t="shared" si="175"/>
        <v>0</v>
      </c>
    </row>
    <row r="8259" spans="8:8" hidden="1" x14ac:dyDescent="0.35">
      <c r="H8259" s="83">
        <f t="shared" si="175"/>
        <v>0</v>
      </c>
    </row>
    <row r="8260" spans="8:8" hidden="1" x14ac:dyDescent="0.35">
      <c r="H8260" s="83">
        <f t="shared" ref="H8260:H8323" si="176">J8260-I8260</f>
        <v>0</v>
      </c>
    </row>
    <row r="8261" spans="8:8" hidden="1" x14ac:dyDescent="0.35">
      <c r="H8261" s="83">
        <f t="shared" si="176"/>
        <v>0</v>
      </c>
    </row>
    <row r="8262" spans="8:8" hidden="1" x14ac:dyDescent="0.35">
      <c r="H8262" s="83">
        <f t="shared" si="176"/>
        <v>0</v>
      </c>
    </row>
    <row r="8263" spans="8:8" hidden="1" x14ac:dyDescent="0.35">
      <c r="H8263" s="83">
        <f t="shared" si="176"/>
        <v>0</v>
      </c>
    </row>
    <row r="8264" spans="8:8" hidden="1" x14ac:dyDescent="0.35">
      <c r="H8264" s="83">
        <f t="shared" si="176"/>
        <v>0</v>
      </c>
    </row>
    <row r="8265" spans="8:8" hidden="1" x14ac:dyDescent="0.35">
      <c r="H8265" s="83">
        <f t="shared" si="176"/>
        <v>0</v>
      </c>
    </row>
    <row r="8266" spans="8:8" hidden="1" x14ac:dyDescent="0.35">
      <c r="H8266" s="83">
        <f t="shared" si="176"/>
        <v>0</v>
      </c>
    </row>
    <row r="8267" spans="8:8" hidden="1" x14ac:dyDescent="0.35">
      <c r="H8267" s="83">
        <f t="shared" si="176"/>
        <v>0</v>
      </c>
    </row>
    <row r="8268" spans="8:8" hidden="1" x14ac:dyDescent="0.35">
      <c r="H8268" s="83">
        <f t="shared" si="176"/>
        <v>0</v>
      </c>
    </row>
    <row r="8269" spans="8:8" hidden="1" x14ac:dyDescent="0.35">
      <c r="H8269" s="83">
        <f t="shared" si="176"/>
        <v>0</v>
      </c>
    </row>
    <row r="8270" spans="8:8" hidden="1" x14ac:dyDescent="0.35">
      <c r="H8270" s="83">
        <f t="shared" si="176"/>
        <v>0</v>
      </c>
    </row>
    <row r="8271" spans="8:8" hidden="1" x14ac:dyDescent="0.35">
      <c r="H8271" s="83">
        <f t="shared" si="176"/>
        <v>0</v>
      </c>
    </row>
    <row r="8272" spans="8:8" hidden="1" x14ac:dyDescent="0.35">
      <c r="H8272" s="83">
        <f t="shared" si="176"/>
        <v>0</v>
      </c>
    </row>
    <row r="8273" spans="8:8" hidden="1" x14ac:dyDescent="0.35">
      <c r="H8273" s="83">
        <f t="shared" si="176"/>
        <v>0</v>
      </c>
    </row>
    <row r="8274" spans="8:8" hidden="1" x14ac:dyDescent="0.35">
      <c r="H8274" s="83">
        <f t="shared" si="176"/>
        <v>0</v>
      </c>
    </row>
    <row r="8275" spans="8:8" hidden="1" x14ac:dyDescent="0.35">
      <c r="H8275" s="83">
        <f t="shared" si="176"/>
        <v>0</v>
      </c>
    </row>
    <row r="8276" spans="8:8" hidden="1" x14ac:dyDescent="0.35">
      <c r="H8276" s="83">
        <f t="shared" si="176"/>
        <v>0</v>
      </c>
    </row>
    <row r="8277" spans="8:8" hidden="1" x14ac:dyDescent="0.35">
      <c r="H8277" s="83">
        <f t="shared" si="176"/>
        <v>0</v>
      </c>
    </row>
    <row r="8278" spans="8:8" hidden="1" x14ac:dyDescent="0.35">
      <c r="H8278" s="83">
        <f t="shared" si="176"/>
        <v>0</v>
      </c>
    </row>
    <row r="8279" spans="8:8" hidden="1" x14ac:dyDescent="0.35">
      <c r="H8279" s="83">
        <f t="shared" si="176"/>
        <v>0</v>
      </c>
    </row>
    <row r="8280" spans="8:8" hidden="1" x14ac:dyDescent="0.35">
      <c r="H8280" s="83">
        <f t="shared" si="176"/>
        <v>0</v>
      </c>
    </row>
    <row r="8281" spans="8:8" hidden="1" x14ac:dyDescent="0.35">
      <c r="H8281" s="83">
        <f t="shared" si="176"/>
        <v>0</v>
      </c>
    </row>
    <row r="8282" spans="8:8" hidden="1" x14ac:dyDescent="0.35">
      <c r="H8282" s="83">
        <f t="shared" si="176"/>
        <v>0</v>
      </c>
    </row>
    <row r="8283" spans="8:8" hidden="1" x14ac:dyDescent="0.35">
      <c r="H8283" s="83">
        <f t="shared" si="176"/>
        <v>0</v>
      </c>
    </row>
    <row r="8284" spans="8:8" hidden="1" x14ac:dyDescent="0.35">
      <c r="H8284" s="83">
        <f t="shared" si="176"/>
        <v>0</v>
      </c>
    </row>
    <row r="8285" spans="8:8" hidden="1" x14ac:dyDescent="0.35">
      <c r="H8285" s="83">
        <f t="shared" si="176"/>
        <v>0</v>
      </c>
    </row>
    <row r="8286" spans="8:8" hidden="1" x14ac:dyDescent="0.35">
      <c r="H8286" s="83">
        <f t="shared" si="176"/>
        <v>0</v>
      </c>
    </row>
    <row r="8287" spans="8:8" hidden="1" x14ac:dyDescent="0.35">
      <c r="H8287" s="83">
        <f t="shared" si="176"/>
        <v>0</v>
      </c>
    </row>
    <row r="8288" spans="8:8" hidden="1" x14ac:dyDescent="0.35">
      <c r="H8288" s="83">
        <f t="shared" si="176"/>
        <v>0</v>
      </c>
    </row>
    <row r="8289" spans="8:8" hidden="1" x14ac:dyDescent="0.35">
      <c r="H8289" s="83">
        <f t="shared" si="176"/>
        <v>0</v>
      </c>
    </row>
    <row r="8290" spans="8:8" hidden="1" x14ac:dyDescent="0.35">
      <c r="H8290" s="83">
        <f t="shared" si="176"/>
        <v>0</v>
      </c>
    </row>
    <row r="8291" spans="8:8" hidden="1" x14ac:dyDescent="0.35">
      <c r="H8291" s="83">
        <f t="shared" si="176"/>
        <v>0</v>
      </c>
    </row>
    <row r="8292" spans="8:8" hidden="1" x14ac:dyDescent="0.35">
      <c r="H8292" s="83">
        <f t="shared" si="176"/>
        <v>0</v>
      </c>
    </row>
    <row r="8293" spans="8:8" hidden="1" x14ac:dyDescent="0.35">
      <c r="H8293" s="83">
        <f t="shared" si="176"/>
        <v>0</v>
      </c>
    </row>
    <row r="8294" spans="8:8" hidden="1" x14ac:dyDescent="0.35">
      <c r="H8294" s="83">
        <f t="shared" si="176"/>
        <v>0</v>
      </c>
    </row>
    <row r="8295" spans="8:8" hidden="1" x14ac:dyDescent="0.35">
      <c r="H8295" s="83">
        <f t="shared" si="176"/>
        <v>0</v>
      </c>
    </row>
    <row r="8296" spans="8:8" hidden="1" x14ac:dyDescent="0.35">
      <c r="H8296" s="83">
        <f t="shared" si="176"/>
        <v>0</v>
      </c>
    </row>
    <row r="8297" spans="8:8" hidden="1" x14ac:dyDescent="0.35">
      <c r="H8297" s="83">
        <f t="shared" si="176"/>
        <v>0</v>
      </c>
    </row>
    <row r="8298" spans="8:8" hidden="1" x14ac:dyDescent="0.35">
      <c r="H8298" s="83">
        <f t="shared" si="176"/>
        <v>0</v>
      </c>
    </row>
    <row r="8299" spans="8:8" hidden="1" x14ac:dyDescent="0.35">
      <c r="H8299" s="83">
        <f t="shared" si="176"/>
        <v>0</v>
      </c>
    </row>
    <row r="8300" spans="8:8" hidden="1" x14ac:dyDescent="0.35">
      <c r="H8300" s="83">
        <f t="shared" si="176"/>
        <v>0</v>
      </c>
    </row>
    <row r="8301" spans="8:8" hidden="1" x14ac:dyDescent="0.35">
      <c r="H8301" s="83">
        <f t="shared" si="176"/>
        <v>0</v>
      </c>
    </row>
    <row r="8302" spans="8:8" hidden="1" x14ac:dyDescent="0.35">
      <c r="H8302" s="83">
        <f t="shared" si="176"/>
        <v>0</v>
      </c>
    </row>
    <row r="8303" spans="8:8" hidden="1" x14ac:dyDescent="0.35">
      <c r="H8303" s="83">
        <f t="shared" si="176"/>
        <v>0</v>
      </c>
    </row>
    <row r="8304" spans="8:8" hidden="1" x14ac:dyDescent="0.35">
      <c r="H8304" s="83">
        <f t="shared" si="176"/>
        <v>0</v>
      </c>
    </row>
    <row r="8305" spans="8:8" hidden="1" x14ac:dyDescent="0.35">
      <c r="H8305" s="83">
        <f t="shared" si="176"/>
        <v>0</v>
      </c>
    </row>
    <row r="8306" spans="8:8" hidden="1" x14ac:dyDescent="0.35">
      <c r="H8306" s="83">
        <f t="shared" si="176"/>
        <v>0</v>
      </c>
    </row>
    <row r="8307" spans="8:8" hidden="1" x14ac:dyDescent="0.35">
      <c r="H8307" s="83">
        <f t="shared" si="176"/>
        <v>0</v>
      </c>
    </row>
    <row r="8308" spans="8:8" hidden="1" x14ac:dyDescent="0.35">
      <c r="H8308" s="83">
        <f t="shared" si="176"/>
        <v>0</v>
      </c>
    </row>
    <row r="8309" spans="8:8" hidden="1" x14ac:dyDescent="0.35">
      <c r="H8309" s="83">
        <f t="shared" si="176"/>
        <v>0</v>
      </c>
    </row>
    <row r="8310" spans="8:8" hidden="1" x14ac:dyDescent="0.35">
      <c r="H8310" s="83">
        <f t="shared" si="176"/>
        <v>0</v>
      </c>
    </row>
    <row r="8311" spans="8:8" hidden="1" x14ac:dyDescent="0.35">
      <c r="H8311" s="83">
        <f t="shared" si="176"/>
        <v>0</v>
      </c>
    </row>
    <row r="8312" spans="8:8" hidden="1" x14ac:dyDescent="0.35">
      <c r="H8312" s="83">
        <f t="shared" si="176"/>
        <v>0</v>
      </c>
    </row>
    <row r="8313" spans="8:8" hidden="1" x14ac:dyDescent="0.35">
      <c r="H8313" s="83">
        <f t="shared" si="176"/>
        <v>0</v>
      </c>
    </row>
    <row r="8314" spans="8:8" hidden="1" x14ac:dyDescent="0.35">
      <c r="H8314" s="83">
        <f t="shared" si="176"/>
        <v>0</v>
      </c>
    </row>
    <row r="8315" spans="8:8" hidden="1" x14ac:dyDescent="0.35">
      <c r="H8315" s="83">
        <f t="shared" si="176"/>
        <v>0</v>
      </c>
    </row>
    <row r="8316" spans="8:8" hidden="1" x14ac:dyDescent="0.35">
      <c r="H8316" s="83">
        <f t="shared" si="176"/>
        <v>0</v>
      </c>
    </row>
    <row r="8317" spans="8:8" hidden="1" x14ac:dyDescent="0.35">
      <c r="H8317" s="83">
        <f t="shared" si="176"/>
        <v>0</v>
      </c>
    </row>
    <row r="8318" spans="8:8" hidden="1" x14ac:dyDescent="0.35">
      <c r="H8318" s="83">
        <f t="shared" si="176"/>
        <v>0</v>
      </c>
    </row>
    <row r="8319" spans="8:8" hidden="1" x14ac:dyDescent="0.35">
      <c r="H8319" s="83">
        <f t="shared" si="176"/>
        <v>0</v>
      </c>
    </row>
    <row r="8320" spans="8:8" hidden="1" x14ac:dyDescent="0.35">
      <c r="H8320" s="83">
        <f t="shared" si="176"/>
        <v>0</v>
      </c>
    </row>
    <row r="8321" spans="8:8" hidden="1" x14ac:dyDescent="0.35">
      <c r="H8321" s="83">
        <f t="shared" si="176"/>
        <v>0</v>
      </c>
    </row>
    <row r="8322" spans="8:8" hidden="1" x14ac:dyDescent="0.35">
      <c r="H8322" s="83">
        <f t="shared" si="176"/>
        <v>0</v>
      </c>
    </row>
    <row r="8323" spans="8:8" hidden="1" x14ac:dyDescent="0.35">
      <c r="H8323" s="83">
        <f t="shared" si="176"/>
        <v>0</v>
      </c>
    </row>
    <row r="8324" spans="8:8" hidden="1" x14ac:dyDescent="0.35">
      <c r="H8324" s="83">
        <f t="shared" ref="H8324:H8387" si="177">J8324-I8324</f>
        <v>0</v>
      </c>
    </row>
    <row r="8325" spans="8:8" hidden="1" x14ac:dyDescent="0.35">
      <c r="H8325" s="83">
        <f t="shared" si="177"/>
        <v>0</v>
      </c>
    </row>
    <row r="8326" spans="8:8" hidden="1" x14ac:dyDescent="0.35">
      <c r="H8326" s="83">
        <f t="shared" si="177"/>
        <v>0</v>
      </c>
    </row>
    <row r="8327" spans="8:8" hidden="1" x14ac:dyDescent="0.35">
      <c r="H8327" s="83">
        <f t="shared" si="177"/>
        <v>0</v>
      </c>
    </row>
    <row r="8328" spans="8:8" hidden="1" x14ac:dyDescent="0.35">
      <c r="H8328" s="83">
        <f t="shared" si="177"/>
        <v>0</v>
      </c>
    </row>
    <row r="8329" spans="8:8" hidden="1" x14ac:dyDescent="0.35">
      <c r="H8329" s="83">
        <f t="shared" si="177"/>
        <v>0</v>
      </c>
    </row>
    <row r="8330" spans="8:8" hidden="1" x14ac:dyDescent="0.35">
      <c r="H8330" s="83">
        <f t="shared" si="177"/>
        <v>0</v>
      </c>
    </row>
    <row r="8331" spans="8:8" hidden="1" x14ac:dyDescent="0.35">
      <c r="H8331" s="83">
        <f t="shared" si="177"/>
        <v>0</v>
      </c>
    </row>
    <row r="8332" spans="8:8" hidden="1" x14ac:dyDescent="0.35">
      <c r="H8332" s="83">
        <f t="shared" si="177"/>
        <v>0</v>
      </c>
    </row>
    <row r="8333" spans="8:8" hidden="1" x14ac:dyDescent="0.35">
      <c r="H8333" s="83">
        <f t="shared" si="177"/>
        <v>0</v>
      </c>
    </row>
    <row r="8334" spans="8:8" hidden="1" x14ac:dyDescent="0.35">
      <c r="H8334" s="83">
        <f t="shared" si="177"/>
        <v>0</v>
      </c>
    </row>
    <row r="8335" spans="8:8" hidden="1" x14ac:dyDescent="0.35">
      <c r="H8335" s="83">
        <f t="shared" si="177"/>
        <v>0</v>
      </c>
    </row>
    <row r="8336" spans="8:8" hidden="1" x14ac:dyDescent="0.35">
      <c r="H8336" s="83">
        <f t="shared" si="177"/>
        <v>0</v>
      </c>
    </row>
    <row r="8337" spans="8:8" hidden="1" x14ac:dyDescent="0.35">
      <c r="H8337" s="83">
        <f t="shared" si="177"/>
        <v>0</v>
      </c>
    </row>
    <row r="8338" spans="8:8" hidden="1" x14ac:dyDescent="0.35">
      <c r="H8338" s="83">
        <f t="shared" si="177"/>
        <v>0</v>
      </c>
    </row>
    <row r="8339" spans="8:8" hidden="1" x14ac:dyDescent="0.35">
      <c r="H8339" s="83">
        <f t="shared" si="177"/>
        <v>0</v>
      </c>
    </row>
    <row r="8340" spans="8:8" hidden="1" x14ac:dyDescent="0.35">
      <c r="H8340" s="83">
        <f t="shared" si="177"/>
        <v>0</v>
      </c>
    </row>
    <row r="8341" spans="8:8" hidden="1" x14ac:dyDescent="0.35">
      <c r="H8341" s="83">
        <f t="shared" si="177"/>
        <v>0</v>
      </c>
    </row>
    <row r="8342" spans="8:8" hidden="1" x14ac:dyDescent="0.35">
      <c r="H8342" s="83">
        <f t="shared" si="177"/>
        <v>0</v>
      </c>
    </row>
    <row r="8343" spans="8:8" hidden="1" x14ac:dyDescent="0.35">
      <c r="H8343" s="83">
        <f t="shared" si="177"/>
        <v>0</v>
      </c>
    </row>
    <row r="8344" spans="8:8" hidden="1" x14ac:dyDescent="0.35">
      <c r="H8344" s="83">
        <f t="shared" si="177"/>
        <v>0</v>
      </c>
    </row>
    <row r="8345" spans="8:8" hidden="1" x14ac:dyDescent="0.35">
      <c r="H8345" s="83">
        <f t="shared" si="177"/>
        <v>0</v>
      </c>
    </row>
    <row r="8346" spans="8:8" hidden="1" x14ac:dyDescent="0.35">
      <c r="H8346" s="83">
        <f t="shared" si="177"/>
        <v>0</v>
      </c>
    </row>
    <row r="8347" spans="8:8" hidden="1" x14ac:dyDescent="0.35">
      <c r="H8347" s="83">
        <f t="shared" si="177"/>
        <v>0</v>
      </c>
    </row>
    <row r="8348" spans="8:8" hidden="1" x14ac:dyDescent="0.35">
      <c r="H8348" s="83">
        <f t="shared" si="177"/>
        <v>0</v>
      </c>
    </row>
    <row r="8349" spans="8:8" hidden="1" x14ac:dyDescent="0.35">
      <c r="H8349" s="83">
        <f t="shared" si="177"/>
        <v>0</v>
      </c>
    </row>
    <row r="8350" spans="8:8" hidden="1" x14ac:dyDescent="0.35">
      <c r="H8350" s="83">
        <f t="shared" si="177"/>
        <v>0</v>
      </c>
    </row>
    <row r="8351" spans="8:8" hidden="1" x14ac:dyDescent="0.35">
      <c r="H8351" s="83">
        <f t="shared" si="177"/>
        <v>0</v>
      </c>
    </row>
    <row r="8352" spans="8:8" hidden="1" x14ac:dyDescent="0.35">
      <c r="H8352" s="83">
        <f t="shared" si="177"/>
        <v>0</v>
      </c>
    </row>
    <row r="8353" spans="8:8" hidden="1" x14ac:dyDescent="0.35">
      <c r="H8353" s="83">
        <f t="shared" si="177"/>
        <v>0</v>
      </c>
    </row>
    <row r="8354" spans="8:8" hidden="1" x14ac:dyDescent="0.35">
      <c r="H8354" s="83">
        <f t="shared" si="177"/>
        <v>0</v>
      </c>
    </row>
    <row r="8355" spans="8:8" hidden="1" x14ac:dyDescent="0.35">
      <c r="H8355" s="83">
        <f t="shared" si="177"/>
        <v>0</v>
      </c>
    </row>
    <row r="8356" spans="8:8" hidden="1" x14ac:dyDescent="0.35">
      <c r="H8356" s="83">
        <f t="shared" si="177"/>
        <v>0</v>
      </c>
    </row>
    <row r="8357" spans="8:8" hidden="1" x14ac:dyDescent="0.35">
      <c r="H8357" s="83">
        <f t="shared" si="177"/>
        <v>0</v>
      </c>
    </row>
    <row r="8358" spans="8:8" hidden="1" x14ac:dyDescent="0.35">
      <c r="H8358" s="83">
        <f t="shared" si="177"/>
        <v>0</v>
      </c>
    </row>
    <row r="8359" spans="8:8" hidden="1" x14ac:dyDescent="0.35">
      <c r="H8359" s="83">
        <f t="shared" si="177"/>
        <v>0</v>
      </c>
    </row>
    <row r="8360" spans="8:8" hidden="1" x14ac:dyDescent="0.35">
      <c r="H8360" s="83">
        <f t="shared" si="177"/>
        <v>0</v>
      </c>
    </row>
    <row r="8361" spans="8:8" hidden="1" x14ac:dyDescent="0.35">
      <c r="H8361" s="83">
        <f t="shared" si="177"/>
        <v>0</v>
      </c>
    </row>
    <row r="8362" spans="8:8" hidden="1" x14ac:dyDescent="0.35">
      <c r="H8362" s="83">
        <f t="shared" si="177"/>
        <v>0</v>
      </c>
    </row>
    <row r="8363" spans="8:8" hidden="1" x14ac:dyDescent="0.35">
      <c r="H8363" s="83">
        <f t="shared" si="177"/>
        <v>0</v>
      </c>
    </row>
    <row r="8364" spans="8:8" hidden="1" x14ac:dyDescent="0.35">
      <c r="H8364" s="83">
        <f t="shared" si="177"/>
        <v>0</v>
      </c>
    </row>
    <row r="8365" spans="8:8" hidden="1" x14ac:dyDescent="0.35">
      <c r="H8365" s="83">
        <f t="shared" si="177"/>
        <v>0</v>
      </c>
    </row>
    <row r="8366" spans="8:8" hidden="1" x14ac:dyDescent="0.35">
      <c r="H8366" s="83">
        <f t="shared" si="177"/>
        <v>0</v>
      </c>
    </row>
    <row r="8367" spans="8:8" hidden="1" x14ac:dyDescent="0.35">
      <c r="H8367" s="83">
        <f t="shared" si="177"/>
        <v>0</v>
      </c>
    </row>
    <row r="8368" spans="8:8" hidden="1" x14ac:dyDescent="0.35">
      <c r="H8368" s="83">
        <f t="shared" si="177"/>
        <v>0</v>
      </c>
    </row>
    <row r="8369" spans="8:8" hidden="1" x14ac:dyDescent="0.35">
      <c r="H8369" s="83">
        <f t="shared" si="177"/>
        <v>0</v>
      </c>
    </row>
    <row r="8370" spans="8:8" hidden="1" x14ac:dyDescent="0.35">
      <c r="H8370" s="83">
        <f t="shared" si="177"/>
        <v>0</v>
      </c>
    </row>
    <row r="8371" spans="8:8" hidden="1" x14ac:dyDescent="0.35">
      <c r="H8371" s="83">
        <f t="shared" si="177"/>
        <v>0</v>
      </c>
    </row>
    <row r="8372" spans="8:8" hidden="1" x14ac:dyDescent="0.35">
      <c r="H8372" s="83">
        <f t="shared" si="177"/>
        <v>0</v>
      </c>
    </row>
    <row r="8373" spans="8:8" hidden="1" x14ac:dyDescent="0.35">
      <c r="H8373" s="83">
        <f t="shared" si="177"/>
        <v>0</v>
      </c>
    </row>
    <row r="8374" spans="8:8" hidden="1" x14ac:dyDescent="0.35">
      <c r="H8374" s="83">
        <f t="shared" si="177"/>
        <v>0</v>
      </c>
    </row>
    <row r="8375" spans="8:8" hidden="1" x14ac:dyDescent="0.35">
      <c r="H8375" s="83">
        <f t="shared" si="177"/>
        <v>0</v>
      </c>
    </row>
    <row r="8376" spans="8:8" hidden="1" x14ac:dyDescent="0.35">
      <c r="H8376" s="83">
        <f t="shared" si="177"/>
        <v>0</v>
      </c>
    </row>
    <row r="8377" spans="8:8" hidden="1" x14ac:dyDescent="0.35">
      <c r="H8377" s="83">
        <f t="shared" si="177"/>
        <v>0</v>
      </c>
    </row>
    <row r="8378" spans="8:8" hidden="1" x14ac:dyDescent="0.35">
      <c r="H8378" s="83">
        <f t="shared" si="177"/>
        <v>0</v>
      </c>
    </row>
    <row r="8379" spans="8:8" hidden="1" x14ac:dyDescent="0.35">
      <c r="H8379" s="83">
        <f t="shared" si="177"/>
        <v>0</v>
      </c>
    </row>
    <row r="8380" spans="8:8" hidden="1" x14ac:dyDescent="0.35">
      <c r="H8380" s="83">
        <f t="shared" si="177"/>
        <v>0</v>
      </c>
    </row>
    <row r="8381" spans="8:8" hidden="1" x14ac:dyDescent="0.35">
      <c r="H8381" s="83">
        <f t="shared" si="177"/>
        <v>0</v>
      </c>
    </row>
    <row r="8382" spans="8:8" hidden="1" x14ac:dyDescent="0.35">
      <c r="H8382" s="83">
        <f t="shared" si="177"/>
        <v>0</v>
      </c>
    </row>
    <row r="8383" spans="8:8" hidden="1" x14ac:dyDescent="0.35">
      <c r="H8383" s="83">
        <f t="shared" si="177"/>
        <v>0</v>
      </c>
    </row>
    <row r="8384" spans="8:8" hidden="1" x14ac:dyDescent="0.35">
      <c r="H8384" s="83">
        <f t="shared" si="177"/>
        <v>0</v>
      </c>
    </row>
    <row r="8385" spans="8:8" hidden="1" x14ac:dyDescent="0.35">
      <c r="H8385" s="83">
        <f t="shared" si="177"/>
        <v>0</v>
      </c>
    </row>
    <row r="8386" spans="8:8" hidden="1" x14ac:dyDescent="0.35">
      <c r="H8386" s="83">
        <f t="shared" si="177"/>
        <v>0</v>
      </c>
    </row>
    <row r="8387" spans="8:8" hidden="1" x14ac:dyDescent="0.35">
      <c r="H8387" s="83">
        <f t="shared" si="177"/>
        <v>0</v>
      </c>
    </row>
    <row r="8388" spans="8:8" hidden="1" x14ac:dyDescent="0.35">
      <c r="H8388" s="83">
        <f t="shared" ref="H8388:H8451" si="178">J8388-I8388</f>
        <v>0</v>
      </c>
    </row>
    <row r="8389" spans="8:8" hidden="1" x14ac:dyDescent="0.35">
      <c r="H8389" s="83">
        <f t="shared" si="178"/>
        <v>0</v>
      </c>
    </row>
    <row r="8390" spans="8:8" hidden="1" x14ac:dyDescent="0.35">
      <c r="H8390" s="83">
        <f t="shared" si="178"/>
        <v>0</v>
      </c>
    </row>
    <row r="8391" spans="8:8" hidden="1" x14ac:dyDescent="0.35">
      <c r="H8391" s="83">
        <f t="shared" si="178"/>
        <v>0</v>
      </c>
    </row>
    <row r="8392" spans="8:8" hidden="1" x14ac:dyDescent="0.35">
      <c r="H8392" s="83">
        <f t="shared" si="178"/>
        <v>0</v>
      </c>
    </row>
    <row r="8393" spans="8:8" hidden="1" x14ac:dyDescent="0.35">
      <c r="H8393" s="83">
        <f t="shared" si="178"/>
        <v>0</v>
      </c>
    </row>
    <row r="8394" spans="8:8" hidden="1" x14ac:dyDescent="0.35">
      <c r="H8394" s="83">
        <f t="shared" si="178"/>
        <v>0</v>
      </c>
    </row>
    <row r="8395" spans="8:8" hidden="1" x14ac:dyDescent="0.35">
      <c r="H8395" s="83">
        <f t="shared" si="178"/>
        <v>0</v>
      </c>
    </row>
    <row r="8396" spans="8:8" hidden="1" x14ac:dyDescent="0.35">
      <c r="H8396" s="83">
        <f t="shared" si="178"/>
        <v>0</v>
      </c>
    </row>
    <row r="8397" spans="8:8" hidden="1" x14ac:dyDescent="0.35">
      <c r="H8397" s="83">
        <f t="shared" si="178"/>
        <v>0</v>
      </c>
    </row>
    <row r="8398" spans="8:8" hidden="1" x14ac:dyDescent="0.35">
      <c r="H8398" s="83">
        <f t="shared" si="178"/>
        <v>0</v>
      </c>
    </row>
    <row r="8399" spans="8:8" hidden="1" x14ac:dyDescent="0.35">
      <c r="H8399" s="83">
        <f t="shared" si="178"/>
        <v>0</v>
      </c>
    </row>
    <row r="8400" spans="8:8" hidden="1" x14ac:dyDescent="0.35">
      <c r="H8400" s="83">
        <f t="shared" si="178"/>
        <v>0</v>
      </c>
    </row>
    <row r="8401" spans="8:8" hidden="1" x14ac:dyDescent="0.35">
      <c r="H8401" s="83">
        <f t="shared" si="178"/>
        <v>0</v>
      </c>
    </row>
    <row r="8402" spans="8:8" hidden="1" x14ac:dyDescent="0.35">
      <c r="H8402" s="83">
        <f t="shared" si="178"/>
        <v>0</v>
      </c>
    </row>
    <row r="8403" spans="8:8" hidden="1" x14ac:dyDescent="0.35">
      <c r="H8403" s="83">
        <f t="shared" si="178"/>
        <v>0</v>
      </c>
    </row>
    <row r="8404" spans="8:8" hidden="1" x14ac:dyDescent="0.35">
      <c r="H8404" s="83">
        <f t="shared" si="178"/>
        <v>0</v>
      </c>
    </row>
    <row r="8405" spans="8:8" hidden="1" x14ac:dyDescent="0.35">
      <c r="H8405" s="83">
        <f t="shared" si="178"/>
        <v>0</v>
      </c>
    </row>
    <row r="8406" spans="8:8" hidden="1" x14ac:dyDescent="0.35">
      <c r="H8406" s="83">
        <f t="shared" si="178"/>
        <v>0</v>
      </c>
    </row>
    <row r="8407" spans="8:8" hidden="1" x14ac:dyDescent="0.35">
      <c r="H8407" s="83">
        <f t="shared" si="178"/>
        <v>0</v>
      </c>
    </row>
    <row r="8408" spans="8:8" hidden="1" x14ac:dyDescent="0.35">
      <c r="H8408" s="83">
        <f t="shared" si="178"/>
        <v>0</v>
      </c>
    </row>
    <row r="8409" spans="8:8" hidden="1" x14ac:dyDescent="0.35">
      <c r="H8409" s="83">
        <f t="shared" si="178"/>
        <v>0</v>
      </c>
    </row>
    <row r="8410" spans="8:8" hidden="1" x14ac:dyDescent="0.35">
      <c r="H8410" s="83">
        <f t="shared" si="178"/>
        <v>0</v>
      </c>
    </row>
    <row r="8411" spans="8:8" hidden="1" x14ac:dyDescent="0.35">
      <c r="H8411" s="83">
        <f t="shared" si="178"/>
        <v>0</v>
      </c>
    </row>
    <row r="8412" spans="8:8" hidden="1" x14ac:dyDescent="0.35">
      <c r="H8412" s="83">
        <f t="shared" si="178"/>
        <v>0</v>
      </c>
    </row>
    <row r="8413" spans="8:8" hidden="1" x14ac:dyDescent="0.35">
      <c r="H8413" s="83">
        <f t="shared" si="178"/>
        <v>0</v>
      </c>
    </row>
    <row r="8414" spans="8:8" hidden="1" x14ac:dyDescent="0.35">
      <c r="H8414" s="83">
        <f t="shared" si="178"/>
        <v>0</v>
      </c>
    </row>
    <row r="8415" spans="8:8" hidden="1" x14ac:dyDescent="0.35">
      <c r="H8415" s="83">
        <f t="shared" si="178"/>
        <v>0</v>
      </c>
    </row>
    <row r="8416" spans="8:8" hidden="1" x14ac:dyDescent="0.35">
      <c r="H8416" s="83">
        <f t="shared" si="178"/>
        <v>0</v>
      </c>
    </row>
    <row r="8417" spans="8:8" hidden="1" x14ac:dyDescent="0.35">
      <c r="H8417" s="83">
        <f t="shared" si="178"/>
        <v>0</v>
      </c>
    </row>
    <row r="8418" spans="8:8" hidden="1" x14ac:dyDescent="0.35">
      <c r="H8418" s="83">
        <f t="shared" si="178"/>
        <v>0</v>
      </c>
    </row>
    <row r="8419" spans="8:8" hidden="1" x14ac:dyDescent="0.35">
      <c r="H8419" s="83">
        <f t="shared" si="178"/>
        <v>0</v>
      </c>
    </row>
    <row r="8420" spans="8:8" hidden="1" x14ac:dyDescent="0.35">
      <c r="H8420" s="83">
        <f t="shared" si="178"/>
        <v>0</v>
      </c>
    </row>
    <row r="8421" spans="8:8" hidden="1" x14ac:dyDescent="0.35">
      <c r="H8421" s="83">
        <f t="shared" si="178"/>
        <v>0</v>
      </c>
    </row>
    <row r="8422" spans="8:8" hidden="1" x14ac:dyDescent="0.35">
      <c r="H8422" s="83">
        <f t="shared" si="178"/>
        <v>0</v>
      </c>
    </row>
    <row r="8423" spans="8:8" hidden="1" x14ac:dyDescent="0.35">
      <c r="H8423" s="83">
        <f t="shared" si="178"/>
        <v>0</v>
      </c>
    </row>
    <row r="8424" spans="8:8" hidden="1" x14ac:dyDescent="0.35">
      <c r="H8424" s="83">
        <f t="shared" si="178"/>
        <v>0</v>
      </c>
    </row>
    <row r="8425" spans="8:8" hidden="1" x14ac:dyDescent="0.35">
      <c r="H8425" s="83">
        <f t="shared" si="178"/>
        <v>0</v>
      </c>
    </row>
    <row r="8426" spans="8:8" hidden="1" x14ac:dyDescent="0.35">
      <c r="H8426" s="83">
        <f t="shared" si="178"/>
        <v>0</v>
      </c>
    </row>
    <row r="8427" spans="8:8" hidden="1" x14ac:dyDescent="0.35">
      <c r="H8427" s="83">
        <f t="shared" si="178"/>
        <v>0</v>
      </c>
    </row>
    <row r="8428" spans="8:8" hidden="1" x14ac:dyDescent="0.35">
      <c r="H8428" s="83">
        <f t="shared" si="178"/>
        <v>0</v>
      </c>
    </row>
    <row r="8429" spans="8:8" hidden="1" x14ac:dyDescent="0.35">
      <c r="H8429" s="83">
        <f t="shared" si="178"/>
        <v>0</v>
      </c>
    </row>
    <row r="8430" spans="8:8" hidden="1" x14ac:dyDescent="0.35">
      <c r="H8430" s="83">
        <f t="shared" si="178"/>
        <v>0</v>
      </c>
    </row>
    <row r="8431" spans="8:8" hidden="1" x14ac:dyDescent="0.35">
      <c r="H8431" s="83">
        <f t="shared" si="178"/>
        <v>0</v>
      </c>
    </row>
    <row r="8432" spans="8:8" hidden="1" x14ac:dyDescent="0.35">
      <c r="H8432" s="83">
        <f t="shared" si="178"/>
        <v>0</v>
      </c>
    </row>
    <row r="8433" spans="8:8" hidden="1" x14ac:dyDescent="0.35">
      <c r="H8433" s="83">
        <f t="shared" si="178"/>
        <v>0</v>
      </c>
    </row>
    <row r="8434" spans="8:8" hidden="1" x14ac:dyDescent="0.35">
      <c r="H8434" s="83">
        <f t="shared" si="178"/>
        <v>0</v>
      </c>
    </row>
    <row r="8435" spans="8:8" hidden="1" x14ac:dyDescent="0.35">
      <c r="H8435" s="83">
        <f t="shared" si="178"/>
        <v>0</v>
      </c>
    </row>
    <row r="8436" spans="8:8" hidden="1" x14ac:dyDescent="0.35">
      <c r="H8436" s="83">
        <f t="shared" si="178"/>
        <v>0</v>
      </c>
    </row>
    <row r="8437" spans="8:8" hidden="1" x14ac:dyDescent="0.35">
      <c r="H8437" s="83">
        <f t="shared" si="178"/>
        <v>0</v>
      </c>
    </row>
    <row r="8438" spans="8:8" hidden="1" x14ac:dyDescent="0.35">
      <c r="H8438" s="83">
        <f t="shared" si="178"/>
        <v>0</v>
      </c>
    </row>
    <row r="8439" spans="8:8" hidden="1" x14ac:dyDescent="0.35">
      <c r="H8439" s="83">
        <f t="shared" si="178"/>
        <v>0</v>
      </c>
    </row>
    <row r="8440" spans="8:8" hidden="1" x14ac:dyDescent="0.35">
      <c r="H8440" s="83">
        <f t="shared" si="178"/>
        <v>0</v>
      </c>
    </row>
    <row r="8441" spans="8:8" hidden="1" x14ac:dyDescent="0.35">
      <c r="H8441" s="83">
        <f t="shared" si="178"/>
        <v>0</v>
      </c>
    </row>
    <row r="8442" spans="8:8" hidden="1" x14ac:dyDescent="0.35">
      <c r="H8442" s="83">
        <f t="shared" si="178"/>
        <v>0</v>
      </c>
    </row>
    <row r="8443" spans="8:8" hidden="1" x14ac:dyDescent="0.35">
      <c r="H8443" s="83">
        <f t="shared" si="178"/>
        <v>0</v>
      </c>
    </row>
    <row r="8444" spans="8:8" hidden="1" x14ac:dyDescent="0.35">
      <c r="H8444" s="83">
        <f t="shared" si="178"/>
        <v>0</v>
      </c>
    </row>
    <row r="8445" spans="8:8" hidden="1" x14ac:dyDescent="0.35">
      <c r="H8445" s="83">
        <f t="shared" si="178"/>
        <v>0</v>
      </c>
    </row>
    <row r="8446" spans="8:8" hidden="1" x14ac:dyDescent="0.35">
      <c r="H8446" s="83">
        <f t="shared" si="178"/>
        <v>0</v>
      </c>
    </row>
    <row r="8447" spans="8:8" hidden="1" x14ac:dyDescent="0.35">
      <c r="H8447" s="83">
        <f t="shared" si="178"/>
        <v>0</v>
      </c>
    </row>
    <row r="8448" spans="8:8" hidden="1" x14ac:dyDescent="0.35">
      <c r="H8448" s="83">
        <f t="shared" si="178"/>
        <v>0</v>
      </c>
    </row>
    <row r="8449" spans="8:8" hidden="1" x14ac:dyDescent="0.35">
      <c r="H8449" s="83">
        <f t="shared" si="178"/>
        <v>0</v>
      </c>
    </row>
    <row r="8450" spans="8:8" hidden="1" x14ac:dyDescent="0.35">
      <c r="H8450" s="83">
        <f t="shared" si="178"/>
        <v>0</v>
      </c>
    </row>
    <row r="8451" spans="8:8" hidden="1" x14ac:dyDescent="0.35">
      <c r="H8451" s="83">
        <f t="shared" si="178"/>
        <v>0</v>
      </c>
    </row>
    <row r="8452" spans="8:8" hidden="1" x14ac:dyDescent="0.35">
      <c r="H8452" s="83">
        <f t="shared" ref="H8452:H8515" si="179">J8452-I8452</f>
        <v>0</v>
      </c>
    </row>
    <row r="8453" spans="8:8" hidden="1" x14ac:dyDescent="0.35">
      <c r="H8453" s="83">
        <f t="shared" si="179"/>
        <v>0</v>
      </c>
    </row>
    <row r="8454" spans="8:8" hidden="1" x14ac:dyDescent="0.35">
      <c r="H8454" s="83">
        <f t="shared" si="179"/>
        <v>0</v>
      </c>
    </row>
    <row r="8455" spans="8:8" hidden="1" x14ac:dyDescent="0.35">
      <c r="H8455" s="83">
        <f t="shared" si="179"/>
        <v>0</v>
      </c>
    </row>
    <row r="8456" spans="8:8" hidden="1" x14ac:dyDescent="0.35">
      <c r="H8456" s="83">
        <f t="shared" si="179"/>
        <v>0</v>
      </c>
    </row>
    <row r="8457" spans="8:8" hidden="1" x14ac:dyDescent="0.35">
      <c r="H8457" s="83">
        <f t="shared" si="179"/>
        <v>0</v>
      </c>
    </row>
    <row r="8458" spans="8:8" hidden="1" x14ac:dyDescent="0.35">
      <c r="H8458" s="83">
        <f t="shared" si="179"/>
        <v>0</v>
      </c>
    </row>
    <row r="8459" spans="8:8" hidden="1" x14ac:dyDescent="0.35">
      <c r="H8459" s="83">
        <f t="shared" si="179"/>
        <v>0</v>
      </c>
    </row>
    <row r="8460" spans="8:8" hidden="1" x14ac:dyDescent="0.35">
      <c r="H8460" s="83">
        <f t="shared" si="179"/>
        <v>0</v>
      </c>
    </row>
    <row r="8461" spans="8:8" hidden="1" x14ac:dyDescent="0.35">
      <c r="H8461" s="83">
        <f t="shared" si="179"/>
        <v>0</v>
      </c>
    </row>
    <row r="8462" spans="8:8" hidden="1" x14ac:dyDescent="0.35">
      <c r="H8462" s="83">
        <f t="shared" si="179"/>
        <v>0</v>
      </c>
    </row>
    <row r="8463" spans="8:8" hidden="1" x14ac:dyDescent="0.35">
      <c r="H8463" s="83">
        <f t="shared" si="179"/>
        <v>0</v>
      </c>
    </row>
    <row r="8464" spans="8:8" hidden="1" x14ac:dyDescent="0.35">
      <c r="H8464" s="83">
        <f t="shared" si="179"/>
        <v>0</v>
      </c>
    </row>
    <row r="8465" spans="8:8" hidden="1" x14ac:dyDescent="0.35">
      <c r="H8465" s="83">
        <f t="shared" si="179"/>
        <v>0</v>
      </c>
    </row>
    <row r="8466" spans="8:8" hidden="1" x14ac:dyDescent="0.35">
      <c r="H8466" s="83">
        <f t="shared" si="179"/>
        <v>0</v>
      </c>
    </row>
    <row r="8467" spans="8:8" hidden="1" x14ac:dyDescent="0.35">
      <c r="H8467" s="83">
        <f t="shared" si="179"/>
        <v>0</v>
      </c>
    </row>
    <row r="8468" spans="8:8" hidden="1" x14ac:dyDescent="0.35">
      <c r="H8468" s="83">
        <f t="shared" si="179"/>
        <v>0</v>
      </c>
    </row>
    <row r="8469" spans="8:8" hidden="1" x14ac:dyDescent="0.35">
      <c r="H8469" s="83">
        <f t="shared" si="179"/>
        <v>0</v>
      </c>
    </row>
    <row r="8470" spans="8:8" hidden="1" x14ac:dyDescent="0.35">
      <c r="H8470" s="83">
        <f t="shared" si="179"/>
        <v>0</v>
      </c>
    </row>
    <row r="8471" spans="8:8" hidden="1" x14ac:dyDescent="0.35">
      <c r="H8471" s="83">
        <f t="shared" si="179"/>
        <v>0</v>
      </c>
    </row>
    <row r="8472" spans="8:8" hidden="1" x14ac:dyDescent="0.35">
      <c r="H8472" s="83">
        <f t="shared" si="179"/>
        <v>0</v>
      </c>
    </row>
    <row r="8473" spans="8:8" hidden="1" x14ac:dyDescent="0.35">
      <c r="H8473" s="83">
        <f t="shared" si="179"/>
        <v>0</v>
      </c>
    </row>
    <row r="8474" spans="8:8" hidden="1" x14ac:dyDescent="0.35">
      <c r="H8474" s="83">
        <f t="shared" si="179"/>
        <v>0</v>
      </c>
    </row>
    <row r="8475" spans="8:8" hidden="1" x14ac:dyDescent="0.35">
      <c r="H8475" s="83">
        <f t="shared" si="179"/>
        <v>0</v>
      </c>
    </row>
    <row r="8476" spans="8:8" hidden="1" x14ac:dyDescent="0.35">
      <c r="H8476" s="83">
        <f t="shared" si="179"/>
        <v>0</v>
      </c>
    </row>
    <row r="8477" spans="8:8" hidden="1" x14ac:dyDescent="0.35">
      <c r="H8477" s="83">
        <f t="shared" si="179"/>
        <v>0</v>
      </c>
    </row>
    <row r="8478" spans="8:8" hidden="1" x14ac:dyDescent="0.35">
      <c r="H8478" s="83">
        <f t="shared" si="179"/>
        <v>0</v>
      </c>
    </row>
    <row r="8479" spans="8:8" hidden="1" x14ac:dyDescent="0.35">
      <c r="H8479" s="83">
        <f t="shared" si="179"/>
        <v>0</v>
      </c>
    </row>
    <row r="8480" spans="8:8" hidden="1" x14ac:dyDescent="0.35">
      <c r="H8480" s="83">
        <f t="shared" si="179"/>
        <v>0</v>
      </c>
    </row>
    <row r="8481" spans="8:8" hidden="1" x14ac:dyDescent="0.35">
      <c r="H8481" s="83">
        <f t="shared" si="179"/>
        <v>0</v>
      </c>
    </row>
    <row r="8482" spans="8:8" hidden="1" x14ac:dyDescent="0.35">
      <c r="H8482" s="83">
        <f t="shared" si="179"/>
        <v>0</v>
      </c>
    </row>
    <row r="8483" spans="8:8" hidden="1" x14ac:dyDescent="0.35">
      <c r="H8483" s="83">
        <f t="shared" si="179"/>
        <v>0</v>
      </c>
    </row>
    <row r="8484" spans="8:8" hidden="1" x14ac:dyDescent="0.35">
      <c r="H8484" s="83">
        <f t="shared" si="179"/>
        <v>0</v>
      </c>
    </row>
    <row r="8485" spans="8:8" hidden="1" x14ac:dyDescent="0.35">
      <c r="H8485" s="83">
        <f t="shared" si="179"/>
        <v>0</v>
      </c>
    </row>
    <row r="8486" spans="8:8" hidden="1" x14ac:dyDescent="0.35">
      <c r="H8486" s="83">
        <f t="shared" si="179"/>
        <v>0</v>
      </c>
    </row>
    <row r="8487" spans="8:8" hidden="1" x14ac:dyDescent="0.35">
      <c r="H8487" s="83">
        <f t="shared" si="179"/>
        <v>0</v>
      </c>
    </row>
    <row r="8488" spans="8:8" hidden="1" x14ac:dyDescent="0.35">
      <c r="H8488" s="83">
        <f t="shared" si="179"/>
        <v>0</v>
      </c>
    </row>
    <row r="8489" spans="8:8" hidden="1" x14ac:dyDescent="0.35">
      <c r="H8489" s="83">
        <f t="shared" si="179"/>
        <v>0</v>
      </c>
    </row>
    <row r="8490" spans="8:8" hidden="1" x14ac:dyDescent="0.35">
      <c r="H8490" s="83">
        <f t="shared" si="179"/>
        <v>0</v>
      </c>
    </row>
    <row r="8491" spans="8:8" hidden="1" x14ac:dyDescent="0.35">
      <c r="H8491" s="83">
        <f t="shared" si="179"/>
        <v>0</v>
      </c>
    </row>
    <row r="8492" spans="8:8" hidden="1" x14ac:dyDescent="0.35">
      <c r="H8492" s="83">
        <f t="shared" si="179"/>
        <v>0</v>
      </c>
    </row>
    <row r="8493" spans="8:8" hidden="1" x14ac:dyDescent="0.35">
      <c r="H8493" s="83">
        <f t="shared" si="179"/>
        <v>0</v>
      </c>
    </row>
    <row r="8494" spans="8:8" hidden="1" x14ac:dyDescent="0.35">
      <c r="H8494" s="83">
        <f t="shared" si="179"/>
        <v>0</v>
      </c>
    </row>
    <row r="8495" spans="8:8" hidden="1" x14ac:dyDescent="0.35">
      <c r="H8495" s="83">
        <f t="shared" si="179"/>
        <v>0</v>
      </c>
    </row>
    <row r="8496" spans="8:8" hidden="1" x14ac:dyDescent="0.35">
      <c r="H8496" s="83">
        <f t="shared" si="179"/>
        <v>0</v>
      </c>
    </row>
    <row r="8497" spans="8:8" hidden="1" x14ac:dyDescent="0.35">
      <c r="H8497" s="83">
        <f t="shared" si="179"/>
        <v>0</v>
      </c>
    </row>
    <row r="8498" spans="8:8" hidden="1" x14ac:dyDescent="0.35">
      <c r="H8498" s="83">
        <f t="shared" si="179"/>
        <v>0</v>
      </c>
    </row>
    <row r="8499" spans="8:8" hidden="1" x14ac:dyDescent="0.35">
      <c r="H8499" s="83">
        <f t="shared" si="179"/>
        <v>0</v>
      </c>
    </row>
    <row r="8500" spans="8:8" hidden="1" x14ac:dyDescent="0.35">
      <c r="H8500" s="83">
        <f t="shared" si="179"/>
        <v>0</v>
      </c>
    </row>
    <row r="8501" spans="8:8" hidden="1" x14ac:dyDescent="0.35">
      <c r="H8501" s="83">
        <f t="shared" si="179"/>
        <v>0</v>
      </c>
    </row>
    <row r="8502" spans="8:8" hidden="1" x14ac:dyDescent="0.35">
      <c r="H8502" s="83">
        <f t="shared" si="179"/>
        <v>0</v>
      </c>
    </row>
    <row r="8503" spans="8:8" hidden="1" x14ac:dyDescent="0.35">
      <c r="H8503" s="83">
        <f t="shared" si="179"/>
        <v>0</v>
      </c>
    </row>
    <row r="8504" spans="8:8" hidden="1" x14ac:dyDescent="0.35">
      <c r="H8504" s="83">
        <f t="shared" si="179"/>
        <v>0</v>
      </c>
    </row>
    <row r="8505" spans="8:8" hidden="1" x14ac:dyDescent="0.35">
      <c r="H8505" s="83">
        <f t="shared" si="179"/>
        <v>0</v>
      </c>
    </row>
    <row r="8506" spans="8:8" hidden="1" x14ac:dyDescent="0.35">
      <c r="H8506" s="83">
        <f t="shared" si="179"/>
        <v>0</v>
      </c>
    </row>
    <row r="8507" spans="8:8" hidden="1" x14ac:dyDescent="0.35">
      <c r="H8507" s="83">
        <f t="shared" si="179"/>
        <v>0</v>
      </c>
    </row>
    <row r="8508" spans="8:8" hidden="1" x14ac:dyDescent="0.35">
      <c r="H8508" s="83">
        <f t="shared" si="179"/>
        <v>0</v>
      </c>
    </row>
    <row r="8509" spans="8:8" hidden="1" x14ac:dyDescent="0.35">
      <c r="H8509" s="83">
        <f t="shared" si="179"/>
        <v>0</v>
      </c>
    </row>
    <row r="8510" spans="8:8" hidden="1" x14ac:dyDescent="0.35">
      <c r="H8510" s="83">
        <f t="shared" si="179"/>
        <v>0</v>
      </c>
    </row>
    <row r="8511" spans="8:8" hidden="1" x14ac:dyDescent="0.35">
      <c r="H8511" s="83">
        <f t="shared" si="179"/>
        <v>0</v>
      </c>
    </row>
    <row r="8512" spans="8:8" hidden="1" x14ac:dyDescent="0.35">
      <c r="H8512" s="83">
        <f t="shared" si="179"/>
        <v>0</v>
      </c>
    </row>
    <row r="8513" spans="8:8" hidden="1" x14ac:dyDescent="0.35">
      <c r="H8513" s="83">
        <f t="shared" si="179"/>
        <v>0</v>
      </c>
    </row>
    <row r="8514" spans="8:8" hidden="1" x14ac:dyDescent="0.35">
      <c r="H8514" s="83">
        <f t="shared" si="179"/>
        <v>0</v>
      </c>
    </row>
    <row r="8515" spans="8:8" hidden="1" x14ac:dyDescent="0.35">
      <c r="H8515" s="83">
        <f t="shared" si="179"/>
        <v>0</v>
      </c>
    </row>
    <row r="8516" spans="8:8" hidden="1" x14ac:dyDescent="0.35">
      <c r="H8516" s="83">
        <f t="shared" ref="H8516:H8579" si="180">J8516-I8516</f>
        <v>0</v>
      </c>
    </row>
    <row r="8517" spans="8:8" hidden="1" x14ac:dyDescent="0.35">
      <c r="H8517" s="83">
        <f t="shared" si="180"/>
        <v>0</v>
      </c>
    </row>
    <row r="8518" spans="8:8" hidden="1" x14ac:dyDescent="0.35">
      <c r="H8518" s="83">
        <f t="shared" si="180"/>
        <v>0</v>
      </c>
    </row>
    <row r="8519" spans="8:8" hidden="1" x14ac:dyDescent="0.35">
      <c r="H8519" s="83">
        <f t="shared" si="180"/>
        <v>0</v>
      </c>
    </row>
    <row r="8520" spans="8:8" hidden="1" x14ac:dyDescent="0.35">
      <c r="H8520" s="83">
        <f t="shared" si="180"/>
        <v>0</v>
      </c>
    </row>
    <row r="8521" spans="8:8" hidden="1" x14ac:dyDescent="0.35">
      <c r="H8521" s="83">
        <f t="shared" si="180"/>
        <v>0</v>
      </c>
    </row>
    <row r="8522" spans="8:8" hidden="1" x14ac:dyDescent="0.35">
      <c r="H8522" s="83">
        <f t="shared" si="180"/>
        <v>0</v>
      </c>
    </row>
    <row r="8523" spans="8:8" hidden="1" x14ac:dyDescent="0.35">
      <c r="H8523" s="83">
        <f t="shared" si="180"/>
        <v>0</v>
      </c>
    </row>
    <row r="8524" spans="8:8" hidden="1" x14ac:dyDescent="0.35">
      <c r="H8524" s="83">
        <f t="shared" si="180"/>
        <v>0</v>
      </c>
    </row>
    <row r="8525" spans="8:8" hidden="1" x14ac:dyDescent="0.35">
      <c r="H8525" s="83">
        <f t="shared" si="180"/>
        <v>0</v>
      </c>
    </row>
    <row r="8526" spans="8:8" hidden="1" x14ac:dyDescent="0.35">
      <c r="H8526" s="83">
        <f t="shared" si="180"/>
        <v>0</v>
      </c>
    </row>
    <row r="8527" spans="8:8" hidden="1" x14ac:dyDescent="0.35">
      <c r="H8527" s="83">
        <f t="shared" si="180"/>
        <v>0</v>
      </c>
    </row>
    <row r="8528" spans="8:8" hidden="1" x14ac:dyDescent="0.35">
      <c r="H8528" s="83">
        <f t="shared" si="180"/>
        <v>0</v>
      </c>
    </row>
    <row r="8529" spans="8:8" hidden="1" x14ac:dyDescent="0.35">
      <c r="H8529" s="83">
        <f t="shared" si="180"/>
        <v>0</v>
      </c>
    </row>
    <row r="8530" spans="8:8" hidden="1" x14ac:dyDescent="0.35">
      <c r="H8530" s="83">
        <f t="shared" si="180"/>
        <v>0</v>
      </c>
    </row>
    <row r="8531" spans="8:8" hidden="1" x14ac:dyDescent="0.35">
      <c r="H8531" s="83">
        <f t="shared" si="180"/>
        <v>0</v>
      </c>
    </row>
    <row r="8532" spans="8:8" hidden="1" x14ac:dyDescent="0.35">
      <c r="H8532" s="83">
        <f t="shared" si="180"/>
        <v>0</v>
      </c>
    </row>
    <row r="8533" spans="8:8" hidden="1" x14ac:dyDescent="0.35">
      <c r="H8533" s="83">
        <f t="shared" si="180"/>
        <v>0</v>
      </c>
    </row>
    <row r="8534" spans="8:8" hidden="1" x14ac:dyDescent="0.35">
      <c r="H8534" s="83">
        <f t="shared" si="180"/>
        <v>0</v>
      </c>
    </row>
    <row r="8535" spans="8:8" hidden="1" x14ac:dyDescent="0.35">
      <c r="H8535" s="83">
        <f t="shared" si="180"/>
        <v>0</v>
      </c>
    </row>
    <row r="8536" spans="8:8" hidden="1" x14ac:dyDescent="0.35">
      <c r="H8536" s="83">
        <f t="shared" si="180"/>
        <v>0</v>
      </c>
    </row>
    <row r="8537" spans="8:8" hidden="1" x14ac:dyDescent="0.35">
      <c r="H8537" s="83">
        <f t="shared" si="180"/>
        <v>0</v>
      </c>
    </row>
    <row r="8538" spans="8:8" hidden="1" x14ac:dyDescent="0.35">
      <c r="H8538" s="83">
        <f t="shared" si="180"/>
        <v>0</v>
      </c>
    </row>
    <row r="8539" spans="8:8" hidden="1" x14ac:dyDescent="0.35">
      <c r="H8539" s="83">
        <f t="shared" si="180"/>
        <v>0</v>
      </c>
    </row>
    <row r="8540" spans="8:8" hidden="1" x14ac:dyDescent="0.35">
      <c r="H8540" s="83">
        <f t="shared" si="180"/>
        <v>0</v>
      </c>
    </row>
    <row r="8541" spans="8:8" hidden="1" x14ac:dyDescent="0.35">
      <c r="H8541" s="83">
        <f t="shared" si="180"/>
        <v>0</v>
      </c>
    </row>
    <row r="8542" spans="8:8" hidden="1" x14ac:dyDescent="0.35">
      <c r="H8542" s="83">
        <f t="shared" si="180"/>
        <v>0</v>
      </c>
    </row>
    <row r="8543" spans="8:8" hidden="1" x14ac:dyDescent="0.35">
      <c r="H8543" s="83">
        <f t="shared" si="180"/>
        <v>0</v>
      </c>
    </row>
    <row r="8544" spans="8:8" hidden="1" x14ac:dyDescent="0.35">
      <c r="H8544" s="83">
        <f t="shared" si="180"/>
        <v>0</v>
      </c>
    </row>
    <row r="8545" spans="8:8" hidden="1" x14ac:dyDescent="0.35">
      <c r="H8545" s="83">
        <f t="shared" si="180"/>
        <v>0</v>
      </c>
    </row>
    <row r="8546" spans="8:8" hidden="1" x14ac:dyDescent="0.35">
      <c r="H8546" s="83">
        <f t="shared" si="180"/>
        <v>0</v>
      </c>
    </row>
    <row r="8547" spans="8:8" hidden="1" x14ac:dyDescent="0.35">
      <c r="H8547" s="83">
        <f t="shared" si="180"/>
        <v>0</v>
      </c>
    </row>
    <row r="8548" spans="8:8" hidden="1" x14ac:dyDescent="0.35">
      <c r="H8548" s="83">
        <f t="shared" si="180"/>
        <v>0</v>
      </c>
    </row>
    <row r="8549" spans="8:8" hidden="1" x14ac:dyDescent="0.35">
      <c r="H8549" s="83">
        <f t="shared" si="180"/>
        <v>0</v>
      </c>
    </row>
    <row r="8550" spans="8:8" hidden="1" x14ac:dyDescent="0.35">
      <c r="H8550" s="83">
        <f t="shared" si="180"/>
        <v>0</v>
      </c>
    </row>
    <row r="8551" spans="8:8" hidden="1" x14ac:dyDescent="0.35">
      <c r="H8551" s="83">
        <f t="shared" si="180"/>
        <v>0</v>
      </c>
    </row>
    <row r="8552" spans="8:8" hidden="1" x14ac:dyDescent="0.35">
      <c r="H8552" s="83">
        <f t="shared" si="180"/>
        <v>0</v>
      </c>
    </row>
    <row r="8553" spans="8:8" hidden="1" x14ac:dyDescent="0.35">
      <c r="H8553" s="83">
        <f t="shared" si="180"/>
        <v>0</v>
      </c>
    </row>
    <row r="8554" spans="8:8" hidden="1" x14ac:dyDescent="0.35">
      <c r="H8554" s="83">
        <f t="shared" si="180"/>
        <v>0</v>
      </c>
    </row>
    <row r="8555" spans="8:8" hidden="1" x14ac:dyDescent="0.35">
      <c r="H8555" s="83">
        <f t="shared" si="180"/>
        <v>0</v>
      </c>
    </row>
    <row r="8556" spans="8:8" hidden="1" x14ac:dyDescent="0.35">
      <c r="H8556" s="83">
        <f t="shared" si="180"/>
        <v>0</v>
      </c>
    </row>
    <row r="8557" spans="8:8" hidden="1" x14ac:dyDescent="0.35">
      <c r="H8557" s="83">
        <f t="shared" si="180"/>
        <v>0</v>
      </c>
    </row>
    <row r="8558" spans="8:8" hidden="1" x14ac:dyDescent="0.35">
      <c r="H8558" s="83">
        <f t="shared" si="180"/>
        <v>0</v>
      </c>
    </row>
    <row r="8559" spans="8:8" hidden="1" x14ac:dyDescent="0.35">
      <c r="H8559" s="83">
        <f t="shared" si="180"/>
        <v>0</v>
      </c>
    </row>
    <row r="8560" spans="8:8" hidden="1" x14ac:dyDescent="0.35">
      <c r="H8560" s="83">
        <f t="shared" si="180"/>
        <v>0</v>
      </c>
    </row>
    <row r="8561" spans="8:8" hidden="1" x14ac:dyDescent="0.35">
      <c r="H8561" s="83">
        <f t="shared" si="180"/>
        <v>0</v>
      </c>
    </row>
    <row r="8562" spans="8:8" hidden="1" x14ac:dyDescent="0.35">
      <c r="H8562" s="83">
        <f t="shared" si="180"/>
        <v>0</v>
      </c>
    </row>
    <row r="8563" spans="8:8" hidden="1" x14ac:dyDescent="0.35">
      <c r="H8563" s="83">
        <f t="shared" si="180"/>
        <v>0</v>
      </c>
    </row>
    <row r="8564" spans="8:8" hidden="1" x14ac:dyDescent="0.35">
      <c r="H8564" s="83">
        <f t="shared" si="180"/>
        <v>0</v>
      </c>
    </row>
    <row r="8565" spans="8:8" hidden="1" x14ac:dyDescent="0.35">
      <c r="H8565" s="83">
        <f t="shared" si="180"/>
        <v>0</v>
      </c>
    </row>
    <row r="8566" spans="8:8" hidden="1" x14ac:dyDescent="0.35">
      <c r="H8566" s="83">
        <f t="shared" si="180"/>
        <v>0</v>
      </c>
    </row>
    <row r="8567" spans="8:8" hidden="1" x14ac:dyDescent="0.35">
      <c r="H8567" s="83">
        <f t="shared" si="180"/>
        <v>0</v>
      </c>
    </row>
    <row r="8568" spans="8:8" hidden="1" x14ac:dyDescent="0.35">
      <c r="H8568" s="83">
        <f t="shared" si="180"/>
        <v>0</v>
      </c>
    </row>
    <row r="8569" spans="8:8" hidden="1" x14ac:dyDescent="0.35">
      <c r="H8569" s="83">
        <f t="shared" si="180"/>
        <v>0</v>
      </c>
    </row>
    <row r="8570" spans="8:8" hidden="1" x14ac:dyDescent="0.35">
      <c r="H8570" s="83">
        <f t="shared" si="180"/>
        <v>0</v>
      </c>
    </row>
    <row r="8571" spans="8:8" hidden="1" x14ac:dyDescent="0.35">
      <c r="H8571" s="83">
        <f t="shared" si="180"/>
        <v>0</v>
      </c>
    </row>
    <row r="8572" spans="8:8" hidden="1" x14ac:dyDescent="0.35">
      <c r="H8572" s="83">
        <f t="shared" si="180"/>
        <v>0</v>
      </c>
    </row>
    <row r="8573" spans="8:8" hidden="1" x14ac:dyDescent="0.35">
      <c r="H8573" s="83">
        <f t="shared" si="180"/>
        <v>0</v>
      </c>
    </row>
    <row r="8574" spans="8:8" hidden="1" x14ac:dyDescent="0.35">
      <c r="H8574" s="83">
        <f t="shared" si="180"/>
        <v>0</v>
      </c>
    </row>
    <row r="8575" spans="8:8" hidden="1" x14ac:dyDescent="0.35">
      <c r="H8575" s="83">
        <f t="shared" si="180"/>
        <v>0</v>
      </c>
    </row>
    <row r="8576" spans="8:8" hidden="1" x14ac:dyDescent="0.35">
      <c r="H8576" s="83">
        <f t="shared" si="180"/>
        <v>0</v>
      </c>
    </row>
    <row r="8577" spans="8:8" hidden="1" x14ac:dyDescent="0.35">
      <c r="H8577" s="83">
        <f t="shared" si="180"/>
        <v>0</v>
      </c>
    </row>
    <row r="8578" spans="8:8" hidden="1" x14ac:dyDescent="0.35">
      <c r="H8578" s="83">
        <f t="shared" si="180"/>
        <v>0</v>
      </c>
    </row>
    <row r="8579" spans="8:8" hidden="1" x14ac:dyDescent="0.35">
      <c r="H8579" s="83">
        <f t="shared" si="180"/>
        <v>0</v>
      </c>
    </row>
    <row r="8580" spans="8:8" hidden="1" x14ac:dyDescent="0.35">
      <c r="H8580" s="83">
        <f t="shared" ref="H8580:H8643" si="181">J8580-I8580</f>
        <v>0</v>
      </c>
    </row>
    <row r="8581" spans="8:8" hidden="1" x14ac:dyDescent="0.35">
      <c r="H8581" s="83">
        <f t="shared" si="181"/>
        <v>0</v>
      </c>
    </row>
    <row r="8582" spans="8:8" hidden="1" x14ac:dyDescent="0.35">
      <c r="H8582" s="83">
        <f t="shared" si="181"/>
        <v>0</v>
      </c>
    </row>
    <row r="8583" spans="8:8" hidden="1" x14ac:dyDescent="0.35">
      <c r="H8583" s="83">
        <f t="shared" si="181"/>
        <v>0</v>
      </c>
    </row>
    <row r="8584" spans="8:8" hidden="1" x14ac:dyDescent="0.35">
      <c r="H8584" s="83">
        <f t="shared" si="181"/>
        <v>0</v>
      </c>
    </row>
    <row r="8585" spans="8:8" hidden="1" x14ac:dyDescent="0.35">
      <c r="H8585" s="83">
        <f t="shared" si="181"/>
        <v>0</v>
      </c>
    </row>
    <row r="8586" spans="8:8" hidden="1" x14ac:dyDescent="0.35">
      <c r="H8586" s="83">
        <f t="shared" si="181"/>
        <v>0</v>
      </c>
    </row>
    <row r="8587" spans="8:8" hidden="1" x14ac:dyDescent="0.35">
      <c r="H8587" s="83">
        <f t="shared" si="181"/>
        <v>0</v>
      </c>
    </row>
    <row r="8588" spans="8:8" hidden="1" x14ac:dyDescent="0.35">
      <c r="H8588" s="83">
        <f t="shared" si="181"/>
        <v>0</v>
      </c>
    </row>
    <row r="8589" spans="8:8" hidden="1" x14ac:dyDescent="0.35">
      <c r="H8589" s="83">
        <f t="shared" si="181"/>
        <v>0</v>
      </c>
    </row>
    <row r="8590" spans="8:8" hidden="1" x14ac:dyDescent="0.35">
      <c r="H8590" s="83">
        <f t="shared" si="181"/>
        <v>0</v>
      </c>
    </row>
    <row r="8591" spans="8:8" hidden="1" x14ac:dyDescent="0.35">
      <c r="H8591" s="83">
        <f t="shared" si="181"/>
        <v>0</v>
      </c>
    </row>
    <row r="8592" spans="8:8" hidden="1" x14ac:dyDescent="0.35">
      <c r="H8592" s="83">
        <f t="shared" si="181"/>
        <v>0</v>
      </c>
    </row>
    <row r="8593" spans="8:8" hidden="1" x14ac:dyDescent="0.35">
      <c r="H8593" s="83">
        <f t="shared" si="181"/>
        <v>0</v>
      </c>
    </row>
    <row r="8594" spans="8:8" hidden="1" x14ac:dyDescent="0.35">
      <c r="H8594" s="83">
        <f t="shared" si="181"/>
        <v>0</v>
      </c>
    </row>
    <row r="8595" spans="8:8" hidden="1" x14ac:dyDescent="0.35">
      <c r="H8595" s="83">
        <f t="shared" si="181"/>
        <v>0</v>
      </c>
    </row>
    <row r="8596" spans="8:8" hidden="1" x14ac:dyDescent="0.35">
      <c r="H8596" s="83">
        <f t="shared" si="181"/>
        <v>0</v>
      </c>
    </row>
    <row r="8597" spans="8:8" hidden="1" x14ac:dyDescent="0.35">
      <c r="H8597" s="83">
        <f t="shared" si="181"/>
        <v>0</v>
      </c>
    </row>
    <row r="8598" spans="8:8" hidden="1" x14ac:dyDescent="0.35">
      <c r="H8598" s="83">
        <f t="shared" si="181"/>
        <v>0</v>
      </c>
    </row>
    <row r="8599" spans="8:8" hidden="1" x14ac:dyDescent="0.35">
      <c r="H8599" s="83">
        <f t="shared" si="181"/>
        <v>0</v>
      </c>
    </row>
    <row r="8600" spans="8:8" hidden="1" x14ac:dyDescent="0.35">
      <c r="H8600" s="83">
        <f t="shared" si="181"/>
        <v>0</v>
      </c>
    </row>
    <row r="8601" spans="8:8" hidden="1" x14ac:dyDescent="0.35">
      <c r="H8601" s="83">
        <f t="shared" si="181"/>
        <v>0</v>
      </c>
    </row>
    <row r="8602" spans="8:8" hidden="1" x14ac:dyDescent="0.35">
      <c r="H8602" s="83">
        <f t="shared" si="181"/>
        <v>0</v>
      </c>
    </row>
    <row r="8603" spans="8:8" hidden="1" x14ac:dyDescent="0.35">
      <c r="H8603" s="83">
        <f t="shared" si="181"/>
        <v>0</v>
      </c>
    </row>
    <row r="8604" spans="8:8" hidden="1" x14ac:dyDescent="0.35">
      <c r="H8604" s="83">
        <f t="shared" si="181"/>
        <v>0</v>
      </c>
    </row>
    <row r="8605" spans="8:8" hidden="1" x14ac:dyDescent="0.35">
      <c r="H8605" s="83">
        <f t="shared" si="181"/>
        <v>0</v>
      </c>
    </row>
    <row r="8606" spans="8:8" hidden="1" x14ac:dyDescent="0.35">
      <c r="H8606" s="83">
        <f t="shared" si="181"/>
        <v>0</v>
      </c>
    </row>
    <row r="8607" spans="8:8" hidden="1" x14ac:dyDescent="0.35">
      <c r="H8607" s="83">
        <f t="shared" si="181"/>
        <v>0</v>
      </c>
    </row>
    <row r="8608" spans="8:8" hidden="1" x14ac:dyDescent="0.35">
      <c r="H8608" s="83">
        <f t="shared" si="181"/>
        <v>0</v>
      </c>
    </row>
    <row r="8609" spans="8:8" hidden="1" x14ac:dyDescent="0.35">
      <c r="H8609" s="83">
        <f t="shared" si="181"/>
        <v>0</v>
      </c>
    </row>
    <row r="8610" spans="8:8" hidden="1" x14ac:dyDescent="0.35">
      <c r="H8610" s="83">
        <f t="shared" si="181"/>
        <v>0</v>
      </c>
    </row>
    <row r="8611" spans="8:8" hidden="1" x14ac:dyDescent="0.35">
      <c r="H8611" s="83">
        <f t="shared" si="181"/>
        <v>0</v>
      </c>
    </row>
    <row r="8612" spans="8:8" hidden="1" x14ac:dyDescent="0.35">
      <c r="H8612" s="83">
        <f t="shared" si="181"/>
        <v>0</v>
      </c>
    </row>
    <row r="8613" spans="8:8" hidden="1" x14ac:dyDescent="0.35">
      <c r="H8613" s="83">
        <f t="shared" si="181"/>
        <v>0</v>
      </c>
    </row>
    <row r="8614" spans="8:8" hidden="1" x14ac:dyDescent="0.35">
      <c r="H8614" s="83">
        <f t="shared" si="181"/>
        <v>0</v>
      </c>
    </row>
    <row r="8615" spans="8:8" hidden="1" x14ac:dyDescent="0.35">
      <c r="H8615" s="83">
        <f t="shared" si="181"/>
        <v>0</v>
      </c>
    </row>
    <row r="8616" spans="8:8" hidden="1" x14ac:dyDescent="0.35">
      <c r="H8616" s="83">
        <f t="shared" si="181"/>
        <v>0</v>
      </c>
    </row>
    <row r="8617" spans="8:8" hidden="1" x14ac:dyDescent="0.35">
      <c r="H8617" s="83">
        <f t="shared" si="181"/>
        <v>0</v>
      </c>
    </row>
    <row r="8618" spans="8:8" hidden="1" x14ac:dyDescent="0.35">
      <c r="H8618" s="83">
        <f t="shared" si="181"/>
        <v>0</v>
      </c>
    </row>
    <row r="8619" spans="8:8" hidden="1" x14ac:dyDescent="0.35">
      <c r="H8619" s="83">
        <f t="shared" si="181"/>
        <v>0</v>
      </c>
    </row>
    <row r="8620" spans="8:8" hidden="1" x14ac:dyDescent="0.35">
      <c r="H8620" s="83">
        <f t="shared" si="181"/>
        <v>0</v>
      </c>
    </row>
    <row r="8621" spans="8:8" hidden="1" x14ac:dyDescent="0.35">
      <c r="H8621" s="83">
        <f t="shared" si="181"/>
        <v>0</v>
      </c>
    </row>
    <row r="8622" spans="8:8" hidden="1" x14ac:dyDescent="0.35">
      <c r="H8622" s="83">
        <f t="shared" si="181"/>
        <v>0</v>
      </c>
    </row>
    <row r="8623" spans="8:8" hidden="1" x14ac:dyDescent="0.35">
      <c r="H8623" s="83">
        <f t="shared" si="181"/>
        <v>0</v>
      </c>
    </row>
    <row r="8624" spans="8:8" hidden="1" x14ac:dyDescent="0.35">
      <c r="H8624" s="83">
        <f t="shared" si="181"/>
        <v>0</v>
      </c>
    </row>
    <row r="8625" spans="8:8" hidden="1" x14ac:dyDescent="0.35">
      <c r="H8625" s="83">
        <f t="shared" si="181"/>
        <v>0</v>
      </c>
    </row>
    <row r="8626" spans="8:8" hidden="1" x14ac:dyDescent="0.35">
      <c r="H8626" s="83">
        <f t="shared" si="181"/>
        <v>0</v>
      </c>
    </row>
    <row r="8627" spans="8:8" hidden="1" x14ac:dyDescent="0.35">
      <c r="H8627" s="83">
        <f t="shared" si="181"/>
        <v>0</v>
      </c>
    </row>
    <row r="8628" spans="8:8" hidden="1" x14ac:dyDescent="0.35">
      <c r="H8628" s="83">
        <f t="shared" si="181"/>
        <v>0</v>
      </c>
    </row>
    <row r="8629" spans="8:8" hidden="1" x14ac:dyDescent="0.35">
      <c r="H8629" s="83">
        <f t="shared" si="181"/>
        <v>0</v>
      </c>
    </row>
    <row r="8630" spans="8:8" hidden="1" x14ac:dyDescent="0.35">
      <c r="H8630" s="83">
        <f t="shared" si="181"/>
        <v>0</v>
      </c>
    </row>
    <row r="8631" spans="8:8" hidden="1" x14ac:dyDescent="0.35">
      <c r="H8631" s="83">
        <f t="shared" si="181"/>
        <v>0</v>
      </c>
    </row>
    <row r="8632" spans="8:8" hidden="1" x14ac:dyDescent="0.35">
      <c r="H8632" s="83">
        <f t="shared" si="181"/>
        <v>0</v>
      </c>
    </row>
    <row r="8633" spans="8:8" hidden="1" x14ac:dyDescent="0.35">
      <c r="H8633" s="83">
        <f t="shared" si="181"/>
        <v>0</v>
      </c>
    </row>
    <row r="8634" spans="8:8" hidden="1" x14ac:dyDescent="0.35">
      <c r="H8634" s="83">
        <f t="shared" si="181"/>
        <v>0</v>
      </c>
    </row>
    <row r="8635" spans="8:8" hidden="1" x14ac:dyDescent="0.35">
      <c r="H8635" s="83">
        <f t="shared" si="181"/>
        <v>0</v>
      </c>
    </row>
    <row r="8636" spans="8:8" hidden="1" x14ac:dyDescent="0.35">
      <c r="H8636" s="83">
        <f t="shared" si="181"/>
        <v>0</v>
      </c>
    </row>
    <row r="8637" spans="8:8" hidden="1" x14ac:dyDescent="0.35">
      <c r="H8637" s="83">
        <f t="shared" si="181"/>
        <v>0</v>
      </c>
    </row>
    <row r="8638" spans="8:8" hidden="1" x14ac:dyDescent="0.35">
      <c r="H8638" s="83">
        <f t="shared" si="181"/>
        <v>0</v>
      </c>
    </row>
    <row r="8639" spans="8:8" hidden="1" x14ac:dyDescent="0.35">
      <c r="H8639" s="83">
        <f t="shared" si="181"/>
        <v>0</v>
      </c>
    </row>
    <row r="8640" spans="8:8" hidden="1" x14ac:dyDescent="0.35">
      <c r="H8640" s="83">
        <f t="shared" si="181"/>
        <v>0</v>
      </c>
    </row>
    <row r="8641" spans="8:8" hidden="1" x14ac:dyDescent="0.35">
      <c r="H8641" s="83">
        <f t="shared" si="181"/>
        <v>0</v>
      </c>
    </row>
    <row r="8642" spans="8:8" hidden="1" x14ac:dyDescent="0.35">
      <c r="H8642" s="83">
        <f t="shared" si="181"/>
        <v>0</v>
      </c>
    </row>
    <row r="8643" spans="8:8" hidden="1" x14ac:dyDescent="0.35">
      <c r="H8643" s="83">
        <f t="shared" si="181"/>
        <v>0</v>
      </c>
    </row>
    <row r="8644" spans="8:8" hidden="1" x14ac:dyDescent="0.35">
      <c r="H8644" s="83">
        <f t="shared" ref="H8644:H8707" si="182">J8644-I8644</f>
        <v>0</v>
      </c>
    </row>
    <row r="8645" spans="8:8" hidden="1" x14ac:dyDescent="0.35">
      <c r="H8645" s="83">
        <f t="shared" si="182"/>
        <v>0</v>
      </c>
    </row>
    <row r="8646" spans="8:8" hidden="1" x14ac:dyDescent="0.35">
      <c r="H8646" s="83">
        <f t="shared" si="182"/>
        <v>0</v>
      </c>
    </row>
    <row r="8647" spans="8:8" hidden="1" x14ac:dyDescent="0.35">
      <c r="H8647" s="83">
        <f t="shared" si="182"/>
        <v>0</v>
      </c>
    </row>
    <row r="8648" spans="8:8" hidden="1" x14ac:dyDescent="0.35">
      <c r="H8648" s="83">
        <f t="shared" si="182"/>
        <v>0</v>
      </c>
    </row>
    <row r="8649" spans="8:8" hidden="1" x14ac:dyDescent="0.35">
      <c r="H8649" s="83">
        <f t="shared" si="182"/>
        <v>0</v>
      </c>
    </row>
    <row r="8650" spans="8:8" hidden="1" x14ac:dyDescent="0.35">
      <c r="H8650" s="83">
        <f t="shared" si="182"/>
        <v>0</v>
      </c>
    </row>
    <row r="8651" spans="8:8" hidden="1" x14ac:dyDescent="0.35">
      <c r="H8651" s="83">
        <f t="shared" si="182"/>
        <v>0</v>
      </c>
    </row>
    <row r="8652" spans="8:8" hidden="1" x14ac:dyDescent="0.35">
      <c r="H8652" s="83">
        <f t="shared" si="182"/>
        <v>0</v>
      </c>
    </row>
    <row r="8653" spans="8:8" hidden="1" x14ac:dyDescent="0.35">
      <c r="H8653" s="83">
        <f t="shared" si="182"/>
        <v>0</v>
      </c>
    </row>
    <row r="8654" spans="8:8" hidden="1" x14ac:dyDescent="0.35">
      <c r="H8654" s="83">
        <f t="shared" si="182"/>
        <v>0</v>
      </c>
    </row>
    <row r="8655" spans="8:8" hidden="1" x14ac:dyDescent="0.35">
      <c r="H8655" s="83">
        <f t="shared" si="182"/>
        <v>0</v>
      </c>
    </row>
    <row r="8656" spans="8:8" hidden="1" x14ac:dyDescent="0.35">
      <c r="H8656" s="83">
        <f t="shared" si="182"/>
        <v>0</v>
      </c>
    </row>
    <row r="8657" spans="8:8" hidden="1" x14ac:dyDescent="0.35">
      <c r="H8657" s="83">
        <f t="shared" si="182"/>
        <v>0</v>
      </c>
    </row>
    <row r="8658" spans="8:8" hidden="1" x14ac:dyDescent="0.35">
      <c r="H8658" s="83">
        <f t="shared" si="182"/>
        <v>0</v>
      </c>
    </row>
    <row r="8659" spans="8:8" hidden="1" x14ac:dyDescent="0.35">
      <c r="H8659" s="83">
        <f t="shared" si="182"/>
        <v>0</v>
      </c>
    </row>
    <row r="8660" spans="8:8" hidden="1" x14ac:dyDescent="0.35">
      <c r="H8660" s="83">
        <f t="shared" si="182"/>
        <v>0</v>
      </c>
    </row>
    <row r="8661" spans="8:8" hidden="1" x14ac:dyDescent="0.35">
      <c r="H8661" s="83">
        <f t="shared" si="182"/>
        <v>0</v>
      </c>
    </row>
    <row r="8662" spans="8:8" hidden="1" x14ac:dyDescent="0.35">
      <c r="H8662" s="83">
        <f t="shared" si="182"/>
        <v>0</v>
      </c>
    </row>
    <row r="8663" spans="8:8" hidden="1" x14ac:dyDescent="0.35">
      <c r="H8663" s="83">
        <f t="shared" si="182"/>
        <v>0</v>
      </c>
    </row>
    <row r="8664" spans="8:8" hidden="1" x14ac:dyDescent="0.35">
      <c r="H8664" s="83">
        <f t="shared" si="182"/>
        <v>0</v>
      </c>
    </row>
    <row r="8665" spans="8:8" hidden="1" x14ac:dyDescent="0.35">
      <c r="H8665" s="83">
        <f t="shared" si="182"/>
        <v>0</v>
      </c>
    </row>
    <row r="8666" spans="8:8" hidden="1" x14ac:dyDescent="0.35">
      <c r="H8666" s="83">
        <f t="shared" si="182"/>
        <v>0</v>
      </c>
    </row>
    <row r="8667" spans="8:8" hidden="1" x14ac:dyDescent="0.35">
      <c r="H8667" s="83">
        <f t="shared" si="182"/>
        <v>0</v>
      </c>
    </row>
    <row r="8668" spans="8:8" hidden="1" x14ac:dyDescent="0.35">
      <c r="H8668" s="83">
        <f t="shared" si="182"/>
        <v>0</v>
      </c>
    </row>
    <row r="8669" spans="8:8" hidden="1" x14ac:dyDescent="0.35">
      <c r="H8669" s="83">
        <f t="shared" si="182"/>
        <v>0</v>
      </c>
    </row>
    <row r="8670" spans="8:8" hidden="1" x14ac:dyDescent="0.35">
      <c r="H8670" s="83">
        <f t="shared" si="182"/>
        <v>0</v>
      </c>
    </row>
    <row r="8671" spans="8:8" hidden="1" x14ac:dyDescent="0.35">
      <c r="H8671" s="83">
        <f t="shared" si="182"/>
        <v>0</v>
      </c>
    </row>
    <row r="8672" spans="8:8" hidden="1" x14ac:dyDescent="0.35">
      <c r="H8672" s="83">
        <f t="shared" si="182"/>
        <v>0</v>
      </c>
    </row>
    <row r="8673" spans="8:8" hidden="1" x14ac:dyDescent="0.35">
      <c r="H8673" s="83">
        <f t="shared" si="182"/>
        <v>0</v>
      </c>
    </row>
    <row r="8674" spans="8:8" hidden="1" x14ac:dyDescent="0.35">
      <c r="H8674" s="83">
        <f t="shared" si="182"/>
        <v>0</v>
      </c>
    </row>
    <row r="8675" spans="8:8" hidden="1" x14ac:dyDescent="0.35">
      <c r="H8675" s="83">
        <f t="shared" si="182"/>
        <v>0</v>
      </c>
    </row>
    <row r="8676" spans="8:8" hidden="1" x14ac:dyDescent="0.35">
      <c r="H8676" s="83">
        <f t="shared" si="182"/>
        <v>0</v>
      </c>
    </row>
    <row r="8677" spans="8:8" hidden="1" x14ac:dyDescent="0.35">
      <c r="H8677" s="83">
        <f t="shared" si="182"/>
        <v>0</v>
      </c>
    </row>
    <row r="8678" spans="8:8" hidden="1" x14ac:dyDescent="0.35">
      <c r="H8678" s="83">
        <f t="shared" si="182"/>
        <v>0</v>
      </c>
    </row>
    <row r="8679" spans="8:8" hidden="1" x14ac:dyDescent="0.35">
      <c r="H8679" s="83">
        <f t="shared" si="182"/>
        <v>0</v>
      </c>
    </row>
    <row r="8680" spans="8:8" hidden="1" x14ac:dyDescent="0.35">
      <c r="H8680" s="83">
        <f t="shared" si="182"/>
        <v>0</v>
      </c>
    </row>
    <row r="8681" spans="8:8" hidden="1" x14ac:dyDescent="0.35">
      <c r="H8681" s="83">
        <f t="shared" si="182"/>
        <v>0</v>
      </c>
    </row>
    <row r="8682" spans="8:8" hidden="1" x14ac:dyDescent="0.35">
      <c r="H8682" s="83">
        <f t="shared" si="182"/>
        <v>0</v>
      </c>
    </row>
    <row r="8683" spans="8:8" hidden="1" x14ac:dyDescent="0.35">
      <c r="H8683" s="83">
        <f t="shared" si="182"/>
        <v>0</v>
      </c>
    </row>
    <row r="8684" spans="8:8" hidden="1" x14ac:dyDescent="0.35">
      <c r="H8684" s="83">
        <f t="shared" si="182"/>
        <v>0</v>
      </c>
    </row>
    <row r="8685" spans="8:8" hidden="1" x14ac:dyDescent="0.35">
      <c r="H8685" s="83">
        <f t="shared" si="182"/>
        <v>0</v>
      </c>
    </row>
    <row r="8686" spans="8:8" hidden="1" x14ac:dyDescent="0.35">
      <c r="H8686" s="83">
        <f t="shared" si="182"/>
        <v>0</v>
      </c>
    </row>
    <row r="8687" spans="8:8" hidden="1" x14ac:dyDescent="0.35">
      <c r="H8687" s="83">
        <f t="shared" si="182"/>
        <v>0</v>
      </c>
    </row>
    <row r="8688" spans="8:8" hidden="1" x14ac:dyDescent="0.35">
      <c r="H8688" s="83">
        <f t="shared" si="182"/>
        <v>0</v>
      </c>
    </row>
    <row r="8689" spans="8:8" hidden="1" x14ac:dyDescent="0.35">
      <c r="H8689" s="83">
        <f t="shared" si="182"/>
        <v>0</v>
      </c>
    </row>
    <row r="8690" spans="8:8" hidden="1" x14ac:dyDescent="0.35">
      <c r="H8690" s="83">
        <f t="shared" si="182"/>
        <v>0</v>
      </c>
    </row>
    <row r="8691" spans="8:8" hidden="1" x14ac:dyDescent="0.35">
      <c r="H8691" s="83">
        <f t="shared" si="182"/>
        <v>0</v>
      </c>
    </row>
    <row r="8692" spans="8:8" hidden="1" x14ac:dyDescent="0.35">
      <c r="H8692" s="83">
        <f t="shared" si="182"/>
        <v>0</v>
      </c>
    </row>
    <row r="8693" spans="8:8" hidden="1" x14ac:dyDescent="0.35">
      <c r="H8693" s="83">
        <f t="shared" si="182"/>
        <v>0</v>
      </c>
    </row>
    <row r="8694" spans="8:8" hidden="1" x14ac:dyDescent="0.35">
      <c r="H8694" s="83">
        <f t="shared" si="182"/>
        <v>0</v>
      </c>
    </row>
    <row r="8695" spans="8:8" hidden="1" x14ac:dyDescent="0.35">
      <c r="H8695" s="83">
        <f t="shared" si="182"/>
        <v>0</v>
      </c>
    </row>
    <row r="8696" spans="8:8" hidden="1" x14ac:dyDescent="0.35">
      <c r="H8696" s="83">
        <f t="shared" si="182"/>
        <v>0</v>
      </c>
    </row>
    <row r="8697" spans="8:8" hidden="1" x14ac:dyDescent="0.35">
      <c r="H8697" s="83">
        <f t="shared" si="182"/>
        <v>0</v>
      </c>
    </row>
    <row r="8698" spans="8:8" hidden="1" x14ac:dyDescent="0.35">
      <c r="H8698" s="83">
        <f t="shared" si="182"/>
        <v>0</v>
      </c>
    </row>
    <row r="8699" spans="8:8" hidden="1" x14ac:dyDescent="0.35">
      <c r="H8699" s="83">
        <f t="shared" si="182"/>
        <v>0</v>
      </c>
    </row>
    <row r="8700" spans="8:8" hidden="1" x14ac:dyDescent="0.35">
      <c r="H8700" s="83">
        <f t="shared" si="182"/>
        <v>0</v>
      </c>
    </row>
    <row r="8701" spans="8:8" hidden="1" x14ac:dyDescent="0.35">
      <c r="H8701" s="83">
        <f t="shared" si="182"/>
        <v>0</v>
      </c>
    </row>
    <row r="8702" spans="8:8" hidden="1" x14ac:dyDescent="0.35">
      <c r="H8702" s="83">
        <f t="shared" si="182"/>
        <v>0</v>
      </c>
    </row>
    <row r="8703" spans="8:8" hidden="1" x14ac:dyDescent="0.35">
      <c r="H8703" s="83">
        <f t="shared" si="182"/>
        <v>0</v>
      </c>
    </row>
    <row r="8704" spans="8:8" hidden="1" x14ac:dyDescent="0.35">
      <c r="H8704" s="83">
        <f t="shared" si="182"/>
        <v>0</v>
      </c>
    </row>
    <row r="8705" spans="8:8" hidden="1" x14ac:dyDescent="0.35">
      <c r="H8705" s="83">
        <f t="shared" si="182"/>
        <v>0</v>
      </c>
    </row>
    <row r="8706" spans="8:8" hidden="1" x14ac:dyDescent="0.35">
      <c r="H8706" s="83">
        <f t="shared" si="182"/>
        <v>0</v>
      </c>
    </row>
    <row r="8707" spans="8:8" hidden="1" x14ac:dyDescent="0.35">
      <c r="H8707" s="83">
        <f t="shared" si="182"/>
        <v>0</v>
      </c>
    </row>
    <row r="8708" spans="8:8" hidden="1" x14ac:dyDescent="0.35">
      <c r="H8708" s="83">
        <f t="shared" ref="H8708:H8771" si="183">J8708-I8708</f>
        <v>0</v>
      </c>
    </row>
    <row r="8709" spans="8:8" hidden="1" x14ac:dyDescent="0.35">
      <c r="H8709" s="83">
        <f t="shared" si="183"/>
        <v>0</v>
      </c>
    </row>
    <row r="8710" spans="8:8" hidden="1" x14ac:dyDescent="0.35">
      <c r="H8710" s="83">
        <f t="shared" si="183"/>
        <v>0</v>
      </c>
    </row>
    <row r="8711" spans="8:8" hidden="1" x14ac:dyDescent="0.35">
      <c r="H8711" s="83">
        <f t="shared" si="183"/>
        <v>0</v>
      </c>
    </row>
    <row r="8712" spans="8:8" hidden="1" x14ac:dyDescent="0.35">
      <c r="H8712" s="83">
        <f t="shared" si="183"/>
        <v>0</v>
      </c>
    </row>
    <row r="8713" spans="8:8" hidden="1" x14ac:dyDescent="0.35">
      <c r="H8713" s="83">
        <f t="shared" si="183"/>
        <v>0</v>
      </c>
    </row>
    <row r="8714" spans="8:8" hidden="1" x14ac:dyDescent="0.35">
      <c r="H8714" s="83">
        <f t="shared" si="183"/>
        <v>0</v>
      </c>
    </row>
    <row r="8715" spans="8:8" hidden="1" x14ac:dyDescent="0.35">
      <c r="H8715" s="83">
        <f t="shared" si="183"/>
        <v>0</v>
      </c>
    </row>
    <row r="8716" spans="8:8" hidden="1" x14ac:dyDescent="0.35">
      <c r="H8716" s="83">
        <f t="shared" si="183"/>
        <v>0</v>
      </c>
    </row>
    <row r="8717" spans="8:8" hidden="1" x14ac:dyDescent="0.35">
      <c r="H8717" s="83">
        <f t="shared" si="183"/>
        <v>0</v>
      </c>
    </row>
    <row r="8718" spans="8:8" hidden="1" x14ac:dyDescent="0.35">
      <c r="H8718" s="83">
        <f t="shared" si="183"/>
        <v>0</v>
      </c>
    </row>
    <row r="8719" spans="8:8" hidden="1" x14ac:dyDescent="0.35">
      <c r="H8719" s="83">
        <f t="shared" si="183"/>
        <v>0</v>
      </c>
    </row>
    <row r="8720" spans="8:8" hidden="1" x14ac:dyDescent="0.35">
      <c r="H8720" s="83">
        <f t="shared" si="183"/>
        <v>0</v>
      </c>
    </row>
    <row r="8721" spans="8:8" hidden="1" x14ac:dyDescent="0.35">
      <c r="H8721" s="83">
        <f t="shared" si="183"/>
        <v>0</v>
      </c>
    </row>
    <row r="8722" spans="8:8" hidden="1" x14ac:dyDescent="0.35">
      <c r="H8722" s="83">
        <f t="shared" si="183"/>
        <v>0</v>
      </c>
    </row>
    <row r="8723" spans="8:8" hidden="1" x14ac:dyDescent="0.35">
      <c r="H8723" s="83">
        <f t="shared" si="183"/>
        <v>0</v>
      </c>
    </row>
    <row r="8724" spans="8:8" hidden="1" x14ac:dyDescent="0.35">
      <c r="H8724" s="83">
        <f t="shared" si="183"/>
        <v>0</v>
      </c>
    </row>
    <row r="8725" spans="8:8" hidden="1" x14ac:dyDescent="0.35">
      <c r="H8725" s="83">
        <f t="shared" si="183"/>
        <v>0</v>
      </c>
    </row>
    <row r="8726" spans="8:8" hidden="1" x14ac:dyDescent="0.35">
      <c r="H8726" s="83">
        <f t="shared" si="183"/>
        <v>0</v>
      </c>
    </row>
    <row r="8727" spans="8:8" hidden="1" x14ac:dyDescent="0.35">
      <c r="H8727" s="83">
        <f t="shared" si="183"/>
        <v>0</v>
      </c>
    </row>
    <row r="8728" spans="8:8" hidden="1" x14ac:dyDescent="0.35">
      <c r="H8728" s="83">
        <f t="shared" si="183"/>
        <v>0</v>
      </c>
    </row>
    <row r="8729" spans="8:8" hidden="1" x14ac:dyDescent="0.35">
      <c r="H8729" s="83">
        <f t="shared" si="183"/>
        <v>0</v>
      </c>
    </row>
    <row r="8730" spans="8:8" hidden="1" x14ac:dyDescent="0.35">
      <c r="H8730" s="83">
        <f t="shared" si="183"/>
        <v>0</v>
      </c>
    </row>
    <row r="8731" spans="8:8" hidden="1" x14ac:dyDescent="0.35">
      <c r="H8731" s="83">
        <f t="shared" si="183"/>
        <v>0</v>
      </c>
    </row>
    <row r="8732" spans="8:8" hidden="1" x14ac:dyDescent="0.35">
      <c r="H8732" s="83">
        <f t="shared" si="183"/>
        <v>0</v>
      </c>
    </row>
    <row r="8733" spans="8:8" hidden="1" x14ac:dyDescent="0.35">
      <c r="H8733" s="83">
        <f t="shared" si="183"/>
        <v>0</v>
      </c>
    </row>
    <row r="8734" spans="8:8" hidden="1" x14ac:dyDescent="0.35">
      <c r="H8734" s="83">
        <f t="shared" si="183"/>
        <v>0</v>
      </c>
    </row>
    <row r="8735" spans="8:8" hidden="1" x14ac:dyDescent="0.35">
      <c r="H8735" s="83">
        <f t="shared" si="183"/>
        <v>0</v>
      </c>
    </row>
    <row r="8736" spans="8:8" hidden="1" x14ac:dyDescent="0.35">
      <c r="H8736" s="83">
        <f t="shared" si="183"/>
        <v>0</v>
      </c>
    </row>
    <row r="8737" spans="8:8" hidden="1" x14ac:dyDescent="0.35">
      <c r="H8737" s="83">
        <f t="shared" si="183"/>
        <v>0</v>
      </c>
    </row>
    <row r="8738" spans="8:8" hidden="1" x14ac:dyDescent="0.35">
      <c r="H8738" s="83">
        <f t="shared" si="183"/>
        <v>0</v>
      </c>
    </row>
    <row r="8739" spans="8:8" hidden="1" x14ac:dyDescent="0.35">
      <c r="H8739" s="83">
        <f t="shared" si="183"/>
        <v>0</v>
      </c>
    </row>
    <row r="8740" spans="8:8" hidden="1" x14ac:dyDescent="0.35">
      <c r="H8740" s="83">
        <f t="shared" si="183"/>
        <v>0</v>
      </c>
    </row>
    <row r="8741" spans="8:8" hidden="1" x14ac:dyDescent="0.35">
      <c r="H8741" s="83">
        <f t="shared" si="183"/>
        <v>0</v>
      </c>
    </row>
    <row r="8742" spans="8:8" hidden="1" x14ac:dyDescent="0.35">
      <c r="H8742" s="83">
        <f t="shared" si="183"/>
        <v>0</v>
      </c>
    </row>
    <row r="8743" spans="8:8" hidden="1" x14ac:dyDescent="0.35">
      <c r="H8743" s="83">
        <f t="shared" si="183"/>
        <v>0</v>
      </c>
    </row>
    <row r="8744" spans="8:8" hidden="1" x14ac:dyDescent="0.35">
      <c r="H8744" s="83">
        <f t="shared" si="183"/>
        <v>0</v>
      </c>
    </row>
    <row r="8745" spans="8:8" hidden="1" x14ac:dyDescent="0.35">
      <c r="H8745" s="83">
        <f t="shared" si="183"/>
        <v>0</v>
      </c>
    </row>
    <row r="8746" spans="8:8" hidden="1" x14ac:dyDescent="0.35">
      <c r="H8746" s="83">
        <f t="shared" si="183"/>
        <v>0</v>
      </c>
    </row>
    <row r="8747" spans="8:8" hidden="1" x14ac:dyDescent="0.35">
      <c r="H8747" s="83">
        <f t="shared" si="183"/>
        <v>0</v>
      </c>
    </row>
    <row r="8748" spans="8:8" hidden="1" x14ac:dyDescent="0.35">
      <c r="H8748" s="83">
        <f t="shared" si="183"/>
        <v>0</v>
      </c>
    </row>
    <row r="8749" spans="8:8" hidden="1" x14ac:dyDescent="0.35">
      <c r="H8749" s="83">
        <f t="shared" si="183"/>
        <v>0</v>
      </c>
    </row>
    <row r="8750" spans="8:8" hidden="1" x14ac:dyDescent="0.35">
      <c r="H8750" s="83">
        <f t="shared" si="183"/>
        <v>0</v>
      </c>
    </row>
    <row r="8751" spans="8:8" hidden="1" x14ac:dyDescent="0.35">
      <c r="H8751" s="83">
        <f t="shared" si="183"/>
        <v>0</v>
      </c>
    </row>
    <row r="8752" spans="8:8" hidden="1" x14ac:dyDescent="0.35">
      <c r="H8752" s="83">
        <f t="shared" si="183"/>
        <v>0</v>
      </c>
    </row>
    <row r="8753" spans="8:8" hidden="1" x14ac:dyDescent="0.35">
      <c r="H8753" s="83">
        <f t="shared" si="183"/>
        <v>0</v>
      </c>
    </row>
    <row r="8754" spans="8:8" hidden="1" x14ac:dyDescent="0.35">
      <c r="H8754" s="83">
        <f t="shared" si="183"/>
        <v>0</v>
      </c>
    </row>
    <row r="8755" spans="8:8" hidden="1" x14ac:dyDescent="0.35">
      <c r="H8755" s="83">
        <f t="shared" si="183"/>
        <v>0</v>
      </c>
    </row>
    <row r="8756" spans="8:8" hidden="1" x14ac:dyDescent="0.35">
      <c r="H8756" s="83">
        <f t="shared" si="183"/>
        <v>0</v>
      </c>
    </row>
    <row r="8757" spans="8:8" hidden="1" x14ac:dyDescent="0.35">
      <c r="H8757" s="83">
        <f t="shared" si="183"/>
        <v>0</v>
      </c>
    </row>
    <row r="8758" spans="8:8" hidden="1" x14ac:dyDescent="0.35">
      <c r="H8758" s="83">
        <f t="shared" si="183"/>
        <v>0</v>
      </c>
    </row>
    <row r="8759" spans="8:8" hidden="1" x14ac:dyDescent="0.35">
      <c r="H8759" s="83">
        <f t="shared" si="183"/>
        <v>0</v>
      </c>
    </row>
    <row r="8760" spans="8:8" hidden="1" x14ac:dyDescent="0.35">
      <c r="H8760" s="83">
        <f t="shared" si="183"/>
        <v>0</v>
      </c>
    </row>
    <row r="8761" spans="8:8" hidden="1" x14ac:dyDescent="0.35">
      <c r="H8761" s="83">
        <f t="shared" si="183"/>
        <v>0</v>
      </c>
    </row>
    <row r="8762" spans="8:8" hidden="1" x14ac:dyDescent="0.35">
      <c r="H8762" s="83">
        <f t="shared" si="183"/>
        <v>0</v>
      </c>
    </row>
    <row r="8763" spans="8:8" hidden="1" x14ac:dyDescent="0.35">
      <c r="H8763" s="83">
        <f t="shared" si="183"/>
        <v>0</v>
      </c>
    </row>
    <row r="8764" spans="8:8" hidden="1" x14ac:dyDescent="0.35">
      <c r="H8764" s="83">
        <f t="shared" si="183"/>
        <v>0</v>
      </c>
    </row>
    <row r="8765" spans="8:8" hidden="1" x14ac:dyDescent="0.35">
      <c r="H8765" s="83">
        <f t="shared" si="183"/>
        <v>0</v>
      </c>
    </row>
    <row r="8766" spans="8:8" hidden="1" x14ac:dyDescent="0.35">
      <c r="H8766" s="83">
        <f t="shared" si="183"/>
        <v>0</v>
      </c>
    </row>
    <row r="8767" spans="8:8" hidden="1" x14ac:dyDescent="0.35">
      <c r="H8767" s="83">
        <f t="shared" si="183"/>
        <v>0</v>
      </c>
    </row>
    <row r="8768" spans="8:8" hidden="1" x14ac:dyDescent="0.35">
      <c r="H8768" s="83">
        <f t="shared" si="183"/>
        <v>0</v>
      </c>
    </row>
    <row r="8769" spans="8:8" hidden="1" x14ac:dyDescent="0.35">
      <c r="H8769" s="83">
        <f t="shared" si="183"/>
        <v>0</v>
      </c>
    </row>
    <row r="8770" spans="8:8" hidden="1" x14ac:dyDescent="0.35">
      <c r="H8770" s="83">
        <f t="shared" si="183"/>
        <v>0</v>
      </c>
    </row>
    <row r="8771" spans="8:8" hidden="1" x14ac:dyDescent="0.35">
      <c r="H8771" s="83">
        <f t="shared" si="183"/>
        <v>0</v>
      </c>
    </row>
    <row r="8772" spans="8:8" hidden="1" x14ac:dyDescent="0.35">
      <c r="H8772" s="83">
        <f t="shared" ref="H8772:H8835" si="184">J8772-I8772</f>
        <v>0</v>
      </c>
    </row>
    <row r="8773" spans="8:8" hidden="1" x14ac:dyDescent="0.35">
      <c r="H8773" s="83">
        <f t="shared" si="184"/>
        <v>0</v>
      </c>
    </row>
    <row r="8774" spans="8:8" hidden="1" x14ac:dyDescent="0.35">
      <c r="H8774" s="83">
        <f t="shared" si="184"/>
        <v>0</v>
      </c>
    </row>
    <row r="8775" spans="8:8" hidden="1" x14ac:dyDescent="0.35">
      <c r="H8775" s="83">
        <f t="shared" si="184"/>
        <v>0</v>
      </c>
    </row>
    <row r="8776" spans="8:8" hidden="1" x14ac:dyDescent="0.35">
      <c r="H8776" s="83">
        <f t="shared" si="184"/>
        <v>0</v>
      </c>
    </row>
    <row r="8777" spans="8:8" hidden="1" x14ac:dyDescent="0.35">
      <c r="H8777" s="83">
        <f t="shared" si="184"/>
        <v>0</v>
      </c>
    </row>
    <row r="8778" spans="8:8" hidden="1" x14ac:dyDescent="0.35">
      <c r="H8778" s="83">
        <f t="shared" si="184"/>
        <v>0</v>
      </c>
    </row>
    <row r="8779" spans="8:8" hidden="1" x14ac:dyDescent="0.35">
      <c r="H8779" s="83">
        <f t="shared" si="184"/>
        <v>0</v>
      </c>
    </row>
    <row r="8780" spans="8:8" hidden="1" x14ac:dyDescent="0.35">
      <c r="H8780" s="83">
        <f t="shared" si="184"/>
        <v>0</v>
      </c>
    </row>
    <row r="8781" spans="8:8" hidden="1" x14ac:dyDescent="0.35">
      <c r="H8781" s="83">
        <f t="shared" si="184"/>
        <v>0</v>
      </c>
    </row>
    <row r="8782" spans="8:8" hidden="1" x14ac:dyDescent="0.35">
      <c r="H8782" s="83">
        <f t="shared" si="184"/>
        <v>0</v>
      </c>
    </row>
    <row r="8783" spans="8:8" hidden="1" x14ac:dyDescent="0.35">
      <c r="H8783" s="83">
        <f t="shared" si="184"/>
        <v>0</v>
      </c>
    </row>
    <row r="8784" spans="8:8" hidden="1" x14ac:dyDescent="0.35">
      <c r="H8784" s="83">
        <f t="shared" si="184"/>
        <v>0</v>
      </c>
    </row>
    <row r="8785" spans="8:8" hidden="1" x14ac:dyDescent="0.35">
      <c r="H8785" s="83">
        <f t="shared" si="184"/>
        <v>0</v>
      </c>
    </row>
    <row r="8786" spans="8:8" hidden="1" x14ac:dyDescent="0.35">
      <c r="H8786" s="83">
        <f t="shared" si="184"/>
        <v>0</v>
      </c>
    </row>
    <row r="8787" spans="8:8" hidden="1" x14ac:dyDescent="0.35">
      <c r="H8787" s="83">
        <f t="shared" si="184"/>
        <v>0</v>
      </c>
    </row>
    <row r="8788" spans="8:8" hidden="1" x14ac:dyDescent="0.35">
      <c r="H8788" s="83">
        <f t="shared" si="184"/>
        <v>0</v>
      </c>
    </row>
    <row r="8789" spans="8:8" hidden="1" x14ac:dyDescent="0.35">
      <c r="H8789" s="83">
        <f t="shared" si="184"/>
        <v>0</v>
      </c>
    </row>
    <row r="8790" spans="8:8" hidden="1" x14ac:dyDescent="0.35">
      <c r="H8790" s="83">
        <f t="shared" si="184"/>
        <v>0</v>
      </c>
    </row>
    <row r="8791" spans="8:8" hidden="1" x14ac:dyDescent="0.35">
      <c r="H8791" s="83">
        <f t="shared" si="184"/>
        <v>0</v>
      </c>
    </row>
    <row r="8792" spans="8:8" hidden="1" x14ac:dyDescent="0.35">
      <c r="H8792" s="83">
        <f t="shared" si="184"/>
        <v>0</v>
      </c>
    </row>
    <row r="8793" spans="8:8" hidden="1" x14ac:dyDescent="0.35">
      <c r="H8793" s="83">
        <f t="shared" si="184"/>
        <v>0</v>
      </c>
    </row>
    <row r="8794" spans="8:8" hidden="1" x14ac:dyDescent="0.35">
      <c r="H8794" s="83">
        <f t="shared" si="184"/>
        <v>0</v>
      </c>
    </row>
    <row r="8795" spans="8:8" hidden="1" x14ac:dyDescent="0.35">
      <c r="H8795" s="83">
        <f t="shared" si="184"/>
        <v>0</v>
      </c>
    </row>
    <row r="8796" spans="8:8" hidden="1" x14ac:dyDescent="0.35">
      <c r="H8796" s="83">
        <f t="shared" si="184"/>
        <v>0</v>
      </c>
    </row>
    <row r="8797" spans="8:8" hidden="1" x14ac:dyDescent="0.35">
      <c r="H8797" s="83">
        <f t="shared" si="184"/>
        <v>0</v>
      </c>
    </row>
    <row r="8798" spans="8:8" hidden="1" x14ac:dyDescent="0.35">
      <c r="H8798" s="83">
        <f t="shared" si="184"/>
        <v>0</v>
      </c>
    </row>
    <row r="8799" spans="8:8" hidden="1" x14ac:dyDescent="0.35">
      <c r="H8799" s="83">
        <f t="shared" si="184"/>
        <v>0</v>
      </c>
    </row>
    <row r="8800" spans="8:8" hidden="1" x14ac:dyDescent="0.35">
      <c r="H8800" s="83">
        <f t="shared" si="184"/>
        <v>0</v>
      </c>
    </row>
    <row r="8801" spans="8:8" hidden="1" x14ac:dyDescent="0.35">
      <c r="H8801" s="83">
        <f t="shared" si="184"/>
        <v>0</v>
      </c>
    </row>
    <row r="8802" spans="8:8" hidden="1" x14ac:dyDescent="0.35">
      <c r="H8802" s="83">
        <f t="shared" si="184"/>
        <v>0</v>
      </c>
    </row>
    <row r="8803" spans="8:8" hidden="1" x14ac:dyDescent="0.35">
      <c r="H8803" s="83">
        <f t="shared" si="184"/>
        <v>0</v>
      </c>
    </row>
    <row r="8804" spans="8:8" hidden="1" x14ac:dyDescent="0.35">
      <c r="H8804" s="83">
        <f t="shared" si="184"/>
        <v>0</v>
      </c>
    </row>
    <row r="8805" spans="8:8" hidden="1" x14ac:dyDescent="0.35">
      <c r="H8805" s="83">
        <f t="shared" si="184"/>
        <v>0</v>
      </c>
    </row>
    <row r="8806" spans="8:8" hidden="1" x14ac:dyDescent="0.35">
      <c r="H8806" s="83">
        <f t="shared" si="184"/>
        <v>0</v>
      </c>
    </row>
    <row r="8807" spans="8:8" hidden="1" x14ac:dyDescent="0.35">
      <c r="H8807" s="83">
        <f t="shared" si="184"/>
        <v>0</v>
      </c>
    </row>
    <row r="8808" spans="8:8" hidden="1" x14ac:dyDescent="0.35">
      <c r="H8808" s="83">
        <f t="shared" si="184"/>
        <v>0</v>
      </c>
    </row>
    <row r="8809" spans="8:8" hidden="1" x14ac:dyDescent="0.35">
      <c r="H8809" s="83">
        <f t="shared" si="184"/>
        <v>0</v>
      </c>
    </row>
    <row r="8810" spans="8:8" hidden="1" x14ac:dyDescent="0.35">
      <c r="H8810" s="83">
        <f t="shared" si="184"/>
        <v>0</v>
      </c>
    </row>
    <row r="8811" spans="8:8" hidden="1" x14ac:dyDescent="0.35">
      <c r="H8811" s="83">
        <f t="shared" si="184"/>
        <v>0</v>
      </c>
    </row>
    <row r="8812" spans="8:8" hidden="1" x14ac:dyDescent="0.35">
      <c r="H8812" s="83">
        <f t="shared" si="184"/>
        <v>0</v>
      </c>
    </row>
    <row r="8813" spans="8:8" hidden="1" x14ac:dyDescent="0.35">
      <c r="H8813" s="83">
        <f t="shared" si="184"/>
        <v>0</v>
      </c>
    </row>
    <row r="8814" spans="8:8" hidden="1" x14ac:dyDescent="0.35">
      <c r="H8814" s="83">
        <f t="shared" si="184"/>
        <v>0</v>
      </c>
    </row>
    <row r="8815" spans="8:8" hidden="1" x14ac:dyDescent="0.35">
      <c r="H8815" s="83">
        <f t="shared" si="184"/>
        <v>0</v>
      </c>
    </row>
    <row r="8816" spans="8:8" hidden="1" x14ac:dyDescent="0.35">
      <c r="H8816" s="83">
        <f t="shared" si="184"/>
        <v>0</v>
      </c>
    </row>
    <row r="8817" spans="8:8" hidden="1" x14ac:dyDescent="0.35">
      <c r="H8817" s="83">
        <f t="shared" si="184"/>
        <v>0</v>
      </c>
    </row>
    <row r="8818" spans="8:8" hidden="1" x14ac:dyDescent="0.35">
      <c r="H8818" s="83">
        <f t="shared" si="184"/>
        <v>0</v>
      </c>
    </row>
    <row r="8819" spans="8:8" hidden="1" x14ac:dyDescent="0.35">
      <c r="H8819" s="83">
        <f t="shared" si="184"/>
        <v>0</v>
      </c>
    </row>
    <row r="8820" spans="8:8" hidden="1" x14ac:dyDescent="0.35">
      <c r="H8820" s="83">
        <f t="shared" si="184"/>
        <v>0</v>
      </c>
    </row>
    <row r="8821" spans="8:8" hidden="1" x14ac:dyDescent="0.35">
      <c r="H8821" s="83">
        <f t="shared" si="184"/>
        <v>0</v>
      </c>
    </row>
    <row r="8822" spans="8:8" hidden="1" x14ac:dyDescent="0.35">
      <c r="H8822" s="83">
        <f t="shared" si="184"/>
        <v>0</v>
      </c>
    </row>
    <row r="8823" spans="8:8" hidden="1" x14ac:dyDescent="0.35">
      <c r="H8823" s="83">
        <f t="shared" si="184"/>
        <v>0</v>
      </c>
    </row>
    <row r="8824" spans="8:8" hidden="1" x14ac:dyDescent="0.35">
      <c r="H8824" s="83">
        <f t="shared" si="184"/>
        <v>0</v>
      </c>
    </row>
    <row r="8825" spans="8:8" hidden="1" x14ac:dyDescent="0.35">
      <c r="H8825" s="83">
        <f t="shared" si="184"/>
        <v>0</v>
      </c>
    </row>
    <row r="8826" spans="8:8" hidden="1" x14ac:dyDescent="0.35">
      <c r="H8826" s="83">
        <f t="shared" si="184"/>
        <v>0</v>
      </c>
    </row>
    <row r="8827" spans="8:8" hidden="1" x14ac:dyDescent="0.35">
      <c r="H8827" s="83">
        <f t="shared" si="184"/>
        <v>0</v>
      </c>
    </row>
    <row r="8828" spans="8:8" hidden="1" x14ac:dyDescent="0.35">
      <c r="H8828" s="83">
        <f t="shared" si="184"/>
        <v>0</v>
      </c>
    </row>
    <row r="8829" spans="8:8" hidden="1" x14ac:dyDescent="0.35">
      <c r="H8829" s="83">
        <f t="shared" si="184"/>
        <v>0</v>
      </c>
    </row>
    <row r="8830" spans="8:8" hidden="1" x14ac:dyDescent="0.35">
      <c r="H8830" s="83">
        <f t="shared" si="184"/>
        <v>0</v>
      </c>
    </row>
    <row r="8831" spans="8:8" hidden="1" x14ac:dyDescent="0.35">
      <c r="H8831" s="83">
        <f t="shared" si="184"/>
        <v>0</v>
      </c>
    </row>
    <row r="8832" spans="8:8" hidden="1" x14ac:dyDescent="0.35">
      <c r="H8832" s="83">
        <f t="shared" si="184"/>
        <v>0</v>
      </c>
    </row>
    <row r="8833" spans="8:8" hidden="1" x14ac:dyDescent="0.35">
      <c r="H8833" s="83">
        <f t="shared" si="184"/>
        <v>0</v>
      </c>
    </row>
    <row r="8834" spans="8:8" hidden="1" x14ac:dyDescent="0.35">
      <c r="H8834" s="83">
        <f t="shared" si="184"/>
        <v>0</v>
      </c>
    </row>
    <row r="8835" spans="8:8" hidden="1" x14ac:dyDescent="0.35">
      <c r="H8835" s="83">
        <f t="shared" si="184"/>
        <v>0</v>
      </c>
    </row>
    <row r="8836" spans="8:8" hidden="1" x14ac:dyDescent="0.35">
      <c r="H8836" s="83">
        <f t="shared" ref="H8836:H8899" si="185">J8836-I8836</f>
        <v>0</v>
      </c>
    </row>
    <row r="8837" spans="8:8" hidden="1" x14ac:dyDescent="0.35">
      <c r="H8837" s="83">
        <f t="shared" si="185"/>
        <v>0</v>
      </c>
    </row>
    <row r="8838" spans="8:8" hidden="1" x14ac:dyDescent="0.35">
      <c r="H8838" s="83">
        <f t="shared" si="185"/>
        <v>0</v>
      </c>
    </row>
    <row r="8839" spans="8:8" hidden="1" x14ac:dyDescent="0.35">
      <c r="H8839" s="83">
        <f t="shared" si="185"/>
        <v>0</v>
      </c>
    </row>
    <row r="8840" spans="8:8" hidden="1" x14ac:dyDescent="0.35">
      <c r="H8840" s="83">
        <f t="shared" si="185"/>
        <v>0</v>
      </c>
    </row>
    <row r="8841" spans="8:8" hidden="1" x14ac:dyDescent="0.35">
      <c r="H8841" s="83">
        <f t="shared" si="185"/>
        <v>0</v>
      </c>
    </row>
    <row r="8842" spans="8:8" hidden="1" x14ac:dyDescent="0.35">
      <c r="H8842" s="83">
        <f t="shared" si="185"/>
        <v>0</v>
      </c>
    </row>
    <row r="8843" spans="8:8" hidden="1" x14ac:dyDescent="0.35">
      <c r="H8843" s="83">
        <f t="shared" si="185"/>
        <v>0</v>
      </c>
    </row>
    <row r="8844" spans="8:8" hidden="1" x14ac:dyDescent="0.35">
      <c r="H8844" s="83">
        <f t="shared" si="185"/>
        <v>0</v>
      </c>
    </row>
    <row r="8845" spans="8:8" hidden="1" x14ac:dyDescent="0.35">
      <c r="H8845" s="83">
        <f t="shared" si="185"/>
        <v>0</v>
      </c>
    </row>
    <row r="8846" spans="8:8" hidden="1" x14ac:dyDescent="0.35">
      <c r="H8846" s="83">
        <f t="shared" si="185"/>
        <v>0</v>
      </c>
    </row>
    <row r="8847" spans="8:8" hidden="1" x14ac:dyDescent="0.35">
      <c r="H8847" s="83">
        <f t="shared" si="185"/>
        <v>0</v>
      </c>
    </row>
    <row r="8848" spans="8:8" hidden="1" x14ac:dyDescent="0.35">
      <c r="H8848" s="83">
        <f t="shared" si="185"/>
        <v>0</v>
      </c>
    </row>
    <row r="8849" spans="8:8" hidden="1" x14ac:dyDescent="0.35">
      <c r="H8849" s="83">
        <f t="shared" si="185"/>
        <v>0</v>
      </c>
    </row>
    <row r="8850" spans="8:8" hidden="1" x14ac:dyDescent="0.35">
      <c r="H8850" s="83">
        <f t="shared" si="185"/>
        <v>0</v>
      </c>
    </row>
    <row r="8851" spans="8:8" hidden="1" x14ac:dyDescent="0.35">
      <c r="H8851" s="83">
        <f t="shared" si="185"/>
        <v>0</v>
      </c>
    </row>
    <row r="8852" spans="8:8" hidden="1" x14ac:dyDescent="0.35">
      <c r="H8852" s="83">
        <f t="shared" si="185"/>
        <v>0</v>
      </c>
    </row>
    <row r="8853" spans="8:8" hidden="1" x14ac:dyDescent="0.35">
      <c r="H8853" s="83">
        <f t="shared" si="185"/>
        <v>0</v>
      </c>
    </row>
    <row r="8854" spans="8:8" hidden="1" x14ac:dyDescent="0.35">
      <c r="H8854" s="83">
        <f t="shared" si="185"/>
        <v>0</v>
      </c>
    </row>
    <row r="8855" spans="8:8" hidden="1" x14ac:dyDescent="0.35">
      <c r="H8855" s="83">
        <f t="shared" si="185"/>
        <v>0</v>
      </c>
    </row>
    <row r="8856" spans="8:8" hidden="1" x14ac:dyDescent="0.35">
      <c r="H8856" s="83">
        <f t="shared" si="185"/>
        <v>0</v>
      </c>
    </row>
    <row r="8857" spans="8:8" hidden="1" x14ac:dyDescent="0.35">
      <c r="H8857" s="83">
        <f t="shared" si="185"/>
        <v>0</v>
      </c>
    </row>
    <row r="8858" spans="8:8" hidden="1" x14ac:dyDescent="0.35">
      <c r="H8858" s="83">
        <f t="shared" si="185"/>
        <v>0</v>
      </c>
    </row>
    <row r="8859" spans="8:8" hidden="1" x14ac:dyDescent="0.35">
      <c r="H8859" s="83">
        <f t="shared" si="185"/>
        <v>0</v>
      </c>
    </row>
    <row r="8860" spans="8:8" hidden="1" x14ac:dyDescent="0.35">
      <c r="H8860" s="83">
        <f t="shared" si="185"/>
        <v>0</v>
      </c>
    </row>
    <row r="8861" spans="8:8" hidden="1" x14ac:dyDescent="0.35">
      <c r="H8861" s="83">
        <f t="shared" si="185"/>
        <v>0</v>
      </c>
    </row>
    <row r="8862" spans="8:8" hidden="1" x14ac:dyDescent="0.35">
      <c r="H8862" s="83">
        <f t="shared" si="185"/>
        <v>0</v>
      </c>
    </row>
    <row r="8863" spans="8:8" hidden="1" x14ac:dyDescent="0.35">
      <c r="H8863" s="83">
        <f t="shared" si="185"/>
        <v>0</v>
      </c>
    </row>
    <row r="8864" spans="8:8" hidden="1" x14ac:dyDescent="0.35">
      <c r="H8864" s="83">
        <f t="shared" si="185"/>
        <v>0</v>
      </c>
    </row>
    <row r="8865" spans="8:8" hidden="1" x14ac:dyDescent="0.35">
      <c r="H8865" s="83">
        <f t="shared" si="185"/>
        <v>0</v>
      </c>
    </row>
    <row r="8866" spans="8:8" hidden="1" x14ac:dyDescent="0.35">
      <c r="H8866" s="83">
        <f t="shared" si="185"/>
        <v>0</v>
      </c>
    </row>
    <row r="8867" spans="8:8" hidden="1" x14ac:dyDescent="0.35">
      <c r="H8867" s="83">
        <f t="shared" si="185"/>
        <v>0</v>
      </c>
    </row>
    <row r="8868" spans="8:8" hidden="1" x14ac:dyDescent="0.35">
      <c r="H8868" s="83">
        <f t="shared" si="185"/>
        <v>0</v>
      </c>
    </row>
    <row r="8869" spans="8:8" hidden="1" x14ac:dyDescent="0.35">
      <c r="H8869" s="83">
        <f t="shared" si="185"/>
        <v>0</v>
      </c>
    </row>
    <row r="8870" spans="8:8" hidden="1" x14ac:dyDescent="0.35">
      <c r="H8870" s="83">
        <f t="shared" si="185"/>
        <v>0</v>
      </c>
    </row>
    <row r="8871" spans="8:8" hidden="1" x14ac:dyDescent="0.35">
      <c r="H8871" s="83">
        <f t="shared" si="185"/>
        <v>0</v>
      </c>
    </row>
    <row r="8872" spans="8:8" hidden="1" x14ac:dyDescent="0.35">
      <c r="H8872" s="83">
        <f t="shared" si="185"/>
        <v>0</v>
      </c>
    </row>
    <row r="8873" spans="8:8" hidden="1" x14ac:dyDescent="0.35">
      <c r="H8873" s="83">
        <f t="shared" si="185"/>
        <v>0</v>
      </c>
    </row>
    <row r="8874" spans="8:8" hidden="1" x14ac:dyDescent="0.35">
      <c r="H8874" s="83">
        <f t="shared" si="185"/>
        <v>0</v>
      </c>
    </row>
    <row r="8875" spans="8:8" hidden="1" x14ac:dyDescent="0.35">
      <c r="H8875" s="83">
        <f t="shared" si="185"/>
        <v>0</v>
      </c>
    </row>
    <row r="8876" spans="8:8" hidden="1" x14ac:dyDescent="0.35">
      <c r="H8876" s="83">
        <f t="shared" si="185"/>
        <v>0</v>
      </c>
    </row>
    <row r="8877" spans="8:8" hidden="1" x14ac:dyDescent="0.35">
      <c r="H8877" s="83">
        <f t="shared" si="185"/>
        <v>0</v>
      </c>
    </row>
    <row r="8878" spans="8:8" hidden="1" x14ac:dyDescent="0.35">
      <c r="H8878" s="83">
        <f t="shared" si="185"/>
        <v>0</v>
      </c>
    </row>
    <row r="8879" spans="8:8" hidden="1" x14ac:dyDescent="0.35">
      <c r="H8879" s="83">
        <f t="shared" si="185"/>
        <v>0</v>
      </c>
    </row>
    <row r="8880" spans="8:8" hidden="1" x14ac:dyDescent="0.35">
      <c r="H8880" s="83">
        <f t="shared" si="185"/>
        <v>0</v>
      </c>
    </row>
    <row r="8881" spans="8:8" hidden="1" x14ac:dyDescent="0.35">
      <c r="H8881" s="83">
        <f t="shared" si="185"/>
        <v>0</v>
      </c>
    </row>
    <row r="8882" spans="8:8" hidden="1" x14ac:dyDescent="0.35">
      <c r="H8882" s="83">
        <f t="shared" si="185"/>
        <v>0</v>
      </c>
    </row>
    <row r="8883" spans="8:8" hidden="1" x14ac:dyDescent="0.35">
      <c r="H8883" s="83">
        <f t="shared" si="185"/>
        <v>0</v>
      </c>
    </row>
    <row r="8884" spans="8:8" hidden="1" x14ac:dyDescent="0.35">
      <c r="H8884" s="83">
        <f t="shared" si="185"/>
        <v>0</v>
      </c>
    </row>
    <row r="8885" spans="8:8" hidden="1" x14ac:dyDescent="0.35">
      <c r="H8885" s="83">
        <f t="shared" si="185"/>
        <v>0</v>
      </c>
    </row>
    <row r="8886" spans="8:8" hidden="1" x14ac:dyDescent="0.35">
      <c r="H8886" s="83">
        <f t="shared" si="185"/>
        <v>0</v>
      </c>
    </row>
    <row r="8887" spans="8:8" hidden="1" x14ac:dyDescent="0.35">
      <c r="H8887" s="83">
        <f t="shared" si="185"/>
        <v>0</v>
      </c>
    </row>
    <row r="8888" spans="8:8" hidden="1" x14ac:dyDescent="0.35">
      <c r="H8888" s="83">
        <f t="shared" si="185"/>
        <v>0</v>
      </c>
    </row>
    <row r="8889" spans="8:8" hidden="1" x14ac:dyDescent="0.35">
      <c r="H8889" s="83">
        <f t="shared" si="185"/>
        <v>0</v>
      </c>
    </row>
    <row r="8890" spans="8:8" hidden="1" x14ac:dyDescent="0.35">
      <c r="H8890" s="83">
        <f t="shared" si="185"/>
        <v>0</v>
      </c>
    </row>
    <row r="8891" spans="8:8" hidden="1" x14ac:dyDescent="0.35">
      <c r="H8891" s="83">
        <f t="shared" si="185"/>
        <v>0</v>
      </c>
    </row>
    <row r="8892" spans="8:8" hidden="1" x14ac:dyDescent="0.35">
      <c r="H8892" s="83">
        <f t="shared" si="185"/>
        <v>0</v>
      </c>
    </row>
    <row r="8893" spans="8:8" hidden="1" x14ac:dyDescent="0.35">
      <c r="H8893" s="83">
        <f t="shared" si="185"/>
        <v>0</v>
      </c>
    </row>
    <row r="8894" spans="8:8" hidden="1" x14ac:dyDescent="0.35">
      <c r="H8894" s="83">
        <f t="shared" si="185"/>
        <v>0</v>
      </c>
    </row>
    <row r="8895" spans="8:8" hidden="1" x14ac:dyDescent="0.35">
      <c r="H8895" s="83">
        <f t="shared" si="185"/>
        <v>0</v>
      </c>
    </row>
    <row r="8896" spans="8:8" hidden="1" x14ac:dyDescent="0.35">
      <c r="H8896" s="83">
        <f t="shared" si="185"/>
        <v>0</v>
      </c>
    </row>
    <row r="8897" spans="8:8" hidden="1" x14ac:dyDescent="0.35">
      <c r="H8897" s="83">
        <f t="shared" si="185"/>
        <v>0</v>
      </c>
    </row>
    <row r="8898" spans="8:8" hidden="1" x14ac:dyDescent="0.35">
      <c r="H8898" s="83">
        <f t="shared" si="185"/>
        <v>0</v>
      </c>
    </row>
    <row r="8899" spans="8:8" hidden="1" x14ac:dyDescent="0.35">
      <c r="H8899" s="83">
        <f t="shared" si="185"/>
        <v>0</v>
      </c>
    </row>
    <row r="8900" spans="8:8" hidden="1" x14ac:dyDescent="0.35">
      <c r="H8900" s="83">
        <f t="shared" ref="H8900:H8963" si="186">J8900-I8900</f>
        <v>0</v>
      </c>
    </row>
    <row r="8901" spans="8:8" hidden="1" x14ac:dyDescent="0.35">
      <c r="H8901" s="83">
        <f t="shared" si="186"/>
        <v>0</v>
      </c>
    </row>
    <row r="8902" spans="8:8" hidden="1" x14ac:dyDescent="0.35">
      <c r="H8902" s="83">
        <f t="shared" si="186"/>
        <v>0</v>
      </c>
    </row>
    <row r="8903" spans="8:8" hidden="1" x14ac:dyDescent="0.35">
      <c r="H8903" s="83">
        <f t="shared" si="186"/>
        <v>0</v>
      </c>
    </row>
    <row r="8904" spans="8:8" hidden="1" x14ac:dyDescent="0.35">
      <c r="H8904" s="83">
        <f t="shared" si="186"/>
        <v>0</v>
      </c>
    </row>
    <row r="8905" spans="8:8" hidden="1" x14ac:dyDescent="0.35">
      <c r="H8905" s="83">
        <f t="shared" si="186"/>
        <v>0</v>
      </c>
    </row>
    <row r="8906" spans="8:8" hidden="1" x14ac:dyDescent="0.35">
      <c r="H8906" s="83">
        <f t="shared" si="186"/>
        <v>0</v>
      </c>
    </row>
    <row r="8907" spans="8:8" hidden="1" x14ac:dyDescent="0.35">
      <c r="H8907" s="83">
        <f t="shared" si="186"/>
        <v>0</v>
      </c>
    </row>
    <row r="8908" spans="8:8" hidden="1" x14ac:dyDescent="0.35">
      <c r="H8908" s="83">
        <f t="shared" si="186"/>
        <v>0</v>
      </c>
    </row>
    <row r="8909" spans="8:8" hidden="1" x14ac:dyDescent="0.35">
      <c r="H8909" s="83">
        <f t="shared" si="186"/>
        <v>0</v>
      </c>
    </row>
    <row r="8910" spans="8:8" hidden="1" x14ac:dyDescent="0.35">
      <c r="H8910" s="83">
        <f t="shared" si="186"/>
        <v>0</v>
      </c>
    </row>
    <row r="8911" spans="8:8" hidden="1" x14ac:dyDescent="0.35">
      <c r="H8911" s="83">
        <f t="shared" si="186"/>
        <v>0</v>
      </c>
    </row>
    <row r="8912" spans="8:8" hidden="1" x14ac:dyDescent="0.35">
      <c r="H8912" s="83">
        <f t="shared" si="186"/>
        <v>0</v>
      </c>
    </row>
    <row r="8913" spans="8:8" hidden="1" x14ac:dyDescent="0.35">
      <c r="H8913" s="83">
        <f t="shared" si="186"/>
        <v>0</v>
      </c>
    </row>
    <row r="8914" spans="8:8" hidden="1" x14ac:dyDescent="0.35">
      <c r="H8914" s="83">
        <f t="shared" si="186"/>
        <v>0</v>
      </c>
    </row>
    <row r="8915" spans="8:8" hidden="1" x14ac:dyDescent="0.35">
      <c r="H8915" s="83">
        <f t="shared" si="186"/>
        <v>0</v>
      </c>
    </row>
    <row r="8916" spans="8:8" hidden="1" x14ac:dyDescent="0.35">
      <c r="H8916" s="83">
        <f t="shared" si="186"/>
        <v>0</v>
      </c>
    </row>
    <row r="8917" spans="8:8" hidden="1" x14ac:dyDescent="0.35">
      <c r="H8917" s="83">
        <f t="shared" si="186"/>
        <v>0</v>
      </c>
    </row>
    <row r="8918" spans="8:8" hidden="1" x14ac:dyDescent="0.35">
      <c r="H8918" s="83">
        <f t="shared" si="186"/>
        <v>0</v>
      </c>
    </row>
    <row r="8919" spans="8:8" hidden="1" x14ac:dyDescent="0.35">
      <c r="H8919" s="83">
        <f t="shared" si="186"/>
        <v>0</v>
      </c>
    </row>
    <row r="8920" spans="8:8" hidden="1" x14ac:dyDescent="0.35">
      <c r="H8920" s="83">
        <f t="shared" si="186"/>
        <v>0</v>
      </c>
    </row>
    <row r="8921" spans="8:8" hidden="1" x14ac:dyDescent="0.35">
      <c r="H8921" s="83">
        <f t="shared" si="186"/>
        <v>0</v>
      </c>
    </row>
    <row r="8922" spans="8:8" hidden="1" x14ac:dyDescent="0.35">
      <c r="H8922" s="83">
        <f t="shared" si="186"/>
        <v>0</v>
      </c>
    </row>
    <row r="8923" spans="8:8" hidden="1" x14ac:dyDescent="0.35">
      <c r="H8923" s="83">
        <f t="shared" si="186"/>
        <v>0</v>
      </c>
    </row>
    <row r="8924" spans="8:8" hidden="1" x14ac:dyDescent="0.35">
      <c r="H8924" s="83">
        <f t="shared" si="186"/>
        <v>0</v>
      </c>
    </row>
    <row r="8925" spans="8:8" hidden="1" x14ac:dyDescent="0.35">
      <c r="H8925" s="83">
        <f t="shared" si="186"/>
        <v>0</v>
      </c>
    </row>
    <row r="8926" spans="8:8" hidden="1" x14ac:dyDescent="0.35">
      <c r="H8926" s="83">
        <f t="shared" si="186"/>
        <v>0</v>
      </c>
    </row>
    <row r="8927" spans="8:8" hidden="1" x14ac:dyDescent="0.35">
      <c r="H8927" s="83">
        <f t="shared" si="186"/>
        <v>0</v>
      </c>
    </row>
    <row r="8928" spans="8:8" hidden="1" x14ac:dyDescent="0.35">
      <c r="H8928" s="83">
        <f t="shared" si="186"/>
        <v>0</v>
      </c>
    </row>
    <row r="8929" spans="8:8" hidden="1" x14ac:dyDescent="0.35">
      <c r="H8929" s="83">
        <f t="shared" si="186"/>
        <v>0</v>
      </c>
    </row>
    <row r="8930" spans="8:8" hidden="1" x14ac:dyDescent="0.35">
      <c r="H8930" s="83">
        <f t="shared" si="186"/>
        <v>0</v>
      </c>
    </row>
    <row r="8931" spans="8:8" hidden="1" x14ac:dyDescent="0.35">
      <c r="H8931" s="83">
        <f t="shared" si="186"/>
        <v>0</v>
      </c>
    </row>
    <row r="8932" spans="8:8" hidden="1" x14ac:dyDescent="0.35">
      <c r="H8932" s="83">
        <f t="shared" si="186"/>
        <v>0</v>
      </c>
    </row>
    <row r="8933" spans="8:8" hidden="1" x14ac:dyDescent="0.35">
      <c r="H8933" s="83">
        <f t="shared" si="186"/>
        <v>0</v>
      </c>
    </row>
    <row r="8934" spans="8:8" hidden="1" x14ac:dyDescent="0.35">
      <c r="H8934" s="83">
        <f t="shared" si="186"/>
        <v>0</v>
      </c>
    </row>
    <row r="8935" spans="8:8" hidden="1" x14ac:dyDescent="0.35">
      <c r="H8935" s="83">
        <f t="shared" si="186"/>
        <v>0</v>
      </c>
    </row>
    <row r="8936" spans="8:8" hidden="1" x14ac:dyDescent="0.35">
      <c r="H8936" s="83">
        <f t="shared" si="186"/>
        <v>0</v>
      </c>
    </row>
    <row r="8937" spans="8:8" hidden="1" x14ac:dyDescent="0.35">
      <c r="H8937" s="83">
        <f t="shared" si="186"/>
        <v>0</v>
      </c>
    </row>
    <row r="8938" spans="8:8" hidden="1" x14ac:dyDescent="0.35">
      <c r="H8938" s="83">
        <f t="shared" si="186"/>
        <v>0</v>
      </c>
    </row>
    <row r="8939" spans="8:8" hidden="1" x14ac:dyDescent="0.35">
      <c r="H8939" s="83">
        <f t="shared" si="186"/>
        <v>0</v>
      </c>
    </row>
    <row r="8940" spans="8:8" hidden="1" x14ac:dyDescent="0.35">
      <c r="H8940" s="83">
        <f t="shared" si="186"/>
        <v>0</v>
      </c>
    </row>
    <row r="8941" spans="8:8" hidden="1" x14ac:dyDescent="0.35">
      <c r="H8941" s="83">
        <f t="shared" si="186"/>
        <v>0</v>
      </c>
    </row>
    <row r="8942" spans="8:8" hidden="1" x14ac:dyDescent="0.35">
      <c r="H8942" s="83">
        <f t="shared" si="186"/>
        <v>0</v>
      </c>
    </row>
    <row r="8943" spans="8:8" hidden="1" x14ac:dyDescent="0.35">
      <c r="H8943" s="83">
        <f t="shared" si="186"/>
        <v>0</v>
      </c>
    </row>
    <row r="8944" spans="8:8" hidden="1" x14ac:dyDescent="0.35">
      <c r="H8944" s="83">
        <f t="shared" si="186"/>
        <v>0</v>
      </c>
    </row>
    <row r="8945" spans="8:8" hidden="1" x14ac:dyDescent="0.35">
      <c r="H8945" s="83">
        <f t="shared" si="186"/>
        <v>0</v>
      </c>
    </row>
    <row r="8946" spans="8:8" hidden="1" x14ac:dyDescent="0.35">
      <c r="H8946" s="83">
        <f t="shared" si="186"/>
        <v>0</v>
      </c>
    </row>
    <row r="8947" spans="8:8" hidden="1" x14ac:dyDescent="0.35">
      <c r="H8947" s="83">
        <f t="shared" si="186"/>
        <v>0</v>
      </c>
    </row>
    <row r="8948" spans="8:8" hidden="1" x14ac:dyDescent="0.35">
      <c r="H8948" s="83">
        <f t="shared" si="186"/>
        <v>0</v>
      </c>
    </row>
    <row r="8949" spans="8:8" hidden="1" x14ac:dyDescent="0.35">
      <c r="H8949" s="83">
        <f t="shared" si="186"/>
        <v>0</v>
      </c>
    </row>
    <row r="8950" spans="8:8" hidden="1" x14ac:dyDescent="0.35">
      <c r="H8950" s="83">
        <f t="shared" si="186"/>
        <v>0</v>
      </c>
    </row>
    <row r="8951" spans="8:8" hidden="1" x14ac:dyDescent="0.35">
      <c r="H8951" s="83">
        <f t="shared" si="186"/>
        <v>0</v>
      </c>
    </row>
    <row r="8952" spans="8:8" hidden="1" x14ac:dyDescent="0.35">
      <c r="H8952" s="83">
        <f t="shared" si="186"/>
        <v>0</v>
      </c>
    </row>
    <row r="8953" spans="8:8" hidden="1" x14ac:dyDescent="0.35">
      <c r="H8953" s="83">
        <f t="shared" si="186"/>
        <v>0</v>
      </c>
    </row>
    <row r="8954" spans="8:8" hidden="1" x14ac:dyDescent="0.35">
      <c r="H8954" s="83">
        <f t="shared" si="186"/>
        <v>0</v>
      </c>
    </row>
    <row r="8955" spans="8:8" hidden="1" x14ac:dyDescent="0.35">
      <c r="H8955" s="83">
        <f t="shared" si="186"/>
        <v>0</v>
      </c>
    </row>
    <row r="8956" spans="8:8" hidden="1" x14ac:dyDescent="0.35">
      <c r="H8956" s="83">
        <f t="shared" si="186"/>
        <v>0</v>
      </c>
    </row>
    <row r="8957" spans="8:8" hidden="1" x14ac:dyDescent="0.35">
      <c r="H8957" s="83">
        <f t="shared" si="186"/>
        <v>0</v>
      </c>
    </row>
    <row r="8958" spans="8:8" hidden="1" x14ac:dyDescent="0.35">
      <c r="H8958" s="83">
        <f t="shared" si="186"/>
        <v>0</v>
      </c>
    </row>
    <row r="8959" spans="8:8" hidden="1" x14ac:dyDescent="0.35">
      <c r="H8959" s="83">
        <f t="shared" si="186"/>
        <v>0</v>
      </c>
    </row>
    <row r="8960" spans="8:8" hidden="1" x14ac:dyDescent="0.35">
      <c r="H8960" s="83">
        <f t="shared" si="186"/>
        <v>0</v>
      </c>
    </row>
    <row r="8961" spans="8:8" hidden="1" x14ac:dyDescent="0.35">
      <c r="H8961" s="83">
        <f t="shared" si="186"/>
        <v>0</v>
      </c>
    </row>
    <row r="8962" spans="8:8" hidden="1" x14ac:dyDescent="0.35">
      <c r="H8962" s="83">
        <f t="shared" si="186"/>
        <v>0</v>
      </c>
    </row>
    <row r="8963" spans="8:8" hidden="1" x14ac:dyDescent="0.35">
      <c r="H8963" s="83">
        <f t="shared" si="186"/>
        <v>0</v>
      </c>
    </row>
    <row r="8964" spans="8:8" hidden="1" x14ac:dyDescent="0.35">
      <c r="H8964" s="83">
        <f t="shared" ref="H8964:H9027" si="187">J8964-I8964</f>
        <v>0</v>
      </c>
    </row>
    <row r="8965" spans="8:8" hidden="1" x14ac:dyDescent="0.35">
      <c r="H8965" s="83">
        <f t="shared" si="187"/>
        <v>0</v>
      </c>
    </row>
    <row r="8966" spans="8:8" hidden="1" x14ac:dyDescent="0.35">
      <c r="H8966" s="83">
        <f t="shared" si="187"/>
        <v>0</v>
      </c>
    </row>
    <row r="8967" spans="8:8" hidden="1" x14ac:dyDescent="0.35">
      <c r="H8967" s="83">
        <f t="shared" si="187"/>
        <v>0</v>
      </c>
    </row>
    <row r="8968" spans="8:8" hidden="1" x14ac:dyDescent="0.35">
      <c r="H8968" s="83">
        <f t="shared" si="187"/>
        <v>0</v>
      </c>
    </row>
    <row r="8969" spans="8:8" hidden="1" x14ac:dyDescent="0.35">
      <c r="H8969" s="83">
        <f t="shared" si="187"/>
        <v>0</v>
      </c>
    </row>
    <row r="8970" spans="8:8" hidden="1" x14ac:dyDescent="0.35">
      <c r="H8970" s="83">
        <f t="shared" si="187"/>
        <v>0</v>
      </c>
    </row>
    <row r="8971" spans="8:8" hidden="1" x14ac:dyDescent="0.35">
      <c r="H8971" s="83">
        <f t="shared" si="187"/>
        <v>0</v>
      </c>
    </row>
    <row r="8972" spans="8:8" hidden="1" x14ac:dyDescent="0.35">
      <c r="H8972" s="83">
        <f t="shared" si="187"/>
        <v>0</v>
      </c>
    </row>
    <row r="8973" spans="8:8" hidden="1" x14ac:dyDescent="0.35">
      <c r="H8973" s="83">
        <f t="shared" si="187"/>
        <v>0</v>
      </c>
    </row>
    <row r="8974" spans="8:8" hidden="1" x14ac:dyDescent="0.35">
      <c r="H8974" s="83">
        <f t="shared" si="187"/>
        <v>0</v>
      </c>
    </row>
    <row r="8975" spans="8:8" hidden="1" x14ac:dyDescent="0.35">
      <c r="H8975" s="83">
        <f t="shared" si="187"/>
        <v>0</v>
      </c>
    </row>
    <row r="8976" spans="8:8" hidden="1" x14ac:dyDescent="0.35">
      <c r="H8976" s="83">
        <f t="shared" si="187"/>
        <v>0</v>
      </c>
    </row>
    <row r="8977" spans="8:8" hidden="1" x14ac:dyDescent="0.35">
      <c r="H8977" s="83">
        <f t="shared" si="187"/>
        <v>0</v>
      </c>
    </row>
    <row r="8978" spans="8:8" hidden="1" x14ac:dyDescent="0.35">
      <c r="H8978" s="83">
        <f t="shared" si="187"/>
        <v>0</v>
      </c>
    </row>
    <row r="8979" spans="8:8" hidden="1" x14ac:dyDescent="0.35">
      <c r="H8979" s="83">
        <f t="shared" si="187"/>
        <v>0</v>
      </c>
    </row>
    <row r="8980" spans="8:8" hidden="1" x14ac:dyDescent="0.35">
      <c r="H8980" s="83">
        <f t="shared" si="187"/>
        <v>0</v>
      </c>
    </row>
    <row r="8981" spans="8:8" hidden="1" x14ac:dyDescent="0.35">
      <c r="H8981" s="83">
        <f t="shared" si="187"/>
        <v>0</v>
      </c>
    </row>
    <row r="8982" spans="8:8" hidden="1" x14ac:dyDescent="0.35">
      <c r="H8982" s="83">
        <f t="shared" si="187"/>
        <v>0</v>
      </c>
    </row>
    <row r="8983" spans="8:8" hidden="1" x14ac:dyDescent="0.35">
      <c r="H8983" s="83">
        <f t="shared" si="187"/>
        <v>0</v>
      </c>
    </row>
    <row r="8984" spans="8:8" hidden="1" x14ac:dyDescent="0.35">
      <c r="H8984" s="83">
        <f t="shared" si="187"/>
        <v>0</v>
      </c>
    </row>
    <row r="8985" spans="8:8" hidden="1" x14ac:dyDescent="0.35">
      <c r="H8985" s="83">
        <f t="shared" si="187"/>
        <v>0</v>
      </c>
    </row>
    <row r="8986" spans="8:8" hidden="1" x14ac:dyDescent="0.35">
      <c r="H8986" s="83">
        <f t="shared" si="187"/>
        <v>0</v>
      </c>
    </row>
    <row r="8987" spans="8:8" hidden="1" x14ac:dyDescent="0.35">
      <c r="H8987" s="83">
        <f t="shared" si="187"/>
        <v>0</v>
      </c>
    </row>
    <row r="8988" spans="8:8" hidden="1" x14ac:dyDescent="0.35">
      <c r="H8988" s="83">
        <f t="shared" si="187"/>
        <v>0</v>
      </c>
    </row>
    <row r="8989" spans="8:8" hidden="1" x14ac:dyDescent="0.35">
      <c r="H8989" s="83">
        <f t="shared" si="187"/>
        <v>0</v>
      </c>
    </row>
    <row r="8990" spans="8:8" hidden="1" x14ac:dyDescent="0.35">
      <c r="H8990" s="83">
        <f t="shared" si="187"/>
        <v>0</v>
      </c>
    </row>
    <row r="8991" spans="8:8" hidden="1" x14ac:dyDescent="0.35">
      <c r="H8991" s="83">
        <f t="shared" si="187"/>
        <v>0</v>
      </c>
    </row>
    <row r="8992" spans="8:8" hidden="1" x14ac:dyDescent="0.35">
      <c r="H8992" s="83">
        <f t="shared" si="187"/>
        <v>0</v>
      </c>
    </row>
    <row r="8993" spans="8:8" hidden="1" x14ac:dyDescent="0.35">
      <c r="H8993" s="83">
        <f t="shared" si="187"/>
        <v>0</v>
      </c>
    </row>
    <row r="8994" spans="8:8" hidden="1" x14ac:dyDescent="0.35">
      <c r="H8994" s="83">
        <f t="shared" si="187"/>
        <v>0</v>
      </c>
    </row>
    <row r="8995" spans="8:8" hidden="1" x14ac:dyDescent="0.35">
      <c r="H8995" s="83">
        <f t="shared" si="187"/>
        <v>0</v>
      </c>
    </row>
    <row r="8996" spans="8:8" hidden="1" x14ac:dyDescent="0.35">
      <c r="H8996" s="83">
        <f t="shared" si="187"/>
        <v>0</v>
      </c>
    </row>
    <row r="8997" spans="8:8" hidden="1" x14ac:dyDescent="0.35">
      <c r="H8997" s="83">
        <f t="shared" si="187"/>
        <v>0</v>
      </c>
    </row>
    <row r="8998" spans="8:8" hidden="1" x14ac:dyDescent="0.35">
      <c r="H8998" s="83">
        <f t="shared" si="187"/>
        <v>0</v>
      </c>
    </row>
    <row r="8999" spans="8:8" hidden="1" x14ac:dyDescent="0.35">
      <c r="H8999" s="83">
        <f t="shared" si="187"/>
        <v>0</v>
      </c>
    </row>
    <row r="9000" spans="8:8" hidden="1" x14ac:dyDescent="0.35">
      <c r="H9000" s="83">
        <f t="shared" si="187"/>
        <v>0</v>
      </c>
    </row>
    <row r="9001" spans="8:8" hidden="1" x14ac:dyDescent="0.35">
      <c r="H9001" s="83">
        <f t="shared" si="187"/>
        <v>0</v>
      </c>
    </row>
    <row r="9002" spans="8:8" hidden="1" x14ac:dyDescent="0.35">
      <c r="H9002" s="83">
        <f t="shared" si="187"/>
        <v>0</v>
      </c>
    </row>
    <row r="9003" spans="8:8" hidden="1" x14ac:dyDescent="0.35">
      <c r="H9003" s="83">
        <f t="shared" si="187"/>
        <v>0</v>
      </c>
    </row>
    <row r="9004" spans="8:8" hidden="1" x14ac:dyDescent="0.35">
      <c r="H9004" s="83">
        <f t="shared" si="187"/>
        <v>0</v>
      </c>
    </row>
    <row r="9005" spans="8:8" hidden="1" x14ac:dyDescent="0.35">
      <c r="H9005" s="83">
        <f t="shared" si="187"/>
        <v>0</v>
      </c>
    </row>
    <row r="9006" spans="8:8" hidden="1" x14ac:dyDescent="0.35">
      <c r="H9006" s="83">
        <f t="shared" si="187"/>
        <v>0</v>
      </c>
    </row>
    <row r="9007" spans="8:8" hidden="1" x14ac:dyDescent="0.35">
      <c r="H9007" s="83">
        <f t="shared" si="187"/>
        <v>0</v>
      </c>
    </row>
    <row r="9008" spans="8:8" hidden="1" x14ac:dyDescent="0.35">
      <c r="H9008" s="83">
        <f t="shared" si="187"/>
        <v>0</v>
      </c>
    </row>
    <row r="9009" spans="8:8" hidden="1" x14ac:dyDescent="0.35">
      <c r="H9009" s="83">
        <f t="shared" si="187"/>
        <v>0</v>
      </c>
    </row>
    <row r="9010" spans="8:8" hidden="1" x14ac:dyDescent="0.35">
      <c r="H9010" s="83">
        <f t="shared" si="187"/>
        <v>0</v>
      </c>
    </row>
    <row r="9011" spans="8:8" hidden="1" x14ac:dyDescent="0.35">
      <c r="H9011" s="83">
        <f t="shared" si="187"/>
        <v>0</v>
      </c>
    </row>
    <row r="9012" spans="8:8" hidden="1" x14ac:dyDescent="0.35">
      <c r="H9012" s="83">
        <f t="shared" si="187"/>
        <v>0</v>
      </c>
    </row>
    <row r="9013" spans="8:8" hidden="1" x14ac:dyDescent="0.35">
      <c r="H9013" s="83">
        <f t="shared" si="187"/>
        <v>0</v>
      </c>
    </row>
    <row r="9014" spans="8:8" hidden="1" x14ac:dyDescent="0.35">
      <c r="H9014" s="83">
        <f t="shared" si="187"/>
        <v>0</v>
      </c>
    </row>
    <row r="9015" spans="8:8" hidden="1" x14ac:dyDescent="0.35">
      <c r="H9015" s="83">
        <f t="shared" si="187"/>
        <v>0</v>
      </c>
    </row>
    <row r="9016" spans="8:8" hidden="1" x14ac:dyDescent="0.35">
      <c r="H9016" s="83">
        <f t="shared" si="187"/>
        <v>0</v>
      </c>
    </row>
    <row r="9017" spans="8:8" hidden="1" x14ac:dyDescent="0.35">
      <c r="H9017" s="83">
        <f t="shared" si="187"/>
        <v>0</v>
      </c>
    </row>
    <row r="9018" spans="8:8" hidden="1" x14ac:dyDescent="0.35">
      <c r="H9018" s="83">
        <f t="shared" si="187"/>
        <v>0</v>
      </c>
    </row>
    <row r="9019" spans="8:8" hidden="1" x14ac:dyDescent="0.35">
      <c r="H9019" s="83">
        <f t="shared" si="187"/>
        <v>0</v>
      </c>
    </row>
    <row r="9020" spans="8:8" hidden="1" x14ac:dyDescent="0.35">
      <c r="H9020" s="83">
        <f t="shared" si="187"/>
        <v>0</v>
      </c>
    </row>
    <row r="9021" spans="8:8" hidden="1" x14ac:dyDescent="0.35">
      <c r="H9021" s="83">
        <f t="shared" si="187"/>
        <v>0</v>
      </c>
    </row>
    <row r="9022" spans="8:8" hidden="1" x14ac:dyDescent="0.35">
      <c r="H9022" s="83">
        <f t="shared" si="187"/>
        <v>0</v>
      </c>
    </row>
    <row r="9023" spans="8:8" hidden="1" x14ac:dyDescent="0.35">
      <c r="H9023" s="83">
        <f t="shared" si="187"/>
        <v>0</v>
      </c>
    </row>
    <row r="9024" spans="8:8" hidden="1" x14ac:dyDescent="0.35">
      <c r="H9024" s="83">
        <f t="shared" si="187"/>
        <v>0</v>
      </c>
    </row>
    <row r="9025" spans="8:8" hidden="1" x14ac:dyDescent="0.35">
      <c r="H9025" s="83">
        <f t="shared" si="187"/>
        <v>0</v>
      </c>
    </row>
    <row r="9026" spans="8:8" hidden="1" x14ac:dyDescent="0.35">
      <c r="H9026" s="83">
        <f t="shared" si="187"/>
        <v>0</v>
      </c>
    </row>
    <row r="9027" spans="8:8" hidden="1" x14ac:dyDescent="0.35">
      <c r="H9027" s="83">
        <f t="shared" si="187"/>
        <v>0</v>
      </c>
    </row>
    <row r="9028" spans="8:8" hidden="1" x14ac:dyDescent="0.35">
      <c r="H9028" s="83">
        <f t="shared" ref="H9028:H9091" si="188">J9028-I9028</f>
        <v>0</v>
      </c>
    </row>
    <row r="9029" spans="8:8" hidden="1" x14ac:dyDescent="0.35">
      <c r="H9029" s="83">
        <f t="shared" si="188"/>
        <v>0</v>
      </c>
    </row>
    <row r="9030" spans="8:8" hidden="1" x14ac:dyDescent="0.35">
      <c r="H9030" s="83">
        <f t="shared" si="188"/>
        <v>0</v>
      </c>
    </row>
    <row r="9031" spans="8:8" hidden="1" x14ac:dyDescent="0.35">
      <c r="H9031" s="83">
        <f t="shared" si="188"/>
        <v>0</v>
      </c>
    </row>
    <row r="9032" spans="8:8" hidden="1" x14ac:dyDescent="0.35">
      <c r="H9032" s="83">
        <f t="shared" si="188"/>
        <v>0</v>
      </c>
    </row>
    <row r="9033" spans="8:8" hidden="1" x14ac:dyDescent="0.35">
      <c r="H9033" s="83">
        <f t="shared" si="188"/>
        <v>0</v>
      </c>
    </row>
    <row r="9034" spans="8:8" hidden="1" x14ac:dyDescent="0.35">
      <c r="H9034" s="83">
        <f t="shared" si="188"/>
        <v>0</v>
      </c>
    </row>
    <row r="9035" spans="8:8" hidden="1" x14ac:dyDescent="0.35">
      <c r="H9035" s="83">
        <f t="shared" si="188"/>
        <v>0</v>
      </c>
    </row>
    <row r="9036" spans="8:8" hidden="1" x14ac:dyDescent="0.35">
      <c r="H9036" s="83">
        <f t="shared" si="188"/>
        <v>0</v>
      </c>
    </row>
    <row r="9037" spans="8:8" hidden="1" x14ac:dyDescent="0.35">
      <c r="H9037" s="83">
        <f t="shared" si="188"/>
        <v>0</v>
      </c>
    </row>
    <row r="9038" spans="8:8" hidden="1" x14ac:dyDescent="0.35">
      <c r="H9038" s="83">
        <f t="shared" si="188"/>
        <v>0</v>
      </c>
    </row>
    <row r="9039" spans="8:8" hidden="1" x14ac:dyDescent="0.35">
      <c r="H9039" s="83">
        <f t="shared" si="188"/>
        <v>0</v>
      </c>
    </row>
    <row r="9040" spans="8:8" hidden="1" x14ac:dyDescent="0.35">
      <c r="H9040" s="83">
        <f t="shared" si="188"/>
        <v>0</v>
      </c>
    </row>
    <row r="9041" spans="8:8" hidden="1" x14ac:dyDescent="0.35">
      <c r="H9041" s="83">
        <f t="shared" si="188"/>
        <v>0</v>
      </c>
    </row>
    <row r="9042" spans="8:8" hidden="1" x14ac:dyDescent="0.35">
      <c r="H9042" s="83">
        <f t="shared" si="188"/>
        <v>0</v>
      </c>
    </row>
    <row r="9043" spans="8:8" hidden="1" x14ac:dyDescent="0.35">
      <c r="H9043" s="83">
        <f t="shared" si="188"/>
        <v>0</v>
      </c>
    </row>
    <row r="9044" spans="8:8" hidden="1" x14ac:dyDescent="0.35">
      <c r="H9044" s="83">
        <f t="shared" si="188"/>
        <v>0</v>
      </c>
    </row>
    <row r="9045" spans="8:8" hidden="1" x14ac:dyDescent="0.35">
      <c r="H9045" s="83">
        <f t="shared" si="188"/>
        <v>0</v>
      </c>
    </row>
    <row r="9046" spans="8:8" hidden="1" x14ac:dyDescent="0.35">
      <c r="H9046" s="83">
        <f t="shared" si="188"/>
        <v>0</v>
      </c>
    </row>
    <row r="9047" spans="8:8" hidden="1" x14ac:dyDescent="0.35">
      <c r="H9047" s="83">
        <f t="shared" si="188"/>
        <v>0</v>
      </c>
    </row>
    <row r="9048" spans="8:8" hidden="1" x14ac:dyDescent="0.35">
      <c r="H9048" s="83">
        <f t="shared" si="188"/>
        <v>0</v>
      </c>
    </row>
    <row r="9049" spans="8:8" hidden="1" x14ac:dyDescent="0.35">
      <c r="H9049" s="83">
        <f t="shared" si="188"/>
        <v>0</v>
      </c>
    </row>
    <row r="9050" spans="8:8" hidden="1" x14ac:dyDescent="0.35">
      <c r="H9050" s="83">
        <f t="shared" si="188"/>
        <v>0</v>
      </c>
    </row>
    <row r="9051" spans="8:8" hidden="1" x14ac:dyDescent="0.35">
      <c r="H9051" s="83">
        <f t="shared" si="188"/>
        <v>0</v>
      </c>
    </row>
    <row r="9052" spans="8:8" hidden="1" x14ac:dyDescent="0.35">
      <c r="H9052" s="83">
        <f t="shared" si="188"/>
        <v>0</v>
      </c>
    </row>
    <row r="9053" spans="8:8" hidden="1" x14ac:dyDescent="0.35">
      <c r="H9053" s="83">
        <f t="shared" si="188"/>
        <v>0</v>
      </c>
    </row>
    <row r="9054" spans="8:8" hidden="1" x14ac:dyDescent="0.35">
      <c r="H9054" s="83">
        <f t="shared" si="188"/>
        <v>0</v>
      </c>
    </row>
    <row r="9055" spans="8:8" hidden="1" x14ac:dyDescent="0.35">
      <c r="H9055" s="83">
        <f t="shared" si="188"/>
        <v>0</v>
      </c>
    </row>
    <row r="9056" spans="8:8" hidden="1" x14ac:dyDescent="0.35">
      <c r="H9056" s="83">
        <f t="shared" si="188"/>
        <v>0</v>
      </c>
    </row>
    <row r="9057" spans="8:8" hidden="1" x14ac:dyDescent="0.35">
      <c r="H9057" s="83">
        <f t="shared" si="188"/>
        <v>0</v>
      </c>
    </row>
    <row r="9058" spans="8:8" hidden="1" x14ac:dyDescent="0.35">
      <c r="H9058" s="83">
        <f t="shared" si="188"/>
        <v>0</v>
      </c>
    </row>
    <row r="9059" spans="8:8" hidden="1" x14ac:dyDescent="0.35">
      <c r="H9059" s="83">
        <f t="shared" si="188"/>
        <v>0</v>
      </c>
    </row>
    <row r="9060" spans="8:8" hidden="1" x14ac:dyDescent="0.35">
      <c r="H9060" s="83">
        <f t="shared" si="188"/>
        <v>0</v>
      </c>
    </row>
    <row r="9061" spans="8:8" hidden="1" x14ac:dyDescent="0.35">
      <c r="H9061" s="83">
        <f t="shared" si="188"/>
        <v>0</v>
      </c>
    </row>
    <row r="9062" spans="8:8" hidden="1" x14ac:dyDescent="0.35">
      <c r="H9062" s="83">
        <f t="shared" si="188"/>
        <v>0</v>
      </c>
    </row>
    <row r="9063" spans="8:8" hidden="1" x14ac:dyDescent="0.35">
      <c r="H9063" s="83">
        <f t="shared" si="188"/>
        <v>0</v>
      </c>
    </row>
    <row r="9064" spans="8:8" hidden="1" x14ac:dyDescent="0.35">
      <c r="H9064" s="83">
        <f t="shared" si="188"/>
        <v>0</v>
      </c>
    </row>
    <row r="9065" spans="8:8" hidden="1" x14ac:dyDescent="0.35">
      <c r="H9065" s="83">
        <f t="shared" si="188"/>
        <v>0</v>
      </c>
    </row>
    <row r="9066" spans="8:8" hidden="1" x14ac:dyDescent="0.35">
      <c r="H9066" s="83">
        <f t="shared" si="188"/>
        <v>0</v>
      </c>
    </row>
    <row r="9067" spans="8:8" hidden="1" x14ac:dyDescent="0.35">
      <c r="H9067" s="83">
        <f t="shared" si="188"/>
        <v>0</v>
      </c>
    </row>
    <row r="9068" spans="8:8" hidden="1" x14ac:dyDescent="0.35">
      <c r="H9068" s="83">
        <f t="shared" si="188"/>
        <v>0</v>
      </c>
    </row>
    <row r="9069" spans="8:8" hidden="1" x14ac:dyDescent="0.35">
      <c r="H9069" s="83">
        <f t="shared" si="188"/>
        <v>0</v>
      </c>
    </row>
    <row r="9070" spans="8:8" hidden="1" x14ac:dyDescent="0.35">
      <c r="H9070" s="83">
        <f t="shared" si="188"/>
        <v>0</v>
      </c>
    </row>
    <row r="9071" spans="8:8" hidden="1" x14ac:dyDescent="0.35">
      <c r="H9071" s="83">
        <f t="shared" si="188"/>
        <v>0</v>
      </c>
    </row>
    <row r="9072" spans="8:8" hidden="1" x14ac:dyDescent="0.35">
      <c r="H9072" s="83">
        <f t="shared" si="188"/>
        <v>0</v>
      </c>
    </row>
    <row r="9073" spans="8:8" hidden="1" x14ac:dyDescent="0.35">
      <c r="H9073" s="83">
        <f t="shared" si="188"/>
        <v>0</v>
      </c>
    </row>
    <row r="9074" spans="8:8" hidden="1" x14ac:dyDescent="0.35">
      <c r="H9074" s="83">
        <f t="shared" si="188"/>
        <v>0</v>
      </c>
    </row>
    <row r="9075" spans="8:8" hidden="1" x14ac:dyDescent="0.35">
      <c r="H9075" s="83">
        <f t="shared" si="188"/>
        <v>0</v>
      </c>
    </row>
    <row r="9076" spans="8:8" hidden="1" x14ac:dyDescent="0.35">
      <c r="H9076" s="83">
        <f t="shared" si="188"/>
        <v>0</v>
      </c>
    </row>
    <row r="9077" spans="8:8" hidden="1" x14ac:dyDescent="0.35">
      <c r="H9077" s="83">
        <f t="shared" si="188"/>
        <v>0</v>
      </c>
    </row>
    <row r="9078" spans="8:8" hidden="1" x14ac:dyDescent="0.35">
      <c r="H9078" s="83">
        <f t="shared" si="188"/>
        <v>0</v>
      </c>
    </row>
    <row r="9079" spans="8:8" hidden="1" x14ac:dyDescent="0.35">
      <c r="H9079" s="83">
        <f t="shared" si="188"/>
        <v>0</v>
      </c>
    </row>
    <row r="9080" spans="8:8" hidden="1" x14ac:dyDescent="0.35">
      <c r="H9080" s="83">
        <f t="shared" si="188"/>
        <v>0</v>
      </c>
    </row>
    <row r="9081" spans="8:8" hidden="1" x14ac:dyDescent="0.35">
      <c r="H9081" s="83">
        <f t="shared" si="188"/>
        <v>0</v>
      </c>
    </row>
    <row r="9082" spans="8:8" hidden="1" x14ac:dyDescent="0.35">
      <c r="H9082" s="83">
        <f t="shared" si="188"/>
        <v>0</v>
      </c>
    </row>
    <row r="9083" spans="8:8" hidden="1" x14ac:dyDescent="0.35">
      <c r="H9083" s="83">
        <f t="shared" si="188"/>
        <v>0</v>
      </c>
    </row>
    <row r="9084" spans="8:8" hidden="1" x14ac:dyDescent="0.35">
      <c r="H9084" s="83">
        <f t="shared" si="188"/>
        <v>0</v>
      </c>
    </row>
    <row r="9085" spans="8:8" hidden="1" x14ac:dyDescent="0.35">
      <c r="H9085" s="83">
        <f t="shared" si="188"/>
        <v>0</v>
      </c>
    </row>
    <row r="9086" spans="8:8" hidden="1" x14ac:dyDescent="0.35">
      <c r="H9086" s="83">
        <f t="shared" si="188"/>
        <v>0</v>
      </c>
    </row>
    <row r="9087" spans="8:8" hidden="1" x14ac:dyDescent="0.35">
      <c r="H9087" s="83">
        <f t="shared" si="188"/>
        <v>0</v>
      </c>
    </row>
    <row r="9088" spans="8:8" hidden="1" x14ac:dyDescent="0.35">
      <c r="H9088" s="83">
        <f t="shared" si="188"/>
        <v>0</v>
      </c>
    </row>
    <row r="9089" spans="8:8" hidden="1" x14ac:dyDescent="0.35">
      <c r="H9089" s="83">
        <f t="shared" si="188"/>
        <v>0</v>
      </c>
    </row>
    <row r="9090" spans="8:8" hidden="1" x14ac:dyDescent="0.35">
      <c r="H9090" s="83">
        <f t="shared" si="188"/>
        <v>0</v>
      </c>
    </row>
    <row r="9091" spans="8:8" hidden="1" x14ac:dyDescent="0.35">
      <c r="H9091" s="83">
        <f t="shared" si="188"/>
        <v>0</v>
      </c>
    </row>
    <row r="9092" spans="8:8" hidden="1" x14ac:dyDescent="0.35">
      <c r="H9092" s="83">
        <f t="shared" ref="H9092:H9155" si="189">J9092-I9092</f>
        <v>0</v>
      </c>
    </row>
    <row r="9093" spans="8:8" hidden="1" x14ac:dyDescent="0.35">
      <c r="H9093" s="83">
        <f t="shared" si="189"/>
        <v>0</v>
      </c>
    </row>
    <row r="9094" spans="8:8" hidden="1" x14ac:dyDescent="0.35">
      <c r="H9094" s="83">
        <f t="shared" si="189"/>
        <v>0</v>
      </c>
    </row>
    <row r="9095" spans="8:8" hidden="1" x14ac:dyDescent="0.35">
      <c r="H9095" s="83">
        <f t="shared" si="189"/>
        <v>0</v>
      </c>
    </row>
    <row r="9096" spans="8:8" hidden="1" x14ac:dyDescent="0.35">
      <c r="H9096" s="83">
        <f t="shared" si="189"/>
        <v>0</v>
      </c>
    </row>
    <row r="9097" spans="8:8" hidden="1" x14ac:dyDescent="0.35">
      <c r="H9097" s="83">
        <f t="shared" si="189"/>
        <v>0</v>
      </c>
    </row>
    <row r="9098" spans="8:8" hidden="1" x14ac:dyDescent="0.35">
      <c r="H9098" s="83">
        <f t="shared" si="189"/>
        <v>0</v>
      </c>
    </row>
    <row r="9099" spans="8:8" hidden="1" x14ac:dyDescent="0.35">
      <c r="H9099" s="83">
        <f t="shared" si="189"/>
        <v>0</v>
      </c>
    </row>
    <row r="9100" spans="8:8" hidden="1" x14ac:dyDescent="0.35">
      <c r="H9100" s="83">
        <f t="shared" si="189"/>
        <v>0</v>
      </c>
    </row>
    <row r="9101" spans="8:8" hidden="1" x14ac:dyDescent="0.35">
      <c r="H9101" s="83">
        <f t="shared" si="189"/>
        <v>0</v>
      </c>
    </row>
    <row r="9102" spans="8:8" hidden="1" x14ac:dyDescent="0.35">
      <c r="H9102" s="83">
        <f t="shared" si="189"/>
        <v>0</v>
      </c>
    </row>
    <row r="9103" spans="8:8" hidden="1" x14ac:dyDescent="0.35">
      <c r="H9103" s="83">
        <f t="shared" si="189"/>
        <v>0</v>
      </c>
    </row>
    <row r="9104" spans="8:8" hidden="1" x14ac:dyDescent="0.35">
      <c r="H9104" s="83">
        <f t="shared" si="189"/>
        <v>0</v>
      </c>
    </row>
    <row r="9105" spans="8:8" hidden="1" x14ac:dyDescent="0.35">
      <c r="H9105" s="83">
        <f t="shared" si="189"/>
        <v>0</v>
      </c>
    </row>
    <row r="9106" spans="8:8" hidden="1" x14ac:dyDescent="0.35">
      <c r="H9106" s="83">
        <f t="shared" si="189"/>
        <v>0</v>
      </c>
    </row>
    <row r="9107" spans="8:8" hidden="1" x14ac:dyDescent="0.35">
      <c r="H9107" s="83">
        <f t="shared" si="189"/>
        <v>0</v>
      </c>
    </row>
    <row r="9108" spans="8:8" hidden="1" x14ac:dyDescent="0.35">
      <c r="H9108" s="83">
        <f t="shared" si="189"/>
        <v>0</v>
      </c>
    </row>
    <row r="9109" spans="8:8" hidden="1" x14ac:dyDescent="0.35">
      <c r="H9109" s="83">
        <f t="shared" si="189"/>
        <v>0</v>
      </c>
    </row>
    <row r="9110" spans="8:8" hidden="1" x14ac:dyDescent="0.35">
      <c r="H9110" s="83">
        <f t="shared" si="189"/>
        <v>0</v>
      </c>
    </row>
    <row r="9111" spans="8:8" hidden="1" x14ac:dyDescent="0.35">
      <c r="H9111" s="83">
        <f t="shared" si="189"/>
        <v>0</v>
      </c>
    </row>
    <row r="9112" spans="8:8" hidden="1" x14ac:dyDescent="0.35">
      <c r="H9112" s="83">
        <f t="shared" si="189"/>
        <v>0</v>
      </c>
    </row>
    <row r="9113" spans="8:8" hidden="1" x14ac:dyDescent="0.35">
      <c r="H9113" s="83">
        <f t="shared" si="189"/>
        <v>0</v>
      </c>
    </row>
    <row r="9114" spans="8:8" hidden="1" x14ac:dyDescent="0.35">
      <c r="H9114" s="83">
        <f t="shared" si="189"/>
        <v>0</v>
      </c>
    </row>
    <row r="9115" spans="8:8" hidden="1" x14ac:dyDescent="0.35">
      <c r="H9115" s="83">
        <f t="shared" si="189"/>
        <v>0</v>
      </c>
    </row>
    <row r="9116" spans="8:8" hidden="1" x14ac:dyDescent="0.35">
      <c r="H9116" s="83">
        <f t="shared" si="189"/>
        <v>0</v>
      </c>
    </row>
    <row r="9117" spans="8:8" hidden="1" x14ac:dyDescent="0.35">
      <c r="H9117" s="83">
        <f t="shared" si="189"/>
        <v>0</v>
      </c>
    </row>
    <row r="9118" spans="8:8" hidden="1" x14ac:dyDescent="0.35">
      <c r="H9118" s="83">
        <f t="shared" si="189"/>
        <v>0</v>
      </c>
    </row>
    <row r="9119" spans="8:8" hidden="1" x14ac:dyDescent="0.35">
      <c r="H9119" s="83">
        <f t="shared" si="189"/>
        <v>0</v>
      </c>
    </row>
    <row r="9120" spans="8:8" hidden="1" x14ac:dyDescent="0.35">
      <c r="H9120" s="83">
        <f t="shared" si="189"/>
        <v>0</v>
      </c>
    </row>
    <row r="9121" spans="8:8" hidden="1" x14ac:dyDescent="0.35">
      <c r="H9121" s="83">
        <f t="shared" si="189"/>
        <v>0</v>
      </c>
    </row>
    <row r="9122" spans="8:8" hidden="1" x14ac:dyDescent="0.35">
      <c r="H9122" s="83">
        <f t="shared" si="189"/>
        <v>0</v>
      </c>
    </row>
    <row r="9123" spans="8:8" hidden="1" x14ac:dyDescent="0.35">
      <c r="H9123" s="83">
        <f t="shared" si="189"/>
        <v>0</v>
      </c>
    </row>
    <row r="9124" spans="8:8" hidden="1" x14ac:dyDescent="0.35">
      <c r="H9124" s="83">
        <f t="shared" si="189"/>
        <v>0</v>
      </c>
    </row>
    <row r="9125" spans="8:8" hidden="1" x14ac:dyDescent="0.35">
      <c r="H9125" s="83">
        <f t="shared" si="189"/>
        <v>0</v>
      </c>
    </row>
    <row r="9126" spans="8:8" hidden="1" x14ac:dyDescent="0.35">
      <c r="H9126" s="83">
        <f t="shared" si="189"/>
        <v>0</v>
      </c>
    </row>
    <row r="9127" spans="8:8" hidden="1" x14ac:dyDescent="0.35">
      <c r="H9127" s="83">
        <f t="shared" si="189"/>
        <v>0</v>
      </c>
    </row>
    <row r="9128" spans="8:8" hidden="1" x14ac:dyDescent="0.35">
      <c r="H9128" s="83">
        <f t="shared" si="189"/>
        <v>0</v>
      </c>
    </row>
    <row r="9129" spans="8:8" hidden="1" x14ac:dyDescent="0.35">
      <c r="H9129" s="83">
        <f t="shared" si="189"/>
        <v>0</v>
      </c>
    </row>
    <row r="9130" spans="8:8" hidden="1" x14ac:dyDescent="0.35">
      <c r="H9130" s="83">
        <f t="shared" si="189"/>
        <v>0</v>
      </c>
    </row>
    <row r="9131" spans="8:8" hidden="1" x14ac:dyDescent="0.35">
      <c r="H9131" s="83">
        <f t="shared" si="189"/>
        <v>0</v>
      </c>
    </row>
    <row r="9132" spans="8:8" hidden="1" x14ac:dyDescent="0.35">
      <c r="H9132" s="83">
        <f t="shared" si="189"/>
        <v>0</v>
      </c>
    </row>
    <row r="9133" spans="8:8" hidden="1" x14ac:dyDescent="0.35">
      <c r="H9133" s="83">
        <f t="shared" si="189"/>
        <v>0</v>
      </c>
    </row>
    <row r="9134" spans="8:8" hidden="1" x14ac:dyDescent="0.35">
      <c r="H9134" s="83">
        <f t="shared" si="189"/>
        <v>0</v>
      </c>
    </row>
    <row r="9135" spans="8:8" hidden="1" x14ac:dyDescent="0.35">
      <c r="H9135" s="83">
        <f t="shared" si="189"/>
        <v>0</v>
      </c>
    </row>
    <row r="9136" spans="8:8" hidden="1" x14ac:dyDescent="0.35">
      <c r="H9136" s="83">
        <f t="shared" si="189"/>
        <v>0</v>
      </c>
    </row>
    <row r="9137" spans="8:8" hidden="1" x14ac:dyDescent="0.35">
      <c r="H9137" s="83">
        <f t="shared" si="189"/>
        <v>0</v>
      </c>
    </row>
    <row r="9138" spans="8:8" hidden="1" x14ac:dyDescent="0.35">
      <c r="H9138" s="83">
        <f t="shared" si="189"/>
        <v>0</v>
      </c>
    </row>
    <row r="9139" spans="8:8" hidden="1" x14ac:dyDescent="0.35">
      <c r="H9139" s="83">
        <f t="shared" si="189"/>
        <v>0</v>
      </c>
    </row>
    <row r="9140" spans="8:8" hidden="1" x14ac:dyDescent="0.35">
      <c r="H9140" s="83">
        <f t="shared" si="189"/>
        <v>0</v>
      </c>
    </row>
    <row r="9141" spans="8:8" hidden="1" x14ac:dyDescent="0.35">
      <c r="H9141" s="83">
        <f t="shared" si="189"/>
        <v>0</v>
      </c>
    </row>
    <row r="9142" spans="8:8" hidden="1" x14ac:dyDescent="0.35">
      <c r="H9142" s="83">
        <f t="shared" si="189"/>
        <v>0</v>
      </c>
    </row>
    <row r="9143" spans="8:8" hidden="1" x14ac:dyDescent="0.35">
      <c r="H9143" s="83">
        <f t="shared" si="189"/>
        <v>0</v>
      </c>
    </row>
    <row r="9144" spans="8:8" hidden="1" x14ac:dyDescent="0.35">
      <c r="H9144" s="83">
        <f t="shared" si="189"/>
        <v>0</v>
      </c>
    </row>
    <row r="9145" spans="8:8" hidden="1" x14ac:dyDescent="0.35">
      <c r="H9145" s="83">
        <f t="shared" si="189"/>
        <v>0</v>
      </c>
    </row>
    <row r="9146" spans="8:8" hidden="1" x14ac:dyDescent="0.35">
      <c r="H9146" s="83">
        <f t="shared" si="189"/>
        <v>0</v>
      </c>
    </row>
    <row r="9147" spans="8:8" hidden="1" x14ac:dyDescent="0.35">
      <c r="H9147" s="83">
        <f t="shared" si="189"/>
        <v>0</v>
      </c>
    </row>
    <row r="9148" spans="8:8" hidden="1" x14ac:dyDescent="0.35">
      <c r="H9148" s="83">
        <f t="shared" si="189"/>
        <v>0</v>
      </c>
    </row>
    <row r="9149" spans="8:8" hidden="1" x14ac:dyDescent="0.35">
      <c r="H9149" s="83">
        <f t="shared" si="189"/>
        <v>0</v>
      </c>
    </row>
    <row r="9150" spans="8:8" hidden="1" x14ac:dyDescent="0.35">
      <c r="H9150" s="83">
        <f t="shared" si="189"/>
        <v>0</v>
      </c>
    </row>
    <row r="9151" spans="8:8" hidden="1" x14ac:dyDescent="0.35">
      <c r="H9151" s="83">
        <f t="shared" si="189"/>
        <v>0</v>
      </c>
    </row>
    <row r="9152" spans="8:8" hidden="1" x14ac:dyDescent="0.35">
      <c r="H9152" s="83">
        <f t="shared" si="189"/>
        <v>0</v>
      </c>
    </row>
    <row r="9153" spans="8:8" hidden="1" x14ac:dyDescent="0.35">
      <c r="H9153" s="83">
        <f t="shared" si="189"/>
        <v>0</v>
      </c>
    </row>
    <row r="9154" spans="8:8" hidden="1" x14ac:dyDescent="0.35">
      <c r="H9154" s="83">
        <f t="shared" si="189"/>
        <v>0</v>
      </c>
    </row>
    <row r="9155" spans="8:8" hidden="1" x14ac:dyDescent="0.35">
      <c r="H9155" s="83">
        <f t="shared" si="189"/>
        <v>0</v>
      </c>
    </row>
    <row r="9156" spans="8:8" hidden="1" x14ac:dyDescent="0.35">
      <c r="H9156" s="83">
        <f t="shared" ref="H9156:H9219" si="190">J9156-I9156</f>
        <v>0</v>
      </c>
    </row>
    <row r="9157" spans="8:8" hidden="1" x14ac:dyDescent="0.35">
      <c r="H9157" s="83">
        <f t="shared" si="190"/>
        <v>0</v>
      </c>
    </row>
    <row r="9158" spans="8:8" hidden="1" x14ac:dyDescent="0.35">
      <c r="H9158" s="83">
        <f t="shared" si="190"/>
        <v>0</v>
      </c>
    </row>
    <row r="9159" spans="8:8" hidden="1" x14ac:dyDescent="0.35">
      <c r="H9159" s="83">
        <f t="shared" si="190"/>
        <v>0</v>
      </c>
    </row>
    <row r="9160" spans="8:8" hidden="1" x14ac:dyDescent="0.35">
      <c r="H9160" s="83">
        <f t="shared" si="190"/>
        <v>0</v>
      </c>
    </row>
    <row r="9161" spans="8:8" hidden="1" x14ac:dyDescent="0.35">
      <c r="H9161" s="83">
        <f t="shared" si="190"/>
        <v>0</v>
      </c>
    </row>
    <row r="9162" spans="8:8" hidden="1" x14ac:dyDescent="0.35">
      <c r="H9162" s="83">
        <f t="shared" si="190"/>
        <v>0</v>
      </c>
    </row>
    <row r="9163" spans="8:8" hidden="1" x14ac:dyDescent="0.35">
      <c r="H9163" s="83">
        <f t="shared" si="190"/>
        <v>0</v>
      </c>
    </row>
    <row r="9164" spans="8:8" hidden="1" x14ac:dyDescent="0.35">
      <c r="H9164" s="83">
        <f t="shared" si="190"/>
        <v>0</v>
      </c>
    </row>
    <row r="9165" spans="8:8" hidden="1" x14ac:dyDescent="0.35">
      <c r="H9165" s="83">
        <f t="shared" si="190"/>
        <v>0</v>
      </c>
    </row>
    <row r="9166" spans="8:8" hidden="1" x14ac:dyDescent="0.35">
      <c r="H9166" s="83">
        <f t="shared" si="190"/>
        <v>0</v>
      </c>
    </row>
    <row r="9167" spans="8:8" hidden="1" x14ac:dyDescent="0.35">
      <c r="H9167" s="83">
        <f t="shared" si="190"/>
        <v>0</v>
      </c>
    </row>
    <row r="9168" spans="8:8" hidden="1" x14ac:dyDescent="0.35">
      <c r="H9168" s="83">
        <f t="shared" si="190"/>
        <v>0</v>
      </c>
    </row>
    <row r="9169" spans="8:8" hidden="1" x14ac:dyDescent="0.35">
      <c r="H9169" s="83">
        <f t="shared" si="190"/>
        <v>0</v>
      </c>
    </row>
    <row r="9170" spans="8:8" hidden="1" x14ac:dyDescent="0.35">
      <c r="H9170" s="83">
        <f t="shared" si="190"/>
        <v>0</v>
      </c>
    </row>
    <row r="9171" spans="8:8" hidden="1" x14ac:dyDescent="0.35">
      <c r="H9171" s="83">
        <f t="shared" si="190"/>
        <v>0</v>
      </c>
    </row>
    <row r="9172" spans="8:8" hidden="1" x14ac:dyDescent="0.35">
      <c r="H9172" s="83">
        <f t="shared" si="190"/>
        <v>0</v>
      </c>
    </row>
    <row r="9173" spans="8:8" hidden="1" x14ac:dyDescent="0.35">
      <c r="H9173" s="83">
        <f t="shared" si="190"/>
        <v>0</v>
      </c>
    </row>
    <row r="9174" spans="8:8" hidden="1" x14ac:dyDescent="0.35">
      <c r="H9174" s="83">
        <f t="shared" si="190"/>
        <v>0</v>
      </c>
    </row>
    <row r="9175" spans="8:8" hidden="1" x14ac:dyDescent="0.35">
      <c r="H9175" s="83">
        <f t="shared" si="190"/>
        <v>0</v>
      </c>
    </row>
    <row r="9176" spans="8:8" hidden="1" x14ac:dyDescent="0.35">
      <c r="H9176" s="83">
        <f t="shared" si="190"/>
        <v>0</v>
      </c>
    </row>
    <row r="9177" spans="8:8" hidden="1" x14ac:dyDescent="0.35">
      <c r="H9177" s="83">
        <f t="shared" si="190"/>
        <v>0</v>
      </c>
    </row>
    <row r="9178" spans="8:8" hidden="1" x14ac:dyDescent="0.35">
      <c r="H9178" s="83">
        <f t="shared" si="190"/>
        <v>0</v>
      </c>
    </row>
    <row r="9179" spans="8:8" hidden="1" x14ac:dyDescent="0.35">
      <c r="H9179" s="83">
        <f t="shared" si="190"/>
        <v>0</v>
      </c>
    </row>
    <row r="9180" spans="8:8" hidden="1" x14ac:dyDescent="0.35">
      <c r="H9180" s="83">
        <f t="shared" si="190"/>
        <v>0</v>
      </c>
    </row>
    <row r="9181" spans="8:8" hidden="1" x14ac:dyDescent="0.35">
      <c r="H9181" s="83">
        <f t="shared" si="190"/>
        <v>0</v>
      </c>
    </row>
    <row r="9182" spans="8:8" hidden="1" x14ac:dyDescent="0.35">
      <c r="H9182" s="83">
        <f t="shared" si="190"/>
        <v>0</v>
      </c>
    </row>
    <row r="9183" spans="8:8" hidden="1" x14ac:dyDescent="0.35">
      <c r="H9183" s="83">
        <f t="shared" si="190"/>
        <v>0</v>
      </c>
    </row>
    <row r="9184" spans="8:8" hidden="1" x14ac:dyDescent="0.35">
      <c r="H9184" s="83">
        <f t="shared" si="190"/>
        <v>0</v>
      </c>
    </row>
    <row r="9185" spans="8:8" hidden="1" x14ac:dyDescent="0.35">
      <c r="H9185" s="83">
        <f t="shared" si="190"/>
        <v>0</v>
      </c>
    </row>
    <row r="9186" spans="8:8" hidden="1" x14ac:dyDescent="0.35">
      <c r="H9186" s="83">
        <f t="shared" si="190"/>
        <v>0</v>
      </c>
    </row>
    <row r="9187" spans="8:8" hidden="1" x14ac:dyDescent="0.35">
      <c r="H9187" s="83">
        <f t="shared" si="190"/>
        <v>0</v>
      </c>
    </row>
    <row r="9188" spans="8:8" hidden="1" x14ac:dyDescent="0.35">
      <c r="H9188" s="83">
        <f t="shared" si="190"/>
        <v>0</v>
      </c>
    </row>
    <row r="9189" spans="8:8" hidden="1" x14ac:dyDescent="0.35">
      <c r="H9189" s="83">
        <f t="shared" si="190"/>
        <v>0</v>
      </c>
    </row>
    <row r="9190" spans="8:8" hidden="1" x14ac:dyDescent="0.35">
      <c r="H9190" s="83">
        <f t="shared" si="190"/>
        <v>0</v>
      </c>
    </row>
    <row r="9191" spans="8:8" hidden="1" x14ac:dyDescent="0.35">
      <c r="H9191" s="83">
        <f t="shared" si="190"/>
        <v>0</v>
      </c>
    </row>
    <row r="9192" spans="8:8" hidden="1" x14ac:dyDescent="0.35">
      <c r="H9192" s="83">
        <f t="shared" si="190"/>
        <v>0</v>
      </c>
    </row>
    <row r="9193" spans="8:8" hidden="1" x14ac:dyDescent="0.35">
      <c r="H9193" s="83">
        <f t="shared" si="190"/>
        <v>0</v>
      </c>
    </row>
    <row r="9194" spans="8:8" hidden="1" x14ac:dyDescent="0.35">
      <c r="H9194" s="83">
        <f t="shared" si="190"/>
        <v>0</v>
      </c>
    </row>
    <row r="9195" spans="8:8" hidden="1" x14ac:dyDescent="0.35">
      <c r="H9195" s="83">
        <f t="shared" si="190"/>
        <v>0</v>
      </c>
    </row>
    <row r="9196" spans="8:8" hidden="1" x14ac:dyDescent="0.35">
      <c r="H9196" s="83">
        <f t="shared" si="190"/>
        <v>0</v>
      </c>
    </row>
    <row r="9197" spans="8:8" hidden="1" x14ac:dyDescent="0.35">
      <c r="H9197" s="83">
        <f t="shared" si="190"/>
        <v>0</v>
      </c>
    </row>
    <row r="9198" spans="8:8" hidden="1" x14ac:dyDescent="0.35">
      <c r="H9198" s="83">
        <f t="shared" si="190"/>
        <v>0</v>
      </c>
    </row>
    <row r="9199" spans="8:8" hidden="1" x14ac:dyDescent="0.35">
      <c r="H9199" s="83">
        <f t="shared" si="190"/>
        <v>0</v>
      </c>
    </row>
    <row r="9200" spans="8:8" hidden="1" x14ac:dyDescent="0.35">
      <c r="H9200" s="83">
        <f t="shared" si="190"/>
        <v>0</v>
      </c>
    </row>
    <row r="9201" spans="8:8" hidden="1" x14ac:dyDescent="0.35">
      <c r="H9201" s="83">
        <f t="shared" si="190"/>
        <v>0</v>
      </c>
    </row>
    <row r="9202" spans="8:8" hidden="1" x14ac:dyDescent="0.35">
      <c r="H9202" s="83">
        <f t="shared" si="190"/>
        <v>0</v>
      </c>
    </row>
    <row r="9203" spans="8:8" hidden="1" x14ac:dyDescent="0.35">
      <c r="H9203" s="83">
        <f t="shared" si="190"/>
        <v>0</v>
      </c>
    </row>
    <row r="9204" spans="8:8" hidden="1" x14ac:dyDescent="0.35">
      <c r="H9204" s="83">
        <f t="shared" si="190"/>
        <v>0</v>
      </c>
    </row>
    <row r="9205" spans="8:8" hidden="1" x14ac:dyDescent="0.35">
      <c r="H9205" s="83">
        <f t="shared" si="190"/>
        <v>0</v>
      </c>
    </row>
    <row r="9206" spans="8:8" hidden="1" x14ac:dyDescent="0.35">
      <c r="H9206" s="83">
        <f t="shared" si="190"/>
        <v>0</v>
      </c>
    </row>
    <row r="9207" spans="8:8" hidden="1" x14ac:dyDescent="0.35">
      <c r="H9207" s="83">
        <f t="shared" si="190"/>
        <v>0</v>
      </c>
    </row>
    <row r="9208" spans="8:8" hidden="1" x14ac:dyDescent="0.35">
      <c r="H9208" s="83">
        <f t="shared" si="190"/>
        <v>0</v>
      </c>
    </row>
    <row r="9209" spans="8:8" hidden="1" x14ac:dyDescent="0.35">
      <c r="H9209" s="83">
        <f t="shared" si="190"/>
        <v>0</v>
      </c>
    </row>
    <row r="9210" spans="8:8" hidden="1" x14ac:dyDescent="0.35">
      <c r="H9210" s="83">
        <f t="shared" si="190"/>
        <v>0</v>
      </c>
    </row>
    <row r="9211" spans="8:8" hidden="1" x14ac:dyDescent="0.35">
      <c r="H9211" s="83">
        <f t="shared" si="190"/>
        <v>0</v>
      </c>
    </row>
    <row r="9212" spans="8:8" hidden="1" x14ac:dyDescent="0.35">
      <c r="H9212" s="83">
        <f t="shared" si="190"/>
        <v>0</v>
      </c>
    </row>
    <row r="9213" spans="8:8" hidden="1" x14ac:dyDescent="0.35">
      <c r="H9213" s="83">
        <f t="shared" si="190"/>
        <v>0</v>
      </c>
    </row>
    <row r="9214" spans="8:8" hidden="1" x14ac:dyDescent="0.35">
      <c r="H9214" s="83">
        <f t="shared" si="190"/>
        <v>0</v>
      </c>
    </row>
    <row r="9215" spans="8:8" hidden="1" x14ac:dyDescent="0.35">
      <c r="H9215" s="83">
        <f t="shared" si="190"/>
        <v>0</v>
      </c>
    </row>
    <row r="9216" spans="8:8" hidden="1" x14ac:dyDescent="0.35">
      <c r="H9216" s="83">
        <f t="shared" si="190"/>
        <v>0</v>
      </c>
    </row>
    <row r="9217" spans="8:8" hidden="1" x14ac:dyDescent="0.35">
      <c r="H9217" s="83">
        <f t="shared" si="190"/>
        <v>0</v>
      </c>
    </row>
    <row r="9218" spans="8:8" hidden="1" x14ac:dyDescent="0.35">
      <c r="H9218" s="83">
        <f t="shared" si="190"/>
        <v>0</v>
      </c>
    </row>
    <row r="9219" spans="8:8" hidden="1" x14ac:dyDescent="0.35">
      <c r="H9219" s="83">
        <f t="shared" si="190"/>
        <v>0</v>
      </c>
    </row>
    <row r="9220" spans="8:8" hidden="1" x14ac:dyDescent="0.35">
      <c r="H9220" s="83">
        <f t="shared" ref="H9220:H9283" si="191">J9220-I9220</f>
        <v>0</v>
      </c>
    </row>
    <row r="9221" spans="8:8" hidden="1" x14ac:dyDescent="0.35">
      <c r="H9221" s="83">
        <f t="shared" si="191"/>
        <v>0</v>
      </c>
    </row>
    <row r="9222" spans="8:8" hidden="1" x14ac:dyDescent="0.35">
      <c r="H9222" s="83">
        <f t="shared" si="191"/>
        <v>0</v>
      </c>
    </row>
    <row r="9223" spans="8:8" hidden="1" x14ac:dyDescent="0.35">
      <c r="H9223" s="83">
        <f t="shared" si="191"/>
        <v>0</v>
      </c>
    </row>
    <row r="9224" spans="8:8" hidden="1" x14ac:dyDescent="0.35">
      <c r="H9224" s="83">
        <f t="shared" si="191"/>
        <v>0</v>
      </c>
    </row>
    <row r="9225" spans="8:8" hidden="1" x14ac:dyDescent="0.35">
      <c r="H9225" s="83">
        <f t="shared" si="191"/>
        <v>0</v>
      </c>
    </row>
    <row r="9226" spans="8:8" hidden="1" x14ac:dyDescent="0.35">
      <c r="H9226" s="83">
        <f t="shared" si="191"/>
        <v>0</v>
      </c>
    </row>
    <row r="9227" spans="8:8" hidden="1" x14ac:dyDescent="0.35">
      <c r="H9227" s="83">
        <f t="shared" si="191"/>
        <v>0</v>
      </c>
    </row>
    <row r="9228" spans="8:8" hidden="1" x14ac:dyDescent="0.35">
      <c r="H9228" s="83">
        <f t="shared" si="191"/>
        <v>0</v>
      </c>
    </row>
    <row r="9229" spans="8:8" hidden="1" x14ac:dyDescent="0.35">
      <c r="H9229" s="83">
        <f t="shared" si="191"/>
        <v>0</v>
      </c>
    </row>
    <row r="9230" spans="8:8" hidden="1" x14ac:dyDescent="0.35">
      <c r="H9230" s="83">
        <f t="shared" si="191"/>
        <v>0</v>
      </c>
    </row>
    <row r="9231" spans="8:8" hidden="1" x14ac:dyDescent="0.35">
      <c r="H9231" s="83">
        <f t="shared" si="191"/>
        <v>0</v>
      </c>
    </row>
    <row r="9232" spans="8:8" hidden="1" x14ac:dyDescent="0.35">
      <c r="H9232" s="83">
        <f t="shared" si="191"/>
        <v>0</v>
      </c>
    </row>
    <row r="9233" spans="8:8" hidden="1" x14ac:dyDescent="0.35">
      <c r="H9233" s="83">
        <f t="shared" si="191"/>
        <v>0</v>
      </c>
    </row>
    <row r="9234" spans="8:8" hidden="1" x14ac:dyDescent="0.35">
      <c r="H9234" s="83">
        <f t="shared" si="191"/>
        <v>0</v>
      </c>
    </row>
    <row r="9235" spans="8:8" hidden="1" x14ac:dyDescent="0.35">
      <c r="H9235" s="83">
        <f t="shared" si="191"/>
        <v>0</v>
      </c>
    </row>
    <row r="9236" spans="8:8" hidden="1" x14ac:dyDescent="0.35">
      <c r="H9236" s="83">
        <f t="shared" si="191"/>
        <v>0</v>
      </c>
    </row>
    <row r="9237" spans="8:8" hidden="1" x14ac:dyDescent="0.35">
      <c r="H9237" s="83">
        <f t="shared" si="191"/>
        <v>0</v>
      </c>
    </row>
    <row r="9238" spans="8:8" hidden="1" x14ac:dyDescent="0.35">
      <c r="H9238" s="83">
        <f t="shared" si="191"/>
        <v>0</v>
      </c>
    </row>
    <row r="9239" spans="8:8" hidden="1" x14ac:dyDescent="0.35">
      <c r="H9239" s="83">
        <f t="shared" si="191"/>
        <v>0</v>
      </c>
    </row>
    <row r="9240" spans="8:8" hidden="1" x14ac:dyDescent="0.35">
      <c r="H9240" s="83">
        <f t="shared" si="191"/>
        <v>0</v>
      </c>
    </row>
    <row r="9241" spans="8:8" hidden="1" x14ac:dyDescent="0.35">
      <c r="H9241" s="83">
        <f t="shared" si="191"/>
        <v>0</v>
      </c>
    </row>
    <row r="9242" spans="8:8" hidden="1" x14ac:dyDescent="0.35">
      <c r="H9242" s="83">
        <f t="shared" si="191"/>
        <v>0</v>
      </c>
    </row>
    <row r="9243" spans="8:8" hidden="1" x14ac:dyDescent="0.35">
      <c r="H9243" s="83">
        <f t="shared" si="191"/>
        <v>0</v>
      </c>
    </row>
    <row r="9244" spans="8:8" hidden="1" x14ac:dyDescent="0.35">
      <c r="H9244" s="83">
        <f t="shared" si="191"/>
        <v>0</v>
      </c>
    </row>
    <row r="9245" spans="8:8" hidden="1" x14ac:dyDescent="0.35">
      <c r="H9245" s="83">
        <f t="shared" si="191"/>
        <v>0</v>
      </c>
    </row>
    <row r="9246" spans="8:8" hidden="1" x14ac:dyDescent="0.35">
      <c r="H9246" s="83">
        <f t="shared" si="191"/>
        <v>0</v>
      </c>
    </row>
    <row r="9247" spans="8:8" hidden="1" x14ac:dyDescent="0.35">
      <c r="H9247" s="83">
        <f t="shared" si="191"/>
        <v>0</v>
      </c>
    </row>
    <row r="9248" spans="8:8" hidden="1" x14ac:dyDescent="0.35">
      <c r="H9248" s="83">
        <f t="shared" si="191"/>
        <v>0</v>
      </c>
    </row>
    <row r="9249" spans="8:8" hidden="1" x14ac:dyDescent="0.35">
      <c r="H9249" s="83">
        <f t="shared" si="191"/>
        <v>0</v>
      </c>
    </row>
    <row r="9250" spans="8:8" hidden="1" x14ac:dyDescent="0.35">
      <c r="H9250" s="83">
        <f t="shared" si="191"/>
        <v>0</v>
      </c>
    </row>
    <row r="9251" spans="8:8" hidden="1" x14ac:dyDescent="0.35">
      <c r="H9251" s="83">
        <f t="shared" si="191"/>
        <v>0</v>
      </c>
    </row>
    <row r="9252" spans="8:8" hidden="1" x14ac:dyDescent="0.35">
      <c r="H9252" s="83">
        <f t="shared" si="191"/>
        <v>0</v>
      </c>
    </row>
    <row r="9253" spans="8:8" hidden="1" x14ac:dyDescent="0.35">
      <c r="H9253" s="83">
        <f t="shared" si="191"/>
        <v>0</v>
      </c>
    </row>
    <row r="9254" spans="8:8" hidden="1" x14ac:dyDescent="0.35">
      <c r="H9254" s="83">
        <f t="shared" si="191"/>
        <v>0</v>
      </c>
    </row>
    <row r="9255" spans="8:8" hidden="1" x14ac:dyDescent="0.35">
      <c r="H9255" s="83">
        <f t="shared" si="191"/>
        <v>0</v>
      </c>
    </row>
    <row r="9256" spans="8:8" hidden="1" x14ac:dyDescent="0.35">
      <c r="H9256" s="83">
        <f t="shared" si="191"/>
        <v>0</v>
      </c>
    </row>
    <row r="9257" spans="8:8" hidden="1" x14ac:dyDescent="0.35">
      <c r="H9257" s="83">
        <f t="shared" si="191"/>
        <v>0</v>
      </c>
    </row>
    <row r="9258" spans="8:8" hidden="1" x14ac:dyDescent="0.35">
      <c r="H9258" s="83">
        <f t="shared" si="191"/>
        <v>0</v>
      </c>
    </row>
    <row r="9259" spans="8:8" hidden="1" x14ac:dyDescent="0.35">
      <c r="H9259" s="83">
        <f t="shared" si="191"/>
        <v>0</v>
      </c>
    </row>
    <row r="9260" spans="8:8" hidden="1" x14ac:dyDescent="0.35">
      <c r="H9260" s="83">
        <f t="shared" si="191"/>
        <v>0</v>
      </c>
    </row>
    <row r="9261" spans="8:8" hidden="1" x14ac:dyDescent="0.35">
      <c r="H9261" s="83">
        <f t="shared" si="191"/>
        <v>0</v>
      </c>
    </row>
    <row r="9262" spans="8:8" hidden="1" x14ac:dyDescent="0.35">
      <c r="H9262" s="83">
        <f t="shared" si="191"/>
        <v>0</v>
      </c>
    </row>
    <row r="9263" spans="8:8" hidden="1" x14ac:dyDescent="0.35">
      <c r="H9263" s="83">
        <f t="shared" si="191"/>
        <v>0</v>
      </c>
    </row>
    <row r="9264" spans="8:8" hidden="1" x14ac:dyDescent="0.35">
      <c r="H9264" s="83">
        <f t="shared" si="191"/>
        <v>0</v>
      </c>
    </row>
    <row r="9265" spans="8:8" hidden="1" x14ac:dyDescent="0.35">
      <c r="H9265" s="83">
        <f t="shared" si="191"/>
        <v>0</v>
      </c>
    </row>
    <row r="9266" spans="8:8" hidden="1" x14ac:dyDescent="0.35">
      <c r="H9266" s="83">
        <f t="shared" si="191"/>
        <v>0</v>
      </c>
    </row>
    <row r="9267" spans="8:8" hidden="1" x14ac:dyDescent="0.35">
      <c r="H9267" s="83">
        <f t="shared" si="191"/>
        <v>0</v>
      </c>
    </row>
    <row r="9268" spans="8:8" hidden="1" x14ac:dyDescent="0.35">
      <c r="H9268" s="83">
        <f t="shared" si="191"/>
        <v>0</v>
      </c>
    </row>
    <row r="9269" spans="8:8" hidden="1" x14ac:dyDescent="0.35">
      <c r="H9269" s="83">
        <f t="shared" si="191"/>
        <v>0</v>
      </c>
    </row>
    <row r="9270" spans="8:8" hidden="1" x14ac:dyDescent="0.35">
      <c r="H9270" s="83">
        <f t="shared" si="191"/>
        <v>0</v>
      </c>
    </row>
    <row r="9271" spans="8:8" hidden="1" x14ac:dyDescent="0.35">
      <c r="H9271" s="83">
        <f t="shared" si="191"/>
        <v>0</v>
      </c>
    </row>
    <row r="9272" spans="8:8" hidden="1" x14ac:dyDescent="0.35">
      <c r="H9272" s="83">
        <f t="shared" si="191"/>
        <v>0</v>
      </c>
    </row>
    <row r="9273" spans="8:8" hidden="1" x14ac:dyDescent="0.35">
      <c r="H9273" s="83">
        <f t="shared" si="191"/>
        <v>0</v>
      </c>
    </row>
    <row r="9274" spans="8:8" hidden="1" x14ac:dyDescent="0.35">
      <c r="H9274" s="83">
        <f t="shared" si="191"/>
        <v>0</v>
      </c>
    </row>
    <row r="9275" spans="8:8" hidden="1" x14ac:dyDescent="0.35">
      <c r="H9275" s="83">
        <f t="shared" si="191"/>
        <v>0</v>
      </c>
    </row>
    <row r="9276" spans="8:8" hidden="1" x14ac:dyDescent="0.35">
      <c r="H9276" s="83">
        <f t="shared" si="191"/>
        <v>0</v>
      </c>
    </row>
    <row r="9277" spans="8:8" hidden="1" x14ac:dyDescent="0.35">
      <c r="H9277" s="83">
        <f t="shared" si="191"/>
        <v>0</v>
      </c>
    </row>
    <row r="9278" spans="8:8" hidden="1" x14ac:dyDescent="0.35">
      <c r="H9278" s="83">
        <f t="shared" si="191"/>
        <v>0</v>
      </c>
    </row>
    <row r="9279" spans="8:8" hidden="1" x14ac:dyDescent="0.35">
      <c r="H9279" s="83">
        <f t="shared" si="191"/>
        <v>0</v>
      </c>
    </row>
    <row r="9280" spans="8:8" hidden="1" x14ac:dyDescent="0.35">
      <c r="H9280" s="83">
        <f t="shared" si="191"/>
        <v>0</v>
      </c>
    </row>
    <row r="9281" spans="8:8" hidden="1" x14ac:dyDescent="0.35">
      <c r="H9281" s="83">
        <f t="shared" si="191"/>
        <v>0</v>
      </c>
    </row>
    <row r="9282" spans="8:8" hidden="1" x14ac:dyDescent="0.35">
      <c r="H9282" s="83">
        <f t="shared" si="191"/>
        <v>0</v>
      </c>
    </row>
    <row r="9283" spans="8:8" hidden="1" x14ac:dyDescent="0.35">
      <c r="H9283" s="83">
        <f t="shared" si="191"/>
        <v>0</v>
      </c>
    </row>
    <row r="9284" spans="8:8" hidden="1" x14ac:dyDescent="0.35">
      <c r="H9284" s="83">
        <f t="shared" ref="H9284:H9347" si="192">J9284-I9284</f>
        <v>0</v>
      </c>
    </row>
    <row r="9285" spans="8:8" hidden="1" x14ac:dyDescent="0.35">
      <c r="H9285" s="83">
        <f t="shared" si="192"/>
        <v>0</v>
      </c>
    </row>
    <row r="9286" spans="8:8" hidden="1" x14ac:dyDescent="0.35">
      <c r="H9286" s="83">
        <f t="shared" si="192"/>
        <v>0</v>
      </c>
    </row>
    <row r="9287" spans="8:8" hidden="1" x14ac:dyDescent="0.35">
      <c r="H9287" s="83">
        <f t="shared" si="192"/>
        <v>0</v>
      </c>
    </row>
    <row r="9288" spans="8:8" hidden="1" x14ac:dyDescent="0.35">
      <c r="H9288" s="83">
        <f t="shared" si="192"/>
        <v>0</v>
      </c>
    </row>
    <row r="9289" spans="8:8" hidden="1" x14ac:dyDescent="0.35">
      <c r="H9289" s="83">
        <f t="shared" si="192"/>
        <v>0</v>
      </c>
    </row>
    <row r="9290" spans="8:8" hidden="1" x14ac:dyDescent="0.35">
      <c r="H9290" s="83">
        <f t="shared" si="192"/>
        <v>0</v>
      </c>
    </row>
    <row r="9291" spans="8:8" hidden="1" x14ac:dyDescent="0.35">
      <c r="H9291" s="83">
        <f t="shared" si="192"/>
        <v>0</v>
      </c>
    </row>
    <row r="9292" spans="8:8" hidden="1" x14ac:dyDescent="0.35">
      <c r="H9292" s="83">
        <f t="shared" si="192"/>
        <v>0</v>
      </c>
    </row>
    <row r="9293" spans="8:8" hidden="1" x14ac:dyDescent="0.35">
      <c r="H9293" s="83">
        <f t="shared" si="192"/>
        <v>0</v>
      </c>
    </row>
    <row r="9294" spans="8:8" hidden="1" x14ac:dyDescent="0.35">
      <c r="H9294" s="83">
        <f t="shared" si="192"/>
        <v>0</v>
      </c>
    </row>
    <row r="9295" spans="8:8" hidden="1" x14ac:dyDescent="0.35">
      <c r="H9295" s="83">
        <f t="shared" si="192"/>
        <v>0</v>
      </c>
    </row>
    <row r="9296" spans="8:8" hidden="1" x14ac:dyDescent="0.35">
      <c r="H9296" s="83">
        <f t="shared" si="192"/>
        <v>0</v>
      </c>
    </row>
    <row r="9297" spans="8:8" hidden="1" x14ac:dyDescent="0.35">
      <c r="H9297" s="83">
        <f t="shared" si="192"/>
        <v>0</v>
      </c>
    </row>
    <row r="9298" spans="8:8" hidden="1" x14ac:dyDescent="0.35">
      <c r="H9298" s="83">
        <f t="shared" si="192"/>
        <v>0</v>
      </c>
    </row>
    <row r="9299" spans="8:8" hidden="1" x14ac:dyDescent="0.35">
      <c r="H9299" s="83">
        <f t="shared" si="192"/>
        <v>0</v>
      </c>
    </row>
    <row r="9300" spans="8:8" hidden="1" x14ac:dyDescent="0.35">
      <c r="H9300" s="83">
        <f t="shared" si="192"/>
        <v>0</v>
      </c>
    </row>
    <row r="9301" spans="8:8" hidden="1" x14ac:dyDescent="0.35">
      <c r="H9301" s="83">
        <f t="shared" si="192"/>
        <v>0</v>
      </c>
    </row>
    <row r="9302" spans="8:8" hidden="1" x14ac:dyDescent="0.35">
      <c r="H9302" s="83">
        <f t="shared" si="192"/>
        <v>0</v>
      </c>
    </row>
    <row r="9303" spans="8:8" hidden="1" x14ac:dyDescent="0.35">
      <c r="H9303" s="83">
        <f t="shared" si="192"/>
        <v>0</v>
      </c>
    </row>
    <row r="9304" spans="8:8" hidden="1" x14ac:dyDescent="0.35">
      <c r="H9304" s="83">
        <f t="shared" si="192"/>
        <v>0</v>
      </c>
    </row>
    <row r="9305" spans="8:8" hidden="1" x14ac:dyDescent="0.35">
      <c r="H9305" s="83">
        <f t="shared" si="192"/>
        <v>0</v>
      </c>
    </row>
    <row r="9306" spans="8:8" hidden="1" x14ac:dyDescent="0.35">
      <c r="H9306" s="83">
        <f t="shared" si="192"/>
        <v>0</v>
      </c>
    </row>
    <row r="9307" spans="8:8" hidden="1" x14ac:dyDescent="0.35">
      <c r="H9307" s="83">
        <f t="shared" si="192"/>
        <v>0</v>
      </c>
    </row>
    <row r="9308" spans="8:8" hidden="1" x14ac:dyDescent="0.35">
      <c r="H9308" s="83">
        <f t="shared" si="192"/>
        <v>0</v>
      </c>
    </row>
    <row r="9309" spans="8:8" hidden="1" x14ac:dyDescent="0.35">
      <c r="H9309" s="83">
        <f t="shared" si="192"/>
        <v>0</v>
      </c>
    </row>
    <row r="9310" spans="8:8" hidden="1" x14ac:dyDescent="0.35">
      <c r="H9310" s="83">
        <f t="shared" si="192"/>
        <v>0</v>
      </c>
    </row>
    <row r="9311" spans="8:8" hidden="1" x14ac:dyDescent="0.35">
      <c r="H9311" s="83">
        <f t="shared" si="192"/>
        <v>0</v>
      </c>
    </row>
    <row r="9312" spans="8:8" hidden="1" x14ac:dyDescent="0.35">
      <c r="H9312" s="83">
        <f t="shared" si="192"/>
        <v>0</v>
      </c>
    </row>
    <row r="9313" spans="8:8" hidden="1" x14ac:dyDescent="0.35">
      <c r="H9313" s="83">
        <f t="shared" si="192"/>
        <v>0</v>
      </c>
    </row>
    <row r="9314" spans="8:8" hidden="1" x14ac:dyDescent="0.35">
      <c r="H9314" s="83">
        <f t="shared" si="192"/>
        <v>0</v>
      </c>
    </row>
    <row r="9315" spans="8:8" hidden="1" x14ac:dyDescent="0.35">
      <c r="H9315" s="83">
        <f t="shared" si="192"/>
        <v>0</v>
      </c>
    </row>
    <row r="9316" spans="8:8" hidden="1" x14ac:dyDescent="0.35">
      <c r="H9316" s="83">
        <f t="shared" si="192"/>
        <v>0</v>
      </c>
    </row>
    <row r="9317" spans="8:8" hidden="1" x14ac:dyDescent="0.35">
      <c r="H9317" s="83">
        <f t="shared" si="192"/>
        <v>0</v>
      </c>
    </row>
    <row r="9318" spans="8:8" hidden="1" x14ac:dyDescent="0.35">
      <c r="H9318" s="83">
        <f t="shared" si="192"/>
        <v>0</v>
      </c>
    </row>
    <row r="9319" spans="8:8" hidden="1" x14ac:dyDescent="0.35">
      <c r="H9319" s="83">
        <f t="shared" si="192"/>
        <v>0</v>
      </c>
    </row>
    <row r="9320" spans="8:8" hidden="1" x14ac:dyDescent="0.35">
      <c r="H9320" s="83">
        <f t="shared" si="192"/>
        <v>0</v>
      </c>
    </row>
    <row r="9321" spans="8:8" hidden="1" x14ac:dyDescent="0.35">
      <c r="H9321" s="83">
        <f t="shared" si="192"/>
        <v>0</v>
      </c>
    </row>
    <row r="9322" spans="8:8" hidden="1" x14ac:dyDescent="0.35">
      <c r="H9322" s="83">
        <f t="shared" si="192"/>
        <v>0</v>
      </c>
    </row>
    <row r="9323" spans="8:8" hidden="1" x14ac:dyDescent="0.35">
      <c r="H9323" s="83">
        <f t="shared" si="192"/>
        <v>0</v>
      </c>
    </row>
    <row r="9324" spans="8:8" hidden="1" x14ac:dyDescent="0.35">
      <c r="H9324" s="83">
        <f t="shared" si="192"/>
        <v>0</v>
      </c>
    </row>
    <row r="9325" spans="8:8" hidden="1" x14ac:dyDescent="0.35">
      <c r="H9325" s="83">
        <f t="shared" si="192"/>
        <v>0</v>
      </c>
    </row>
    <row r="9326" spans="8:8" hidden="1" x14ac:dyDescent="0.35">
      <c r="H9326" s="83">
        <f t="shared" si="192"/>
        <v>0</v>
      </c>
    </row>
    <row r="9327" spans="8:8" hidden="1" x14ac:dyDescent="0.35">
      <c r="H9327" s="83">
        <f t="shared" si="192"/>
        <v>0</v>
      </c>
    </row>
    <row r="9328" spans="8:8" hidden="1" x14ac:dyDescent="0.35">
      <c r="H9328" s="83">
        <f t="shared" si="192"/>
        <v>0</v>
      </c>
    </row>
    <row r="9329" spans="8:8" hidden="1" x14ac:dyDescent="0.35">
      <c r="H9329" s="83">
        <f t="shared" si="192"/>
        <v>0</v>
      </c>
    </row>
    <row r="9330" spans="8:8" hidden="1" x14ac:dyDescent="0.35">
      <c r="H9330" s="83">
        <f t="shared" si="192"/>
        <v>0</v>
      </c>
    </row>
    <row r="9331" spans="8:8" hidden="1" x14ac:dyDescent="0.35">
      <c r="H9331" s="83">
        <f t="shared" si="192"/>
        <v>0</v>
      </c>
    </row>
    <row r="9332" spans="8:8" hidden="1" x14ac:dyDescent="0.35">
      <c r="H9332" s="83">
        <f t="shared" si="192"/>
        <v>0</v>
      </c>
    </row>
    <row r="9333" spans="8:8" hidden="1" x14ac:dyDescent="0.35">
      <c r="H9333" s="83">
        <f t="shared" si="192"/>
        <v>0</v>
      </c>
    </row>
    <row r="9334" spans="8:8" hidden="1" x14ac:dyDescent="0.35">
      <c r="H9334" s="83">
        <f t="shared" si="192"/>
        <v>0</v>
      </c>
    </row>
    <row r="9335" spans="8:8" hidden="1" x14ac:dyDescent="0.35">
      <c r="H9335" s="83">
        <f t="shared" si="192"/>
        <v>0</v>
      </c>
    </row>
    <row r="9336" spans="8:8" hidden="1" x14ac:dyDescent="0.35">
      <c r="H9336" s="83">
        <f t="shared" si="192"/>
        <v>0</v>
      </c>
    </row>
    <row r="9337" spans="8:8" hidden="1" x14ac:dyDescent="0.35">
      <c r="H9337" s="83">
        <f t="shared" si="192"/>
        <v>0</v>
      </c>
    </row>
    <row r="9338" spans="8:8" hidden="1" x14ac:dyDescent="0.35">
      <c r="H9338" s="83">
        <f t="shared" si="192"/>
        <v>0</v>
      </c>
    </row>
    <row r="9339" spans="8:8" hidden="1" x14ac:dyDescent="0.35">
      <c r="H9339" s="83">
        <f t="shared" si="192"/>
        <v>0</v>
      </c>
    </row>
    <row r="9340" spans="8:8" hidden="1" x14ac:dyDescent="0.35">
      <c r="H9340" s="83">
        <f t="shared" si="192"/>
        <v>0</v>
      </c>
    </row>
    <row r="9341" spans="8:8" hidden="1" x14ac:dyDescent="0.35">
      <c r="H9341" s="83">
        <f t="shared" si="192"/>
        <v>0</v>
      </c>
    </row>
    <row r="9342" spans="8:8" hidden="1" x14ac:dyDescent="0.35">
      <c r="H9342" s="83">
        <f t="shared" si="192"/>
        <v>0</v>
      </c>
    </row>
    <row r="9343" spans="8:8" hidden="1" x14ac:dyDescent="0.35">
      <c r="H9343" s="83">
        <f t="shared" si="192"/>
        <v>0</v>
      </c>
    </row>
    <row r="9344" spans="8:8" hidden="1" x14ac:dyDescent="0.35">
      <c r="H9344" s="83">
        <f t="shared" si="192"/>
        <v>0</v>
      </c>
    </row>
    <row r="9345" spans="8:8" hidden="1" x14ac:dyDescent="0.35">
      <c r="H9345" s="83">
        <f t="shared" si="192"/>
        <v>0</v>
      </c>
    </row>
    <row r="9346" spans="8:8" hidden="1" x14ac:dyDescent="0.35">
      <c r="H9346" s="83">
        <f t="shared" si="192"/>
        <v>0</v>
      </c>
    </row>
    <row r="9347" spans="8:8" hidden="1" x14ac:dyDescent="0.35">
      <c r="H9347" s="83">
        <f t="shared" si="192"/>
        <v>0</v>
      </c>
    </row>
    <row r="9348" spans="8:8" hidden="1" x14ac:dyDescent="0.35">
      <c r="H9348" s="83">
        <f t="shared" ref="H9348:H9411" si="193">J9348-I9348</f>
        <v>0</v>
      </c>
    </row>
    <row r="9349" spans="8:8" hidden="1" x14ac:dyDescent="0.35">
      <c r="H9349" s="83">
        <f t="shared" si="193"/>
        <v>0</v>
      </c>
    </row>
    <row r="9350" spans="8:8" hidden="1" x14ac:dyDescent="0.35">
      <c r="H9350" s="83">
        <f t="shared" si="193"/>
        <v>0</v>
      </c>
    </row>
    <row r="9351" spans="8:8" hidden="1" x14ac:dyDescent="0.35">
      <c r="H9351" s="83">
        <f t="shared" si="193"/>
        <v>0</v>
      </c>
    </row>
    <row r="9352" spans="8:8" hidden="1" x14ac:dyDescent="0.35">
      <c r="H9352" s="83">
        <f t="shared" si="193"/>
        <v>0</v>
      </c>
    </row>
    <row r="9353" spans="8:8" hidden="1" x14ac:dyDescent="0.35">
      <c r="H9353" s="83">
        <f t="shared" si="193"/>
        <v>0</v>
      </c>
    </row>
    <row r="9354" spans="8:8" hidden="1" x14ac:dyDescent="0.35">
      <c r="H9354" s="83">
        <f t="shared" si="193"/>
        <v>0</v>
      </c>
    </row>
    <row r="9355" spans="8:8" hidden="1" x14ac:dyDescent="0.35">
      <c r="H9355" s="83">
        <f t="shared" si="193"/>
        <v>0</v>
      </c>
    </row>
    <row r="9356" spans="8:8" hidden="1" x14ac:dyDescent="0.35">
      <c r="H9356" s="83">
        <f t="shared" si="193"/>
        <v>0</v>
      </c>
    </row>
    <row r="9357" spans="8:8" hidden="1" x14ac:dyDescent="0.35">
      <c r="H9357" s="83">
        <f t="shared" si="193"/>
        <v>0</v>
      </c>
    </row>
    <row r="9358" spans="8:8" hidden="1" x14ac:dyDescent="0.35">
      <c r="H9358" s="83">
        <f t="shared" si="193"/>
        <v>0</v>
      </c>
    </row>
    <row r="9359" spans="8:8" hidden="1" x14ac:dyDescent="0.35">
      <c r="H9359" s="83">
        <f t="shared" si="193"/>
        <v>0</v>
      </c>
    </row>
    <row r="9360" spans="8:8" hidden="1" x14ac:dyDescent="0.35">
      <c r="H9360" s="83">
        <f t="shared" si="193"/>
        <v>0</v>
      </c>
    </row>
    <row r="9361" spans="8:8" hidden="1" x14ac:dyDescent="0.35">
      <c r="H9361" s="83">
        <f t="shared" si="193"/>
        <v>0</v>
      </c>
    </row>
    <row r="9362" spans="8:8" hidden="1" x14ac:dyDescent="0.35">
      <c r="H9362" s="83">
        <f t="shared" si="193"/>
        <v>0</v>
      </c>
    </row>
    <row r="9363" spans="8:8" hidden="1" x14ac:dyDescent="0.35">
      <c r="H9363" s="83">
        <f t="shared" si="193"/>
        <v>0</v>
      </c>
    </row>
    <row r="9364" spans="8:8" hidden="1" x14ac:dyDescent="0.35">
      <c r="H9364" s="83">
        <f t="shared" si="193"/>
        <v>0</v>
      </c>
    </row>
    <row r="9365" spans="8:8" hidden="1" x14ac:dyDescent="0.35">
      <c r="H9365" s="83">
        <f t="shared" si="193"/>
        <v>0</v>
      </c>
    </row>
    <row r="9366" spans="8:8" hidden="1" x14ac:dyDescent="0.35">
      <c r="H9366" s="83">
        <f t="shared" si="193"/>
        <v>0</v>
      </c>
    </row>
    <row r="9367" spans="8:8" hidden="1" x14ac:dyDescent="0.35">
      <c r="H9367" s="83">
        <f t="shared" si="193"/>
        <v>0</v>
      </c>
    </row>
    <row r="9368" spans="8:8" hidden="1" x14ac:dyDescent="0.35">
      <c r="H9368" s="83">
        <f t="shared" si="193"/>
        <v>0</v>
      </c>
    </row>
    <row r="9369" spans="8:8" hidden="1" x14ac:dyDescent="0.35">
      <c r="H9369" s="83">
        <f t="shared" si="193"/>
        <v>0</v>
      </c>
    </row>
    <row r="9370" spans="8:8" hidden="1" x14ac:dyDescent="0.35">
      <c r="H9370" s="83">
        <f t="shared" si="193"/>
        <v>0</v>
      </c>
    </row>
    <row r="9371" spans="8:8" hidden="1" x14ac:dyDescent="0.35">
      <c r="H9371" s="83">
        <f t="shared" si="193"/>
        <v>0</v>
      </c>
    </row>
    <row r="9372" spans="8:8" hidden="1" x14ac:dyDescent="0.35">
      <c r="H9372" s="83">
        <f t="shared" si="193"/>
        <v>0</v>
      </c>
    </row>
    <row r="9373" spans="8:8" hidden="1" x14ac:dyDescent="0.35">
      <c r="H9373" s="83">
        <f t="shared" si="193"/>
        <v>0</v>
      </c>
    </row>
    <row r="9374" spans="8:8" hidden="1" x14ac:dyDescent="0.35">
      <c r="H9374" s="83">
        <f t="shared" si="193"/>
        <v>0</v>
      </c>
    </row>
    <row r="9375" spans="8:8" hidden="1" x14ac:dyDescent="0.35">
      <c r="H9375" s="83">
        <f t="shared" si="193"/>
        <v>0</v>
      </c>
    </row>
    <row r="9376" spans="8:8" hidden="1" x14ac:dyDescent="0.35">
      <c r="H9376" s="83">
        <f t="shared" si="193"/>
        <v>0</v>
      </c>
    </row>
    <row r="9377" spans="8:8" hidden="1" x14ac:dyDescent="0.35">
      <c r="H9377" s="83">
        <f t="shared" si="193"/>
        <v>0</v>
      </c>
    </row>
    <row r="9378" spans="8:8" hidden="1" x14ac:dyDescent="0.35">
      <c r="H9378" s="83">
        <f t="shared" si="193"/>
        <v>0</v>
      </c>
    </row>
    <row r="9379" spans="8:8" hidden="1" x14ac:dyDescent="0.35">
      <c r="H9379" s="83">
        <f t="shared" si="193"/>
        <v>0</v>
      </c>
    </row>
    <row r="9380" spans="8:8" hidden="1" x14ac:dyDescent="0.35">
      <c r="H9380" s="83">
        <f t="shared" si="193"/>
        <v>0</v>
      </c>
    </row>
    <row r="9381" spans="8:8" hidden="1" x14ac:dyDescent="0.35">
      <c r="H9381" s="83">
        <f t="shared" si="193"/>
        <v>0</v>
      </c>
    </row>
    <row r="9382" spans="8:8" hidden="1" x14ac:dyDescent="0.35">
      <c r="H9382" s="83">
        <f t="shared" si="193"/>
        <v>0</v>
      </c>
    </row>
    <row r="9383" spans="8:8" hidden="1" x14ac:dyDescent="0.35">
      <c r="H9383" s="83">
        <f t="shared" si="193"/>
        <v>0</v>
      </c>
    </row>
    <row r="9384" spans="8:8" hidden="1" x14ac:dyDescent="0.35">
      <c r="H9384" s="83">
        <f t="shared" si="193"/>
        <v>0</v>
      </c>
    </row>
    <row r="9385" spans="8:8" hidden="1" x14ac:dyDescent="0.35">
      <c r="H9385" s="83">
        <f t="shared" si="193"/>
        <v>0</v>
      </c>
    </row>
    <row r="9386" spans="8:8" hidden="1" x14ac:dyDescent="0.35">
      <c r="H9386" s="83">
        <f t="shared" si="193"/>
        <v>0</v>
      </c>
    </row>
    <row r="9387" spans="8:8" hidden="1" x14ac:dyDescent="0.35">
      <c r="H9387" s="83">
        <f t="shared" si="193"/>
        <v>0</v>
      </c>
    </row>
    <row r="9388" spans="8:8" hidden="1" x14ac:dyDescent="0.35">
      <c r="H9388" s="83">
        <f t="shared" si="193"/>
        <v>0</v>
      </c>
    </row>
    <row r="9389" spans="8:8" hidden="1" x14ac:dyDescent="0.35">
      <c r="H9389" s="83">
        <f t="shared" si="193"/>
        <v>0</v>
      </c>
    </row>
    <row r="9390" spans="8:8" hidden="1" x14ac:dyDescent="0.35">
      <c r="H9390" s="83">
        <f t="shared" si="193"/>
        <v>0</v>
      </c>
    </row>
    <row r="9391" spans="8:8" hidden="1" x14ac:dyDescent="0.35">
      <c r="H9391" s="83">
        <f t="shared" si="193"/>
        <v>0</v>
      </c>
    </row>
    <row r="9392" spans="8:8" hidden="1" x14ac:dyDescent="0.35">
      <c r="H9392" s="83">
        <f t="shared" si="193"/>
        <v>0</v>
      </c>
    </row>
    <row r="9393" spans="8:8" hidden="1" x14ac:dyDescent="0.35">
      <c r="H9393" s="83">
        <f t="shared" si="193"/>
        <v>0</v>
      </c>
    </row>
    <row r="9394" spans="8:8" hidden="1" x14ac:dyDescent="0.35">
      <c r="H9394" s="83">
        <f t="shared" si="193"/>
        <v>0</v>
      </c>
    </row>
    <row r="9395" spans="8:8" hidden="1" x14ac:dyDescent="0.35">
      <c r="H9395" s="83">
        <f t="shared" si="193"/>
        <v>0</v>
      </c>
    </row>
    <row r="9396" spans="8:8" hidden="1" x14ac:dyDescent="0.35">
      <c r="H9396" s="83">
        <f t="shared" si="193"/>
        <v>0</v>
      </c>
    </row>
    <row r="9397" spans="8:8" hidden="1" x14ac:dyDescent="0.35">
      <c r="H9397" s="83">
        <f t="shared" si="193"/>
        <v>0</v>
      </c>
    </row>
    <row r="9398" spans="8:8" hidden="1" x14ac:dyDescent="0.35">
      <c r="H9398" s="83">
        <f t="shared" si="193"/>
        <v>0</v>
      </c>
    </row>
    <row r="9399" spans="8:8" hidden="1" x14ac:dyDescent="0.35">
      <c r="H9399" s="83">
        <f t="shared" si="193"/>
        <v>0</v>
      </c>
    </row>
    <row r="9400" spans="8:8" hidden="1" x14ac:dyDescent="0.35">
      <c r="H9400" s="83">
        <f t="shared" si="193"/>
        <v>0</v>
      </c>
    </row>
    <row r="9401" spans="8:8" hidden="1" x14ac:dyDescent="0.35">
      <c r="H9401" s="83">
        <f t="shared" si="193"/>
        <v>0</v>
      </c>
    </row>
    <row r="9402" spans="8:8" hidden="1" x14ac:dyDescent="0.35">
      <c r="H9402" s="83">
        <f t="shared" si="193"/>
        <v>0</v>
      </c>
    </row>
    <row r="9403" spans="8:8" hidden="1" x14ac:dyDescent="0.35">
      <c r="H9403" s="83">
        <f t="shared" si="193"/>
        <v>0</v>
      </c>
    </row>
    <row r="9404" spans="8:8" hidden="1" x14ac:dyDescent="0.35">
      <c r="H9404" s="83">
        <f t="shared" si="193"/>
        <v>0</v>
      </c>
    </row>
    <row r="9405" spans="8:8" hidden="1" x14ac:dyDescent="0.35">
      <c r="H9405" s="83">
        <f t="shared" si="193"/>
        <v>0</v>
      </c>
    </row>
    <row r="9406" spans="8:8" hidden="1" x14ac:dyDescent="0.35">
      <c r="H9406" s="83">
        <f t="shared" si="193"/>
        <v>0</v>
      </c>
    </row>
    <row r="9407" spans="8:8" hidden="1" x14ac:dyDescent="0.35">
      <c r="H9407" s="83">
        <f t="shared" si="193"/>
        <v>0</v>
      </c>
    </row>
    <row r="9408" spans="8:8" hidden="1" x14ac:dyDescent="0.35">
      <c r="H9408" s="83">
        <f t="shared" si="193"/>
        <v>0</v>
      </c>
    </row>
    <row r="9409" spans="8:8" hidden="1" x14ac:dyDescent="0.35">
      <c r="H9409" s="83">
        <f t="shared" si="193"/>
        <v>0</v>
      </c>
    </row>
    <row r="9410" spans="8:8" hidden="1" x14ac:dyDescent="0.35">
      <c r="H9410" s="83">
        <f t="shared" si="193"/>
        <v>0</v>
      </c>
    </row>
    <row r="9411" spans="8:8" hidden="1" x14ac:dyDescent="0.35">
      <c r="H9411" s="83">
        <f t="shared" si="193"/>
        <v>0</v>
      </c>
    </row>
    <row r="9412" spans="8:8" hidden="1" x14ac:dyDescent="0.35">
      <c r="H9412" s="83">
        <f t="shared" ref="H9412:H9475" si="194">J9412-I9412</f>
        <v>0</v>
      </c>
    </row>
    <row r="9413" spans="8:8" hidden="1" x14ac:dyDescent="0.35">
      <c r="H9413" s="83">
        <f t="shared" si="194"/>
        <v>0</v>
      </c>
    </row>
    <row r="9414" spans="8:8" hidden="1" x14ac:dyDescent="0.35">
      <c r="H9414" s="83">
        <f t="shared" si="194"/>
        <v>0</v>
      </c>
    </row>
    <row r="9415" spans="8:8" hidden="1" x14ac:dyDescent="0.35">
      <c r="H9415" s="83">
        <f t="shared" si="194"/>
        <v>0</v>
      </c>
    </row>
    <row r="9416" spans="8:8" hidden="1" x14ac:dyDescent="0.35">
      <c r="H9416" s="83">
        <f t="shared" si="194"/>
        <v>0</v>
      </c>
    </row>
    <row r="9417" spans="8:8" hidden="1" x14ac:dyDescent="0.35">
      <c r="H9417" s="83">
        <f t="shared" si="194"/>
        <v>0</v>
      </c>
    </row>
    <row r="9418" spans="8:8" hidden="1" x14ac:dyDescent="0.35">
      <c r="H9418" s="83">
        <f t="shared" si="194"/>
        <v>0</v>
      </c>
    </row>
    <row r="9419" spans="8:8" hidden="1" x14ac:dyDescent="0.35">
      <c r="H9419" s="83">
        <f t="shared" si="194"/>
        <v>0</v>
      </c>
    </row>
    <row r="9420" spans="8:8" hidden="1" x14ac:dyDescent="0.35">
      <c r="H9420" s="83">
        <f t="shared" si="194"/>
        <v>0</v>
      </c>
    </row>
    <row r="9421" spans="8:8" hidden="1" x14ac:dyDescent="0.35">
      <c r="H9421" s="83">
        <f t="shared" si="194"/>
        <v>0</v>
      </c>
    </row>
    <row r="9422" spans="8:8" hidden="1" x14ac:dyDescent="0.35">
      <c r="H9422" s="83">
        <f t="shared" si="194"/>
        <v>0</v>
      </c>
    </row>
    <row r="9423" spans="8:8" hidden="1" x14ac:dyDescent="0.35">
      <c r="H9423" s="83">
        <f t="shared" si="194"/>
        <v>0</v>
      </c>
    </row>
    <row r="9424" spans="8:8" hidden="1" x14ac:dyDescent="0.35">
      <c r="H9424" s="83">
        <f t="shared" si="194"/>
        <v>0</v>
      </c>
    </row>
    <row r="9425" spans="8:8" hidden="1" x14ac:dyDescent="0.35">
      <c r="H9425" s="83">
        <f t="shared" si="194"/>
        <v>0</v>
      </c>
    </row>
    <row r="9426" spans="8:8" hidden="1" x14ac:dyDescent="0.35">
      <c r="H9426" s="83">
        <f t="shared" si="194"/>
        <v>0</v>
      </c>
    </row>
    <row r="9427" spans="8:8" hidden="1" x14ac:dyDescent="0.35">
      <c r="H9427" s="83">
        <f t="shared" si="194"/>
        <v>0</v>
      </c>
    </row>
    <row r="9428" spans="8:8" hidden="1" x14ac:dyDescent="0.35">
      <c r="H9428" s="83">
        <f t="shared" si="194"/>
        <v>0</v>
      </c>
    </row>
    <row r="9429" spans="8:8" hidden="1" x14ac:dyDescent="0.35">
      <c r="H9429" s="83">
        <f t="shared" si="194"/>
        <v>0</v>
      </c>
    </row>
    <row r="9430" spans="8:8" hidden="1" x14ac:dyDescent="0.35">
      <c r="H9430" s="83">
        <f t="shared" si="194"/>
        <v>0</v>
      </c>
    </row>
    <row r="9431" spans="8:8" hidden="1" x14ac:dyDescent="0.35">
      <c r="H9431" s="83">
        <f t="shared" si="194"/>
        <v>0</v>
      </c>
    </row>
    <row r="9432" spans="8:8" hidden="1" x14ac:dyDescent="0.35">
      <c r="H9432" s="83">
        <f t="shared" si="194"/>
        <v>0</v>
      </c>
    </row>
    <row r="9433" spans="8:8" hidden="1" x14ac:dyDescent="0.35">
      <c r="H9433" s="83">
        <f t="shared" si="194"/>
        <v>0</v>
      </c>
    </row>
    <row r="9434" spans="8:8" hidden="1" x14ac:dyDescent="0.35">
      <c r="H9434" s="83">
        <f t="shared" si="194"/>
        <v>0</v>
      </c>
    </row>
    <row r="9435" spans="8:8" hidden="1" x14ac:dyDescent="0.35">
      <c r="H9435" s="83">
        <f t="shared" si="194"/>
        <v>0</v>
      </c>
    </row>
    <row r="9436" spans="8:8" hidden="1" x14ac:dyDescent="0.35">
      <c r="H9436" s="83">
        <f t="shared" si="194"/>
        <v>0</v>
      </c>
    </row>
    <row r="9437" spans="8:8" hidden="1" x14ac:dyDescent="0.35">
      <c r="H9437" s="83">
        <f t="shared" si="194"/>
        <v>0</v>
      </c>
    </row>
    <row r="9438" spans="8:8" hidden="1" x14ac:dyDescent="0.35">
      <c r="H9438" s="83">
        <f t="shared" si="194"/>
        <v>0</v>
      </c>
    </row>
    <row r="9439" spans="8:8" hidden="1" x14ac:dyDescent="0.35">
      <c r="H9439" s="83">
        <f t="shared" si="194"/>
        <v>0</v>
      </c>
    </row>
    <row r="9440" spans="8:8" hidden="1" x14ac:dyDescent="0.35">
      <c r="H9440" s="83">
        <f t="shared" si="194"/>
        <v>0</v>
      </c>
    </row>
    <row r="9441" spans="8:8" hidden="1" x14ac:dyDescent="0.35">
      <c r="H9441" s="83">
        <f t="shared" si="194"/>
        <v>0</v>
      </c>
    </row>
    <row r="9442" spans="8:8" hidden="1" x14ac:dyDescent="0.35">
      <c r="H9442" s="83">
        <f t="shared" si="194"/>
        <v>0</v>
      </c>
    </row>
    <row r="9443" spans="8:8" hidden="1" x14ac:dyDescent="0.35">
      <c r="H9443" s="83">
        <f t="shared" si="194"/>
        <v>0</v>
      </c>
    </row>
    <row r="9444" spans="8:8" hidden="1" x14ac:dyDescent="0.35">
      <c r="H9444" s="83">
        <f t="shared" si="194"/>
        <v>0</v>
      </c>
    </row>
    <row r="9445" spans="8:8" hidden="1" x14ac:dyDescent="0.35">
      <c r="H9445" s="83">
        <f t="shared" si="194"/>
        <v>0</v>
      </c>
    </row>
    <row r="9446" spans="8:8" hidden="1" x14ac:dyDescent="0.35">
      <c r="H9446" s="83">
        <f t="shared" si="194"/>
        <v>0</v>
      </c>
    </row>
    <row r="9447" spans="8:8" hidden="1" x14ac:dyDescent="0.35">
      <c r="H9447" s="83">
        <f t="shared" si="194"/>
        <v>0</v>
      </c>
    </row>
    <row r="9448" spans="8:8" hidden="1" x14ac:dyDescent="0.35">
      <c r="H9448" s="83">
        <f t="shared" si="194"/>
        <v>0</v>
      </c>
    </row>
    <row r="9449" spans="8:8" hidden="1" x14ac:dyDescent="0.35">
      <c r="H9449" s="83">
        <f t="shared" si="194"/>
        <v>0</v>
      </c>
    </row>
    <row r="9450" spans="8:8" hidden="1" x14ac:dyDescent="0.35">
      <c r="H9450" s="83">
        <f t="shared" si="194"/>
        <v>0</v>
      </c>
    </row>
    <row r="9451" spans="8:8" hidden="1" x14ac:dyDescent="0.35">
      <c r="H9451" s="83">
        <f t="shared" si="194"/>
        <v>0</v>
      </c>
    </row>
    <row r="9452" spans="8:8" hidden="1" x14ac:dyDescent="0.35">
      <c r="H9452" s="83">
        <f t="shared" si="194"/>
        <v>0</v>
      </c>
    </row>
    <row r="9453" spans="8:8" hidden="1" x14ac:dyDescent="0.35">
      <c r="H9453" s="83">
        <f t="shared" si="194"/>
        <v>0</v>
      </c>
    </row>
    <row r="9454" spans="8:8" hidden="1" x14ac:dyDescent="0.35">
      <c r="H9454" s="83">
        <f t="shared" si="194"/>
        <v>0</v>
      </c>
    </row>
    <row r="9455" spans="8:8" hidden="1" x14ac:dyDescent="0.35">
      <c r="H9455" s="83">
        <f t="shared" si="194"/>
        <v>0</v>
      </c>
    </row>
    <row r="9456" spans="8:8" hidden="1" x14ac:dyDescent="0.35">
      <c r="H9456" s="83">
        <f t="shared" si="194"/>
        <v>0</v>
      </c>
    </row>
    <row r="9457" spans="8:8" hidden="1" x14ac:dyDescent="0.35">
      <c r="H9457" s="83">
        <f t="shared" si="194"/>
        <v>0</v>
      </c>
    </row>
    <row r="9458" spans="8:8" hidden="1" x14ac:dyDescent="0.35">
      <c r="H9458" s="83">
        <f t="shared" si="194"/>
        <v>0</v>
      </c>
    </row>
    <row r="9459" spans="8:8" hidden="1" x14ac:dyDescent="0.35">
      <c r="H9459" s="83">
        <f t="shared" si="194"/>
        <v>0</v>
      </c>
    </row>
    <row r="9460" spans="8:8" hidden="1" x14ac:dyDescent="0.35">
      <c r="H9460" s="83">
        <f t="shared" si="194"/>
        <v>0</v>
      </c>
    </row>
    <row r="9461" spans="8:8" hidden="1" x14ac:dyDescent="0.35">
      <c r="H9461" s="83">
        <f t="shared" si="194"/>
        <v>0</v>
      </c>
    </row>
    <row r="9462" spans="8:8" hidden="1" x14ac:dyDescent="0.35">
      <c r="H9462" s="83">
        <f t="shared" si="194"/>
        <v>0</v>
      </c>
    </row>
    <row r="9463" spans="8:8" hidden="1" x14ac:dyDescent="0.35">
      <c r="H9463" s="83">
        <f t="shared" si="194"/>
        <v>0</v>
      </c>
    </row>
    <row r="9464" spans="8:8" hidden="1" x14ac:dyDescent="0.35">
      <c r="H9464" s="83">
        <f t="shared" si="194"/>
        <v>0</v>
      </c>
    </row>
    <row r="9465" spans="8:8" hidden="1" x14ac:dyDescent="0.35">
      <c r="H9465" s="83">
        <f t="shared" si="194"/>
        <v>0</v>
      </c>
    </row>
    <row r="9466" spans="8:8" hidden="1" x14ac:dyDescent="0.35">
      <c r="H9466" s="83">
        <f t="shared" si="194"/>
        <v>0</v>
      </c>
    </row>
    <row r="9467" spans="8:8" hidden="1" x14ac:dyDescent="0.35">
      <c r="H9467" s="83">
        <f t="shared" si="194"/>
        <v>0</v>
      </c>
    </row>
    <row r="9468" spans="8:8" hidden="1" x14ac:dyDescent="0.35">
      <c r="H9468" s="83">
        <f t="shared" si="194"/>
        <v>0</v>
      </c>
    </row>
    <row r="9469" spans="8:8" hidden="1" x14ac:dyDescent="0.35">
      <c r="H9469" s="83">
        <f t="shared" si="194"/>
        <v>0</v>
      </c>
    </row>
    <row r="9470" spans="8:8" hidden="1" x14ac:dyDescent="0.35">
      <c r="H9470" s="83">
        <f t="shared" si="194"/>
        <v>0</v>
      </c>
    </row>
    <row r="9471" spans="8:8" hidden="1" x14ac:dyDescent="0.35">
      <c r="H9471" s="83">
        <f t="shared" si="194"/>
        <v>0</v>
      </c>
    </row>
    <row r="9472" spans="8:8" hidden="1" x14ac:dyDescent="0.35">
      <c r="H9472" s="83">
        <f t="shared" si="194"/>
        <v>0</v>
      </c>
    </row>
    <row r="9473" spans="8:8" hidden="1" x14ac:dyDescent="0.35">
      <c r="H9473" s="83">
        <f t="shared" si="194"/>
        <v>0</v>
      </c>
    </row>
    <row r="9474" spans="8:8" hidden="1" x14ac:dyDescent="0.35">
      <c r="H9474" s="83">
        <f t="shared" si="194"/>
        <v>0</v>
      </c>
    </row>
    <row r="9475" spans="8:8" hidden="1" x14ac:dyDescent="0.35">
      <c r="H9475" s="83">
        <f t="shared" si="194"/>
        <v>0</v>
      </c>
    </row>
    <row r="9476" spans="8:8" hidden="1" x14ac:dyDescent="0.35">
      <c r="H9476" s="83">
        <f t="shared" ref="H9476:H9539" si="195">J9476-I9476</f>
        <v>0</v>
      </c>
    </row>
    <row r="9477" spans="8:8" hidden="1" x14ac:dyDescent="0.35">
      <c r="H9477" s="83">
        <f t="shared" si="195"/>
        <v>0</v>
      </c>
    </row>
    <row r="9478" spans="8:8" hidden="1" x14ac:dyDescent="0.35">
      <c r="H9478" s="83">
        <f t="shared" si="195"/>
        <v>0</v>
      </c>
    </row>
    <row r="9479" spans="8:8" hidden="1" x14ac:dyDescent="0.35">
      <c r="H9479" s="83">
        <f t="shared" si="195"/>
        <v>0</v>
      </c>
    </row>
    <row r="9480" spans="8:8" hidden="1" x14ac:dyDescent="0.35">
      <c r="H9480" s="83">
        <f t="shared" si="195"/>
        <v>0</v>
      </c>
    </row>
    <row r="9481" spans="8:8" hidden="1" x14ac:dyDescent="0.35">
      <c r="H9481" s="83">
        <f t="shared" si="195"/>
        <v>0</v>
      </c>
    </row>
    <row r="9482" spans="8:8" hidden="1" x14ac:dyDescent="0.35">
      <c r="H9482" s="83">
        <f t="shared" si="195"/>
        <v>0</v>
      </c>
    </row>
    <row r="9483" spans="8:8" hidden="1" x14ac:dyDescent="0.35">
      <c r="H9483" s="83">
        <f t="shared" si="195"/>
        <v>0</v>
      </c>
    </row>
    <row r="9484" spans="8:8" hidden="1" x14ac:dyDescent="0.35">
      <c r="H9484" s="83">
        <f t="shared" si="195"/>
        <v>0</v>
      </c>
    </row>
    <row r="9485" spans="8:8" hidden="1" x14ac:dyDescent="0.35">
      <c r="H9485" s="83">
        <f t="shared" si="195"/>
        <v>0</v>
      </c>
    </row>
    <row r="9486" spans="8:8" hidden="1" x14ac:dyDescent="0.35">
      <c r="H9486" s="83">
        <f t="shared" si="195"/>
        <v>0</v>
      </c>
    </row>
    <row r="9487" spans="8:8" hidden="1" x14ac:dyDescent="0.35">
      <c r="H9487" s="83">
        <f t="shared" si="195"/>
        <v>0</v>
      </c>
    </row>
    <row r="9488" spans="8:8" hidden="1" x14ac:dyDescent="0.35">
      <c r="H9488" s="83">
        <f t="shared" si="195"/>
        <v>0</v>
      </c>
    </row>
    <row r="9489" spans="8:8" hidden="1" x14ac:dyDescent="0.35">
      <c r="H9489" s="83">
        <f t="shared" si="195"/>
        <v>0</v>
      </c>
    </row>
    <row r="9490" spans="8:8" hidden="1" x14ac:dyDescent="0.35">
      <c r="H9490" s="83">
        <f t="shared" si="195"/>
        <v>0</v>
      </c>
    </row>
    <row r="9491" spans="8:8" hidden="1" x14ac:dyDescent="0.35">
      <c r="H9491" s="83">
        <f t="shared" si="195"/>
        <v>0</v>
      </c>
    </row>
    <row r="9492" spans="8:8" hidden="1" x14ac:dyDescent="0.35">
      <c r="H9492" s="83">
        <f t="shared" si="195"/>
        <v>0</v>
      </c>
    </row>
    <row r="9493" spans="8:8" hidden="1" x14ac:dyDescent="0.35">
      <c r="H9493" s="83">
        <f t="shared" si="195"/>
        <v>0</v>
      </c>
    </row>
    <row r="9494" spans="8:8" hidden="1" x14ac:dyDescent="0.35">
      <c r="H9494" s="83">
        <f t="shared" si="195"/>
        <v>0</v>
      </c>
    </row>
    <row r="9495" spans="8:8" hidden="1" x14ac:dyDescent="0.35">
      <c r="H9495" s="83">
        <f t="shared" si="195"/>
        <v>0</v>
      </c>
    </row>
    <row r="9496" spans="8:8" hidden="1" x14ac:dyDescent="0.35">
      <c r="H9496" s="83">
        <f t="shared" si="195"/>
        <v>0</v>
      </c>
    </row>
    <row r="9497" spans="8:8" hidden="1" x14ac:dyDescent="0.35">
      <c r="H9497" s="83">
        <f t="shared" si="195"/>
        <v>0</v>
      </c>
    </row>
    <row r="9498" spans="8:8" hidden="1" x14ac:dyDescent="0.35">
      <c r="H9498" s="83">
        <f t="shared" si="195"/>
        <v>0</v>
      </c>
    </row>
    <row r="9499" spans="8:8" hidden="1" x14ac:dyDescent="0.35">
      <c r="H9499" s="83">
        <f t="shared" si="195"/>
        <v>0</v>
      </c>
    </row>
    <row r="9500" spans="8:8" hidden="1" x14ac:dyDescent="0.35">
      <c r="H9500" s="83">
        <f t="shared" si="195"/>
        <v>0</v>
      </c>
    </row>
    <row r="9501" spans="8:8" hidden="1" x14ac:dyDescent="0.35">
      <c r="H9501" s="83">
        <f t="shared" si="195"/>
        <v>0</v>
      </c>
    </row>
    <row r="9502" spans="8:8" hidden="1" x14ac:dyDescent="0.35">
      <c r="H9502" s="83">
        <f t="shared" si="195"/>
        <v>0</v>
      </c>
    </row>
    <row r="9503" spans="8:8" hidden="1" x14ac:dyDescent="0.35">
      <c r="H9503" s="83">
        <f t="shared" si="195"/>
        <v>0</v>
      </c>
    </row>
    <row r="9504" spans="8:8" hidden="1" x14ac:dyDescent="0.35">
      <c r="H9504" s="83">
        <f t="shared" si="195"/>
        <v>0</v>
      </c>
    </row>
    <row r="9505" spans="8:8" hidden="1" x14ac:dyDescent="0.35">
      <c r="H9505" s="83">
        <f t="shared" si="195"/>
        <v>0</v>
      </c>
    </row>
    <row r="9506" spans="8:8" hidden="1" x14ac:dyDescent="0.35">
      <c r="H9506" s="83">
        <f t="shared" si="195"/>
        <v>0</v>
      </c>
    </row>
    <row r="9507" spans="8:8" hidden="1" x14ac:dyDescent="0.35">
      <c r="H9507" s="83">
        <f t="shared" si="195"/>
        <v>0</v>
      </c>
    </row>
    <row r="9508" spans="8:8" hidden="1" x14ac:dyDescent="0.35">
      <c r="H9508" s="83">
        <f t="shared" si="195"/>
        <v>0</v>
      </c>
    </row>
    <row r="9509" spans="8:8" hidden="1" x14ac:dyDescent="0.35">
      <c r="H9509" s="83">
        <f t="shared" si="195"/>
        <v>0</v>
      </c>
    </row>
    <row r="9510" spans="8:8" hidden="1" x14ac:dyDescent="0.35">
      <c r="H9510" s="83">
        <f t="shared" si="195"/>
        <v>0</v>
      </c>
    </row>
    <row r="9511" spans="8:8" hidden="1" x14ac:dyDescent="0.35">
      <c r="H9511" s="83">
        <f t="shared" si="195"/>
        <v>0</v>
      </c>
    </row>
    <row r="9512" spans="8:8" hidden="1" x14ac:dyDescent="0.35">
      <c r="H9512" s="83">
        <f t="shared" si="195"/>
        <v>0</v>
      </c>
    </row>
    <row r="9513" spans="8:8" hidden="1" x14ac:dyDescent="0.35">
      <c r="H9513" s="83">
        <f t="shared" si="195"/>
        <v>0</v>
      </c>
    </row>
    <row r="9514" spans="8:8" hidden="1" x14ac:dyDescent="0.35">
      <c r="H9514" s="83">
        <f t="shared" si="195"/>
        <v>0</v>
      </c>
    </row>
    <row r="9515" spans="8:8" hidden="1" x14ac:dyDescent="0.35">
      <c r="H9515" s="83">
        <f t="shared" si="195"/>
        <v>0</v>
      </c>
    </row>
    <row r="9516" spans="8:8" hidden="1" x14ac:dyDescent="0.35">
      <c r="H9516" s="83">
        <f t="shared" si="195"/>
        <v>0</v>
      </c>
    </row>
    <row r="9517" spans="8:8" hidden="1" x14ac:dyDescent="0.35">
      <c r="H9517" s="83">
        <f t="shared" si="195"/>
        <v>0</v>
      </c>
    </row>
    <row r="9518" spans="8:8" hidden="1" x14ac:dyDescent="0.35">
      <c r="H9518" s="83">
        <f t="shared" si="195"/>
        <v>0</v>
      </c>
    </row>
    <row r="9519" spans="8:8" hidden="1" x14ac:dyDescent="0.35">
      <c r="H9519" s="83">
        <f t="shared" si="195"/>
        <v>0</v>
      </c>
    </row>
    <row r="9520" spans="8:8" hidden="1" x14ac:dyDescent="0.35">
      <c r="H9520" s="83">
        <f t="shared" si="195"/>
        <v>0</v>
      </c>
    </row>
    <row r="9521" spans="8:8" hidden="1" x14ac:dyDescent="0.35">
      <c r="H9521" s="83">
        <f t="shared" si="195"/>
        <v>0</v>
      </c>
    </row>
    <row r="9522" spans="8:8" hidden="1" x14ac:dyDescent="0.35">
      <c r="H9522" s="83">
        <f t="shared" si="195"/>
        <v>0</v>
      </c>
    </row>
    <row r="9523" spans="8:8" hidden="1" x14ac:dyDescent="0.35">
      <c r="H9523" s="83">
        <f t="shared" si="195"/>
        <v>0</v>
      </c>
    </row>
    <row r="9524" spans="8:8" hidden="1" x14ac:dyDescent="0.35">
      <c r="H9524" s="83">
        <f t="shared" si="195"/>
        <v>0</v>
      </c>
    </row>
    <row r="9525" spans="8:8" hidden="1" x14ac:dyDescent="0.35">
      <c r="H9525" s="83">
        <f t="shared" si="195"/>
        <v>0</v>
      </c>
    </row>
    <row r="9526" spans="8:8" hidden="1" x14ac:dyDescent="0.35">
      <c r="H9526" s="83">
        <f t="shared" si="195"/>
        <v>0</v>
      </c>
    </row>
    <row r="9527" spans="8:8" hidden="1" x14ac:dyDescent="0.35">
      <c r="H9527" s="83">
        <f t="shared" si="195"/>
        <v>0</v>
      </c>
    </row>
    <row r="9528" spans="8:8" hidden="1" x14ac:dyDescent="0.35">
      <c r="H9528" s="83">
        <f t="shared" si="195"/>
        <v>0</v>
      </c>
    </row>
    <row r="9529" spans="8:8" hidden="1" x14ac:dyDescent="0.35">
      <c r="H9529" s="83">
        <f t="shared" si="195"/>
        <v>0</v>
      </c>
    </row>
    <row r="9530" spans="8:8" hidden="1" x14ac:dyDescent="0.35">
      <c r="H9530" s="83">
        <f t="shared" si="195"/>
        <v>0</v>
      </c>
    </row>
    <row r="9531" spans="8:8" hidden="1" x14ac:dyDescent="0.35">
      <c r="H9531" s="83">
        <f t="shared" si="195"/>
        <v>0</v>
      </c>
    </row>
    <row r="9532" spans="8:8" hidden="1" x14ac:dyDescent="0.35">
      <c r="H9532" s="83">
        <f t="shared" si="195"/>
        <v>0</v>
      </c>
    </row>
    <row r="9533" spans="8:8" hidden="1" x14ac:dyDescent="0.35">
      <c r="H9533" s="83">
        <f t="shared" si="195"/>
        <v>0</v>
      </c>
    </row>
    <row r="9534" spans="8:8" hidden="1" x14ac:dyDescent="0.35">
      <c r="H9534" s="83">
        <f t="shared" si="195"/>
        <v>0</v>
      </c>
    </row>
    <row r="9535" spans="8:8" hidden="1" x14ac:dyDescent="0.35">
      <c r="H9535" s="83">
        <f t="shared" si="195"/>
        <v>0</v>
      </c>
    </row>
    <row r="9536" spans="8:8" hidden="1" x14ac:dyDescent="0.35">
      <c r="H9536" s="83">
        <f t="shared" si="195"/>
        <v>0</v>
      </c>
    </row>
    <row r="9537" spans="8:8" hidden="1" x14ac:dyDescent="0.35">
      <c r="H9537" s="83">
        <f t="shared" si="195"/>
        <v>0</v>
      </c>
    </row>
    <row r="9538" spans="8:8" hidden="1" x14ac:dyDescent="0.35">
      <c r="H9538" s="83">
        <f t="shared" si="195"/>
        <v>0</v>
      </c>
    </row>
    <row r="9539" spans="8:8" hidden="1" x14ac:dyDescent="0.35">
      <c r="H9539" s="83">
        <f t="shared" si="195"/>
        <v>0</v>
      </c>
    </row>
    <row r="9540" spans="8:8" hidden="1" x14ac:dyDescent="0.35">
      <c r="H9540" s="83">
        <f t="shared" ref="H9540:H9603" si="196">J9540-I9540</f>
        <v>0</v>
      </c>
    </row>
    <row r="9541" spans="8:8" hidden="1" x14ac:dyDescent="0.35">
      <c r="H9541" s="83">
        <f t="shared" si="196"/>
        <v>0</v>
      </c>
    </row>
    <row r="9542" spans="8:8" hidden="1" x14ac:dyDescent="0.35">
      <c r="H9542" s="83">
        <f t="shared" si="196"/>
        <v>0</v>
      </c>
    </row>
    <row r="9543" spans="8:8" hidden="1" x14ac:dyDescent="0.35">
      <c r="H9543" s="83">
        <f t="shared" si="196"/>
        <v>0</v>
      </c>
    </row>
    <row r="9544" spans="8:8" hidden="1" x14ac:dyDescent="0.35">
      <c r="H9544" s="83">
        <f t="shared" si="196"/>
        <v>0</v>
      </c>
    </row>
    <row r="9545" spans="8:8" hidden="1" x14ac:dyDescent="0.35">
      <c r="H9545" s="83">
        <f t="shared" si="196"/>
        <v>0</v>
      </c>
    </row>
    <row r="9546" spans="8:8" hidden="1" x14ac:dyDescent="0.35">
      <c r="H9546" s="83">
        <f t="shared" si="196"/>
        <v>0</v>
      </c>
    </row>
    <row r="9547" spans="8:8" hidden="1" x14ac:dyDescent="0.35">
      <c r="H9547" s="83">
        <f t="shared" si="196"/>
        <v>0</v>
      </c>
    </row>
    <row r="9548" spans="8:8" hidden="1" x14ac:dyDescent="0.35">
      <c r="H9548" s="83">
        <f t="shared" si="196"/>
        <v>0</v>
      </c>
    </row>
    <row r="9549" spans="8:8" hidden="1" x14ac:dyDescent="0.35">
      <c r="H9549" s="83">
        <f t="shared" si="196"/>
        <v>0</v>
      </c>
    </row>
    <row r="9550" spans="8:8" hidden="1" x14ac:dyDescent="0.35">
      <c r="H9550" s="83">
        <f t="shared" si="196"/>
        <v>0</v>
      </c>
    </row>
    <row r="9551" spans="8:8" hidden="1" x14ac:dyDescent="0.35">
      <c r="H9551" s="83">
        <f t="shared" si="196"/>
        <v>0</v>
      </c>
    </row>
    <row r="9552" spans="8:8" hidden="1" x14ac:dyDescent="0.35">
      <c r="H9552" s="83">
        <f t="shared" si="196"/>
        <v>0</v>
      </c>
    </row>
    <row r="9553" spans="8:8" hidden="1" x14ac:dyDescent="0.35">
      <c r="H9553" s="83">
        <f t="shared" si="196"/>
        <v>0</v>
      </c>
    </row>
    <row r="9554" spans="8:8" hidden="1" x14ac:dyDescent="0.35">
      <c r="H9554" s="83">
        <f t="shared" si="196"/>
        <v>0</v>
      </c>
    </row>
    <row r="9555" spans="8:8" hidden="1" x14ac:dyDescent="0.35">
      <c r="H9555" s="83">
        <f t="shared" si="196"/>
        <v>0</v>
      </c>
    </row>
    <row r="9556" spans="8:8" hidden="1" x14ac:dyDescent="0.35">
      <c r="H9556" s="83">
        <f t="shared" si="196"/>
        <v>0</v>
      </c>
    </row>
    <row r="9557" spans="8:8" hidden="1" x14ac:dyDescent="0.35">
      <c r="H9557" s="83">
        <f t="shared" si="196"/>
        <v>0</v>
      </c>
    </row>
    <row r="9558" spans="8:8" hidden="1" x14ac:dyDescent="0.35">
      <c r="H9558" s="83">
        <f t="shared" si="196"/>
        <v>0</v>
      </c>
    </row>
    <row r="9559" spans="8:8" hidden="1" x14ac:dyDescent="0.35">
      <c r="H9559" s="83">
        <f t="shared" si="196"/>
        <v>0</v>
      </c>
    </row>
    <row r="9560" spans="8:8" hidden="1" x14ac:dyDescent="0.35">
      <c r="H9560" s="83">
        <f t="shared" si="196"/>
        <v>0</v>
      </c>
    </row>
    <row r="9561" spans="8:8" hidden="1" x14ac:dyDescent="0.35">
      <c r="H9561" s="83">
        <f t="shared" si="196"/>
        <v>0</v>
      </c>
    </row>
    <row r="9562" spans="8:8" hidden="1" x14ac:dyDescent="0.35">
      <c r="H9562" s="83">
        <f t="shared" si="196"/>
        <v>0</v>
      </c>
    </row>
    <row r="9563" spans="8:8" hidden="1" x14ac:dyDescent="0.35">
      <c r="H9563" s="83">
        <f t="shared" si="196"/>
        <v>0</v>
      </c>
    </row>
    <row r="9564" spans="8:8" hidden="1" x14ac:dyDescent="0.35">
      <c r="H9564" s="83">
        <f t="shared" si="196"/>
        <v>0</v>
      </c>
    </row>
    <row r="9565" spans="8:8" hidden="1" x14ac:dyDescent="0.35">
      <c r="H9565" s="83">
        <f t="shared" si="196"/>
        <v>0</v>
      </c>
    </row>
    <row r="9566" spans="8:8" hidden="1" x14ac:dyDescent="0.35">
      <c r="H9566" s="83">
        <f t="shared" si="196"/>
        <v>0</v>
      </c>
    </row>
    <row r="9567" spans="8:8" hidden="1" x14ac:dyDescent="0.35">
      <c r="H9567" s="83">
        <f t="shared" si="196"/>
        <v>0</v>
      </c>
    </row>
    <row r="9568" spans="8:8" hidden="1" x14ac:dyDescent="0.35">
      <c r="H9568" s="83">
        <f t="shared" si="196"/>
        <v>0</v>
      </c>
    </row>
    <row r="9569" spans="8:8" hidden="1" x14ac:dyDescent="0.35">
      <c r="H9569" s="83">
        <f t="shared" si="196"/>
        <v>0</v>
      </c>
    </row>
    <row r="9570" spans="8:8" hidden="1" x14ac:dyDescent="0.35">
      <c r="H9570" s="83">
        <f t="shared" si="196"/>
        <v>0</v>
      </c>
    </row>
    <row r="9571" spans="8:8" hidden="1" x14ac:dyDescent="0.35">
      <c r="H9571" s="83">
        <f t="shared" si="196"/>
        <v>0</v>
      </c>
    </row>
    <row r="9572" spans="8:8" hidden="1" x14ac:dyDescent="0.35">
      <c r="H9572" s="83">
        <f t="shared" si="196"/>
        <v>0</v>
      </c>
    </row>
    <row r="9573" spans="8:8" hidden="1" x14ac:dyDescent="0.35">
      <c r="H9573" s="83">
        <f t="shared" si="196"/>
        <v>0</v>
      </c>
    </row>
    <row r="9574" spans="8:8" hidden="1" x14ac:dyDescent="0.35">
      <c r="H9574" s="83">
        <f t="shared" si="196"/>
        <v>0</v>
      </c>
    </row>
    <row r="9575" spans="8:8" hidden="1" x14ac:dyDescent="0.35">
      <c r="H9575" s="83">
        <f t="shared" si="196"/>
        <v>0</v>
      </c>
    </row>
    <row r="9576" spans="8:8" hidden="1" x14ac:dyDescent="0.35">
      <c r="H9576" s="83">
        <f t="shared" si="196"/>
        <v>0</v>
      </c>
    </row>
    <row r="9577" spans="8:8" hidden="1" x14ac:dyDescent="0.35">
      <c r="H9577" s="83">
        <f t="shared" si="196"/>
        <v>0</v>
      </c>
    </row>
    <row r="9578" spans="8:8" hidden="1" x14ac:dyDescent="0.35">
      <c r="H9578" s="83">
        <f t="shared" si="196"/>
        <v>0</v>
      </c>
    </row>
    <row r="9579" spans="8:8" hidden="1" x14ac:dyDescent="0.35">
      <c r="H9579" s="83">
        <f t="shared" si="196"/>
        <v>0</v>
      </c>
    </row>
    <row r="9580" spans="8:8" hidden="1" x14ac:dyDescent="0.35">
      <c r="H9580" s="83">
        <f t="shared" si="196"/>
        <v>0</v>
      </c>
    </row>
    <row r="9581" spans="8:8" hidden="1" x14ac:dyDescent="0.35">
      <c r="H9581" s="83">
        <f t="shared" si="196"/>
        <v>0</v>
      </c>
    </row>
    <row r="9582" spans="8:8" hidden="1" x14ac:dyDescent="0.35">
      <c r="H9582" s="83">
        <f t="shared" si="196"/>
        <v>0</v>
      </c>
    </row>
    <row r="9583" spans="8:8" hidden="1" x14ac:dyDescent="0.35">
      <c r="H9583" s="83">
        <f t="shared" si="196"/>
        <v>0</v>
      </c>
    </row>
    <row r="9584" spans="8:8" hidden="1" x14ac:dyDescent="0.35">
      <c r="H9584" s="83">
        <f t="shared" si="196"/>
        <v>0</v>
      </c>
    </row>
    <row r="9585" spans="8:8" hidden="1" x14ac:dyDescent="0.35">
      <c r="H9585" s="83">
        <f t="shared" si="196"/>
        <v>0</v>
      </c>
    </row>
    <row r="9586" spans="8:8" hidden="1" x14ac:dyDescent="0.35">
      <c r="H9586" s="83">
        <f t="shared" si="196"/>
        <v>0</v>
      </c>
    </row>
    <row r="9587" spans="8:8" hidden="1" x14ac:dyDescent="0.35">
      <c r="H9587" s="83">
        <f t="shared" si="196"/>
        <v>0</v>
      </c>
    </row>
    <row r="9588" spans="8:8" hidden="1" x14ac:dyDescent="0.35">
      <c r="H9588" s="83">
        <f t="shared" si="196"/>
        <v>0</v>
      </c>
    </row>
    <row r="9589" spans="8:8" hidden="1" x14ac:dyDescent="0.35">
      <c r="H9589" s="83">
        <f t="shared" si="196"/>
        <v>0</v>
      </c>
    </row>
    <row r="9590" spans="8:8" hidden="1" x14ac:dyDescent="0.35">
      <c r="H9590" s="83">
        <f t="shared" si="196"/>
        <v>0</v>
      </c>
    </row>
    <row r="9591" spans="8:8" hidden="1" x14ac:dyDescent="0.35">
      <c r="H9591" s="83">
        <f t="shared" si="196"/>
        <v>0</v>
      </c>
    </row>
    <row r="9592" spans="8:8" hidden="1" x14ac:dyDescent="0.35">
      <c r="H9592" s="83">
        <f t="shared" si="196"/>
        <v>0</v>
      </c>
    </row>
    <row r="9593" spans="8:8" hidden="1" x14ac:dyDescent="0.35">
      <c r="H9593" s="83">
        <f t="shared" si="196"/>
        <v>0</v>
      </c>
    </row>
    <row r="9594" spans="8:8" hidden="1" x14ac:dyDescent="0.35">
      <c r="H9594" s="83">
        <f t="shared" si="196"/>
        <v>0</v>
      </c>
    </row>
    <row r="9595" spans="8:8" hidden="1" x14ac:dyDescent="0.35">
      <c r="H9595" s="83">
        <f t="shared" si="196"/>
        <v>0</v>
      </c>
    </row>
    <row r="9596" spans="8:8" hidden="1" x14ac:dyDescent="0.35">
      <c r="H9596" s="83">
        <f t="shared" si="196"/>
        <v>0</v>
      </c>
    </row>
    <row r="9597" spans="8:8" hidden="1" x14ac:dyDescent="0.35">
      <c r="H9597" s="83">
        <f t="shared" si="196"/>
        <v>0</v>
      </c>
    </row>
    <row r="9598" spans="8:8" hidden="1" x14ac:dyDescent="0.35">
      <c r="H9598" s="83">
        <f t="shared" si="196"/>
        <v>0</v>
      </c>
    </row>
    <row r="9599" spans="8:8" hidden="1" x14ac:dyDescent="0.35">
      <c r="H9599" s="83">
        <f t="shared" si="196"/>
        <v>0</v>
      </c>
    </row>
    <row r="9600" spans="8:8" hidden="1" x14ac:dyDescent="0.35">
      <c r="H9600" s="83">
        <f t="shared" si="196"/>
        <v>0</v>
      </c>
    </row>
    <row r="9601" spans="8:8" hidden="1" x14ac:dyDescent="0.35">
      <c r="H9601" s="83">
        <f t="shared" si="196"/>
        <v>0</v>
      </c>
    </row>
    <row r="9602" spans="8:8" hidden="1" x14ac:dyDescent="0.35">
      <c r="H9602" s="83">
        <f t="shared" si="196"/>
        <v>0</v>
      </c>
    </row>
    <row r="9603" spans="8:8" hidden="1" x14ac:dyDescent="0.35">
      <c r="H9603" s="83">
        <f t="shared" si="196"/>
        <v>0</v>
      </c>
    </row>
    <row r="9604" spans="8:8" hidden="1" x14ac:dyDescent="0.35">
      <c r="H9604" s="83">
        <f t="shared" ref="H9604:H9667" si="197">J9604-I9604</f>
        <v>0</v>
      </c>
    </row>
    <row r="9605" spans="8:8" hidden="1" x14ac:dyDescent="0.35">
      <c r="H9605" s="83">
        <f t="shared" si="197"/>
        <v>0</v>
      </c>
    </row>
    <row r="9606" spans="8:8" hidden="1" x14ac:dyDescent="0.35">
      <c r="H9606" s="83">
        <f t="shared" si="197"/>
        <v>0</v>
      </c>
    </row>
    <row r="9607" spans="8:8" hidden="1" x14ac:dyDescent="0.35">
      <c r="H9607" s="83">
        <f t="shared" si="197"/>
        <v>0</v>
      </c>
    </row>
    <row r="9608" spans="8:8" hidden="1" x14ac:dyDescent="0.35">
      <c r="H9608" s="83">
        <f t="shared" si="197"/>
        <v>0</v>
      </c>
    </row>
    <row r="9609" spans="8:8" hidden="1" x14ac:dyDescent="0.35">
      <c r="H9609" s="83">
        <f t="shared" si="197"/>
        <v>0</v>
      </c>
    </row>
    <row r="9610" spans="8:8" hidden="1" x14ac:dyDescent="0.35">
      <c r="H9610" s="83">
        <f t="shared" si="197"/>
        <v>0</v>
      </c>
    </row>
    <row r="9611" spans="8:8" hidden="1" x14ac:dyDescent="0.35">
      <c r="H9611" s="83">
        <f t="shared" si="197"/>
        <v>0</v>
      </c>
    </row>
    <row r="9612" spans="8:8" hidden="1" x14ac:dyDescent="0.35">
      <c r="H9612" s="83">
        <f t="shared" si="197"/>
        <v>0</v>
      </c>
    </row>
    <row r="9613" spans="8:8" hidden="1" x14ac:dyDescent="0.35">
      <c r="H9613" s="83">
        <f t="shared" si="197"/>
        <v>0</v>
      </c>
    </row>
    <row r="9614" spans="8:8" hidden="1" x14ac:dyDescent="0.35">
      <c r="H9614" s="83">
        <f t="shared" si="197"/>
        <v>0</v>
      </c>
    </row>
    <row r="9615" spans="8:8" hidden="1" x14ac:dyDescent="0.35">
      <c r="H9615" s="83">
        <f t="shared" si="197"/>
        <v>0</v>
      </c>
    </row>
    <row r="9616" spans="8:8" hidden="1" x14ac:dyDescent="0.35">
      <c r="H9616" s="83">
        <f t="shared" si="197"/>
        <v>0</v>
      </c>
    </row>
    <row r="9617" spans="8:8" hidden="1" x14ac:dyDescent="0.35">
      <c r="H9617" s="83">
        <f t="shared" si="197"/>
        <v>0</v>
      </c>
    </row>
    <row r="9618" spans="8:8" hidden="1" x14ac:dyDescent="0.35">
      <c r="H9618" s="83">
        <f t="shared" si="197"/>
        <v>0</v>
      </c>
    </row>
    <row r="9619" spans="8:8" hidden="1" x14ac:dyDescent="0.35">
      <c r="H9619" s="83">
        <f t="shared" si="197"/>
        <v>0</v>
      </c>
    </row>
    <row r="9620" spans="8:8" hidden="1" x14ac:dyDescent="0.35">
      <c r="H9620" s="83">
        <f t="shared" si="197"/>
        <v>0</v>
      </c>
    </row>
    <row r="9621" spans="8:8" hidden="1" x14ac:dyDescent="0.35">
      <c r="H9621" s="83">
        <f t="shared" si="197"/>
        <v>0</v>
      </c>
    </row>
    <row r="9622" spans="8:8" hidden="1" x14ac:dyDescent="0.35">
      <c r="H9622" s="83">
        <f t="shared" si="197"/>
        <v>0</v>
      </c>
    </row>
    <row r="9623" spans="8:8" hidden="1" x14ac:dyDescent="0.35">
      <c r="H9623" s="83">
        <f t="shared" si="197"/>
        <v>0</v>
      </c>
    </row>
    <row r="9624" spans="8:8" hidden="1" x14ac:dyDescent="0.35">
      <c r="H9624" s="83">
        <f t="shared" si="197"/>
        <v>0</v>
      </c>
    </row>
    <row r="9625" spans="8:8" hidden="1" x14ac:dyDescent="0.35">
      <c r="H9625" s="83">
        <f t="shared" si="197"/>
        <v>0</v>
      </c>
    </row>
    <row r="9626" spans="8:8" hidden="1" x14ac:dyDescent="0.35">
      <c r="H9626" s="83">
        <f t="shared" si="197"/>
        <v>0</v>
      </c>
    </row>
    <row r="9627" spans="8:8" hidden="1" x14ac:dyDescent="0.35">
      <c r="H9627" s="83">
        <f t="shared" si="197"/>
        <v>0</v>
      </c>
    </row>
    <row r="9628" spans="8:8" hidden="1" x14ac:dyDescent="0.35">
      <c r="H9628" s="83">
        <f t="shared" si="197"/>
        <v>0</v>
      </c>
    </row>
    <row r="9629" spans="8:8" hidden="1" x14ac:dyDescent="0.35">
      <c r="H9629" s="83">
        <f t="shared" si="197"/>
        <v>0</v>
      </c>
    </row>
    <row r="9630" spans="8:8" hidden="1" x14ac:dyDescent="0.35">
      <c r="H9630" s="83">
        <f t="shared" si="197"/>
        <v>0</v>
      </c>
    </row>
    <row r="9631" spans="8:8" hidden="1" x14ac:dyDescent="0.35">
      <c r="H9631" s="83">
        <f t="shared" si="197"/>
        <v>0</v>
      </c>
    </row>
    <row r="9632" spans="8:8" hidden="1" x14ac:dyDescent="0.35">
      <c r="H9632" s="83">
        <f t="shared" si="197"/>
        <v>0</v>
      </c>
    </row>
    <row r="9633" spans="8:8" hidden="1" x14ac:dyDescent="0.35">
      <c r="H9633" s="83">
        <f t="shared" si="197"/>
        <v>0</v>
      </c>
    </row>
    <row r="9634" spans="8:8" hidden="1" x14ac:dyDescent="0.35">
      <c r="H9634" s="83">
        <f t="shared" si="197"/>
        <v>0</v>
      </c>
    </row>
    <row r="9635" spans="8:8" hidden="1" x14ac:dyDescent="0.35">
      <c r="H9635" s="83">
        <f t="shared" si="197"/>
        <v>0</v>
      </c>
    </row>
    <row r="9636" spans="8:8" hidden="1" x14ac:dyDescent="0.35">
      <c r="H9636" s="83">
        <f t="shared" si="197"/>
        <v>0</v>
      </c>
    </row>
    <row r="9637" spans="8:8" hidden="1" x14ac:dyDescent="0.35">
      <c r="H9637" s="83">
        <f t="shared" si="197"/>
        <v>0</v>
      </c>
    </row>
    <row r="9638" spans="8:8" hidden="1" x14ac:dyDescent="0.35">
      <c r="H9638" s="83">
        <f t="shared" si="197"/>
        <v>0</v>
      </c>
    </row>
    <row r="9639" spans="8:8" hidden="1" x14ac:dyDescent="0.35">
      <c r="H9639" s="83">
        <f t="shared" si="197"/>
        <v>0</v>
      </c>
    </row>
    <row r="9640" spans="8:8" hidden="1" x14ac:dyDescent="0.35">
      <c r="H9640" s="83">
        <f t="shared" si="197"/>
        <v>0</v>
      </c>
    </row>
    <row r="9641" spans="8:8" hidden="1" x14ac:dyDescent="0.35">
      <c r="H9641" s="83">
        <f t="shared" si="197"/>
        <v>0</v>
      </c>
    </row>
    <row r="9642" spans="8:8" hidden="1" x14ac:dyDescent="0.35">
      <c r="H9642" s="83">
        <f t="shared" si="197"/>
        <v>0</v>
      </c>
    </row>
    <row r="9643" spans="8:8" hidden="1" x14ac:dyDescent="0.35">
      <c r="H9643" s="83">
        <f t="shared" si="197"/>
        <v>0</v>
      </c>
    </row>
    <row r="9644" spans="8:8" hidden="1" x14ac:dyDescent="0.35">
      <c r="H9644" s="83">
        <f t="shared" si="197"/>
        <v>0</v>
      </c>
    </row>
    <row r="9645" spans="8:8" hidden="1" x14ac:dyDescent="0.35">
      <c r="H9645" s="83">
        <f t="shared" si="197"/>
        <v>0</v>
      </c>
    </row>
    <row r="9646" spans="8:8" hidden="1" x14ac:dyDescent="0.35">
      <c r="H9646" s="83">
        <f t="shared" si="197"/>
        <v>0</v>
      </c>
    </row>
    <row r="9647" spans="8:8" hidden="1" x14ac:dyDescent="0.35">
      <c r="H9647" s="83">
        <f t="shared" si="197"/>
        <v>0</v>
      </c>
    </row>
    <row r="9648" spans="8:8" hidden="1" x14ac:dyDescent="0.35">
      <c r="H9648" s="83">
        <f t="shared" si="197"/>
        <v>0</v>
      </c>
    </row>
    <row r="9649" spans="8:8" hidden="1" x14ac:dyDescent="0.35">
      <c r="H9649" s="83">
        <f t="shared" si="197"/>
        <v>0</v>
      </c>
    </row>
    <row r="9650" spans="8:8" hidden="1" x14ac:dyDescent="0.35">
      <c r="H9650" s="83">
        <f t="shared" si="197"/>
        <v>0</v>
      </c>
    </row>
    <row r="9651" spans="8:8" hidden="1" x14ac:dyDescent="0.35">
      <c r="H9651" s="83">
        <f t="shared" si="197"/>
        <v>0</v>
      </c>
    </row>
    <row r="9652" spans="8:8" hidden="1" x14ac:dyDescent="0.35">
      <c r="H9652" s="83">
        <f t="shared" si="197"/>
        <v>0</v>
      </c>
    </row>
    <row r="9653" spans="8:8" hidden="1" x14ac:dyDescent="0.35">
      <c r="H9653" s="83">
        <f t="shared" si="197"/>
        <v>0</v>
      </c>
    </row>
    <row r="9654" spans="8:8" hidden="1" x14ac:dyDescent="0.35">
      <c r="H9654" s="83">
        <f t="shared" si="197"/>
        <v>0</v>
      </c>
    </row>
    <row r="9655" spans="8:8" hidden="1" x14ac:dyDescent="0.35">
      <c r="H9655" s="83">
        <f t="shared" si="197"/>
        <v>0</v>
      </c>
    </row>
    <row r="9656" spans="8:8" hidden="1" x14ac:dyDescent="0.35">
      <c r="H9656" s="83">
        <f t="shared" si="197"/>
        <v>0</v>
      </c>
    </row>
    <row r="9657" spans="8:8" hidden="1" x14ac:dyDescent="0.35">
      <c r="H9657" s="83">
        <f t="shared" si="197"/>
        <v>0</v>
      </c>
    </row>
    <row r="9658" spans="8:8" hidden="1" x14ac:dyDescent="0.35">
      <c r="H9658" s="83">
        <f t="shared" si="197"/>
        <v>0</v>
      </c>
    </row>
    <row r="9659" spans="8:8" hidden="1" x14ac:dyDescent="0.35">
      <c r="H9659" s="83">
        <f t="shared" si="197"/>
        <v>0</v>
      </c>
    </row>
    <row r="9660" spans="8:8" hidden="1" x14ac:dyDescent="0.35">
      <c r="H9660" s="83">
        <f t="shared" si="197"/>
        <v>0</v>
      </c>
    </row>
    <row r="9661" spans="8:8" hidden="1" x14ac:dyDescent="0.35">
      <c r="H9661" s="83">
        <f t="shared" si="197"/>
        <v>0</v>
      </c>
    </row>
    <row r="9662" spans="8:8" hidden="1" x14ac:dyDescent="0.35">
      <c r="H9662" s="83">
        <f t="shared" si="197"/>
        <v>0</v>
      </c>
    </row>
    <row r="9663" spans="8:8" hidden="1" x14ac:dyDescent="0.35">
      <c r="H9663" s="83">
        <f t="shared" si="197"/>
        <v>0</v>
      </c>
    </row>
    <row r="9664" spans="8:8" hidden="1" x14ac:dyDescent="0.35">
      <c r="H9664" s="83">
        <f t="shared" si="197"/>
        <v>0</v>
      </c>
    </row>
    <row r="9665" spans="8:8" hidden="1" x14ac:dyDescent="0.35">
      <c r="H9665" s="83">
        <f t="shared" si="197"/>
        <v>0</v>
      </c>
    </row>
    <row r="9666" spans="8:8" hidden="1" x14ac:dyDescent="0.35">
      <c r="H9666" s="83">
        <f t="shared" si="197"/>
        <v>0</v>
      </c>
    </row>
    <row r="9667" spans="8:8" hidden="1" x14ac:dyDescent="0.35">
      <c r="H9667" s="83">
        <f t="shared" si="197"/>
        <v>0</v>
      </c>
    </row>
    <row r="9668" spans="8:8" hidden="1" x14ac:dyDescent="0.35">
      <c r="H9668" s="83">
        <f t="shared" ref="H9668:H9731" si="198">J9668-I9668</f>
        <v>0</v>
      </c>
    </row>
    <row r="9669" spans="8:8" hidden="1" x14ac:dyDescent="0.35">
      <c r="H9669" s="83">
        <f t="shared" si="198"/>
        <v>0</v>
      </c>
    </row>
    <row r="9670" spans="8:8" hidden="1" x14ac:dyDescent="0.35">
      <c r="H9670" s="83">
        <f t="shared" si="198"/>
        <v>0</v>
      </c>
    </row>
    <row r="9671" spans="8:8" hidden="1" x14ac:dyDescent="0.35">
      <c r="H9671" s="83">
        <f t="shared" si="198"/>
        <v>0</v>
      </c>
    </row>
    <row r="9672" spans="8:8" hidden="1" x14ac:dyDescent="0.35">
      <c r="H9672" s="83">
        <f t="shared" si="198"/>
        <v>0</v>
      </c>
    </row>
    <row r="9673" spans="8:8" hidden="1" x14ac:dyDescent="0.35">
      <c r="H9673" s="83">
        <f t="shared" si="198"/>
        <v>0</v>
      </c>
    </row>
    <row r="9674" spans="8:8" hidden="1" x14ac:dyDescent="0.35">
      <c r="H9674" s="83">
        <f t="shared" si="198"/>
        <v>0</v>
      </c>
    </row>
    <row r="9675" spans="8:8" hidden="1" x14ac:dyDescent="0.35">
      <c r="H9675" s="83">
        <f t="shared" si="198"/>
        <v>0</v>
      </c>
    </row>
    <row r="9676" spans="8:8" hidden="1" x14ac:dyDescent="0.35">
      <c r="H9676" s="83">
        <f t="shared" si="198"/>
        <v>0</v>
      </c>
    </row>
    <row r="9677" spans="8:8" hidden="1" x14ac:dyDescent="0.35">
      <c r="H9677" s="83">
        <f t="shared" si="198"/>
        <v>0</v>
      </c>
    </row>
    <row r="9678" spans="8:8" hidden="1" x14ac:dyDescent="0.35">
      <c r="H9678" s="83">
        <f t="shared" si="198"/>
        <v>0</v>
      </c>
    </row>
    <row r="9679" spans="8:8" hidden="1" x14ac:dyDescent="0.35">
      <c r="H9679" s="83">
        <f t="shared" si="198"/>
        <v>0</v>
      </c>
    </row>
    <row r="9680" spans="8:8" hidden="1" x14ac:dyDescent="0.35">
      <c r="H9680" s="83">
        <f t="shared" si="198"/>
        <v>0</v>
      </c>
    </row>
    <row r="9681" spans="8:8" hidden="1" x14ac:dyDescent="0.35">
      <c r="H9681" s="83">
        <f t="shared" si="198"/>
        <v>0</v>
      </c>
    </row>
    <row r="9682" spans="8:8" hidden="1" x14ac:dyDescent="0.35">
      <c r="H9682" s="83">
        <f t="shared" si="198"/>
        <v>0</v>
      </c>
    </row>
    <row r="9683" spans="8:8" hidden="1" x14ac:dyDescent="0.35">
      <c r="H9683" s="83">
        <f t="shared" si="198"/>
        <v>0</v>
      </c>
    </row>
    <row r="9684" spans="8:8" hidden="1" x14ac:dyDescent="0.35">
      <c r="H9684" s="83">
        <f t="shared" si="198"/>
        <v>0</v>
      </c>
    </row>
    <row r="9685" spans="8:8" hidden="1" x14ac:dyDescent="0.35">
      <c r="H9685" s="83">
        <f t="shared" si="198"/>
        <v>0</v>
      </c>
    </row>
    <row r="9686" spans="8:8" hidden="1" x14ac:dyDescent="0.35">
      <c r="H9686" s="83">
        <f t="shared" si="198"/>
        <v>0</v>
      </c>
    </row>
    <row r="9687" spans="8:8" hidden="1" x14ac:dyDescent="0.35">
      <c r="H9687" s="83">
        <f t="shared" si="198"/>
        <v>0</v>
      </c>
    </row>
    <row r="9688" spans="8:8" hidden="1" x14ac:dyDescent="0.35">
      <c r="H9688" s="83">
        <f t="shared" si="198"/>
        <v>0</v>
      </c>
    </row>
    <row r="9689" spans="8:8" hidden="1" x14ac:dyDescent="0.35">
      <c r="H9689" s="83">
        <f t="shared" si="198"/>
        <v>0</v>
      </c>
    </row>
    <row r="9690" spans="8:8" hidden="1" x14ac:dyDescent="0.35">
      <c r="H9690" s="83">
        <f t="shared" si="198"/>
        <v>0</v>
      </c>
    </row>
    <row r="9691" spans="8:8" hidden="1" x14ac:dyDescent="0.35">
      <c r="H9691" s="83">
        <f t="shared" si="198"/>
        <v>0</v>
      </c>
    </row>
    <row r="9692" spans="8:8" hidden="1" x14ac:dyDescent="0.35">
      <c r="H9692" s="83">
        <f t="shared" si="198"/>
        <v>0</v>
      </c>
    </row>
    <row r="9693" spans="8:8" hidden="1" x14ac:dyDescent="0.35">
      <c r="H9693" s="83">
        <f t="shared" si="198"/>
        <v>0</v>
      </c>
    </row>
    <row r="9694" spans="8:8" hidden="1" x14ac:dyDescent="0.35">
      <c r="H9694" s="83">
        <f t="shared" si="198"/>
        <v>0</v>
      </c>
    </row>
    <row r="9695" spans="8:8" hidden="1" x14ac:dyDescent="0.35">
      <c r="H9695" s="83">
        <f t="shared" si="198"/>
        <v>0</v>
      </c>
    </row>
    <row r="9696" spans="8:8" hidden="1" x14ac:dyDescent="0.35">
      <c r="H9696" s="83">
        <f t="shared" si="198"/>
        <v>0</v>
      </c>
    </row>
    <row r="9697" spans="8:8" hidden="1" x14ac:dyDescent="0.35">
      <c r="H9697" s="83">
        <f t="shared" si="198"/>
        <v>0</v>
      </c>
    </row>
    <row r="9698" spans="8:8" hidden="1" x14ac:dyDescent="0.35">
      <c r="H9698" s="83">
        <f t="shared" si="198"/>
        <v>0</v>
      </c>
    </row>
    <row r="9699" spans="8:8" hidden="1" x14ac:dyDescent="0.35">
      <c r="H9699" s="83">
        <f t="shared" si="198"/>
        <v>0</v>
      </c>
    </row>
    <row r="9700" spans="8:8" hidden="1" x14ac:dyDescent="0.35">
      <c r="H9700" s="83">
        <f t="shared" si="198"/>
        <v>0</v>
      </c>
    </row>
    <row r="9701" spans="8:8" hidden="1" x14ac:dyDescent="0.35">
      <c r="H9701" s="83">
        <f t="shared" si="198"/>
        <v>0</v>
      </c>
    </row>
    <row r="9702" spans="8:8" hidden="1" x14ac:dyDescent="0.35">
      <c r="H9702" s="83">
        <f t="shared" si="198"/>
        <v>0</v>
      </c>
    </row>
    <row r="9703" spans="8:8" hidden="1" x14ac:dyDescent="0.35">
      <c r="H9703" s="83">
        <f t="shared" si="198"/>
        <v>0</v>
      </c>
    </row>
    <row r="9704" spans="8:8" hidden="1" x14ac:dyDescent="0.35">
      <c r="H9704" s="83">
        <f t="shared" si="198"/>
        <v>0</v>
      </c>
    </row>
    <row r="9705" spans="8:8" hidden="1" x14ac:dyDescent="0.35">
      <c r="H9705" s="83">
        <f t="shared" si="198"/>
        <v>0</v>
      </c>
    </row>
    <row r="9706" spans="8:8" hidden="1" x14ac:dyDescent="0.35">
      <c r="H9706" s="83">
        <f t="shared" si="198"/>
        <v>0</v>
      </c>
    </row>
    <row r="9707" spans="8:8" hidden="1" x14ac:dyDescent="0.35">
      <c r="H9707" s="83">
        <f t="shared" si="198"/>
        <v>0</v>
      </c>
    </row>
    <row r="9708" spans="8:8" hidden="1" x14ac:dyDescent="0.35">
      <c r="H9708" s="83">
        <f t="shared" si="198"/>
        <v>0</v>
      </c>
    </row>
    <row r="9709" spans="8:8" hidden="1" x14ac:dyDescent="0.35">
      <c r="H9709" s="83">
        <f t="shared" si="198"/>
        <v>0</v>
      </c>
    </row>
    <row r="9710" spans="8:8" hidden="1" x14ac:dyDescent="0.35">
      <c r="H9710" s="83">
        <f t="shared" si="198"/>
        <v>0</v>
      </c>
    </row>
    <row r="9711" spans="8:8" hidden="1" x14ac:dyDescent="0.35">
      <c r="H9711" s="83">
        <f t="shared" si="198"/>
        <v>0</v>
      </c>
    </row>
    <row r="9712" spans="8:8" hidden="1" x14ac:dyDescent="0.35">
      <c r="H9712" s="83">
        <f t="shared" si="198"/>
        <v>0</v>
      </c>
    </row>
    <row r="9713" spans="8:8" hidden="1" x14ac:dyDescent="0.35">
      <c r="H9713" s="83">
        <f t="shared" si="198"/>
        <v>0</v>
      </c>
    </row>
    <row r="9714" spans="8:8" hidden="1" x14ac:dyDescent="0.35">
      <c r="H9714" s="83">
        <f t="shared" si="198"/>
        <v>0</v>
      </c>
    </row>
    <row r="9715" spans="8:8" hidden="1" x14ac:dyDescent="0.35">
      <c r="H9715" s="83">
        <f t="shared" si="198"/>
        <v>0</v>
      </c>
    </row>
    <row r="9716" spans="8:8" hidden="1" x14ac:dyDescent="0.35">
      <c r="H9716" s="83">
        <f t="shared" si="198"/>
        <v>0</v>
      </c>
    </row>
    <row r="9717" spans="8:8" hidden="1" x14ac:dyDescent="0.35">
      <c r="H9717" s="83">
        <f t="shared" si="198"/>
        <v>0</v>
      </c>
    </row>
    <row r="9718" spans="8:8" hidden="1" x14ac:dyDescent="0.35">
      <c r="H9718" s="83">
        <f t="shared" si="198"/>
        <v>0</v>
      </c>
    </row>
    <row r="9719" spans="8:8" hidden="1" x14ac:dyDescent="0.35">
      <c r="H9719" s="83">
        <f t="shared" si="198"/>
        <v>0</v>
      </c>
    </row>
    <row r="9720" spans="8:8" hidden="1" x14ac:dyDescent="0.35">
      <c r="H9720" s="83">
        <f t="shared" si="198"/>
        <v>0</v>
      </c>
    </row>
    <row r="9721" spans="8:8" hidden="1" x14ac:dyDescent="0.35">
      <c r="H9721" s="83">
        <f t="shared" si="198"/>
        <v>0</v>
      </c>
    </row>
    <row r="9722" spans="8:8" hidden="1" x14ac:dyDescent="0.35">
      <c r="H9722" s="83">
        <f t="shared" si="198"/>
        <v>0</v>
      </c>
    </row>
    <row r="9723" spans="8:8" hidden="1" x14ac:dyDescent="0.35">
      <c r="H9723" s="83">
        <f t="shared" si="198"/>
        <v>0</v>
      </c>
    </row>
    <row r="9724" spans="8:8" hidden="1" x14ac:dyDescent="0.35">
      <c r="H9724" s="83">
        <f t="shared" si="198"/>
        <v>0</v>
      </c>
    </row>
    <row r="9725" spans="8:8" hidden="1" x14ac:dyDescent="0.35">
      <c r="H9725" s="83">
        <f t="shared" si="198"/>
        <v>0</v>
      </c>
    </row>
    <row r="9726" spans="8:8" hidden="1" x14ac:dyDescent="0.35">
      <c r="H9726" s="83">
        <f t="shared" si="198"/>
        <v>0</v>
      </c>
    </row>
    <row r="9727" spans="8:8" hidden="1" x14ac:dyDescent="0.35">
      <c r="H9727" s="83">
        <f t="shared" si="198"/>
        <v>0</v>
      </c>
    </row>
    <row r="9728" spans="8:8" hidden="1" x14ac:dyDescent="0.35">
      <c r="H9728" s="83">
        <f t="shared" si="198"/>
        <v>0</v>
      </c>
    </row>
    <row r="9729" spans="8:8" hidden="1" x14ac:dyDescent="0.35">
      <c r="H9729" s="83">
        <f t="shared" si="198"/>
        <v>0</v>
      </c>
    </row>
    <row r="9730" spans="8:8" hidden="1" x14ac:dyDescent="0.35">
      <c r="H9730" s="83">
        <f t="shared" si="198"/>
        <v>0</v>
      </c>
    </row>
    <row r="9731" spans="8:8" hidden="1" x14ac:dyDescent="0.35">
      <c r="H9731" s="83">
        <f t="shared" si="198"/>
        <v>0</v>
      </c>
    </row>
    <row r="9732" spans="8:8" hidden="1" x14ac:dyDescent="0.35">
      <c r="H9732" s="83">
        <f t="shared" ref="H9732:H9795" si="199">J9732-I9732</f>
        <v>0</v>
      </c>
    </row>
    <row r="9733" spans="8:8" hidden="1" x14ac:dyDescent="0.35">
      <c r="H9733" s="83">
        <f t="shared" si="199"/>
        <v>0</v>
      </c>
    </row>
    <row r="9734" spans="8:8" hidden="1" x14ac:dyDescent="0.35">
      <c r="H9734" s="83">
        <f t="shared" si="199"/>
        <v>0</v>
      </c>
    </row>
    <row r="9735" spans="8:8" hidden="1" x14ac:dyDescent="0.35">
      <c r="H9735" s="83">
        <f t="shared" si="199"/>
        <v>0</v>
      </c>
    </row>
    <row r="9736" spans="8:8" hidden="1" x14ac:dyDescent="0.35">
      <c r="H9736" s="83">
        <f t="shared" si="199"/>
        <v>0</v>
      </c>
    </row>
    <row r="9737" spans="8:8" hidden="1" x14ac:dyDescent="0.35">
      <c r="H9737" s="83">
        <f t="shared" si="199"/>
        <v>0</v>
      </c>
    </row>
    <row r="9738" spans="8:8" hidden="1" x14ac:dyDescent="0.35">
      <c r="H9738" s="83">
        <f t="shared" si="199"/>
        <v>0</v>
      </c>
    </row>
    <row r="9739" spans="8:8" hidden="1" x14ac:dyDescent="0.35">
      <c r="H9739" s="83">
        <f t="shared" si="199"/>
        <v>0</v>
      </c>
    </row>
    <row r="9740" spans="8:8" hidden="1" x14ac:dyDescent="0.35">
      <c r="H9740" s="83">
        <f t="shared" si="199"/>
        <v>0</v>
      </c>
    </row>
    <row r="9741" spans="8:8" hidden="1" x14ac:dyDescent="0.35">
      <c r="H9741" s="83">
        <f t="shared" si="199"/>
        <v>0</v>
      </c>
    </row>
    <row r="9742" spans="8:8" hidden="1" x14ac:dyDescent="0.35">
      <c r="H9742" s="83">
        <f t="shared" si="199"/>
        <v>0</v>
      </c>
    </row>
    <row r="9743" spans="8:8" hidden="1" x14ac:dyDescent="0.35">
      <c r="H9743" s="83">
        <f t="shared" si="199"/>
        <v>0</v>
      </c>
    </row>
    <row r="9744" spans="8:8" hidden="1" x14ac:dyDescent="0.35">
      <c r="H9744" s="83">
        <f t="shared" si="199"/>
        <v>0</v>
      </c>
    </row>
    <row r="9745" spans="8:8" hidden="1" x14ac:dyDescent="0.35">
      <c r="H9745" s="83">
        <f t="shared" si="199"/>
        <v>0</v>
      </c>
    </row>
    <row r="9746" spans="8:8" hidden="1" x14ac:dyDescent="0.35">
      <c r="H9746" s="83">
        <f t="shared" si="199"/>
        <v>0</v>
      </c>
    </row>
    <row r="9747" spans="8:8" hidden="1" x14ac:dyDescent="0.35">
      <c r="H9747" s="83">
        <f t="shared" si="199"/>
        <v>0</v>
      </c>
    </row>
    <row r="9748" spans="8:8" hidden="1" x14ac:dyDescent="0.35">
      <c r="H9748" s="83">
        <f t="shared" si="199"/>
        <v>0</v>
      </c>
    </row>
    <row r="9749" spans="8:8" hidden="1" x14ac:dyDescent="0.35">
      <c r="H9749" s="83">
        <f t="shared" si="199"/>
        <v>0</v>
      </c>
    </row>
    <row r="9750" spans="8:8" hidden="1" x14ac:dyDescent="0.35">
      <c r="H9750" s="83">
        <f t="shared" si="199"/>
        <v>0</v>
      </c>
    </row>
    <row r="9751" spans="8:8" hidden="1" x14ac:dyDescent="0.35">
      <c r="H9751" s="83">
        <f t="shared" si="199"/>
        <v>0</v>
      </c>
    </row>
    <row r="9752" spans="8:8" hidden="1" x14ac:dyDescent="0.35">
      <c r="H9752" s="83">
        <f t="shared" si="199"/>
        <v>0</v>
      </c>
    </row>
    <row r="9753" spans="8:8" hidden="1" x14ac:dyDescent="0.35">
      <c r="H9753" s="83">
        <f t="shared" si="199"/>
        <v>0</v>
      </c>
    </row>
    <row r="9754" spans="8:8" hidden="1" x14ac:dyDescent="0.35">
      <c r="H9754" s="83">
        <f t="shared" si="199"/>
        <v>0</v>
      </c>
    </row>
    <row r="9755" spans="8:8" hidden="1" x14ac:dyDescent="0.35">
      <c r="H9755" s="83">
        <f t="shared" si="199"/>
        <v>0</v>
      </c>
    </row>
    <row r="9756" spans="8:8" hidden="1" x14ac:dyDescent="0.35">
      <c r="H9756" s="83">
        <f t="shared" si="199"/>
        <v>0</v>
      </c>
    </row>
    <row r="9757" spans="8:8" hidden="1" x14ac:dyDescent="0.35">
      <c r="H9757" s="83">
        <f t="shared" si="199"/>
        <v>0</v>
      </c>
    </row>
    <row r="9758" spans="8:8" hidden="1" x14ac:dyDescent="0.35">
      <c r="H9758" s="83">
        <f t="shared" si="199"/>
        <v>0</v>
      </c>
    </row>
    <row r="9759" spans="8:8" hidden="1" x14ac:dyDescent="0.35">
      <c r="H9759" s="83">
        <f t="shared" si="199"/>
        <v>0</v>
      </c>
    </row>
    <row r="9760" spans="8:8" hidden="1" x14ac:dyDescent="0.35">
      <c r="H9760" s="83">
        <f t="shared" si="199"/>
        <v>0</v>
      </c>
    </row>
    <row r="9761" spans="8:8" hidden="1" x14ac:dyDescent="0.35">
      <c r="H9761" s="83">
        <f t="shared" si="199"/>
        <v>0</v>
      </c>
    </row>
    <row r="9762" spans="8:8" hidden="1" x14ac:dyDescent="0.35">
      <c r="H9762" s="83">
        <f t="shared" si="199"/>
        <v>0</v>
      </c>
    </row>
    <row r="9763" spans="8:8" hidden="1" x14ac:dyDescent="0.35">
      <c r="H9763" s="83">
        <f t="shared" si="199"/>
        <v>0</v>
      </c>
    </row>
    <row r="9764" spans="8:8" hidden="1" x14ac:dyDescent="0.35">
      <c r="H9764" s="83">
        <f t="shared" si="199"/>
        <v>0</v>
      </c>
    </row>
    <row r="9765" spans="8:8" hidden="1" x14ac:dyDescent="0.35">
      <c r="H9765" s="83">
        <f t="shared" si="199"/>
        <v>0</v>
      </c>
    </row>
    <row r="9766" spans="8:8" hidden="1" x14ac:dyDescent="0.35">
      <c r="H9766" s="83">
        <f t="shared" si="199"/>
        <v>0</v>
      </c>
    </row>
    <row r="9767" spans="8:8" hidden="1" x14ac:dyDescent="0.35">
      <c r="H9767" s="83">
        <f t="shared" si="199"/>
        <v>0</v>
      </c>
    </row>
    <row r="9768" spans="8:8" hidden="1" x14ac:dyDescent="0.35">
      <c r="H9768" s="83">
        <f t="shared" si="199"/>
        <v>0</v>
      </c>
    </row>
    <row r="9769" spans="8:8" hidden="1" x14ac:dyDescent="0.35">
      <c r="H9769" s="83">
        <f t="shared" si="199"/>
        <v>0</v>
      </c>
    </row>
    <row r="9770" spans="8:8" hidden="1" x14ac:dyDescent="0.35">
      <c r="H9770" s="83">
        <f t="shared" si="199"/>
        <v>0</v>
      </c>
    </row>
    <row r="9771" spans="8:8" hidden="1" x14ac:dyDescent="0.35">
      <c r="H9771" s="83">
        <f t="shared" si="199"/>
        <v>0</v>
      </c>
    </row>
    <row r="9772" spans="8:8" hidden="1" x14ac:dyDescent="0.35">
      <c r="H9772" s="83">
        <f t="shared" si="199"/>
        <v>0</v>
      </c>
    </row>
    <row r="9773" spans="8:8" hidden="1" x14ac:dyDescent="0.35">
      <c r="H9773" s="83">
        <f t="shared" si="199"/>
        <v>0</v>
      </c>
    </row>
    <row r="9774" spans="8:8" hidden="1" x14ac:dyDescent="0.35">
      <c r="H9774" s="83">
        <f t="shared" si="199"/>
        <v>0</v>
      </c>
    </row>
    <row r="9775" spans="8:8" hidden="1" x14ac:dyDescent="0.35">
      <c r="H9775" s="83">
        <f t="shared" si="199"/>
        <v>0</v>
      </c>
    </row>
    <row r="9776" spans="8:8" hidden="1" x14ac:dyDescent="0.35">
      <c r="H9776" s="83">
        <f t="shared" si="199"/>
        <v>0</v>
      </c>
    </row>
    <row r="9777" spans="8:8" hidden="1" x14ac:dyDescent="0.35">
      <c r="H9777" s="83">
        <f t="shared" si="199"/>
        <v>0</v>
      </c>
    </row>
    <row r="9778" spans="8:8" hidden="1" x14ac:dyDescent="0.35">
      <c r="H9778" s="83">
        <f t="shared" si="199"/>
        <v>0</v>
      </c>
    </row>
    <row r="9779" spans="8:8" hidden="1" x14ac:dyDescent="0.35">
      <c r="H9779" s="83">
        <f t="shared" si="199"/>
        <v>0</v>
      </c>
    </row>
    <row r="9780" spans="8:8" hidden="1" x14ac:dyDescent="0.35">
      <c r="H9780" s="83">
        <f t="shared" si="199"/>
        <v>0</v>
      </c>
    </row>
    <row r="9781" spans="8:8" hidden="1" x14ac:dyDescent="0.35">
      <c r="H9781" s="83">
        <f t="shared" si="199"/>
        <v>0</v>
      </c>
    </row>
    <row r="9782" spans="8:8" hidden="1" x14ac:dyDescent="0.35">
      <c r="H9782" s="83">
        <f t="shared" si="199"/>
        <v>0</v>
      </c>
    </row>
    <row r="9783" spans="8:8" hidden="1" x14ac:dyDescent="0.35">
      <c r="H9783" s="83">
        <f t="shared" si="199"/>
        <v>0</v>
      </c>
    </row>
    <row r="9784" spans="8:8" hidden="1" x14ac:dyDescent="0.35">
      <c r="H9784" s="83">
        <f t="shared" si="199"/>
        <v>0</v>
      </c>
    </row>
    <row r="9785" spans="8:8" hidden="1" x14ac:dyDescent="0.35">
      <c r="H9785" s="83">
        <f t="shared" si="199"/>
        <v>0</v>
      </c>
    </row>
    <row r="9786" spans="8:8" hidden="1" x14ac:dyDescent="0.35">
      <c r="H9786" s="83">
        <f t="shared" si="199"/>
        <v>0</v>
      </c>
    </row>
    <row r="9787" spans="8:8" hidden="1" x14ac:dyDescent="0.35">
      <c r="H9787" s="83">
        <f t="shared" si="199"/>
        <v>0</v>
      </c>
    </row>
    <row r="9788" spans="8:8" hidden="1" x14ac:dyDescent="0.35">
      <c r="H9788" s="83">
        <f t="shared" si="199"/>
        <v>0</v>
      </c>
    </row>
    <row r="9789" spans="8:8" hidden="1" x14ac:dyDescent="0.35">
      <c r="H9789" s="83">
        <f t="shared" si="199"/>
        <v>0</v>
      </c>
    </row>
    <row r="9790" spans="8:8" hidden="1" x14ac:dyDescent="0.35">
      <c r="H9790" s="83">
        <f t="shared" si="199"/>
        <v>0</v>
      </c>
    </row>
    <row r="9791" spans="8:8" hidden="1" x14ac:dyDescent="0.35">
      <c r="H9791" s="83">
        <f t="shared" si="199"/>
        <v>0</v>
      </c>
    </row>
    <row r="9792" spans="8:8" hidden="1" x14ac:dyDescent="0.35">
      <c r="H9792" s="83">
        <f t="shared" si="199"/>
        <v>0</v>
      </c>
    </row>
    <row r="9793" spans="8:8" hidden="1" x14ac:dyDescent="0.35">
      <c r="H9793" s="83">
        <f t="shared" si="199"/>
        <v>0</v>
      </c>
    </row>
    <row r="9794" spans="8:8" hidden="1" x14ac:dyDescent="0.35">
      <c r="H9794" s="83">
        <f t="shared" si="199"/>
        <v>0</v>
      </c>
    </row>
    <row r="9795" spans="8:8" hidden="1" x14ac:dyDescent="0.35">
      <c r="H9795" s="83">
        <f t="shared" si="199"/>
        <v>0</v>
      </c>
    </row>
    <row r="9796" spans="8:8" hidden="1" x14ac:dyDescent="0.35">
      <c r="H9796" s="83">
        <f t="shared" ref="H9796:H9859" si="200">J9796-I9796</f>
        <v>0</v>
      </c>
    </row>
    <row r="9797" spans="8:8" hidden="1" x14ac:dyDescent="0.35">
      <c r="H9797" s="83">
        <f t="shared" si="200"/>
        <v>0</v>
      </c>
    </row>
    <row r="9798" spans="8:8" hidden="1" x14ac:dyDescent="0.35">
      <c r="H9798" s="83">
        <f t="shared" si="200"/>
        <v>0</v>
      </c>
    </row>
    <row r="9799" spans="8:8" hidden="1" x14ac:dyDescent="0.35">
      <c r="H9799" s="83">
        <f t="shared" si="200"/>
        <v>0</v>
      </c>
    </row>
    <row r="9800" spans="8:8" hidden="1" x14ac:dyDescent="0.35">
      <c r="H9800" s="83">
        <f t="shared" si="200"/>
        <v>0</v>
      </c>
    </row>
    <row r="9801" spans="8:8" hidden="1" x14ac:dyDescent="0.35">
      <c r="H9801" s="83">
        <f t="shared" si="200"/>
        <v>0</v>
      </c>
    </row>
    <row r="9802" spans="8:8" hidden="1" x14ac:dyDescent="0.35">
      <c r="H9802" s="83">
        <f t="shared" si="200"/>
        <v>0</v>
      </c>
    </row>
    <row r="9803" spans="8:8" hidden="1" x14ac:dyDescent="0.35">
      <c r="H9803" s="83">
        <f t="shared" si="200"/>
        <v>0</v>
      </c>
    </row>
    <row r="9804" spans="8:8" hidden="1" x14ac:dyDescent="0.35">
      <c r="H9804" s="83">
        <f t="shared" si="200"/>
        <v>0</v>
      </c>
    </row>
    <row r="9805" spans="8:8" hidden="1" x14ac:dyDescent="0.35">
      <c r="H9805" s="83">
        <f t="shared" si="200"/>
        <v>0</v>
      </c>
    </row>
    <row r="9806" spans="8:8" hidden="1" x14ac:dyDescent="0.35">
      <c r="H9806" s="83">
        <f t="shared" si="200"/>
        <v>0</v>
      </c>
    </row>
    <row r="9807" spans="8:8" hidden="1" x14ac:dyDescent="0.35">
      <c r="H9807" s="83">
        <f t="shared" si="200"/>
        <v>0</v>
      </c>
    </row>
    <row r="9808" spans="8:8" hidden="1" x14ac:dyDescent="0.35">
      <c r="H9808" s="83">
        <f t="shared" si="200"/>
        <v>0</v>
      </c>
    </row>
    <row r="9809" spans="8:8" hidden="1" x14ac:dyDescent="0.35">
      <c r="H9809" s="83">
        <f t="shared" si="200"/>
        <v>0</v>
      </c>
    </row>
    <row r="9810" spans="8:8" hidden="1" x14ac:dyDescent="0.35">
      <c r="H9810" s="83">
        <f t="shared" si="200"/>
        <v>0</v>
      </c>
    </row>
    <row r="9811" spans="8:8" hidden="1" x14ac:dyDescent="0.35">
      <c r="H9811" s="83">
        <f t="shared" si="200"/>
        <v>0</v>
      </c>
    </row>
    <row r="9812" spans="8:8" hidden="1" x14ac:dyDescent="0.35">
      <c r="H9812" s="83">
        <f t="shared" si="200"/>
        <v>0</v>
      </c>
    </row>
    <row r="9813" spans="8:8" hidden="1" x14ac:dyDescent="0.35">
      <c r="H9813" s="83">
        <f t="shared" si="200"/>
        <v>0</v>
      </c>
    </row>
    <row r="9814" spans="8:8" hidden="1" x14ac:dyDescent="0.35">
      <c r="H9814" s="83">
        <f t="shared" si="200"/>
        <v>0</v>
      </c>
    </row>
    <row r="9815" spans="8:8" hidden="1" x14ac:dyDescent="0.35">
      <c r="H9815" s="83">
        <f t="shared" si="200"/>
        <v>0</v>
      </c>
    </row>
    <row r="9816" spans="8:8" hidden="1" x14ac:dyDescent="0.35">
      <c r="H9816" s="83">
        <f t="shared" si="200"/>
        <v>0</v>
      </c>
    </row>
    <row r="9817" spans="8:8" hidden="1" x14ac:dyDescent="0.35">
      <c r="H9817" s="83">
        <f t="shared" si="200"/>
        <v>0</v>
      </c>
    </row>
    <row r="9818" spans="8:8" hidden="1" x14ac:dyDescent="0.35">
      <c r="H9818" s="83">
        <f t="shared" si="200"/>
        <v>0</v>
      </c>
    </row>
    <row r="9819" spans="8:8" hidden="1" x14ac:dyDescent="0.35">
      <c r="H9819" s="83">
        <f t="shared" si="200"/>
        <v>0</v>
      </c>
    </row>
    <row r="9820" spans="8:8" hidden="1" x14ac:dyDescent="0.35">
      <c r="H9820" s="83">
        <f t="shared" si="200"/>
        <v>0</v>
      </c>
    </row>
    <row r="9821" spans="8:8" hidden="1" x14ac:dyDescent="0.35">
      <c r="H9821" s="83">
        <f t="shared" si="200"/>
        <v>0</v>
      </c>
    </row>
    <row r="9822" spans="8:8" hidden="1" x14ac:dyDescent="0.35">
      <c r="H9822" s="83">
        <f t="shared" si="200"/>
        <v>0</v>
      </c>
    </row>
    <row r="9823" spans="8:8" hidden="1" x14ac:dyDescent="0.35">
      <c r="H9823" s="83">
        <f t="shared" si="200"/>
        <v>0</v>
      </c>
    </row>
    <row r="9824" spans="8:8" hidden="1" x14ac:dyDescent="0.35">
      <c r="H9824" s="83">
        <f t="shared" si="200"/>
        <v>0</v>
      </c>
    </row>
    <row r="9825" spans="8:8" hidden="1" x14ac:dyDescent="0.35">
      <c r="H9825" s="83">
        <f t="shared" si="200"/>
        <v>0</v>
      </c>
    </row>
    <row r="9826" spans="8:8" hidden="1" x14ac:dyDescent="0.35">
      <c r="H9826" s="83">
        <f t="shared" si="200"/>
        <v>0</v>
      </c>
    </row>
    <row r="9827" spans="8:8" hidden="1" x14ac:dyDescent="0.35">
      <c r="H9827" s="83">
        <f t="shared" si="200"/>
        <v>0</v>
      </c>
    </row>
    <row r="9828" spans="8:8" hidden="1" x14ac:dyDescent="0.35">
      <c r="H9828" s="83">
        <f t="shared" si="200"/>
        <v>0</v>
      </c>
    </row>
    <row r="9829" spans="8:8" hidden="1" x14ac:dyDescent="0.35">
      <c r="H9829" s="83">
        <f t="shared" si="200"/>
        <v>0</v>
      </c>
    </row>
    <row r="9830" spans="8:8" hidden="1" x14ac:dyDescent="0.35">
      <c r="H9830" s="83">
        <f t="shared" si="200"/>
        <v>0</v>
      </c>
    </row>
    <row r="9831" spans="8:8" hidden="1" x14ac:dyDescent="0.35">
      <c r="H9831" s="83">
        <f t="shared" si="200"/>
        <v>0</v>
      </c>
    </row>
    <row r="9832" spans="8:8" hidden="1" x14ac:dyDescent="0.35">
      <c r="H9832" s="83">
        <f t="shared" si="200"/>
        <v>0</v>
      </c>
    </row>
    <row r="9833" spans="8:8" hidden="1" x14ac:dyDescent="0.35">
      <c r="H9833" s="83">
        <f t="shared" si="200"/>
        <v>0</v>
      </c>
    </row>
    <row r="9834" spans="8:8" hidden="1" x14ac:dyDescent="0.35">
      <c r="H9834" s="83">
        <f t="shared" si="200"/>
        <v>0</v>
      </c>
    </row>
    <row r="9835" spans="8:8" hidden="1" x14ac:dyDescent="0.35">
      <c r="H9835" s="83">
        <f t="shared" si="200"/>
        <v>0</v>
      </c>
    </row>
    <row r="9836" spans="8:8" hidden="1" x14ac:dyDescent="0.35">
      <c r="H9836" s="83">
        <f t="shared" si="200"/>
        <v>0</v>
      </c>
    </row>
    <row r="9837" spans="8:8" hidden="1" x14ac:dyDescent="0.35">
      <c r="H9837" s="83">
        <f t="shared" si="200"/>
        <v>0</v>
      </c>
    </row>
    <row r="9838" spans="8:8" hidden="1" x14ac:dyDescent="0.35">
      <c r="H9838" s="83">
        <f t="shared" si="200"/>
        <v>0</v>
      </c>
    </row>
    <row r="9839" spans="8:8" hidden="1" x14ac:dyDescent="0.35">
      <c r="H9839" s="83">
        <f t="shared" si="200"/>
        <v>0</v>
      </c>
    </row>
    <row r="9840" spans="8:8" hidden="1" x14ac:dyDescent="0.35">
      <c r="H9840" s="83">
        <f t="shared" si="200"/>
        <v>0</v>
      </c>
    </row>
    <row r="9841" spans="8:8" hidden="1" x14ac:dyDescent="0.35">
      <c r="H9841" s="83">
        <f t="shared" si="200"/>
        <v>0</v>
      </c>
    </row>
    <row r="9842" spans="8:8" hidden="1" x14ac:dyDescent="0.35">
      <c r="H9842" s="83">
        <f t="shared" si="200"/>
        <v>0</v>
      </c>
    </row>
    <row r="9843" spans="8:8" hidden="1" x14ac:dyDescent="0.35">
      <c r="H9843" s="83">
        <f t="shared" si="200"/>
        <v>0</v>
      </c>
    </row>
    <row r="9844" spans="8:8" hidden="1" x14ac:dyDescent="0.35">
      <c r="H9844" s="83">
        <f t="shared" si="200"/>
        <v>0</v>
      </c>
    </row>
    <row r="9845" spans="8:8" hidden="1" x14ac:dyDescent="0.35">
      <c r="H9845" s="83">
        <f t="shared" si="200"/>
        <v>0</v>
      </c>
    </row>
    <row r="9846" spans="8:8" hidden="1" x14ac:dyDescent="0.35">
      <c r="H9846" s="83">
        <f t="shared" si="200"/>
        <v>0</v>
      </c>
    </row>
    <row r="9847" spans="8:8" hidden="1" x14ac:dyDescent="0.35">
      <c r="H9847" s="83">
        <f t="shared" si="200"/>
        <v>0</v>
      </c>
    </row>
    <row r="9848" spans="8:8" hidden="1" x14ac:dyDescent="0.35">
      <c r="H9848" s="83">
        <f t="shared" si="200"/>
        <v>0</v>
      </c>
    </row>
    <row r="9849" spans="8:8" hidden="1" x14ac:dyDescent="0.35">
      <c r="H9849" s="83">
        <f t="shared" si="200"/>
        <v>0</v>
      </c>
    </row>
    <row r="9850" spans="8:8" hidden="1" x14ac:dyDescent="0.35">
      <c r="H9850" s="83">
        <f t="shared" si="200"/>
        <v>0</v>
      </c>
    </row>
    <row r="9851" spans="8:8" hidden="1" x14ac:dyDescent="0.35">
      <c r="H9851" s="83">
        <f t="shared" si="200"/>
        <v>0</v>
      </c>
    </row>
    <row r="9852" spans="8:8" hidden="1" x14ac:dyDescent="0.35">
      <c r="H9852" s="83">
        <f t="shared" si="200"/>
        <v>0</v>
      </c>
    </row>
    <row r="9853" spans="8:8" hidden="1" x14ac:dyDescent="0.35">
      <c r="H9853" s="83">
        <f t="shared" si="200"/>
        <v>0</v>
      </c>
    </row>
    <row r="9854" spans="8:8" hidden="1" x14ac:dyDescent="0.35">
      <c r="H9854" s="83">
        <f t="shared" si="200"/>
        <v>0</v>
      </c>
    </row>
    <row r="9855" spans="8:8" hidden="1" x14ac:dyDescent="0.35">
      <c r="H9855" s="83">
        <f t="shared" si="200"/>
        <v>0</v>
      </c>
    </row>
    <row r="9856" spans="8:8" hidden="1" x14ac:dyDescent="0.35">
      <c r="H9856" s="83">
        <f t="shared" si="200"/>
        <v>0</v>
      </c>
    </row>
    <row r="9857" spans="8:8" hidden="1" x14ac:dyDescent="0.35">
      <c r="H9857" s="83">
        <f t="shared" si="200"/>
        <v>0</v>
      </c>
    </row>
    <row r="9858" spans="8:8" hidden="1" x14ac:dyDescent="0.35">
      <c r="H9858" s="83">
        <f t="shared" si="200"/>
        <v>0</v>
      </c>
    </row>
    <row r="9859" spans="8:8" hidden="1" x14ac:dyDescent="0.35">
      <c r="H9859" s="83">
        <f t="shared" si="200"/>
        <v>0</v>
      </c>
    </row>
    <row r="9860" spans="8:8" hidden="1" x14ac:dyDescent="0.35">
      <c r="H9860" s="83">
        <f t="shared" ref="H9860:H9923" si="201">J9860-I9860</f>
        <v>0</v>
      </c>
    </row>
    <row r="9861" spans="8:8" hidden="1" x14ac:dyDescent="0.35">
      <c r="H9861" s="83">
        <f t="shared" si="201"/>
        <v>0</v>
      </c>
    </row>
    <row r="9862" spans="8:8" hidden="1" x14ac:dyDescent="0.35">
      <c r="H9862" s="83">
        <f t="shared" si="201"/>
        <v>0</v>
      </c>
    </row>
    <row r="9863" spans="8:8" hidden="1" x14ac:dyDescent="0.35">
      <c r="H9863" s="83">
        <f t="shared" si="201"/>
        <v>0</v>
      </c>
    </row>
    <row r="9864" spans="8:8" hidden="1" x14ac:dyDescent="0.35">
      <c r="H9864" s="83">
        <f t="shared" si="201"/>
        <v>0</v>
      </c>
    </row>
    <row r="9865" spans="8:8" hidden="1" x14ac:dyDescent="0.35">
      <c r="H9865" s="83">
        <f t="shared" si="201"/>
        <v>0</v>
      </c>
    </row>
    <row r="9866" spans="8:8" hidden="1" x14ac:dyDescent="0.35">
      <c r="H9866" s="83">
        <f t="shared" si="201"/>
        <v>0</v>
      </c>
    </row>
    <row r="9867" spans="8:8" hidden="1" x14ac:dyDescent="0.35">
      <c r="H9867" s="83">
        <f t="shared" si="201"/>
        <v>0</v>
      </c>
    </row>
    <row r="9868" spans="8:8" hidden="1" x14ac:dyDescent="0.35">
      <c r="H9868" s="83">
        <f t="shared" si="201"/>
        <v>0</v>
      </c>
    </row>
    <row r="9869" spans="8:8" hidden="1" x14ac:dyDescent="0.35">
      <c r="H9869" s="83">
        <f t="shared" si="201"/>
        <v>0</v>
      </c>
    </row>
    <row r="9870" spans="8:8" hidden="1" x14ac:dyDescent="0.35">
      <c r="H9870" s="83">
        <f t="shared" si="201"/>
        <v>0</v>
      </c>
    </row>
    <row r="9871" spans="8:8" hidden="1" x14ac:dyDescent="0.35">
      <c r="H9871" s="83">
        <f t="shared" si="201"/>
        <v>0</v>
      </c>
    </row>
    <row r="9872" spans="8:8" hidden="1" x14ac:dyDescent="0.35">
      <c r="H9872" s="83">
        <f t="shared" si="201"/>
        <v>0</v>
      </c>
    </row>
    <row r="9873" spans="8:8" hidden="1" x14ac:dyDescent="0.35">
      <c r="H9873" s="83">
        <f t="shared" si="201"/>
        <v>0</v>
      </c>
    </row>
    <row r="9874" spans="8:8" hidden="1" x14ac:dyDescent="0.35">
      <c r="H9874" s="83">
        <f t="shared" si="201"/>
        <v>0</v>
      </c>
    </row>
    <row r="9875" spans="8:8" hidden="1" x14ac:dyDescent="0.35">
      <c r="H9875" s="83">
        <f t="shared" si="201"/>
        <v>0</v>
      </c>
    </row>
    <row r="9876" spans="8:8" hidden="1" x14ac:dyDescent="0.35">
      <c r="H9876" s="83">
        <f t="shared" si="201"/>
        <v>0</v>
      </c>
    </row>
    <row r="9877" spans="8:8" hidden="1" x14ac:dyDescent="0.35">
      <c r="H9877" s="83">
        <f t="shared" si="201"/>
        <v>0</v>
      </c>
    </row>
    <row r="9878" spans="8:8" hidden="1" x14ac:dyDescent="0.35">
      <c r="H9878" s="83">
        <f t="shared" si="201"/>
        <v>0</v>
      </c>
    </row>
    <row r="9879" spans="8:8" hidden="1" x14ac:dyDescent="0.35">
      <c r="H9879" s="83">
        <f t="shared" si="201"/>
        <v>0</v>
      </c>
    </row>
    <row r="9880" spans="8:8" hidden="1" x14ac:dyDescent="0.35">
      <c r="H9880" s="83">
        <f t="shared" si="201"/>
        <v>0</v>
      </c>
    </row>
    <row r="9881" spans="8:8" hidden="1" x14ac:dyDescent="0.35">
      <c r="H9881" s="83">
        <f t="shared" si="201"/>
        <v>0</v>
      </c>
    </row>
    <row r="9882" spans="8:8" hidden="1" x14ac:dyDescent="0.35">
      <c r="H9882" s="83">
        <f t="shared" si="201"/>
        <v>0</v>
      </c>
    </row>
    <row r="9883" spans="8:8" hidden="1" x14ac:dyDescent="0.35">
      <c r="H9883" s="83">
        <f t="shared" si="201"/>
        <v>0</v>
      </c>
    </row>
    <row r="9884" spans="8:8" hidden="1" x14ac:dyDescent="0.35">
      <c r="H9884" s="83">
        <f t="shared" si="201"/>
        <v>0</v>
      </c>
    </row>
    <row r="9885" spans="8:8" hidden="1" x14ac:dyDescent="0.35">
      <c r="H9885" s="83">
        <f t="shared" si="201"/>
        <v>0</v>
      </c>
    </row>
    <row r="9886" spans="8:8" hidden="1" x14ac:dyDescent="0.35">
      <c r="H9886" s="83">
        <f t="shared" si="201"/>
        <v>0</v>
      </c>
    </row>
    <row r="9887" spans="8:8" hidden="1" x14ac:dyDescent="0.35">
      <c r="H9887" s="83">
        <f t="shared" si="201"/>
        <v>0</v>
      </c>
    </row>
    <row r="9888" spans="8:8" hidden="1" x14ac:dyDescent="0.35">
      <c r="H9888" s="83">
        <f t="shared" si="201"/>
        <v>0</v>
      </c>
    </row>
    <row r="9889" spans="8:8" hidden="1" x14ac:dyDescent="0.35">
      <c r="H9889" s="83">
        <f t="shared" si="201"/>
        <v>0</v>
      </c>
    </row>
    <row r="9890" spans="8:8" hidden="1" x14ac:dyDescent="0.35">
      <c r="H9890" s="83">
        <f t="shared" si="201"/>
        <v>0</v>
      </c>
    </row>
    <row r="9891" spans="8:8" hidden="1" x14ac:dyDescent="0.35">
      <c r="H9891" s="83">
        <f t="shared" si="201"/>
        <v>0</v>
      </c>
    </row>
    <row r="9892" spans="8:8" hidden="1" x14ac:dyDescent="0.35">
      <c r="H9892" s="83">
        <f t="shared" si="201"/>
        <v>0</v>
      </c>
    </row>
    <row r="9893" spans="8:8" hidden="1" x14ac:dyDescent="0.35">
      <c r="H9893" s="83">
        <f t="shared" si="201"/>
        <v>0</v>
      </c>
    </row>
    <row r="9894" spans="8:8" hidden="1" x14ac:dyDescent="0.35">
      <c r="H9894" s="83">
        <f t="shared" si="201"/>
        <v>0</v>
      </c>
    </row>
    <row r="9895" spans="8:8" hidden="1" x14ac:dyDescent="0.35">
      <c r="H9895" s="83">
        <f t="shared" si="201"/>
        <v>0</v>
      </c>
    </row>
    <row r="9896" spans="8:8" hidden="1" x14ac:dyDescent="0.35">
      <c r="H9896" s="83">
        <f t="shared" si="201"/>
        <v>0</v>
      </c>
    </row>
    <row r="9897" spans="8:8" hidden="1" x14ac:dyDescent="0.35">
      <c r="H9897" s="83">
        <f t="shared" si="201"/>
        <v>0</v>
      </c>
    </row>
    <row r="9898" spans="8:8" hidden="1" x14ac:dyDescent="0.35">
      <c r="H9898" s="83">
        <f t="shared" si="201"/>
        <v>0</v>
      </c>
    </row>
    <row r="9899" spans="8:8" hidden="1" x14ac:dyDescent="0.35">
      <c r="H9899" s="83">
        <f t="shared" si="201"/>
        <v>0</v>
      </c>
    </row>
    <row r="9900" spans="8:8" hidden="1" x14ac:dyDescent="0.35">
      <c r="H9900" s="83">
        <f t="shared" si="201"/>
        <v>0</v>
      </c>
    </row>
    <row r="9901" spans="8:8" hidden="1" x14ac:dyDescent="0.35">
      <c r="H9901" s="83">
        <f t="shared" si="201"/>
        <v>0</v>
      </c>
    </row>
    <row r="9902" spans="8:8" hidden="1" x14ac:dyDescent="0.35">
      <c r="H9902" s="83">
        <f t="shared" si="201"/>
        <v>0</v>
      </c>
    </row>
    <row r="9903" spans="8:8" hidden="1" x14ac:dyDescent="0.35">
      <c r="H9903" s="83">
        <f t="shared" si="201"/>
        <v>0</v>
      </c>
    </row>
    <row r="9904" spans="8:8" hidden="1" x14ac:dyDescent="0.35">
      <c r="H9904" s="83">
        <f t="shared" si="201"/>
        <v>0</v>
      </c>
    </row>
    <row r="9905" spans="8:8" hidden="1" x14ac:dyDescent="0.35">
      <c r="H9905" s="83">
        <f t="shared" si="201"/>
        <v>0</v>
      </c>
    </row>
    <row r="9906" spans="8:8" hidden="1" x14ac:dyDescent="0.35">
      <c r="H9906" s="83">
        <f t="shared" si="201"/>
        <v>0</v>
      </c>
    </row>
    <row r="9907" spans="8:8" hidden="1" x14ac:dyDescent="0.35">
      <c r="H9907" s="83">
        <f t="shared" si="201"/>
        <v>0</v>
      </c>
    </row>
    <row r="9908" spans="8:8" hidden="1" x14ac:dyDescent="0.35">
      <c r="H9908" s="83">
        <f t="shared" si="201"/>
        <v>0</v>
      </c>
    </row>
    <row r="9909" spans="8:8" hidden="1" x14ac:dyDescent="0.35">
      <c r="H9909" s="83">
        <f t="shared" si="201"/>
        <v>0</v>
      </c>
    </row>
    <row r="9910" spans="8:8" hidden="1" x14ac:dyDescent="0.35">
      <c r="H9910" s="83">
        <f t="shared" si="201"/>
        <v>0</v>
      </c>
    </row>
    <row r="9911" spans="8:8" hidden="1" x14ac:dyDescent="0.35">
      <c r="H9911" s="83">
        <f t="shared" si="201"/>
        <v>0</v>
      </c>
    </row>
    <row r="9912" spans="8:8" hidden="1" x14ac:dyDescent="0.35">
      <c r="H9912" s="83">
        <f t="shared" si="201"/>
        <v>0</v>
      </c>
    </row>
    <row r="9913" spans="8:8" hidden="1" x14ac:dyDescent="0.35">
      <c r="H9913" s="83">
        <f t="shared" si="201"/>
        <v>0</v>
      </c>
    </row>
    <row r="9914" spans="8:8" hidden="1" x14ac:dyDescent="0.35">
      <c r="H9914" s="83">
        <f t="shared" si="201"/>
        <v>0</v>
      </c>
    </row>
    <row r="9915" spans="8:8" hidden="1" x14ac:dyDescent="0.35">
      <c r="H9915" s="83">
        <f t="shared" si="201"/>
        <v>0</v>
      </c>
    </row>
    <row r="9916" spans="8:8" hidden="1" x14ac:dyDescent="0.35">
      <c r="H9916" s="83">
        <f t="shared" si="201"/>
        <v>0</v>
      </c>
    </row>
    <row r="9917" spans="8:8" hidden="1" x14ac:dyDescent="0.35">
      <c r="H9917" s="83">
        <f t="shared" si="201"/>
        <v>0</v>
      </c>
    </row>
    <row r="9918" spans="8:8" hidden="1" x14ac:dyDescent="0.35">
      <c r="H9918" s="83">
        <f t="shared" si="201"/>
        <v>0</v>
      </c>
    </row>
    <row r="9919" spans="8:8" hidden="1" x14ac:dyDescent="0.35">
      <c r="H9919" s="83">
        <f t="shared" si="201"/>
        <v>0</v>
      </c>
    </row>
    <row r="9920" spans="8:8" hidden="1" x14ac:dyDescent="0.35">
      <c r="H9920" s="83">
        <f t="shared" si="201"/>
        <v>0</v>
      </c>
    </row>
    <row r="9921" spans="8:8" hidden="1" x14ac:dyDescent="0.35">
      <c r="H9921" s="83">
        <f t="shared" si="201"/>
        <v>0</v>
      </c>
    </row>
    <row r="9922" spans="8:8" hidden="1" x14ac:dyDescent="0.35">
      <c r="H9922" s="83">
        <f t="shared" si="201"/>
        <v>0</v>
      </c>
    </row>
    <row r="9923" spans="8:8" hidden="1" x14ac:dyDescent="0.35">
      <c r="H9923" s="83">
        <f t="shared" si="201"/>
        <v>0</v>
      </c>
    </row>
    <row r="9924" spans="8:8" hidden="1" x14ac:dyDescent="0.35">
      <c r="H9924" s="83">
        <f t="shared" ref="H9924:H9987" si="202">J9924-I9924</f>
        <v>0</v>
      </c>
    </row>
    <row r="9925" spans="8:8" hidden="1" x14ac:dyDescent="0.35">
      <c r="H9925" s="83">
        <f t="shared" si="202"/>
        <v>0</v>
      </c>
    </row>
    <row r="9926" spans="8:8" hidden="1" x14ac:dyDescent="0.35">
      <c r="H9926" s="83">
        <f t="shared" si="202"/>
        <v>0</v>
      </c>
    </row>
    <row r="9927" spans="8:8" hidden="1" x14ac:dyDescent="0.35">
      <c r="H9927" s="83">
        <f t="shared" si="202"/>
        <v>0</v>
      </c>
    </row>
    <row r="9928" spans="8:8" hidden="1" x14ac:dyDescent="0.35">
      <c r="H9928" s="83">
        <f t="shared" si="202"/>
        <v>0</v>
      </c>
    </row>
    <row r="9929" spans="8:8" hidden="1" x14ac:dyDescent="0.35">
      <c r="H9929" s="83">
        <f t="shared" si="202"/>
        <v>0</v>
      </c>
    </row>
    <row r="9930" spans="8:8" hidden="1" x14ac:dyDescent="0.35">
      <c r="H9930" s="83">
        <f t="shared" si="202"/>
        <v>0</v>
      </c>
    </row>
    <row r="9931" spans="8:8" hidden="1" x14ac:dyDescent="0.35">
      <c r="H9931" s="83">
        <f t="shared" si="202"/>
        <v>0</v>
      </c>
    </row>
    <row r="9932" spans="8:8" hidden="1" x14ac:dyDescent="0.35">
      <c r="H9932" s="83">
        <f t="shared" si="202"/>
        <v>0</v>
      </c>
    </row>
    <row r="9933" spans="8:8" hidden="1" x14ac:dyDescent="0.35">
      <c r="H9933" s="83">
        <f t="shared" si="202"/>
        <v>0</v>
      </c>
    </row>
    <row r="9934" spans="8:8" hidden="1" x14ac:dyDescent="0.35">
      <c r="H9934" s="83">
        <f t="shared" si="202"/>
        <v>0</v>
      </c>
    </row>
    <row r="9935" spans="8:8" hidden="1" x14ac:dyDescent="0.35">
      <c r="H9935" s="83">
        <f t="shared" si="202"/>
        <v>0</v>
      </c>
    </row>
    <row r="9936" spans="8:8" hidden="1" x14ac:dyDescent="0.35">
      <c r="H9936" s="83">
        <f t="shared" si="202"/>
        <v>0</v>
      </c>
    </row>
    <row r="9937" spans="8:8" hidden="1" x14ac:dyDescent="0.35">
      <c r="H9937" s="83">
        <f t="shared" si="202"/>
        <v>0</v>
      </c>
    </row>
    <row r="9938" spans="8:8" hidden="1" x14ac:dyDescent="0.35">
      <c r="H9938" s="83">
        <f t="shared" si="202"/>
        <v>0</v>
      </c>
    </row>
    <row r="9939" spans="8:8" hidden="1" x14ac:dyDescent="0.35">
      <c r="H9939" s="83">
        <f t="shared" si="202"/>
        <v>0</v>
      </c>
    </row>
    <row r="9940" spans="8:8" hidden="1" x14ac:dyDescent="0.35">
      <c r="H9940" s="83">
        <f t="shared" si="202"/>
        <v>0</v>
      </c>
    </row>
    <row r="9941" spans="8:8" hidden="1" x14ac:dyDescent="0.35">
      <c r="H9941" s="83">
        <f t="shared" si="202"/>
        <v>0</v>
      </c>
    </row>
    <row r="9942" spans="8:8" hidden="1" x14ac:dyDescent="0.35">
      <c r="H9942" s="83">
        <f t="shared" si="202"/>
        <v>0</v>
      </c>
    </row>
    <row r="9943" spans="8:8" hidden="1" x14ac:dyDescent="0.35">
      <c r="H9943" s="83">
        <f t="shared" si="202"/>
        <v>0</v>
      </c>
    </row>
    <row r="9944" spans="8:8" hidden="1" x14ac:dyDescent="0.35">
      <c r="H9944" s="83">
        <f t="shared" si="202"/>
        <v>0</v>
      </c>
    </row>
    <row r="9945" spans="8:8" hidden="1" x14ac:dyDescent="0.35">
      <c r="H9945" s="83">
        <f t="shared" si="202"/>
        <v>0</v>
      </c>
    </row>
    <row r="9946" spans="8:8" hidden="1" x14ac:dyDescent="0.35">
      <c r="H9946" s="83">
        <f t="shared" si="202"/>
        <v>0</v>
      </c>
    </row>
    <row r="9947" spans="8:8" hidden="1" x14ac:dyDescent="0.35">
      <c r="H9947" s="83">
        <f t="shared" si="202"/>
        <v>0</v>
      </c>
    </row>
    <row r="9948" spans="8:8" hidden="1" x14ac:dyDescent="0.35">
      <c r="H9948" s="83">
        <f t="shared" si="202"/>
        <v>0</v>
      </c>
    </row>
    <row r="9949" spans="8:8" hidden="1" x14ac:dyDescent="0.35">
      <c r="H9949" s="83">
        <f t="shared" si="202"/>
        <v>0</v>
      </c>
    </row>
    <row r="9950" spans="8:8" hidden="1" x14ac:dyDescent="0.35">
      <c r="H9950" s="83">
        <f t="shared" si="202"/>
        <v>0</v>
      </c>
    </row>
    <row r="9951" spans="8:8" hidden="1" x14ac:dyDescent="0.35">
      <c r="H9951" s="83">
        <f t="shared" si="202"/>
        <v>0</v>
      </c>
    </row>
    <row r="9952" spans="8:8" hidden="1" x14ac:dyDescent="0.35">
      <c r="H9952" s="83">
        <f t="shared" si="202"/>
        <v>0</v>
      </c>
    </row>
    <row r="9953" spans="8:8" hidden="1" x14ac:dyDescent="0.35">
      <c r="H9953" s="83">
        <f t="shared" si="202"/>
        <v>0</v>
      </c>
    </row>
    <row r="9954" spans="8:8" hidden="1" x14ac:dyDescent="0.35">
      <c r="H9954" s="83">
        <f t="shared" si="202"/>
        <v>0</v>
      </c>
    </row>
    <row r="9955" spans="8:8" hidden="1" x14ac:dyDescent="0.35">
      <c r="H9955" s="83">
        <f t="shared" si="202"/>
        <v>0</v>
      </c>
    </row>
    <row r="9956" spans="8:8" hidden="1" x14ac:dyDescent="0.35">
      <c r="H9956" s="83">
        <f t="shared" si="202"/>
        <v>0</v>
      </c>
    </row>
    <row r="9957" spans="8:8" hidden="1" x14ac:dyDescent="0.35">
      <c r="H9957" s="83">
        <f t="shared" si="202"/>
        <v>0</v>
      </c>
    </row>
    <row r="9958" spans="8:8" hidden="1" x14ac:dyDescent="0.35">
      <c r="H9958" s="83">
        <f t="shared" si="202"/>
        <v>0</v>
      </c>
    </row>
    <row r="9959" spans="8:8" hidden="1" x14ac:dyDescent="0.35">
      <c r="H9959" s="83">
        <f t="shared" si="202"/>
        <v>0</v>
      </c>
    </row>
    <row r="9960" spans="8:8" hidden="1" x14ac:dyDescent="0.35">
      <c r="H9960" s="83">
        <f t="shared" si="202"/>
        <v>0</v>
      </c>
    </row>
    <row r="9961" spans="8:8" hidden="1" x14ac:dyDescent="0.35">
      <c r="H9961" s="83">
        <f t="shared" si="202"/>
        <v>0</v>
      </c>
    </row>
    <row r="9962" spans="8:8" hidden="1" x14ac:dyDescent="0.35">
      <c r="H9962" s="83">
        <f t="shared" si="202"/>
        <v>0</v>
      </c>
    </row>
    <row r="9963" spans="8:8" hidden="1" x14ac:dyDescent="0.35">
      <c r="H9963" s="83">
        <f t="shared" si="202"/>
        <v>0</v>
      </c>
    </row>
    <row r="9964" spans="8:8" hidden="1" x14ac:dyDescent="0.35">
      <c r="H9964" s="83">
        <f t="shared" si="202"/>
        <v>0</v>
      </c>
    </row>
    <row r="9965" spans="8:8" hidden="1" x14ac:dyDescent="0.35">
      <c r="H9965" s="83">
        <f t="shared" si="202"/>
        <v>0</v>
      </c>
    </row>
    <row r="9966" spans="8:8" hidden="1" x14ac:dyDescent="0.35">
      <c r="H9966" s="83">
        <f t="shared" si="202"/>
        <v>0</v>
      </c>
    </row>
    <row r="9967" spans="8:8" hidden="1" x14ac:dyDescent="0.35">
      <c r="H9967" s="83">
        <f t="shared" si="202"/>
        <v>0</v>
      </c>
    </row>
    <row r="9968" spans="8:8" hidden="1" x14ac:dyDescent="0.35">
      <c r="H9968" s="83">
        <f t="shared" si="202"/>
        <v>0</v>
      </c>
    </row>
    <row r="9969" spans="8:8" hidden="1" x14ac:dyDescent="0.35">
      <c r="H9969" s="83">
        <f t="shared" si="202"/>
        <v>0</v>
      </c>
    </row>
    <row r="9970" spans="8:8" hidden="1" x14ac:dyDescent="0.35">
      <c r="H9970" s="83">
        <f t="shared" si="202"/>
        <v>0</v>
      </c>
    </row>
    <row r="9971" spans="8:8" hidden="1" x14ac:dyDescent="0.35">
      <c r="H9971" s="83">
        <f t="shared" si="202"/>
        <v>0</v>
      </c>
    </row>
    <row r="9972" spans="8:8" hidden="1" x14ac:dyDescent="0.35">
      <c r="H9972" s="83">
        <f t="shared" si="202"/>
        <v>0</v>
      </c>
    </row>
    <row r="9973" spans="8:8" hidden="1" x14ac:dyDescent="0.35">
      <c r="H9973" s="83">
        <f t="shared" si="202"/>
        <v>0</v>
      </c>
    </row>
    <row r="9974" spans="8:8" hidden="1" x14ac:dyDescent="0.35">
      <c r="H9974" s="83">
        <f t="shared" si="202"/>
        <v>0</v>
      </c>
    </row>
    <row r="9975" spans="8:8" hidden="1" x14ac:dyDescent="0.35">
      <c r="H9975" s="83">
        <f t="shared" si="202"/>
        <v>0</v>
      </c>
    </row>
    <row r="9976" spans="8:8" hidden="1" x14ac:dyDescent="0.35">
      <c r="H9976" s="83">
        <f t="shared" si="202"/>
        <v>0</v>
      </c>
    </row>
    <row r="9977" spans="8:8" hidden="1" x14ac:dyDescent="0.35">
      <c r="H9977" s="83">
        <f t="shared" si="202"/>
        <v>0</v>
      </c>
    </row>
    <row r="9978" spans="8:8" hidden="1" x14ac:dyDescent="0.35">
      <c r="H9978" s="83">
        <f t="shared" si="202"/>
        <v>0</v>
      </c>
    </row>
    <row r="9979" spans="8:8" hidden="1" x14ac:dyDescent="0.35">
      <c r="H9979" s="83">
        <f t="shared" si="202"/>
        <v>0</v>
      </c>
    </row>
    <row r="9980" spans="8:8" hidden="1" x14ac:dyDescent="0.35">
      <c r="H9980" s="83">
        <f t="shared" si="202"/>
        <v>0</v>
      </c>
    </row>
    <row r="9981" spans="8:8" hidden="1" x14ac:dyDescent="0.35">
      <c r="H9981" s="83">
        <f t="shared" si="202"/>
        <v>0</v>
      </c>
    </row>
    <row r="9982" spans="8:8" hidden="1" x14ac:dyDescent="0.35">
      <c r="H9982" s="83">
        <f t="shared" si="202"/>
        <v>0</v>
      </c>
    </row>
    <row r="9983" spans="8:8" hidden="1" x14ac:dyDescent="0.35">
      <c r="H9983" s="83">
        <f t="shared" si="202"/>
        <v>0</v>
      </c>
    </row>
    <row r="9984" spans="8:8" hidden="1" x14ac:dyDescent="0.35">
      <c r="H9984" s="83">
        <f t="shared" si="202"/>
        <v>0</v>
      </c>
    </row>
    <row r="9985" spans="8:8" hidden="1" x14ac:dyDescent="0.35">
      <c r="H9985" s="83">
        <f t="shared" si="202"/>
        <v>0</v>
      </c>
    </row>
    <row r="9986" spans="8:8" hidden="1" x14ac:dyDescent="0.35">
      <c r="H9986" s="83">
        <f t="shared" si="202"/>
        <v>0</v>
      </c>
    </row>
    <row r="9987" spans="8:8" hidden="1" x14ac:dyDescent="0.35">
      <c r="H9987" s="83">
        <f t="shared" si="202"/>
        <v>0</v>
      </c>
    </row>
    <row r="9988" spans="8:8" hidden="1" x14ac:dyDescent="0.35">
      <c r="H9988" s="83">
        <f t="shared" ref="H9988:H10051" si="203">J9988-I9988</f>
        <v>0</v>
      </c>
    </row>
    <row r="9989" spans="8:8" hidden="1" x14ac:dyDescent="0.35">
      <c r="H9989" s="83">
        <f t="shared" si="203"/>
        <v>0</v>
      </c>
    </row>
    <row r="9990" spans="8:8" hidden="1" x14ac:dyDescent="0.35">
      <c r="H9990" s="83">
        <f t="shared" si="203"/>
        <v>0</v>
      </c>
    </row>
    <row r="9991" spans="8:8" hidden="1" x14ac:dyDescent="0.35">
      <c r="H9991" s="83">
        <f t="shared" si="203"/>
        <v>0</v>
      </c>
    </row>
    <row r="9992" spans="8:8" hidden="1" x14ac:dyDescent="0.35">
      <c r="H9992" s="83">
        <f t="shared" si="203"/>
        <v>0</v>
      </c>
    </row>
    <row r="9993" spans="8:8" hidden="1" x14ac:dyDescent="0.35">
      <c r="H9993" s="83">
        <f t="shared" si="203"/>
        <v>0</v>
      </c>
    </row>
    <row r="9994" spans="8:8" hidden="1" x14ac:dyDescent="0.35">
      <c r="H9994" s="83">
        <f t="shared" si="203"/>
        <v>0</v>
      </c>
    </row>
    <row r="9995" spans="8:8" hidden="1" x14ac:dyDescent="0.35">
      <c r="H9995" s="83">
        <f t="shared" si="203"/>
        <v>0</v>
      </c>
    </row>
    <row r="9996" spans="8:8" hidden="1" x14ac:dyDescent="0.35">
      <c r="H9996" s="83">
        <f t="shared" si="203"/>
        <v>0</v>
      </c>
    </row>
    <row r="9997" spans="8:8" hidden="1" x14ac:dyDescent="0.35">
      <c r="H9997" s="83">
        <f t="shared" si="203"/>
        <v>0</v>
      </c>
    </row>
    <row r="9998" spans="8:8" hidden="1" x14ac:dyDescent="0.35">
      <c r="H9998" s="83">
        <f t="shared" si="203"/>
        <v>0</v>
      </c>
    </row>
    <row r="9999" spans="8:8" hidden="1" x14ac:dyDescent="0.35">
      <c r="H9999" s="83">
        <f t="shared" si="203"/>
        <v>0</v>
      </c>
    </row>
    <row r="10000" spans="8:8" hidden="1" x14ac:dyDescent="0.35">
      <c r="H10000" s="83">
        <f t="shared" si="203"/>
        <v>0</v>
      </c>
    </row>
    <row r="10001" spans="8:8" hidden="1" x14ac:dyDescent="0.35">
      <c r="H10001" s="83">
        <f t="shared" si="203"/>
        <v>0</v>
      </c>
    </row>
    <row r="10002" spans="8:8" hidden="1" x14ac:dyDescent="0.35">
      <c r="H10002" s="83">
        <f t="shared" si="203"/>
        <v>0</v>
      </c>
    </row>
    <row r="10003" spans="8:8" hidden="1" x14ac:dyDescent="0.35">
      <c r="H10003" s="83">
        <f t="shared" si="203"/>
        <v>0</v>
      </c>
    </row>
    <row r="10004" spans="8:8" hidden="1" x14ac:dyDescent="0.35">
      <c r="H10004" s="83">
        <f t="shared" si="203"/>
        <v>0</v>
      </c>
    </row>
    <row r="10005" spans="8:8" hidden="1" x14ac:dyDescent="0.35">
      <c r="H10005" s="83">
        <f t="shared" si="203"/>
        <v>0</v>
      </c>
    </row>
    <row r="10006" spans="8:8" hidden="1" x14ac:dyDescent="0.35">
      <c r="H10006" s="83">
        <f t="shared" si="203"/>
        <v>0</v>
      </c>
    </row>
    <row r="10007" spans="8:8" hidden="1" x14ac:dyDescent="0.35">
      <c r="H10007" s="83">
        <f t="shared" si="203"/>
        <v>0</v>
      </c>
    </row>
    <row r="10008" spans="8:8" hidden="1" x14ac:dyDescent="0.35">
      <c r="H10008" s="83">
        <f t="shared" si="203"/>
        <v>0</v>
      </c>
    </row>
    <row r="10009" spans="8:8" hidden="1" x14ac:dyDescent="0.35">
      <c r="H10009" s="83">
        <f t="shared" si="203"/>
        <v>0</v>
      </c>
    </row>
    <row r="10010" spans="8:8" hidden="1" x14ac:dyDescent="0.35">
      <c r="H10010" s="83">
        <f t="shared" si="203"/>
        <v>0</v>
      </c>
    </row>
    <row r="10011" spans="8:8" hidden="1" x14ac:dyDescent="0.35">
      <c r="H10011" s="83">
        <f t="shared" si="203"/>
        <v>0</v>
      </c>
    </row>
    <row r="10012" spans="8:8" hidden="1" x14ac:dyDescent="0.35">
      <c r="H10012" s="83">
        <f t="shared" si="203"/>
        <v>0</v>
      </c>
    </row>
    <row r="10013" spans="8:8" hidden="1" x14ac:dyDescent="0.35">
      <c r="H10013" s="83">
        <f t="shared" si="203"/>
        <v>0</v>
      </c>
    </row>
    <row r="10014" spans="8:8" hidden="1" x14ac:dyDescent="0.35">
      <c r="H10014" s="83">
        <f t="shared" si="203"/>
        <v>0</v>
      </c>
    </row>
    <row r="10015" spans="8:8" hidden="1" x14ac:dyDescent="0.35">
      <c r="H10015" s="83">
        <f t="shared" si="203"/>
        <v>0</v>
      </c>
    </row>
    <row r="10016" spans="8:8" hidden="1" x14ac:dyDescent="0.35">
      <c r="H10016" s="83">
        <f t="shared" si="203"/>
        <v>0</v>
      </c>
    </row>
    <row r="10017" spans="8:8" hidden="1" x14ac:dyDescent="0.35">
      <c r="H10017" s="83">
        <f t="shared" si="203"/>
        <v>0</v>
      </c>
    </row>
    <row r="10018" spans="8:8" hidden="1" x14ac:dyDescent="0.35">
      <c r="H10018" s="83">
        <f t="shared" si="203"/>
        <v>0</v>
      </c>
    </row>
    <row r="10019" spans="8:8" hidden="1" x14ac:dyDescent="0.35">
      <c r="H10019" s="83">
        <f t="shared" si="203"/>
        <v>0</v>
      </c>
    </row>
    <row r="10020" spans="8:8" hidden="1" x14ac:dyDescent="0.35">
      <c r="H10020" s="83">
        <f t="shared" si="203"/>
        <v>0</v>
      </c>
    </row>
    <row r="10021" spans="8:8" hidden="1" x14ac:dyDescent="0.35">
      <c r="H10021" s="83">
        <f t="shared" si="203"/>
        <v>0</v>
      </c>
    </row>
    <row r="10022" spans="8:8" hidden="1" x14ac:dyDescent="0.35">
      <c r="H10022" s="83">
        <f t="shared" si="203"/>
        <v>0</v>
      </c>
    </row>
    <row r="10023" spans="8:8" hidden="1" x14ac:dyDescent="0.35">
      <c r="H10023" s="83">
        <f t="shared" si="203"/>
        <v>0</v>
      </c>
    </row>
    <row r="10024" spans="8:8" hidden="1" x14ac:dyDescent="0.35">
      <c r="H10024" s="83">
        <f t="shared" si="203"/>
        <v>0</v>
      </c>
    </row>
    <row r="10025" spans="8:8" hidden="1" x14ac:dyDescent="0.35">
      <c r="H10025" s="83">
        <f t="shared" si="203"/>
        <v>0</v>
      </c>
    </row>
    <row r="10026" spans="8:8" hidden="1" x14ac:dyDescent="0.35">
      <c r="H10026" s="83">
        <f t="shared" si="203"/>
        <v>0</v>
      </c>
    </row>
    <row r="10027" spans="8:8" hidden="1" x14ac:dyDescent="0.35">
      <c r="H10027" s="83">
        <f t="shared" si="203"/>
        <v>0</v>
      </c>
    </row>
    <row r="10028" spans="8:8" hidden="1" x14ac:dyDescent="0.35">
      <c r="H10028" s="83">
        <f t="shared" si="203"/>
        <v>0</v>
      </c>
    </row>
    <row r="10029" spans="8:8" hidden="1" x14ac:dyDescent="0.35">
      <c r="H10029" s="83">
        <f t="shared" si="203"/>
        <v>0</v>
      </c>
    </row>
    <row r="10030" spans="8:8" hidden="1" x14ac:dyDescent="0.35">
      <c r="H10030" s="83">
        <f t="shared" si="203"/>
        <v>0</v>
      </c>
    </row>
    <row r="10031" spans="8:8" hidden="1" x14ac:dyDescent="0.35">
      <c r="H10031" s="83">
        <f t="shared" si="203"/>
        <v>0</v>
      </c>
    </row>
    <row r="10032" spans="8:8" hidden="1" x14ac:dyDescent="0.35">
      <c r="H10032" s="83">
        <f t="shared" si="203"/>
        <v>0</v>
      </c>
    </row>
    <row r="10033" spans="8:8" hidden="1" x14ac:dyDescent="0.35">
      <c r="H10033" s="83">
        <f t="shared" si="203"/>
        <v>0</v>
      </c>
    </row>
    <row r="10034" spans="8:8" hidden="1" x14ac:dyDescent="0.35">
      <c r="H10034" s="83">
        <f t="shared" si="203"/>
        <v>0</v>
      </c>
    </row>
    <row r="10035" spans="8:8" hidden="1" x14ac:dyDescent="0.35">
      <c r="H10035" s="83">
        <f t="shared" si="203"/>
        <v>0</v>
      </c>
    </row>
    <row r="10036" spans="8:8" hidden="1" x14ac:dyDescent="0.35">
      <c r="H10036" s="83">
        <f t="shared" si="203"/>
        <v>0</v>
      </c>
    </row>
    <row r="10037" spans="8:8" hidden="1" x14ac:dyDescent="0.35">
      <c r="H10037" s="83">
        <f t="shared" si="203"/>
        <v>0</v>
      </c>
    </row>
    <row r="10038" spans="8:8" hidden="1" x14ac:dyDescent="0.35">
      <c r="H10038" s="83">
        <f t="shared" si="203"/>
        <v>0</v>
      </c>
    </row>
    <row r="10039" spans="8:8" hidden="1" x14ac:dyDescent="0.35">
      <c r="H10039" s="83">
        <f t="shared" si="203"/>
        <v>0</v>
      </c>
    </row>
    <row r="10040" spans="8:8" hidden="1" x14ac:dyDescent="0.35">
      <c r="H10040" s="83">
        <f t="shared" si="203"/>
        <v>0</v>
      </c>
    </row>
    <row r="10041" spans="8:8" hidden="1" x14ac:dyDescent="0.35">
      <c r="H10041" s="83">
        <f t="shared" si="203"/>
        <v>0</v>
      </c>
    </row>
    <row r="10042" spans="8:8" hidden="1" x14ac:dyDescent="0.35">
      <c r="H10042" s="83">
        <f t="shared" si="203"/>
        <v>0</v>
      </c>
    </row>
    <row r="10043" spans="8:8" hidden="1" x14ac:dyDescent="0.35">
      <c r="H10043" s="83">
        <f t="shared" si="203"/>
        <v>0</v>
      </c>
    </row>
    <row r="10044" spans="8:8" hidden="1" x14ac:dyDescent="0.35">
      <c r="H10044" s="83">
        <f t="shared" si="203"/>
        <v>0</v>
      </c>
    </row>
    <row r="10045" spans="8:8" hidden="1" x14ac:dyDescent="0.35">
      <c r="H10045" s="83">
        <f t="shared" si="203"/>
        <v>0</v>
      </c>
    </row>
    <row r="10046" spans="8:8" hidden="1" x14ac:dyDescent="0.35">
      <c r="H10046" s="83">
        <f t="shared" si="203"/>
        <v>0</v>
      </c>
    </row>
    <row r="10047" spans="8:8" hidden="1" x14ac:dyDescent="0.35">
      <c r="H10047" s="83">
        <f t="shared" si="203"/>
        <v>0</v>
      </c>
    </row>
    <row r="10048" spans="8:8" hidden="1" x14ac:dyDescent="0.35">
      <c r="H10048" s="83">
        <f t="shared" si="203"/>
        <v>0</v>
      </c>
    </row>
    <row r="10049" spans="8:8" hidden="1" x14ac:dyDescent="0.35">
      <c r="H10049" s="83">
        <f t="shared" si="203"/>
        <v>0</v>
      </c>
    </row>
    <row r="10050" spans="8:8" hidden="1" x14ac:dyDescent="0.35">
      <c r="H10050" s="83">
        <f t="shared" si="203"/>
        <v>0</v>
      </c>
    </row>
    <row r="10051" spans="8:8" hidden="1" x14ac:dyDescent="0.35">
      <c r="H10051" s="83">
        <f t="shared" si="203"/>
        <v>0</v>
      </c>
    </row>
    <row r="10052" spans="8:8" hidden="1" x14ac:dyDescent="0.35">
      <c r="H10052" s="83">
        <f t="shared" ref="H10052:H10115" si="204">J10052-I10052</f>
        <v>0</v>
      </c>
    </row>
    <row r="10053" spans="8:8" hidden="1" x14ac:dyDescent="0.35">
      <c r="H10053" s="83">
        <f t="shared" si="204"/>
        <v>0</v>
      </c>
    </row>
    <row r="10054" spans="8:8" hidden="1" x14ac:dyDescent="0.35">
      <c r="H10054" s="83">
        <f t="shared" si="204"/>
        <v>0</v>
      </c>
    </row>
    <row r="10055" spans="8:8" hidden="1" x14ac:dyDescent="0.35">
      <c r="H10055" s="83">
        <f t="shared" si="204"/>
        <v>0</v>
      </c>
    </row>
    <row r="10056" spans="8:8" hidden="1" x14ac:dyDescent="0.35">
      <c r="H10056" s="83">
        <f t="shared" si="204"/>
        <v>0</v>
      </c>
    </row>
    <row r="10057" spans="8:8" hidden="1" x14ac:dyDescent="0.35">
      <c r="H10057" s="83">
        <f t="shared" si="204"/>
        <v>0</v>
      </c>
    </row>
    <row r="10058" spans="8:8" hidden="1" x14ac:dyDescent="0.35">
      <c r="H10058" s="83">
        <f t="shared" si="204"/>
        <v>0</v>
      </c>
    </row>
    <row r="10059" spans="8:8" hidden="1" x14ac:dyDescent="0.35">
      <c r="H10059" s="83">
        <f t="shared" si="204"/>
        <v>0</v>
      </c>
    </row>
    <row r="10060" spans="8:8" hidden="1" x14ac:dyDescent="0.35">
      <c r="H10060" s="83">
        <f t="shared" si="204"/>
        <v>0</v>
      </c>
    </row>
    <row r="10061" spans="8:8" hidden="1" x14ac:dyDescent="0.35">
      <c r="H10061" s="83">
        <f t="shared" si="204"/>
        <v>0</v>
      </c>
    </row>
    <row r="10062" spans="8:8" hidden="1" x14ac:dyDescent="0.35">
      <c r="H10062" s="83">
        <f t="shared" si="204"/>
        <v>0</v>
      </c>
    </row>
    <row r="10063" spans="8:8" hidden="1" x14ac:dyDescent="0.35">
      <c r="H10063" s="83">
        <f t="shared" si="204"/>
        <v>0</v>
      </c>
    </row>
    <row r="10064" spans="8:8" hidden="1" x14ac:dyDescent="0.35">
      <c r="H10064" s="83">
        <f t="shared" si="204"/>
        <v>0</v>
      </c>
    </row>
    <row r="10065" spans="8:8" hidden="1" x14ac:dyDescent="0.35">
      <c r="H10065" s="83">
        <f t="shared" si="204"/>
        <v>0</v>
      </c>
    </row>
    <row r="10066" spans="8:8" hidden="1" x14ac:dyDescent="0.35">
      <c r="H10066" s="83">
        <f t="shared" si="204"/>
        <v>0</v>
      </c>
    </row>
    <row r="10067" spans="8:8" hidden="1" x14ac:dyDescent="0.35">
      <c r="H10067" s="83">
        <f t="shared" si="204"/>
        <v>0</v>
      </c>
    </row>
    <row r="10068" spans="8:8" hidden="1" x14ac:dyDescent="0.35">
      <c r="H10068" s="83">
        <f t="shared" si="204"/>
        <v>0</v>
      </c>
    </row>
    <row r="10069" spans="8:8" hidden="1" x14ac:dyDescent="0.35">
      <c r="H10069" s="83">
        <f t="shared" si="204"/>
        <v>0</v>
      </c>
    </row>
    <row r="10070" spans="8:8" hidden="1" x14ac:dyDescent="0.35">
      <c r="H10070" s="83">
        <f t="shared" si="204"/>
        <v>0</v>
      </c>
    </row>
    <row r="10071" spans="8:8" hidden="1" x14ac:dyDescent="0.35">
      <c r="H10071" s="83">
        <f t="shared" si="204"/>
        <v>0</v>
      </c>
    </row>
    <row r="10072" spans="8:8" hidden="1" x14ac:dyDescent="0.35">
      <c r="H10072" s="83">
        <f t="shared" si="204"/>
        <v>0</v>
      </c>
    </row>
    <row r="10073" spans="8:8" hidden="1" x14ac:dyDescent="0.35">
      <c r="H10073" s="83">
        <f t="shared" si="204"/>
        <v>0</v>
      </c>
    </row>
    <row r="10074" spans="8:8" hidden="1" x14ac:dyDescent="0.35">
      <c r="H10074" s="83">
        <f t="shared" si="204"/>
        <v>0</v>
      </c>
    </row>
    <row r="10075" spans="8:8" hidden="1" x14ac:dyDescent="0.35">
      <c r="H10075" s="83">
        <f t="shared" si="204"/>
        <v>0</v>
      </c>
    </row>
    <row r="10076" spans="8:8" hidden="1" x14ac:dyDescent="0.35">
      <c r="H10076" s="83">
        <f t="shared" si="204"/>
        <v>0</v>
      </c>
    </row>
    <row r="10077" spans="8:8" hidden="1" x14ac:dyDescent="0.35">
      <c r="H10077" s="83">
        <f t="shared" si="204"/>
        <v>0</v>
      </c>
    </row>
    <row r="10078" spans="8:8" hidden="1" x14ac:dyDescent="0.35">
      <c r="H10078" s="83">
        <f t="shared" si="204"/>
        <v>0</v>
      </c>
    </row>
    <row r="10079" spans="8:8" hidden="1" x14ac:dyDescent="0.35">
      <c r="H10079" s="83">
        <f t="shared" si="204"/>
        <v>0</v>
      </c>
    </row>
    <row r="10080" spans="8:8" hidden="1" x14ac:dyDescent="0.35">
      <c r="H10080" s="83">
        <f t="shared" si="204"/>
        <v>0</v>
      </c>
    </row>
    <row r="10081" spans="8:8" hidden="1" x14ac:dyDescent="0.35">
      <c r="H10081" s="83">
        <f t="shared" si="204"/>
        <v>0</v>
      </c>
    </row>
    <row r="10082" spans="8:8" hidden="1" x14ac:dyDescent="0.35">
      <c r="H10082" s="83">
        <f t="shared" si="204"/>
        <v>0</v>
      </c>
    </row>
    <row r="10083" spans="8:8" hidden="1" x14ac:dyDescent="0.35">
      <c r="H10083" s="83">
        <f t="shared" si="204"/>
        <v>0</v>
      </c>
    </row>
    <row r="10084" spans="8:8" hidden="1" x14ac:dyDescent="0.35">
      <c r="H10084" s="83">
        <f t="shared" si="204"/>
        <v>0</v>
      </c>
    </row>
    <row r="10085" spans="8:8" hidden="1" x14ac:dyDescent="0.35">
      <c r="H10085" s="83">
        <f t="shared" si="204"/>
        <v>0</v>
      </c>
    </row>
    <row r="10086" spans="8:8" hidden="1" x14ac:dyDescent="0.35">
      <c r="H10086" s="83">
        <f t="shared" si="204"/>
        <v>0</v>
      </c>
    </row>
    <row r="10087" spans="8:8" hidden="1" x14ac:dyDescent="0.35">
      <c r="H10087" s="83">
        <f t="shared" si="204"/>
        <v>0</v>
      </c>
    </row>
    <row r="10088" spans="8:8" hidden="1" x14ac:dyDescent="0.35">
      <c r="H10088" s="83">
        <f t="shared" si="204"/>
        <v>0</v>
      </c>
    </row>
    <row r="10089" spans="8:8" hidden="1" x14ac:dyDescent="0.35">
      <c r="H10089" s="83">
        <f t="shared" si="204"/>
        <v>0</v>
      </c>
    </row>
    <row r="10090" spans="8:8" hidden="1" x14ac:dyDescent="0.35">
      <c r="H10090" s="83">
        <f t="shared" si="204"/>
        <v>0</v>
      </c>
    </row>
    <row r="10091" spans="8:8" hidden="1" x14ac:dyDescent="0.35">
      <c r="H10091" s="83">
        <f t="shared" si="204"/>
        <v>0</v>
      </c>
    </row>
    <row r="10092" spans="8:8" hidden="1" x14ac:dyDescent="0.35">
      <c r="H10092" s="83">
        <f t="shared" si="204"/>
        <v>0</v>
      </c>
    </row>
    <row r="10093" spans="8:8" hidden="1" x14ac:dyDescent="0.35">
      <c r="H10093" s="83">
        <f t="shared" si="204"/>
        <v>0</v>
      </c>
    </row>
    <row r="10094" spans="8:8" hidden="1" x14ac:dyDescent="0.35">
      <c r="H10094" s="83">
        <f t="shared" si="204"/>
        <v>0</v>
      </c>
    </row>
    <row r="10095" spans="8:8" hidden="1" x14ac:dyDescent="0.35">
      <c r="H10095" s="83">
        <f t="shared" si="204"/>
        <v>0</v>
      </c>
    </row>
    <row r="10096" spans="8:8" hidden="1" x14ac:dyDescent="0.35">
      <c r="H10096" s="83">
        <f t="shared" si="204"/>
        <v>0</v>
      </c>
    </row>
    <row r="10097" spans="8:8" hidden="1" x14ac:dyDescent="0.35">
      <c r="H10097" s="83">
        <f t="shared" si="204"/>
        <v>0</v>
      </c>
    </row>
    <row r="10098" spans="8:8" hidden="1" x14ac:dyDescent="0.35">
      <c r="H10098" s="83">
        <f t="shared" si="204"/>
        <v>0</v>
      </c>
    </row>
    <row r="10099" spans="8:8" hidden="1" x14ac:dyDescent="0.35">
      <c r="H10099" s="83">
        <f t="shared" si="204"/>
        <v>0</v>
      </c>
    </row>
    <row r="10100" spans="8:8" hidden="1" x14ac:dyDescent="0.35">
      <c r="H10100" s="83">
        <f t="shared" si="204"/>
        <v>0</v>
      </c>
    </row>
    <row r="10101" spans="8:8" hidden="1" x14ac:dyDescent="0.35">
      <c r="H10101" s="83">
        <f t="shared" si="204"/>
        <v>0</v>
      </c>
    </row>
    <row r="10102" spans="8:8" hidden="1" x14ac:dyDescent="0.35">
      <c r="H10102" s="83">
        <f t="shared" si="204"/>
        <v>0</v>
      </c>
    </row>
    <row r="10103" spans="8:8" hidden="1" x14ac:dyDescent="0.35">
      <c r="H10103" s="83">
        <f t="shared" si="204"/>
        <v>0</v>
      </c>
    </row>
    <row r="10104" spans="8:8" hidden="1" x14ac:dyDescent="0.35">
      <c r="H10104" s="83">
        <f t="shared" si="204"/>
        <v>0</v>
      </c>
    </row>
    <row r="10105" spans="8:8" hidden="1" x14ac:dyDescent="0.35">
      <c r="H10105" s="83">
        <f t="shared" si="204"/>
        <v>0</v>
      </c>
    </row>
    <row r="10106" spans="8:8" hidden="1" x14ac:dyDescent="0.35">
      <c r="H10106" s="83">
        <f t="shared" si="204"/>
        <v>0</v>
      </c>
    </row>
    <row r="10107" spans="8:8" hidden="1" x14ac:dyDescent="0.35">
      <c r="H10107" s="83">
        <f t="shared" si="204"/>
        <v>0</v>
      </c>
    </row>
    <row r="10108" spans="8:8" hidden="1" x14ac:dyDescent="0.35">
      <c r="H10108" s="83">
        <f t="shared" si="204"/>
        <v>0</v>
      </c>
    </row>
    <row r="10109" spans="8:8" hidden="1" x14ac:dyDescent="0.35">
      <c r="H10109" s="83">
        <f t="shared" si="204"/>
        <v>0</v>
      </c>
    </row>
    <row r="10110" spans="8:8" hidden="1" x14ac:dyDescent="0.35">
      <c r="H10110" s="83">
        <f t="shared" si="204"/>
        <v>0</v>
      </c>
    </row>
    <row r="10111" spans="8:8" hidden="1" x14ac:dyDescent="0.35">
      <c r="H10111" s="83">
        <f t="shared" si="204"/>
        <v>0</v>
      </c>
    </row>
    <row r="10112" spans="8:8" hidden="1" x14ac:dyDescent="0.35">
      <c r="H10112" s="83">
        <f t="shared" si="204"/>
        <v>0</v>
      </c>
    </row>
    <row r="10113" spans="8:8" hidden="1" x14ac:dyDescent="0.35">
      <c r="H10113" s="83">
        <f t="shared" si="204"/>
        <v>0</v>
      </c>
    </row>
    <row r="10114" spans="8:8" hidden="1" x14ac:dyDescent="0.35">
      <c r="H10114" s="83">
        <f t="shared" si="204"/>
        <v>0</v>
      </c>
    </row>
    <row r="10115" spans="8:8" hidden="1" x14ac:dyDescent="0.35">
      <c r="H10115" s="83">
        <f t="shared" si="204"/>
        <v>0</v>
      </c>
    </row>
    <row r="10116" spans="8:8" hidden="1" x14ac:dyDescent="0.35">
      <c r="H10116" s="83">
        <f t="shared" ref="H10116:H10179" si="205">J10116-I10116</f>
        <v>0</v>
      </c>
    </row>
    <row r="10117" spans="8:8" hidden="1" x14ac:dyDescent="0.35">
      <c r="H10117" s="83">
        <f t="shared" si="205"/>
        <v>0</v>
      </c>
    </row>
    <row r="10118" spans="8:8" hidden="1" x14ac:dyDescent="0.35">
      <c r="H10118" s="83">
        <f t="shared" si="205"/>
        <v>0</v>
      </c>
    </row>
    <row r="10119" spans="8:8" hidden="1" x14ac:dyDescent="0.35">
      <c r="H10119" s="83">
        <f t="shared" si="205"/>
        <v>0</v>
      </c>
    </row>
    <row r="10120" spans="8:8" hidden="1" x14ac:dyDescent="0.35">
      <c r="H10120" s="83">
        <f t="shared" si="205"/>
        <v>0</v>
      </c>
    </row>
    <row r="10121" spans="8:8" hidden="1" x14ac:dyDescent="0.35">
      <c r="H10121" s="83">
        <f t="shared" si="205"/>
        <v>0</v>
      </c>
    </row>
    <row r="10122" spans="8:8" hidden="1" x14ac:dyDescent="0.35">
      <c r="H10122" s="83">
        <f t="shared" si="205"/>
        <v>0</v>
      </c>
    </row>
    <row r="10123" spans="8:8" hidden="1" x14ac:dyDescent="0.35">
      <c r="H10123" s="83">
        <f t="shared" si="205"/>
        <v>0</v>
      </c>
    </row>
    <row r="10124" spans="8:8" hidden="1" x14ac:dyDescent="0.35">
      <c r="H10124" s="83">
        <f t="shared" si="205"/>
        <v>0</v>
      </c>
    </row>
    <row r="10125" spans="8:8" hidden="1" x14ac:dyDescent="0.35">
      <c r="H10125" s="83">
        <f t="shared" si="205"/>
        <v>0</v>
      </c>
    </row>
    <row r="10126" spans="8:8" hidden="1" x14ac:dyDescent="0.35">
      <c r="H10126" s="83">
        <f t="shared" si="205"/>
        <v>0</v>
      </c>
    </row>
    <row r="10127" spans="8:8" hidden="1" x14ac:dyDescent="0.35">
      <c r="H10127" s="83">
        <f t="shared" si="205"/>
        <v>0</v>
      </c>
    </row>
    <row r="10128" spans="8:8" hidden="1" x14ac:dyDescent="0.35">
      <c r="H10128" s="83">
        <f t="shared" si="205"/>
        <v>0</v>
      </c>
    </row>
    <row r="10129" spans="8:8" hidden="1" x14ac:dyDescent="0.35">
      <c r="H10129" s="83">
        <f t="shared" si="205"/>
        <v>0</v>
      </c>
    </row>
    <row r="10130" spans="8:8" hidden="1" x14ac:dyDescent="0.35">
      <c r="H10130" s="83">
        <f t="shared" si="205"/>
        <v>0</v>
      </c>
    </row>
    <row r="10131" spans="8:8" hidden="1" x14ac:dyDescent="0.35">
      <c r="H10131" s="83">
        <f t="shared" si="205"/>
        <v>0</v>
      </c>
    </row>
    <row r="10132" spans="8:8" hidden="1" x14ac:dyDescent="0.35">
      <c r="H10132" s="83">
        <f t="shared" si="205"/>
        <v>0</v>
      </c>
    </row>
    <row r="10133" spans="8:8" hidden="1" x14ac:dyDescent="0.35">
      <c r="H10133" s="83">
        <f t="shared" si="205"/>
        <v>0</v>
      </c>
    </row>
    <row r="10134" spans="8:8" hidden="1" x14ac:dyDescent="0.35">
      <c r="H10134" s="83">
        <f t="shared" si="205"/>
        <v>0</v>
      </c>
    </row>
    <row r="10135" spans="8:8" hidden="1" x14ac:dyDescent="0.35">
      <c r="H10135" s="83">
        <f t="shared" si="205"/>
        <v>0</v>
      </c>
    </row>
    <row r="10136" spans="8:8" hidden="1" x14ac:dyDescent="0.35">
      <c r="H10136" s="83">
        <f t="shared" si="205"/>
        <v>0</v>
      </c>
    </row>
    <row r="10137" spans="8:8" hidden="1" x14ac:dyDescent="0.35">
      <c r="H10137" s="83">
        <f t="shared" si="205"/>
        <v>0</v>
      </c>
    </row>
    <row r="10138" spans="8:8" hidden="1" x14ac:dyDescent="0.35">
      <c r="H10138" s="83">
        <f t="shared" si="205"/>
        <v>0</v>
      </c>
    </row>
    <row r="10139" spans="8:8" hidden="1" x14ac:dyDescent="0.35">
      <c r="H10139" s="83">
        <f t="shared" si="205"/>
        <v>0</v>
      </c>
    </row>
    <row r="10140" spans="8:8" hidden="1" x14ac:dyDescent="0.35">
      <c r="H10140" s="83">
        <f t="shared" si="205"/>
        <v>0</v>
      </c>
    </row>
    <row r="10141" spans="8:8" hidden="1" x14ac:dyDescent="0.35">
      <c r="H10141" s="83">
        <f t="shared" si="205"/>
        <v>0</v>
      </c>
    </row>
    <row r="10142" spans="8:8" hidden="1" x14ac:dyDescent="0.35">
      <c r="H10142" s="83">
        <f t="shared" si="205"/>
        <v>0</v>
      </c>
    </row>
    <row r="10143" spans="8:8" hidden="1" x14ac:dyDescent="0.35">
      <c r="H10143" s="83">
        <f t="shared" si="205"/>
        <v>0</v>
      </c>
    </row>
    <row r="10144" spans="8:8" hidden="1" x14ac:dyDescent="0.35">
      <c r="H10144" s="83">
        <f t="shared" si="205"/>
        <v>0</v>
      </c>
    </row>
    <row r="10145" spans="8:8" hidden="1" x14ac:dyDescent="0.35">
      <c r="H10145" s="83">
        <f t="shared" si="205"/>
        <v>0</v>
      </c>
    </row>
    <row r="10146" spans="8:8" hidden="1" x14ac:dyDescent="0.35">
      <c r="H10146" s="83">
        <f t="shared" si="205"/>
        <v>0</v>
      </c>
    </row>
    <row r="10147" spans="8:8" hidden="1" x14ac:dyDescent="0.35">
      <c r="H10147" s="83">
        <f t="shared" si="205"/>
        <v>0</v>
      </c>
    </row>
    <row r="10148" spans="8:8" hidden="1" x14ac:dyDescent="0.35">
      <c r="H10148" s="83">
        <f t="shared" si="205"/>
        <v>0</v>
      </c>
    </row>
    <row r="10149" spans="8:8" hidden="1" x14ac:dyDescent="0.35">
      <c r="H10149" s="83">
        <f t="shared" si="205"/>
        <v>0</v>
      </c>
    </row>
    <row r="10150" spans="8:8" hidden="1" x14ac:dyDescent="0.35">
      <c r="H10150" s="83">
        <f t="shared" si="205"/>
        <v>0</v>
      </c>
    </row>
    <row r="10151" spans="8:8" hidden="1" x14ac:dyDescent="0.35">
      <c r="H10151" s="83">
        <f t="shared" si="205"/>
        <v>0</v>
      </c>
    </row>
    <row r="10152" spans="8:8" hidden="1" x14ac:dyDescent="0.35">
      <c r="H10152" s="83">
        <f t="shared" si="205"/>
        <v>0</v>
      </c>
    </row>
    <row r="10153" spans="8:8" hidden="1" x14ac:dyDescent="0.35">
      <c r="H10153" s="83">
        <f t="shared" si="205"/>
        <v>0</v>
      </c>
    </row>
    <row r="10154" spans="8:8" hidden="1" x14ac:dyDescent="0.35">
      <c r="H10154" s="83">
        <f t="shared" si="205"/>
        <v>0</v>
      </c>
    </row>
    <row r="10155" spans="8:8" hidden="1" x14ac:dyDescent="0.35">
      <c r="H10155" s="83">
        <f t="shared" si="205"/>
        <v>0</v>
      </c>
    </row>
    <row r="10156" spans="8:8" hidden="1" x14ac:dyDescent="0.35">
      <c r="H10156" s="83">
        <f t="shared" si="205"/>
        <v>0</v>
      </c>
    </row>
    <row r="10157" spans="8:8" hidden="1" x14ac:dyDescent="0.35">
      <c r="H10157" s="83">
        <f t="shared" si="205"/>
        <v>0</v>
      </c>
    </row>
    <row r="10158" spans="8:8" hidden="1" x14ac:dyDescent="0.35">
      <c r="H10158" s="83">
        <f t="shared" si="205"/>
        <v>0</v>
      </c>
    </row>
    <row r="10159" spans="8:8" hidden="1" x14ac:dyDescent="0.35">
      <c r="H10159" s="83">
        <f t="shared" si="205"/>
        <v>0</v>
      </c>
    </row>
    <row r="10160" spans="8:8" hidden="1" x14ac:dyDescent="0.35">
      <c r="H10160" s="83">
        <f t="shared" si="205"/>
        <v>0</v>
      </c>
    </row>
    <row r="10161" spans="8:8" hidden="1" x14ac:dyDescent="0.35">
      <c r="H10161" s="83">
        <f t="shared" si="205"/>
        <v>0</v>
      </c>
    </row>
    <row r="10162" spans="8:8" hidden="1" x14ac:dyDescent="0.35">
      <c r="H10162" s="83">
        <f t="shared" si="205"/>
        <v>0</v>
      </c>
    </row>
    <row r="10163" spans="8:8" hidden="1" x14ac:dyDescent="0.35">
      <c r="H10163" s="83">
        <f t="shared" si="205"/>
        <v>0</v>
      </c>
    </row>
    <row r="10164" spans="8:8" hidden="1" x14ac:dyDescent="0.35">
      <c r="H10164" s="83">
        <f t="shared" si="205"/>
        <v>0</v>
      </c>
    </row>
    <row r="10165" spans="8:8" hidden="1" x14ac:dyDescent="0.35">
      <c r="H10165" s="83">
        <f t="shared" si="205"/>
        <v>0</v>
      </c>
    </row>
    <row r="10166" spans="8:8" hidden="1" x14ac:dyDescent="0.35">
      <c r="H10166" s="83">
        <f t="shared" si="205"/>
        <v>0</v>
      </c>
    </row>
    <row r="10167" spans="8:8" hidden="1" x14ac:dyDescent="0.35">
      <c r="H10167" s="83">
        <f t="shared" si="205"/>
        <v>0</v>
      </c>
    </row>
    <row r="10168" spans="8:8" hidden="1" x14ac:dyDescent="0.35">
      <c r="H10168" s="83">
        <f t="shared" si="205"/>
        <v>0</v>
      </c>
    </row>
    <row r="10169" spans="8:8" hidden="1" x14ac:dyDescent="0.35">
      <c r="H10169" s="83">
        <f t="shared" si="205"/>
        <v>0</v>
      </c>
    </row>
    <row r="10170" spans="8:8" hidden="1" x14ac:dyDescent="0.35">
      <c r="H10170" s="83">
        <f t="shared" si="205"/>
        <v>0</v>
      </c>
    </row>
    <row r="10171" spans="8:8" hidden="1" x14ac:dyDescent="0.35">
      <c r="H10171" s="83">
        <f t="shared" si="205"/>
        <v>0</v>
      </c>
    </row>
    <row r="10172" spans="8:8" hidden="1" x14ac:dyDescent="0.35">
      <c r="H10172" s="83">
        <f t="shared" si="205"/>
        <v>0</v>
      </c>
    </row>
    <row r="10173" spans="8:8" hidden="1" x14ac:dyDescent="0.35">
      <c r="H10173" s="83">
        <f t="shared" si="205"/>
        <v>0</v>
      </c>
    </row>
    <row r="10174" spans="8:8" hidden="1" x14ac:dyDescent="0.35">
      <c r="H10174" s="83">
        <f t="shared" si="205"/>
        <v>0</v>
      </c>
    </row>
    <row r="10175" spans="8:8" hidden="1" x14ac:dyDescent="0.35">
      <c r="H10175" s="83">
        <f t="shared" si="205"/>
        <v>0</v>
      </c>
    </row>
    <row r="10176" spans="8:8" hidden="1" x14ac:dyDescent="0.35">
      <c r="H10176" s="83">
        <f t="shared" si="205"/>
        <v>0</v>
      </c>
    </row>
    <row r="10177" spans="8:8" hidden="1" x14ac:dyDescent="0.35">
      <c r="H10177" s="83">
        <f t="shared" si="205"/>
        <v>0</v>
      </c>
    </row>
    <row r="10178" spans="8:8" hidden="1" x14ac:dyDescent="0.35">
      <c r="H10178" s="83">
        <f t="shared" si="205"/>
        <v>0</v>
      </c>
    </row>
    <row r="10179" spans="8:8" hidden="1" x14ac:dyDescent="0.35">
      <c r="H10179" s="83">
        <f t="shared" si="205"/>
        <v>0</v>
      </c>
    </row>
    <row r="10180" spans="8:8" hidden="1" x14ac:dyDescent="0.35">
      <c r="H10180" s="83">
        <f t="shared" ref="H10180:H10243" si="206">J10180-I10180</f>
        <v>0</v>
      </c>
    </row>
    <row r="10181" spans="8:8" hidden="1" x14ac:dyDescent="0.35">
      <c r="H10181" s="83">
        <f t="shared" si="206"/>
        <v>0</v>
      </c>
    </row>
    <row r="10182" spans="8:8" hidden="1" x14ac:dyDescent="0.35">
      <c r="H10182" s="83">
        <f t="shared" si="206"/>
        <v>0</v>
      </c>
    </row>
    <row r="10183" spans="8:8" hidden="1" x14ac:dyDescent="0.35">
      <c r="H10183" s="83">
        <f t="shared" si="206"/>
        <v>0</v>
      </c>
    </row>
    <row r="10184" spans="8:8" hidden="1" x14ac:dyDescent="0.35">
      <c r="H10184" s="83">
        <f t="shared" si="206"/>
        <v>0</v>
      </c>
    </row>
    <row r="10185" spans="8:8" hidden="1" x14ac:dyDescent="0.35">
      <c r="H10185" s="83">
        <f t="shared" si="206"/>
        <v>0</v>
      </c>
    </row>
    <row r="10186" spans="8:8" hidden="1" x14ac:dyDescent="0.35">
      <c r="H10186" s="83">
        <f t="shared" si="206"/>
        <v>0</v>
      </c>
    </row>
    <row r="10187" spans="8:8" hidden="1" x14ac:dyDescent="0.35">
      <c r="H10187" s="83">
        <f t="shared" si="206"/>
        <v>0</v>
      </c>
    </row>
    <row r="10188" spans="8:8" hidden="1" x14ac:dyDescent="0.35">
      <c r="H10188" s="83">
        <f t="shared" si="206"/>
        <v>0</v>
      </c>
    </row>
    <row r="10189" spans="8:8" hidden="1" x14ac:dyDescent="0.35">
      <c r="H10189" s="83">
        <f t="shared" si="206"/>
        <v>0</v>
      </c>
    </row>
    <row r="10190" spans="8:8" hidden="1" x14ac:dyDescent="0.35">
      <c r="H10190" s="83">
        <f t="shared" si="206"/>
        <v>0</v>
      </c>
    </row>
    <row r="10191" spans="8:8" hidden="1" x14ac:dyDescent="0.35">
      <c r="H10191" s="83">
        <f t="shared" si="206"/>
        <v>0</v>
      </c>
    </row>
    <row r="10192" spans="8:8" hidden="1" x14ac:dyDescent="0.35">
      <c r="H10192" s="83">
        <f t="shared" si="206"/>
        <v>0</v>
      </c>
    </row>
    <row r="10193" spans="8:8" hidden="1" x14ac:dyDescent="0.35">
      <c r="H10193" s="83">
        <f t="shared" si="206"/>
        <v>0</v>
      </c>
    </row>
    <row r="10194" spans="8:8" hidden="1" x14ac:dyDescent="0.35">
      <c r="H10194" s="83">
        <f t="shared" si="206"/>
        <v>0</v>
      </c>
    </row>
    <row r="10195" spans="8:8" hidden="1" x14ac:dyDescent="0.35">
      <c r="H10195" s="83">
        <f t="shared" si="206"/>
        <v>0</v>
      </c>
    </row>
    <row r="10196" spans="8:8" hidden="1" x14ac:dyDescent="0.35">
      <c r="H10196" s="83">
        <f t="shared" si="206"/>
        <v>0</v>
      </c>
    </row>
    <row r="10197" spans="8:8" hidden="1" x14ac:dyDescent="0.35">
      <c r="H10197" s="83">
        <f t="shared" si="206"/>
        <v>0</v>
      </c>
    </row>
    <row r="10198" spans="8:8" hidden="1" x14ac:dyDescent="0.35">
      <c r="H10198" s="83">
        <f t="shared" si="206"/>
        <v>0</v>
      </c>
    </row>
    <row r="10199" spans="8:8" hidden="1" x14ac:dyDescent="0.35">
      <c r="H10199" s="83">
        <f t="shared" si="206"/>
        <v>0</v>
      </c>
    </row>
    <row r="10200" spans="8:8" hidden="1" x14ac:dyDescent="0.35">
      <c r="H10200" s="83">
        <f t="shared" si="206"/>
        <v>0</v>
      </c>
    </row>
    <row r="10201" spans="8:8" hidden="1" x14ac:dyDescent="0.35">
      <c r="H10201" s="83">
        <f t="shared" si="206"/>
        <v>0</v>
      </c>
    </row>
    <row r="10202" spans="8:8" hidden="1" x14ac:dyDescent="0.35">
      <c r="H10202" s="83">
        <f t="shared" si="206"/>
        <v>0</v>
      </c>
    </row>
    <row r="10203" spans="8:8" hidden="1" x14ac:dyDescent="0.35">
      <c r="H10203" s="83">
        <f t="shared" si="206"/>
        <v>0</v>
      </c>
    </row>
    <row r="10204" spans="8:8" hidden="1" x14ac:dyDescent="0.35">
      <c r="H10204" s="83">
        <f t="shared" si="206"/>
        <v>0</v>
      </c>
    </row>
    <row r="10205" spans="8:8" hidden="1" x14ac:dyDescent="0.35">
      <c r="H10205" s="83">
        <f t="shared" si="206"/>
        <v>0</v>
      </c>
    </row>
    <row r="10206" spans="8:8" hidden="1" x14ac:dyDescent="0.35">
      <c r="H10206" s="83">
        <f t="shared" si="206"/>
        <v>0</v>
      </c>
    </row>
    <row r="10207" spans="8:8" hidden="1" x14ac:dyDescent="0.35">
      <c r="H10207" s="83">
        <f t="shared" si="206"/>
        <v>0</v>
      </c>
    </row>
    <row r="10208" spans="8:8" hidden="1" x14ac:dyDescent="0.35">
      <c r="H10208" s="83">
        <f t="shared" si="206"/>
        <v>0</v>
      </c>
    </row>
    <row r="10209" spans="8:8" hidden="1" x14ac:dyDescent="0.35">
      <c r="H10209" s="83">
        <f t="shared" si="206"/>
        <v>0</v>
      </c>
    </row>
    <row r="10210" spans="8:8" hidden="1" x14ac:dyDescent="0.35">
      <c r="H10210" s="83">
        <f t="shared" si="206"/>
        <v>0</v>
      </c>
    </row>
    <row r="10211" spans="8:8" hidden="1" x14ac:dyDescent="0.35">
      <c r="H10211" s="83">
        <f t="shared" si="206"/>
        <v>0</v>
      </c>
    </row>
    <row r="10212" spans="8:8" hidden="1" x14ac:dyDescent="0.35">
      <c r="H10212" s="83">
        <f t="shared" si="206"/>
        <v>0</v>
      </c>
    </row>
    <row r="10213" spans="8:8" hidden="1" x14ac:dyDescent="0.35">
      <c r="H10213" s="83">
        <f t="shared" si="206"/>
        <v>0</v>
      </c>
    </row>
    <row r="10214" spans="8:8" hidden="1" x14ac:dyDescent="0.35">
      <c r="H10214" s="83">
        <f t="shared" si="206"/>
        <v>0</v>
      </c>
    </row>
    <row r="10215" spans="8:8" hidden="1" x14ac:dyDescent="0.35">
      <c r="H10215" s="83">
        <f t="shared" si="206"/>
        <v>0</v>
      </c>
    </row>
    <row r="10216" spans="8:8" hidden="1" x14ac:dyDescent="0.35">
      <c r="H10216" s="83">
        <f t="shared" si="206"/>
        <v>0</v>
      </c>
    </row>
    <row r="10217" spans="8:8" hidden="1" x14ac:dyDescent="0.35">
      <c r="H10217" s="83">
        <f t="shared" si="206"/>
        <v>0</v>
      </c>
    </row>
    <row r="10218" spans="8:8" hidden="1" x14ac:dyDescent="0.35">
      <c r="H10218" s="83">
        <f t="shared" si="206"/>
        <v>0</v>
      </c>
    </row>
    <row r="10219" spans="8:8" hidden="1" x14ac:dyDescent="0.35">
      <c r="H10219" s="83">
        <f t="shared" si="206"/>
        <v>0</v>
      </c>
    </row>
    <row r="10220" spans="8:8" hidden="1" x14ac:dyDescent="0.35">
      <c r="H10220" s="83">
        <f t="shared" si="206"/>
        <v>0</v>
      </c>
    </row>
    <row r="10221" spans="8:8" hidden="1" x14ac:dyDescent="0.35">
      <c r="H10221" s="83">
        <f t="shared" si="206"/>
        <v>0</v>
      </c>
    </row>
    <row r="10222" spans="8:8" hidden="1" x14ac:dyDescent="0.35">
      <c r="H10222" s="83">
        <f t="shared" si="206"/>
        <v>0</v>
      </c>
    </row>
    <row r="10223" spans="8:8" hidden="1" x14ac:dyDescent="0.35">
      <c r="H10223" s="83">
        <f t="shared" si="206"/>
        <v>0</v>
      </c>
    </row>
    <row r="10224" spans="8:8" hidden="1" x14ac:dyDescent="0.35">
      <c r="H10224" s="83">
        <f t="shared" si="206"/>
        <v>0</v>
      </c>
    </row>
    <row r="10225" spans="8:8" hidden="1" x14ac:dyDescent="0.35">
      <c r="H10225" s="83">
        <f t="shared" si="206"/>
        <v>0</v>
      </c>
    </row>
    <row r="10226" spans="8:8" hidden="1" x14ac:dyDescent="0.35">
      <c r="H10226" s="83">
        <f t="shared" si="206"/>
        <v>0</v>
      </c>
    </row>
    <row r="10227" spans="8:8" hidden="1" x14ac:dyDescent="0.35">
      <c r="H10227" s="83">
        <f t="shared" si="206"/>
        <v>0</v>
      </c>
    </row>
    <row r="10228" spans="8:8" hidden="1" x14ac:dyDescent="0.35">
      <c r="H10228" s="83">
        <f t="shared" si="206"/>
        <v>0</v>
      </c>
    </row>
    <row r="10229" spans="8:8" hidden="1" x14ac:dyDescent="0.35">
      <c r="H10229" s="83">
        <f t="shared" si="206"/>
        <v>0</v>
      </c>
    </row>
    <row r="10230" spans="8:8" hidden="1" x14ac:dyDescent="0.35">
      <c r="H10230" s="83">
        <f t="shared" si="206"/>
        <v>0</v>
      </c>
    </row>
    <row r="10231" spans="8:8" hidden="1" x14ac:dyDescent="0.35">
      <c r="H10231" s="83">
        <f t="shared" si="206"/>
        <v>0</v>
      </c>
    </row>
    <row r="10232" spans="8:8" hidden="1" x14ac:dyDescent="0.35">
      <c r="H10232" s="83">
        <f t="shared" si="206"/>
        <v>0</v>
      </c>
    </row>
    <row r="10233" spans="8:8" hidden="1" x14ac:dyDescent="0.35">
      <c r="H10233" s="83">
        <f t="shared" si="206"/>
        <v>0</v>
      </c>
    </row>
    <row r="10234" spans="8:8" hidden="1" x14ac:dyDescent="0.35">
      <c r="H10234" s="83">
        <f t="shared" si="206"/>
        <v>0</v>
      </c>
    </row>
    <row r="10235" spans="8:8" hidden="1" x14ac:dyDescent="0.35">
      <c r="H10235" s="83">
        <f t="shared" si="206"/>
        <v>0</v>
      </c>
    </row>
    <row r="10236" spans="8:8" hidden="1" x14ac:dyDescent="0.35">
      <c r="H10236" s="83">
        <f t="shared" si="206"/>
        <v>0</v>
      </c>
    </row>
    <row r="10237" spans="8:8" hidden="1" x14ac:dyDescent="0.35">
      <c r="H10237" s="83">
        <f t="shared" si="206"/>
        <v>0</v>
      </c>
    </row>
    <row r="10238" spans="8:8" hidden="1" x14ac:dyDescent="0.35">
      <c r="H10238" s="83">
        <f t="shared" si="206"/>
        <v>0</v>
      </c>
    </row>
    <row r="10239" spans="8:8" hidden="1" x14ac:dyDescent="0.35">
      <c r="H10239" s="83">
        <f t="shared" si="206"/>
        <v>0</v>
      </c>
    </row>
    <row r="10240" spans="8:8" hidden="1" x14ac:dyDescent="0.35">
      <c r="H10240" s="83">
        <f t="shared" si="206"/>
        <v>0</v>
      </c>
    </row>
    <row r="10241" spans="8:8" hidden="1" x14ac:dyDescent="0.35">
      <c r="H10241" s="83">
        <f t="shared" si="206"/>
        <v>0</v>
      </c>
    </row>
    <row r="10242" spans="8:8" hidden="1" x14ac:dyDescent="0.35">
      <c r="H10242" s="83">
        <f t="shared" si="206"/>
        <v>0</v>
      </c>
    </row>
    <row r="10243" spans="8:8" hidden="1" x14ac:dyDescent="0.35">
      <c r="H10243" s="83">
        <f t="shared" si="206"/>
        <v>0</v>
      </c>
    </row>
    <row r="10244" spans="8:8" hidden="1" x14ac:dyDescent="0.35">
      <c r="H10244" s="83">
        <f t="shared" ref="H10244:H10307" si="207">J10244-I10244</f>
        <v>0</v>
      </c>
    </row>
    <row r="10245" spans="8:8" hidden="1" x14ac:dyDescent="0.35">
      <c r="H10245" s="83">
        <f t="shared" si="207"/>
        <v>0</v>
      </c>
    </row>
    <row r="10246" spans="8:8" hidden="1" x14ac:dyDescent="0.35">
      <c r="H10246" s="83">
        <f t="shared" si="207"/>
        <v>0</v>
      </c>
    </row>
    <row r="10247" spans="8:8" hidden="1" x14ac:dyDescent="0.35">
      <c r="H10247" s="83">
        <f t="shared" si="207"/>
        <v>0</v>
      </c>
    </row>
    <row r="10248" spans="8:8" hidden="1" x14ac:dyDescent="0.35">
      <c r="H10248" s="83">
        <f t="shared" si="207"/>
        <v>0</v>
      </c>
    </row>
    <row r="10249" spans="8:8" hidden="1" x14ac:dyDescent="0.35">
      <c r="H10249" s="83">
        <f t="shared" si="207"/>
        <v>0</v>
      </c>
    </row>
    <row r="10250" spans="8:8" hidden="1" x14ac:dyDescent="0.35">
      <c r="H10250" s="83">
        <f t="shared" si="207"/>
        <v>0</v>
      </c>
    </row>
    <row r="10251" spans="8:8" hidden="1" x14ac:dyDescent="0.35">
      <c r="H10251" s="83">
        <f t="shared" si="207"/>
        <v>0</v>
      </c>
    </row>
    <row r="10252" spans="8:8" hidden="1" x14ac:dyDescent="0.35">
      <c r="H10252" s="83">
        <f t="shared" si="207"/>
        <v>0</v>
      </c>
    </row>
    <row r="10253" spans="8:8" hidden="1" x14ac:dyDescent="0.35">
      <c r="H10253" s="83">
        <f t="shared" si="207"/>
        <v>0</v>
      </c>
    </row>
    <row r="10254" spans="8:8" hidden="1" x14ac:dyDescent="0.35">
      <c r="H10254" s="83">
        <f t="shared" si="207"/>
        <v>0</v>
      </c>
    </row>
    <row r="10255" spans="8:8" hidden="1" x14ac:dyDescent="0.35">
      <c r="H10255" s="83">
        <f t="shared" si="207"/>
        <v>0</v>
      </c>
    </row>
    <row r="10256" spans="8:8" hidden="1" x14ac:dyDescent="0.35">
      <c r="H10256" s="83">
        <f t="shared" si="207"/>
        <v>0</v>
      </c>
    </row>
    <row r="10257" spans="8:8" hidden="1" x14ac:dyDescent="0.35">
      <c r="H10257" s="83">
        <f t="shared" si="207"/>
        <v>0</v>
      </c>
    </row>
    <row r="10258" spans="8:8" hidden="1" x14ac:dyDescent="0.35">
      <c r="H10258" s="83">
        <f t="shared" si="207"/>
        <v>0</v>
      </c>
    </row>
    <row r="10259" spans="8:8" hidden="1" x14ac:dyDescent="0.35">
      <c r="H10259" s="83">
        <f t="shared" si="207"/>
        <v>0</v>
      </c>
    </row>
    <row r="10260" spans="8:8" hidden="1" x14ac:dyDescent="0.35">
      <c r="H10260" s="83">
        <f t="shared" si="207"/>
        <v>0</v>
      </c>
    </row>
    <row r="10261" spans="8:8" hidden="1" x14ac:dyDescent="0.35">
      <c r="H10261" s="83">
        <f t="shared" si="207"/>
        <v>0</v>
      </c>
    </row>
    <row r="10262" spans="8:8" hidden="1" x14ac:dyDescent="0.35">
      <c r="H10262" s="83">
        <f t="shared" si="207"/>
        <v>0</v>
      </c>
    </row>
    <row r="10263" spans="8:8" hidden="1" x14ac:dyDescent="0.35">
      <c r="H10263" s="83">
        <f t="shared" si="207"/>
        <v>0</v>
      </c>
    </row>
    <row r="10264" spans="8:8" hidden="1" x14ac:dyDescent="0.35">
      <c r="H10264" s="83">
        <f t="shared" si="207"/>
        <v>0</v>
      </c>
    </row>
    <row r="10265" spans="8:8" hidden="1" x14ac:dyDescent="0.35">
      <c r="H10265" s="83">
        <f t="shared" si="207"/>
        <v>0</v>
      </c>
    </row>
    <row r="10266" spans="8:8" hidden="1" x14ac:dyDescent="0.35">
      <c r="H10266" s="83">
        <f t="shared" si="207"/>
        <v>0</v>
      </c>
    </row>
    <row r="10267" spans="8:8" hidden="1" x14ac:dyDescent="0.35">
      <c r="H10267" s="83">
        <f t="shared" si="207"/>
        <v>0</v>
      </c>
    </row>
    <row r="10268" spans="8:8" hidden="1" x14ac:dyDescent="0.35">
      <c r="H10268" s="83">
        <f t="shared" si="207"/>
        <v>0</v>
      </c>
    </row>
    <row r="10269" spans="8:8" hidden="1" x14ac:dyDescent="0.35">
      <c r="H10269" s="83">
        <f t="shared" si="207"/>
        <v>0</v>
      </c>
    </row>
    <row r="10270" spans="8:8" hidden="1" x14ac:dyDescent="0.35">
      <c r="H10270" s="83">
        <f t="shared" si="207"/>
        <v>0</v>
      </c>
    </row>
    <row r="10271" spans="8:8" hidden="1" x14ac:dyDescent="0.35">
      <c r="H10271" s="83">
        <f t="shared" si="207"/>
        <v>0</v>
      </c>
    </row>
    <row r="10272" spans="8:8" hidden="1" x14ac:dyDescent="0.35">
      <c r="H10272" s="83">
        <f t="shared" si="207"/>
        <v>0</v>
      </c>
    </row>
    <row r="10273" spans="8:8" hidden="1" x14ac:dyDescent="0.35">
      <c r="H10273" s="83">
        <f t="shared" si="207"/>
        <v>0</v>
      </c>
    </row>
    <row r="10274" spans="8:8" hidden="1" x14ac:dyDescent="0.35">
      <c r="H10274" s="83">
        <f t="shared" si="207"/>
        <v>0</v>
      </c>
    </row>
    <row r="10275" spans="8:8" hidden="1" x14ac:dyDescent="0.35">
      <c r="H10275" s="83">
        <f t="shared" si="207"/>
        <v>0</v>
      </c>
    </row>
    <row r="10276" spans="8:8" hidden="1" x14ac:dyDescent="0.35">
      <c r="H10276" s="83">
        <f t="shared" si="207"/>
        <v>0</v>
      </c>
    </row>
    <row r="10277" spans="8:8" hidden="1" x14ac:dyDescent="0.35">
      <c r="H10277" s="83">
        <f t="shared" si="207"/>
        <v>0</v>
      </c>
    </row>
    <row r="10278" spans="8:8" hidden="1" x14ac:dyDescent="0.35">
      <c r="H10278" s="83">
        <f t="shared" si="207"/>
        <v>0</v>
      </c>
    </row>
    <row r="10279" spans="8:8" hidden="1" x14ac:dyDescent="0.35">
      <c r="H10279" s="83">
        <f t="shared" si="207"/>
        <v>0</v>
      </c>
    </row>
    <row r="10280" spans="8:8" hidden="1" x14ac:dyDescent="0.35">
      <c r="H10280" s="83">
        <f t="shared" si="207"/>
        <v>0</v>
      </c>
    </row>
    <row r="10281" spans="8:8" hidden="1" x14ac:dyDescent="0.35">
      <c r="H10281" s="83">
        <f t="shared" si="207"/>
        <v>0</v>
      </c>
    </row>
    <row r="10282" spans="8:8" hidden="1" x14ac:dyDescent="0.35">
      <c r="H10282" s="83">
        <f t="shared" si="207"/>
        <v>0</v>
      </c>
    </row>
    <row r="10283" spans="8:8" hidden="1" x14ac:dyDescent="0.35">
      <c r="H10283" s="83">
        <f t="shared" si="207"/>
        <v>0</v>
      </c>
    </row>
    <row r="10284" spans="8:8" hidden="1" x14ac:dyDescent="0.35">
      <c r="H10284" s="83">
        <f t="shared" si="207"/>
        <v>0</v>
      </c>
    </row>
    <row r="10285" spans="8:8" hidden="1" x14ac:dyDescent="0.35">
      <c r="H10285" s="83">
        <f t="shared" si="207"/>
        <v>0</v>
      </c>
    </row>
    <row r="10286" spans="8:8" hidden="1" x14ac:dyDescent="0.35">
      <c r="H10286" s="83">
        <f t="shared" si="207"/>
        <v>0</v>
      </c>
    </row>
    <row r="10287" spans="8:8" hidden="1" x14ac:dyDescent="0.35">
      <c r="H10287" s="83">
        <f t="shared" si="207"/>
        <v>0</v>
      </c>
    </row>
    <row r="10288" spans="8:8" hidden="1" x14ac:dyDescent="0.35">
      <c r="H10288" s="83">
        <f t="shared" si="207"/>
        <v>0</v>
      </c>
    </row>
    <row r="10289" spans="8:8" hidden="1" x14ac:dyDescent="0.35">
      <c r="H10289" s="83">
        <f t="shared" si="207"/>
        <v>0</v>
      </c>
    </row>
    <row r="10290" spans="8:8" hidden="1" x14ac:dyDescent="0.35">
      <c r="H10290" s="83">
        <f t="shared" si="207"/>
        <v>0</v>
      </c>
    </row>
    <row r="10291" spans="8:8" hidden="1" x14ac:dyDescent="0.35">
      <c r="H10291" s="83">
        <f t="shared" si="207"/>
        <v>0</v>
      </c>
    </row>
    <row r="10292" spans="8:8" hidden="1" x14ac:dyDescent="0.35">
      <c r="H10292" s="83">
        <f t="shared" si="207"/>
        <v>0</v>
      </c>
    </row>
    <row r="10293" spans="8:8" hidden="1" x14ac:dyDescent="0.35">
      <c r="H10293" s="83">
        <f t="shared" si="207"/>
        <v>0</v>
      </c>
    </row>
    <row r="10294" spans="8:8" hidden="1" x14ac:dyDescent="0.35">
      <c r="H10294" s="83">
        <f t="shared" si="207"/>
        <v>0</v>
      </c>
    </row>
    <row r="10295" spans="8:8" hidden="1" x14ac:dyDescent="0.35">
      <c r="H10295" s="83">
        <f t="shared" si="207"/>
        <v>0</v>
      </c>
    </row>
    <row r="10296" spans="8:8" hidden="1" x14ac:dyDescent="0.35">
      <c r="H10296" s="83">
        <f t="shared" si="207"/>
        <v>0</v>
      </c>
    </row>
    <row r="10297" spans="8:8" hidden="1" x14ac:dyDescent="0.35">
      <c r="H10297" s="83">
        <f t="shared" si="207"/>
        <v>0</v>
      </c>
    </row>
    <row r="10298" spans="8:8" hidden="1" x14ac:dyDescent="0.35">
      <c r="H10298" s="83">
        <f t="shared" si="207"/>
        <v>0</v>
      </c>
    </row>
    <row r="10299" spans="8:8" hidden="1" x14ac:dyDescent="0.35">
      <c r="H10299" s="83">
        <f t="shared" si="207"/>
        <v>0</v>
      </c>
    </row>
    <row r="10300" spans="8:8" hidden="1" x14ac:dyDescent="0.35">
      <c r="H10300" s="83">
        <f t="shared" si="207"/>
        <v>0</v>
      </c>
    </row>
    <row r="10301" spans="8:8" hidden="1" x14ac:dyDescent="0.35">
      <c r="H10301" s="83">
        <f t="shared" si="207"/>
        <v>0</v>
      </c>
    </row>
    <row r="10302" spans="8:8" hidden="1" x14ac:dyDescent="0.35">
      <c r="H10302" s="83">
        <f t="shared" si="207"/>
        <v>0</v>
      </c>
    </row>
    <row r="10303" spans="8:8" hidden="1" x14ac:dyDescent="0.35">
      <c r="H10303" s="83">
        <f t="shared" si="207"/>
        <v>0</v>
      </c>
    </row>
    <row r="10304" spans="8:8" hidden="1" x14ac:dyDescent="0.35">
      <c r="H10304" s="83">
        <f t="shared" si="207"/>
        <v>0</v>
      </c>
    </row>
    <row r="10305" spans="8:8" hidden="1" x14ac:dyDescent="0.35">
      <c r="H10305" s="83">
        <f t="shared" si="207"/>
        <v>0</v>
      </c>
    </row>
    <row r="10306" spans="8:8" hidden="1" x14ac:dyDescent="0.35">
      <c r="H10306" s="83">
        <f t="shared" si="207"/>
        <v>0</v>
      </c>
    </row>
    <row r="10307" spans="8:8" hidden="1" x14ac:dyDescent="0.35">
      <c r="H10307" s="83">
        <f t="shared" si="207"/>
        <v>0</v>
      </c>
    </row>
    <row r="10308" spans="8:8" hidden="1" x14ac:dyDescent="0.35">
      <c r="H10308" s="83">
        <f t="shared" ref="H10308:H10371" si="208">J10308-I10308</f>
        <v>0</v>
      </c>
    </row>
    <row r="10309" spans="8:8" hidden="1" x14ac:dyDescent="0.35">
      <c r="H10309" s="83">
        <f t="shared" si="208"/>
        <v>0</v>
      </c>
    </row>
    <row r="10310" spans="8:8" hidden="1" x14ac:dyDescent="0.35">
      <c r="H10310" s="83">
        <f t="shared" si="208"/>
        <v>0</v>
      </c>
    </row>
    <row r="10311" spans="8:8" hidden="1" x14ac:dyDescent="0.35">
      <c r="H10311" s="83">
        <f t="shared" si="208"/>
        <v>0</v>
      </c>
    </row>
    <row r="10312" spans="8:8" hidden="1" x14ac:dyDescent="0.35">
      <c r="H10312" s="83">
        <f t="shared" si="208"/>
        <v>0</v>
      </c>
    </row>
    <row r="10313" spans="8:8" hidden="1" x14ac:dyDescent="0.35">
      <c r="H10313" s="83">
        <f t="shared" si="208"/>
        <v>0</v>
      </c>
    </row>
    <row r="10314" spans="8:8" hidden="1" x14ac:dyDescent="0.35">
      <c r="H10314" s="83">
        <f t="shared" si="208"/>
        <v>0</v>
      </c>
    </row>
    <row r="10315" spans="8:8" hidden="1" x14ac:dyDescent="0.35">
      <c r="H10315" s="83">
        <f t="shared" si="208"/>
        <v>0</v>
      </c>
    </row>
    <row r="10316" spans="8:8" hidden="1" x14ac:dyDescent="0.35">
      <c r="H10316" s="83">
        <f t="shared" si="208"/>
        <v>0</v>
      </c>
    </row>
    <row r="10317" spans="8:8" hidden="1" x14ac:dyDescent="0.35">
      <c r="H10317" s="83">
        <f t="shared" si="208"/>
        <v>0</v>
      </c>
    </row>
    <row r="10318" spans="8:8" hidden="1" x14ac:dyDescent="0.35">
      <c r="H10318" s="83">
        <f t="shared" si="208"/>
        <v>0</v>
      </c>
    </row>
    <row r="10319" spans="8:8" hidden="1" x14ac:dyDescent="0.35">
      <c r="H10319" s="83">
        <f t="shared" si="208"/>
        <v>0</v>
      </c>
    </row>
    <row r="10320" spans="8:8" hidden="1" x14ac:dyDescent="0.35">
      <c r="H10320" s="83">
        <f t="shared" si="208"/>
        <v>0</v>
      </c>
    </row>
    <row r="10321" spans="8:8" hidden="1" x14ac:dyDescent="0.35">
      <c r="H10321" s="83">
        <f t="shared" si="208"/>
        <v>0</v>
      </c>
    </row>
    <row r="10322" spans="8:8" hidden="1" x14ac:dyDescent="0.35">
      <c r="H10322" s="83">
        <f t="shared" si="208"/>
        <v>0</v>
      </c>
    </row>
    <row r="10323" spans="8:8" hidden="1" x14ac:dyDescent="0.35">
      <c r="H10323" s="83">
        <f t="shared" si="208"/>
        <v>0</v>
      </c>
    </row>
    <row r="10324" spans="8:8" hidden="1" x14ac:dyDescent="0.35">
      <c r="H10324" s="83">
        <f t="shared" si="208"/>
        <v>0</v>
      </c>
    </row>
    <row r="10325" spans="8:8" hidden="1" x14ac:dyDescent="0.35">
      <c r="H10325" s="83">
        <f t="shared" si="208"/>
        <v>0</v>
      </c>
    </row>
    <row r="10326" spans="8:8" hidden="1" x14ac:dyDescent="0.35">
      <c r="H10326" s="83">
        <f t="shared" si="208"/>
        <v>0</v>
      </c>
    </row>
    <row r="10327" spans="8:8" hidden="1" x14ac:dyDescent="0.35">
      <c r="H10327" s="83">
        <f t="shared" si="208"/>
        <v>0</v>
      </c>
    </row>
    <row r="10328" spans="8:8" hidden="1" x14ac:dyDescent="0.35">
      <c r="H10328" s="83">
        <f t="shared" si="208"/>
        <v>0</v>
      </c>
    </row>
    <row r="10329" spans="8:8" hidden="1" x14ac:dyDescent="0.35">
      <c r="H10329" s="83">
        <f t="shared" si="208"/>
        <v>0</v>
      </c>
    </row>
    <row r="10330" spans="8:8" hidden="1" x14ac:dyDescent="0.35">
      <c r="H10330" s="83">
        <f t="shared" si="208"/>
        <v>0</v>
      </c>
    </row>
    <row r="10331" spans="8:8" hidden="1" x14ac:dyDescent="0.35">
      <c r="H10331" s="83">
        <f t="shared" si="208"/>
        <v>0</v>
      </c>
    </row>
    <row r="10332" spans="8:8" hidden="1" x14ac:dyDescent="0.35">
      <c r="H10332" s="83">
        <f t="shared" si="208"/>
        <v>0</v>
      </c>
    </row>
    <row r="10333" spans="8:8" hidden="1" x14ac:dyDescent="0.35">
      <c r="H10333" s="83">
        <f t="shared" si="208"/>
        <v>0</v>
      </c>
    </row>
    <row r="10334" spans="8:8" hidden="1" x14ac:dyDescent="0.35">
      <c r="H10334" s="83">
        <f t="shared" si="208"/>
        <v>0</v>
      </c>
    </row>
    <row r="10335" spans="8:8" hidden="1" x14ac:dyDescent="0.35">
      <c r="H10335" s="83">
        <f t="shared" si="208"/>
        <v>0</v>
      </c>
    </row>
    <row r="10336" spans="8:8" hidden="1" x14ac:dyDescent="0.35">
      <c r="H10336" s="83">
        <f t="shared" si="208"/>
        <v>0</v>
      </c>
    </row>
    <row r="10337" spans="8:8" hidden="1" x14ac:dyDescent="0.35">
      <c r="H10337" s="83">
        <f t="shared" si="208"/>
        <v>0</v>
      </c>
    </row>
    <row r="10338" spans="8:8" hidden="1" x14ac:dyDescent="0.35">
      <c r="H10338" s="83">
        <f t="shared" si="208"/>
        <v>0</v>
      </c>
    </row>
    <row r="10339" spans="8:8" hidden="1" x14ac:dyDescent="0.35">
      <c r="H10339" s="83">
        <f t="shared" si="208"/>
        <v>0</v>
      </c>
    </row>
    <row r="10340" spans="8:8" hidden="1" x14ac:dyDescent="0.35">
      <c r="H10340" s="83">
        <f t="shared" si="208"/>
        <v>0</v>
      </c>
    </row>
    <row r="10341" spans="8:8" hidden="1" x14ac:dyDescent="0.35">
      <c r="H10341" s="83">
        <f t="shared" si="208"/>
        <v>0</v>
      </c>
    </row>
    <row r="10342" spans="8:8" hidden="1" x14ac:dyDescent="0.35">
      <c r="H10342" s="83">
        <f t="shared" si="208"/>
        <v>0</v>
      </c>
    </row>
    <row r="10343" spans="8:8" hidden="1" x14ac:dyDescent="0.35">
      <c r="H10343" s="83">
        <f t="shared" si="208"/>
        <v>0</v>
      </c>
    </row>
    <row r="10344" spans="8:8" hidden="1" x14ac:dyDescent="0.35">
      <c r="H10344" s="83">
        <f t="shared" si="208"/>
        <v>0</v>
      </c>
    </row>
    <row r="10345" spans="8:8" hidden="1" x14ac:dyDescent="0.35">
      <c r="H10345" s="83">
        <f t="shared" si="208"/>
        <v>0</v>
      </c>
    </row>
    <row r="10346" spans="8:8" hidden="1" x14ac:dyDescent="0.35">
      <c r="H10346" s="83">
        <f t="shared" si="208"/>
        <v>0</v>
      </c>
    </row>
    <row r="10347" spans="8:8" hidden="1" x14ac:dyDescent="0.35">
      <c r="H10347" s="83">
        <f t="shared" si="208"/>
        <v>0</v>
      </c>
    </row>
    <row r="10348" spans="8:8" hidden="1" x14ac:dyDescent="0.35">
      <c r="H10348" s="83">
        <f t="shared" si="208"/>
        <v>0</v>
      </c>
    </row>
    <row r="10349" spans="8:8" hidden="1" x14ac:dyDescent="0.35">
      <c r="H10349" s="83">
        <f t="shared" si="208"/>
        <v>0</v>
      </c>
    </row>
    <row r="10350" spans="8:8" hidden="1" x14ac:dyDescent="0.35">
      <c r="H10350" s="83">
        <f t="shared" si="208"/>
        <v>0</v>
      </c>
    </row>
    <row r="10351" spans="8:8" hidden="1" x14ac:dyDescent="0.35">
      <c r="H10351" s="83">
        <f t="shared" si="208"/>
        <v>0</v>
      </c>
    </row>
    <row r="10352" spans="8:8" hidden="1" x14ac:dyDescent="0.35">
      <c r="H10352" s="83">
        <f t="shared" si="208"/>
        <v>0</v>
      </c>
    </row>
    <row r="10353" spans="8:8" hidden="1" x14ac:dyDescent="0.35">
      <c r="H10353" s="83">
        <f t="shared" si="208"/>
        <v>0</v>
      </c>
    </row>
    <row r="10354" spans="8:8" hidden="1" x14ac:dyDescent="0.35">
      <c r="H10354" s="83">
        <f t="shared" si="208"/>
        <v>0</v>
      </c>
    </row>
    <row r="10355" spans="8:8" hidden="1" x14ac:dyDescent="0.35">
      <c r="H10355" s="83">
        <f t="shared" si="208"/>
        <v>0</v>
      </c>
    </row>
    <row r="10356" spans="8:8" hidden="1" x14ac:dyDescent="0.35">
      <c r="H10356" s="83">
        <f t="shared" si="208"/>
        <v>0</v>
      </c>
    </row>
    <row r="10357" spans="8:8" hidden="1" x14ac:dyDescent="0.35">
      <c r="H10357" s="83">
        <f t="shared" si="208"/>
        <v>0</v>
      </c>
    </row>
    <row r="10358" spans="8:8" hidden="1" x14ac:dyDescent="0.35">
      <c r="H10358" s="83">
        <f t="shared" si="208"/>
        <v>0</v>
      </c>
    </row>
    <row r="10359" spans="8:8" hidden="1" x14ac:dyDescent="0.35">
      <c r="H10359" s="83">
        <f t="shared" si="208"/>
        <v>0</v>
      </c>
    </row>
    <row r="10360" spans="8:8" hidden="1" x14ac:dyDescent="0.35">
      <c r="H10360" s="83">
        <f t="shared" si="208"/>
        <v>0</v>
      </c>
    </row>
    <row r="10361" spans="8:8" hidden="1" x14ac:dyDescent="0.35">
      <c r="H10361" s="83">
        <f t="shared" si="208"/>
        <v>0</v>
      </c>
    </row>
    <row r="10362" spans="8:8" hidden="1" x14ac:dyDescent="0.35">
      <c r="H10362" s="83">
        <f t="shared" si="208"/>
        <v>0</v>
      </c>
    </row>
    <row r="10363" spans="8:8" hidden="1" x14ac:dyDescent="0.35">
      <c r="H10363" s="83">
        <f t="shared" si="208"/>
        <v>0</v>
      </c>
    </row>
    <row r="10364" spans="8:8" hidden="1" x14ac:dyDescent="0.35">
      <c r="H10364" s="83">
        <f t="shared" si="208"/>
        <v>0</v>
      </c>
    </row>
    <row r="10365" spans="8:8" hidden="1" x14ac:dyDescent="0.35">
      <c r="H10365" s="83">
        <f t="shared" si="208"/>
        <v>0</v>
      </c>
    </row>
    <row r="10366" spans="8:8" hidden="1" x14ac:dyDescent="0.35">
      <c r="H10366" s="83">
        <f t="shared" si="208"/>
        <v>0</v>
      </c>
    </row>
    <row r="10367" spans="8:8" hidden="1" x14ac:dyDescent="0.35">
      <c r="H10367" s="83">
        <f t="shared" si="208"/>
        <v>0</v>
      </c>
    </row>
    <row r="10368" spans="8:8" hidden="1" x14ac:dyDescent="0.35">
      <c r="H10368" s="83">
        <f t="shared" si="208"/>
        <v>0</v>
      </c>
    </row>
    <row r="10369" spans="8:8" hidden="1" x14ac:dyDescent="0.35">
      <c r="H10369" s="83">
        <f t="shared" si="208"/>
        <v>0</v>
      </c>
    </row>
    <row r="10370" spans="8:8" hidden="1" x14ac:dyDescent="0.35">
      <c r="H10370" s="83">
        <f t="shared" si="208"/>
        <v>0</v>
      </c>
    </row>
    <row r="10371" spans="8:8" hidden="1" x14ac:dyDescent="0.35">
      <c r="H10371" s="83">
        <f t="shared" si="208"/>
        <v>0</v>
      </c>
    </row>
    <row r="10372" spans="8:8" hidden="1" x14ac:dyDescent="0.35">
      <c r="H10372" s="83">
        <f t="shared" ref="H10372:H10435" si="209">J10372-I10372</f>
        <v>0</v>
      </c>
    </row>
    <row r="10373" spans="8:8" hidden="1" x14ac:dyDescent="0.35">
      <c r="H10373" s="83">
        <f t="shared" si="209"/>
        <v>0</v>
      </c>
    </row>
    <row r="10374" spans="8:8" hidden="1" x14ac:dyDescent="0.35">
      <c r="H10374" s="83">
        <f t="shared" si="209"/>
        <v>0</v>
      </c>
    </row>
    <row r="10375" spans="8:8" hidden="1" x14ac:dyDescent="0.35">
      <c r="H10375" s="83">
        <f t="shared" si="209"/>
        <v>0</v>
      </c>
    </row>
    <row r="10376" spans="8:8" hidden="1" x14ac:dyDescent="0.35">
      <c r="H10376" s="83">
        <f t="shared" si="209"/>
        <v>0</v>
      </c>
    </row>
    <row r="10377" spans="8:8" hidden="1" x14ac:dyDescent="0.35">
      <c r="H10377" s="83">
        <f t="shared" si="209"/>
        <v>0</v>
      </c>
    </row>
    <row r="10378" spans="8:8" hidden="1" x14ac:dyDescent="0.35">
      <c r="H10378" s="83">
        <f t="shared" si="209"/>
        <v>0</v>
      </c>
    </row>
    <row r="10379" spans="8:8" hidden="1" x14ac:dyDescent="0.35">
      <c r="H10379" s="83">
        <f t="shared" si="209"/>
        <v>0</v>
      </c>
    </row>
    <row r="10380" spans="8:8" hidden="1" x14ac:dyDescent="0.35">
      <c r="H10380" s="83">
        <f t="shared" si="209"/>
        <v>0</v>
      </c>
    </row>
    <row r="10381" spans="8:8" hidden="1" x14ac:dyDescent="0.35">
      <c r="H10381" s="83">
        <f t="shared" si="209"/>
        <v>0</v>
      </c>
    </row>
    <row r="10382" spans="8:8" hidden="1" x14ac:dyDescent="0.35">
      <c r="H10382" s="83">
        <f t="shared" si="209"/>
        <v>0</v>
      </c>
    </row>
    <row r="10383" spans="8:8" hidden="1" x14ac:dyDescent="0.35">
      <c r="H10383" s="83">
        <f t="shared" si="209"/>
        <v>0</v>
      </c>
    </row>
    <row r="10384" spans="8:8" hidden="1" x14ac:dyDescent="0.35">
      <c r="H10384" s="83">
        <f t="shared" si="209"/>
        <v>0</v>
      </c>
    </row>
    <row r="10385" spans="8:8" hidden="1" x14ac:dyDescent="0.35">
      <c r="H10385" s="83">
        <f t="shared" si="209"/>
        <v>0</v>
      </c>
    </row>
    <row r="10386" spans="8:8" hidden="1" x14ac:dyDescent="0.35">
      <c r="H10386" s="83">
        <f t="shared" si="209"/>
        <v>0</v>
      </c>
    </row>
    <row r="10387" spans="8:8" hidden="1" x14ac:dyDescent="0.35">
      <c r="H10387" s="83">
        <f t="shared" si="209"/>
        <v>0</v>
      </c>
    </row>
    <row r="10388" spans="8:8" hidden="1" x14ac:dyDescent="0.35">
      <c r="H10388" s="83">
        <f t="shared" si="209"/>
        <v>0</v>
      </c>
    </row>
    <row r="10389" spans="8:8" hidden="1" x14ac:dyDescent="0.35">
      <c r="H10389" s="83">
        <f t="shared" si="209"/>
        <v>0</v>
      </c>
    </row>
    <row r="10390" spans="8:8" hidden="1" x14ac:dyDescent="0.35">
      <c r="H10390" s="83">
        <f t="shared" si="209"/>
        <v>0</v>
      </c>
    </row>
    <row r="10391" spans="8:8" hidden="1" x14ac:dyDescent="0.35">
      <c r="H10391" s="83">
        <f t="shared" si="209"/>
        <v>0</v>
      </c>
    </row>
    <row r="10392" spans="8:8" hidden="1" x14ac:dyDescent="0.35">
      <c r="H10392" s="83">
        <f t="shared" si="209"/>
        <v>0</v>
      </c>
    </row>
    <row r="10393" spans="8:8" hidden="1" x14ac:dyDescent="0.35">
      <c r="H10393" s="83">
        <f t="shared" si="209"/>
        <v>0</v>
      </c>
    </row>
    <row r="10394" spans="8:8" hidden="1" x14ac:dyDescent="0.35">
      <c r="H10394" s="83">
        <f t="shared" si="209"/>
        <v>0</v>
      </c>
    </row>
    <row r="10395" spans="8:8" hidden="1" x14ac:dyDescent="0.35">
      <c r="H10395" s="83">
        <f t="shared" si="209"/>
        <v>0</v>
      </c>
    </row>
    <row r="10396" spans="8:8" hidden="1" x14ac:dyDescent="0.35">
      <c r="H10396" s="83">
        <f t="shared" si="209"/>
        <v>0</v>
      </c>
    </row>
    <row r="10397" spans="8:8" hidden="1" x14ac:dyDescent="0.35">
      <c r="H10397" s="83">
        <f t="shared" si="209"/>
        <v>0</v>
      </c>
    </row>
    <row r="10398" spans="8:8" hidden="1" x14ac:dyDescent="0.35">
      <c r="H10398" s="83">
        <f t="shared" si="209"/>
        <v>0</v>
      </c>
    </row>
    <row r="10399" spans="8:8" hidden="1" x14ac:dyDescent="0.35">
      <c r="H10399" s="83">
        <f t="shared" si="209"/>
        <v>0</v>
      </c>
    </row>
    <row r="10400" spans="8:8" hidden="1" x14ac:dyDescent="0.35">
      <c r="H10400" s="83">
        <f t="shared" si="209"/>
        <v>0</v>
      </c>
    </row>
    <row r="10401" spans="8:8" hidden="1" x14ac:dyDescent="0.35">
      <c r="H10401" s="83">
        <f t="shared" si="209"/>
        <v>0</v>
      </c>
    </row>
    <row r="10402" spans="8:8" hidden="1" x14ac:dyDescent="0.35">
      <c r="H10402" s="83">
        <f t="shared" si="209"/>
        <v>0</v>
      </c>
    </row>
    <row r="10403" spans="8:8" hidden="1" x14ac:dyDescent="0.35">
      <c r="H10403" s="83">
        <f t="shared" si="209"/>
        <v>0</v>
      </c>
    </row>
    <row r="10404" spans="8:8" hidden="1" x14ac:dyDescent="0.35">
      <c r="H10404" s="83">
        <f t="shared" si="209"/>
        <v>0</v>
      </c>
    </row>
    <row r="10405" spans="8:8" hidden="1" x14ac:dyDescent="0.35">
      <c r="H10405" s="83">
        <f t="shared" si="209"/>
        <v>0</v>
      </c>
    </row>
    <row r="10406" spans="8:8" hidden="1" x14ac:dyDescent="0.35">
      <c r="H10406" s="83">
        <f t="shared" si="209"/>
        <v>0</v>
      </c>
    </row>
    <row r="10407" spans="8:8" hidden="1" x14ac:dyDescent="0.35">
      <c r="H10407" s="83">
        <f t="shared" si="209"/>
        <v>0</v>
      </c>
    </row>
    <row r="10408" spans="8:8" hidden="1" x14ac:dyDescent="0.35">
      <c r="H10408" s="83">
        <f t="shared" si="209"/>
        <v>0</v>
      </c>
    </row>
    <row r="10409" spans="8:8" hidden="1" x14ac:dyDescent="0.35">
      <c r="H10409" s="83">
        <f t="shared" si="209"/>
        <v>0</v>
      </c>
    </row>
    <row r="10410" spans="8:8" hidden="1" x14ac:dyDescent="0.35">
      <c r="H10410" s="83">
        <f t="shared" si="209"/>
        <v>0</v>
      </c>
    </row>
    <row r="10411" spans="8:8" hidden="1" x14ac:dyDescent="0.35">
      <c r="H10411" s="83">
        <f t="shared" si="209"/>
        <v>0</v>
      </c>
    </row>
    <row r="10412" spans="8:8" hidden="1" x14ac:dyDescent="0.35">
      <c r="H10412" s="83">
        <f t="shared" si="209"/>
        <v>0</v>
      </c>
    </row>
    <row r="10413" spans="8:8" hidden="1" x14ac:dyDescent="0.35">
      <c r="H10413" s="83">
        <f t="shared" si="209"/>
        <v>0</v>
      </c>
    </row>
    <row r="10414" spans="8:8" hidden="1" x14ac:dyDescent="0.35">
      <c r="H10414" s="83">
        <f t="shared" si="209"/>
        <v>0</v>
      </c>
    </row>
    <row r="10415" spans="8:8" hidden="1" x14ac:dyDescent="0.35">
      <c r="H10415" s="83">
        <f t="shared" si="209"/>
        <v>0</v>
      </c>
    </row>
    <row r="10416" spans="8:8" hidden="1" x14ac:dyDescent="0.35">
      <c r="H10416" s="83">
        <f t="shared" si="209"/>
        <v>0</v>
      </c>
    </row>
    <row r="10417" spans="8:8" hidden="1" x14ac:dyDescent="0.35">
      <c r="H10417" s="83">
        <f t="shared" si="209"/>
        <v>0</v>
      </c>
    </row>
    <row r="10418" spans="8:8" hidden="1" x14ac:dyDescent="0.35">
      <c r="H10418" s="83">
        <f t="shared" si="209"/>
        <v>0</v>
      </c>
    </row>
    <row r="10419" spans="8:8" hidden="1" x14ac:dyDescent="0.35">
      <c r="H10419" s="83">
        <f t="shared" si="209"/>
        <v>0</v>
      </c>
    </row>
    <row r="10420" spans="8:8" hidden="1" x14ac:dyDescent="0.35">
      <c r="H10420" s="83">
        <f t="shared" si="209"/>
        <v>0</v>
      </c>
    </row>
    <row r="10421" spans="8:8" hidden="1" x14ac:dyDescent="0.35">
      <c r="H10421" s="83">
        <f t="shared" si="209"/>
        <v>0</v>
      </c>
    </row>
    <row r="10422" spans="8:8" hidden="1" x14ac:dyDescent="0.35">
      <c r="H10422" s="83">
        <f t="shared" si="209"/>
        <v>0</v>
      </c>
    </row>
    <row r="10423" spans="8:8" hidden="1" x14ac:dyDescent="0.35">
      <c r="H10423" s="83">
        <f t="shared" si="209"/>
        <v>0</v>
      </c>
    </row>
    <row r="10424" spans="8:8" hidden="1" x14ac:dyDescent="0.35">
      <c r="H10424" s="83">
        <f t="shared" si="209"/>
        <v>0</v>
      </c>
    </row>
    <row r="10425" spans="8:8" hidden="1" x14ac:dyDescent="0.35">
      <c r="H10425" s="83">
        <f t="shared" si="209"/>
        <v>0</v>
      </c>
    </row>
    <row r="10426" spans="8:8" hidden="1" x14ac:dyDescent="0.35">
      <c r="H10426" s="83">
        <f t="shared" si="209"/>
        <v>0</v>
      </c>
    </row>
    <row r="10427" spans="8:8" hidden="1" x14ac:dyDescent="0.35">
      <c r="H10427" s="83">
        <f t="shared" si="209"/>
        <v>0</v>
      </c>
    </row>
    <row r="10428" spans="8:8" hidden="1" x14ac:dyDescent="0.35">
      <c r="H10428" s="83">
        <f t="shared" si="209"/>
        <v>0</v>
      </c>
    </row>
    <row r="10429" spans="8:8" hidden="1" x14ac:dyDescent="0.35">
      <c r="H10429" s="83">
        <f t="shared" si="209"/>
        <v>0</v>
      </c>
    </row>
    <row r="10430" spans="8:8" hidden="1" x14ac:dyDescent="0.35">
      <c r="H10430" s="83">
        <f t="shared" si="209"/>
        <v>0</v>
      </c>
    </row>
    <row r="10431" spans="8:8" hidden="1" x14ac:dyDescent="0.35">
      <c r="H10431" s="83">
        <f t="shared" si="209"/>
        <v>0</v>
      </c>
    </row>
    <row r="10432" spans="8:8" hidden="1" x14ac:dyDescent="0.35">
      <c r="H10432" s="83">
        <f t="shared" si="209"/>
        <v>0</v>
      </c>
    </row>
    <row r="10433" spans="8:8" hidden="1" x14ac:dyDescent="0.35">
      <c r="H10433" s="83">
        <f t="shared" si="209"/>
        <v>0</v>
      </c>
    </row>
    <row r="10434" spans="8:8" hidden="1" x14ac:dyDescent="0.35">
      <c r="H10434" s="83">
        <f t="shared" si="209"/>
        <v>0</v>
      </c>
    </row>
    <row r="10435" spans="8:8" hidden="1" x14ac:dyDescent="0.35">
      <c r="H10435" s="83">
        <f t="shared" si="209"/>
        <v>0</v>
      </c>
    </row>
    <row r="10436" spans="8:8" hidden="1" x14ac:dyDescent="0.35">
      <c r="H10436" s="83">
        <f t="shared" ref="H10436:H10499" si="210">J10436-I10436</f>
        <v>0</v>
      </c>
    </row>
    <row r="10437" spans="8:8" hidden="1" x14ac:dyDescent="0.35">
      <c r="H10437" s="83">
        <f t="shared" si="210"/>
        <v>0</v>
      </c>
    </row>
    <row r="10438" spans="8:8" hidden="1" x14ac:dyDescent="0.35">
      <c r="H10438" s="83">
        <f t="shared" si="210"/>
        <v>0</v>
      </c>
    </row>
    <row r="10439" spans="8:8" hidden="1" x14ac:dyDescent="0.35">
      <c r="H10439" s="83">
        <f t="shared" si="210"/>
        <v>0</v>
      </c>
    </row>
    <row r="10440" spans="8:8" hidden="1" x14ac:dyDescent="0.35">
      <c r="H10440" s="83">
        <f t="shared" si="210"/>
        <v>0</v>
      </c>
    </row>
    <row r="10441" spans="8:8" hidden="1" x14ac:dyDescent="0.35">
      <c r="H10441" s="83">
        <f t="shared" si="210"/>
        <v>0</v>
      </c>
    </row>
    <row r="10442" spans="8:8" hidden="1" x14ac:dyDescent="0.35">
      <c r="H10442" s="83">
        <f t="shared" si="210"/>
        <v>0</v>
      </c>
    </row>
    <row r="10443" spans="8:8" hidden="1" x14ac:dyDescent="0.35">
      <c r="H10443" s="83">
        <f t="shared" si="210"/>
        <v>0</v>
      </c>
    </row>
    <row r="10444" spans="8:8" hidden="1" x14ac:dyDescent="0.35">
      <c r="H10444" s="83">
        <f t="shared" si="210"/>
        <v>0</v>
      </c>
    </row>
    <row r="10445" spans="8:8" hidden="1" x14ac:dyDescent="0.35">
      <c r="H10445" s="83">
        <f t="shared" si="210"/>
        <v>0</v>
      </c>
    </row>
    <row r="10446" spans="8:8" hidden="1" x14ac:dyDescent="0.35">
      <c r="H10446" s="83">
        <f t="shared" si="210"/>
        <v>0</v>
      </c>
    </row>
    <row r="10447" spans="8:8" hidden="1" x14ac:dyDescent="0.35">
      <c r="H10447" s="83">
        <f t="shared" si="210"/>
        <v>0</v>
      </c>
    </row>
    <row r="10448" spans="8:8" hidden="1" x14ac:dyDescent="0.35">
      <c r="H10448" s="83">
        <f t="shared" si="210"/>
        <v>0</v>
      </c>
    </row>
    <row r="10449" spans="8:8" hidden="1" x14ac:dyDescent="0.35">
      <c r="H10449" s="83">
        <f t="shared" si="210"/>
        <v>0</v>
      </c>
    </row>
    <row r="10450" spans="8:8" hidden="1" x14ac:dyDescent="0.35">
      <c r="H10450" s="83">
        <f t="shared" si="210"/>
        <v>0</v>
      </c>
    </row>
    <row r="10451" spans="8:8" hidden="1" x14ac:dyDescent="0.35">
      <c r="H10451" s="83">
        <f t="shared" si="210"/>
        <v>0</v>
      </c>
    </row>
    <row r="10452" spans="8:8" hidden="1" x14ac:dyDescent="0.35">
      <c r="H10452" s="83">
        <f t="shared" si="210"/>
        <v>0</v>
      </c>
    </row>
    <row r="10453" spans="8:8" hidden="1" x14ac:dyDescent="0.35">
      <c r="H10453" s="83">
        <f t="shared" si="210"/>
        <v>0</v>
      </c>
    </row>
    <row r="10454" spans="8:8" hidden="1" x14ac:dyDescent="0.35">
      <c r="H10454" s="83">
        <f t="shared" si="210"/>
        <v>0</v>
      </c>
    </row>
    <row r="10455" spans="8:8" hidden="1" x14ac:dyDescent="0.35">
      <c r="H10455" s="83">
        <f t="shared" si="210"/>
        <v>0</v>
      </c>
    </row>
    <row r="10456" spans="8:8" hidden="1" x14ac:dyDescent="0.35">
      <c r="H10456" s="83">
        <f t="shared" si="210"/>
        <v>0</v>
      </c>
    </row>
    <row r="10457" spans="8:8" hidden="1" x14ac:dyDescent="0.35">
      <c r="H10457" s="83">
        <f t="shared" si="210"/>
        <v>0</v>
      </c>
    </row>
    <row r="10458" spans="8:8" hidden="1" x14ac:dyDescent="0.35">
      <c r="H10458" s="83">
        <f t="shared" si="210"/>
        <v>0</v>
      </c>
    </row>
    <row r="10459" spans="8:8" hidden="1" x14ac:dyDescent="0.35">
      <c r="H10459" s="83">
        <f t="shared" si="210"/>
        <v>0</v>
      </c>
    </row>
    <row r="10460" spans="8:8" hidden="1" x14ac:dyDescent="0.35">
      <c r="H10460" s="83">
        <f t="shared" si="210"/>
        <v>0</v>
      </c>
    </row>
    <row r="10461" spans="8:8" hidden="1" x14ac:dyDescent="0.35">
      <c r="H10461" s="83">
        <f t="shared" si="210"/>
        <v>0</v>
      </c>
    </row>
    <row r="10462" spans="8:8" hidden="1" x14ac:dyDescent="0.35">
      <c r="H10462" s="83">
        <f t="shared" si="210"/>
        <v>0</v>
      </c>
    </row>
    <row r="10463" spans="8:8" hidden="1" x14ac:dyDescent="0.35">
      <c r="H10463" s="83">
        <f t="shared" si="210"/>
        <v>0</v>
      </c>
    </row>
    <row r="10464" spans="8:8" hidden="1" x14ac:dyDescent="0.35">
      <c r="H10464" s="83">
        <f t="shared" si="210"/>
        <v>0</v>
      </c>
    </row>
    <row r="10465" spans="8:8" hidden="1" x14ac:dyDescent="0.35">
      <c r="H10465" s="83">
        <f t="shared" si="210"/>
        <v>0</v>
      </c>
    </row>
    <row r="10466" spans="8:8" hidden="1" x14ac:dyDescent="0.35">
      <c r="H10466" s="83">
        <f t="shared" si="210"/>
        <v>0</v>
      </c>
    </row>
    <row r="10467" spans="8:8" hidden="1" x14ac:dyDescent="0.35">
      <c r="H10467" s="83">
        <f t="shared" si="210"/>
        <v>0</v>
      </c>
    </row>
    <row r="10468" spans="8:8" hidden="1" x14ac:dyDescent="0.35">
      <c r="H10468" s="83">
        <f t="shared" si="210"/>
        <v>0</v>
      </c>
    </row>
    <row r="10469" spans="8:8" hidden="1" x14ac:dyDescent="0.35">
      <c r="H10469" s="83">
        <f t="shared" si="210"/>
        <v>0</v>
      </c>
    </row>
    <row r="10470" spans="8:8" hidden="1" x14ac:dyDescent="0.35">
      <c r="H10470" s="83">
        <f t="shared" si="210"/>
        <v>0</v>
      </c>
    </row>
    <row r="10471" spans="8:8" hidden="1" x14ac:dyDescent="0.35">
      <c r="H10471" s="83">
        <f t="shared" si="210"/>
        <v>0</v>
      </c>
    </row>
    <row r="10472" spans="8:8" hidden="1" x14ac:dyDescent="0.35">
      <c r="H10472" s="83">
        <f t="shared" si="210"/>
        <v>0</v>
      </c>
    </row>
    <row r="10473" spans="8:8" hidden="1" x14ac:dyDescent="0.35">
      <c r="H10473" s="83">
        <f t="shared" si="210"/>
        <v>0</v>
      </c>
    </row>
    <row r="10474" spans="8:8" hidden="1" x14ac:dyDescent="0.35">
      <c r="H10474" s="83">
        <f t="shared" si="210"/>
        <v>0</v>
      </c>
    </row>
    <row r="10475" spans="8:8" hidden="1" x14ac:dyDescent="0.35">
      <c r="H10475" s="83">
        <f t="shared" si="210"/>
        <v>0</v>
      </c>
    </row>
    <row r="10476" spans="8:8" hidden="1" x14ac:dyDescent="0.35">
      <c r="H10476" s="83">
        <f t="shared" si="210"/>
        <v>0</v>
      </c>
    </row>
    <row r="10477" spans="8:8" hidden="1" x14ac:dyDescent="0.35">
      <c r="H10477" s="83">
        <f t="shared" si="210"/>
        <v>0</v>
      </c>
    </row>
    <row r="10478" spans="8:8" hidden="1" x14ac:dyDescent="0.35">
      <c r="H10478" s="83">
        <f t="shared" si="210"/>
        <v>0</v>
      </c>
    </row>
    <row r="10479" spans="8:8" hidden="1" x14ac:dyDescent="0.35">
      <c r="H10479" s="83">
        <f t="shared" si="210"/>
        <v>0</v>
      </c>
    </row>
    <row r="10480" spans="8:8" hidden="1" x14ac:dyDescent="0.35">
      <c r="H10480" s="83">
        <f t="shared" si="210"/>
        <v>0</v>
      </c>
    </row>
    <row r="10481" spans="8:8" hidden="1" x14ac:dyDescent="0.35">
      <c r="H10481" s="83">
        <f t="shared" si="210"/>
        <v>0</v>
      </c>
    </row>
    <row r="10482" spans="8:8" hidden="1" x14ac:dyDescent="0.35">
      <c r="H10482" s="83">
        <f t="shared" si="210"/>
        <v>0</v>
      </c>
    </row>
    <row r="10483" spans="8:8" hidden="1" x14ac:dyDescent="0.35">
      <c r="H10483" s="83">
        <f t="shared" si="210"/>
        <v>0</v>
      </c>
    </row>
    <row r="10484" spans="8:8" hidden="1" x14ac:dyDescent="0.35">
      <c r="H10484" s="83">
        <f t="shared" si="210"/>
        <v>0</v>
      </c>
    </row>
    <row r="10485" spans="8:8" hidden="1" x14ac:dyDescent="0.35">
      <c r="H10485" s="83">
        <f t="shared" si="210"/>
        <v>0</v>
      </c>
    </row>
    <row r="10486" spans="8:8" hidden="1" x14ac:dyDescent="0.35">
      <c r="H10486" s="83">
        <f t="shared" si="210"/>
        <v>0</v>
      </c>
    </row>
    <row r="10487" spans="8:8" hidden="1" x14ac:dyDescent="0.35">
      <c r="H10487" s="83">
        <f t="shared" si="210"/>
        <v>0</v>
      </c>
    </row>
    <row r="10488" spans="8:8" hidden="1" x14ac:dyDescent="0.35">
      <c r="H10488" s="83">
        <f t="shared" si="210"/>
        <v>0</v>
      </c>
    </row>
    <row r="10489" spans="8:8" hidden="1" x14ac:dyDescent="0.35">
      <c r="H10489" s="83">
        <f t="shared" si="210"/>
        <v>0</v>
      </c>
    </row>
    <row r="10490" spans="8:8" hidden="1" x14ac:dyDescent="0.35">
      <c r="H10490" s="83">
        <f t="shared" si="210"/>
        <v>0</v>
      </c>
    </row>
    <row r="10491" spans="8:8" hidden="1" x14ac:dyDescent="0.35">
      <c r="H10491" s="83">
        <f t="shared" si="210"/>
        <v>0</v>
      </c>
    </row>
    <row r="10492" spans="8:8" hidden="1" x14ac:dyDescent="0.35">
      <c r="H10492" s="83">
        <f t="shared" si="210"/>
        <v>0</v>
      </c>
    </row>
    <row r="10493" spans="8:8" hidden="1" x14ac:dyDescent="0.35">
      <c r="H10493" s="83">
        <f t="shared" si="210"/>
        <v>0</v>
      </c>
    </row>
    <row r="10494" spans="8:8" hidden="1" x14ac:dyDescent="0.35">
      <c r="H10494" s="83">
        <f t="shared" si="210"/>
        <v>0</v>
      </c>
    </row>
    <row r="10495" spans="8:8" hidden="1" x14ac:dyDescent="0.35">
      <c r="H10495" s="83">
        <f t="shared" si="210"/>
        <v>0</v>
      </c>
    </row>
    <row r="10496" spans="8:8" hidden="1" x14ac:dyDescent="0.35">
      <c r="H10496" s="83">
        <f t="shared" si="210"/>
        <v>0</v>
      </c>
    </row>
    <row r="10497" spans="8:8" hidden="1" x14ac:dyDescent="0.35">
      <c r="H10497" s="83">
        <f t="shared" si="210"/>
        <v>0</v>
      </c>
    </row>
    <row r="10498" spans="8:8" hidden="1" x14ac:dyDescent="0.35">
      <c r="H10498" s="83">
        <f t="shared" si="210"/>
        <v>0</v>
      </c>
    </row>
    <row r="10499" spans="8:8" hidden="1" x14ac:dyDescent="0.35">
      <c r="H10499" s="83">
        <f t="shared" si="210"/>
        <v>0</v>
      </c>
    </row>
    <row r="10500" spans="8:8" hidden="1" x14ac:dyDescent="0.35">
      <c r="H10500" s="83">
        <f t="shared" ref="H10500:H10563" si="211">J10500-I10500</f>
        <v>0</v>
      </c>
    </row>
    <row r="10501" spans="8:8" hidden="1" x14ac:dyDescent="0.35">
      <c r="H10501" s="83">
        <f t="shared" si="211"/>
        <v>0</v>
      </c>
    </row>
    <row r="10502" spans="8:8" hidden="1" x14ac:dyDescent="0.35">
      <c r="H10502" s="83">
        <f t="shared" si="211"/>
        <v>0</v>
      </c>
    </row>
    <row r="10503" spans="8:8" hidden="1" x14ac:dyDescent="0.35">
      <c r="H10503" s="83">
        <f t="shared" si="211"/>
        <v>0</v>
      </c>
    </row>
    <row r="10504" spans="8:8" hidden="1" x14ac:dyDescent="0.35">
      <c r="H10504" s="83">
        <f t="shared" si="211"/>
        <v>0</v>
      </c>
    </row>
    <row r="10505" spans="8:8" hidden="1" x14ac:dyDescent="0.35">
      <c r="H10505" s="83">
        <f t="shared" si="211"/>
        <v>0</v>
      </c>
    </row>
    <row r="10506" spans="8:8" hidden="1" x14ac:dyDescent="0.35">
      <c r="H10506" s="83">
        <f t="shared" si="211"/>
        <v>0</v>
      </c>
    </row>
    <row r="10507" spans="8:8" hidden="1" x14ac:dyDescent="0.35">
      <c r="H10507" s="83">
        <f t="shared" si="211"/>
        <v>0</v>
      </c>
    </row>
    <row r="10508" spans="8:8" hidden="1" x14ac:dyDescent="0.35">
      <c r="H10508" s="83">
        <f t="shared" si="211"/>
        <v>0</v>
      </c>
    </row>
    <row r="10509" spans="8:8" hidden="1" x14ac:dyDescent="0.35">
      <c r="H10509" s="83">
        <f t="shared" si="211"/>
        <v>0</v>
      </c>
    </row>
    <row r="10510" spans="8:8" hidden="1" x14ac:dyDescent="0.35">
      <c r="H10510" s="83">
        <f t="shared" si="211"/>
        <v>0</v>
      </c>
    </row>
    <row r="10511" spans="8:8" hidden="1" x14ac:dyDescent="0.35">
      <c r="H10511" s="83">
        <f t="shared" si="211"/>
        <v>0</v>
      </c>
    </row>
    <row r="10512" spans="8:8" hidden="1" x14ac:dyDescent="0.35">
      <c r="H10512" s="83">
        <f t="shared" si="211"/>
        <v>0</v>
      </c>
    </row>
    <row r="10513" spans="8:8" hidden="1" x14ac:dyDescent="0.35">
      <c r="H10513" s="83">
        <f t="shared" si="211"/>
        <v>0</v>
      </c>
    </row>
    <row r="10514" spans="8:8" hidden="1" x14ac:dyDescent="0.35">
      <c r="H10514" s="83">
        <f t="shared" si="211"/>
        <v>0</v>
      </c>
    </row>
    <row r="10515" spans="8:8" hidden="1" x14ac:dyDescent="0.35">
      <c r="H10515" s="83">
        <f t="shared" si="211"/>
        <v>0</v>
      </c>
    </row>
    <row r="10516" spans="8:8" hidden="1" x14ac:dyDescent="0.35">
      <c r="H10516" s="83">
        <f t="shared" si="211"/>
        <v>0</v>
      </c>
    </row>
    <row r="10517" spans="8:8" hidden="1" x14ac:dyDescent="0.35">
      <c r="H10517" s="83">
        <f t="shared" si="211"/>
        <v>0</v>
      </c>
    </row>
    <row r="10518" spans="8:8" hidden="1" x14ac:dyDescent="0.35">
      <c r="H10518" s="83">
        <f t="shared" si="211"/>
        <v>0</v>
      </c>
    </row>
    <row r="10519" spans="8:8" hidden="1" x14ac:dyDescent="0.35">
      <c r="H10519" s="83">
        <f t="shared" si="211"/>
        <v>0</v>
      </c>
    </row>
    <row r="10520" spans="8:8" hidden="1" x14ac:dyDescent="0.35">
      <c r="H10520" s="83">
        <f t="shared" si="211"/>
        <v>0</v>
      </c>
    </row>
    <row r="10521" spans="8:8" hidden="1" x14ac:dyDescent="0.35">
      <c r="H10521" s="83">
        <f t="shared" si="211"/>
        <v>0</v>
      </c>
    </row>
    <row r="10522" spans="8:8" hidden="1" x14ac:dyDescent="0.35">
      <c r="H10522" s="83">
        <f t="shared" si="211"/>
        <v>0</v>
      </c>
    </row>
    <row r="10523" spans="8:8" hidden="1" x14ac:dyDescent="0.35">
      <c r="H10523" s="83">
        <f t="shared" si="211"/>
        <v>0</v>
      </c>
    </row>
    <row r="10524" spans="8:8" hidden="1" x14ac:dyDescent="0.35">
      <c r="H10524" s="83">
        <f t="shared" si="211"/>
        <v>0</v>
      </c>
    </row>
    <row r="10525" spans="8:8" hidden="1" x14ac:dyDescent="0.35">
      <c r="H10525" s="83">
        <f t="shared" si="211"/>
        <v>0</v>
      </c>
    </row>
    <row r="10526" spans="8:8" hidden="1" x14ac:dyDescent="0.35">
      <c r="H10526" s="83">
        <f t="shared" si="211"/>
        <v>0</v>
      </c>
    </row>
    <row r="10527" spans="8:8" hidden="1" x14ac:dyDescent="0.35">
      <c r="H10527" s="83">
        <f t="shared" si="211"/>
        <v>0</v>
      </c>
    </row>
    <row r="10528" spans="8:8" hidden="1" x14ac:dyDescent="0.35">
      <c r="H10528" s="83">
        <f t="shared" si="211"/>
        <v>0</v>
      </c>
    </row>
    <row r="10529" spans="8:8" hidden="1" x14ac:dyDescent="0.35">
      <c r="H10529" s="83">
        <f t="shared" si="211"/>
        <v>0</v>
      </c>
    </row>
    <row r="10530" spans="8:8" hidden="1" x14ac:dyDescent="0.35">
      <c r="H10530" s="83">
        <f t="shared" si="211"/>
        <v>0</v>
      </c>
    </row>
    <row r="10531" spans="8:8" hidden="1" x14ac:dyDescent="0.35">
      <c r="H10531" s="83">
        <f t="shared" si="211"/>
        <v>0</v>
      </c>
    </row>
    <row r="10532" spans="8:8" hidden="1" x14ac:dyDescent="0.35">
      <c r="H10532" s="83">
        <f t="shared" si="211"/>
        <v>0</v>
      </c>
    </row>
    <row r="10533" spans="8:8" hidden="1" x14ac:dyDescent="0.35">
      <c r="H10533" s="83">
        <f t="shared" si="211"/>
        <v>0</v>
      </c>
    </row>
    <row r="10534" spans="8:8" hidden="1" x14ac:dyDescent="0.35">
      <c r="H10534" s="83">
        <f t="shared" si="211"/>
        <v>0</v>
      </c>
    </row>
    <row r="10535" spans="8:8" hidden="1" x14ac:dyDescent="0.35">
      <c r="H10535" s="83">
        <f t="shared" si="211"/>
        <v>0</v>
      </c>
    </row>
    <row r="10536" spans="8:8" hidden="1" x14ac:dyDescent="0.35">
      <c r="H10536" s="83">
        <f t="shared" si="211"/>
        <v>0</v>
      </c>
    </row>
    <row r="10537" spans="8:8" hidden="1" x14ac:dyDescent="0.35">
      <c r="H10537" s="83">
        <f t="shared" si="211"/>
        <v>0</v>
      </c>
    </row>
    <row r="10538" spans="8:8" hidden="1" x14ac:dyDescent="0.35">
      <c r="H10538" s="83">
        <f t="shared" si="211"/>
        <v>0</v>
      </c>
    </row>
    <row r="10539" spans="8:8" hidden="1" x14ac:dyDescent="0.35">
      <c r="H10539" s="83">
        <f t="shared" si="211"/>
        <v>0</v>
      </c>
    </row>
    <row r="10540" spans="8:8" hidden="1" x14ac:dyDescent="0.35">
      <c r="H10540" s="83">
        <f t="shared" si="211"/>
        <v>0</v>
      </c>
    </row>
    <row r="10541" spans="8:8" hidden="1" x14ac:dyDescent="0.35">
      <c r="H10541" s="83">
        <f t="shared" si="211"/>
        <v>0</v>
      </c>
    </row>
    <row r="10542" spans="8:8" hidden="1" x14ac:dyDescent="0.35">
      <c r="H10542" s="83">
        <f t="shared" si="211"/>
        <v>0</v>
      </c>
    </row>
    <row r="10543" spans="8:8" hidden="1" x14ac:dyDescent="0.35">
      <c r="H10543" s="83">
        <f t="shared" si="211"/>
        <v>0</v>
      </c>
    </row>
    <row r="10544" spans="8:8" hidden="1" x14ac:dyDescent="0.35">
      <c r="H10544" s="83">
        <f t="shared" si="211"/>
        <v>0</v>
      </c>
    </row>
    <row r="10545" spans="8:8" hidden="1" x14ac:dyDescent="0.35">
      <c r="H10545" s="83">
        <f t="shared" si="211"/>
        <v>0</v>
      </c>
    </row>
    <row r="10546" spans="8:8" hidden="1" x14ac:dyDescent="0.35">
      <c r="H10546" s="83">
        <f t="shared" si="211"/>
        <v>0</v>
      </c>
    </row>
    <row r="10547" spans="8:8" hidden="1" x14ac:dyDescent="0.35">
      <c r="H10547" s="83">
        <f t="shared" si="211"/>
        <v>0</v>
      </c>
    </row>
    <row r="10548" spans="8:8" hidden="1" x14ac:dyDescent="0.35">
      <c r="H10548" s="83">
        <f t="shared" si="211"/>
        <v>0</v>
      </c>
    </row>
    <row r="10549" spans="8:8" hidden="1" x14ac:dyDescent="0.35">
      <c r="H10549" s="83">
        <f t="shared" si="211"/>
        <v>0</v>
      </c>
    </row>
    <row r="10550" spans="8:8" hidden="1" x14ac:dyDescent="0.35">
      <c r="H10550" s="83">
        <f t="shared" si="211"/>
        <v>0</v>
      </c>
    </row>
    <row r="10551" spans="8:8" hidden="1" x14ac:dyDescent="0.35">
      <c r="H10551" s="83">
        <f t="shared" si="211"/>
        <v>0</v>
      </c>
    </row>
    <row r="10552" spans="8:8" hidden="1" x14ac:dyDescent="0.35">
      <c r="H10552" s="83">
        <f t="shared" si="211"/>
        <v>0</v>
      </c>
    </row>
    <row r="10553" spans="8:8" hidden="1" x14ac:dyDescent="0.35">
      <c r="H10553" s="83">
        <f t="shared" si="211"/>
        <v>0</v>
      </c>
    </row>
    <row r="10554" spans="8:8" hidden="1" x14ac:dyDescent="0.35">
      <c r="H10554" s="83">
        <f t="shared" si="211"/>
        <v>0</v>
      </c>
    </row>
    <row r="10555" spans="8:8" hidden="1" x14ac:dyDescent="0.35">
      <c r="H10555" s="83">
        <f t="shared" si="211"/>
        <v>0</v>
      </c>
    </row>
    <row r="10556" spans="8:8" hidden="1" x14ac:dyDescent="0.35">
      <c r="H10556" s="83">
        <f t="shared" si="211"/>
        <v>0</v>
      </c>
    </row>
    <row r="10557" spans="8:8" hidden="1" x14ac:dyDescent="0.35">
      <c r="H10557" s="83">
        <f t="shared" si="211"/>
        <v>0</v>
      </c>
    </row>
    <row r="10558" spans="8:8" hidden="1" x14ac:dyDescent="0.35">
      <c r="H10558" s="83">
        <f t="shared" si="211"/>
        <v>0</v>
      </c>
    </row>
    <row r="10559" spans="8:8" hidden="1" x14ac:dyDescent="0.35">
      <c r="H10559" s="83">
        <f t="shared" si="211"/>
        <v>0</v>
      </c>
    </row>
    <row r="10560" spans="8:8" hidden="1" x14ac:dyDescent="0.35">
      <c r="H10560" s="83">
        <f t="shared" si="211"/>
        <v>0</v>
      </c>
    </row>
    <row r="10561" spans="8:8" hidden="1" x14ac:dyDescent="0.35">
      <c r="H10561" s="83">
        <f t="shared" si="211"/>
        <v>0</v>
      </c>
    </row>
    <row r="10562" spans="8:8" hidden="1" x14ac:dyDescent="0.35">
      <c r="H10562" s="83">
        <f t="shared" si="211"/>
        <v>0</v>
      </c>
    </row>
    <row r="10563" spans="8:8" hidden="1" x14ac:dyDescent="0.35">
      <c r="H10563" s="83">
        <f t="shared" si="211"/>
        <v>0</v>
      </c>
    </row>
    <row r="10564" spans="8:8" hidden="1" x14ac:dyDescent="0.35">
      <c r="H10564" s="83">
        <f t="shared" ref="H10564:H10627" si="212">J10564-I10564</f>
        <v>0</v>
      </c>
    </row>
    <row r="10565" spans="8:8" hidden="1" x14ac:dyDescent="0.35">
      <c r="H10565" s="83">
        <f t="shared" si="212"/>
        <v>0</v>
      </c>
    </row>
    <row r="10566" spans="8:8" hidden="1" x14ac:dyDescent="0.35">
      <c r="H10566" s="83">
        <f t="shared" si="212"/>
        <v>0</v>
      </c>
    </row>
    <row r="10567" spans="8:8" hidden="1" x14ac:dyDescent="0.35">
      <c r="H10567" s="83">
        <f t="shared" si="212"/>
        <v>0</v>
      </c>
    </row>
    <row r="10568" spans="8:8" hidden="1" x14ac:dyDescent="0.35">
      <c r="H10568" s="83">
        <f t="shared" si="212"/>
        <v>0</v>
      </c>
    </row>
    <row r="10569" spans="8:8" hidden="1" x14ac:dyDescent="0.35">
      <c r="H10569" s="83">
        <f t="shared" si="212"/>
        <v>0</v>
      </c>
    </row>
    <row r="10570" spans="8:8" hidden="1" x14ac:dyDescent="0.35">
      <c r="H10570" s="83">
        <f t="shared" si="212"/>
        <v>0</v>
      </c>
    </row>
    <row r="10571" spans="8:8" hidden="1" x14ac:dyDescent="0.35">
      <c r="H10571" s="83">
        <f t="shared" si="212"/>
        <v>0</v>
      </c>
    </row>
    <row r="10572" spans="8:8" hidden="1" x14ac:dyDescent="0.35">
      <c r="H10572" s="83">
        <f t="shared" si="212"/>
        <v>0</v>
      </c>
    </row>
    <row r="10573" spans="8:8" hidden="1" x14ac:dyDescent="0.35">
      <c r="H10573" s="83">
        <f t="shared" si="212"/>
        <v>0</v>
      </c>
    </row>
    <row r="10574" spans="8:8" hidden="1" x14ac:dyDescent="0.35">
      <c r="H10574" s="83">
        <f t="shared" si="212"/>
        <v>0</v>
      </c>
    </row>
    <row r="10575" spans="8:8" hidden="1" x14ac:dyDescent="0.35">
      <c r="H10575" s="83">
        <f t="shared" si="212"/>
        <v>0</v>
      </c>
    </row>
    <row r="10576" spans="8:8" hidden="1" x14ac:dyDescent="0.35">
      <c r="H10576" s="83">
        <f t="shared" si="212"/>
        <v>0</v>
      </c>
    </row>
    <row r="10577" spans="8:8" hidden="1" x14ac:dyDescent="0.35">
      <c r="H10577" s="83">
        <f t="shared" si="212"/>
        <v>0</v>
      </c>
    </row>
    <row r="10578" spans="8:8" hidden="1" x14ac:dyDescent="0.35">
      <c r="H10578" s="83">
        <f t="shared" si="212"/>
        <v>0</v>
      </c>
    </row>
    <row r="10579" spans="8:8" hidden="1" x14ac:dyDescent="0.35">
      <c r="H10579" s="83">
        <f t="shared" si="212"/>
        <v>0</v>
      </c>
    </row>
    <row r="10580" spans="8:8" hidden="1" x14ac:dyDescent="0.35">
      <c r="H10580" s="83">
        <f t="shared" si="212"/>
        <v>0</v>
      </c>
    </row>
    <row r="10581" spans="8:8" hidden="1" x14ac:dyDescent="0.35">
      <c r="H10581" s="83">
        <f t="shared" si="212"/>
        <v>0</v>
      </c>
    </row>
    <row r="10582" spans="8:8" hidden="1" x14ac:dyDescent="0.35">
      <c r="H10582" s="83">
        <f t="shared" si="212"/>
        <v>0</v>
      </c>
    </row>
    <row r="10583" spans="8:8" hidden="1" x14ac:dyDescent="0.35">
      <c r="H10583" s="83">
        <f t="shared" si="212"/>
        <v>0</v>
      </c>
    </row>
    <row r="10584" spans="8:8" hidden="1" x14ac:dyDescent="0.35">
      <c r="H10584" s="83">
        <f t="shared" si="212"/>
        <v>0</v>
      </c>
    </row>
    <row r="10585" spans="8:8" hidden="1" x14ac:dyDescent="0.35">
      <c r="H10585" s="83">
        <f t="shared" si="212"/>
        <v>0</v>
      </c>
    </row>
    <row r="10586" spans="8:8" hidden="1" x14ac:dyDescent="0.35">
      <c r="H10586" s="83">
        <f t="shared" si="212"/>
        <v>0</v>
      </c>
    </row>
    <row r="10587" spans="8:8" hidden="1" x14ac:dyDescent="0.35">
      <c r="H10587" s="83">
        <f t="shared" si="212"/>
        <v>0</v>
      </c>
    </row>
    <row r="10588" spans="8:8" hidden="1" x14ac:dyDescent="0.35">
      <c r="H10588" s="83">
        <f t="shared" si="212"/>
        <v>0</v>
      </c>
    </row>
    <row r="10589" spans="8:8" hidden="1" x14ac:dyDescent="0.35">
      <c r="H10589" s="83">
        <f t="shared" si="212"/>
        <v>0</v>
      </c>
    </row>
    <row r="10590" spans="8:8" hidden="1" x14ac:dyDescent="0.35">
      <c r="H10590" s="83">
        <f t="shared" si="212"/>
        <v>0</v>
      </c>
    </row>
    <row r="10591" spans="8:8" hidden="1" x14ac:dyDescent="0.35">
      <c r="H10591" s="83">
        <f t="shared" si="212"/>
        <v>0</v>
      </c>
    </row>
    <row r="10592" spans="8:8" hidden="1" x14ac:dyDescent="0.35">
      <c r="H10592" s="83">
        <f t="shared" si="212"/>
        <v>0</v>
      </c>
    </row>
    <row r="10593" spans="8:8" hidden="1" x14ac:dyDescent="0.35">
      <c r="H10593" s="83">
        <f t="shared" si="212"/>
        <v>0</v>
      </c>
    </row>
    <row r="10594" spans="8:8" hidden="1" x14ac:dyDescent="0.35">
      <c r="H10594" s="83">
        <f t="shared" si="212"/>
        <v>0</v>
      </c>
    </row>
    <row r="10595" spans="8:8" hidden="1" x14ac:dyDescent="0.35">
      <c r="H10595" s="83">
        <f t="shared" si="212"/>
        <v>0</v>
      </c>
    </row>
    <row r="10596" spans="8:8" hidden="1" x14ac:dyDescent="0.35">
      <c r="H10596" s="83">
        <f t="shared" si="212"/>
        <v>0</v>
      </c>
    </row>
    <row r="10597" spans="8:8" hidden="1" x14ac:dyDescent="0.35">
      <c r="H10597" s="83">
        <f t="shared" si="212"/>
        <v>0</v>
      </c>
    </row>
    <row r="10598" spans="8:8" hidden="1" x14ac:dyDescent="0.35">
      <c r="H10598" s="83">
        <f t="shared" si="212"/>
        <v>0</v>
      </c>
    </row>
    <row r="10599" spans="8:8" hidden="1" x14ac:dyDescent="0.35">
      <c r="H10599" s="83">
        <f t="shared" si="212"/>
        <v>0</v>
      </c>
    </row>
    <row r="10600" spans="8:8" hidden="1" x14ac:dyDescent="0.35">
      <c r="H10600" s="83">
        <f t="shared" si="212"/>
        <v>0</v>
      </c>
    </row>
    <row r="10601" spans="8:8" hidden="1" x14ac:dyDescent="0.35">
      <c r="H10601" s="83">
        <f t="shared" si="212"/>
        <v>0</v>
      </c>
    </row>
    <row r="10602" spans="8:8" hidden="1" x14ac:dyDescent="0.35">
      <c r="H10602" s="83">
        <f t="shared" si="212"/>
        <v>0</v>
      </c>
    </row>
    <row r="10603" spans="8:8" hidden="1" x14ac:dyDescent="0.35">
      <c r="H10603" s="83">
        <f t="shared" si="212"/>
        <v>0</v>
      </c>
    </row>
    <row r="10604" spans="8:8" hidden="1" x14ac:dyDescent="0.35">
      <c r="H10604" s="83">
        <f t="shared" si="212"/>
        <v>0</v>
      </c>
    </row>
    <row r="10605" spans="8:8" hidden="1" x14ac:dyDescent="0.35">
      <c r="H10605" s="83">
        <f t="shared" si="212"/>
        <v>0</v>
      </c>
    </row>
    <row r="10606" spans="8:8" hidden="1" x14ac:dyDescent="0.35">
      <c r="H10606" s="83">
        <f t="shared" si="212"/>
        <v>0</v>
      </c>
    </row>
    <row r="10607" spans="8:8" hidden="1" x14ac:dyDescent="0.35">
      <c r="H10607" s="83">
        <f t="shared" si="212"/>
        <v>0</v>
      </c>
    </row>
    <row r="10608" spans="8:8" hidden="1" x14ac:dyDescent="0.35">
      <c r="H10608" s="83">
        <f t="shared" si="212"/>
        <v>0</v>
      </c>
    </row>
    <row r="10609" spans="8:8" hidden="1" x14ac:dyDescent="0.35">
      <c r="H10609" s="83">
        <f t="shared" si="212"/>
        <v>0</v>
      </c>
    </row>
    <row r="10610" spans="8:8" hidden="1" x14ac:dyDescent="0.35">
      <c r="H10610" s="83">
        <f t="shared" si="212"/>
        <v>0</v>
      </c>
    </row>
    <row r="10611" spans="8:8" hidden="1" x14ac:dyDescent="0.35">
      <c r="H10611" s="83">
        <f t="shared" si="212"/>
        <v>0</v>
      </c>
    </row>
    <row r="10612" spans="8:8" hidden="1" x14ac:dyDescent="0.35">
      <c r="H10612" s="83">
        <f t="shared" si="212"/>
        <v>0</v>
      </c>
    </row>
    <row r="10613" spans="8:8" hidden="1" x14ac:dyDescent="0.35">
      <c r="H10613" s="83">
        <f t="shared" si="212"/>
        <v>0</v>
      </c>
    </row>
    <row r="10614" spans="8:8" hidden="1" x14ac:dyDescent="0.35">
      <c r="H10614" s="83">
        <f t="shared" si="212"/>
        <v>0</v>
      </c>
    </row>
    <row r="10615" spans="8:8" hidden="1" x14ac:dyDescent="0.35">
      <c r="H10615" s="83">
        <f t="shared" si="212"/>
        <v>0</v>
      </c>
    </row>
    <row r="10616" spans="8:8" hidden="1" x14ac:dyDescent="0.35">
      <c r="H10616" s="83">
        <f t="shared" si="212"/>
        <v>0</v>
      </c>
    </row>
    <row r="10617" spans="8:8" hidden="1" x14ac:dyDescent="0.35">
      <c r="H10617" s="83">
        <f t="shared" si="212"/>
        <v>0</v>
      </c>
    </row>
    <row r="10618" spans="8:8" hidden="1" x14ac:dyDescent="0.35">
      <c r="H10618" s="83">
        <f t="shared" si="212"/>
        <v>0</v>
      </c>
    </row>
    <row r="10619" spans="8:8" hidden="1" x14ac:dyDescent="0.35">
      <c r="H10619" s="83">
        <f t="shared" si="212"/>
        <v>0</v>
      </c>
    </row>
    <row r="10620" spans="8:8" hidden="1" x14ac:dyDescent="0.35">
      <c r="H10620" s="83">
        <f t="shared" si="212"/>
        <v>0</v>
      </c>
    </row>
    <row r="10621" spans="8:8" hidden="1" x14ac:dyDescent="0.35">
      <c r="H10621" s="83">
        <f t="shared" si="212"/>
        <v>0</v>
      </c>
    </row>
    <row r="10622" spans="8:8" hidden="1" x14ac:dyDescent="0.35">
      <c r="H10622" s="83">
        <f t="shared" si="212"/>
        <v>0</v>
      </c>
    </row>
    <row r="10623" spans="8:8" hidden="1" x14ac:dyDescent="0.35">
      <c r="H10623" s="83">
        <f t="shared" si="212"/>
        <v>0</v>
      </c>
    </row>
    <row r="10624" spans="8:8" hidden="1" x14ac:dyDescent="0.35">
      <c r="H10624" s="83">
        <f t="shared" si="212"/>
        <v>0</v>
      </c>
    </row>
    <row r="10625" spans="8:8" hidden="1" x14ac:dyDescent="0.35">
      <c r="H10625" s="83">
        <f t="shared" si="212"/>
        <v>0</v>
      </c>
    </row>
    <row r="10626" spans="8:8" hidden="1" x14ac:dyDescent="0.35">
      <c r="H10626" s="83">
        <f t="shared" si="212"/>
        <v>0</v>
      </c>
    </row>
    <row r="10627" spans="8:8" hidden="1" x14ac:dyDescent="0.35">
      <c r="H10627" s="83">
        <f t="shared" si="212"/>
        <v>0</v>
      </c>
    </row>
    <row r="10628" spans="8:8" hidden="1" x14ac:dyDescent="0.35">
      <c r="H10628" s="83">
        <f t="shared" ref="H10628:H10691" si="213">J10628-I10628</f>
        <v>0</v>
      </c>
    </row>
    <row r="10629" spans="8:8" hidden="1" x14ac:dyDescent="0.35">
      <c r="H10629" s="83">
        <f t="shared" si="213"/>
        <v>0</v>
      </c>
    </row>
    <row r="10630" spans="8:8" hidden="1" x14ac:dyDescent="0.35">
      <c r="H10630" s="83">
        <f t="shared" si="213"/>
        <v>0</v>
      </c>
    </row>
    <row r="10631" spans="8:8" hidden="1" x14ac:dyDescent="0.35">
      <c r="H10631" s="83">
        <f t="shared" si="213"/>
        <v>0</v>
      </c>
    </row>
    <row r="10632" spans="8:8" hidden="1" x14ac:dyDescent="0.35">
      <c r="H10632" s="83">
        <f t="shared" si="213"/>
        <v>0</v>
      </c>
    </row>
    <row r="10633" spans="8:8" hidden="1" x14ac:dyDescent="0.35">
      <c r="H10633" s="83">
        <f t="shared" si="213"/>
        <v>0</v>
      </c>
    </row>
    <row r="10634" spans="8:8" hidden="1" x14ac:dyDescent="0.35">
      <c r="H10634" s="83">
        <f t="shared" si="213"/>
        <v>0</v>
      </c>
    </row>
    <row r="10635" spans="8:8" hidden="1" x14ac:dyDescent="0.35">
      <c r="H10635" s="83">
        <f t="shared" si="213"/>
        <v>0</v>
      </c>
    </row>
    <row r="10636" spans="8:8" hidden="1" x14ac:dyDescent="0.35">
      <c r="H10636" s="83">
        <f t="shared" si="213"/>
        <v>0</v>
      </c>
    </row>
    <row r="10637" spans="8:8" hidden="1" x14ac:dyDescent="0.35">
      <c r="H10637" s="83">
        <f t="shared" si="213"/>
        <v>0</v>
      </c>
    </row>
    <row r="10638" spans="8:8" hidden="1" x14ac:dyDescent="0.35">
      <c r="H10638" s="83">
        <f t="shared" si="213"/>
        <v>0</v>
      </c>
    </row>
    <row r="10639" spans="8:8" hidden="1" x14ac:dyDescent="0.35">
      <c r="H10639" s="83">
        <f t="shared" si="213"/>
        <v>0</v>
      </c>
    </row>
    <row r="10640" spans="8:8" hidden="1" x14ac:dyDescent="0.35">
      <c r="H10640" s="83">
        <f t="shared" si="213"/>
        <v>0</v>
      </c>
    </row>
    <row r="10641" spans="8:8" hidden="1" x14ac:dyDescent="0.35">
      <c r="H10641" s="83">
        <f t="shared" si="213"/>
        <v>0</v>
      </c>
    </row>
    <row r="10642" spans="8:8" hidden="1" x14ac:dyDescent="0.35">
      <c r="H10642" s="83">
        <f t="shared" si="213"/>
        <v>0</v>
      </c>
    </row>
    <row r="10643" spans="8:8" hidden="1" x14ac:dyDescent="0.35">
      <c r="H10643" s="83">
        <f t="shared" si="213"/>
        <v>0</v>
      </c>
    </row>
    <row r="10644" spans="8:8" hidden="1" x14ac:dyDescent="0.35">
      <c r="H10644" s="83">
        <f t="shared" si="213"/>
        <v>0</v>
      </c>
    </row>
    <row r="10645" spans="8:8" hidden="1" x14ac:dyDescent="0.35">
      <c r="H10645" s="83">
        <f t="shared" si="213"/>
        <v>0</v>
      </c>
    </row>
    <row r="10646" spans="8:8" hidden="1" x14ac:dyDescent="0.35">
      <c r="H10646" s="83">
        <f t="shared" si="213"/>
        <v>0</v>
      </c>
    </row>
    <row r="10647" spans="8:8" hidden="1" x14ac:dyDescent="0.35">
      <c r="H10647" s="83">
        <f t="shared" si="213"/>
        <v>0</v>
      </c>
    </row>
    <row r="10648" spans="8:8" hidden="1" x14ac:dyDescent="0.35">
      <c r="H10648" s="83">
        <f t="shared" si="213"/>
        <v>0</v>
      </c>
    </row>
    <row r="10649" spans="8:8" hidden="1" x14ac:dyDescent="0.35">
      <c r="H10649" s="83">
        <f t="shared" si="213"/>
        <v>0</v>
      </c>
    </row>
    <row r="10650" spans="8:8" hidden="1" x14ac:dyDescent="0.35">
      <c r="H10650" s="83">
        <f t="shared" si="213"/>
        <v>0</v>
      </c>
    </row>
    <row r="10651" spans="8:8" hidden="1" x14ac:dyDescent="0.35">
      <c r="H10651" s="83">
        <f t="shared" si="213"/>
        <v>0</v>
      </c>
    </row>
    <row r="10652" spans="8:8" hidden="1" x14ac:dyDescent="0.35">
      <c r="H10652" s="83">
        <f t="shared" si="213"/>
        <v>0</v>
      </c>
    </row>
    <row r="10653" spans="8:8" hidden="1" x14ac:dyDescent="0.35">
      <c r="H10653" s="83">
        <f t="shared" si="213"/>
        <v>0</v>
      </c>
    </row>
    <row r="10654" spans="8:8" hidden="1" x14ac:dyDescent="0.35">
      <c r="H10654" s="83">
        <f t="shared" si="213"/>
        <v>0</v>
      </c>
    </row>
    <row r="10655" spans="8:8" hidden="1" x14ac:dyDescent="0.35">
      <c r="H10655" s="83">
        <f t="shared" si="213"/>
        <v>0</v>
      </c>
    </row>
    <row r="10656" spans="8:8" hidden="1" x14ac:dyDescent="0.35">
      <c r="H10656" s="83">
        <f t="shared" si="213"/>
        <v>0</v>
      </c>
    </row>
    <row r="10657" spans="8:8" hidden="1" x14ac:dyDescent="0.35">
      <c r="H10657" s="83">
        <f t="shared" si="213"/>
        <v>0</v>
      </c>
    </row>
    <row r="10658" spans="8:8" hidden="1" x14ac:dyDescent="0.35">
      <c r="H10658" s="83">
        <f t="shared" si="213"/>
        <v>0</v>
      </c>
    </row>
    <row r="10659" spans="8:8" hidden="1" x14ac:dyDescent="0.35">
      <c r="H10659" s="83">
        <f t="shared" si="213"/>
        <v>0</v>
      </c>
    </row>
    <row r="10660" spans="8:8" hidden="1" x14ac:dyDescent="0.35">
      <c r="H10660" s="83">
        <f t="shared" si="213"/>
        <v>0</v>
      </c>
    </row>
    <row r="10661" spans="8:8" hidden="1" x14ac:dyDescent="0.35">
      <c r="H10661" s="83">
        <f t="shared" si="213"/>
        <v>0</v>
      </c>
    </row>
    <row r="10662" spans="8:8" hidden="1" x14ac:dyDescent="0.35">
      <c r="H10662" s="83">
        <f t="shared" si="213"/>
        <v>0</v>
      </c>
    </row>
    <row r="10663" spans="8:8" hidden="1" x14ac:dyDescent="0.35">
      <c r="H10663" s="83">
        <f t="shared" si="213"/>
        <v>0</v>
      </c>
    </row>
    <row r="10664" spans="8:8" hidden="1" x14ac:dyDescent="0.35">
      <c r="H10664" s="83">
        <f t="shared" si="213"/>
        <v>0</v>
      </c>
    </row>
    <row r="10665" spans="8:8" hidden="1" x14ac:dyDescent="0.35">
      <c r="H10665" s="83">
        <f t="shared" si="213"/>
        <v>0</v>
      </c>
    </row>
    <row r="10666" spans="8:8" hidden="1" x14ac:dyDescent="0.35">
      <c r="H10666" s="83">
        <f t="shared" si="213"/>
        <v>0</v>
      </c>
    </row>
    <row r="10667" spans="8:8" hidden="1" x14ac:dyDescent="0.35">
      <c r="H10667" s="83">
        <f t="shared" si="213"/>
        <v>0</v>
      </c>
    </row>
    <row r="10668" spans="8:8" hidden="1" x14ac:dyDescent="0.35">
      <c r="H10668" s="83">
        <f t="shared" si="213"/>
        <v>0</v>
      </c>
    </row>
    <row r="10669" spans="8:8" hidden="1" x14ac:dyDescent="0.35">
      <c r="H10669" s="83">
        <f t="shared" si="213"/>
        <v>0</v>
      </c>
    </row>
    <row r="10670" spans="8:8" hidden="1" x14ac:dyDescent="0.35">
      <c r="H10670" s="83">
        <f t="shared" si="213"/>
        <v>0</v>
      </c>
    </row>
    <row r="10671" spans="8:8" hidden="1" x14ac:dyDescent="0.35">
      <c r="H10671" s="83">
        <f t="shared" si="213"/>
        <v>0</v>
      </c>
    </row>
    <row r="10672" spans="8:8" hidden="1" x14ac:dyDescent="0.35">
      <c r="H10672" s="83">
        <f t="shared" si="213"/>
        <v>0</v>
      </c>
    </row>
    <row r="10673" spans="8:8" hidden="1" x14ac:dyDescent="0.35">
      <c r="H10673" s="83">
        <f t="shared" si="213"/>
        <v>0</v>
      </c>
    </row>
    <row r="10674" spans="8:8" hidden="1" x14ac:dyDescent="0.35">
      <c r="H10674" s="83">
        <f t="shared" si="213"/>
        <v>0</v>
      </c>
    </row>
    <row r="10675" spans="8:8" hidden="1" x14ac:dyDescent="0.35">
      <c r="H10675" s="83">
        <f t="shared" si="213"/>
        <v>0</v>
      </c>
    </row>
    <row r="10676" spans="8:8" hidden="1" x14ac:dyDescent="0.35">
      <c r="H10676" s="83">
        <f t="shared" si="213"/>
        <v>0</v>
      </c>
    </row>
    <row r="10677" spans="8:8" hidden="1" x14ac:dyDescent="0.35">
      <c r="H10677" s="83">
        <f t="shared" si="213"/>
        <v>0</v>
      </c>
    </row>
    <row r="10678" spans="8:8" hidden="1" x14ac:dyDescent="0.35">
      <c r="H10678" s="83">
        <f t="shared" si="213"/>
        <v>0</v>
      </c>
    </row>
    <row r="10679" spans="8:8" hidden="1" x14ac:dyDescent="0.35">
      <c r="H10679" s="83">
        <f t="shared" si="213"/>
        <v>0</v>
      </c>
    </row>
    <row r="10680" spans="8:8" hidden="1" x14ac:dyDescent="0.35">
      <c r="H10680" s="83">
        <f t="shared" si="213"/>
        <v>0</v>
      </c>
    </row>
    <row r="10681" spans="8:8" hidden="1" x14ac:dyDescent="0.35">
      <c r="H10681" s="83">
        <f t="shared" si="213"/>
        <v>0</v>
      </c>
    </row>
    <row r="10682" spans="8:8" hidden="1" x14ac:dyDescent="0.35">
      <c r="H10682" s="83">
        <f t="shared" si="213"/>
        <v>0</v>
      </c>
    </row>
    <row r="10683" spans="8:8" hidden="1" x14ac:dyDescent="0.35">
      <c r="H10683" s="83">
        <f t="shared" si="213"/>
        <v>0</v>
      </c>
    </row>
    <row r="10684" spans="8:8" hidden="1" x14ac:dyDescent="0.35">
      <c r="H10684" s="83">
        <f t="shared" si="213"/>
        <v>0</v>
      </c>
    </row>
    <row r="10685" spans="8:8" hidden="1" x14ac:dyDescent="0.35">
      <c r="H10685" s="83">
        <f t="shared" si="213"/>
        <v>0</v>
      </c>
    </row>
    <row r="10686" spans="8:8" hidden="1" x14ac:dyDescent="0.35">
      <c r="H10686" s="83">
        <f t="shared" si="213"/>
        <v>0</v>
      </c>
    </row>
    <row r="10687" spans="8:8" hidden="1" x14ac:dyDescent="0.35">
      <c r="H10687" s="83">
        <f t="shared" si="213"/>
        <v>0</v>
      </c>
    </row>
    <row r="10688" spans="8:8" hidden="1" x14ac:dyDescent="0.35">
      <c r="H10688" s="83">
        <f t="shared" si="213"/>
        <v>0</v>
      </c>
    </row>
    <row r="10689" spans="8:8" hidden="1" x14ac:dyDescent="0.35">
      <c r="H10689" s="83">
        <f t="shared" si="213"/>
        <v>0</v>
      </c>
    </row>
    <row r="10690" spans="8:8" hidden="1" x14ac:dyDescent="0.35">
      <c r="H10690" s="83">
        <f t="shared" si="213"/>
        <v>0</v>
      </c>
    </row>
    <row r="10691" spans="8:8" hidden="1" x14ac:dyDescent="0.35">
      <c r="H10691" s="83">
        <f t="shared" si="213"/>
        <v>0</v>
      </c>
    </row>
    <row r="10692" spans="8:8" hidden="1" x14ac:dyDescent="0.35">
      <c r="H10692" s="83">
        <f t="shared" ref="H10692:H10755" si="214">J10692-I10692</f>
        <v>0</v>
      </c>
    </row>
    <row r="10693" spans="8:8" hidden="1" x14ac:dyDescent="0.35">
      <c r="H10693" s="83">
        <f t="shared" si="214"/>
        <v>0</v>
      </c>
    </row>
    <row r="10694" spans="8:8" hidden="1" x14ac:dyDescent="0.35">
      <c r="H10694" s="83">
        <f t="shared" si="214"/>
        <v>0</v>
      </c>
    </row>
    <row r="10695" spans="8:8" hidden="1" x14ac:dyDescent="0.35">
      <c r="H10695" s="83">
        <f t="shared" si="214"/>
        <v>0</v>
      </c>
    </row>
    <row r="10696" spans="8:8" hidden="1" x14ac:dyDescent="0.35">
      <c r="H10696" s="83">
        <f t="shared" si="214"/>
        <v>0</v>
      </c>
    </row>
    <row r="10697" spans="8:8" hidden="1" x14ac:dyDescent="0.35">
      <c r="H10697" s="83">
        <f t="shared" si="214"/>
        <v>0</v>
      </c>
    </row>
    <row r="10698" spans="8:8" hidden="1" x14ac:dyDescent="0.35">
      <c r="H10698" s="83">
        <f t="shared" si="214"/>
        <v>0</v>
      </c>
    </row>
    <row r="10699" spans="8:8" hidden="1" x14ac:dyDescent="0.35">
      <c r="H10699" s="83">
        <f t="shared" si="214"/>
        <v>0</v>
      </c>
    </row>
    <row r="10700" spans="8:8" hidden="1" x14ac:dyDescent="0.35">
      <c r="H10700" s="83">
        <f t="shared" si="214"/>
        <v>0</v>
      </c>
    </row>
    <row r="10701" spans="8:8" hidden="1" x14ac:dyDescent="0.35">
      <c r="H10701" s="83">
        <f t="shared" si="214"/>
        <v>0</v>
      </c>
    </row>
    <row r="10702" spans="8:8" hidden="1" x14ac:dyDescent="0.35">
      <c r="H10702" s="83">
        <f t="shared" si="214"/>
        <v>0</v>
      </c>
    </row>
    <row r="10703" spans="8:8" hidden="1" x14ac:dyDescent="0.35">
      <c r="H10703" s="83">
        <f t="shared" si="214"/>
        <v>0</v>
      </c>
    </row>
    <row r="10704" spans="8:8" hidden="1" x14ac:dyDescent="0.35">
      <c r="H10704" s="83">
        <f t="shared" si="214"/>
        <v>0</v>
      </c>
    </row>
    <row r="10705" spans="8:8" hidden="1" x14ac:dyDescent="0.35">
      <c r="H10705" s="83">
        <f t="shared" si="214"/>
        <v>0</v>
      </c>
    </row>
    <row r="10706" spans="8:8" hidden="1" x14ac:dyDescent="0.35">
      <c r="H10706" s="83">
        <f t="shared" si="214"/>
        <v>0</v>
      </c>
    </row>
    <row r="10707" spans="8:8" hidden="1" x14ac:dyDescent="0.35">
      <c r="H10707" s="83">
        <f t="shared" si="214"/>
        <v>0</v>
      </c>
    </row>
    <row r="10708" spans="8:8" hidden="1" x14ac:dyDescent="0.35">
      <c r="H10708" s="83">
        <f t="shared" si="214"/>
        <v>0</v>
      </c>
    </row>
    <row r="10709" spans="8:8" hidden="1" x14ac:dyDescent="0.35">
      <c r="H10709" s="83">
        <f t="shared" si="214"/>
        <v>0</v>
      </c>
    </row>
    <row r="10710" spans="8:8" hidden="1" x14ac:dyDescent="0.35">
      <c r="H10710" s="83">
        <f t="shared" si="214"/>
        <v>0</v>
      </c>
    </row>
    <row r="10711" spans="8:8" hidden="1" x14ac:dyDescent="0.35">
      <c r="H10711" s="83">
        <f t="shared" si="214"/>
        <v>0</v>
      </c>
    </row>
    <row r="10712" spans="8:8" hidden="1" x14ac:dyDescent="0.35">
      <c r="H10712" s="83">
        <f t="shared" si="214"/>
        <v>0</v>
      </c>
    </row>
    <row r="10713" spans="8:8" hidden="1" x14ac:dyDescent="0.35">
      <c r="H10713" s="83">
        <f t="shared" si="214"/>
        <v>0</v>
      </c>
    </row>
    <row r="10714" spans="8:8" hidden="1" x14ac:dyDescent="0.35">
      <c r="H10714" s="83">
        <f t="shared" si="214"/>
        <v>0</v>
      </c>
    </row>
    <row r="10715" spans="8:8" hidden="1" x14ac:dyDescent="0.35">
      <c r="H10715" s="83">
        <f t="shared" si="214"/>
        <v>0</v>
      </c>
    </row>
    <row r="10716" spans="8:8" hidden="1" x14ac:dyDescent="0.35">
      <c r="H10716" s="83">
        <f t="shared" si="214"/>
        <v>0</v>
      </c>
    </row>
    <row r="10717" spans="8:8" hidden="1" x14ac:dyDescent="0.35">
      <c r="H10717" s="83">
        <f t="shared" si="214"/>
        <v>0</v>
      </c>
    </row>
    <row r="10718" spans="8:8" hidden="1" x14ac:dyDescent="0.35">
      <c r="H10718" s="83">
        <f t="shared" si="214"/>
        <v>0</v>
      </c>
    </row>
    <row r="10719" spans="8:8" hidden="1" x14ac:dyDescent="0.35">
      <c r="H10719" s="83">
        <f t="shared" si="214"/>
        <v>0</v>
      </c>
    </row>
    <row r="10720" spans="8:8" hidden="1" x14ac:dyDescent="0.35">
      <c r="H10720" s="83">
        <f t="shared" si="214"/>
        <v>0</v>
      </c>
    </row>
    <row r="10721" spans="8:8" hidden="1" x14ac:dyDescent="0.35">
      <c r="H10721" s="83">
        <f t="shared" si="214"/>
        <v>0</v>
      </c>
    </row>
    <row r="10722" spans="8:8" hidden="1" x14ac:dyDescent="0.35">
      <c r="H10722" s="83">
        <f t="shared" si="214"/>
        <v>0</v>
      </c>
    </row>
    <row r="10723" spans="8:8" hidden="1" x14ac:dyDescent="0.35">
      <c r="H10723" s="83">
        <f t="shared" si="214"/>
        <v>0</v>
      </c>
    </row>
    <row r="10724" spans="8:8" hidden="1" x14ac:dyDescent="0.35">
      <c r="H10724" s="83">
        <f t="shared" si="214"/>
        <v>0</v>
      </c>
    </row>
    <row r="10725" spans="8:8" hidden="1" x14ac:dyDescent="0.35">
      <c r="H10725" s="83">
        <f t="shared" si="214"/>
        <v>0</v>
      </c>
    </row>
    <row r="10726" spans="8:8" hidden="1" x14ac:dyDescent="0.35">
      <c r="H10726" s="83">
        <f t="shared" si="214"/>
        <v>0</v>
      </c>
    </row>
    <row r="10727" spans="8:8" hidden="1" x14ac:dyDescent="0.35">
      <c r="H10727" s="83">
        <f t="shared" si="214"/>
        <v>0</v>
      </c>
    </row>
    <row r="10728" spans="8:8" hidden="1" x14ac:dyDescent="0.35">
      <c r="H10728" s="83">
        <f t="shared" si="214"/>
        <v>0</v>
      </c>
    </row>
    <row r="10729" spans="8:8" hidden="1" x14ac:dyDescent="0.35">
      <c r="H10729" s="83">
        <f t="shared" si="214"/>
        <v>0</v>
      </c>
    </row>
    <row r="10730" spans="8:8" hidden="1" x14ac:dyDescent="0.35">
      <c r="H10730" s="83">
        <f t="shared" si="214"/>
        <v>0</v>
      </c>
    </row>
    <row r="10731" spans="8:8" hidden="1" x14ac:dyDescent="0.35">
      <c r="H10731" s="83">
        <f t="shared" si="214"/>
        <v>0</v>
      </c>
    </row>
    <row r="10732" spans="8:8" hidden="1" x14ac:dyDescent="0.35">
      <c r="H10732" s="83">
        <f t="shared" si="214"/>
        <v>0</v>
      </c>
    </row>
    <row r="10733" spans="8:8" hidden="1" x14ac:dyDescent="0.35">
      <c r="H10733" s="83">
        <f t="shared" si="214"/>
        <v>0</v>
      </c>
    </row>
    <row r="10734" spans="8:8" hidden="1" x14ac:dyDescent="0.35">
      <c r="H10734" s="83">
        <f t="shared" si="214"/>
        <v>0</v>
      </c>
    </row>
    <row r="10735" spans="8:8" hidden="1" x14ac:dyDescent="0.35">
      <c r="H10735" s="83">
        <f t="shared" si="214"/>
        <v>0</v>
      </c>
    </row>
    <row r="10736" spans="8:8" hidden="1" x14ac:dyDescent="0.35">
      <c r="H10736" s="83">
        <f t="shared" si="214"/>
        <v>0</v>
      </c>
    </row>
    <row r="10737" spans="8:8" hidden="1" x14ac:dyDescent="0.35">
      <c r="H10737" s="83">
        <f t="shared" si="214"/>
        <v>0</v>
      </c>
    </row>
    <row r="10738" spans="8:8" hidden="1" x14ac:dyDescent="0.35">
      <c r="H10738" s="83">
        <f t="shared" si="214"/>
        <v>0</v>
      </c>
    </row>
    <row r="10739" spans="8:8" hidden="1" x14ac:dyDescent="0.35">
      <c r="H10739" s="83">
        <f t="shared" si="214"/>
        <v>0</v>
      </c>
    </row>
    <row r="10740" spans="8:8" hidden="1" x14ac:dyDescent="0.35">
      <c r="H10740" s="83">
        <f t="shared" si="214"/>
        <v>0</v>
      </c>
    </row>
    <row r="10741" spans="8:8" hidden="1" x14ac:dyDescent="0.35">
      <c r="H10741" s="83">
        <f t="shared" si="214"/>
        <v>0</v>
      </c>
    </row>
    <row r="10742" spans="8:8" hidden="1" x14ac:dyDescent="0.35">
      <c r="H10742" s="83">
        <f t="shared" si="214"/>
        <v>0</v>
      </c>
    </row>
    <row r="10743" spans="8:8" hidden="1" x14ac:dyDescent="0.35">
      <c r="H10743" s="83">
        <f t="shared" si="214"/>
        <v>0</v>
      </c>
    </row>
    <row r="10744" spans="8:8" hidden="1" x14ac:dyDescent="0.35">
      <c r="H10744" s="83">
        <f t="shared" si="214"/>
        <v>0</v>
      </c>
    </row>
    <row r="10745" spans="8:8" hidden="1" x14ac:dyDescent="0.35">
      <c r="H10745" s="83">
        <f t="shared" si="214"/>
        <v>0</v>
      </c>
    </row>
    <row r="10746" spans="8:8" hidden="1" x14ac:dyDescent="0.35">
      <c r="H10746" s="83">
        <f t="shared" si="214"/>
        <v>0</v>
      </c>
    </row>
    <row r="10747" spans="8:8" hidden="1" x14ac:dyDescent="0.35">
      <c r="H10747" s="83">
        <f t="shared" si="214"/>
        <v>0</v>
      </c>
    </row>
    <row r="10748" spans="8:8" hidden="1" x14ac:dyDescent="0.35">
      <c r="H10748" s="83">
        <f t="shared" si="214"/>
        <v>0</v>
      </c>
    </row>
    <row r="10749" spans="8:8" hidden="1" x14ac:dyDescent="0.35">
      <c r="H10749" s="83">
        <f t="shared" si="214"/>
        <v>0</v>
      </c>
    </row>
    <row r="10750" spans="8:8" hidden="1" x14ac:dyDescent="0.35">
      <c r="H10750" s="83">
        <f t="shared" si="214"/>
        <v>0</v>
      </c>
    </row>
    <row r="10751" spans="8:8" hidden="1" x14ac:dyDescent="0.35">
      <c r="H10751" s="83">
        <f t="shared" si="214"/>
        <v>0</v>
      </c>
    </row>
    <row r="10752" spans="8:8" hidden="1" x14ac:dyDescent="0.35">
      <c r="H10752" s="83">
        <f t="shared" si="214"/>
        <v>0</v>
      </c>
    </row>
    <row r="10753" spans="8:8" hidden="1" x14ac:dyDescent="0.35">
      <c r="H10753" s="83">
        <f t="shared" si="214"/>
        <v>0</v>
      </c>
    </row>
    <row r="10754" spans="8:8" hidden="1" x14ac:dyDescent="0.35">
      <c r="H10754" s="83">
        <f t="shared" si="214"/>
        <v>0</v>
      </c>
    </row>
    <row r="10755" spans="8:8" hidden="1" x14ac:dyDescent="0.35">
      <c r="H10755" s="83">
        <f t="shared" si="214"/>
        <v>0</v>
      </c>
    </row>
    <row r="10756" spans="8:8" hidden="1" x14ac:dyDescent="0.35">
      <c r="H10756" s="83">
        <f t="shared" ref="H10756:H10819" si="215">J10756-I10756</f>
        <v>0</v>
      </c>
    </row>
    <row r="10757" spans="8:8" hidden="1" x14ac:dyDescent="0.35">
      <c r="H10757" s="83">
        <f t="shared" si="215"/>
        <v>0</v>
      </c>
    </row>
    <row r="10758" spans="8:8" hidden="1" x14ac:dyDescent="0.35">
      <c r="H10758" s="83">
        <f t="shared" si="215"/>
        <v>0</v>
      </c>
    </row>
    <row r="10759" spans="8:8" hidden="1" x14ac:dyDescent="0.35">
      <c r="H10759" s="83">
        <f t="shared" si="215"/>
        <v>0</v>
      </c>
    </row>
    <row r="10760" spans="8:8" hidden="1" x14ac:dyDescent="0.35">
      <c r="H10760" s="83">
        <f t="shared" si="215"/>
        <v>0</v>
      </c>
    </row>
    <row r="10761" spans="8:8" hidden="1" x14ac:dyDescent="0.35">
      <c r="H10761" s="83">
        <f t="shared" si="215"/>
        <v>0</v>
      </c>
    </row>
    <row r="10762" spans="8:8" hidden="1" x14ac:dyDescent="0.35">
      <c r="H10762" s="83">
        <f t="shared" si="215"/>
        <v>0</v>
      </c>
    </row>
    <row r="10763" spans="8:8" hidden="1" x14ac:dyDescent="0.35">
      <c r="H10763" s="83">
        <f t="shared" si="215"/>
        <v>0</v>
      </c>
    </row>
    <row r="10764" spans="8:8" hidden="1" x14ac:dyDescent="0.35">
      <c r="H10764" s="83">
        <f t="shared" si="215"/>
        <v>0</v>
      </c>
    </row>
    <row r="10765" spans="8:8" hidden="1" x14ac:dyDescent="0.35">
      <c r="H10765" s="83">
        <f t="shared" si="215"/>
        <v>0</v>
      </c>
    </row>
    <row r="10766" spans="8:8" hidden="1" x14ac:dyDescent="0.35">
      <c r="H10766" s="83">
        <f t="shared" si="215"/>
        <v>0</v>
      </c>
    </row>
    <row r="10767" spans="8:8" hidden="1" x14ac:dyDescent="0.35">
      <c r="H10767" s="83">
        <f t="shared" si="215"/>
        <v>0</v>
      </c>
    </row>
    <row r="10768" spans="8:8" hidden="1" x14ac:dyDescent="0.35">
      <c r="H10768" s="83">
        <f t="shared" si="215"/>
        <v>0</v>
      </c>
    </row>
    <row r="10769" spans="8:8" hidden="1" x14ac:dyDescent="0.35">
      <c r="H10769" s="83">
        <f t="shared" si="215"/>
        <v>0</v>
      </c>
    </row>
    <row r="10770" spans="8:8" hidden="1" x14ac:dyDescent="0.35">
      <c r="H10770" s="83">
        <f t="shared" si="215"/>
        <v>0</v>
      </c>
    </row>
    <row r="10771" spans="8:8" hidden="1" x14ac:dyDescent="0.35">
      <c r="H10771" s="83">
        <f t="shared" si="215"/>
        <v>0</v>
      </c>
    </row>
    <row r="10772" spans="8:8" hidden="1" x14ac:dyDescent="0.35">
      <c r="H10772" s="83">
        <f t="shared" si="215"/>
        <v>0</v>
      </c>
    </row>
    <row r="10773" spans="8:8" hidden="1" x14ac:dyDescent="0.35">
      <c r="H10773" s="83">
        <f t="shared" si="215"/>
        <v>0</v>
      </c>
    </row>
    <row r="10774" spans="8:8" hidden="1" x14ac:dyDescent="0.35">
      <c r="H10774" s="83">
        <f t="shared" si="215"/>
        <v>0</v>
      </c>
    </row>
    <row r="10775" spans="8:8" hidden="1" x14ac:dyDescent="0.35">
      <c r="H10775" s="83">
        <f t="shared" si="215"/>
        <v>0</v>
      </c>
    </row>
    <row r="10776" spans="8:8" hidden="1" x14ac:dyDescent="0.35">
      <c r="H10776" s="83">
        <f t="shared" si="215"/>
        <v>0</v>
      </c>
    </row>
    <row r="10777" spans="8:8" hidden="1" x14ac:dyDescent="0.35">
      <c r="H10777" s="83">
        <f t="shared" si="215"/>
        <v>0</v>
      </c>
    </row>
    <row r="10778" spans="8:8" hidden="1" x14ac:dyDescent="0.35">
      <c r="H10778" s="83">
        <f t="shared" si="215"/>
        <v>0</v>
      </c>
    </row>
    <row r="10779" spans="8:8" hidden="1" x14ac:dyDescent="0.35">
      <c r="H10779" s="83">
        <f t="shared" si="215"/>
        <v>0</v>
      </c>
    </row>
    <row r="10780" spans="8:8" hidden="1" x14ac:dyDescent="0.35">
      <c r="H10780" s="83">
        <f t="shared" si="215"/>
        <v>0</v>
      </c>
    </row>
    <row r="10781" spans="8:8" hidden="1" x14ac:dyDescent="0.35">
      <c r="H10781" s="83">
        <f t="shared" si="215"/>
        <v>0</v>
      </c>
    </row>
    <row r="10782" spans="8:8" hidden="1" x14ac:dyDescent="0.35">
      <c r="H10782" s="83">
        <f t="shared" si="215"/>
        <v>0</v>
      </c>
    </row>
    <row r="10783" spans="8:8" hidden="1" x14ac:dyDescent="0.35">
      <c r="H10783" s="83">
        <f t="shared" si="215"/>
        <v>0</v>
      </c>
    </row>
    <row r="10784" spans="8:8" hidden="1" x14ac:dyDescent="0.35">
      <c r="H10784" s="83">
        <f t="shared" si="215"/>
        <v>0</v>
      </c>
    </row>
    <row r="10785" spans="8:8" hidden="1" x14ac:dyDescent="0.35">
      <c r="H10785" s="83">
        <f t="shared" si="215"/>
        <v>0</v>
      </c>
    </row>
    <row r="10786" spans="8:8" hidden="1" x14ac:dyDescent="0.35">
      <c r="H10786" s="83">
        <f t="shared" si="215"/>
        <v>0</v>
      </c>
    </row>
    <row r="10787" spans="8:8" hidden="1" x14ac:dyDescent="0.35">
      <c r="H10787" s="83">
        <f t="shared" si="215"/>
        <v>0</v>
      </c>
    </row>
    <row r="10788" spans="8:8" hidden="1" x14ac:dyDescent="0.35">
      <c r="H10788" s="83">
        <f t="shared" si="215"/>
        <v>0</v>
      </c>
    </row>
    <row r="10789" spans="8:8" hidden="1" x14ac:dyDescent="0.35">
      <c r="H10789" s="83">
        <f t="shared" si="215"/>
        <v>0</v>
      </c>
    </row>
    <row r="10790" spans="8:8" hidden="1" x14ac:dyDescent="0.35">
      <c r="H10790" s="83">
        <f t="shared" si="215"/>
        <v>0</v>
      </c>
    </row>
    <row r="10791" spans="8:8" hidden="1" x14ac:dyDescent="0.35">
      <c r="H10791" s="83">
        <f t="shared" si="215"/>
        <v>0</v>
      </c>
    </row>
    <row r="10792" spans="8:8" hidden="1" x14ac:dyDescent="0.35">
      <c r="H10792" s="83">
        <f t="shared" si="215"/>
        <v>0</v>
      </c>
    </row>
    <row r="10793" spans="8:8" hidden="1" x14ac:dyDescent="0.35">
      <c r="H10793" s="83">
        <f t="shared" si="215"/>
        <v>0</v>
      </c>
    </row>
    <row r="10794" spans="8:8" hidden="1" x14ac:dyDescent="0.35">
      <c r="H10794" s="83">
        <f t="shared" si="215"/>
        <v>0</v>
      </c>
    </row>
    <row r="10795" spans="8:8" hidden="1" x14ac:dyDescent="0.35">
      <c r="H10795" s="83">
        <f t="shared" si="215"/>
        <v>0</v>
      </c>
    </row>
    <row r="10796" spans="8:8" hidden="1" x14ac:dyDescent="0.35">
      <c r="H10796" s="83">
        <f t="shared" si="215"/>
        <v>0</v>
      </c>
    </row>
    <row r="10797" spans="8:8" hidden="1" x14ac:dyDescent="0.35">
      <c r="H10797" s="83">
        <f t="shared" si="215"/>
        <v>0</v>
      </c>
    </row>
    <row r="10798" spans="8:8" hidden="1" x14ac:dyDescent="0.35">
      <c r="H10798" s="83">
        <f t="shared" si="215"/>
        <v>0</v>
      </c>
    </row>
    <row r="10799" spans="8:8" hidden="1" x14ac:dyDescent="0.35">
      <c r="H10799" s="83">
        <f t="shared" si="215"/>
        <v>0</v>
      </c>
    </row>
    <row r="10800" spans="8:8" hidden="1" x14ac:dyDescent="0.35">
      <c r="H10800" s="83">
        <f t="shared" si="215"/>
        <v>0</v>
      </c>
    </row>
    <row r="10801" spans="8:8" hidden="1" x14ac:dyDescent="0.35">
      <c r="H10801" s="83">
        <f t="shared" si="215"/>
        <v>0</v>
      </c>
    </row>
    <row r="10802" spans="8:8" hidden="1" x14ac:dyDescent="0.35">
      <c r="H10802" s="83">
        <f t="shared" si="215"/>
        <v>0</v>
      </c>
    </row>
    <row r="10803" spans="8:8" hidden="1" x14ac:dyDescent="0.35">
      <c r="H10803" s="83">
        <f t="shared" si="215"/>
        <v>0</v>
      </c>
    </row>
    <row r="10804" spans="8:8" hidden="1" x14ac:dyDescent="0.35">
      <c r="H10804" s="83">
        <f t="shared" si="215"/>
        <v>0</v>
      </c>
    </row>
    <row r="10805" spans="8:8" hidden="1" x14ac:dyDescent="0.35">
      <c r="H10805" s="83">
        <f t="shared" si="215"/>
        <v>0</v>
      </c>
    </row>
    <row r="10806" spans="8:8" hidden="1" x14ac:dyDescent="0.35">
      <c r="H10806" s="83">
        <f t="shared" si="215"/>
        <v>0</v>
      </c>
    </row>
    <row r="10807" spans="8:8" hidden="1" x14ac:dyDescent="0.35">
      <c r="H10807" s="83">
        <f t="shared" si="215"/>
        <v>0</v>
      </c>
    </row>
    <row r="10808" spans="8:8" hidden="1" x14ac:dyDescent="0.35">
      <c r="H10808" s="83">
        <f t="shared" si="215"/>
        <v>0</v>
      </c>
    </row>
    <row r="10809" spans="8:8" hidden="1" x14ac:dyDescent="0.35">
      <c r="H10809" s="83">
        <f t="shared" si="215"/>
        <v>0</v>
      </c>
    </row>
    <row r="10810" spans="8:8" hidden="1" x14ac:dyDescent="0.35">
      <c r="H10810" s="83">
        <f t="shared" si="215"/>
        <v>0</v>
      </c>
    </row>
    <row r="10811" spans="8:8" hidden="1" x14ac:dyDescent="0.35">
      <c r="H10811" s="83">
        <f t="shared" si="215"/>
        <v>0</v>
      </c>
    </row>
    <row r="10812" spans="8:8" hidden="1" x14ac:dyDescent="0.35">
      <c r="H10812" s="83">
        <f t="shared" si="215"/>
        <v>0</v>
      </c>
    </row>
    <row r="10813" spans="8:8" hidden="1" x14ac:dyDescent="0.35">
      <c r="H10813" s="83">
        <f t="shared" si="215"/>
        <v>0</v>
      </c>
    </row>
    <row r="10814" spans="8:8" hidden="1" x14ac:dyDescent="0.35">
      <c r="H10814" s="83">
        <f t="shared" si="215"/>
        <v>0</v>
      </c>
    </row>
    <row r="10815" spans="8:8" hidden="1" x14ac:dyDescent="0.35">
      <c r="H10815" s="83">
        <f t="shared" si="215"/>
        <v>0</v>
      </c>
    </row>
    <row r="10816" spans="8:8" hidden="1" x14ac:dyDescent="0.35">
      <c r="H10816" s="83">
        <f t="shared" si="215"/>
        <v>0</v>
      </c>
    </row>
    <row r="10817" spans="8:8" hidden="1" x14ac:dyDescent="0.35">
      <c r="H10817" s="83">
        <f t="shared" si="215"/>
        <v>0</v>
      </c>
    </row>
    <row r="10818" spans="8:8" hidden="1" x14ac:dyDescent="0.35">
      <c r="H10818" s="83">
        <f t="shared" si="215"/>
        <v>0</v>
      </c>
    </row>
    <row r="10819" spans="8:8" hidden="1" x14ac:dyDescent="0.35">
      <c r="H10819" s="83">
        <f t="shared" si="215"/>
        <v>0</v>
      </c>
    </row>
    <row r="10820" spans="8:8" hidden="1" x14ac:dyDescent="0.35">
      <c r="H10820" s="83">
        <f t="shared" ref="H10820:H10883" si="216">J10820-I10820</f>
        <v>0</v>
      </c>
    </row>
    <row r="10821" spans="8:8" hidden="1" x14ac:dyDescent="0.35">
      <c r="H10821" s="83">
        <f t="shared" si="216"/>
        <v>0</v>
      </c>
    </row>
    <row r="10822" spans="8:8" hidden="1" x14ac:dyDescent="0.35">
      <c r="H10822" s="83">
        <f t="shared" si="216"/>
        <v>0</v>
      </c>
    </row>
    <row r="10823" spans="8:8" hidden="1" x14ac:dyDescent="0.35">
      <c r="H10823" s="83">
        <f t="shared" si="216"/>
        <v>0</v>
      </c>
    </row>
    <row r="10824" spans="8:8" hidden="1" x14ac:dyDescent="0.35">
      <c r="H10824" s="83">
        <f t="shared" si="216"/>
        <v>0</v>
      </c>
    </row>
    <row r="10825" spans="8:8" hidden="1" x14ac:dyDescent="0.35">
      <c r="H10825" s="83">
        <f t="shared" si="216"/>
        <v>0</v>
      </c>
    </row>
    <row r="10826" spans="8:8" hidden="1" x14ac:dyDescent="0.35">
      <c r="H10826" s="83">
        <f t="shared" si="216"/>
        <v>0</v>
      </c>
    </row>
    <row r="10827" spans="8:8" hidden="1" x14ac:dyDescent="0.35">
      <c r="H10827" s="83">
        <f t="shared" si="216"/>
        <v>0</v>
      </c>
    </row>
    <row r="10828" spans="8:8" hidden="1" x14ac:dyDescent="0.35">
      <c r="H10828" s="83">
        <f t="shared" si="216"/>
        <v>0</v>
      </c>
    </row>
    <row r="10829" spans="8:8" hidden="1" x14ac:dyDescent="0.35">
      <c r="H10829" s="83">
        <f t="shared" si="216"/>
        <v>0</v>
      </c>
    </row>
    <row r="10830" spans="8:8" hidden="1" x14ac:dyDescent="0.35">
      <c r="H10830" s="83">
        <f t="shared" si="216"/>
        <v>0</v>
      </c>
    </row>
    <row r="10831" spans="8:8" hidden="1" x14ac:dyDescent="0.35">
      <c r="H10831" s="83">
        <f t="shared" si="216"/>
        <v>0</v>
      </c>
    </row>
    <row r="10832" spans="8:8" hidden="1" x14ac:dyDescent="0.35">
      <c r="H10832" s="83">
        <f t="shared" si="216"/>
        <v>0</v>
      </c>
    </row>
    <row r="10833" spans="8:8" hidden="1" x14ac:dyDescent="0.35">
      <c r="H10833" s="83">
        <f t="shared" si="216"/>
        <v>0</v>
      </c>
    </row>
    <row r="10834" spans="8:8" hidden="1" x14ac:dyDescent="0.35">
      <c r="H10834" s="83">
        <f t="shared" si="216"/>
        <v>0</v>
      </c>
    </row>
    <row r="10835" spans="8:8" hidden="1" x14ac:dyDescent="0.35">
      <c r="H10835" s="83">
        <f t="shared" si="216"/>
        <v>0</v>
      </c>
    </row>
    <row r="10836" spans="8:8" hidden="1" x14ac:dyDescent="0.35">
      <c r="H10836" s="83">
        <f t="shared" si="216"/>
        <v>0</v>
      </c>
    </row>
    <row r="10837" spans="8:8" hidden="1" x14ac:dyDescent="0.35">
      <c r="H10837" s="83">
        <f t="shared" si="216"/>
        <v>0</v>
      </c>
    </row>
    <row r="10838" spans="8:8" hidden="1" x14ac:dyDescent="0.35">
      <c r="H10838" s="83">
        <f t="shared" si="216"/>
        <v>0</v>
      </c>
    </row>
    <row r="10839" spans="8:8" hidden="1" x14ac:dyDescent="0.35">
      <c r="H10839" s="83">
        <f t="shared" si="216"/>
        <v>0</v>
      </c>
    </row>
    <row r="10840" spans="8:8" hidden="1" x14ac:dyDescent="0.35">
      <c r="H10840" s="83">
        <f t="shared" si="216"/>
        <v>0</v>
      </c>
    </row>
    <row r="10841" spans="8:8" hidden="1" x14ac:dyDescent="0.35">
      <c r="H10841" s="83">
        <f t="shared" si="216"/>
        <v>0</v>
      </c>
    </row>
    <row r="10842" spans="8:8" hidden="1" x14ac:dyDescent="0.35">
      <c r="H10842" s="83">
        <f t="shared" si="216"/>
        <v>0</v>
      </c>
    </row>
    <row r="10843" spans="8:8" hidden="1" x14ac:dyDescent="0.35">
      <c r="H10843" s="83">
        <f t="shared" si="216"/>
        <v>0</v>
      </c>
    </row>
    <row r="10844" spans="8:8" hidden="1" x14ac:dyDescent="0.35">
      <c r="H10844" s="83">
        <f t="shared" si="216"/>
        <v>0</v>
      </c>
    </row>
    <row r="10845" spans="8:8" hidden="1" x14ac:dyDescent="0.35">
      <c r="H10845" s="83">
        <f t="shared" si="216"/>
        <v>0</v>
      </c>
    </row>
    <row r="10846" spans="8:8" hidden="1" x14ac:dyDescent="0.35">
      <c r="H10846" s="83">
        <f t="shared" si="216"/>
        <v>0</v>
      </c>
    </row>
    <row r="10847" spans="8:8" hidden="1" x14ac:dyDescent="0.35">
      <c r="H10847" s="83">
        <f t="shared" si="216"/>
        <v>0</v>
      </c>
    </row>
    <row r="10848" spans="8:8" hidden="1" x14ac:dyDescent="0.35">
      <c r="H10848" s="83">
        <f t="shared" si="216"/>
        <v>0</v>
      </c>
    </row>
    <row r="10849" spans="8:8" hidden="1" x14ac:dyDescent="0.35">
      <c r="H10849" s="83">
        <f t="shared" si="216"/>
        <v>0</v>
      </c>
    </row>
    <row r="10850" spans="8:8" hidden="1" x14ac:dyDescent="0.35">
      <c r="H10850" s="83">
        <f t="shared" si="216"/>
        <v>0</v>
      </c>
    </row>
    <row r="10851" spans="8:8" hidden="1" x14ac:dyDescent="0.35">
      <c r="H10851" s="83">
        <f t="shared" si="216"/>
        <v>0</v>
      </c>
    </row>
    <row r="10852" spans="8:8" hidden="1" x14ac:dyDescent="0.35">
      <c r="H10852" s="83">
        <f t="shared" si="216"/>
        <v>0</v>
      </c>
    </row>
    <row r="10853" spans="8:8" hidden="1" x14ac:dyDescent="0.35">
      <c r="H10853" s="83">
        <f t="shared" si="216"/>
        <v>0</v>
      </c>
    </row>
    <row r="10854" spans="8:8" hidden="1" x14ac:dyDescent="0.35">
      <c r="H10854" s="83">
        <f t="shared" si="216"/>
        <v>0</v>
      </c>
    </row>
    <row r="10855" spans="8:8" hidden="1" x14ac:dyDescent="0.35">
      <c r="H10855" s="83">
        <f t="shared" si="216"/>
        <v>0</v>
      </c>
    </row>
    <row r="10856" spans="8:8" hidden="1" x14ac:dyDescent="0.35">
      <c r="H10856" s="83">
        <f t="shared" si="216"/>
        <v>0</v>
      </c>
    </row>
    <row r="10857" spans="8:8" hidden="1" x14ac:dyDescent="0.35">
      <c r="H10857" s="83">
        <f t="shared" si="216"/>
        <v>0</v>
      </c>
    </row>
    <row r="10858" spans="8:8" hidden="1" x14ac:dyDescent="0.35">
      <c r="H10858" s="83">
        <f t="shared" si="216"/>
        <v>0</v>
      </c>
    </row>
    <row r="10859" spans="8:8" hidden="1" x14ac:dyDescent="0.35">
      <c r="H10859" s="83">
        <f t="shared" si="216"/>
        <v>0</v>
      </c>
    </row>
    <row r="10860" spans="8:8" hidden="1" x14ac:dyDescent="0.35">
      <c r="H10860" s="83">
        <f t="shared" si="216"/>
        <v>0</v>
      </c>
    </row>
    <row r="10861" spans="8:8" hidden="1" x14ac:dyDescent="0.35">
      <c r="H10861" s="83">
        <f t="shared" si="216"/>
        <v>0</v>
      </c>
    </row>
    <row r="10862" spans="8:8" hidden="1" x14ac:dyDescent="0.35">
      <c r="H10862" s="83">
        <f t="shared" si="216"/>
        <v>0</v>
      </c>
    </row>
    <row r="10863" spans="8:8" hidden="1" x14ac:dyDescent="0.35">
      <c r="H10863" s="83">
        <f t="shared" si="216"/>
        <v>0</v>
      </c>
    </row>
    <row r="10864" spans="8:8" hidden="1" x14ac:dyDescent="0.35">
      <c r="H10864" s="83">
        <f t="shared" si="216"/>
        <v>0</v>
      </c>
    </row>
    <row r="10865" spans="8:8" hidden="1" x14ac:dyDescent="0.35">
      <c r="H10865" s="83">
        <f t="shared" si="216"/>
        <v>0</v>
      </c>
    </row>
    <row r="10866" spans="8:8" hidden="1" x14ac:dyDescent="0.35">
      <c r="H10866" s="83">
        <f t="shared" si="216"/>
        <v>0</v>
      </c>
    </row>
    <row r="10867" spans="8:8" hidden="1" x14ac:dyDescent="0.35">
      <c r="H10867" s="83">
        <f t="shared" si="216"/>
        <v>0</v>
      </c>
    </row>
    <row r="10868" spans="8:8" hidden="1" x14ac:dyDescent="0.35">
      <c r="H10868" s="83">
        <f t="shared" si="216"/>
        <v>0</v>
      </c>
    </row>
    <row r="10869" spans="8:8" hidden="1" x14ac:dyDescent="0.35">
      <c r="H10869" s="83">
        <f t="shared" si="216"/>
        <v>0</v>
      </c>
    </row>
    <row r="10870" spans="8:8" hidden="1" x14ac:dyDescent="0.35">
      <c r="H10870" s="83">
        <f t="shared" si="216"/>
        <v>0</v>
      </c>
    </row>
    <row r="10871" spans="8:8" hidden="1" x14ac:dyDescent="0.35">
      <c r="H10871" s="83">
        <f t="shared" si="216"/>
        <v>0</v>
      </c>
    </row>
    <row r="10872" spans="8:8" hidden="1" x14ac:dyDescent="0.35">
      <c r="H10872" s="83">
        <f t="shared" si="216"/>
        <v>0</v>
      </c>
    </row>
    <row r="10873" spans="8:8" hidden="1" x14ac:dyDescent="0.35">
      <c r="H10873" s="83">
        <f t="shared" si="216"/>
        <v>0</v>
      </c>
    </row>
    <row r="10874" spans="8:8" hidden="1" x14ac:dyDescent="0.35">
      <c r="H10874" s="83">
        <f t="shared" si="216"/>
        <v>0</v>
      </c>
    </row>
    <row r="10875" spans="8:8" hidden="1" x14ac:dyDescent="0.35">
      <c r="H10875" s="83">
        <f t="shared" si="216"/>
        <v>0</v>
      </c>
    </row>
    <row r="10876" spans="8:8" hidden="1" x14ac:dyDescent="0.35">
      <c r="H10876" s="83">
        <f t="shared" si="216"/>
        <v>0</v>
      </c>
    </row>
    <row r="10877" spans="8:8" hidden="1" x14ac:dyDescent="0.35">
      <c r="H10877" s="83">
        <f t="shared" si="216"/>
        <v>0</v>
      </c>
    </row>
    <row r="10878" spans="8:8" hidden="1" x14ac:dyDescent="0.35">
      <c r="H10878" s="83">
        <f t="shared" si="216"/>
        <v>0</v>
      </c>
    </row>
    <row r="10879" spans="8:8" hidden="1" x14ac:dyDescent="0.35">
      <c r="H10879" s="83">
        <f t="shared" si="216"/>
        <v>0</v>
      </c>
    </row>
    <row r="10880" spans="8:8" hidden="1" x14ac:dyDescent="0.35">
      <c r="H10880" s="83">
        <f t="shared" si="216"/>
        <v>0</v>
      </c>
    </row>
    <row r="10881" spans="8:8" hidden="1" x14ac:dyDescent="0.35">
      <c r="H10881" s="83">
        <f t="shared" si="216"/>
        <v>0</v>
      </c>
    </row>
    <row r="10882" spans="8:8" hidden="1" x14ac:dyDescent="0.35">
      <c r="H10882" s="83">
        <f t="shared" si="216"/>
        <v>0</v>
      </c>
    </row>
    <row r="10883" spans="8:8" hidden="1" x14ac:dyDescent="0.35">
      <c r="H10883" s="83">
        <f t="shared" si="216"/>
        <v>0</v>
      </c>
    </row>
    <row r="10884" spans="8:8" hidden="1" x14ac:dyDescent="0.35">
      <c r="H10884" s="83">
        <f t="shared" ref="H10884:H10947" si="217">J10884-I10884</f>
        <v>0</v>
      </c>
    </row>
    <row r="10885" spans="8:8" hidden="1" x14ac:dyDescent="0.35">
      <c r="H10885" s="83">
        <f t="shared" si="217"/>
        <v>0</v>
      </c>
    </row>
    <row r="10886" spans="8:8" hidden="1" x14ac:dyDescent="0.35">
      <c r="H10886" s="83">
        <f t="shared" si="217"/>
        <v>0</v>
      </c>
    </row>
    <row r="10887" spans="8:8" hidden="1" x14ac:dyDescent="0.35">
      <c r="H10887" s="83">
        <f t="shared" si="217"/>
        <v>0</v>
      </c>
    </row>
    <row r="10888" spans="8:8" hidden="1" x14ac:dyDescent="0.35">
      <c r="H10888" s="83">
        <f t="shared" si="217"/>
        <v>0</v>
      </c>
    </row>
    <row r="10889" spans="8:8" hidden="1" x14ac:dyDescent="0.35">
      <c r="H10889" s="83">
        <f t="shared" si="217"/>
        <v>0</v>
      </c>
    </row>
    <row r="10890" spans="8:8" hidden="1" x14ac:dyDescent="0.35">
      <c r="H10890" s="83">
        <f t="shared" si="217"/>
        <v>0</v>
      </c>
    </row>
    <row r="10891" spans="8:8" hidden="1" x14ac:dyDescent="0.35">
      <c r="H10891" s="83">
        <f t="shared" si="217"/>
        <v>0</v>
      </c>
    </row>
    <row r="10892" spans="8:8" hidden="1" x14ac:dyDescent="0.35">
      <c r="H10892" s="83">
        <f t="shared" si="217"/>
        <v>0</v>
      </c>
    </row>
    <row r="10893" spans="8:8" hidden="1" x14ac:dyDescent="0.35">
      <c r="H10893" s="83">
        <f t="shared" si="217"/>
        <v>0</v>
      </c>
    </row>
    <row r="10894" spans="8:8" hidden="1" x14ac:dyDescent="0.35">
      <c r="H10894" s="83">
        <f t="shared" si="217"/>
        <v>0</v>
      </c>
    </row>
    <row r="10895" spans="8:8" hidden="1" x14ac:dyDescent="0.35">
      <c r="H10895" s="83">
        <f t="shared" si="217"/>
        <v>0</v>
      </c>
    </row>
    <row r="10896" spans="8:8" hidden="1" x14ac:dyDescent="0.35">
      <c r="H10896" s="83">
        <f t="shared" si="217"/>
        <v>0</v>
      </c>
    </row>
    <row r="10897" spans="8:8" hidden="1" x14ac:dyDescent="0.35">
      <c r="H10897" s="83">
        <f t="shared" si="217"/>
        <v>0</v>
      </c>
    </row>
    <row r="10898" spans="8:8" hidden="1" x14ac:dyDescent="0.35">
      <c r="H10898" s="83">
        <f t="shared" si="217"/>
        <v>0</v>
      </c>
    </row>
    <row r="10899" spans="8:8" hidden="1" x14ac:dyDescent="0.35">
      <c r="H10899" s="83">
        <f t="shared" si="217"/>
        <v>0</v>
      </c>
    </row>
    <row r="10900" spans="8:8" hidden="1" x14ac:dyDescent="0.35">
      <c r="H10900" s="83">
        <f t="shared" si="217"/>
        <v>0</v>
      </c>
    </row>
    <row r="10901" spans="8:8" hidden="1" x14ac:dyDescent="0.35">
      <c r="H10901" s="83">
        <f t="shared" si="217"/>
        <v>0</v>
      </c>
    </row>
    <row r="10902" spans="8:8" hidden="1" x14ac:dyDescent="0.35">
      <c r="H10902" s="83">
        <f t="shared" si="217"/>
        <v>0</v>
      </c>
    </row>
    <row r="10903" spans="8:8" hidden="1" x14ac:dyDescent="0.35">
      <c r="H10903" s="83">
        <f t="shared" si="217"/>
        <v>0</v>
      </c>
    </row>
    <row r="10904" spans="8:8" hidden="1" x14ac:dyDescent="0.35">
      <c r="H10904" s="83">
        <f t="shared" si="217"/>
        <v>0</v>
      </c>
    </row>
    <row r="10905" spans="8:8" hidden="1" x14ac:dyDescent="0.35">
      <c r="H10905" s="83">
        <f t="shared" si="217"/>
        <v>0</v>
      </c>
    </row>
    <row r="10906" spans="8:8" hidden="1" x14ac:dyDescent="0.35">
      <c r="H10906" s="83">
        <f t="shared" si="217"/>
        <v>0</v>
      </c>
    </row>
    <row r="10907" spans="8:8" hidden="1" x14ac:dyDescent="0.35">
      <c r="H10907" s="83">
        <f t="shared" si="217"/>
        <v>0</v>
      </c>
    </row>
    <row r="10908" spans="8:8" hidden="1" x14ac:dyDescent="0.35">
      <c r="H10908" s="83">
        <f t="shared" si="217"/>
        <v>0</v>
      </c>
    </row>
    <row r="10909" spans="8:8" hidden="1" x14ac:dyDescent="0.35">
      <c r="H10909" s="83">
        <f t="shared" si="217"/>
        <v>0</v>
      </c>
    </row>
    <row r="10910" spans="8:8" hidden="1" x14ac:dyDescent="0.35">
      <c r="H10910" s="83">
        <f t="shared" si="217"/>
        <v>0</v>
      </c>
    </row>
    <row r="10911" spans="8:8" hidden="1" x14ac:dyDescent="0.35">
      <c r="H10911" s="83">
        <f t="shared" si="217"/>
        <v>0</v>
      </c>
    </row>
    <row r="10912" spans="8:8" hidden="1" x14ac:dyDescent="0.35">
      <c r="H10912" s="83">
        <f t="shared" si="217"/>
        <v>0</v>
      </c>
    </row>
    <row r="10913" spans="8:8" hidden="1" x14ac:dyDescent="0.35">
      <c r="H10913" s="83">
        <f t="shared" si="217"/>
        <v>0</v>
      </c>
    </row>
    <row r="10914" spans="8:8" hidden="1" x14ac:dyDescent="0.35">
      <c r="H10914" s="83">
        <f t="shared" si="217"/>
        <v>0</v>
      </c>
    </row>
    <row r="10915" spans="8:8" hidden="1" x14ac:dyDescent="0.35">
      <c r="H10915" s="83">
        <f t="shared" si="217"/>
        <v>0</v>
      </c>
    </row>
    <row r="10916" spans="8:8" hidden="1" x14ac:dyDescent="0.35">
      <c r="H10916" s="83">
        <f t="shared" si="217"/>
        <v>0</v>
      </c>
    </row>
    <row r="10917" spans="8:8" hidden="1" x14ac:dyDescent="0.35">
      <c r="H10917" s="83">
        <f t="shared" si="217"/>
        <v>0</v>
      </c>
    </row>
    <row r="10918" spans="8:8" hidden="1" x14ac:dyDescent="0.35">
      <c r="H10918" s="83">
        <f t="shared" si="217"/>
        <v>0</v>
      </c>
    </row>
    <row r="10919" spans="8:8" hidden="1" x14ac:dyDescent="0.35">
      <c r="H10919" s="83">
        <f t="shared" si="217"/>
        <v>0</v>
      </c>
    </row>
    <row r="10920" spans="8:8" hidden="1" x14ac:dyDescent="0.35">
      <c r="H10920" s="83">
        <f t="shared" si="217"/>
        <v>0</v>
      </c>
    </row>
    <row r="10921" spans="8:8" hidden="1" x14ac:dyDescent="0.35">
      <c r="H10921" s="83">
        <f t="shared" si="217"/>
        <v>0</v>
      </c>
    </row>
    <row r="10922" spans="8:8" hidden="1" x14ac:dyDescent="0.35">
      <c r="H10922" s="83">
        <f t="shared" si="217"/>
        <v>0</v>
      </c>
    </row>
    <row r="10923" spans="8:8" hidden="1" x14ac:dyDescent="0.35">
      <c r="H10923" s="83">
        <f t="shared" si="217"/>
        <v>0</v>
      </c>
    </row>
    <row r="10924" spans="8:8" hidden="1" x14ac:dyDescent="0.35">
      <c r="H10924" s="83">
        <f t="shared" si="217"/>
        <v>0</v>
      </c>
    </row>
    <row r="10925" spans="8:8" hidden="1" x14ac:dyDescent="0.35">
      <c r="H10925" s="83">
        <f t="shared" si="217"/>
        <v>0</v>
      </c>
    </row>
    <row r="10926" spans="8:8" hidden="1" x14ac:dyDescent="0.35">
      <c r="H10926" s="83">
        <f t="shared" si="217"/>
        <v>0</v>
      </c>
    </row>
    <row r="10927" spans="8:8" hidden="1" x14ac:dyDescent="0.35">
      <c r="H10927" s="83">
        <f t="shared" si="217"/>
        <v>0</v>
      </c>
    </row>
    <row r="10928" spans="8:8" hidden="1" x14ac:dyDescent="0.35">
      <c r="H10928" s="83">
        <f t="shared" si="217"/>
        <v>0</v>
      </c>
    </row>
    <row r="10929" spans="8:8" hidden="1" x14ac:dyDescent="0.35">
      <c r="H10929" s="83">
        <f t="shared" si="217"/>
        <v>0</v>
      </c>
    </row>
    <row r="10930" spans="8:8" hidden="1" x14ac:dyDescent="0.35">
      <c r="H10930" s="83">
        <f t="shared" si="217"/>
        <v>0</v>
      </c>
    </row>
    <row r="10931" spans="8:8" hidden="1" x14ac:dyDescent="0.35">
      <c r="H10931" s="83">
        <f t="shared" si="217"/>
        <v>0</v>
      </c>
    </row>
    <row r="10932" spans="8:8" hidden="1" x14ac:dyDescent="0.35">
      <c r="H10932" s="83">
        <f t="shared" si="217"/>
        <v>0</v>
      </c>
    </row>
    <row r="10933" spans="8:8" hidden="1" x14ac:dyDescent="0.35">
      <c r="H10933" s="83">
        <f t="shared" si="217"/>
        <v>0</v>
      </c>
    </row>
    <row r="10934" spans="8:8" hidden="1" x14ac:dyDescent="0.35">
      <c r="H10934" s="83">
        <f t="shared" si="217"/>
        <v>0</v>
      </c>
    </row>
    <row r="10935" spans="8:8" hidden="1" x14ac:dyDescent="0.35">
      <c r="H10935" s="83">
        <f t="shared" si="217"/>
        <v>0</v>
      </c>
    </row>
    <row r="10936" spans="8:8" hidden="1" x14ac:dyDescent="0.35">
      <c r="H10936" s="83">
        <f t="shared" si="217"/>
        <v>0</v>
      </c>
    </row>
    <row r="10937" spans="8:8" hidden="1" x14ac:dyDescent="0.35">
      <c r="H10937" s="83">
        <f t="shared" si="217"/>
        <v>0</v>
      </c>
    </row>
    <row r="10938" spans="8:8" hidden="1" x14ac:dyDescent="0.35">
      <c r="H10938" s="83">
        <f t="shared" si="217"/>
        <v>0</v>
      </c>
    </row>
    <row r="10939" spans="8:8" hidden="1" x14ac:dyDescent="0.35">
      <c r="H10939" s="83">
        <f t="shared" si="217"/>
        <v>0</v>
      </c>
    </row>
    <row r="10940" spans="8:8" hidden="1" x14ac:dyDescent="0.35">
      <c r="H10940" s="83">
        <f t="shared" si="217"/>
        <v>0</v>
      </c>
    </row>
    <row r="10941" spans="8:8" hidden="1" x14ac:dyDescent="0.35">
      <c r="H10941" s="83">
        <f t="shared" si="217"/>
        <v>0</v>
      </c>
    </row>
    <row r="10942" spans="8:8" hidden="1" x14ac:dyDescent="0.35">
      <c r="H10942" s="83">
        <f t="shared" si="217"/>
        <v>0</v>
      </c>
    </row>
    <row r="10943" spans="8:8" hidden="1" x14ac:dyDescent="0.35">
      <c r="H10943" s="83">
        <f t="shared" si="217"/>
        <v>0</v>
      </c>
    </row>
    <row r="10944" spans="8:8" hidden="1" x14ac:dyDescent="0.35">
      <c r="H10944" s="83">
        <f t="shared" si="217"/>
        <v>0</v>
      </c>
    </row>
    <row r="10945" spans="8:8" hidden="1" x14ac:dyDescent="0.35">
      <c r="H10945" s="83">
        <f t="shared" si="217"/>
        <v>0</v>
      </c>
    </row>
    <row r="10946" spans="8:8" hidden="1" x14ac:dyDescent="0.35">
      <c r="H10946" s="83">
        <f t="shared" si="217"/>
        <v>0</v>
      </c>
    </row>
    <row r="10947" spans="8:8" hidden="1" x14ac:dyDescent="0.35">
      <c r="H10947" s="83">
        <f t="shared" si="217"/>
        <v>0</v>
      </c>
    </row>
    <row r="10948" spans="8:8" hidden="1" x14ac:dyDescent="0.35">
      <c r="H10948" s="83">
        <f t="shared" ref="H10948:H11011" si="218">J10948-I10948</f>
        <v>0</v>
      </c>
    </row>
    <row r="10949" spans="8:8" hidden="1" x14ac:dyDescent="0.35">
      <c r="H10949" s="83">
        <f t="shared" si="218"/>
        <v>0</v>
      </c>
    </row>
    <row r="10950" spans="8:8" hidden="1" x14ac:dyDescent="0.35">
      <c r="H10950" s="83">
        <f t="shared" si="218"/>
        <v>0</v>
      </c>
    </row>
    <row r="10951" spans="8:8" hidden="1" x14ac:dyDescent="0.35">
      <c r="H10951" s="83">
        <f t="shared" si="218"/>
        <v>0</v>
      </c>
    </row>
    <row r="10952" spans="8:8" hidden="1" x14ac:dyDescent="0.35">
      <c r="H10952" s="83">
        <f t="shared" si="218"/>
        <v>0</v>
      </c>
    </row>
    <row r="10953" spans="8:8" hidden="1" x14ac:dyDescent="0.35">
      <c r="H10953" s="83">
        <f t="shared" si="218"/>
        <v>0</v>
      </c>
    </row>
    <row r="10954" spans="8:8" hidden="1" x14ac:dyDescent="0.35">
      <c r="H10954" s="83">
        <f t="shared" si="218"/>
        <v>0</v>
      </c>
    </row>
    <row r="10955" spans="8:8" hidden="1" x14ac:dyDescent="0.35">
      <c r="H10955" s="83">
        <f t="shared" si="218"/>
        <v>0</v>
      </c>
    </row>
    <row r="10956" spans="8:8" hidden="1" x14ac:dyDescent="0.35">
      <c r="H10956" s="83">
        <f t="shared" si="218"/>
        <v>0</v>
      </c>
    </row>
    <row r="10957" spans="8:8" hidden="1" x14ac:dyDescent="0.35">
      <c r="H10957" s="83">
        <f t="shared" si="218"/>
        <v>0</v>
      </c>
    </row>
    <row r="10958" spans="8:8" hidden="1" x14ac:dyDescent="0.35">
      <c r="H10958" s="83">
        <f t="shared" si="218"/>
        <v>0</v>
      </c>
    </row>
    <row r="10959" spans="8:8" hidden="1" x14ac:dyDescent="0.35">
      <c r="H10959" s="83">
        <f t="shared" si="218"/>
        <v>0</v>
      </c>
    </row>
    <row r="10960" spans="8:8" hidden="1" x14ac:dyDescent="0.35">
      <c r="H10960" s="83">
        <f t="shared" si="218"/>
        <v>0</v>
      </c>
    </row>
    <row r="10961" spans="8:8" hidden="1" x14ac:dyDescent="0.35">
      <c r="H10961" s="83">
        <f t="shared" si="218"/>
        <v>0</v>
      </c>
    </row>
    <row r="10962" spans="8:8" hidden="1" x14ac:dyDescent="0.35">
      <c r="H10962" s="83">
        <f t="shared" si="218"/>
        <v>0</v>
      </c>
    </row>
    <row r="10963" spans="8:8" hidden="1" x14ac:dyDescent="0.35">
      <c r="H10963" s="83">
        <f t="shared" si="218"/>
        <v>0</v>
      </c>
    </row>
    <row r="10964" spans="8:8" hidden="1" x14ac:dyDescent="0.35">
      <c r="H10964" s="83">
        <f t="shared" si="218"/>
        <v>0</v>
      </c>
    </row>
    <row r="10965" spans="8:8" hidden="1" x14ac:dyDescent="0.35">
      <c r="H10965" s="83">
        <f t="shared" si="218"/>
        <v>0</v>
      </c>
    </row>
    <row r="10966" spans="8:8" hidden="1" x14ac:dyDescent="0.35">
      <c r="H10966" s="83">
        <f t="shared" si="218"/>
        <v>0</v>
      </c>
    </row>
    <row r="10967" spans="8:8" hidden="1" x14ac:dyDescent="0.35">
      <c r="H10967" s="83">
        <f t="shared" si="218"/>
        <v>0</v>
      </c>
    </row>
    <row r="10968" spans="8:8" hidden="1" x14ac:dyDescent="0.35">
      <c r="H10968" s="83">
        <f t="shared" si="218"/>
        <v>0</v>
      </c>
    </row>
    <row r="10969" spans="8:8" hidden="1" x14ac:dyDescent="0.35">
      <c r="H10969" s="83">
        <f t="shared" si="218"/>
        <v>0</v>
      </c>
    </row>
    <row r="10970" spans="8:8" hidden="1" x14ac:dyDescent="0.35">
      <c r="H10970" s="83">
        <f t="shared" si="218"/>
        <v>0</v>
      </c>
    </row>
    <row r="10971" spans="8:8" hidden="1" x14ac:dyDescent="0.35">
      <c r="H10971" s="83">
        <f t="shared" si="218"/>
        <v>0</v>
      </c>
    </row>
    <row r="10972" spans="8:8" hidden="1" x14ac:dyDescent="0.35">
      <c r="H10972" s="83">
        <f t="shared" si="218"/>
        <v>0</v>
      </c>
    </row>
    <row r="10973" spans="8:8" hidden="1" x14ac:dyDescent="0.35">
      <c r="H10973" s="83">
        <f t="shared" si="218"/>
        <v>0</v>
      </c>
    </row>
    <row r="10974" spans="8:8" hidden="1" x14ac:dyDescent="0.35">
      <c r="H10974" s="83">
        <f t="shared" si="218"/>
        <v>0</v>
      </c>
    </row>
    <row r="10975" spans="8:8" hidden="1" x14ac:dyDescent="0.35">
      <c r="H10975" s="83">
        <f t="shared" si="218"/>
        <v>0</v>
      </c>
    </row>
    <row r="10976" spans="8:8" hidden="1" x14ac:dyDescent="0.35">
      <c r="H10976" s="83">
        <f t="shared" si="218"/>
        <v>0</v>
      </c>
    </row>
    <row r="10977" spans="8:8" hidden="1" x14ac:dyDescent="0.35">
      <c r="H10977" s="83">
        <f t="shared" si="218"/>
        <v>0</v>
      </c>
    </row>
    <row r="10978" spans="8:8" hidden="1" x14ac:dyDescent="0.35">
      <c r="H10978" s="83">
        <f t="shared" si="218"/>
        <v>0</v>
      </c>
    </row>
    <row r="10979" spans="8:8" hidden="1" x14ac:dyDescent="0.35">
      <c r="H10979" s="83">
        <f t="shared" si="218"/>
        <v>0</v>
      </c>
    </row>
    <row r="10980" spans="8:8" hidden="1" x14ac:dyDescent="0.35">
      <c r="H10980" s="83">
        <f t="shared" si="218"/>
        <v>0</v>
      </c>
    </row>
    <row r="10981" spans="8:8" hidden="1" x14ac:dyDescent="0.35">
      <c r="H10981" s="83">
        <f t="shared" si="218"/>
        <v>0</v>
      </c>
    </row>
    <row r="10982" spans="8:8" hidden="1" x14ac:dyDescent="0.35">
      <c r="H10982" s="83">
        <f t="shared" si="218"/>
        <v>0</v>
      </c>
    </row>
    <row r="10983" spans="8:8" hidden="1" x14ac:dyDescent="0.35">
      <c r="H10983" s="83">
        <f t="shared" si="218"/>
        <v>0</v>
      </c>
    </row>
    <row r="10984" spans="8:8" hidden="1" x14ac:dyDescent="0.35">
      <c r="H10984" s="83">
        <f t="shared" si="218"/>
        <v>0</v>
      </c>
    </row>
    <row r="10985" spans="8:8" hidden="1" x14ac:dyDescent="0.35">
      <c r="H10985" s="83">
        <f t="shared" si="218"/>
        <v>0</v>
      </c>
    </row>
    <row r="10986" spans="8:8" hidden="1" x14ac:dyDescent="0.35">
      <c r="H10986" s="83">
        <f t="shared" si="218"/>
        <v>0</v>
      </c>
    </row>
    <row r="10987" spans="8:8" hidden="1" x14ac:dyDescent="0.35">
      <c r="H10987" s="83">
        <f t="shared" si="218"/>
        <v>0</v>
      </c>
    </row>
    <row r="10988" spans="8:8" hidden="1" x14ac:dyDescent="0.35">
      <c r="H10988" s="83">
        <f t="shared" si="218"/>
        <v>0</v>
      </c>
    </row>
    <row r="10989" spans="8:8" hidden="1" x14ac:dyDescent="0.35">
      <c r="H10989" s="83">
        <f t="shared" si="218"/>
        <v>0</v>
      </c>
    </row>
    <row r="10990" spans="8:8" hidden="1" x14ac:dyDescent="0.35">
      <c r="H10990" s="83">
        <f t="shared" si="218"/>
        <v>0</v>
      </c>
    </row>
    <row r="10991" spans="8:8" hidden="1" x14ac:dyDescent="0.35">
      <c r="H10991" s="83">
        <f t="shared" si="218"/>
        <v>0</v>
      </c>
    </row>
    <row r="10992" spans="8:8" hidden="1" x14ac:dyDescent="0.35">
      <c r="H10992" s="83">
        <f t="shared" si="218"/>
        <v>0</v>
      </c>
    </row>
    <row r="10993" spans="8:8" hidden="1" x14ac:dyDescent="0.35">
      <c r="H10993" s="83">
        <f t="shared" si="218"/>
        <v>0</v>
      </c>
    </row>
    <row r="10994" spans="8:8" hidden="1" x14ac:dyDescent="0.35">
      <c r="H10994" s="83">
        <f t="shared" si="218"/>
        <v>0</v>
      </c>
    </row>
    <row r="10995" spans="8:8" hidden="1" x14ac:dyDescent="0.35">
      <c r="H10995" s="83">
        <f t="shared" si="218"/>
        <v>0</v>
      </c>
    </row>
    <row r="10996" spans="8:8" hidden="1" x14ac:dyDescent="0.35">
      <c r="H10996" s="83">
        <f t="shared" si="218"/>
        <v>0</v>
      </c>
    </row>
    <row r="10997" spans="8:8" hidden="1" x14ac:dyDescent="0.35">
      <c r="H10997" s="83">
        <f t="shared" si="218"/>
        <v>0</v>
      </c>
    </row>
    <row r="10998" spans="8:8" hidden="1" x14ac:dyDescent="0.35">
      <c r="H10998" s="83">
        <f t="shared" si="218"/>
        <v>0</v>
      </c>
    </row>
    <row r="10999" spans="8:8" hidden="1" x14ac:dyDescent="0.35">
      <c r="H10999" s="83">
        <f t="shared" si="218"/>
        <v>0</v>
      </c>
    </row>
    <row r="11000" spans="8:8" hidden="1" x14ac:dyDescent="0.35">
      <c r="H11000" s="83">
        <f t="shared" si="218"/>
        <v>0</v>
      </c>
    </row>
    <row r="11001" spans="8:8" hidden="1" x14ac:dyDescent="0.35">
      <c r="H11001" s="83">
        <f t="shared" si="218"/>
        <v>0</v>
      </c>
    </row>
    <row r="11002" spans="8:8" hidden="1" x14ac:dyDescent="0.35">
      <c r="H11002" s="83">
        <f t="shared" si="218"/>
        <v>0</v>
      </c>
    </row>
    <row r="11003" spans="8:8" hidden="1" x14ac:dyDescent="0.35">
      <c r="H11003" s="83">
        <f t="shared" si="218"/>
        <v>0</v>
      </c>
    </row>
    <row r="11004" spans="8:8" hidden="1" x14ac:dyDescent="0.35">
      <c r="H11004" s="83">
        <f t="shared" si="218"/>
        <v>0</v>
      </c>
    </row>
    <row r="11005" spans="8:8" hidden="1" x14ac:dyDescent="0.35">
      <c r="H11005" s="83">
        <f t="shared" si="218"/>
        <v>0</v>
      </c>
    </row>
    <row r="11006" spans="8:8" hidden="1" x14ac:dyDescent="0.35">
      <c r="H11006" s="83">
        <f t="shared" si="218"/>
        <v>0</v>
      </c>
    </row>
    <row r="11007" spans="8:8" hidden="1" x14ac:dyDescent="0.35">
      <c r="H11007" s="83">
        <f t="shared" si="218"/>
        <v>0</v>
      </c>
    </row>
    <row r="11008" spans="8:8" hidden="1" x14ac:dyDescent="0.35">
      <c r="H11008" s="83">
        <f t="shared" si="218"/>
        <v>0</v>
      </c>
    </row>
    <row r="11009" spans="8:8" hidden="1" x14ac:dyDescent="0.35">
      <c r="H11009" s="83">
        <f t="shared" si="218"/>
        <v>0</v>
      </c>
    </row>
    <row r="11010" spans="8:8" hidden="1" x14ac:dyDescent="0.35">
      <c r="H11010" s="83">
        <f t="shared" si="218"/>
        <v>0</v>
      </c>
    </row>
    <row r="11011" spans="8:8" hidden="1" x14ac:dyDescent="0.35">
      <c r="H11011" s="83">
        <f t="shared" si="218"/>
        <v>0</v>
      </c>
    </row>
    <row r="11012" spans="8:8" hidden="1" x14ac:dyDescent="0.35">
      <c r="H11012" s="83">
        <f t="shared" ref="H11012:H11075" si="219">J11012-I11012</f>
        <v>0</v>
      </c>
    </row>
    <row r="11013" spans="8:8" hidden="1" x14ac:dyDescent="0.35">
      <c r="H11013" s="83">
        <f t="shared" si="219"/>
        <v>0</v>
      </c>
    </row>
    <row r="11014" spans="8:8" hidden="1" x14ac:dyDescent="0.35">
      <c r="H11014" s="83">
        <f t="shared" si="219"/>
        <v>0</v>
      </c>
    </row>
    <row r="11015" spans="8:8" hidden="1" x14ac:dyDescent="0.35">
      <c r="H11015" s="83">
        <f t="shared" si="219"/>
        <v>0</v>
      </c>
    </row>
    <row r="11016" spans="8:8" hidden="1" x14ac:dyDescent="0.35">
      <c r="H11016" s="83">
        <f t="shared" si="219"/>
        <v>0</v>
      </c>
    </row>
    <row r="11017" spans="8:8" hidden="1" x14ac:dyDescent="0.35">
      <c r="H11017" s="83">
        <f t="shared" si="219"/>
        <v>0</v>
      </c>
    </row>
    <row r="11018" spans="8:8" hidden="1" x14ac:dyDescent="0.35">
      <c r="H11018" s="83">
        <f t="shared" si="219"/>
        <v>0</v>
      </c>
    </row>
    <row r="11019" spans="8:8" hidden="1" x14ac:dyDescent="0.35">
      <c r="H11019" s="83">
        <f t="shared" si="219"/>
        <v>0</v>
      </c>
    </row>
    <row r="11020" spans="8:8" hidden="1" x14ac:dyDescent="0.35">
      <c r="H11020" s="83">
        <f t="shared" si="219"/>
        <v>0</v>
      </c>
    </row>
    <row r="11021" spans="8:8" hidden="1" x14ac:dyDescent="0.35">
      <c r="H11021" s="83">
        <f t="shared" si="219"/>
        <v>0</v>
      </c>
    </row>
    <row r="11022" spans="8:8" hidden="1" x14ac:dyDescent="0.35">
      <c r="H11022" s="83">
        <f t="shared" si="219"/>
        <v>0</v>
      </c>
    </row>
    <row r="11023" spans="8:8" hidden="1" x14ac:dyDescent="0.35">
      <c r="H11023" s="83">
        <f t="shared" si="219"/>
        <v>0</v>
      </c>
    </row>
    <row r="11024" spans="8:8" hidden="1" x14ac:dyDescent="0.35">
      <c r="H11024" s="83">
        <f t="shared" si="219"/>
        <v>0</v>
      </c>
    </row>
    <row r="11025" spans="8:8" hidden="1" x14ac:dyDescent="0.35">
      <c r="H11025" s="83">
        <f t="shared" si="219"/>
        <v>0</v>
      </c>
    </row>
    <row r="11026" spans="8:8" hidden="1" x14ac:dyDescent="0.35">
      <c r="H11026" s="83">
        <f t="shared" si="219"/>
        <v>0</v>
      </c>
    </row>
    <row r="11027" spans="8:8" hidden="1" x14ac:dyDescent="0.35">
      <c r="H11027" s="83">
        <f t="shared" si="219"/>
        <v>0</v>
      </c>
    </row>
    <row r="11028" spans="8:8" hidden="1" x14ac:dyDescent="0.35">
      <c r="H11028" s="83">
        <f t="shared" si="219"/>
        <v>0</v>
      </c>
    </row>
    <row r="11029" spans="8:8" hidden="1" x14ac:dyDescent="0.35">
      <c r="H11029" s="83">
        <f t="shared" si="219"/>
        <v>0</v>
      </c>
    </row>
    <row r="11030" spans="8:8" hidden="1" x14ac:dyDescent="0.35">
      <c r="H11030" s="83">
        <f t="shared" si="219"/>
        <v>0</v>
      </c>
    </row>
    <row r="11031" spans="8:8" hidden="1" x14ac:dyDescent="0.35">
      <c r="H11031" s="83">
        <f t="shared" si="219"/>
        <v>0</v>
      </c>
    </row>
    <row r="11032" spans="8:8" hidden="1" x14ac:dyDescent="0.35">
      <c r="H11032" s="83">
        <f t="shared" si="219"/>
        <v>0</v>
      </c>
    </row>
    <row r="11033" spans="8:8" hidden="1" x14ac:dyDescent="0.35">
      <c r="H11033" s="83">
        <f t="shared" si="219"/>
        <v>0</v>
      </c>
    </row>
    <row r="11034" spans="8:8" hidden="1" x14ac:dyDescent="0.35">
      <c r="H11034" s="83">
        <f t="shared" si="219"/>
        <v>0</v>
      </c>
    </row>
    <row r="11035" spans="8:8" hidden="1" x14ac:dyDescent="0.35">
      <c r="H11035" s="83">
        <f t="shared" si="219"/>
        <v>0</v>
      </c>
    </row>
    <row r="11036" spans="8:8" hidden="1" x14ac:dyDescent="0.35">
      <c r="H11036" s="83">
        <f t="shared" si="219"/>
        <v>0</v>
      </c>
    </row>
    <row r="11037" spans="8:8" hidden="1" x14ac:dyDescent="0.35">
      <c r="H11037" s="83">
        <f t="shared" si="219"/>
        <v>0</v>
      </c>
    </row>
    <row r="11038" spans="8:8" hidden="1" x14ac:dyDescent="0.35">
      <c r="H11038" s="83">
        <f t="shared" si="219"/>
        <v>0</v>
      </c>
    </row>
    <row r="11039" spans="8:8" hidden="1" x14ac:dyDescent="0.35">
      <c r="H11039" s="83">
        <f t="shared" si="219"/>
        <v>0</v>
      </c>
    </row>
    <row r="11040" spans="8:8" hidden="1" x14ac:dyDescent="0.35">
      <c r="H11040" s="83">
        <f t="shared" si="219"/>
        <v>0</v>
      </c>
    </row>
    <row r="11041" spans="8:8" hidden="1" x14ac:dyDescent="0.35">
      <c r="H11041" s="83">
        <f t="shared" si="219"/>
        <v>0</v>
      </c>
    </row>
    <row r="11042" spans="8:8" hidden="1" x14ac:dyDescent="0.35">
      <c r="H11042" s="83">
        <f t="shared" si="219"/>
        <v>0</v>
      </c>
    </row>
    <row r="11043" spans="8:8" hidden="1" x14ac:dyDescent="0.35">
      <c r="H11043" s="83">
        <f t="shared" si="219"/>
        <v>0</v>
      </c>
    </row>
    <row r="11044" spans="8:8" hidden="1" x14ac:dyDescent="0.35">
      <c r="H11044" s="83">
        <f t="shared" si="219"/>
        <v>0</v>
      </c>
    </row>
    <row r="11045" spans="8:8" hidden="1" x14ac:dyDescent="0.35">
      <c r="H11045" s="83">
        <f t="shared" si="219"/>
        <v>0</v>
      </c>
    </row>
    <row r="11046" spans="8:8" hidden="1" x14ac:dyDescent="0.35">
      <c r="H11046" s="83">
        <f t="shared" si="219"/>
        <v>0</v>
      </c>
    </row>
    <row r="11047" spans="8:8" hidden="1" x14ac:dyDescent="0.35">
      <c r="H11047" s="83">
        <f t="shared" si="219"/>
        <v>0</v>
      </c>
    </row>
    <row r="11048" spans="8:8" hidden="1" x14ac:dyDescent="0.35">
      <c r="H11048" s="83">
        <f t="shared" si="219"/>
        <v>0</v>
      </c>
    </row>
    <row r="11049" spans="8:8" hidden="1" x14ac:dyDescent="0.35">
      <c r="H11049" s="83">
        <f t="shared" si="219"/>
        <v>0</v>
      </c>
    </row>
    <row r="11050" spans="8:8" hidden="1" x14ac:dyDescent="0.35">
      <c r="H11050" s="83">
        <f t="shared" si="219"/>
        <v>0</v>
      </c>
    </row>
    <row r="11051" spans="8:8" hidden="1" x14ac:dyDescent="0.35">
      <c r="H11051" s="83">
        <f t="shared" si="219"/>
        <v>0</v>
      </c>
    </row>
    <row r="11052" spans="8:8" hidden="1" x14ac:dyDescent="0.35">
      <c r="H11052" s="83">
        <f t="shared" si="219"/>
        <v>0</v>
      </c>
    </row>
    <row r="11053" spans="8:8" hidden="1" x14ac:dyDescent="0.35">
      <c r="H11053" s="83">
        <f t="shared" si="219"/>
        <v>0</v>
      </c>
    </row>
    <row r="11054" spans="8:8" hidden="1" x14ac:dyDescent="0.35">
      <c r="H11054" s="83">
        <f t="shared" si="219"/>
        <v>0</v>
      </c>
    </row>
    <row r="11055" spans="8:8" hidden="1" x14ac:dyDescent="0.35">
      <c r="H11055" s="83">
        <f t="shared" si="219"/>
        <v>0</v>
      </c>
    </row>
    <row r="11056" spans="8:8" hidden="1" x14ac:dyDescent="0.35">
      <c r="H11056" s="83">
        <f t="shared" si="219"/>
        <v>0</v>
      </c>
    </row>
    <row r="11057" spans="8:8" hidden="1" x14ac:dyDescent="0.35">
      <c r="H11057" s="83">
        <f t="shared" si="219"/>
        <v>0</v>
      </c>
    </row>
    <row r="11058" spans="8:8" hidden="1" x14ac:dyDescent="0.35">
      <c r="H11058" s="83">
        <f t="shared" si="219"/>
        <v>0</v>
      </c>
    </row>
    <row r="11059" spans="8:8" hidden="1" x14ac:dyDescent="0.35">
      <c r="H11059" s="83">
        <f t="shared" si="219"/>
        <v>0</v>
      </c>
    </row>
    <row r="11060" spans="8:8" hidden="1" x14ac:dyDescent="0.35">
      <c r="H11060" s="83">
        <f t="shared" si="219"/>
        <v>0</v>
      </c>
    </row>
    <row r="11061" spans="8:8" hidden="1" x14ac:dyDescent="0.35">
      <c r="H11061" s="83">
        <f t="shared" si="219"/>
        <v>0</v>
      </c>
    </row>
    <row r="11062" spans="8:8" hidden="1" x14ac:dyDescent="0.35">
      <c r="H11062" s="83">
        <f t="shared" si="219"/>
        <v>0</v>
      </c>
    </row>
    <row r="11063" spans="8:8" hidden="1" x14ac:dyDescent="0.35">
      <c r="H11063" s="83">
        <f t="shared" si="219"/>
        <v>0</v>
      </c>
    </row>
    <row r="11064" spans="8:8" hidden="1" x14ac:dyDescent="0.35">
      <c r="H11064" s="83">
        <f t="shared" si="219"/>
        <v>0</v>
      </c>
    </row>
    <row r="11065" spans="8:8" hidden="1" x14ac:dyDescent="0.35">
      <c r="H11065" s="83">
        <f t="shared" si="219"/>
        <v>0</v>
      </c>
    </row>
    <row r="11066" spans="8:8" hidden="1" x14ac:dyDescent="0.35">
      <c r="H11066" s="83">
        <f t="shared" si="219"/>
        <v>0</v>
      </c>
    </row>
    <row r="11067" spans="8:8" hidden="1" x14ac:dyDescent="0.35">
      <c r="H11067" s="83">
        <f t="shared" si="219"/>
        <v>0</v>
      </c>
    </row>
    <row r="11068" spans="8:8" hidden="1" x14ac:dyDescent="0.35">
      <c r="H11068" s="83">
        <f t="shared" si="219"/>
        <v>0</v>
      </c>
    </row>
    <row r="11069" spans="8:8" hidden="1" x14ac:dyDescent="0.35">
      <c r="H11069" s="83">
        <f t="shared" si="219"/>
        <v>0</v>
      </c>
    </row>
    <row r="11070" spans="8:8" hidden="1" x14ac:dyDescent="0.35">
      <c r="H11070" s="83">
        <f t="shared" si="219"/>
        <v>0</v>
      </c>
    </row>
    <row r="11071" spans="8:8" hidden="1" x14ac:dyDescent="0.35">
      <c r="H11071" s="83">
        <f t="shared" si="219"/>
        <v>0</v>
      </c>
    </row>
    <row r="11072" spans="8:8" hidden="1" x14ac:dyDescent="0.35">
      <c r="H11072" s="83">
        <f t="shared" si="219"/>
        <v>0</v>
      </c>
    </row>
    <row r="11073" spans="8:8" hidden="1" x14ac:dyDescent="0.35">
      <c r="H11073" s="83">
        <f t="shared" si="219"/>
        <v>0</v>
      </c>
    </row>
    <row r="11074" spans="8:8" hidden="1" x14ac:dyDescent="0.35">
      <c r="H11074" s="83">
        <f t="shared" si="219"/>
        <v>0</v>
      </c>
    </row>
    <row r="11075" spans="8:8" hidden="1" x14ac:dyDescent="0.35">
      <c r="H11075" s="83">
        <f t="shared" si="219"/>
        <v>0</v>
      </c>
    </row>
    <row r="11076" spans="8:8" hidden="1" x14ac:dyDescent="0.35">
      <c r="H11076" s="83">
        <f t="shared" ref="H11076:H11139" si="220">J11076-I11076</f>
        <v>0</v>
      </c>
    </row>
    <row r="11077" spans="8:8" hidden="1" x14ac:dyDescent="0.35">
      <c r="H11077" s="83">
        <f t="shared" si="220"/>
        <v>0</v>
      </c>
    </row>
    <row r="11078" spans="8:8" hidden="1" x14ac:dyDescent="0.35">
      <c r="H11078" s="83">
        <f t="shared" si="220"/>
        <v>0</v>
      </c>
    </row>
    <row r="11079" spans="8:8" hidden="1" x14ac:dyDescent="0.35">
      <c r="H11079" s="83">
        <f t="shared" si="220"/>
        <v>0</v>
      </c>
    </row>
    <row r="11080" spans="8:8" hidden="1" x14ac:dyDescent="0.35">
      <c r="H11080" s="83">
        <f t="shared" si="220"/>
        <v>0</v>
      </c>
    </row>
    <row r="11081" spans="8:8" hidden="1" x14ac:dyDescent="0.35">
      <c r="H11081" s="83">
        <f t="shared" si="220"/>
        <v>0</v>
      </c>
    </row>
    <row r="11082" spans="8:8" hidden="1" x14ac:dyDescent="0.35">
      <c r="H11082" s="83">
        <f t="shared" si="220"/>
        <v>0</v>
      </c>
    </row>
    <row r="11083" spans="8:8" hidden="1" x14ac:dyDescent="0.35">
      <c r="H11083" s="83">
        <f t="shared" si="220"/>
        <v>0</v>
      </c>
    </row>
    <row r="11084" spans="8:8" hidden="1" x14ac:dyDescent="0.35">
      <c r="H11084" s="83">
        <f t="shared" si="220"/>
        <v>0</v>
      </c>
    </row>
    <row r="11085" spans="8:8" hidden="1" x14ac:dyDescent="0.35">
      <c r="H11085" s="83">
        <f t="shared" si="220"/>
        <v>0</v>
      </c>
    </row>
    <row r="11086" spans="8:8" hidden="1" x14ac:dyDescent="0.35">
      <c r="H11086" s="83">
        <f t="shared" si="220"/>
        <v>0</v>
      </c>
    </row>
    <row r="11087" spans="8:8" hidden="1" x14ac:dyDescent="0.35">
      <c r="H11087" s="83">
        <f t="shared" si="220"/>
        <v>0</v>
      </c>
    </row>
    <row r="11088" spans="8:8" hidden="1" x14ac:dyDescent="0.35">
      <c r="H11088" s="83">
        <f t="shared" si="220"/>
        <v>0</v>
      </c>
    </row>
    <row r="11089" spans="8:8" hidden="1" x14ac:dyDescent="0.35">
      <c r="H11089" s="83">
        <f t="shared" si="220"/>
        <v>0</v>
      </c>
    </row>
    <row r="11090" spans="8:8" hidden="1" x14ac:dyDescent="0.35">
      <c r="H11090" s="83">
        <f t="shared" si="220"/>
        <v>0</v>
      </c>
    </row>
    <row r="11091" spans="8:8" hidden="1" x14ac:dyDescent="0.35">
      <c r="H11091" s="83">
        <f t="shared" si="220"/>
        <v>0</v>
      </c>
    </row>
    <row r="11092" spans="8:8" hidden="1" x14ac:dyDescent="0.35">
      <c r="H11092" s="83">
        <f t="shared" si="220"/>
        <v>0</v>
      </c>
    </row>
    <row r="11093" spans="8:8" hidden="1" x14ac:dyDescent="0.35">
      <c r="H11093" s="83">
        <f t="shared" si="220"/>
        <v>0</v>
      </c>
    </row>
    <row r="11094" spans="8:8" hidden="1" x14ac:dyDescent="0.35">
      <c r="H11094" s="83">
        <f t="shared" si="220"/>
        <v>0</v>
      </c>
    </row>
    <row r="11095" spans="8:8" hidden="1" x14ac:dyDescent="0.35">
      <c r="H11095" s="83">
        <f t="shared" si="220"/>
        <v>0</v>
      </c>
    </row>
    <row r="11096" spans="8:8" hidden="1" x14ac:dyDescent="0.35">
      <c r="H11096" s="83">
        <f t="shared" si="220"/>
        <v>0</v>
      </c>
    </row>
    <row r="11097" spans="8:8" hidden="1" x14ac:dyDescent="0.35">
      <c r="H11097" s="83">
        <f t="shared" si="220"/>
        <v>0</v>
      </c>
    </row>
    <row r="11098" spans="8:8" hidden="1" x14ac:dyDescent="0.35">
      <c r="H11098" s="83">
        <f t="shared" si="220"/>
        <v>0</v>
      </c>
    </row>
    <row r="11099" spans="8:8" hidden="1" x14ac:dyDescent="0.35">
      <c r="H11099" s="83">
        <f t="shared" si="220"/>
        <v>0</v>
      </c>
    </row>
    <row r="11100" spans="8:8" hidden="1" x14ac:dyDescent="0.35">
      <c r="H11100" s="83">
        <f t="shared" si="220"/>
        <v>0</v>
      </c>
    </row>
    <row r="11101" spans="8:8" hidden="1" x14ac:dyDescent="0.35">
      <c r="H11101" s="83">
        <f t="shared" si="220"/>
        <v>0</v>
      </c>
    </row>
    <row r="11102" spans="8:8" hidden="1" x14ac:dyDescent="0.35">
      <c r="H11102" s="83">
        <f t="shared" si="220"/>
        <v>0</v>
      </c>
    </row>
    <row r="11103" spans="8:8" hidden="1" x14ac:dyDescent="0.35">
      <c r="H11103" s="83">
        <f t="shared" si="220"/>
        <v>0</v>
      </c>
    </row>
    <row r="11104" spans="8:8" hidden="1" x14ac:dyDescent="0.35">
      <c r="H11104" s="83">
        <f t="shared" si="220"/>
        <v>0</v>
      </c>
    </row>
    <row r="11105" spans="8:8" hidden="1" x14ac:dyDescent="0.35">
      <c r="H11105" s="83">
        <f t="shared" si="220"/>
        <v>0</v>
      </c>
    </row>
    <row r="11106" spans="8:8" hidden="1" x14ac:dyDescent="0.35">
      <c r="H11106" s="83">
        <f t="shared" si="220"/>
        <v>0</v>
      </c>
    </row>
    <row r="11107" spans="8:8" hidden="1" x14ac:dyDescent="0.35">
      <c r="H11107" s="83">
        <f t="shared" si="220"/>
        <v>0</v>
      </c>
    </row>
    <row r="11108" spans="8:8" hidden="1" x14ac:dyDescent="0.35">
      <c r="H11108" s="83">
        <f t="shared" si="220"/>
        <v>0</v>
      </c>
    </row>
    <row r="11109" spans="8:8" hidden="1" x14ac:dyDescent="0.35">
      <c r="H11109" s="83">
        <f t="shared" si="220"/>
        <v>0</v>
      </c>
    </row>
    <row r="11110" spans="8:8" hidden="1" x14ac:dyDescent="0.35">
      <c r="H11110" s="83">
        <f t="shared" si="220"/>
        <v>0</v>
      </c>
    </row>
    <row r="11111" spans="8:8" hidden="1" x14ac:dyDescent="0.35">
      <c r="H11111" s="83">
        <f t="shared" si="220"/>
        <v>0</v>
      </c>
    </row>
    <row r="11112" spans="8:8" hidden="1" x14ac:dyDescent="0.35">
      <c r="H11112" s="83">
        <f t="shared" si="220"/>
        <v>0</v>
      </c>
    </row>
    <row r="11113" spans="8:8" hidden="1" x14ac:dyDescent="0.35">
      <c r="H11113" s="83">
        <f t="shared" si="220"/>
        <v>0</v>
      </c>
    </row>
    <row r="11114" spans="8:8" hidden="1" x14ac:dyDescent="0.35">
      <c r="H11114" s="83">
        <f t="shared" si="220"/>
        <v>0</v>
      </c>
    </row>
    <row r="11115" spans="8:8" hidden="1" x14ac:dyDescent="0.35">
      <c r="H11115" s="83">
        <f t="shared" si="220"/>
        <v>0</v>
      </c>
    </row>
    <row r="11116" spans="8:8" hidden="1" x14ac:dyDescent="0.35">
      <c r="H11116" s="83">
        <f t="shared" si="220"/>
        <v>0</v>
      </c>
    </row>
    <row r="11117" spans="8:8" hidden="1" x14ac:dyDescent="0.35">
      <c r="H11117" s="83">
        <f t="shared" si="220"/>
        <v>0</v>
      </c>
    </row>
    <row r="11118" spans="8:8" hidden="1" x14ac:dyDescent="0.35">
      <c r="H11118" s="83">
        <f t="shared" si="220"/>
        <v>0</v>
      </c>
    </row>
    <row r="11119" spans="8:8" hidden="1" x14ac:dyDescent="0.35">
      <c r="H11119" s="83">
        <f t="shared" si="220"/>
        <v>0</v>
      </c>
    </row>
    <row r="11120" spans="8:8" hidden="1" x14ac:dyDescent="0.35">
      <c r="H11120" s="83">
        <f t="shared" si="220"/>
        <v>0</v>
      </c>
    </row>
    <row r="11121" spans="8:8" hidden="1" x14ac:dyDescent="0.35">
      <c r="H11121" s="83">
        <f t="shared" si="220"/>
        <v>0</v>
      </c>
    </row>
    <row r="11122" spans="8:8" hidden="1" x14ac:dyDescent="0.35">
      <c r="H11122" s="83">
        <f t="shared" si="220"/>
        <v>0</v>
      </c>
    </row>
    <row r="11123" spans="8:8" hidden="1" x14ac:dyDescent="0.35">
      <c r="H11123" s="83">
        <f t="shared" si="220"/>
        <v>0</v>
      </c>
    </row>
    <row r="11124" spans="8:8" hidden="1" x14ac:dyDescent="0.35">
      <c r="H11124" s="83">
        <f t="shared" si="220"/>
        <v>0</v>
      </c>
    </row>
    <row r="11125" spans="8:8" hidden="1" x14ac:dyDescent="0.35">
      <c r="H11125" s="83">
        <f t="shared" si="220"/>
        <v>0</v>
      </c>
    </row>
    <row r="11126" spans="8:8" hidden="1" x14ac:dyDescent="0.35">
      <c r="H11126" s="83">
        <f t="shared" si="220"/>
        <v>0</v>
      </c>
    </row>
    <row r="11127" spans="8:8" hidden="1" x14ac:dyDescent="0.35">
      <c r="H11127" s="83">
        <f t="shared" si="220"/>
        <v>0</v>
      </c>
    </row>
    <row r="11128" spans="8:8" hidden="1" x14ac:dyDescent="0.35">
      <c r="H11128" s="83">
        <f t="shared" si="220"/>
        <v>0</v>
      </c>
    </row>
    <row r="11129" spans="8:8" hidden="1" x14ac:dyDescent="0.35">
      <c r="H11129" s="83">
        <f t="shared" si="220"/>
        <v>0</v>
      </c>
    </row>
    <row r="11130" spans="8:8" hidden="1" x14ac:dyDescent="0.35">
      <c r="H11130" s="83">
        <f t="shared" si="220"/>
        <v>0</v>
      </c>
    </row>
    <row r="11131" spans="8:8" hidden="1" x14ac:dyDescent="0.35">
      <c r="H11131" s="83">
        <f t="shared" si="220"/>
        <v>0</v>
      </c>
    </row>
    <row r="11132" spans="8:8" hidden="1" x14ac:dyDescent="0.35">
      <c r="H11132" s="83">
        <f t="shared" si="220"/>
        <v>0</v>
      </c>
    </row>
    <row r="11133" spans="8:8" hidden="1" x14ac:dyDescent="0.35">
      <c r="H11133" s="83">
        <f t="shared" si="220"/>
        <v>0</v>
      </c>
    </row>
    <row r="11134" spans="8:8" hidden="1" x14ac:dyDescent="0.35">
      <c r="H11134" s="83">
        <f t="shared" si="220"/>
        <v>0</v>
      </c>
    </row>
    <row r="11135" spans="8:8" hidden="1" x14ac:dyDescent="0.35">
      <c r="H11135" s="83">
        <f t="shared" si="220"/>
        <v>0</v>
      </c>
    </row>
    <row r="11136" spans="8:8" hidden="1" x14ac:dyDescent="0.35">
      <c r="H11136" s="83">
        <f t="shared" si="220"/>
        <v>0</v>
      </c>
    </row>
    <row r="11137" spans="8:8" hidden="1" x14ac:dyDescent="0.35">
      <c r="H11137" s="83">
        <f t="shared" si="220"/>
        <v>0</v>
      </c>
    </row>
    <row r="11138" spans="8:8" hidden="1" x14ac:dyDescent="0.35">
      <c r="H11138" s="83">
        <f t="shared" si="220"/>
        <v>0</v>
      </c>
    </row>
    <row r="11139" spans="8:8" hidden="1" x14ac:dyDescent="0.35">
      <c r="H11139" s="83">
        <f t="shared" si="220"/>
        <v>0</v>
      </c>
    </row>
    <row r="11140" spans="8:8" hidden="1" x14ac:dyDescent="0.35">
      <c r="H11140" s="83">
        <f t="shared" ref="H11140:H11203" si="221">J11140-I11140</f>
        <v>0</v>
      </c>
    </row>
    <row r="11141" spans="8:8" hidden="1" x14ac:dyDescent="0.35">
      <c r="H11141" s="83">
        <f t="shared" si="221"/>
        <v>0</v>
      </c>
    </row>
    <row r="11142" spans="8:8" hidden="1" x14ac:dyDescent="0.35">
      <c r="H11142" s="83">
        <f t="shared" si="221"/>
        <v>0</v>
      </c>
    </row>
    <row r="11143" spans="8:8" hidden="1" x14ac:dyDescent="0.35">
      <c r="H11143" s="83">
        <f t="shared" si="221"/>
        <v>0</v>
      </c>
    </row>
    <row r="11144" spans="8:8" hidden="1" x14ac:dyDescent="0.35">
      <c r="H11144" s="83">
        <f t="shared" si="221"/>
        <v>0</v>
      </c>
    </row>
    <row r="11145" spans="8:8" hidden="1" x14ac:dyDescent="0.35">
      <c r="H11145" s="83">
        <f t="shared" si="221"/>
        <v>0</v>
      </c>
    </row>
    <row r="11146" spans="8:8" hidden="1" x14ac:dyDescent="0.35">
      <c r="H11146" s="83">
        <f t="shared" si="221"/>
        <v>0</v>
      </c>
    </row>
    <row r="11147" spans="8:8" hidden="1" x14ac:dyDescent="0.35">
      <c r="H11147" s="83">
        <f t="shared" si="221"/>
        <v>0</v>
      </c>
    </row>
    <row r="11148" spans="8:8" hidden="1" x14ac:dyDescent="0.35">
      <c r="H11148" s="83">
        <f t="shared" si="221"/>
        <v>0</v>
      </c>
    </row>
    <row r="11149" spans="8:8" hidden="1" x14ac:dyDescent="0.35">
      <c r="H11149" s="83">
        <f t="shared" si="221"/>
        <v>0</v>
      </c>
    </row>
    <row r="11150" spans="8:8" hidden="1" x14ac:dyDescent="0.35">
      <c r="H11150" s="83">
        <f t="shared" si="221"/>
        <v>0</v>
      </c>
    </row>
    <row r="11151" spans="8:8" hidden="1" x14ac:dyDescent="0.35">
      <c r="H11151" s="83">
        <f t="shared" si="221"/>
        <v>0</v>
      </c>
    </row>
    <row r="11152" spans="8:8" hidden="1" x14ac:dyDescent="0.35">
      <c r="H11152" s="83">
        <f t="shared" si="221"/>
        <v>0</v>
      </c>
    </row>
    <row r="11153" spans="8:8" hidden="1" x14ac:dyDescent="0.35">
      <c r="H11153" s="83">
        <f t="shared" si="221"/>
        <v>0</v>
      </c>
    </row>
    <row r="11154" spans="8:8" hidden="1" x14ac:dyDescent="0.35">
      <c r="H11154" s="83">
        <f t="shared" si="221"/>
        <v>0</v>
      </c>
    </row>
    <row r="11155" spans="8:8" hidden="1" x14ac:dyDescent="0.35">
      <c r="H11155" s="83">
        <f t="shared" si="221"/>
        <v>0</v>
      </c>
    </row>
    <row r="11156" spans="8:8" hidden="1" x14ac:dyDescent="0.35">
      <c r="H11156" s="83">
        <f t="shared" si="221"/>
        <v>0</v>
      </c>
    </row>
    <row r="11157" spans="8:8" hidden="1" x14ac:dyDescent="0.35">
      <c r="H11157" s="83">
        <f t="shared" si="221"/>
        <v>0</v>
      </c>
    </row>
    <row r="11158" spans="8:8" hidden="1" x14ac:dyDescent="0.35">
      <c r="H11158" s="83">
        <f t="shared" si="221"/>
        <v>0</v>
      </c>
    </row>
    <row r="11159" spans="8:8" hidden="1" x14ac:dyDescent="0.35">
      <c r="H11159" s="83">
        <f t="shared" si="221"/>
        <v>0</v>
      </c>
    </row>
    <row r="11160" spans="8:8" hidden="1" x14ac:dyDescent="0.35">
      <c r="H11160" s="83">
        <f t="shared" si="221"/>
        <v>0</v>
      </c>
    </row>
    <row r="11161" spans="8:8" hidden="1" x14ac:dyDescent="0.35">
      <c r="H11161" s="83">
        <f t="shared" si="221"/>
        <v>0</v>
      </c>
    </row>
    <row r="11162" spans="8:8" hidden="1" x14ac:dyDescent="0.35">
      <c r="H11162" s="83">
        <f t="shared" si="221"/>
        <v>0</v>
      </c>
    </row>
    <row r="11163" spans="8:8" hidden="1" x14ac:dyDescent="0.35">
      <c r="H11163" s="83">
        <f t="shared" si="221"/>
        <v>0</v>
      </c>
    </row>
    <row r="11164" spans="8:8" hidden="1" x14ac:dyDescent="0.35">
      <c r="H11164" s="83">
        <f t="shared" si="221"/>
        <v>0</v>
      </c>
    </row>
    <row r="11165" spans="8:8" hidden="1" x14ac:dyDescent="0.35">
      <c r="H11165" s="83">
        <f t="shared" si="221"/>
        <v>0</v>
      </c>
    </row>
    <row r="11166" spans="8:8" hidden="1" x14ac:dyDescent="0.35">
      <c r="H11166" s="83">
        <f t="shared" si="221"/>
        <v>0</v>
      </c>
    </row>
    <row r="11167" spans="8:8" hidden="1" x14ac:dyDescent="0.35">
      <c r="H11167" s="83">
        <f t="shared" si="221"/>
        <v>0</v>
      </c>
    </row>
    <row r="11168" spans="8:8" hidden="1" x14ac:dyDescent="0.35">
      <c r="H11168" s="83">
        <f t="shared" si="221"/>
        <v>0</v>
      </c>
    </row>
    <row r="11169" spans="8:8" hidden="1" x14ac:dyDescent="0.35">
      <c r="H11169" s="83">
        <f t="shared" si="221"/>
        <v>0</v>
      </c>
    </row>
    <row r="11170" spans="8:8" hidden="1" x14ac:dyDescent="0.35">
      <c r="H11170" s="83">
        <f t="shared" si="221"/>
        <v>0</v>
      </c>
    </row>
    <row r="11171" spans="8:8" hidden="1" x14ac:dyDescent="0.35">
      <c r="H11171" s="83">
        <f t="shared" si="221"/>
        <v>0</v>
      </c>
    </row>
    <row r="11172" spans="8:8" hidden="1" x14ac:dyDescent="0.35">
      <c r="H11172" s="83">
        <f t="shared" si="221"/>
        <v>0</v>
      </c>
    </row>
    <row r="11173" spans="8:8" hidden="1" x14ac:dyDescent="0.35">
      <c r="H11173" s="83">
        <f t="shared" si="221"/>
        <v>0</v>
      </c>
    </row>
    <row r="11174" spans="8:8" hidden="1" x14ac:dyDescent="0.35">
      <c r="H11174" s="83">
        <f t="shared" si="221"/>
        <v>0</v>
      </c>
    </row>
    <row r="11175" spans="8:8" hidden="1" x14ac:dyDescent="0.35">
      <c r="H11175" s="83">
        <f t="shared" si="221"/>
        <v>0</v>
      </c>
    </row>
    <row r="11176" spans="8:8" hidden="1" x14ac:dyDescent="0.35">
      <c r="H11176" s="83">
        <f t="shared" si="221"/>
        <v>0</v>
      </c>
    </row>
    <row r="11177" spans="8:8" hidden="1" x14ac:dyDescent="0.35">
      <c r="H11177" s="83">
        <f t="shared" si="221"/>
        <v>0</v>
      </c>
    </row>
    <row r="11178" spans="8:8" hidden="1" x14ac:dyDescent="0.35">
      <c r="H11178" s="83">
        <f t="shared" si="221"/>
        <v>0</v>
      </c>
    </row>
    <row r="11179" spans="8:8" hidden="1" x14ac:dyDescent="0.35">
      <c r="H11179" s="83">
        <f t="shared" si="221"/>
        <v>0</v>
      </c>
    </row>
    <row r="11180" spans="8:8" hidden="1" x14ac:dyDescent="0.35">
      <c r="H11180" s="83">
        <f t="shared" si="221"/>
        <v>0</v>
      </c>
    </row>
    <row r="11181" spans="8:8" hidden="1" x14ac:dyDescent="0.35">
      <c r="H11181" s="83">
        <f t="shared" si="221"/>
        <v>0</v>
      </c>
    </row>
    <row r="11182" spans="8:8" hidden="1" x14ac:dyDescent="0.35">
      <c r="H11182" s="83">
        <f t="shared" si="221"/>
        <v>0</v>
      </c>
    </row>
    <row r="11183" spans="8:8" hidden="1" x14ac:dyDescent="0.35">
      <c r="H11183" s="83">
        <f t="shared" si="221"/>
        <v>0</v>
      </c>
    </row>
    <row r="11184" spans="8:8" hidden="1" x14ac:dyDescent="0.35">
      <c r="H11184" s="83">
        <f t="shared" si="221"/>
        <v>0</v>
      </c>
    </row>
    <row r="11185" spans="8:8" hidden="1" x14ac:dyDescent="0.35">
      <c r="H11185" s="83">
        <f t="shared" si="221"/>
        <v>0</v>
      </c>
    </row>
    <row r="11186" spans="8:8" hidden="1" x14ac:dyDescent="0.35">
      <c r="H11186" s="83">
        <f t="shared" si="221"/>
        <v>0</v>
      </c>
    </row>
    <row r="11187" spans="8:8" hidden="1" x14ac:dyDescent="0.35">
      <c r="H11187" s="83">
        <f t="shared" si="221"/>
        <v>0</v>
      </c>
    </row>
    <row r="11188" spans="8:8" hidden="1" x14ac:dyDescent="0.35">
      <c r="H11188" s="83">
        <f t="shared" si="221"/>
        <v>0</v>
      </c>
    </row>
    <row r="11189" spans="8:8" hidden="1" x14ac:dyDescent="0.35">
      <c r="H11189" s="83">
        <f t="shared" si="221"/>
        <v>0</v>
      </c>
    </row>
    <row r="11190" spans="8:8" hidden="1" x14ac:dyDescent="0.35">
      <c r="H11190" s="83">
        <f t="shared" si="221"/>
        <v>0</v>
      </c>
    </row>
    <row r="11191" spans="8:8" hidden="1" x14ac:dyDescent="0.35">
      <c r="H11191" s="83">
        <f t="shared" si="221"/>
        <v>0</v>
      </c>
    </row>
    <row r="11192" spans="8:8" hidden="1" x14ac:dyDescent="0.35">
      <c r="H11192" s="83">
        <f t="shared" si="221"/>
        <v>0</v>
      </c>
    </row>
    <row r="11193" spans="8:8" hidden="1" x14ac:dyDescent="0.35">
      <c r="H11193" s="83">
        <f t="shared" si="221"/>
        <v>0</v>
      </c>
    </row>
    <row r="11194" spans="8:8" hidden="1" x14ac:dyDescent="0.35">
      <c r="H11194" s="83">
        <f t="shared" si="221"/>
        <v>0</v>
      </c>
    </row>
    <row r="11195" spans="8:8" hidden="1" x14ac:dyDescent="0.35">
      <c r="H11195" s="83">
        <f t="shared" si="221"/>
        <v>0</v>
      </c>
    </row>
    <row r="11196" spans="8:8" hidden="1" x14ac:dyDescent="0.35">
      <c r="H11196" s="83">
        <f t="shared" si="221"/>
        <v>0</v>
      </c>
    </row>
    <row r="11197" spans="8:8" hidden="1" x14ac:dyDescent="0.35">
      <c r="H11197" s="83">
        <f t="shared" si="221"/>
        <v>0</v>
      </c>
    </row>
    <row r="11198" spans="8:8" hidden="1" x14ac:dyDescent="0.35">
      <c r="H11198" s="83">
        <f t="shared" si="221"/>
        <v>0</v>
      </c>
    </row>
    <row r="11199" spans="8:8" hidden="1" x14ac:dyDescent="0.35">
      <c r="H11199" s="83">
        <f t="shared" si="221"/>
        <v>0</v>
      </c>
    </row>
    <row r="11200" spans="8:8" hidden="1" x14ac:dyDescent="0.35">
      <c r="H11200" s="83">
        <f t="shared" si="221"/>
        <v>0</v>
      </c>
    </row>
    <row r="11201" spans="8:8" hidden="1" x14ac:dyDescent="0.35">
      <c r="H11201" s="83">
        <f t="shared" si="221"/>
        <v>0</v>
      </c>
    </row>
    <row r="11202" spans="8:8" hidden="1" x14ac:dyDescent="0.35">
      <c r="H11202" s="83">
        <f t="shared" si="221"/>
        <v>0</v>
      </c>
    </row>
    <row r="11203" spans="8:8" hidden="1" x14ac:dyDescent="0.35">
      <c r="H11203" s="83">
        <f t="shared" si="221"/>
        <v>0</v>
      </c>
    </row>
    <row r="11204" spans="8:8" hidden="1" x14ac:dyDescent="0.35">
      <c r="H11204" s="83">
        <f t="shared" ref="H11204:H11267" si="222">J11204-I11204</f>
        <v>0</v>
      </c>
    </row>
    <row r="11205" spans="8:8" hidden="1" x14ac:dyDescent="0.35">
      <c r="H11205" s="83">
        <f t="shared" si="222"/>
        <v>0</v>
      </c>
    </row>
    <row r="11206" spans="8:8" hidden="1" x14ac:dyDescent="0.35">
      <c r="H11206" s="83">
        <f t="shared" si="222"/>
        <v>0</v>
      </c>
    </row>
    <row r="11207" spans="8:8" hidden="1" x14ac:dyDescent="0.35">
      <c r="H11207" s="83">
        <f t="shared" si="222"/>
        <v>0</v>
      </c>
    </row>
    <row r="11208" spans="8:8" hidden="1" x14ac:dyDescent="0.35">
      <c r="H11208" s="83">
        <f t="shared" si="222"/>
        <v>0</v>
      </c>
    </row>
    <row r="11209" spans="8:8" hidden="1" x14ac:dyDescent="0.35">
      <c r="H11209" s="83">
        <f t="shared" si="222"/>
        <v>0</v>
      </c>
    </row>
    <row r="11210" spans="8:8" hidden="1" x14ac:dyDescent="0.35">
      <c r="H11210" s="83">
        <f t="shared" si="222"/>
        <v>0</v>
      </c>
    </row>
    <row r="11211" spans="8:8" hidden="1" x14ac:dyDescent="0.35">
      <c r="H11211" s="83">
        <f t="shared" si="222"/>
        <v>0</v>
      </c>
    </row>
    <row r="11212" spans="8:8" hidden="1" x14ac:dyDescent="0.35">
      <c r="H11212" s="83">
        <f t="shared" si="222"/>
        <v>0</v>
      </c>
    </row>
    <row r="11213" spans="8:8" hidden="1" x14ac:dyDescent="0.35">
      <c r="H11213" s="83">
        <f t="shared" si="222"/>
        <v>0</v>
      </c>
    </row>
    <row r="11214" spans="8:8" hidden="1" x14ac:dyDescent="0.35">
      <c r="H11214" s="83">
        <f t="shared" si="222"/>
        <v>0</v>
      </c>
    </row>
    <row r="11215" spans="8:8" hidden="1" x14ac:dyDescent="0.35">
      <c r="H11215" s="83">
        <f t="shared" si="222"/>
        <v>0</v>
      </c>
    </row>
    <row r="11216" spans="8:8" hidden="1" x14ac:dyDescent="0.35">
      <c r="H11216" s="83">
        <f t="shared" si="222"/>
        <v>0</v>
      </c>
    </row>
    <row r="11217" spans="8:8" hidden="1" x14ac:dyDescent="0.35">
      <c r="H11217" s="83">
        <f t="shared" si="222"/>
        <v>0</v>
      </c>
    </row>
    <row r="11218" spans="8:8" hidden="1" x14ac:dyDescent="0.35">
      <c r="H11218" s="83">
        <f t="shared" si="222"/>
        <v>0</v>
      </c>
    </row>
    <row r="11219" spans="8:8" hidden="1" x14ac:dyDescent="0.35">
      <c r="H11219" s="83">
        <f t="shared" si="222"/>
        <v>0</v>
      </c>
    </row>
    <row r="11220" spans="8:8" hidden="1" x14ac:dyDescent="0.35">
      <c r="H11220" s="83">
        <f t="shared" si="222"/>
        <v>0</v>
      </c>
    </row>
    <row r="11221" spans="8:8" hidden="1" x14ac:dyDescent="0.35">
      <c r="H11221" s="83">
        <f t="shared" si="222"/>
        <v>0</v>
      </c>
    </row>
    <row r="11222" spans="8:8" hidden="1" x14ac:dyDescent="0.35">
      <c r="H11222" s="83">
        <f t="shared" si="222"/>
        <v>0</v>
      </c>
    </row>
    <row r="11223" spans="8:8" hidden="1" x14ac:dyDescent="0.35">
      <c r="H11223" s="83">
        <f t="shared" si="222"/>
        <v>0</v>
      </c>
    </row>
    <row r="11224" spans="8:8" hidden="1" x14ac:dyDescent="0.35">
      <c r="H11224" s="83">
        <f t="shared" si="222"/>
        <v>0</v>
      </c>
    </row>
    <row r="11225" spans="8:8" hidden="1" x14ac:dyDescent="0.35">
      <c r="H11225" s="83">
        <f t="shared" si="222"/>
        <v>0</v>
      </c>
    </row>
    <row r="11226" spans="8:8" hidden="1" x14ac:dyDescent="0.35">
      <c r="H11226" s="83">
        <f t="shared" si="222"/>
        <v>0</v>
      </c>
    </row>
    <row r="11227" spans="8:8" hidden="1" x14ac:dyDescent="0.35">
      <c r="H11227" s="83">
        <f t="shared" si="222"/>
        <v>0</v>
      </c>
    </row>
    <row r="11228" spans="8:8" hidden="1" x14ac:dyDescent="0.35">
      <c r="H11228" s="83">
        <f t="shared" si="222"/>
        <v>0</v>
      </c>
    </row>
    <row r="11229" spans="8:8" hidden="1" x14ac:dyDescent="0.35">
      <c r="H11229" s="83">
        <f t="shared" si="222"/>
        <v>0</v>
      </c>
    </row>
    <row r="11230" spans="8:8" hidden="1" x14ac:dyDescent="0.35">
      <c r="H11230" s="83">
        <f t="shared" si="222"/>
        <v>0</v>
      </c>
    </row>
    <row r="11231" spans="8:8" hidden="1" x14ac:dyDescent="0.35">
      <c r="H11231" s="83">
        <f t="shared" si="222"/>
        <v>0</v>
      </c>
    </row>
    <row r="11232" spans="8:8" hidden="1" x14ac:dyDescent="0.35">
      <c r="H11232" s="83">
        <f t="shared" si="222"/>
        <v>0</v>
      </c>
    </row>
    <row r="11233" spans="8:8" hidden="1" x14ac:dyDescent="0.35">
      <c r="H11233" s="83">
        <f t="shared" si="222"/>
        <v>0</v>
      </c>
    </row>
    <row r="11234" spans="8:8" hidden="1" x14ac:dyDescent="0.35">
      <c r="H11234" s="83">
        <f t="shared" si="222"/>
        <v>0</v>
      </c>
    </row>
    <row r="11235" spans="8:8" hidden="1" x14ac:dyDescent="0.35">
      <c r="H11235" s="83">
        <f t="shared" si="222"/>
        <v>0</v>
      </c>
    </row>
    <row r="11236" spans="8:8" hidden="1" x14ac:dyDescent="0.35">
      <c r="H11236" s="83">
        <f t="shared" si="222"/>
        <v>0</v>
      </c>
    </row>
    <row r="11237" spans="8:8" hidden="1" x14ac:dyDescent="0.35">
      <c r="H11237" s="83">
        <f t="shared" si="222"/>
        <v>0</v>
      </c>
    </row>
    <row r="11238" spans="8:8" hidden="1" x14ac:dyDescent="0.35">
      <c r="H11238" s="83">
        <f t="shared" si="222"/>
        <v>0</v>
      </c>
    </row>
    <row r="11239" spans="8:8" hidden="1" x14ac:dyDescent="0.35">
      <c r="H11239" s="83">
        <f t="shared" si="222"/>
        <v>0</v>
      </c>
    </row>
    <row r="11240" spans="8:8" hidden="1" x14ac:dyDescent="0.35">
      <c r="H11240" s="83">
        <f t="shared" si="222"/>
        <v>0</v>
      </c>
    </row>
    <row r="11241" spans="8:8" hidden="1" x14ac:dyDescent="0.35">
      <c r="H11241" s="83">
        <f t="shared" si="222"/>
        <v>0</v>
      </c>
    </row>
    <row r="11242" spans="8:8" hidden="1" x14ac:dyDescent="0.35">
      <c r="H11242" s="83">
        <f t="shared" si="222"/>
        <v>0</v>
      </c>
    </row>
    <row r="11243" spans="8:8" hidden="1" x14ac:dyDescent="0.35">
      <c r="H11243" s="83">
        <f t="shared" si="222"/>
        <v>0</v>
      </c>
    </row>
    <row r="11244" spans="8:8" hidden="1" x14ac:dyDescent="0.35">
      <c r="H11244" s="83">
        <f t="shared" si="222"/>
        <v>0</v>
      </c>
    </row>
    <row r="11245" spans="8:8" hidden="1" x14ac:dyDescent="0.35">
      <c r="H11245" s="83">
        <f t="shared" si="222"/>
        <v>0</v>
      </c>
    </row>
    <row r="11246" spans="8:8" hidden="1" x14ac:dyDescent="0.35">
      <c r="H11246" s="83">
        <f t="shared" si="222"/>
        <v>0</v>
      </c>
    </row>
    <row r="11247" spans="8:8" hidden="1" x14ac:dyDescent="0.35">
      <c r="H11247" s="83">
        <f t="shared" si="222"/>
        <v>0</v>
      </c>
    </row>
    <row r="11248" spans="8:8" hidden="1" x14ac:dyDescent="0.35">
      <c r="H11248" s="83">
        <f t="shared" si="222"/>
        <v>0</v>
      </c>
    </row>
    <row r="11249" spans="8:8" hidden="1" x14ac:dyDescent="0.35">
      <c r="H11249" s="83">
        <f t="shared" si="222"/>
        <v>0</v>
      </c>
    </row>
    <row r="11250" spans="8:8" hidden="1" x14ac:dyDescent="0.35">
      <c r="H11250" s="83">
        <f t="shared" si="222"/>
        <v>0</v>
      </c>
    </row>
    <row r="11251" spans="8:8" hidden="1" x14ac:dyDescent="0.35">
      <c r="H11251" s="83">
        <f t="shared" si="222"/>
        <v>0</v>
      </c>
    </row>
    <row r="11252" spans="8:8" hidden="1" x14ac:dyDescent="0.35">
      <c r="H11252" s="83">
        <f t="shared" si="222"/>
        <v>0</v>
      </c>
    </row>
    <row r="11253" spans="8:8" hidden="1" x14ac:dyDescent="0.35">
      <c r="H11253" s="83">
        <f t="shared" si="222"/>
        <v>0</v>
      </c>
    </row>
    <row r="11254" spans="8:8" hidden="1" x14ac:dyDescent="0.35">
      <c r="H11254" s="83">
        <f t="shared" si="222"/>
        <v>0</v>
      </c>
    </row>
    <row r="11255" spans="8:8" hidden="1" x14ac:dyDescent="0.35">
      <c r="H11255" s="83">
        <f t="shared" si="222"/>
        <v>0</v>
      </c>
    </row>
    <row r="11256" spans="8:8" hidden="1" x14ac:dyDescent="0.35">
      <c r="H11256" s="83">
        <f t="shared" si="222"/>
        <v>0</v>
      </c>
    </row>
    <row r="11257" spans="8:8" hidden="1" x14ac:dyDescent="0.35">
      <c r="H11257" s="83">
        <f t="shared" si="222"/>
        <v>0</v>
      </c>
    </row>
    <row r="11258" spans="8:8" hidden="1" x14ac:dyDescent="0.35">
      <c r="H11258" s="83">
        <f t="shared" si="222"/>
        <v>0</v>
      </c>
    </row>
    <row r="11259" spans="8:8" hidden="1" x14ac:dyDescent="0.35">
      <c r="H11259" s="83">
        <f t="shared" si="222"/>
        <v>0</v>
      </c>
    </row>
    <row r="11260" spans="8:8" hidden="1" x14ac:dyDescent="0.35">
      <c r="H11260" s="83">
        <f t="shared" si="222"/>
        <v>0</v>
      </c>
    </row>
    <row r="11261" spans="8:8" hidden="1" x14ac:dyDescent="0.35">
      <c r="H11261" s="83">
        <f t="shared" si="222"/>
        <v>0</v>
      </c>
    </row>
    <row r="11262" spans="8:8" hidden="1" x14ac:dyDescent="0.35">
      <c r="H11262" s="83">
        <f t="shared" si="222"/>
        <v>0</v>
      </c>
    </row>
    <row r="11263" spans="8:8" hidden="1" x14ac:dyDescent="0.35">
      <c r="H11263" s="83">
        <f t="shared" si="222"/>
        <v>0</v>
      </c>
    </row>
    <row r="11264" spans="8:8" hidden="1" x14ac:dyDescent="0.35">
      <c r="H11264" s="83">
        <f t="shared" si="222"/>
        <v>0</v>
      </c>
    </row>
    <row r="11265" spans="8:8" hidden="1" x14ac:dyDescent="0.35">
      <c r="H11265" s="83">
        <f t="shared" si="222"/>
        <v>0</v>
      </c>
    </row>
    <row r="11266" spans="8:8" hidden="1" x14ac:dyDescent="0.35">
      <c r="H11266" s="83">
        <f t="shared" si="222"/>
        <v>0</v>
      </c>
    </row>
    <row r="11267" spans="8:8" hidden="1" x14ac:dyDescent="0.35">
      <c r="H11267" s="83">
        <f t="shared" si="222"/>
        <v>0</v>
      </c>
    </row>
    <row r="11268" spans="8:8" hidden="1" x14ac:dyDescent="0.35">
      <c r="H11268" s="83">
        <f t="shared" ref="H11268:H11331" si="223">J11268-I11268</f>
        <v>0</v>
      </c>
    </row>
    <row r="11269" spans="8:8" hidden="1" x14ac:dyDescent="0.35">
      <c r="H11269" s="83">
        <f t="shared" si="223"/>
        <v>0</v>
      </c>
    </row>
    <row r="11270" spans="8:8" hidden="1" x14ac:dyDescent="0.35">
      <c r="H11270" s="83">
        <f t="shared" si="223"/>
        <v>0</v>
      </c>
    </row>
    <row r="11271" spans="8:8" hidden="1" x14ac:dyDescent="0.35">
      <c r="H11271" s="83">
        <f t="shared" si="223"/>
        <v>0</v>
      </c>
    </row>
    <row r="11272" spans="8:8" hidden="1" x14ac:dyDescent="0.35">
      <c r="H11272" s="83">
        <f t="shared" si="223"/>
        <v>0</v>
      </c>
    </row>
    <row r="11273" spans="8:8" hidden="1" x14ac:dyDescent="0.35">
      <c r="H11273" s="83">
        <f t="shared" si="223"/>
        <v>0</v>
      </c>
    </row>
    <row r="11274" spans="8:8" hidden="1" x14ac:dyDescent="0.35">
      <c r="H11274" s="83">
        <f t="shared" si="223"/>
        <v>0</v>
      </c>
    </row>
    <row r="11275" spans="8:8" hidden="1" x14ac:dyDescent="0.35">
      <c r="H11275" s="83">
        <f t="shared" si="223"/>
        <v>0</v>
      </c>
    </row>
    <row r="11276" spans="8:8" hidden="1" x14ac:dyDescent="0.35">
      <c r="H11276" s="83">
        <f t="shared" si="223"/>
        <v>0</v>
      </c>
    </row>
    <row r="11277" spans="8:8" hidden="1" x14ac:dyDescent="0.35">
      <c r="H11277" s="83">
        <f t="shared" si="223"/>
        <v>0</v>
      </c>
    </row>
    <row r="11278" spans="8:8" hidden="1" x14ac:dyDescent="0.35">
      <c r="H11278" s="83">
        <f t="shared" si="223"/>
        <v>0</v>
      </c>
    </row>
    <row r="11279" spans="8:8" hidden="1" x14ac:dyDescent="0.35">
      <c r="H11279" s="83">
        <f t="shared" si="223"/>
        <v>0</v>
      </c>
    </row>
    <row r="11280" spans="8:8" hidden="1" x14ac:dyDescent="0.35">
      <c r="H11280" s="83">
        <f t="shared" si="223"/>
        <v>0</v>
      </c>
    </row>
    <row r="11281" spans="8:8" hidden="1" x14ac:dyDescent="0.35">
      <c r="H11281" s="83">
        <f t="shared" si="223"/>
        <v>0</v>
      </c>
    </row>
    <row r="11282" spans="8:8" hidden="1" x14ac:dyDescent="0.35">
      <c r="H11282" s="83">
        <f t="shared" si="223"/>
        <v>0</v>
      </c>
    </row>
    <row r="11283" spans="8:8" hidden="1" x14ac:dyDescent="0.35">
      <c r="H11283" s="83">
        <f t="shared" si="223"/>
        <v>0</v>
      </c>
    </row>
    <row r="11284" spans="8:8" hidden="1" x14ac:dyDescent="0.35">
      <c r="H11284" s="83">
        <f t="shared" si="223"/>
        <v>0</v>
      </c>
    </row>
    <row r="11285" spans="8:8" hidden="1" x14ac:dyDescent="0.35">
      <c r="H11285" s="83">
        <f t="shared" si="223"/>
        <v>0</v>
      </c>
    </row>
    <row r="11286" spans="8:8" hidden="1" x14ac:dyDescent="0.35">
      <c r="H11286" s="83">
        <f t="shared" si="223"/>
        <v>0</v>
      </c>
    </row>
    <row r="11287" spans="8:8" hidden="1" x14ac:dyDescent="0.35">
      <c r="H11287" s="83">
        <f t="shared" si="223"/>
        <v>0</v>
      </c>
    </row>
    <row r="11288" spans="8:8" hidden="1" x14ac:dyDescent="0.35">
      <c r="H11288" s="83">
        <f t="shared" si="223"/>
        <v>0</v>
      </c>
    </row>
    <row r="11289" spans="8:8" hidden="1" x14ac:dyDescent="0.35">
      <c r="H11289" s="83">
        <f t="shared" si="223"/>
        <v>0</v>
      </c>
    </row>
    <row r="11290" spans="8:8" hidden="1" x14ac:dyDescent="0.35">
      <c r="H11290" s="83">
        <f t="shared" si="223"/>
        <v>0</v>
      </c>
    </row>
    <row r="11291" spans="8:8" hidden="1" x14ac:dyDescent="0.35">
      <c r="H11291" s="83">
        <f t="shared" si="223"/>
        <v>0</v>
      </c>
    </row>
    <row r="11292" spans="8:8" hidden="1" x14ac:dyDescent="0.35">
      <c r="H11292" s="83">
        <f t="shared" si="223"/>
        <v>0</v>
      </c>
    </row>
    <row r="11293" spans="8:8" hidden="1" x14ac:dyDescent="0.35">
      <c r="H11293" s="83">
        <f t="shared" si="223"/>
        <v>0</v>
      </c>
    </row>
    <row r="11294" spans="8:8" hidden="1" x14ac:dyDescent="0.35">
      <c r="H11294" s="83">
        <f t="shared" si="223"/>
        <v>0</v>
      </c>
    </row>
    <row r="11295" spans="8:8" hidden="1" x14ac:dyDescent="0.35">
      <c r="H11295" s="83">
        <f t="shared" si="223"/>
        <v>0</v>
      </c>
    </row>
    <row r="11296" spans="8:8" hidden="1" x14ac:dyDescent="0.35">
      <c r="H11296" s="83">
        <f t="shared" si="223"/>
        <v>0</v>
      </c>
    </row>
    <row r="11297" spans="8:8" hidden="1" x14ac:dyDescent="0.35">
      <c r="H11297" s="83">
        <f t="shared" si="223"/>
        <v>0</v>
      </c>
    </row>
    <row r="11298" spans="8:8" hidden="1" x14ac:dyDescent="0.35">
      <c r="H11298" s="83">
        <f t="shared" si="223"/>
        <v>0</v>
      </c>
    </row>
    <row r="11299" spans="8:8" hidden="1" x14ac:dyDescent="0.35">
      <c r="H11299" s="83">
        <f t="shared" si="223"/>
        <v>0</v>
      </c>
    </row>
    <row r="11300" spans="8:8" hidden="1" x14ac:dyDescent="0.35">
      <c r="H11300" s="83">
        <f t="shared" si="223"/>
        <v>0</v>
      </c>
    </row>
    <row r="11301" spans="8:8" hidden="1" x14ac:dyDescent="0.35">
      <c r="H11301" s="83">
        <f t="shared" si="223"/>
        <v>0</v>
      </c>
    </row>
    <row r="11302" spans="8:8" hidden="1" x14ac:dyDescent="0.35">
      <c r="H11302" s="83">
        <f t="shared" si="223"/>
        <v>0</v>
      </c>
    </row>
    <row r="11303" spans="8:8" hidden="1" x14ac:dyDescent="0.35">
      <c r="H11303" s="83">
        <f t="shared" si="223"/>
        <v>0</v>
      </c>
    </row>
    <row r="11304" spans="8:8" hidden="1" x14ac:dyDescent="0.35">
      <c r="H11304" s="83">
        <f t="shared" si="223"/>
        <v>0</v>
      </c>
    </row>
    <row r="11305" spans="8:8" hidden="1" x14ac:dyDescent="0.35">
      <c r="H11305" s="83">
        <f t="shared" si="223"/>
        <v>0</v>
      </c>
    </row>
    <row r="11306" spans="8:8" hidden="1" x14ac:dyDescent="0.35">
      <c r="H11306" s="83">
        <f t="shared" si="223"/>
        <v>0</v>
      </c>
    </row>
    <row r="11307" spans="8:8" hidden="1" x14ac:dyDescent="0.35">
      <c r="H11307" s="83">
        <f t="shared" si="223"/>
        <v>0</v>
      </c>
    </row>
    <row r="11308" spans="8:8" hidden="1" x14ac:dyDescent="0.35">
      <c r="H11308" s="83">
        <f t="shared" si="223"/>
        <v>0</v>
      </c>
    </row>
    <row r="11309" spans="8:8" hidden="1" x14ac:dyDescent="0.35">
      <c r="H11309" s="83">
        <f t="shared" si="223"/>
        <v>0</v>
      </c>
    </row>
    <row r="11310" spans="8:8" hidden="1" x14ac:dyDescent="0.35">
      <c r="H11310" s="83">
        <f t="shared" si="223"/>
        <v>0</v>
      </c>
    </row>
    <row r="11311" spans="8:8" hidden="1" x14ac:dyDescent="0.35">
      <c r="H11311" s="83">
        <f t="shared" si="223"/>
        <v>0</v>
      </c>
    </row>
    <row r="11312" spans="8:8" hidden="1" x14ac:dyDescent="0.35">
      <c r="H11312" s="83">
        <f t="shared" si="223"/>
        <v>0</v>
      </c>
    </row>
    <row r="11313" spans="8:8" hidden="1" x14ac:dyDescent="0.35">
      <c r="H11313" s="83">
        <f t="shared" si="223"/>
        <v>0</v>
      </c>
    </row>
    <row r="11314" spans="8:8" hidden="1" x14ac:dyDescent="0.35">
      <c r="H11314" s="83">
        <f t="shared" si="223"/>
        <v>0</v>
      </c>
    </row>
    <row r="11315" spans="8:8" hidden="1" x14ac:dyDescent="0.35">
      <c r="H11315" s="83">
        <f t="shared" si="223"/>
        <v>0</v>
      </c>
    </row>
    <row r="11316" spans="8:8" hidden="1" x14ac:dyDescent="0.35">
      <c r="H11316" s="83">
        <f t="shared" si="223"/>
        <v>0</v>
      </c>
    </row>
    <row r="11317" spans="8:8" hidden="1" x14ac:dyDescent="0.35">
      <c r="H11317" s="83">
        <f t="shared" si="223"/>
        <v>0</v>
      </c>
    </row>
    <row r="11318" spans="8:8" hidden="1" x14ac:dyDescent="0.35">
      <c r="H11318" s="83">
        <f t="shared" si="223"/>
        <v>0</v>
      </c>
    </row>
    <row r="11319" spans="8:8" hidden="1" x14ac:dyDescent="0.35">
      <c r="H11319" s="83">
        <f t="shared" si="223"/>
        <v>0</v>
      </c>
    </row>
    <row r="11320" spans="8:8" hidden="1" x14ac:dyDescent="0.35">
      <c r="H11320" s="83">
        <f t="shared" si="223"/>
        <v>0</v>
      </c>
    </row>
    <row r="11321" spans="8:8" hidden="1" x14ac:dyDescent="0.35">
      <c r="H11321" s="83">
        <f t="shared" si="223"/>
        <v>0</v>
      </c>
    </row>
    <row r="11322" spans="8:8" hidden="1" x14ac:dyDescent="0.35">
      <c r="H11322" s="83">
        <f t="shared" si="223"/>
        <v>0</v>
      </c>
    </row>
    <row r="11323" spans="8:8" hidden="1" x14ac:dyDescent="0.35">
      <c r="H11323" s="83">
        <f t="shared" si="223"/>
        <v>0</v>
      </c>
    </row>
    <row r="11324" spans="8:8" hidden="1" x14ac:dyDescent="0.35">
      <c r="H11324" s="83">
        <f t="shared" si="223"/>
        <v>0</v>
      </c>
    </row>
    <row r="11325" spans="8:8" hidden="1" x14ac:dyDescent="0.35">
      <c r="H11325" s="83">
        <f t="shared" si="223"/>
        <v>0</v>
      </c>
    </row>
    <row r="11326" spans="8:8" hidden="1" x14ac:dyDescent="0.35">
      <c r="H11326" s="83">
        <f t="shared" si="223"/>
        <v>0</v>
      </c>
    </row>
    <row r="11327" spans="8:8" hidden="1" x14ac:dyDescent="0.35">
      <c r="H11327" s="83">
        <f t="shared" si="223"/>
        <v>0</v>
      </c>
    </row>
    <row r="11328" spans="8:8" hidden="1" x14ac:dyDescent="0.35">
      <c r="H11328" s="83">
        <f t="shared" si="223"/>
        <v>0</v>
      </c>
    </row>
    <row r="11329" spans="8:8" hidden="1" x14ac:dyDescent="0.35">
      <c r="H11329" s="83">
        <f t="shared" si="223"/>
        <v>0</v>
      </c>
    </row>
    <row r="11330" spans="8:8" hidden="1" x14ac:dyDescent="0.35">
      <c r="H11330" s="83">
        <f t="shared" si="223"/>
        <v>0</v>
      </c>
    </row>
    <row r="11331" spans="8:8" hidden="1" x14ac:dyDescent="0.35">
      <c r="H11331" s="83">
        <f t="shared" si="223"/>
        <v>0</v>
      </c>
    </row>
    <row r="11332" spans="8:8" hidden="1" x14ac:dyDescent="0.35">
      <c r="H11332" s="83">
        <f t="shared" ref="H11332:H11395" si="224">J11332-I11332</f>
        <v>0</v>
      </c>
    </row>
    <row r="11333" spans="8:8" hidden="1" x14ac:dyDescent="0.35">
      <c r="H11333" s="83">
        <f t="shared" si="224"/>
        <v>0</v>
      </c>
    </row>
    <row r="11334" spans="8:8" hidden="1" x14ac:dyDescent="0.35">
      <c r="H11334" s="83">
        <f t="shared" si="224"/>
        <v>0</v>
      </c>
    </row>
    <row r="11335" spans="8:8" hidden="1" x14ac:dyDescent="0.35">
      <c r="H11335" s="83">
        <f t="shared" si="224"/>
        <v>0</v>
      </c>
    </row>
    <row r="11336" spans="8:8" hidden="1" x14ac:dyDescent="0.35">
      <c r="H11336" s="83">
        <f t="shared" si="224"/>
        <v>0</v>
      </c>
    </row>
    <row r="11337" spans="8:8" hidden="1" x14ac:dyDescent="0.35">
      <c r="H11337" s="83">
        <f t="shared" si="224"/>
        <v>0</v>
      </c>
    </row>
    <row r="11338" spans="8:8" hidden="1" x14ac:dyDescent="0.35">
      <c r="H11338" s="83">
        <f t="shared" si="224"/>
        <v>0</v>
      </c>
    </row>
    <row r="11339" spans="8:8" hidden="1" x14ac:dyDescent="0.35">
      <c r="H11339" s="83">
        <f t="shared" si="224"/>
        <v>0</v>
      </c>
    </row>
    <row r="11340" spans="8:8" hidden="1" x14ac:dyDescent="0.35">
      <c r="H11340" s="83">
        <f t="shared" si="224"/>
        <v>0</v>
      </c>
    </row>
    <row r="11341" spans="8:8" hidden="1" x14ac:dyDescent="0.35">
      <c r="H11341" s="83">
        <f t="shared" si="224"/>
        <v>0</v>
      </c>
    </row>
    <row r="11342" spans="8:8" hidden="1" x14ac:dyDescent="0.35">
      <c r="H11342" s="83">
        <f t="shared" si="224"/>
        <v>0</v>
      </c>
    </row>
    <row r="11343" spans="8:8" hidden="1" x14ac:dyDescent="0.35">
      <c r="H11343" s="83">
        <f t="shared" si="224"/>
        <v>0</v>
      </c>
    </row>
    <row r="11344" spans="8:8" hidden="1" x14ac:dyDescent="0.35">
      <c r="H11344" s="83">
        <f t="shared" si="224"/>
        <v>0</v>
      </c>
    </row>
    <row r="11345" spans="8:8" hidden="1" x14ac:dyDescent="0.35">
      <c r="H11345" s="83">
        <f t="shared" si="224"/>
        <v>0</v>
      </c>
    </row>
    <row r="11346" spans="8:8" hidden="1" x14ac:dyDescent="0.35">
      <c r="H11346" s="83">
        <f t="shared" si="224"/>
        <v>0</v>
      </c>
    </row>
    <row r="11347" spans="8:8" hidden="1" x14ac:dyDescent="0.35">
      <c r="H11347" s="83">
        <f t="shared" si="224"/>
        <v>0</v>
      </c>
    </row>
    <row r="11348" spans="8:8" hidden="1" x14ac:dyDescent="0.35">
      <c r="H11348" s="83">
        <f t="shared" si="224"/>
        <v>0</v>
      </c>
    </row>
    <row r="11349" spans="8:8" hidden="1" x14ac:dyDescent="0.35">
      <c r="H11349" s="83">
        <f t="shared" si="224"/>
        <v>0</v>
      </c>
    </row>
    <row r="11350" spans="8:8" hidden="1" x14ac:dyDescent="0.35">
      <c r="H11350" s="83">
        <f t="shared" si="224"/>
        <v>0</v>
      </c>
    </row>
    <row r="11351" spans="8:8" hidden="1" x14ac:dyDescent="0.35">
      <c r="H11351" s="83">
        <f t="shared" si="224"/>
        <v>0</v>
      </c>
    </row>
    <row r="11352" spans="8:8" hidden="1" x14ac:dyDescent="0.35">
      <c r="H11352" s="83">
        <f t="shared" si="224"/>
        <v>0</v>
      </c>
    </row>
    <row r="11353" spans="8:8" hidden="1" x14ac:dyDescent="0.35">
      <c r="H11353" s="83">
        <f t="shared" si="224"/>
        <v>0</v>
      </c>
    </row>
    <row r="11354" spans="8:8" hidden="1" x14ac:dyDescent="0.35">
      <c r="H11354" s="83">
        <f t="shared" si="224"/>
        <v>0</v>
      </c>
    </row>
    <row r="11355" spans="8:8" hidden="1" x14ac:dyDescent="0.35">
      <c r="H11355" s="83">
        <f t="shared" si="224"/>
        <v>0</v>
      </c>
    </row>
    <row r="11356" spans="8:8" hidden="1" x14ac:dyDescent="0.35">
      <c r="H11356" s="83">
        <f t="shared" si="224"/>
        <v>0</v>
      </c>
    </row>
    <row r="11357" spans="8:8" hidden="1" x14ac:dyDescent="0.35">
      <c r="H11357" s="83">
        <f t="shared" si="224"/>
        <v>0</v>
      </c>
    </row>
    <row r="11358" spans="8:8" hidden="1" x14ac:dyDescent="0.35">
      <c r="H11358" s="83">
        <f t="shared" si="224"/>
        <v>0</v>
      </c>
    </row>
    <row r="11359" spans="8:8" hidden="1" x14ac:dyDescent="0.35">
      <c r="H11359" s="83">
        <f t="shared" si="224"/>
        <v>0</v>
      </c>
    </row>
    <row r="11360" spans="8:8" hidden="1" x14ac:dyDescent="0.35">
      <c r="H11360" s="83">
        <f t="shared" si="224"/>
        <v>0</v>
      </c>
    </row>
    <row r="11361" spans="8:8" hidden="1" x14ac:dyDescent="0.35">
      <c r="H11361" s="83">
        <f t="shared" si="224"/>
        <v>0</v>
      </c>
    </row>
    <row r="11362" spans="8:8" hidden="1" x14ac:dyDescent="0.35">
      <c r="H11362" s="83">
        <f t="shared" si="224"/>
        <v>0</v>
      </c>
    </row>
    <row r="11363" spans="8:8" hidden="1" x14ac:dyDescent="0.35">
      <c r="H11363" s="83">
        <f t="shared" si="224"/>
        <v>0</v>
      </c>
    </row>
    <row r="11364" spans="8:8" hidden="1" x14ac:dyDescent="0.35">
      <c r="H11364" s="83">
        <f t="shared" si="224"/>
        <v>0</v>
      </c>
    </row>
    <row r="11365" spans="8:8" hidden="1" x14ac:dyDescent="0.35">
      <c r="H11365" s="83">
        <f t="shared" si="224"/>
        <v>0</v>
      </c>
    </row>
    <row r="11366" spans="8:8" hidden="1" x14ac:dyDescent="0.35">
      <c r="H11366" s="83">
        <f t="shared" si="224"/>
        <v>0</v>
      </c>
    </row>
    <row r="11367" spans="8:8" hidden="1" x14ac:dyDescent="0.35">
      <c r="H11367" s="83">
        <f t="shared" si="224"/>
        <v>0</v>
      </c>
    </row>
    <row r="11368" spans="8:8" hidden="1" x14ac:dyDescent="0.35">
      <c r="H11368" s="83">
        <f t="shared" si="224"/>
        <v>0</v>
      </c>
    </row>
    <row r="11369" spans="8:8" hidden="1" x14ac:dyDescent="0.35">
      <c r="H11369" s="83">
        <f t="shared" si="224"/>
        <v>0</v>
      </c>
    </row>
    <row r="11370" spans="8:8" hidden="1" x14ac:dyDescent="0.35">
      <c r="H11370" s="83">
        <f t="shared" si="224"/>
        <v>0</v>
      </c>
    </row>
    <row r="11371" spans="8:8" hidden="1" x14ac:dyDescent="0.35">
      <c r="H11371" s="83">
        <f t="shared" si="224"/>
        <v>0</v>
      </c>
    </row>
    <row r="11372" spans="8:8" hidden="1" x14ac:dyDescent="0.35">
      <c r="H11372" s="83">
        <f t="shared" si="224"/>
        <v>0</v>
      </c>
    </row>
    <row r="11373" spans="8:8" hidden="1" x14ac:dyDescent="0.35">
      <c r="H11373" s="83">
        <f t="shared" si="224"/>
        <v>0</v>
      </c>
    </row>
    <row r="11374" spans="8:8" hidden="1" x14ac:dyDescent="0.35">
      <c r="H11374" s="83">
        <f t="shared" si="224"/>
        <v>0</v>
      </c>
    </row>
    <row r="11375" spans="8:8" hidden="1" x14ac:dyDescent="0.35">
      <c r="H11375" s="83">
        <f t="shared" si="224"/>
        <v>0</v>
      </c>
    </row>
    <row r="11376" spans="8:8" hidden="1" x14ac:dyDescent="0.35">
      <c r="H11376" s="83">
        <f t="shared" si="224"/>
        <v>0</v>
      </c>
    </row>
    <row r="11377" spans="8:8" hidden="1" x14ac:dyDescent="0.35">
      <c r="H11377" s="83">
        <f t="shared" si="224"/>
        <v>0</v>
      </c>
    </row>
    <row r="11378" spans="8:8" hidden="1" x14ac:dyDescent="0.35">
      <c r="H11378" s="83">
        <f t="shared" si="224"/>
        <v>0</v>
      </c>
    </row>
    <row r="11379" spans="8:8" hidden="1" x14ac:dyDescent="0.35">
      <c r="H11379" s="83">
        <f t="shared" si="224"/>
        <v>0</v>
      </c>
    </row>
    <row r="11380" spans="8:8" hidden="1" x14ac:dyDescent="0.35">
      <c r="H11380" s="83">
        <f t="shared" si="224"/>
        <v>0</v>
      </c>
    </row>
    <row r="11381" spans="8:8" hidden="1" x14ac:dyDescent="0.35">
      <c r="H11381" s="83">
        <f t="shared" si="224"/>
        <v>0</v>
      </c>
    </row>
    <row r="11382" spans="8:8" hidden="1" x14ac:dyDescent="0.35">
      <c r="H11382" s="83">
        <f t="shared" si="224"/>
        <v>0</v>
      </c>
    </row>
    <row r="11383" spans="8:8" hidden="1" x14ac:dyDescent="0.35">
      <c r="H11383" s="83">
        <f t="shared" si="224"/>
        <v>0</v>
      </c>
    </row>
    <row r="11384" spans="8:8" hidden="1" x14ac:dyDescent="0.35">
      <c r="H11384" s="83">
        <f t="shared" si="224"/>
        <v>0</v>
      </c>
    </row>
    <row r="11385" spans="8:8" hidden="1" x14ac:dyDescent="0.35">
      <c r="H11385" s="83">
        <f t="shared" si="224"/>
        <v>0</v>
      </c>
    </row>
    <row r="11386" spans="8:8" hidden="1" x14ac:dyDescent="0.35">
      <c r="H11386" s="83">
        <f t="shared" si="224"/>
        <v>0</v>
      </c>
    </row>
    <row r="11387" spans="8:8" hidden="1" x14ac:dyDescent="0.35">
      <c r="H11387" s="83">
        <f t="shared" si="224"/>
        <v>0</v>
      </c>
    </row>
    <row r="11388" spans="8:8" hidden="1" x14ac:dyDescent="0.35">
      <c r="H11388" s="83">
        <f t="shared" si="224"/>
        <v>0</v>
      </c>
    </row>
    <row r="11389" spans="8:8" hidden="1" x14ac:dyDescent="0.35">
      <c r="H11389" s="83">
        <f t="shared" si="224"/>
        <v>0</v>
      </c>
    </row>
    <row r="11390" spans="8:8" hidden="1" x14ac:dyDescent="0.35">
      <c r="H11390" s="83">
        <f t="shared" si="224"/>
        <v>0</v>
      </c>
    </row>
    <row r="11391" spans="8:8" hidden="1" x14ac:dyDescent="0.35">
      <c r="H11391" s="83">
        <f t="shared" si="224"/>
        <v>0</v>
      </c>
    </row>
    <row r="11392" spans="8:8" hidden="1" x14ac:dyDescent="0.35">
      <c r="H11392" s="83">
        <f t="shared" si="224"/>
        <v>0</v>
      </c>
    </row>
    <row r="11393" spans="8:8" hidden="1" x14ac:dyDescent="0.35">
      <c r="H11393" s="83">
        <f t="shared" si="224"/>
        <v>0</v>
      </c>
    </row>
    <row r="11394" spans="8:8" hidden="1" x14ac:dyDescent="0.35">
      <c r="H11394" s="83">
        <f t="shared" si="224"/>
        <v>0</v>
      </c>
    </row>
    <row r="11395" spans="8:8" hidden="1" x14ac:dyDescent="0.35">
      <c r="H11395" s="83">
        <f t="shared" si="224"/>
        <v>0</v>
      </c>
    </row>
    <row r="11396" spans="8:8" hidden="1" x14ac:dyDescent="0.35">
      <c r="H11396" s="83">
        <f t="shared" ref="H11396:H11459" si="225">J11396-I11396</f>
        <v>0</v>
      </c>
    </row>
    <row r="11397" spans="8:8" hidden="1" x14ac:dyDescent="0.35">
      <c r="H11397" s="83">
        <f t="shared" si="225"/>
        <v>0</v>
      </c>
    </row>
    <row r="11398" spans="8:8" hidden="1" x14ac:dyDescent="0.35">
      <c r="H11398" s="83">
        <f t="shared" si="225"/>
        <v>0</v>
      </c>
    </row>
    <row r="11399" spans="8:8" hidden="1" x14ac:dyDescent="0.35">
      <c r="H11399" s="83">
        <f t="shared" si="225"/>
        <v>0</v>
      </c>
    </row>
    <row r="11400" spans="8:8" hidden="1" x14ac:dyDescent="0.35">
      <c r="H11400" s="83">
        <f t="shared" si="225"/>
        <v>0</v>
      </c>
    </row>
    <row r="11401" spans="8:8" hidden="1" x14ac:dyDescent="0.35">
      <c r="H11401" s="83">
        <f t="shared" si="225"/>
        <v>0</v>
      </c>
    </row>
    <row r="11402" spans="8:8" hidden="1" x14ac:dyDescent="0.35">
      <c r="H11402" s="83">
        <f t="shared" si="225"/>
        <v>0</v>
      </c>
    </row>
    <row r="11403" spans="8:8" hidden="1" x14ac:dyDescent="0.35">
      <c r="H11403" s="83">
        <f t="shared" si="225"/>
        <v>0</v>
      </c>
    </row>
    <row r="11404" spans="8:8" hidden="1" x14ac:dyDescent="0.35">
      <c r="H11404" s="83">
        <f t="shared" si="225"/>
        <v>0</v>
      </c>
    </row>
    <row r="11405" spans="8:8" hidden="1" x14ac:dyDescent="0.35">
      <c r="H11405" s="83">
        <f t="shared" si="225"/>
        <v>0</v>
      </c>
    </row>
    <row r="11406" spans="8:8" hidden="1" x14ac:dyDescent="0.35">
      <c r="H11406" s="83">
        <f t="shared" si="225"/>
        <v>0</v>
      </c>
    </row>
    <row r="11407" spans="8:8" hidden="1" x14ac:dyDescent="0.35">
      <c r="H11407" s="83">
        <f t="shared" si="225"/>
        <v>0</v>
      </c>
    </row>
    <row r="11408" spans="8:8" hidden="1" x14ac:dyDescent="0.35">
      <c r="H11408" s="83">
        <f t="shared" si="225"/>
        <v>0</v>
      </c>
    </row>
    <row r="11409" spans="8:8" hidden="1" x14ac:dyDescent="0.35">
      <c r="H11409" s="83">
        <f t="shared" si="225"/>
        <v>0</v>
      </c>
    </row>
    <row r="11410" spans="8:8" hidden="1" x14ac:dyDescent="0.35">
      <c r="H11410" s="83">
        <f t="shared" si="225"/>
        <v>0</v>
      </c>
    </row>
    <row r="11411" spans="8:8" hidden="1" x14ac:dyDescent="0.35">
      <c r="H11411" s="83">
        <f t="shared" si="225"/>
        <v>0</v>
      </c>
    </row>
    <row r="11412" spans="8:8" hidden="1" x14ac:dyDescent="0.35">
      <c r="H11412" s="83">
        <f t="shared" si="225"/>
        <v>0</v>
      </c>
    </row>
    <row r="11413" spans="8:8" hidden="1" x14ac:dyDescent="0.35">
      <c r="H11413" s="83">
        <f t="shared" si="225"/>
        <v>0</v>
      </c>
    </row>
    <row r="11414" spans="8:8" hidden="1" x14ac:dyDescent="0.35">
      <c r="H11414" s="83">
        <f t="shared" si="225"/>
        <v>0</v>
      </c>
    </row>
    <row r="11415" spans="8:8" hidden="1" x14ac:dyDescent="0.35">
      <c r="H11415" s="83">
        <f t="shared" si="225"/>
        <v>0</v>
      </c>
    </row>
    <row r="11416" spans="8:8" hidden="1" x14ac:dyDescent="0.35">
      <c r="H11416" s="83">
        <f t="shared" si="225"/>
        <v>0</v>
      </c>
    </row>
    <row r="11417" spans="8:8" hidden="1" x14ac:dyDescent="0.35">
      <c r="H11417" s="83">
        <f t="shared" si="225"/>
        <v>0</v>
      </c>
    </row>
    <row r="11418" spans="8:8" hidden="1" x14ac:dyDescent="0.35">
      <c r="H11418" s="83">
        <f t="shared" si="225"/>
        <v>0</v>
      </c>
    </row>
    <row r="11419" spans="8:8" hidden="1" x14ac:dyDescent="0.35">
      <c r="H11419" s="83">
        <f t="shared" si="225"/>
        <v>0</v>
      </c>
    </row>
    <row r="11420" spans="8:8" hidden="1" x14ac:dyDescent="0.35">
      <c r="H11420" s="83">
        <f t="shared" si="225"/>
        <v>0</v>
      </c>
    </row>
    <row r="11421" spans="8:8" hidden="1" x14ac:dyDescent="0.35">
      <c r="H11421" s="83">
        <f t="shared" si="225"/>
        <v>0</v>
      </c>
    </row>
    <row r="11422" spans="8:8" hidden="1" x14ac:dyDescent="0.35">
      <c r="H11422" s="83">
        <f t="shared" si="225"/>
        <v>0</v>
      </c>
    </row>
    <row r="11423" spans="8:8" hidden="1" x14ac:dyDescent="0.35">
      <c r="H11423" s="83">
        <f t="shared" si="225"/>
        <v>0</v>
      </c>
    </row>
    <row r="11424" spans="8:8" hidden="1" x14ac:dyDescent="0.35">
      <c r="H11424" s="83">
        <f t="shared" si="225"/>
        <v>0</v>
      </c>
    </row>
    <row r="11425" spans="8:8" hidden="1" x14ac:dyDescent="0.35">
      <c r="H11425" s="83">
        <f t="shared" si="225"/>
        <v>0</v>
      </c>
    </row>
    <row r="11426" spans="8:8" hidden="1" x14ac:dyDescent="0.35">
      <c r="H11426" s="83">
        <f t="shared" si="225"/>
        <v>0</v>
      </c>
    </row>
    <row r="11427" spans="8:8" hidden="1" x14ac:dyDescent="0.35">
      <c r="H11427" s="83">
        <f t="shared" si="225"/>
        <v>0</v>
      </c>
    </row>
    <row r="11428" spans="8:8" hidden="1" x14ac:dyDescent="0.35">
      <c r="H11428" s="83">
        <f t="shared" si="225"/>
        <v>0</v>
      </c>
    </row>
    <row r="11429" spans="8:8" hidden="1" x14ac:dyDescent="0.35">
      <c r="H11429" s="83">
        <f t="shared" si="225"/>
        <v>0</v>
      </c>
    </row>
    <row r="11430" spans="8:8" hidden="1" x14ac:dyDescent="0.35">
      <c r="H11430" s="83">
        <f t="shared" si="225"/>
        <v>0</v>
      </c>
    </row>
    <row r="11431" spans="8:8" hidden="1" x14ac:dyDescent="0.35">
      <c r="H11431" s="83">
        <f t="shared" si="225"/>
        <v>0</v>
      </c>
    </row>
    <row r="11432" spans="8:8" hidden="1" x14ac:dyDescent="0.35">
      <c r="H11432" s="83">
        <f t="shared" si="225"/>
        <v>0</v>
      </c>
    </row>
    <row r="11433" spans="8:8" hidden="1" x14ac:dyDescent="0.35">
      <c r="H11433" s="83">
        <f t="shared" si="225"/>
        <v>0</v>
      </c>
    </row>
    <row r="11434" spans="8:8" hidden="1" x14ac:dyDescent="0.35">
      <c r="H11434" s="83">
        <f t="shared" si="225"/>
        <v>0</v>
      </c>
    </row>
    <row r="11435" spans="8:8" hidden="1" x14ac:dyDescent="0.35">
      <c r="H11435" s="83">
        <f t="shared" si="225"/>
        <v>0</v>
      </c>
    </row>
    <row r="11436" spans="8:8" hidden="1" x14ac:dyDescent="0.35">
      <c r="H11436" s="83">
        <f t="shared" si="225"/>
        <v>0</v>
      </c>
    </row>
    <row r="11437" spans="8:8" hidden="1" x14ac:dyDescent="0.35">
      <c r="H11437" s="83">
        <f t="shared" si="225"/>
        <v>0</v>
      </c>
    </row>
    <row r="11438" spans="8:8" hidden="1" x14ac:dyDescent="0.35">
      <c r="H11438" s="83">
        <f t="shared" si="225"/>
        <v>0</v>
      </c>
    </row>
    <row r="11439" spans="8:8" hidden="1" x14ac:dyDescent="0.35">
      <c r="H11439" s="83">
        <f t="shared" si="225"/>
        <v>0</v>
      </c>
    </row>
    <row r="11440" spans="8:8" hidden="1" x14ac:dyDescent="0.35">
      <c r="H11440" s="83">
        <f t="shared" si="225"/>
        <v>0</v>
      </c>
    </row>
    <row r="11441" spans="8:8" hidden="1" x14ac:dyDescent="0.35">
      <c r="H11441" s="83">
        <f t="shared" si="225"/>
        <v>0</v>
      </c>
    </row>
    <row r="11442" spans="8:8" hidden="1" x14ac:dyDescent="0.35">
      <c r="H11442" s="83">
        <f t="shared" si="225"/>
        <v>0</v>
      </c>
    </row>
    <row r="11443" spans="8:8" hidden="1" x14ac:dyDescent="0.35">
      <c r="H11443" s="83">
        <f t="shared" si="225"/>
        <v>0</v>
      </c>
    </row>
    <row r="11444" spans="8:8" hidden="1" x14ac:dyDescent="0.35">
      <c r="H11444" s="83">
        <f t="shared" si="225"/>
        <v>0</v>
      </c>
    </row>
    <row r="11445" spans="8:8" hidden="1" x14ac:dyDescent="0.35">
      <c r="H11445" s="83">
        <f t="shared" si="225"/>
        <v>0</v>
      </c>
    </row>
    <row r="11446" spans="8:8" hidden="1" x14ac:dyDescent="0.35">
      <c r="H11446" s="83">
        <f t="shared" si="225"/>
        <v>0</v>
      </c>
    </row>
    <row r="11447" spans="8:8" hidden="1" x14ac:dyDescent="0.35">
      <c r="H11447" s="83">
        <f t="shared" si="225"/>
        <v>0</v>
      </c>
    </row>
    <row r="11448" spans="8:8" hidden="1" x14ac:dyDescent="0.35">
      <c r="H11448" s="83">
        <f t="shared" si="225"/>
        <v>0</v>
      </c>
    </row>
    <row r="11449" spans="8:8" hidden="1" x14ac:dyDescent="0.35">
      <c r="H11449" s="83">
        <f t="shared" si="225"/>
        <v>0</v>
      </c>
    </row>
    <row r="11450" spans="8:8" hidden="1" x14ac:dyDescent="0.35">
      <c r="H11450" s="83">
        <f t="shared" si="225"/>
        <v>0</v>
      </c>
    </row>
    <row r="11451" spans="8:8" hidden="1" x14ac:dyDescent="0.35">
      <c r="H11451" s="83">
        <f t="shared" si="225"/>
        <v>0</v>
      </c>
    </row>
    <row r="11452" spans="8:8" hidden="1" x14ac:dyDescent="0.35">
      <c r="H11452" s="83">
        <f t="shared" si="225"/>
        <v>0</v>
      </c>
    </row>
    <row r="11453" spans="8:8" hidden="1" x14ac:dyDescent="0.35">
      <c r="H11453" s="83">
        <f t="shared" si="225"/>
        <v>0</v>
      </c>
    </row>
    <row r="11454" spans="8:8" hidden="1" x14ac:dyDescent="0.35">
      <c r="H11454" s="83">
        <f t="shared" si="225"/>
        <v>0</v>
      </c>
    </row>
    <row r="11455" spans="8:8" hidden="1" x14ac:dyDescent="0.35">
      <c r="H11455" s="83">
        <f t="shared" si="225"/>
        <v>0</v>
      </c>
    </row>
    <row r="11456" spans="8:8" hidden="1" x14ac:dyDescent="0.35">
      <c r="H11456" s="83">
        <f t="shared" si="225"/>
        <v>0</v>
      </c>
    </row>
    <row r="11457" spans="8:8" hidden="1" x14ac:dyDescent="0.35">
      <c r="H11457" s="83">
        <f t="shared" si="225"/>
        <v>0</v>
      </c>
    </row>
    <row r="11458" spans="8:8" hidden="1" x14ac:dyDescent="0.35">
      <c r="H11458" s="83">
        <f t="shared" si="225"/>
        <v>0</v>
      </c>
    </row>
    <row r="11459" spans="8:8" hidden="1" x14ac:dyDescent="0.35">
      <c r="H11459" s="83">
        <f t="shared" si="225"/>
        <v>0</v>
      </c>
    </row>
    <row r="11460" spans="8:8" hidden="1" x14ac:dyDescent="0.35">
      <c r="H11460" s="83">
        <f t="shared" ref="H11460:H11523" si="226">J11460-I11460</f>
        <v>0</v>
      </c>
    </row>
    <row r="11461" spans="8:8" hidden="1" x14ac:dyDescent="0.35">
      <c r="H11461" s="83">
        <f t="shared" si="226"/>
        <v>0</v>
      </c>
    </row>
    <row r="11462" spans="8:8" hidden="1" x14ac:dyDescent="0.35">
      <c r="H11462" s="83">
        <f t="shared" si="226"/>
        <v>0</v>
      </c>
    </row>
    <row r="11463" spans="8:8" hidden="1" x14ac:dyDescent="0.35">
      <c r="H11463" s="83">
        <f t="shared" si="226"/>
        <v>0</v>
      </c>
    </row>
    <row r="11464" spans="8:8" hidden="1" x14ac:dyDescent="0.35">
      <c r="H11464" s="83">
        <f t="shared" si="226"/>
        <v>0</v>
      </c>
    </row>
    <row r="11465" spans="8:8" hidden="1" x14ac:dyDescent="0.35">
      <c r="H11465" s="83">
        <f t="shared" si="226"/>
        <v>0</v>
      </c>
    </row>
    <row r="11466" spans="8:8" hidden="1" x14ac:dyDescent="0.35">
      <c r="H11466" s="83">
        <f t="shared" si="226"/>
        <v>0</v>
      </c>
    </row>
    <row r="11467" spans="8:8" hidden="1" x14ac:dyDescent="0.35">
      <c r="H11467" s="83">
        <f t="shared" si="226"/>
        <v>0</v>
      </c>
    </row>
    <row r="11468" spans="8:8" hidden="1" x14ac:dyDescent="0.35">
      <c r="H11468" s="83">
        <f t="shared" si="226"/>
        <v>0</v>
      </c>
    </row>
    <row r="11469" spans="8:8" hidden="1" x14ac:dyDescent="0.35">
      <c r="H11469" s="83">
        <f t="shared" si="226"/>
        <v>0</v>
      </c>
    </row>
    <row r="11470" spans="8:8" hidden="1" x14ac:dyDescent="0.35">
      <c r="H11470" s="83">
        <f t="shared" si="226"/>
        <v>0</v>
      </c>
    </row>
    <row r="11471" spans="8:8" hidden="1" x14ac:dyDescent="0.35">
      <c r="H11471" s="83">
        <f t="shared" si="226"/>
        <v>0</v>
      </c>
    </row>
    <row r="11472" spans="8:8" hidden="1" x14ac:dyDescent="0.35">
      <c r="H11472" s="83">
        <f t="shared" si="226"/>
        <v>0</v>
      </c>
    </row>
    <row r="11473" spans="8:8" hidden="1" x14ac:dyDescent="0.35">
      <c r="H11473" s="83">
        <f t="shared" si="226"/>
        <v>0</v>
      </c>
    </row>
    <row r="11474" spans="8:8" hidden="1" x14ac:dyDescent="0.35">
      <c r="H11474" s="83">
        <f t="shared" si="226"/>
        <v>0</v>
      </c>
    </row>
    <row r="11475" spans="8:8" hidden="1" x14ac:dyDescent="0.35">
      <c r="H11475" s="83">
        <f t="shared" si="226"/>
        <v>0</v>
      </c>
    </row>
    <row r="11476" spans="8:8" hidden="1" x14ac:dyDescent="0.35">
      <c r="H11476" s="83">
        <f t="shared" si="226"/>
        <v>0</v>
      </c>
    </row>
    <row r="11477" spans="8:8" hidden="1" x14ac:dyDescent="0.35">
      <c r="H11477" s="83">
        <f t="shared" si="226"/>
        <v>0</v>
      </c>
    </row>
    <row r="11478" spans="8:8" hidden="1" x14ac:dyDescent="0.35">
      <c r="H11478" s="83">
        <f t="shared" si="226"/>
        <v>0</v>
      </c>
    </row>
    <row r="11479" spans="8:8" hidden="1" x14ac:dyDescent="0.35">
      <c r="H11479" s="83">
        <f t="shared" si="226"/>
        <v>0</v>
      </c>
    </row>
    <row r="11480" spans="8:8" hidden="1" x14ac:dyDescent="0.35">
      <c r="H11480" s="83">
        <f t="shared" si="226"/>
        <v>0</v>
      </c>
    </row>
    <row r="11481" spans="8:8" hidden="1" x14ac:dyDescent="0.35">
      <c r="H11481" s="83">
        <f t="shared" si="226"/>
        <v>0</v>
      </c>
    </row>
    <row r="11482" spans="8:8" hidden="1" x14ac:dyDescent="0.35">
      <c r="H11482" s="83">
        <f t="shared" si="226"/>
        <v>0</v>
      </c>
    </row>
    <row r="11483" spans="8:8" hidden="1" x14ac:dyDescent="0.35">
      <c r="H11483" s="83">
        <f t="shared" si="226"/>
        <v>0</v>
      </c>
    </row>
    <row r="11484" spans="8:8" hidden="1" x14ac:dyDescent="0.35">
      <c r="H11484" s="83">
        <f t="shared" si="226"/>
        <v>0</v>
      </c>
    </row>
    <row r="11485" spans="8:8" hidden="1" x14ac:dyDescent="0.35">
      <c r="H11485" s="83">
        <f t="shared" si="226"/>
        <v>0</v>
      </c>
    </row>
    <row r="11486" spans="8:8" hidden="1" x14ac:dyDescent="0.35">
      <c r="H11486" s="83">
        <f t="shared" si="226"/>
        <v>0</v>
      </c>
    </row>
    <row r="11487" spans="8:8" hidden="1" x14ac:dyDescent="0.35">
      <c r="H11487" s="83">
        <f t="shared" si="226"/>
        <v>0</v>
      </c>
    </row>
    <row r="11488" spans="8:8" hidden="1" x14ac:dyDescent="0.35">
      <c r="H11488" s="83">
        <f t="shared" si="226"/>
        <v>0</v>
      </c>
    </row>
    <row r="11489" spans="8:8" hidden="1" x14ac:dyDescent="0.35">
      <c r="H11489" s="83">
        <f t="shared" si="226"/>
        <v>0</v>
      </c>
    </row>
    <row r="11490" spans="8:8" hidden="1" x14ac:dyDescent="0.35">
      <c r="H11490" s="83">
        <f t="shared" si="226"/>
        <v>0</v>
      </c>
    </row>
    <row r="11491" spans="8:8" hidden="1" x14ac:dyDescent="0.35">
      <c r="H11491" s="83">
        <f t="shared" si="226"/>
        <v>0</v>
      </c>
    </row>
    <row r="11492" spans="8:8" hidden="1" x14ac:dyDescent="0.35">
      <c r="H11492" s="83">
        <f t="shared" si="226"/>
        <v>0</v>
      </c>
    </row>
    <row r="11493" spans="8:8" hidden="1" x14ac:dyDescent="0.35">
      <c r="H11493" s="83">
        <f t="shared" si="226"/>
        <v>0</v>
      </c>
    </row>
    <row r="11494" spans="8:8" hidden="1" x14ac:dyDescent="0.35">
      <c r="H11494" s="83">
        <f t="shared" si="226"/>
        <v>0</v>
      </c>
    </row>
    <row r="11495" spans="8:8" hidden="1" x14ac:dyDescent="0.35">
      <c r="H11495" s="83">
        <f t="shared" si="226"/>
        <v>0</v>
      </c>
    </row>
    <row r="11496" spans="8:8" hidden="1" x14ac:dyDescent="0.35">
      <c r="H11496" s="83">
        <f t="shared" si="226"/>
        <v>0</v>
      </c>
    </row>
    <row r="11497" spans="8:8" hidden="1" x14ac:dyDescent="0.35">
      <c r="H11497" s="83">
        <f t="shared" si="226"/>
        <v>0</v>
      </c>
    </row>
    <row r="11498" spans="8:8" hidden="1" x14ac:dyDescent="0.35">
      <c r="H11498" s="83">
        <f t="shared" si="226"/>
        <v>0</v>
      </c>
    </row>
    <row r="11499" spans="8:8" hidden="1" x14ac:dyDescent="0.35">
      <c r="H11499" s="83">
        <f t="shared" si="226"/>
        <v>0</v>
      </c>
    </row>
    <row r="11500" spans="8:8" hidden="1" x14ac:dyDescent="0.35">
      <c r="H11500" s="83">
        <f t="shared" si="226"/>
        <v>0</v>
      </c>
    </row>
    <row r="11501" spans="8:8" hidden="1" x14ac:dyDescent="0.35">
      <c r="H11501" s="83">
        <f t="shared" si="226"/>
        <v>0</v>
      </c>
    </row>
    <row r="11502" spans="8:8" hidden="1" x14ac:dyDescent="0.35">
      <c r="H11502" s="83">
        <f t="shared" si="226"/>
        <v>0</v>
      </c>
    </row>
    <row r="11503" spans="8:8" hidden="1" x14ac:dyDescent="0.35">
      <c r="H11503" s="83">
        <f t="shared" si="226"/>
        <v>0</v>
      </c>
    </row>
    <row r="11504" spans="8:8" hidden="1" x14ac:dyDescent="0.35">
      <c r="H11504" s="83">
        <f t="shared" si="226"/>
        <v>0</v>
      </c>
    </row>
    <row r="11505" spans="8:8" hidden="1" x14ac:dyDescent="0.35">
      <c r="H11505" s="83">
        <f t="shared" si="226"/>
        <v>0</v>
      </c>
    </row>
    <row r="11506" spans="8:8" hidden="1" x14ac:dyDescent="0.35">
      <c r="H11506" s="83">
        <f t="shared" si="226"/>
        <v>0</v>
      </c>
    </row>
    <row r="11507" spans="8:8" hidden="1" x14ac:dyDescent="0.35">
      <c r="H11507" s="83">
        <f t="shared" si="226"/>
        <v>0</v>
      </c>
    </row>
    <row r="11508" spans="8:8" hidden="1" x14ac:dyDescent="0.35">
      <c r="H11508" s="83">
        <f t="shared" si="226"/>
        <v>0</v>
      </c>
    </row>
    <row r="11509" spans="8:8" hidden="1" x14ac:dyDescent="0.35">
      <c r="H11509" s="83">
        <f t="shared" si="226"/>
        <v>0</v>
      </c>
    </row>
    <row r="11510" spans="8:8" hidden="1" x14ac:dyDescent="0.35">
      <c r="H11510" s="83">
        <f t="shared" si="226"/>
        <v>0</v>
      </c>
    </row>
    <row r="11511" spans="8:8" hidden="1" x14ac:dyDescent="0.35">
      <c r="H11511" s="83">
        <f t="shared" si="226"/>
        <v>0</v>
      </c>
    </row>
    <row r="11512" spans="8:8" hidden="1" x14ac:dyDescent="0.35">
      <c r="H11512" s="83">
        <f t="shared" si="226"/>
        <v>0</v>
      </c>
    </row>
    <row r="11513" spans="8:8" hidden="1" x14ac:dyDescent="0.35">
      <c r="H11513" s="83">
        <f t="shared" si="226"/>
        <v>0</v>
      </c>
    </row>
    <row r="11514" spans="8:8" hidden="1" x14ac:dyDescent="0.35">
      <c r="H11514" s="83">
        <f t="shared" si="226"/>
        <v>0</v>
      </c>
    </row>
    <row r="11515" spans="8:8" hidden="1" x14ac:dyDescent="0.35">
      <c r="H11515" s="83">
        <f t="shared" si="226"/>
        <v>0</v>
      </c>
    </row>
    <row r="11516" spans="8:8" hidden="1" x14ac:dyDescent="0.35">
      <c r="H11516" s="83">
        <f t="shared" si="226"/>
        <v>0</v>
      </c>
    </row>
    <row r="11517" spans="8:8" hidden="1" x14ac:dyDescent="0.35">
      <c r="H11517" s="83">
        <f t="shared" si="226"/>
        <v>0</v>
      </c>
    </row>
    <row r="11518" spans="8:8" hidden="1" x14ac:dyDescent="0.35">
      <c r="H11518" s="83">
        <f t="shared" si="226"/>
        <v>0</v>
      </c>
    </row>
    <row r="11519" spans="8:8" hidden="1" x14ac:dyDescent="0.35">
      <c r="H11519" s="83">
        <f t="shared" si="226"/>
        <v>0</v>
      </c>
    </row>
    <row r="11520" spans="8:8" hidden="1" x14ac:dyDescent="0.35">
      <c r="H11520" s="83">
        <f t="shared" si="226"/>
        <v>0</v>
      </c>
    </row>
    <row r="11521" spans="8:8" hidden="1" x14ac:dyDescent="0.35">
      <c r="H11521" s="83">
        <f t="shared" si="226"/>
        <v>0</v>
      </c>
    </row>
    <row r="11522" spans="8:8" hidden="1" x14ac:dyDescent="0.35">
      <c r="H11522" s="83">
        <f t="shared" si="226"/>
        <v>0</v>
      </c>
    </row>
    <row r="11523" spans="8:8" hidden="1" x14ac:dyDescent="0.35">
      <c r="H11523" s="83">
        <f t="shared" si="226"/>
        <v>0</v>
      </c>
    </row>
    <row r="11524" spans="8:8" hidden="1" x14ac:dyDescent="0.35">
      <c r="H11524" s="83">
        <f t="shared" ref="H11524:H11587" si="227">J11524-I11524</f>
        <v>0</v>
      </c>
    </row>
    <row r="11525" spans="8:8" hidden="1" x14ac:dyDescent="0.35">
      <c r="H11525" s="83">
        <f t="shared" si="227"/>
        <v>0</v>
      </c>
    </row>
    <row r="11526" spans="8:8" hidden="1" x14ac:dyDescent="0.35">
      <c r="H11526" s="83">
        <f t="shared" si="227"/>
        <v>0</v>
      </c>
    </row>
    <row r="11527" spans="8:8" hidden="1" x14ac:dyDescent="0.35">
      <c r="H11527" s="83">
        <f t="shared" si="227"/>
        <v>0</v>
      </c>
    </row>
    <row r="11528" spans="8:8" hidden="1" x14ac:dyDescent="0.35">
      <c r="H11528" s="83">
        <f t="shared" si="227"/>
        <v>0</v>
      </c>
    </row>
    <row r="11529" spans="8:8" hidden="1" x14ac:dyDescent="0.35">
      <c r="H11529" s="83">
        <f t="shared" si="227"/>
        <v>0</v>
      </c>
    </row>
    <row r="11530" spans="8:8" hidden="1" x14ac:dyDescent="0.35">
      <c r="H11530" s="83">
        <f t="shared" si="227"/>
        <v>0</v>
      </c>
    </row>
    <row r="11531" spans="8:8" hidden="1" x14ac:dyDescent="0.35">
      <c r="H11531" s="83">
        <f t="shared" si="227"/>
        <v>0</v>
      </c>
    </row>
    <row r="11532" spans="8:8" hidden="1" x14ac:dyDescent="0.35">
      <c r="H11532" s="83">
        <f t="shared" si="227"/>
        <v>0</v>
      </c>
    </row>
    <row r="11533" spans="8:8" hidden="1" x14ac:dyDescent="0.35">
      <c r="H11533" s="83">
        <f t="shared" si="227"/>
        <v>0</v>
      </c>
    </row>
    <row r="11534" spans="8:8" hidden="1" x14ac:dyDescent="0.35">
      <c r="H11534" s="83">
        <f t="shared" si="227"/>
        <v>0</v>
      </c>
    </row>
    <row r="11535" spans="8:8" hidden="1" x14ac:dyDescent="0.35">
      <c r="H11535" s="83">
        <f t="shared" si="227"/>
        <v>0</v>
      </c>
    </row>
    <row r="11536" spans="8:8" hidden="1" x14ac:dyDescent="0.35">
      <c r="H11536" s="83">
        <f t="shared" si="227"/>
        <v>0</v>
      </c>
    </row>
    <row r="11537" spans="8:8" hidden="1" x14ac:dyDescent="0.35">
      <c r="H11537" s="83">
        <f t="shared" si="227"/>
        <v>0</v>
      </c>
    </row>
    <row r="11538" spans="8:8" hidden="1" x14ac:dyDescent="0.35">
      <c r="H11538" s="83">
        <f t="shared" si="227"/>
        <v>0</v>
      </c>
    </row>
    <row r="11539" spans="8:8" hidden="1" x14ac:dyDescent="0.35">
      <c r="H11539" s="83">
        <f t="shared" si="227"/>
        <v>0</v>
      </c>
    </row>
    <row r="11540" spans="8:8" hidden="1" x14ac:dyDescent="0.35">
      <c r="H11540" s="83">
        <f t="shared" si="227"/>
        <v>0</v>
      </c>
    </row>
    <row r="11541" spans="8:8" hidden="1" x14ac:dyDescent="0.35">
      <c r="H11541" s="83">
        <f t="shared" si="227"/>
        <v>0</v>
      </c>
    </row>
    <row r="11542" spans="8:8" hidden="1" x14ac:dyDescent="0.35">
      <c r="H11542" s="83">
        <f t="shared" si="227"/>
        <v>0</v>
      </c>
    </row>
    <row r="11543" spans="8:8" hidden="1" x14ac:dyDescent="0.35">
      <c r="H11543" s="83">
        <f t="shared" si="227"/>
        <v>0</v>
      </c>
    </row>
    <row r="11544" spans="8:8" hidden="1" x14ac:dyDescent="0.35">
      <c r="H11544" s="83">
        <f t="shared" si="227"/>
        <v>0</v>
      </c>
    </row>
    <row r="11545" spans="8:8" hidden="1" x14ac:dyDescent="0.35">
      <c r="H11545" s="83">
        <f t="shared" si="227"/>
        <v>0</v>
      </c>
    </row>
    <row r="11546" spans="8:8" hidden="1" x14ac:dyDescent="0.35">
      <c r="H11546" s="83">
        <f t="shared" si="227"/>
        <v>0</v>
      </c>
    </row>
    <row r="11547" spans="8:8" hidden="1" x14ac:dyDescent="0.35">
      <c r="H11547" s="83">
        <f t="shared" si="227"/>
        <v>0</v>
      </c>
    </row>
    <row r="11548" spans="8:8" hidden="1" x14ac:dyDescent="0.35">
      <c r="H11548" s="83">
        <f t="shared" si="227"/>
        <v>0</v>
      </c>
    </row>
    <row r="11549" spans="8:8" hidden="1" x14ac:dyDescent="0.35">
      <c r="H11549" s="83">
        <f t="shared" si="227"/>
        <v>0</v>
      </c>
    </row>
    <row r="11550" spans="8:8" hidden="1" x14ac:dyDescent="0.35">
      <c r="H11550" s="83">
        <f t="shared" si="227"/>
        <v>0</v>
      </c>
    </row>
    <row r="11551" spans="8:8" hidden="1" x14ac:dyDescent="0.35">
      <c r="H11551" s="83">
        <f t="shared" si="227"/>
        <v>0</v>
      </c>
    </row>
    <row r="11552" spans="8:8" hidden="1" x14ac:dyDescent="0.35">
      <c r="H11552" s="83">
        <f t="shared" si="227"/>
        <v>0</v>
      </c>
    </row>
    <row r="11553" spans="8:8" hidden="1" x14ac:dyDescent="0.35">
      <c r="H11553" s="83">
        <f t="shared" si="227"/>
        <v>0</v>
      </c>
    </row>
    <row r="11554" spans="8:8" hidden="1" x14ac:dyDescent="0.35">
      <c r="H11554" s="83">
        <f t="shared" si="227"/>
        <v>0</v>
      </c>
    </row>
    <row r="11555" spans="8:8" hidden="1" x14ac:dyDescent="0.35">
      <c r="H11555" s="83">
        <f t="shared" si="227"/>
        <v>0</v>
      </c>
    </row>
    <row r="11556" spans="8:8" hidden="1" x14ac:dyDescent="0.35">
      <c r="H11556" s="83">
        <f t="shared" si="227"/>
        <v>0</v>
      </c>
    </row>
    <row r="11557" spans="8:8" hidden="1" x14ac:dyDescent="0.35">
      <c r="H11557" s="83">
        <f t="shared" si="227"/>
        <v>0</v>
      </c>
    </row>
    <row r="11558" spans="8:8" hidden="1" x14ac:dyDescent="0.35">
      <c r="H11558" s="83">
        <f t="shared" si="227"/>
        <v>0</v>
      </c>
    </row>
    <row r="11559" spans="8:8" hidden="1" x14ac:dyDescent="0.35">
      <c r="H11559" s="83">
        <f t="shared" si="227"/>
        <v>0</v>
      </c>
    </row>
    <row r="11560" spans="8:8" hidden="1" x14ac:dyDescent="0.35">
      <c r="H11560" s="83">
        <f t="shared" si="227"/>
        <v>0</v>
      </c>
    </row>
    <row r="11561" spans="8:8" hidden="1" x14ac:dyDescent="0.35">
      <c r="H11561" s="83">
        <f t="shared" si="227"/>
        <v>0</v>
      </c>
    </row>
    <row r="11562" spans="8:8" hidden="1" x14ac:dyDescent="0.35">
      <c r="H11562" s="83">
        <f t="shared" si="227"/>
        <v>0</v>
      </c>
    </row>
    <row r="11563" spans="8:8" hidden="1" x14ac:dyDescent="0.35">
      <c r="H11563" s="83">
        <f t="shared" si="227"/>
        <v>0</v>
      </c>
    </row>
    <row r="11564" spans="8:8" hidden="1" x14ac:dyDescent="0.35">
      <c r="H11564" s="83">
        <f t="shared" si="227"/>
        <v>0</v>
      </c>
    </row>
    <row r="11565" spans="8:8" hidden="1" x14ac:dyDescent="0.35">
      <c r="H11565" s="83">
        <f t="shared" si="227"/>
        <v>0</v>
      </c>
    </row>
    <row r="11566" spans="8:8" hidden="1" x14ac:dyDescent="0.35">
      <c r="H11566" s="83">
        <f t="shared" si="227"/>
        <v>0</v>
      </c>
    </row>
    <row r="11567" spans="8:8" hidden="1" x14ac:dyDescent="0.35">
      <c r="H11567" s="83">
        <f t="shared" si="227"/>
        <v>0</v>
      </c>
    </row>
    <row r="11568" spans="8:8" hidden="1" x14ac:dyDescent="0.35">
      <c r="H11568" s="83">
        <f t="shared" si="227"/>
        <v>0</v>
      </c>
    </row>
    <row r="11569" spans="8:8" hidden="1" x14ac:dyDescent="0.35">
      <c r="H11569" s="83">
        <f t="shared" si="227"/>
        <v>0</v>
      </c>
    </row>
    <row r="11570" spans="8:8" hidden="1" x14ac:dyDescent="0.35">
      <c r="H11570" s="83">
        <f t="shared" si="227"/>
        <v>0</v>
      </c>
    </row>
    <row r="11571" spans="8:8" hidden="1" x14ac:dyDescent="0.35">
      <c r="H11571" s="83">
        <f t="shared" si="227"/>
        <v>0</v>
      </c>
    </row>
    <row r="11572" spans="8:8" hidden="1" x14ac:dyDescent="0.35">
      <c r="H11572" s="83">
        <f t="shared" si="227"/>
        <v>0</v>
      </c>
    </row>
    <row r="11573" spans="8:8" hidden="1" x14ac:dyDescent="0.35">
      <c r="H11573" s="83">
        <f t="shared" si="227"/>
        <v>0</v>
      </c>
    </row>
    <row r="11574" spans="8:8" hidden="1" x14ac:dyDescent="0.35">
      <c r="H11574" s="83">
        <f t="shared" si="227"/>
        <v>0</v>
      </c>
    </row>
    <row r="11575" spans="8:8" hidden="1" x14ac:dyDescent="0.35">
      <c r="H11575" s="83">
        <f t="shared" si="227"/>
        <v>0</v>
      </c>
    </row>
    <row r="11576" spans="8:8" hidden="1" x14ac:dyDescent="0.35">
      <c r="H11576" s="83">
        <f t="shared" si="227"/>
        <v>0</v>
      </c>
    </row>
    <row r="11577" spans="8:8" hidden="1" x14ac:dyDescent="0.35">
      <c r="H11577" s="83">
        <f t="shared" si="227"/>
        <v>0</v>
      </c>
    </row>
    <row r="11578" spans="8:8" hidden="1" x14ac:dyDescent="0.35">
      <c r="H11578" s="83">
        <f t="shared" si="227"/>
        <v>0</v>
      </c>
    </row>
    <row r="11579" spans="8:8" hidden="1" x14ac:dyDescent="0.35">
      <c r="H11579" s="83">
        <f t="shared" si="227"/>
        <v>0</v>
      </c>
    </row>
    <row r="11580" spans="8:8" hidden="1" x14ac:dyDescent="0.35">
      <c r="H11580" s="83">
        <f t="shared" si="227"/>
        <v>0</v>
      </c>
    </row>
    <row r="11581" spans="8:8" hidden="1" x14ac:dyDescent="0.35">
      <c r="H11581" s="83">
        <f t="shared" si="227"/>
        <v>0</v>
      </c>
    </row>
    <row r="11582" spans="8:8" hidden="1" x14ac:dyDescent="0.35">
      <c r="H11582" s="83">
        <f t="shared" si="227"/>
        <v>0</v>
      </c>
    </row>
    <row r="11583" spans="8:8" hidden="1" x14ac:dyDescent="0.35">
      <c r="H11583" s="83">
        <f t="shared" si="227"/>
        <v>0</v>
      </c>
    </row>
    <row r="11584" spans="8:8" hidden="1" x14ac:dyDescent="0.35">
      <c r="H11584" s="83">
        <f t="shared" si="227"/>
        <v>0</v>
      </c>
    </row>
    <row r="11585" spans="8:8" hidden="1" x14ac:dyDescent="0.35">
      <c r="H11585" s="83">
        <f t="shared" si="227"/>
        <v>0</v>
      </c>
    </row>
    <row r="11586" spans="8:8" hidden="1" x14ac:dyDescent="0.35">
      <c r="H11586" s="83">
        <f t="shared" si="227"/>
        <v>0</v>
      </c>
    </row>
    <row r="11587" spans="8:8" hidden="1" x14ac:dyDescent="0.35">
      <c r="H11587" s="83">
        <f t="shared" si="227"/>
        <v>0</v>
      </c>
    </row>
    <row r="11588" spans="8:8" hidden="1" x14ac:dyDescent="0.35">
      <c r="H11588" s="83">
        <f t="shared" ref="H11588:H11651" si="228">J11588-I11588</f>
        <v>0</v>
      </c>
    </row>
    <row r="11589" spans="8:8" hidden="1" x14ac:dyDescent="0.35">
      <c r="H11589" s="83">
        <f t="shared" si="228"/>
        <v>0</v>
      </c>
    </row>
    <row r="11590" spans="8:8" hidden="1" x14ac:dyDescent="0.35">
      <c r="H11590" s="83">
        <f t="shared" si="228"/>
        <v>0</v>
      </c>
    </row>
    <row r="11591" spans="8:8" hidden="1" x14ac:dyDescent="0.35">
      <c r="H11591" s="83">
        <f t="shared" si="228"/>
        <v>0</v>
      </c>
    </row>
    <row r="11592" spans="8:8" hidden="1" x14ac:dyDescent="0.35">
      <c r="H11592" s="83">
        <f t="shared" si="228"/>
        <v>0</v>
      </c>
    </row>
    <row r="11593" spans="8:8" hidden="1" x14ac:dyDescent="0.35">
      <c r="H11593" s="83">
        <f t="shared" si="228"/>
        <v>0</v>
      </c>
    </row>
    <row r="11594" spans="8:8" hidden="1" x14ac:dyDescent="0.35">
      <c r="H11594" s="83">
        <f t="shared" si="228"/>
        <v>0</v>
      </c>
    </row>
    <row r="11595" spans="8:8" hidden="1" x14ac:dyDescent="0.35">
      <c r="H11595" s="83">
        <f t="shared" si="228"/>
        <v>0</v>
      </c>
    </row>
    <row r="11596" spans="8:8" hidden="1" x14ac:dyDescent="0.35">
      <c r="H11596" s="83">
        <f t="shared" si="228"/>
        <v>0</v>
      </c>
    </row>
    <row r="11597" spans="8:8" hidden="1" x14ac:dyDescent="0.35">
      <c r="H11597" s="83">
        <f t="shared" si="228"/>
        <v>0</v>
      </c>
    </row>
    <row r="11598" spans="8:8" hidden="1" x14ac:dyDescent="0.35">
      <c r="H11598" s="83">
        <f t="shared" si="228"/>
        <v>0</v>
      </c>
    </row>
    <row r="11599" spans="8:8" hidden="1" x14ac:dyDescent="0.35">
      <c r="H11599" s="83">
        <f t="shared" si="228"/>
        <v>0</v>
      </c>
    </row>
    <row r="11600" spans="8:8" hidden="1" x14ac:dyDescent="0.35">
      <c r="H11600" s="83">
        <f t="shared" si="228"/>
        <v>0</v>
      </c>
    </row>
    <row r="11601" spans="8:8" hidden="1" x14ac:dyDescent="0.35">
      <c r="H11601" s="83">
        <f t="shared" si="228"/>
        <v>0</v>
      </c>
    </row>
    <row r="11602" spans="8:8" hidden="1" x14ac:dyDescent="0.35">
      <c r="H11602" s="83">
        <f t="shared" si="228"/>
        <v>0</v>
      </c>
    </row>
    <row r="11603" spans="8:8" hidden="1" x14ac:dyDescent="0.35">
      <c r="H11603" s="83">
        <f t="shared" si="228"/>
        <v>0</v>
      </c>
    </row>
    <row r="11604" spans="8:8" hidden="1" x14ac:dyDescent="0.35">
      <c r="H11604" s="83">
        <f t="shared" si="228"/>
        <v>0</v>
      </c>
    </row>
    <row r="11605" spans="8:8" hidden="1" x14ac:dyDescent="0.35">
      <c r="H11605" s="83">
        <f t="shared" si="228"/>
        <v>0</v>
      </c>
    </row>
    <row r="11606" spans="8:8" hidden="1" x14ac:dyDescent="0.35">
      <c r="H11606" s="83">
        <f t="shared" si="228"/>
        <v>0</v>
      </c>
    </row>
    <row r="11607" spans="8:8" hidden="1" x14ac:dyDescent="0.35">
      <c r="H11607" s="83">
        <f t="shared" si="228"/>
        <v>0</v>
      </c>
    </row>
    <row r="11608" spans="8:8" hidden="1" x14ac:dyDescent="0.35">
      <c r="H11608" s="83">
        <f t="shared" si="228"/>
        <v>0</v>
      </c>
    </row>
    <row r="11609" spans="8:8" hidden="1" x14ac:dyDescent="0.35">
      <c r="H11609" s="83">
        <f t="shared" si="228"/>
        <v>0</v>
      </c>
    </row>
    <row r="11610" spans="8:8" hidden="1" x14ac:dyDescent="0.35">
      <c r="H11610" s="83">
        <f t="shared" si="228"/>
        <v>0</v>
      </c>
    </row>
    <row r="11611" spans="8:8" hidden="1" x14ac:dyDescent="0.35">
      <c r="H11611" s="83">
        <f t="shared" si="228"/>
        <v>0</v>
      </c>
    </row>
    <row r="11612" spans="8:8" hidden="1" x14ac:dyDescent="0.35">
      <c r="H11612" s="83">
        <f t="shared" si="228"/>
        <v>0</v>
      </c>
    </row>
    <row r="11613" spans="8:8" hidden="1" x14ac:dyDescent="0.35">
      <c r="H11613" s="83">
        <f t="shared" si="228"/>
        <v>0</v>
      </c>
    </row>
    <row r="11614" spans="8:8" hidden="1" x14ac:dyDescent="0.35">
      <c r="H11614" s="83">
        <f t="shared" si="228"/>
        <v>0</v>
      </c>
    </row>
    <row r="11615" spans="8:8" hidden="1" x14ac:dyDescent="0.35">
      <c r="H11615" s="83">
        <f t="shared" si="228"/>
        <v>0</v>
      </c>
    </row>
    <row r="11616" spans="8:8" hidden="1" x14ac:dyDescent="0.35">
      <c r="H11616" s="83">
        <f t="shared" si="228"/>
        <v>0</v>
      </c>
    </row>
    <row r="11617" spans="8:8" hidden="1" x14ac:dyDescent="0.35">
      <c r="H11617" s="83">
        <f t="shared" si="228"/>
        <v>0</v>
      </c>
    </row>
    <row r="11618" spans="8:8" hidden="1" x14ac:dyDescent="0.35">
      <c r="H11618" s="83">
        <f t="shared" si="228"/>
        <v>0</v>
      </c>
    </row>
    <row r="11619" spans="8:8" hidden="1" x14ac:dyDescent="0.35">
      <c r="H11619" s="83">
        <f t="shared" si="228"/>
        <v>0</v>
      </c>
    </row>
    <row r="11620" spans="8:8" hidden="1" x14ac:dyDescent="0.35">
      <c r="H11620" s="83">
        <f t="shared" si="228"/>
        <v>0</v>
      </c>
    </row>
    <row r="11621" spans="8:8" hidden="1" x14ac:dyDescent="0.35">
      <c r="H11621" s="83">
        <f t="shared" si="228"/>
        <v>0</v>
      </c>
    </row>
    <row r="11622" spans="8:8" hidden="1" x14ac:dyDescent="0.35">
      <c r="H11622" s="83">
        <f t="shared" si="228"/>
        <v>0</v>
      </c>
    </row>
    <row r="11623" spans="8:8" hidden="1" x14ac:dyDescent="0.35">
      <c r="H11623" s="83">
        <f t="shared" si="228"/>
        <v>0</v>
      </c>
    </row>
    <row r="11624" spans="8:8" hidden="1" x14ac:dyDescent="0.35">
      <c r="H11624" s="83">
        <f t="shared" si="228"/>
        <v>0</v>
      </c>
    </row>
    <row r="11625" spans="8:8" hidden="1" x14ac:dyDescent="0.35">
      <c r="H11625" s="83">
        <f t="shared" si="228"/>
        <v>0</v>
      </c>
    </row>
    <row r="11626" spans="8:8" hidden="1" x14ac:dyDescent="0.35">
      <c r="H11626" s="83">
        <f t="shared" si="228"/>
        <v>0</v>
      </c>
    </row>
    <row r="11627" spans="8:8" hidden="1" x14ac:dyDescent="0.35">
      <c r="H11627" s="83">
        <f t="shared" si="228"/>
        <v>0</v>
      </c>
    </row>
    <row r="11628" spans="8:8" hidden="1" x14ac:dyDescent="0.35">
      <c r="H11628" s="83">
        <f t="shared" si="228"/>
        <v>0</v>
      </c>
    </row>
    <row r="11629" spans="8:8" hidden="1" x14ac:dyDescent="0.35">
      <c r="H11629" s="83">
        <f t="shared" si="228"/>
        <v>0</v>
      </c>
    </row>
    <row r="11630" spans="8:8" hidden="1" x14ac:dyDescent="0.35">
      <c r="H11630" s="83">
        <f t="shared" si="228"/>
        <v>0</v>
      </c>
    </row>
    <row r="11631" spans="8:8" hidden="1" x14ac:dyDescent="0.35">
      <c r="H11631" s="83">
        <f t="shared" si="228"/>
        <v>0</v>
      </c>
    </row>
    <row r="11632" spans="8:8" hidden="1" x14ac:dyDescent="0.35">
      <c r="H11632" s="83">
        <f t="shared" si="228"/>
        <v>0</v>
      </c>
    </row>
    <row r="11633" spans="8:8" hidden="1" x14ac:dyDescent="0.35">
      <c r="H11633" s="83">
        <f t="shared" si="228"/>
        <v>0</v>
      </c>
    </row>
    <row r="11634" spans="8:8" hidden="1" x14ac:dyDescent="0.35">
      <c r="H11634" s="83">
        <f t="shared" si="228"/>
        <v>0</v>
      </c>
    </row>
    <row r="11635" spans="8:8" hidden="1" x14ac:dyDescent="0.35">
      <c r="H11635" s="83">
        <f t="shared" si="228"/>
        <v>0</v>
      </c>
    </row>
    <row r="11636" spans="8:8" hidden="1" x14ac:dyDescent="0.35">
      <c r="H11636" s="83">
        <f t="shared" si="228"/>
        <v>0</v>
      </c>
    </row>
    <row r="11637" spans="8:8" hidden="1" x14ac:dyDescent="0.35">
      <c r="H11637" s="83">
        <f t="shared" si="228"/>
        <v>0</v>
      </c>
    </row>
    <row r="11638" spans="8:8" hidden="1" x14ac:dyDescent="0.35">
      <c r="H11638" s="83">
        <f t="shared" si="228"/>
        <v>0</v>
      </c>
    </row>
    <row r="11639" spans="8:8" hidden="1" x14ac:dyDescent="0.35">
      <c r="H11639" s="83">
        <f t="shared" si="228"/>
        <v>0</v>
      </c>
    </row>
    <row r="11640" spans="8:8" hidden="1" x14ac:dyDescent="0.35">
      <c r="H11640" s="83">
        <f t="shared" si="228"/>
        <v>0</v>
      </c>
    </row>
    <row r="11641" spans="8:8" hidden="1" x14ac:dyDescent="0.35">
      <c r="H11641" s="83">
        <f t="shared" si="228"/>
        <v>0</v>
      </c>
    </row>
    <row r="11642" spans="8:8" hidden="1" x14ac:dyDescent="0.35">
      <c r="H11642" s="83">
        <f t="shared" si="228"/>
        <v>0</v>
      </c>
    </row>
    <row r="11643" spans="8:8" hidden="1" x14ac:dyDescent="0.35">
      <c r="H11643" s="83">
        <f t="shared" si="228"/>
        <v>0</v>
      </c>
    </row>
    <row r="11644" spans="8:8" hidden="1" x14ac:dyDescent="0.35">
      <c r="H11644" s="83">
        <f t="shared" si="228"/>
        <v>0</v>
      </c>
    </row>
    <row r="11645" spans="8:8" hidden="1" x14ac:dyDescent="0.35">
      <c r="H11645" s="83">
        <f t="shared" si="228"/>
        <v>0</v>
      </c>
    </row>
    <row r="11646" spans="8:8" hidden="1" x14ac:dyDescent="0.35">
      <c r="H11646" s="83">
        <f t="shared" si="228"/>
        <v>0</v>
      </c>
    </row>
    <row r="11647" spans="8:8" hidden="1" x14ac:dyDescent="0.35">
      <c r="H11647" s="83">
        <f t="shared" si="228"/>
        <v>0</v>
      </c>
    </row>
    <row r="11648" spans="8:8" hidden="1" x14ac:dyDescent="0.35">
      <c r="H11648" s="83">
        <f t="shared" si="228"/>
        <v>0</v>
      </c>
    </row>
    <row r="11649" spans="8:8" hidden="1" x14ac:dyDescent="0.35">
      <c r="H11649" s="83">
        <f t="shared" si="228"/>
        <v>0</v>
      </c>
    </row>
    <row r="11650" spans="8:8" hidden="1" x14ac:dyDescent="0.35">
      <c r="H11650" s="83">
        <f t="shared" si="228"/>
        <v>0</v>
      </c>
    </row>
    <row r="11651" spans="8:8" hidden="1" x14ac:dyDescent="0.35">
      <c r="H11651" s="83">
        <f t="shared" si="228"/>
        <v>0</v>
      </c>
    </row>
    <row r="11652" spans="8:8" hidden="1" x14ac:dyDescent="0.35">
      <c r="H11652" s="83">
        <f t="shared" ref="H11652:H11715" si="229">J11652-I11652</f>
        <v>0</v>
      </c>
    </row>
    <row r="11653" spans="8:8" hidden="1" x14ac:dyDescent="0.35">
      <c r="H11653" s="83">
        <f t="shared" si="229"/>
        <v>0</v>
      </c>
    </row>
    <row r="11654" spans="8:8" hidden="1" x14ac:dyDescent="0.35">
      <c r="H11654" s="83">
        <f t="shared" si="229"/>
        <v>0</v>
      </c>
    </row>
    <row r="11655" spans="8:8" hidden="1" x14ac:dyDescent="0.35">
      <c r="H11655" s="83">
        <f t="shared" si="229"/>
        <v>0</v>
      </c>
    </row>
    <row r="11656" spans="8:8" hidden="1" x14ac:dyDescent="0.35">
      <c r="H11656" s="83">
        <f t="shared" si="229"/>
        <v>0</v>
      </c>
    </row>
    <row r="11657" spans="8:8" hidden="1" x14ac:dyDescent="0.35">
      <c r="H11657" s="83">
        <f t="shared" si="229"/>
        <v>0</v>
      </c>
    </row>
    <row r="11658" spans="8:8" hidden="1" x14ac:dyDescent="0.35">
      <c r="H11658" s="83">
        <f t="shared" si="229"/>
        <v>0</v>
      </c>
    </row>
    <row r="11659" spans="8:8" hidden="1" x14ac:dyDescent="0.35">
      <c r="H11659" s="83">
        <f t="shared" si="229"/>
        <v>0</v>
      </c>
    </row>
    <row r="11660" spans="8:8" hidden="1" x14ac:dyDescent="0.35">
      <c r="H11660" s="83">
        <f t="shared" si="229"/>
        <v>0</v>
      </c>
    </row>
    <row r="11661" spans="8:8" hidden="1" x14ac:dyDescent="0.35">
      <c r="H11661" s="83">
        <f t="shared" si="229"/>
        <v>0</v>
      </c>
    </row>
    <row r="11662" spans="8:8" hidden="1" x14ac:dyDescent="0.35">
      <c r="H11662" s="83">
        <f t="shared" si="229"/>
        <v>0</v>
      </c>
    </row>
    <row r="11663" spans="8:8" hidden="1" x14ac:dyDescent="0.35">
      <c r="H11663" s="83">
        <f t="shared" si="229"/>
        <v>0</v>
      </c>
    </row>
    <row r="11664" spans="8:8" hidden="1" x14ac:dyDescent="0.35">
      <c r="H11664" s="83">
        <f t="shared" si="229"/>
        <v>0</v>
      </c>
    </row>
    <row r="11665" spans="8:8" hidden="1" x14ac:dyDescent="0.35">
      <c r="H11665" s="83">
        <f t="shared" si="229"/>
        <v>0</v>
      </c>
    </row>
    <row r="11666" spans="8:8" hidden="1" x14ac:dyDescent="0.35">
      <c r="H11666" s="83">
        <f t="shared" si="229"/>
        <v>0</v>
      </c>
    </row>
    <row r="11667" spans="8:8" hidden="1" x14ac:dyDescent="0.35">
      <c r="H11667" s="83">
        <f t="shared" si="229"/>
        <v>0</v>
      </c>
    </row>
    <row r="11668" spans="8:8" hidden="1" x14ac:dyDescent="0.35">
      <c r="H11668" s="83">
        <f t="shared" si="229"/>
        <v>0</v>
      </c>
    </row>
    <row r="11669" spans="8:8" hidden="1" x14ac:dyDescent="0.35">
      <c r="H11669" s="83">
        <f t="shared" si="229"/>
        <v>0</v>
      </c>
    </row>
    <row r="11670" spans="8:8" hidden="1" x14ac:dyDescent="0.35">
      <c r="H11670" s="83">
        <f t="shared" si="229"/>
        <v>0</v>
      </c>
    </row>
    <row r="11671" spans="8:8" hidden="1" x14ac:dyDescent="0.35">
      <c r="H11671" s="83">
        <f t="shared" si="229"/>
        <v>0</v>
      </c>
    </row>
    <row r="11672" spans="8:8" hidden="1" x14ac:dyDescent="0.35">
      <c r="H11672" s="83">
        <f t="shared" si="229"/>
        <v>0</v>
      </c>
    </row>
    <row r="11673" spans="8:8" hidden="1" x14ac:dyDescent="0.35">
      <c r="H11673" s="83">
        <f t="shared" si="229"/>
        <v>0</v>
      </c>
    </row>
    <row r="11674" spans="8:8" hidden="1" x14ac:dyDescent="0.35">
      <c r="H11674" s="83">
        <f t="shared" si="229"/>
        <v>0</v>
      </c>
    </row>
    <row r="11675" spans="8:8" hidden="1" x14ac:dyDescent="0.35">
      <c r="H11675" s="83">
        <f t="shared" si="229"/>
        <v>0</v>
      </c>
    </row>
    <row r="11676" spans="8:8" hidden="1" x14ac:dyDescent="0.35">
      <c r="H11676" s="83">
        <f t="shared" si="229"/>
        <v>0</v>
      </c>
    </row>
    <row r="11677" spans="8:8" hidden="1" x14ac:dyDescent="0.35">
      <c r="H11677" s="83">
        <f t="shared" si="229"/>
        <v>0</v>
      </c>
    </row>
    <row r="11678" spans="8:8" hidden="1" x14ac:dyDescent="0.35">
      <c r="H11678" s="83">
        <f t="shared" si="229"/>
        <v>0</v>
      </c>
    </row>
    <row r="11679" spans="8:8" hidden="1" x14ac:dyDescent="0.35">
      <c r="H11679" s="83">
        <f t="shared" si="229"/>
        <v>0</v>
      </c>
    </row>
    <row r="11680" spans="8:8" hidden="1" x14ac:dyDescent="0.35">
      <c r="H11680" s="83">
        <f t="shared" si="229"/>
        <v>0</v>
      </c>
    </row>
    <row r="11681" spans="8:8" hidden="1" x14ac:dyDescent="0.35">
      <c r="H11681" s="83">
        <f t="shared" si="229"/>
        <v>0</v>
      </c>
    </row>
    <row r="11682" spans="8:8" hidden="1" x14ac:dyDescent="0.35">
      <c r="H11682" s="83">
        <f t="shared" si="229"/>
        <v>0</v>
      </c>
    </row>
    <row r="11683" spans="8:8" hidden="1" x14ac:dyDescent="0.35">
      <c r="H11683" s="83">
        <f t="shared" si="229"/>
        <v>0</v>
      </c>
    </row>
    <row r="11684" spans="8:8" hidden="1" x14ac:dyDescent="0.35">
      <c r="H11684" s="83">
        <f t="shared" si="229"/>
        <v>0</v>
      </c>
    </row>
    <row r="11685" spans="8:8" hidden="1" x14ac:dyDescent="0.35">
      <c r="H11685" s="83">
        <f t="shared" si="229"/>
        <v>0</v>
      </c>
    </row>
    <row r="11686" spans="8:8" hidden="1" x14ac:dyDescent="0.35">
      <c r="H11686" s="83">
        <f t="shared" si="229"/>
        <v>0</v>
      </c>
    </row>
    <row r="11687" spans="8:8" hidden="1" x14ac:dyDescent="0.35">
      <c r="H11687" s="83">
        <f t="shared" si="229"/>
        <v>0</v>
      </c>
    </row>
    <row r="11688" spans="8:8" hidden="1" x14ac:dyDescent="0.35">
      <c r="H11688" s="83">
        <f t="shared" si="229"/>
        <v>0</v>
      </c>
    </row>
    <row r="11689" spans="8:8" hidden="1" x14ac:dyDescent="0.35">
      <c r="H11689" s="83">
        <f t="shared" si="229"/>
        <v>0</v>
      </c>
    </row>
    <row r="11690" spans="8:8" hidden="1" x14ac:dyDescent="0.35">
      <c r="H11690" s="83">
        <f t="shared" si="229"/>
        <v>0</v>
      </c>
    </row>
    <row r="11691" spans="8:8" hidden="1" x14ac:dyDescent="0.35">
      <c r="H11691" s="83">
        <f t="shared" si="229"/>
        <v>0</v>
      </c>
    </row>
    <row r="11692" spans="8:8" hidden="1" x14ac:dyDescent="0.35">
      <c r="H11692" s="83">
        <f t="shared" si="229"/>
        <v>0</v>
      </c>
    </row>
    <row r="11693" spans="8:8" hidden="1" x14ac:dyDescent="0.35">
      <c r="H11693" s="83">
        <f t="shared" si="229"/>
        <v>0</v>
      </c>
    </row>
    <row r="11694" spans="8:8" hidden="1" x14ac:dyDescent="0.35">
      <c r="H11694" s="83">
        <f t="shared" si="229"/>
        <v>0</v>
      </c>
    </row>
    <row r="11695" spans="8:8" hidden="1" x14ac:dyDescent="0.35">
      <c r="H11695" s="83">
        <f t="shared" si="229"/>
        <v>0</v>
      </c>
    </row>
    <row r="11696" spans="8:8" hidden="1" x14ac:dyDescent="0.35">
      <c r="H11696" s="83">
        <f t="shared" si="229"/>
        <v>0</v>
      </c>
    </row>
    <row r="11697" spans="8:8" hidden="1" x14ac:dyDescent="0.35">
      <c r="H11697" s="83">
        <f t="shared" si="229"/>
        <v>0</v>
      </c>
    </row>
    <row r="11698" spans="8:8" hidden="1" x14ac:dyDescent="0.35">
      <c r="H11698" s="83">
        <f t="shared" si="229"/>
        <v>0</v>
      </c>
    </row>
    <row r="11699" spans="8:8" hidden="1" x14ac:dyDescent="0.35">
      <c r="H11699" s="83">
        <f t="shared" si="229"/>
        <v>0</v>
      </c>
    </row>
    <row r="11700" spans="8:8" hidden="1" x14ac:dyDescent="0.35">
      <c r="H11700" s="83">
        <f t="shared" si="229"/>
        <v>0</v>
      </c>
    </row>
    <row r="11701" spans="8:8" hidden="1" x14ac:dyDescent="0.35">
      <c r="H11701" s="83">
        <f t="shared" si="229"/>
        <v>0</v>
      </c>
    </row>
    <row r="11702" spans="8:8" hidden="1" x14ac:dyDescent="0.35">
      <c r="H11702" s="83">
        <f t="shared" si="229"/>
        <v>0</v>
      </c>
    </row>
    <row r="11703" spans="8:8" hidden="1" x14ac:dyDescent="0.35">
      <c r="H11703" s="83">
        <f t="shared" si="229"/>
        <v>0</v>
      </c>
    </row>
    <row r="11704" spans="8:8" hidden="1" x14ac:dyDescent="0.35">
      <c r="H11704" s="83">
        <f t="shared" si="229"/>
        <v>0</v>
      </c>
    </row>
    <row r="11705" spans="8:8" hidden="1" x14ac:dyDescent="0.35">
      <c r="H11705" s="83">
        <f t="shared" si="229"/>
        <v>0</v>
      </c>
    </row>
    <row r="11706" spans="8:8" hidden="1" x14ac:dyDescent="0.35">
      <c r="H11706" s="83">
        <f t="shared" si="229"/>
        <v>0</v>
      </c>
    </row>
    <row r="11707" spans="8:8" hidden="1" x14ac:dyDescent="0.35">
      <c r="H11707" s="83">
        <f t="shared" si="229"/>
        <v>0</v>
      </c>
    </row>
    <row r="11708" spans="8:8" hidden="1" x14ac:dyDescent="0.35">
      <c r="H11708" s="83">
        <f t="shared" si="229"/>
        <v>0</v>
      </c>
    </row>
    <row r="11709" spans="8:8" hidden="1" x14ac:dyDescent="0.35">
      <c r="H11709" s="83">
        <f t="shared" si="229"/>
        <v>0</v>
      </c>
    </row>
    <row r="11710" spans="8:8" hidden="1" x14ac:dyDescent="0.35">
      <c r="H11710" s="83">
        <f t="shared" si="229"/>
        <v>0</v>
      </c>
    </row>
    <row r="11711" spans="8:8" hidden="1" x14ac:dyDescent="0.35">
      <c r="H11711" s="83">
        <f t="shared" si="229"/>
        <v>0</v>
      </c>
    </row>
    <row r="11712" spans="8:8" hidden="1" x14ac:dyDescent="0.35">
      <c r="H11712" s="83">
        <f t="shared" si="229"/>
        <v>0</v>
      </c>
    </row>
    <row r="11713" spans="8:8" hidden="1" x14ac:dyDescent="0.35">
      <c r="H11713" s="83">
        <f t="shared" si="229"/>
        <v>0</v>
      </c>
    </row>
    <row r="11714" spans="8:8" hidden="1" x14ac:dyDescent="0.35">
      <c r="H11714" s="83">
        <f t="shared" si="229"/>
        <v>0</v>
      </c>
    </row>
    <row r="11715" spans="8:8" hidden="1" x14ac:dyDescent="0.35">
      <c r="H11715" s="83">
        <f t="shared" si="229"/>
        <v>0</v>
      </c>
    </row>
    <row r="11716" spans="8:8" hidden="1" x14ac:dyDescent="0.35">
      <c r="H11716" s="83">
        <f t="shared" ref="H11716:H11779" si="230">J11716-I11716</f>
        <v>0</v>
      </c>
    </row>
    <row r="11717" spans="8:8" hidden="1" x14ac:dyDescent="0.35">
      <c r="H11717" s="83">
        <f t="shared" si="230"/>
        <v>0</v>
      </c>
    </row>
    <row r="11718" spans="8:8" hidden="1" x14ac:dyDescent="0.35">
      <c r="H11718" s="83">
        <f t="shared" si="230"/>
        <v>0</v>
      </c>
    </row>
    <row r="11719" spans="8:8" hidden="1" x14ac:dyDescent="0.35">
      <c r="H11719" s="83">
        <f t="shared" si="230"/>
        <v>0</v>
      </c>
    </row>
    <row r="11720" spans="8:8" hidden="1" x14ac:dyDescent="0.35">
      <c r="H11720" s="83">
        <f t="shared" si="230"/>
        <v>0</v>
      </c>
    </row>
    <row r="11721" spans="8:8" hidden="1" x14ac:dyDescent="0.35">
      <c r="H11721" s="83">
        <f t="shared" si="230"/>
        <v>0</v>
      </c>
    </row>
    <row r="11722" spans="8:8" hidden="1" x14ac:dyDescent="0.35">
      <c r="H11722" s="83">
        <f t="shared" si="230"/>
        <v>0</v>
      </c>
    </row>
    <row r="11723" spans="8:8" hidden="1" x14ac:dyDescent="0.35">
      <c r="H11723" s="83">
        <f t="shared" si="230"/>
        <v>0</v>
      </c>
    </row>
    <row r="11724" spans="8:8" hidden="1" x14ac:dyDescent="0.35">
      <c r="H11724" s="83">
        <f t="shared" si="230"/>
        <v>0</v>
      </c>
    </row>
    <row r="11725" spans="8:8" hidden="1" x14ac:dyDescent="0.35">
      <c r="H11725" s="83">
        <f t="shared" si="230"/>
        <v>0</v>
      </c>
    </row>
    <row r="11726" spans="8:8" hidden="1" x14ac:dyDescent="0.35">
      <c r="H11726" s="83">
        <f t="shared" si="230"/>
        <v>0</v>
      </c>
    </row>
    <row r="11727" spans="8:8" hidden="1" x14ac:dyDescent="0.35">
      <c r="H11727" s="83">
        <f t="shared" si="230"/>
        <v>0</v>
      </c>
    </row>
    <row r="11728" spans="8:8" hidden="1" x14ac:dyDescent="0.35">
      <c r="H11728" s="83">
        <f t="shared" si="230"/>
        <v>0</v>
      </c>
    </row>
    <row r="11729" spans="8:8" hidden="1" x14ac:dyDescent="0.35">
      <c r="H11729" s="83">
        <f t="shared" si="230"/>
        <v>0</v>
      </c>
    </row>
    <row r="11730" spans="8:8" hidden="1" x14ac:dyDescent="0.35">
      <c r="H11730" s="83">
        <f t="shared" si="230"/>
        <v>0</v>
      </c>
    </row>
    <row r="11731" spans="8:8" hidden="1" x14ac:dyDescent="0.35">
      <c r="H11731" s="83">
        <f t="shared" si="230"/>
        <v>0</v>
      </c>
    </row>
    <row r="11732" spans="8:8" hidden="1" x14ac:dyDescent="0.35">
      <c r="H11732" s="83">
        <f t="shared" si="230"/>
        <v>0</v>
      </c>
    </row>
    <row r="11733" spans="8:8" hidden="1" x14ac:dyDescent="0.35">
      <c r="H11733" s="83">
        <f t="shared" si="230"/>
        <v>0</v>
      </c>
    </row>
    <row r="11734" spans="8:8" hidden="1" x14ac:dyDescent="0.35">
      <c r="H11734" s="83">
        <f t="shared" si="230"/>
        <v>0</v>
      </c>
    </row>
    <row r="11735" spans="8:8" hidden="1" x14ac:dyDescent="0.35">
      <c r="H11735" s="83">
        <f t="shared" si="230"/>
        <v>0</v>
      </c>
    </row>
    <row r="11736" spans="8:8" hidden="1" x14ac:dyDescent="0.35">
      <c r="H11736" s="83">
        <f t="shared" si="230"/>
        <v>0</v>
      </c>
    </row>
    <row r="11737" spans="8:8" hidden="1" x14ac:dyDescent="0.35">
      <c r="H11737" s="83">
        <f t="shared" si="230"/>
        <v>0</v>
      </c>
    </row>
    <row r="11738" spans="8:8" hidden="1" x14ac:dyDescent="0.35">
      <c r="H11738" s="83">
        <f t="shared" si="230"/>
        <v>0</v>
      </c>
    </row>
    <row r="11739" spans="8:8" hidden="1" x14ac:dyDescent="0.35">
      <c r="H11739" s="83">
        <f t="shared" si="230"/>
        <v>0</v>
      </c>
    </row>
    <row r="11740" spans="8:8" hidden="1" x14ac:dyDescent="0.35">
      <c r="H11740" s="83">
        <f t="shared" si="230"/>
        <v>0</v>
      </c>
    </row>
    <row r="11741" spans="8:8" hidden="1" x14ac:dyDescent="0.35">
      <c r="H11741" s="83">
        <f t="shared" si="230"/>
        <v>0</v>
      </c>
    </row>
    <row r="11742" spans="8:8" hidden="1" x14ac:dyDescent="0.35">
      <c r="H11742" s="83">
        <f t="shared" si="230"/>
        <v>0</v>
      </c>
    </row>
    <row r="11743" spans="8:8" hidden="1" x14ac:dyDescent="0.35">
      <c r="H11743" s="83">
        <f t="shared" si="230"/>
        <v>0</v>
      </c>
    </row>
    <row r="11744" spans="8:8" hidden="1" x14ac:dyDescent="0.35">
      <c r="H11744" s="83">
        <f t="shared" si="230"/>
        <v>0</v>
      </c>
    </row>
    <row r="11745" spans="8:8" hidden="1" x14ac:dyDescent="0.35">
      <c r="H11745" s="83">
        <f t="shared" si="230"/>
        <v>0</v>
      </c>
    </row>
    <row r="11746" spans="8:8" hidden="1" x14ac:dyDescent="0.35">
      <c r="H11746" s="83">
        <f t="shared" si="230"/>
        <v>0</v>
      </c>
    </row>
    <row r="11747" spans="8:8" hidden="1" x14ac:dyDescent="0.35">
      <c r="H11747" s="83">
        <f t="shared" si="230"/>
        <v>0</v>
      </c>
    </row>
    <row r="11748" spans="8:8" hidden="1" x14ac:dyDescent="0.35">
      <c r="H11748" s="83">
        <f t="shared" si="230"/>
        <v>0</v>
      </c>
    </row>
    <row r="11749" spans="8:8" hidden="1" x14ac:dyDescent="0.35">
      <c r="H11749" s="83">
        <f t="shared" si="230"/>
        <v>0</v>
      </c>
    </row>
    <row r="11750" spans="8:8" hidden="1" x14ac:dyDescent="0.35">
      <c r="H11750" s="83">
        <f t="shared" si="230"/>
        <v>0</v>
      </c>
    </row>
    <row r="11751" spans="8:8" hidden="1" x14ac:dyDescent="0.35">
      <c r="H11751" s="83">
        <f t="shared" si="230"/>
        <v>0</v>
      </c>
    </row>
    <row r="11752" spans="8:8" hidden="1" x14ac:dyDescent="0.35">
      <c r="H11752" s="83">
        <f t="shared" si="230"/>
        <v>0</v>
      </c>
    </row>
    <row r="11753" spans="8:8" hidden="1" x14ac:dyDescent="0.35">
      <c r="H11753" s="83">
        <f t="shared" si="230"/>
        <v>0</v>
      </c>
    </row>
    <row r="11754" spans="8:8" hidden="1" x14ac:dyDescent="0.35">
      <c r="H11754" s="83">
        <f t="shared" si="230"/>
        <v>0</v>
      </c>
    </row>
    <row r="11755" spans="8:8" hidden="1" x14ac:dyDescent="0.35">
      <c r="H11755" s="83">
        <f t="shared" si="230"/>
        <v>0</v>
      </c>
    </row>
    <row r="11756" spans="8:8" hidden="1" x14ac:dyDescent="0.35">
      <c r="H11756" s="83">
        <f t="shared" si="230"/>
        <v>0</v>
      </c>
    </row>
    <row r="11757" spans="8:8" hidden="1" x14ac:dyDescent="0.35">
      <c r="H11757" s="83">
        <f t="shared" si="230"/>
        <v>0</v>
      </c>
    </row>
    <row r="11758" spans="8:8" hidden="1" x14ac:dyDescent="0.35">
      <c r="H11758" s="83">
        <f t="shared" si="230"/>
        <v>0</v>
      </c>
    </row>
    <row r="11759" spans="8:8" hidden="1" x14ac:dyDescent="0.35">
      <c r="H11759" s="83">
        <f t="shared" si="230"/>
        <v>0</v>
      </c>
    </row>
    <row r="11760" spans="8:8" hidden="1" x14ac:dyDescent="0.35">
      <c r="H11760" s="83">
        <f t="shared" si="230"/>
        <v>0</v>
      </c>
    </row>
    <row r="11761" spans="8:8" hidden="1" x14ac:dyDescent="0.35">
      <c r="H11761" s="83">
        <f t="shared" si="230"/>
        <v>0</v>
      </c>
    </row>
    <row r="11762" spans="8:8" hidden="1" x14ac:dyDescent="0.35">
      <c r="H11762" s="83">
        <f t="shared" si="230"/>
        <v>0</v>
      </c>
    </row>
    <row r="11763" spans="8:8" hidden="1" x14ac:dyDescent="0.35">
      <c r="H11763" s="83">
        <f t="shared" si="230"/>
        <v>0</v>
      </c>
    </row>
    <row r="11764" spans="8:8" hidden="1" x14ac:dyDescent="0.35">
      <c r="H11764" s="83">
        <f t="shared" si="230"/>
        <v>0</v>
      </c>
    </row>
    <row r="11765" spans="8:8" hidden="1" x14ac:dyDescent="0.35">
      <c r="H11765" s="83">
        <f t="shared" si="230"/>
        <v>0</v>
      </c>
    </row>
    <row r="11766" spans="8:8" hidden="1" x14ac:dyDescent="0.35">
      <c r="H11766" s="83">
        <f t="shared" si="230"/>
        <v>0</v>
      </c>
    </row>
    <row r="11767" spans="8:8" hidden="1" x14ac:dyDescent="0.35">
      <c r="H11767" s="83">
        <f t="shared" si="230"/>
        <v>0</v>
      </c>
    </row>
    <row r="11768" spans="8:8" hidden="1" x14ac:dyDescent="0.35">
      <c r="H11768" s="83">
        <f t="shared" si="230"/>
        <v>0</v>
      </c>
    </row>
    <row r="11769" spans="8:8" hidden="1" x14ac:dyDescent="0.35">
      <c r="H11769" s="83">
        <f t="shared" si="230"/>
        <v>0</v>
      </c>
    </row>
    <row r="11770" spans="8:8" hidden="1" x14ac:dyDescent="0.35">
      <c r="H11770" s="83">
        <f t="shared" si="230"/>
        <v>0</v>
      </c>
    </row>
    <row r="11771" spans="8:8" hidden="1" x14ac:dyDescent="0.35">
      <c r="H11771" s="83">
        <f t="shared" si="230"/>
        <v>0</v>
      </c>
    </row>
    <row r="11772" spans="8:8" hidden="1" x14ac:dyDescent="0.35">
      <c r="H11772" s="83">
        <f t="shared" si="230"/>
        <v>0</v>
      </c>
    </row>
    <row r="11773" spans="8:8" hidden="1" x14ac:dyDescent="0.35">
      <c r="H11773" s="83">
        <f t="shared" si="230"/>
        <v>0</v>
      </c>
    </row>
    <row r="11774" spans="8:8" hidden="1" x14ac:dyDescent="0.35">
      <c r="H11774" s="83">
        <f t="shared" si="230"/>
        <v>0</v>
      </c>
    </row>
    <row r="11775" spans="8:8" hidden="1" x14ac:dyDescent="0.35">
      <c r="H11775" s="83">
        <f t="shared" si="230"/>
        <v>0</v>
      </c>
    </row>
    <row r="11776" spans="8:8" hidden="1" x14ac:dyDescent="0.35">
      <c r="H11776" s="83">
        <f t="shared" si="230"/>
        <v>0</v>
      </c>
    </row>
    <row r="11777" spans="8:8" hidden="1" x14ac:dyDescent="0.35">
      <c r="H11777" s="83">
        <f t="shared" si="230"/>
        <v>0</v>
      </c>
    </row>
    <row r="11778" spans="8:8" hidden="1" x14ac:dyDescent="0.35">
      <c r="H11778" s="83">
        <f t="shared" si="230"/>
        <v>0</v>
      </c>
    </row>
    <row r="11779" spans="8:8" hidden="1" x14ac:dyDescent="0.35">
      <c r="H11779" s="83">
        <f t="shared" si="230"/>
        <v>0</v>
      </c>
    </row>
    <row r="11780" spans="8:8" hidden="1" x14ac:dyDescent="0.35">
      <c r="H11780" s="83">
        <f t="shared" ref="H11780:H11843" si="231">J11780-I11780</f>
        <v>0</v>
      </c>
    </row>
    <row r="11781" spans="8:8" hidden="1" x14ac:dyDescent="0.35">
      <c r="H11781" s="83">
        <f t="shared" si="231"/>
        <v>0</v>
      </c>
    </row>
    <row r="11782" spans="8:8" hidden="1" x14ac:dyDescent="0.35">
      <c r="H11782" s="83">
        <f t="shared" si="231"/>
        <v>0</v>
      </c>
    </row>
    <row r="11783" spans="8:8" hidden="1" x14ac:dyDescent="0.35">
      <c r="H11783" s="83">
        <f t="shared" si="231"/>
        <v>0</v>
      </c>
    </row>
    <row r="11784" spans="8:8" hidden="1" x14ac:dyDescent="0.35">
      <c r="H11784" s="83">
        <f t="shared" si="231"/>
        <v>0</v>
      </c>
    </row>
    <row r="11785" spans="8:8" hidden="1" x14ac:dyDescent="0.35">
      <c r="H11785" s="83">
        <f t="shared" si="231"/>
        <v>0</v>
      </c>
    </row>
    <row r="11786" spans="8:8" hidden="1" x14ac:dyDescent="0.35">
      <c r="H11786" s="83">
        <f t="shared" si="231"/>
        <v>0</v>
      </c>
    </row>
    <row r="11787" spans="8:8" hidden="1" x14ac:dyDescent="0.35">
      <c r="H11787" s="83">
        <f t="shared" si="231"/>
        <v>0</v>
      </c>
    </row>
    <row r="11788" spans="8:8" hidden="1" x14ac:dyDescent="0.35">
      <c r="H11788" s="83">
        <f t="shared" si="231"/>
        <v>0</v>
      </c>
    </row>
    <row r="11789" spans="8:8" hidden="1" x14ac:dyDescent="0.35">
      <c r="H11789" s="83">
        <f t="shared" si="231"/>
        <v>0</v>
      </c>
    </row>
    <row r="11790" spans="8:8" hidden="1" x14ac:dyDescent="0.35">
      <c r="H11790" s="83">
        <f t="shared" si="231"/>
        <v>0</v>
      </c>
    </row>
    <row r="11791" spans="8:8" hidden="1" x14ac:dyDescent="0.35">
      <c r="H11791" s="83">
        <f t="shared" si="231"/>
        <v>0</v>
      </c>
    </row>
    <row r="11792" spans="8:8" hidden="1" x14ac:dyDescent="0.35">
      <c r="H11792" s="83">
        <f t="shared" si="231"/>
        <v>0</v>
      </c>
    </row>
    <row r="11793" spans="8:8" hidden="1" x14ac:dyDescent="0.35">
      <c r="H11793" s="83">
        <f t="shared" si="231"/>
        <v>0</v>
      </c>
    </row>
    <row r="11794" spans="8:8" hidden="1" x14ac:dyDescent="0.35">
      <c r="H11794" s="83">
        <f t="shared" si="231"/>
        <v>0</v>
      </c>
    </row>
    <row r="11795" spans="8:8" hidden="1" x14ac:dyDescent="0.35">
      <c r="H11795" s="83">
        <f t="shared" si="231"/>
        <v>0</v>
      </c>
    </row>
    <row r="11796" spans="8:8" hidden="1" x14ac:dyDescent="0.35">
      <c r="H11796" s="83">
        <f t="shared" si="231"/>
        <v>0</v>
      </c>
    </row>
    <row r="11797" spans="8:8" hidden="1" x14ac:dyDescent="0.35">
      <c r="H11797" s="83">
        <f t="shared" si="231"/>
        <v>0</v>
      </c>
    </row>
    <row r="11798" spans="8:8" hidden="1" x14ac:dyDescent="0.35">
      <c r="H11798" s="83">
        <f t="shared" si="231"/>
        <v>0</v>
      </c>
    </row>
    <row r="11799" spans="8:8" hidden="1" x14ac:dyDescent="0.35">
      <c r="H11799" s="83">
        <f t="shared" si="231"/>
        <v>0</v>
      </c>
    </row>
    <row r="11800" spans="8:8" hidden="1" x14ac:dyDescent="0.35">
      <c r="H11800" s="83">
        <f t="shared" si="231"/>
        <v>0</v>
      </c>
    </row>
    <row r="11801" spans="8:8" hidden="1" x14ac:dyDescent="0.35">
      <c r="H11801" s="83">
        <f t="shared" si="231"/>
        <v>0</v>
      </c>
    </row>
    <row r="11802" spans="8:8" hidden="1" x14ac:dyDescent="0.35">
      <c r="H11802" s="83">
        <f t="shared" si="231"/>
        <v>0</v>
      </c>
    </row>
    <row r="11803" spans="8:8" hidden="1" x14ac:dyDescent="0.35">
      <c r="H11803" s="83">
        <f t="shared" si="231"/>
        <v>0</v>
      </c>
    </row>
    <row r="11804" spans="8:8" hidden="1" x14ac:dyDescent="0.35">
      <c r="H11804" s="83">
        <f t="shared" si="231"/>
        <v>0</v>
      </c>
    </row>
    <row r="11805" spans="8:8" hidden="1" x14ac:dyDescent="0.35">
      <c r="H11805" s="83">
        <f t="shared" si="231"/>
        <v>0</v>
      </c>
    </row>
    <row r="11806" spans="8:8" hidden="1" x14ac:dyDescent="0.35">
      <c r="H11806" s="83">
        <f t="shared" si="231"/>
        <v>0</v>
      </c>
    </row>
    <row r="11807" spans="8:8" hidden="1" x14ac:dyDescent="0.35">
      <c r="H11807" s="83">
        <f t="shared" si="231"/>
        <v>0</v>
      </c>
    </row>
    <row r="11808" spans="8:8" hidden="1" x14ac:dyDescent="0.35">
      <c r="H11808" s="83">
        <f t="shared" si="231"/>
        <v>0</v>
      </c>
    </row>
    <row r="11809" spans="8:8" hidden="1" x14ac:dyDescent="0.35">
      <c r="H11809" s="83">
        <f t="shared" si="231"/>
        <v>0</v>
      </c>
    </row>
    <row r="11810" spans="8:8" hidden="1" x14ac:dyDescent="0.35">
      <c r="H11810" s="83">
        <f t="shared" si="231"/>
        <v>0</v>
      </c>
    </row>
    <row r="11811" spans="8:8" hidden="1" x14ac:dyDescent="0.35">
      <c r="H11811" s="83">
        <f t="shared" si="231"/>
        <v>0</v>
      </c>
    </row>
    <row r="11812" spans="8:8" hidden="1" x14ac:dyDescent="0.35">
      <c r="H11812" s="83">
        <f t="shared" si="231"/>
        <v>0</v>
      </c>
    </row>
    <row r="11813" spans="8:8" hidden="1" x14ac:dyDescent="0.35">
      <c r="H11813" s="83">
        <f t="shared" si="231"/>
        <v>0</v>
      </c>
    </row>
    <row r="11814" spans="8:8" hidden="1" x14ac:dyDescent="0.35">
      <c r="H11814" s="83">
        <f t="shared" si="231"/>
        <v>0</v>
      </c>
    </row>
    <row r="11815" spans="8:8" hidden="1" x14ac:dyDescent="0.35">
      <c r="H11815" s="83">
        <f t="shared" si="231"/>
        <v>0</v>
      </c>
    </row>
    <row r="11816" spans="8:8" hidden="1" x14ac:dyDescent="0.35">
      <c r="H11816" s="83">
        <f t="shared" si="231"/>
        <v>0</v>
      </c>
    </row>
    <row r="11817" spans="8:8" hidden="1" x14ac:dyDescent="0.35">
      <c r="H11817" s="83">
        <f t="shared" si="231"/>
        <v>0</v>
      </c>
    </row>
    <row r="11818" spans="8:8" hidden="1" x14ac:dyDescent="0.35">
      <c r="H11818" s="83">
        <f t="shared" si="231"/>
        <v>0</v>
      </c>
    </row>
    <row r="11819" spans="8:8" hidden="1" x14ac:dyDescent="0.35">
      <c r="H11819" s="83">
        <f t="shared" si="231"/>
        <v>0</v>
      </c>
    </row>
    <row r="11820" spans="8:8" hidden="1" x14ac:dyDescent="0.35">
      <c r="H11820" s="83">
        <f t="shared" si="231"/>
        <v>0</v>
      </c>
    </row>
    <row r="11821" spans="8:8" hidden="1" x14ac:dyDescent="0.35">
      <c r="H11821" s="83">
        <f t="shared" si="231"/>
        <v>0</v>
      </c>
    </row>
    <row r="11822" spans="8:8" hidden="1" x14ac:dyDescent="0.35">
      <c r="H11822" s="83">
        <f t="shared" si="231"/>
        <v>0</v>
      </c>
    </row>
    <row r="11823" spans="8:8" hidden="1" x14ac:dyDescent="0.35">
      <c r="H11823" s="83">
        <f t="shared" si="231"/>
        <v>0</v>
      </c>
    </row>
    <row r="11824" spans="8:8" hidden="1" x14ac:dyDescent="0.35">
      <c r="H11824" s="83">
        <f t="shared" si="231"/>
        <v>0</v>
      </c>
    </row>
    <row r="11825" spans="8:8" hidden="1" x14ac:dyDescent="0.35">
      <c r="H11825" s="83">
        <f t="shared" si="231"/>
        <v>0</v>
      </c>
    </row>
    <row r="11826" spans="8:8" hidden="1" x14ac:dyDescent="0.35">
      <c r="H11826" s="83">
        <f t="shared" si="231"/>
        <v>0</v>
      </c>
    </row>
    <row r="11827" spans="8:8" hidden="1" x14ac:dyDescent="0.35">
      <c r="H11827" s="83">
        <f t="shared" si="231"/>
        <v>0</v>
      </c>
    </row>
    <row r="11828" spans="8:8" hidden="1" x14ac:dyDescent="0.35">
      <c r="H11828" s="83">
        <f t="shared" si="231"/>
        <v>0</v>
      </c>
    </row>
    <row r="11829" spans="8:8" hidden="1" x14ac:dyDescent="0.35">
      <c r="H11829" s="83">
        <f t="shared" si="231"/>
        <v>0</v>
      </c>
    </row>
    <row r="11830" spans="8:8" hidden="1" x14ac:dyDescent="0.35">
      <c r="H11830" s="83">
        <f t="shared" si="231"/>
        <v>0</v>
      </c>
    </row>
    <row r="11831" spans="8:8" hidden="1" x14ac:dyDescent="0.35">
      <c r="H11831" s="83">
        <f t="shared" si="231"/>
        <v>0</v>
      </c>
    </row>
    <row r="11832" spans="8:8" hidden="1" x14ac:dyDescent="0.35">
      <c r="H11832" s="83">
        <f t="shared" si="231"/>
        <v>0</v>
      </c>
    </row>
    <row r="11833" spans="8:8" hidden="1" x14ac:dyDescent="0.35">
      <c r="H11833" s="83">
        <f t="shared" si="231"/>
        <v>0</v>
      </c>
    </row>
    <row r="11834" spans="8:8" hidden="1" x14ac:dyDescent="0.35">
      <c r="H11834" s="83">
        <f t="shared" si="231"/>
        <v>0</v>
      </c>
    </row>
    <row r="11835" spans="8:8" hidden="1" x14ac:dyDescent="0.35">
      <c r="H11835" s="83">
        <f t="shared" si="231"/>
        <v>0</v>
      </c>
    </row>
    <row r="11836" spans="8:8" hidden="1" x14ac:dyDescent="0.35">
      <c r="H11836" s="83">
        <f t="shared" si="231"/>
        <v>0</v>
      </c>
    </row>
    <row r="11837" spans="8:8" hidden="1" x14ac:dyDescent="0.35">
      <c r="H11837" s="83">
        <f t="shared" si="231"/>
        <v>0</v>
      </c>
    </row>
    <row r="11838" spans="8:8" hidden="1" x14ac:dyDescent="0.35">
      <c r="H11838" s="83">
        <f t="shared" si="231"/>
        <v>0</v>
      </c>
    </row>
    <row r="11839" spans="8:8" hidden="1" x14ac:dyDescent="0.35">
      <c r="H11839" s="83">
        <f t="shared" si="231"/>
        <v>0</v>
      </c>
    </row>
    <row r="11840" spans="8:8" hidden="1" x14ac:dyDescent="0.35">
      <c r="H11840" s="83">
        <f t="shared" si="231"/>
        <v>0</v>
      </c>
    </row>
    <row r="11841" spans="8:8" hidden="1" x14ac:dyDescent="0.35">
      <c r="H11841" s="83">
        <f t="shared" si="231"/>
        <v>0</v>
      </c>
    </row>
    <row r="11842" spans="8:8" hidden="1" x14ac:dyDescent="0.35">
      <c r="H11842" s="83">
        <f t="shared" si="231"/>
        <v>0</v>
      </c>
    </row>
    <row r="11843" spans="8:8" hidden="1" x14ac:dyDescent="0.35">
      <c r="H11843" s="83">
        <f t="shared" si="231"/>
        <v>0</v>
      </c>
    </row>
    <row r="11844" spans="8:8" hidden="1" x14ac:dyDescent="0.35">
      <c r="H11844" s="83">
        <f t="shared" ref="H11844:H11907" si="232">J11844-I11844</f>
        <v>0</v>
      </c>
    </row>
    <row r="11845" spans="8:8" hidden="1" x14ac:dyDescent="0.35">
      <c r="H11845" s="83">
        <f t="shared" si="232"/>
        <v>0</v>
      </c>
    </row>
    <row r="11846" spans="8:8" hidden="1" x14ac:dyDescent="0.35">
      <c r="H11846" s="83">
        <f t="shared" si="232"/>
        <v>0</v>
      </c>
    </row>
    <row r="11847" spans="8:8" hidden="1" x14ac:dyDescent="0.35">
      <c r="H11847" s="83">
        <f t="shared" si="232"/>
        <v>0</v>
      </c>
    </row>
    <row r="11848" spans="8:8" hidden="1" x14ac:dyDescent="0.35">
      <c r="H11848" s="83">
        <f t="shared" si="232"/>
        <v>0</v>
      </c>
    </row>
    <row r="11849" spans="8:8" hidden="1" x14ac:dyDescent="0.35">
      <c r="H11849" s="83">
        <f t="shared" si="232"/>
        <v>0</v>
      </c>
    </row>
    <row r="11850" spans="8:8" hidden="1" x14ac:dyDescent="0.35">
      <c r="H11850" s="83">
        <f t="shared" si="232"/>
        <v>0</v>
      </c>
    </row>
    <row r="11851" spans="8:8" hidden="1" x14ac:dyDescent="0.35">
      <c r="H11851" s="83">
        <f t="shared" si="232"/>
        <v>0</v>
      </c>
    </row>
    <row r="11852" spans="8:8" hidden="1" x14ac:dyDescent="0.35">
      <c r="H11852" s="83">
        <f t="shared" si="232"/>
        <v>0</v>
      </c>
    </row>
    <row r="11853" spans="8:8" hidden="1" x14ac:dyDescent="0.35">
      <c r="H11853" s="83">
        <f t="shared" si="232"/>
        <v>0</v>
      </c>
    </row>
    <row r="11854" spans="8:8" hidden="1" x14ac:dyDescent="0.35">
      <c r="H11854" s="83">
        <f t="shared" si="232"/>
        <v>0</v>
      </c>
    </row>
    <row r="11855" spans="8:8" hidden="1" x14ac:dyDescent="0.35">
      <c r="H11855" s="83">
        <f t="shared" si="232"/>
        <v>0</v>
      </c>
    </row>
    <row r="11856" spans="8:8" hidden="1" x14ac:dyDescent="0.35">
      <c r="H11856" s="83">
        <f t="shared" si="232"/>
        <v>0</v>
      </c>
    </row>
    <row r="11857" spans="8:8" hidden="1" x14ac:dyDescent="0.35">
      <c r="H11857" s="83">
        <f t="shared" si="232"/>
        <v>0</v>
      </c>
    </row>
    <row r="11858" spans="8:8" hidden="1" x14ac:dyDescent="0.35">
      <c r="H11858" s="83">
        <f t="shared" si="232"/>
        <v>0</v>
      </c>
    </row>
    <row r="11859" spans="8:8" hidden="1" x14ac:dyDescent="0.35">
      <c r="H11859" s="83">
        <f t="shared" si="232"/>
        <v>0</v>
      </c>
    </row>
    <row r="11860" spans="8:8" hidden="1" x14ac:dyDescent="0.35">
      <c r="H11860" s="83">
        <f t="shared" si="232"/>
        <v>0</v>
      </c>
    </row>
    <row r="11861" spans="8:8" hidden="1" x14ac:dyDescent="0.35">
      <c r="H11861" s="83">
        <f t="shared" si="232"/>
        <v>0</v>
      </c>
    </row>
    <row r="11862" spans="8:8" hidden="1" x14ac:dyDescent="0.35">
      <c r="H11862" s="83">
        <f t="shared" si="232"/>
        <v>0</v>
      </c>
    </row>
    <row r="11863" spans="8:8" hidden="1" x14ac:dyDescent="0.35">
      <c r="H11863" s="83">
        <f t="shared" si="232"/>
        <v>0</v>
      </c>
    </row>
    <row r="11864" spans="8:8" hidden="1" x14ac:dyDescent="0.35">
      <c r="H11864" s="83">
        <f t="shared" si="232"/>
        <v>0</v>
      </c>
    </row>
    <row r="11865" spans="8:8" hidden="1" x14ac:dyDescent="0.35">
      <c r="H11865" s="83">
        <f t="shared" si="232"/>
        <v>0</v>
      </c>
    </row>
    <row r="11866" spans="8:8" hidden="1" x14ac:dyDescent="0.35">
      <c r="H11866" s="83">
        <f t="shared" si="232"/>
        <v>0</v>
      </c>
    </row>
    <row r="11867" spans="8:8" hidden="1" x14ac:dyDescent="0.35">
      <c r="H11867" s="83">
        <f t="shared" si="232"/>
        <v>0</v>
      </c>
    </row>
    <row r="11868" spans="8:8" hidden="1" x14ac:dyDescent="0.35">
      <c r="H11868" s="83">
        <f t="shared" si="232"/>
        <v>0</v>
      </c>
    </row>
    <row r="11869" spans="8:8" hidden="1" x14ac:dyDescent="0.35">
      <c r="H11869" s="83">
        <f t="shared" si="232"/>
        <v>0</v>
      </c>
    </row>
    <row r="11870" spans="8:8" hidden="1" x14ac:dyDescent="0.35">
      <c r="H11870" s="83">
        <f t="shared" si="232"/>
        <v>0</v>
      </c>
    </row>
    <row r="11871" spans="8:8" hidden="1" x14ac:dyDescent="0.35">
      <c r="H11871" s="83">
        <f t="shared" si="232"/>
        <v>0</v>
      </c>
    </row>
    <row r="11872" spans="8:8" hidden="1" x14ac:dyDescent="0.35">
      <c r="H11872" s="83">
        <f t="shared" si="232"/>
        <v>0</v>
      </c>
    </row>
    <row r="11873" spans="8:8" hidden="1" x14ac:dyDescent="0.35">
      <c r="H11873" s="83">
        <f t="shared" si="232"/>
        <v>0</v>
      </c>
    </row>
    <row r="11874" spans="8:8" hidden="1" x14ac:dyDescent="0.35">
      <c r="H11874" s="83">
        <f t="shared" si="232"/>
        <v>0</v>
      </c>
    </row>
    <row r="11875" spans="8:8" hidden="1" x14ac:dyDescent="0.35">
      <c r="H11875" s="83">
        <f t="shared" si="232"/>
        <v>0</v>
      </c>
    </row>
    <row r="11876" spans="8:8" hidden="1" x14ac:dyDescent="0.35">
      <c r="H11876" s="83">
        <f t="shared" si="232"/>
        <v>0</v>
      </c>
    </row>
    <row r="11877" spans="8:8" hidden="1" x14ac:dyDescent="0.35">
      <c r="H11877" s="83">
        <f t="shared" si="232"/>
        <v>0</v>
      </c>
    </row>
    <row r="11878" spans="8:8" hidden="1" x14ac:dyDescent="0.35">
      <c r="H11878" s="83">
        <f t="shared" si="232"/>
        <v>0</v>
      </c>
    </row>
    <row r="11879" spans="8:8" hidden="1" x14ac:dyDescent="0.35">
      <c r="H11879" s="83">
        <f t="shared" si="232"/>
        <v>0</v>
      </c>
    </row>
    <row r="11880" spans="8:8" hidden="1" x14ac:dyDescent="0.35">
      <c r="H11880" s="83">
        <f t="shared" si="232"/>
        <v>0</v>
      </c>
    </row>
    <row r="11881" spans="8:8" hidden="1" x14ac:dyDescent="0.35">
      <c r="H11881" s="83">
        <f t="shared" si="232"/>
        <v>0</v>
      </c>
    </row>
    <row r="11882" spans="8:8" hidden="1" x14ac:dyDescent="0.35">
      <c r="H11882" s="83">
        <f t="shared" si="232"/>
        <v>0</v>
      </c>
    </row>
    <row r="11883" spans="8:8" hidden="1" x14ac:dyDescent="0.35">
      <c r="H11883" s="83">
        <f t="shared" si="232"/>
        <v>0</v>
      </c>
    </row>
    <row r="11884" spans="8:8" hidden="1" x14ac:dyDescent="0.35">
      <c r="H11884" s="83">
        <f t="shared" si="232"/>
        <v>0</v>
      </c>
    </row>
    <row r="11885" spans="8:8" hidden="1" x14ac:dyDescent="0.35">
      <c r="H11885" s="83">
        <f t="shared" si="232"/>
        <v>0</v>
      </c>
    </row>
    <row r="11886" spans="8:8" hidden="1" x14ac:dyDescent="0.35">
      <c r="H11886" s="83">
        <f t="shared" si="232"/>
        <v>0</v>
      </c>
    </row>
    <row r="11887" spans="8:8" hidden="1" x14ac:dyDescent="0.35">
      <c r="H11887" s="83">
        <f t="shared" si="232"/>
        <v>0</v>
      </c>
    </row>
    <row r="11888" spans="8:8" hidden="1" x14ac:dyDescent="0.35">
      <c r="H11888" s="83">
        <f t="shared" si="232"/>
        <v>0</v>
      </c>
    </row>
    <row r="11889" spans="8:8" hidden="1" x14ac:dyDescent="0.35">
      <c r="H11889" s="83">
        <f t="shared" si="232"/>
        <v>0</v>
      </c>
    </row>
    <row r="11890" spans="8:8" hidden="1" x14ac:dyDescent="0.35">
      <c r="H11890" s="83">
        <f t="shared" si="232"/>
        <v>0</v>
      </c>
    </row>
    <row r="11891" spans="8:8" hidden="1" x14ac:dyDescent="0.35">
      <c r="H11891" s="83">
        <f t="shared" si="232"/>
        <v>0</v>
      </c>
    </row>
    <row r="11892" spans="8:8" hidden="1" x14ac:dyDescent="0.35">
      <c r="H11892" s="83">
        <f t="shared" si="232"/>
        <v>0</v>
      </c>
    </row>
    <row r="11893" spans="8:8" hidden="1" x14ac:dyDescent="0.35">
      <c r="H11893" s="83">
        <f t="shared" si="232"/>
        <v>0</v>
      </c>
    </row>
    <row r="11894" spans="8:8" hidden="1" x14ac:dyDescent="0.35">
      <c r="H11894" s="83">
        <f t="shared" si="232"/>
        <v>0</v>
      </c>
    </row>
    <row r="11895" spans="8:8" hidden="1" x14ac:dyDescent="0.35">
      <c r="H11895" s="83">
        <f t="shared" si="232"/>
        <v>0</v>
      </c>
    </row>
    <row r="11896" spans="8:8" hidden="1" x14ac:dyDescent="0.35">
      <c r="H11896" s="83">
        <f t="shared" si="232"/>
        <v>0</v>
      </c>
    </row>
    <row r="11897" spans="8:8" hidden="1" x14ac:dyDescent="0.35">
      <c r="H11897" s="83">
        <f t="shared" si="232"/>
        <v>0</v>
      </c>
    </row>
    <row r="11898" spans="8:8" hidden="1" x14ac:dyDescent="0.35">
      <c r="H11898" s="83">
        <f t="shared" si="232"/>
        <v>0</v>
      </c>
    </row>
    <row r="11899" spans="8:8" hidden="1" x14ac:dyDescent="0.35">
      <c r="H11899" s="83">
        <f t="shared" si="232"/>
        <v>0</v>
      </c>
    </row>
    <row r="11900" spans="8:8" hidden="1" x14ac:dyDescent="0.35">
      <c r="H11900" s="83">
        <f t="shared" si="232"/>
        <v>0</v>
      </c>
    </row>
    <row r="11901" spans="8:8" hidden="1" x14ac:dyDescent="0.35">
      <c r="H11901" s="83">
        <f t="shared" si="232"/>
        <v>0</v>
      </c>
    </row>
    <row r="11902" spans="8:8" hidden="1" x14ac:dyDescent="0.35">
      <c r="H11902" s="83">
        <f t="shared" si="232"/>
        <v>0</v>
      </c>
    </row>
    <row r="11903" spans="8:8" hidden="1" x14ac:dyDescent="0.35">
      <c r="H11903" s="83">
        <f t="shared" si="232"/>
        <v>0</v>
      </c>
    </row>
    <row r="11904" spans="8:8" hidden="1" x14ac:dyDescent="0.35">
      <c r="H11904" s="83">
        <f t="shared" si="232"/>
        <v>0</v>
      </c>
    </row>
    <row r="11905" spans="8:8" hidden="1" x14ac:dyDescent="0.35">
      <c r="H11905" s="83">
        <f t="shared" si="232"/>
        <v>0</v>
      </c>
    </row>
    <row r="11906" spans="8:8" hidden="1" x14ac:dyDescent="0.35">
      <c r="H11906" s="83">
        <f t="shared" si="232"/>
        <v>0</v>
      </c>
    </row>
    <row r="11907" spans="8:8" hidden="1" x14ac:dyDescent="0.35">
      <c r="H11907" s="83">
        <f t="shared" si="232"/>
        <v>0</v>
      </c>
    </row>
    <row r="11908" spans="8:8" hidden="1" x14ac:dyDescent="0.35">
      <c r="H11908" s="83">
        <f t="shared" ref="H11908:H11971" si="233">J11908-I11908</f>
        <v>0</v>
      </c>
    </row>
    <row r="11909" spans="8:8" hidden="1" x14ac:dyDescent="0.35">
      <c r="H11909" s="83">
        <f t="shared" si="233"/>
        <v>0</v>
      </c>
    </row>
    <row r="11910" spans="8:8" hidden="1" x14ac:dyDescent="0.35">
      <c r="H11910" s="83">
        <f t="shared" si="233"/>
        <v>0</v>
      </c>
    </row>
    <row r="11911" spans="8:8" hidden="1" x14ac:dyDescent="0.35">
      <c r="H11911" s="83">
        <f t="shared" si="233"/>
        <v>0</v>
      </c>
    </row>
    <row r="11912" spans="8:8" hidden="1" x14ac:dyDescent="0.35">
      <c r="H11912" s="83">
        <f t="shared" si="233"/>
        <v>0</v>
      </c>
    </row>
    <row r="11913" spans="8:8" hidden="1" x14ac:dyDescent="0.35">
      <c r="H11913" s="83">
        <f t="shared" si="233"/>
        <v>0</v>
      </c>
    </row>
    <row r="11914" spans="8:8" hidden="1" x14ac:dyDescent="0.35">
      <c r="H11914" s="83">
        <f t="shared" si="233"/>
        <v>0</v>
      </c>
    </row>
    <row r="11915" spans="8:8" hidden="1" x14ac:dyDescent="0.35">
      <c r="H11915" s="83">
        <f t="shared" si="233"/>
        <v>0</v>
      </c>
    </row>
    <row r="11916" spans="8:8" hidden="1" x14ac:dyDescent="0.35">
      <c r="H11916" s="83">
        <f t="shared" si="233"/>
        <v>0</v>
      </c>
    </row>
    <row r="11917" spans="8:8" hidden="1" x14ac:dyDescent="0.35">
      <c r="H11917" s="83">
        <f t="shared" si="233"/>
        <v>0</v>
      </c>
    </row>
    <row r="11918" spans="8:8" hidden="1" x14ac:dyDescent="0.35">
      <c r="H11918" s="83">
        <f t="shared" si="233"/>
        <v>0</v>
      </c>
    </row>
    <row r="11919" spans="8:8" hidden="1" x14ac:dyDescent="0.35">
      <c r="H11919" s="83">
        <f t="shared" si="233"/>
        <v>0</v>
      </c>
    </row>
    <row r="11920" spans="8:8" hidden="1" x14ac:dyDescent="0.35">
      <c r="H11920" s="83">
        <f t="shared" si="233"/>
        <v>0</v>
      </c>
    </row>
    <row r="11921" spans="8:8" hidden="1" x14ac:dyDescent="0.35">
      <c r="H11921" s="83">
        <f t="shared" si="233"/>
        <v>0</v>
      </c>
    </row>
    <row r="11922" spans="8:8" hidden="1" x14ac:dyDescent="0.35">
      <c r="H11922" s="83">
        <f t="shared" si="233"/>
        <v>0</v>
      </c>
    </row>
    <row r="11923" spans="8:8" hidden="1" x14ac:dyDescent="0.35">
      <c r="H11923" s="83">
        <f t="shared" si="233"/>
        <v>0</v>
      </c>
    </row>
    <row r="11924" spans="8:8" hidden="1" x14ac:dyDescent="0.35">
      <c r="H11924" s="83">
        <f t="shared" si="233"/>
        <v>0</v>
      </c>
    </row>
    <row r="11925" spans="8:8" hidden="1" x14ac:dyDescent="0.35">
      <c r="H11925" s="83">
        <f t="shared" si="233"/>
        <v>0</v>
      </c>
    </row>
    <row r="11926" spans="8:8" hidden="1" x14ac:dyDescent="0.35">
      <c r="H11926" s="83">
        <f t="shared" si="233"/>
        <v>0</v>
      </c>
    </row>
    <row r="11927" spans="8:8" hidden="1" x14ac:dyDescent="0.35">
      <c r="H11927" s="83">
        <f t="shared" si="233"/>
        <v>0</v>
      </c>
    </row>
    <row r="11928" spans="8:8" hidden="1" x14ac:dyDescent="0.35">
      <c r="H11928" s="83">
        <f t="shared" si="233"/>
        <v>0</v>
      </c>
    </row>
    <row r="11929" spans="8:8" hidden="1" x14ac:dyDescent="0.35">
      <c r="H11929" s="83">
        <f t="shared" si="233"/>
        <v>0</v>
      </c>
    </row>
    <row r="11930" spans="8:8" hidden="1" x14ac:dyDescent="0.35">
      <c r="H11930" s="83">
        <f t="shared" si="233"/>
        <v>0</v>
      </c>
    </row>
    <row r="11931" spans="8:8" hidden="1" x14ac:dyDescent="0.35">
      <c r="H11931" s="83">
        <f t="shared" si="233"/>
        <v>0</v>
      </c>
    </row>
    <row r="11932" spans="8:8" hidden="1" x14ac:dyDescent="0.35">
      <c r="H11932" s="83">
        <f t="shared" si="233"/>
        <v>0</v>
      </c>
    </row>
    <row r="11933" spans="8:8" hidden="1" x14ac:dyDescent="0.35">
      <c r="H11933" s="83">
        <f t="shared" si="233"/>
        <v>0</v>
      </c>
    </row>
    <row r="11934" spans="8:8" hidden="1" x14ac:dyDescent="0.35">
      <c r="H11934" s="83">
        <f t="shared" si="233"/>
        <v>0</v>
      </c>
    </row>
    <row r="11935" spans="8:8" hidden="1" x14ac:dyDescent="0.35">
      <c r="H11935" s="83">
        <f t="shared" si="233"/>
        <v>0</v>
      </c>
    </row>
    <row r="11936" spans="8:8" hidden="1" x14ac:dyDescent="0.35">
      <c r="H11936" s="83">
        <f t="shared" si="233"/>
        <v>0</v>
      </c>
    </row>
    <row r="11937" spans="8:8" hidden="1" x14ac:dyDescent="0.35">
      <c r="H11937" s="83">
        <f t="shared" si="233"/>
        <v>0</v>
      </c>
    </row>
    <row r="11938" spans="8:8" hidden="1" x14ac:dyDescent="0.35">
      <c r="H11938" s="83">
        <f t="shared" si="233"/>
        <v>0</v>
      </c>
    </row>
    <row r="11939" spans="8:8" hidden="1" x14ac:dyDescent="0.35">
      <c r="H11939" s="83">
        <f t="shared" si="233"/>
        <v>0</v>
      </c>
    </row>
    <row r="11940" spans="8:8" hidden="1" x14ac:dyDescent="0.35">
      <c r="H11940" s="83">
        <f t="shared" si="233"/>
        <v>0</v>
      </c>
    </row>
    <row r="11941" spans="8:8" hidden="1" x14ac:dyDescent="0.35">
      <c r="H11941" s="83">
        <f t="shared" si="233"/>
        <v>0</v>
      </c>
    </row>
    <row r="11942" spans="8:8" hidden="1" x14ac:dyDescent="0.35">
      <c r="H11942" s="83">
        <f t="shared" si="233"/>
        <v>0</v>
      </c>
    </row>
    <row r="11943" spans="8:8" hidden="1" x14ac:dyDescent="0.35">
      <c r="H11943" s="83">
        <f t="shared" si="233"/>
        <v>0</v>
      </c>
    </row>
    <row r="11944" spans="8:8" hidden="1" x14ac:dyDescent="0.35">
      <c r="H11944" s="83">
        <f t="shared" si="233"/>
        <v>0</v>
      </c>
    </row>
    <row r="11945" spans="8:8" hidden="1" x14ac:dyDescent="0.35">
      <c r="H11945" s="83">
        <f t="shared" si="233"/>
        <v>0</v>
      </c>
    </row>
    <row r="11946" spans="8:8" hidden="1" x14ac:dyDescent="0.35">
      <c r="H11946" s="83">
        <f t="shared" si="233"/>
        <v>0</v>
      </c>
    </row>
    <row r="11947" spans="8:8" hidden="1" x14ac:dyDescent="0.35">
      <c r="H11947" s="83">
        <f t="shared" si="233"/>
        <v>0</v>
      </c>
    </row>
    <row r="11948" spans="8:8" hidden="1" x14ac:dyDescent="0.35">
      <c r="H11948" s="83">
        <f t="shared" si="233"/>
        <v>0</v>
      </c>
    </row>
    <row r="11949" spans="8:8" hidden="1" x14ac:dyDescent="0.35">
      <c r="H11949" s="83">
        <f t="shared" si="233"/>
        <v>0</v>
      </c>
    </row>
    <row r="11950" spans="8:8" hidden="1" x14ac:dyDescent="0.35">
      <c r="H11950" s="83">
        <f t="shared" si="233"/>
        <v>0</v>
      </c>
    </row>
    <row r="11951" spans="8:8" hidden="1" x14ac:dyDescent="0.35">
      <c r="H11951" s="83">
        <f t="shared" si="233"/>
        <v>0</v>
      </c>
    </row>
    <row r="11952" spans="8:8" hidden="1" x14ac:dyDescent="0.35">
      <c r="H11952" s="83">
        <f t="shared" si="233"/>
        <v>0</v>
      </c>
    </row>
    <row r="11953" spans="8:8" hidden="1" x14ac:dyDescent="0.35">
      <c r="H11953" s="83">
        <f t="shared" si="233"/>
        <v>0</v>
      </c>
    </row>
    <row r="11954" spans="8:8" hidden="1" x14ac:dyDescent="0.35">
      <c r="H11954" s="83">
        <f t="shared" si="233"/>
        <v>0</v>
      </c>
    </row>
    <row r="11955" spans="8:8" hidden="1" x14ac:dyDescent="0.35">
      <c r="H11955" s="83">
        <f t="shared" si="233"/>
        <v>0</v>
      </c>
    </row>
    <row r="11956" spans="8:8" hidden="1" x14ac:dyDescent="0.35">
      <c r="H11956" s="83">
        <f t="shared" si="233"/>
        <v>0</v>
      </c>
    </row>
    <row r="11957" spans="8:8" hidden="1" x14ac:dyDescent="0.35">
      <c r="H11957" s="83">
        <f t="shared" si="233"/>
        <v>0</v>
      </c>
    </row>
    <row r="11958" spans="8:8" hidden="1" x14ac:dyDescent="0.35">
      <c r="H11958" s="83">
        <f t="shared" si="233"/>
        <v>0</v>
      </c>
    </row>
    <row r="11959" spans="8:8" hidden="1" x14ac:dyDescent="0.35">
      <c r="H11959" s="83">
        <f t="shared" si="233"/>
        <v>0</v>
      </c>
    </row>
    <row r="11960" spans="8:8" hidden="1" x14ac:dyDescent="0.35">
      <c r="H11960" s="83">
        <f t="shared" si="233"/>
        <v>0</v>
      </c>
    </row>
    <row r="11961" spans="8:8" hidden="1" x14ac:dyDescent="0.35">
      <c r="H11961" s="83">
        <f t="shared" si="233"/>
        <v>0</v>
      </c>
    </row>
    <row r="11962" spans="8:8" hidden="1" x14ac:dyDescent="0.35">
      <c r="H11962" s="83">
        <f t="shared" si="233"/>
        <v>0</v>
      </c>
    </row>
    <row r="11963" spans="8:8" hidden="1" x14ac:dyDescent="0.35">
      <c r="H11963" s="83">
        <f t="shared" si="233"/>
        <v>0</v>
      </c>
    </row>
    <row r="11964" spans="8:8" hidden="1" x14ac:dyDescent="0.35">
      <c r="H11964" s="83">
        <f t="shared" si="233"/>
        <v>0</v>
      </c>
    </row>
    <row r="11965" spans="8:8" hidden="1" x14ac:dyDescent="0.35">
      <c r="H11965" s="83">
        <f t="shared" si="233"/>
        <v>0</v>
      </c>
    </row>
    <row r="11966" spans="8:8" hidden="1" x14ac:dyDescent="0.35">
      <c r="H11966" s="83">
        <f t="shared" si="233"/>
        <v>0</v>
      </c>
    </row>
    <row r="11967" spans="8:8" hidden="1" x14ac:dyDescent="0.35">
      <c r="H11967" s="83">
        <f t="shared" si="233"/>
        <v>0</v>
      </c>
    </row>
    <row r="11968" spans="8:8" hidden="1" x14ac:dyDescent="0.35">
      <c r="H11968" s="83">
        <f t="shared" si="233"/>
        <v>0</v>
      </c>
    </row>
    <row r="11969" spans="8:8" hidden="1" x14ac:dyDescent="0.35">
      <c r="H11969" s="83">
        <f t="shared" si="233"/>
        <v>0</v>
      </c>
    </row>
    <row r="11970" spans="8:8" hidden="1" x14ac:dyDescent="0.35">
      <c r="H11970" s="83">
        <f t="shared" si="233"/>
        <v>0</v>
      </c>
    </row>
    <row r="11971" spans="8:8" hidden="1" x14ac:dyDescent="0.35">
      <c r="H11971" s="83">
        <f t="shared" si="233"/>
        <v>0</v>
      </c>
    </row>
    <row r="11972" spans="8:8" hidden="1" x14ac:dyDescent="0.35">
      <c r="H11972" s="83">
        <f t="shared" ref="H11972:H12035" si="234">J11972-I11972</f>
        <v>0</v>
      </c>
    </row>
    <row r="11973" spans="8:8" hidden="1" x14ac:dyDescent="0.35">
      <c r="H11973" s="83">
        <f t="shared" si="234"/>
        <v>0</v>
      </c>
    </row>
    <row r="11974" spans="8:8" hidden="1" x14ac:dyDescent="0.35">
      <c r="H11974" s="83">
        <f t="shared" si="234"/>
        <v>0</v>
      </c>
    </row>
    <row r="11975" spans="8:8" hidden="1" x14ac:dyDescent="0.35">
      <c r="H11975" s="83">
        <f t="shared" si="234"/>
        <v>0</v>
      </c>
    </row>
    <row r="11976" spans="8:8" hidden="1" x14ac:dyDescent="0.35">
      <c r="H11976" s="83">
        <f t="shared" si="234"/>
        <v>0</v>
      </c>
    </row>
    <row r="11977" spans="8:8" hidden="1" x14ac:dyDescent="0.35">
      <c r="H11977" s="83">
        <f t="shared" si="234"/>
        <v>0</v>
      </c>
    </row>
    <row r="11978" spans="8:8" hidden="1" x14ac:dyDescent="0.35">
      <c r="H11978" s="83">
        <f t="shared" si="234"/>
        <v>0</v>
      </c>
    </row>
    <row r="11979" spans="8:8" hidden="1" x14ac:dyDescent="0.35">
      <c r="H11979" s="83">
        <f t="shared" si="234"/>
        <v>0</v>
      </c>
    </row>
    <row r="11980" spans="8:8" hidden="1" x14ac:dyDescent="0.35">
      <c r="H11980" s="83">
        <f t="shared" si="234"/>
        <v>0</v>
      </c>
    </row>
    <row r="11981" spans="8:8" hidden="1" x14ac:dyDescent="0.35">
      <c r="H11981" s="83">
        <f t="shared" si="234"/>
        <v>0</v>
      </c>
    </row>
    <row r="11982" spans="8:8" hidden="1" x14ac:dyDescent="0.35">
      <c r="H11982" s="83">
        <f t="shared" si="234"/>
        <v>0</v>
      </c>
    </row>
    <row r="11983" spans="8:8" hidden="1" x14ac:dyDescent="0.35">
      <c r="H11983" s="83">
        <f t="shared" si="234"/>
        <v>0</v>
      </c>
    </row>
    <row r="11984" spans="8:8" hidden="1" x14ac:dyDescent="0.35">
      <c r="H11984" s="83">
        <f t="shared" si="234"/>
        <v>0</v>
      </c>
    </row>
    <row r="11985" spans="8:8" hidden="1" x14ac:dyDescent="0.35">
      <c r="H11985" s="83">
        <f t="shared" si="234"/>
        <v>0</v>
      </c>
    </row>
    <row r="11986" spans="8:8" hidden="1" x14ac:dyDescent="0.35">
      <c r="H11986" s="83">
        <f t="shared" si="234"/>
        <v>0</v>
      </c>
    </row>
    <row r="11987" spans="8:8" hidden="1" x14ac:dyDescent="0.35">
      <c r="H11987" s="83">
        <f t="shared" si="234"/>
        <v>0</v>
      </c>
    </row>
    <row r="11988" spans="8:8" hidden="1" x14ac:dyDescent="0.35">
      <c r="H11988" s="83">
        <f t="shared" si="234"/>
        <v>0</v>
      </c>
    </row>
    <row r="11989" spans="8:8" hidden="1" x14ac:dyDescent="0.35">
      <c r="H11989" s="83">
        <f t="shared" si="234"/>
        <v>0</v>
      </c>
    </row>
    <row r="11990" spans="8:8" hidden="1" x14ac:dyDescent="0.35">
      <c r="H11990" s="83">
        <f t="shared" si="234"/>
        <v>0</v>
      </c>
    </row>
    <row r="11991" spans="8:8" hidden="1" x14ac:dyDescent="0.35">
      <c r="H11991" s="83">
        <f t="shared" si="234"/>
        <v>0</v>
      </c>
    </row>
    <row r="11992" spans="8:8" hidden="1" x14ac:dyDescent="0.35">
      <c r="H11992" s="83">
        <f t="shared" si="234"/>
        <v>0</v>
      </c>
    </row>
    <row r="11993" spans="8:8" hidden="1" x14ac:dyDescent="0.35">
      <c r="H11993" s="83">
        <f t="shared" si="234"/>
        <v>0</v>
      </c>
    </row>
    <row r="11994" spans="8:8" hidden="1" x14ac:dyDescent="0.35">
      <c r="H11994" s="83">
        <f t="shared" si="234"/>
        <v>0</v>
      </c>
    </row>
    <row r="11995" spans="8:8" hidden="1" x14ac:dyDescent="0.35">
      <c r="H11995" s="83">
        <f t="shared" si="234"/>
        <v>0</v>
      </c>
    </row>
    <row r="11996" spans="8:8" hidden="1" x14ac:dyDescent="0.35">
      <c r="H11996" s="83">
        <f t="shared" si="234"/>
        <v>0</v>
      </c>
    </row>
    <row r="11997" spans="8:8" hidden="1" x14ac:dyDescent="0.35">
      <c r="H11997" s="83">
        <f t="shared" si="234"/>
        <v>0</v>
      </c>
    </row>
    <row r="11998" spans="8:8" hidden="1" x14ac:dyDescent="0.35">
      <c r="H11998" s="83">
        <f t="shared" si="234"/>
        <v>0</v>
      </c>
    </row>
    <row r="11999" spans="8:8" hidden="1" x14ac:dyDescent="0.35">
      <c r="H11999" s="83">
        <f t="shared" si="234"/>
        <v>0</v>
      </c>
    </row>
    <row r="12000" spans="8:8" hidden="1" x14ac:dyDescent="0.35">
      <c r="H12000" s="83">
        <f t="shared" si="234"/>
        <v>0</v>
      </c>
    </row>
    <row r="12001" spans="8:8" hidden="1" x14ac:dyDescent="0.35">
      <c r="H12001" s="83">
        <f t="shared" si="234"/>
        <v>0</v>
      </c>
    </row>
    <row r="12002" spans="8:8" hidden="1" x14ac:dyDescent="0.35">
      <c r="H12002" s="83">
        <f t="shared" si="234"/>
        <v>0</v>
      </c>
    </row>
    <row r="12003" spans="8:8" hidden="1" x14ac:dyDescent="0.35">
      <c r="H12003" s="83">
        <f t="shared" si="234"/>
        <v>0</v>
      </c>
    </row>
    <row r="12004" spans="8:8" hidden="1" x14ac:dyDescent="0.35">
      <c r="H12004" s="83">
        <f t="shared" si="234"/>
        <v>0</v>
      </c>
    </row>
    <row r="12005" spans="8:8" hidden="1" x14ac:dyDescent="0.35">
      <c r="H12005" s="83">
        <f t="shared" si="234"/>
        <v>0</v>
      </c>
    </row>
    <row r="12006" spans="8:8" hidden="1" x14ac:dyDescent="0.35">
      <c r="H12006" s="83">
        <f t="shared" si="234"/>
        <v>0</v>
      </c>
    </row>
    <row r="12007" spans="8:8" hidden="1" x14ac:dyDescent="0.35">
      <c r="H12007" s="83">
        <f t="shared" si="234"/>
        <v>0</v>
      </c>
    </row>
    <row r="12008" spans="8:8" hidden="1" x14ac:dyDescent="0.35">
      <c r="H12008" s="83">
        <f t="shared" si="234"/>
        <v>0</v>
      </c>
    </row>
    <row r="12009" spans="8:8" hidden="1" x14ac:dyDescent="0.35">
      <c r="H12009" s="83">
        <f t="shared" si="234"/>
        <v>0</v>
      </c>
    </row>
    <row r="12010" spans="8:8" hidden="1" x14ac:dyDescent="0.35">
      <c r="H12010" s="83">
        <f t="shared" si="234"/>
        <v>0</v>
      </c>
    </row>
    <row r="12011" spans="8:8" hidden="1" x14ac:dyDescent="0.35">
      <c r="H12011" s="83">
        <f t="shared" si="234"/>
        <v>0</v>
      </c>
    </row>
    <row r="12012" spans="8:8" hidden="1" x14ac:dyDescent="0.35">
      <c r="H12012" s="83">
        <f t="shared" si="234"/>
        <v>0</v>
      </c>
    </row>
    <row r="12013" spans="8:8" hidden="1" x14ac:dyDescent="0.35">
      <c r="H12013" s="83">
        <f t="shared" si="234"/>
        <v>0</v>
      </c>
    </row>
    <row r="12014" spans="8:8" hidden="1" x14ac:dyDescent="0.35">
      <c r="H12014" s="83">
        <f t="shared" si="234"/>
        <v>0</v>
      </c>
    </row>
    <row r="12015" spans="8:8" hidden="1" x14ac:dyDescent="0.35">
      <c r="H12015" s="83">
        <f t="shared" si="234"/>
        <v>0</v>
      </c>
    </row>
    <row r="12016" spans="8:8" hidden="1" x14ac:dyDescent="0.35">
      <c r="H12016" s="83">
        <f t="shared" si="234"/>
        <v>0</v>
      </c>
    </row>
    <row r="12017" spans="8:8" hidden="1" x14ac:dyDescent="0.35">
      <c r="H12017" s="83">
        <f t="shared" si="234"/>
        <v>0</v>
      </c>
    </row>
    <row r="12018" spans="8:8" hidden="1" x14ac:dyDescent="0.35">
      <c r="H12018" s="83">
        <f t="shared" si="234"/>
        <v>0</v>
      </c>
    </row>
    <row r="12019" spans="8:8" hidden="1" x14ac:dyDescent="0.35">
      <c r="H12019" s="83">
        <f t="shared" si="234"/>
        <v>0</v>
      </c>
    </row>
    <row r="12020" spans="8:8" hidden="1" x14ac:dyDescent="0.35">
      <c r="H12020" s="83">
        <f t="shared" si="234"/>
        <v>0</v>
      </c>
    </row>
    <row r="12021" spans="8:8" hidden="1" x14ac:dyDescent="0.35">
      <c r="H12021" s="83">
        <f t="shared" si="234"/>
        <v>0</v>
      </c>
    </row>
    <row r="12022" spans="8:8" hidden="1" x14ac:dyDescent="0.35">
      <c r="H12022" s="83">
        <f t="shared" si="234"/>
        <v>0</v>
      </c>
    </row>
    <row r="12023" spans="8:8" hidden="1" x14ac:dyDescent="0.35">
      <c r="H12023" s="83">
        <f t="shared" si="234"/>
        <v>0</v>
      </c>
    </row>
    <row r="12024" spans="8:8" hidden="1" x14ac:dyDescent="0.35">
      <c r="H12024" s="83">
        <f t="shared" si="234"/>
        <v>0</v>
      </c>
    </row>
    <row r="12025" spans="8:8" hidden="1" x14ac:dyDescent="0.35">
      <c r="H12025" s="83">
        <f t="shared" si="234"/>
        <v>0</v>
      </c>
    </row>
    <row r="12026" spans="8:8" hidden="1" x14ac:dyDescent="0.35">
      <c r="H12026" s="83">
        <f t="shared" si="234"/>
        <v>0</v>
      </c>
    </row>
    <row r="12027" spans="8:8" hidden="1" x14ac:dyDescent="0.35">
      <c r="H12027" s="83">
        <f t="shared" si="234"/>
        <v>0</v>
      </c>
    </row>
    <row r="12028" spans="8:8" hidden="1" x14ac:dyDescent="0.35">
      <c r="H12028" s="83">
        <f t="shared" si="234"/>
        <v>0</v>
      </c>
    </row>
    <row r="12029" spans="8:8" hidden="1" x14ac:dyDescent="0.35">
      <c r="H12029" s="83">
        <f t="shared" si="234"/>
        <v>0</v>
      </c>
    </row>
    <row r="12030" spans="8:8" hidden="1" x14ac:dyDescent="0.35">
      <c r="H12030" s="83">
        <f t="shared" si="234"/>
        <v>0</v>
      </c>
    </row>
    <row r="12031" spans="8:8" hidden="1" x14ac:dyDescent="0.35">
      <c r="H12031" s="83">
        <f t="shared" si="234"/>
        <v>0</v>
      </c>
    </row>
    <row r="12032" spans="8:8" hidden="1" x14ac:dyDescent="0.35">
      <c r="H12032" s="83">
        <f t="shared" si="234"/>
        <v>0</v>
      </c>
    </row>
    <row r="12033" spans="8:8" hidden="1" x14ac:dyDescent="0.35">
      <c r="H12033" s="83">
        <f t="shared" si="234"/>
        <v>0</v>
      </c>
    </row>
    <row r="12034" spans="8:8" hidden="1" x14ac:dyDescent="0.35">
      <c r="H12034" s="83">
        <f t="shared" si="234"/>
        <v>0</v>
      </c>
    </row>
    <row r="12035" spans="8:8" hidden="1" x14ac:dyDescent="0.35">
      <c r="H12035" s="83">
        <f t="shared" si="234"/>
        <v>0</v>
      </c>
    </row>
    <row r="12036" spans="8:8" hidden="1" x14ac:dyDescent="0.35">
      <c r="H12036" s="83">
        <f t="shared" ref="H12036:H12099" si="235">J12036-I12036</f>
        <v>0</v>
      </c>
    </row>
    <row r="12037" spans="8:8" hidden="1" x14ac:dyDescent="0.35">
      <c r="H12037" s="83">
        <f t="shared" si="235"/>
        <v>0</v>
      </c>
    </row>
    <row r="12038" spans="8:8" hidden="1" x14ac:dyDescent="0.35">
      <c r="H12038" s="83">
        <f t="shared" si="235"/>
        <v>0</v>
      </c>
    </row>
    <row r="12039" spans="8:8" hidden="1" x14ac:dyDescent="0.35">
      <c r="H12039" s="83">
        <f t="shared" si="235"/>
        <v>0</v>
      </c>
    </row>
    <row r="12040" spans="8:8" hidden="1" x14ac:dyDescent="0.35">
      <c r="H12040" s="83">
        <f t="shared" si="235"/>
        <v>0</v>
      </c>
    </row>
    <row r="12041" spans="8:8" hidden="1" x14ac:dyDescent="0.35">
      <c r="H12041" s="83">
        <f t="shared" si="235"/>
        <v>0</v>
      </c>
    </row>
    <row r="12042" spans="8:8" hidden="1" x14ac:dyDescent="0.35">
      <c r="H12042" s="83">
        <f t="shared" si="235"/>
        <v>0</v>
      </c>
    </row>
    <row r="12043" spans="8:8" hidden="1" x14ac:dyDescent="0.35">
      <c r="H12043" s="83">
        <f t="shared" si="235"/>
        <v>0</v>
      </c>
    </row>
    <row r="12044" spans="8:8" hidden="1" x14ac:dyDescent="0.35">
      <c r="H12044" s="83">
        <f t="shared" si="235"/>
        <v>0</v>
      </c>
    </row>
    <row r="12045" spans="8:8" hidden="1" x14ac:dyDescent="0.35">
      <c r="H12045" s="83">
        <f t="shared" si="235"/>
        <v>0</v>
      </c>
    </row>
    <row r="12046" spans="8:8" hidden="1" x14ac:dyDescent="0.35">
      <c r="H12046" s="83">
        <f t="shared" si="235"/>
        <v>0</v>
      </c>
    </row>
    <row r="12047" spans="8:8" hidden="1" x14ac:dyDescent="0.35">
      <c r="H12047" s="83">
        <f t="shared" si="235"/>
        <v>0</v>
      </c>
    </row>
    <row r="12048" spans="8:8" hidden="1" x14ac:dyDescent="0.35">
      <c r="H12048" s="83">
        <f t="shared" si="235"/>
        <v>0</v>
      </c>
    </row>
    <row r="12049" spans="8:8" hidden="1" x14ac:dyDescent="0.35">
      <c r="H12049" s="83">
        <f t="shared" si="235"/>
        <v>0</v>
      </c>
    </row>
    <row r="12050" spans="8:8" hidden="1" x14ac:dyDescent="0.35">
      <c r="H12050" s="83">
        <f t="shared" si="235"/>
        <v>0</v>
      </c>
    </row>
    <row r="12051" spans="8:8" hidden="1" x14ac:dyDescent="0.35">
      <c r="H12051" s="83">
        <f t="shared" si="235"/>
        <v>0</v>
      </c>
    </row>
    <row r="12052" spans="8:8" hidden="1" x14ac:dyDescent="0.35">
      <c r="H12052" s="83">
        <f t="shared" si="235"/>
        <v>0</v>
      </c>
    </row>
    <row r="12053" spans="8:8" hidden="1" x14ac:dyDescent="0.35">
      <c r="H12053" s="83">
        <f t="shared" si="235"/>
        <v>0</v>
      </c>
    </row>
    <row r="12054" spans="8:8" hidden="1" x14ac:dyDescent="0.35">
      <c r="H12054" s="83">
        <f t="shared" si="235"/>
        <v>0</v>
      </c>
    </row>
    <row r="12055" spans="8:8" hidden="1" x14ac:dyDescent="0.35">
      <c r="H12055" s="83">
        <f t="shared" si="235"/>
        <v>0</v>
      </c>
    </row>
    <row r="12056" spans="8:8" hidden="1" x14ac:dyDescent="0.35">
      <c r="H12056" s="83">
        <f t="shared" si="235"/>
        <v>0</v>
      </c>
    </row>
    <row r="12057" spans="8:8" hidden="1" x14ac:dyDescent="0.35">
      <c r="H12057" s="83">
        <f t="shared" si="235"/>
        <v>0</v>
      </c>
    </row>
    <row r="12058" spans="8:8" hidden="1" x14ac:dyDescent="0.35">
      <c r="H12058" s="83">
        <f t="shared" si="235"/>
        <v>0</v>
      </c>
    </row>
    <row r="12059" spans="8:8" hidden="1" x14ac:dyDescent="0.35">
      <c r="H12059" s="83">
        <f t="shared" si="235"/>
        <v>0</v>
      </c>
    </row>
    <row r="12060" spans="8:8" hidden="1" x14ac:dyDescent="0.35">
      <c r="H12060" s="83">
        <f t="shared" si="235"/>
        <v>0</v>
      </c>
    </row>
    <row r="12061" spans="8:8" hidden="1" x14ac:dyDescent="0.35">
      <c r="H12061" s="83">
        <f t="shared" si="235"/>
        <v>0</v>
      </c>
    </row>
    <row r="12062" spans="8:8" hidden="1" x14ac:dyDescent="0.35">
      <c r="H12062" s="83">
        <f t="shared" si="235"/>
        <v>0</v>
      </c>
    </row>
    <row r="12063" spans="8:8" hidden="1" x14ac:dyDescent="0.35">
      <c r="H12063" s="83">
        <f t="shared" si="235"/>
        <v>0</v>
      </c>
    </row>
    <row r="12064" spans="8:8" hidden="1" x14ac:dyDescent="0.35">
      <c r="H12064" s="83">
        <f t="shared" si="235"/>
        <v>0</v>
      </c>
    </row>
    <row r="12065" spans="8:8" hidden="1" x14ac:dyDescent="0.35">
      <c r="H12065" s="83">
        <f t="shared" si="235"/>
        <v>0</v>
      </c>
    </row>
    <row r="12066" spans="8:8" hidden="1" x14ac:dyDescent="0.35">
      <c r="H12066" s="83">
        <f t="shared" si="235"/>
        <v>0</v>
      </c>
    </row>
    <row r="12067" spans="8:8" hidden="1" x14ac:dyDescent="0.35">
      <c r="H12067" s="83">
        <f t="shared" si="235"/>
        <v>0</v>
      </c>
    </row>
    <row r="12068" spans="8:8" hidden="1" x14ac:dyDescent="0.35">
      <c r="H12068" s="83">
        <f t="shared" si="235"/>
        <v>0</v>
      </c>
    </row>
    <row r="12069" spans="8:8" hidden="1" x14ac:dyDescent="0.35">
      <c r="H12069" s="83">
        <f t="shared" si="235"/>
        <v>0</v>
      </c>
    </row>
    <row r="12070" spans="8:8" hidden="1" x14ac:dyDescent="0.35">
      <c r="H12070" s="83">
        <f t="shared" si="235"/>
        <v>0</v>
      </c>
    </row>
    <row r="12071" spans="8:8" hidden="1" x14ac:dyDescent="0.35">
      <c r="H12071" s="83">
        <f t="shared" si="235"/>
        <v>0</v>
      </c>
    </row>
    <row r="12072" spans="8:8" hidden="1" x14ac:dyDescent="0.35">
      <c r="H12072" s="83">
        <f t="shared" si="235"/>
        <v>0</v>
      </c>
    </row>
    <row r="12073" spans="8:8" hidden="1" x14ac:dyDescent="0.35">
      <c r="H12073" s="83">
        <f t="shared" si="235"/>
        <v>0</v>
      </c>
    </row>
    <row r="12074" spans="8:8" hidden="1" x14ac:dyDescent="0.35">
      <c r="H12074" s="83">
        <f t="shared" si="235"/>
        <v>0</v>
      </c>
    </row>
    <row r="12075" spans="8:8" hidden="1" x14ac:dyDescent="0.35">
      <c r="H12075" s="83">
        <f t="shared" si="235"/>
        <v>0</v>
      </c>
    </row>
    <row r="12076" spans="8:8" hidden="1" x14ac:dyDescent="0.35">
      <c r="H12076" s="83">
        <f t="shared" si="235"/>
        <v>0</v>
      </c>
    </row>
    <row r="12077" spans="8:8" hidden="1" x14ac:dyDescent="0.35">
      <c r="H12077" s="83">
        <f t="shared" si="235"/>
        <v>0</v>
      </c>
    </row>
    <row r="12078" spans="8:8" hidden="1" x14ac:dyDescent="0.35">
      <c r="H12078" s="83">
        <f t="shared" si="235"/>
        <v>0</v>
      </c>
    </row>
    <row r="12079" spans="8:8" hidden="1" x14ac:dyDescent="0.35">
      <c r="H12079" s="83">
        <f t="shared" si="235"/>
        <v>0</v>
      </c>
    </row>
    <row r="12080" spans="8:8" hidden="1" x14ac:dyDescent="0.35">
      <c r="H12080" s="83">
        <f t="shared" si="235"/>
        <v>0</v>
      </c>
    </row>
    <row r="12081" spans="8:8" hidden="1" x14ac:dyDescent="0.35">
      <c r="H12081" s="83">
        <f t="shared" si="235"/>
        <v>0</v>
      </c>
    </row>
    <row r="12082" spans="8:8" hidden="1" x14ac:dyDescent="0.35">
      <c r="H12082" s="83">
        <f t="shared" si="235"/>
        <v>0</v>
      </c>
    </row>
    <row r="12083" spans="8:8" hidden="1" x14ac:dyDescent="0.35">
      <c r="H12083" s="83">
        <f t="shared" si="235"/>
        <v>0</v>
      </c>
    </row>
    <row r="12084" spans="8:8" hidden="1" x14ac:dyDescent="0.35">
      <c r="H12084" s="83">
        <f t="shared" si="235"/>
        <v>0</v>
      </c>
    </row>
    <row r="12085" spans="8:8" hidden="1" x14ac:dyDescent="0.35">
      <c r="H12085" s="83">
        <f t="shared" si="235"/>
        <v>0</v>
      </c>
    </row>
    <row r="12086" spans="8:8" hidden="1" x14ac:dyDescent="0.35">
      <c r="H12086" s="83">
        <f t="shared" si="235"/>
        <v>0</v>
      </c>
    </row>
    <row r="12087" spans="8:8" hidden="1" x14ac:dyDescent="0.35">
      <c r="H12087" s="83">
        <f t="shared" si="235"/>
        <v>0</v>
      </c>
    </row>
    <row r="12088" spans="8:8" hidden="1" x14ac:dyDescent="0.35">
      <c r="H12088" s="83">
        <f t="shared" si="235"/>
        <v>0</v>
      </c>
    </row>
    <row r="12089" spans="8:8" hidden="1" x14ac:dyDescent="0.35">
      <c r="H12089" s="83">
        <f t="shared" si="235"/>
        <v>0</v>
      </c>
    </row>
    <row r="12090" spans="8:8" hidden="1" x14ac:dyDescent="0.35">
      <c r="H12090" s="83">
        <f t="shared" si="235"/>
        <v>0</v>
      </c>
    </row>
    <row r="12091" spans="8:8" hidden="1" x14ac:dyDescent="0.35">
      <c r="H12091" s="83">
        <f t="shared" si="235"/>
        <v>0</v>
      </c>
    </row>
    <row r="12092" spans="8:8" hidden="1" x14ac:dyDescent="0.35">
      <c r="H12092" s="83">
        <f t="shared" si="235"/>
        <v>0</v>
      </c>
    </row>
    <row r="12093" spans="8:8" hidden="1" x14ac:dyDescent="0.35">
      <c r="H12093" s="83">
        <f t="shared" si="235"/>
        <v>0</v>
      </c>
    </row>
    <row r="12094" spans="8:8" hidden="1" x14ac:dyDescent="0.35">
      <c r="H12094" s="83">
        <f t="shared" si="235"/>
        <v>0</v>
      </c>
    </row>
    <row r="12095" spans="8:8" hidden="1" x14ac:dyDescent="0.35">
      <c r="H12095" s="83">
        <f t="shared" si="235"/>
        <v>0</v>
      </c>
    </row>
    <row r="12096" spans="8:8" hidden="1" x14ac:dyDescent="0.35">
      <c r="H12096" s="83">
        <f t="shared" si="235"/>
        <v>0</v>
      </c>
    </row>
    <row r="12097" spans="8:8" hidden="1" x14ac:dyDescent="0.35">
      <c r="H12097" s="83">
        <f t="shared" si="235"/>
        <v>0</v>
      </c>
    </row>
    <row r="12098" spans="8:8" hidden="1" x14ac:dyDescent="0.35">
      <c r="H12098" s="83">
        <f t="shared" si="235"/>
        <v>0</v>
      </c>
    </row>
    <row r="12099" spans="8:8" hidden="1" x14ac:dyDescent="0.35">
      <c r="H12099" s="83">
        <f t="shared" si="235"/>
        <v>0</v>
      </c>
    </row>
    <row r="12100" spans="8:8" hidden="1" x14ac:dyDescent="0.35">
      <c r="H12100" s="83">
        <f t="shared" ref="H12100:H12163" si="236">J12100-I12100</f>
        <v>0</v>
      </c>
    </row>
    <row r="12101" spans="8:8" hidden="1" x14ac:dyDescent="0.35">
      <c r="H12101" s="83">
        <f t="shared" si="236"/>
        <v>0</v>
      </c>
    </row>
    <row r="12102" spans="8:8" hidden="1" x14ac:dyDescent="0.35">
      <c r="H12102" s="83">
        <f t="shared" si="236"/>
        <v>0</v>
      </c>
    </row>
    <row r="12103" spans="8:8" hidden="1" x14ac:dyDescent="0.35">
      <c r="H12103" s="83">
        <f t="shared" si="236"/>
        <v>0</v>
      </c>
    </row>
    <row r="12104" spans="8:8" hidden="1" x14ac:dyDescent="0.35">
      <c r="H12104" s="83">
        <f t="shared" si="236"/>
        <v>0</v>
      </c>
    </row>
    <row r="12105" spans="8:8" hidden="1" x14ac:dyDescent="0.35">
      <c r="H12105" s="83">
        <f t="shared" si="236"/>
        <v>0</v>
      </c>
    </row>
    <row r="12106" spans="8:8" hidden="1" x14ac:dyDescent="0.35">
      <c r="H12106" s="83">
        <f t="shared" si="236"/>
        <v>0</v>
      </c>
    </row>
    <row r="12107" spans="8:8" hidden="1" x14ac:dyDescent="0.35">
      <c r="H12107" s="83">
        <f t="shared" si="236"/>
        <v>0</v>
      </c>
    </row>
    <row r="12108" spans="8:8" hidden="1" x14ac:dyDescent="0.35">
      <c r="H12108" s="83">
        <f t="shared" si="236"/>
        <v>0</v>
      </c>
    </row>
    <row r="12109" spans="8:8" hidden="1" x14ac:dyDescent="0.35">
      <c r="H12109" s="83">
        <f t="shared" si="236"/>
        <v>0</v>
      </c>
    </row>
    <row r="12110" spans="8:8" hidden="1" x14ac:dyDescent="0.35">
      <c r="H12110" s="83">
        <f t="shared" si="236"/>
        <v>0</v>
      </c>
    </row>
    <row r="12111" spans="8:8" hidden="1" x14ac:dyDescent="0.35">
      <c r="H12111" s="83">
        <f t="shared" si="236"/>
        <v>0</v>
      </c>
    </row>
    <row r="12112" spans="8:8" hidden="1" x14ac:dyDescent="0.35">
      <c r="H12112" s="83">
        <f t="shared" si="236"/>
        <v>0</v>
      </c>
    </row>
    <row r="12113" spans="8:8" hidden="1" x14ac:dyDescent="0.35">
      <c r="H12113" s="83">
        <f t="shared" si="236"/>
        <v>0</v>
      </c>
    </row>
    <row r="12114" spans="8:8" hidden="1" x14ac:dyDescent="0.35">
      <c r="H12114" s="83">
        <f t="shared" si="236"/>
        <v>0</v>
      </c>
    </row>
    <row r="12115" spans="8:8" hidden="1" x14ac:dyDescent="0.35">
      <c r="H12115" s="83">
        <f t="shared" si="236"/>
        <v>0</v>
      </c>
    </row>
    <row r="12116" spans="8:8" hidden="1" x14ac:dyDescent="0.35">
      <c r="H12116" s="83">
        <f t="shared" si="236"/>
        <v>0</v>
      </c>
    </row>
    <row r="12117" spans="8:8" hidden="1" x14ac:dyDescent="0.35">
      <c r="H12117" s="83">
        <f t="shared" si="236"/>
        <v>0</v>
      </c>
    </row>
    <row r="12118" spans="8:8" hidden="1" x14ac:dyDescent="0.35">
      <c r="H12118" s="83">
        <f t="shared" si="236"/>
        <v>0</v>
      </c>
    </row>
    <row r="12119" spans="8:8" hidden="1" x14ac:dyDescent="0.35">
      <c r="H12119" s="83">
        <f t="shared" si="236"/>
        <v>0</v>
      </c>
    </row>
    <row r="12120" spans="8:8" hidden="1" x14ac:dyDescent="0.35">
      <c r="H12120" s="83">
        <f t="shared" si="236"/>
        <v>0</v>
      </c>
    </row>
    <row r="12121" spans="8:8" hidden="1" x14ac:dyDescent="0.35">
      <c r="H12121" s="83">
        <f t="shared" si="236"/>
        <v>0</v>
      </c>
    </row>
    <row r="12122" spans="8:8" hidden="1" x14ac:dyDescent="0.35">
      <c r="H12122" s="83">
        <f t="shared" si="236"/>
        <v>0</v>
      </c>
    </row>
    <row r="12123" spans="8:8" hidden="1" x14ac:dyDescent="0.35">
      <c r="H12123" s="83">
        <f t="shared" si="236"/>
        <v>0</v>
      </c>
    </row>
    <row r="12124" spans="8:8" hidden="1" x14ac:dyDescent="0.35">
      <c r="H12124" s="83">
        <f t="shared" si="236"/>
        <v>0</v>
      </c>
    </row>
    <row r="12125" spans="8:8" hidden="1" x14ac:dyDescent="0.35">
      <c r="H12125" s="83">
        <f t="shared" si="236"/>
        <v>0</v>
      </c>
    </row>
    <row r="12126" spans="8:8" hidden="1" x14ac:dyDescent="0.35">
      <c r="H12126" s="83">
        <f t="shared" si="236"/>
        <v>0</v>
      </c>
    </row>
    <row r="12127" spans="8:8" hidden="1" x14ac:dyDescent="0.35">
      <c r="H12127" s="83">
        <f t="shared" si="236"/>
        <v>0</v>
      </c>
    </row>
    <row r="12128" spans="8:8" hidden="1" x14ac:dyDescent="0.35">
      <c r="H12128" s="83">
        <f t="shared" si="236"/>
        <v>0</v>
      </c>
    </row>
    <row r="12129" spans="8:8" hidden="1" x14ac:dyDescent="0.35">
      <c r="H12129" s="83">
        <f t="shared" si="236"/>
        <v>0</v>
      </c>
    </row>
    <row r="12130" spans="8:8" hidden="1" x14ac:dyDescent="0.35">
      <c r="H12130" s="83">
        <f t="shared" si="236"/>
        <v>0</v>
      </c>
    </row>
    <row r="12131" spans="8:8" hidden="1" x14ac:dyDescent="0.35">
      <c r="H12131" s="83">
        <f t="shared" si="236"/>
        <v>0</v>
      </c>
    </row>
    <row r="12132" spans="8:8" hidden="1" x14ac:dyDescent="0.35">
      <c r="H12132" s="83">
        <f t="shared" si="236"/>
        <v>0</v>
      </c>
    </row>
    <row r="12133" spans="8:8" hidden="1" x14ac:dyDescent="0.35">
      <c r="H12133" s="83">
        <f t="shared" si="236"/>
        <v>0</v>
      </c>
    </row>
    <row r="12134" spans="8:8" hidden="1" x14ac:dyDescent="0.35">
      <c r="H12134" s="83">
        <f t="shared" si="236"/>
        <v>0</v>
      </c>
    </row>
    <row r="12135" spans="8:8" hidden="1" x14ac:dyDescent="0.35">
      <c r="H12135" s="83">
        <f t="shared" si="236"/>
        <v>0</v>
      </c>
    </row>
    <row r="12136" spans="8:8" hidden="1" x14ac:dyDescent="0.35">
      <c r="H12136" s="83">
        <f t="shared" si="236"/>
        <v>0</v>
      </c>
    </row>
    <row r="12137" spans="8:8" hidden="1" x14ac:dyDescent="0.35">
      <c r="H12137" s="83">
        <f t="shared" si="236"/>
        <v>0</v>
      </c>
    </row>
    <row r="12138" spans="8:8" hidden="1" x14ac:dyDescent="0.35">
      <c r="H12138" s="83">
        <f t="shared" si="236"/>
        <v>0</v>
      </c>
    </row>
    <row r="12139" spans="8:8" hidden="1" x14ac:dyDescent="0.35">
      <c r="H12139" s="83">
        <f t="shared" si="236"/>
        <v>0</v>
      </c>
    </row>
    <row r="12140" spans="8:8" hidden="1" x14ac:dyDescent="0.35">
      <c r="H12140" s="83">
        <f t="shared" si="236"/>
        <v>0</v>
      </c>
    </row>
    <row r="12141" spans="8:8" hidden="1" x14ac:dyDescent="0.35">
      <c r="H12141" s="83">
        <f t="shared" si="236"/>
        <v>0</v>
      </c>
    </row>
    <row r="12142" spans="8:8" hidden="1" x14ac:dyDescent="0.35">
      <c r="H12142" s="83">
        <f t="shared" si="236"/>
        <v>0</v>
      </c>
    </row>
    <row r="12143" spans="8:8" hidden="1" x14ac:dyDescent="0.35">
      <c r="H12143" s="83">
        <f t="shared" si="236"/>
        <v>0</v>
      </c>
    </row>
    <row r="12144" spans="8:8" hidden="1" x14ac:dyDescent="0.35">
      <c r="H12144" s="83">
        <f t="shared" si="236"/>
        <v>0</v>
      </c>
    </row>
    <row r="12145" spans="8:8" hidden="1" x14ac:dyDescent="0.35">
      <c r="H12145" s="83">
        <f t="shared" si="236"/>
        <v>0</v>
      </c>
    </row>
    <row r="12146" spans="8:8" hidden="1" x14ac:dyDescent="0.35">
      <c r="H12146" s="83">
        <f t="shared" si="236"/>
        <v>0</v>
      </c>
    </row>
    <row r="12147" spans="8:8" hidden="1" x14ac:dyDescent="0.35">
      <c r="H12147" s="83">
        <f t="shared" si="236"/>
        <v>0</v>
      </c>
    </row>
    <row r="12148" spans="8:8" hidden="1" x14ac:dyDescent="0.35">
      <c r="H12148" s="83">
        <f t="shared" si="236"/>
        <v>0</v>
      </c>
    </row>
    <row r="12149" spans="8:8" hidden="1" x14ac:dyDescent="0.35">
      <c r="H12149" s="83">
        <f t="shared" si="236"/>
        <v>0</v>
      </c>
    </row>
    <row r="12150" spans="8:8" hidden="1" x14ac:dyDescent="0.35">
      <c r="H12150" s="83">
        <f t="shared" si="236"/>
        <v>0</v>
      </c>
    </row>
    <row r="12151" spans="8:8" hidden="1" x14ac:dyDescent="0.35">
      <c r="H12151" s="83">
        <f t="shared" si="236"/>
        <v>0</v>
      </c>
    </row>
    <row r="12152" spans="8:8" hidden="1" x14ac:dyDescent="0.35">
      <c r="H12152" s="83">
        <f t="shared" si="236"/>
        <v>0</v>
      </c>
    </row>
    <row r="12153" spans="8:8" hidden="1" x14ac:dyDescent="0.35">
      <c r="H12153" s="83">
        <f t="shared" si="236"/>
        <v>0</v>
      </c>
    </row>
    <row r="12154" spans="8:8" hidden="1" x14ac:dyDescent="0.35">
      <c r="H12154" s="83">
        <f t="shared" si="236"/>
        <v>0</v>
      </c>
    </row>
    <row r="12155" spans="8:8" hidden="1" x14ac:dyDescent="0.35">
      <c r="H12155" s="83">
        <f t="shared" si="236"/>
        <v>0</v>
      </c>
    </row>
    <row r="12156" spans="8:8" hidden="1" x14ac:dyDescent="0.35">
      <c r="H12156" s="83">
        <f t="shared" si="236"/>
        <v>0</v>
      </c>
    </row>
    <row r="12157" spans="8:8" hidden="1" x14ac:dyDescent="0.35">
      <c r="H12157" s="83">
        <f t="shared" si="236"/>
        <v>0</v>
      </c>
    </row>
    <row r="12158" spans="8:8" hidden="1" x14ac:dyDescent="0.35">
      <c r="H12158" s="83">
        <f t="shared" si="236"/>
        <v>0</v>
      </c>
    </row>
    <row r="12159" spans="8:8" hidden="1" x14ac:dyDescent="0.35">
      <c r="H12159" s="83">
        <f t="shared" si="236"/>
        <v>0</v>
      </c>
    </row>
    <row r="12160" spans="8:8" hidden="1" x14ac:dyDescent="0.35">
      <c r="H12160" s="83">
        <f t="shared" si="236"/>
        <v>0</v>
      </c>
    </row>
    <row r="12161" spans="8:8" hidden="1" x14ac:dyDescent="0.35">
      <c r="H12161" s="83">
        <f t="shared" si="236"/>
        <v>0</v>
      </c>
    </row>
    <row r="12162" spans="8:8" hidden="1" x14ac:dyDescent="0.35">
      <c r="H12162" s="83">
        <f t="shared" si="236"/>
        <v>0</v>
      </c>
    </row>
    <row r="12163" spans="8:8" hidden="1" x14ac:dyDescent="0.35">
      <c r="H12163" s="83">
        <f t="shared" si="236"/>
        <v>0</v>
      </c>
    </row>
    <row r="12164" spans="8:8" hidden="1" x14ac:dyDescent="0.35">
      <c r="H12164" s="83">
        <f t="shared" ref="H12164:H12227" si="237">J12164-I12164</f>
        <v>0</v>
      </c>
    </row>
    <row r="12165" spans="8:8" hidden="1" x14ac:dyDescent="0.35">
      <c r="H12165" s="83">
        <f t="shared" si="237"/>
        <v>0</v>
      </c>
    </row>
    <row r="12166" spans="8:8" hidden="1" x14ac:dyDescent="0.35">
      <c r="H12166" s="83">
        <f t="shared" si="237"/>
        <v>0</v>
      </c>
    </row>
    <row r="12167" spans="8:8" hidden="1" x14ac:dyDescent="0.35">
      <c r="H12167" s="83">
        <f t="shared" si="237"/>
        <v>0</v>
      </c>
    </row>
    <row r="12168" spans="8:8" hidden="1" x14ac:dyDescent="0.35">
      <c r="H12168" s="83">
        <f t="shared" si="237"/>
        <v>0</v>
      </c>
    </row>
    <row r="12169" spans="8:8" hidden="1" x14ac:dyDescent="0.35">
      <c r="H12169" s="83">
        <f t="shared" si="237"/>
        <v>0</v>
      </c>
    </row>
    <row r="12170" spans="8:8" hidden="1" x14ac:dyDescent="0.35">
      <c r="H12170" s="83">
        <f t="shared" si="237"/>
        <v>0</v>
      </c>
    </row>
    <row r="12171" spans="8:8" hidden="1" x14ac:dyDescent="0.35">
      <c r="H12171" s="83">
        <f t="shared" si="237"/>
        <v>0</v>
      </c>
    </row>
    <row r="12172" spans="8:8" hidden="1" x14ac:dyDescent="0.35">
      <c r="H12172" s="83">
        <f t="shared" si="237"/>
        <v>0</v>
      </c>
    </row>
    <row r="12173" spans="8:8" hidden="1" x14ac:dyDescent="0.35">
      <c r="H12173" s="83">
        <f t="shared" si="237"/>
        <v>0</v>
      </c>
    </row>
    <row r="12174" spans="8:8" hidden="1" x14ac:dyDescent="0.35">
      <c r="H12174" s="83">
        <f t="shared" si="237"/>
        <v>0</v>
      </c>
    </row>
    <row r="12175" spans="8:8" hidden="1" x14ac:dyDescent="0.35">
      <c r="H12175" s="83">
        <f t="shared" si="237"/>
        <v>0</v>
      </c>
    </row>
    <row r="12176" spans="8:8" hidden="1" x14ac:dyDescent="0.35">
      <c r="H12176" s="83">
        <f t="shared" si="237"/>
        <v>0</v>
      </c>
    </row>
    <row r="12177" spans="8:8" hidden="1" x14ac:dyDescent="0.35">
      <c r="H12177" s="83">
        <f t="shared" si="237"/>
        <v>0</v>
      </c>
    </row>
    <row r="12178" spans="8:8" hidden="1" x14ac:dyDescent="0.35">
      <c r="H12178" s="83">
        <f t="shared" si="237"/>
        <v>0</v>
      </c>
    </row>
    <row r="12179" spans="8:8" hidden="1" x14ac:dyDescent="0.35">
      <c r="H12179" s="83">
        <f t="shared" si="237"/>
        <v>0</v>
      </c>
    </row>
    <row r="12180" spans="8:8" hidden="1" x14ac:dyDescent="0.35">
      <c r="H12180" s="83">
        <f t="shared" si="237"/>
        <v>0</v>
      </c>
    </row>
    <row r="12181" spans="8:8" hidden="1" x14ac:dyDescent="0.35">
      <c r="H12181" s="83">
        <f t="shared" si="237"/>
        <v>0</v>
      </c>
    </row>
    <row r="12182" spans="8:8" hidden="1" x14ac:dyDescent="0.35">
      <c r="H12182" s="83">
        <f t="shared" si="237"/>
        <v>0</v>
      </c>
    </row>
    <row r="12183" spans="8:8" hidden="1" x14ac:dyDescent="0.35">
      <c r="H12183" s="83">
        <f t="shared" si="237"/>
        <v>0</v>
      </c>
    </row>
    <row r="12184" spans="8:8" hidden="1" x14ac:dyDescent="0.35">
      <c r="H12184" s="83">
        <f t="shared" si="237"/>
        <v>0</v>
      </c>
    </row>
    <row r="12185" spans="8:8" hidden="1" x14ac:dyDescent="0.35">
      <c r="H12185" s="83">
        <f t="shared" si="237"/>
        <v>0</v>
      </c>
    </row>
    <row r="12186" spans="8:8" hidden="1" x14ac:dyDescent="0.35">
      <c r="H12186" s="83">
        <f t="shared" si="237"/>
        <v>0</v>
      </c>
    </row>
    <row r="12187" spans="8:8" hidden="1" x14ac:dyDescent="0.35">
      <c r="H12187" s="83">
        <f t="shared" si="237"/>
        <v>0</v>
      </c>
    </row>
    <row r="12188" spans="8:8" hidden="1" x14ac:dyDescent="0.35">
      <c r="H12188" s="83">
        <f t="shared" si="237"/>
        <v>0</v>
      </c>
    </row>
    <row r="12189" spans="8:8" hidden="1" x14ac:dyDescent="0.35">
      <c r="H12189" s="83">
        <f t="shared" si="237"/>
        <v>0</v>
      </c>
    </row>
    <row r="12190" spans="8:8" hidden="1" x14ac:dyDescent="0.35">
      <c r="H12190" s="83">
        <f t="shared" si="237"/>
        <v>0</v>
      </c>
    </row>
    <row r="12191" spans="8:8" hidden="1" x14ac:dyDescent="0.35">
      <c r="H12191" s="83">
        <f t="shared" si="237"/>
        <v>0</v>
      </c>
    </row>
    <row r="12192" spans="8:8" hidden="1" x14ac:dyDescent="0.35">
      <c r="H12192" s="83">
        <f t="shared" si="237"/>
        <v>0</v>
      </c>
    </row>
    <row r="12193" spans="8:8" hidden="1" x14ac:dyDescent="0.35">
      <c r="H12193" s="83">
        <f t="shared" si="237"/>
        <v>0</v>
      </c>
    </row>
    <row r="12194" spans="8:8" hidden="1" x14ac:dyDescent="0.35">
      <c r="H12194" s="83">
        <f t="shared" si="237"/>
        <v>0</v>
      </c>
    </row>
    <row r="12195" spans="8:8" hidden="1" x14ac:dyDescent="0.35">
      <c r="H12195" s="83">
        <f t="shared" si="237"/>
        <v>0</v>
      </c>
    </row>
    <row r="12196" spans="8:8" hidden="1" x14ac:dyDescent="0.35">
      <c r="H12196" s="83">
        <f t="shared" si="237"/>
        <v>0</v>
      </c>
    </row>
    <row r="12197" spans="8:8" hidden="1" x14ac:dyDescent="0.35">
      <c r="H12197" s="83">
        <f t="shared" si="237"/>
        <v>0</v>
      </c>
    </row>
    <row r="12198" spans="8:8" hidden="1" x14ac:dyDescent="0.35">
      <c r="H12198" s="83">
        <f t="shared" si="237"/>
        <v>0</v>
      </c>
    </row>
    <row r="12199" spans="8:8" hidden="1" x14ac:dyDescent="0.35">
      <c r="H12199" s="83">
        <f t="shared" si="237"/>
        <v>0</v>
      </c>
    </row>
    <row r="12200" spans="8:8" hidden="1" x14ac:dyDescent="0.35">
      <c r="H12200" s="83">
        <f t="shared" si="237"/>
        <v>0</v>
      </c>
    </row>
    <row r="12201" spans="8:8" hidden="1" x14ac:dyDescent="0.35">
      <c r="H12201" s="83">
        <f t="shared" si="237"/>
        <v>0</v>
      </c>
    </row>
    <row r="12202" spans="8:8" hidden="1" x14ac:dyDescent="0.35">
      <c r="H12202" s="83">
        <f t="shared" si="237"/>
        <v>0</v>
      </c>
    </row>
    <row r="12203" spans="8:8" hidden="1" x14ac:dyDescent="0.35">
      <c r="H12203" s="83">
        <f t="shared" si="237"/>
        <v>0</v>
      </c>
    </row>
    <row r="12204" spans="8:8" hidden="1" x14ac:dyDescent="0.35">
      <c r="H12204" s="83">
        <f t="shared" si="237"/>
        <v>0</v>
      </c>
    </row>
    <row r="12205" spans="8:8" hidden="1" x14ac:dyDescent="0.35">
      <c r="H12205" s="83">
        <f t="shared" si="237"/>
        <v>0</v>
      </c>
    </row>
    <row r="12206" spans="8:8" hidden="1" x14ac:dyDescent="0.35">
      <c r="H12206" s="83">
        <f t="shared" si="237"/>
        <v>0</v>
      </c>
    </row>
    <row r="12207" spans="8:8" hidden="1" x14ac:dyDescent="0.35">
      <c r="H12207" s="83">
        <f t="shared" si="237"/>
        <v>0</v>
      </c>
    </row>
    <row r="12208" spans="8:8" hidden="1" x14ac:dyDescent="0.35">
      <c r="H12208" s="83">
        <f t="shared" si="237"/>
        <v>0</v>
      </c>
    </row>
    <row r="12209" spans="8:8" hidden="1" x14ac:dyDescent="0.35">
      <c r="H12209" s="83">
        <f t="shared" si="237"/>
        <v>0</v>
      </c>
    </row>
    <row r="12210" spans="8:8" hidden="1" x14ac:dyDescent="0.35">
      <c r="H12210" s="83">
        <f t="shared" si="237"/>
        <v>0</v>
      </c>
    </row>
    <row r="12211" spans="8:8" hidden="1" x14ac:dyDescent="0.35">
      <c r="H12211" s="83">
        <f t="shared" si="237"/>
        <v>0</v>
      </c>
    </row>
    <row r="12212" spans="8:8" hidden="1" x14ac:dyDescent="0.35">
      <c r="H12212" s="83">
        <f t="shared" si="237"/>
        <v>0</v>
      </c>
    </row>
    <row r="12213" spans="8:8" hidden="1" x14ac:dyDescent="0.35">
      <c r="H12213" s="83">
        <f t="shared" si="237"/>
        <v>0</v>
      </c>
    </row>
    <row r="12214" spans="8:8" hidden="1" x14ac:dyDescent="0.35">
      <c r="H12214" s="83">
        <f t="shared" si="237"/>
        <v>0</v>
      </c>
    </row>
    <row r="12215" spans="8:8" hidden="1" x14ac:dyDescent="0.35">
      <c r="H12215" s="83">
        <f t="shared" si="237"/>
        <v>0</v>
      </c>
    </row>
    <row r="12216" spans="8:8" hidden="1" x14ac:dyDescent="0.35">
      <c r="H12216" s="83">
        <f t="shared" si="237"/>
        <v>0</v>
      </c>
    </row>
    <row r="12217" spans="8:8" hidden="1" x14ac:dyDescent="0.35">
      <c r="H12217" s="83">
        <f t="shared" si="237"/>
        <v>0</v>
      </c>
    </row>
    <row r="12218" spans="8:8" hidden="1" x14ac:dyDescent="0.35">
      <c r="H12218" s="83">
        <f t="shared" si="237"/>
        <v>0</v>
      </c>
    </row>
    <row r="12219" spans="8:8" hidden="1" x14ac:dyDescent="0.35">
      <c r="H12219" s="83">
        <f t="shared" si="237"/>
        <v>0</v>
      </c>
    </row>
    <row r="12220" spans="8:8" hidden="1" x14ac:dyDescent="0.35">
      <c r="H12220" s="83">
        <f t="shared" si="237"/>
        <v>0</v>
      </c>
    </row>
    <row r="12221" spans="8:8" hidden="1" x14ac:dyDescent="0.35">
      <c r="H12221" s="83">
        <f t="shared" si="237"/>
        <v>0</v>
      </c>
    </row>
    <row r="12222" spans="8:8" hidden="1" x14ac:dyDescent="0.35">
      <c r="H12222" s="83">
        <f t="shared" si="237"/>
        <v>0</v>
      </c>
    </row>
    <row r="12223" spans="8:8" hidden="1" x14ac:dyDescent="0.35">
      <c r="H12223" s="83">
        <f t="shared" si="237"/>
        <v>0</v>
      </c>
    </row>
    <row r="12224" spans="8:8" hidden="1" x14ac:dyDescent="0.35">
      <c r="H12224" s="83">
        <f t="shared" si="237"/>
        <v>0</v>
      </c>
    </row>
    <row r="12225" spans="8:8" hidden="1" x14ac:dyDescent="0.35">
      <c r="H12225" s="83">
        <f t="shared" si="237"/>
        <v>0</v>
      </c>
    </row>
    <row r="12226" spans="8:8" hidden="1" x14ac:dyDescent="0.35">
      <c r="H12226" s="83">
        <f t="shared" si="237"/>
        <v>0</v>
      </c>
    </row>
    <row r="12227" spans="8:8" hidden="1" x14ac:dyDescent="0.35">
      <c r="H12227" s="83">
        <f t="shared" si="237"/>
        <v>0</v>
      </c>
    </row>
    <row r="12228" spans="8:8" hidden="1" x14ac:dyDescent="0.35">
      <c r="H12228" s="83">
        <f t="shared" ref="H12228:H12291" si="238">J12228-I12228</f>
        <v>0</v>
      </c>
    </row>
    <row r="12229" spans="8:8" hidden="1" x14ac:dyDescent="0.35">
      <c r="H12229" s="83">
        <f t="shared" si="238"/>
        <v>0</v>
      </c>
    </row>
    <row r="12230" spans="8:8" hidden="1" x14ac:dyDescent="0.35">
      <c r="H12230" s="83">
        <f t="shared" si="238"/>
        <v>0</v>
      </c>
    </row>
    <row r="12231" spans="8:8" hidden="1" x14ac:dyDescent="0.35">
      <c r="H12231" s="83">
        <f t="shared" si="238"/>
        <v>0</v>
      </c>
    </row>
    <row r="12232" spans="8:8" hidden="1" x14ac:dyDescent="0.35">
      <c r="H12232" s="83">
        <f t="shared" si="238"/>
        <v>0</v>
      </c>
    </row>
    <row r="12233" spans="8:8" hidden="1" x14ac:dyDescent="0.35">
      <c r="H12233" s="83">
        <f t="shared" si="238"/>
        <v>0</v>
      </c>
    </row>
    <row r="12234" spans="8:8" hidden="1" x14ac:dyDescent="0.35">
      <c r="H12234" s="83">
        <f t="shared" si="238"/>
        <v>0</v>
      </c>
    </row>
    <row r="12235" spans="8:8" hidden="1" x14ac:dyDescent="0.35">
      <c r="H12235" s="83">
        <f t="shared" si="238"/>
        <v>0</v>
      </c>
    </row>
    <row r="12236" spans="8:8" hidden="1" x14ac:dyDescent="0.35">
      <c r="H12236" s="83">
        <f t="shared" si="238"/>
        <v>0</v>
      </c>
    </row>
    <row r="12237" spans="8:8" hidden="1" x14ac:dyDescent="0.35">
      <c r="H12237" s="83">
        <f t="shared" si="238"/>
        <v>0</v>
      </c>
    </row>
    <row r="12238" spans="8:8" hidden="1" x14ac:dyDescent="0.35">
      <c r="H12238" s="83">
        <f t="shared" si="238"/>
        <v>0</v>
      </c>
    </row>
    <row r="12239" spans="8:8" hidden="1" x14ac:dyDescent="0.35">
      <c r="H12239" s="83">
        <f t="shared" si="238"/>
        <v>0</v>
      </c>
    </row>
    <row r="12240" spans="8:8" hidden="1" x14ac:dyDescent="0.35">
      <c r="H12240" s="83">
        <f t="shared" si="238"/>
        <v>0</v>
      </c>
    </row>
    <row r="12241" spans="8:8" hidden="1" x14ac:dyDescent="0.35">
      <c r="H12241" s="83">
        <f t="shared" si="238"/>
        <v>0</v>
      </c>
    </row>
    <row r="12242" spans="8:8" hidden="1" x14ac:dyDescent="0.35">
      <c r="H12242" s="83">
        <f t="shared" si="238"/>
        <v>0</v>
      </c>
    </row>
    <row r="12243" spans="8:8" hidden="1" x14ac:dyDescent="0.35">
      <c r="H12243" s="83">
        <f t="shared" si="238"/>
        <v>0</v>
      </c>
    </row>
    <row r="12244" spans="8:8" hidden="1" x14ac:dyDescent="0.35">
      <c r="H12244" s="83">
        <f t="shared" si="238"/>
        <v>0</v>
      </c>
    </row>
    <row r="12245" spans="8:8" hidden="1" x14ac:dyDescent="0.35">
      <c r="H12245" s="83">
        <f t="shared" si="238"/>
        <v>0</v>
      </c>
    </row>
    <row r="12246" spans="8:8" hidden="1" x14ac:dyDescent="0.35">
      <c r="H12246" s="83">
        <f t="shared" si="238"/>
        <v>0</v>
      </c>
    </row>
    <row r="12247" spans="8:8" hidden="1" x14ac:dyDescent="0.35">
      <c r="H12247" s="83">
        <f t="shared" si="238"/>
        <v>0</v>
      </c>
    </row>
    <row r="12248" spans="8:8" hidden="1" x14ac:dyDescent="0.35">
      <c r="H12248" s="83">
        <f t="shared" si="238"/>
        <v>0</v>
      </c>
    </row>
    <row r="12249" spans="8:8" hidden="1" x14ac:dyDescent="0.35">
      <c r="H12249" s="83">
        <f t="shared" si="238"/>
        <v>0</v>
      </c>
    </row>
    <row r="12250" spans="8:8" hidden="1" x14ac:dyDescent="0.35">
      <c r="H12250" s="83">
        <f t="shared" si="238"/>
        <v>0</v>
      </c>
    </row>
    <row r="12251" spans="8:8" hidden="1" x14ac:dyDescent="0.35">
      <c r="H12251" s="83">
        <f t="shared" si="238"/>
        <v>0</v>
      </c>
    </row>
    <row r="12252" spans="8:8" hidden="1" x14ac:dyDescent="0.35">
      <c r="H12252" s="83">
        <f t="shared" si="238"/>
        <v>0</v>
      </c>
    </row>
    <row r="12253" spans="8:8" hidden="1" x14ac:dyDescent="0.35">
      <c r="H12253" s="83">
        <f t="shared" si="238"/>
        <v>0</v>
      </c>
    </row>
    <row r="12254" spans="8:8" hidden="1" x14ac:dyDescent="0.35">
      <c r="H12254" s="83">
        <f t="shared" si="238"/>
        <v>0</v>
      </c>
    </row>
    <row r="12255" spans="8:8" hidden="1" x14ac:dyDescent="0.35">
      <c r="H12255" s="83">
        <f t="shared" si="238"/>
        <v>0</v>
      </c>
    </row>
    <row r="12256" spans="8:8" hidden="1" x14ac:dyDescent="0.35">
      <c r="H12256" s="83">
        <f t="shared" si="238"/>
        <v>0</v>
      </c>
    </row>
    <row r="12257" spans="8:8" hidden="1" x14ac:dyDescent="0.35">
      <c r="H12257" s="83">
        <f t="shared" si="238"/>
        <v>0</v>
      </c>
    </row>
    <row r="12258" spans="8:8" hidden="1" x14ac:dyDescent="0.35">
      <c r="H12258" s="83">
        <f t="shared" si="238"/>
        <v>0</v>
      </c>
    </row>
    <row r="12259" spans="8:8" hidden="1" x14ac:dyDescent="0.35">
      <c r="H12259" s="83">
        <f t="shared" si="238"/>
        <v>0</v>
      </c>
    </row>
    <row r="12260" spans="8:8" hidden="1" x14ac:dyDescent="0.35">
      <c r="H12260" s="83">
        <f t="shared" si="238"/>
        <v>0</v>
      </c>
    </row>
    <row r="12261" spans="8:8" hidden="1" x14ac:dyDescent="0.35">
      <c r="H12261" s="83">
        <f t="shared" si="238"/>
        <v>0</v>
      </c>
    </row>
    <row r="12262" spans="8:8" hidden="1" x14ac:dyDescent="0.35">
      <c r="H12262" s="83">
        <f t="shared" si="238"/>
        <v>0</v>
      </c>
    </row>
    <row r="12263" spans="8:8" hidden="1" x14ac:dyDescent="0.35">
      <c r="H12263" s="83">
        <f t="shared" si="238"/>
        <v>0</v>
      </c>
    </row>
    <row r="12264" spans="8:8" hidden="1" x14ac:dyDescent="0.35">
      <c r="H12264" s="83">
        <f t="shared" si="238"/>
        <v>0</v>
      </c>
    </row>
    <row r="12265" spans="8:8" hidden="1" x14ac:dyDescent="0.35">
      <c r="H12265" s="83">
        <f t="shared" si="238"/>
        <v>0</v>
      </c>
    </row>
    <row r="12266" spans="8:8" hidden="1" x14ac:dyDescent="0.35">
      <c r="H12266" s="83">
        <f t="shared" si="238"/>
        <v>0</v>
      </c>
    </row>
    <row r="12267" spans="8:8" hidden="1" x14ac:dyDescent="0.35">
      <c r="H12267" s="83">
        <f t="shared" si="238"/>
        <v>0</v>
      </c>
    </row>
    <row r="12268" spans="8:8" hidden="1" x14ac:dyDescent="0.35">
      <c r="H12268" s="83">
        <f t="shared" si="238"/>
        <v>0</v>
      </c>
    </row>
    <row r="12269" spans="8:8" hidden="1" x14ac:dyDescent="0.35">
      <c r="H12269" s="83">
        <f t="shared" si="238"/>
        <v>0</v>
      </c>
    </row>
    <row r="12270" spans="8:8" hidden="1" x14ac:dyDescent="0.35">
      <c r="H12270" s="83">
        <f t="shared" si="238"/>
        <v>0</v>
      </c>
    </row>
    <row r="12271" spans="8:8" hidden="1" x14ac:dyDescent="0.35">
      <c r="H12271" s="83">
        <f t="shared" si="238"/>
        <v>0</v>
      </c>
    </row>
    <row r="12272" spans="8:8" hidden="1" x14ac:dyDescent="0.35">
      <c r="H12272" s="83">
        <f t="shared" si="238"/>
        <v>0</v>
      </c>
    </row>
    <row r="12273" spans="8:8" hidden="1" x14ac:dyDescent="0.35">
      <c r="H12273" s="83">
        <f t="shared" si="238"/>
        <v>0</v>
      </c>
    </row>
    <row r="12274" spans="8:8" hidden="1" x14ac:dyDescent="0.35">
      <c r="H12274" s="83">
        <f t="shared" si="238"/>
        <v>0</v>
      </c>
    </row>
    <row r="12275" spans="8:8" hidden="1" x14ac:dyDescent="0.35">
      <c r="H12275" s="83">
        <f t="shared" si="238"/>
        <v>0</v>
      </c>
    </row>
    <row r="12276" spans="8:8" hidden="1" x14ac:dyDescent="0.35">
      <c r="H12276" s="83">
        <f t="shared" si="238"/>
        <v>0</v>
      </c>
    </row>
    <row r="12277" spans="8:8" hidden="1" x14ac:dyDescent="0.35">
      <c r="H12277" s="83">
        <f t="shared" si="238"/>
        <v>0</v>
      </c>
    </row>
    <row r="12278" spans="8:8" hidden="1" x14ac:dyDescent="0.35">
      <c r="H12278" s="83">
        <f t="shared" si="238"/>
        <v>0</v>
      </c>
    </row>
    <row r="12279" spans="8:8" hidden="1" x14ac:dyDescent="0.35">
      <c r="H12279" s="83">
        <f t="shared" si="238"/>
        <v>0</v>
      </c>
    </row>
    <row r="12280" spans="8:8" hidden="1" x14ac:dyDescent="0.35">
      <c r="H12280" s="83">
        <f t="shared" si="238"/>
        <v>0</v>
      </c>
    </row>
    <row r="12281" spans="8:8" hidden="1" x14ac:dyDescent="0.35">
      <c r="H12281" s="83">
        <f t="shared" si="238"/>
        <v>0</v>
      </c>
    </row>
    <row r="12282" spans="8:8" hidden="1" x14ac:dyDescent="0.35">
      <c r="H12282" s="83">
        <f t="shared" si="238"/>
        <v>0</v>
      </c>
    </row>
    <row r="12283" spans="8:8" hidden="1" x14ac:dyDescent="0.35">
      <c r="H12283" s="83">
        <f t="shared" si="238"/>
        <v>0</v>
      </c>
    </row>
    <row r="12284" spans="8:8" hidden="1" x14ac:dyDescent="0.35">
      <c r="H12284" s="83">
        <f t="shared" si="238"/>
        <v>0</v>
      </c>
    </row>
    <row r="12285" spans="8:8" hidden="1" x14ac:dyDescent="0.35">
      <c r="H12285" s="83">
        <f t="shared" si="238"/>
        <v>0</v>
      </c>
    </row>
    <row r="12286" spans="8:8" hidden="1" x14ac:dyDescent="0.35">
      <c r="H12286" s="83">
        <f t="shared" si="238"/>
        <v>0</v>
      </c>
    </row>
    <row r="12287" spans="8:8" hidden="1" x14ac:dyDescent="0.35">
      <c r="H12287" s="83">
        <f t="shared" si="238"/>
        <v>0</v>
      </c>
    </row>
    <row r="12288" spans="8:8" hidden="1" x14ac:dyDescent="0.35">
      <c r="H12288" s="83">
        <f t="shared" si="238"/>
        <v>0</v>
      </c>
    </row>
    <row r="12289" spans="8:8" hidden="1" x14ac:dyDescent="0.35">
      <c r="H12289" s="83">
        <f t="shared" si="238"/>
        <v>0</v>
      </c>
    </row>
    <row r="12290" spans="8:8" hidden="1" x14ac:dyDescent="0.35">
      <c r="H12290" s="83">
        <f t="shared" si="238"/>
        <v>0</v>
      </c>
    </row>
    <row r="12291" spans="8:8" hidden="1" x14ac:dyDescent="0.35">
      <c r="H12291" s="83">
        <f t="shared" si="238"/>
        <v>0</v>
      </c>
    </row>
    <row r="12292" spans="8:8" hidden="1" x14ac:dyDescent="0.35">
      <c r="H12292" s="83">
        <f t="shared" ref="H12292:H12355" si="239">J12292-I12292</f>
        <v>0</v>
      </c>
    </row>
    <row r="12293" spans="8:8" hidden="1" x14ac:dyDescent="0.35">
      <c r="H12293" s="83">
        <f t="shared" si="239"/>
        <v>0</v>
      </c>
    </row>
    <row r="12294" spans="8:8" hidden="1" x14ac:dyDescent="0.35">
      <c r="H12294" s="83">
        <f t="shared" si="239"/>
        <v>0</v>
      </c>
    </row>
    <row r="12295" spans="8:8" hidden="1" x14ac:dyDescent="0.35">
      <c r="H12295" s="83">
        <f t="shared" si="239"/>
        <v>0</v>
      </c>
    </row>
    <row r="12296" spans="8:8" hidden="1" x14ac:dyDescent="0.35">
      <c r="H12296" s="83">
        <f t="shared" si="239"/>
        <v>0</v>
      </c>
    </row>
    <row r="12297" spans="8:8" hidden="1" x14ac:dyDescent="0.35">
      <c r="H12297" s="83">
        <f t="shared" si="239"/>
        <v>0</v>
      </c>
    </row>
    <row r="12298" spans="8:8" hidden="1" x14ac:dyDescent="0.35">
      <c r="H12298" s="83">
        <f t="shared" si="239"/>
        <v>0</v>
      </c>
    </row>
    <row r="12299" spans="8:8" hidden="1" x14ac:dyDescent="0.35">
      <c r="H12299" s="83">
        <f t="shared" si="239"/>
        <v>0</v>
      </c>
    </row>
    <row r="12300" spans="8:8" hidden="1" x14ac:dyDescent="0.35">
      <c r="H12300" s="83">
        <f t="shared" si="239"/>
        <v>0</v>
      </c>
    </row>
    <row r="12301" spans="8:8" hidden="1" x14ac:dyDescent="0.35">
      <c r="H12301" s="83">
        <f t="shared" si="239"/>
        <v>0</v>
      </c>
    </row>
    <row r="12302" spans="8:8" hidden="1" x14ac:dyDescent="0.35">
      <c r="H12302" s="83">
        <f t="shared" si="239"/>
        <v>0</v>
      </c>
    </row>
    <row r="12303" spans="8:8" hidden="1" x14ac:dyDescent="0.35">
      <c r="H12303" s="83">
        <f t="shared" si="239"/>
        <v>0</v>
      </c>
    </row>
    <row r="12304" spans="8:8" hidden="1" x14ac:dyDescent="0.35">
      <c r="H12304" s="83">
        <f t="shared" si="239"/>
        <v>0</v>
      </c>
    </row>
    <row r="12305" spans="8:8" hidden="1" x14ac:dyDescent="0.35">
      <c r="H12305" s="83">
        <f t="shared" si="239"/>
        <v>0</v>
      </c>
    </row>
    <row r="12306" spans="8:8" hidden="1" x14ac:dyDescent="0.35">
      <c r="H12306" s="83">
        <f t="shared" si="239"/>
        <v>0</v>
      </c>
    </row>
    <row r="12307" spans="8:8" hidden="1" x14ac:dyDescent="0.35">
      <c r="H12307" s="83">
        <f t="shared" si="239"/>
        <v>0</v>
      </c>
    </row>
    <row r="12308" spans="8:8" hidden="1" x14ac:dyDescent="0.35">
      <c r="H12308" s="83">
        <f t="shared" si="239"/>
        <v>0</v>
      </c>
    </row>
    <row r="12309" spans="8:8" hidden="1" x14ac:dyDescent="0.35">
      <c r="H12309" s="83">
        <f t="shared" si="239"/>
        <v>0</v>
      </c>
    </row>
    <row r="12310" spans="8:8" hidden="1" x14ac:dyDescent="0.35">
      <c r="H12310" s="83">
        <f t="shared" si="239"/>
        <v>0</v>
      </c>
    </row>
    <row r="12311" spans="8:8" hidden="1" x14ac:dyDescent="0.35">
      <c r="H12311" s="83">
        <f t="shared" si="239"/>
        <v>0</v>
      </c>
    </row>
    <row r="12312" spans="8:8" hidden="1" x14ac:dyDescent="0.35">
      <c r="H12312" s="83">
        <f t="shared" si="239"/>
        <v>0</v>
      </c>
    </row>
    <row r="12313" spans="8:8" hidden="1" x14ac:dyDescent="0.35">
      <c r="H12313" s="83">
        <f t="shared" si="239"/>
        <v>0</v>
      </c>
    </row>
    <row r="12314" spans="8:8" hidden="1" x14ac:dyDescent="0.35">
      <c r="H12314" s="83">
        <f t="shared" si="239"/>
        <v>0</v>
      </c>
    </row>
    <row r="12315" spans="8:8" hidden="1" x14ac:dyDescent="0.35">
      <c r="H12315" s="83">
        <f t="shared" si="239"/>
        <v>0</v>
      </c>
    </row>
    <row r="12316" spans="8:8" hidden="1" x14ac:dyDescent="0.35">
      <c r="H12316" s="83">
        <f t="shared" si="239"/>
        <v>0</v>
      </c>
    </row>
    <row r="12317" spans="8:8" hidden="1" x14ac:dyDescent="0.35">
      <c r="H12317" s="83">
        <f t="shared" si="239"/>
        <v>0</v>
      </c>
    </row>
    <row r="12318" spans="8:8" hidden="1" x14ac:dyDescent="0.35">
      <c r="H12318" s="83">
        <f t="shared" si="239"/>
        <v>0</v>
      </c>
    </row>
    <row r="12319" spans="8:8" hidden="1" x14ac:dyDescent="0.35">
      <c r="H12319" s="83">
        <f t="shared" si="239"/>
        <v>0</v>
      </c>
    </row>
    <row r="12320" spans="8:8" hidden="1" x14ac:dyDescent="0.35">
      <c r="H12320" s="83">
        <f t="shared" si="239"/>
        <v>0</v>
      </c>
    </row>
    <row r="12321" spans="8:8" hidden="1" x14ac:dyDescent="0.35">
      <c r="H12321" s="83">
        <f t="shared" si="239"/>
        <v>0</v>
      </c>
    </row>
    <row r="12322" spans="8:8" hidden="1" x14ac:dyDescent="0.35">
      <c r="H12322" s="83">
        <f t="shared" si="239"/>
        <v>0</v>
      </c>
    </row>
    <row r="12323" spans="8:8" hidden="1" x14ac:dyDescent="0.35">
      <c r="H12323" s="83">
        <f t="shared" si="239"/>
        <v>0</v>
      </c>
    </row>
    <row r="12324" spans="8:8" hidden="1" x14ac:dyDescent="0.35">
      <c r="H12324" s="83">
        <f t="shared" si="239"/>
        <v>0</v>
      </c>
    </row>
    <row r="12325" spans="8:8" hidden="1" x14ac:dyDescent="0.35">
      <c r="H12325" s="83">
        <f t="shared" si="239"/>
        <v>0</v>
      </c>
    </row>
    <row r="12326" spans="8:8" hidden="1" x14ac:dyDescent="0.35">
      <c r="H12326" s="83">
        <f t="shared" si="239"/>
        <v>0</v>
      </c>
    </row>
    <row r="12327" spans="8:8" hidden="1" x14ac:dyDescent="0.35">
      <c r="H12327" s="83">
        <f t="shared" si="239"/>
        <v>0</v>
      </c>
    </row>
    <row r="12328" spans="8:8" hidden="1" x14ac:dyDescent="0.35">
      <c r="H12328" s="83">
        <f t="shared" si="239"/>
        <v>0</v>
      </c>
    </row>
    <row r="12329" spans="8:8" hidden="1" x14ac:dyDescent="0.35">
      <c r="H12329" s="83">
        <f t="shared" si="239"/>
        <v>0</v>
      </c>
    </row>
    <row r="12330" spans="8:8" hidden="1" x14ac:dyDescent="0.35">
      <c r="H12330" s="83">
        <f t="shared" si="239"/>
        <v>0</v>
      </c>
    </row>
    <row r="12331" spans="8:8" hidden="1" x14ac:dyDescent="0.35">
      <c r="H12331" s="83">
        <f t="shared" si="239"/>
        <v>0</v>
      </c>
    </row>
    <row r="12332" spans="8:8" hidden="1" x14ac:dyDescent="0.35">
      <c r="H12332" s="83">
        <f t="shared" si="239"/>
        <v>0</v>
      </c>
    </row>
    <row r="12333" spans="8:8" hidden="1" x14ac:dyDescent="0.35">
      <c r="H12333" s="83">
        <f t="shared" si="239"/>
        <v>0</v>
      </c>
    </row>
    <row r="12334" spans="8:8" hidden="1" x14ac:dyDescent="0.35">
      <c r="H12334" s="83">
        <f t="shared" si="239"/>
        <v>0</v>
      </c>
    </row>
    <row r="12335" spans="8:8" hidden="1" x14ac:dyDescent="0.35">
      <c r="H12335" s="83">
        <f t="shared" si="239"/>
        <v>0</v>
      </c>
    </row>
    <row r="12336" spans="8:8" hidden="1" x14ac:dyDescent="0.35">
      <c r="H12336" s="83">
        <f t="shared" si="239"/>
        <v>0</v>
      </c>
    </row>
    <row r="12337" spans="8:8" hidden="1" x14ac:dyDescent="0.35">
      <c r="H12337" s="83">
        <f t="shared" si="239"/>
        <v>0</v>
      </c>
    </row>
    <row r="12338" spans="8:8" hidden="1" x14ac:dyDescent="0.35">
      <c r="H12338" s="83">
        <f t="shared" si="239"/>
        <v>0</v>
      </c>
    </row>
    <row r="12339" spans="8:8" hidden="1" x14ac:dyDescent="0.35">
      <c r="H12339" s="83">
        <f t="shared" si="239"/>
        <v>0</v>
      </c>
    </row>
    <row r="12340" spans="8:8" hidden="1" x14ac:dyDescent="0.35">
      <c r="H12340" s="83">
        <f t="shared" si="239"/>
        <v>0</v>
      </c>
    </row>
    <row r="12341" spans="8:8" hidden="1" x14ac:dyDescent="0.35">
      <c r="H12341" s="83">
        <f t="shared" si="239"/>
        <v>0</v>
      </c>
    </row>
    <row r="12342" spans="8:8" hidden="1" x14ac:dyDescent="0.35">
      <c r="H12342" s="83">
        <f t="shared" si="239"/>
        <v>0</v>
      </c>
    </row>
    <row r="12343" spans="8:8" hidden="1" x14ac:dyDescent="0.35">
      <c r="H12343" s="83">
        <f t="shared" si="239"/>
        <v>0</v>
      </c>
    </row>
    <row r="12344" spans="8:8" hidden="1" x14ac:dyDescent="0.35">
      <c r="H12344" s="83">
        <f t="shared" si="239"/>
        <v>0</v>
      </c>
    </row>
    <row r="12345" spans="8:8" hidden="1" x14ac:dyDescent="0.35">
      <c r="H12345" s="83">
        <f t="shared" si="239"/>
        <v>0</v>
      </c>
    </row>
    <row r="12346" spans="8:8" hidden="1" x14ac:dyDescent="0.35">
      <c r="H12346" s="83">
        <f t="shared" si="239"/>
        <v>0</v>
      </c>
    </row>
    <row r="12347" spans="8:8" hidden="1" x14ac:dyDescent="0.35">
      <c r="H12347" s="83">
        <f t="shared" si="239"/>
        <v>0</v>
      </c>
    </row>
    <row r="12348" spans="8:8" hidden="1" x14ac:dyDescent="0.35">
      <c r="H12348" s="83">
        <f t="shared" si="239"/>
        <v>0</v>
      </c>
    </row>
    <row r="12349" spans="8:8" hidden="1" x14ac:dyDescent="0.35">
      <c r="H12349" s="83">
        <f t="shared" si="239"/>
        <v>0</v>
      </c>
    </row>
    <row r="12350" spans="8:8" hidden="1" x14ac:dyDescent="0.35">
      <c r="H12350" s="83">
        <f t="shared" si="239"/>
        <v>0</v>
      </c>
    </row>
    <row r="12351" spans="8:8" hidden="1" x14ac:dyDescent="0.35">
      <c r="H12351" s="83">
        <f t="shared" si="239"/>
        <v>0</v>
      </c>
    </row>
    <row r="12352" spans="8:8" hidden="1" x14ac:dyDescent="0.35">
      <c r="H12352" s="83">
        <f t="shared" si="239"/>
        <v>0</v>
      </c>
    </row>
    <row r="12353" spans="8:8" hidden="1" x14ac:dyDescent="0.35">
      <c r="H12353" s="83">
        <f t="shared" si="239"/>
        <v>0</v>
      </c>
    </row>
    <row r="12354" spans="8:8" hidden="1" x14ac:dyDescent="0.35">
      <c r="H12354" s="83">
        <f t="shared" si="239"/>
        <v>0</v>
      </c>
    </row>
    <row r="12355" spans="8:8" hidden="1" x14ac:dyDescent="0.35">
      <c r="H12355" s="83">
        <f t="shared" si="239"/>
        <v>0</v>
      </c>
    </row>
    <row r="12356" spans="8:8" hidden="1" x14ac:dyDescent="0.35">
      <c r="H12356" s="83">
        <f t="shared" ref="H12356:H12419" si="240">J12356-I12356</f>
        <v>0</v>
      </c>
    </row>
    <row r="12357" spans="8:8" hidden="1" x14ac:dyDescent="0.35">
      <c r="H12357" s="83">
        <f t="shared" si="240"/>
        <v>0</v>
      </c>
    </row>
    <row r="12358" spans="8:8" hidden="1" x14ac:dyDescent="0.35">
      <c r="H12358" s="83">
        <f t="shared" si="240"/>
        <v>0</v>
      </c>
    </row>
    <row r="12359" spans="8:8" hidden="1" x14ac:dyDescent="0.35">
      <c r="H12359" s="83">
        <f t="shared" si="240"/>
        <v>0</v>
      </c>
    </row>
    <row r="12360" spans="8:8" hidden="1" x14ac:dyDescent="0.35">
      <c r="H12360" s="83">
        <f t="shared" si="240"/>
        <v>0</v>
      </c>
    </row>
    <row r="12361" spans="8:8" hidden="1" x14ac:dyDescent="0.35">
      <c r="H12361" s="83">
        <f t="shared" si="240"/>
        <v>0</v>
      </c>
    </row>
    <row r="12362" spans="8:8" hidden="1" x14ac:dyDescent="0.35">
      <c r="H12362" s="83">
        <f t="shared" si="240"/>
        <v>0</v>
      </c>
    </row>
    <row r="12363" spans="8:8" hidden="1" x14ac:dyDescent="0.35">
      <c r="H12363" s="83">
        <f t="shared" si="240"/>
        <v>0</v>
      </c>
    </row>
    <row r="12364" spans="8:8" hidden="1" x14ac:dyDescent="0.35">
      <c r="H12364" s="83">
        <f t="shared" si="240"/>
        <v>0</v>
      </c>
    </row>
    <row r="12365" spans="8:8" hidden="1" x14ac:dyDescent="0.35">
      <c r="H12365" s="83">
        <f t="shared" si="240"/>
        <v>0</v>
      </c>
    </row>
    <row r="12366" spans="8:8" hidden="1" x14ac:dyDescent="0.35">
      <c r="H12366" s="83">
        <f t="shared" si="240"/>
        <v>0</v>
      </c>
    </row>
    <row r="12367" spans="8:8" hidden="1" x14ac:dyDescent="0.35">
      <c r="H12367" s="83">
        <f t="shared" si="240"/>
        <v>0</v>
      </c>
    </row>
    <row r="12368" spans="8:8" hidden="1" x14ac:dyDescent="0.35">
      <c r="H12368" s="83">
        <f t="shared" si="240"/>
        <v>0</v>
      </c>
    </row>
    <row r="12369" spans="8:8" hidden="1" x14ac:dyDescent="0.35">
      <c r="H12369" s="83">
        <f t="shared" si="240"/>
        <v>0</v>
      </c>
    </row>
    <row r="12370" spans="8:8" hidden="1" x14ac:dyDescent="0.35">
      <c r="H12370" s="83">
        <f t="shared" si="240"/>
        <v>0</v>
      </c>
    </row>
    <row r="12371" spans="8:8" hidden="1" x14ac:dyDescent="0.35">
      <c r="H12371" s="83">
        <f t="shared" si="240"/>
        <v>0</v>
      </c>
    </row>
    <row r="12372" spans="8:8" hidden="1" x14ac:dyDescent="0.35">
      <c r="H12372" s="83">
        <f t="shared" si="240"/>
        <v>0</v>
      </c>
    </row>
    <row r="12373" spans="8:8" hidden="1" x14ac:dyDescent="0.35">
      <c r="H12373" s="83">
        <f t="shared" si="240"/>
        <v>0</v>
      </c>
    </row>
    <row r="12374" spans="8:8" hidden="1" x14ac:dyDescent="0.35">
      <c r="H12374" s="83">
        <f t="shared" si="240"/>
        <v>0</v>
      </c>
    </row>
    <row r="12375" spans="8:8" hidden="1" x14ac:dyDescent="0.35">
      <c r="H12375" s="83">
        <f t="shared" si="240"/>
        <v>0</v>
      </c>
    </row>
    <row r="12376" spans="8:8" hidden="1" x14ac:dyDescent="0.35">
      <c r="H12376" s="83">
        <f t="shared" si="240"/>
        <v>0</v>
      </c>
    </row>
    <row r="12377" spans="8:8" hidden="1" x14ac:dyDescent="0.35">
      <c r="H12377" s="83">
        <f t="shared" si="240"/>
        <v>0</v>
      </c>
    </row>
    <row r="12378" spans="8:8" hidden="1" x14ac:dyDescent="0.35">
      <c r="H12378" s="83">
        <f t="shared" si="240"/>
        <v>0</v>
      </c>
    </row>
    <row r="12379" spans="8:8" hidden="1" x14ac:dyDescent="0.35">
      <c r="H12379" s="83">
        <f t="shared" si="240"/>
        <v>0</v>
      </c>
    </row>
    <row r="12380" spans="8:8" hidden="1" x14ac:dyDescent="0.35">
      <c r="H12380" s="83">
        <f t="shared" si="240"/>
        <v>0</v>
      </c>
    </row>
    <row r="12381" spans="8:8" hidden="1" x14ac:dyDescent="0.35">
      <c r="H12381" s="83">
        <f t="shared" si="240"/>
        <v>0</v>
      </c>
    </row>
    <row r="12382" spans="8:8" hidden="1" x14ac:dyDescent="0.35">
      <c r="H12382" s="83">
        <f t="shared" si="240"/>
        <v>0</v>
      </c>
    </row>
    <row r="12383" spans="8:8" hidden="1" x14ac:dyDescent="0.35">
      <c r="H12383" s="83">
        <f t="shared" si="240"/>
        <v>0</v>
      </c>
    </row>
    <row r="12384" spans="8:8" hidden="1" x14ac:dyDescent="0.35">
      <c r="H12384" s="83">
        <f t="shared" si="240"/>
        <v>0</v>
      </c>
    </row>
    <row r="12385" spans="8:8" hidden="1" x14ac:dyDescent="0.35">
      <c r="H12385" s="83">
        <f t="shared" si="240"/>
        <v>0</v>
      </c>
    </row>
    <row r="12386" spans="8:8" hidden="1" x14ac:dyDescent="0.35">
      <c r="H12386" s="83">
        <f t="shared" si="240"/>
        <v>0</v>
      </c>
    </row>
    <row r="12387" spans="8:8" hidden="1" x14ac:dyDescent="0.35">
      <c r="H12387" s="83">
        <f t="shared" si="240"/>
        <v>0</v>
      </c>
    </row>
    <row r="12388" spans="8:8" hidden="1" x14ac:dyDescent="0.35">
      <c r="H12388" s="83">
        <f t="shared" si="240"/>
        <v>0</v>
      </c>
    </row>
    <row r="12389" spans="8:8" hidden="1" x14ac:dyDescent="0.35">
      <c r="H12389" s="83">
        <f t="shared" si="240"/>
        <v>0</v>
      </c>
    </row>
    <row r="12390" spans="8:8" hidden="1" x14ac:dyDescent="0.35">
      <c r="H12390" s="83">
        <f t="shared" si="240"/>
        <v>0</v>
      </c>
    </row>
    <row r="12391" spans="8:8" hidden="1" x14ac:dyDescent="0.35">
      <c r="H12391" s="83">
        <f t="shared" si="240"/>
        <v>0</v>
      </c>
    </row>
    <row r="12392" spans="8:8" hidden="1" x14ac:dyDescent="0.35">
      <c r="H12392" s="83">
        <f t="shared" si="240"/>
        <v>0</v>
      </c>
    </row>
    <row r="12393" spans="8:8" hidden="1" x14ac:dyDescent="0.35">
      <c r="H12393" s="83">
        <f t="shared" si="240"/>
        <v>0</v>
      </c>
    </row>
    <row r="12394" spans="8:8" hidden="1" x14ac:dyDescent="0.35">
      <c r="H12394" s="83">
        <f t="shared" si="240"/>
        <v>0</v>
      </c>
    </row>
    <row r="12395" spans="8:8" hidden="1" x14ac:dyDescent="0.35">
      <c r="H12395" s="83">
        <f t="shared" si="240"/>
        <v>0</v>
      </c>
    </row>
    <row r="12396" spans="8:8" hidden="1" x14ac:dyDescent="0.35">
      <c r="H12396" s="83">
        <f t="shared" si="240"/>
        <v>0</v>
      </c>
    </row>
    <row r="12397" spans="8:8" hidden="1" x14ac:dyDescent="0.35">
      <c r="H12397" s="83">
        <f t="shared" si="240"/>
        <v>0</v>
      </c>
    </row>
    <row r="12398" spans="8:8" hidden="1" x14ac:dyDescent="0.35">
      <c r="H12398" s="83">
        <f t="shared" si="240"/>
        <v>0</v>
      </c>
    </row>
    <row r="12399" spans="8:8" hidden="1" x14ac:dyDescent="0.35">
      <c r="H12399" s="83">
        <f t="shared" si="240"/>
        <v>0</v>
      </c>
    </row>
    <row r="12400" spans="8:8" hidden="1" x14ac:dyDescent="0.35">
      <c r="H12400" s="83">
        <f t="shared" si="240"/>
        <v>0</v>
      </c>
    </row>
    <row r="12401" spans="8:8" hidden="1" x14ac:dyDescent="0.35">
      <c r="H12401" s="83">
        <f t="shared" si="240"/>
        <v>0</v>
      </c>
    </row>
    <row r="12402" spans="8:8" hidden="1" x14ac:dyDescent="0.35">
      <c r="H12402" s="83">
        <f t="shared" si="240"/>
        <v>0</v>
      </c>
    </row>
    <row r="12403" spans="8:8" hidden="1" x14ac:dyDescent="0.35">
      <c r="H12403" s="83">
        <f t="shared" si="240"/>
        <v>0</v>
      </c>
    </row>
    <row r="12404" spans="8:8" hidden="1" x14ac:dyDescent="0.35">
      <c r="H12404" s="83">
        <f t="shared" si="240"/>
        <v>0</v>
      </c>
    </row>
    <row r="12405" spans="8:8" hidden="1" x14ac:dyDescent="0.35">
      <c r="H12405" s="83">
        <f t="shared" si="240"/>
        <v>0</v>
      </c>
    </row>
    <row r="12406" spans="8:8" hidden="1" x14ac:dyDescent="0.35">
      <c r="H12406" s="83">
        <f t="shared" si="240"/>
        <v>0</v>
      </c>
    </row>
    <row r="12407" spans="8:8" hidden="1" x14ac:dyDescent="0.35">
      <c r="H12407" s="83">
        <f t="shared" si="240"/>
        <v>0</v>
      </c>
    </row>
    <row r="12408" spans="8:8" hidden="1" x14ac:dyDescent="0.35">
      <c r="H12408" s="83">
        <f t="shared" si="240"/>
        <v>0</v>
      </c>
    </row>
    <row r="12409" spans="8:8" hidden="1" x14ac:dyDescent="0.35">
      <c r="H12409" s="83">
        <f t="shared" si="240"/>
        <v>0</v>
      </c>
    </row>
    <row r="12410" spans="8:8" hidden="1" x14ac:dyDescent="0.35">
      <c r="H12410" s="83">
        <f t="shared" si="240"/>
        <v>0</v>
      </c>
    </row>
    <row r="12411" spans="8:8" hidden="1" x14ac:dyDescent="0.35">
      <c r="H12411" s="83">
        <f t="shared" si="240"/>
        <v>0</v>
      </c>
    </row>
    <row r="12412" spans="8:8" hidden="1" x14ac:dyDescent="0.35">
      <c r="H12412" s="83">
        <f t="shared" si="240"/>
        <v>0</v>
      </c>
    </row>
    <row r="12413" spans="8:8" hidden="1" x14ac:dyDescent="0.35">
      <c r="H12413" s="83">
        <f t="shared" si="240"/>
        <v>0</v>
      </c>
    </row>
    <row r="12414" spans="8:8" hidden="1" x14ac:dyDescent="0.35">
      <c r="H12414" s="83">
        <f t="shared" si="240"/>
        <v>0</v>
      </c>
    </row>
    <row r="12415" spans="8:8" hidden="1" x14ac:dyDescent="0.35">
      <c r="H12415" s="83">
        <f t="shared" si="240"/>
        <v>0</v>
      </c>
    </row>
    <row r="12416" spans="8:8" hidden="1" x14ac:dyDescent="0.35">
      <c r="H12416" s="83">
        <f t="shared" si="240"/>
        <v>0</v>
      </c>
    </row>
    <row r="12417" spans="8:8" hidden="1" x14ac:dyDescent="0.35">
      <c r="H12417" s="83">
        <f t="shared" si="240"/>
        <v>0</v>
      </c>
    </row>
    <row r="12418" spans="8:8" hidden="1" x14ac:dyDescent="0.35">
      <c r="H12418" s="83">
        <f t="shared" si="240"/>
        <v>0</v>
      </c>
    </row>
    <row r="12419" spans="8:8" hidden="1" x14ac:dyDescent="0.35">
      <c r="H12419" s="83">
        <f t="shared" si="240"/>
        <v>0</v>
      </c>
    </row>
    <row r="12420" spans="8:8" hidden="1" x14ac:dyDescent="0.35">
      <c r="H12420" s="83">
        <f t="shared" ref="H12420:H12483" si="241">J12420-I12420</f>
        <v>0</v>
      </c>
    </row>
    <row r="12421" spans="8:8" hidden="1" x14ac:dyDescent="0.35">
      <c r="H12421" s="83">
        <f t="shared" si="241"/>
        <v>0</v>
      </c>
    </row>
    <row r="12422" spans="8:8" hidden="1" x14ac:dyDescent="0.35">
      <c r="H12422" s="83">
        <f t="shared" si="241"/>
        <v>0</v>
      </c>
    </row>
    <row r="12423" spans="8:8" hidden="1" x14ac:dyDescent="0.35">
      <c r="H12423" s="83">
        <f t="shared" si="241"/>
        <v>0</v>
      </c>
    </row>
    <row r="12424" spans="8:8" hidden="1" x14ac:dyDescent="0.35">
      <c r="H12424" s="83">
        <f t="shared" si="241"/>
        <v>0</v>
      </c>
    </row>
    <row r="12425" spans="8:8" hidden="1" x14ac:dyDescent="0.35">
      <c r="H12425" s="83">
        <f t="shared" si="241"/>
        <v>0</v>
      </c>
    </row>
    <row r="12426" spans="8:8" hidden="1" x14ac:dyDescent="0.35">
      <c r="H12426" s="83">
        <f t="shared" si="241"/>
        <v>0</v>
      </c>
    </row>
    <row r="12427" spans="8:8" hidden="1" x14ac:dyDescent="0.35">
      <c r="H12427" s="83">
        <f t="shared" si="241"/>
        <v>0</v>
      </c>
    </row>
    <row r="12428" spans="8:8" hidden="1" x14ac:dyDescent="0.35">
      <c r="H12428" s="83">
        <f t="shared" si="241"/>
        <v>0</v>
      </c>
    </row>
    <row r="12429" spans="8:8" hidden="1" x14ac:dyDescent="0.35">
      <c r="H12429" s="83">
        <f t="shared" si="241"/>
        <v>0</v>
      </c>
    </row>
    <row r="12430" spans="8:8" hidden="1" x14ac:dyDescent="0.35">
      <c r="H12430" s="83">
        <f t="shared" si="241"/>
        <v>0</v>
      </c>
    </row>
    <row r="12431" spans="8:8" hidden="1" x14ac:dyDescent="0.35">
      <c r="H12431" s="83">
        <f t="shared" si="241"/>
        <v>0</v>
      </c>
    </row>
    <row r="12432" spans="8:8" hidden="1" x14ac:dyDescent="0.35">
      <c r="H12432" s="83">
        <f t="shared" si="241"/>
        <v>0</v>
      </c>
    </row>
    <row r="12433" spans="8:8" hidden="1" x14ac:dyDescent="0.35">
      <c r="H12433" s="83">
        <f t="shared" si="241"/>
        <v>0</v>
      </c>
    </row>
    <row r="12434" spans="8:8" hidden="1" x14ac:dyDescent="0.35">
      <c r="H12434" s="83">
        <f t="shared" si="241"/>
        <v>0</v>
      </c>
    </row>
    <row r="12435" spans="8:8" hidden="1" x14ac:dyDescent="0.35">
      <c r="H12435" s="83">
        <f t="shared" si="241"/>
        <v>0</v>
      </c>
    </row>
    <row r="12436" spans="8:8" hidden="1" x14ac:dyDescent="0.35">
      <c r="H12436" s="83">
        <f t="shared" si="241"/>
        <v>0</v>
      </c>
    </row>
    <row r="12437" spans="8:8" hidden="1" x14ac:dyDescent="0.35">
      <c r="H12437" s="83">
        <f t="shared" si="241"/>
        <v>0</v>
      </c>
    </row>
    <row r="12438" spans="8:8" hidden="1" x14ac:dyDescent="0.35">
      <c r="H12438" s="83">
        <f t="shared" si="241"/>
        <v>0</v>
      </c>
    </row>
    <row r="12439" spans="8:8" hidden="1" x14ac:dyDescent="0.35">
      <c r="H12439" s="83">
        <f t="shared" si="241"/>
        <v>0</v>
      </c>
    </row>
    <row r="12440" spans="8:8" hidden="1" x14ac:dyDescent="0.35">
      <c r="H12440" s="83">
        <f t="shared" si="241"/>
        <v>0</v>
      </c>
    </row>
    <row r="12441" spans="8:8" hidden="1" x14ac:dyDescent="0.35">
      <c r="H12441" s="83">
        <f t="shared" si="241"/>
        <v>0</v>
      </c>
    </row>
    <row r="12442" spans="8:8" hidden="1" x14ac:dyDescent="0.35">
      <c r="H12442" s="83">
        <f t="shared" si="241"/>
        <v>0</v>
      </c>
    </row>
    <row r="12443" spans="8:8" hidden="1" x14ac:dyDescent="0.35">
      <c r="H12443" s="83">
        <f t="shared" si="241"/>
        <v>0</v>
      </c>
    </row>
    <row r="12444" spans="8:8" hidden="1" x14ac:dyDescent="0.35">
      <c r="H12444" s="83">
        <f t="shared" si="241"/>
        <v>0</v>
      </c>
    </row>
    <row r="12445" spans="8:8" hidden="1" x14ac:dyDescent="0.35">
      <c r="H12445" s="83">
        <f t="shared" si="241"/>
        <v>0</v>
      </c>
    </row>
    <row r="12446" spans="8:8" hidden="1" x14ac:dyDescent="0.35">
      <c r="H12446" s="83">
        <f t="shared" si="241"/>
        <v>0</v>
      </c>
    </row>
    <row r="12447" spans="8:8" hidden="1" x14ac:dyDescent="0.35">
      <c r="H12447" s="83">
        <f t="shared" si="241"/>
        <v>0</v>
      </c>
    </row>
    <row r="12448" spans="8:8" hidden="1" x14ac:dyDescent="0.35">
      <c r="H12448" s="83">
        <f t="shared" si="241"/>
        <v>0</v>
      </c>
    </row>
    <row r="12449" spans="8:8" hidden="1" x14ac:dyDescent="0.35">
      <c r="H12449" s="83">
        <f t="shared" si="241"/>
        <v>0</v>
      </c>
    </row>
    <row r="12450" spans="8:8" hidden="1" x14ac:dyDescent="0.35">
      <c r="H12450" s="83">
        <f t="shared" si="241"/>
        <v>0</v>
      </c>
    </row>
    <row r="12451" spans="8:8" hidden="1" x14ac:dyDescent="0.35">
      <c r="H12451" s="83">
        <f t="shared" si="241"/>
        <v>0</v>
      </c>
    </row>
    <row r="12452" spans="8:8" hidden="1" x14ac:dyDescent="0.35">
      <c r="H12452" s="83">
        <f t="shared" si="241"/>
        <v>0</v>
      </c>
    </row>
    <row r="12453" spans="8:8" hidden="1" x14ac:dyDescent="0.35">
      <c r="H12453" s="83">
        <f t="shared" si="241"/>
        <v>0</v>
      </c>
    </row>
    <row r="12454" spans="8:8" hidden="1" x14ac:dyDescent="0.35">
      <c r="H12454" s="83">
        <f t="shared" si="241"/>
        <v>0</v>
      </c>
    </row>
    <row r="12455" spans="8:8" hidden="1" x14ac:dyDescent="0.35">
      <c r="H12455" s="83">
        <f t="shared" si="241"/>
        <v>0</v>
      </c>
    </row>
    <row r="12456" spans="8:8" hidden="1" x14ac:dyDescent="0.35">
      <c r="H12456" s="83">
        <f t="shared" si="241"/>
        <v>0</v>
      </c>
    </row>
    <row r="12457" spans="8:8" hidden="1" x14ac:dyDescent="0.35">
      <c r="H12457" s="83">
        <f t="shared" si="241"/>
        <v>0</v>
      </c>
    </row>
    <row r="12458" spans="8:8" hidden="1" x14ac:dyDescent="0.35">
      <c r="H12458" s="83">
        <f t="shared" si="241"/>
        <v>0</v>
      </c>
    </row>
    <row r="12459" spans="8:8" hidden="1" x14ac:dyDescent="0.35">
      <c r="H12459" s="83">
        <f t="shared" si="241"/>
        <v>0</v>
      </c>
    </row>
    <row r="12460" spans="8:8" hidden="1" x14ac:dyDescent="0.35">
      <c r="H12460" s="83">
        <f t="shared" si="241"/>
        <v>0</v>
      </c>
    </row>
    <row r="12461" spans="8:8" hidden="1" x14ac:dyDescent="0.35">
      <c r="H12461" s="83">
        <f t="shared" si="241"/>
        <v>0</v>
      </c>
    </row>
    <row r="12462" spans="8:8" hidden="1" x14ac:dyDescent="0.35">
      <c r="H12462" s="83">
        <f t="shared" si="241"/>
        <v>0</v>
      </c>
    </row>
    <row r="12463" spans="8:8" hidden="1" x14ac:dyDescent="0.35">
      <c r="H12463" s="83">
        <f t="shared" si="241"/>
        <v>0</v>
      </c>
    </row>
    <row r="12464" spans="8:8" hidden="1" x14ac:dyDescent="0.35">
      <c r="H12464" s="83">
        <f t="shared" si="241"/>
        <v>0</v>
      </c>
    </row>
    <row r="12465" spans="8:8" hidden="1" x14ac:dyDescent="0.35">
      <c r="H12465" s="83">
        <f t="shared" si="241"/>
        <v>0</v>
      </c>
    </row>
    <row r="12466" spans="8:8" hidden="1" x14ac:dyDescent="0.35">
      <c r="H12466" s="83">
        <f t="shared" si="241"/>
        <v>0</v>
      </c>
    </row>
    <row r="12467" spans="8:8" hidden="1" x14ac:dyDescent="0.35">
      <c r="H12467" s="83">
        <f t="shared" si="241"/>
        <v>0</v>
      </c>
    </row>
    <row r="12468" spans="8:8" hidden="1" x14ac:dyDescent="0.35">
      <c r="H12468" s="83">
        <f t="shared" si="241"/>
        <v>0</v>
      </c>
    </row>
    <row r="12469" spans="8:8" hidden="1" x14ac:dyDescent="0.35">
      <c r="H12469" s="83">
        <f t="shared" si="241"/>
        <v>0</v>
      </c>
    </row>
    <row r="12470" spans="8:8" hidden="1" x14ac:dyDescent="0.35">
      <c r="H12470" s="83">
        <f t="shared" si="241"/>
        <v>0</v>
      </c>
    </row>
    <row r="12471" spans="8:8" hidden="1" x14ac:dyDescent="0.35">
      <c r="H12471" s="83">
        <f t="shared" si="241"/>
        <v>0</v>
      </c>
    </row>
    <row r="12472" spans="8:8" hidden="1" x14ac:dyDescent="0.35">
      <c r="H12472" s="83">
        <f t="shared" si="241"/>
        <v>0</v>
      </c>
    </row>
    <row r="12473" spans="8:8" hidden="1" x14ac:dyDescent="0.35">
      <c r="H12473" s="83">
        <f t="shared" si="241"/>
        <v>0</v>
      </c>
    </row>
    <row r="12474" spans="8:8" hidden="1" x14ac:dyDescent="0.35">
      <c r="H12474" s="83">
        <f t="shared" si="241"/>
        <v>0</v>
      </c>
    </row>
    <row r="12475" spans="8:8" hidden="1" x14ac:dyDescent="0.35">
      <c r="H12475" s="83">
        <f t="shared" si="241"/>
        <v>0</v>
      </c>
    </row>
    <row r="12476" spans="8:8" hidden="1" x14ac:dyDescent="0.35">
      <c r="H12476" s="83">
        <f t="shared" si="241"/>
        <v>0</v>
      </c>
    </row>
    <row r="12477" spans="8:8" hidden="1" x14ac:dyDescent="0.35">
      <c r="H12477" s="83">
        <f t="shared" si="241"/>
        <v>0</v>
      </c>
    </row>
    <row r="12478" spans="8:8" hidden="1" x14ac:dyDescent="0.35">
      <c r="H12478" s="83">
        <f t="shared" si="241"/>
        <v>0</v>
      </c>
    </row>
    <row r="12479" spans="8:8" hidden="1" x14ac:dyDescent="0.35">
      <c r="H12479" s="83">
        <f t="shared" si="241"/>
        <v>0</v>
      </c>
    </row>
    <row r="12480" spans="8:8" hidden="1" x14ac:dyDescent="0.35">
      <c r="H12480" s="83">
        <f t="shared" si="241"/>
        <v>0</v>
      </c>
    </row>
    <row r="12481" spans="8:8" hidden="1" x14ac:dyDescent="0.35">
      <c r="H12481" s="83">
        <f t="shared" si="241"/>
        <v>0</v>
      </c>
    </row>
    <row r="12482" spans="8:8" hidden="1" x14ac:dyDescent="0.35">
      <c r="H12482" s="83">
        <f t="shared" si="241"/>
        <v>0</v>
      </c>
    </row>
    <row r="12483" spans="8:8" hidden="1" x14ac:dyDescent="0.35">
      <c r="H12483" s="83">
        <f t="shared" si="241"/>
        <v>0</v>
      </c>
    </row>
    <row r="12484" spans="8:8" hidden="1" x14ac:dyDescent="0.35">
      <c r="H12484" s="83">
        <f t="shared" ref="H12484:H12547" si="242">J12484-I12484</f>
        <v>0</v>
      </c>
    </row>
    <row r="12485" spans="8:8" hidden="1" x14ac:dyDescent="0.35">
      <c r="H12485" s="83">
        <f t="shared" si="242"/>
        <v>0</v>
      </c>
    </row>
    <row r="12486" spans="8:8" hidden="1" x14ac:dyDescent="0.35">
      <c r="H12486" s="83">
        <f t="shared" si="242"/>
        <v>0</v>
      </c>
    </row>
    <row r="12487" spans="8:8" hidden="1" x14ac:dyDescent="0.35">
      <c r="H12487" s="83">
        <f t="shared" si="242"/>
        <v>0</v>
      </c>
    </row>
    <row r="12488" spans="8:8" hidden="1" x14ac:dyDescent="0.35">
      <c r="H12488" s="83">
        <f t="shared" si="242"/>
        <v>0</v>
      </c>
    </row>
    <row r="12489" spans="8:8" hidden="1" x14ac:dyDescent="0.35">
      <c r="H12489" s="83">
        <f t="shared" si="242"/>
        <v>0</v>
      </c>
    </row>
    <row r="12490" spans="8:8" hidden="1" x14ac:dyDescent="0.35">
      <c r="H12490" s="83">
        <f t="shared" si="242"/>
        <v>0</v>
      </c>
    </row>
    <row r="12491" spans="8:8" hidden="1" x14ac:dyDescent="0.35">
      <c r="H12491" s="83">
        <f t="shared" si="242"/>
        <v>0</v>
      </c>
    </row>
    <row r="12492" spans="8:8" hidden="1" x14ac:dyDescent="0.35">
      <c r="H12492" s="83">
        <f t="shared" si="242"/>
        <v>0</v>
      </c>
    </row>
    <row r="12493" spans="8:8" hidden="1" x14ac:dyDescent="0.35">
      <c r="H12493" s="83">
        <f t="shared" si="242"/>
        <v>0</v>
      </c>
    </row>
    <row r="12494" spans="8:8" hidden="1" x14ac:dyDescent="0.35">
      <c r="H12494" s="83">
        <f t="shared" si="242"/>
        <v>0</v>
      </c>
    </row>
    <row r="12495" spans="8:8" hidden="1" x14ac:dyDescent="0.35">
      <c r="H12495" s="83">
        <f t="shared" si="242"/>
        <v>0</v>
      </c>
    </row>
    <row r="12496" spans="8:8" hidden="1" x14ac:dyDescent="0.35">
      <c r="H12496" s="83">
        <f t="shared" si="242"/>
        <v>0</v>
      </c>
    </row>
    <row r="12497" spans="8:8" hidden="1" x14ac:dyDescent="0.35">
      <c r="H12497" s="83">
        <f t="shared" si="242"/>
        <v>0</v>
      </c>
    </row>
    <row r="12498" spans="8:8" hidden="1" x14ac:dyDescent="0.35">
      <c r="H12498" s="83">
        <f t="shared" si="242"/>
        <v>0</v>
      </c>
    </row>
    <row r="12499" spans="8:8" hidden="1" x14ac:dyDescent="0.35">
      <c r="H12499" s="83">
        <f t="shared" si="242"/>
        <v>0</v>
      </c>
    </row>
    <row r="12500" spans="8:8" hidden="1" x14ac:dyDescent="0.35">
      <c r="H12500" s="83">
        <f t="shared" si="242"/>
        <v>0</v>
      </c>
    </row>
    <row r="12501" spans="8:8" hidden="1" x14ac:dyDescent="0.35">
      <c r="H12501" s="83">
        <f t="shared" si="242"/>
        <v>0</v>
      </c>
    </row>
    <row r="12502" spans="8:8" hidden="1" x14ac:dyDescent="0.35">
      <c r="H12502" s="83">
        <f t="shared" si="242"/>
        <v>0</v>
      </c>
    </row>
    <row r="12503" spans="8:8" hidden="1" x14ac:dyDescent="0.35">
      <c r="H12503" s="83">
        <f t="shared" si="242"/>
        <v>0</v>
      </c>
    </row>
    <row r="12504" spans="8:8" hidden="1" x14ac:dyDescent="0.35">
      <c r="H12504" s="83">
        <f t="shared" si="242"/>
        <v>0</v>
      </c>
    </row>
    <row r="12505" spans="8:8" hidden="1" x14ac:dyDescent="0.35">
      <c r="H12505" s="83">
        <f t="shared" si="242"/>
        <v>0</v>
      </c>
    </row>
    <row r="12506" spans="8:8" hidden="1" x14ac:dyDescent="0.35">
      <c r="H12506" s="83">
        <f t="shared" si="242"/>
        <v>0</v>
      </c>
    </row>
    <row r="12507" spans="8:8" hidden="1" x14ac:dyDescent="0.35">
      <c r="H12507" s="83">
        <f t="shared" si="242"/>
        <v>0</v>
      </c>
    </row>
    <row r="12508" spans="8:8" hidden="1" x14ac:dyDescent="0.35">
      <c r="H12508" s="83">
        <f t="shared" si="242"/>
        <v>0</v>
      </c>
    </row>
    <row r="12509" spans="8:8" hidden="1" x14ac:dyDescent="0.35">
      <c r="H12509" s="83">
        <f t="shared" si="242"/>
        <v>0</v>
      </c>
    </row>
    <row r="12510" spans="8:8" hidden="1" x14ac:dyDescent="0.35">
      <c r="H12510" s="83">
        <f t="shared" si="242"/>
        <v>0</v>
      </c>
    </row>
    <row r="12511" spans="8:8" hidden="1" x14ac:dyDescent="0.35">
      <c r="H12511" s="83">
        <f t="shared" si="242"/>
        <v>0</v>
      </c>
    </row>
    <row r="12512" spans="8:8" hidden="1" x14ac:dyDescent="0.35">
      <c r="H12512" s="83">
        <f t="shared" si="242"/>
        <v>0</v>
      </c>
    </row>
    <row r="12513" spans="8:8" hidden="1" x14ac:dyDescent="0.35">
      <c r="H12513" s="83">
        <f t="shared" si="242"/>
        <v>0</v>
      </c>
    </row>
    <row r="12514" spans="8:8" hidden="1" x14ac:dyDescent="0.35">
      <c r="H12514" s="83">
        <f t="shared" si="242"/>
        <v>0</v>
      </c>
    </row>
    <row r="12515" spans="8:8" hidden="1" x14ac:dyDescent="0.35">
      <c r="H12515" s="83">
        <f t="shared" si="242"/>
        <v>0</v>
      </c>
    </row>
    <row r="12516" spans="8:8" hidden="1" x14ac:dyDescent="0.35">
      <c r="H12516" s="83">
        <f t="shared" si="242"/>
        <v>0</v>
      </c>
    </row>
    <row r="12517" spans="8:8" hidden="1" x14ac:dyDescent="0.35">
      <c r="H12517" s="83">
        <f t="shared" si="242"/>
        <v>0</v>
      </c>
    </row>
    <row r="12518" spans="8:8" hidden="1" x14ac:dyDescent="0.35">
      <c r="H12518" s="83">
        <f t="shared" si="242"/>
        <v>0</v>
      </c>
    </row>
    <row r="12519" spans="8:8" hidden="1" x14ac:dyDescent="0.35">
      <c r="H12519" s="83">
        <f t="shared" si="242"/>
        <v>0</v>
      </c>
    </row>
    <row r="12520" spans="8:8" hidden="1" x14ac:dyDescent="0.35">
      <c r="H12520" s="83">
        <f t="shared" si="242"/>
        <v>0</v>
      </c>
    </row>
    <row r="12521" spans="8:8" hidden="1" x14ac:dyDescent="0.35">
      <c r="H12521" s="83">
        <f t="shared" si="242"/>
        <v>0</v>
      </c>
    </row>
    <row r="12522" spans="8:8" hidden="1" x14ac:dyDescent="0.35">
      <c r="H12522" s="83">
        <f t="shared" si="242"/>
        <v>0</v>
      </c>
    </row>
    <row r="12523" spans="8:8" hidden="1" x14ac:dyDescent="0.35">
      <c r="H12523" s="83">
        <f t="shared" si="242"/>
        <v>0</v>
      </c>
    </row>
    <row r="12524" spans="8:8" hidden="1" x14ac:dyDescent="0.35">
      <c r="H12524" s="83">
        <f t="shared" si="242"/>
        <v>0</v>
      </c>
    </row>
    <row r="12525" spans="8:8" hidden="1" x14ac:dyDescent="0.35">
      <c r="H12525" s="83">
        <f t="shared" si="242"/>
        <v>0</v>
      </c>
    </row>
    <row r="12526" spans="8:8" hidden="1" x14ac:dyDescent="0.35">
      <c r="H12526" s="83">
        <f t="shared" si="242"/>
        <v>0</v>
      </c>
    </row>
    <row r="12527" spans="8:8" hidden="1" x14ac:dyDescent="0.35">
      <c r="H12527" s="83">
        <f t="shared" si="242"/>
        <v>0</v>
      </c>
    </row>
    <row r="12528" spans="8:8" hidden="1" x14ac:dyDescent="0.35">
      <c r="H12528" s="83">
        <f t="shared" si="242"/>
        <v>0</v>
      </c>
    </row>
    <row r="12529" spans="8:8" hidden="1" x14ac:dyDescent="0.35">
      <c r="H12529" s="83">
        <f t="shared" si="242"/>
        <v>0</v>
      </c>
    </row>
    <row r="12530" spans="8:8" hidden="1" x14ac:dyDescent="0.35">
      <c r="H12530" s="83">
        <f t="shared" si="242"/>
        <v>0</v>
      </c>
    </row>
    <row r="12531" spans="8:8" hidden="1" x14ac:dyDescent="0.35">
      <c r="H12531" s="83">
        <f t="shared" si="242"/>
        <v>0</v>
      </c>
    </row>
    <row r="12532" spans="8:8" hidden="1" x14ac:dyDescent="0.35">
      <c r="H12532" s="83">
        <f t="shared" si="242"/>
        <v>0</v>
      </c>
    </row>
    <row r="12533" spans="8:8" hidden="1" x14ac:dyDescent="0.35">
      <c r="H12533" s="83">
        <f t="shared" si="242"/>
        <v>0</v>
      </c>
    </row>
    <row r="12534" spans="8:8" hidden="1" x14ac:dyDescent="0.35">
      <c r="H12534" s="83">
        <f t="shared" si="242"/>
        <v>0</v>
      </c>
    </row>
    <row r="12535" spans="8:8" hidden="1" x14ac:dyDescent="0.35">
      <c r="H12535" s="83">
        <f t="shared" si="242"/>
        <v>0</v>
      </c>
    </row>
    <row r="12536" spans="8:8" hidden="1" x14ac:dyDescent="0.35">
      <c r="H12536" s="83">
        <f t="shared" si="242"/>
        <v>0</v>
      </c>
    </row>
    <row r="12537" spans="8:8" hidden="1" x14ac:dyDescent="0.35">
      <c r="H12537" s="83">
        <f t="shared" si="242"/>
        <v>0</v>
      </c>
    </row>
    <row r="12538" spans="8:8" hidden="1" x14ac:dyDescent="0.35">
      <c r="H12538" s="83">
        <f t="shared" si="242"/>
        <v>0</v>
      </c>
    </row>
    <row r="12539" spans="8:8" hidden="1" x14ac:dyDescent="0.35">
      <c r="H12539" s="83">
        <f t="shared" si="242"/>
        <v>0</v>
      </c>
    </row>
    <row r="12540" spans="8:8" hidden="1" x14ac:dyDescent="0.35">
      <c r="H12540" s="83">
        <f t="shared" si="242"/>
        <v>0</v>
      </c>
    </row>
    <row r="12541" spans="8:8" hidden="1" x14ac:dyDescent="0.35">
      <c r="H12541" s="83">
        <f t="shared" si="242"/>
        <v>0</v>
      </c>
    </row>
    <row r="12542" spans="8:8" hidden="1" x14ac:dyDescent="0.35">
      <c r="H12542" s="83">
        <f t="shared" si="242"/>
        <v>0</v>
      </c>
    </row>
    <row r="12543" spans="8:8" hidden="1" x14ac:dyDescent="0.35">
      <c r="H12543" s="83">
        <f t="shared" si="242"/>
        <v>0</v>
      </c>
    </row>
    <row r="12544" spans="8:8" hidden="1" x14ac:dyDescent="0.35">
      <c r="H12544" s="83">
        <f t="shared" si="242"/>
        <v>0</v>
      </c>
    </row>
    <row r="12545" spans="8:8" hidden="1" x14ac:dyDescent="0.35">
      <c r="H12545" s="83">
        <f t="shared" si="242"/>
        <v>0</v>
      </c>
    </row>
    <row r="12546" spans="8:8" hidden="1" x14ac:dyDescent="0.35">
      <c r="H12546" s="83">
        <f t="shared" si="242"/>
        <v>0</v>
      </c>
    </row>
    <row r="12547" spans="8:8" hidden="1" x14ac:dyDescent="0.35">
      <c r="H12547" s="83">
        <f t="shared" si="242"/>
        <v>0</v>
      </c>
    </row>
    <row r="12548" spans="8:8" hidden="1" x14ac:dyDescent="0.35">
      <c r="H12548" s="83">
        <f t="shared" ref="H12548:H12611" si="243">J12548-I12548</f>
        <v>0</v>
      </c>
    </row>
    <row r="12549" spans="8:8" hidden="1" x14ac:dyDescent="0.35">
      <c r="H12549" s="83">
        <f t="shared" si="243"/>
        <v>0</v>
      </c>
    </row>
    <row r="12550" spans="8:8" hidden="1" x14ac:dyDescent="0.35">
      <c r="H12550" s="83">
        <f t="shared" si="243"/>
        <v>0</v>
      </c>
    </row>
    <row r="12551" spans="8:8" hidden="1" x14ac:dyDescent="0.35">
      <c r="H12551" s="83">
        <f t="shared" si="243"/>
        <v>0</v>
      </c>
    </row>
    <row r="12552" spans="8:8" hidden="1" x14ac:dyDescent="0.35">
      <c r="H12552" s="83">
        <f t="shared" si="243"/>
        <v>0</v>
      </c>
    </row>
    <row r="12553" spans="8:8" hidden="1" x14ac:dyDescent="0.35">
      <c r="H12553" s="83">
        <f t="shared" si="243"/>
        <v>0</v>
      </c>
    </row>
    <row r="12554" spans="8:8" hidden="1" x14ac:dyDescent="0.35">
      <c r="H12554" s="83">
        <f t="shared" si="243"/>
        <v>0</v>
      </c>
    </row>
    <row r="12555" spans="8:8" hidden="1" x14ac:dyDescent="0.35">
      <c r="H12555" s="83">
        <f t="shared" si="243"/>
        <v>0</v>
      </c>
    </row>
    <row r="12556" spans="8:8" hidden="1" x14ac:dyDescent="0.35">
      <c r="H12556" s="83">
        <f t="shared" si="243"/>
        <v>0</v>
      </c>
    </row>
    <row r="12557" spans="8:8" hidden="1" x14ac:dyDescent="0.35">
      <c r="H12557" s="83">
        <f t="shared" si="243"/>
        <v>0</v>
      </c>
    </row>
    <row r="12558" spans="8:8" hidden="1" x14ac:dyDescent="0.35">
      <c r="H12558" s="83">
        <f t="shared" si="243"/>
        <v>0</v>
      </c>
    </row>
    <row r="12559" spans="8:8" hidden="1" x14ac:dyDescent="0.35">
      <c r="H12559" s="83">
        <f t="shared" si="243"/>
        <v>0</v>
      </c>
    </row>
    <row r="12560" spans="8:8" hidden="1" x14ac:dyDescent="0.35">
      <c r="H12560" s="83">
        <f t="shared" si="243"/>
        <v>0</v>
      </c>
    </row>
    <row r="12561" spans="8:8" hidden="1" x14ac:dyDescent="0.35">
      <c r="H12561" s="83">
        <f t="shared" si="243"/>
        <v>0</v>
      </c>
    </row>
    <row r="12562" spans="8:8" hidden="1" x14ac:dyDescent="0.35">
      <c r="H12562" s="83">
        <f t="shared" si="243"/>
        <v>0</v>
      </c>
    </row>
    <row r="12563" spans="8:8" hidden="1" x14ac:dyDescent="0.35">
      <c r="H12563" s="83">
        <f t="shared" si="243"/>
        <v>0</v>
      </c>
    </row>
    <row r="12564" spans="8:8" hidden="1" x14ac:dyDescent="0.35">
      <c r="H12564" s="83">
        <f t="shared" si="243"/>
        <v>0</v>
      </c>
    </row>
    <row r="12565" spans="8:8" hidden="1" x14ac:dyDescent="0.35">
      <c r="H12565" s="83">
        <f t="shared" si="243"/>
        <v>0</v>
      </c>
    </row>
    <row r="12566" spans="8:8" hidden="1" x14ac:dyDescent="0.35">
      <c r="H12566" s="83">
        <f t="shared" si="243"/>
        <v>0</v>
      </c>
    </row>
    <row r="12567" spans="8:8" hidden="1" x14ac:dyDescent="0.35">
      <c r="H12567" s="83">
        <f t="shared" si="243"/>
        <v>0</v>
      </c>
    </row>
    <row r="12568" spans="8:8" hidden="1" x14ac:dyDescent="0.35">
      <c r="H12568" s="83">
        <f t="shared" si="243"/>
        <v>0</v>
      </c>
    </row>
    <row r="12569" spans="8:8" hidden="1" x14ac:dyDescent="0.35">
      <c r="H12569" s="83">
        <f t="shared" si="243"/>
        <v>0</v>
      </c>
    </row>
    <row r="12570" spans="8:8" hidden="1" x14ac:dyDescent="0.35">
      <c r="H12570" s="83">
        <f t="shared" si="243"/>
        <v>0</v>
      </c>
    </row>
    <row r="12571" spans="8:8" hidden="1" x14ac:dyDescent="0.35">
      <c r="H12571" s="83">
        <f t="shared" si="243"/>
        <v>0</v>
      </c>
    </row>
    <row r="12572" spans="8:8" hidden="1" x14ac:dyDescent="0.35">
      <c r="H12572" s="83">
        <f t="shared" si="243"/>
        <v>0</v>
      </c>
    </row>
    <row r="12573" spans="8:8" hidden="1" x14ac:dyDescent="0.35">
      <c r="H12573" s="83">
        <f t="shared" si="243"/>
        <v>0</v>
      </c>
    </row>
    <row r="12574" spans="8:8" hidden="1" x14ac:dyDescent="0.35">
      <c r="H12574" s="83">
        <f t="shared" si="243"/>
        <v>0</v>
      </c>
    </row>
    <row r="12575" spans="8:8" hidden="1" x14ac:dyDescent="0.35">
      <c r="H12575" s="83">
        <f t="shared" si="243"/>
        <v>0</v>
      </c>
    </row>
    <row r="12576" spans="8:8" hidden="1" x14ac:dyDescent="0.35">
      <c r="H12576" s="83">
        <f t="shared" si="243"/>
        <v>0</v>
      </c>
    </row>
    <row r="12577" spans="8:8" hidden="1" x14ac:dyDescent="0.35">
      <c r="H12577" s="83">
        <f t="shared" si="243"/>
        <v>0</v>
      </c>
    </row>
    <row r="12578" spans="8:8" hidden="1" x14ac:dyDescent="0.35">
      <c r="H12578" s="83">
        <f t="shared" si="243"/>
        <v>0</v>
      </c>
    </row>
    <row r="12579" spans="8:8" hidden="1" x14ac:dyDescent="0.35">
      <c r="H12579" s="83">
        <f t="shared" si="243"/>
        <v>0</v>
      </c>
    </row>
    <row r="12580" spans="8:8" hidden="1" x14ac:dyDescent="0.35">
      <c r="H12580" s="83">
        <f t="shared" si="243"/>
        <v>0</v>
      </c>
    </row>
    <row r="12581" spans="8:8" hidden="1" x14ac:dyDescent="0.35">
      <c r="H12581" s="83">
        <f t="shared" si="243"/>
        <v>0</v>
      </c>
    </row>
    <row r="12582" spans="8:8" hidden="1" x14ac:dyDescent="0.35">
      <c r="H12582" s="83">
        <f t="shared" si="243"/>
        <v>0</v>
      </c>
    </row>
    <row r="12583" spans="8:8" hidden="1" x14ac:dyDescent="0.35">
      <c r="H12583" s="83">
        <f t="shared" si="243"/>
        <v>0</v>
      </c>
    </row>
    <row r="12584" spans="8:8" hidden="1" x14ac:dyDescent="0.35">
      <c r="H12584" s="83">
        <f t="shared" si="243"/>
        <v>0</v>
      </c>
    </row>
    <row r="12585" spans="8:8" hidden="1" x14ac:dyDescent="0.35">
      <c r="H12585" s="83">
        <f t="shared" si="243"/>
        <v>0</v>
      </c>
    </row>
    <row r="12586" spans="8:8" hidden="1" x14ac:dyDescent="0.35">
      <c r="H12586" s="83">
        <f t="shared" si="243"/>
        <v>0</v>
      </c>
    </row>
    <row r="12587" spans="8:8" hidden="1" x14ac:dyDescent="0.35">
      <c r="H12587" s="83">
        <f t="shared" si="243"/>
        <v>0</v>
      </c>
    </row>
    <row r="12588" spans="8:8" hidden="1" x14ac:dyDescent="0.35">
      <c r="H12588" s="83">
        <f t="shared" si="243"/>
        <v>0</v>
      </c>
    </row>
    <row r="12589" spans="8:8" hidden="1" x14ac:dyDescent="0.35">
      <c r="H12589" s="83">
        <f t="shared" si="243"/>
        <v>0</v>
      </c>
    </row>
    <row r="12590" spans="8:8" hidden="1" x14ac:dyDescent="0.35">
      <c r="H12590" s="83">
        <f t="shared" si="243"/>
        <v>0</v>
      </c>
    </row>
    <row r="12591" spans="8:8" hidden="1" x14ac:dyDescent="0.35">
      <c r="H12591" s="83">
        <f t="shared" si="243"/>
        <v>0</v>
      </c>
    </row>
    <row r="12592" spans="8:8" hidden="1" x14ac:dyDescent="0.35">
      <c r="H12592" s="83">
        <f t="shared" si="243"/>
        <v>0</v>
      </c>
    </row>
    <row r="12593" spans="8:8" hidden="1" x14ac:dyDescent="0.35">
      <c r="H12593" s="83">
        <f t="shared" si="243"/>
        <v>0</v>
      </c>
    </row>
    <row r="12594" spans="8:8" hidden="1" x14ac:dyDescent="0.35">
      <c r="H12594" s="83">
        <f t="shared" si="243"/>
        <v>0</v>
      </c>
    </row>
    <row r="12595" spans="8:8" hidden="1" x14ac:dyDescent="0.35">
      <c r="H12595" s="83">
        <f t="shared" si="243"/>
        <v>0</v>
      </c>
    </row>
    <row r="12596" spans="8:8" hidden="1" x14ac:dyDescent="0.35">
      <c r="H12596" s="83">
        <f t="shared" si="243"/>
        <v>0</v>
      </c>
    </row>
    <row r="12597" spans="8:8" hidden="1" x14ac:dyDescent="0.35">
      <c r="H12597" s="83">
        <f t="shared" si="243"/>
        <v>0</v>
      </c>
    </row>
    <row r="12598" spans="8:8" hidden="1" x14ac:dyDescent="0.35">
      <c r="H12598" s="83">
        <f t="shared" si="243"/>
        <v>0</v>
      </c>
    </row>
    <row r="12599" spans="8:8" hidden="1" x14ac:dyDescent="0.35">
      <c r="H12599" s="83">
        <f t="shared" si="243"/>
        <v>0</v>
      </c>
    </row>
    <row r="12600" spans="8:8" hidden="1" x14ac:dyDescent="0.35">
      <c r="H12600" s="83">
        <f t="shared" si="243"/>
        <v>0</v>
      </c>
    </row>
    <row r="12601" spans="8:8" hidden="1" x14ac:dyDescent="0.35">
      <c r="H12601" s="83">
        <f t="shared" si="243"/>
        <v>0</v>
      </c>
    </row>
    <row r="12602" spans="8:8" hidden="1" x14ac:dyDescent="0.35">
      <c r="H12602" s="83">
        <f t="shared" si="243"/>
        <v>0</v>
      </c>
    </row>
    <row r="12603" spans="8:8" hidden="1" x14ac:dyDescent="0.35">
      <c r="H12603" s="83">
        <f t="shared" si="243"/>
        <v>0</v>
      </c>
    </row>
    <row r="12604" spans="8:8" hidden="1" x14ac:dyDescent="0.35">
      <c r="H12604" s="83">
        <f t="shared" si="243"/>
        <v>0</v>
      </c>
    </row>
    <row r="12605" spans="8:8" hidden="1" x14ac:dyDescent="0.35">
      <c r="H12605" s="83">
        <f t="shared" si="243"/>
        <v>0</v>
      </c>
    </row>
    <row r="12606" spans="8:8" hidden="1" x14ac:dyDescent="0.35">
      <c r="H12606" s="83">
        <f t="shared" si="243"/>
        <v>0</v>
      </c>
    </row>
    <row r="12607" spans="8:8" hidden="1" x14ac:dyDescent="0.35">
      <c r="H12607" s="83">
        <f t="shared" si="243"/>
        <v>0</v>
      </c>
    </row>
    <row r="12608" spans="8:8" hidden="1" x14ac:dyDescent="0.35">
      <c r="H12608" s="83">
        <f t="shared" si="243"/>
        <v>0</v>
      </c>
    </row>
    <row r="12609" spans="8:8" hidden="1" x14ac:dyDescent="0.35">
      <c r="H12609" s="83">
        <f t="shared" si="243"/>
        <v>0</v>
      </c>
    </row>
    <row r="12610" spans="8:8" hidden="1" x14ac:dyDescent="0.35">
      <c r="H12610" s="83">
        <f t="shared" si="243"/>
        <v>0</v>
      </c>
    </row>
    <row r="12611" spans="8:8" hidden="1" x14ac:dyDescent="0.35">
      <c r="H12611" s="83">
        <f t="shared" si="243"/>
        <v>0</v>
      </c>
    </row>
    <row r="12612" spans="8:8" hidden="1" x14ac:dyDescent="0.35">
      <c r="H12612" s="83">
        <f t="shared" ref="H12612:H12675" si="244">J12612-I12612</f>
        <v>0</v>
      </c>
    </row>
    <row r="12613" spans="8:8" hidden="1" x14ac:dyDescent="0.35">
      <c r="H12613" s="83">
        <f t="shared" si="244"/>
        <v>0</v>
      </c>
    </row>
    <row r="12614" spans="8:8" hidden="1" x14ac:dyDescent="0.35">
      <c r="H12614" s="83">
        <f t="shared" si="244"/>
        <v>0</v>
      </c>
    </row>
    <row r="12615" spans="8:8" hidden="1" x14ac:dyDescent="0.35">
      <c r="H12615" s="83">
        <f t="shared" si="244"/>
        <v>0</v>
      </c>
    </row>
    <row r="12616" spans="8:8" hidden="1" x14ac:dyDescent="0.35">
      <c r="H12616" s="83">
        <f t="shared" si="244"/>
        <v>0</v>
      </c>
    </row>
    <row r="12617" spans="8:8" hidden="1" x14ac:dyDescent="0.35">
      <c r="H12617" s="83">
        <f t="shared" si="244"/>
        <v>0</v>
      </c>
    </row>
    <row r="12618" spans="8:8" hidden="1" x14ac:dyDescent="0.35">
      <c r="H12618" s="83">
        <f t="shared" si="244"/>
        <v>0</v>
      </c>
    </row>
    <row r="12619" spans="8:8" hidden="1" x14ac:dyDescent="0.35">
      <c r="H12619" s="83">
        <f t="shared" si="244"/>
        <v>0</v>
      </c>
    </row>
    <row r="12620" spans="8:8" hidden="1" x14ac:dyDescent="0.35">
      <c r="H12620" s="83">
        <f t="shared" si="244"/>
        <v>0</v>
      </c>
    </row>
    <row r="12621" spans="8:8" hidden="1" x14ac:dyDescent="0.35">
      <c r="H12621" s="83">
        <f t="shared" si="244"/>
        <v>0</v>
      </c>
    </row>
    <row r="12622" spans="8:8" hidden="1" x14ac:dyDescent="0.35">
      <c r="H12622" s="83">
        <f t="shared" si="244"/>
        <v>0</v>
      </c>
    </row>
    <row r="12623" spans="8:8" hidden="1" x14ac:dyDescent="0.35">
      <c r="H12623" s="83">
        <f t="shared" si="244"/>
        <v>0</v>
      </c>
    </row>
    <row r="12624" spans="8:8" hidden="1" x14ac:dyDescent="0.35">
      <c r="H12624" s="83">
        <f t="shared" si="244"/>
        <v>0</v>
      </c>
    </row>
    <row r="12625" spans="8:8" hidden="1" x14ac:dyDescent="0.35">
      <c r="H12625" s="83">
        <f t="shared" si="244"/>
        <v>0</v>
      </c>
    </row>
    <row r="12626" spans="8:8" hidden="1" x14ac:dyDescent="0.35">
      <c r="H12626" s="83">
        <f t="shared" si="244"/>
        <v>0</v>
      </c>
    </row>
    <row r="12627" spans="8:8" hidden="1" x14ac:dyDescent="0.35">
      <c r="H12627" s="83">
        <f t="shared" si="244"/>
        <v>0</v>
      </c>
    </row>
    <row r="12628" spans="8:8" hidden="1" x14ac:dyDescent="0.35">
      <c r="H12628" s="83">
        <f t="shared" si="244"/>
        <v>0</v>
      </c>
    </row>
    <row r="12629" spans="8:8" hidden="1" x14ac:dyDescent="0.35">
      <c r="H12629" s="83">
        <f t="shared" si="244"/>
        <v>0</v>
      </c>
    </row>
    <row r="12630" spans="8:8" hidden="1" x14ac:dyDescent="0.35">
      <c r="H12630" s="83">
        <f t="shared" si="244"/>
        <v>0</v>
      </c>
    </row>
    <row r="12631" spans="8:8" hidden="1" x14ac:dyDescent="0.35">
      <c r="H12631" s="83">
        <f t="shared" si="244"/>
        <v>0</v>
      </c>
    </row>
    <row r="12632" spans="8:8" hidden="1" x14ac:dyDescent="0.35">
      <c r="H12632" s="83">
        <f t="shared" si="244"/>
        <v>0</v>
      </c>
    </row>
    <row r="12633" spans="8:8" hidden="1" x14ac:dyDescent="0.35">
      <c r="H12633" s="83">
        <f t="shared" si="244"/>
        <v>0</v>
      </c>
    </row>
    <row r="12634" spans="8:8" hidden="1" x14ac:dyDescent="0.35">
      <c r="H12634" s="83">
        <f t="shared" si="244"/>
        <v>0</v>
      </c>
    </row>
    <row r="12635" spans="8:8" hidden="1" x14ac:dyDescent="0.35">
      <c r="H12635" s="83">
        <f t="shared" si="244"/>
        <v>0</v>
      </c>
    </row>
    <row r="12636" spans="8:8" hidden="1" x14ac:dyDescent="0.35">
      <c r="H12636" s="83">
        <f t="shared" si="244"/>
        <v>0</v>
      </c>
    </row>
    <row r="12637" spans="8:8" hidden="1" x14ac:dyDescent="0.35">
      <c r="H12637" s="83">
        <f t="shared" si="244"/>
        <v>0</v>
      </c>
    </row>
    <row r="12638" spans="8:8" hidden="1" x14ac:dyDescent="0.35">
      <c r="H12638" s="83">
        <f t="shared" si="244"/>
        <v>0</v>
      </c>
    </row>
    <row r="12639" spans="8:8" hidden="1" x14ac:dyDescent="0.35">
      <c r="H12639" s="83">
        <f t="shared" si="244"/>
        <v>0</v>
      </c>
    </row>
    <row r="12640" spans="8:8" hidden="1" x14ac:dyDescent="0.35">
      <c r="H12640" s="83">
        <f t="shared" si="244"/>
        <v>0</v>
      </c>
    </row>
    <row r="12641" spans="8:8" hidden="1" x14ac:dyDescent="0.35">
      <c r="H12641" s="83">
        <f t="shared" si="244"/>
        <v>0</v>
      </c>
    </row>
    <row r="12642" spans="8:8" hidden="1" x14ac:dyDescent="0.35">
      <c r="H12642" s="83">
        <f t="shared" si="244"/>
        <v>0</v>
      </c>
    </row>
    <row r="12643" spans="8:8" hidden="1" x14ac:dyDescent="0.35">
      <c r="H12643" s="83">
        <f t="shared" si="244"/>
        <v>0</v>
      </c>
    </row>
    <row r="12644" spans="8:8" hidden="1" x14ac:dyDescent="0.35">
      <c r="H12644" s="83">
        <f t="shared" si="244"/>
        <v>0</v>
      </c>
    </row>
    <row r="12645" spans="8:8" hidden="1" x14ac:dyDescent="0.35">
      <c r="H12645" s="83">
        <f t="shared" si="244"/>
        <v>0</v>
      </c>
    </row>
    <row r="12646" spans="8:8" hidden="1" x14ac:dyDescent="0.35">
      <c r="H12646" s="83">
        <f t="shared" si="244"/>
        <v>0</v>
      </c>
    </row>
    <row r="12647" spans="8:8" hidden="1" x14ac:dyDescent="0.35">
      <c r="H12647" s="83">
        <f t="shared" si="244"/>
        <v>0</v>
      </c>
    </row>
    <row r="12648" spans="8:8" hidden="1" x14ac:dyDescent="0.35">
      <c r="H12648" s="83">
        <f t="shared" si="244"/>
        <v>0</v>
      </c>
    </row>
    <row r="12649" spans="8:8" hidden="1" x14ac:dyDescent="0.35">
      <c r="H12649" s="83">
        <f t="shared" si="244"/>
        <v>0</v>
      </c>
    </row>
    <row r="12650" spans="8:8" hidden="1" x14ac:dyDescent="0.35">
      <c r="H12650" s="83">
        <f t="shared" si="244"/>
        <v>0</v>
      </c>
    </row>
    <row r="12651" spans="8:8" hidden="1" x14ac:dyDescent="0.35">
      <c r="H12651" s="83">
        <f t="shared" si="244"/>
        <v>0</v>
      </c>
    </row>
    <row r="12652" spans="8:8" hidden="1" x14ac:dyDescent="0.35">
      <c r="H12652" s="83">
        <f t="shared" si="244"/>
        <v>0</v>
      </c>
    </row>
    <row r="12653" spans="8:8" hidden="1" x14ac:dyDescent="0.35">
      <c r="H12653" s="83">
        <f t="shared" si="244"/>
        <v>0</v>
      </c>
    </row>
    <row r="12654" spans="8:8" hidden="1" x14ac:dyDescent="0.35">
      <c r="H12654" s="83">
        <f t="shared" si="244"/>
        <v>0</v>
      </c>
    </row>
    <row r="12655" spans="8:8" hidden="1" x14ac:dyDescent="0.35">
      <c r="H12655" s="83">
        <f t="shared" si="244"/>
        <v>0</v>
      </c>
    </row>
    <row r="12656" spans="8:8" hidden="1" x14ac:dyDescent="0.35">
      <c r="H12656" s="83">
        <f t="shared" si="244"/>
        <v>0</v>
      </c>
    </row>
    <row r="12657" spans="8:8" hidden="1" x14ac:dyDescent="0.35">
      <c r="H12657" s="83">
        <f t="shared" si="244"/>
        <v>0</v>
      </c>
    </row>
    <row r="12658" spans="8:8" hidden="1" x14ac:dyDescent="0.35">
      <c r="H12658" s="83">
        <f t="shared" si="244"/>
        <v>0</v>
      </c>
    </row>
    <row r="12659" spans="8:8" hidden="1" x14ac:dyDescent="0.35">
      <c r="H12659" s="83">
        <f t="shared" si="244"/>
        <v>0</v>
      </c>
    </row>
    <row r="12660" spans="8:8" hidden="1" x14ac:dyDescent="0.35">
      <c r="H12660" s="83">
        <f t="shared" si="244"/>
        <v>0</v>
      </c>
    </row>
    <row r="12661" spans="8:8" hidden="1" x14ac:dyDescent="0.35">
      <c r="H12661" s="83">
        <f t="shared" si="244"/>
        <v>0</v>
      </c>
    </row>
    <row r="12662" spans="8:8" hidden="1" x14ac:dyDescent="0.35">
      <c r="H12662" s="83">
        <f t="shared" si="244"/>
        <v>0</v>
      </c>
    </row>
    <row r="12663" spans="8:8" hidden="1" x14ac:dyDescent="0.35">
      <c r="H12663" s="83">
        <f t="shared" si="244"/>
        <v>0</v>
      </c>
    </row>
    <row r="12664" spans="8:8" hidden="1" x14ac:dyDescent="0.35">
      <c r="H12664" s="83">
        <f t="shared" si="244"/>
        <v>0</v>
      </c>
    </row>
    <row r="12665" spans="8:8" hidden="1" x14ac:dyDescent="0.35">
      <c r="H12665" s="83">
        <f t="shared" si="244"/>
        <v>0</v>
      </c>
    </row>
    <row r="12666" spans="8:8" hidden="1" x14ac:dyDescent="0.35">
      <c r="H12666" s="83">
        <f t="shared" si="244"/>
        <v>0</v>
      </c>
    </row>
    <row r="12667" spans="8:8" hidden="1" x14ac:dyDescent="0.35">
      <c r="H12667" s="83">
        <f t="shared" si="244"/>
        <v>0</v>
      </c>
    </row>
    <row r="12668" spans="8:8" hidden="1" x14ac:dyDescent="0.35">
      <c r="H12668" s="83">
        <f t="shared" si="244"/>
        <v>0</v>
      </c>
    </row>
    <row r="12669" spans="8:8" hidden="1" x14ac:dyDescent="0.35">
      <c r="H12669" s="83">
        <f t="shared" si="244"/>
        <v>0</v>
      </c>
    </row>
    <row r="12670" spans="8:8" hidden="1" x14ac:dyDescent="0.35">
      <c r="H12670" s="83">
        <f t="shared" si="244"/>
        <v>0</v>
      </c>
    </row>
    <row r="12671" spans="8:8" hidden="1" x14ac:dyDescent="0.35">
      <c r="H12671" s="83">
        <f t="shared" si="244"/>
        <v>0</v>
      </c>
    </row>
    <row r="12672" spans="8:8" hidden="1" x14ac:dyDescent="0.35">
      <c r="H12672" s="83">
        <f t="shared" si="244"/>
        <v>0</v>
      </c>
    </row>
    <row r="12673" spans="8:8" hidden="1" x14ac:dyDescent="0.35">
      <c r="H12673" s="83">
        <f t="shared" si="244"/>
        <v>0</v>
      </c>
    </row>
    <row r="12674" spans="8:8" hidden="1" x14ac:dyDescent="0.35">
      <c r="H12674" s="83">
        <f t="shared" si="244"/>
        <v>0</v>
      </c>
    </row>
    <row r="12675" spans="8:8" hidden="1" x14ac:dyDescent="0.35">
      <c r="H12675" s="83">
        <f t="shared" si="244"/>
        <v>0</v>
      </c>
    </row>
    <row r="12676" spans="8:8" hidden="1" x14ac:dyDescent="0.35">
      <c r="H12676" s="83">
        <f t="shared" ref="H12676:H12739" si="245">J12676-I12676</f>
        <v>0</v>
      </c>
    </row>
    <row r="12677" spans="8:8" hidden="1" x14ac:dyDescent="0.35">
      <c r="H12677" s="83">
        <f t="shared" si="245"/>
        <v>0</v>
      </c>
    </row>
    <row r="12678" spans="8:8" hidden="1" x14ac:dyDescent="0.35">
      <c r="H12678" s="83">
        <f t="shared" si="245"/>
        <v>0</v>
      </c>
    </row>
    <row r="12679" spans="8:8" hidden="1" x14ac:dyDescent="0.35">
      <c r="H12679" s="83">
        <f t="shared" si="245"/>
        <v>0</v>
      </c>
    </row>
    <row r="12680" spans="8:8" hidden="1" x14ac:dyDescent="0.35">
      <c r="H12680" s="83">
        <f t="shared" si="245"/>
        <v>0</v>
      </c>
    </row>
    <row r="12681" spans="8:8" hidden="1" x14ac:dyDescent="0.35">
      <c r="H12681" s="83">
        <f t="shared" si="245"/>
        <v>0</v>
      </c>
    </row>
    <row r="12682" spans="8:8" hidden="1" x14ac:dyDescent="0.35">
      <c r="H12682" s="83">
        <f t="shared" si="245"/>
        <v>0</v>
      </c>
    </row>
    <row r="12683" spans="8:8" hidden="1" x14ac:dyDescent="0.35">
      <c r="H12683" s="83">
        <f t="shared" si="245"/>
        <v>0</v>
      </c>
    </row>
    <row r="12684" spans="8:8" hidden="1" x14ac:dyDescent="0.35">
      <c r="H12684" s="83">
        <f t="shared" si="245"/>
        <v>0</v>
      </c>
    </row>
    <row r="12685" spans="8:8" hidden="1" x14ac:dyDescent="0.35">
      <c r="H12685" s="83">
        <f t="shared" si="245"/>
        <v>0</v>
      </c>
    </row>
    <row r="12686" spans="8:8" hidden="1" x14ac:dyDescent="0.35">
      <c r="H12686" s="83">
        <f t="shared" si="245"/>
        <v>0</v>
      </c>
    </row>
    <row r="12687" spans="8:8" hidden="1" x14ac:dyDescent="0.35">
      <c r="H12687" s="83">
        <f t="shared" si="245"/>
        <v>0</v>
      </c>
    </row>
    <row r="12688" spans="8:8" hidden="1" x14ac:dyDescent="0.35">
      <c r="H12688" s="83">
        <f t="shared" si="245"/>
        <v>0</v>
      </c>
    </row>
    <row r="12689" spans="8:8" hidden="1" x14ac:dyDescent="0.35">
      <c r="H12689" s="83">
        <f t="shared" si="245"/>
        <v>0</v>
      </c>
    </row>
    <row r="12690" spans="8:8" hidden="1" x14ac:dyDescent="0.35">
      <c r="H12690" s="83">
        <f t="shared" si="245"/>
        <v>0</v>
      </c>
    </row>
    <row r="12691" spans="8:8" hidden="1" x14ac:dyDescent="0.35">
      <c r="H12691" s="83">
        <f t="shared" si="245"/>
        <v>0</v>
      </c>
    </row>
    <row r="12692" spans="8:8" hidden="1" x14ac:dyDescent="0.35">
      <c r="H12692" s="83">
        <f t="shared" si="245"/>
        <v>0</v>
      </c>
    </row>
    <row r="12693" spans="8:8" hidden="1" x14ac:dyDescent="0.35">
      <c r="H12693" s="83">
        <f t="shared" si="245"/>
        <v>0</v>
      </c>
    </row>
    <row r="12694" spans="8:8" hidden="1" x14ac:dyDescent="0.35">
      <c r="H12694" s="83">
        <f t="shared" si="245"/>
        <v>0</v>
      </c>
    </row>
    <row r="12695" spans="8:8" hidden="1" x14ac:dyDescent="0.35">
      <c r="H12695" s="83">
        <f t="shared" si="245"/>
        <v>0</v>
      </c>
    </row>
    <row r="12696" spans="8:8" hidden="1" x14ac:dyDescent="0.35">
      <c r="H12696" s="83">
        <f t="shared" si="245"/>
        <v>0</v>
      </c>
    </row>
    <row r="12697" spans="8:8" hidden="1" x14ac:dyDescent="0.35">
      <c r="H12697" s="83">
        <f t="shared" si="245"/>
        <v>0</v>
      </c>
    </row>
    <row r="12698" spans="8:8" hidden="1" x14ac:dyDescent="0.35">
      <c r="H12698" s="83">
        <f t="shared" si="245"/>
        <v>0</v>
      </c>
    </row>
    <row r="12699" spans="8:8" hidden="1" x14ac:dyDescent="0.35">
      <c r="H12699" s="83">
        <f t="shared" si="245"/>
        <v>0</v>
      </c>
    </row>
    <row r="12700" spans="8:8" hidden="1" x14ac:dyDescent="0.35">
      <c r="H12700" s="83">
        <f t="shared" si="245"/>
        <v>0</v>
      </c>
    </row>
    <row r="12701" spans="8:8" hidden="1" x14ac:dyDescent="0.35">
      <c r="H12701" s="83">
        <f t="shared" si="245"/>
        <v>0</v>
      </c>
    </row>
    <row r="12702" spans="8:8" hidden="1" x14ac:dyDescent="0.35">
      <c r="H12702" s="83">
        <f t="shared" si="245"/>
        <v>0</v>
      </c>
    </row>
    <row r="12703" spans="8:8" hidden="1" x14ac:dyDescent="0.35">
      <c r="H12703" s="83">
        <f t="shared" si="245"/>
        <v>0</v>
      </c>
    </row>
    <row r="12704" spans="8:8" hidden="1" x14ac:dyDescent="0.35">
      <c r="H12704" s="83">
        <f t="shared" si="245"/>
        <v>0</v>
      </c>
    </row>
    <row r="12705" spans="8:8" hidden="1" x14ac:dyDescent="0.35">
      <c r="H12705" s="83">
        <f t="shared" si="245"/>
        <v>0</v>
      </c>
    </row>
    <row r="12706" spans="8:8" hidden="1" x14ac:dyDescent="0.35">
      <c r="H12706" s="83">
        <f t="shared" si="245"/>
        <v>0</v>
      </c>
    </row>
    <row r="12707" spans="8:8" hidden="1" x14ac:dyDescent="0.35">
      <c r="H12707" s="83">
        <f t="shared" si="245"/>
        <v>0</v>
      </c>
    </row>
    <row r="12708" spans="8:8" hidden="1" x14ac:dyDescent="0.35">
      <c r="H12708" s="83">
        <f t="shared" si="245"/>
        <v>0</v>
      </c>
    </row>
    <row r="12709" spans="8:8" hidden="1" x14ac:dyDescent="0.35">
      <c r="H12709" s="83">
        <f t="shared" si="245"/>
        <v>0</v>
      </c>
    </row>
    <row r="12710" spans="8:8" hidden="1" x14ac:dyDescent="0.35">
      <c r="H12710" s="83">
        <f t="shared" si="245"/>
        <v>0</v>
      </c>
    </row>
    <row r="12711" spans="8:8" hidden="1" x14ac:dyDescent="0.35">
      <c r="H12711" s="83">
        <f t="shared" si="245"/>
        <v>0</v>
      </c>
    </row>
    <row r="12712" spans="8:8" hidden="1" x14ac:dyDescent="0.35">
      <c r="H12712" s="83">
        <f t="shared" si="245"/>
        <v>0</v>
      </c>
    </row>
    <row r="12713" spans="8:8" hidden="1" x14ac:dyDescent="0.35">
      <c r="H12713" s="83">
        <f t="shared" si="245"/>
        <v>0</v>
      </c>
    </row>
    <row r="12714" spans="8:8" hidden="1" x14ac:dyDescent="0.35">
      <c r="H12714" s="83">
        <f t="shared" si="245"/>
        <v>0</v>
      </c>
    </row>
    <row r="12715" spans="8:8" hidden="1" x14ac:dyDescent="0.35">
      <c r="H12715" s="83">
        <f t="shared" si="245"/>
        <v>0</v>
      </c>
    </row>
    <row r="12716" spans="8:8" hidden="1" x14ac:dyDescent="0.35">
      <c r="H12716" s="83">
        <f t="shared" si="245"/>
        <v>0</v>
      </c>
    </row>
    <row r="12717" spans="8:8" hidden="1" x14ac:dyDescent="0.35">
      <c r="H12717" s="83">
        <f t="shared" si="245"/>
        <v>0</v>
      </c>
    </row>
    <row r="12718" spans="8:8" hidden="1" x14ac:dyDescent="0.35">
      <c r="H12718" s="83">
        <f t="shared" si="245"/>
        <v>0</v>
      </c>
    </row>
    <row r="12719" spans="8:8" hidden="1" x14ac:dyDescent="0.35">
      <c r="H12719" s="83">
        <f t="shared" si="245"/>
        <v>0</v>
      </c>
    </row>
    <row r="12720" spans="8:8" hidden="1" x14ac:dyDescent="0.35">
      <c r="H12720" s="83">
        <f t="shared" si="245"/>
        <v>0</v>
      </c>
    </row>
    <row r="12721" spans="8:8" hidden="1" x14ac:dyDescent="0.35">
      <c r="H12721" s="83">
        <f t="shared" si="245"/>
        <v>0</v>
      </c>
    </row>
    <row r="12722" spans="8:8" hidden="1" x14ac:dyDescent="0.35">
      <c r="H12722" s="83">
        <f t="shared" si="245"/>
        <v>0</v>
      </c>
    </row>
    <row r="12723" spans="8:8" hidden="1" x14ac:dyDescent="0.35">
      <c r="H12723" s="83">
        <f t="shared" si="245"/>
        <v>0</v>
      </c>
    </row>
    <row r="12724" spans="8:8" hidden="1" x14ac:dyDescent="0.35">
      <c r="H12724" s="83">
        <f t="shared" si="245"/>
        <v>0</v>
      </c>
    </row>
    <row r="12725" spans="8:8" hidden="1" x14ac:dyDescent="0.35">
      <c r="H12725" s="83">
        <f t="shared" si="245"/>
        <v>0</v>
      </c>
    </row>
    <row r="12726" spans="8:8" hidden="1" x14ac:dyDescent="0.35">
      <c r="H12726" s="83">
        <f t="shared" si="245"/>
        <v>0</v>
      </c>
    </row>
    <row r="12727" spans="8:8" hidden="1" x14ac:dyDescent="0.35">
      <c r="H12727" s="83">
        <f t="shared" si="245"/>
        <v>0</v>
      </c>
    </row>
    <row r="12728" spans="8:8" hidden="1" x14ac:dyDescent="0.35">
      <c r="H12728" s="83">
        <f t="shared" si="245"/>
        <v>0</v>
      </c>
    </row>
    <row r="12729" spans="8:8" hidden="1" x14ac:dyDescent="0.35">
      <c r="H12729" s="83">
        <f t="shared" si="245"/>
        <v>0</v>
      </c>
    </row>
    <row r="12730" spans="8:8" hidden="1" x14ac:dyDescent="0.35">
      <c r="H12730" s="83">
        <f t="shared" si="245"/>
        <v>0</v>
      </c>
    </row>
    <row r="12731" spans="8:8" hidden="1" x14ac:dyDescent="0.35">
      <c r="H12731" s="83">
        <f t="shared" si="245"/>
        <v>0</v>
      </c>
    </row>
    <row r="12732" spans="8:8" hidden="1" x14ac:dyDescent="0.35">
      <c r="H12732" s="83">
        <f t="shared" si="245"/>
        <v>0</v>
      </c>
    </row>
    <row r="12733" spans="8:8" hidden="1" x14ac:dyDescent="0.35">
      <c r="H12733" s="83">
        <f t="shared" si="245"/>
        <v>0</v>
      </c>
    </row>
    <row r="12734" spans="8:8" hidden="1" x14ac:dyDescent="0.35">
      <c r="H12734" s="83">
        <f t="shared" si="245"/>
        <v>0</v>
      </c>
    </row>
    <row r="12735" spans="8:8" hidden="1" x14ac:dyDescent="0.35">
      <c r="H12735" s="83">
        <f t="shared" si="245"/>
        <v>0</v>
      </c>
    </row>
    <row r="12736" spans="8:8" hidden="1" x14ac:dyDescent="0.35">
      <c r="H12736" s="83">
        <f t="shared" si="245"/>
        <v>0</v>
      </c>
    </row>
    <row r="12737" spans="8:8" hidden="1" x14ac:dyDescent="0.35">
      <c r="H12737" s="83">
        <f t="shared" si="245"/>
        <v>0</v>
      </c>
    </row>
    <row r="12738" spans="8:8" hidden="1" x14ac:dyDescent="0.35">
      <c r="H12738" s="83">
        <f t="shared" si="245"/>
        <v>0</v>
      </c>
    </row>
    <row r="12739" spans="8:8" hidden="1" x14ac:dyDescent="0.35">
      <c r="H12739" s="83">
        <f t="shared" si="245"/>
        <v>0</v>
      </c>
    </row>
    <row r="12740" spans="8:8" hidden="1" x14ac:dyDescent="0.35">
      <c r="H12740" s="83">
        <f t="shared" ref="H12740:H12803" si="246">J12740-I12740</f>
        <v>0</v>
      </c>
    </row>
    <row r="12741" spans="8:8" hidden="1" x14ac:dyDescent="0.35">
      <c r="H12741" s="83">
        <f t="shared" si="246"/>
        <v>0</v>
      </c>
    </row>
    <row r="12742" spans="8:8" hidden="1" x14ac:dyDescent="0.35">
      <c r="H12742" s="83">
        <f t="shared" si="246"/>
        <v>0</v>
      </c>
    </row>
    <row r="12743" spans="8:8" hidden="1" x14ac:dyDescent="0.35">
      <c r="H12743" s="83">
        <f t="shared" si="246"/>
        <v>0</v>
      </c>
    </row>
    <row r="12744" spans="8:8" hidden="1" x14ac:dyDescent="0.35">
      <c r="H12744" s="83">
        <f t="shared" si="246"/>
        <v>0</v>
      </c>
    </row>
    <row r="12745" spans="8:8" hidden="1" x14ac:dyDescent="0.35">
      <c r="H12745" s="83">
        <f t="shared" si="246"/>
        <v>0</v>
      </c>
    </row>
    <row r="12746" spans="8:8" hidden="1" x14ac:dyDescent="0.35">
      <c r="H12746" s="83">
        <f t="shared" si="246"/>
        <v>0</v>
      </c>
    </row>
    <row r="12747" spans="8:8" hidden="1" x14ac:dyDescent="0.35">
      <c r="H12747" s="83">
        <f t="shared" si="246"/>
        <v>0</v>
      </c>
    </row>
    <row r="12748" spans="8:8" hidden="1" x14ac:dyDescent="0.35">
      <c r="H12748" s="83">
        <f t="shared" si="246"/>
        <v>0</v>
      </c>
    </row>
    <row r="12749" spans="8:8" hidden="1" x14ac:dyDescent="0.35">
      <c r="H12749" s="83">
        <f t="shared" si="246"/>
        <v>0</v>
      </c>
    </row>
    <row r="12750" spans="8:8" hidden="1" x14ac:dyDescent="0.35">
      <c r="H12750" s="83">
        <f t="shared" si="246"/>
        <v>0</v>
      </c>
    </row>
    <row r="12751" spans="8:8" hidden="1" x14ac:dyDescent="0.35">
      <c r="H12751" s="83">
        <f t="shared" si="246"/>
        <v>0</v>
      </c>
    </row>
    <row r="12752" spans="8:8" hidden="1" x14ac:dyDescent="0.35">
      <c r="H12752" s="83">
        <f t="shared" si="246"/>
        <v>0</v>
      </c>
    </row>
    <row r="12753" spans="8:8" hidden="1" x14ac:dyDescent="0.35">
      <c r="H12753" s="83">
        <f t="shared" si="246"/>
        <v>0</v>
      </c>
    </row>
    <row r="12754" spans="8:8" hidden="1" x14ac:dyDescent="0.35">
      <c r="H12754" s="83">
        <f t="shared" si="246"/>
        <v>0</v>
      </c>
    </row>
    <row r="12755" spans="8:8" hidden="1" x14ac:dyDescent="0.35">
      <c r="H12755" s="83">
        <f t="shared" si="246"/>
        <v>0</v>
      </c>
    </row>
    <row r="12756" spans="8:8" hidden="1" x14ac:dyDescent="0.35">
      <c r="H12756" s="83">
        <f t="shared" si="246"/>
        <v>0</v>
      </c>
    </row>
    <row r="12757" spans="8:8" hidden="1" x14ac:dyDescent="0.35">
      <c r="H12757" s="83">
        <f t="shared" si="246"/>
        <v>0</v>
      </c>
    </row>
    <row r="12758" spans="8:8" hidden="1" x14ac:dyDescent="0.35">
      <c r="H12758" s="83">
        <f t="shared" si="246"/>
        <v>0</v>
      </c>
    </row>
    <row r="12759" spans="8:8" hidden="1" x14ac:dyDescent="0.35">
      <c r="H12759" s="83">
        <f t="shared" si="246"/>
        <v>0</v>
      </c>
    </row>
    <row r="12760" spans="8:8" hidden="1" x14ac:dyDescent="0.35">
      <c r="H12760" s="83">
        <f t="shared" si="246"/>
        <v>0</v>
      </c>
    </row>
    <row r="12761" spans="8:8" hidden="1" x14ac:dyDescent="0.35">
      <c r="H12761" s="83">
        <f t="shared" si="246"/>
        <v>0</v>
      </c>
    </row>
    <row r="12762" spans="8:8" hidden="1" x14ac:dyDescent="0.35">
      <c r="H12762" s="83">
        <f t="shared" si="246"/>
        <v>0</v>
      </c>
    </row>
    <row r="12763" spans="8:8" hidden="1" x14ac:dyDescent="0.35">
      <c r="H12763" s="83">
        <f t="shared" si="246"/>
        <v>0</v>
      </c>
    </row>
    <row r="12764" spans="8:8" hidden="1" x14ac:dyDescent="0.35">
      <c r="H12764" s="83">
        <f t="shared" si="246"/>
        <v>0</v>
      </c>
    </row>
    <row r="12765" spans="8:8" hidden="1" x14ac:dyDescent="0.35">
      <c r="H12765" s="83">
        <f t="shared" si="246"/>
        <v>0</v>
      </c>
    </row>
    <row r="12766" spans="8:8" hidden="1" x14ac:dyDescent="0.35">
      <c r="H12766" s="83">
        <f t="shared" si="246"/>
        <v>0</v>
      </c>
    </row>
    <row r="12767" spans="8:8" hidden="1" x14ac:dyDescent="0.35">
      <c r="H12767" s="83">
        <f t="shared" si="246"/>
        <v>0</v>
      </c>
    </row>
    <row r="12768" spans="8:8" hidden="1" x14ac:dyDescent="0.35">
      <c r="H12768" s="83">
        <f t="shared" si="246"/>
        <v>0</v>
      </c>
    </row>
    <row r="12769" spans="8:8" hidden="1" x14ac:dyDescent="0.35">
      <c r="H12769" s="83">
        <f t="shared" si="246"/>
        <v>0</v>
      </c>
    </row>
    <row r="12770" spans="8:8" hidden="1" x14ac:dyDescent="0.35">
      <c r="H12770" s="83">
        <f t="shared" si="246"/>
        <v>0</v>
      </c>
    </row>
    <row r="12771" spans="8:8" hidden="1" x14ac:dyDescent="0.35">
      <c r="H12771" s="83">
        <f t="shared" si="246"/>
        <v>0</v>
      </c>
    </row>
    <row r="12772" spans="8:8" hidden="1" x14ac:dyDescent="0.35">
      <c r="H12772" s="83">
        <f t="shared" si="246"/>
        <v>0</v>
      </c>
    </row>
    <row r="12773" spans="8:8" hidden="1" x14ac:dyDescent="0.35">
      <c r="H12773" s="83">
        <f t="shared" si="246"/>
        <v>0</v>
      </c>
    </row>
    <row r="12774" spans="8:8" hidden="1" x14ac:dyDescent="0.35">
      <c r="H12774" s="83">
        <f t="shared" si="246"/>
        <v>0</v>
      </c>
    </row>
    <row r="12775" spans="8:8" hidden="1" x14ac:dyDescent="0.35">
      <c r="H12775" s="83">
        <f t="shared" si="246"/>
        <v>0</v>
      </c>
    </row>
    <row r="12776" spans="8:8" hidden="1" x14ac:dyDescent="0.35">
      <c r="H12776" s="83">
        <f t="shared" si="246"/>
        <v>0</v>
      </c>
    </row>
    <row r="12777" spans="8:8" hidden="1" x14ac:dyDescent="0.35">
      <c r="H12777" s="83">
        <f t="shared" si="246"/>
        <v>0</v>
      </c>
    </row>
    <row r="12778" spans="8:8" hidden="1" x14ac:dyDescent="0.35">
      <c r="H12778" s="83">
        <f t="shared" si="246"/>
        <v>0</v>
      </c>
    </row>
    <row r="12779" spans="8:8" hidden="1" x14ac:dyDescent="0.35">
      <c r="H12779" s="83">
        <f t="shared" si="246"/>
        <v>0</v>
      </c>
    </row>
    <row r="12780" spans="8:8" hidden="1" x14ac:dyDescent="0.35">
      <c r="H12780" s="83">
        <f t="shared" si="246"/>
        <v>0</v>
      </c>
    </row>
    <row r="12781" spans="8:8" hidden="1" x14ac:dyDescent="0.35">
      <c r="H12781" s="83">
        <f t="shared" si="246"/>
        <v>0</v>
      </c>
    </row>
    <row r="12782" spans="8:8" hidden="1" x14ac:dyDescent="0.35">
      <c r="H12782" s="83">
        <f t="shared" si="246"/>
        <v>0</v>
      </c>
    </row>
    <row r="12783" spans="8:8" hidden="1" x14ac:dyDescent="0.35">
      <c r="H12783" s="83">
        <f t="shared" si="246"/>
        <v>0</v>
      </c>
    </row>
    <row r="12784" spans="8:8" hidden="1" x14ac:dyDescent="0.35">
      <c r="H12784" s="83">
        <f t="shared" si="246"/>
        <v>0</v>
      </c>
    </row>
    <row r="12785" spans="8:8" hidden="1" x14ac:dyDescent="0.35">
      <c r="H12785" s="83">
        <f t="shared" si="246"/>
        <v>0</v>
      </c>
    </row>
    <row r="12786" spans="8:8" hidden="1" x14ac:dyDescent="0.35">
      <c r="H12786" s="83">
        <f t="shared" si="246"/>
        <v>0</v>
      </c>
    </row>
    <row r="12787" spans="8:8" hidden="1" x14ac:dyDescent="0.35">
      <c r="H12787" s="83">
        <f t="shared" si="246"/>
        <v>0</v>
      </c>
    </row>
    <row r="12788" spans="8:8" hidden="1" x14ac:dyDescent="0.35">
      <c r="H12788" s="83">
        <f t="shared" si="246"/>
        <v>0</v>
      </c>
    </row>
    <row r="12789" spans="8:8" hidden="1" x14ac:dyDescent="0.35">
      <c r="H12789" s="83">
        <f t="shared" si="246"/>
        <v>0</v>
      </c>
    </row>
    <row r="12790" spans="8:8" hidden="1" x14ac:dyDescent="0.35">
      <c r="H12790" s="83">
        <f t="shared" si="246"/>
        <v>0</v>
      </c>
    </row>
    <row r="12791" spans="8:8" hidden="1" x14ac:dyDescent="0.35">
      <c r="H12791" s="83">
        <f t="shared" si="246"/>
        <v>0</v>
      </c>
    </row>
    <row r="12792" spans="8:8" hidden="1" x14ac:dyDescent="0.35">
      <c r="H12792" s="83">
        <f t="shared" si="246"/>
        <v>0</v>
      </c>
    </row>
    <row r="12793" spans="8:8" hidden="1" x14ac:dyDescent="0.35">
      <c r="H12793" s="83">
        <f t="shared" si="246"/>
        <v>0</v>
      </c>
    </row>
    <row r="12794" spans="8:8" hidden="1" x14ac:dyDescent="0.35">
      <c r="H12794" s="83">
        <f t="shared" si="246"/>
        <v>0</v>
      </c>
    </row>
    <row r="12795" spans="8:8" hidden="1" x14ac:dyDescent="0.35">
      <c r="H12795" s="83">
        <f t="shared" si="246"/>
        <v>0</v>
      </c>
    </row>
    <row r="12796" spans="8:8" hidden="1" x14ac:dyDescent="0.35">
      <c r="H12796" s="83">
        <f t="shared" si="246"/>
        <v>0</v>
      </c>
    </row>
    <row r="12797" spans="8:8" hidden="1" x14ac:dyDescent="0.35">
      <c r="H12797" s="83">
        <f t="shared" si="246"/>
        <v>0</v>
      </c>
    </row>
    <row r="12798" spans="8:8" hidden="1" x14ac:dyDescent="0.35">
      <c r="H12798" s="83">
        <f t="shared" si="246"/>
        <v>0</v>
      </c>
    </row>
    <row r="12799" spans="8:8" hidden="1" x14ac:dyDescent="0.35">
      <c r="H12799" s="83">
        <f t="shared" si="246"/>
        <v>0</v>
      </c>
    </row>
    <row r="12800" spans="8:8" hidden="1" x14ac:dyDescent="0.35">
      <c r="H12800" s="83">
        <f t="shared" si="246"/>
        <v>0</v>
      </c>
    </row>
    <row r="12801" spans="8:8" hidden="1" x14ac:dyDescent="0.35">
      <c r="H12801" s="83">
        <f t="shared" si="246"/>
        <v>0</v>
      </c>
    </row>
    <row r="12802" spans="8:8" hidden="1" x14ac:dyDescent="0.35">
      <c r="H12802" s="83">
        <f t="shared" si="246"/>
        <v>0</v>
      </c>
    </row>
    <row r="12803" spans="8:8" hidden="1" x14ac:dyDescent="0.35">
      <c r="H12803" s="83">
        <f t="shared" si="246"/>
        <v>0</v>
      </c>
    </row>
    <row r="12804" spans="8:8" hidden="1" x14ac:dyDescent="0.35">
      <c r="H12804" s="83">
        <f t="shared" ref="H12804:H12867" si="247">J12804-I12804</f>
        <v>0</v>
      </c>
    </row>
    <row r="12805" spans="8:8" hidden="1" x14ac:dyDescent="0.35">
      <c r="H12805" s="83">
        <f t="shared" si="247"/>
        <v>0</v>
      </c>
    </row>
    <row r="12806" spans="8:8" hidden="1" x14ac:dyDescent="0.35">
      <c r="H12806" s="83">
        <f t="shared" si="247"/>
        <v>0</v>
      </c>
    </row>
    <row r="12807" spans="8:8" hidden="1" x14ac:dyDescent="0.35">
      <c r="H12807" s="83">
        <f t="shared" si="247"/>
        <v>0</v>
      </c>
    </row>
    <row r="12808" spans="8:8" hidden="1" x14ac:dyDescent="0.35">
      <c r="H12808" s="83">
        <f t="shared" si="247"/>
        <v>0</v>
      </c>
    </row>
    <row r="12809" spans="8:8" hidden="1" x14ac:dyDescent="0.35">
      <c r="H12809" s="83">
        <f t="shared" si="247"/>
        <v>0</v>
      </c>
    </row>
    <row r="12810" spans="8:8" hidden="1" x14ac:dyDescent="0.35">
      <c r="H12810" s="83">
        <f t="shared" si="247"/>
        <v>0</v>
      </c>
    </row>
    <row r="12811" spans="8:8" hidden="1" x14ac:dyDescent="0.35">
      <c r="H12811" s="83">
        <f t="shared" si="247"/>
        <v>0</v>
      </c>
    </row>
    <row r="12812" spans="8:8" hidden="1" x14ac:dyDescent="0.35">
      <c r="H12812" s="83">
        <f t="shared" si="247"/>
        <v>0</v>
      </c>
    </row>
    <row r="12813" spans="8:8" hidden="1" x14ac:dyDescent="0.35">
      <c r="H12813" s="83">
        <f t="shared" si="247"/>
        <v>0</v>
      </c>
    </row>
    <row r="12814" spans="8:8" hidden="1" x14ac:dyDescent="0.35">
      <c r="H12814" s="83">
        <f t="shared" si="247"/>
        <v>0</v>
      </c>
    </row>
    <row r="12815" spans="8:8" hidden="1" x14ac:dyDescent="0.35">
      <c r="H12815" s="83">
        <f t="shared" si="247"/>
        <v>0</v>
      </c>
    </row>
    <row r="12816" spans="8:8" hidden="1" x14ac:dyDescent="0.35">
      <c r="H12816" s="83">
        <f t="shared" si="247"/>
        <v>0</v>
      </c>
    </row>
    <row r="12817" spans="8:8" hidden="1" x14ac:dyDescent="0.35">
      <c r="H12817" s="83">
        <f t="shared" si="247"/>
        <v>0</v>
      </c>
    </row>
    <row r="12818" spans="8:8" hidden="1" x14ac:dyDescent="0.35">
      <c r="H12818" s="83">
        <f t="shared" si="247"/>
        <v>0</v>
      </c>
    </row>
    <row r="12819" spans="8:8" hidden="1" x14ac:dyDescent="0.35">
      <c r="H12819" s="83">
        <f t="shared" si="247"/>
        <v>0</v>
      </c>
    </row>
    <row r="12820" spans="8:8" hidden="1" x14ac:dyDescent="0.35">
      <c r="H12820" s="83">
        <f t="shared" si="247"/>
        <v>0</v>
      </c>
    </row>
    <row r="12821" spans="8:8" hidden="1" x14ac:dyDescent="0.35">
      <c r="H12821" s="83">
        <f t="shared" si="247"/>
        <v>0</v>
      </c>
    </row>
    <row r="12822" spans="8:8" hidden="1" x14ac:dyDescent="0.35">
      <c r="H12822" s="83">
        <f t="shared" si="247"/>
        <v>0</v>
      </c>
    </row>
    <row r="12823" spans="8:8" hidden="1" x14ac:dyDescent="0.35">
      <c r="H12823" s="83">
        <f t="shared" si="247"/>
        <v>0</v>
      </c>
    </row>
    <row r="12824" spans="8:8" hidden="1" x14ac:dyDescent="0.35">
      <c r="H12824" s="83">
        <f t="shared" si="247"/>
        <v>0</v>
      </c>
    </row>
    <row r="12825" spans="8:8" hidden="1" x14ac:dyDescent="0.35">
      <c r="H12825" s="83">
        <f t="shared" si="247"/>
        <v>0</v>
      </c>
    </row>
    <row r="12826" spans="8:8" hidden="1" x14ac:dyDescent="0.35">
      <c r="H12826" s="83">
        <f t="shared" si="247"/>
        <v>0</v>
      </c>
    </row>
    <row r="12827" spans="8:8" hidden="1" x14ac:dyDescent="0.35">
      <c r="H12827" s="83">
        <f t="shared" si="247"/>
        <v>0</v>
      </c>
    </row>
    <row r="12828" spans="8:8" hidden="1" x14ac:dyDescent="0.35">
      <c r="H12828" s="83">
        <f t="shared" si="247"/>
        <v>0</v>
      </c>
    </row>
    <row r="12829" spans="8:8" hidden="1" x14ac:dyDescent="0.35">
      <c r="H12829" s="83">
        <f t="shared" si="247"/>
        <v>0</v>
      </c>
    </row>
    <row r="12830" spans="8:8" hidden="1" x14ac:dyDescent="0.35">
      <c r="H12830" s="83">
        <f t="shared" si="247"/>
        <v>0</v>
      </c>
    </row>
    <row r="12831" spans="8:8" hidden="1" x14ac:dyDescent="0.35">
      <c r="H12831" s="83">
        <f t="shared" si="247"/>
        <v>0</v>
      </c>
    </row>
    <row r="12832" spans="8:8" hidden="1" x14ac:dyDescent="0.35">
      <c r="H12832" s="83">
        <f t="shared" si="247"/>
        <v>0</v>
      </c>
    </row>
    <row r="12833" spans="8:8" hidden="1" x14ac:dyDescent="0.35">
      <c r="H12833" s="83">
        <f t="shared" si="247"/>
        <v>0</v>
      </c>
    </row>
    <row r="12834" spans="8:8" hidden="1" x14ac:dyDescent="0.35">
      <c r="H12834" s="83">
        <f t="shared" si="247"/>
        <v>0</v>
      </c>
    </row>
    <row r="12835" spans="8:8" hidden="1" x14ac:dyDescent="0.35">
      <c r="H12835" s="83">
        <f t="shared" si="247"/>
        <v>0</v>
      </c>
    </row>
    <row r="12836" spans="8:8" hidden="1" x14ac:dyDescent="0.35">
      <c r="H12836" s="83">
        <f t="shared" si="247"/>
        <v>0</v>
      </c>
    </row>
    <row r="12837" spans="8:8" hidden="1" x14ac:dyDescent="0.35">
      <c r="H12837" s="83">
        <f t="shared" si="247"/>
        <v>0</v>
      </c>
    </row>
    <row r="12838" spans="8:8" hidden="1" x14ac:dyDescent="0.35">
      <c r="H12838" s="83">
        <f t="shared" si="247"/>
        <v>0</v>
      </c>
    </row>
    <row r="12839" spans="8:8" hidden="1" x14ac:dyDescent="0.35">
      <c r="H12839" s="83">
        <f t="shared" si="247"/>
        <v>0</v>
      </c>
    </row>
    <row r="12840" spans="8:8" hidden="1" x14ac:dyDescent="0.35">
      <c r="H12840" s="83">
        <f t="shared" si="247"/>
        <v>0</v>
      </c>
    </row>
    <row r="12841" spans="8:8" hidden="1" x14ac:dyDescent="0.35">
      <c r="H12841" s="83">
        <f t="shared" si="247"/>
        <v>0</v>
      </c>
    </row>
    <row r="12842" spans="8:8" hidden="1" x14ac:dyDescent="0.35">
      <c r="H12842" s="83">
        <f t="shared" si="247"/>
        <v>0</v>
      </c>
    </row>
    <row r="12843" spans="8:8" hidden="1" x14ac:dyDescent="0.35">
      <c r="H12843" s="83">
        <f t="shared" si="247"/>
        <v>0</v>
      </c>
    </row>
    <row r="12844" spans="8:8" hidden="1" x14ac:dyDescent="0.35">
      <c r="H12844" s="83">
        <f t="shared" si="247"/>
        <v>0</v>
      </c>
    </row>
    <row r="12845" spans="8:8" hidden="1" x14ac:dyDescent="0.35">
      <c r="H12845" s="83">
        <f t="shared" si="247"/>
        <v>0</v>
      </c>
    </row>
    <row r="12846" spans="8:8" hidden="1" x14ac:dyDescent="0.35">
      <c r="H12846" s="83">
        <f t="shared" si="247"/>
        <v>0</v>
      </c>
    </row>
    <row r="12847" spans="8:8" hidden="1" x14ac:dyDescent="0.35">
      <c r="H12847" s="83">
        <f t="shared" si="247"/>
        <v>0</v>
      </c>
    </row>
    <row r="12848" spans="8:8" hidden="1" x14ac:dyDescent="0.35">
      <c r="H12848" s="83">
        <f t="shared" si="247"/>
        <v>0</v>
      </c>
    </row>
    <row r="12849" spans="8:8" hidden="1" x14ac:dyDescent="0.35">
      <c r="H12849" s="83">
        <f t="shared" si="247"/>
        <v>0</v>
      </c>
    </row>
    <row r="12850" spans="8:8" hidden="1" x14ac:dyDescent="0.35">
      <c r="H12850" s="83">
        <f t="shared" si="247"/>
        <v>0</v>
      </c>
    </row>
    <row r="12851" spans="8:8" hidden="1" x14ac:dyDescent="0.35">
      <c r="H12851" s="83">
        <f t="shared" si="247"/>
        <v>0</v>
      </c>
    </row>
    <row r="12852" spans="8:8" hidden="1" x14ac:dyDescent="0.35">
      <c r="H12852" s="83">
        <f t="shared" si="247"/>
        <v>0</v>
      </c>
    </row>
    <row r="12853" spans="8:8" hidden="1" x14ac:dyDescent="0.35">
      <c r="H12853" s="83">
        <f t="shared" si="247"/>
        <v>0</v>
      </c>
    </row>
    <row r="12854" spans="8:8" hidden="1" x14ac:dyDescent="0.35">
      <c r="H12854" s="83">
        <f t="shared" si="247"/>
        <v>0</v>
      </c>
    </row>
    <row r="12855" spans="8:8" hidden="1" x14ac:dyDescent="0.35">
      <c r="H12855" s="83">
        <f t="shared" si="247"/>
        <v>0</v>
      </c>
    </row>
    <row r="12856" spans="8:8" hidden="1" x14ac:dyDescent="0.35">
      <c r="H12856" s="83">
        <f t="shared" si="247"/>
        <v>0</v>
      </c>
    </row>
    <row r="12857" spans="8:8" hidden="1" x14ac:dyDescent="0.35">
      <c r="H12857" s="83">
        <f t="shared" si="247"/>
        <v>0</v>
      </c>
    </row>
    <row r="12858" spans="8:8" hidden="1" x14ac:dyDescent="0.35">
      <c r="H12858" s="83">
        <f t="shared" si="247"/>
        <v>0</v>
      </c>
    </row>
    <row r="12859" spans="8:8" hidden="1" x14ac:dyDescent="0.35">
      <c r="H12859" s="83">
        <f t="shared" si="247"/>
        <v>0</v>
      </c>
    </row>
    <row r="12860" spans="8:8" hidden="1" x14ac:dyDescent="0.35">
      <c r="H12860" s="83">
        <f t="shared" si="247"/>
        <v>0</v>
      </c>
    </row>
    <row r="12861" spans="8:8" hidden="1" x14ac:dyDescent="0.35">
      <c r="H12861" s="83">
        <f t="shared" si="247"/>
        <v>0</v>
      </c>
    </row>
    <row r="12862" spans="8:8" hidden="1" x14ac:dyDescent="0.35">
      <c r="H12862" s="83">
        <f t="shared" si="247"/>
        <v>0</v>
      </c>
    </row>
    <row r="12863" spans="8:8" hidden="1" x14ac:dyDescent="0.35">
      <c r="H12863" s="83">
        <f t="shared" si="247"/>
        <v>0</v>
      </c>
    </row>
    <row r="12864" spans="8:8" hidden="1" x14ac:dyDescent="0.35">
      <c r="H12864" s="83">
        <f t="shared" si="247"/>
        <v>0</v>
      </c>
    </row>
    <row r="12865" spans="8:8" hidden="1" x14ac:dyDescent="0.35">
      <c r="H12865" s="83">
        <f t="shared" si="247"/>
        <v>0</v>
      </c>
    </row>
    <row r="12866" spans="8:8" hidden="1" x14ac:dyDescent="0.35">
      <c r="H12866" s="83">
        <f t="shared" si="247"/>
        <v>0</v>
      </c>
    </row>
    <row r="12867" spans="8:8" hidden="1" x14ac:dyDescent="0.35">
      <c r="H12867" s="83">
        <f t="shared" si="247"/>
        <v>0</v>
      </c>
    </row>
    <row r="12868" spans="8:8" hidden="1" x14ac:dyDescent="0.35">
      <c r="H12868" s="83">
        <f t="shared" ref="H12868:H12931" si="248">J12868-I12868</f>
        <v>0</v>
      </c>
    </row>
    <row r="12869" spans="8:8" hidden="1" x14ac:dyDescent="0.35">
      <c r="H12869" s="83">
        <f t="shared" si="248"/>
        <v>0</v>
      </c>
    </row>
    <row r="12870" spans="8:8" hidden="1" x14ac:dyDescent="0.35">
      <c r="H12870" s="83">
        <f t="shared" si="248"/>
        <v>0</v>
      </c>
    </row>
    <row r="12871" spans="8:8" hidden="1" x14ac:dyDescent="0.35">
      <c r="H12871" s="83">
        <f t="shared" si="248"/>
        <v>0</v>
      </c>
    </row>
    <row r="12872" spans="8:8" hidden="1" x14ac:dyDescent="0.35">
      <c r="H12872" s="83">
        <f t="shared" si="248"/>
        <v>0</v>
      </c>
    </row>
    <row r="12873" spans="8:8" hidden="1" x14ac:dyDescent="0.35">
      <c r="H12873" s="83">
        <f t="shared" si="248"/>
        <v>0</v>
      </c>
    </row>
    <row r="12874" spans="8:8" hidden="1" x14ac:dyDescent="0.35">
      <c r="H12874" s="83">
        <f t="shared" si="248"/>
        <v>0</v>
      </c>
    </row>
    <row r="12875" spans="8:8" hidden="1" x14ac:dyDescent="0.35">
      <c r="H12875" s="83">
        <f t="shared" si="248"/>
        <v>0</v>
      </c>
    </row>
    <row r="12876" spans="8:8" hidden="1" x14ac:dyDescent="0.35">
      <c r="H12876" s="83">
        <f t="shared" si="248"/>
        <v>0</v>
      </c>
    </row>
    <row r="12877" spans="8:8" hidden="1" x14ac:dyDescent="0.35">
      <c r="H12877" s="83">
        <f t="shared" si="248"/>
        <v>0</v>
      </c>
    </row>
    <row r="12878" spans="8:8" hidden="1" x14ac:dyDescent="0.35">
      <c r="H12878" s="83">
        <f t="shared" si="248"/>
        <v>0</v>
      </c>
    </row>
    <row r="12879" spans="8:8" hidden="1" x14ac:dyDescent="0.35">
      <c r="H12879" s="83">
        <f t="shared" si="248"/>
        <v>0</v>
      </c>
    </row>
    <row r="12880" spans="8:8" hidden="1" x14ac:dyDescent="0.35">
      <c r="H12880" s="83">
        <f t="shared" si="248"/>
        <v>0</v>
      </c>
    </row>
    <row r="12881" spans="8:8" hidden="1" x14ac:dyDescent="0.35">
      <c r="H12881" s="83">
        <f t="shared" si="248"/>
        <v>0</v>
      </c>
    </row>
    <row r="12882" spans="8:8" hidden="1" x14ac:dyDescent="0.35">
      <c r="H12882" s="83">
        <f t="shared" si="248"/>
        <v>0</v>
      </c>
    </row>
    <row r="12883" spans="8:8" hidden="1" x14ac:dyDescent="0.35">
      <c r="H12883" s="83">
        <f t="shared" si="248"/>
        <v>0</v>
      </c>
    </row>
    <row r="12884" spans="8:8" hidden="1" x14ac:dyDescent="0.35">
      <c r="H12884" s="83">
        <f t="shared" si="248"/>
        <v>0</v>
      </c>
    </row>
    <row r="12885" spans="8:8" hidden="1" x14ac:dyDescent="0.35">
      <c r="H12885" s="83">
        <f t="shared" si="248"/>
        <v>0</v>
      </c>
    </row>
    <row r="12886" spans="8:8" hidden="1" x14ac:dyDescent="0.35">
      <c r="H12886" s="83">
        <f t="shared" si="248"/>
        <v>0</v>
      </c>
    </row>
    <row r="12887" spans="8:8" hidden="1" x14ac:dyDescent="0.35">
      <c r="H12887" s="83">
        <f t="shared" si="248"/>
        <v>0</v>
      </c>
    </row>
    <row r="12888" spans="8:8" hidden="1" x14ac:dyDescent="0.35">
      <c r="H12888" s="83">
        <f t="shared" si="248"/>
        <v>0</v>
      </c>
    </row>
    <row r="12889" spans="8:8" hidden="1" x14ac:dyDescent="0.35">
      <c r="H12889" s="83">
        <f t="shared" si="248"/>
        <v>0</v>
      </c>
    </row>
    <row r="12890" spans="8:8" hidden="1" x14ac:dyDescent="0.35">
      <c r="H12890" s="83">
        <f t="shared" si="248"/>
        <v>0</v>
      </c>
    </row>
    <row r="12891" spans="8:8" hidden="1" x14ac:dyDescent="0.35">
      <c r="H12891" s="83">
        <f t="shared" si="248"/>
        <v>0</v>
      </c>
    </row>
    <row r="12892" spans="8:8" hidden="1" x14ac:dyDescent="0.35">
      <c r="H12892" s="83">
        <f t="shared" si="248"/>
        <v>0</v>
      </c>
    </row>
    <row r="12893" spans="8:8" hidden="1" x14ac:dyDescent="0.35">
      <c r="H12893" s="83">
        <f t="shared" si="248"/>
        <v>0</v>
      </c>
    </row>
    <row r="12894" spans="8:8" hidden="1" x14ac:dyDescent="0.35">
      <c r="H12894" s="83">
        <f t="shared" si="248"/>
        <v>0</v>
      </c>
    </row>
    <row r="12895" spans="8:8" hidden="1" x14ac:dyDescent="0.35">
      <c r="H12895" s="83">
        <f t="shared" si="248"/>
        <v>0</v>
      </c>
    </row>
    <row r="12896" spans="8:8" hidden="1" x14ac:dyDescent="0.35">
      <c r="H12896" s="83">
        <f t="shared" si="248"/>
        <v>0</v>
      </c>
    </row>
    <row r="12897" spans="8:8" hidden="1" x14ac:dyDescent="0.35">
      <c r="H12897" s="83">
        <f t="shared" si="248"/>
        <v>0</v>
      </c>
    </row>
    <row r="12898" spans="8:8" hidden="1" x14ac:dyDescent="0.35">
      <c r="H12898" s="83">
        <f t="shared" si="248"/>
        <v>0</v>
      </c>
    </row>
    <row r="12899" spans="8:8" hidden="1" x14ac:dyDescent="0.35">
      <c r="H12899" s="83">
        <f t="shared" si="248"/>
        <v>0</v>
      </c>
    </row>
    <row r="12900" spans="8:8" hidden="1" x14ac:dyDescent="0.35">
      <c r="H12900" s="83">
        <f t="shared" si="248"/>
        <v>0</v>
      </c>
    </row>
    <row r="12901" spans="8:8" hidden="1" x14ac:dyDescent="0.35">
      <c r="H12901" s="83">
        <f t="shared" si="248"/>
        <v>0</v>
      </c>
    </row>
    <row r="12902" spans="8:8" hidden="1" x14ac:dyDescent="0.35">
      <c r="H12902" s="83">
        <f t="shared" si="248"/>
        <v>0</v>
      </c>
    </row>
    <row r="12903" spans="8:8" hidden="1" x14ac:dyDescent="0.35">
      <c r="H12903" s="83">
        <f t="shared" si="248"/>
        <v>0</v>
      </c>
    </row>
    <row r="12904" spans="8:8" hidden="1" x14ac:dyDescent="0.35">
      <c r="H12904" s="83">
        <f t="shared" si="248"/>
        <v>0</v>
      </c>
    </row>
    <row r="12905" spans="8:8" hidden="1" x14ac:dyDescent="0.35">
      <c r="H12905" s="83">
        <f t="shared" si="248"/>
        <v>0</v>
      </c>
    </row>
    <row r="12906" spans="8:8" hidden="1" x14ac:dyDescent="0.35">
      <c r="H12906" s="83">
        <f t="shared" si="248"/>
        <v>0</v>
      </c>
    </row>
    <row r="12907" spans="8:8" hidden="1" x14ac:dyDescent="0.35">
      <c r="H12907" s="83">
        <f t="shared" si="248"/>
        <v>0</v>
      </c>
    </row>
    <row r="12908" spans="8:8" hidden="1" x14ac:dyDescent="0.35">
      <c r="H12908" s="83">
        <f t="shared" si="248"/>
        <v>0</v>
      </c>
    </row>
    <row r="12909" spans="8:8" hidden="1" x14ac:dyDescent="0.35">
      <c r="H12909" s="83">
        <f t="shared" si="248"/>
        <v>0</v>
      </c>
    </row>
    <row r="12910" spans="8:8" hidden="1" x14ac:dyDescent="0.35">
      <c r="H12910" s="83">
        <f t="shared" si="248"/>
        <v>0</v>
      </c>
    </row>
    <row r="12911" spans="8:8" hidden="1" x14ac:dyDescent="0.35">
      <c r="H12911" s="83">
        <f t="shared" si="248"/>
        <v>0</v>
      </c>
    </row>
    <row r="12912" spans="8:8" hidden="1" x14ac:dyDescent="0.35">
      <c r="H12912" s="83">
        <f t="shared" si="248"/>
        <v>0</v>
      </c>
    </row>
    <row r="12913" spans="8:8" hidden="1" x14ac:dyDescent="0.35">
      <c r="H12913" s="83">
        <f t="shared" si="248"/>
        <v>0</v>
      </c>
    </row>
    <row r="12914" spans="8:8" hidden="1" x14ac:dyDescent="0.35">
      <c r="H12914" s="83">
        <f t="shared" si="248"/>
        <v>0</v>
      </c>
    </row>
    <row r="12915" spans="8:8" hidden="1" x14ac:dyDescent="0.35">
      <c r="H12915" s="83">
        <f t="shared" si="248"/>
        <v>0</v>
      </c>
    </row>
    <row r="12916" spans="8:8" hidden="1" x14ac:dyDescent="0.35">
      <c r="H12916" s="83">
        <f t="shared" si="248"/>
        <v>0</v>
      </c>
    </row>
    <row r="12917" spans="8:8" hidden="1" x14ac:dyDescent="0.35">
      <c r="H12917" s="83">
        <f t="shared" si="248"/>
        <v>0</v>
      </c>
    </row>
    <row r="12918" spans="8:8" hidden="1" x14ac:dyDescent="0.35">
      <c r="H12918" s="83">
        <f t="shared" si="248"/>
        <v>0</v>
      </c>
    </row>
    <row r="12919" spans="8:8" hidden="1" x14ac:dyDescent="0.35">
      <c r="H12919" s="83">
        <f t="shared" si="248"/>
        <v>0</v>
      </c>
    </row>
    <row r="12920" spans="8:8" hidden="1" x14ac:dyDescent="0.35">
      <c r="H12920" s="83">
        <f t="shared" si="248"/>
        <v>0</v>
      </c>
    </row>
    <row r="12921" spans="8:8" hidden="1" x14ac:dyDescent="0.35">
      <c r="H12921" s="83">
        <f t="shared" si="248"/>
        <v>0</v>
      </c>
    </row>
    <row r="12922" spans="8:8" hidden="1" x14ac:dyDescent="0.35">
      <c r="H12922" s="83">
        <f t="shared" si="248"/>
        <v>0</v>
      </c>
    </row>
    <row r="12923" spans="8:8" hidden="1" x14ac:dyDescent="0.35">
      <c r="H12923" s="83">
        <f t="shared" si="248"/>
        <v>0</v>
      </c>
    </row>
    <row r="12924" spans="8:8" hidden="1" x14ac:dyDescent="0.35">
      <c r="H12924" s="83">
        <f t="shared" si="248"/>
        <v>0</v>
      </c>
    </row>
    <row r="12925" spans="8:8" hidden="1" x14ac:dyDescent="0.35">
      <c r="H12925" s="83">
        <f t="shared" si="248"/>
        <v>0</v>
      </c>
    </row>
    <row r="12926" spans="8:8" hidden="1" x14ac:dyDescent="0.35">
      <c r="H12926" s="83">
        <f t="shared" si="248"/>
        <v>0</v>
      </c>
    </row>
    <row r="12927" spans="8:8" hidden="1" x14ac:dyDescent="0.35">
      <c r="H12927" s="83">
        <f t="shared" si="248"/>
        <v>0</v>
      </c>
    </row>
    <row r="12928" spans="8:8" hidden="1" x14ac:dyDescent="0.35">
      <c r="H12928" s="83">
        <f t="shared" si="248"/>
        <v>0</v>
      </c>
    </row>
    <row r="12929" spans="8:8" hidden="1" x14ac:dyDescent="0.35">
      <c r="H12929" s="83">
        <f t="shared" si="248"/>
        <v>0</v>
      </c>
    </row>
    <row r="12930" spans="8:8" hidden="1" x14ac:dyDescent="0.35">
      <c r="H12930" s="83">
        <f t="shared" si="248"/>
        <v>0</v>
      </c>
    </row>
    <row r="12931" spans="8:8" hidden="1" x14ac:dyDescent="0.35">
      <c r="H12931" s="83">
        <f t="shared" si="248"/>
        <v>0</v>
      </c>
    </row>
    <row r="12932" spans="8:8" hidden="1" x14ac:dyDescent="0.35">
      <c r="H12932" s="83">
        <f t="shared" ref="H12932:H12995" si="249">J12932-I12932</f>
        <v>0</v>
      </c>
    </row>
    <row r="12933" spans="8:8" hidden="1" x14ac:dyDescent="0.35">
      <c r="H12933" s="83">
        <f t="shared" si="249"/>
        <v>0</v>
      </c>
    </row>
    <row r="12934" spans="8:8" hidden="1" x14ac:dyDescent="0.35">
      <c r="H12934" s="83">
        <f t="shared" si="249"/>
        <v>0</v>
      </c>
    </row>
    <row r="12935" spans="8:8" hidden="1" x14ac:dyDescent="0.35">
      <c r="H12935" s="83">
        <f t="shared" si="249"/>
        <v>0</v>
      </c>
    </row>
    <row r="12936" spans="8:8" hidden="1" x14ac:dyDescent="0.35">
      <c r="H12936" s="83">
        <f t="shared" si="249"/>
        <v>0</v>
      </c>
    </row>
    <row r="12937" spans="8:8" hidden="1" x14ac:dyDescent="0.35">
      <c r="H12937" s="83">
        <f t="shared" si="249"/>
        <v>0</v>
      </c>
    </row>
    <row r="12938" spans="8:8" hidden="1" x14ac:dyDescent="0.35">
      <c r="H12938" s="83">
        <f t="shared" si="249"/>
        <v>0</v>
      </c>
    </row>
    <row r="12939" spans="8:8" hidden="1" x14ac:dyDescent="0.35">
      <c r="H12939" s="83">
        <f t="shared" si="249"/>
        <v>0</v>
      </c>
    </row>
    <row r="12940" spans="8:8" hidden="1" x14ac:dyDescent="0.35">
      <c r="H12940" s="83">
        <f t="shared" si="249"/>
        <v>0</v>
      </c>
    </row>
    <row r="12941" spans="8:8" hidden="1" x14ac:dyDescent="0.35">
      <c r="H12941" s="83">
        <f t="shared" si="249"/>
        <v>0</v>
      </c>
    </row>
    <row r="12942" spans="8:8" hidden="1" x14ac:dyDescent="0.35">
      <c r="H12942" s="83">
        <f t="shared" si="249"/>
        <v>0</v>
      </c>
    </row>
    <row r="12943" spans="8:8" hidden="1" x14ac:dyDescent="0.35">
      <c r="H12943" s="83">
        <f t="shared" si="249"/>
        <v>0</v>
      </c>
    </row>
    <row r="12944" spans="8:8" hidden="1" x14ac:dyDescent="0.35">
      <c r="H12944" s="83">
        <f t="shared" si="249"/>
        <v>0</v>
      </c>
    </row>
    <row r="12945" spans="8:8" hidden="1" x14ac:dyDescent="0.35">
      <c r="H12945" s="83">
        <f t="shared" si="249"/>
        <v>0</v>
      </c>
    </row>
    <row r="12946" spans="8:8" hidden="1" x14ac:dyDescent="0.35">
      <c r="H12946" s="83">
        <f t="shared" si="249"/>
        <v>0</v>
      </c>
    </row>
    <row r="12947" spans="8:8" hidden="1" x14ac:dyDescent="0.35">
      <c r="H12947" s="83">
        <f t="shared" si="249"/>
        <v>0</v>
      </c>
    </row>
    <row r="12948" spans="8:8" hidden="1" x14ac:dyDescent="0.35">
      <c r="H12948" s="83">
        <f t="shared" si="249"/>
        <v>0</v>
      </c>
    </row>
    <row r="12949" spans="8:8" hidden="1" x14ac:dyDescent="0.35">
      <c r="H12949" s="83">
        <f t="shared" si="249"/>
        <v>0</v>
      </c>
    </row>
    <row r="12950" spans="8:8" hidden="1" x14ac:dyDescent="0.35">
      <c r="H12950" s="83">
        <f t="shared" si="249"/>
        <v>0</v>
      </c>
    </row>
    <row r="12951" spans="8:8" hidden="1" x14ac:dyDescent="0.35">
      <c r="H12951" s="83">
        <f t="shared" si="249"/>
        <v>0</v>
      </c>
    </row>
    <row r="12952" spans="8:8" hidden="1" x14ac:dyDescent="0.35">
      <c r="H12952" s="83">
        <f t="shared" si="249"/>
        <v>0</v>
      </c>
    </row>
    <row r="12953" spans="8:8" hidden="1" x14ac:dyDescent="0.35">
      <c r="H12953" s="83">
        <f t="shared" si="249"/>
        <v>0</v>
      </c>
    </row>
    <row r="12954" spans="8:8" hidden="1" x14ac:dyDescent="0.35">
      <c r="H12954" s="83">
        <f t="shared" si="249"/>
        <v>0</v>
      </c>
    </row>
    <row r="12955" spans="8:8" hidden="1" x14ac:dyDescent="0.35">
      <c r="H12955" s="83">
        <f t="shared" si="249"/>
        <v>0</v>
      </c>
    </row>
    <row r="12956" spans="8:8" hidden="1" x14ac:dyDescent="0.35">
      <c r="H12956" s="83">
        <f t="shared" si="249"/>
        <v>0</v>
      </c>
    </row>
    <row r="12957" spans="8:8" hidden="1" x14ac:dyDescent="0.35">
      <c r="H12957" s="83">
        <f t="shared" si="249"/>
        <v>0</v>
      </c>
    </row>
    <row r="12958" spans="8:8" hidden="1" x14ac:dyDescent="0.35">
      <c r="H12958" s="83">
        <f t="shared" si="249"/>
        <v>0</v>
      </c>
    </row>
    <row r="12959" spans="8:8" hidden="1" x14ac:dyDescent="0.35">
      <c r="H12959" s="83">
        <f t="shared" si="249"/>
        <v>0</v>
      </c>
    </row>
    <row r="12960" spans="8:8" hidden="1" x14ac:dyDescent="0.35">
      <c r="H12960" s="83">
        <f t="shared" si="249"/>
        <v>0</v>
      </c>
    </row>
    <row r="12961" spans="8:8" hidden="1" x14ac:dyDescent="0.35">
      <c r="H12961" s="83">
        <f t="shared" si="249"/>
        <v>0</v>
      </c>
    </row>
    <row r="12962" spans="8:8" hidden="1" x14ac:dyDescent="0.35">
      <c r="H12962" s="83">
        <f t="shared" si="249"/>
        <v>0</v>
      </c>
    </row>
    <row r="12963" spans="8:8" hidden="1" x14ac:dyDescent="0.35">
      <c r="H12963" s="83">
        <f t="shared" si="249"/>
        <v>0</v>
      </c>
    </row>
    <row r="12964" spans="8:8" hidden="1" x14ac:dyDescent="0.35">
      <c r="H12964" s="83">
        <f t="shared" si="249"/>
        <v>0</v>
      </c>
    </row>
    <row r="12965" spans="8:8" hidden="1" x14ac:dyDescent="0.35">
      <c r="H12965" s="83">
        <f t="shared" si="249"/>
        <v>0</v>
      </c>
    </row>
    <row r="12966" spans="8:8" hidden="1" x14ac:dyDescent="0.35">
      <c r="H12966" s="83">
        <f t="shared" si="249"/>
        <v>0</v>
      </c>
    </row>
    <row r="12967" spans="8:8" hidden="1" x14ac:dyDescent="0.35">
      <c r="H12967" s="83">
        <f t="shared" si="249"/>
        <v>0</v>
      </c>
    </row>
    <row r="12968" spans="8:8" hidden="1" x14ac:dyDescent="0.35">
      <c r="H12968" s="83">
        <f t="shared" si="249"/>
        <v>0</v>
      </c>
    </row>
    <row r="12969" spans="8:8" hidden="1" x14ac:dyDescent="0.35">
      <c r="H12969" s="83">
        <f t="shared" si="249"/>
        <v>0</v>
      </c>
    </row>
    <row r="12970" spans="8:8" hidden="1" x14ac:dyDescent="0.35">
      <c r="H12970" s="83">
        <f t="shared" si="249"/>
        <v>0</v>
      </c>
    </row>
    <row r="12971" spans="8:8" hidden="1" x14ac:dyDescent="0.35">
      <c r="H12971" s="83">
        <f t="shared" si="249"/>
        <v>0</v>
      </c>
    </row>
    <row r="12972" spans="8:8" hidden="1" x14ac:dyDescent="0.35">
      <c r="H12972" s="83">
        <f t="shared" si="249"/>
        <v>0</v>
      </c>
    </row>
    <row r="12973" spans="8:8" hidden="1" x14ac:dyDescent="0.35">
      <c r="H12973" s="83">
        <f t="shared" si="249"/>
        <v>0</v>
      </c>
    </row>
    <row r="12974" spans="8:8" hidden="1" x14ac:dyDescent="0.35">
      <c r="H12974" s="83">
        <f t="shared" si="249"/>
        <v>0</v>
      </c>
    </row>
    <row r="12975" spans="8:8" hidden="1" x14ac:dyDescent="0.35">
      <c r="H12975" s="83">
        <f t="shared" si="249"/>
        <v>0</v>
      </c>
    </row>
    <row r="12976" spans="8:8" hidden="1" x14ac:dyDescent="0.35">
      <c r="H12976" s="83">
        <f t="shared" si="249"/>
        <v>0</v>
      </c>
    </row>
    <row r="12977" spans="8:8" hidden="1" x14ac:dyDescent="0.35">
      <c r="H12977" s="83">
        <f t="shared" si="249"/>
        <v>0</v>
      </c>
    </row>
    <row r="12978" spans="8:8" hidden="1" x14ac:dyDescent="0.35">
      <c r="H12978" s="83">
        <f t="shared" si="249"/>
        <v>0</v>
      </c>
    </row>
    <row r="12979" spans="8:8" hidden="1" x14ac:dyDescent="0.35">
      <c r="H12979" s="83">
        <f t="shared" si="249"/>
        <v>0</v>
      </c>
    </row>
    <row r="12980" spans="8:8" hidden="1" x14ac:dyDescent="0.35">
      <c r="H12980" s="83">
        <f t="shared" si="249"/>
        <v>0</v>
      </c>
    </row>
    <row r="12981" spans="8:8" hidden="1" x14ac:dyDescent="0.35">
      <c r="H12981" s="83">
        <f t="shared" si="249"/>
        <v>0</v>
      </c>
    </row>
    <row r="12982" spans="8:8" hidden="1" x14ac:dyDescent="0.35">
      <c r="H12982" s="83">
        <f t="shared" si="249"/>
        <v>0</v>
      </c>
    </row>
    <row r="12983" spans="8:8" hidden="1" x14ac:dyDescent="0.35">
      <c r="H12983" s="83">
        <f t="shared" si="249"/>
        <v>0</v>
      </c>
    </row>
    <row r="12984" spans="8:8" hidden="1" x14ac:dyDescent="0.35">
      <c r="H12984" s="83">
        <f t="shared" si="249"/>
        <v>0</v>
      </c>
    </row>
    <row r="12985" spans="8:8" hidden="1" x14ac:dyDescent="0.35">
      <c r="H12985" s="83">
        <f t="shared" si="249"/>
        <v>0</v>
      </c>
    </row>
    <row r="12986" spans="8:8" hidden="1" x14ac:dyDescent="0.35">
      <c r="H12986" s="83">
        <f t="shared" si="249"/>
        <v>0</v>
      </c>
    </row>
    <row r="12987" spans="8:8" hidden="1" x14ac:dyDescent="0.35">
      <c r="H12987" s="83">
        <f t="shared" si="249"/>
        <v>0</v>
      </c>
    </row>
    <row r="12988" spans="8:8" hidden="1" x14ac:dyDescent="0.35">
      <c r="H12988" s="83">
        <f t="shared" si="249"/>
        <v>0</v>
      </c>
    </row>
    <row r="12989" spans="8:8" hidden="1" x14ac:dyDescent="0.35">
      <c r="H12989" s="83">
        <f t="shared" si="249"/>
        <v>0</v>
      </c>
    </row>
    <row r="12990" spans="8:8" hidden="1" x14ac:dyDescent="0.35">
      <c r="H12990" s="83">
        <f t="shared" si="249"/>
        <v>0</v>
      </c>
    </row>
    <row r="12991" spans="8:8" hidden="1" x14ac:dyDescent="0.35">
      <c r="H12991" s="83">
        <f t="shared" si="249"/>
        <v>0</v>
      </c>
    </row>
    <row r="12992" spans="8:8" hidden="1" x14ac:dyDescent="0.35">
      <c r="H12992" s="83">
        <f t="shared" si="249"/>
        <v>0</v>
      </c>
    </row>
    <row r="12993" spans="8:8" hidden="1" x14ac:dyDescent="0.35">
      <c r="H12993" s="83">
        <f t="shared" si="249"/>
        <v>0</v>
      </c>
    </row>
    <row r="12994" spans="8:8" hidden="1" x14ac:dyDescent="0.35">
      <c r="H12994" s="83">
        <f t="shared" si="249"/>
        <v>0</v>
      </c>
    </row>
    <row r="12995" spans="8:8" hidden="1" x14ac:dyDescent="0.35">
      <c r="H12995" s="83">
        <f t="shared" si="249"/>
        <v>0</v>
      </c>
    </row>
    <row r="12996" spans="8:8" hidden="1" x14ac:dyDescent="0.35">
      <c r="H12996" s="83">
        <f t="shared" ref="H12996:H13059" si="250">J12996-I12996</f>
        <v>0</v>
      </c>
    </row>
    <row r="12997" spans="8:8" hidden="1" x14ac:dyDescent="0.35">
      <c r="H12997" s="83">
        <f t="shared" si="250"/>
        <v>0</v>
      </c>
    </row>
    <row r="12998" spans="8:8" hidden="1" x14ac:dyDescent="0.35">
      <c r="H12998" s="83">
        <f t="shared" si="250"/>
        <v>0</v>
      </c>
    </row>
    <row r="12999" spans="8:8" hidden="1" x14ac:dyDescent="0.35">
      <c r="H12999" s="83">
        <f t="shared" si="250"/>
        <v>0</v>
      </c>
    </row>
    <row r="13000" spans="8:8" hidden="1" x14ac:dyDescent="0.35">
      <c r="H13000" s="83">
        <f t="shared" si="250"/>
        <v>0</v>
      </c>
    </row>
    <row r="13001" spans="8:8" hidden="1" x14ac:dyDescent="0.35">
      <c r="H13001" s="83">
        <f t="shared" si="250"/>
        <v>0</v>
      </c>
    </row>
    <row r="13002" spans="8:8" hidden="1" x14ac:dyDescent="0.35">
      <c r="H13002" s="83">
        <f t="shared" si="250"/>
        <v>0</v>
      </c>
    </row>
    <row r="13003" spans="8:8" hidden="1" x14ac:dyDescent="0.35">
      <c r="H13003" s="83">
        <f t="shared" si="250"/>
        <v>0</v>
      </c>
    </row>
    <row r="13004" spans="8:8" hidden="1" x14ac:dyDescent="0.35">
      <c r="H13004" s="83">
        <f t="shared" si="250"/>
        <v>0</v>
      </c>
    </row>
    <row r="13005" spans="8:8" hidden="1" x14ac:dyDescent="0.35">
      <c r="H13005" s="83">
        <f t="shared" si="250"/>
        <v>0</v>
      </c>
    </row>
    <row r="13006" spans="8:8" hidden="1" x14ac:dyDescent="0.35">
      <c r="H13006" s="83">
        <f t="shared" si="250"/>
        <v>0</v>
      </c>
    </row>
    <row r="13007" spans="8:8" hidden="1" x14ac:dyDescent="0.35">
      <c r="H13007" s="83">
        <f t="shared" si="250"/>
        <v>0</v>
      </c>
    </row>
    <row r="13008" spans="8:8" hidden="1" x14ac:dyDescent="0.35">
      <c r="H13008" s="83">
        <f t="shared" si="250"/>
        <v>0</v>
      </c>
    </row>
    <row r="13009" spans="8:8" hidden="1" x14ac:dyDescent="0.35">
      <c r="H13009" s="83">
        <f t="shared" si="250"/>
        <v>0</v>
      </c>
    </row>
    <row r="13010" spans="8:8" hidden="1" x14ac:dyDescent="0.35">
      <c r="H13010" s="83">
        <f t="shared" si="250"/>
        <v>0</v>
      </c>
    </row>
    <row r="13011" spans="8:8" hidden="1" x14ac:dyDescent="0.35">
      <c r="H13011" s="83">
        <f t="shared" si="250"/>
        <v>0</v>
      </c>
    </row>
    <row r="13012" spans="8:8" hidden="1" x14ac:dyDescent="0.35">
      <c r="H13012" s="83">
        <f t="shared" si="250"/>
        <v>0</v>
      </c>
    </row>
    <row r="13013" spans="8:8" hidden="1" x14ac:dyDescent="0.35">
      <c r="H13013" s="83">
        <f t="shared" si="250"/>
        <v>0</v>
      </c>
    </row>
    <row r="13014" spans="8:8" hidden="1" x14ac:dyDescent="0.35">
      <c r="H13014" s="83">
        <f t="shared" si="250"/>
        <v>0</v>
      </c>
    </row>
    <row r="13015" spans="8:8" hidden="1" x14ac:dyDescent="0.35">
      <c r="H13015" s="83">
        <f t="shared" si="250"/>
        <v>0</v>
      </c>
    </row>
    <row r="13016" spans="8:8" hidden="1" x14ac:dyDescent="0.35">
      <c r="H13016" s="83">
        <f t="shared" si="250"/>
        <v>0</v>
      </c>
    </row>
    <row r="13017" spans="8:8" hidden="1" x14ac:dyDescent="0.35">
      <c r="H13017" s="83">
        <f t="shared" si="250"/>
        <v>0</v>
      </c>
    </row>
    <row r="13018" spans="8:8" hidden="1" x14ac:dyDescent="0.35">
      <c r="H13018" s="83">
        <f t="shared" si="250"/>
        <v>0</v>
      </c>
    </row>
    <row r="13019" spans="8:8" hidden="1" x14ac:dyDescent="0.35">
      <c r="H13019" s="83">
        <f t="shared" si="250"/>
        <v>0</v>
      </c>
    </row>
    <row r="13020" spans="8:8" hidden="1" x14ac:dyDescent="0.35">
      <c r="H13020" s="83">
        <f t="shared" si="250"/>
        <v>0</v>
      </c>
    </row>
    <row r="13021" spans="8:8" hidden="1" x14ac:dyDescent="0.35">
      <c r="H13021" s="83">
        <f t="shared" si="250"/>
        <v>0</v>
      </c>
    </row>
    <row r="13022" spans="8:8" hidden="1" x14ac:dyDescent="0.35">
      <c r="H13022" s="83">
        <f t="shared" si="250"/>
        <v>0</v>
      </c>
    </row>
    <row r="13023" spans="8:8" hidden="1" x14ac:dyDescent="0.35">
      <c r="H13023" s="83">
        <f t="shared" si="250"/>
        <v>0</v>
      </c>
    </row>
    <row r="13024" spans="8:8" hidden="1" x14ac:dyDescent="0.35">
      <c r="H13024" s="83">
        <f t="shared" si="250"/>
        <v>0</v>
      </c>
    </row>
    <row r="13025" spans="8:8" hidden="1" x14ac:dyDescent="0.35">
      <c r="H13025" s="83">
        <f t="shared" si="250"/>
        <v>0</v>
      </c>
    </row>
    <row r="13026" spans="8:8" hidden="1" x14ac:dyDescent="0.35">
      <c r="H13026" s="83">
        <f t="shared" si="250"/>
        <v>0</v>
      </c>
    </row>
    <row r="13027" spans="8:8" hidden="1" x14ac:dyDescent="0.35">
      <c r="H13027" s="83">
        <f t="shared" si="250"/>
        <v>0</v>
      </c>
    </row>
    <row r="13028" spans="8:8" hidden="1" x14ac:dyDescent="0.35">
      <c r="H13028" s="83">
        <f t="shared" si="250"/>
        <v>0</v>
      </c>
    </row>
    <row r="13029" spans="8:8" hidden="1" x14ac:dyDescent="0.35">
      <c r="H13029" s="83">
        <f t="shared" si="250"/>
        <v>0</v>
      </c>
    </row>
    <row r="13030" spans="8:8" hidden="1" x14ac:dyDescent="0.35">
      <c r="H13030" s="83">
        <f t="shared" si="250"/>
        <v>0</v>
      </c>
    </row>
    <row r="13031" spans="8:8" hidden="1" x14ac:dyDescent="0.35">
      <c r="H13031" s="83">
        <f t="shared" si="250"/>
        <v>0</v>
      </c>
    </row>
    <row r="13032" spans="8:8" hidden="1" x14ac:dyDescent="0.35">
      <c r="H13032" s="83">
        <f t="shared" si="250"/>
        <v>0</v>
      </c>
    </row>
    <row r="13033" spans="8:8" hidden="1" x14ac:dyDescent="0.35">
      <c r="H13033" s="83">
        <f t="shared" si="250"/>
        <v>0</v>
      </c>
    </row>
    <row r="13034" spans="8:8" hidden="1" x14ac:dyDescent="0.35">
      <c r="H13034" s="83">
        <f t="shared" si="250"/>
        <v>0</v>
      </c>
    </row>
    <row r="13035" spans="8:8" hidden="1" x14ac:dyDescent="0.35">
      <c r="H13035" s="83">
        <f t="shared" si="250"/>
        <v>0</v>
      </c>
    </row>
    <row r="13036" spans="8:8" hidden="1" x14ac:dyDescent="0.35">
      <c r="H13036" s="83">
        <f t="shared" si="250"/>
        <v>0</v>
      </c>
    </row>
    <row r="13037" spans="8:8" hidden="1" x14ac:dyDescent="0.35">
      <c r="H13037" s="83">
        <f t="shared" si="250"/>
        <v>0</v>
      </c>
    </row>
    <row r="13038" spans="8:8" hidden="1" x14ac:dyDescent="0.35">
      <c r="H13038" s="83">
        <f t="shared" si="250"/>
        <v>0</v>
      </c>
    </row>
    <row r="13039" spans="8:8" hidden="1" x14ac:dyDescent="0.35">
      <c r="H13039" s="83">
        <f t="shared" si="250"/>
        <v>0</v>
      </c>
    </row>
    <row r="13040" spans="8:8" hidden="1" x14ac:dyDescent="0.35">
      <c r="H13040" s="83">
        <f t="shared" si="250"/>
        <v>0</v>
      </c>
    </row>
    <row r="13041" spans="8:8" hidden="1" x14ac:dyDescent="0.35">
      <c r="H13041" s="83">
        <f t="shared" si="250"/>
        <v>0</v>
      </c>
    </row>
    <row r="13042" spans="8:8" hidden="1" x14ac:dyDescent="0.35">
      <c r="H13042" s="83">
        <f t="shared" si="250"/>
        <v>0</v>
      </c>
    </row>
    <row r="13043" spans="8:8" hidden="1" x14ac:dyDescent="0.35">
      <c r="H13043" s="83">
        <f t="shared" si="250"/>
        <v>0</v>
      </c>
    </row>
    <row r="13044" spans="8:8" hidden="1" x14ac:dyDescent="0.35">
      <c r="H13044" s="83">
        <f t="shared" si="250"/>
        <v>0</v>
      </c>
    </row>
    <row r="13045" spans="8:8" hidden="1" x14ac:dyDescent="0.35">
      <c r="H13045" s="83">
        <f t="shared" si="250"/>
        <v>0</v>
      </c>
    </row>
    <row r="13046" spans="8:8" hidden="1" x14ac:dyDescent="0.35">
      <c r="H13046" s="83">
        <f t="shared" si="250"/>
        <v>0</v>
      </c>
    </row>
    <row r="13047" spans="8:8" hidden="1" x14ac:dyDescent="0.35">
      <c r="H13047" s="83">
        <f t="shared" si="250"/>
        <v>0</v>
      </c>
    </row>
    <row r="13048" spans="8:8" hidden="1" x14ac:dyDescent="0.35">
      <c r="H13048" s="83">
        <f t="shared" si="250"/>
        <v>0</v>
      </c>
    </row>
    <row r="13049" spans="8:8" hidden="1" x14ac:dyDescent="0.35">
      <c r="H13049" s="83">
        <f t="shared" si="250"/>
        <v>0</v>
      </c>
    </row>
    <row r="13050" spans="8:8" hidden="1" x14ac:dyDescent="0.35">
      <c r="H13050" s="83">
        <f t="shared" si="250"/>
        <v>0</v>
      </c>
    </row>
    <row r="13051" spans="8:8" hidden="1" x14ac:dyDescent="0.35">
      <c r="H13051" s="83">
        <f t="shared" si="250"/>
        <v>0</v>
      </c>
    </row>
    <row r="13052" spans="8:8" hidden="1" x14ac:dyDescent="0.35">
      <c r="H13052" s="83">
        <f t="shared" si="250"/>
        <v>0</v>
      </c>
    </row>
    <row r="13053" spans="8:8" hidden="1" x14ac:dyDescent="0.35">
      <c r="H13053" s="83">
        <f t="shared" si="250"/>
        <v>0</v>
      </c>
    </row>
    <row r="13054" spans="8:8" hidden="1" x14ac:dyDescent="0.35">
      <c r="H13054" s="83">
        <f t="shared" si="250"/>
        <v>0</v>
      </c>
    </row>
    <row r="13055" spans="8:8" hidden="1" x14ac:dyDescent="0.35">
      <c r="H13055" s="83">
        <f t="shared" si="250"/>
        <v>0</v>
      </c>
    </row>
    <row r="13056" spans="8:8" hidden="1" x14ac:dyDescent="0.35">
      <c r="H13056" s="83">
        <f t="shared" si="250"/>
        <v>0</v>
      </c>
    </row>
    <row r="13057" spans="8:8" hidden="1" x14ac:dyDescent="0.35">
      <c r="H13057" s="83">
        <f t="shared" si="250"/>
        <v>0</v>
      </c>
    </row>
    <row r="13058" spans="8:8" hidden="1" x14ac:dyDescent="0.35">
      <c r="H13058" s="83">
        <f t="shared" si="250"/>
        <v>0</v>
      </c>
    </row>
    <row r="13059" spans="8:8" hidden="1" x14ac:dyDescent="0.35">
      <c r="H13059" s="83">
        <f t="shared" si="250"/>
        <v>0</v>
      </c>
    </row>
    <row r="13060" spans="8:8" hidden="1" x14ac:dyDescent="0.35">
      <c r="H13060" s="83">
        <f t="shared" ref="H13060:H13123" si="251">J13060-I13060</f>
        <v>0</v>
      </c>
    </row>
    <row r="13061" spans="8:8" hidden="1" x14ac:dyDescent="0.35">
      <c r="H13061" s="83">
        <f t="shared" si="251"/>
        <v>0</v>
      </c>
    </row>
    <row r="13062" spans="8:8" hidden="1" x14ac:dyDescent="0.35">
      <c r="H13062" s="83">
        <f t="shared" si="251"/>
        <v>0</v>
      </c>
    </row>
    <row r="13063" spans="8:8" hidden="1" x14ac:dyDescent="0.35">
      <c r="H13063" s="83">
        <f t="shared" si="251"/>
        <v>0</v>
      </c>
    </row>
    <row r="13064" spans="8:8" hidden="1" x14ac:dyDescent="0.35">
      <c r="H13064" s="83">
        <f t="shared" si="251"/>
        <v>0</v>
      </c>
    </row>
    <row r="13065" spans="8:8" hidden="1" x14ac:dyDescent="0.35">
      <c r="H13065" s="83">
        <f t="shared" si="251"/>
        <v>0</v>
      </c>
    </row>
    <row r="13066" spans="8:8" hidden="1" x14ac:dyDescent="0.35">
      <c r="H13066" s="83">
        <f t="shared" si="251"/>
        <v>0</v>
      </c>
    </row>
    <row r="13067" spans="8:8" hidden="1" x14ac:dyDescent="0.35">
      <c r="H13067" s="83">
        <f t="shared" si="251"/>
        <v>0</v>
      </c>
    </row>
    <row r="13068" spans="8:8" hidden="1" x14ac:dyDescent="0.35">
      <c r="H13068" s="83">
        <f t="shared" si="251"/>
        <v>0</v>
      </c>
    </row>
    <row r="13069" spans="8:8" hidden="1" x14ac:dyDescent="0.35">
      <c r="H13069" s="83">
        <f t="shared" si="251"/>
        <v>0</v>
      </c>
    </row>
    <row r="13070" spans="8:8" hidden="1" x14ac:dyDescent="0.35">
      <c r="H13070" s="83">
        <f t="shared" si="251"/>
        <v>0</v>
      </c>
    </row>
    <row r="13071" spans="8:8" hidden="1" x14ac:dyDescent="0.35">
      <c r="H13071" s="83">
        <f t="shared" si="251"/>
        <v>0</v>
      </c>
    </row>
    <row r="13072" spans="8:8" hidden="1" x14ac:dyDescent="0.35">
      <c r="H13072" s="83">
        <f t="shared" si="251"/>
        <v>0</v>
      </c>
    </row>
    <row r="13073" spans="8:8" hidden="1" x14ac:dyDescent="0.35">
      <c r="H13073" s="83">
        <f t="shared" si="251"/>
        <v>0</v>
      </c>
    </row>
    <row r="13074" spans="8:8" hidden="1" x14ac:dyDescent="0.35">
      <c r="H13074" s="83">
        <f t="shared" si="251"/>
        <v>0</v>
      </c>
    </row>
    <row r="13075" spans="8:8" hidden="1" x14ac:dyDescent="0.35">
      <c r="H13075" s="83">
        <f t="shared" si="251"/>
        <v>0</v>
      </c>
    </row>
    <row r="13076" spans="8:8" hidden="1" x14ac:dyDescent="0.35">
      <c r="H13076" s="83">
        <f t="shared" si="251"/>
        <v>0</v>
      </c>
    </row>
    <row r="13077" spans="8:8" hidden="1" x14ac:dyDescent="0.35">
      <c r="H13077" s="83">
        <f t="shared" si="251"/>
        <v>0</v>
      </c>
    </row>
    <row r="13078" spans="8:8" hidden="1" x14ac:dyDescent="0.35">
      <c r="H13078" s="83">
        <f t="shared" si="251"/>
        <v>0</v>
      </c>
    </row>
    <row r="13079" spans="8:8" hidden="1" x14ac:dyDescent="0.35">
      <c r="H13079" s="83">
        <f t="shared" si="251"/>
        <v>0</v>
      </c>
    </row>
    <row r="13080" spans="8:8" hidden="1" x14ac:dyDescent="0.35">
      <c r="H13080" s="83">
        <f t="shared" si="251"/>
        <v>0</v>
      </c>
    </row>
    <row r="13081" spans="8:8" hidden="1" x14ac:dyDescent="0.35">
      <c r="H13081" s="83">
        <f t="shared" si="251"/>
        <v>0</v>
      </c>
    </row>
    <row r="13082" spans="8:8" hidden="1" x14ac:dyDescent="0.35">
      <c r="H13082" s="83">
        <f t="shared" si="251"/>
        <v>0</v>
      </c>
    </row>
    <row r="13083" spans="8:8" hidden="1" x14ac:dyDescent="0.35">
      <c r="H13083" s="83">
        <f t="shared" si="251"/>
        <v>0</v>
      </c>
    </row>
    <row r="13084" spans="8:8" hidden="1" x14ac:dyDescent="0.35">
      <c r="H13084" s="83">
        <f t="shared" si="251"/>
        <v>0</v>
      </c>
    </row>
    <row r="13085" spans="8:8" hidden="1" x14ac:dyDescent="0.35">
      <c r="H13085" s="83">
        <f t="shared" si="251"/>
        <v>0</v>
      </c>
    </row>
    <row r="13086" spans="8:8" hidden="1" x14ac:dyDescent="0.35">
      <c r="H13086" s="83">
        <f t="shared" si="251"/>
        <v>0</v>
      </c>
    </row>
    <row r="13087" spans="8:8" hidden="1" x14ac:dyDescent="0.35">
      <c r="H13087" s="83">
        <f t="shared" si="251"/>
        <v>0</v>
      </c>
    </row>
    <row r="13088" spans="8:8" hidden="1" x14ac:dyDescent="0.35">
      <c r="H13088" s="83">
        <f t="shared" si="251"/>
        <v>0</v>
      </c>
    </row>
    <row r="13089" spans="8:8" hidden="1" x14ac:dyDescent="0.35">
      <c r="H13089" s="83">
        <f t="shared" si="251"/>
        <v>0</v>
      </c>
    </row>
    <row r="13090" spans="8:8" hidden="1" x14ac:dyDescent="0.35">
      <c r="H13090" s="83">
        <f t="shared" si="251"/>
        <v>0</v>
      </c>
    </row>
    <row r="13091" spans="8:8" hidden="1" x14ac:dyDescent="0.35">
      <c r="H13091" s="83">
        <f t="shared" si="251"/>
        <v>0</v>
      </c>
    </row>
    <row r="13092" spans="8:8" hidden="1" x14ac:dyDescent="0.35">
      <c r="H13092" s="83">
        <f t="shared" si="251"/>
        <v>0</v>
      </c>
    </row>
    <row r="13093" spans="8:8" hidden="1" x14ac:dyDescent="0.35">
      <c r="H13093" s="83">
        <f t="shared" si="251"/>
        <v>0</v>
      </c>
    </row>
    <row r="13094" spans="8:8" hidden="1" x14ac:dyDescent="0.35">
      <c r="H13094" s="83">
        <f t="shared" si="251"/>
        <v>0</v>
      </c>
    </row>
    <row r="13095" spans="8:8" hidden="1" x14ac:dyDescent="0.35">
      <c r="H13095" s="83">
        <f t="shared" si="251"/>
        <v>0</v>
      </c>
    </row>
    <row r="13096" spans="8:8" hidden="1" x14ac:dyDescent="0.35">
      <c r="H13096" s="83">
        <f t="shared" si="251"/>
        <v>0</v>
      </c>
    </row>
    <row r="13097" spans="8:8" hidden="1" x14ac:dyDescent="0.35">
      <c r="H13097" s="83">
        <f t="shared" si="251"/>
        <v>0</v>
      </c>
    </row>
    <row r="13098" spans="8:8" hidden="1" x14ac:dyDescent="0.35">
      <c r="H13098" s="83">
        <f t="shared" si="251"/>
        <v>0</v>
      </c>
    </row>
    <row r="13099" spans="8:8" hidden="1" x14ac:dyDescent="0.35">
      <c r="H13099" s="83">
        <f t="shared" si="251"/>
        <v>0</v>
      </c>
    </row>
    <row r="13100" spans="8:8" hidden="1" x14ac:dyDescent="0.35">
      <c r="H13100" s="83">
        <f t="shared" si="251"/>
        <v>0</v>
      </c>
    </row>
    <row r="13101" spans="8:8" hidden="1" x14ac:dyDescent="0.35">
      <c r="H13101" s="83">
        <f t="shared" si="251"/>
        <v>0</v>
      </c>
    </row>
    <row r="13102" spans="8:8" hidden="1" x14ac:dyDescent="0.35">
      <c r="H13102" s="83">
        <f t="shared" si="251"/>
        <v>0</v>
      </c>
    </row>
    <row r="13103" spans="8:8" hidden="1" x14ac:dyDescent="0.35">
      <c r="H13103" s="83">
        <f t="shared" si="251"/>
        <v>0</v>
      </c>
    </row>
    <row r="13104" spans="8:8" hidden="1" x14ac:dyDescent="0.35">
      <c r="H13104" s="83">
        <f t="shared" si="251"/>
        <v>0</v>
      </c>
    </row>
    <row r="13105" spans="8:8" hidden="1" x14ac:dyDescent="0.35">
      <c r="H13105" s="83">
        <f t="shared" si="251"/>
        <v>0</v>
      </c>
    </row>
    <row r="13106" spans="8:8" hidden="1" x14ac:dyDescent="0.35">
      <c r="H13106" s="83">
        <f t="shared" si="251"/>
        <v>0</v>
      </c>
    </row>
    <row r="13107" spans="8:8" hidden="1" x14ac:dyDescent="0.35">
      <c r="H13107" s="83">
        <f t="shared" si="251"/>
        <v>0</v>
      </c>
    </row>
    <row r="13108" spans="8:8" hidden="1" x14ac:dyDescent="0.35">
      <c r="H13108" s="83">
        <f t="shared" si="251"/>
        <v>0</v>
      </c>
    </row>
    <row r="13109" spans="8:8" hidden="1" x14ac:dyDescent="0.35">
      <c r="H13109" s="83">
        <f t="shared" si="251"/>
        <v>0</v>
      </c>
    </row>
    <row r="13110" spans="8:8" hidden="1" x14ac:dyDescent="0.35">
      <c r="H13110" s="83">
        <f t="shared" si="251"/>
        <v>0</v>
      </c>
    </row>
    <row r="13111" spans="8:8" hidden="1" x14ac:dyDescent="0.35">
      <c r="H13111" s="83">
        <f t="shared" si="251"/>
        <v>0</v>
      </c>
    </row>
    <row r="13112" spans="8:8" hidden="1" x14ac:dyDescent="0.35">
      <c r="H13112" s="83">
        <f t="shared" si="251"/>
        <v>0</v>
      </c>
    </row>
    <row r="13113" spans="8:8" hidden="1" x14ac:dyDescent="0.35">
      <c r="H13113" s="83">
        <f t="shared" si="251"/>
        <v>0</v>
      </c>
    </row>
    <row r="13114" spans="8:8" hidden="1" x14ac:dyDescent="0.35">
      <c r="H13114" s="83">
        <f t="shared" si="251"/>
        <v>0</v>
      </c>
    </row>
    <row r="13115" spans="8:8" hidden="1" x14ac:dyDescent="0.35">
      <c r="H13115" s="83">
        <f t="shared" si="251"/>
        <v>0</v>
      </c>
    </row>
    <row r="13116" spans="8:8" hidden="1" x14ac:dyDescent="0.35">
      <c r="H13116" s="83">
        <f t="shared" si="251"/>
        <v>0</v>
      </c>
    </row>
    <row r="13117" spans="8:8" hidden="1" x14ac:dyDescent="0.35">
      <c r="H13117" s="83">
        <f t="shared" si="251"/>
        <v>0</v>
      </c>
    </row>
    <row r="13118" spans="8:8" hidden="1" x14ac:dyDescent="0.35">
      <c r="H13118" s="83">
        <f t="shared" si="251"/>
        <v>0</v>
      </c>
    </row>
    <row r="13119" spans="8:8" hidden="1" x14ac:dyDescent="0.35">
      <c r="H13119" s="83">
        <f t="shared" si="251"/>
        <v>0</v>
      </c>
    </row>
    <row r="13120" spans="8:8" hidden="1" x14ac:dyDescent="0.35">
      <c r="H13120" s="83">
        <f t="shared" si="251"/>
        <v>0</v>
      </c>
    </row>
    <row r="13121" spans="8:8" hidden="1" x14ac:dyDescent="0.35">
      <c r="H13121" s="83">
        <f t="shared" si="251"/>
        <v>0</v>
      </c>
    </row>
    <row r="13122" spans="8:8" hidden="1" x14ac:dyDescent="0.35">
      <c r="H13122" s="83">
        <f t="shared" si="251"/>
        <v>0</v>
      </c>
    </row>
    <row r="13123" spans="8:8" hidden="1" x14ac:dyDescent="0.35">
      <c r="H13123" s="83">
        <f t="shared" si="251"/>
        <v>0</v>
      </c>
    </row>
    <row r="13124" spans="8:8" hidden="1" x14ac:dyDescent="0.35">
      <c r="H13124" s="83">
        <f t="shared" ref="H13124:H13187" si="252">J13124-I13124</f>
        <v>0</v>
      </c>
    </row>
    <row r="13125" spans="8:8" hidden="1" x14ac:dyDescent="0.35">
      <c r="H13125" s="83">
        <f t="shared" si="252"/>
        <v>0</v>
      </c>
    </row>
    <row r="13126" spans="8:8" hidden="1" x14ac:dyDescent="0.35">
      <c r="H13126" s="83">
        <f t="shared" si="252"/>
        <v>0</v>
      </c>
    </row>
    <row r="13127" spans="8:8" hidden="1" x14ac:dyDescent="0.35">
      <c r="H13127" s="83">
        <f t="shared" si="252"/>
        <v>0</v>
      </c>
    </row>
    <row r="13128" spans="8:8" hidden="1" x14ac:dyDescent="0.35">
      <c r="H13128" s="83">
        <f t="shared" si="252"/>
        <v>0</v>
      </c>
    </row>
    <row r="13129" spans="8:8" hidden="1" x14ac:dyDescent="0.35">
      <c r="H13129" s="83">
        <f t="shared" si="252"/>
        <v>0</v>
      </c>
    </row>
    <row r="13130" spans="8:8" hidden="1" x14ac:dyDescent="0.35">
      <c r="H13130" s="83">
        <f t="shared" si="252"/>
        <v>0</v>
      </c>
    </row>
    <row r="13131" spans="8:8" hidden="1" x14ac:dyDescent="0.35">
      <c r="H13131" s="83">
        <f t="shared" si="252"/>
        <v>0</v>
      </c>
    </row>
    <row r="13132" spans="8:8" hidden="1" x14ac:dyDescent="0.35">
      <c r="H13132" s="83">
        <f t="shared" si="252"/>
        <v>0</v>
      </c>
    </row>
    <row r="13133" spans="8:8" hidden="1" x14ac:dyDescent="0.35">
      <c r="H13133" s="83">
        <f t="shared" si="252"/>
        <v>0</v>
      </c>
    </row>
    <row r="13134" spans="8:8" hidden="1" x14ac:dyDescent="0.35">
      <c r="H13134" s="83">
        <f t="shared" si="252"/>
        <v>0</v>
      </c>
    </row>
    <row r="13135" spans="8:8" hidden="1" x14ac:dyDescent="0.35">
      <c r="H13135" s="83">
        <f t="shared" si="252"/>
        <v>0</v>
      </c>
    </row>
    <row r="13136" spans="8:8" hidden="1" x14ac:dyDescent="0.35">
      <c r="H13136" s="83">
        <f t="shared" si="252"/>
        <v>0</v>
      </c>
    </row>
    <row r="13137" spans="8:8" hidden="1" x14ac:dyDescent="0.35">
      <c r="H13137" s="83">
        <f t="shared" si="252"/>
        <v>0</v>
      </c>
    </row>
    <row r="13138" spans="8:8" hidden="1" x14ac:dyDescent="0.35">
      <c r="H13138" s="83">
        <f t="shared" si="252"/>
        <v>0</v>
      </c>
    </row>
    <row r="13139" spans="8:8" hidden="1" x14ac:dyDescent="0.35">
      <c r="H13139" s="83">
        <f t="shared" si="252"/>
        <v>0</v>
      </c>
    </row>
    <row r="13140" spans="8:8" hidden="1" x14ac:dyDescent="0.35">
      <c r="H13140" s="83">
        <f t="shared" si="252"/>
        <v>0</v>
      </c>
    </row>
    <row r="13141" spans="8:8" hidden="1" x14ac:dyDescent="0.35">
      <c r="H13141" s="83">
        <f t="shared" si="252"/>
        <v>0</v>
      </c>
    </row>
    <row r="13142" spans="8:8" hidden="1" x14ac:dyDescent="0.35">
      <c r="H13142" s="83">
        <f t="shared" si="252"/>
        <v>0</v>
      </c>
    </row>
    <row r="13143" spans="8:8" hidden="1" x14ac:dyDescent="0.35">
      <c r="H13143" s="83">
        <f t="shared" si="252"/>
        <v>0</v>
      </c>
    </row>
    <row r="13144" spans="8:8" hidden="1" x14ac:dyDescent="0.35">
      <c r="H13144" s="83">
        <f t="shared" si="252"/>
        <v>0</v>
      </c>
    </row>
    <row r="13145" spans="8:8" hidden="1" x14ac:dyDescent="0.35">
      <c r="H13145" s="83">
        <f t="shared" si="252"/>
        <v>0</v>
      </c>
    </row>
    <row r="13146" spans="8:8" hidden="1" x14ac:dyDescent="0.35">
      <c r="H13146" s="83">
        <f t="shared" si="252"/>
        <v>0</v>
      </c>
    </row>
    <row r="13147" spans="8:8" hidden="1" x14ac:dyDescent="0.35">
      <c r="H13147" s="83">
        <f t="shared" si="252"/>
        <v>0</v>
      </c>
    </row>
    <row r="13148" spans="8:8" hidden="1" x14ac:dyDescent="0.35">
      <c r="H13148" s="83">
        <f t="shared" si="252"/>
        <v>0</v>
      </c>
    </row>
    <row r="13149" spans="8:8" hidden="1" x14ac:dyDescent="0.35">
      <c r="H13149" s="83">
        <f t="shared" si="252"/>
        <v>0</v>
      </c>
    </row>
    <row r="13150" spans="8:8" hidden="1" x14ac:dyDescent="0.35">
      <c r="H13150" s="83">
        <f t="shared" si="252"/>
        <v>0</v>
      </c>
    </row>
    <row r="13151" spans="8:8" hidden="1" x14ac:dyDescent="0.35">
      <c r="H13151" s="83">
        <f t="shared" si="252"/>
        <v>0</v>
      </c>
    </row>
    <row r="13152" spans="8:8" hidden="1" x14ac:dyDescent="0.35">
      <c r="H13152" s="83">
        <f t="shared" si="252"/>
        <v>0</v>
      </c>
    </row>
    <row r="13153" spans="8:8" hidden="1" x14ac:dyDescent="0.35">
      <c r="H13153" s="83">
        <f t="shared" si="252"/>
        <v>0</v>
      </c>
    </row>
    <row r="13154" spans="8:8" hidden="1" x14ac:dyDescent="0.35">
      <c r="H13154" s="83">
        <f t="shared" si="252"/>
        <v>0</v>
      </c>
    </row>
    <row r="13155" spans="8:8" hidden="1" x14ac:dyDescent="0.35">
      <c r="H13155" s="83">
        <f t="shared" si="252"/>
        <v>0</v>
      </c>
    </row>
    <row r="13156" spans="8:8" hidden="1" x14ac:dyDescent="0.35">
      <c r="H13156" s="83">
        <f t="shared" si="252"/>
        <v>0</v>
      </c>
    </row>
    <row r="13157" spans="8:8" hidden="1" x14ac:dyDescent="0.35">
      <c r="H13157" s="83">
        <f t="shared" si="252"/>
        <v>0</v>
      </c>
    </row>
    <row r="13158" spans="8:8" hidden="1" x14ac:dyDescent="0.35">
      <c r="H13158" s="83">
        <f t="shared" si="252"/>
        <v>0</v>
      </c>
    </row>
    <row r="13159" spans="8:8" hidden="1" x14ac:dyDescent="0.35">
      <c r="H13159" s="83">
        <f t="shared" si="252"/>
        <v>0</v>
      </c>
    </row>
    <row r="13160" spans="8:8" hidden="1" x14ac:dyDescent="0.35">
      <c r="H13160" s="83">
        <f t="shared" si="252"/>
        <v>0</v>
      </c>
    </row>
    <row r="13161" spans="8:8" hidden="1" x14ac:dyDescent="0.35">
      <c r="H13161" s="83">
        <f t="shared" si="252"/>
        <v>0</v>
      </c>
    </row>
    <row r="13162" spans="8:8" hidden="1" x14ac:dyDescent="0.35">
      <c r="H13162" s="83">
        <f t="shared" si="252"/>
        <v>0</v>
      </c>
    </row>
    <row r="13163" spans="8:8" hidden="1" x14ac:dyDescent="0.35">
      <c r="H13163" s="83">
        <f t="shared" si="252"/>
        <v>0</v>
      </c>
    </row>
    <row r="13164" spans="8:8" hidden="1" x14ac:dyDescent="0.35">
      <c r="H13164" s="83">
        <f t="shared" si="252"/>
        <v>0</v>
      </c>
    </row>
    <row r="13165" spans="8:8" hidden="1" x14ac:dyDescent="0.35">
      <c r="H13165" s="83">
        <f t="shared" si="252"/>
        <v>0</v>
      </c>
    </row>
    <row r="13166" spans="8:8" hidden="1" x14ac:dyDescent="0.35">
      <c r="H13166" s="83">
        <f t="shared" si="252"/>
        <v>0</v>
      </c>
    </row>
    <row r="13167" spans="8:8" hidden="1" x14ac:dyDescent="0.35">
      <c r="H13167" s="83">
        <f t="shared" si="252"/>
        <v>0</v>
      </c>
    </row>
    <row r="13168" spans="8:8" hidden="1" x14ac:dyDescent="0.35">
      <c r="H13168" s="83">
        <f t="shared" si="252"/>
        <v>0</v>
      </c>
    </row>
    <row r="13169" spans="8:8" hidden="1" x14ac:dyDescent="0.35">
      <c r="H13169" s="83">
        <f t="shared" si="252"/>
        <v>0</v>
      </c>
    </row>
    <row r="13170" spans="8:8" hidden="1" x14ac:dyDescent="0.35">
      <c r="H13170" s="83">
        <f t="shared" si="252"/>
        <v>0</v>
      </c>
    </row>
    <row r="13171" spans="8:8" hidden="1" x14ac:dyDescent="0.35">
      <c r="H13171" s="83">
        <f t="shared" si="252"/>
        <v>0</v>
      </c>
    </row>
    <row r="13172" spans="8:8" hidden="1" x14ac:dyDescent="0.35">
      <c r="H13172" s="83">
        <f t="shared" si="252"/>
        <v>0</v>
      </c>
    </row>
    <row r="13173" spans="8:8" hidden="1" x14ac:dyDescent="0.35">
      <c r="H13173" s="83">
        <f t="shared" si="252"/>
        <v>0</v>
      </c>
    </row>
    <row r="13174" spans="8:8" hidden="1" x14ac:dyDescent="0.35">
      <c r="H13174" s="83">
        <f t="shared" si="252"/>
        <v>0</v>
      </c>
    </row>
    <row r="13175" spans="8:8" hidden="1" x14ac:dyDescent="0.35">
      <c r="H13175" s="83">
        <f t="shared" si="252"/>
        <v>0</v>
      </c>
    </row>
    <row r="13176" spans="8:8" hidden="1" x14ac:dyDescent="0.35">
      <c r="H13176" s="83">
        <f t="shared" si="252"/>
        <v>0</v>
      </c>
    </row>
    <row r="13177" spans="8:8" hidden="1" x14ac:dyDescent="0.35">
      <c r="H13177" s="83">
        <f t="shared" si="252"/>
        <v>0</v>
      </c>
    </row>
    <row r="13178" spans="8:8" hidden="1" x14ac:dyDescent="0.35">
      <c r="H13178" s="83">
        <f t="shared" si="252"/>
        <v>0</v>
      </c>
    </row>
    <row r="13179" spans="8:8" hidden="1" x14ac:dyDescent="0.35">
      <c r="H13179" s="83">
        <f t="shared" si="252"/>
        <v>0</v>
      </c>
    </row>
    <row r="13180" spans="8:8" hidden="1" x14ac:dyDescent="0.35">
      <c r="H13180" s="83">
        <f t="shared" si="252"/>
        <v>0</v>
      </c>
    </row>
    <row r="13181" spans="8:8" hidden="1" x14ac:dyDescent="0.35">
      <c r="H13181" s="83">
        <f t="shared" si="252"/>
        <v>0</v>
      </c>
    </row>
    <row r="13182" spans="8:8" hidden="1" x14ac:dyDescent="0.35">
      <c r="H13182" s="83">
        <f t="shared" si="252"/>
        <v>0</v>
      </c>
    </row>
    <row r="13183" spans="8:8" hidden="1" x14ac:dyDescent="0.35">
      <c r="H13183" s="83">
        <f t="shared" si="252"/>
        <v>0</v>
      </c>
    </row>
    <row r="13184" spans="8:8" hidden="1" x14ac:dyDescent="0.35">
      <c r="H13184" s="83">
        <f t="shared" si="252"/>
        <v>0</v>
      </c>
    </row>
    <row r="13185" spans="8:8" hidden="1" x14ac:dyDescent="0.35">
      <c r="H13185" s="83">
        <f t="shared" si="252"/>
        <v>0</v>
      </c>
    </row>
    <row r="13186" spans="8:8" hidden="1" x14ac:dyDescent="0.35">
      <c r="H13186" s="83">
        <f t="shared" si="252"/>
        <v>0</v>
      </c>
    </row>
    <row r="13187" spans="8:8" hidden="1" x14ac:dyDescent="0.35">
      <c r="H13187" s="83">
        <f t="shared" si="252"/>
        <v>0</v>
      </c>
    </row>
    <row r="13188" spans="8:8" hidden="1" x14ac:dyDescent="0.35">
      <c r="H13188" s="83">
        <f t="shared" ref="H13188:H13251" si="253">J13188-I13188</f>
        <v>0</v>
      </c>
    </row>
    <row r="13189" spans="8:8" hidden="1" x14ac:dyDescent="0.35">
      <c r="H13189" s="83">
        <f t="shared" si="253"/>
        <v>0</v>
      </c>
    </row>
    <row r="13190" spans="8:8" hidden="1" x14ac:dyDescent="0.35">
      <c r="H13190" s="83">
        <f t="shared" si="253"/>
        <v>0</v>
      </c>
    </row>
    <row r="13191" spans="8:8" hidden="1" x14ac:dyDescent="0.35">
      <c r="H13191" s="83">
        <f t="shared" si="253"/>
        <v>0</v>
      </c>
    </row>
    <row r="13192" spans="8:8" hidden="1" x14ac:dyDescent="0.35">
      <c r="H13192" s="83">
        <f t="shared" si="253"/>
        <v>0</v>
      </c>
    </row>
    <row r="13193" spans="8:8" hidden="1" x14ac:dyDescent="0.35">
      <c r="H13193" s="83">
        <f t="shared" si="253"/>
        <v>0</v>
      </c>
    </row>
    <row r="13194" spans="8:8" hidden="1" x14ac:dyDescent="0.35">
      <c r="H13194" s="83">
        <f t="shared" si="253"/>
        <v>0</v>
      </c>
    </row>
    <row r="13195" spans="8:8" hidden="1" x14ac:dyDescent="0.35">
      <c r="H13195" s="83">
        <f t="shared" si="253"/>
        <v>0</v>
      </c>
    </row>
    <row r="13196" spans="8:8" hidden="1" x14ac:dyDescent="0.35">
      <c r="H13196" s="83">
        <f t="shared" si="253"/>
        <v>0</v>
      </c>
    </row>
    <row r="13197" spans="8:8" hidden="1" x14ac:dyDescent="0.35">
      <c r="H13197" s="83">
        <f t="shared" si="253"/>
        <v>0</v>
      </c>
    </row>
    <row r="13198" spans="8:8" hidden="1" x14ac:dyDescent="0.35">
      <c r="H13198" s="83">
        <f t="shared" si="253"/>
        <v>0</v>
      </c>
    </row>
    <row r="13199" spans="8:8" hidden="1" x14ac:dyDescent="0.35">
      <c r="H13199" s="83">
        <f t="shared" si="253"/>
        <v>0</v>
      </c>
    </row>
    <row r="13200" spans="8:8" hidden="1" x14ac:dyDescent="0.35">
      <c r="H13200" s="83">
        <f t="shared" si="253"/>
        <v>0</v>
      </c>
    </row>
    <row r="13201" spans="8:8" hidden="1" x14ac:dyDescent="0.35">
      <c r="H13201" s="83">
        <f t="shared" si="253"/>
        <v>0</v>
      </c>
    </row>
    <row r="13202" spans="8:8" hidden="1" x14ac:dyDescent="0.35">
      <c r="H13202" s="83">
        <f t="shared" si="253"/>
        <v>0</v>
      </c>
    </row>
    <row r="13203" spans="8:8" hidden="1" x14ac:dyDescent="0.35">
      <c r="H13203" s="83">
        <f t="shared" si="253"/>
        <v>0</v>
      </c>
    </row>
    <row r="13204" spans="8:8" hidden="1" x14ac:dyDescent="0.35">
      <c r="H13204" s="83">
        <f t="shared" si="253"/>
        <v>0</v>
      </c>
    </row>
    <row r="13205" spans="8:8" hidden="1" x14ac:dyDescent="0.35">
      <c r="H13205" s="83">
        <f t="shared" si="253"/>
        <v>0</v>
      </c>
    </row>
    <row r="13206" spans="8:8" hidden="1" x14ac:dyDescent="0.35">
      <c r="H13206" s="83">
        <f t="shared" si="253"/>
        <v>0</v>
      </c>
    </row>
    <row r="13207" spans="8:8" hidden="1" x14ac:dyDescent="0.35">
      <c r="H13207" s="83">
        <f t="shared" si="253"/>
        <v>0</v>
      </c>
    </row>
    <row r="13208" spans="8:8" hidden="1" x14ac:dyDescent="0.35">
      <c r="H13208" s="83">
        <f t="shared" si="253"/>
        <v>0</v>
      </c>
    </row>
    <row r="13209" spans="8:8" hidden="1" x14ac:dyDescent="0.35">
      <c r="H13209" s="83">
        <f t="shared" si="253"/>
        <v>0</v>
      </c>
    </row>
    <row r="13210" spans="8:8" hidden="1" x14ac:dyDescent="0.35">
      <c r="H13210" s="83">
        <f t="shared" si="253"/>
        <v>0</v>
      </c>
    </row>
    <row r="13211" spans="8:8" hidden="1" x14ac:dyDescent="0.35">
      <c r="H13211" s="83">
        <f t="shared" si="253"/>
        <v>0</v>
      </c>
    </row>
    <row r="13212" spans="8:8" hidden="1" x14ac:dyDescent="0.35">
      <c r="H13212" s="83">
        <f t="shared" si="253"/>
        <v>0</v>
      </c>
    </row>
    <row r="13213" spans="8:8" hidden="1" x14ac:dyDescent="0.35">
      <c r="H13213" s="83">
        <f t="shared" si="253"/>
        <v>0</v>
      </c>
    </row>
    <row r="13214" spans="8:8" hidden="1" x14ac:dyDescent="0.35">
      <c r="H13214" s="83">
        <f t="shared" si="253"/>
        <v>0</v>
      </c>
    </row>
    <row r="13215" spans="8:8" hidden="1" x14ac:dyDescent="0.35">
      <c r="H13215" s="83">
        <f t="shared" si="253"/>
        <v>0</v>
      </c>
    </row>
    <row r="13216" spans="8:8" hidden="1" x14ac:dyDescent="0.35">
      <c r="H13216" s="83">
        <f t="shared" si="253"/>
        <v>0</v>
      </c>
    </row>
    <row r="13217" spans="8:8" hidden="1" x14ac:dyDescent="0.35">
      <c r="H13217" s="83">
        <f t="shared" si="253"/>
        <v>0</v>
      </c>
    </row>
    <row r="13218" spans="8:8" hidden="1" x14ac:dyDescent="0.35">
      <c r="H13218" s="83">
        <f t="shared" si="253"/>
        <v>0</v>
      </c>
    </row>
    <row r="13219" spans="8:8" hidden="1" x14ac:dyDescent="0.35">
      <c r="H13219" s="83">
        <f t="shared" si="253"/>
        <v>0</v>
      </c>
    </row>
    <row r="13220" spans="8:8" hidden="1" x14ac:dyDescent="0.35">
      <c r="H13220" s="83">
        <f t="shared" si="253"/>
        <v>0</v>
      </c>
    </row>
    <row r="13221" spans="8:8" hidden="1" x14ac:dyDescent="0.35">
      <c r="H13221" s="83">
        <f t="shared" si="253"/>
        <v>0</v>
      </c>
    </row>
    <row r="13222" spans="8:8" hidden="1" x14ac:dyDescent="0.35">
      <c r="H13222" s="83">
        <f t="shared" si="253"/>
        <v>0</v>
      </c>
    </row>
    <row r="13223" spans="8:8" hidden="1" x14ac:dyDescent="0.35">
      <c r="H13223" s="83">
        <f t="shared" si="253"/>
        <v>0</v>
      </c>
    </row>
    <row r="13224" spans="8:8" hidden="1" x14ac:dyDescent="0.35">
      <c r="H13224" s="83">
        <f t="shared" si="253"/>
        <v>0</v>
      </c>
    </row>
    <row r="13225" spans="8:8" hidden="1" x14ac:dyDescent="0.35">
      <c r="H13225" s="83">
        <f t="shared" si="253"/>
        <v>0</v>
      </c>
    </row>
    <row r="13226" spans="8:8" hidden="1" x14ac:dyDescent="0.35">
      <c r="H13226" s="83">
        <f t="shared" si="253"/>
        <v>0</v>
      </c>
    </row>
    <row r="13227" spans="8:8" hidden="1" x14ac:dyDescent="0.35">
      <c r="H13227" s="83">
        <f t="shared" si="253"/>
        <v>0</v>
      </c>
    </row>
    <row r="13228" spans="8:8" hidden="1" x14ac:dyDescent="0.35">
      <c r="H13228" s="83">
        <f t="shared" si="253"/>
        <v>0</v>
      </c>
    </row>
    <row r="13229" spans="8:8" hidden="1" x14ac:dyDescent="0.35">
      <c r="H13229" s="83">
        <f t="shared" si="253"/>
        <v>0</v>
      </c>
    </row>
    <row r="13230" spans="8:8" hidden="1" x14ac:dyDescent="0.35">
      <c r="H13230" s="83">
        <f t="shared" si="253"/>
        <v>0</v>
      </c>
    </row>
    <row r="13231" spans="8:8" hidden="1" x14ac:dyDescent="0.35">
      <c r="H13231" s="83">
        <f t="shared" si="253"/>
        <v>0</v>
      </c>
    </row>
    <row r="13232" spans="8:8" hidden="1" x14ac:dyDescent="0.35">
      <c r="H13232" s="83">
        <f t="shared" si="253"/>
        <v>0</v>
      </c>
    </row>
    <row r="13233" spans="8:8" hidden="1" x14ac:dyDescent="0.35">
      <c r="H13233" s="83">
        <f t="shared" si="253"/>
        <v>0</v>
      </c>
    </row>
    <row r="13234" spans="8:8" hidden="1" x14ac:dyDescent="0.35">
      <c r="H13234" s="83">
        <f t="shared" si="253"/>
        <v>0</v>
      </c>
    </row>
    <row r="13235" spans="8:8" hidden="1" x14ac:dyDescent="0.35">
      <c r="H13235" s="83">
        <f t="shared" si="253"/>
        <v>0</v>
      </c>
    </row>
    <row r="13236" spans="8:8" hidden="1" x14ac:dyDescent="0.35">
      <c r="H13236" s="83">
        <f t="shared" si="253"/>
        <v>0</v>
      </c>
    </row>
    <row r="13237" spans="8:8" hidden="1" x14ac:dyDescent="0.35">
      <c r="H13237" s="83">
        <f t="shared" si="253"/>
        <v>0</v>
      </c>
    </row>
    <row r="13238" spans="8:8" hidden="1" x14ac:dyDescent="0.35">
      <c r="H13238" s="83">
        <f t="shared" si="253"/>
        <v>0</v>
      </c>
    </row>
    <row r="13239" spans="8:8" hidden="1" x14ac:dyDescent="0.35">
      <c r="H13239" s="83">
        <f t="shared" si="253"/>
        <v>0</v>
      </c>
    </row>
    <row r="13240" spans="8:8" hidden="1" x14ac:dyDescent="0.35">
      <c r="H13240" s="83">
        <f t="shared" si="253"/>
        <v>0</v>
      </c>
    </row>
    <row r="13241" spans="8:8" hidden="1" x14ac:dyDescent="0.35">
      <c r="H13241" s="83">
        <f t="shared" si="253"/>
        <v>0</v>
      </c>
    </row>
    <row r="13242" spans="8:8" hidden="1" x14ac:dyDescent="0.35">
      <c r="H13242" s="83">
        <f t="shared" si="253"/>
        <v>0</v>
      </c>
    </row>
    <row r="13243" spans="8:8" hidden="1" x14ac:dyDescent="0.35">
      <c r="H13243" s="83">
        <f t="shared" si="253"/>
        <v>0</v>
      </c>
    </row>
    <row r="13244" spans="8:8" hidden="1" x14ac:dyDescent="0.35">
      <c r="H13244" s="83">
        <f t="shared" si="253"/>
        <v>0</v>
      </c>
    </row>
    <row r="13245" spans="8:8" hidden="1" x14ac:dyDescent="0.35">
      <c r="H13245" s="83">
        <f t="shared" si="253"/>
        <v>0</v>
      </c>
    </row>
    <row r="13246" spans="8:8" hidden="1" x14ac:dyDescent="0.35">
      <c r="H13246" s="83">
        <f t="shared" si="253"/>
        <v>0</v>
      </c>
    </row>
    <row r="13247" spans="8:8" hidden="1" x14ac:dyDescent="0.35">
      <c r="H13247" s="83">
        <f t="shared" si="253"/>
        <v>0</v>
      </c>
    </row>
    <row r="13248" spans="8:8" hidden="1" x14ac:dyDescent="0.35">
      <c r="H13248" s="83">
        <f t="shared" si="253"/>
        <v>0</v>
      </c>
    </row>
    <row r="13249" spans="8:8" hidden="1" x14ac:dyDescent="0.35">
      <c r="H13249" s="83">
        <f t="shared" si="253"/>
        <v>0</v>
      </c>
    </row>
    <row r="13250" spans="8:8" hidden="1" x14ac:dyDescent="0.35">
      <c r="H13250" s="83">
        <f t="shared" si="253"/>
        <v>0</v>
      </c>
    </row>
    <row r="13251" spans="8:8" hidden="1" x14ac:dyDescent="0.35">
      <c r="H13251" s="83">
        <f t="shared" si="253"/>
        <v>0</v>
      </c>
    </row>
    <row r="13252" spans="8:8" hidden="1" x14ac:dyDescent="0.35">
      <c r="H13252" s="83">
        <f t="shared" ref="H13252:H13315" si="254">J13252-I13252</f>
        <v>0</v>
      </c>
    </row>
    <row r="13253" spans="8:8" hidden="1" x14ac:dyDescent="0.35">
      <c r="H13253" s="83">
        <f t="shared" si="254"/>
        <v>0</v>
      </c>
    </row>
    <row r="13254" spans="8:8" hidden="1" x14ac:dyDescent="0.35">
      <c r="H13254" s="83">
        <f t="shared" si="254"/>
        <v>0</v>
      </c>
    </row>
    <row r="13255" spans="8:8" hidden="1" x14ac:dyDescent="0.35">
      <c r="H13255" s="83">
        <f t="shared" si="254"/>
        <v>0</v>
      </c>
    </row>
    <row r="13256" spans="8:8" hidden="1" x14ac:dyDescent="0.35">
      <c r="H13256" s="83">
        <f t="shared" si="254"/>
        <v>0</v>
      </c>
    </row>
    <row r="13257" spans="8:8" hidden="1" x14ac:dyDescent="0.35">
      <c r="H13257" s="83">
        <f t="shared" si="254"/>
        <v>0</v>
      </c>
    </row>
    <row r="13258" spans="8:8" hidden="1" x14ac:dyDescent="0.35">
      <c r="H13258" s="83">
        <f t="shared" si="254"/>
        <v>0</v>
      </c>
    </row>
    <row r="13259" spans="8:8" hidden="1" x14ac:dyDescent="0.35">
      <c r="H13259" s="83">
        <f t="shared" si="254"/>
        <v>0</v>
      </c>
    </row>
    <row r="13260" spans="8:8" hidden="1" x14ac:dyDescent="0.35">
      <c r="H13260" s="83">
        <f t="shared" si="254"/>
        <v>0</v>
      </c>
    </row>
    <row r="13261" spans="8:8" hidden="1" x14ac:dyDescent="0.35">
      <c r="H13261" s="83">
        <f t="shared" si="254"/>
        <v>0</v>
      </c>
    </row>
    <row r="13262" spans="8:8" hidden="1" x14ac:dyDescent="0.35">
      <c r="H13262" s="83">
        <f t="shared" si="254"/>
        <v>0</v>
      </c>
    </row>
    <row r="13263" spans="8:8" hidden="1" x14ac:dyDescent="0.35">
      <c r="H13263" s="83">
        <f t="shared" si="254"/>
        <v>0</v>
      </c>
    </row>
    <row r="13264" spans="8:8" hidden="1" x14ac:dyDescent="0.35">
      <c r="H13264" s="83">
        <f t="shared" si="254"/>
        <v>0</v>
      </c>
    </row>
    <row r="13265" spans="8:8" hidden="1" x14ac:dyDescent="0.35">
      <c r="H13265" s="83">
        <f t="shared" si="254"/>
        <v>0</v>
      </c>
    </row>
    <row r="13266" spans="8:8" hidden="1" x14ac:dyDescent="0.35">
      <c r="H13266" s="83">
        <f t="shared" si="254"/>
        <v>0</v>
      </c>
    </row>
    <row r="13267" spans="8:8" hidden="1" x14ac:dyDescent="0.35">
      <c r="H13267" s="83">
        <f t="shared" si="254"/>
        <v>0</v>
      </c>
    </row>
    <row r="13268" spans="8:8" hidden="1" x14ac:dyDescent="0.35">
      <c r="H13268" s="83">
        <f t="shared" si="254"/>
        <v>0</v>
      </c>
    </row>
    <row r="13269" spans="8:8" hidden="1" x14ac:dyDescent="0.35">
      <c r="H13269" s="83">
        <f t="shared" si="254"/>
        <v>0</v>
      </c>
    </row>
    <row r="13270" spans="8:8" hidden="1" x14ac:dyDescent="0.35">
      <c r="H13270" s="83">
        <f t="shared" si="254"/>
        <v>0</v>
      </c>
    </row>
    <row r="13271" spans="8:8" hidden="1" x14ac:dyDescent="0.35">
      <c r="H13271" s="83">
        <f t="shared" si="254"/>
        <v>0</v>
      </c>
    </row>
    <row r="13272" spans="8:8" hidden="1" x14ac:dyDescent="0.35">
      <c r="H13272" s="83">
        <f t="shared" si="254"/>
        <v>0</v>
      </c>
    </row>
    <row r="13273" spans="8:8" hidden="1" x14ac:dyDescent="0.35">
      <c r="H13273" s="83">
        <f t="shared" si="254"/>
        <v>0</v>
      </c>
    </row>
    <row r="13274" spans="8:8" hidden="1" x14ac:dyDescent="0.35">
      <c r="H13274" s="83">
        <f t="shared" si="254"/>
        <v>0</v>
      </c>
    </row>
    <row r="13275" spans="8:8" hidden="1" x14ac:dyDescent="0.35">
      <c r="H13275" s="83">
        <f t="shared" si="254"/>
        <v>0</v>
      </c>
    </row>
    <row r="13276" spans="8:8" hidden="1" x14ac:dyDescent="0.35">
      <c r="H13276" s="83">
        <f t="shared" si="254"/>
        <v>0</v>
      </c>
    </row>
    <row r="13277" spans="8:8" hidden="1" x14ac:dyDescent="0.35">
      <c r="H13277" s="83">
        <f t="shared" si="254"/>
        <v>0</v>
      </c>
    </row>
    <row r="13278" spans="8:8" hidden="1" x14ac:dyDescent="0.35">
      <c r="H13278" s="83">
        <f t="shared" si="254"/>
        <v>0</v>
      </c>
    </row>
    <row r="13279" spans="8:8" hidden="1" x14ac:dyDescent="0.35">
      <c r="H13279" s="83">
        <f t="shared" si="254"/>
        <v>0</v>
      </c>
    </row>
    <row r="13280" spans="8:8" hidden="1" x14ac:dyDescent="0.35">
      <c r="H13280" s="83">
        <f t="shared" si="254"/>
        <v>0</v>
      </c>
    </row>
    <row r="13281" spans="8:8" hidden="1" x14ac:dyDescent="0.35">
      <c r="H13281" s="83">
        <f t="shared" si="254"/>
        <v>0</v>
      </c>
    </row>
    <row r="13282" spans="8:8" hidden="1" x14ac:dyDescent="0.35">
      <c r="H13282" s="83">
        <f t="shared" si="254"/>
        <v>0</v>
      </c>
    </row>
    <row r="13283" spans="8:8" hidden="1" x14ac:dyDescent="0.35">
      <c r="H13283" s="83">
        <f t="shared" si="254"/>
        <v>0</v>
      </c>
    </row>
    <row r="13284" spans="8:8" hidden="1" x14ac:dyDescent="0.35">
      <c r="H13284" s="83">
        <f t="shared" si="254"/>
        <v>0</v>
      </c>
    </row>
    <row r="13285" spans="8:8" hidden="1" x14ac:dyDescent="0.35">
      <c r="H13285" s="83">
        <f t="shared" si="254"/>
        <v>0</v>
      </c>
    </row>
    <row r="13286" spans="8:8" hidden="1" x14ac:dyDescent="0.35">
      <c r="H13286" s="83">
        <f t="shared" si="254"/>
        <v>0</v>
      </c>
    </row>
    <row r="13287" spans="8:8" hidden="1" x14ac:dyDescent="0.35">
      <c r="H13287" s="83">
        <f t="shared" si="254"/>
        <v>0</v>
      </c>
    </row>
    <row r="13288" spans="8:8" hidden="1" x14ac:dyDescent="0.35">
      <c r="H13288" s="83">
        <f t="shared" si="254"/>
        <v>0</v>
      </c>
    </row>
    <row r="13289" spans="8:8" hidden="1" x14ac:dyDescent="0.35">
      <c r="H13289" s="83">
        <f t="shared" si="254"/>
        <v>0</v>
      </c>
    </row>
    <row r="13290" spans="8:8" hidden="1" x14ac:dyDescent="0.35">
      <c r="H13290" s="83">
        <f t="shared" si="254"/>
        <v>0</v>
      </c>
    </row>
    <row r="13291" spans="8:8" hidden="1" x14ac:dyDescent="0.35">
      <c r="H13291" s="83">
        <f t="shared" si="254"/>
        <v>0</v>
      </c>
    </row>
    <row r="13292" spans="8:8" hidden="1" x14ac:dyDescent="0.35">
      <c r="H13292" s="83">
        <f t="shared" si="254"/>
        <v>0</v>
      </c>
    </row>
    <row r="13293" spans="8:8" hidden="1" x14ac:dyDescent="0.35">
      <c r="H13293" s="83">
        <f t="shared" si="254"/>
        <v>0</v>
      </c>
    </row>
    <row r="13294" spans="8:8" hidden="1" x14ac:dyDescent="0.35">
      <c r="H13294" s="83">
        <f t="shared" si="254"/>
        <v>0</v>
      </c>
    </row>
    <row r="13295" spans="8:8" hidden="1" x14ac:dyDescent="0.35">
      <c r="H13295" s="83">
        <f t="shared" si="254"/>
        <v>0</v>
      </c>
    </row>
    <row r="13296" spans="8:8" hidden="1" x14ac:dyDescent="0.35">
      <c r="H13296" s="83">
        <f t="shared" si="254"/>
        <v>0</v>
      </c>
    </row>
    <row r="13297" spans="8:8" hidden="1" x14ac:dyDescent="0.35">
      <c r="H13297" s="83">
        <f t="shared" si="254"/>
        <v>0</v>
      </c>
    </row>
    <row r="13298" spans="8:8" hidden="1" x14ac:dyDescent="0.35">
      <c r="H13298" s="83">
        <f t="shared" si="254"/>
        <v>0</v>
      </c>
    </row>
    <row r="13299" spans="8:8" hidden="1" x14ac:dyDescent="0.35">
      <c r="H13299" s="83">
        <f t="shared" si="254"/>
        <v>0</v>
      </c>
    </row>
    <row r="13300" spans="8:8" hidden="1" x14ac:dyDescent="0.35">
      <c r="H13300" s="83">
        <f t="shared" si="254"/>
        <v>0</v>
      </c>
    </row>
    <row r="13301" spans="8:8" hidden="1" x14ac:dyDescent="0.35">
      <c r="H13301" s="83">
        <f t="shared" si="254"/>
        <v>0</v>
      </c>
    </row>
    <row r="13302" spans="8:8" hidden="1" x14ac:dyDescent="0.35">
      <c r="H13302" s="83">
        <f t="shared" si="254"/>
        <v>0</v>
      </c>
    </row>
    <row r="13303" spans="8:8" hidden="1" x14ac:dyDescent="0.35">
      <c r="H13303" s="83">
        <f t="shared" si="254"/>
        <v>0</v>
      </c>
    </row>
    <row r="13304" spans="8:8" hidden="1" x14ac:dyDescent="0.35">
      <c r="H13304" s="83">
        <f t="shared" si="254"/>
        <v>0</v>
      </c>
    </row>
    <row r="13305" spans="8:8" hidden="1" x14ac:dyDescent="0.35">
      <c r="H13305" s="83">
        <f t="shared" si="254"/>
        <v>0</v>
      </c>
    </row>
    <row r="13306" spans="8:8" hidden="1" x14ac:dyDescent="0.35">
      <c r="H13306" s="83">
        <f t="shared" si="254"/>
        <v>0</v>
      </c>
    </row>
    <row r="13307" spans="8:8" hidden="1" x14ac:dyDescent="0.35">
      <c r="H13307" s="83">
        <f t="shared" si="254"/>
        <v>0</v>
      </c>
    </row>
    <row r="13308" spans="8:8" hidden="1" x14ac:dyDescent="0.35">
      <c r="H13308" s="83">
        <f t="shared" si="254"/>
        <v>0</v>
      </c>
    </row>
    <row r="13309" spans="8:8" hidden="1" x14ac:dyDescent="0.35">
      <c r="H13309" s="83">
        <f t="shared" si="254"/>
        <v>0</v>
      </c>
    </row>
    <row r="13310" spans="8:8" hidden="1" x14ac:dyDescent="0.35">
      <c r="H13310" s="83">
        <f t="shared" si="254"/>
        <v>0</v>
      </c>
    </row>
    <row r="13311" spans="8:8" hidden="1" x14ac:dyDescent="0.35">
      <c r="H13311" s="83">
        <f t="shared" si="254"/>
        <v>0</v>
      </c>
    </row>
    <row r="13312" spans="8:8" hidden="1" x14ac:dyDescent="0.35">
      <c r="H13312" s="83">
        <f t="shared" si="254"/>
        <v>0</v>
      </c>
    </row>
    <row r="13313" spans="8:8" hidden="1" x14ac:dyDescent="0.35">
      <c r="H13313" s="83">
        <f t="shared" si="254"/>
        <v>0</v>
      </c>
    </row>
    <row r="13314" spans="8:8" hidden="1" x14ac:dyDescent="0.35">
      <c r="H13314" s="83">
        <f t="shared" si="254"/>
        <v>0</v>
      </c>
    </row>
    <row r="13315" spans="8:8" hidden="1" x14ac:dyDescent="0.35">
      <c r="H13315" s="83">
        <f t="shared" si="254"/>
        <v>0</v>
      </c>
    </row>
    <row r="13316" spans="8:8" hidden="1" x14ac:dyDescent="0.35">
      <c r="H13316" s="83">
        <f t="shared" ref="H13316:H13379" si="255">J13316-I13316</f>
        <v>0</v>
      </c>
    </row>
    <row r="13317" spans="8:8" hidden="1" x14ac:dyDescent="0.35">
      <c r="H13317" s="83">
        <f t="shared" si="255"/>
        <v>0</v>
      </c>
    </row>
    <row r="13318" spans="8:8" hidden="1" x14ac:dyDescent="0.35">
      <c r="H13318" s="83">
        <f t="shared" si="255"/>
        <v>0</v>
      </c>
    </row>
    <row r="13319" spans="8:8" hidden="1" x14ac:dyDescent="0.35">
      <c r="H13319" s="83">
        <f t="shared" si="255"/>
        <v>0</v>
      </c>
    </row>
    <row r="13320" spans="8:8" hidden="1" x14ac:dyDescent="0.35">
      <c r="H13320" s="83">
        <f t="shared" si="255"/>
        <v>0</v>
      </c>
    </row>
    <row r="13321" spans="8:8" hidden="1" x14ac:dyDescent="0.35">
      <c r="H13321" s="83">
        <f t="shared" si="255"/>
        <v>0</v>
      </c>
    </row>
    <row r="13322" spans="8:8" hidden="1" x14ac:dyDescent="0.35">
      <c r="H13322" s="83">
        <f t="shared" si="255"/>
        <v>0</v>
      </c>
    </row>
    <row r="13323" spans="8:8" hidden="1" x14ac:dyDescent="0.35">
      <c r="H13323" s="83">
        <f t="shared" si="255"/>
        <v>0</v>
      </c>
    </row>
    <row r="13324" spans="8:8" hidden="1" x14ac:dyDescent="0.35">
      <c r="H13324" s="83">
        <f t="shared" si="255"/>
        <v>0</v>
      </c>
    </row>
    <row r="13325" spans="8:8" hidden="1" x14ac:dyDescent="0.35">
      <c r="H13325" s="83">
        <f t="shared" si="255"/>
        <v>0</v>
      </c>
    </row>
    <row r="13326" spans="8:8" hidden="1" x14ac:dyDescent="0.35">
      <c r="H13326" s="83">
        <f t="shared" si="255"/>
        <v>0</v>
      </c>
    </row>
    <row r="13327" spans="8:8" hidden="1" x14ac:dyDescent="0.35">
      <c r="H13327" s="83">
        <f t="shared" si="255"/>
        <v>0</v>
      </c>
    </row>
    <row r="13328" spans="8:8" hidden="1" x14ac:dyDescent="0.35">
      <c r="H13328" s="83">
        <f t="shared" si="255"/>
        <v>0</v>
      </c>
    </row>
    <row r="13329" spans="8:8" hidden="1" x14ac:dyDescent="0.35">
      <c r="H13329" s="83">
        <f t="shared" si="255"/>
        <v>0</v>
      </c>
    </row>
    <row r="13330" spans="8:8" hidden="1" x14ac:dyDescent="0.35">
      <c r="H13330" s="83">
        <f t="shared" si="255"/>
        <v>0</v>
      </c>
    </row>
    <row r="13331" spans="8:8" hidden="1" x14ac:dyDescent="0.35">
      <c r="H13331" s="83">
        <f t="shared" si="255"/>
        <v>0</v>
      </c>
    </row>
    <row r="13332" spans="8:8" hidden="1" x14ac:dyDescent="0.35">
      <c r="H13332" s="83">
        <f t="shared" si="255"/>
        <v>0</v>
      </c>
    </row>
    <row r="13333" spans="8:8" hidden="1" x14ac:dyDescent="0.35">
      <c r="H13333" s="83">
        <f t="shared" si="255"/>
        <v>0</v>
      </c>
    </row>
    <row r="13334" spans="8:8" hidden="1" x14ac:dyDescent="0.35">
      <c r="H13334" s="83">
        <f t="shared" si="255"/>
        <v>0</v>
      </c>
    </row>
    <row r="13335" spans="8:8" hidden="1" x14ac:dyDescent="0.35">
      <c r="H13335" s="83">
        <f t="shared" si="255"/>
        <v>0</v>
      </c>
    </row>
    <row r="13336" spans="8:8" hidden="1" x14ac:dyDescent="0.35">
      <c r="H13336" s="83">
        <f t="shared" si="255"/>
        <v>0</v>
      </c>
    </row>
    <row r="13337" spans="8:8" hidden="1" x14ac:dyDescent="0.35">
      <c r="H13337" s="83">
        <f t="shared" si="255"/>
        <v>0</v>
      </c>
    </row>
    <row r="13338" spans="8:8" hidden="1" x14ac:dyDescent="0.35">
      <c r="H13338" s="83">
        <f t="shared" si="255"/>
        <v>0</v>
      </c>
    </row>
    <row r="13339" spans="8:8" hidden="1" x14ac:dyDescent="0.35">
      <c r="H13339" s="83">
        <f t="shared" si="255"/>
        <v>0</v>
      </c>
    </row>
    <row r="13340" spans="8:8" hidden="1" x14ac:dyDescent="0.35">
      <c r="H13340" s="83">
        <f t="shared" si="255"/>
        <v>0</v>
      </c>
    </row>
    <row r="13341" spans="8:8" hidden="1" x14ac:dyDescent="0.35">
      <c r="H13341" s="83">
        <f t="shared" si="255"/>
        <v>0</v>
      </c>
    </row>
    <row r="13342" spans="8:8" hidden="1" x14ac:dyDescent="0.35">
      <c r="H13342" s="83">
        <f t="shared" si="255"/>
        <v>0</v>
      </c>
    </row>
    <row r="13343" spans="8:8" hidden="1" x14ac:dyDescent="0.35">
      <c r="H13343" s="83">
        <f t="shared" si="255"/>
        <v>0</v>
      </c>
    </row>
    <row r="13344" spans="8:8" hidden="1" x14ac:dyDescent="0.35">
      <c r="H13344" s="83">
        <f t="shared" si="255"/>
        <v>0</v>
      </c>
    </row>
    <row r="13345" spans="8:8" hidden="1" x14ac:dyDescent="0.35">
      <c r="H13345" s="83">
        <f t="shared" si="255"/>
        <v>0</v>
      </c>
    </row>
    <row r="13346" spans="8:8" hidden="1" x14ac:dyDescent="0.35">
      <c r="H13346" s="83">
        <f t="shared" si="255"/>
        <v>0</v>
      </c>
    </row>
    <row r="13347" spans="8:8" hidden="1" x14ac:dyDescent="0.35">
      <c r="H13347" s="83">
        <f t="shared" si="255"/>
        <v>0</v>
      </c>
    </row>
    <row r="13348" spans="8:8" hidden="1" x14ac:dyDescent="0.35">
      <c r="H13348" s="83">
        <f t="shared" si="255"/>
        <v>0</v>
      </c>
    </row>
    <row r="13349" spans="8:8" hidden="1" x14ac:dyDescent="0.35">
      <c r="H13349" s="83">
        <f t="shared" si="255"/>
        <v>0</v>
      </c>
    </row>
    <row r="13350" spans="8:8" hidden="1" x14ac:dyDescent="0.35">
      <c r="H13350" s="83">
        <f t="shared" si="255"/>
        <v>0</v>
      </c>
    </row>
    <row r="13351" spans="8:8" hidden="1" x14ac:dyDescent="0.35">
      <c r="H13351" s="83">
        <f t="shared" si="255"/>
        <v>0</v>
      </c>
    </row>
    <row r="13352" spans="8:8" hidden="1" x14ac:dyDescent="0.35">
      <c r="H13352" s="83">
        <f t="shared" si="255"/>
        <v>0</v>
      </c>
    </row>
    <row r="13353" spans="8:8" hidden="1" x14ac:dyDescent="0.35">
      <c r="H13353" s="83">
        <f t="shared" si="255"/>
        <v>0</v>
      </c>
    </row>
    <row r="13354" spans="8:8" hidden="1" x14ac:dyDescent="0.35">
      <c r="H13354" s="83">
        <f t="shared" si="255"/>
        <v>0</v>
      </c>
    </row>
    <row r="13355" spans="8:8" hidden="1" x14ac:dyDescent="0.35">
      <c r="H13355" s="83">
        <f t="shared" si="255"/>
        <v>0</v>
      </c>
    </row>
    <row r="13356" spans="8:8" hidden="1" x14ac:dyDescent="0.35">
      <c r="H13356" s="83">
        <f t="shared" si="255"/>
        <v>0</v>
      </c>
    </row>
    <row r="13357" spans="8:8" hidden="1" x14ac:dyDescent="0.35">
      <c r="H13357" s="83">
        <f t="shared" si="255"/>
        <v>0</v>
      </c>
    </row>
    <row r="13358" spans="8:8" hidden="1" x14ac:dyDescent="0.35">
      <c r="H13358" s="83">
        <f t="shared" si="255"/>
        <v>0</v>
      </c>
    </row>
    <row r="13359" spans="8:8" hidden="1" x14ac:dyDescent="0.35">
      <c r="H13359" s="83">
        <f t="shared" si="255"/>
        <v>0</v>
      </c>
    </row>
    <row r="13360" spans="8:8" hidden="1" x14ac:dyDescent="0.35">
      <c r="H13360" s="83">
        <f t="shared" si="255"/>
        <v>0</v>
      </c>
    </row>
    <row r="13361" spans="8:8" hidden="1" x14ac:dyDescent="0.35">
      <c r="H13361" s="83">
        <f t="shared" si="255"/>
        <v>0</v>
      </c>
    </row>
    <row r="13362" spans="8:8" hidden="1" x14ac:dyDescent="0.35">
      <c r="H13362" s="83">
        <f t="shared" si="255"/>
        <v>0</v>
      </c>
    </row>
    <row r="13363" spans="8:8" hidden="1" x14ac:dyDescent="0.35">
      <c r="H13363" s="83">
        <f t="shared" si="255"/>
        <v>0</v>
      </c>
    </row>
    <row r="13364" spans="8:8" hidden="1" x14ac:dyDescent="0.35">
      <c r="H13364" s="83">
        <f t="shared" si="255"/>
        <v>0</v>
      </c>
    </row>
    <row r="13365" spans="8:8" hidden="1" x14ac:dyDescent="0.35">
      <c r="H13365" s="83">
        <f t="shared" si="255"/>
        <v>0</v>
      </c>
    </row>
    <row r="13366" spans="8:8" hidden="1" x14ac:dyDescent="0.35">
      <c r="H13366" s="83">
        <f t="shared" si="255"/>
        <v>0</v>
      </c>
    </row>
    <row r="13367" spans="8:8" hidden="1" x14ac:dyDescent="0.35">
      <c r="H13367" s="83">
        <f t="shared" si="255"/>
        <v>0</v>
      </c>
    </row>
    <row r="13368" spans="8:8" hidden="1" x14ac:dyDescent="0.35">
      <c r="H13368" s="83">
        <f t="shared" si="255"/>
        <v>0</v>
      </c>
    </row>
    <row r="13369" spans="8:8" hidden="1" x14ac:dyDescent="0.35">
      <c r="H13369" s="83">
        <f t="shared" si="255"/>
        <v>0</v>
      </c>
    </row>
    <row r="13370" spans="8:8" hidden="1" x14ac:dyDescent="0.35">
      <c r="H13370" s="83">
        <f t="shared" si="255"/>
        <v>0</v>
      </c>
    </row>
    <row r="13371" spans="8:8" hidden="1" x14ac:dyDescent="0.35">
      <c r="H13371" s="83">
        <f t="shared" si="255"/>
        <v>0</v>
      </c>
    </row>
    <row r="13372" spans="8:8" hidden="1" x14ac:dyDescent="0.35">
      <c r="H13372" s="83">
        <f t="shared" si="255"/>
        <v>0</v>
      </c>
    </row>
    <row r="13373" spans="8:8" hidden="1" x14ac:dyDescent="0.35">
      <c r="H13373" s="83">
        <f t="shared" si="255"/>
        <v>0</v>
      </c>
    </row>
    <row r="13374" spans="8:8" hidden="1" x14ac:dyDescent="0.35">
      <c r="H13374" s="83">
        <f t="shared" si="255"/>
        <v>0</v>
      </c>
    </row>
    <row r="13375" spans="8:8" hidden="1" x14ac:dyDescent="0.35">
      <c r="H13375" s="83">
        <f t="shared" si="255"/>
        <v>0</v>
      </c>
    </row>
    <row r="13376" spans="8:8" hidden="1" x14ac:dyDescent="0.35">
      <c r="H13376" s="83">
        <f t="shared" si="255"/>
        <v>0</v>
      </c>
    </row>
    <row r="13377" spans="8:8" hidden="1" x14ac:dyDescent="0.35">
      <c r="H13377" s="83">
        <f t="shared" si="255"/>
        <v>0</v>
      </c>
    </row>
    <row r="13378" spans="8:8" hidden="1" x14ac:dyDescent="0.35">
      <c r="H13378" s="83">
        <f t="shared" si="255"/>
        <v>0</v>
      </c>
    </row>
    <row r="13379" spans="8:8" hidden="1" x14ac:dyDescent="0.35">
      <c r="H13379" s="83">
        <f t="shared" si="255"/>
        <v>0</v>
      </c>
    </row>
    <row r="13380" spans="8:8" hidden="1" x14ac:dyDescent="0.35">
      <c r="H13380" s="83">
        <f t="shared" ref="H13380:H13443" si="256">J13380-I13380</f>
        <v>0</v>
      </c>
    </row>
    <row r="13381" spans="8:8" hidden="1" x14ac:dyDescent="0.35">
      <c r="H13381" s="83">
        <f t="shared" si="256"/>
        <v>0</v>
      </c>
    </row>
    <row r="13382" spans="8:8" hidden="1" x14ac:dyDescent="0.35">
      <c r="H13382" s="83">
        <f t="shared" si="256"/>
        <v>0</v>
      </c>
    </row>
    <row r="13383" spans="8:8" hidden="1" x14ac:dyDescent="0.35">
      <c r="H13383" s="83">
        <f t="shared" si="256"/>
        <v>0</v>
      </c>
    </row>
    <row r="13384" spans="8:8" hidden="1" x14ac:dyDescent="0.35">
      <c r="H13384" s="83">
        <f t="shared" si="256"/>
        <v>0</v>
      </c>
    </row>
    <row r="13385" spans="8:8" hidden="1" x14ac:dyDescent="0.35">
      <c r="H13385" s="83">
        <f t="shared" si="256"/>
        <v>0</v>
      </c>
    </row>
    <row r="13386" spans="8:8" hidden="1" x14ac:dyDescent="0.35">
      <c r="H13386" s="83">
        <f t="shared" si="256"/>
        <v>0</v>
      </c>
    </row>
    <row r="13387" spans="8:8" hidden="1" x14ac:dyDescent="0.35">
      <c r="H13387" s="83">
        <f t="shared" si="256"/>
        <v>0</v>
      </c>
    </row>
    <row r="13388" spans="8:8" hidden="1" x14ac:dyDescent="0.35">
      <c r="H13388" s="83">
        <f t="shared" si="256"/>
        <v>0</v>
      </c>
    </row>
    <row r="13389" spans="8:8" hidden="1" x14ac:dyDescent="0.35">
      <c r="H13389" s="83">
        <f t="shared" si="256"/>
        <v>0</v>
      </c>
    </row>
    <row r="13390" spans="8:8" hidden="1" x14ac:dyDescent="0.35">
      <c r="H13390" s="83">
        <f t="shared" si="256"/>
        <v>0</v>
      </c>
    </row>
    <row r="13391" spans="8:8" hidden="1" x14ac:dyDescent="0.35">
      <c r="H13391" s="83">
        <f t="shared" si="256"/>
        <v>0</v>
      </c>
    </row>
    <row r="13392" spans="8:8" hidden="1" x14ac:dyDescent="0.35">
      <c r="H13392" s="83">
        <f t="shared" si="256"/>
        <v>0</v>
      </c>
    </row>
    <row r="13393" spans="8:8" hidden="1" x14ac:dyDescent="0.35">
      <c r="H13393" s="83">
        <f t="shared" si="256"/>
        <v>0</v>
      </c>
    </row>
    <row r="13394" spans="8:8" hidden="1" x14ac:dyDescent="0.35">
      <c r="H13394" s="83">
        <f t="shared" si="256"/>
        <v>0</v>
      </c>
    </row>
    <row r="13395" spans="8:8" hidden="1" x14ac:dyDescent="0.35">
      <c r="H13395" s="83">
        <f t="shared" si="256"/>
        <v>0</v>
      </c>
    </row>
    <row r="13396" spans="8:8" hidden="1" x14ac:dyDescent="0.35">
      <c r="H13396" s="83">
        <f t="shared" si="256"/>
        <v>0</v>
      </c>
    </row>
    <row r="13397" spans="8:8" hidden="1" x14ac:dyDescent="0.35">
      <c r="H13397" s="83">
        <f t="shared" si="256"/>
        <v>0</v>
      </c>
    </row>
    <row r="13398" spans="8:8" hidden="1" x14ac:dyDescent="0.35">
      <c r="H13398" s="83">
        <f t="shared" si="256"/>
        <v>0</v>
      </c>
    </row>
    <row r="13399" spans="8:8" hidden="1" x14ac:dyDescent="0.35">
      <c r="H13399" s="83">
        <f t="shared" si="256"/>
        <v>0</v>
      </c>
    </row>
    <row r="13400" spans="8:8" hidden="1" x14ac:dyDescent="0.35">
      <c r="H13400" s="83">
        <f t="shared" si="256"/>
        <v>0</v>
      </c>
    </row>
    <row r="13401" spans="8:8" hidden="1" x14ac:dyDescent="0.35">
      <c r="H13401" s="83">
        <f t="shared" si="256"/>
        <v>0</v>
      </c>
    </row>
    <row r="13402" spans="8:8" hidden="1" x14ac:dyDescent="0.35">
      <c r="H13402" s="83">
        <f t="shared" si="256"/>
        <v>0</v>
      </c>
    </row>
    <row r="13403" spans="8:8" hidden="1" x14ac:dyDescent="0.35">
      <c r="H13403" s="83">
        <f t="shared" si="256"/>
        <v>0</v>
      </c>
    </row>
    <row r="13404" spans="8:8" hidden="1" x14ac:dyDescent="0.35">
      <c r="H13404" s="83">
        <f t="shared" si="256"/>
        <v>0</v>
      </c>
    </row>
    <row r="13405" spans="8:8" hidden="1" x14ac:dyDescent="0.35">
      <c r="H13405" s="83">
        <f t="shared" si="256"/>
        <v>0</v>
      </c>
    </row>
    <row r="13406" spans="8:8" hidden="1" x14ac:dyDescent="0.35">
      <c r="H13406" s="83">
        <f t="shared" si="256"/>
        <v>0</v>
      </c>
    </row>
    <row r="13407" spans="8:8" hidden="1" x14ac:dyDescent="0.35">
      <c r="H13407" s="83">
        <f t="shared" si="256"/>
        <v>0</v>
      </c>
    </row>
    <row r="13408" spans="8:8" hidden="1" x14ac:dyDescent="0.35">
      <c r="H13408" s="83">
        <f t="shared" si="256"/>
        <v>0</v>
      </c>
    </row>
    <row r="13409" spans="8:8" hidden="1" x14ac:dyDescent="0.35">
      <c r="H13409" s="83">
        <f t="shared" si="256"/>
        <v>0</v>
      </c>
    </row>
    <row r="13410" spans="8:8" hidden="1" x14ac:dyDescent="0.35">
      <c r="H13410" s="83">
        <f t="shared" si="256"/>
        <v>0</v>
      </c>
    </row>
    <row r="13411" spans="8:8" hidden="1" x14ac:dyDescent="0.35">
      <c r="H13411" s="83">
        <f t="shared" si="256"/>
        <v>0</v>
      </c>
    </row>
    <row r="13412" spans="8:8" hidden="1" x14ac:dyDescent="0.35">
      <c r="H13412" s="83">
        <f t="shared" si="256"/>
        <v>0</v>
      </c>
    </row>
    <row r="13413" spans="8:8" hidden="1" x14ac:dyDescent="0.35">
      <c r="H13413" s="83">
        <f t="shared" si="256"/>
        <v>0</v>
      </c>
    </row>
    <row r="13414" spans="8:8" hidden="1" x14ac:dyDescent="0.35">
      <c r="H13414" s="83">
        <f t="shared" si="256"/>
        <v>0</v>
      </c>
    </row>
    <row r="13415" spans="8:8" hidden="1" x14ac:dyDescent="0.35">
      <c r="H13415" s="83">
        <f t="shared" si="256"/>
        <v>0</v>
      </c>
    </row>
    <row r="13416" spans="8:8" hidden="1" x14ac:dyDescent="0.35">
      <c r="H13416" s="83">
        <f t="shared" si="256"/>
        <v>0</v>
      </c>
    </row>
    <row r="13417" spans="8:8" hidden="1" x14ac:dyDescent="0.35">
      <c r="H13417" s="83">
        <f t="shared" si="256"/>
        <v>0</v>
      </c>
    </row>
    <row r="13418" spans="8:8" hidden="1" x14ac:dyDescent="0.35">
      <c r="H13418" s="83">
        <f t="shared" si="256"/>
        <v>0</v>
      </c>
    </row>
    <row r="13419" spans="8:8" hidden="1" x14ac:dyDescent="0.35">
      <c r="H13419" s="83">
        <f t="shared" si="256"/>
        <v>0</v>
      </c>
    </row>
    <row r="13420" spans="8:8" hidden="1" x14ac:dyDescent="0.35">
      <c r="H13420" s="83">
        <f t="shared" si="256"/>
        <v>0</v>
      </c>
    </row>
    <row r="13421" spans="8:8" hidden="1" x14ac:dyDescent="0.35">
      <c r="H13421" s="83">
        <f t="shared" si="256"/>
        <v>0</v>
      </c>
    </row>
    <row r="13422" spans="8:8" hidden="1" x14ac:dyDescent="0.35">
      <c r="H13422" s="83">
        <f t="shared" si="256"/>
        <v>0</v>
      </c>
    </row>
    <row r="13423" spans="8:8" hidden="1" x14ac:dyDescent="0.35">
      <c r="H13423" s="83">
        <f t="shared" si="256"/>
        <v>0</v>
      </c>
    </row>
    <row r="13424" spans="8:8" hidden="1" x14ac:dyDescent="0.35">
      <c r="H13424" s="83">
        <f t="shared" si="256"/>
        <v>0</v>
      </c>
    </row>
    <row r="13425" spans="8:8" hidden="1" x14ac:dyDescent="0.35">
      <c r="H13425" s="83">
        <f t="shared" si="256"/>
        <v>0</v>
      </c>
    </row>
    <row r="13426" spans="8:8" hidden="1" x14ac:dyDescent="0.35">
      <c r="H13426" s="83">
        <f t="shared" si="256"/>
        <v>0</v>
      </c>
    </row>
    <row r="13427" spans="8:8" hidden="1" x14ac:dyDescent="0.35">
      <c r="H13427" s="83">
        <f t="shared" si="256"/>
        <v>0</v>
      </c>
    </row>
    <row r="13428" spans="8:8" hidden="1" x14ac:dyDescent="0.35">
      <c r="H13428" s="83">
        <f t="shared" si="256"/>
        <v>0</v>
      </c>
    </row>
    <row r="13429" spans="8:8" hidden="1" x14ac:dyDescent="0.35">
      <c r="H13429" s="83">
        <f t="shared" si="256"/>
        <v>0</v>
      </c>
    </row>
    <row r="13430" spans="8:8" hidden="1" x14ac:dyDescent="0.35">
      <c r="H13430" s="83">
        <f t="shared" si="256"/>
        <v>0</v>
      </c>
    </row>
    <row r="13431" spans="8:8" hidden="1" x14ac:dyDescent="0.35">
      <c r="H13431" s="83">
        <f t="shared" si="256"/>
        <v>0</v>
      </c>
    </row>
    <row r="13432" spans="8:8" hidden="1" x14ac:dyDescent="0.35">
      <c r="H13432" s="83">
        <f t="shared" si="256"/>
        <v>0</v>
      </c>
    </row>
    <row r="13433" spans="8:8" hidden="1" x14ac:dyDescent="0.35">
      <c r="H13433" s="83">
        <f t="shared" si="256"/>
        <v>0</v>
      </c>
    </row>
    <row r="13434" spans="8:8" hidden="1" x14ac:dyDescent="0.35">
      <c r="H13434" s="83">
        <f t="shared" si="256"/>
        <v>0</v>
      </c>
    </row>
    <row r="13435" spans="8:8" hidden="1" x14ac:dyDescent="0.35">
      <c r="H13435" s="83">
        <f t="shared" si="256"/>
        <v>0</v>
      </c>
    </row>
    <row r="13436" spans="8:8" hidden="1" x14ac:dyDescent="0.35">
      <c r="H13436" s="83">
        <f t="shared" si="256"/>
        <v>0</v>
      </c>
    </row>
    <row r="13437" spans="8:8" hidden="1" x14ac:dyDescent="0.35">
      <c r="H13437" s="83">
        <f t="shared" si="256"/>
        <v>0</v>
      </c>
    </row>
    <row r="13438" spans="8:8" hidden="1" x14ac:dyDescent="0.35">
      <c r="H13438" s="83">
        <f t="shared" si="256"/>
        <v>0</v>
      </c>
    </row>
    <row r="13439" spans="8:8" hidden="1" x14ac:dyDescent="0.35">
      <c r="H13439" s="83">
        <f t="shared" si="256"/>
        <v>0</v>
      </c>
    </row>
    <row r="13440" spans="8:8" hidden="1" x14ac:dyDescent="0.35">
      <c r="H13440" s="83">
        <f t="shared" si="256"/>
        <v>0</v>
      </c>
    </row>
    <row r="13441" spans="8:8" hidden="1" x14ac:dyDescent="0.35">
      <c r="H13441" s="83">
        <f t="shared" si="256"/>
        <v>0</v>
      </c>
    </row>
    <row r="13442" spans="8:8" hidden="1" x14ac:dyDescent="0.35">
      <c r="H13442" s="83">
        <f t="shared" si="256"/>
        <v>0</v>
      </c>
    </row>
    <row r="13443" spans="8:8" hidden="1" x14ac:dyDescent="0.35">
      <c r="H13443" s="83">
        <f t="shared" si="256"/>
        <v>0</v>
      </c>
    </row>
    <row r="13444" spans="8:8" hidden="1" x14ac:dyDescent="0.35">
      <c r="H13444" s="83">
        <f t="shared" ref="H13444:H13507" si="257">J13444-I13444</f>
        <v>0</v>
      </c>
    </row>
    <row r="13445" spans="8:8" hidden="1" x14ac:dyDescent="0.35">
      <c r="H13445" s="83">
        <f t="shared" si="257"/>
        <v>0</v>
      </c>
    </row>
    <row r="13446" spans="8:8" hidden="1" x14ac:dyDescent="0.35">
      <c r="H13446" s="83">
        <f t="shared" si="257"/>
        <v>0</v>
      </c>
    </row>
    <row r="13447" spans="8:8" hidden="1" x14ac:dyDescent="0.35">
      <c r="H13447" s="83">
        <f t="shared" si="257"/>
        <v>0</v>
      </c>
    </row>
    <row r="13448" spans="8:8" hidden="1" x14ac:dyDescent="0.35">
      <c r="H13448" s="83">
        <f t="shared" si="257"/>
        <v>0</v>
      </c>
    </row>
    <row r="13449" spans="8:8" hidden="1" x14ac:dyDescent="0.35">
      <c r="H13449" s="83">
        <f t="shared" si="257"/>
        <v>0</v>
      </c>
    </row>
    <row r="13450" spans="8:8" hidden="1" x14ac:dyDescent="0.35">
      <c r="H13450" s="83">
        <f t="shared" si="257"/>
        <v>0</v>
      </c>
    </row>
    <row r="13451" spans="8:8" hidden="1" x14ac:dyDescent="0.35">
      <c r="H13451" s="83">
        <f t="shared" si="257"/>
        <v>0</v>
      </c>
    </row>
    <row r="13452" spans="8:8" hidden="1" x14ac:dyDescent="0.35">
      <c r="H13452" s="83">
        <f t="shared" si="257"/>
        <v>0</v>
      </c>
    </row>
    <row r="13453" spans="8:8" hidden="1" x14ac:dyDescent="0.35">
      <c r="H13453" s="83">
        <f t="shared" si="257"/>
        <v>0</v>
      </c>
    </row>
    <row r="13454" spans="8:8" hidden="1" x14ac:dyDescent="0.35">
      <c r="H13454" s="83">
        <f t="shared" si="257"/>
        <v>0</v>
      </c>
    </row>
    <row r="13455" spans="8:8" hidden="1" x14ac:dyDescent="0.35">
      <c r="H13455" s="83">
        <f t="shared" si="257"/>
        <v>0</v>
      </c>
    </row>
    <row r="13456" spans="8:8" hidden="1" x14ac:dyDescent="0.35">
      <c r="H13456" s="83">
        <f t="shared" si="257"/>
        <v>0</v>
      </c>
    </row>
    <row r="13457" spans="8:8" hidden="1" x14ac:dyDescent="0.35">
      <c r="H13457" s="83">
        <f t="shared" si="257"/>
        <v>0</v>
      </c>
    </row>
    <row r="13458" spans="8:8" hidden="1" x14ac:dyDescent="0.35">
      <c r="H13458" s="83">
        <f t="shared" si="257"/>
        <v>0</v>
      </c>
    </row>
    <row r="13459" spans="8:8" hidden="1" x14ac:dyDescent="0.35">
      <c r="H13459" s="83">
        <f t="shared" si="257"/>
        <v>0</v>
      </c>
    </row>
    <row r="13460" spans="8:8" hidden="1" x14ac:dyDescent="0.35">
      <c r="H13460" s="83">
        <f t="shared" si="257"/>
        <v>0</v>
      </c>
    </row>
    <row r="13461" spans="8:8" hidden="1" x14ac:dyDescent="0.35">
      <c r="H13461" s="83">
        <f t="shared" si="257"/>
        <v>0</v>
      </c>
    </row>
    <row r="13462" spans="8:8" hidden="1" x14ac:dyDescent="0.35">
      <c r="H13462" s="83">
        <f t="shared" si="257"/>
        <v>0</v>
      </c>
    </row>
    <row r="13463" spans="8:8" hidden="1" x14ac:dyDescent="0.35">
      <c r="H13463" s="83">
        <f t="shared" si="257"/>
        <v>0</v>
      </c>
    </row>
    <row r="13464" spans="8:8" hidden="1" x14ac:dyDescent="0.35">
      <c r="H13464" s="83">
        <f t="shared" si="257"/>
        <v>0</v>
      </c>
    </row>
    <row r="13465" spans="8:8" hidden="1" x14ac:dyDescent="0.35">
      <c r="H13465" s="83">
        <f t="shared" si="257"/>
        <v>0</v>
      </c>
    </row>
    <row r="13466" spans="8:8" hidden="1" x14ac:dyDescent="0.35">
      <c r="H13466" s="83">
        <f t="shared" si="257"/>
        <v>0</v>
      </c>
    </row>
    <row r="13467" spans="8:8" hidden="1" x14ac:dyDescent="0.35">
      <c r="H13467" s="83">
        <f t="shared" si="257"/>
        <v>0</v>
      </c>
    </row>
    <row r="13468" spans="8:8" hidden="1" x14ac:dyDescent="0.35">
      <c r="H13468" s="83">
        <f t="shared" si="257"/>
        <v>0</v>
      </c>
    </row>
    <row r="13469" spans="8:8" hidden="1" x14ac:dyDescent="0.35">
      <c r="H13469" s="83">
        <f t="shared" si="257"/>
        <v>0</v>
      </c>
    </row>
    <row r="13470" spans="8:8" hidden="1" x14ac:dyDescent="0.35">
      <c r="H13470" s="83">
        <f t="shared" si="257"/>
        <v>0</v>
      </c>
    </row>
    <row r="13471" spans="8:8" hidden="1" x14ac:dyDescent="0.35">
      <c r="H13471" s="83">
        <f t="shared" si="257"/>
        <v>0</v>
      </c>
    </row>
    <row r="13472" spans="8:8" hidden="1" x14ac:dyDescent="0.35">
      <c r="H13472" s="83">
        <f t="shared" si="257"/>
        <v>0</v>
      </c>
    </row>
    <row r="13473" spans="8:8" hidden="1" x14ac:dyDescent="0.35">
      <c r="H13473" s="83">
        <f t="shared" si="257"/>
        <v>0</v>
      </c>
    </row>
    <row r="13474" spans="8:8" hidden="1" x14ac:dyDescent="0.35">
      <c r="H13474" s="83">
        <f t="shared" si="257"/>
        <v>0</v>
      </c>
    </row>
    <row r="13475" spans="8:8" hidden="1" x14ac:dyDescent="0.35">
      <c r="H13475" s="83">
        <f t="shared" si="257"/>
        <v>0</v>
      </c>
    </row>
    <row r="13476" spans="8:8" hidden="1" x14ac:dyDescent="0.35">
      <c r="H13476" s="83">
        <f t="shared" si="257"/>
        <v>0</v>
      </c>
    </row>
    <row r="13477" spans="8:8" hidden="1" x14ac:dyDescent="0.35">
      <c r="H13477" s="83">
        <f t="shared" si="257"/>
        <v>0</v>
      </c>
    </row>
    <row r="13478" spans="8:8" hidden="1" x14ac:dyDescent="0.35">
      <c r="H13478" s="83">
        <f t="shared" si="257"/>
        <v>0</v>
      </c>
    </row>
    <row r="13479" spans="8:8" hidden="1" x14ac:dyDescent="0.35">
      <c r="H13479" s="83">
        <f t="shared" si="257"/>
        <v>0</v>
      </c>
    </row>
    <row r="13480" spans="8:8" hidden="1" x14ac:dyDescent="0.35">
      <c r="H13480" s="83">
        <f t="shared" si="257"/>
        <v>0</v>
      </c>
    </row>
    <row r="13481" spans="8:8" hidden="1" x14ac:dyDescent="0.35">
      <c r="H13481" s="83">
        <f t="shared" si="257"/>
        <v>0</v>
      </c>
    </row>
    <row r="13482" spans="8:8" hidden="1" x14ac:dyDescent="0.35">
      <c r="H13482" s="83">
        <f t="shared" si="257"/>
        <v>0</v>
      </c>
    </row>
    <row r="13483" spans="8:8" hidden="1" x14ac:dyDescent="0.35">
      <c r="H13483" s="83">
        <f t="shared" si="257"/>
        <v>0</v>
      </c>
    </row>
    <row r="13484" spans="8:8" hidden="1" x14ac:dyDescent="0.35">
      <c r="H13484" s="83">
        <f t="shared" si="257"/>
        <v>0</v>
      </c>
    </row>
    <row r="13485" spans="8:8" hidden="1" x14ac:dyDescent="0.35">
      <c r="H13485" s="83">
        <f t="shared" si="257"/>
        <v>0</v>
      </c>
    </row>
    <row r="13486" spans="8:8" hidden="1" x14ac:dyDescent="0.35">
      <c r="H13486" s="83">
        <f t="shared" si="257"/>
        <v>0</v>
      </c>
    </row>
    <row r="13487" spans="8:8" hidden="1" x14ac:dyDescent="0.35">
      <c r="H13487" s="83">
        <f t="shared" si="257"/>
        <v>0</v>
      </c>
    </row>
    <row r="13488" spans="8:8" hidden="1" x14ac:dyDescent="0.35">
      <c r="H13488" s="83">
        <f t="shared" si="257"/>
        <v>0</v>
      </c>
    </row>
    <row r="13489" spans="8:8" hidden="1" x14ac:dyDescent="0.35">
      <c r="H13489" s="83">
        <f t="shared" si="257"/>
        <v>0</v>
      </c>
    </row>
    <row r="13490" spans="8:8" hidden="1" x14ac:dyDescent="0.35">
      <c r="H13490" s="83">
        <f t="shared" si="257"/>
        <v>0</v>
      </c>
    </row>
    <row r="13491" spans="8:8" hidden="1" x14ac:dyDescent="0.35">
      <c r="H13491" s="83">
        <f t="shared" si="257"/>
        <v>0</v>
      </c>
    </row>
    <row r="13492" spans="8:8" hidden="1" x14ac:dyDescent="0.35">
      <c r="H13492" s="83">
        <f t="shared" si="257"/>
        <v>0</v>
      </c>
    </row>
    <row r="13493" spans="8:8" hidden="1" x14ac:dyDescent="0.35">
      <c r="H13493" s="83">
        <f t="shared" si="257"/>
        <v>0</v>
      </c>
    </row>
    <row r="13494" spans="8:8" hidden="1" x14ac:dyDescent="0.35">
      <c r="H13494" s="83">
        <f t="shared" si="257"/>
        <v>0</v>
      </c>
    </row>
    <row r="13495" spans="8:8" hidden="1" x14ac:dyDescent="0.35">
      <c r="H13495" s="83">
        <f t="shared" si="257"/>
        <v>0</v>
      </c>
    </row>
    <row r="13496" spans="8:8" hidden="1" x14ac:dyDescent="0.35">
      <c r="H13496" s="83">
        <f t="shared" si="257"/>
        <v>0</v>
      </c>
    </row>
    <row r="13497" spans="8:8" hidden="1" x14ac:dyDescent="0.35">
      <c r="H13497" s="83">
        <f t="shared" si="257"/>
        <v>0</v>
      </c>
    </row>
    <row r="13498" spans="8:8" hidden="1" x14ac:dyDescent="0.35">
      <c r="H13498" s="83">
        <f t="shared" si="257"/>
        <v>0</v>
      </c>
    </row>
    <row r="13499" spans="8:8" hidden="1" x14ac:dyDescent="0.35">
      <c r="H13499" s="83">
        <f t="shared" si="257"/>
        <v>0</v>
      </c>
    </row>
    <row r="13500" spans="8:8" hidden="1" x14ac:dyDescent="0.35">
      <c r="H13500" s="83">
        <f t="shared" si="257"/>
        <v>0</v>
      </c>
    </row>
    <row r="13501" spans="8:8" hidden="1" x14ac:dyDescent="0.35">
      <c r="H13501" s="83">
        <f t="shared" si="257"/>
        <v>0</v>
      </c>
    </row>
    <row r="13502" spans="8:8" hidden="1" x14ac:dyDescent="0.35">
      <c r="H13502" s="83">
        <f t="shared" si="257"/>
        <v>0</v>
      </c>
    </row>
    <row r="13503" spans="8:8" hidden="1" x14ac:dyDescent="0.35">
      <c r="H13503" s="83">
        <f t="shared" si="257"/>
        <v>0</v>
      </c>
    </row>
    <row r="13504" spans="8:8" hidden="1" x14ac:dyDescent="0.35">
      <c r="H13504" s="83">
        <f t="shared" si="257"/>
        <v>0</v>
      </c>
    </row>
    <row r="13505" spans="8:8" hidden="1" x14ac:dyDescent="0.35">
      <c r="H13505" s="83">
        <f t="shared" si="257"/>
        <v>0</v>
      </c>
    </row>
    <row r="13506" spans="8:8" hidden="1" x14ac:dyDescent="0.35">
      <c r="H13506" s="83">
        <f t="shared" si="257"/>
        <v>0</v>
      </c>
    </row>
    <row r="13507" spans="8:8" hidden="1" x14ac:dyDescent="0.35">
      <c r="H13507" s="83">
        <f t="shared" si="257"/>
        <v>0</v>
      </c>
    </row>
    <row r="13508" spans="8:8" hidden="1" x14ac:dyDescent="0.35">
      <c r="H13508" s="83">
        <f t="shared" ref="H13508:H13571" si="258">J13508-I13508</f>
        <v>0</v>
      </c>
    </row>
    <row r="13509" spans="8:8" hidden="1" x14ac:dyDescent="0.35">
      <c r="H13509" s="83">
        <f t="shared" si="258"/>
        <v>0</v>
      </c>
    </row>
    <row r="13510" spans="8:8" hidden="1" x14ac:dyDescent="0.35">
      <c r="H13510" s="83">
        <f t="shared" si="258"/>
        <v>0</v>
      </c>
    </row>
    <row r="13511" spans="8:8" hidden="1" x14ac:dyDescent="0.35">
      <c r="H13511" s="83">
        <f t="shared" si="258"/>
        <v>0</v>
      </c>
    </row>
    <row r="13512" spans="8:8" hidden="1" x14ac:dyDescent="0.35">
      <c r="H13512" s="83">
        <f t="shared" si="258"/>
        <v>0</v>
      </c>
    </row>
    <row r="13513" spans="8:8" hidden="1" x14ac:dyDescent="0.35">
      <c r="H13513" s="83">
        <f t="shared" si="258"/>
        <v>0</v>
      </c>
    </row>
    <row r="13514" spans="8:8" hidden="1" x14ac:dyDescent="0.35">
      <c r="H13514" s="83">
        <f t="shared" si="258"/>
        <v>0</v>
      </c>
    </row>
    <row r="13515" spans="8:8" hidden="1" x14ac:dyDescent="0.35">
      <c r="H13515" s="83">
        <f t="shared" si="258"/>
        <v>0</v>
      </c>
    </row>
    <row r="13516" spans="8:8" hidden="1" x14ac:dyDescent="0.35">
      <c r="H13516" s="83">
        <f t="shared" si="258"/>
        <v>0</v>
      </c>
    </row>
    <row r="13517" spans="8:8" hidden="1" x14ac:dyDescent="0.35">
      <c r="H13517" s="83">
        <f t="shared" si="258"/>
        <v>0</v>
      </c>
    </row>
    <row r="13518" spans="8:8" hidden="1" x14ac:dyDescent="0.35">
      <c r="H13518" s="83">
        <f t="shared" si="258"/>
        <v>0</v>
      </c>
    </row>
    <row r="13519" spans="8:8" hidden="1" x14ac:dyDescent="0.35">
      <c r="H13519" s="83">
        <f t="shared" si="258"/>
        <v>0</v>
      </c>
    </row>
    <row r="13520" spans="8:8" hidden="1" x14ac:dyDescent="0.35">
      <c r="H13520" s="83">
        <f t="shared" si="258"/>
        <v>0</v>
      </c>
    </row>
    <row r="13521" spans="8:8" hidden="1" x14ac:dyDescent="0.35">
      <c r="H13521" s="83">
        <f t="shared" si="258"/>
        <v>0</v>
      </c>
    </row>
    <row r="13522" spans="8:8" hidden="1" x14ac:dyDescent="0.35">
      <c r="H13522" s="83">
        <f t="shared" si="258"/>
        <v>0</v>
      </c>
    </row>
    <row r="13523" spans="8:8" hidden="1" x14ac:dyDescent="0.35">
      <c r="H13523" s="83">
        <f t="shared" si="258"/>
        <v>0</v>
      </c>
    </row>
    <row r="13524" spans="8:8" hidden="1" x14ac:dyDescent="0.35">
      <c r="H13524" s="83">
        <f t="shared" si="258"/>
        <v>0</v>
      </c>
    </row>
    <row r="13525" spans="8:8" hidden="1" x14ac:dyDescent="0.35">
      <c r="H13525" s="83">
        <f t="shared" si="258"/>
        <v>0</v>
      </c>
    </row>
    <row r="13526" spans="8:8" hidden="1" x14ac:dyDescent="0.35">
      <c r="H13526" s="83">
        <f t="shared" si="258"/>
        <v>0</v>
      </c>
    </row>
    <row r="13527" spans="8:8" hidden="1" x14ac:dyDescent="0.35">
      <c r="H13527" s="83">
        <f t="shared" si="258"/>
        <v>0</v>
      </c>
    </row>
    <row r="13528" spans="8:8" hidden="1" x14ac:dyDescent="0.35">
      <c r="H13528" s="83">
        <f t="shared" si="258"/>
        <v>0</v>
      </c>
    </row>
    <row r="13529" spans="8:8" hidden="1" x14ac:dyDescent="0.35">
      <c r="H13529" s="83">
        <f t="shared" si="258"/>
        <v>0</v>
      </c>
    </row>
    <row r="13530" spans="8:8" hidden="1" x14ac:dyDescent="0.35">
      <c r="H13530" s="83">
        <f t="shared" si="258"/>
        <v>0</v>
      </c>
    </row>
    <row r="13531" spans="8:8" hidden="1" x14ac:dyDescent="0.35">
      <c r="H13531" s="83">
        <f t="shared" si="258"/>
        <v>0</v>
      </c>
    </row>
    <row r="13532" spans="8:8" hidden="1" x14ac:dyDescent="0.35">
      <c r="H13532" s="83">
        <f t="shared" si="258"/>
        <v>0</v>
      </c>
    </row>
    <row r="13533" spans="8:8" hidden="1" x14ac:dyDescent="0.35">
      <c r="H13533" s="83">
        <f t="shared" si="258"/>
        <v>0</v>
      </c>
    </row>
    <row r="13534" spans="8:8" hidden="1" x14ac:dyDescent="0.35">
      <c r="H13534" s="83">
        <f t="shared" si="258"/>
        <v>0</v>
      </c>
    </row>
    <row r="13535" spans="8:8" hidden="1" x14ac:dyDescent="0.35">
      <c r="H13535" s="83">
        <f t="shared" si="258"/>
        <v>0</v>
      </c>
    </row>
    <row r="13536" spans="8:8" hidden="1" x14ac:dyDescent="0.35">
      <c r="H13536" s="83">
        <f t="shared" si="258"/>
        <v>0</v>
      </c>
    </row>
    <row r="13537" spans="8:8" hidden="1" x14ac:dyDescent="0.35">
      <c r="H13537" s="83">
        <f t="shared" si="258"/>
        <v>0</v>
      </c>
    </row>
    <row r="13538" spans="8:8" hidden="1" x14ac:dyDescent="0.35">
      <c r="H13538" s="83">
        <f t="shared" si="258"/>
        <v>0</v>
      </c>
    </row>
    <row r="13539" spans="8:8" hidden="1" x14ac:dyDescent="0.35">
      <c r="H13539" s="83">
        <f t="shared" si="258"/>
        <v>0</v>
      </c>
    </row>
    <row r="13540" spans="8:8" hidden="1" x14ac:dyDescent="0.35">
      <c r="H13540" s="83">
        <f t="shared" si="258"/>
        <v>0</v>
      </c>
    </row>
    <row r="13541" spans="8:8" hidden="1" x14ac:dyDescent="0.35">
      <c r="H13541" s="83">
        <f t="shared" si="258"/>
        <v>0</v>
      </c>
    </row>
    <row r="13542" spans="8:8" hidden="1" x14ac:dyDescent="0.35">
      <c r="H13542" s="83">
        <f t="shared" si="258"/>
        <v>0</v>
      </c>
    </row>
    <row r="13543" spans="8:8" hidden="1" x14ac:dyDescent="0.35">
      <c r="H13543" s="83">
        <f t="shared" si="258"/>
        <v>0</v>
      </c>
    </row>
    <row r="13544" spans="8:8" hidden="1" x14ac:dyDescent="0.35">
      <c r="H13544" s="83">
        <f t="shared" si="258"/>
        <v>0</v>
      </c>
    </row>
    <row r="13545" spans="8:8" hidden="1" x14ac:dyDescent="0.35">
      <c r="H13545" s="83">
        <f t="shared" si="258"/>
        <v>0</v>
      </c>
    </row>
    <row r="13546" spans="8:8" hidden="1" x14ac:dyDescent="0.35">
      <c r="H13546" s="83">
        <f t="shared" si="258"/>
        <v>0</v>
      </c>
    </row>
    <row r="13547" spans="8:8" hidden="1" x14ac:dyDescent="0.35">
      <c r="H13547" s="83">
        <f t="shared" si="258"/>
        <v>0</v>
      </c>
    </row>
    <row r="13548" spans="8:8" hidden="1" x14ac:dyDescent="0.35">
      <c r="H13548" s="83">
        <f t="shared" si="258"/>
        <v>0</v>
      </c>
    </row>
    <row r="13549" spans="8:8" hidden="1" x14ac:dyDescent="0.35">
      <c r="H13549" s="83">
        <f t="shared" si="258"/>
        <v>0</v>
      </c>
    </row>
    <row r="13550" spans="8:8" hidden="1" x14ac:dyDescent="0.35">
      <c r="H13550" s="83">
        <f t="shared" si="258"/>
        <v>0</v>
      </c>
    </row>
    <row r="13551" spans="8:8" hidden="1" x14ac:dyDescent="0.35">
      <c r="H13551" s="83">
        <f t="shared" si="258"/>
        <v>0</v>
      </c>
    </row>
    <row r="13552" spans="8:8" hidden="1" x14ac:dyDescent="0.35">
      <c r="H13552" s="83">
        <f t="shared" si="258"/>
        <v>0</v>
      </c>
    </row>
    <row r="13553" spans="8:8" hidden="1" x14ac:dyDescent="0.35">
      <c r="H13553" s="83">
        <f t="shared" si="258"/>
        <v>0</v>
      </c>
    </row>
    <row r="13554" spans="8:8" hidden="1" x14ac:dyDescent="0.35">
      <c r="H13554" s="83">
        <f t="shared" si="258"/>
        <v>0</v>
      </c>
    </row>
    <row r="13555" spans="8:8" hidden="1" x14ac:dyDescent="0.35">
      <c r="H13555" s="83">
        <f t="shared" si="258"/>
        <v>0</v>
      </c>
    </row>
    <row r="13556" spans="8:8" hidden="1" x14ac:dyDescent="0.35">
      <c r="H13556" s="83">
        <f t="shared" si="258"/>
        <v>0</v>
      </c>
    </row>
    <row r="13557" spans="8:8" hidden="1" x14ac:dyDescent="0.35">
      <c r="H13557" s="83">
        <f t="shared" si="258"/>
        <v>0</v>
      </c>
    </row>
    <row r="13558" spans="8:8" hidden="1" x14ac:dyDescent="0.35">
      <c r="H13558" s="83">
        <f t="shared" si="258"/>
        <v>0</v>
      </c>
    </row>
    <row r="13559" spans="8:8" hidden="1" x14ac:dyDescent="0.35">
      <c r="H13559" s="83">
        <f t="shared" si="258"/>
        <v>0</v>
      </c>
    </row>
    <row r="13560" spans="8:8" hidden="1" x14ac:dyDescent="0.35">
      <c r="H13560" s="83">
        <f t="shared" si="258"/>
        <v>0</v>
      </c>
    </row>
    <row r="13561" spans="8:8" hidden="1" x14ac:dyDescent="0.35">
      <c r="H13561" s="83">
        <f t="shared" si="258"/>
        <v>0</v>
      </c>
    </row>
    <row r="13562" spans="8:8" hidden="1" x14ac:dyDescent="0.35">
      <c r="H13562" s="83">
        <f t="shared" si="258"/>
        <v>0</v>
      </c>
    </row>
    <row r="13563" spans="8:8" hidden="1" x14ac:dyDescent="0.35">
      <c r="H13563" s="83">
        <f t="shared" si="258"/>
        <v>0</v>
      </c>
    </row>
    <row r="13564" spans="8:8" hidden="1" x14ac:dyDescent="0.35">
      <c r="H13564" s="83">
        <f t="shared" si="258"/>
        <v>0</v>
      </c>
    </row>
    <row r="13565" spans="8:8" hidden="1" x14ac:dyDescent="0.35">
      <c r="H13565" s="83">
        <f t="shared" si="258"/>
        <v>0</v>
      </c>
    </row>
    <row r="13566" spans="8:8" hidden="1" x14ac:dyDescent="0.35">
      <c r="H13566" s="83">
        <f t="shared" si="258"/>
        <v>0</v>
      </c>
    </row>
    <row r="13567" spans="8:8" hidden="1" x14ac:dyDescent="0.35">
      <c r="H13567" s="83">
        <f t="shared" si="258"/>
        <v>0</v>
      </c>
    </row>
    <row r="13568" spans="8:8" hidden="1" x14ac:dyDescent="0.35">
      <c r="H13568" s="83">
        <f t="shared" si="258"/>
        <v>0</v>
      </c>
    </row>
    <row r="13569" spans="8:8" hidden="1" x14ac:dyDescent="0.35">
      <c r="H13569" s="83">
        <f t="shared" si="258"/>
        <v>0</v>
      </c>
    </row>
    <row r="13570" spans="8:8" hidden="1" x14ac:dyDescent="0.35">
      <c r="H13570" s="83">
        <f t="shared" si="258"/>
        <v>0</v>
      </c>
    </row>
    <row r="13571" spans="8:8" hidden="1" x14ac:dyDescent="0.35">
      <c r="H13571" s="83">
        <f t="shared" si="258"/>
        <v>0</v>
      </c>
    </row>
    <row r="13572" spans="8:8" hidden="1" x14ac:dyDescent="0.35">
      <c r="H13572" s="83">
        <f t="shared" ref="H13572:H13628" si="259">J13572-I13572</f>
        <v>0</v>
      </c>
    </row>
    <row r="13573" spans="8:8" hidden="1" x14ac:dyDescent="0.35">
      <c r="H13573" s="83">
        <f t="shared" si="259"/>
        <v>0</v>
      </c>
    </row>
    <row r="13574" spans="8:8" hidden="1" x14ac:dyDescent="0.35">
      <c r="H13574" s="83">
        <f t="shared" si="259"/>
        <v>0</v>
      </c>
    </row>
    <row r="13575" spans="8:8" hidden="1" x14ac:dyDescent="0.35">
      <c r="H13575" s="83">
        <f t="shared" si="259"/>
        <v>0</v>
      </c>
    </row>
    <row r="13576" spans="8:8" hidden="1" x14ac:dyDescent="0.35">
      <c r="H13576" s="83">
        <f t="shared" si="259"/>
        <v>0</v>
      </c>
    </row>
    <row r="13577" spans="8:8" hidden="1" x14ac:dyDescent="0.35">
      <c r="H13577" s="83">
        <f t="shared" si="259"/>
        <v>0</v>
      </c>
    </row>
    <row r="13578" spans="8:8" hidden="1" x14ac:dyDescent="0.35">
      <c r="H13578" s="83">
        <f t="shared" si="259"/>
        <v>0</v>
      </c>
    </row>
    <row r="13579" spans="8:8" hidden="1" x14ac:dyDescent="0.35">
      <c r="H13579" s="83">
        <f t="shared" si="259"/>
        <v>0</v>
      </c>
    </row>
    <row r="13580" spans="8:8" hidden="1" x14ac:dyDescent="0.35">
      <c r="H13580" s="83">
        <f t="shared" si="259"/>
        <v>0</v>
      </c>
    </row>
    <row r="13581" spans="8:8" hidden="1" x14ac:dyDescent="0.35">
      <c r="H13581" s="83">
        <f t="shared" si="259"/>
        <v>0</v>
      </c>
    </row>
    <row r="13582" spans="8:8" hidden="1" x14ac:dyDescent="0.35">
      <c r="H13582" s="83">
        <f t="shared" si="259"/>
        <v>0</v>
      </c>
    </row>
    <row r="13583" spans="8:8" hidden="1" x14ac:dyDescent="0.35">
      <c r="H13583" s="83">
        <f t="shared" si="259"/>
        <v>0</v>
      </c>
    </row>
    <row r="13584" spans="8:8" hidden="1" x14ac:dyDescent="0.35">
      <c r="H13584" s="83">
        <f t="shared" si="259"/>
        <v>0</v>
      </c>
    </row>
    <row r="13585" spans="8:8" hidden="1" x14ac:dyDescent="0.35">
      <c r="H13585" s="83">
        <f t="shared" si="259"/>
        <v>0</v>
      </c>
    </row>
    <row r="13586" spans="8:8" hidden="1" x14ac:dyDescent="0.35">
      <c r="H13586" s="83">
        <f t="shared" si="259"/>
        <v>0</v>
      </c>
    </row>
    <row r="13587" spans="8:8" hidden="1" x14ac:dyDescent="0.35">
      <c r="H13587" s="83">
        <f t="shared" si="259"/>
        <v>0</v>
      </c>
    </row>
    <row r="13588" spans="8:8" hidden="1" x14ac:dyDescent="0.35">
      <c r="H13588" s="83">
        <f t="shared" si="259"/>
        <v>0</v>
      </c>
    </row>
    <row r="13589" spans="8:8" hidden="1" x14ac:dyDescent="0.35">
      <c r="H13589" s="83">
        <f t="shared" si="259"/>
        <v>0</v>
      </c>
    </row>
    <row r="13590" spans="8:8" hidden="1" x14ac:dyDescent="0.35">
      <c r="H13590" s="83">
        <f t="shared" si="259"/>
        <v>0</v>
      </c>
    </row>
    <row r="13591" spans="8:8" hidden="1" x14ac:dyDescent="0.35">
      <c r="H13591" s="83">
        <f t="shared" si="259"/>
        <v>0</v>
      </c>
    </row>
    <row r="13592" spans="8:8" hidden="1" x14ac:dyDescent="0.35">
      <c r="H13592" s="83">
        <f t="shared" si="259"/>
        <v>0</v>
      </c>
    </row>
    <row r="13593" spans="8:8" hidden="1" x14ac:dyDescent="0.35">
      <c r="H13593" s="83">
        <f t="shared" si="259"/>
        <v>0</v>
      </c>
    </row>
    <row r="13594" spans="8:8" hidden="1" x14ac:dyDescent="0.35">
      <c r="H13594" s="83">
        <f t="shared" si="259"/>
        <v>0</v>
      </c>
    </row>
    <row r="13595" spans="8:8" hidden="1" x14ac:dyDescent="0.35">
      <c r="H13595" s="83">
        <f t="shared" si="259"/>
        <v>0</v>
      </c>
    </row>
    <row r="13596" spans="8:8" hidden="1" x14ac:dyDescent="0.35">
      <c r="H13596" s="83">
        <f t="shared" si="259"/>
        <v>0</v>
      </c>
    </row>
    <row r="13597" spans="8:8" hidden="1" x14ac:dyDescent="0.35">
      <c r="H13597" s="83">
        <f t="shared" si="259"/>
        <v>0</v>
      </c>
    </row>
    <row r="13598" spans="8:8" hidden="1" x14ac:dyDescent="0.35">
      <c r="H13598" s="83">
        <f t="shared" si="259"/>
        <v>0</v>
      </c>
    </row>
    <row r="13599" spans="8:8" hidden="1" x14ac:dyDescent="0.35">
      <c r="H13599" s="83">
        <f t="shared" si="259"/>
        <v>0</v>
      </c>
    </row>
    <row r="13600" spans="8:8" hidden="1" x14ac:dyDescent="0.35">
      <c r="H13600" s="83">
        <f t="shared" si="259"/>
        <v>0</v>
      </c>
    </row>
    <row r="13601" spans="8:8" hidden="1" x14ac:dyDescent="0.35">
      <c r="H13601" s="83">
        <f t="shared" si="259"/>
        <v>0</v>
      </c>
    </row>
    <row r="13602" spans="8:8" hidden="1" x14ac:dyDescent="0.35">
      <c r="H13602" s="83">
        <f t="shared" si="259"/>
        <v>0</v>
      </c>
    </row>
    <row r="13603" spans="8:8" hidden="1" x14ac:dyDescent="0.35">
      <c r="H13603" s="83">
        <f t="shared" si="259"/>
        <v>0</v>
      </c>
    </row>
    <row r="13604" spans="8:8" hidden="1" x14ac:dyDescent="0.35">
      <c r="H13604" s="83">
        <f t="shared" si="259"/>
        <v>0</v>
      </c>
    </row>
    <row r="13605" spans="8:8" hidden="1" x14ac:dyDescent="0.35">
      <c r="H13605" s="83">
        <f t="shared" si="259"/>
        <v>0</v>
      </c>
    </row>
    <row r="13606" spans="8:8" hidden="1" x14ac:dyDescent="0.35">
      <c r="H13606" s="83">
        <f t="shared" si="259"/>
        <v>0</v>
      </c>
    </row>
    <row r="13607" spans="8:8" hidden="1" x14ac:dyDescent="0.35">
      <c r="H13607" s="83">
        <f t="shared" si="259"/>
        <v>0</v>
      </c>
    </row>
    <row r="13608" spans="8:8" hidden="1" x14ac:dyDescent="0.35">
      <c r="H13608" s="83">
        <f t="shared" si="259"/>
        <v>0</v>
      </c>
    </row>
    <row r="13609" spans="8:8" hidden="1" x14ac:dyDescent="0.35">
      <c r="H13609" s="83">
        <f t="shared" si="259"/>
        <v>0</v>
      </c>
    </row>
    <row r="13610" spans="8:8" hidden="1" x14ac:dyDescent="0.35">
      <c r="H13610" s="83">
        <f t="shared" si="259"/>
        <v>0</v>
      </c>
    </row>
    <row r="13611" spans="8:8" hidden="1" x14ac:dyDescent="0.35">
      <c r="H13611" s="83">
        <f t="shared" si="259"/>
        <v>0</v>
      </c>
    </row>
    <row r="13612" spans="8:8" hidden="1" x14ac:dyDescent="0.35">
      <c r="H13612" s="83">
        <f t="shared" si="259"/>
        <v>0</v>
      </c>
    </row>
    <row r="13613" spans="8:8" hidden="1" x14ac:dyDescent="0.35">
      <c r="H13613" s="83">
        <f t="shared" si="259"/>
        <v>0</v>
      </c>
    </row>
    <row r="13614" spans="8:8" hidden="1" x14ac:dyDescent="0.35">
      <c r="H13614" s="83">
        <f t="shared" si="259"/>
        <v>0</v>
      </c>
    </row>
    <row r="13615" spans="8:8" hidden="1" x14ac:dyDescent="0.35">
      <c r="H13615" s="83">
        <f t="shared" si="259"/>
        <v>0</v>
      </c>
    </row>
    <row r="13616" spans="8:8" hidden="1" x14ac:dyDescent="0.35">
      <c r="H13616" s="83">
        <f t="shared" si="259"/>
        <v>0</v>
      </c>
    </row>
    <row r="13617" spans="8:8" hidden="1" x14ac:dyDescent="0.35">
      <c r="H13617" s="83">
        <f t="shared" si="259"/>
        <v>0</v>
      </c>
    </row>
    <row r="13618" spans="8:8" hidden="1" x14ac:dyDescent="0.35">
      <c r="H13618" s="83">
        <f t="shared" si="259"/>
        <v>0</v>
      </c>
    </row>
    <row r="13619" spans="8:8" hidden="1" x14ac:dyDescent="0.35">
      <c r="H13619" s="83">
        <f t="shared" si="259"/>
        <v>0</v>
      </c>
    </row>
    <row r="13620" spans="8:8" hidden="1" x14ac:dyDescent="0.35">
      <c r="H13620" s="83">
        <f t="shared" si="259"/>
        <v>0</v>
      </c>
    </row>
    <row r="13621" spans="8:8" hidden="1" x14ac:dyDescent="0.35">
      <c r="H13621" s="83">
        <f t="shared" si="259"/>
        <v>0</v>
      </c>
    </row>
    <row r="13622" spans="8:8" hidden="1" x14ac:dyDescent="0.35">
      <c r="H13622" s="83">
        <f t="shared" si="259"/>
        <v>0</v>
      </c>
    </row>
    <row r="13623" spans="8:8" hidden="1" x14ac:dyDescent="0.35">
      <c r="H13623" s="83">
        <f t="shared" si="259"/>
        <v>0</v>
      </c>
    </row>
    <row r="13624" spans="8:8" hidden="1" x14ac:dyDescent="0.35">
      <c r="H13624" s="83">
        <f t="shared" si="259"/>
        <v>0</v>
      </c>
    </row>
    <row r="13625" spans="8:8" hidden="1" x14ac:dyDescent="0.35">
      <c r="H13625" s="83">
        <f t="shared" si="259"/>
        <v>0</v>
      </c>
    </row>
    <row r="13626" spans="8:8" hidden="1" x14ac:dyDescent="0.35">
      <c r="H13626" s="83">
        <f t="shared" si="259"/>
        <v>0</v>
      </c>
    </row>
    <row r="13627" spans="8:8" hidden="1" x14ac:dyDescent="0.35">
      <c r="H13627" s="83">
        <f t="shared" si="259"/>
        <v>0</v>
      </c>
    </row>
    <row r="13628" spans="8:8" hidden="1" x14ac:dyDescent="0.35">
      <c r="H13628" s="83">
        <f t="shared" si="259"/>
        <v>0</v>
      </c>
    </row>
  </sheetData>
  <autoFilter ref="A2:Q13628" xr:uid="{00000000-0001-0000-0500-000000000000}">
    <filterColumn colId="10">
      <filters>
        <filter val="277770098"/>
      </filters>
    </filterColumn>
  </autoFilter>
  <mergeCells count="1">
    <mergeCell ref="A1:Q1"/>
  </mergeCells>
  <conditionalFormatting sqref="M3:M1002">
    <cfRule type="cellIs" dxfId="16" priority="1" operator="equal">
      <formula>"Embarqué"</formula>
    </cfRule>
    <cfRule type="cellIs" dxfId="15" priority="2" operator="equal">
      <formula>"Gate-In fait"</formula>
    </cfRule>
    <cfRule type="cellIs" dxfId="14" priority="3" operator="equal">
      <formula>"Empoté"</formula>
    </cfRule>
    <cfRule type="cellIs" dxfId="13" priority="4" operator="equal">
      <formula>"À empoter"</formula>
    </cfRule>
  </conditionalFormatting>
  <conditionalFormatting sqref="N3:N1002">
    <cfRule type="expression" dxfId="12" priority="5">
      <formula>LEN($N3)&gt;0</formula>
    </cfRule>
  </conditionalFormatting>
  <dataValidations count="4">
    <dataValidation type="list" allowBlank="1" showErrorMessage="1" errorTitle="BL inconnu" error="Ce BL introuvable. Ajoutez-le d'abord dans la feuille Connaissements." sqref="B3:B1002" xr:uid="{00000000-0002-0000-0500-000000000000}">
      <formula1>L_BL</formula1>
    </dataValidation>
    <dataValidation type="list" errorStyle="warning" allowBlank="1" showErrorMessage="1" errorTitle="Type absent de la liste" error="Ce type n'est pas dans la feuille Listes. Cliquez sur Oui pour le garder." sqref="D3:D1002" xr:uid="{00000000-0002-0000-0500-000001000000}">
      <formula1>L_Types_Conteneur</formula1>
    </dataValidation>
    <dataValidation type="date" operator="greaterThan" allowBlank="1" showErrorMessage="1" errorTitle="Date non valide" error="Saisissez une date, par exemple 10/10/2026." sqref="E3:G1002" xr:uid="{00000000-0002-0000-0500-000002000000}">
      <formula1>36526</formula1>
    </dataValidation>
    <dataValidation type="decimal" operator="greaterThanOrEqual" allowBlank="1" showErrorMessage="1" errorTitle="Valeur non valide" error="Saisissez un nombre positif, sans texte." sqref="I3:J1002 H3:H13628" xr:uid="{00000000-0002-0000-0500-000005000000}">
      <formula1>0</formula1>
    </dataValidation>
  </dataValidations>
  <pageMargins left="0.75" right="0.75" top="1" bottom="1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  <pageSetUpPr fitToPage="1"/>
  </sheetPr>
  <dimension ref="A1:M1002"/>
  <sheetViews>
    <sheetView workbookViewId="0">
      <pane xSplit="1" ySplit="2" topLeftCell="B3" activePane="bottomRight" state="frozen"/>
      <selection pane="topRight"/>
      <selection pane="bottomLeft"/>
      <selection pane="bottomRight" activeCell="E15" sqref="E15"/>
    </sheetView>
  </sheetViews>
  <sheetFormatPr baseColWidth="10" defaultColWidth="8.7265625" defaultRowHeight="14.5" x14ac:dyDescent="0.35"/>
  <cols>
    <col min="1" max="1" width="30.6328125" style="55" customWidth="1"/>
    <col min="2" max="2" width="30" customWidth="1"/>
    <col min="3" max="3" width="25.7265625" customWidth="1"/>
    <col min="4" max="4" width="18.6328125" customWidth="1"/>
    <col min="5" max="5" width="20.36328125" customWidth="1"/>
    <col min="6" max="6" width="17.90625" customWidth="1"/>
    <col min="7" max="7" width="16" customWidth="1"/>
    <col min="8" max="8" width="56.453125" style="54" customWidth="1"/>
    <col min="9" max="9" width="24.6328125" customWidth="1"/>
    <col min="10" max="10" width="17.90625" customWidth="1"/>
    <col min="11" max="12" width="28" customWidth="1"/>
    <col min="13" max="13" width="6" hidden="1" customWidth="1"/>
  </cols>
  <sheetData>
    <row r="1" spans="1:13" ht="62" hidden="1" customHeight="1" x14ac:dyDescent="0.35">
      <c r="A1" s="49" t="s">
        <v>108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36" customHeight="1" x14ac:dyDescent="0.35">
      <c r="A2" s="12" t="s">
        <v>39</v>
      </c>
      <c r="B2" s="12" t="s">
        <v>43</v>
      </c>
      <c r="C2" s="12" t="s">
        <v>109</v>
      </c>
      <c r="D2" s="12" t="s">
        <v>44</v>
      </c>
      <c r="E2" s="12" t="s">
        <v>110</v>
      </c>
      <c r="F2" s="12" t="s">
        <v>111</v>
      </c>
      <c r="G2" s="12" t="s">
        <v>112</v>
      </c>
      <c r="H2" s="52" t="s">
        <v>82</v>
      </c>
      <c r="I2" s="20" t="s">
        <v>113</v>
      </c>
      <c r="J2" s="20" t="s">
        <v>45</v>
      </c>
      <c r="K2" s="20" t="s">
        <v>41</v>
      </c>
      <c r="L2" s="12" t="s">
        <v>114</v>
      </c>
      <c r="M2" s="20" t="s">
        <v>105</v>
      </c>
    </row>
    <row r="3" spans="1:13" x14ac:dyDescent="0.35">
      <c r="A3" s="81"/>
      <c r="B3" s="13"/>
      <c r="C3" s="21"/>
      <c r="D3" s="14"/>
      <c r="E3" s="14"/>
      <c r="F3" s="14"/>
      <c r="G3" s="21"/>
      <c r="H3" s="53" t="s">
        <v>178</v>
      </c>
      <c r="I3" s="7" t="str">
        <f t="shared" ref="I3:I66" si="0">IF($A3="","",IF($F3&lt;&gt;"","Envoyé DHL",IF($E3&lt;&gt;"","Reçu (à envoyer)",IF($D3&lt;&gt;"","Demandé (en attente)","À demander"))))</f>
        <v/>
      </c>
      <c r="J3" s="27" t="str">
        <f t="shared" ref="J3:J66" ca="1" si="1">IF(AND($A3&lt;&gt;"",$D3&lt;&gt;"",$E3=""),TODAY()-$D3,"")</f>
        <v/>
      </c>
      <c r="K3" s="7" t="str">
        <f t="shared" ref="K3:K66" si="2">IF($A3="","",IF(AND($J3&lt;&gt;"",N($J3)&gt;P_AlerteDoc),"Attente &gt; "&amp;P_AlerteDoc&amp;" jours",IF(AND($E3&lt;&gt;"",$F3=""),"Reçu : à envoyer par DHL","")))</f>
        <v/>
      </c>
      <c r="L3" s="13"/>
      <c r="M3" s="29"/>
    </row>
    <row r="4" spans="1:13" x14ac:dyDescent="0.35">
      <c r="A4" s="81"/>
      <c r="B4" s="13"/>
      <c r="C4" s="21"/>
      <c r="D4" s="14"/>
      <c r="E4" s="14"/>
      <c r="F4" s="14"/>
      <c r="G4" s="21"/>
      <c r="H4" s="53" t="s">
        <v>178</v>
      </c>
      <c r="I4" s="7" t="str">
        <f t="shared" si="0"/>
        <v/>
      </c>
      <c r="J4" s="27" t="str">
        <f t="shared" ca="1" si="1"/>
        <v/>
      </c>
      <c r="K4" s="7" t="str">
        <f t="shared" si="2"/>
        <v/>
      </c>
      <c r="L4" s="13"/>
      <c r="M4" s="29"/>
    </row>
    <row r="5" spans="1:13" x14ac:dyDescent="0.35">
      <c r="A5" s="81"/>
      <c r="B5" s="13"/>
      <c r="C5" s="21"/>
      <c r="D5" s="14"/>
      <c r="E5" s="14"/>
      <c r="F5" s="14"/>
      <c r="G5" s="21"/>
      <c r="H5" s="53" t="s">
        <v>178</v>
      </c>
      <c r="I5" s="7" t="str">
        <f t="shared" si="0"/>
        <v/>
      </c>
      <c r="J5" s="27" t="str">
        <f t="shared" ca="1" si="1"/>
        <v/>
      </c>
      <c r="K5" s="7" t="str">
        <f t="shared" si="2"/>
        <v/>
      </c>
      <c r="L5" s="13"/>
      <c r="M5" s="29" t="str">
        <f t="shared" ref="M3:M66" si="3">IF($K5&lt;&gt;"",1,"")</f>
        <v/>
      </c>
    </row>
    <row r="6" spans="1:13" x14ac:dyDescent="0.35">
      <c r="A6" s="81"/>
      <c r="B6" s="13"/>
      <c r="C6" s="21"/>
      <c r="D6" s="14"/>
      <c r="E6" s="14"/>
      <c r="F6" s="14"/>
      <c r="G6" s="21"/>
      <c r="H6" s="53" t="s">
        <v>178</v>
      </c>
      <c r="I6" s="7" t="str">
        <f t="shared" si="0"/>
        <v/>
      </c>
      <c r="J6" s="27" t="str">
        <f t="shared" ca="1" si="1"/>
        <v/>
      </c>
      <c r="K6" s="7" t="str">
        <f t="shared" si="2"/>
        <v/>
      </c>
      <c r="L6" s="13"/>
      <c r="M6" s="29" t="str">
        <f t="shared" si="3"/>
        <v/>
      </c>
    </row>
    <row r="7" spans="1:13" x14ac:dyDescent="0.35">
      <c r="A7" s="81"/>
      <c r="B7" s="13"/>
      <c r="C7" s="21"/>
      <c r="D7" s="14"/>
      <c r="E7" s="14"/>
      <c r="F7" s="14"/>
      <c r="G7" s="21"/>
      <c r="H7" s="53" t="s">
        <v>178</v>
      </c>
      <c r="I7" s="7" t="str">
        <f t="shared" si="0"/>
        <v/>
      </c>
      <c r="J7" s="27" t="str">
        <f t="shared" ca="1" si="1"/>
        <v/>
      </c>
      <c r="K7" s="7" t="str">
        <f t="shared" si="2"/>
        <v/>
      </c>
      <c r="L7" s="13"/>
      <c r="M7" s="29" t="str">
        <f t="shared" si="3"/>
        <v/>
      </c>
    </row>
    <row r="8" spans="1:13" x14ac:dyDescent="0.35">
      <c r="A8" s="81"/>
      <c r="B8" s="13"/>
      <c r="C8" s="21"/>
      <c r="D8" s="14"/>
      <c r="E8" s="14"/>
      <c r="F8" s="14"/>
      <c r="G8" s="21"/>
      <c r="H8" s="53" t="s">
        <v>178</v>
      </c>
      <c r="I8" s="7" t="str">
        <f t="shared" si="0"/>
        <v/>
      </c>
      <c r="J8" s="27" t="str">
        <f t="shared" ca="1" si="1"/>
        <v/>
      </c>
      <c r="K8" s="7" t="str">
        <f t="shared" si="2"/>
        <v/>
      </c>
      <c r="L8" s="13"/>
      <c r="M8" s="29" t="str">
        <f t="shared" si="3"/>
        <v/>
      </c>
    </row>
    <row r="9" spans="1:13" x14ac:dyDescent="0.35">
      <c r="A9" s="81"/>
      <c r="B9" s="13"/>
      <c r="C9" s="21"/>
      <c r="D9" s="14"/>
      <c r="E9" s="14"/>
      <c r="F9" s="14"/>
      <c r="G9" s="21"/>
      <c r="H9" s="53" t="s">
        <v>178</v>
      </c>
      <c r="I9" s="7" t="str">
        <f t="shared" si="0"/>
        <v/>
      </c>
      <c r="J9" s="27" t="str">
        <f t="shared" ca="1" si="1"/>
        <v/>
      </c>
      <c r="K9" s="7" t="str">
        <f t="shared" si="2"/>
        <v/>
      </c>
      <c r="L9" s="13"/>
      <c r="M9" s="29" t="str">
        <f t="shared" si="3"/>
        <v/>
      </c>
    </row>
    <row r="10" spans="1:13" x14ac:dyDescent="0.35">
      <c r="A10" s="81"/>
      <c r="B10" s="13"/>
      <c r="C10" s="21"/>
      <c r="D10" s="14"/>
      <c r="E10" s="14"/>
      <c r="F10" s="14"/>
      <c r="G10" s="21"/>
      <c r="H10" s="53"/>
      <c r="I10" s="7" t="str">
        <f t="shared" si="0"/>
        <v/>
      </c>
      <c r="J10" s="27" t="str">
        <f t="shared" ca="1" si="1"/>
        <v/>
      </c>
      <c r="K10" s="7" t="str">
        <f t="shared" si="2"/>
        <v/>
      </c>
      <c r="L10" s="13"/>
      <c r="M10" s="29" t="str">
        <f t="shared" si="3"/>
        <v/>
      </c>
    </row>
    <row r="11" spans="1:13" x14ac:dyDescent="0.35">
      <c r="A11" s="81"/>
      <c r="B11" s="13"/>
      <c r="C11" s="21"/>
      <c r="D11" s="14"/>
      <c r="E11" s="14"/>
      <c r="F11" s="14"/>
      <c r="G11" s="21"/>
      <c r="H11" s="53"/>
      <c r="I11" s="7" t="str">
        <f t="shared" si="0"/>
        <v/>
      </c>
      <c r="J11" s="27" t="str">
        <f t="shared" ca="1" si="1"/>
        <v/>
      </c>
      <c r="K11" s="7" t="str">
        <f t="shared" si="2"/>
        <v/>
      </c>
      <c r="L11" s="13"/>
      <c r="M11" s="29" t="str">
        <f t="shared" si="3"/>
        <v/>
      </c>
    </row>
    <row r="12" spans="1:13" x14ac:dyDescent="0.35">
      <c r="A12" s="81"/>
      <c r="B12" s="13"/>
      <c r="C12" s="21"/>
      <c r="D12" s="14"/>
      <c r="E12" s="14"/>
      <c r="F12" s="14"/>
      <c r="G12" s="21"/>
      <c r="H12" s="53"/>
      <c r="I12" s="7" t="str">
        <f t="shared" si="0"/>
        <v/>
      </c>
      <c r="J12" s="27" t="str">
        <f t="shared" ca="1" si="1"/>
        <v/>
      </c>
      <c r="K12" s="7" t="str">
        <f t="shared" si="2"/>
        <v/>
      </c>
      <c r="L12" s="13"/>
      <c r="M12" s="29" t="str">
        <f t="shared" si="3"/>
        <v/>
      </c>
    </row>
    <row r="13" spans="1:13" x14ac:dyDescent="0.35">
      <c r="A13" s="81"/>
      <c r="B13" s="13"/>
      <c r="C13" s="21"/>
      <c r="D13" s="14"/>
      <c r="E13" s="14"/>
      <c r="F13" s="14"/>
      <c r="G13" s="21"/>
      <c r="H13" s="53"/>
      <c r="I13" s="7" t="str">
        <f t="shared" si="0"/>
        <v/>
      </c>
      <c r="J13" s="27" t="str">
        <f t="shared" ca="1" si="1"/>
        <v/>
      </c>
      <c r="K13" s="7" t="str">
        <f t="shared" si="2"/>
        <v/>
      </c>
      <c r="L13" s="13"/>
      <c r="M13" s="29" t="str">
        <f t="shared" si="3"/>
        <v/>
      </c>
    </row>
    <row r="14" spans="1:13" x14ac:dyDescent="0.35">
      <c r="A14" s="81"/>
      <c r="B14" s="13"/>
      <c r="C14" s="21"/>
      <c r="D14" s="14"/>
      <c r="E14" s="14"/>
      <c r="F14" s="14"/>
      <c r="G14" s="21"/>
      <c r="H14" s="53"/>
      <c r="I14" s="7" t="str">
        <f t="shared" si="0"/>
        <v/>
      </c>
      <c r="J14" s="27" t="str">
        <f t="shared" ca="1" si="1"/>
        <v/>
      </c>
      <c r="K14" s="7" t="str">
        <f t="shared" si="2"/>
        <v/>
      </c>
      <c r="L14" s="13"/>
      <c r="M14" s="29" t="str">
        <f t="shared" si="3"/>
        <v/>
      </c>
    </row>
    <row r="15" spans="1:13" x14ac:dyDescent="0.35">
      <c r="A15" s="81"/>
      <c r="B15" s="13"/>
      <c r="C15" s="21"/>
      <c r="D15" s="14"/>
      <c r="E15" s="14"/>
      <c r="F15" s="14"/>
      <c r="G15" s="21"/>
      <c r="H15" s="53"/>
      <c r="I15" s="7" t="str">
        <f t="shared" si="0"/>
        <v/>
      </c>
      <c r="J15" s="27" t="str">
        <f t="shared" ca="1" si="1"/>
        <v/>
      </c>
      <c r="K15" s="7" t="str">
        <f t="shared" si="2"/>
        <v/>
      </c>
      <c r="L15" s="13"/>
      <c r="M15" s="29" t="str">
        <f t="shared" si="3"/>
        <v/>
      </c>
    </row>
    <row r="16" spans="1:13" x14ac:dyDescent="0.35">
      <c r="A16" s="81"/>
      <c r="B16" s="13"/>
      <c r="C16" s="21"/>
      <c r="D16" s="14"/>
      <c r="E16" s="14"/>
      <c r="F16" s="14"/>
      <c r="G16" s="21"/>
      <c r="H16" s="53"/>
      <c r="I16" s="7" t="str">
        <f t="shared" si="0"/>
        <v/>
      </c>
      <c r="J16" s="27" t="str">
        <f t="shared" ca="1" si="1"/>
        <v/>
      </c>
      <c r="K16" s="7" t="str">
        <f t="shared" si="2"/>
        <v/>
      </c>
      <c r="L16" s="13"/>
      <c r="M16" s="29" t="str">
        <f t="shared" si="3"/>
        <v/>
      </c>
    </row>
    <row r="17" spans="1:13" x14ac:dyDescent="0.35">
      <c r="A17" s="81"/>
      <c r="B17" s="13"/>
      <c r="C17" s="21"/>
      <c r="D17" s="14"/>
      <c r="E17" s="14"/>
      <c r="F17" s="14"/>
      <c r="G17" s="21"/>
      <c r="H17" s="53"/>
      <c r="I17" s="7" t="str">
        <f t="shared" si="0"/>
        <v/>
      </c>
      <c r="J17" s="27" t="str">
        <f t="shared" ca="1" si="1"/>
        <v/>
      </c>
      <c r="K17" s="7" t="str">
        <f t="shared" si="2"/>
        <v/>
      </c>
      <c r="L17" s="13"/>
      <c r="M17" s="29" t="str">
        <f t="shared" si="3"/>
        <v/>
      </c>
    </row>
    <row r="18" spans="1:13" x14ac:dyDescent="0.35">
      <c r="A18" s="81"/>
      <c r="B18" s="13"/>
      <c r="C18" s="21"/>
      <c r="D18" s="14"/>
      <c r="E18" s="14"/>
      <c r="F18" s="14"/>
      <c r="G18" s="21"/>
      <c r="H18" s="53"/>
      <c r="I18" s="7" t="str">
        <f t="shared" si="0"/>
        <v/>
      </c>
      <c r="J18" s="27" t="str">
        <f t="shared" ca="1" si="1"/>
        <v/>
      </c>
      <c r="K18" s="7" t="str">
        <f t="shared" si="2"/>
        <v/>
      </c>
      <c r="L18" s="13"/>
      <c r="M18" s="29" t="str">
        <f t="shared" si="3"/>
        <v/>
      </c>
    </row>
    <row r="19" spans="1:13" x14ac:dyDescent="0.35">
      <c r="A19" s="81"/>
      <c r="B19" s="13"/>
      <c r="C19" s="21"/>
      <c r="D19" s="14"/>
      <c r="E19" s="14"/>
      <c r="F19" s="14"/>
      <c r="G19" s="21"/>
      <c r="H19" s="53"/>
      <c r="I19" s="7" t="str">
        <f t="shared" si="0"/>
        <v/>
      </c>
      <c r="J19" s="27" t="str">
        <f t="shared" ca="1" si="1"/>
        <v/>
      </c>
      <c r="K19" s="7" t="str">
        <f t="shared" si="2"/>
        <v/>
      </c>
      <c r="L19" s="13"/>
      <c r="M19" s="29" t="str">
        <f t="shared" si="3"/>
        <v/>
      </c>
    </row>
    <row r="20" spans="1:13" x14ac:dyDescent="0.35">
      <c r="A20" s="81"/>
      <c r="B20" s="13"/>
      <c r="C20" s="21"/>
      <c r="D20" s="14"/>
      <c r="E20" s="14"/>
      <c r="F20" s="14"/>
      <c r="G20" s="21"/>
      <c r="H20" s="53"/>
      <c r="I20" s="7" t="str">
        <f t="shared" si="0"/>
        <v/>
      </c>
      <c r="J20" s="27" t="str">
        <f t="shared" ca="1" si="1"/>
        <v/>
      </c>
      <c r="K20" s="7" t="str">
        <f t="shared" si="2"/>
        <v/>
      </c>
      <c r="L20" s="13"/>
      <c r="M20" s="29" t="str">
        <f t="shared" si="3"/>
        <v/>
      </c>
    </row>
    <row r="21" spans="1:13" x14ac:dyDescent="0.35">
      <c r="A21" s="81"/>
      <c r="B21" s="13"/>
      <c r="C21" s="21"/>
      <c r="D21" s="14"/>
      <c r="E21" s="14"/>
      <c r="F21" s="14"/>
      <c r="G21" s="21"/>
      <c r="H21" s="53"/>
      <c r="I21" s="7" t="str">
        <f t="shared" si="0"/>
        <v/>
      </c>
      <c r="J21" s="27" t="str">
        <f t="shared" ca="1" si="1"/>
        <v/>
      </c>
      <c r="K21" s="7" t="str">
        <f t="shared" si="2"/>
        <v/>
      </c>
      <c r="L21" s="13"/>
      <c r="M21" s="29" t="str">
        <f t="shared" si="3"/>
        <v/>
      </c>
    </row>
    <row r="22" spans="1:13" x14ac:dyDescent="0.35">
      <c r="A22" s="81"/>
      <c r="B22" s="13"/>
      <c r="C22" s="21"/>
      <c r="D22" s="14"/>
      <c r="E22" s="14"/>
      <c r="F22" s="14"/>
      <c r="G22" s="21"/>
      <c r="H22" s="53"/>
      <c r="I22" s="7" t="str">
        <f t="shared" si="0"/>
        <v/>
      </c>
      <c r="J22" s="27" t="str">
        <f t="shared" ca="1" si="1"/>
        <v/>
      </c>
      <c r="K22" s="7" t="str">
        <f t="shared" si="2"/>
        <v/>
      </c>
      <c r="L22" s="13"/>
      <c r="M22" s="29" t="str">
        <f t="shared" si="3"/>
        <v/>
      </c>
    </row>
    <row r="23" spans="1:13" x14ac:dyDescent="0.35">
      <c r="A23" s="81"/>
      <c r="B23" s="13"/>
      <c r="C23" s="21"/>
      <c r="D23" s="14"/>
      <c r="E23" s="14"/>
      <c r="F23" s="14"/>
      <c r="G23" s="21"/>
      <c r="H23" s="53"/>
      <c r="I23" s="7" t="str">
        <f t="shared" si="0"/>
        <v/>
      </c>
      <c r="J23" s="27" t="str">
        <f t="shared" ca="1" si="1"/>
        <v/>
      </c>
      <c r="K23" s="7" t="str">
        <f t="shared" si="2"/>
        <v/>
      </c>
      <c r="L23" s="13"/>
      <c r="M23" s="29" t="str">
        <f t="shared" si="3"/>
        <v/>
      </c>
    </row>
    <row r="24" spans="1:13" x14ac:dyDescent="0.35">
      <c r="A24" s="81"/>
      <c r="B24" s="13"/>
      <c r="C24" s="21"/>
      <c r="D24" s="14"/>
      <c r="E24" s="14"/>
      <c r="F24" s="14"/>
      <c r="G24" s="21"/>
      <c r="H24" s="53"/>
      <c r="I24" s="7" t="str">
        <f t="shared" si="0"/>
        <v/>
      </c>
      <c r="J24" s="27" t="str">
        <f t="shared" ca="1" si="1"/>
        <v/>
      </c>
      <c r="K24" s="7" t="str">
        <f t="shared" si="2"/>
        <v/>
      </c>
      <c r="L24" s="13"/>
      <c r="M24" s="29" t="str">
        <f t="shared" si="3"/>
        <v/>
      </c>
    </row>
    <row r="25" spans="1:13" x14ac:dyDescent="0.35">
      <c r="A25" s="81"/>
      <c r="B25" s="13"/>
      <c r="C25" s="21"/>
      <c r="D25" s="14"/>
      <c r="E25" s="14"/>
      <c r="F25" s="14"/>
      <c r="G25" s="21"/>
      <c r="H25" s="53"/>
      <c r="I25" s="7" t="str">
        <f t="shared" si="0"/>
        <v/>
      </c>
      <c r="J25" s="27" t="str">
        <f t="shared" ca="1" si="1"/>
        <v/>
      </c>
      <c r="K25" s="7" t="str">
        <f t="shared" si="2"/>
        <v/>
      </c>
      <c r="L25" s="13"/>
      <c r="M25" s="29" t="str">
        <f t="shared" si="3"/>
        <v/>
      </c>
    </row>
    <row r="26" spans="1:13" x14ac:dyDescent="0.35">
      <c r="A26" s="81"/>
      <c r="B26" s="13"/>
      <c r="C26" s="21"/>
      <c r="D26" s="14"/>
      <c r="E26" s="14"/>
      <c r="F26" s="14"/>
      <c r="G26" s="21"/>
      <c r="H26" s="53"/>
      <c r="I26" s="7" t="str">
        <f t="shared" si="0"/>
        <v/>
      </c>
      <c r="J26" s="27" t="str">
        <f t="shared" ca="1" si="1"/>
        <v/>
      </c>
      <c r="K26" s="7" t="str">
        <f t="shared" si="2"/>
        <v/>
      </c>
      <c r="L26" s="13"/>
      <c r="M26" s="29" t="str">
        <f t="shared" si="3"/>
        <v/>
      </c>
    </row>
    <row r="27" spans="1:13" x14ac:dyDescent="0.35">
      <c r="A27" s="81"/>
      <c r="B27" s="13"/>
      <c r="C27" s="21"/>
      <c r="D27" s="14"/>
      <c r="E27" s="14"/>
      <c r="F27" s="14"/>
      <c r="G27" s="21"/>
      <c r="H27" s="53"/>
      <c r="I27" s="7" t="str">
        <f t="shared" si="0"/>
        <v/>
      </c>
      <c r="J27" s="27" t="str">
        <f t="shared" ca="1" si="1"/>
        <v/>
      </c>
      <c r="K27" s="7" t="str">
        <f t="shared" si="2"/>
        <v/>
      </c>
      <c r="L27" s="13"/>
      <c r="M27" s="29" t="str">
        <f t="shared" si="3"/>
        <v/>
      </c>
    </row>
    <row r="28" spans="1:13" x14ac:dyDescent="0.35">
      <c r="A28" s="81"/>
      <c r="B28" s="13"/>
      <c r="C28" s="21"/>
      <c r="D28" s="14"/>
      <c r="E28" s="14"/>
      <c r="F28" s="14"/>
      <c r="G28" s="21"/>
      <c r="H28" s="53"/>
      <c r="I28" s="7" t="str">
        <f t="shared" si="0"/>
        <v/>
      </c>
      <c r="J28" s="27" t="str">
        <f t="shared" ca="1" si="1"/>
        <v/>
      </c>
      <c r="K28" s="7" t="str">
        <f t="shared" si="2"/>
        <v/>
      </c>
      <c r="L28" s="13"/>
      <c r="M28" s="29" t="str">
        <f t="shared" si="3"/>
        <v/>
      </c>
    </row>
    <row r="29" spans="1:13" x14ac:dyDescent="0.35">
      <c r="A29" s="81"/>
      <c r="B29" s="13"/>
      <c r="C29" s="21"/>
      <c r="D29" s="14"/>
      <c r="E29" s="14"/>
      <c r="F29" s="14"/>
      <c r="G29" s="21"/>
      <c r="H29" s="53"/>
      <c r="I29" s="7" t="str">
        <f t="shared" si="0"/>
        <v/>
      </c>
      <c r="J29" s="27" t="str">
        <f t="shared" ca="1" si="1"/>
        <v/>
      </c>
      <c r="K29" s="7" t="str">
        <f t="shared" si="2"/>
        <v/>
      </c>
      <c r="L29" s="13"/>
      <c r="M29" s="29" t="str">
        <f t="shared" si="3"/>
        <v/>
      </c>
    </row>
    <row r="30" spans="1:13" x14ac:dyDescent="0.35">
      <c r="A30" s="81"/>
      <c r="B30" s="13"/>
      <c r="C30" s="21"/>
      <c r="D30" s="14"/>
      <c r="E30" s="14"/>
      <c r="F30" s="14"/>
      <c r="G30" s="21"/>
      <c r="H30" s="53"/>
      <c r="I30" s="7" t="str">
        <f t="shared" si="0"/>
        <v/>
      </c>
      <c r="J30" s="27" t="str">
        <f t="shared" ca="1" si="1"/>
        <v/>
      </c>
      <c r="K30" s="7" t="str">
        <f t="shared" si="2"/>
        <v/>
      </c>
      <c r="L30" s="13"/>
      <c r="M30" s="29" t="str">
        <f t="shared" si="3"/>
        <v/>
      </c>
    </row>
    <row r="31" spans="1:13" x14ac:dyDescent="0.35">
      <c r="A31" s="81"/>
      <c r="B31" s="13"/>
      <c r="C31" s="21"/>
      <c r="D31" s="14"/>
      <c r="E31" s="14"/>
      <c r="F31" s="14"/>
      <c r="G31" s="21"/>
      <c r="H31" s="53"/>
      <c r="I31" s="7" t="str">
        <f t="shared" si="0"/>
        <v/>
      </c>
      <c r="J31" s="27" t="str">
        <f t="shared" ca="1" si="1"/>
        <v/>
      </c>
      <c r="K31" s="7" t="str">
        <f t="shared" si="2"/>
        <v/>
      </c>
      <c r="L31" s="13"/>
      <c r="M31" s="29" t="str">
        <f t="shared" si="3"/>
        <v/>
      </c>
    </row>
    <row r="32" spans="1:13" x14ac:dyDescent="0.35">
      <c r="A32" s="81"/>
      <c r="B32" s="13"/>
      <c r="C32" s="21"/>
      <c r="D32" s="14"/>
      <c r="E32" s="14"/>
      <c r="F32" s="14"/>
      <c r="G32" s="21"/>
      <c r="H32" s="53"/>
      <c r="I32" s="7" t="str">
        <f t="shared" si="0"/>
        <v/>
      </c>
      <c r="J32" s="27" t="str">
        <f t="shared" ca="1" si="1"/>
        <v/>
      </c>
      <c r="K32" s="7" t="str">
        <f t="shared" si="2"/>
        <v/>
      </c>
      <c r="L32" s="13"/>
      <c r="M32" s="29" t="str">
        <f t="shared" si="3"/>
        <v/>
      </c>
    </row>
    <row r="33" spans="1:13" x14ac:dyDescent="0.35">
      <c r="A33" s="81"/>
      <c r="B33" s="13"/>
      <c r="C33" s="21"/>
      <c r="D33" s="14"/>
      <c r="E33" s="14"/>
      <c r="F33" s="14"/>
      <c r="G33" s="21"/>
      <c r="H33" s="53"/>
      <c r="I33" s="7" t="str">
        <f t="shared" si="0"/>
        <v/>
      </c>
      <c r="J33" s="27" t="str">
        <f t="shared" ca="1" si="1"/>
        <v/>
      </c>
      <c r="K33" s="7" t="str">
        <f t="shared" si="2"/>
        <v/>
      </c>
      <c r="L33" s="13"/>
      <c r="M33" s="29" t="str">
        <f t="shared" si="3"/>
        <v/>
      </c>
    </row>
    <row r="34" spans="1:13" x14ac:dyDescent="0.35">
      <c r="A34" s="81"/>
      <c r="B34" s="13"/>
      <c r="C34" s="21"/>
      <c r="D34" s="14"/>
      <c r="E34" s="14"/>
      <c r="F34" s="14"/>
      <c r="G34" s="21"/>
      <c r="H34" s="53"/>
      <c r="I34" s="7" t="str">
        <f t="shared" si="0"/>
        <v/>
      </c>
      <c r="J34" s="27" t="str">
        <f t="shared" ca="1" si="1"/>
        <v/>
      </c>
      <c r="K34" s="7" t="str">
        <f t="shared" si="2"/>
        <v/>
      </c>
      <c r="L34" s="13"/>
      <c r="M34" s="29" t="str">
        <f t="shared" si="3"/>
        <v/>
      </c>
    </row>
    <row r="35" spans="1:13" x14ac:dyDescent="0.35">
      <c r="A35" s="81"/>
      <c r="B35" s="13"/>
      <c r="C35" s="21"/>
      <c r="D35" s="14"/>
      <c r="E35" s="14"/>
      <c r="F35" s="14"/>
      <c r="G35" s="21"/>
      <c r="H35" s="53"/>
      <c r="I35" s="7" t="str">
        <f t="shared" si="0"/>
        <v/>
      </c>
      <c r="J35" s="27" t="str">
        <f t="shared" ca="1" si="1"/>
        <v/>
      </c>
      <c r="K35" s="7" t="str">
        <f t="shared" si="2"/>
        <v/>
      </c>
      <c r="L35" s="13"/>
      <c r="M35" s="29" t="str">
        <f t="shared" si="3"/>
        <v/>
      </c>
    </row>
    <row r="36" spans="1:13" x14ac:dyDescent="0.35">
      <c r="A36" s="81"/>
      <c r="B36" s="13"/>
      <c r="C36" s="21"/>
      <c r="D36" s="14"/>
      <c r="E36" s="14"/>
      <c r="F36" s="14"/>
      <c r="G36" s="21"/>
      <c r="H36" s="53"/>
      <c r="I36" s="7" t="str">
        <f t="shared" si="0"/>
        <v/>
      </c>
      <c r="J36" s="27" t="str">
        <f t="shared" ca="1" si="1"/>
        <v/>
      </c>
      <c r="K36" s="7" t="str">
        <f t="shared" si="2"/>
        <v/>
      </c>
      <c r="L36" s="13"/>
      <c r="M36" s="29" t="str">
        <f t="shared" si="3"/>
        <v/>
      </c>
    </row>
    <row r="37" spans="1:13" x14ac:dyDescent="0.35">
      <c r="A37" s="81"/>
      <c r="B37" s="13"/>
      <c r="C37" s="21"/>
      <c r="D37" s="14"/>
      <c r="E37" s="14"/>
      <c r="F37" s="14"/>
      <c r="G37" s="21"/>
      <c r="H37" s="53"/>
      <c r="I37" s="7" t="str">
        <f t="shared" si="0"/>
        <v/>
      </c>
      <c r="J37" s="27" t="str">
        <f t="shared" ca="1" si="1"/>
        <v/>
      </c>
      <c r="K37" s="7" t="str">
        <f t="shared" si="2"/>
        <v/>
      </c>
      <c r="L37" s="13"/>
      <c r="M37" s="29" t="str">
        <f t="shared" si="3"/>
        <v/>
      </c>
    </row>
    <row r="38" spans="1:13" x14ac:dyDescent="0.35">
      <c r="A38" s="81"/>
      <c r="B38" s="13"/>
      <c r="C38" s="21"/>
      <c r="D38" s="14"/>
      <c r="E38" s="14"/>
      <c r="F38" s="14"/>
      <c r="G38" s="21"/>
      <c r="H38" s="53"/>
      <c r="I38" s="7" t="str">
        <f t="shared" si="0"/>
        <v/>
      </c>
      <c r="J38" s="27" t="str">
        <f t="shared" ca="1" si="1"/>
        <v/>
      </c>
      <c r="K38" s="7" t="str">
        <f t="shared" si="2"/>
        <v/>
      </c>
      <c r="L38" s="13"/>
      <c r="M38" s="29" t="str">
        <f t="shared" si="3"/>
        <v/>
      </c>
    </row>
    <row r="39" spans="1:13" x14ac:dyDescent="0.35">
      <c r="A39" s="81"/>
      <c r="B39" s="13"/>
      <c r="C39" s="21"/>
      <c r="D39" s="14"/>
      <c r="E39" s="14"/>
      <c r="F39" s="14"/>
      <c r="G39" s="21"/>
      <c r="H39" s="53"/>
      <c r="I39" s="7" t="str">
        <f t="shared" si="0"/>
        <v/>
      </c>
      <c r="J39" s="27" t="str">
        <f t="shared" ca="1" si="1"/>
        <v/>
      </c>
      <c r="K39" s="7" t="str">
        <f t="shared" si="2"/>
        <v/>
      </c>
      <c r="L39" s="13"/>
      <c r="M39" s="29" t="str">
        <f t="shared" si="3"/>
        <v/>
      </c>
    </row>
    <row r="40" spans="1:13" x14ac:dyDescent="0.35">
      <c r="A40" s="81"/>
      <c r="B40" s="13"/>
      <c r="C40" s="21"/>
      <c r="D40" s="14"/>
      <c r="E40" s="14"/>
      <c r="F40" s="14"/>
      <c r="G40" s="21"/>
      <c r="H40" s="53"/>
      <c r="I40" s="7" t="str">
        <f t="shared" si="0"/>
        <v/>
      </c>
      <c r="J40" s="27" t="str">
        <f t="shared" ca="1" si="1"/>
        <v/>
      </c>
      <c r="K40" s="7" t="str">
        <f t="shared" si="2"/>
        <v/>
      </c>
      <c r="L40" s="13"/>
      <c r="M40" s="29" t="str">
        <f t="shared" si="3"/>
        <v/>
      </c>
    </row>
    <row r="41" spans="1:13" x14ac:dyDescent="0.35">
      <c r="A41" s="81"/>
      <c r="B41" s="13"/>
      <c r="C41" s="21"/>
      <c r="D41" s="14"/>
      <c r="E41" s="14"/>
      <c r="F41" s="14"/>
      <c r="G41" s="21"/>
      <c r="H41" s="53"/>
      <c r="I41" s="7" t="str">
        <f t="shared" si="0"/>
        <v/>
      </c>
      <c r="J41" s="27" t="str">
        <f t="shared" ca="1" si="1"/>
        <v/>
      </c>
      <c r="K41" s="7" t="str">
        <f t="shared" si="2"/>
        <v/>
      </c>
      <c r="L41" s="13"/>
      <c r="M41" s="29" t="str">
        <f t="shared" si="3"/>
        <v/>
      </c>
    </row>
    <row r="42" spans="1:13" x14ac:dyDescent="0.35">
      <c r="A42" s="81"/>
      <c r="B42" s="13"/>
      <c r="C42" s="21"/>
      <c r="D42" s="14"/>
      <c r="E42" s="14"/>
      <c r="F42" s="14"/>
      <c r="G42" s="21"/>
      <c r="H42" s="53"/>
      <c r="I42" s="7" t="str">
        <f t="shared" si="0"/>
        <v/>
      </c>
      <c r="J42" s="27" t="str">
        <f t="shared" ca="1" si="1"/>
        <v/>
      </c>
      <c r="K42" s="7" t="str">
        <f t="shared" si="2"/>
        <v/>
      </c>
      <c r="L42" s="13"/>
      <c r="M42" s="29" t="str">
        <f t="shared" si="3"/>
        <v/>
      </c>
    </row>
    <row r="43" spans="1:13" x14ac:dyDescent="0.35">
      <c r="A43" s="81"/>
      <c r="B43" s="13"/>
      <c r="C43" s="21"/>
      <c r="D43" s="14"/>
      <c r="E43" s="14"/>
      <c r="F43" s="14"/>
      <c r="G43" s="21"/>
      <c r="H43" s="53"/>
      <c r="I43" s="7" t="str">
        <f t="shared" si="0"/>
        <v/>
      </c>
      <c r="J43" s="27" t="str">
        <f t="shared" ca="1" si="1"/>
        <v/>
      </c>
      <c r="K43" s="7" t="str">
        <f t="shared" si="2"/>
        <v/>
      </c>
      <c r="L43" s="13"/>
      <c r="M43" s="29" t="str">
        <f t="shared" si="3"/>
        <v/>
      </c>
    </row>
    <row r="44" spans="1:13" x14ac:dyDescent="0.35">
      <c r="A44" s="81"/>
      <c r="B44" s="13"/>
      <c r="C44" s="21"/>
      <c r="D44" s="14"/>
      <c r="E44" s="14"/>
      <c r="F44" s="14"/>
      <c r="G44" s="21"/>
      <c r="H44" s="53"/>
      <c r="I44" s="7" t="str">
        <f t="shared" si="0"/>
        <v/>
      </c>
      <c r="J44" s="27" t="str">
        <f t="shared" ca="1" si="1"/>
        <v/>
      </c>
      <c r="K44" s="7" t="str">
        <f t="shared" si="2"/>
        <v/>
      </c>
      <c r="L44" s="13"/>
      <c r="M44" s="29" t="str">
        <f t="shared" si="3"/>
        <v/>
      </c>
    </row>
    <row r="45" spans="1:13" x14ac:dyDescent="0.35">
      <c r="A45" s="81"/>
      <c r="B45" s="13"/>
      <c r="C45" s="21"/>
      <c r="D45" s="14"/>
      <c r="E45" s="14"/>
      <c r="F45" s="14"/>
      <c r="G45" s="21"/>
      <c r="H45" s="53"/>
      <c r="I45" s="7" t="str">
        <f t="shared" si="0"/>
        <v/>
      </c>
      <c r="J45" s="27" t="str">
        <f t="shared" ca="1" si="1"/>
        <v/>
      </c>
      <c r="K45" s="7" t="str">
        <f t="shared" si="2"/>
        <v/>
      </c>
      <c r="L45" s="13"/>
      <c r="M45" s="29" t="str">
        <f t="shared" si="3"/>
        <v/>
      </c>
    </row>
    <row r="46" spans="1:13" x14ac:dyDescent="0.35">
      <c r="A46" s="81"/>
      <c r="B46" s="13"/>
      <c r="C46" s="21"/>
      <c r="D46" s="14"/>
      <c r="E46" s="14"/>
      <c r="F46" s="14"/>
      <c r="G46" s="21"/>
      <c r="H46" s="53"/>
      <c r="I46" s="7" t="str">
        <f t="shared" si="0"/>
        <v/>
      </c>
      <c r="J46" s="27" t="str">
        <f t="shared" ca="1" si="1"/>
        <v/>
      </c>
      <c r="K46" s="7" t="str">
        <f t="shared" si="2"/>
        <v/>
      </c>
      <c r="L46" s="13"/>
      <c r="M46" s="29" t="str">
        <f t="shared" si="3"/>
        <v/>
      </c>
    </row>
    <row r="47" spans="1:13" x14ac:dyDescent="0.35">
      <c r="A47" s="81"/>
      <c r="B47" s="13"/>
      <c r="C47" s="21"/>
      <c r="D47" s="14"/>
      <c r="E47" s="14"/>
      <c r="F47" s="14"/>
      <c r="G47" s="21"/>
      <c r="H47" s="53"/>
      <c r="I47" s="7" t="str">
        <f t="shared" si="0"/>
        <v/>
      </c>
      <c r="J47" s="27" t="str">
        <f t="shared" ca="1" si="1"/>
        <v/>
      </c>
      <c r="K47" s="7" t="str">
        <f t="shared" si="2"/>
        <v/>
      </c>
      <c r="L47" s="13"/>
      <c r="M47" s="29" t="str">
        <f t="shared" si="3"/>
        <v/>
      </c>
    </row>
    <row r="48" spans="1:13" x14ac:dyDescent="0.35">
      <c r="A48" s="81"/>
      <c r="B48" s="13"/>
      <c r="C48" s="21"/>
      <c r="D48" s="14"/>
      <c r="E48" s="14"/>
      <c r="F48" s="14"/>
      <c r="G48" s="21"/>
      <c r="H48" s="53"/>
      <c r="I48" s="7" t="str">
        <f t="shared" si="0"/>
        <v/>
      </c>
      <c r="J48" s="27" t="str">
        <f t="shared" ca="1" si="1"/>
        <v/>
      </c>
      <c r="K48" s="7" t="str">
        <f t="shared" si="2"/>
        <v/>
      </c>
      <c r="L48" s="13"/>
      <c r="M48" s="29" t="str">
        <f t="shared" si="3"/>
        <v/>
      </c>
    </row>
    <row r="49" spans="1:13" x14ac:dyDescent="0.35">
      <c r="A49" s="81"/>
      <c r="B49" s="13"/>
      <c r="C49" s="21"/>
      <c r="D49" s="14"/>
      <c r="E49" s="14"/>
      <c r="F49" s="14"/>
      <c r="G49" s="21"/>
      <c r="H49" s="53"/>
      <c r="I49" s="7" t="str">
        <f t="shared" si="0"/>
        <v/>
      </c>
      <c r="J49" s="27" t="str">
        <f t="shared" ca="1" si="1"/>
        <v/>
      </c>
      <c r="K49" s="7" t="str">
        <f t="shared" si="2"/>
        <v/>
      </c>
      <c r="L49" s="13"/>
      <c r="M49" s="29" t="str">
        <f t="shared" si="3"/>
        <v/>
      </c>
    </row>
    <row r="50" spans="1:13" x14ac:dyDescent="0.35">
      <c r="A50" s="81"/>
      <c r="B50" s="13"/>
      <c r="C50" s="21"/>
      <c r="D50" s="14"/>
      <c r="E50" s="14"/>
      <c r="F50" s="14"/>
      <c r="G50" s="21"/>
      <c r="H50" s="53"/>
      <c r="I50" s="7" t="str">
        <f t="shared" si="0"/>
        <v/>
      </c>
      <c r="J50" s="27" t="str">
        <f t="shared" ca="1" si="1"/>
        <v/>
      </c>
      <c r="K50" s="7" t="str">
        <f t="shared" si="2"/>
        <v/>
      </c>
      <c r="L50" s="13"/>
      <c r="M50" s="29" t="str">
        <f t="shared" si="3"/>
        <v/>
      </c>
    </row>
    <row r="51" spans="1:13" x14ac:dyDescent="0.35">
      <c r="A51" s="81"/>
      <c r="B51" s="13"/>
      <c r="C51" s="21"/>
      <c r="D51" s="14"/>
      <c r="E51" s="14"/>
      <c r="F51" s="14"/>
      <c r="G51" s="21"/>
      <c r="H51" s="53"/>
      <c r="I51" s="7" t="str">
        <f t="shared" si="0"/>
        <v/>
      </c>
      <c r="J51" s="27" t="str">
        <f t="shared" ca="1" si="1"/>
        <v/>
      </c>
      <c r="K51" s="7" t="str">
        <f t="shared" si="2"/>
        <v/>
      </c>
      <c r="L51" s="13"/>
      <c r="M51" s="29" t="str">
        <f t="shared" si="3"/>
        <v/>
      </c>
    </row>
    <row r="52" spans="1:13" x14ac:dyDescent="0.35">
      <c r="A52" s="81"/>
      <c r="B52" s="13"/>
      <c r="C52" s="21"/>
      <c r="D52" s="14"/>
      <c r="E52" s="14"/>
      <c r="F52" s="14"/>
      <c r="G52" s="21"/>
      <c r="H52" s="53"/>
      <c r="I52" s="7" t="str">
        <f t="shared" si="0"/>
        <v/>
      </c>
      <c r="J52" s="27" t="str">
        <f t="shared" ca="1" si="1"/>
        <v/>
      </c>
      <c r="K52" s="7" t="str">
        <f t="shared" si="2"/>
        <v/>
      </c>
      <c r="L52" s="13"/>
      <c r="M52" s="29" t="str">
        <f t="shared" si="3"/>
        <v/>
      </c>
    </row>
    <row r="53" spans="1:13" x14ac:dyDescent="0.35">
      <c r="A53" s="81"/>
      <c r="B53" s="13"/>
      <c r="C53" s="21"/>
      <c r="D53" s="14"/>
      <c r="E53" s="14"/>
      <c r="F53" s="14"/>
      <c r="G53" s="21"/>
      <c r="H53" s="53"/>
      <c r="I53" s="7" t="str">
        <f t="shared" si="0"/>
        <v/>
      </c>
      <c r="J53" s="27" t="str">
        <f t="shared" ca="1" si="1"/>
        <v/>
      </c>
      <c r="K53" s="7" t="str">
        <f t="shared" si="2"/>
        <v/>
      </c>
      <c r="L53" s="13"/>
      <c r="M53" s="29" t="str">
        <f t="shared" si="3"/>
        <v/>
      </c>
    </row>
    <row r="54" spans="1:13" x14ac:dyDescent="0.35">
      <c r="A54" s="81"/>
      <c r="B54" s="13"/>
      <c r="C54" s="21"/>
      <c r="D54" s="14"/>
      <c r="E54" s="14"/>
      <c r="F54" s="14"/>
      <c r="G54" s="21"/>
      <c r="H54" s="53"/>
      <c r="I54" s="7" t="str">
        <f t="shared" si="0"/>
        <v/>
      </c>
      <c r="J54" s="27" t="str">
        <f t="shared" ca="1" si="1"/>
        <v/>
      </c>
      <c r="K54" s="7" t="str">
        <f t="shared" si="2"/>
        <v/>
      </c>
      <c r="L54" s="13"/>
      <c r="M54" s="29" t="str">
        <f t="shared" si="3"/>
        <v/>
      </c>
    </row>
    <row r="55" spans="1:13" x14ac:dyDescent="0.35">
      <c r="A55" s="81"/>
      <c r="B55" s="13"/>
      <c r="C55" s="21"/>
      <c r="D55" s="14"/>
      <c r="E55" s="14"/>
      <c r="F55" s="14"/>
      <c r="G55" s="21"/>
      <c r="H55" s="53"/>
      <c r="I55" s="7" t="str">
        <f t="shared" si="0"/>
        <v/>
      </c>
      <c r="J55" s="27" t="str">
        <f t="shared" ca="1" si="1"/>
        <v/>
      </c>
      <c r="K55" s="7" t="str">
        <f t="shared" si="2"/>
        <v/>
      </c>
      <c r="L55" s="13"/>
      <c r="M55" s="29" t="str">
        <f t="shared" si="3"/>
        <v/>
      </c>
    </row>
    <row r="56" spans="1:13" x14ac:dyDescent="0.35">
      <c r="A56" s="81"/>
      <c r="B56" s="13"/>
      <c r="C56" s="21"/>
      <c r="D56" s="14"/>
      <c r="E56" s="14"/>
      <c r="F56" s="14"/>
      <c r="G56" s="21"/>
      <c r="H56" s="53"/>
      <c r="I56" s="7" t="str">
        <f t="shared" si="0"/>
        <v/>
      </c>
      <c r="J56" s="27" t="str">
        <f t="shared" ca="1" si="1"/>
        <v/>
      </c>
      <c r="K56" s="7" t="str">
        <f t="shared" si="2"/>
        <v/>
      </c>
      <c r="L56" s="13"/>
      <c r="M56" s="29" t="str">
        <f t="shared" si="3"/>
        <v/>
      </c>
    </row>
    <row r="57" spans="1:13" x14ac:dyDescent="0.35">
      <c r="A57" s="81"/>
      <c r="B57" s="13"/>
      <c r="C57" s="21"/>
      <c r="D57" s="14"/>
      <c r="E57" s="14"/>
      <c r="F57" s="14"/>
      <c r="G57" s="21"/>
      <c r="H57" s="53"/>
      <c r="I57" s="7" t="str">
        <f t="shared" si="0"/>
        <v/>
      </c>
      <c r="J57" s="27" t="str">
        <f t="shared" ca="1" si="1"/>
        <v/>
      </c>
      <c r="K57" s="7" t="str">
        <f t="shared" si="2"/>
        <v/>
      </c>
      <c r="L57" s="13"/>
      <c r="M57" s="29" t="str">
        <f t="shared" si="3"/>
        <v/>
      </c>
    </row>
    <row r="58" spans="1:13" x14ac:dyDescent="0.35">
      <c r="A58" s="81"/>
      <c r="B58" s="13"/>
      <c r="C58" s="21"/>
      <c r="D58" s="14"/>
      <c r="E58" s="14"/>
      <c r="F58" s="14"/>
      <c r="G58" s="21"/>
      <c r="H58" s="53"/>
      <c r="I58" s="7" t="str">
        <f t="shared" si="0"/>
        <v/>
      </c>
      <c r="J58" s="27" t="str">
        <f t="shared" ca="1" si="1"/>
        <v/>
      </c>
      <c r="K58" s="7" t="str">
        <f t="shared" si="2"/>
        <v/>
      </c>
      <c r="L58" s="13"/>
      <c r="M58" s="29" t="str">
        <f t="shared" si="3"/>
        <v/>
      </c>
    </row>
    <row r="59" spans="1:13" x14ac:dyDescent="0.35">
      <c r="A59" s="81"/>
      <c r="B59" s="13"/>
      <c r="C59" s="21"/>
      <c r="D59" s="14"/>
      <c r="E59" s="14"/>
      <c r="F59" s="14"/>
      <c r="G59" s="21"/>
      <c r="H59" s="53"/>
      <c r="I59" s="7" t="str">
        <f t="shared" si="0"/>
        <v/>
      </c>
      <c r="J59" s="27" t="str">
        <f t="shared" ca="1" si="1"/>
        <v/>
      </c>
      <c r="K59" s="7" t="str">
        <f t="shared" si="2"/>
        <v/>
      </c>
      <c r="L59" s="13"/>
      <c r="M59" s="29" t="str">
        <f t="shared" si="3"/>
        <v/>
      </c>
    </row>
    <row r="60" spans="1:13" x14ac:dyDescent="0.35">
      <c r="A60" s="81"/>
      <c r="B60" s="13"/>
      <c r="C60" s="21"/>
      <c r="D60" s="14"/>
      <c r="E60" s="14"/>
      <c r="F60" s="14"/>
      <c r="G60" s="21"/>
      <c r="H60" s="53"/>
      <c r="I60" s="7" t="str">
        <f t="shared" si="0"/>
        <v/>
      </c>
      <c r="J60" s="27" t="str">
        <f t="shared" ca="1" si="1"/>
        <v/>
      </c>
      <c r="K60" s="7" t="str">
        <f t="shared" si="2"/>
        <v/>
      </c>
      <c r="L60" s="13"/>
      <c r="M60" s="29" t="str">
        <f t="shared" si="3"/>
        <v/>
      </c>
    </row>
    <row r="61" spans="1:13" x14ac:dyDescent="0.35">
      <c r="A61" s="81"/>
      <c r="B61" s="13"/>
      <c r="C61" s="21"/>
      <c r="D61" s="14"/>
      <c r="E61" s="14"/>
      <c r="F61" s="14"/>
      <c r="G61" s="21"/>
      <c r="H61" s="53"/>
      <c r="I61" s="7" t="str">
        <f t="shared" si="0"/>
        <v/>
      </c>
      <c r="J61" s="27" t="str">
        <f t="shared" ca="1" si="1"/>
        <v/>
      </c>
      <c r="K61" s="7" t="str">
        <f t="shared" si="2"/>
        <v/>
      </c>
      <c r="L61" s="13"/>
      <c r="M61" s="29" t="str">
        <f t="shared" si="3"/>
        <v/>
      </c>
    </row>
    <row r="62" spans="1:13" x14ac:dyDescent="0.35">
      <c r="A62" s="81"/>
      <c r="B62" s="13"/>
      <c r="C62" s="21"/>
      <c r="D62" s="14"/>
      <c r="E62" s="14"/>
      <c r="F62" s="14"/>
      <c r="G62" s="21"/>
      <c r="H62" s="53"/>
      <c r="I62" s="7" t="str">
        <f t="shared" si="0"/>
        <v/>
      </c>
      <c r="J62" s="27" t="str">
        <f t="shared" ca="1" si="1"/>
        <v/>
      </c>
      <c r="K62" s="7" t="str">
        <f t="shared" si="2"/>
        <v/>
      </c>
      <c r="L62" s="13"/>
      <c r="M62" s="29" t="str">
        <f t="shared" si="3"/>
        <v/>
      </c>
    </row>
    <row r="63" spans="1:13" x14ac:dyDescent="0.35">
      <c r="A63" s="81"/>
      <c r="B63" s="13"/>
      <c r="C63" s="21"/>
      <c r="D63" s="14"/>
      <c r="E63" s="14"/>
      <c r="F63" s="14"/>
      <c r="G63" s="21"/>
      <c r="H63" s="53"/>
      <c r="I63" s="7" t="str">
        <f t="shared" si="0"/>
        <v/>
      </c>
      <c r="J63" s="27" t="str">
        <f t="shared" ca="1" si="1"/>
        <v/>
      </c>
      <c r="K63" s="7" t="str">
        <f t="shared" si="2"/>
        <v/>
      </c>
      <c r="L63" s="13"/>
      <c r="M63" s="29" t="str">
        <f t="shared" si="3"/>
        <v/>
      </c>
    </row>
    <row r="64" spans="1:13" x14ac:dyDescent="0.35">
      <c r="A64" s="81"/>
      <c r="B64" s="13"/>
      <c r="C64" s="21"/>
      <c r="D64" s="14"/>
      <c r="E64" s="14"/>
      <c r="F64" s="14"/>
      <c r="G64" s="21"/>
      <c r="H64" s="53"/>
      <c r="I64" s="7" t="str">
        <f t="shared" si="0"/>
        <v/>
      </c>
      <c r="J64" s="27" t="str">
        <f t="shared" ca="1" si="1"/>
        <v/>
      </c>
      <c r="K64" s="7" t="str">
        <f t="shared" si="2"/>
        <v/>
      </c>
      <c r="L64" s="13"/>
      <c r="M64" s="29" t="str">
        <f t="shared" si="3"/>
        <v/>
      </c>
    </row>
    <row r="65" spans="1:13" x14ac:dyDescent="0.35">
      <c r="A65" s="81"/>
      <c r="B65" s="13"/>
      <c r="C65" s="21"/>
      <c r="D65" s="14"/>
      <c r="E65" s="14"/>
      <c r="F65" s="14"/>
      <c r="G65" s="21"/>
      <c r="H65" s="53"/>
      <c r="I65" s="7" t="str">
        <f t="shared" si="0"/>
        <v/>
      </c>
      <c r="J65" s="27" t="str">
        <f t="shared" ca="1" si="1"/>
        <v/>
      </c>
      <c r="K65" s="7" t="str">
        <f t="shared" si="2"/>
        <v/>
      </c>
      <c r="L65" s="13"/>
      <c r="M65" s="29" t="str">
        <f t="shared" si="3"/>
        <v/>
      </c>
    </row>
    <row r="66" spans="1:13" x14ac:dyDescent="0.35">
      <c r="A66" s="81"/>
      <c r="B66" s="13"/>
      <c r="C66" s="21"/>
      <c r="D66" s="14"/>
      <c r="E66" s="14"/>
      <c r="F66" s="14"/>
      <c r="G66" s="21"/>
      <c r="H66" s="53"/>
      <c r="I66" s="7" t="str">
        <f t="shared" si="0"/>
        <v/>
      </c>
      <c r="J66" s="27" t="str">
        <f t="shared" ca="1" si="1"/>
        <v/>
      </c>
      <c r="K66" s="7" t="str">
        <f t="shared" si="2"/>
        <v/>
      </c>
      <c r="L66" s="13"/>
      <c r="M66" s="29" t="str">
        <f t="shared" si="3"/>
        <v/>
      </c>
    </row>
    <row r="67" spans="1:13" x14ac:dyDescent="0.35">
      <c r="A67" s="81"/>
      <c r="B67" s="13"/>
      <c r="C67" s="21"/>
      <c r="D67" s="14"/>
      <c r="E67" s="14"/>
      <c r="F67" s="14"/>
      <c r="G67" s="21"/>
      <c r="H67" s="53"/>
      <c r="I67" s="7" t="str">
        <f t="shared" ref="I67:I130" si="4">IF($A67="","",IF($F67&lt;&gt;"","Envoyé DHL",IF($E67&lt;&gt;"","Reçu (à envoyer)",IF($D67&lt;&gt;"","Demandé (en attente)","À demander"))))</f>
        <v/>
      </c>
      <c r="J67" s="27" t="str">
        <f t="shared" ref="J67:J130" ca="1" si="5">IF(AND($A67&lt;&gt;"",$D67&lt;&gt;"",$E67=""),TODAY()-$D67,"")</f>
        <v/>
      </c>
      <c r="K67" s="7" t="str">
        <f t="shared" ref="K67:K130" si="6">IF($A67="","",IF(AND($J67&lt;&gt;"",N($J67)&gt;P_AlerteDoc),"Attente &gt; "&amp;P_AlerteDoc&amp;" jours",IF(AND($E67&lt;&gt;"",$F67=""),"Reçu : à envoyer par DHL","")))</f>
        <v/>
      </c>
      <c r="L67" s="13"/>
      <c r="M67" s="29" t="str">
        <f t="shared" ref="M67:M130" si="7">IF($K67&lt;&gt;"",1,"")</f>
        <v/>
      </c>
    </row>
    <row r="68" spans="1:13" x14ac:dyDescent="0.35">
      <c r="A68" s="81"/>
      <c r="B68" s="13"/>
      <c r="C68" s="21"/>
      <c r="D68" s="14"/>
      <c r="E68" s="14"/>
      <c r="F68" s="14"/>
      <c r="G68" s="21"/>
      <c r="H68" s="53"/>
      <c r="I68" s="7" t="str">
        <f t="shared" si="4"/>
        <v/>
      </c>
      <c r="J68" s="27" t="str">
        <f t="shared" ca="1" si="5"/>
        <v/>
      </c>
      <c r="K68" s="7" t="str">
        <f t="shared" si="6"/>
        <v/>
      </c>
      <c r="L68" s="13"/>
      <c r="M68" s="29" t="str">
        <f t="shared" si="7"/>
        <v/>
      </c>
    </row>
    <row r="69" spans="1:13" x14ac:dyDescent="0.35">
      <c r="A69" s="81"/>
      <c r="B69" s="13"/>
      <c r="C69" s="21"/>
      <c r="D69" s="14"/>
      <c r="E69" s="14"/>
      <c r="F69" s="14"/>
      <c r="G69" s="21"/>
      <c r="H69" s="53"/>
      <c r="I69" s="7" t="str">
        <f t="shared" si="4"/>
        <v/>
      </c>
      <c r="J69" s="27" t="str">
        <f t="shared" ca="1" si="5"/>
        <v/>
      </c>
      <c r="K69" s="7" t="str">
        <f t="shared" si="6"/>
        <v/>
      </c>
      <c r="L69" s="13"/>
      <c r="M69" s="29" t="str">
        <f t="shared" si="7"/>
        <v/>
      </c>
    </row>
    <row r="70" spans="1:13" x14ac:dyDescent="0.35">
      <c r="A70" s="81"/>
      <c r="B70" s="13"/>
      <c r="C70" s="21"/>
      <c r="D70" s="14"/>
      <c r="E70" s="14"/>
      <c r="F70" s="14"/>
      <c r="G70" s="21"/>
      <c r="H70" s="53"/>
      <c r="I70" s="7" t="str">
        <f t="shared" si="4"/>
        <v/>
      </c>
      <c r="J70" s="27" t="str">
        <f t="shared" ca="1" si="5"/>
        <v/>
      </c>
      <c r="K70" s="7" t="str">
        <f t="shared" si="6"/>
        <v/>
      </c>
      <c r="L70" s="13"/>
      <c r="M70" s="29" t="str">
        <f t="shared" si="7"/>
        <v/>
      </c>
    </row>
    <row r="71" spans="1:13" x14ac:dyDescent="0.35">
      <c r="A71" s="81"/>
      <c r="B71" s="13"/>
      <c r="C71" s="21"/>
      <c r="D71" s="14"/>
      <c r="E71" s="14"/>
      <c r="F71" s="14"/>
      <c r="G71" s="21"/>
      <c r="H71" s="53"/>
      <c r="I71" s="7" t="str">
        <f t="shared" si="4"/>
        <v/>
      </c>
      <c r="J71" s="27" t="str">
        <f t="shared" ca="1" si="5"/>
        <v/>
      </c>
      <c r="K71" s="7" t="str">
        <f t="shared" si="6"/>
        <v/>
      </c>
      <c r="L71" s="13"/>
      <c r="M71" s="29" t="str">
        <f t="shared" si="7"/>
        <v/>
      </c>
    </row>
    <row r="72" spans="1:13" x14ac:dyDescent="0.35">
      <c r="A72" s="81"/>
      <c r="B72" s="13"/>
      <c r="C72" s="21"/>
      <c r="D72" s="14"/>
      <c r="E72" s="14"/>
      <c r="F72" s="14"/>
      <c r="G72" s="21"/>
      <c r="H72" s="53"/>
      <c r="I72" s="7" t="str">
        <f t="shared" si="4"/>
        <v/>
      </c>
      <c r="J72" s="27" t="str">
        <f t="shared" ca="1" si="5"/>
        <v/>
      </c>
      <c r="K72" s="7" t="str">
        <f t="shared" si="6"/>
        <v/>
      </c>
      <c r="L72" s="13"/>
      <c r="M72" s="29" t="str">
        <f t="shared" si="7"/>
        <v/>
      </c>
    </row>
    <row r="73" spans="1:13" x14ac:dyDescent="0.35">
      <c r="A73" s="81"/>
      <c r="B73" s="13"/>
      <c r="C73" s="21"/>
      <c r="D73" s="14"/>
      <c r="E73" s="14"/>
      <c r="F73" s="14"/>
      <c r="G73" s="21"/>
      <c r="H73" s="53"/>
      <c r="I73" s="7" t="str">
        <f t="shared" si="4"/>
        <v/>
      </c>
      <c r="J73" s="27" t="str">
        <f t="shared" ca="1" si="5"/>
        <v/>
      </c>
      <c r="K73" s="7" t="str">
        <f t="shared" si="6"/>
        <v/>
      </c>
      <c r="L73" s="13"/>
      <c r="M73" s="29" t="str">
        <f t="shared" si="7"/>
        <v/>
      </c>
    </row>
    <row r="74" spans="1:13" x14ac:dyDescent="0.35">
      <c r="A74" s="81"/>
      <c r="B74" s="13"/>
      <c r="C74" s="21"/>
      <c r="D74" s="14"/>
      <c r="E74" s="14"/>
      <c r="F74" s="14"/>
      <c r="G74" s="21"/>
      <c r="H74" s="53"/>
      <c r="I74" s="7" t="str">
        <f t="shared" si="4"/>
        <v/>
      </c>
      <c r="J74" s="27" t="str">
        <f t="shared" ca="1" si="5"/>
        <v/>
      </c>
      <c r="K74" s="7" t="str">
        <f t="shared" si="6"/>
        <v/>
      </c>
      <c r="L74" s="13"/>
      <c r="M74" s="29" t="str">
        <f t="shared" si="7"/>
        <v/>
      </c>
    </row>
    <row r="75" spans="1:13" x14ac:dyDescent="0.35">
      <c r="A75" s="81"/>
      <c r="B75" s="13"/>
      <c r="C75" s="21"/>
      <c r="D75" s="14"/>
      <c r="E75" s="14"/>
      <c r="F75" s="14"/>
      <c r="G75" s="21"/>
      <c r="H75" s="53"/>
      <c r="I75" s="7" t="str">
        <f t="shared" si="4"/>
        <v/>
      </c>
      <c r="J75" s="27" t="str">
        <f t="shared" ca="1" si="5"/>
        <v/>
      </c>
      <c r="K75" s="7" t="str">
        <f t="shared" si="6"/>
        <v/>
      </c>
      <c r="L75" s="13"/>
      <c r="M75" s="29" t="str">
        <f t="shared" si="7"/>
        <v/>
      </c>
    </row>
    <row r="76" spans="1:13" x14ac:dyDescent="0.35">
      <c r="A76" s="81"/>
      <c r="B76" s="13"/>
      <c r="C76" s="21"/>
      <c r="D76" s="14"/>
      <c r="E76" s="14"/>
      <c r="F76" s="14"/>
      <c r="G76" s="21"/>
      <c r="H76" s="53"/>
      <c r="I76" s="7" t="str">
        <f t="shared" si="4"/>
        <v/>
      </c>
      <c r="J76" s="27" t="str">
        <f t="shared" ca="1" si="5"/>
        <v/>
      </c>
      <c r="K76" s="7" t="str">
        <f t="shared" si="6"/>
        <v/>
      </c>
      <c r="L76" s="13"/>
      <c r="M76" s="29" t="str">
        <f t="shared" si="7"/>
        <v/>
      </c>
    </row>
    <row r="77" spans="1:13" x14ac:dyDescent="0.35">
      <c r="A77" s="81"/>
      <c r="B77" s="13"/>
      <c r="C77" s="21"/>
      <c r="D77" s="14"/>
      <c r="E77" s="14"/>
      <c r="F77" s="14"/>
      <c r="G77" s="21"/>
      <c r="H77" s="53"/>
      <c r="I77" s="7" t="str">
        <f t="shared" si="4"/>
        <v/>
      </c>
      <c r="J77" s="27" t="str">
        <f t="shared" ca="1" si="5"/>
        <v/>
      </c>
      <c r="K77" s="7" t="str">
        <f t="shared" si="6"/>
        <v/>
      </c>
      <c r="L77" s="13"/>
      <c r="M77" s="29" t="str">
        <f t="shared" si="7"/>
        <v/>
      </c>
    </row>
    <row r="78" spans="1:13" x14ac:dyDescent="0.35">
      <c r="A78" s="81"/>
      <c r="B78" s="13"/>
      <c r="C78" s="21"/>
      <c r="D78" s="14"/>
      <c r="E78" s="14"/>
      <c r="F78" s="14"/>
      <c r="G78" s="21"/>
      <c r="H78" s="53"/>
      <c r="I78" s="7" t="str">
        <f t="shared" si="4"/>
        <v/>
      </c>
      <c r="J78" s="27" t="str">
        <f t="shared" ca="1" si="5"/>
        <v/>
      </c>
      <c r="K78" s="7" t="str">
        <f t="shared" si="6"/>
        <v/>
      </c>
      <c r="L78" s="13"/>
      <c r="M78" s="29" t="str">
        <f t="shared" si="7"/>
        <v/>
      </c>
    </row>
    <row r="79" spans="1:13" x14ac:dyDescent="0.35">
      <c r="A79" s="81"/>
      <c r="B79" s="13"/>
      <c r="C79" s="21"/>
      <c r="D79" s="14"/>
      <c r="E79" s="14"/>
      <c r="F79" s="14"/>
      <c r="G79" s="21"/>
      <c r="H79" s="53"/>
      <c r="I79" s="7" t="str">
        <f t="shared" si="4"/>
        <v/>
      </c>
      <c r="J79" s="27" t="str">
        <f t="shared" ca="1" si="5"/>
        <v/>
      </c>
      <c r="K79" s="7" t="str">
        <f t="shared" si="6"/>
        <v/>
      </c>
      <c r="L79" s="13"/>
      <c r="M79" s="29" t="str">
        <f t="shared" si="7"/>
        <v/>
      </c>
    </row>
    <row r="80" spans="1:13" x14ac:dyDescent="0.35">
      <c r="A80" s="81"/>
      <c r="B80" s="13"/>
      <c r="C80" s="21"/>
      <c r="D80" s="14"/>
      <c r="E80" s="14"/>
      <c r="F80" s="14"/>
      <c r="G80" s="21"/>
      <c r="H80" s="53"/>
      <c r="I80" s="7" t="str">
        <f t="shared" si="4"/>
        <v/>
      </c>
      <c r="J80" s="27" t="str">
        <f t="shared" ca="1" si="5"/>
        <v/>
      </c>
      <c r="K80" s="7" t="str">
        <f t="shared" si="6"/>
        <v/>
      </c>
      <c r="L80" s="13"/>
      <c r="M80" s="29" t="str">
        <f t="shared" si="7"/>
        <v/>
      </c>
    </row>
    <row r="81" spans="1:13" x14ac:dyDescent="0.35">
      <c r="A81" s="81"/>
      <c r="B81" s="13"/>
      <c r="C81" s="21"/>
      <c r="D81" s="14"/>
      <c r="E81" s="14"/>
      <c r="F81" s="14"/>
      <c r="G81" s="21"/>
      <c r="H81" s="53"/>
      <c r="I81" s="7" t="str">
        <f t="shared" si="4"/>
        <v/>
      </c>
      <c r="J81" s="27" t="str">
        <f t="shared" ca="1" si="5"/>
        <v/>
      </c>
      <c r="K81" s="7" t="str">
        <f t="shared" si="6"/>
        <v/>
      </c>
      <c r="L81" s="13"/>
      <c r="M81" s="29" t="str">
        <f t="shared" si="7"/>
        <v/>
      </c>
    </row>
    <row r="82" spans="1:13" x14ac:dyDescent="0.35">
      <c r="A82" s="81"/>
      <c r="B82" s="13"/>
      <c r="C82" s="21"/>
      <c r="D82" s="14"/>
      <c r="E82" s="14"/>
      <c r="F82" s="14"/>
      <c r="G82" s="21"/>
      <c r="H82" s="53"/>
      <c r="I82" s="7" t="str">
        <f t="shared" si="4"/>
        <v/>
      </c>
      <c r="J82" s="27" t="str">
        <f t="shared" ca="1" si="5"/>
        <v/>
      </c>
      <c r="K82" s="7" t="str">
        <f t="shared" si="6"/>
        <v/>
      </c>
      <c r="L82" s="13"/>
      <c r="M82" s="29" t="str">
        <f t="shared" si="7"/>
        <v/>
      </c>
    </row>
    <row r="83" spans="1:13" x14ac:dyDescent="0.35">
      <c r="A83" s="81"/>
      <c r="B83" s="13"/>
      <c r="C83" s="21"/>
      <c r="D83" s="14"/>
      <c r="E83" s="14"/>
      <c r="F83" s="14"/>
      <c r="G83" s="21"/>
      <c r="H83" s="53"/>
      <c r="I83" s="7" t="str">
        <f t="shared" si="4"/>
        <v/>
      </c>
      <c r="J83" s="27" t="str">
        <f t="shared" ca="1" si="5"/>
        <v/>
      </c>
      <c r="K83" s="7" t="str">
        <f t="shared" si="6"/>
        <v/>
      </c>
      <c r="L83" s="13"/>
      <c r="M83" s="29" t="str">
        <f t="shared" si="7"/>
        <v/>
      </c>
    </row>
    <row r="84" spans="1:13" x14ac:dyDescent="0.35">
      <c r="A84" s="81"/>
      <c r="B84" s="13"/>
      <c r="C84" s="21"/>
      <c r="D84" s="14"/>
      <c r="E84" s="14"/>
      <c r="F84" s="14"/>
      <c r="G84" s="21"/>
      <c r="H84" s="53"/>
      <c r="I84" s="7" t="str">
        <f t="shared" si="4"/>
        <v/>
      </c>
      <c r="J84" s="27" t="str">
        <f t="shared" ca="1" si="5"/>
        <v/>
      </c>
      <c r="K84" s="7" t="str">
        <f t="shared" si="6"/>
        <v/>
      </c>
      <c r="L84" s="13"/>
      <c r="M84" s="29" t="str">
        <f t="shared" si="7"/>
        <v/>
      </c>
    </row>
    <row r="85" spans="1:13" x14ac:dyDescent="0.35">
      <c r="A85" s="81"/>
      <c r="B85" s="13"/>
      <c r="C85" s="21"/>
      <c r="D85" s="14"/>
      <c r="E85" s="14"/>
      <c r="F85" s="14"/>
      <c r="G85" s="21"/>
      <c r="H85" s="53"/>
      <c r="I85" s="7" t="str">
        <f t="shared" si="4"/>
        <v/>
      </c>
      <c r="J85" s="27" t="str">
        <f t="shared" ca="1" si="5"/>
        <v/>
      </c>
      <c r="K85" s="7" t="str">
        <f t="shared" si="6"/>
        <v/>
      </c>
      <c r="L85" s="13"/>
      <c r="M85" s="29" t="str">
        <f t="shared" si="7"/>
        <v/>
      </c>
    </row>
    <row r="86" spans="1:13" x14ac:dyDescent="0.35">
      <c r="A86" s="81"/>
      <c r="B86" s="13"/>
      <c r="C86" s="21"/>
      <c r="D86" s="14"/>
      <c r="E86" s="14"/>
      <c r="F86" s="14"/>
      <c r="G86" s="21"/>
      <c r="H86" s="53"/>
      <c r="I86" s="7" t="str">
        <f t="shared" si="4"/>
        <v/>
      </c>
      <c r="J86" s="27" t="str">
        <f t="shared" ca="1" si="5"/>
        <v/>
      </c>
      <c r="K86" s="7" t="str">
        <f t="shared" si="6"/>
        <v/>
      </c>
      <c r="L86" s="13"/>
      <c r="M86" s="29" t="str">
        <f t="shared" si="7"/>
        <v/>
      </c>
    </row>
    <row r="87" spans="1:13" x14ac:dyDescent="0.35">
      <c r="A87" s="81"/>
      <c r="B87" s="13"/>
      <c r="C87" s="21"/>
      <c r="D87" s="14"/>
      <c r="E87" s="14"/>
      <c r="F87" s="14"/>
      <c r="G87" s="21"/>
      <c r="H87" s="53"/>
      <c r="I87" s="7" t="str">
        <f t="shared" si="4"/>
        <v/>
      </c>
      <c r="J87" s="27" t="str">
        <f t="shared" ca="1" si="5"/>
        <v/>
      </c>
      <c r="K87" s="7" t="str">
        <f t="shared" si="6"/>
        <v/>
      </c>
      <c r="L87" s="13"/>
      <c r="M87" s="29" t="str">
        <f t="shared" si="7"/>
        <v/>
      </c>
    </row>
    <row r="88" spans="1:13" x14ac:dyDescent="0.35">
      <c r="A88" s="81"/>
      <c r="B88" s="13"/>
      <c r="C88" s="21"/>
      <c r="D88" s="14"/>
      <c r="E88" s="14"/>
      <c r="F88" s="14"/>
      <c r="G88" s="21"/>
      <c r="H88" s="53"/>
      <c r="I88" s="7" t="str">
        <f t="shared" si="4"/>
        <v/>
      </c>
      <c r="J88" s="27" t="str">
        <f t="shared" ca="1" si="5"/>
        <v/>
      </c>
      <c r="K88" s="7" t="str">
        <f t="shared" si="6"/>
        <v/>
      </c>
      <c r="L88" s="13"/>
      <c r="M88" s="29" t="str">
        <f t="shared" si="7"/>
        <v/>
      </c>
    </row>
    <row r="89" spans="1:13" x14ac:dyDescent="0.35">
      <c r="A89" s="81"/>
      <c r="B89" s="13"/>
      <c r="C89" s="21"/>
      <c r="D89" s="14"/>
      <c r="E89" s="14"/>
      <c r="F89" s="14"/>
      <c r="G89" s="21"/>
      <c r="H89" s="53"/>
      <c r="I89" s="7" t="str">
        <f t="shared" si="4"/>
        <v/>
      </c>
      <c r="J89" s="27" t="str">
        <f t="shared" ca="1" si="5"/>
        <v/>
      </c>
      <c r="K89" s="7" t="str">
        <f t="shared" si="6"/>
        <v/>
      </c>
      <c r="L89" s="13"/>
      <c r="M89" s="29" t="str">
        <f t="shared" si="7"/>
        <v/>
      </c>
    </row>
    <row r="90" spans="1:13" x14ac:dyDescent="0.35">
      <c r="A90" s="81"/>
      <c r="B90" s="13"/>
      <c r="C90" s="21"/>
      <c r="D90" s="14"/>
      <c r="E90" s="14"/>
      <c r="F90" s="14"/>
      <c r="G90" s="21"/>
      <c r="H90" s="53"/>
      <c r="I90" s="7" t="str">
        <f t="shared" si="4"/>
        <v/>
      </c>
      <c r="J90" s="27" t="str">
        <f t="shared" ca="1" si="5"/>
        <v/>
      </c>
      <c r="K90" s="7" t="str">
        <f t="shared" si="6"/>
        <v/>
      </c>
      <c r="L90" s="13"/>
      <c r="M90" s="29" t="str">
        <f t="shared" si="7"/>
        <v/>
      </c>
    </row>
    <row r="91" spans="1:13" x14ac:dyDescent="0.35">
      <c r="A91" s="81"/>
      <c r="B91" s="13"/>
      <c r="C91" s="21"/>
      <c r="D91" s="14"/>
      <c r="E91" s="14"/>
      <c r="F91" s="14"/>
      <c r="G91" s="21"/>
      <c r="H91" s="53"/>
      <c r="I91" s="7" t="str">
        <f t="shared" si="4"/>
        <v/>
      </c>
      <c r="J91" s="27" t="str">
        <f t="shared" ca="1" si="5"/>
        <v/>
      </c>
      <c r="K91" s="7" t="str">
        <f t="shared" si="6"/>
        <v/>
      </c>
      <c r="L91" s="13"/>
      <c r="M91" s="29" t="str">
        <f t="shared" si="7"/>
        <v/>
      </c>
    </row>
    <row r="92" spans="1:13" x14ac:dyDescent="0.35">
      <c r="A92" s="81"/>
      <c r="B92" s="13"/>
      <c r="C92" s="21"/>
      <c r="D92" s="14"/>
      <c r="E92" s="14"/>
      <c r="F92" s="14"/>
      <c r="G92" s="21"/>
      <c r="H92" s="53"/>
      <c r="I92" s="7" t="str">
        <f t="shared" si="4"/>
        <v/>
      </c>
      <c r="J92" s="27" t="str">
        <f t="shared" ca="1" si="5"/>
        <v/>
      </c>
      <c r="K92" s="7" t="str">
        <f t="shared" si="6"/>
        <v/>
      </c>
      <c r="L92" s="13"/>
      <c r="M92" s="29" t="str">
        <f t="shared" si="7"/>
        <v/>
      </c>
    </row>
    <row r="93" spans="1:13" x14ac:dyDescent="0.35">
      <c r="A93" s="81"/>
      <c r="B93" s="13"/>
      <c r="C93" s="21"/>
      <c r="D93" s="14"/>
      <c r="E93" s="14"/>
      <c r="F93" s="14"/>
      <c r="G93" s="21"/>
      <c r="H93" s="53"/>
      <c r="I93" s="7" t="str">
        <f t="shared" si="4"/>
        <v/>
      </c>
      <c r="J93" s="27" t="str">
        <f t="shared" ca="1" si="5"/>
        <v/>
      </c>
      <c r="K93" s="7" t="str">
        <f t="shared" si="6"/>
        <v/>
      </c>
      <c r="L93" s="13"/>
      <c r="M93" s="29" t="str">
        <f t="shared" si="7"/>
        <v/>
      </c>
    </row>
    <row r="94" spans="1:13" x14ac:dyDescent="0.35">
      <c r="A94" s="81"/>
      <c r="B94" s="13"/>
      <c r="C94" s="21"/>
      <c r="D94" s="14"/>
      <c r="E94" s="14"/>
      <c r="F94" s="14"/>
      <c r="G94" s="21"/>
      <c r="H94" s="53"/>
      <c r="I94" s="7" t="str">
        <f t="shared" si="4"/>
        <v/>
      </c>
      <c r="J94" s="27" t="str">
        <f t="shared" ca="1" si="5"/>
        <v/>
      </c>
      <c r="K94" s="7" t="str">
        <f t="shared" si="6"/>
        <v/>
      </c>
      <c r="L94" s="13"/>
      <c r="M94" s="29" t="str">
        <f t="shared" si="7"/>
        <v/>
      </c>
    </row>
    <row r="95" spans="1:13" x14ac:dyDescent="0.35">
      <c r="A95" s="81"/>
      <c r="B95" s="13"/>
      <c r="C95" s="21"/>
      <c r="D95" s="14"/>
      <c r="E95" s="14"/>
      <c r="F95" s="14"/>
      <c r="G95" s="21"/>
      <c r="H95" s="53"/>
      <c r="I95" s="7" t="str">
        <f t="shared" si="4"/>
        <v/>
      </c>
      <c r="J95" s="27" t="str">
        <f t="shared" ca="1" si="5"/>
        <v/>
      </c>
      <c r="K95" s="7" t="str">
        <f t="shared" si="6"/>
        <v/>
      </c>
      <c r="L95" s="13"/>
      <c r="M95" s="29" t="str">
        <f t="shared" si="7"/>
        <v/>
      </c>
    </row>
    <row r="96" spans="1:13" x14ac:dyDescent="0.35">
      <c r="A96" s="81"/>
      <c r="B96" s="13"/>
      <c r="C96" s="21"/>
      <c r="D96" s="14"/>
      <c r="E96" s="14"/>
      <c r="F96" s="14"/>
      <c r="G96" s="21"/>
      <c r="H96" s="53"/>
      <c r="I96" s="7" t="str">
        <f t="shared" si="4"/>
        <v/>
      </c>
      <c r="J96" s="27" t="str">
        <f t="shared" ca="1" si="5"/>
        <v/>
      </c>
      <c r="K96" s="7" t="str">
        <f t="shared" si="6"/>
        <v/>
      </c>
      <c r="L96" s="13"/>
      <c r="M96" s="29" t="str">
        <f t="shared" si="7"/>
        <v/>
      </c>
    </row>
    <row r="97" spans="1:13" x14ac:dyDescent="0.35">
      <c r="A97" s="81"/>
      <c r="B97" s="13"/>
      <c r="C97" s="21"/>
      <c r="D97" s="14"/>
      <c r="E97" s="14"/>
      <c r="F97" s="14"/>
      <c r="G97" s="21"/>
      <c r="H97" s="53"/>
      <c r="I97" s="7" t="str">
        <f t="shared" si="4"/>
        <v/>
      </c>
      <c r="J97" s="27" t="str">
        <f t="shared" ca="1" si="5"/>
        <v/>
      </c>
      <c r="K97" s="7" t="str">
        <f t="shared" si="6"/>
        <v/>
      </c>
      <c r="L97" s="13"/>
      <c r="M97" s="29" t="str">
        <f t="shared" si="7"/>
        <v/>
      </c>
    </row>
    <row r="98" spans="1:13" x14ac:dyDescent="0.35">
      <c r="A98" s="81"/>
      <c r="B98" s="13"/>
      <c r="C98" s="21"/>
      <c r="D98" s="14"/>
      <c r="E98" s="14"/>
      <c r="F98" s="14"/>
      <c r="G98" s="21"/>
      <c r="H98" s="53"/>
      <c r="I98" s="7" t="str">
        <f t="shared" si="4"/>
        <v/>
      </c>
      <c r="J98" s="27" t="str">
        <f t="shared" ca="1" si="5"/>
        <v/>
      </c>
      <c r="K98" s="7" t="str">
        <f t="shared" si="6"/>
        <v/>
      </c>
      <c r="L98" s="13"/>
      <c r="M98" s="29" t="str">
        <f t="shared" si="7"/>
        <v/>
      </c>
    </row>
    <row r="99" spans="1:13" x14ac:dyDescent="0.35">
      <c r="A99" s="81"/>
      <c r="B99" s="13"/>
      <c r="C99" s="21"/>
      <c r="D99" s="14"/>
      <c r="E99" s="14"/>
      <c r="F99" s="14"/>
      <c r="G99" s="21"/>
      <c r="H99" s="53"/>
      <c r="I99" s="7" t="str">
        <f t="shared" si="4"/>
        <v/>
      </c>
      <c r="J99" s="27" t="str">
        <f t="shared" ca="1" si="5"/>
        <v/>
      </c>
      <c r="K99" s="7" t="str">
        <f t="shared" si="6"/>
        <v/>
      </c>
      <c r="L99" s="13"/>
      <c r="M99" s="29" t="str">
        <f t="shared" si="7"/>
        <v/>
      </c>
    </row>
    <row r="100" spans="1:13" x14ac:dyDescent="0.35">
      <c r="A100" s="81"/>
      <c r="B100" s="13"/>
      <c r="C100" s="21"/>
      <c r="D100" s="14"/>
      <c r="E100" s="14"/>
      <c r="F100" s="14"/>
      <c r="G100" s="21"/>
      <c r="H100" s="53"/>
      <c r="I100" s="7" t="str">
        <f t="shared" si="4"/>
        <v/>
      </c>
      <c r="J100" s="27" t="str">
        <f t="shared" ca="1" si="5"/>
        <v/>
      </c>
      <c r="K100" s="7" t="str">
        <f t="shared" si="6"/>
        <v/>
      </c>
      <c r="L100" s="13"/>
      <c r="M100" s="29" t="str">
        <f t="shared" si="7"/>
        <v/>
      </c>
    </row>
    <row r="101" spans="1:13" x14ac:dyDescent="0.35">
      <c r="A101" s="81"/>
      <c r="B101" s="13"/>
      <c r="C101" s="21"/>
      <c r="D101" s="14"/>
      <c r="E101" s="14"/>
      <c r="F101" s="14"/>
      <c r="G101" s="21"/>
      <c r="H101" s="53"/>
      <c r="I101" s="7" t="str">
        <f t="shared" si="4"/>
        <v/>
      </c>
      <c r="J101" s="27" t="str">
        <f t="shared" ca="1" si="5"/>
        <v/>
      </c>
      <c r="K101" s="7" t="str">
        <f t="shared" si="6"/>
        <v/>
      </c>
      <c r="L101" s="13"/>
      <c r="M101" s="29" t="str">
        <f t="shared" si="7"/>
        <v/>
      </c>
    </row>
    <row r="102" spans="1:13" x14ac:dyDescent="0.35">
      <c r="A102" s="81"/>
      <c r="B102" s="13"/>
      <c r="C102" s="21"/>
      <c r="D102" s="14"/>
      <c r="E102" s="14"/>
      <c r="F102" s="14"/>
      <c r="G102" s="21"/>
      <c r="H102" s="53"/>
      <c r="I102" s="7" t="str">
        <f t="shared" si="4"/>
        <v/>
      </c>
      <c r="J102" s="27" t="str">
        <f t="shared" ca="1" si="5"/>
        <v/>
      </c>
      <c r="K102" s="7" t="str">
        <f t="shared" si="6"/>
        <v/>
      </c>
      <c r="L102" s="13"/>
      <c r="M102" s="29" t="str">
        <f t="shared" si="7"/>
        <v/>
      </c>
    </row>
    <row r="103" spans="1:13" x14ac:dyDescent="0.35">
      <c r="A103" s="81"/>
      <c r="B103" s="13"/>
      <c r="C103" s="21"/>
      <c r="D103" s="14"/>
      <c r="E103" s="14"/>
      <c r="F103" s="14"/>
      <c r="G103" s="21"/>
      <c r="H103" s="53"/>
      <c r="I103" s="7" t="str">
        <f t="shared" si="4"/>
        <v/>
      </c>
      <c r="J103" s="27" t="str">
        <f t="shared" ca="1" si="5"/>
        <v/>
      </c>
      <c r="K103" s="7" t="str">
        <f t="shared" si="6"/>
        <v/>
      </c>
      <c r="L103" s="13"/>
      <c r="M103" s="29" t="str">
        <f t="shared" si="7"/>
        <v/>
      </c>
    </row>
    <row r="104" spans="1:13" x14ac:dyDescent="0.35">
      <c r="A104" s="81"/>
      <c r="B104" s="13"/>
      <c r="C104" s="21"/>
      <c r="D104" s="14"/>
      <c r="E104" s="14"/>
      <c r="F104" s="14"/>
      <c r="G104" s="21"/>
      <c r="H104" s="53"/>
      <c r="I104" s="7" t="str">
        <f t="shared" si="4"/>
        <v/>
      </c>
      <c r="J104" s="27" t="str">
        <f t="shared" ca="1" si="5"/>
        <v/>
      </c>
      <c r="K104" s="7" t="str">
        <f t="shared" si="6"/>
        <v/>
      </c>
      <c r="L104" s="13"/>
      <c r="M104" s="29" t="str">
        <f t="shared" si="7"/>
        <v/>
      </c>
    </row>
    <row r="105" spans="1:13" x14ac:dyDescent="0.35">
      <c r="A105" s="81"/>
      <c r="B105" s="13"/>
      <c r="C105" s="21"/>
      <c r="D105" s="14"/>
      <c r="E105" s="14"/>
      <c r="F105" s="14"/>
      <c r="G105" s="21"/>
      <c r="H105" s="53"/>
      <c r="I105" s="7" t="str">
        <f t="shared" si="4"/>
        <v/>
      </c>
      <c r="J105" s="27" t="str">
        <f t="shared" ca="1" si="5"/>
        <v/>
      </c>
      <c r="K105" s="7" t="str">
        <f t="shared" si="6"/>
        <v/>
      </c>
      <c r="L105" s="13"/>
      <c r="M105" s="29" t="str">
        <f t="shared" si="7"/>
        <v/>
      </c>
    </row>
    <row r="106" spans="1:13" x14ac:dyDescent="0.35">
      <c r="A106" s="81"/>
      <c r="B106" s="13"/>
      <c r="C106" s="21"/>
      <c r="D106" s="14"/>
      <c r="E106" s="14"/>
      <c r="F106" s="14"/>
      <c r="G106" s="21"/>
      <c r="H106" s="53"/>
      <c r="I106" s="7" t="str">
        <f t="shared" si="4"/>
        <v/>
      </c>
      <c r="J106" s="27" t="str">
        <f t="shared" ca="1" si="5"/>
        <v/>
      </c>
      <c r="K106" s="7" t="str">
        <f t="shared" si="6"/>
        <v/>
      </c>
      <c r="L106" s="13"/>
      <c r="M106" s="29" t="str">
        <f t="shared" si="7"/>
        <v/>
      </c>
    </row>
    <row r="107" spans="1:13" x14ac:dyDescent="0.35">
      <c r="A107" s="81"/>
      <c r="B107" s="13"/>
      <c r="C107" s="21"/>
      <c r="D107" s="14"/>
      <c r="E107" s="14"/>
      <c r="F107" s="14"/>
      <c r="G107" s="21"/>
      <c r="H107" s="53"/>
      <c r="I107" s="7" t="str">
        <f t="shared" si="4"/>
        <v/>
      </c>
      <c r="J107" s="27" t="str">
        <f t="shared" ca="1" si="5"/>
        <v/>
      </c>
      <c r="K107" s="7" t="str">
        <f t="shared" si="6"/>
        <v/>
      </c>
      <c r="L107" s="13"/>
      <c r="M107" s="29" t="str">
        <f t="shared" si="7"/>
        <v/>
      </c>
    </row>
    <row r="108" spans="1:13" x14ac:dyDescent="0.35">
      <c r="A108" s="81"/>
      <c r="B108" s="13"/>
      <c r="C108" s="21"/>
      <c r="D108" s="14"/>
      <c r="E108" s="14"/>
      <c r="F108" s="14"/>
      <c r="G108" s="21"/>
      <c r="H108" s="53"/>
      <c r="I108" s="7" t="str">
        <f t="shared" si="4"/>
        <v/>
      </c>
      <c r="J108" s="27" t="str">
        <f t="shared" ca="1" si="5"/>
        <v/>
      </c>
      <c r="K108" s="7" t="str">
        <f t="shared" si="6"/>
        <v/>
      </c>
      <c r="L108" s="13"/>
      <c r="M108" s="29" t="str">
        <f t="shared" si="7"/>
        <v/>
      </c>
    </row>
    <row r="109" spans="1:13" x14ac:dyDescent="0.35">
      <c r="A109" s="81"/>
      <c r="B109" s="13"/>
      <c r="C109" s="21"/>
      <c r="D109" s="14"/>
      <c r="E109" s="14"/>
      <c r="F109" s="14"/>
      <c r="G109" s="21"/>
      <c r="H109" s="53"/>
      <c r="I109" s="7" t="str">
        <f t="shared" si="4"/>
        <v/>
      </c>
      <c r="J109" s="27" t="str">
        <f t="shared" ca="1" si="5"/>
        <v/>
      </c>
      <c r="K109" s="7" t="str">
        <f t="shared" si="6"/>
        <v/>
      </c>
      <c r="L109" s="13"/>
      <c r="M109" s="29" t="str">
        <f t="shared" si="7"/>
        <v/>
      </c>
    </row>
    <row r="110" spans="1:13" x14ac:dyDescent="0.35">
      <c r="A110" s="81"/>
      <c r="B110" s="13"/>
      <c r="C110" s="21"/>
      <c r="D110" s="14"/>
      <c r="E110" s="14"/>
      <c r="F110" s="14"/>
      <c r="G110" s="21"/>
      <c r="H110" s="53"/>
      <c r="I110" s="7" t="str">
        <f t="shared" si="4"/>
        <v/>
      </c>
      <c r="J110" s="27" t="str">
        <f t="shared" ca="1" si="5"/>
        <v/>
      </c>
      <c r="K110" s="7" t="str">
        <f t="shared" si="6"/>
        <v/>
      </c>
      <c r="L110" s="13"/>
      <c r="M110" s="29" t="str">
        <f t="shared" si="7"/>
        <v/>
      </c>
    </row>
    <row r="111" spans="1:13" x14ac:dyDescent="0.35">
      <c r="A111" s="81"/>
      <c r="B111" s="13"/>
      <c r="C111" s="21"/>
      <c r="D111" s="14"/>
      <c r="E111" s="14"/>
      <c r="F111" s="14"/>
      <c r="G111" s="21"/>
      <c r="H111" s="53"/>
      <c r="I111" s="7" t="str">
        <f t="shared" si="4"/>
        <v/>
      </c>
      <c r="J111" s="27" t="str">
        <f t="shared" ca="1" si="5"/>
        <v/>
      </c>
      <c r="K111" s="7" t="str">
        <f t="shared" si="6"/>
        <v/>
      </c>
      <c r="L111" s="13"/>
      <c r="M111" s="29" t="str">
        <f t="shared" si="7"/>
        <v/>
      </c>
    </row>
    <row r="112" spans="1:13" x14ac:dyDescent="0.35">
      <c r="A112" s="81"/>
      <c r="B112" s="13"/>
      <c r="C112" s="21"/>
      <c r="D112" s="14"/>
      <c r="E112" s="14"/>
      <c r="F112" s="14"/>
      <c r="G112" s="21"/>
      <c r="H112" s="53"/>
      <c r="I112" s="7" t="str">
        <f t="shared" si="4"/>
        <v/>
      </c>
      <c r="J112" s="27" t="str">
        <f t="shared" ca="1" si="5"/>
        <v/>
      </c>
      <c r="K112" s="7" t="str">
        <f t="shared" si="6"/>
        <v/>
      </c>
      <c r="L112" s="13"/>
      <c r="M112" s="29" t="str">
        <f t="shared" si="7"/>
        <v/>
      </c>
    </row>
    <row r="113" spans="1:13" x14ac:dyDescent="0.35">
      <c r="A113" s="81"/>
      <c r="B113" s="13"/>
      <c r="C113" s="21"/>
      <c r="D113" s="14"/>
      <c r="E113" s="14"/>
      <c r="F113" s="14"/>
      <c r="G113" s="21"/>
      <c r="H113" s="53"/>
      <c r="I113" s="7" t="str">
        <f t="shared" si="4"/>
        <v/>
      </c>
      <c r="J113" s="27" t="str">
        <f t="shared" ca="1" si="5"/>
        <v/>
      </c>
      <c r="K113" s="7" t="str">
        <f t="shared" si="6"/>
        <v/>
      </c>
      <c r="L113" s="13"/>
      <c r="M113" s="29" t="str">
        <f t="shared" si="7"/>
        <v/>
      </c>
    </row>
    <row r="114" spans="1:13" x14ac:dyDescent="0.35">
      <c r="A114" s="81"/>
      <c r="B114" s="13"/>
      <c r="C114" s="21"/>
      <c r="D114" s="14"/>
      <c r="E114" s="14"/>
      <c r="F114" s="14"/>
      <c r="G114" s="21"/>
      <c r="H114" s="53"/>
      <c r="I114" s="7" t="str">
        <f t="shared" si="4"/>
        <v/>
      </c>
      <c r="J114" s="27" t="str">
        <f t="shared" ca="1" si="5"/>
        <v/>
      </c>
      <c r="K114" s="7" t="str">
        <f t="shared" si="6"/>
        <v/>
      </c>
      <c r="L114" s="13"/>
      <c r="M114" s="29" t="str">
        <f t="shared" si="7"/>
        <v/>
      </c>
    </row>
    <row r="115" spans="1:13" x14ac:dyDescent="0.35">
      <c r="A115" s="81"/>
      <c r="B115" s="13"/>
      <c r="C115" s="21"/>
      <c r="D115" s="14"/>
      <c r="E115" s="14"/>
      <c r="F115" s="14"/>
      <c r="G115" s="21"/>
      <c r="H115" s="53"/>
      <c r="I115" s="7" t="str">
        <f t="shared" si="4"/>
        <v/>
      </c>
      <c r="J115" s="27" t="str">
        <f t="shared" ca="1" si="5"/>
        <v/>
      </c>
      <c r="K115" s="7" t="str">
        <f t="shared" si="6"/>
        <v/>
      </c>
      <c r="L115" s="13"/>
      <c r="M115" s="29" t="str">
        <f t="shared" si="7"/>
        <v/>
      </c>
    </row>
    <row r="116" spans="1:13" x14ac:dyDescent="0.35">
      <c r="A116" s="81"/>
      <c r="B116" s="13"/>
      <c r="C116" s="21"/>
      <c r="D116" s="14"/>
      <c r="E116" s="14"/>
      <c r="F116" s="14"/>
      <c r="G116" s="21"/>
      <c r="H116" s="53"/>
      <c r="I116" s="7" t="str">
        <f t="shared" si="4"/>
        <v/>
      </c>
      <c r="J116" s="27" t="str">
        <f t="shared" ca="1" si="5"/>
        <v/>
      </c>
      <c r="K116" s="7" t="str">
        <f t="shared" si="6"/>
        <v/>
      </c>
      <c r="L116" s="13"/>
      <c r="M116" s="29" t="str">
        <f t="shared" si="7"/>
        <v/>
      </c>
    </row>
    <row r="117" spans="1:13" x14ac:dyDescent="0.35">
      <c r="A117" s="81"/>
      <c r="B117" s="13"/>
      <c r="C117" s="21"/>
      <c r="D117" s="14"/>
      <c r="E117" s="14"/>
      <c r="F117" s="14"/>
      <c r="G117" s="21"/>
      <c r="H117" s="53"/>
      <c r="I117" s="7" t="str">
        <f t="shared" si="4"/>
        <v/>
      </c>
      <c r="J117" s="27" t="str">
        <f t="shared" ca="1" si="5"/>
        <v/>
      </c>
      <c r="K117" s="7" t="str">
        <f t="shared" si="6"/>
        <v/>
      </c>
      <c r="L117" s="13"/>
      <c r="M117" s="29" t="str">
        <f t="shared" si="7"/>
        <v/>
      </c>
    </row>
    <row r="118" spans="1:13" x14ac:dyDescent="0.35">
      <c r="A118" s="81"/>
      <c r="B118" s="13"/>
      <c r="C118" s="21"/>
      <c r="D118" s="14"/>
      <c r="E118" s="14"/>
      <c r="F118" s="14"/>
      <c r="G118" s="21"/>
      <c r="H118" s="53"/>
      <c r="I118" s="7" t="str">
        <f t="shared" si="4"/>
        <v/>
      </c>
      <c r="J118" s="27" t="str">
        <f t="shared" ca="1" si="5"/>
        <v/>
      </c>
      <c r="K118" s="7" t="str">
        <f t="shared" si="6"/>
        <v/>
      </c>
      <c r="L118" s="13"/>
      <c r="M118" s="29" t="str">
        <f t="shared" si="7"/>
        <v/>
      </c>
    </row>
    <row r="119" spans="1:13" x14ac:dyDescent="0.35">
      <c r="A119" s="81"/>
      <c r="B119" s="13"/>
      <c r="C119" s="21"/>
      <c r="D119" s="14"/>
      <c r="E119" s="14"/>
      <c r="F119" s="14"/>
      <c r="G119" s="21"/>
      <c r="H119" s="53"/>
      <c r="I119" s="7" t="str">
        <f t="shared" si="4"/>
        <v/>
      </c>
      <c r="J119" s="27" t="str">
        <f t="shared" ca="1" si="5"/>
        <v/>
      </c>
      <c r="K119" s="7" t="str">
        <f t="shared" si="6"/>
        <v/>
      </c>
      <c r="L119" s="13"/>
      <c r="M119" s="29" t="str">
        <f t="shared" si="7"/>
        <v/>
      </c>
    </row>
    <row r="120" spans="1:13" x14ac:dyDescent="0.35">
      <c r="A120" s="81"/>
      <c r="B120" s="13"/>
      <c r="C120" s="21"/>
      <c r="D120" s="14"/>
      <c r="E120" s="14"/>
      <c r="F120" s="14"/>
      <c r="G120" s="21"/>
      <c r="H120" s="53"/>
      <c r="I120" s="7" t="str">
        <f t="shared" si="4"/>
        <v/>
      </c>
      <c r="J120" s="27" t="str">
        <f t="shared" ca="1" si="5"/>
        <v/>
      </c>
      <c r="K120" s="7" t="str">
        <f t="shared" si="6"/>
        <v/>
      </c>
      <c r="L120" s="13"/>
      <c r="M120" s="29" t="str">
        <f t="shared" si="7"/>
        <v/>
      </c>
    </row>
    <row r="121" spans="1:13" x14ac:dyDescent="0.35">
      <c r="A121" s="81"/>
      <c r="B121" s="13"/>
      <c r="C121" s="21"/>
      <c r="D121" s="14"/>
      <c r="E121" s="14"/>
      <c r="F121" s="14"/>
      <c r="G121" s="21"/>
      <c r="H121" s="53"/>
      <c r="I121" s="7" t="str">
        <f t="shared" si="4"/>
        <v/>
      </c>
      <c r="J121" s="27" t="str">
        <f t="shared" ca="1" si="5"/>
        <v/>
      </c>
      <c r="K121" s="7" t="str">
        <f t="shared" si="6"/>
        <v/>
      </c>
      <c r="L121" s="13"/>
      <c r="M121" s="29" t="str">
        <f t="shared" si="7"/>
        <v/>
      </c>
    </row>
    <row r="122" spans="1:13" x14ac:dyDescent="0.35">
      <c r="A122" s="81"/>
      <c r="B122" s="13"/>
      <c r="C122" s="21"/>
      <c r="D122" s="14"/>
      <c r="E122" s="14"/>
      <c r="F122" s="14"/>
      <c r="G122" s="21"/>
      <c r="H122" s="53"/>
      <c r="I122" s="7" t="str">
        <f t="shared" si="4"/>
        <v/>
      </c>
      <c r="J122" s="27" t="str">
        <f t="shared" ca="1" si="5"/>
        <v/>
      </c>
      <c r="K122" s="7" t="str">
        <f t="shared" si="6"/>
        <v/>
      </c>
      <c r="L122" s="13"/>
      <c r="M122" s="29" t="str">
        <f t="shared" si="7"/>
        <v/>
      </c>
    </row>
    <row r="123" spans="1:13" x14ac:dyDescent="0.35">
      <c r="A123" s="81"/>
      <c r="B123" s="13"/>
      <c r="C123" s="21"/>
      <c r="D123" s="14"/>
      <c r="E123" s="14"/>
      <c r="F123" s="14"/>
      <c r="G123" s="21"/>
      <c r="H123" s="53"/>
      <c r="I123" s="7" t="str">
        <f t="shared" si="4"/>
        <v/>
      </c>
      <c r="J123" s="27" t="str">
        <f t="shared" ca="1" si="5"/>
        <v/>
      </c>
      <c r="K123" s="7" t="str">
        <f t="shared" si="6"/>
        <v/>
      </c>
      <c r="L123" s="13"/>
      <c r="M123" s="29" t="str">
        <f t="shared" si="7"/>
        <v/>
      </c>
    </row>
    <row r="124" spans="1:13" x14ac:dyDescent="0.35">
      <c r="A124" s="81"/>
      <c r="B124" s="13"/>
      <c r="C124" s="21"/>
      <c r="D124" s="14"/>
      <c r="E124" s="14"/>
      <c r="F124" s="14"/>
      <c r="G124" s="21"/>
      <c r="H124" s="53"/>
      <c r="I124" s="7" t="str">
        <f t="shared" si="4"/>
        <v/>
      </c>
      <c r="J124" s="27" t="str">
        <f t="shared" ca="1" si="5"/>
        <v/>
      </c>
      <c r="K124" s="7" t="str">
        <f t="shared" si="6"/>
        <v/>
      </c>
      <c r="L124" s="13"/>
      <c r="M124" s="29" t="str">
        <f t="shared" si="7"/>
        <v/>
      </c>
    </row>
    <row r="125" spans="1:13" x14ac:dyDescent="0.35">
      <c r="A125" s="81"/>
      <c r="B125" s="13"/>
      <c r="C125" s="21"/>
      <c r="D125" s="14"/>
      <c r="E125" s="14"/>
      <c r="F125" s="14"/>
      <c r="G125" s="21"/>
      <c r="H125" s="53"/>
      <c r="I125" s="7" t="str">
        <f t="shared" si="4"/>
        <v/>
      </c>
      <c r="J125" s="27" t="str">
        <f t="shared" ca="1" si="5"/>
        <v/>
      </c>
      <c r="K125" s="7" t="str">
        <f t="shared" si="6"/>
        <v/>
      </c>
      <c r="L125" s="13"/>
      <c r="M125" s="29" t="str">
        <f t="shared" si="7"/>
        <v/>
      </c>
    </row>
    <row r="126" spans="1:13" x14ac:dyDescent="0.35">
      <c r="A126" s="81"/>
      <c r="B126" s="13"/>
      <c r="C126" s="21"/>
      <c r="D126" s="14"/>
      <c r="E126" s="14"/>
      <c r="F126" s="14"/>
      <c r="G126" s="21"/>
      <c r="H126" s="53"/>
      <c r="I126" s="7" t="str">
        <f t="shared" si="4"/>
        <v/>
      </c>
      <c r="J126" s="27" t="str">
        <f t="shared" ca="1" si="5"/>
        <v/>
      </c>
      <c r="K126" s="7" t="str">
        <f t="shared" si="6"/>
        <v/>
      </c>
      <c r="L126" s="13"/>
      <c r="M126" s="29" t="str">
        <f t="shared" si="7"/>
        <v/>
      </c>
    </row>
    <row r="127" spans="1:13" x14ac:dyDescent="0.35">
      <c r="A127" s="81"/>
      <c r="B127" s="13"/>
      <c r="C127" s="21"/>
      <c r="D127" s="14"/>
      <c r="E127" s="14"/>
      <c r="F127" s="14"/>
      <c r="G127" s="21"/>
      <c r="H127" s="53"/>
      <c r="I127" s="7" t="str">
        <f t="shared" si="4"/>
        <v/>
      </c>
      <c r="J127" s="27" t="str">
        <f t="shared" ca="1" si="5"/>
        <v/>
      </c>
      <c r="K127" s="7" t="str">
        <f t="shared" si="6"/>
        <v/>
      </c>
      <c r="L127" s="13"/>
      <c r="M127" s="29" t="str">
        <f t="shared" si="7"/>
        <v/>
      </c>
    </row>
    <row r="128" spans="1:13" x14ac:dyDescent="0.35">
      <c r="A128" s="81"/>
      <c r="B128" s="13"/>
      <c r="C128" s="21"/>
      <c r="D128" s="14"/>
      <c r="E128" s="14"/>
      <c r="F128" s="14"/>
      <c r="G128" s="21"/>
      <c r="H128" s="53"/>
      <c r="I128" s="7" t="str">
        <f t="shared" si="4"/>
        <v/>
      </c>
      <c r="J128" s="27" t="str">
        <f t="shared" ca="1" si="5"/>
        <v/>
      </c>
      <c r="K128" s="7" t="str">
        <f t="shared" si="6"/>
        <v/>
      </c>
      <c r="L128" s="13"/>
      <c r="M128" s="29" t="str">
        <f t="shared" si="7"/>
        <v/>
      </c>
    </row>
    <row r="129" spans="1:13" x14ac:dyDescent="0.35">
      <c r="A129" s="81"/>
      <c r="B129" s="13"/>
      <c r="C129" s="21"/>
      <c r="D129" s="14"/>
      <c r="E129" s="14"/>
      <c r="F129" s="14"/>
      <c r="G129" s="21"/>
      <c r="H129" s="53"/>
      <c r="I129" s="7" t="str">
        <f t="shared" si="4"/>
        <v/>
      </c>
      <c r="J129" s="27" t="str">
        <f t="shared" ca="1" si="5"/>
        <v/>
      </c>
      <c r="K129" s="7" t="str">
        <f t="shared" si="6"/>
        <v/>
      </c>
      <c r="L129" s="13"/>
      <c r="M129" s="29" t="str">
        <f t="shared" si="7"/>
        <v/>
      </c>
    </row>
    <row r="130" spans="1:13" x14ac:dyDescent="0.35">
      <c r="A130" s="81"/>
      <c r="B130" s="13"/>
      <c r="C130" s="21"/>
      <c r="D130" s="14"/>
      <c r="E130" s="14"/>
      <c r="F130" s="14"/>
      <c r="G130" s="21"/>
      <c r="H130" s="53"/>
      <c r="I130" s="7" t="str">
        <f t="shared" si="4"/>
        <v/>
      </c>
      <c r="J130" s="27" t="str">
        <f t="shared" ca="1" si="5"/>
        <v/>
      </c>
      <c r="K130" s="7" t="str">
        <f t="shared" si="6"/>
        <v/>
      </c>
      <c r="L130" s="13"/>
      <c r="M130" s="29" t="str">
        <f t="shared" si="7"/>
        <v/>
      </c>
    </row>
    <row r="131" spans="1:13" x14ac:dyDescent="0.35">
      <c r="A131" s="81"/>
      <c r="B131" s="13"/>
      <c r="C131" s="21"/>
      <c r="D131" s="14"/>
      <c r="E131" s="14"/>
      <c r="F131" s="14"/>
      <c r="G131" s="21"/>
      <c r="H131" s="53"/>
      <c r="I131" s="7" t="str">
        <f t="shared" ref="I131:I194" si="8">IF($A131="","",IF($F131&lt;&gt;"","Envoyé DHL",IF($E131&lt;&gt;"","Reçu (à envoyer)",IF($D131&lt;&gt;"","Demandé (en attente)","À demander"))))</f>
        <v/>
      </c>
      <c r="J131" s="27" t="str">
        <f t="shared" ref="J131:J194" ca="1" si="9">IF(AND($A131&lt;&gt;"",$D131&lt;&gt;"",$E131=""),TODAY()-$D131,"")</f>
        <v/>
      </c>
      <c r="K131" s="7" t="str">
        <f t="shared" ref="K131:K194" si="10">IF($A131="","",IF(AND($J131&lt;&gt;"",N($J131)&gt;P_AlerteDoc),"Attente &gt; "&amp;P_AlerteDoc&amp;" jours",IF(AND($E131&lt;&gt;"",$F131=""),"Reçu : à envoyer par DHL","")))</f>
        <v/>
      </c>
      <c r="L131" s="13"/>
      <c r="M131" s="29" t="str">
        <f t="shared" ref="M131:M194" si="11">IF($K131&lt;&gt;"",1,"")</f>
        <v/>
      </c>
    </row>
    <row r="132" spans="1:13" x14ac:dyDescent="0.35">
      <c r="A132" s="81"/>
      <c r="B132" s="13"/>
      <c r="C132" s="21"/>
      <c r="D132" s="14"/>
      <c r="E132" s="14"/>
      <c r="F132" s="14"/>
      <c r="G132" s="21"/>
      <c r="H132" s="53"/>
      <c r="I132" s="7" t="str">
        <f t="shared" si="8"/>
        <v/>
      </c>
      <c r="J132" s="27" t="str">
        <f t="shared" ca="1" si="9"/>
        <v/>
      </c>
      <c r="K132" s="7" t="str">
        <f t="shared" si="10"/>
        <v/>
      </c>
      <c r="L132" s="13"/>
      <c r="M132" s="29" t="str">
        <f t="shared" si="11"/>
        <v/>
      </c>
    </row>
    <row r="133" spans="1:13" x14ac:dyDescent="0.35">
      <c r="A133" s="81"/>
      <c r="B133" s="13"/>
      <c r="C133" s="21"/>
      <c r="D133" s="14"/>
      <c r="E133" s="14"/>
      <c r="F133" s="14"/>
      <c r="G133" s="21"/>
      <c r="H133" s="53"/>
      <c r="I133" s="7" t="str">
        <f t="shared" si="8"/>
        <v/>
      </c>
      <c r="J133" s="27" t="str">
        <f t="shared" ca="1" si="9"/>
        <v/>
      </c>
      <c r="K133" s="7" t="str">
        <f t="shared" si="10"/>
        <v/>
      </c>
      <c r="L133" s="13"/>
      <c r="M133" s="29" t="str">
        <f t="shared" si="11"/>
        <v/>
      </c>
    </row>
    <row r="134" spans="1:13" x14ac:dyDescent="0.35">
      <c r="A134" s="81"/>
      <c r="B134" s="13"/>
      <c r="C134" s="21"/>
      <c r="D134" s="14"/>
      <c r="E134" s="14"/>
      <c r="F134" s="14"/>
      <c r="G134" s="21"/>
      <c r="H134" s="53"/>
      <c r="I134" s="7" t="str">
        <f t="shared" si="8"/>
        <v/>
      </c>
      <c r="J134" s="27" t="str">
        <f t="shared" ca="1" si="9"/>
        <v/>
      </c>
      <c r="K134" s="7" t="str">
        <f t="shared" si="10"/>
        <v/>
      </c>
      <c r="L134" s="13"/>
      <c r="M134" s="29" t="str">
        <f t="shared" si="11"/>
        <v/>
      </c>
    </row>
    <row r="135" spans="1:13" x14ac:dyDescent="0.35">
      <c r="A135" s="81"/>
      <c r="B135" s="13"/>
      <c r="C135" s="21"/>
      <c r="D135" s="14"/>
      <c r="E135" s="14"/>
      <c r="F135" s="14"/>
      <c r="G135" s="21"/>
      <c r="H135" s="53"/>
      <c r="I135" s="7" t="str">
        <f t="shared" si="8"/>
        <v/>
      </c>
      <c r="J135" s="27" t="str">
        <f t="shared" ca="1" si="9"/>
        <v/>
      </c>
      <c r="K135" s="7" t="str">
        <f t="shared" si="10"/>
        <v/>
      </c>
      <c r="L135" s="13"/>
      <c r="M135" s="29" t="str">
        <f t="shared" si="11"/>
        <v/>
      </c>
    </row>
    <row r="136" spans="1:13" x14ac:dyDescent="0.35">
      <c r="A136" s="81"/>
      <c r="B136" s="13"/>
      <c r="C136" s="21"/>
      <c r="D136" s="14"/>
      <c r="E136" s="14"/>
      <c r="F136" s="14"/>
      <c r="G136" s="21"/>
      <c r="H136" s="53"/>
      <c r="I136" s="7" t="str">
        <f t="shared" si="8"/>
        <v/>
      </c>
      <c r="J136" s="27" t="str">
        <f t="shared" ca="1" si="9"/>
        <v/>
      </c>
      <c r="K136" s="7" t="str">
        <f t="shared" si="10"/>
        <v/>
      </c>
      <c r="L136" s="13"/>
      <c r="M136" s="29" t="str">
        <f t="shared" si="11"/>
        <v/>
      </c>
    </row>
    <row r="137" spans="1:13" x14ac:dyDescent="0.35">
      <c r="A137" s="81"/>
      <c r="B137" s="13"/>
      <c r="C137" s="21"/>
      <c r="D137" s="14"/>
      <c r="E137" s="14"/>
      <c r="F137" s="14"/>
      <c r="G137" s="21"/>
      <c r="H137" s="53"/>
      <c r="I137" s="7" t="str">
        <f t="shared" si="8"/>
        <v/>
      </c>
      <c r="J137" s="27" t="str">
        <f t="shared" ca="1" si="9"/>
        <v/>
      </c>
      <c r="K137" s="7" t="str">
        <f t="shared" si="10"/>
        <v/>
      </c>
      <c r="L137" s="13"/>
      <c r="M137" s="29" t="str">
        <f t="shared" si="11"/>
        <v/>
      </c>
    </row>
    <row r="138" spans="1:13" x14ac:dyDescent="0.35">
      <c r="A138" s="81"/>
      <c r="B138" s="13"/>
      <c r="C138" s="21"/>
      <c r="D138" s="14"/>
      <c r="E138" s="14"/>
      <c r="F138" s="14"/>
      <c r="G138" s="21"/>
      <c r="H138" s="53"/>
      <c r="I138" s="7" t="str">
        <f t="shared" si="8"/>
        <v/>
      </c>
      <c r="J138" s="27" t="str">
        <f t="shared" ca="1" si="9"/>
        <v/>
      </c>
      <c r="K138" s="7" t="str">
        <f t="shared" si="10"/>
        <v/>
      </c>
      <c r="L138" s="13"/>
      <c r="M138" s="29" t="str">
        <f t="shared" si="11"/>
        <v/>
      </c>
    </row>
    <row r="139" spans="1:13" x14ac:dyDescent="0.35">
      <c r="A139" s="81"/>
      <c r="B139" s="13"/>
      <c r="C139" s="21"/>
      <c r="D139" s="14"/>
      <c r="E139" s="14"/>
      <c r="F139" s="14"/>
      <c r="G139" s="21"/>
      <c r="H139" s="53"/>
      <c r="I139" s="7" t="str">
        <f t="shared" si="8"/>
        <v/>
      </c>
      <c r="J139" s="27" t="str">
        <f t="shared" ca="1" si="9"/>
        <v/>
      </c>
      <c r="K139" s="7" t="str">
        <f t="shared" si="10"/>
        <v/>
      </c>
      <c r="L139" s="13"/>
      <c r="M139" s="29" t="str">
        <f t="shared" si="11"/>
        <v/>
      </c>
    </row>
    <row r="140" spans="1:13" x14ac:dyDescent="0.35">
      <c r="A140" s="81"/>
      <c r="B140" s="13"/>
      <c r="C140" s="21"/>
      <c r="D140" s="14"/>
      <c r="E140" s="14"/>
      <c r="F140" s="14"/>
      <c r="G140" s="21"/>
      <c r="H140" s="53"/>
      <c r="I140" s="7" t="str">
        <f t="shared" si="8"/>
        <v/>
      </c>
      <c r="J140" s="27" t="str">
        <f t="shared" ca="1" si="9"/>
        <v/>
      </c>
      <c r="K140" s="7" t="str">
        <f t="shared" si="10"/>
        <v/>
      </c>
      <c r="L140" s="13"/>
      <c r="M140" s="29" t="str">
        <f t="shared" si="11"/>
        <v/>
      </c>
    </row>
    <row r="141" spans="1:13" x14ac:dyDescent="0.35">
      <c r="A141" s="81"/>
      <c r="B141" s="13"/>
      <c r="C141" s="21"/>
      <c r="D141" s="14"/>
      <c r="E141" s="14"/>
      <c r="F141" s="14"/>
      <c r="G141" s="21"/>
      <c r="H141" s="53"/>
      <c r="I141" s="7" t="str">
        <f t="shared" si="8"/>
        <v/>
      </c>
      <c r="J141" s="27" t="str">
        <f t="shared" ca="1" si="9"/>
        <v/>
      </c>
      <c r="K141" s="7" t="str">
        <f t="shared" si="10"/>
        <v/>
      </c>
      <c r="L141" s="13"/>
      <c r="M141" s="29" t="str">
        <f t="shared" si="11"/>
        <v/>
      </c>
    </row>
    <row r="142" spans="1:13" x14ac:dyDescent="0.35">
      <c r="A142" s="81"/>
      <c r="B142" s="13"/>
      <c r="C142" s="21"/>
      <c r="D142" s="14"/>
      <c r="E142" s="14"/>
      <c r="F142" s="14"/>
      <c r="G142" s="21"/>
      <c r="H142" s="53"/>
      <c r="I142" s="7" t="str">
        <f t="shared" si="8"/>
        <v/>
      </c>
      <c r="J142" s="27" t="str">
        <f t="shared" ca="1" si="9"/>
        <v/>
      </c>
      <c r="K142" s="7" t="str">
        <f t="shared" si="10"/>
        <v/>
      </c>
      <c r="L142" s="13"/>
      <c r="M142" s="29" t="str">
        <f t="shared" si="11"/>
        <v/>
      </c>
    </row>
    <row r="143" spans="1:13" x14ac:dyDescent="0.35">
      <c r="A143" s="81"/>
      <c r="B143" s="13"/>
      <c r="C143" s="21"/>
      <c r="D143" s="14"/>
      <c r="E143" s="14"/>
      <c r="F143" s="14"/>
      <c r="G143" s="21"/>
      <c r="H143" s="53"/>
      <c r="I143" s="7" t="str">
        <f t="shared" si="8"/>
        <v/>
      </c>
      <c r="J143" s="27" t="str">
        <f t="shared" ca="1" si="9"/>
        <v/>
      </c>
      <c r="K143" s="7" t="str">
        <f t="shared" si="10"/>
        <v/>
      </c>
      <c r="L143" s="13"/>
      <c r="M143" s="29" t="str">
        <f t="shared" si="11"/>
        <v/>
      </c>
    </row>
    <row r="144" spans="1:13" x14ac:dyDescent="0.35">
      <c r="A144" s="81"/>
      <c r="B144" s="13"/>
      <c r="C144" s="21"/>
      <c r="D144" s="14"/>
      <c r="E144" s="14"/>
      <c r="F144" s="14"/>
      <c r="G144" s="21"/>
      <c r="H144" s="53"/>
      <c r="I144" s="7" t="str">
        <f t="shared" si="8"/>
        <v/>
      </c>
      <c r="J144" s="27" t="str">
        <f t="shared" ca="1" si="9"/>
        <v/>
      </c>
      <c r="K144" s="7" t="str">
        <f t="shared" si="10"/>
        <v/>
      </c>
      <c r="L144" s="13"/>
      <c r="M144" s="29" t="str">
        <f t="shared" si="11"/>
        <v/>
      </c>
    </row>
    <row r="145" spans="1:13" x14ac:dyDescent="0.35">
      <c r="A145" s="81"/>
      <c r="B145" s="13"/>
      <c r="C145" s="21"/>
      <c r="D145" s="14"/>
      <c r="E145" s="14"/>
      <c r="F145" s="14"/>
      <c r="G145" s="21"/>
      <c r="H145" s="53"/>
      <c r="I145" s="7" t="str">
        <f t="shared" si="8"/>
        <v/>
      </c>
      <c r="J145" s="27" t="str">
        <f t="shared" ca="1" si="9"/>
        <v/>
      </c>
      <c r="K145" s="7" t="str">
        <f t="shared" si="10"/>
        <v/>
      </c>
      <c r="L145" s="13"/>
      <c r="M145" s="29" t="str">
        <f t="shared" si="11"/>
        <v/>
      </c>
    </row>
    <row r="146" spans="1:13" x14ac:dyDescent="0.35">
      <c r="A146" s="81"/>
      <c r="B146" s="13"/>
      <c r="C146" s="21"/>
      <c r="D146" s="14"/>
      <c r="E146" s="14"/>
      <c r="F146" s="14"/>
      <c r="G146" s="21"/>
      <c r="H146" s="53"/>
      <c r="I146" s="7" t="str">
        <f t="shared" si="8"/>
        <v/>
      </c>
      <c r="J146" s="27" t="str">
        <f t="shared" ca="1" si="9"/>
        <v/>
      </c>
      <c r="K146" s="7" t="str">
        <f t="shared" si="10"/>
        <v/>
      </c>
      <c r="L146" s="13"/>
      <c r="M146" s="29" t="str">
        <f t="shared" si="11"/>
        <v/>
      </c>
    </row>
    <row r="147" spans="1:13" x14ac:dyDescent="0.35">
      <c r="A147" s="81"/>
      <c r="B147" s="13"/>
      <c r="C147" s="21"/>
      <c r="D147" s="14"/>
      <c r="E147" s="14"/>
      <c r="F147" s="14"/>
      <c r="G147" s="21"/>
      <c r="H147" s="53"/>
      <c r="I147" s="7" t="str">
        <f t="shared" si="8"/>
        <v/>
      </c>
      <c r="J147" s="27" t="str">
        <f t="shared" ca="1" si="9"/>
        <v/>
      </c>
      <c r="K147" s="7" t="str">
        <f t="shared" si="10"/>
        <v/>
      </c>
      <c r="L147" s="13"/>
      <c r="M147" s="29" t="str">
        <f t="shared" si="11"/>
        <v/>
      </c>
    </row>
    <row r="148" spans="1:13" x14ac:dyDescent="0.35">
      <c r="A148" s="81"/>
      <c r="B148" s="13"/>
      <c r="C148" s="21"/>
      <c r="D148" s="14"/>
      <c r="E148" s="14"/>
      <c r="F148" s="14"/>
      <c r="G148" s="21"/>
      <c r="H148" s="53"/>
      <c r="I148" s="7" t="str">
        <f t="shared" si="8"/>
        <v/>
      </c>
      <c r="J148" s="27" t="str">
        <f t="shared" ca="1" si="9"/>
        <v/>
      </c>
      <c r="K148" s="7" t="str">
        <f t="shared" si="10"/>
        <v/>
      </c>
      <c r="L148" s="13"/>
      <c r="M148" s="29" t="str">
        <f t="shared" si="11"/>
        <v/>
      </c>
    </row>
    <row r="149" spans="1:13" x14ac:dyDescent="0.35">
      <c r="A149" s="81"/>
      <c r="B149" s="13"/>
      <c r="C149" s="21"/>
      <c r="D149" s="14"/>
      <c r="E149" s="14"/>
      <c r="F149" s="14"/>
      <c r="G149" s="21"/>
      <c r="H149" s="53"/>
      <c r="I149" s="7" t="str">
        <f t="shared" si="8"/>
        <v/>
      </c>
      <c r="J149" s="27" t="str">
        <f t="shared" ca="1" si="9"/>
        <v/>
      </c>
      <c r="K149" s="7" t="str">
        <f t="shared" si="10"/>
        <v/>
      </c>
      <c r="L149" s="13"/>
      <c r="M149" s="29" t="str">
        <f t="shared" si="11"/>
        <v/>
      </c>
    </row>
    <row r="150" spans="1:13" x14ac:dyDescent="0.35">
      <c r="A150" s="81"/>
      <c r="B150" s="13"/>
      <c r="C150" s="21"/>
      <c r="D150" s="14"/>
      <c r="E150" s="14"/>
      <c r="F150" s="14"/>
      <c r="G150" s="21"/>
      <c r="H150" s="53"/>
      <c r="I150" s="7" t="str">
        <f t="shared" si="8"/>
        <v/>
      </c>
      <c r="J150" s="27" t="str">
        <f t="shared" ca="1" si="9"/>
        <v/>
      </c>
      <c r="K150" s="7" t="str">
        <f t="shared" si="10"/>
        <v/>
      </c>
      <c r="L150" s="13"/>
      <c r="M150" s="29" t="str">
        <f t="shared" si="11"/>
        <v/>
      </c>
    </row>
    <row r="151" spans="1:13" x14ac:dyDescent="0.35">
      <c r="A151" s="81"/>
      <c r="B151" s="13"/>
      <c r="C151" s="21"/>
      <c r="D151" s="14"/>
      <c r="E151" s="14"/>
      <c r="F151" s="14"/>
      <c r="G151" s="21"/>
      <c r="H151" s="53"/>
      <c r="I151" s="7" t="str">
        <f t="shared" si="8"/>
        <v/>
      </c>
      <c r="J151" s="27" t="str">
        <f t="shared" ca="1" si="9"/>
        <v/>
      </c>
      <c r="K151" s="7" t="str">
        <f t="shared" si="10"/>
        <v/>
      </c>
      <c r="L151" s="13"/>
      <c r="M151" s="29" t="str">
        <f t="shared" si="11"/>
        <v/>
      </c>
    </row>
    <row r="152" spans="1:13" x14ac:dyDescent="0.35">
      <c r="A152" s="81"/>
      <c r="B152" s="13"/>
      <c r="C152" s="21"/>
      <c r="D152" s="14"/>
      <c r="E152" s="14"/>
      <c r="F152" s="14"/>
      <c r="G152" s="21"/>
      <c r="H152" s="53"/>
      <c r="I152" s="7" t="str">
        <f t="shared" si="8"/>
        <v/>
      </c>
      <c r="J152" s="27" t="str">
        <f t="shared" ca="1" si="9"/>
        <v/>
      </c>
      <c r="K152" s="7" t="str">
        <f t="shared" si="10"/>
        <v/>
      </c>
      <c r="L152" s="13"/>
      <c r="M152" s="29" t="str">
        <f t="shared" si="11"/>
        <v/>
      </c>
    </row>
    <row r="153" spans="1:13" x14ac:dyDescent="0.35">
      <c r="A153" s="81"/>
      <c r="B153" s="13"/>
      <c r="C153" s="21"/>
      <c r="D153" s="14"/>
      <c r="E153" s="14"/>
      <c r="F153" s="14"/>
      <c r="G153" s="21"/>
      <c r="H153" s="53"/>
      <c r="I153" s="7" t="str">
        <f t="shared" si="8"/>
        <v/>
      </c>
      <c r="J153" s="27" t="str">
        <f t="shared" ca="1" si="9"/>
        <v/>
      </c>
      <c r="K153" s="7" t="str">
        <f t="shared" si="10"/>
        <v/>
      </c>
      <c r="L153" s="13"/>
      <c r="M153" s="29" t="str">
        <f t="shared" si="11"/>
        <v/>
      </c>
    </row>
    <row r="154" spans="1:13" x14ac:dyDescent="0.35">
      <c r="A154" s="81"/>
      <c r="B154" s="13"/>
      <c r="C154" s="21"/>
      <c r="D154" s="14"/>
      <c r="E154" s="14"/>
      <c r="F154" s="14"/>
      <c r="G154" s="21"/>
      <c r="H154" s="53"/>
      <c r="I154" s="7" t="str">
        <f t="shared" si="8"/>
        <v/>
      </c>
      <c r="J154" s="27" t="str">
        <f t="shared" ca="1" si="9"/>
        <v/>
      </c>
      <c r="K154" s="7" t="str">
        <f t="shared" si="10"/>
        <v/>
      </c>
      <c r="L154" s="13"/>
      <c r="M154" s="29" t="str">
        <f t="shared" si="11"/>
        <v/>
      </c>
    </row>
    <row r="155" spans="1:13" x14ac:dyDescent="0.35">
      <c r="A155" s="81"/>
      <c r="B155" s="13"/>
      <c r="C155" s="21"/>
      <c r="D155" s="14"/>
      <c r="E155" s="14"/>
      <c r="F155" s="14"/>
      <c r="G155" s="21"/>
      <c r="H155" s="53"/>
      <c r="I155" s="7" t="str">
        <f t="shared" si="8"/>
        <v/>
      </c>
      <c r="J155" s="27" t="str">
        <f t="shared" ca="1" si="9"/>
        <v/>
      </c>
      <c r="K155" s="7" t="str">
        <f t="shared" si="10"/>
        <v/>
      </c>
      <c r="L155" s="13"/>
      <c r="M155" s="29" t="str">
        <f t="shared" si="11"/>
        <v/>
      </c>
    </row>
    <row r="156" spans="1:13" x14ac:dyDescent="0.35">
      <c r="A156" s="81"/>
      <c r="B156" s="13"/>
      <c r="C156" s="21"/>
      <c r="D156" s="14"/>
      <c r="E156" s="14"/>
      <c r="F156" s="14"/>
      <c r="G156" s="21"/>
      <c r="H156" s="53"/>
      <c r="I156" s="7" t="str">
        <f t="shared" si="8"/>
        <v/>
      </c>
      <c r="J156" s="27" t="str">
        <f t="shared" ca="1" si="9"/>
        <v/>
      </c>
      <c r="K156" s="7" t="str">
        <f t="shared" si="10"/>
        <v/>
      </c>
      <c r="L156" s="13"/>
      <c r="M156" s="29" t="str">
        <f t="shared" si="11"/>
        <v/>
      </c>
    </row>
    <row r="157" spans="1:13" x14ac:dyDescent="0.35">
      <c r="A157" s="81"/>
      <c r="B157" s="13"/>
      <c r="C157" s="21"/>
      <c r="D157" s="14"/>
      <c r="E157" s="14"/>
      <c r="F157" s="14"/>
      <c r="G157" s="21"/>
      <c r="H157" s="53"/>
      <c r="I157" s="7" t="str">
        <f t="shared" si="8"/>
        <v/>
      </c>
      <c r="J157" s="27" t="str">
        <f t="shared" ca="1" si="9"/>
        <v/>
      </c>
      <c r="K157" s="7" t="str">
        <f t="shared" si="10"/>
        <v/>
      </c>
      <c r="L157" s="13"/>
      <c r="M157" s="29" t="str">
        <f t="shared" si="11"/>
        <v/>
      </c>
    </row>
    <row r="158" spans="1:13" x14ac:dyDescent="0.35">
      <c r="A158" s="81"/>
      <c r="B158" s="13"/>
      <c r="C158" s="21"/>
      <c r="D158" s="14"/>
      <c r="E158" s="14"/>
      <c r="F158" s="14"/>
      <c r="G158" s="21"/>
      <c r="H158" s="53"/>
      <c r="I158" s="7" t="str">
        <f t="shared" si="8"/>
        <v/>
      </c>
      <c r="J158" s="27" t="str">
        <f t="shared" ca="1" si="9"/>
        <v/>
      </c>
      <c r="K158" s="7" t="str">
        <f t="shared" si="10"/>
        <v/>
      </c>
      <c r="L158" s="13"/>
      <c r="M158" s="29" t="str">
        <f t="shared" si="11"/>
        <v/>
      </c>
    </row>
    <row r="159" spans="1:13" x14ac:dyDescent="0.35">
      <c r="A159" s="81"/>
      <c r="B159" s="13"/>
      <c r="C159" s="21"/>
      <c r="D159" s="14"/>
      <c r="E159" s="14"/>
      <c r="F159" s="14"/>
      <c r="G159" s="21"/>
      <c r="H159" s="53"/>
      <c r="I159" s="7" t="str">
        <f t="shared" si="8"/>
        <v/>
      </c>
      <c r="J159" s="27" t="str">
        <f t="shared" ca="1" si="9"/>
        <v/>
      </c>
      <c r="K159" s="7" t="str">
        <f t="shared" si="10"/>
        <v/>
      </c>
      <c r="L159" s="13"/>
      <c r="M159" s="29" t="str">
        <f t="shared" si="11"/>
        <v/>
      </c>
    </row>
    <row r="160" spans="1:13" x14ac:dyDescent="0.35">
      <c r="A160" s="81"/>
      <c r="B160" s="13"/>
      <c r="C160" s="21"/>
      <c r="D160" s="14"/>
      <c r="E160" s="14"/>
      <c r="F160" s="14"/>
      <c r="G160" s="21"/>
      <c r="H160" s="53"/>
      <c r="I160" s="7" t="str">
        <f t="shared" si="8"/>
        <v/>
      </c>
      <c r="J160" s="27" t="str">
        <f t="shared" ca="1" si="9"/>
        <v/>
      </c>
      <c r="K160" s="7" t="str">
        <f t="shared" si="10"/>
        <v/>
      </c>
      <c r="L160" s="13"/>
      <c r="M160" s="29" t="str">
        <f t="shared" si="11"/>
        <v/>
      </c>
    </row>
    <row r="161" spans="1:13" x14ac:dyDescent="0.35">
      <c r="A161" s="81"/>
      <c r="B161" s="13"/>
      <c r="C161" s="21"/>
      <c r="D161" s="14"/>
      <c r="E161" s="14"/>
      <c r="F161" s="14"/>
      <c r="G161" s="21"/>
      <c r="H161" s="53"/>
      <c r="I161" s="7" t="str">
        <f t="shared" si="8"/>
        <v/>
      </c>
      <c r="J161" s="27" t="str">
        <f t="shared" ca="1" si="9"/>
        <v/>
      </c>
      <c r="K161" s="7" t="str">
        <f t="shared" si="10"/>
        <v/>
      </c>
      <c r="L161" s="13"/>
      <c r="M161" s="29" t="str">
        <f t="shared" si="11"/>
        <v/>
      </c>
    </row>
    <row r="162" spans="1:13" x14ac:dyDescent="0.35">
      <c r="A162" s="81"/>
      <c r="B162" s="13"/>
      <c r="C162" s="21"/>
      <c r="D162" s="14"/>
      <c r="E162" s="14"/>
      <c r="F162" s="14"/>
      <c r="G162" s="21"/>
      <c r="H162" s="53"/>
      <c r="I162" s="7" t="str">
        <f t="shared" si="8"/>
        <v/>
      </c>
      <c r="J162" s="27" t="str">
        <f t="shared" ca="1" si="9"/>
        <v/>
      </c>
      <c r="K162" s="7" t="str">
        <f t="shared" si="10"/>
        <v/>
      </c>
      <c r="L162" s="13"/>
      <c r="M162" s="29" t="str">
        <f t="shared" si="11"/>
        <v/>
      </c>
    </row>
    <row r="163" spans="1:13" x14ac:dyDescent="0.35">
      <c r="A163" s="81"/>
      <c r="B163" s="13"/>
      <c r="C163" s="21"/>
      <c r="D163" s="14"/>
      <c r="E163" s="14"/>
      <c r="F163" s="14"/>
      <c r="G163" s="21"/>
      <c r="H163" s="53"/>
      <c r="I163" s="7" t="str">
        <f t="shared" si="8"/>
        <v/>
      </c>
      <c r="J163" s="27" t="str">
        <f t="shared" ca="1" si="9"/>
        <v/>
      </c>
      <c r="K163" s="7" t="str">
        <f t="shared" si="10"/>
        <v/>
      </c>
      <c r="L163" s="13"/>
      <c r="M163" s="29" t="str">
        <f t="shared" si="11"/>
        <v/>
      </c>
    </row>
    <row r="164" spans="1:13" x14ac:dyDescent="0.35">
      <c r="A164" s="81"/>
      <c r="B164" s="13"/>
      <c r="C164" s="21"/>
      <c r="D164" s="14"/>
      <c r="E164" s="14"/>
      <c r="F164" s="14"/>
      <c r="G164" s="21"/>
      <c r="H164" s="53"/>
      <c r="I164" s="7" t="str">
        <f t="shared" si="8"/>
        <v/>
      </c>
      <c r="J164" s="27" t="str">
        <f t="shared" ca="1" si="9"/>
        <v/>
      </c>
      <c r="K164" s="7" t="str">
        <f t="shared" si="10"/>
        <v/>
      </c>
      <c r="L164" s="13"/>
      <c r="M164" s="29" t="str">
        <f t="shared" si="11"/>
        <v/>
      </c>
    </row>
    <row r="165" spans="1:13" x14ac:dyDescent="0.35">
      <c r="A165" s="81"/>
      <c r="B165" s="13"/>
      <c r="C165" s="21"/>
      <c r="D165" s="14"/>
      <c r="E165" s="14"/>
      <c r="F165" s="14"/>
      <c r="G165" s="21"/>
      <c r="H165" s="53"/>
      <c r="I165" s="7" t="str">
        <f t="shared" si="8"/>
        <v/>
      </c>
      <c r="J165" s="27" t="str">
        <f t="shared" ca="1" si="9"/>
        <v/>
      </c>
      <c r="K165" s="7" t="str">
        <f t="shared" si="10"/>
        <v/>
      </c>
      <c r="L165" s="13"/>
      <c r="M165" s="29" t="str">
        <f t="shared" si="11"/>
        <v/>
      </c>
    </row>
    <row r="166" spans="1:13" x14ac:dyDescent="0.35">
      <c r="A166" s="81"/>
      <c r="B166" s="13"/>
      <c r="C166" s="21"/>
      <c r="D166" s="14"/>
      <c r="E166" s="14"/>
      <c r="F166" s="14"/>
      <c r="G166" s="21"/>
      <c r="H166" s="53"/>
      <c r="I166" s="7" t="str">
        <f t="shared" si="8"/>
        <v/>
      </c>
      <c r="J166" s="27" t="str">
        <f t="shared" ca="1" si="9"/>
        <v/>
      </c>
      <c r="K166" s="7" t="str">
        <f t="shared" si="10"/>
        <v/>
      </c>
      <c r="L166" s="13"/>
      <c r="M166" s="29" t="str">
        <f t="shared" si="11"/>
        <v/>
      </c>
    </row>
    <row r="167" spans="1:13" x14ac:dyDescent="0.35">
      <c r="A167" s="81"/>
      <c r="B167" s="13"/>
      <c r="C167" s="21"/>
      <c r="D167" s="14"/>
      <c r="E167" s="14"/>
      <c r="F167" s="14"/>
      <c r="G167" s="21"/>
      <c r="H167" s="53"/>
      <c r="I167" s="7" t="str">
        <f t="shared" si="8"/>
        <v/>
      </c>
      <c r="J167" s="27" t="str">
        <f t="shared" ca="1" si="9"/>
        <v/>
      </c>
      <c r="K167" s="7" t="str">
        <f t="shared" si="10"/>
        <v/>
      </c>
      <c r="L167" s="13"/>
      <c r="M167" s="29" t="str">
        <f t="shared" si="11"/>
        <v/>
      </c>
    </row>
    <row r="168" spans="1:13" x14ac:dyDescent="0.35">
      <c r="A168" s="81"/>
      <c r="B168" s="13"/>
      <c r="C168" s="21"/>
      <c r="D168" s="14"/>
      <c r="E168" s="14"/>
      <c r="F168" s="14"/>
      <c r="G168" s="21"/>
      <c r="H168" s="53"/>
      <c r="I168" s="7" t="str">
        <f t="shared" si="8"/>
        <v/>
      </c>
      <c r="J168" s="27" t="str">
        <f t="shared" ca="1" si="9"/>
        <v/>
      </c>
      <c r="K168" s="7" t="str">
        <f t="shared" si="10"/>
        <v/>
      </c>
      <c r="L168" s="13"/>
      <c r="M168" s="29" t="str">
        <f t="shared" si="11"/>
        <v/>
      </c>
    </row>
    <row r="169" spans="1:13" x14ac:dyDescent="0.35">
      <c r="A169" s="81"/>
      <c r="B169" s="13"/>
      <c r="C169" s="21"/>
      <c r="D169" s="14"/>
      <c r="E169" s="14"/>
      <c r="F169" s="14"/>
      <c r="G169" s="21"/>
      <c r="H169" s="53"/>
      <c r="I169" s="7" t="str">
        <f t="shared" si="8"/>
        <v/>
      </c>
      <c r="J169" s="27" t="str">
        <f t="shared" ca="1" si="9"/>
        <v/>
      </c>
      <c r="K169" s="7" t="str">
        <f t="shared" si="10"/>
        <v/>
      </c>
      <c r="L169" s="13"/>
      <c r="M169" s="29" t="str">
        <f t="shared" si="11"/>
        <v/>
      </c>
    </row>
    <row r="170" spans="1:13" x14ac:dyDescent="0.35">
      <c r="A170" s="81"/>
      <c r="B170" s="13"/>
      <c r="C170" s="21"/>
      <c r="D170" s="14"/>
      <c r="E170" s="14"/>
      <c r="F170" s="14"/>
      <c r="G170" s="21"/>
      <c r="H170" s="53"/>
      <c r="I170" s="7" t="str">
        <f t="shared" si="8"/>
        <v/>
      </c>
      <c r="J170" s="27" t="str">
        <f t="shared" ca="1" si="9"/>
        <v/>
      </c>
      <c r="K170" s="7" t="str">
        <f t="shared" si="10"/>
        <v/>
      </c>
      <c r="L170" s="13"/>
      <c r="M170" s="29" t="str">
        <f t="shared" si="11"/>
        <v/>
      </c>
    </row>
    <row r="171" spans="1:13" x14ac:dyDescent="0.35">
      <c r="A171" s="81"/>
      <c r="B171" s="13"/>
      <c r="C171" s="21"/>
      <c r="D171" s="14"/>
      <c r="E171" s="14"/>
      <c r="F171" s="14"/>
      <c r="G171" s="21"/>
      <c r="H171" s="53"/>
      <c r="I171" s="7" t="str">
        <f t="shared" si="8"/>
        <v/>
      </c>
      <c r="J171" s="27" t="str">
        <f t="shared" ca="1" si="9"/>
        <v/>
      </c>
      <c r="K171" s="7" t="str">
        <f t="shared" si="10"/>
        <v/>
      </c>
      <c r="L171" s="13"/>
      <c r="M171" s="29" t="str">
        <f t="shared" si="11"/>
        <v/>
      </c>
    </row>
    <row r="172" spans="1:13" x14ac:dyDescent="0.35">
      <c r="A172" s="81"/>
      <c r="B172" s="13"/>
      <c r="C172" s="21"/>
      <c r="D172" s="14"/>
      <c r="E172" s="14"/>
      <c r="F172" s="14"/>
      <c r="G172" s="21"/>
      <c r="H172" s="53"/>
      <c r="I172" s="7" t="str">
        <f t="shared" si="8"/>
        <v/>
      </c>
      <c r="J172" s="27" t="str">
        <f t="shared" ca="1" si="9"/>
        <v/>
      </c>
      <c r="K172" s="7" t="str">
        <f t="shared" si="10"/>
        <v/>
      </c>
      <c r="L172" s="13"/>
      <c r="M172" s="29" t="str">
        <f t="shared" si="11"/>
        <v/>
      </c>
    </row>
    <row r="173" spans="1:13" x14ac:dyDescent="0.35">
      <c r="A173" s="81"/>
      <c r="B173" s="13"/>
      <c r="C173" s="21"/>
      <c r="D173" s="14"/>
      <c r="E173" s="14"/>
      <c r="F173" s="14"/>
      <c r="G173" s="21"/>
      <c r="H173" s="53"/>
      <c r="I173" s="7" t="str">
        <f t="shared" si="8"/>
        <v/>
      </c>
      <c r="J173" s="27" t="str">
        <f t="shared" ca="1" si="9"/>
        <v/>
      </c>
      <c r="K173" s="7" t="str">
        <f t="shared" si="10"/>
        <v/>
      </c>
      <c r="L173" s="13"/>
      <c r="M173" s="29" t="str">
        <f t="shared" si="11"/>
        <v/>
      </c>
    </row>
    <row r="174" spans="1:13" x14ac:dyDescent="0.35">
      <c r="A174" s="81"/>
      <c r="B174" s="13"/>
      <c r="C174" s="21"/>
      <c r="D174" s="14"/>
      <c r="E174" s="14"/>
      <c r="F174" s="14"/>
      <c r="G174" s="21"/>
      <c r="H174" s="53"/>
      <c r="I174" s="7" t="str">
        <f t="shared" si="8"/>
        <v/>
      </c>
      <c r="J174" s="27" t="str">
        <f t="shared" ca="1" si="9"/>
        <v/>
      </c>
      <c r="K174" s="7" t="str">
        <f t="shared" si="10"/>
        <v/>
      </c>
      <c r="L174" s="13"/>
      <c r="M174" s="29" t="str">
        <f t="shared" si="11"/>
        <v/>
      </c>
    </row>
    <row r="175" spans="1:13" x14ac:dyDescent="0.35">
      <c r="A175" s="81"/>
      <c r="B175" s="13"/>
      <c r="C175" s="21"/>
      <c r="D175" s="14"/>
      <c r="E175" s="14"/>
      <c r="F175" s="14"/>
      <c r="G175" s="21"/>
      <c r="H175" s="53"/>
      <c r="I175" s="7" t="str">
        <f t="shared" si="8"/>
        <v/>
      </c>
      <c r="J175" s="27" t="str">
        <f t="shared" ca="1" si="9"/>
        <v/>
      </c>
      <c r="K175" s="7" t="str">
        <f t="shared" si="10"/>
        <v/>
      </c>
      <c r="L175" s="13"/>
      <c r="M175" s="29" t="str">
        <f t="shared" si="11"/>
        <v/>
      </c>
    </row>
    <row r="176" spans="1:13" x14ac:dyDescent="0.35">
      <c r="A176" s="81"/>
      <c r="B176" s="13"/>
      <c r="C176" s="21"/>
      <c r="D176" s="14"/>
      <c r="E176" s="14"/>
      <c r="F176" s="14"/>
      <c r="G176" s="21"/>
      <c r="H176" s="53"/>
      <c r="I176" s="7" t="str">
        <f t="shared" si="8"/>
        <v/>
      </c>
      <c r="J176" s="27" t="str">
        <f t="shared" ca="1" si="9"/>
        <v/>
      </c>
      <c r="K176" s="7" t="str">
        <f t="shared" si="10"/>
        <v/>
      </c>
      <c r="L176" s="13"/>
      <c r="M176" s="29" t="str">
        <f t="shared" si="11"/>
        <v/>
      </c>
    </row>
    <row r="177" spans="1:13" x14ac:dyDescent="0.35">
      <c r="A177" s="81"/>
      <c r="B177" s="13"/>
      <c r="C177" s="21"/>
      <c r="D177" s="14"/>
      <c r="E177" s="14"/>
      <c r="F177" s="14"/>
      <c r="G177" s="21"/>
      <c r="H177" s="53"/>
      <c r="I177" s="7" t="str">
        <f t="shared" si="8"/>
        <v/>
      </c>
      <c r="J177" s="27" t="str">
        <f t="shared" ca="1" si="9"/>
        <v/>
      </c>
      <c r="K177" s="7" t="str">
        <f t="shared" si="10"/>
        <v/>
      </c>
      <c r="L177" s="13"/>
      <c r="M177" s="29" t="str">
        <f t="shared" si="11"/>
        <v/>
      </c>
    </row>
    <row r="178" spans="1:13" x14ac:dyDescent="0.35">
      <c r="A178" s="81"/>
      <c r="B178" s="13"/>
      <c r="C178" s="21"/>
      <c r="D178" s="14"/>
      <c r="E178" s="14"/>
      <c r="F178" s="14"/>
      <c r="G178" s="21"/>
      <c r="H178" s="53"/>
      <c r="I178" s="7" t="str">
        <f t="shared" si="8"/>
        <v/>
      </c>
      <c r="J178" s="27" t="str">
        <f t="shared" ca="1" si="9"/>
        <v/>
      </c>
      <c r="K178" s="7" t="str">
        <f t="shared" si="10"/>
        <v/>
      </c>
      <c r="L178" s="13"/>
      <c r="M178" s="29" t="str">
        <f t="shared" si="11"/>
        <v/>
      </c>
    </row>
    <row r="179" spans="1:13" x14ac:dyDescent="0.35">
      <c r="A179" s="81"/>
      <c r="B179" s="13"/>
      <c r="C179" s="21"/>
      <c r="D179" s="14"/>
      <c r="E179" s="14"/>
      <c r="F179" s="14"/>
      <c r="G179" s="21"/>
      <c r="H179" s="53"/>
      <c r="I179" s="7" t="str">
        <f t="shared" si="8"/>
        <v/>
      </c>
      <c r="J179" s="27" t="str">
        <f t="shared" ca="1" si="9"/>
        <v/>
      </c>
      <c r="K179" s="7" t="str">
        <f t="shared" si="10"/>
        <v/>
      </c>
      <c r="L179" s="13"/>
      <c r="M179" s="29" t="str">
        <f t="shared" si="11"/>
        <v/>
      </c>
    </row>
    <row r="180" spans="1:13" x14ac:dyDescent="0.35">
      <c r="A180" s="81"/>
      <c r="B180" s="13"/>
      <c r="C180" s="21"/>
      <c r="D180" s="14"/>
      <c r="E180" s="14"/>
      <c r="F180" s="14"/>
      <c r="G180" s="21"/>
      <c r="H180" s="53"/>
      <c r="I180" s="7" t="str">
        <f t="shared" si="8"/>
        <v/>
      </c>
      <c r="J180" s="27" t="str">
        <f t="shared" ca="1" si="9"/>
        <v/>
      </c>
      <c r="K180" s="7" t="str">
        <f t="shared" si="10"/>
        <v/>
      </c>
      <c r="L180" s="13"/>
      <c r="M180" s="29" t="str">
        <f t="shared" si="11"/>
        <v/>
      </c>
    </row>
    <row r="181" spans="1:13" x14ac:dyDescent="0.35">
      <c r="A181" s="81"/>
      <c r="B181" s="13"/>
      <c r="C181" s="21"/>
      <c r="D181" s="14"/>
      <c r="E181" s="14"/>
      <c r="F181" s="14"/>
      <c r="G181" s="21"/>
      <c r="H181" s="53"/>
      <c r="I181" s="7" t="str">
        <f t="shared" si="8"/>
        <v/>
      </c>
      <c r="J181" s="27" t="str">
        <f t="shared" ca="1" si="9"/>
        <v/>
      </c>
      <c r="K181" s="7" t="str">
        <f t="shared" si="10"/>
        <v/>
      </c>
      <c r="L181" s="13"/>
      <c r="M181" s="29" t="str">
        <f t="shared" si="11"/>
        <v/>
      </c>
    </row>
    <row r="182" spans="1:13" x14ac:dyDescent="0.35">
      <c r="A182" s="81"/>
      <c r="B182" s="13"/>
      <c r="C182" s="21"/>
      <c r="D182" s="14"/>
      <c r="E182" s="14"/>
      <c r="F182" s="14"/>
      <c r="G182" s="21"/>
      <c r="H182" s="53"/>
      <c r="I182" s="7" t="str">
        <f t="shared" si="8"/>
        <v/>
      </c>
      <c r="J182" s="27" t="str">
        <f t="shared" ca="1" si="9"/>
        <v/>
      </c>
      <c r="K182" s="7" t="str">
        <f t="shared" si="10"/>
        <v/>
      </c>
      <c r="L182" s="13"/>
      <c r="M182" s="29" t="str">
        <f t="shared" si="11"/>
        <v/>
      </c>
    </row>
    <row r="183" spans="1:13" x14ac:dyDescent="0.35">
      <c r="A183" s="81"/>
      <c r="B183" s="13"/>
      <c r="C183" s="21"/>
      <c r="D183" s="14"/>
      <c r="E183" s="14"/>
      <c r="F183" s="14"/>
      <c r="G183" s="21"/>
      <c r="H183" s="53"/>
      <c r="I183" s="7" t="str">
        <f t="shared" si="8"/>
        <v/>
      </c>
      <c r="J183" s="27" t="str">
        <f t="shared" ca="1" si="9"/>
        <v/>
      </c>
      <c r="K183" s="7" t="str">
        <f t="shared" si="10"/>
        <v/>
      </c>
      <c r="L183" s="13"/>
      <c r="M183" s="29" t="str">
        <f t="shared" si="11"/>
        <v/>
      </c>
    </row>
    <row r="184" spans="1:13" x14ac:dyDescent="0.35">
      <c r="A184" s="81"/>
      <c r="B184" s="13"/>
      <c r="C184" s="21"/>
      <c r="D184" s="14"/>
      <c r="E184" s="14"/>
      <c r="F184" s="14"/>
      <c r="G184" s="21"/>
      <c r="H184" s="53"/>
      <c r="I184" s="7" t="str">
        <f t="shared" si="8"/>
        <v/>
      </c>
      <c r="J184" s="27" t="str">
        <f t="shared" ca="1" si="9"/>
        <v/>
      </c>
      <c r="K184" s="7" t="str">
        <f t="shared" si="10"/>
        <v/>
      </c>
      <c r="L184" s="13"/>
      <c r="M184" s="29" t="str">
        <f t="shared" si="11"/>
        <v/>
      </c>
    </row>
    <row r="185" spans="1:13" x14ac:dyDescent="0.35">
      <c r="A185" s="81"/>
      <c r="B185" s="13"/>
      <c r="C185" s="21"/>
      <c r="D185" s="14"/>
      <c r="E185" s="14"/>
      <c r="F185" s="14"/>
      <c r="G185" s="21"/>
      <c r="H185" s="53"/>
      <c r="I185" s="7" t="str">
        <f t="shared" si="8"/>
        <v/>
      </c>
      <c r="J185" s="27" t="str">
        <f t="shared" ca="1" si="9"/>
        <v/>
      </c>
      <c r="K185" s="7" t="str">
        <f t="shared" si="10"/>
        <v/>
      </c>
      <c r="L185" s="13"/>
      <c r="M185" s="29" t="str">
        <f t="shared" si="11"/>
        <v/>
      </c>
    </row>
    <row r="186" spans="1:13" x14ac:dyDescent="0.35">
      <c r="A186" s="81"/>
      <c r="B186" s="13"/>
      <c r="C186" s="21"/>
      <c r="D186" s="14"/>
      <c r="E186" s="14"/>
      <c r="F186" s="14"/>
      <c r="G186" s="21"/>
      <c r="H186" s="53"/>
      <c r="I186" s="7" t="str">
        <f t="shared" si="8"/>
        <v/>
      </c>
      <c r="J186" s="27" t="str">
        <f t="shared" ca="1" si="9"/>
        <v/>
      </c>
      <c r="K186" s="7" t="str">
        <f t="shared" si="10"/>
        <v/>
      </c>
      <c r="L186" s="13"/>
      <c r="M186" s="29" t="str">
        <f t="shared" si="11"/>
        <v/>
      </c>
    </row>
    <row r="187" spans="1:13" x14ac:dyDescent="0.35">
      <c r="A187" s="81"/>
      <c r="B187" s="13"/>
      <c r="C187" s="21"/>
      <c r="D187" s="14"/>
      <c r="E187" s="14"/>
      <c r="F187" s="14"/>
      <c r="G187" s="21"/>
      <c r="H187" s="53"/>
      <c r="I187" s="7" t="str">
        <f t="shared" si="8"/>
        <v/>
      </c>
      <c r="J187" s="27" t="str">
        <f t="shared" ca="1" si="9"/>
        <v/>
      </c>
      <c r="K187" s="7" t="str">
        <f t="shared" si="10"/>
        <v/>
      </c>
      <c r="L187" s="13"/>
      <c r="M187" s="29" t="str">
        <f t="shared" si="11"/>
        <v/>
      </c>
    </row>
    <row r="188" spans="1:13" x14ac:dyDescent="0.35">
      <c r="A188" s="81"/>
      <c r="B188" s="13"/>
      <c r="C188" s="21"/>
      <c r="D188" s="14"/>
      <c r="E188" s="14"/>
      <c r="F188" s="14"/>
      <c r="G188" s="21"/>
      <c r="H188" s="53"/>
      <c r="I188" s="7" t="str">
        <f t="shared" si="8"/>
        <v/>
      </c>
      <c r="J188" s="27" t="str">
        <f t="shared" ca="1" si="9"/>
        <v/>
      </c>
      <c r="K188" s="7" t="str">
        <f t="shared" si="10"/>
        <v/>
      </c>
      <c r="L188" s="13"/>
      <c r="M188" s="29" t="str">
        <f t="shared" si="11"/>
        <v/>
      </c>
    </row>
    <row r="189" spans="1:13" x14ac:dyDescent="0.35">
      <c r="A189" s="81"/>
      <c r="B189" s="13"/>
      <c r="C189" s="21"/>
      <c r="D189" s="14"/>
      <c r="E189" s="14"/>
      <c r="F189" s="14"/>
      <c r="G189" s="21"/>
      <c r="H189" s="53"/>
      <c r="I189" s="7" t="str">
        <f t="shared" si="8"/>
        <v/>
      </c>
      <c r="J189" s="27" t="str">
        <f t="shared" ca="1" si="9"/>
        <v/>
      </c>
      <c r="K189" s="7" t="str">
        <f t="shared" si="10"/>
        <v/>
      </c>
      <c r="L189" s="13"/>
      <c r="M189" s="29" t="str">
        <f t="shared" si="11"/>
        <v/>
      </c>
    </row>
    <row r="190" spans="1:13" x14ac:dyDescent="0.35">
      <c r="A190" s="81"/>
      <c r="B190" s="13"/>
      <c r="C190" s="21"/>
      <c r="D190" s="14"/>
      <c r="E190" s="14"/>
      <c r="F190" s="14"/>
      <c r="G190" s="21"/>
      <c r="H190" s="53"/>
      <c r="I190" s="7" t="str">
        <f t="shared" si="8"/>
        <v/>
      </c>
      <c r="J190" s="27" t="str">
        <f t="shared" ca="1" si="9"/>
        <v/>
      </c>
      <c r="K190" s="7" t="str">
        <f t="shared" si="10"/>
        <v/>
      </c>
      <c r="L190" s="13"/>
      <c r="M190" s="29" t="str">
        <f t="shared" si="11"/>
        <v/>
      </c>
    </row>
    <row r="191" spans="1:13" x14ac:dyDescent="0.35">
      <c r="A191" s="81"/>
      <c r="B191" s="13"/>
      <c r="C191" s="21"/>
      <c r="D191" s="14"/>
      <c r="E191" s="14"/>
      <c r="F191" s="14"/>
      <c r="G191" s="21"/>
      <c r="H191" s="53"/>
      <c r="I191" s="7" t="str">
        <f t="shared" si="8"/>
        <v/>
      </c>
      <c r="J191" s="27" t="str">
        <f t="shared" ca="1" si="9"/>
        <v/>
      </c>
      <c r="K191" s="7" t="str">
        <f t="shared" si="10"/>
        <v/>
      </c>
      <c r="L191" s="13"/>
      <c r="M191" s="29" t="str">
        <f t="shared" si="11"/>
        <v/>
      </c>
    </row>
    <row r="192" spans="1:13" x14ac:dyDescent="0.35">
      <c r="A192" s="81"/>
      <c r="B192" s="13"/>
      <c r="C192" s="21"/>
      <c r="D192" s="14"/>
      <c r="E192" s="14"/>
      <c r="F192" s="14"/>
      <c r="G192" s="21"/>
      <c r="H192" s="53"/>
      <c r="I192" s="7" t="str">
        <f t="shared" si="8"/>
        <v/>
      </c>
      <c r="J192" s="27" t="str">
        <f t="shared" ca="1" si="9"/>
        <v/>
      </c>
      <c r="K192" s="7" t="str">
        <f t="shared" si="10"/>
        <v/>
      </c>
      <c r="L192" s="13"/>
      <c r="M192" s="29" t="str">
        <f t="shared" si="11"/>
        <v/>
      </c>
    </row>
    <row r="193" spans="1:13" x14ac:dyDescent="0.35">
      <c r="A193" s="81"/>
      <c r="B193" s="13"/>
      <c r="C193" s="21"/>
      <c r="D193" s="14"/>
      <c r="E193" s="14"/>
      <c r="F193" s="14"/>
      <c r="G193" s="21"/>
      <c r="H193" s="53"/>
      <c r="I193" s="7" t="str">
        <f t="shared" si="8"/>
        <v/>
      </c>
      <c r="J193" s="27" t="str">
        <f t="shared" ca="1" si="9"/>
        <v/>
      </c>
      <c r="K193" s="7" t="str">
        <f t="shared" si="10"/>
        <v/>
      </c>
      <c r="L193" s="13"/>
      <c r="M193" s="29" t="str">
        <f t="shared" si="11"/>
        <v/>
      </c>
    </row>
    <row r="194" spans="1:13" x14ac:dyDescent="0.35">
      <c r="A194" s="81"/>
      <c r="B194" s="13"/>
      <c r="C194" s="21"/>
      <c r="D194" s="14"/>
      <c r="E194" s="14"/>
      <c r="F194" s="14"/>
      <c r="G194" s="21"/>
      <c r="H194" s="53"/>
      <c r="I194" s="7" t="str">
        <f t="shared" si="8"/>
        <v/>
      </c>
      <c r="J194" s="27" t="str">
        <f t="shared" ca="1" si="9"/>
        <v/>
      </c>
      <c r="K194" s="7" t="str">
        <f t="shared" si="10"/>
        <v/>
      </c>
      <c r="L194" s="13"/>
      <c r="M194" s="29" t="str">
        <f t="shared" si="11"/>
        <v/>
      </c>
    </row>
    <row r="195" spans="1:13" x14ac:dyDescent="0.35">
      <c r="A195" s="81"/>
      <c r="B195" s="13"/>
      <c r="C195" s="21"/>
      <c r="D195" s="14"/>
      <c r="E195" s="14"/>
      <c r="F195" s="14"/>
      <c r="G195" s="21"/>
      <c r="H195" s="53"/>
      <c r="I195" s="7" t="str">
        <f t="shared" ref="I195:I258" si="12">IF($A195="","",IF($F195&lt;&gt;"","Envoyé DHL",IF($E195&lt;&gt;"","Reçu (à envoyer)",IF($D195&lt;&gt;"","Demandé (en attente)","À demander"))))</f>
        <v/>
      </c>
      <c r="J195" s="27" t="str">
        <f t="shared" ref="J195:J258" ca="1" si="13">IF(AND($A195&lt;&gt;"",$D195&lt;&gt;"",$E195=""),TODAY()-$D195,"")</f>
        <v/>
      </c>
      <c r="K195" s="7" t="str">
        <f t="shared" ref="K195:K258" si="14">IF($A195="","",IF(AND($J195&lt;&gt;"",N($J195)&gt;P_AlerteDoc),"Attente &gt; "&amp;P_AlerteDoc&amp;" jours",IF(AND($E195&lt;&gt;"",$F195=""),"Reçu : à envoyer par DHL","")))</f>
        <v/>
      </c>
      <c r="L195" s="13"/>
      <c r="M195" s="29" t="str">
        <f t="shared" ref="M195:M258" si="15">IF($K195&lt;&gt;"",1,"")</f>
        <v/>
      </c>
    </row>
    <row r="196" spans="1:13" x14ac:dyDescent="0.35">
      <c r="A196" s="81"/>
      <c r="B196" s="13"/>
      <c r="C196" s="21"/>
      <c r="D196" s="14"/>
      <c r="E196" s="14"/>
      <c r="F196" s="14"/>
      <c r="G196" s="21"/>
      <c r="H196" s="53"/>
      <c r="I196" s="7" t="str">
        <f t="shared" si="12"/>
        <v/>
      </c>
      <c r="J196" s="27" t="str">
        <f t="shared" ca="1" si="13"/>
        <v/>
      </c>
      <c r="K196" s="7" t="str">
        <f t="shared" si="14"/>
        <v/>
      </c>
      <c r="L196" s="13"/>
      <c r="M196" s="29" t="str">
        <f t="shared" si="15"/>
        <v/>
      </c>
    </row>
    <row r="197" spans="1:13" x14ac:dyDescent="0.35">
      <c r="A197" s="81"/>
      <c r="B197" s="13"/>
      <c r="C197" s="21"/>
      <c r="D197" s="14"/>
      <c r="E197" s="14"/>
      <c r="F197" s="14"/>
      <c r="G197" s="21"/>
      <c r="H197" s="53"/>
      <c r="I197" s="7" t="str">
        <f t="shared" si="12"/>
        <v/>
      </c>
      <c r="J197" s="27" t="str">
        <f t="shared" ca="1" si="13"/>
        <v/>
      </c>
      <c r="K197" s="7" t="str">
        <f t="shared" si="14"/>
        <v/>
      </c>
      <c r="L197" s="13"/>
      <c r="M197" s="29" t="str">
        <f t="shared" si="15"/>
        <v/>
      </c>
    </row>
    <row r="198" spans="1:13" x14ac:dyDescent="0.35">
      <c r="A198" s="81"/>
      <c r="B198" s="13"/>
      <c r="C198" s="21"/>
      <c r="D198" s="14"/>
      <c r="E198" s="14"/>
      <c r="F198" s="14"/>
      <c r="G198" s="21"/>
      <c r="H198" s="53"/>
      <c r="I198" s="7" t="str">
        <f t="shared" si="12"/>
        <v/>
      </c>
      <c r="J198" s="27" t="str">
        <f t="shared" ca="1" si="13"/>
        <v/>
      </c>
      <c r="K198" s="7" t="str">
        <f t="shared" si="14"/>
        <v/>
      </c>
      <c r="L198" s="13"/>
      <c r="M198" s="29" t="str">
        <f t="shared" si="15"/>
        <v/>
      </c>
    </row>
    <row r="199" spans="1:13" x14ac:dyDescent="0.35">
      <c r="A199" s="81"/>
      <c r="B199" s="13"/>
      <c r="C199" s="21"/>
      <c r="D199" s="14"/>
      <c r="E199" s="14"/>
      <c r="F199" s="14"/>
      <c r="G199" s="21"/>
      <c r="H199" s="53"/>
      <c r="I199" s="7" t="str">
        <f t="shared" si="12"/>
        <v/>
      </c>
      <c r="J199" s="27" t="str">
        <f t="shared" ca="1" si="13"/>
        <v/>
      </c>
      <c r="K199" s="7" t="str">
        <f t="shared" si="14"/>
        <v/>
      </c>
      <c r="L199" s="13"/>
      <c r="M199" s="29" t="str">
        <f t="shared" si="15"/>
        <v/>
      </c>
    </row>
    <row r="200" spans="1:13" x14ac:dyDescent="0.35">
      <c r="A200" s="81"/>
      <c r="B200" s="13"/>
      <c r="C200" s="21"/>
      <c r="D200" s="14"/>
      <c r="E200" s="14"/>
      <c r="F200" s="14"/>
      <c r="G200" s="21"/>
      <c r="H200" s="53"/>
      <c r="I200" s="7" t="str">
        <f t="shared" si="12"/>
        <v/>
      </c>
      <c r="J200" s="27" t="str">
        <f t="shared" ca="1" si="13"/>
        <v/>
      </c>
      <c r="K200" s="7" t="str">
        <f t="shared" si="14"/>
        <v/>
      </c>
      <c r="L200" s="13"/>
      <c r="M200" s="29" t="str">
        <f t="shared" si="15"/>
        <v/>
      </c>
    </row>
    <row r="201" spans="1:13" x14ac:dyDescent="0.35">
      <c r="A201" s="81"/>
      <c r="B201" s="13"/>
      <c r="C201" s="21"/>
      <c r="D201" s="14"/>
      <c r="E201" s="14"/>
      <c r="F201" s="14"/>
      <c r="G201" s="21"/>
      <c r="H201" s="53"/>
      <c r="I201" s="7" t="str">
        <f t="shared" si="12"/>
        <v/>
      </c>
      <c r="J201" s="27" t="str">
        <f t="shared" ca="1" si="13"/>
        <v/>
      </c>
      <c r="K201" s="7" t="str">
        <f t="shared" si="14"/>
        <v/>
      </c>
      <c r="L201" s="13"/>
      <c r="M201" s="29" t="str">
        <f t="shared" si="15"/>
        <v/>
      </c>
    </row>
    <row r="202" spans="1:13" x14ac:dyDescent="0.35">
      <c r="A202" s="81"/>
      <c r="B202" s="13"/>
      <c r="C202" s="21"/>
      <c r="D202" s="14"/>
      <c r="E202" s="14"/>
      <c r="F202" s="14"/>
      <c r="G202" s="21"/>
      <c r="H202" s="53"/>
      <c r="I202" s="7" t="str">
        <f t="shared" si="12"/>
        <v/>
      </c>
      <c r="J202" s="27" t="str">
        <f t="shared" ca="1" si="13"/>
        <v/>
      </c>
      <c r="K202" s="7" t="str">
        <f t="shared" si="14"/>
        <v/>
      </c>
      <c r="L202" s="13"/>
      <c r="M202" s="29" t="str">
        <f t="shared" si="15"/>
        <v/>
      </c>
    </row>
    <row r="203" spans="1:13" x14ac:dyDescent="0.35">
      <c r="A203" s="81"/>
      <c r="B203" s="13"/>
      <c r="C203" s="21"/>
      <c r="D203" s="14"/>
      <c r="E203" s="14"/>
      <c r="F203" s="14"/>
      <c r="G203" s="21"/>
      <c r="H203" s="53"/>
      <c r="I203" s="7" t="str">
        <f t="shared" si="12"/>
        <v/>
      </c>
      <c r="J203" s="27" t="str">
        <f t="shared" ca="1" si="13"/>
        <v/>
      </c>
      <c r="K203" s="7" t="str">
        <f t="shared" si="14"/>
        <v/>
      </c>
      <c r="L203" s="13"/>
      <c r="M203" s="29" t="str">
        <f t="shared" si="15"/>
        <v/>
      </c>
    </row>
    <row r="204" spans="1:13" x14ac:dyDescent="0.35">
      <c r="A204" s="81"/>
      <c r="B204" s="13"/>
      <c r="C204" s="21"/>
      <c r="D204" s="14"/>
      <c r="E204" s="14"/>
      <c r="F204" s="14"/>
      <c r="G204" s="21"/>
      <c r="H204" s="53"/>
      <c r="I204" s="7" t="str">
        <f t="shared" si="12"/>
        <v/>
      </c>
      <c r="J204" s="27" t="str">
        <f t="shared" ca="1" si="13"/>
        <v/>
      </c>
      <c r="K204" s="7" t="str">
        <f t="shared" si="14"/>
        <v/>
      </c>
      <c r="L204" s="13"/>
      <c r="M204" s="29" t="str">
        <f t="shared" si="15"/>
        <v/>
      </c>
    </row>
    <row r="205" spans="1:13" x14ac:dyDescent="0.35">
      <c r="A205" s="81"/>
      <c r="B205" s="13"/>
      <c r="C205" s="21"/>
      <c r="D205" s="14"/>
      <c r="E205" s="14"/>
      <c r="F205" s="14"/>
      <c r="G205" s="21"/>
      <c r="H205" s="53"/>
      <c r="I205" s="7" t="str">
        <f t="shared" si="12"/>
        <v/>
      </c>
      <c r="J205" s="27" t="str">
        <f t="shared" ca="1" si="13"/>
        <v/>
      </c>
      <c r="K205" s="7" t="str">
        <f t="shared" si="14"/>
        <v/>
      </c>
      <c r="L205" s="13"/>
      <c r="M205" s="29" t="str">
        <f t="shared" si="15"/>
        <v/>
      </c>
    </row>
    <row r="206" spans="1:13" x14ac:dyDescent="0.35">
      <c r="A206" s="81"/>
      <c r="B206" s="13"/>
      <c r="C206" s="21"/>
      <c r="D206" s="14"/>
      <c r="E206" s="14"/>
      <c r="F206" s="14"/>
      <c r="G206" s="21"/>
      <c r="H206" s="53"/>
      <c r="I206" s="7" t="str">
        <f t="shared" si="12"/>
        <v/>
      </c>
      <c r="J206" s="27" t="str">
        <f t="shared" ca="1" si="13"/>
        <v/>
      </c>
      <c r="K206" s="7" t="str">
        <f t="shared" si="14"/>
        <v/>
      </c>
      <c r="L206" s="13"/>
      <c r="M206" s="29" t="str">
        <f t="shared" si="15"/>
        <v/>
      </c>
    </row>
    <row r="207" spans="1:13" x14ac:dyDescent="0.35">
      <c r="A207" s="81"/>
      <c r="B207" s="13"/>
      <c r="C207" s="21"/>
      <c r="D207" s="14"/>
      <c r="E207" s="14"/>
      <c r="F207" s="14"/>
      <c r="G207" s="21"/>
      <c r="H207" s="53"/>
      <c r="I207" s="7" t="str">
        <f t="shared" si="12"/>
        <v/>
      </c>
      <c r="J207" s="27" t="str">
        <f t="shared" ca="1" si="13"/>
        <v/>
      </c>
      <c r="K207" s="7" t="str">
        <f t="shared" si="14"/>
        <v/>
      </c>
      <c r="L207" s="13"/>
      <c r="M207" s="29" t="str">
        <f t="shared" si="15"/>
        <v/>
      </c>
    </row>
    <row r="208" spans="1:13" x14ac:dyDescent="0.35">
      <c r="A208" s="81"/>
      <c r="B208" s="13"/>
      <c r="C208" s="21"/>
      <c r="D208" s="14"/>
      <c r="E208" s="14"/>
      <c r="F208" s="14"/>
      <c r="G208" s="21"/>
      <c r="H208" s="53"/>
      <c r="I208" s="7" t="str">
        <f t="shared" si="12"/>
        <v/>
      </c>
      <c r="J208" s="27" t="str">
        <f t="shared" ca="1" si="13"/>
        <v/>
      </c>
      <c r="K208" s="7" t="str">
        <f t="shared" si="14"/>
        <v/>
      </c>
      <c r="L208" s="13"/>
      <c r="M208" s="29" t="str">
        <f t="shared" si="15"/>
        <v/>
      </c>
    </row>
    <row r="209" spans="1:13" x14ac:dyDescent="0.35">
      <c r="A209" s="81"/>
      <c r="B209" s="13"/>
      <c r="C209" s="21"/>
      <c r="D209" s="14"/>
      <c r="E209" s="14"/>
      <c r="F209" s="14"/>
      <c r="G209" s="21"/>
      <c r="H209" s="53"/>
      <c r="I209" s="7" t="str">
        <f t="shared" si="12"/>
        <v/>
      </c>
      <c r="J209" s="27" t="str">
        <f t="shared" ca="1" si="13"/>
        <v/>
      </c>
      <c r="K209" s="7" t="str">
        <f t="shared" si="14"/>
        <v/>
      </c>
      <c r="L209" s="13"/>
      <c r="M209" s="29" t="str">
        <f t="shared" si="15"/>
        <v/>
      </c>
    </row>
    <row r="210" spans="1:13" x14ac:dyDescent="0.35">
      <c r="A210" s="81"/>
      <c r="B210" s="13"/>
      <c r="C210" s="21"/>
      <c r="D210" s="14"/>
      <c r="E210" s="14"/>
      <c r="F210" s="14"/>
      <c r="G210" s="21"/>
      <c r="H210" s="53"/>
      <c r="I210" s="7" t="str">
        <f t="shared" si="12"/>
        <v/>
      </c>
      <c r="J210" s="27" t="str">
        <f t="shared" ca="1" si="13"/>
        <v/>
      </c>
      <c r="K210" s="7" t="str">
        <f t="shared" si="14"/>
        <v/>
      </c>
      <c r="L210" s="13"/>
      <c r="M210" s="29" t="str">
        <f t="shared" si="15"/>
        <v/>
      </c>
    </row>
    <row r="211" spans="1:13" x14ac:dyDescent="0.35">
      <c r="A211" s="81"/>
      <c r="B211" s="13"/>
      <c r="C211" s="21"/>
      <c r="D211" s="14"/>
      <c r="E211" s="14"/>
      <c r="F211" s="14"/>
      <c r="G211" s="21"/>
      <c r="H211" s="53"/>
      <c r="I211" s="7" t="str">
        <f t="shared" si="12"/>
        <v/>
      </c>
      <c r="J211" s="27" t="str">
        <f t="shared" ca="1" si="13"/>
        <v/>
      </c>
      <c r="K211" s="7" t="str">
        <f t="shared" si="14"/>
        <v/>
      </c>
      <c r="L211" s="13"/>
      <c r="M211" s="29" t="str">
        <f t="shared" si="15"/>
        <v/>
      </c>
    </row>
    <row r="212" spans="1:13" x14ac:dyDescent="0.35">
      <c r="A212" s="81"/>
      <c r="B212" s="13"/>
      <c r="C212" s="21"/>
      <c r="D212" s="14"/>
      <c r="E212" s="14"/>
      <c r="F212" s="14"/>
      <c r="G212" s="21"/>
      <c r="H212" s="53"/>
      <c r="I212" s="7" t="str">
        <f t="shared" si="12"/>
        <v/>
      </c>
      <c r="J212" s="27" t="str">
        <f t="shared" ca="1" si="13"/>
        <v/>
      </c>
      <c r="K212" s="7" t="str">
        <f t="shared" si="14"/>
        <v/>
      </c>
      <c r="L212" s="13"/>
      <c r="M212" s="29" t="str">
        <f t="shared" si="15"/>
        <v/>
      </c>
    </row>
    <row r="213" spans="1:13" x14ac:dyDescent="0.35">
      <c r="A213" s="81"/>
      <c r="B213" s="13"/>
      <c r="C213" s="21"/>
      <c r="D213" s="14"/>
      <c r="E213" s="14"/>
      <c r="F213" s="14"/>
      <c r="G213" s="21"/>
      <c r="H213" s="53"/>
      <c r="I213" s="7" t="str">
        <f t="shared" si="12"/>
        <v/>
      </c>
      <c r="J213" s="27" t="str">
        <f t="shared" ca="1" si="13"/>
        <v/>
      </c>
      <c r="K213" s="7" t="str">
        <f t="shared" si="14"/>
        <v/>
      </c>
      <c r="L213" s="13"/>
      <c r="M213" s="29" t="str">
        <f t="shared" si="15"/>
        <v/>
      </c>
    </row>
    <row r="214" spans="1:13" x14ac:dyDescent="0.35">
      <c r="A214" s="81"/>
      <c r="B214" s="13"/>
      <c r="C214" s="21"/>
      <c r="D214" s="14"/>
      <c r="E214" s="14"/>
      <c r="F214" s="14"/>
      <c r="G214" s="21"/>
      <c r="H214" s="53"/>
      <c r="I214" s="7" t="str">
        <f t="shared" si="12"/>
        <v/>
      </c>
      <c r="J214" s="27" t="str">
        <f t="shared" ca="1" si="13"/>
        <v/>
      </c>
      <c r="K214" s="7" t="str">
        <f t="shared" si="14"/>
        <v/>
      </c>
      <c r="L214" s="13"/>
      <c r="M214" s="29" t="str">
        <f t="shared" si="15"/>
        <v/>
      </c>
    </row>
    <row r="215" spans="1:13" x14ac:dyDescent="0.35">
      <c r="A215" s="81"/>
      <c r="B215" s="13"/>
      <c r="C215" s="21"/>
      <c r="D215" s="14"/>
      <c r="E215" s="14"/>
      <c r="F215" s="14"/>
      <c r="G215" s="21"/>
      <c r="H215" s="53"/>
      <c r="I215" s="7" t="str">
        <f t="shared" si="12"/>
        <v/>
      </c>
      <c r="J215" s="27" t="str">
        <f t="shared" ca="1" si="13"/>
        <v/>
      </c>
      <c r="K215" s="7" t="str">
        <f t="shared" si="14"/>
        <v/>
      </c>
      <c r="L215" s="13"/>
      <c r="M215" s="29" t="str">
        <f t="shared" si="15"/>
        <v/>
      </c>
    </row>
    <row r="216" spans="1:13" x14ac:dyDescent="0.35">
      <c r="A216" s="81"/>
      <c r="B216" s="13"/>
      <c r="C216" s="21"/>
      <c r="D216" s="14"/>
      <c r="E216" s="14"/>
      <c r="F216" s="14"/>
      <c r="G216" s="21"/>
      <c r="H216" s="53"/>
      <c r="I216" s="7" t="str">
        <f t="shared" si="12"/>
        <v/>
      </c>
      <c r="J216" s="27" t="str">
        <f t="shared" ca="1" si="13"/>
        <v/>
      </c>
      <c r="K216" s="7" t="str">
        <f t="shared" si="14"/>
        <v/>
      </c>
      <c r="L216" s="13"/>
      <c r="M216" s="29" t="str">
        <f t="shared" si="15"/>
        <v/>
      </c>
    </row>
    <row r="217" spans="1:13" x14ac:dyDescent="0.35">
      <c r="A217" s="81"/>
      <c r="B217" s="13"/>
      <c r="C217" s="21"/>
      <c r="D217" s="14"/>
      <c r="E217" s="14"/>
      <c r="F217" s="14"/>
      <c r="G217" s="21"/>
      <c r="H217" s="53"/>
      <c r="I217" s="7" t="str">
        <f t="shared" si="12"/>
        <v/>
      </c>
      <c r="J217" s="27" t="str">
        <f t="shared" ca="1" si="13"/>
        <v/>
      </c>
      <c r="K217" s="7" t="str">
        <f t="shared" si="14"/>
        <v/>
      </c>
      <c r="L217" s="13"/>
      <c r="M217" s="29" t="str">
        <f t="shared" si="15"/>
        <v/>
      </c>
    </row>
    <row r="218" spans="1:13" x14ac:dyDescent="0.35">
      <c r="A218" s="81"/>
      <c r="B218" s="13"/>
      <c r="C218" s="21"/>
      <c r="D218" s="14"/>
      <c r="E218" s="14"/>
      <c r="F218" s="14"/>
      <c r="G218" s="21"/>
      <c r="H218" s="53"/>
      <c r="I218" s="7" t="str">
        <f t="shared" si="12"/>
        <v/>
      </c>
      <c r="J218" s="27" t="str">
        <f t="shared" ca="1" si="13"/>
        <v/>
      </c>
      <c r="K218" s="7" t="str">
        <f t="shared" si="14"/>
        <v/>
      </c>
      <c r="L218" s="13"/>
      <c r="M218" s="29" t="str">
        <f t="shared" si="15"/>
        <v/>
      </c>
    </row>
    <row r="219" spans="1:13" x14ac:dyDescent="0.35">
      <c r="A219" s="81"/>
      <c r="B219" s="13"/>
      <c r="C219" s="21"/>
      <c r="D219" s="14"/>
      <c r="E219" s="14"/>
      <c r="F219" s="14"/>
      <c r="G219" s="21"/>
      <c r="H219" s="53"/>
      <c r="I219" s="7" t="str">
        <f t="shared" si="12"/>
        <v/>
      </c>
      <c r="J219" s="27" t="str">
        <f t="shared" ca="1" si="13"/>
        <v/>
      </c>
      <c r="K219" s="7" t="str">
        <f t="shared" si="14"/>
        <v/>
      </c>
      <c r="L219" s="13"/>
      <c r="M219" s="29" t="str">
        <f t="shared" si="15"/>
        <v/>
      </c>
    </row>
    <row r="220" spans="1:13" x14ac:dyDescent="0.35">
      <c r="A220" s="81"/>
      <c r="B220" s="13"/>
      <c r="C220" s="21"/>
      <c r="D220" s="14"/>
      <c r="E220" s="14"/>
      <c r="F220" s="14"/>
      <c r="G220" s="21"/>
      <c r="H220" s="53"/>
      <c r="I220" s="7" t="str">
        <f t="shared" si="12"/>
        <v/>
      </c>
      <c r="J220" s="27" t="str">
        <f t="shared" ca="1" si="13"/>
        <v/>
      </c>
      <c r="K220" s="7" t="str">
        <f t="shared" si="14"/>
        <v/>
      </c>
      <c r="L220" s="13"/>
      <c r="M220" s="29" t="str">
        <f t="shared" si="15"/>
        <v/>
      </c>
    </row>
    <row r="221" spans="1:13" x14ac:dyDescent="0.35">
      <c r="A221" s="81"/>
      <c r="B221" s="13"/>
      <c r="C221" s="21"/>
      <c r="D221" s="14"/>
      <c r="E221" s="14"/>
      <c r="F221" s="14"/>
      <c r="G221" s="21"/>
      <c r="H221" s="53"/>
      <c r="I221" s="7" t="str">
        <f t="shared" si="12"/>
        <v/>
      </c>
      <c r="J221" s="27" t="str">
        <f t="shared" ca="1" si="13"/>
        <v/>
      </c>
      <c r="K221" s="7" t="str">
        <f t="shared" si="14"/>
        <v/>
      </c>
      <c r="L221" s="13"/>
      <c r="M221" s="29" t="str">
        <f t="shared" si="15"/>
        <v/>
      </c>
    </row>
    <row r="222" spans="1:13" x14ac:dyDescent="0.35">
      <c r="A222" s="81"/>
      <c r="B222" s="13"/>
      <c r="C222" s="21"/>
      <c r="D222" s="14"/>
      <c r="E222" s="14"/>
      <c r="F222" s="14"/>
      <c r="G222" s="21"/>
      <c r="H222" s="53"/>
      <c r="I222" s="7" t="str">
        <f t="shared" si="12"/>
        <v/>
      </c>
      <c r="J222" s="27" t="str">
        <f t="shared" ca="1" si="13"/>
        <v/>
      </c>
      <c r="K222" s="7" t="str">
        <f t="shared" si="14"/>
        <v/>
      </c>
      <c r="L222" s="13"/>
      <c r="M222" s="29" t="str">
        <f t="shared" si="15"/>
        <v/>
      </c>
    </row>
    <row r="223" spans="1:13" x14ac:dyDescent="0.35">
      <c r="A223" s="81"/>
      <c r="B223" s="13"/>
      <c r="C223" s="21"/>
      <c r="D223" s="14"/>
      <c r="E223" s="14"/>
      <c r="F223" s="14"/>
      <c r="G223" s="21"/>
      <c r="H223" s="53"/>
      <c r="I223" s="7" t="str">
        <f t="shared" si="12"/>
        <v/>
      </c>
      <c r="J223" s="27" t="str">
        <f t="shared" ca="1" si="13"/>
        <v/>
      </c>
      <c r="K223" s="7" t="str">
        <f t="shared" si="14"/>
        <v/>
      </c>
      <c r="L223" s="13"/>
      <c r="M223" s="29" t="str">
        <f t="shared" si="15"/>
        <v/>
      </c>
    </row>
    <row r="224" spans="1:13" x14ac:dyDescent="0.35">
      <c r="A224" s="81"/>
      <c r="B224" s="13"/>
      <c r="C224" s="21"/>
      <c r="D224" s="14"/>
      <c r="E224" s="14"/>
      <c r="F224" s="14"/>
      <c r="G224" s="21"/>
      <c r="H224" s="53"/>
      <c r="I224" s="7" t="str">
        <f t="shared" si="12"/>
        <v/>
      </c>
      <c r="J224" s="27" t="str">
        <f t="shared" ca="1" si="13"/>
        <v/>
      </c>
      <c r="K224" s="7" t="str">
        <f t="shared" si="14"/>
        <v/>
      </c>
      <c r="L224" s="13"/>
      <c r="M224" s="29" t="str">
        <f t="shared" si="15"/>
        <v/>
      </c>
    </row>
    <row r="225" spans="1:13" x14ac:dyDescent="0.35">
      <c r="A225" s="81"/>
      <c r="B225" s="13"/>
      <c r="C225" s="21"/>
      <c r="D225" s="14"/>
      <c r="E225" s="14"/>
      <c r="F225" s="14"/>
      <c r="G225" s="21"/>
      <c r="H225" s="53"/>
      <c r="I225" s="7" t="str">
        <f t="shared" si="12"/>
        <v/>
      </c>
      <c r="J225" s="27" t="str">
        <f t="shared" ca="1" si="13"/>
        <v/>
      </c>
      <c r="K225" s="7" t="str">
        <f t="shared" si="14"/>
        <v/>
      </c>
      <c r="L225" s="13"/>
      <c r="M225" s="29" t="str">
        <f t="shared" si="15"/>
        <v/>
      </c>
    </row>
    <row r="226" spans="1:13" x14ac:dyDescent="0.35">
      <c r="A226" s="81"/>
      <c r="B226" s="13"/>
      <c r="C226" s="21"/>
      <c r="D226" s="14"/>
      <c r="E226" s="14"/>
      <c r="F226" s="14"/>
      <c r="G226" s="21"/>
      <c r="H226" s="53"/>
      <c r="I226" s="7" t="str">
        <f t="shared" si="12"/>
        <v/>
      </c>
      <c r="J226" s="27" t="str">
        <f t="shared" ca="1" si="13"/>
        <v/>
      </c>
      <c r="K226" s="7" t="str">
        <f t="shared" si="14"/>
        <v/>
      </c>
      <c r="L226" s="13"/>
      <c r="M226" s="29" t="str">
        <f t="shared" si="15"/>
        <v/>
      </c>
    </row>
    <row r="227" spans="1:13" x14ac:dyDescent="0.35">
      <c r="A227" s="81"/>
      <c r="B227" s="13"/>
      <c r="C227" s="21"/>
      <c r="D227" s="14"/>
      <c r="E227" s="14"/>
      <c r="F227" s="14"/>
      <c r="G227" s="21"/>
      <c r="H227" s="53"/>
      <c r="I227" s="7" t="str">
        <f t="shared" si="12"/>
        <v/>
      </c>
      <c r="J227" s="27" t="str">
        <f t="shared" ca="1" si="13"/>
        <v/>
      </c>
      <c r="K227" s="7" t="str">
        <f t="shared" si="14"/>
        <v/>
      </c>
      <c r="L227" s="13"/>
      <c r="M227" s="29" t="str">
        <f t="shared" si="15"/>
        <v/>
      </c>
    </row>
    <row r="228" spans="1:13" x14ac:dyDescent="0.35">
      <c r="A228" s="81"/>
      <c r="B228" s="13"/>
      <c r="C228" s="21"/>
      <c r="D228" s="14"/>
      <c r="E228" s="14"/>
      <c r="F228" s="14"/>
      <c r="G228" s="21"/>
      <c r="H228" s="53"/>
      <c r="I228" s="7" t="str">
        <f t="shared" si="12"/>
        <v/>
      </c>
      <c r="J228" s="27" t="str">
        <f t="shared" ca="1" si="13"/>
        <v/>
      </c>
      <c r="K228" s="7" t="str">
        <f t="shared" si="14"/>
        <v/>
      </c>
      <c r="L228" s="13"/>
      <c r="M228" s="29" t="str">
        <f t="shared" si="15"/>
        <v/>
      </c>
    </row>
    <row r="229" spans="1:13" x14ac:dyDescent="0.35">
      <c r="A229" s="81"/>
      <c r="B229" s="13"/>
      <c r="C229" s="21"/>
      <c r="D229" s="14"/>
      <c r="E229" s="14"/>
      <c r="F229" s="14"/>
      <c r="G229" s="21"/>
      <c r="H229" s="53"/>
      <c r="I229" s="7" t="str">
        <f t="shared" si="12"/>
        <v/>
      </c>
      <c r="J229" s="27" t="str">
        <f t="shared" ca="1" si="13"/>
        <v/>
      </c>
      <c r="K229" s="7" t="str">
        <f t="shared" si="14"/>
        <v/>
      </c>
      <c r="L229" s="13"/>
      <c r="M229" s="29" t="str">
        <f t="shared" si="15"/>
        <v/>
      </c>
    </row>
    <row r="230" spans="1:13" x14ac:dyDescent="0.35">
      <c r="A230" s="81"/>
      <c r="B230" s="13"/>
      <c r="C230" s="21"/>
      <c r="D230" s="14"/>
      <c r="E230" s="14"/>
      <c r="F230" s="14"/>
      <c r="G230" s="21"/>
      <c r="H230" s="53"/>
      <c r="I230" s="7" t="str">
        <f t="shared" si="12"/>
        <v/>
      </c>
      <c r="J230" s="27" t="str">
        <f t="shared" ca="1" si="13"/>
        <v/>
      </c>
      <c r="K230" s="7" t="str">
        <f t="shared" si="14"/>
        <v/>
      </c>
      <c r="L230" s="13"/>
      <c r="M230" s="29" t="str">
        <f t="shared" si="15"/>
        <v/>
      </c>
    </row>
    <row r="231" spans="1:13" x14ac:dyDescent="0.35">
      <c r="A231" s="81"/>
      <c r="B231" s="13"/>
      <c r="C231" s="21"/>
      <c r="D231" s="14"/>
      <c r="E231" s="14"/>
      <c r="F231" s="14"/>
      <c r="G231" s="21"/>
      <c r="H231" s="53"/>
      <c r="I231" s="7" t="str">
        <f t="shared" si="12"/>
        <v/>
      </c>
      <c r="J231" s="27" t="str">
        <f t="shared" ca="1" si="13"/>
        <v/>
      </c>
      <c r="K231" s="7" t="str">
        <f t="shared" si="14"/>
        <v/>
      </c>
      <c r="L231" s="13"/>
      <c r="M231" s="29" t="str">
        <f t="shared" si="15"/>
        <v/>
      </c>
    </row>
    <row r="232" spans="1:13" x14ac:dyDescent="0.35">
      <c r="A232" s="81"/>
      <c r="B232" s="13"/>
      <c r="C232" s="21"/>
      <c r="D232" s="14"/>
      <c r="E232" s="14"/>
      <c r="F232" s="14"/>
      <c r="G232" s="21"/>
      <c r="H232" s="53"/>
      <c r="I232" s="7" t="str">
        <f t="shared" si="12"/>
        <v/>
      </c>
      <c r="J232" s="27" t="str">
        <f t="shared" ca="1" si="13"/>
        <v/>
      </c>
      <c r="K232" s="7" t="str">
        <f t="shared" si="14"/>
        <v/>
      </c>
      <c r="L232" s="13"/>
      <c r="M232" s="29" t="str">
        <f t="shared" si="15"/>
        <v/>
      </c>
    </row>
    <row r="233" spans="1:13" x14ac:dyDescent="0.35">
      <c r="A233" s="81"/>
      <c r="B233" s="13"/>
      <c r="C233" s="21"/>
      <c r="D233" s="14"/>
      <c r="E233" s="14"/>
      <c r="F233" s="14"/>
      <c r="G233" s="21"/>
      <c r="H233" s="53"/>
      <c r="I233" s="7" t="str">
        <f t="shared" si="12"/>
        <v/>
      </c>
      <c r="J233" s="27" t="str">
        <f t="shared" ca="1" si="13"/>
        <v/>
      </c>
      <c r="K233" s="7" t="str">
        <f t="shared" si="14"/>
        <v/>
      </c>
      <c r="L233" s="13"/>
      <c r="M233" s="29" t="str">
        <f t="shared" si="15"/>
        <v/>
      </c>
    </row>
    <row r="234" spans="1:13" x14ac:dyDescent="0.35">
      <c r="A234" s="81"/>
      <c r="B234" s="13"/>
      <c r="C234" s="21"/>
      <c r="D234" s="14"/>
      <c r="E234" s="14"/>
      <c r="F234" s="14"/>
      <c r="G234" s="21"/>
      <c r="H234" s="53"/>
      <c r="I234" s="7" t="str">
        <f t="shared" si="12"/>
        <v/>
      </c>
      <c r="J234" s="27" t="str">
        <f t="shared" ca="1" si="13"/>
        <v/>
      </c>
      <c r="K234" s="7" t="str">
        <f t="shared" si="14"/>
        <v/>
      </c>
      <c r="L234" s="13"/>
      <c r="M234" s="29" t="str">
        <f t="shared" si="15"/>
        <v/>
      </c>
    </row>
    <row r="235" spans="1:13" x14ac:dyDescent="0.35">
      <c r="A235" s="81"/>
      <c r="B235" s="13"/>
      <c r="C235" s="21"/>
      <c r="D235" s="14"/>
      <c r="E235" s="14"/>
      <c r="F235" s="14"/>
      <c r="G235" s="21"/>
      <c r="H235" s="53"/>
      <c r="I235" s="7" t="str">
        <f t="shared" si="12"/>
        <v/>
      </c>
      <c r="J235" s="27" t="str">
        <f t="shared" ca="1" si="13"/>
        <v/>
      </c>
      <c r="K235" s="7" t="str">
        <f t="shared" si="14"/>
        <v/>
      </c>
      <c r="L235" s="13"/>
      <c r="M235" s="29" t="str">
        <f t="shared" si="15"/>
        <v/>
      </c>
    </row>
    <row r="236" spans="1:13" x14ac:dyDescent="0.35">
      <c r="A236" s="81"/>
      <c r="B236" s="13"/>
      <c r="C236" s="21"/>
      <c r="D236" s="14"/>
      <c r="E236" s="14"/>
      <c r="F236" s="14"/>
      <c r="G236" s="21"/>
      <c r="H236" s="53"/>
      <c r="I236" s="7" t="str">
        <f t="shared" si="12"/>
        <v/>
      </c>
      <c r="J236" s="27" t="str">
        <f t="shared" ca="1" si="13"/>
        <v/>
      </c>
      <c r="K236" s="7" t="str">
        <f t="shared" si="14"/>
        <v/>
      </c>
      <c r="L236" s="13"/>
      <c r="M236" s="29" t="str">
        <f t="shared" si="15"/>
        <v/>
      </c>
    </row>
    <row r="237" spans="1:13" x14ac:dyDescent="0.35">
      <c r="A237" s="81"/>
      <c r="B237" s="13"/>
      <c r="C237" s="21"/>
      <c r="D237" s="14"/>
      <c r="E237" s="14"/>
      <c r="F237" s="14"/>
      <c r="G237" s="21"/>
      <c r="H237" s="53"/>
      <c r="I237" s="7" t="str">
        <f t="shared" si="12"/>
        <v/>
      </c>
      <c r="J237" s="27" t="str">
        <f t="shared" ca="1" si="13"/>
        <v/>
      </c>
      <c r="K237" s="7" t="str">
        <f t="shared" si="14"/>
        <v/>
      </c>
      <c r="L237" s="13"/>
      <c r="M237" s="29" t="str">
        <f t="shared" si="15"/>
        <v/>
      </c>
    </row>
    <row r="238" spans="1:13" x14ac:dyDescent="0.35">
      <c r="A238" s="81"/>
      <c r="B238" s="13"/>
      <c r="C238" s="21"/>
      <c r="D238" s="14"/>
      <c r="E238" s="14"/>
      <c r="F238" s="14"/>
      <c r="G238" s="21"/>
      <c r="H238" s="53"/>
      <c r="I238" s="7" t="str">
        <f t="shared" si="12"/>
        <v/>
      </c>
      <c r="J238" s="27" t="str">
        <f t="shared" ca="1" si="13"/>
        <v/>
      </c>
      <c r="K238" s="7" t="str">
        <f t="shared" si="14"/>
        <v/>
      </c>
      <c r="L238" s="13"/>
      <c r="M238" s="29" t="str">
        <f t="shared" si="15"/>
        <v/>
      </c>
    </row>
    <row r="239" spans="1:13" x14ac:dyDescent="0.35">
      <c r="A239" s="81"/>
      <c r="B239" s="13"/>
      <c r="C239" s="21"/>
      <c r="D239" s="14"/>
      <c r="E239" s="14"/>
      <c r="F239" s="14"/>
      <c r="G239" s="21"/>
      <c r="H239" s="53"/>
      <c r="I239" s="7" t="str">
        <f t="shared" si="12"/>
        <v/>
      </c>
      <c r="J239" s="27" t="str">
        <f t="shared" ca="1" si="13"/>
        <v/>
      </c>
      <c r="K239" s="7" t="str">
        <f t="shared" si="14"/>
        <v/>
      </c>
      <c r="L239" s="13"/>
      <c r="M239" s="29" t="str">
        <f t="shared" si="15"/>
        <v/>
      </c>
    </row>
    <row r="240" spans="1:13" x14ac:dyDescent="0.35">
      <c r="A240" s="81"/>
      <c r="B240" s="13"/>
      <c r="C240" s="21"/>
      <c r="D240" s="14"/>
      <c r="E240" s="14"/>
      <c r="F240" s="14"/>
      <c r="G240" s="21"/>
      <c r="H240" s="53"/>
      <c r="I240" s="7" t="str">
        <f t="shared" si="12"/>
        <v/>
      </c>
      <c r="J240" s="27" t="str">
        <f t="shared" ca="1" si="13"/>
        <v/>
      </c>
      <c r="K240" s="7" t="str">
        <f t="shared" si="14"/>
        <v/>
      </c>
      <c r="L240" s="13"/>
      <c r="M240" s="29" t="str">
        <f t="shared" si="15"/>
        <v/>
      </c>
    </row>
    <row r="241" spans="1:13" x14ac:dyDescent="0.35">
      <c r="A241" s="81"/>
      <c r="B241" s="13"/>
      <c r="C241" s="21"/>
      <c r="D241" s="14"/>
      <c r="E241" s="14"/>
      <c r="F241" s="14"/>
      <c r="G241" s="21"/>
      <c r="H241" s="53"/>
      <c r="I241" s="7" t="str">
        <f t="shared" si="12"/>
        <v/>
      </c>
      <c r="J241" s="27" t="str">
        <f t="shared" ca="1" si="13"/>
        <v/>
      </c>
      <c r="K241" s="7" t="str">
        <f t="shared" si="14"/>
        <v/>
      </c>
      <c r="L241" s="13"/>
      <c r="M241" s="29" t="str">
        <f t="shared" si="15"/>
        <v/>
      </c>
    </row>
    <row r="242" spans="1:13" x14ac:dyDescent="0.35">
      <c r="A242" s="81"/>
      <c r="B242" s="13"/>
      <c r="C242" s="21"/>
      <c r="D242" s="14"/>
      <c r="E242" s="14"/>
      <c r="F242" s="14"/>
      <c r="G242" s="21"/>
      <c r="H242" s="53"/>
      <c r="I242" s="7" t="str">
        <f t="shared" si="12"/>
        <v/>
      </c>
      <c r="J242" s="27" t="str">
        <f t="shared" ca="1" si="13"/>
        <v/>
      </c>
      <c r="K242" s="7" t="str">
        <f t="shared" si="14"/>
        <v/>
      </c>
      <c r="L242" s="13"/>
      <c r="M242" s="29" t="str">
        <f t="shared" si="15"/>
        <v/>
      </c>
    </row>
    <row r="243" spans="1:13" x14ac:dyDescent="0.35">
      <c r="A243" s="81"/>
      <c r="B243" s="13"/>
      <c r="C243" s="21"/>
      <c r="D243" s="14"/>
      <c r="E243" s="14"/>
      <c r="F243" s="14"/>
      <c r="G243" s="21"/>
      <c r="H243" s="53"/>
      <c r="I243" s="7" t="str">
        <f t="shared" si="12"/>
        <v/>
      </c>
      <c r="J243" s="27" t="str">
        <f t="shared" ca="1" si="13"/>
        <v/>
      </c>
      <c r="K243" s="7" t="str">
        <f t="shared" si="14"/>
        <v/>
      </c>
      <c r="L243" s="13"/>
      <c r="M243" s="29" t="str">
        <f t="shared" si="15"/>
        <v/>
      </c>
    </row>
    <row r="244" spans="1:13" x14ac:dyDescent="0.35">
      <c r="A244" s="81"/>
      <c r="B244" s="13"/>
      <c r="C244" s="21"/>
      <c r="D244" s="14"/>
      <c r="E244" s="14"/>
      <c r="F244" s="14"/>
      <c r="G244" s="21"/>
      <c r="H244" s="53"/>
      <c r="I244" s="7" t="str">
        <f t="shared" si="12"/>
        <v/>
      </c>
      <c r="J244" s="27" t="str">
        <f t="shared" ca="1" si="13"/>
        <v/>
      </c>
      <c r="K244" s="7" t="str">
        <f t="shared" si="14"/>
        <v/>
      </c>
      <c r="L244" s="13"/>
      <c r="M244" s="29" t="str">
        <f t="shared" si="15"/>
        <v/>
      </c>
    </row>
    <row r="245" spans="1:13" x14ac:dyDescent="0.35">
      <c r="A245" s="81"/>
      <c r="B245" s="13"/>
      <c r="C245" s="21"/>
      <c r="D245" s="14"/>
      <c r="E245" s="14"/>
      <c r="F245" s="14"/>
      <c r="G245" s="21"/>
      <c r="H245" s="53"/>
      <c r="I245" s="7" t="str">
        <f t="shared" si="12"/>
        <v/>
      </c>
      <c r="J245" s="27" t="str">
        <f t="shared" ca="1" si="13"/>
        <v/>
      </c>
      <c r="K245" s="7" t="str">
        <f t="shared" si="14"/>
        <v/>
      </c>
      <c r="L245" s="13"/>
      <c r="M245" s="29" t="str">
        <f t="shared" si="15"/>
        <v/>
      </c>
    </row>
    <row r="246" spans="1:13" x14ac:dyDescent="0.35">
      <c r="A246" s="81"/>
      <c r="B246" s="13"/>
      <c r="C246" s="21"/>
      <c r="D246" s="14"/>
      <c r="E246" s="14"/>
      <c r="F246" s="14"/>
      <c r="G246" s="21"/>
      <c r="H246" s="53"/>
      <c r="I246" s="7" t="str">
        <f t="shared" si="12"/>
        <v/>
      </c>
      <c r="J246" s="27" t="str">
        <f t="shared" ca="1" si="13"/>
        <v/>
      </c>
      <c r="K246" s="7" t="str">
        <f t="shared" si="14"/>
        <v/>
      </c>
      <c r="L246" s="13"/>
      <c r="M246" s="29" t="str">
        <f t="shared" si="15"/>
        <v/>
      </c>
    </row>
    <row r="247" spans="1:13" x14ac:dyDescent="0.35">
      <c r="A247" s="81"/>
      <c r="B247" s="13"/>
      <c r="C247" s="21"/>
      <c r="D247" s="14"/>
      <c r="E247" s="14"/>
      <c r="F247" s="14"/>
      <c r="G247" s="21"/>
      <c r="H247" s="53"/>
      <c r="I247" s="7" t="str">
        <f t="shared" si="12"/>
        <v/>
      </c>
      <c r="J247" s="27" t="str">
        <f t="shared" ca="1" si="13"/>
        <v/>
      </c>
      <c r="K247" s="7" t="str">
        <f t="shared" si="14"/>
        <v/>
      </c>
      <c r="L247" s="13"/>
      <c r="M247" s="29" t="str">
        <f t="shared" si="15"/>
        <v/>
      </c>
    </row>
    <row r="248" spans="1:13" x14ac:dyDescent="0.35">
      <c r="A248" s="81"/>
      <c r="B248" s="13"/>
      <c r="C248" s="21"/>
      <c r="D248" s="14"/>
      <c r="E248" s="14"/>
      <c r="F248" s="14"/>
      <c r="G248" s="21"/>
      <c r="H248" s="53"/>
      <c r="I248" s="7" t="str">
        <f t="shared" si="12"/>
        <v/>
      </c>
      <c r="J248" s="27" t="str">
        <f t="shared" ca="1" si="13"/>
        <v/>
      </c>
      <c r="K248" s="7" t="str">
        <f t="shared" si="14"/>
        <v/>
      </c>
      <c r="L248" s="13"/>
      <c r="M248" s="29" t="str">
        <f t="shared" si="15"/>
        <v/>
      </c>
    </row>
    <row r="249" spans="1:13" x14ac:dyDescent="0.35">
      <c r="A249" s="81"/>
      <c r="B249" s="13"/>
      <c r="C249" s="21"/>
      <c r="D249" s="14"/>
      <c r="E249" s="14"/>
      <c r="F249" s="14"/>
      <c r="G249" s="21"/>
      <c r="H249" s="53"/>
      <c r="I249" s="7" t="str">
        <f t="shared" si="12"/>
        <v/>
      </c>
      <c r="J249" s="27" t="str">
        <f t="shared" ca="1" si="13"/>
        <v/>
      </c>
      <c r="K249" s="7" t="str">
        <f t="shared" si="14"/>
        <v/>
      </c>
      <c r="L249" s="13"/>
      <c r="M249" s="29" t="str">
        <f t="shared" si="15"/>
        <v/>
      </c>
    </row>
    <row r="250" spans="1:13" x14ac:dyDescent="0.35">
      <c r="A250" s="81"/>
      <c r="B250" s="13"/>
      <c r="C250" s="21"/>
      <c r="D250" s="14"/>
      <c r="E250" s="14"/>
      <c r="F250" s="14"/>
      <c r="G250" s="21"/>
      <c r="H250" s="53"/>
      <c r="I250" s="7" t="str">
        <f t="shared" si="12"/>
        <v/>
      </c>
      <c r="J250" s="27" t="str">
        <f t="shared" ca="1" si="13"/>
        <v/>
      </c>
      <c r="K250" s="7" t="str">
        <f t="shared" si="14"/>
        <v/>
      </c>
      <c r="L250" s="13"/>
      <c r="M250" s="29" t="str">
        <f t="shared" si="15"/>
        <v/>
      </c>
    </row>
    <row r="251" spans="1:13" x14ac:dyDescent="0.35">
      <c r="A251" s="81"/>
      <c r="B251" s="13"/>
      <c r="C251" s="21"/>
      <c r="D251" s="14"/>
      <c r="E251" s="14"/>
      <c r="F251" s="14"/>
      <c r="G251" s="21"/>
      <c r="H251" s="53"/>
      <c r="I251" s="7" t="str">
        <f t="shared" si="12"/>
        <v/>
      </c>
      <c r="J251" s="27" t="str">
        <f t="shared" ca="1" si="13"/>
        <v/>
      </c>
      <c r="K251" s="7" t="str">
        <f t="shared" si="14"/>
        <v/>
      </c>
      <c r="L251" s="13"/>
      <c r="M251" s="29" t="str">
        <f t="shared" si="15"/>
        <v/>
      </c>
    </row>
    <row r="252" spans="1:13" x14ac:dyDescent="0.35">
      <c r="A252" s="81"/>
      <c r="B252" s="13"/>
      <c r="C252" s="21"/>
      <c r="D252" s="14"/>
      <c r="E252" s="14"/>
      <c r="F252" s="14"/>
      <c r="G252" s="21"/>
      <c r="H252" s="53"/>
      <c r="I252" s="7" t="str">
        <f t="shared" si="12"/>
        <v/>
      </c>
      <c r="J252" s="27" t="str">
        <f t="shared" ca="1" si="13"/>
        <v/>
      </c>
      <c r="K252" s="7" t="str">
        <f t="shared" si="14"/>
        <v/>
      </c>
      <c r="L252" s="13"/>
      <c r="M252" s="29" t="str">
        <f t="shared" si="15"/>
        <v/>
      </c>
    </row>
    <row r="253" spans="1:13" x14ac:dyDescent="0.35">
      <c r="A253" s="81"/>
      <c r="B253" s="13"/>
      <c r="C253" s="21"/>
      <c r="D253" s="14"/>
      <c r="E253" s="14"/>
      <c r="F253" s="14"/>
      <c r="G253" s="21"/>
      <c r="H253" s="53"/>
      <c r="I253" s="7" t="str">
        <f t="shared" si="12"/>
        <v/>
      </c>
      <c r="J253" s="27" t="str">
        <f t="shared" ca="1" si="13"/>
        <v/>
      </c>
      <c r="K253" s="7" t="str">
        <f t="shared" si="14"/>
        <v/>
      </c>
      <c r="L253" s="13"/>
      <c r="M253" s="29" t="str">
        <f t="shared" si="15"/>
        <v/>
      </c>
    </row>
    <row r="254" spans="1:13" x14ac:dyDescent="0.35">
      <c r="A254" s="81"/>
      <c r="B254" s="13"/>
      <c r="C254" s="21"/>
      <c r="D254" s="14"/>
      <c r="E254" s="14"/>
      <c r="F254" s="14"/>
      <c r="G254" s="21"/>
      <c r="H254" s="53"/>
      <c r="I254" s="7" t="str">
        <f t="shared" si="12"/>
        <v/>
      </c>
      <c r="J254" s="27" t="str">
        <f t="shared" ca="1" si="13"/>
        <v/>
      </c>
      <c r="K254" s="7" t="str">
        <f t="shared" si="14"/>
        <v/>
      </c>
      <c r="L254" s="13"/>
      <c r="M254" s="29" t="str">
        <f t="shared" si="15"/>
        <v/>
      </c>
    </row>
    <row r="255" spans="1:13" x14ac:dyDescent="0.35">
      <c r="A255" s="81"/>
      <c r="B255" s="13"/>
      <c r="C255" s="21"/>
      <c r="D255" s="14"/>
      <c r="E255" s="14"/>
      <c r="F255" s="14"/>
      <c r="G255" s="21"/>
      <c r="H255" s="53"/>
      <c r="I255" s="7" t="str">
        <f t="shared" si="12"/>
        <v/>
      </c>
      <c r="J255" s="27" t="str">
        <f t="shared" ca="1" si="13"/>
        <v/>
      </c>
      <c r="K255" s="7" t="str">
        <f t="shared" si="14"/>
        <v/>
      </c>
      <c r="L255" s="13"/>
      <c r="M255" s="29" t="str">
        <f t="shared" si="15"/>
        <v/>
      </c>
    </row>
    <row r="256" spans="1:13" x14ac:dyDescent="0.35">
      <c r="A256" s="81"/>
      <c r="B256" s="13"/>
      <c r="C256" s="21"/>
      <c r="D256" s="14"/>
      <c r="E256" s="14"/>
      <c r="F256" s="14"/>
      <c r="G256" s="21"/>
      <c r="H256" s="53"/>
      <c r="I256" s="7" t="str">
        <f t="shared" si="12"/>
        <v/>
      </c>
      <c r="J256" s="27" t="str">
        <f t="shared" ca="1" si="13"/>
        <v/>
      </c>
      <c r="K256" s="7" t="str">
        <f t="shared" si="14"/>
        <v/>
      </c>
      <c r="L256" s="13"/>
      <c r="M256" s="29" t="str">
        <f t="shared" si="15"/>
        <v/>
      </c>
    </row>
    <row r="257" spans="1:13" x14ac:dyDescent="0.35">
      <c r="A257" s="81"/>
      <c r="B257" s="13"/>
      <c r="C257" s="21"/>
      <c r="D257" s="14"/>
      <c r="E257" s="14"/>
      <c r="F257" s="14"/>
      <c r="G257" s="21"/>
      <c r="H257" s="53"/>
      <c r="I257" s="7" t="str">
        <f t="shared" si="12"/>
        <v/>
      </c>
      <c r="J257" s="27" t="str">
        <f t="shared" ca="1" si="13"/>
        <v/>
      </c>
      <c r="K257" s="7" t="str">
        <f t="shared" si="14"/>
        <v/>
      </c>
      <c r="L257" s="13"/>
      <c r="M257" s="29" t="str">
        <f t="shared" si="15"/>
        <v/>
      </c>
    </row>
    <row r="258" spans="1:13" x14ac:dyDescent="0.35">
      <c r="A258" s="81"/>
      <c r="B258" s="13"/>
      <c r="C258" s="21"/>
      <c r="D258" s="14"/>
      <c r="E258" s="14"/>
      <c r="F258" s="14"/>
      <c r="G258" s="21"/>
      <c r="H258" s="53"/>
      <c r="I258" s="7" t="str">
        <f t="shared" si="12"/>
        <v/>
      </c>
      <c r="J258" s="27" t="str">
        <f t="shared" ca="1" si="13"/>
        <v/>
      </c>
      <c r="K258" s="7" t="str">
        <f t="shared" si="14"/>
        <v/>
      </c>
      <c r="L258" s="13"/>
      <c r="M258" s="29" t="str">
        <f t="shared" si="15"/>
        <v/>
      </c>
    </row>
    <row r="259" spans="1:13" x14ac:dyDescent="0.35">
      <c r="A259" s="81"/>
      <c r="B259" s="13"/>
      <c r="C259" s="21"/>
      <c r="D259" s="14"/>
      <c r="E259" s="14"/>
      <c r="F259" s="14"/>
      <c r="G259" s="21"/>
      <c r="H259" s="53"/>
      <c r="I259" s="7" t="str">
        <f t="shared" ref="I259:I322" si="16">IF($A259="","",IF($F259&lt;&gt;"","Envoyé DHL",IF($E259&lt;&gt;"","Reçu (à envoyer)",IF($D259&lt;&gt;"","Demandé (en attente)","À demander"))))</f>
        <v/>
      </c>
      <c r="J259" s="27" t="str">
        <f t="shared" ref="J259:J322" ca="1" si="17">IF(AND($A259&lt;&gt;"",$D259&lt;&gt;"",$E259=""),TODAY()-$D259,"")</f>
        <v/>
      </c>
      <c r="K259" s="7" t="str">
        <f t="shared" ref="K259:K322" si="18">IF($A259="","",IF(AND($J259&lt;&gt;"",N($J259)&gt;P_AlerteDoc),"Attente &gt; "&amp;P_AlerteDoc&amp;" jours",IF(AND($E259&lt;&gt;"",$F259=""),"Reçu : à envoyer par DHL","")))</f>
        <v/>
      </c>
      <c r="L259" s="13"/>
      <c r="M259" s="29" t="str">
        <f t="shared" ref="M259:M322" si="19">IF($K259&lt;&gt;"",1,"")</f>
        <v/>
      </c>
    </row>
    <row r="260" spans="1:13" x14ac:dyDescent="0.35">
      <c r="A260" s="81"/>
      <c r="B260" s="13"/>
      <c r="C260" s="21"/>
      <c r="D260" s="14"/>
      <c r="E260" s="14"/>
      <c r="F260" s="14"/>
      <c r="G260" s="21"/>
      <c r="H260" s="53"/>
      <c r="I260" s="7" t="str">
        <f t="shared" si="16"/>
        <v/>
      </c>
      <c r="J260" s="27" t="str">
        <f t="shared" ca="1" si="17"/>
        <v/>
      </c>
      <c r="K260" s="7" t="str">
        <f t="shared" si="18"/>
        <v/>
      </c>
      <c r="L260" s="13"/>
      <c r="M260" s="29" t="str">
        <f t="shared" si="19"/>
        <v/>
      </c>
    </row>
    <row r="261" spans="1:13" x14ac:dyDescent="0.35">
      <c r="A261" s="81"/>
      <c r="B261" s="13"/>
      <c r="C261" s="21"/>
      <c r="D261" s="14"/>
      <c r="E261" s="14"/>
      <c r="F261" s="14"/>
      <c r="G261" s="21"/>
      <c r="H261" s="53"/>
      <c r="I261" s="7" t="str">
        <f t="shared" si="16"/>
        <v/>
      </c>
      <c r="J261" s="27" t="str">
        <f t="shared" ca="1" si="17"/>
        <v/>
      </c>
      <c r="K261" s="7" t="str">
        <f t="shared" si="18"/>
        <v/>
      </c>
      <c r="L261" s="13"/>
      <c r="M261" s="29" t="str">
        <f t="shared" si="19"/>
        <v/>
      </c>
    </row>
    <row r="262" spans="1:13" x14ac:dyDescent="0.35">
      <c r="A262" s="81"/>
      <c r="B262" s="13"/>
      <c r="C262" s="21"/>
      <c r="D262" s="14"/>
      <c r="E262" s="14"/>
      <c r="F262" s="14"/>
      <c r="G262" s="21"/>
      <c r="H262" s="53"/>
      <c r="I262" s="7" t="str">
        <f t="shared" si="16"/>
        <v/>
      </c>
      <c r="J262" s="27" t="str">
        <f t="shared" ca="1" si="17"/>
        <v/>
      </c>
      <c r="K262" s="7" t="str">
        <f t="shared" si="18"/>
        <v/>
      </c>
      <c r="L262" s="13"/>
      <c r="M262" s="29" t="str">
        <f t="shared" si="19"/>
        <v/>
      </c>
    </row>
    <row r="263" spans="1:13" x14ac:dyDescent="0.35">
      <c r="A263" s="81"/>
      <c r="B263" s="13"/>
      <c r="C263" s="21"/>
      <c r="D263" s="14"/>
      <c r="E263" s="14"/>
      <c r="F263" s="14"/>
      <c r="G263" s="21"/>
      <c r="H263" s="53"/>
      <c r="I263" s="7" t="str">
        <f t="shared" si="16"/>
        <v/>
      </c>
      <c r="J263" s="27" t="str">
        <f t="shared" ca="1" si="17"/>
        <v/>
      </c>
      <c r="K263" s="7" t="str">
        <f t="shared" si="18"/>
        <v/>
      </c>
      <c r="L263" s="13"/>
      <c r="M263" s="29" t="str">
        <f t="shared" si="19"/>
        <v/>
      </c>
    </row>
    <row r="264" spans="1:13" x14ac:dyDescent="0.35">
      <c r="A264" s="81"/>
      <c r="B264" s="13"/>
      <c r="C264" s="21"/>
      <c r="D264" s="14"/>
      <c r="E264" s="14"/>
      <c r="F264" s="14"/>
      <c r="G264" s="21"/>
      <c r="H264" s="53"/>
      <c r="I264" s="7" t="str">
        <f t="shared" si="16"/>
        <v/>
      </c>
      <c r="J264" s="27" t="str">
        <f t="shared" ca="1" si="17"/>
        <v/>
      </c>
      <c r="K264" s="7" t="str">
        <f t="shared" si="18"/>
        <v/>
      </c>
      <c r="L264" s="13"/>
      <c r="M264" s="29" t="str">
        <f t="shared" si="19"/>
        <v/>
      </c>
    </row>
    <row r="265" spans="1:13" x14ac:dyDescent="0.35">
      <c r="A265" s="81"/>
      <c r="B265" s="13"/>
      <c r="C265" s="21"/>
      <c r="D265" s="14"/>
      <c r="E265" s="14"/>
      <c r="F265" s="14"/>
      <c r="G265" s="21"/>
      <c r="H265" s="53"/>
      <c r="I265" s="7" t="str">
        <f t="shared" si="16"/>
        <v/>
      </c>
      <c r="J265" s="27" t="str">
        <f t="shared" ca="1" si="17"/>
        <v/>
      </c>
      <c r="K265" s="7" t="str">
        <f t="shared" si="18"/>
        <v/>
      </c>
      <c r="L265" s="13"/>
      <c r="M265" s="29" t="str">
        <f t="shared" si="19"/>
        <v/>
      </c>
    </row>
    <row r="266" spans="1:13" x14ac:dyDescent="0.35">
      <c r="A266" s="81"/>
      <c r="B266" s="13"/>
      <c r="C266" s="21"/>
      <c r="D266" s="14"/>
      <c r="E266" s="14"/>
      <c r="F266" s="14"/>
      <c r="G266" s="21"/>
      <c r="H266" s="53"/>
      <c r="I266" s="7" t="str">
        <f t="shared" si="16"/>
        <v/>
      </c>
      <c r="J266" s="27" t="str">
        <f t="shared" ca="1" si="17"/>
        <v/>
      </c>
      <c r="K266" s="7" t="str">
        <f t="shared" si="18"/>
        <v/>
      </c>
      <c r="L266" s="13"/>
      <c r="M266" s="29" t="str">
        <f t="shared" si="19"/>
        <v/>
      </c>
    </row>
    <row r="267" spans="1:13" x14ac:dyDescent="0.35">
      <c r="A267" s="81"/>
      <c r="B267" s="13"/>
      <c r="C267" s="21"/>
      <c r="D267" s="14"/>
      <c r="E267" s="14"/>
      <c r="F267" s="14"/>
      <c r="G267" s="21"/>
      <c r="H267" s="53"/>
      <c r="I267" s="7" t="str">
        <f t="shared" si="16"/>
        <v/>
      </c>
      <c r="J267" s="27" t="str">
        <f t="shared" ca="1" si="17"/>
        <v/>
      </c>
      <c r="K267" s="7" t="str">
        <f t="shared" si="18"/>
        <v/>
      </c>
      <c r="L267" s="13"/>
      <c r="M267" s="29" t="str">
        <f t="shared" si="19"/>
        <v/>
      </c>
    </row>
    <row r="268" spans="1:13" x14ac:dyDescent="0.35">
      <c r="A268" s="81"/>
      <c r="B268" s="13"/>
      <c r="C268" s="21"/>
      <c r="D268" s="14"/>
      <c r="E268" s="14"/>
      <c r="F268" s="14"/>
      <c r="G268" s="21"/>
      <c r="H268" s="53"/>
      <c r="I268" s="7" t="str">
        <f t="shared" si="16"/>
        <v/>
      </c>
      <c r="J268" s="27" t="str">
        <f t="shared" ca="1" si="17"/>
        <v/>
      </c>
      <c r="K268" s="7" t="str">
        <f t="shared" si="18"/>
        <v/>
      </c>
      <c r="L268" s="13"/>
      <c r="M268" s="29" t="str">
        <f t="shared" si="19"/>
        <v/>
      </c>
    </row>
    <row r="269" spans="1:13" x14ac:dyDescent="0.35">
      <c r="A269" s="81"/>
      <c r="B269" s="13"/>
      <c r="C269" s="21"/>
      <c r="D269" s="14"/>
      <c r="E269" s="14"/>
      <c r="F269" s="14"/>
      <c r="G269" s="21"/>
      <c r="H269" s="53"/>
      <c r="I269" s="7" t="str">
        <f t="shared" si="16"/>
        <v/>
      </c>
      <c r="J269" s="27" t="str">
        <f t="shared" ca="1" si="17"/>
        <v/>
      </c>
      <c r="K269" s="7" t="str">
        <f t="shared" si="18"/>
        <v/>
      </c>
      <c r="L269" s="13"/>
      <c r="M269" s="29" t="str">
        <f t="shared" si="19"/>
        <v/>
      </c>
    </row>
    <row r="270" spans="1:13" x14ac:dyDescent="0.35">
      <c r="A270" s="81"/>
      <c r="B270" s="13"/>
      <c r="C270" s="21"/>
      <c r="D270" s="14"/>
      <c r="E270" s="14"/>
      <c r="F270" s="14"/>
      <c r="G270" s="21"/>
      <c r="H270" s="53"/>
      <c r="I270" s="7" t="str">
        <f t="shared" si="16"/>
        <v/>
      </c>
      <c r="J270" s="27" t="str">
        <f t="shared" ca="1" si="17"/>
        <v/>
      </c>
      <c r="K270" s="7" t="str">
        <f t="shared" si="18"/>
        <v/>
      </c>
      <c r="L270" s="13"/>
      <c r="M270" s="29" t="str">
        <f t="shared" si="19"/>
        <v/>
      </c>
    </row>
    <row r="271" spans="1:13" x14ac:dyDescent="0.35">
      <c r="A271" s="81"/>
      <c r="B271" s="13"/>
      <c r="C271" s="21"/>
      <c r="D271" s="14"/>
      <c r="E271" s="14"/>
      <c r="F271" s="14"/>
      <c r="G271" s="21"/>
      <c r="H271" s="53"/>
      <c r="I271" s="7" t="str">
        <f t="shared" si="16"/>
        <v/>
      </c>
      <c r="J271" s="27" t="str">
        <f t="shared" ca="1" si="17"/>
        <v/>
      </c>
      <c r="K271" s="7" t="str">
        <f t="shared" si="18"/>
        <v/>
      </c>
      <c r="L271" s="13"/>
      <c r="M271" s="29" t="str">
        <f t="shared" si="19"/>
        <v/>
      </c>
    </row>
    <row r="272" spans="1:13" x14ac:dyDescent="0.35">
      <c r="A272" s="81"/>
      <c r="B272" s="13"/>
      <c r="C272" s="21"/>
      <c r="D272" s="14"/>
      <c r="E272" s="14"/>
      <c r="F272" s="14"/>
      <c r="G272" s="21"/>
      <c r="H272" s="53"/>
      <c r="I272" s="7" t="str">
        <f t="shared" si="16"/>
        <v/>
      </c>
      <c r="J272" s="27" t="str">
        <f t="shared" ca="1" si="17"/>
        <v/>
      </c>
      <c r="K272" s="7" t="str">
        <f t="shared" si="18"/>
        <v/>
      </c>
      <c r="L272" s="13"/>
      <c r="M272" s="29" t="str">
        <f t="shared" si="19"/>
        <v/>
      </c>
    </row>
    <row r="273" spans="1:13" x14ac:dyDescent="0.35">
      <c r="A273" s="81"/>
      <c r="B273" s="13"/>
      <c r="C273" s="21"/>
      <c r="D273" s="14"/>
      <c r="E273" s="14"/>
      <c r="F273" s="14"/>
      <c r="G273" s="21"/>
      <c r="H273" s="53"/>
      <c r="I273" s="7" t="str">
        <f t="shared" si="16"/>
        <v/>
      </c>
      <c r="J273" s="27" t="str">
        <f t="shared" ca="1" si="17"/>
        <v/>
      </c>
      <c r="K273" s="7" t="str">
        <f t="shared" si="18"/>
        <v/>
      </c>
      <c r="L273" s="13"/>
      <c r="M273" s="29" t="str">
        <f t="shared" si="19"/>
        <v/>
      </c>
    </row>
    <row r="274" spans="1:13" x14ac:dyDescent="0.35">
      <c r="A274" s="81"/>
      <c r="B274" s="13"/>
      <c r="C274" s="21"/>
      <c r="D274" s="14"/>
      <c r="E274" s="14"/>
      <c r="F274" s="14"/>
      <c r="G274" s="21"/>
      <c r="H274" s="53"/>
      <c r="I274" s="7" t="str">
        <f t="shared" si="16"/>
        <v/>
      </c>
      <c r="J274" s="27" t="str">
        <f t="shared" ca="1" si="17"/>
        <v/>
      </c>
      <c r="K274" s="7" t="str">
        <f t="shared" si="18"/>
        <v/>
      </c>
      <c r="L274" s="13"/>
      <c r="M274" s="29" t="str">
        <f t="shared" si="19"/>
        <v/>
      </c>
    </row>
    <row r="275" spans="1:13" x14ac:dyDescent="0.35">
      <c r="A275" s="81"/>
      <c r="B275" s="13"/>
      <c r="C275" s="21"/>
      <c r="D275" s="14"/>
      <c r="E275" s="14"/>
      <c r="F275" s="14"/>
      <c r="G275" s="21"/>
      <c r="H275" s="53"/>
      <c r="I275" s="7" t="str">
        <f t="shared" si="16"/>
        <v/>
      </c>
      <c r="J275" s="27" t="str">
        <f t="shared" ca="1" si="17"/>
        <v/>
      </c>
      <c r="K275" s="7" t="str">
        <f t="shared" si="18"/>
        <v/>
      </c>
      <c r="L275" s="13"/>
      <c r="M275" s="29" t="str">
        <f t="shared" si="19"/>
        <v/>
      </c>
    </row>
    <row r="276" spans="1:13" x14ac:dyDescent="0.35">
      <c r="A276" s="81"/>
      <c r="B276" s="13"/>
      <c r="C276" s="21"/>
      <c r="D276" s="14"/>
      <c r="E276" s="14"/>
      <c r="F276" s="14"/>
      <c r="G276" s="21"/>
      <c r="H276" s="53"/>
      <c r="I276" s="7" t="str">
        <f t="shared" si="16"/>
        <v/>
      </c>
      <c r="J276" s="27" t="str">
        <f t="shared" ca="1" si="17"/>
        <v/>
      </c>
      <c r="K276" s="7" t="str">
        <f t="shared" si="18"/>
        <v/>
      </c>
      <c r="L276" s="13"/>
      <c r="M276" s="29" t="str">
        <f t="shared" si="19"/>
        <v/>
      </c>
    </row>
    <row r="277" spans="1:13" x14ac:dyDescent="0.35">
      <c r="A277" s="81"/>
      <c r="B277" s="13"/>
      <c r="C277" s="21"/>
      <c r="D277" s="14"/>
      <c r="E277" s="14"/>
      <c r="F277" s="14"/>
      <c r="G277" s="21"/>
      <c r="H277" s="53"/>
      <c r="I277" s="7" t="str">
        <f t="shared" si="16"/>
        <v/>
      </c>
      <c r="J277" s="27" t="str">
        <f t="shared" ca="1" si="17"/>
        <v/>
      </c>
      <c r="K277" s="7" t="str">
        <f t="shared" si="18"/>
        <v/>
      </c>
      <c r="L277" s="13"/>
      <c r="M277" s="29" t="str">
        <f t="shared" si="19"/>
        <v/>
      </c>
    </row>
    <row r="278" spans="1:13" x14ac:dyDescent="0.35">
      <c r="A278" s="81"/>
      <c r="B278" s="13"/>
      <c r="C278" s="21"/>
      <c r="D278" s="14"/>
      <c r="E278" s="14"/>
      <c r="F278" s="14"/>
      <c r="G278" s="21"/>
      <c r="H278" s="53"/>
      <c r="I278" s="7" t="str">
        <f t="shared" si="16"/>
        <v/>
      </c>
      <c r="J278" s="27" t="str">
        <f t="shared" ca="1" si="17"/>
        <v/>
      </c>
      <c r="K278" s="7" t="str">
        <f t="shared" si="18"/>
        <v/>
      </c>
      <c r="L278" s="13"/>
      <c r="M278" s="29" t="str">
        <f t="shared" si="19"/>
        <v/>
      </c>
    </row>
    <row r="279" spans="1:13" x14ac:dyDescent="0.35">
      <c r="A279" s="81"/>
      <c r="B279" s="13"/>
      <c r="C279" s="21"/>
      <c r="D279" s="14"/>
      <c r="E279" s="14"/>
      <c r="F279" s="14"/>
      <c r="G279" s="21"/>
      <c r="H279" s="53"/>
      <c r="I279" s="7" t="str">
        <f t="shared" si="16"/>
        <v/>
      </c>
      <c r="J279" s="27" t="str">
        <f t="shared" ca="1" si="17"/>
        <v/>
      </c>
      <c r="K279" s="7" t="str">
        <f t="shared" si="18"/>
        <v/>
      </c>
      <c r="L279" s="13"/>
      <c r="M279" s="29" t="str">
        <f t="shared" si="19"/>
        <v/>
      </c>
    </row>
    <row r="280" spans="1:13" x14ac:dyDescent="0.35">
      <c r="A280" s="81"/>
      <c r="B280" s="13"/>
      <c r="C280" s="21"/>
      <c r="D280" s="14"/>
      <c r="E280" s="14"/>
      <c r="F280" s="14"/>
      <c r="G280" s="21"/>
      <c r="H280" s="53"/>
      <c r="I280" s="7" t="str">
        <f t="shared" si="16"/>
        <v/>
      </c>
      <c r="J280" s="27" t="str">
        <f t="shared" ca="1" si="17"/>
        <v/>
      </c>
      <c r="K280" s="7" t="str">
        <f t="shared" si="18"/>
        <v/>
      </c>
      <c r="L280" s="13"/>
      <c r="M280" s="29" t="str">
        <f t="shared" si="19"/>
        <v/>
      </c>
    </row>
    <row r="281" spans="1:13" x14ac:dyDescent="0.35">
      <c r="A281" s="81"/>
      <c r="B281" s="13"/>
      <c r="C281" s="21"/>
      <c r="D281" s="14"/>
      <c r="E281" s="14"/>
      <c r="F281" s="14"/>
      <c r="G281" s="21"/>
      <c r="H281" s="53"/>
      <c r="I281" s="7" t="str">
        <f t="shared" si="16"/>
        <v/>
      </c>
      <c r="J281" s="27" t="str">
        <f t="shared" ca="1" si="17"/>
        <v/>
      </c>
      <c r="K281" s="7" t="str">
        <f t="shared" si="18"/>
        <v/>
      </c>
      <c r="L281" s="13"/>
      <c r="M281" s="29" t="str">
        <f t="shared" si="19"/>
        <v/>
      </c>
    </row>
    <row r="282" spans="1:13" x14ac:dyDescent="0.35">
      <c r="A282" s="81"/>
      <c r="B282" s="13"/>
      <c r="C282" s="21"/>
      <c r="D282" s="14"/>
      <c r="E282" s="14"/>
      <c r="F282" s="14"/>
      <c r="G282" s="21"/>
      <c r="H282" s="53"/>
      <c r="I282" s="7" t="str">
        <f t="shared" si="16"/>
        <v/>
      </c>
      <c r="J282" s="27" t="str">
        <f t="shared" ca="1" si="17"/>
        <v/>
      </c>
      <c r="K282" s="7" t="str">
        <f t="shared" si="18"/>
        <v/>
      </c>
      <c r="L282" s="13"/>
      <c r="M282" s="29" t="str">
        <f t="shared" si="19"/>
        <v/>
      </c>
    </row>
    <row r="283" spans="1:13" x14ac:dyDescent="0.35">
      <c r="A283" s="81"/>
      <c r="B283" s="13"/>
      <c r="C283" s="21"/>
      <c r="D283" s="14"/>
      <c r="E283" s="14"/>
      <c r="F283" s="14"/>
      <c r="G283" s="21"/>
      <c r="H283" s="53"/>
      <c r="I283" s="7" t="str">
        <f t="shared" si="16"/>
        <v/>
      </c>
      <c r="J283" s="27" t="str">
        <f t="shared" ca="1" si="17"/>
        <v/>
      </c>
      <c r="K283" s="7" t="str">
        <f t="shared" si="18"/>
        <v/>
      </c>
      <c r="L283" s="13"/>
      <c r="M283" s="29" t="str">
        <f t="shared" si="19"/>
        <v/>
      </c>
    </row>
    <row r="284" spans="1:13" x14ac:dyDescent="0.35">
      <c r="A284" s="81"/>
      <c r="B284" s="13"/>
      <c r="C284" s="21"/>
      <c r="D284" s="14"/>
      <c r="E284" s="14"/>
      <c r="F284" s="14"/>
      <c r="G284" s="21"/>
      <c r="H284" s="53"/>
      <c r="I284" s="7" t="str">
        <f t="shared" si="16"/>
        <v/>
      </c>
      <c r="J284" s="27" t="str">
        <f t="shared" ca="1" si="17"/>
        <v/>
      </c>
      <c r="K284" s="7" t="str">
        <f t="shared" si="18"/>
        <v/>
      </c>
      <c r="L284" s="13"/>
      <c r="M284" s="29" t="str">
        <f t="shared" si="19"/>
        <v/>
      </c>
    </row>
    <row r="285" spans="1:13" x14ac:dyDescent="0.35">
      <c r="A285" s="81"/>
      <c r="B285" s="13"/>
      <c r="C285" s="21"/>
      <c r="D285" s="14"/>
      <c r="E285" s="14"/>
      <c r="F285" s="14"/>
      <c r="G285" s="21"/>
      <c r="H285" s="53"/>
      <c r="I285" s="7" t="str">
        <f t="shared" si="16"/>
        <v/>
      </c>
      <c r="J285" s="27" t="str">
        <f t="shared" ca="1" si="17"/>
        <v/>
      </c>
      <c r="K285" s="7" t="str">
        <f t="shared" si="18"/>
        <v/>
      </c>
      <c r="L285" s="13"/>
      <c r="M285" s="29" t="str">
        <f t="shared" si="19"/>
        <v/>
      </c>
    </row>
    <row r="286" spans="1:13" x14ac:dyDescent="0.35">
      <c r="A286" s="81"/>
      <c r="B286" s="13"/>
      <c r="C286" s="21"/>
      <c r="D286" s="14"/>
      <c r="E286" s="14"/>
      <c r="F286" s="14"/>
      <c r="G286" s="21"/>
      <c r="H286" s="53"/>
      <c r="I286" s="7" t="str">
        <f t="shared" si="16"/>
        <v/>
      </c>
      <c r="J286" s="27" t="str">
        <f t="shared" ca="1" si="17"/>
        <v/>
      </c>
      <c r="K286" s="7" t="str">
        <f t="shared" si="18"/>
        <v/>
      </c>
      <c r="L286" s="13"/>
      <c r="M286" s="29" t="str">
        <f t="shared" si="19"/>
        <v/>
      </c>
    </row>
    <row r="287" spans="1:13" x14ac:dyDescent="0.35">
      <c r="A287" s="81"/>
      <c r="B287" s="13"/>
      <c r="C287" s="21"/>
      <c r="D287" s="14"/>
      <c r="E287" s="14"/>
      <c r="F287" s="14"/>
      <c r="G287" s="21"/>
      <c r="H287" s="53"/>
      <c r="I287" s="7" t="str">
        <f t="shared" si="16"/>
        <v/>
      </c>
      <c r="J287" s="27" t="str">
        <f t="shared" ca="1" si="17"/>
        <v/>
      </c>
      <c r="K287" s="7" t="str">
        <f t="shared" si="18"/>
        <v/>
      </c>
      <c r="L287" s="13"/>
      <c r="M287" s="29" t="str">
        <f t="shared" si="19"/>
        <v/>
      </c>
    </row>
    <row r="288" spans="1:13" x14ac:dyDescent="0.35">
      <c r="A288" s="81"/>
      <c r="B288" s="13"/>
      <c r="C288" s="21"/>
      <c r="D288" s="14"/>
      <c r="E288" s="14"/>
      <c r="F288" s="14"/>
      <c r="G288" s="21"/>
      <c r="H288" s="53"/>
      <c r="I288" s="7" t="str">
        <f t="shared" si="16"/>
        <v/>
      </c>
      <c r="J288" s="27" t="str">
        <f t="shared" ca="1" si="17"/>
        <v/>
      </c>
      <c r="K288" s="7" t="str">
        <f t="shared" si="18"/>
        <v/>
      </c>
      <c r="L288" s="13"/>
      <c r="M288" s="29" t="str">
        <f t="shared" si="19"/>
        <v/>
      </c>
    </row>
    <row r="289" spans="1:13" x14ac:dyDescent="0.35">
      <c r="A289" s="81"/>
      <c r="B289" s="13"/>
      <c r="C289" s="21"/>
      <c r="D289" s="14"/>
      <c r="E289" s="14"/>
      <c r="F289" s="14"/>
      <c r="G289" s="21"/>
      <c r="H289" s="53"/>
      <c r="I289" s="7" t="str">
        <f t="shared" si="16"/>
        <v/>
      </c>
      <c r="J289" s="27" t="str">
        <f t="shared" ca="1" si="17"/>
        <v/>
      </c>
      <c r="K289" s="7" t="str">
        <f t="shared" si="18"/>
        <v/>
      </c>
      <c r="L289" s="13"/>
      <c r="M289" s="29" t="str">
        <f t="shared" si="19"/>
        <v/>
      </c>
    </row>
    <row r="290" spans="1:13" x14ac:dyDescent="0.35">
      <c r="A290" s="81"/>
      <c r="B290" s="13"/>
      <c r="C290" s="21"/>
      <c r="D290" s="14"/>
      <c r="E290" s="14"/>
      <c r="F290" s="14"/>
      <c r="G290" s="21"/>
      <c r="H290" s="53"/>
      <c r="I290" s="7" t="str">
        <f t="shared" si="16"/>
        <v/>
      </c>
      <c r="J290" s="27" t="str">
        <f t="shared" ca="1" si="17"/>
        <v/>
      </c>
      <c r="K290" s="7" t="str">
        <f t="shared" si="18"/>
        <v/>
      </c>
      <c r="L290" s="13"/>
      <c r="M290" s="29" t="str">
        <f t="shared" si="19"/>
        <v/>
      </c>
    </row>
    <row r="291" spans="1:13" x14ac:dyDescent="0.35">
      <c r="A291" s="81"/>
      <c r="B291" s="13"/>
      <c r="C291" s="21"/>
      <c r="D291" s="14"/>
      <c r="E291" s="14"/>
      <c r="F291" s="14"/>
      <c r="G291" s="21"/>
      <c r="H291" s="53"/>
      <c r="I291" s="7" t="str">
        <f t="shared" si="16"/>
        <v/>
      </c>
      <c r="J291" s="27" t="str">
        <f t="shared" ca="1" si="17"/>
        <v/>
      </c>
      <c r="K291" s="7" t="str">
        <f t="shared" si="18"/>
        <v/>
      </c>
      <c r="L291" s="13"/>
      <c r="M291" s="29" t="str">
        <f t="shared" si="19"/>
        <v/>
      </c>
    </row>
    <row r="292" spans="1:13" x14ac:dyDescent="0.35">
      <c r="A292" s="81"/>
      <c r="B292" s="13"/>
      <c r="C292" s="21"/>
      <c r="D292" s="14"/>
      <c r="E292" s="14"/>
      <c r="F292" s="14"/>
      <c r="G292" s="21"/>
      <c r="H292" s="53"/>
      <c r="I292" s="7" t="str">
        <f t="shared" si="16"/>
        <v/>
      </c>
      <c r="J292" s="27" t="str">
        <f t="shared" ca="1" si="17"/>
        <v/>
      </c>
      <c r="K292" s="7" t="str">
        <f t="shared" si="18"/>
        <v/>
      </c>
      <c r="L292" s="13"/>
      <c r="M292" s="29" t="str">
        <f t="shared" si="19"/>
        <v/>
      </c>
    </row>
    <row r="293" spans="1:13" x14ac:dyDescent="0.35">
      <c r="A293" s="81"/>
      <c r="B293" s="13"/>
      <c r="C293" s="21"/>
      <c r="D293" s="14"/>
      <c r="E293" s="14"/>
      <c r="F293" s="14"/>
      <c r="G293" s="21"/>
      <c r="H293" s="53"/>
      <c r="I293" s="7" t="str">
        <f t="shared" si="16"/>
        <v/>
      </c>
      <c r="J293" s="27" t="str">
        <f t="shared" ca="1" si="17"/>
        <v/>
      </c>
      <c r="K293" s="7" t="str">
        <f t="shared" si="18"/>
        <v/>
      </c>
      <c r="L293" s="13"/>
      <c r="M293" s="29" t="str">
        <f t="shared" si="19"/>
        <v/>
      </c>
    </row>
    <row r="294" spans="1:13" x14ac:dyDescent="0.35">
      <c r="A294" s="81"/>
      <c r="B294" s="13"/>
      <c r="C294" s="21"/>
      <c r="D294" s="14"/>
      <c r="E294" s="14"/>
      <c r="F294" s="14"/>
      <c r="G294" s="21"/>
      <c r="H294" s="53"/>
      <c r="I294" s="7" t="str">
        <f t="shared" si="16"/>
        <v/>
      </c>
      <c r="J294" s="27" t="str">
        <f t="shared" ca="1" si="17"/>
        <v/>
      </c>
      <c r="K294" s="7" t="str">
        <f t="shared" si="18"/>
        <v/>
      </c>
      <c r="L294" s="13"/>
      <c r="M294" s="29" t="str">
        <f t="shared" si="19"/>
        <v/>
      </c>
    </row>
    <row r="295" spans="1:13" x14ac:dyDescent="0.35">
      <c r="A295" s="81"/>
      <c r="B295" s="13"/>
      <c r="C295" s="21"/>
      <c r="D295" s="14"/>
      <c r="E295" s="14"/>
      <c r="F295" s="14"/>
      <c r="G295" s="21"/>
      <c r="H295" s="53"/>
      <c r="I295" s="7" t="str">
        <f t="shared" si="16"/>
        <v/>
      </c>
      <c r="J295" s="27" t="str">
        <f t="shared" ca="1" si="17"/>
        <v/>
      </c>
      <c r="K295" s="7" t="str">
        <f t="shared" si="18"/>
        <v/>
      </c>
      <c r="L295" s="13"/>
      <c r="M295" s="29" t="str">
        <f t="shared" si="19"/>
        <v/>
      </c>
    </row>
    <row r="296" spans="1:13" x14ac:dyDescent="0.35">
      <c r="A296" s="81"/>
      <c r="B296" s="13"/>
      <c r="C296" s="21"/>
      <c r="D296" s="14"/>
      <c r="E296" s="14"/>
      <c r="F296" s="14"/>
      <c r="G296" s="21"/>
      <c r="H296" s="53"/>
      <c r="I296" s="7" t="str">
        <f t="shared" si="16"/>
        <v/>
      </c>
      <c r="J296" s="27" t="str">
        <f t="shared" ca="1" si="17"/>
        <v/>
      </c>
      <c r="K296" s="7" t="str">
        <f t="shared" si="18"/>
        <v/>
      </c>
      <c r="L296" s="13"/>
      <c r="M296" s="29" t="str">
        <f t="shared" si="19"/>
        <v/>
      </c>
    </row>
    <row r="297" spans="1:13" x14ac:dyDescent="0.35">
      <c r="A297" s="81"/>
      <c r="B297" s="13"/>
      <c r="C297" s="21"/>
      <c r="D297" s="14"/>
      <c r="E297" s="14"/>
      <c r="F297" s="14"/>
      <c r="G297" s="21"/>
      <c r="H297" s="53"/>
      <c r="I297" s="7" t="str">
        <f t="shared" si="16"/>
        <v/>
      </c>
      <c r="J297" s="27" t="str">
        <f t="shared" ca="1" si="17"/>
        <v/>
      </c>
      <c r="K297" s="7" t="str">
        <f t="shared" si="18"/>
        <v/>
      </c>
      <c r="L297" s="13"/>
      <c r="M297" s="29" t="str">
        <f t="shared" si="19"/>
        <v/>
      </c>
    </row>
    <row r="298" spans="1:13" x14ac:dyDescent="0.35">
      <c r="A298" s="81"/>
      <c r="B298" s="13"/>
      <c r="C298" s="21"/>
      <c r="D298" s="14"/>
      <c r="E298" s="14"/>
      <c r="F298" s="14"/>
      <c r="G298" s="21"/>
      <c r="H298" s="53"/>
      <c r="I298" s="7" t="str">
        <f t="shared" si="16"/>
        <v/>
      </c>
      <c r="J298" s="27" t="str">
        <f t="shared" ca="1" si="17"/>
        <v/>
      </c>
      <c r="K298" s="7" t="str">
        <f t="shared" si="18"/>
        <v/>
      </c>
      <c r="L298" s="13"/>
      <c r="M298" s="29" t="str">
        <f t="shared" si="19"/>
        <v/>
      </c>
    </row>
    <row r="299" spans="1:13" x14ac:dyDescent="0.35">
      <c r="A299" s="81"/>
      <c r="B299" s="13"/>
      <c r="C299" s="21"/>
      <c r="D299" s="14"/>
      <c r="E299" s="14"/>
      <c r="F299" s="14"/>
      <c r="G299" s="21"/>
      <c r="H299" s="53"/>
      <c r="I299" s="7" t="str">
        <f t="shared" si="16"/>
        <v/>
      </c>
      <c r="J299" s="27" t="str">
        <f t="shared" ca="1" si="17"/>
        <v/>
      </c>
      <c r="K299" s="7" t="str">
        <f t="shared" si="18"/>
        <v/>
      </c>
      <c r="L299" s="13"/>
      <c r="M299" s="29" t="str">
        <f t="shared" si="19"/>
        <v/>
      </c>
    </row>
    <row r="300" spans="1:13" x14ac:dyDescent="0.35">
      <c r="A300" s="81"/>
      <c r="B300" s="13"/>
      <c r="C300" s="21"/>
      <c r="D300" s="14"/>
      <c r="E300" s="14"/>
      <c r="F300" s="14"/>
      <c r="G300" s="21"/>
      <c r="H300" s="53"/>
      <c r="I300" s="7" t="str">
        <f t="shared" si="16"/>
        <v/>
      </c>
      <c r="J300" s="27" t="str">
        <f t="shared" ca="1" si="17"/>
        <v/>
      </c>
      <c r="K300" s="7" t="str">
        <f t="shared" si="18"/>
        <v/>
      </c>
      <c r="L300" s="13"/>
      <c r="M300" s="29" t="str">
        <f t="shared" si="19"/>
        <v/>
      </c>
    </row>
    <row r="301" spans="1:13" x14ac:dyDescent="0.35">
      <c r="A301" s="81"/>
      <c r="B301" s="13"/>
      <c r="C301" s="21"/>
      <c r="D301" s="14"/>
      <c r="E301" s="14"/>
      <c r="F301" s="14"/>
      <c r="G301" s="21"/>
      <c r="H301" s="53"/>
      <c r="I301" s="7" t="str">
        <f t="shared" si="16"/>
        <v/>
      </c>
      <c r="J301" s="27" t="str">
        <f t="shared" ca="1" si="17"/>
        <v/>
      </c>
      <c r="K301" s="7" t="str">
        <f t="shared" si="18"/>
        <v/>
      </c>
      <c r="L301" s="13"/>
      <c r="M301" s="29" t="str">
        <f t="shared" si="19"/>
        <v/>
      </c>
    </row>
    <row r="302" spans="1:13" x14ac:dyDescent="0.35">
      <c r="A302" s="81"/>
      <c r="B302" s="13"/>
      <c r="C302" s="21"/>
      <c r="D302" s="14"/>
      <c r="E302" s="14"/>
      <c r="F302" s="14"/>
      <c r="G302" s="21"/>
      <c r="H302" s="53"/>
      <c r="I302" s="7" t="str">
        <f t="shared" si="16"/>
        <v/>
      </c>
      <c r="J302" s="27" t="str">
        <f t="shared" ca="1" si="17"/>
        <v/>
      </c>
      <c r="K302" s="7" t="str">
        <f t="shared" si="18"/>
        <v/>
      </c>
      <c r="L302" s="13"/>
      <c r="M302" s="29" t="str">
        <f t="shared" si="19"/>
        <v/>
      </c>
    </row>
    <row r="303" spans="1:13" x14ac:dyDescent="0.35">
      <c r="A303" s="81"/>
      <c r="B303" s="13"/>
      <c r="C303" s="21"/>
      <c r="D303" s="14"/>
      <c r="E303" s="14"/>
      <c r="F303" s="14"/>
      <c r="G303" s="21"/>
      <c r="H303" s="53"/>
      <c r="I303" s="7" t="str">
        <f t="shared" si="16"/>
        <v/>
      </c>
      <c r="J303" s="27" t="str">
        <f t="shared" ca="1" si="17"/>
        <v/>
      </c>
      <c r="K303" s="7" t="str">
        <f t="shared" si="18"/>
        <v/>
      </c>
      <c r="L303" s="13"/>
      <c r="M303" s="29" t="str">
        <f t="shared" si="19"/>
        <v/>
      </c>
    </row>
    <row r="304" spans="1:13" x14ac:dyDescent="0.35">
      <c r="A304" s="81"/>
      <c r="B304" s="13"/>
      <c r="C304" s="21"/>
      <c r="D304" s="14"/>
      <c r="E304" s="14"/>
      <c r="F304" s="14"/>
      <c r="G304" s="21"/>
      <c r="H304" s="53"/>
      <c r="I304" s="7" t="str">
        <f t="shared" si="16"/>
        <v/>
      </c>
      <c r="J304" s="27" t="str">
        <f t="shared" ca="1" si="17"/>
        <v/>
      </c>
      <c r="K304" s="7" t="str">
        <f t="shared" si="18"/>
        <v/>
      </c>
      <c r="L304" s="13"/>
      <c r="M304" s="29" t="str">
        <f t="shared" si="19"/>
        <v/>
      </c>
    </row>
    <row r="305" spans="1:13" x14ac:dyDescent="0.35">
      <c r="A305" s="81"/>
      <c r="B305" s="13"/>
      <c r="C305" s="21"/>
      <c r="D305" s="14"/>
      <c r="E305" s="14"/>
      <c r="F305" s="14"/>
      <c r="G305" s="21"/>
      <c r="H305" s="53"/>
      <c r="I305" s="7" t="str">
        <f t="shared" si="16"/>
        <v/>
      </c>
      <c r="J305" s="27" t="str">
        <f t="shared" ca="1" si="17"/>
        <v/>
      </c>
      <c r="K305" s="7" t="str">
        <f t="shared" si="18"/>
        <v/>
      </c>
      <c r="L305" s="13"/>
      <c r="M305" s="29" t="str">
        <f t="shared" si="19"/>
        <v/>
      </c>
    </row>
    <row r="306" spans="1:13" x14ac:dyDescent="0.35">
      <c r="A306" s="81"/>
      <c r="B306" s="13"/>
      <c r="C306" s="21"/>
      <c r="D306" s="14"/>
      <c r="E306" s="14"/>
      <c r="F306" s="14"/>
      <c r="G306" s="21"/>
      <c r="H306" s="53"/>
      <c r="I306" s="7" t="str">
        <f t="shared" si="16"/>
        <v/>
      </c>
      <c r="J306" s="27" t="str">
        <f t="shared" ca="1" si="17"/>
        <v/>
      </c>
      <c r="K306" s="7" t="str">
        <f t="shared" si="18"/>
        <v/>
      </c>
      <c r="L306" s="13"/>
      <c r="M306" s="29" t="str">
        <f t="shared" si="19"/>
        <v/>
      </c>
    </row>
    <row r="307" spans="1:13" x14ac:dyDescent="0.35">
      <c r="A307" s="81"/>
      <c r="B307" s="13"/>
      <c r="C307" s="21"/>
      <c r="D307" s="14"/>
      <c r="E307" s="14"/>
      <c r="F307" s="14"/>
      <c r="G307" s="21"/>
      <c r="H307" s="53"/>
      <c r="I307" s="7" t="str">
        <f t="shared" si="16"/>
        <v/>
      </c>
      <c r="J307" s="27" t="str">
        <f t="shared" ca="1" si="17"/>
        <v/>
      </c>
      <c r="K307" s="7" t="str">
        <f t="shared" si="18"/>
        <v/>
      </c>
      <c r="L307" s="13"/>
      <c r="M307" s="29" t="str">
        <f t="shared" si="19"/>
        <v/>
      </c>
    </row>
    <row r="308" spans="1:13" x14ac:dyDescent="0.35">
      <c r="A308" s="81"/>
      <c r="B308" s="13"/>
      <c r="C308" s="21"/>
      <c r="D308" s="14"/>
      <c r="E308" s="14"/>
      <c r="F308" s="14"/>
      <c r="G308" s="21"/>
      <c r="H308" s="53"/>
      <c r="I308" s="7" t="str">
        <f t="shared" si="16"/>
        <v/>
      </c>
      <c r="J308" s="27" t="str">
        <f t="shared" ca="1" si="17"/>
        <v/>
      </c>
      <c r="K308" s="7" t="str">
        <f t="shared" si="18"/>
        <v/>
      </c>
      <c r="L308" s="13"/>
      <c r="M308" s="29" t="str">
        <f t="shared" si="19"/>
        <v/>
      </c>
    </row>
    <row r="309" spans="1:13" x14ac:dyDescent="0.35">
      <c r="A309" s="81"/>
      <c r="B309" s="13"/>
      <c r="C309" s="21"/>
      <c r="D309" s="14"/>
      <c r="E309" s="14"/>
      <c r="F309" s="14"/>
      <c r="G309" s="21"/>
      <c r="H309" s="53"/>
      <c r="I309" s="7" t="str">
        <f t="shared" si="16"/>
        <v/>
      </c>
      <c r="J309" s="27" t="str">
        <f t="shared" ca="1" si="17"/>
        <v/>
      </c>
      <c r="K309" s="7" t="str">
        <f t="shared" si="18"/>
        <v/>
      </c>
      <c r="L309" s="13"/>
      <c r="M309" s="29" t="str">
        <f t="shared" si="19"/>
        <v/>
      </c>
    </row>
    <row r="310" spans="1:13" x14ac:dyDescent="0.35">
      <c r="A310" s="81"/>
      <c r="B310" s="13"/>
      <c r="C310" s="21"/>
      <c r="D310" s="14"/>
      <c r="E310" s="14"/>
      <c r="F310" s="14"/>
      <c r="G310" s="21"/>
      <c r="H310" s="53"/>
      <c r="I310" s="7" t="str">
        <f t="shared" si="16"/>
        <v/>
      </c>
      <c r="J310" s="27" t="str">
        <f t="shared" ca="1" si="17"/>
        <v/>
      </c>
      <c r="K310" s="7" t="str">
        <f t="shared" si="18"/>
        <v/>
      </c>
      <c r="L310" s="13"/>
      <c r="M310" s="29" t="str">
        <f t="shared" si="19"/>
        <v/>
      </c>
    </row>
    <row r="311" spans="1:13" x14ac:dyDescent="0.35">
      <c r="A311" s="81"/>
      <c r="B311" s="13"/>
      <c r="C311" s="21"/>
      <c r="D311" s="14"/>
      <c r="E311" s="14"/>
      <c r="F311" s="14"/>
      <c r="G311" s="21"/>
      <c r="H311" s="53"/>
      <c r="I311" s="7" t="str">
        <f t="shared" si="16"/>
        <v/>
      </c>
      <c r="J311" s="27" t="str">
        <f t="shared" ca="1" si="17"/>
        <v/>
      </c>
      <c r="K311" s="7" t="str">
        <f t="shared" si="18"/>
        <v/>
      </c>
      <c r="L311" s="13"/>
      <c r="M311" s="29" t="str">
        <f t="shared" si="19"/>
        <v/>
      </c>
    </row>
    <row r="312" spans="1:13" x14ac:dyDescent="0.35">
      <c r="A312" s="81"/>
      <c r="B312" s="13"/>
      <c r="C312" s="21"/>
      <c r="D312" s="14"/>
      <c r="E312" s="14"/>
      <c r="F312" s="14"/>
      <c r="G312" s="21"/>
      <c r="H312" s="53"/>
      <c r="I312" s="7" t="str">
        <f t="shared" si="16"/>
        <v/>
      </c>
      <c r="J312" s="27" t="str">
        <f t="shared" ca="1" si="17"/>
        <v/>
      </c>
      <c r="K312" s="7" t="str">
        <f t="shared" si="18"/>
        <v/>
      </c>
      <c r="L312" s="13"/>
      <c r="M312" s="29" t="str">
        <f t="shared" si="19"/>
        <v/>
      </c>
    </row>
    <row r="313" spans="1:13" x14ac:dyDescent="0.35">
      <c r="A313" s="81"/>
      <c r="B313" s="13"/>
      <c r="C313" s="21"/>
      <c r="D313" s="14"/>
      <c r="E313" s="14"/>
      <c r="F313" s="14"/>
      <c r="G313" s="21"/>
      <c r="H313" s="53"/>
      <c r="I313" s="7" t="str">
        <f t="shared" si="16"/>
        <v/>
      </c>
      <c r="J313" s="27" t="str">
        <f t="shared" ca="1" si="17"/>
        <v/>
      </c>
      <c r="K313" s="7" t="str">
        <f t="shared" si="18"/>
        <v/>
      </c>
      <c r="L313" s="13"/>
      <c r="M313" s="29" t="str">
        <f t="shared" si="19"/>
        <v/>
      </c>
    </row>
    <row r="314" spans="1:13" x14ac:dyDescent="0.35">
      <c r="A314" s="81"/>
      <c r="B314" s="13"/>
      <c r="C314" s="21"/>
      <c r="D314" s="14"/>
      <c r="E314" s="14"/>
      <c r="F314" s="14"/>
      <c r="G314" s="21"/>
      <c r="H314" s="53"/>
      <c r="I314" s="7" t="str">
        <f t="shared" si="16"/>
        <v/>
      </c>
      <c r="J314" s="27" t="str">
        <f t="shared" ca="1" si="17"/>
        <v/>
      </c>
      <c r="K314" s="7" t="str">
        <f t="shared" si="18"/>
        <v/>
      </c>
      <c r="L314" s="13"/>
      <c r="M314" s="29" t="str">
        <f t="shared" si="19"/>
        <v/>
      </c>
    </row>
    <row r="315" spans="1:13" x14ac:dyDescent="0.35">
      <c r="A315" s="81"/>
      <c r="B315" s="13"/>
      <c r="C315" s="21"/>
      <c r="D315" s="14"/>
      <c r="E315" s="14"/>
      <c r="F315" s="14"/>
      <c r="G315" s="21"/>
      <c r="H315" s="53"/>
      <c r="I315" s="7" t="str">
        <f t="shared" si="16"/>
        <v/>
      </c>
      <c r="J315" s="27" t="str">
        <f t="shared" ca="1" si="17"/>
        <v/>
      </c>
      <c r="K315" s="7" t="str">
        <f t="shared" si="18"/>
        <v/>
      </c>
      <c r="L315" s="13"/>
      <c r="M315" s="29" t="str">
        <f t="shared" si="19"/>
        <v/>
      </c>
    </row>
    <row r="316" spans="1:13" x14ac:dyDescent="0.35">
      <c r="A316" s="81"/>
      <c r="B316" s="13"/>
      <c r="C316" s="21"/>
      <c r="D316" s="14"/>
      <c r="E316" s="14"/>
      <c r="F316" s="14"/>
      <c r="G316" s="21"/>
      <c r="H316" s="53"/>
      <c r="I316" s="7" t="str">
        <f t="shared" si="16"/>
        <v/>
      </c>
      <c r="J316" s="27" t="str">
        <f t="shared" ca="1" si="17"/>
        <v/>
      </c>
      <c r="K316" s="7" t="str">
        <f t="shared" si="18"/>
        <v/>
      </c>
      <c r="L316" s="13"/>
      <c r="M316" s="29" t="str">
        <f t="shared" si="19"/>
        <v/>
      </c>
    </row>
    <row r="317" spans="1:13" x14ac:dyDescent="0.35">
      <c r="A317" s="81"/>
      <c r="B317" s="13"/>
      <c r="C317" s="21"/>
      <c r="D317" s="14"/>
      <c r="E317" s="14"/>
      <c r="F317" s="14"/>
      <c r="G317" s="21"/>
      <c r="H317" s="53"/>
      <c r="I317" s="7" t="str">
        <f t="shared" si="16"/>
        <v/>
      </c>
      <c r="J317" s="27" t="str">
        <f t="shared" ca="1" si="17"/>
        <v/>
      </c>
      <c r="K317" s="7" t="str">
        <f t="shared" si="18"/>
        <v/>
      </c>
      <c r="L317" s="13"/>
      <c r="M317" s="29" t="str">
        <f t="shared" si="19"/>
        <v/>
      </c>
    </row>
    <row r="318" spans="1:13" x14ac:dyDescent="0.35">
      <c r="A318" s="81"/>
      <c r="B318" s="13"/>
      <c r="C318" s="21"/>
      <c r="D318" s="14"/>
      <c r="E318" s="14"/>
      <c r="F318" s="14"/>
      <c r="G318" s="21"/>
      <c r="H318" s="53"/>
      <c r="I318" s="7" t="str">
        <f t="shared" si="16"/>
        <v/>
      </c>
      <c r="J318" s="27" t="str">
        <f t="shared" ca="1" si="17"/>
        <v/>
      </c>
      <c r="K318" s="7" t="str">
        <f t="shared" si="18"/>
        <v/>
      </c>
      <c r="L318" s="13"/>
      <c r="M318" s="29" t="str">
        <f t="shared" si="19"/>
        <v/>
      </c>
    </row>
    <row r="319" spans="1:13" x14ac:dyDescent="0.35">
      <c r="A319" s="81"/>
      <c r="B319" s="13"/>
      <c r="C319" s="21"/>
      <c r="D319" s="14"/>
      <c r="E319" s="14"/>
      <c r="F319" s="14"/>
      <c r="G319" s="21"/>
      <c r="H319" s="53"/>
      <c r="I319" s="7" t="str">
        <f t="shared" si="16"/>
        <v/>
      </c>
      <c r="J319" s="27" t="str">
        <f t="shared" ca="1" si="17"/>
        <v/>
      </c>
      <c r="K319" s="7" t="str">
        <f t="shared" si="18"/>
        <v/>
      </c>
      <c r="L319" s="13"/>
      <c r="M319" s="29" t="str">
        <f t="shared" si="19"/>
        <v/>
      </c>
    </row>
    <row r="320" spans="1:13" x14ac:dyDescent="0.35">
      <c r="A320" s="81"/>
      <c r="B320" s="13"/>
      <c r="C320" s="21"/>
      <c r="D320" s="14"/>
      <c r="E320" s="14"/>
      <c r="F320" s="14"/>
      <c r="G320" s="21"/>
      <c r="H320" s="53"/>
      <c r="I320" s="7" t="str">
        <f t="shared" si="16"/>
        <v/>
      </c>
      <c r="J320" s="27" t="str">
        <f t="shared" ca="1" si="17"/>
        <v/>
      </c>
      <c r="K320" s="7" t="str">
        <f t="shared" si="18"/>
        <v/>
      </c>
      <c r="L320" s="13"/>
      <c r="M320" s="29" t="str">
        <f t="shared" si="19"/>
        <v/>
      </c>
    </row>
    <row r="321" spans="1:13" x14ac:dyDescent="0.35">
      <c r="A321" s="81"/>
      <c r="B321" s="13"/>
      <c r="C321" s="21"/>
      <c r="D321" s="14"/>
      <c r="E321" s="14"/>
      <c r="F321" s="14"/>
      <c r="G321" s="21"/>
      <c r="H321" s="53"/>
      <c r="I321" s="7" t="str">
        <f t="shared" si="16"/>
        <v/>
      </c>
      <c r="J321" s="27" t="str">
        <f t="shared" ca="1" si="17"/>
        <v/>
      </c>
      <c r="K321" s="7" t="str">
        <f t="shared" si="18"/>
        <v/>
      </c>
      <c r="L321" s="13"/>
      <c r="M321" s="29" t="str">
        <f t="shared" si="19"/>
        <v/>
      </c>
    </row>
    <row r="322" spans="1:13" x14ac:dyDescent="0.35">
      <c r="A322" s="81"/>
      <c r="B322" s="13"/>
      <c r="C322" s="21"/>
      <c r="D322" s="14"/>
      <c r="E322" s="14"/>
      <c r="F322" s="14"/>
      <c r="G322" s="21"/>
      <c r="H322" s="53"/>
      <c r="I322" s="7" t="str">
        <f t="shared" si="16"/>
        <v/>
      </c>
      <c r="J322" s="27" t="str">
        <f t="shared" ca="1" si="17"/>
        <v/>
      </c>
      <c r="K322" s="7" t="str">
        <f t="shared" si="18"/>
        <v/>
      </c>
      <c r="L322" s="13"/>
      <c r="M322" s="29" t="str">
        <f t="shared" si="19"/>
        <v/>
      </c>
    </row>
    <row r="323" spans="1:13" x14ac:dyDescent="0.35">
      <c r="A323" s="81"/>
      <c r="B323" s="13"/>
      <c r="C323" s="21"/>
      <c r="D323" s="14"/>
      <c r="E323" s="14"/>
      <c r="F323" s="14"/>
      <c r="G323" s="21"/>
      <c r="H323" s="53"/>
      <c r="I323" s="7" t="str">
        <f t="shared" ref="I323:I386" si="20">IF($A323="","",IF($F323&lt;&gt;"","Envoyé DHL",IF($E323&lt;&gt;"","Reçu (à envoyer)",IF($D323&lt;&gt;"","Demandé (en attente)","À demander"))))</f>
        <v/>
      </c>
      <c r="J323" s="27" t="str">
        <f t="shared" ref="J323:J386" ca="1" si="21">IF(AND($A323&lt;&gt;"",$D323&lt;&gt;"",$E323=""),TODAY()-$D323,"")</f>
        <v/>
      </c>
      <c r="K323" s="7" t="str">
        <f t="shared" ref="K323:K386" si="22">IF($A323="","",IF(AND($J323&lt;&gt;"",N($J323)&gt;P_AlerteDoc),"Attente &gt; "&amp;P_AlerteDoc&amp;" jours",IF(AND($E323&lt;&gt;"",$F323=""),"Reçu : à envoyer par DHL","")))</f>
        <v/>
      </c>
      <c r="L323" s="13"/>
      <c r="M323" s="29" t="str">
        <f t="shared" ref="M323:M386" si="23">IF($K323&lt;&gt;"",1,"")</f>
        <v/>
      </c>
    </row>
    <row r="324" spans="1:13" x14ac:dyDescent="0.35">
      <c r="A324" s="81"/>
      <c r="B324" s="13"/>
      <c r="C324" s="21"/>
      <c r="D324" s="14"/>
      <c r="E324" s="14"/>
      <c r="F324" s="14"/>
      <c r="G324" s="21"/>
      <c r="H324" s="53"/>
      <c r="I324" s="7" t="str">
        <f t="shared" si="20"/>
        <v/>
      </c>
      <c r="J324" s="27" t="str">
        <f t="shared" ca="1" si="21"/>
        <v/>
      </c>
      <c r="K324" s="7" t="str">
        <f t="shared" si="22"/>
        <v/>
      </c>
      <c r="L324" s="13"/>
      <c r="M324" s="29" t="str">
        <f t="shared" si="23"/>
        <v/>
      </c>
    </row>
    <row r="325" spans="1:13" x14ac:dyDescent="0.35">
      <c r="A325" s="81"/>
      <c r="B325" s="13"/>
      <c r="C325" s="21"/>
      <c r="D325" s="14"/>
      <c r="E325" s="14"/>
      <c r="F325" s="14"/>
      <c r="G325" s="21"/>
      <c r="H325" s="53"/>
      <c r="I325" s="7" t="str">
        <f t="shared" si="20"/>
        <v/>
      </c>
      <c r="J325" s="27" t="str">
        <f t="shared" ca="1" si="21"/>
        <v/>
      </c>
      <c r="K325" s="7" t="str">
        <f t="shared" si="22"/>
        <v/>
      </c>
      <c r="L325" s="13"/>
      <c r="M325" s="29" t="str">
        <f t="shared" si="23"/>
        <v/>
      </c>
    </row>
    <row r="326" spans="1:13" x14ac:dyDescent="0.35">
      <c r="A326" s="81"/>
      <c r="B326" s="13"/>
      <c r="C326" s="21"/>
      <c r="D326" s="14"/>
      <c r="E326" s="14"/>
      <c r="F326" s="14"/>
      <c r="G326" s="21"/>
      <c r="H326" s="53"/>
      <c r="I326" s="7" t="str">
        <f t="shared" si="20"/>
        <v/>
      </c>
      <c r="J326" s="27" t="str">
        <f t="shared" ca="1" si="21"/>
        <v/>
      </c>
      <c r="K326" s="7" t="str">
        <f t="shared" si="22"/>
        <v/>
      </c>
      <c r="L326" s="13"/>
      <c r="M326" s="29" t="str">
        <f t="shared" si="23"/>
        <v/>
      </c>
    </row>
    <row r="327" spans="1:13" x14ac:dyDescent="0.35">
      <c r="A327" s="81"/>
      <c r="B327" s="13"/>
      <c r="C327" s="21"/>
      <c r="D327" s="14"/>
      <c r="E327" s="14"/>
      <c r="F327" s="14"/>
      <c r="G327" s="21"/>
      <c r="H327" s="53"/>
      <c r="I327" s="7" t="str">
        <f t="shared" si="20"/>
        <v/>
      </c>
      <c r="J327" s="27" t="str">
        <f t="shared" ca="1" si="21"/>
        <v/>
      </c>
      <c r="K327" s="7" t="str">
        <f t="shared" si="22"/>
        <v/>
      </c>
      <c r="L327" s="13"/>
      <c r="M327" s="29" t="str">
        <f t="shared" si="23"/>
        <v/>
      </c>
    </row>
    <row r="328" spans="1:13" x14ac:dyDescent="0.35">
      <c r="A328" s="81"/>
      <c r="B328" s="13"/>
      <c r="C328" s="21"/>
      <c r="D328" s="14"/>
      <c r="E328" s="14"/>
      <c r="F328" s="14"/>
      <c r="G328" s="21"/>
      <c r="H328" s="53"/>
      <c r="I328" s="7" t="str">
        <f t="shared" si="20"/>
        <v/>
      </c>
      <c r="J328" s="27" t="str">
        <f t="shared" ca="1" si="21"/>
        <v/>
      </c>
      <c r="K328" s="7" t="str">
        <f t="shared" si="22"/>
        <v/>
      </c>
      <c r="L328" s="13"/>
      <c r="M328" s="29" t="str">
        <f t="shared" si="23"/>
        <v/>
      </c>
    </row>
    <row r="329" spans="1:13" x14ac:dyDescent="0.35">
      <c r="A329" s="81"/>
      <c r="B329" s="13"/>
      <c r="C329" s="21"/>
      <c r="D329" s="14"/>
      <c r="E329" s="14"/>
      <c r="F329" s="14"/>
      <c r="G329" s="21"/>
      <c r="H329" s="53"/>
      <c r="I329" s="7" t="str">
        <f t="shared" si="20"/>
        <v/>
      </c>
      <c r="J329" s="27" t="str">
        <f t="shared" ca="1" si="21"/>
        <v/>
      </c>
      <c r="K329" s="7" t="str">
        <f t="shared" si="22"/>
        <v/>
      </c>
      <c r="L329" s="13"/>
      <c r="M329" s="29" t="str">
        <f t="shared" si="23"/>
        <v/>
      </c>
    </row>
    <row r="330" spans="1:13" x14ac:dyDescent="0.35">
      <c r="A330" s="81"/>
      <c r="B330" s="13"/>
      <c r="C330" s="21"/>
      <c r="D330" s="14"/>
      <c r="E330" s="14"/>
      <c r="F330" s="14"/>
      <c r="G330" s="21"/>
      <c r="H330" s="53"/>
      <c r="I330" s="7" t="str">
        <f t="shared" si="20"/>
        <v/>
      </c>
      <c r="J330" s="27" t="str">
        <f t="shared" ca="1" si="21"/>
        <v/>
      </c>
      <c r="K330" s="7" t="str">
        <f t="shared" si="22"/>
        <v/>
      </c>
      <c r="L330" s="13"/>
      <c r="M330" s="29" t="str">
        <f t="shared" si="23"/>
        <v/>
      </c>
    </row>
    <row r="331" spans="1:13" x14ac:dyDescent="0.35">
      <c r="A331" s="81"/>
      <c r="B331" s="13"/>
      <c r="C331" s="21"/>
      <c r="D331" s="14"/>
      <c r="E331" s="14"/>
      <c r="F331" s="14"/>
      <c r="G331" s="21"/>
      <c r="H331" s="53"/>
      <c r="I331" s="7" t="str">
        <f t="shared" si="20"/>
        <v/>
      </c>
      <c r="J331" s="27" t="str">
        <f t="shared" ca="1" si="21"/>
        <v/>
      </c>
      <c r="K331" s="7" t="str">
        <f t="shared" si="22"/>
        <v/>
      </c>
      <c r="L331" s="13"/>
      <c r="M331" s="29" t="str">
        <f t="shared" si="23"/>
        <v/>
      </c>
    </row>
    <row r="332" spans="1:13" x14ac:dyDescent="0.35">
      <c r="A332" s="81"/>
      <c r="B332" s="13"/>
      <c r="C332" s="21"/>
      <c r="D332" s="14"/>
      <c r="E332" s="14"/>
      <c r="F332" s="14"/>
      <c r="G332" s="21"/>
      <c r="H332" s="53"/>
      <c r="I332" s="7" t="str">
        <f t="shared" si="20"/>
        <v/>
      </c>
      <c r="J332" s="27" t="str">
        <f t="shared" ca="1" si="21"/>
        <v/>
      </c>
      <c r="K332" s="7" t="str">
        <f t="shared" si="22"/>
        <v/>
      </c>
      <c r="L332" s="13"/>
      <c r="M332" s="29" t="str">
        <f t="shared" si="23"/>
        <v/>
      </c>
    </row>
    <row r="333" spans="1:13" x14ac:dyDescent="0.35">
      <c r="A333" s="81"/>
      <c r="B333" s="13"/>
      <c r="C333" s="21"/>
      <c r="D333" s="14"/>
      <c r="E333" s="14"/>
      <c r="F333" s="14"/>
      <c r="G333" s="21"/>
      <c r="H333" s="53"/>
      <c r="I333" s="7" t="str">
        <f t="shared" si="20"/>
        <v/>
      </c>
      <c r="J333" s="27" t="str">
        <f t="shared" ca="1" si="21"/>
        <v/>
      </c>
      <c r="K333" s="7" t="str">
        <f t="shared" si="22"/>
        <v/>
      </c>
      <c r="L333" s="13"/>
      <c r="M333" s="29" t="str">
        <f t="shared" si="23"/>
        <v/>
      </c>
    </row>
    <row r="334" spans="1:13" x14ac:dyDescent="0.35">
      <c r="A334" s="81"/>
      <c r="B334" s="13"/>
      <c r="C334" s="21"/>
      <c r="D334" s="14"/>
      <c r="E334" s="14"/>
      <c r="F334" s="14"/>
      <c r="G334" s="21"/>
      <c r="H334" s="53"/>
      <c r="I334" s="7" t="str">
        <f t="shared" si="20"/>
        <v/>
      </c>
      <c r="J334" s="27" t="str">
        <f t="shared" ca="1" si="21"/>
        <v/>
      </c>
      <c r="K334" s="7" t="str">
        <f t="shared" si="22"/>
        <v/>
      </c>
      <c r="L334" s="13"/>
      <c r="M334" s="29" t="str">
        <f t="shared" si="23"/>
        <v/>
      </c>
    </row>
    <row r="335" spans="1:13" x14ac:dyDescent="0.35">
      <c r="A335" s="81"/>
      <c r="B335" s="13"/>
      <c r="C335" s="21"/>
      <c r="D335" s="14"/>
      <c r="E335" s="14"/>
      <c r="F335" s="14"/>
      <c r="G335" s="21"/>
      <c r="H335" s="53"/>
      <c r="I335" s="7" t="str">
        <f t="shared" si="20"/>
        <v/>
      </c>
      <c r="J335" s="27" t="str">
        <f t="shared" ca="1" si="21"/>
        <v/>
      </c>
      <c r="K335" s="7" t="str">
        <f t="shared" si="22"/>
        <v/>
      </c>
      <c r="L335" s="13"/>
      <c r="M335" s="29" t="str">
        <f t="shared" si="23"/>
        <v/>
      </c>
    </row>
    <row r="336" spans="1:13" x14ac:dyDescent="0.35">
      <c r="A336" s="81"/>
      <c r="B336" s="13"/>
      <c r="C336" s="21"/>
      <c r="D336" s="14"/>
      <c r="E336" s="14"/>
      <c r="F336" s="14"/>
      <c r="G336" s="21"/>
      <c r="H336" s="53"/>
      <c r="I336" s="7" t="str">
        <f t="shared" si="20"/>
        <v/>
      </c>
      <c r="J336" s="27" t="str">
        <f t="shared" ca="1" si="21"/>
        <v/>
      </c>
      <c r="K336" s="7" t="str">
        <f t="shared" si="22"/>
        <v/>
      </c>
      <c r="L336" s="13"/>
      <c r="M336" s="29" t="str">
        <f t="shared" si="23"/>
        <v/>
      </c>
    </row>
    <row r="337" spans="1:13" x14ac:dyDescent="0.35">
      <c r="A337" s="81"/>
      <c r="B337" s="13"/>
      <c r="C337" s="21"/>
      <c r="D337" s="14"/>
      <c r="E337" s="14"/>
      <c r="F337" s="14"/>
      <c r="G337" s="21"/>
      <c r="H337" s="53"/>
      <c r="I337" s="7" t="str">
        <f t="shared" si="20"/>
        <v/>
      </c>
      <c r="J337" s="27" t="str">
        <f t="shared" ca="1" si="21"/>
        <v/>
      </c>
      <c r="K337" s="7" t="str">
        <f t="shared" si="22"/>
        <v/>
      </c>
      <c r="L337" s="13"/>
      <c r="M337" s="29" t="str">
        <f t="shared" si="23"/>
        <v/>
      </c>
    </row>
    <row r="338" spans="1:13" x14ac:dyDescent="0.35">
      <c r="A338" s="81"/>
      <c r="B338" s="13"/>
      <c r="C338" s="21"/>
      <c r="D338" s="14"/>
      <c r="E338" s="14"/>
      <c r="F338" s="14"/>
      <c r="G338" s="21"/>
      <c r="H338" s="53"/>
      <c r="I338" s="7" t="str">
        <f t="shared" si="20"/>
        <v/>
      </c>
      <c r="J338" s="27" t="str">
        <f t="shared" ca="1" si="21"/>
        <v/>
      </c>
      <c r="K338" s="7" t="str">
        <f t="shared" si="22"/>
        <v/>
      </c>
      <c r="L338" s="13"/>
      <c r="M338" s="29" t="str">
        <f t="shared" si="23"/>
        <v/>
      </c>
    </row>
    <row r="339" spans="1:13" x14ac:dyDescent="0.35">
      <c r="A339" s="81"/>
      <c r="B339" s="13"/>
      <c r="C339" s="21"/>
      <c r="D339" s="14"/>
      <c r="E339" s="14"/>
      <c r="F339" s="14"/>
      <c r="G339" s="21"/>
      <c r="H339" s="53"/>
      <c r="I339" s="7" t="str">
        <f t="shared" si="20"/>
        <v/>
      </c>
      <c r="J339" s="27" t="str">
        <f t="shared" ca="1" si="21"/>
        <v/>
      </c>
      <c r="K339" s="7" t="str">
        <f t="shared" si="22"/>
        <v/>
      </c>
      <c r="L339" s="13"/>
      <c r="M339" s="29" t="str">
        <f t="shared" si="23"/>
        <v/>
      </c>
    </row>
    <row r="340" spans="1:13" x14ac:dyDescent="0.35">
      <c r="A340" s="81"/>
      <c r="B340" s="13"/>
      <c r="C340" s="21"/>
      <c r="D340" s="14"/>
      <c r="E340" s="14"/>
      <c r="F340" s="14"/>
      <c r="G340" s="21"/>
      <c r="H340" s="53"/>
      <c r="I340" s="7" t="str">
        <f t="shared" si="20"/>
        <v/>
      </c>
      <c r="J340" s="27" t="str">
        <f t="shared" ca="1" si="21"/>
        <v/>
      </c>
      <c r="K340" s="7" t="str">
        <f t="shared" si="22"/>
        <v/>
      </c>
      <c r="L340" s="13"/>
      <c r="M340" s="29" t="str">
        <f t="shared" si="23"/>
        <v/>
      </c>
    </row>
    <row r="341" spans="1:13" x14ac:dyDescent="0.35">
      <c r="A341" s="81"/>
      <c r="B341" s="13"/>
      <c r="C341" s="21"/>
      <c r="D341" s="14"/>
      <c r="E341" s="14"/>
      <c r="F341" s="14"/>
      <c r="G341" s="21"/>
      <c r="H341" s="53"/>
      <c r="I341" s="7" t="str">
        <f t="shared" si="20"/>
        <v/>
      </c>
      <c r="J341" s="27" t="str">
        <f t="shared" ca="1" si="21"/>
        <v/>
      </c>
      <c r="K341" s="7" t="str">
        <f t="shared" si="22"/>
        <v/>
      </c>
      <c r="L341" s="13"/>
      <c r="M341" s="29" t="str">
        <f t="shared" si="23"/>
        <v/>
      </c>
    </row>
    <row r="342" spans="1:13" x14ac:dyDescent="0.35">
      <c r="A342" s="81"/>
      <c r="B342" s="13"/>
      <c r="C342" s="21"/>
      <c r="D342" s="14"/>
      <c r="E342" s="14"/>
      <c r="F342" s="14"/>
      <c r="G342" s="21"/>
      <c r="H342" s="53"/>
      <c r="I342" s="7" t="str">
        <f t="shared" si="20"/>
        <v/>
      </c>
      <c r="J342" s="27" t="str">
        <f t="shared" ca="1" si="21"/>
        <v/>
      </c>
      <c r="K342" s="7" t="str">
        <f t="shared" si="22"/>
        <v/>
      </c>
      <c r="L342" s="13"/>
      <c r="M342" s="29" t="str">
        <f t="shared" si="23"/>
        <v/>
      </c>
    </row>
    <row r="343" spans="1:13" x14ac:dyDescent="0.35">
      <c r="A343" s="81"/>
      <c r="B343" s="13"/>
      <c r="C343" s="21"/>
      <c r="D343" s="14"/>
      <c r="E343" s="14"/>
      <c r="F343" s="14"/>
      <c r="G343" s="21"/>
      <c r="H343" s="53"/>
      <c r="I343" s="7" t="str">
        <f t="shared" si="20"/>
        <v/>
      </c>
      <c r="J343" s="27" t="str">
        <f t="shared" ca="1" si="21"/>
        <v/>
      </c>
      <c r="K343" s="7" t="str">
        <f t="shared" si="22"/>
        <v/>
      </c>
      <c r="L343" s="13"/>
      <c r="M343" s="29" t="str">
        <f t="shared" si="23"/>
        <v/>
      </c>
    </row>
    <row r="344" spans="1:13" x14ac:dyDescent="0.35">
      <c r="A344" s="81"/>
      <c r="B344" s="13"/>
      <c r="C344" s="21"/>
      <c r="D344" s="14"/>
      <c r="E344" s="14"/>
      <c r="F344" s="14"/>
      <c r="G344" s="21"/>
      <c r="H344" s="53"/>
      <c r="I344" s="7" t="str">
        <f t="shared" si="20"/>
        <v/>
      </c>
      <c r="J344" s="27" t="str">
        <f t="shared" ca="1" si="21"/>
        <v/>
      </c>
      <c r="K344" s="7" t="str">
        <f t="shared" si="22"/>
        <v/>
      </c>
      <c r="L344" s="13"/>
      <c r="M344" s="29" t="str">
        <f t="shared" si="23"/>
        <v/>
      </c>
    </row>
    <row r="345" spans="1:13" x14ac:dyDescent="0.35">
      <c r="A345" s="81"/>
      <c r="B345" s="13"/>
      <c r="C345" s="21"/>
      <c r="D345" s="14"/>
      <c r="E345" s="14"/>
      <c r="F345" s="14"/>
      <c r="G345" s="21"/>
      <c r="H345" s="53"/>
      <c r="I345" s="7" t="str">
        <f t="shared" si="20"/>
        <v/>
      </c>
      <c r="J345" s="27" t="str">
        <f t="shared" ca="1" si="21"/>
        <v/>
      </c>
      <c r="K345" s="7" t="str">
        <f t="shared" si="22"/>
        <v/>
      </c>
      <c r="L345" s="13"/>
      <c r="M345" s="29" t="str">
        <f t="shared" si="23"/>
        <v/>
      </c>
    </row>
    <row r="346" spans="1:13" x14ac:dyDescent="0.35">
      <c r="A346" s="81"/>
      <c r="B346" s="13"/>
      <c r="C346" s="21"/>
      <c r="D346" s="14"/>
      <c r="E346" s="14"/>
      <c r="F346" s="14"/>
      <c r="G346" s="21"/>
      <c r="H346" s="53"/>
      <c r="I346" s="7" t="str">
        <f t="shared" si="20"/>
        <v/>
      </c>
      <c r="J346" s="27" t="str">
        <f t="shared" ca="1" si="21"/>
        <v/>
      </c>
      <c r="K346" s="7" t="str">
        <f t="shared" si="22"/>
        <v/>
      </c>
      <c r="L346" s="13"/>
      <c r="M346" s="29" t="str">
        <f t="shared" si="23"/>
        <v/>
      </c>
    </row>
    <row r="347" spans="1:13" x14ac:dyDescent="0.35">
      <c r="A347" s="81"/>
      <c r="B347" s="13"/>
      <c r="C347" s="21"/>
      <c r="D347" s="14"/>
      <c r="E347" s="14"/>
      <c r="F347" s="14"/>
      <c r="G347" s="21"/>
      <c r="H347" s="53"/>
      <c r="I347" s="7" t="str">
        <f t="shared" si="20"/>
        <v/>
      </c>
      <c r="J347" s="27" t="str">
        <f t="shared" ca="1" si="21"/>
        <v/>
      </c>
      <c r="K347" s="7" t="str">
        <f t="shared" si="22"/>
        <v/>
      </c>
      <c r="L347" s="13"/>
      <c r="M347" s="29" t="str">
        <f t="shared" si="23"/>
        <v/>
      </c>
    </row>
    <row r="348" spans="1:13" x14ac:dyDescent="0.35">
      <c r="A348" s="81"/>
      <c r="B348" s="13"/>
      <c r="C348" s="21"/>
      <c r="D348" s="14"/>
      <c r="E348" s="14"/>
      <c r="F348" s="14"/>
      <c r="G348" s="21"/>
      <c r="H348" s="53"/>
      <c r="I348" s="7" t="str">
        <f t="shared" si="20"/>
        <v/>
      </c>
      <c r="J348" s="27" t="str">
        <f t="shared" ca="1" si="21"/>
        <v/>
      </c>
      <c r="K348" s="7" t="str">
        <f t="shared" si="22"/>
        <v/>
      </c>
      <c r="L348" s="13"/>
      <c r="M348" s="29" t="str">
        <f t="shared" si="23"/>
        <v/>
      </c>
    </row>
    <row r="349" spans="1:13" x14ac:dyDescent="0.35">
      <c r="A349" s="81"/>
      <c r="B349" s="13"/>
      <c r="C349" s="21"/>
      <c r="D349" s="14"/>
      <c r="E349" s="14"/>
      <c r="F349" s="14"/>
      <c r="G349" s="21"/>
      <c r="H349" s="53"/>
      <c r="I349" s="7" t="str">
        <f t="shared" si="20"/>
        <v/>
      </c>
      <c r="J349" s="27" t="str">
        <f t="shared" ca="1" si="21"/>
        <v/>
      </c>
      <c r="K349" s="7" t="str">
        <f t="shared" si="22"/>
        <v/>
      </c>
      <c r="L349" s="13"/>
      <c r="M349" s="29" t="str">
        <f t="shared" si="23"/>
        <v/>
      </c>
    </row>
    <row r="350" spans="1:13" x14ac:dyDescent="0.35">
      <c r="A350" s="81"/>
      <c r="B350" s="13"/>
      <c r="C350" s="21"/>
      <c r="D350" s="14"/>
      <c r="E350" s="14"/>
      <c r="F350" s="14"/>
      <c r="G350" s="21"/>
      <c r="H350" s="53"/>
      <c r="I350" s="7" t="str">
        <f t="shared" si="20"/>
        <v/>
      </c>
      <c r="J350" s="27" t="str">
        <f t="shared" ca="1" si="21"/>
        <v/>
      </c>
      <c r="K350" s="7" t="str">
        <f t="shared" si="22"/>
        <v/>
      </c>
      <c r="L350" s="13"/>
      <c r="M350" s="29" t="str">
        <f t="shared" si="23"/>
        <v/>
      </c>
    </row>
    <row r="351" spans="1:13" x14ac:dyDescent="0.35">
      <c r="A351" s="81"/>
      <c r="B351" s="13"/>
      <c r="C351" s="21"/>
      <c r="D351" s="14"/>
      <c r="E351" s="14"/>
      <c r="F351" s="14"/>
      <c r="G351" s="21"/>
      <c r="H351" s="53"/>
      <c r="I351" s="7" t="str">
        <f t="shared" si="20"/>
        <v/>
      </c>
      <c r="J351" s="27" t="str">
        <f t="shared" ca="1" si="21"/>
        <v/>
      </c>
      <c r="K351" s="7" t="str">
        <f t="shared" si="22"/>
        <v/>
      </c>
      <c r="L351" s="13"/>
      <c r="M351" s="29" t="str">
        <f t="shared" si="23"/>
        <v/>
      </c>
    </row>
    <row r="352" spans="1:13" x14ac:dyDescent="0.35">
      <c r="A352" s="81"/>
      <c r="B352" s="13"/>
      <c r="C352" s="21"/>
      <c r="D352" s="14"/>
      <c r="E352" s="14"/>
      <c r="F352" s="14"/>
      <c r="G352" s="21"/>
      <c r="H352" s="53"/>
      <c r="I352" s="7" t="str">
        <f t="shared" si="20"/>
        <v/>
      </c>
      <c r="J352" s="27" t="str">
        <f t="shared" ca="1" si="21"/>
        <v/>
      </c>
      <c r="K352" s="7" t="str">
        <f t="shared" si="22"/>
        <v/>
      </c>
      <c r="L352" s="13"/>
      <c r="M352" s="29" t="str">
        <f t="shared" si="23"/>
        <v/>
      </c>
    </row>
    <row r="353" spans="1:13" x14ac:dyDescent="0.35">
      <c r="A353" s="81"/>
      <c r="B353" s="13"/>
      <c r="C353" s="21"/>
      <c r="D353" s="14"/>
      <c r="E353" s="14"/>
      <c r="F353" s="14"/>
      <c r="G353" s="21"/>
      <c r="H353" s="53"/>
      <c r="I353" s="7" t="str">
        <f t="shared" si="20"/>
        <v/>
      </c>
      <c r="J353" s="27" t="str">
        <f t="shared" ca="1" si="21"/>
        <v/>
      </c>
      <c r="K353" s="7" t="str">
        <f t="shared" si="22"/>
        <v/>
      </c>
      <c r="L353" s="13"/>
      <c r="M353" s="29" t="str">
        <f t="shared" si="23"/>
        <v/>
      </c>
    </row>
    <row r="354" spans="1:13" x14ac:dyDescent="0.35">
      <c r="A354" s="81"/>
      <c r="B354" s="13"/>
      <c r="C354" s="21"/>
      <c r="D354" s="14"/>
      <c r="E354" s="14"/>
      <c r="F354" s="14"/>
      <c r="G354" s="21"/>
      <c r="H354" s="53"/>
      <c r="I354" s="7" t="str">
        <f t="shared" si="20"/>
        <v/>
      </c>
      <c r="J354" s="27" t="str">
        <f t="shared" ca="1" si="21"/>
        <v/>
      </c>
      <c r="K354" s="7" t="str">
        <f t="shared" si="22"/>
        <v/>
      </c>
      <c r="L354" s="13"/>
      <c r="M354" s="29" t="str">
        <f t="shared" si="23"/>
        <v/>
      </c>
    </row>
    <row r="355" spans="1:13" x14ac:dyDescent="0.35">
      <c r="A355" s="81"/>
      <c r="B355" s="13"/>
      <c r="C355" s="21"/>
      <c r="D355" s="14"/>
      <c r="E355" s="14"/>
      <c r="F355" s="14"/>
      <c r="G355" s="21"/>
      <c r="H355" s="53"/>
      <c r="I355" s="7" t="str">
        <f t="shared" si="20"/>
        <v/>
      </c>
      <c r="J355" s="27" t="str">
        <f t="shared" ca="1" si="21"/>
        <v/>
      </c>
      <c r="K355" s="7" t="str">
        <f t="shared" si="22"/>
        <v/>
      </c>
      <c r="L355" s="13"/>
      <c r="M355" s="29" t="str">
        <f t="shared" si="23"/>
        <v/>
      </c>
    </row>
    <row r="356" spans="1:13" x14ac:dyDescent="0.35">
      <c r="A356" s="81"/>
      <c r="B356" s="13"/>
      <c r="C356" s="21"/>
      <c r="D356" s="14"/>
      <c r="E356" s="14"/>
      <c r="F356" s="14"/>
      <c r="G356" s="21"/>
      <c r="H356" s="53"/>
      <c r="I356" s="7" t="str">
        <f t="shared" si="20"/>
        <v/>
      </c>
      <c r="J356" s="27" t="str">
        <f t="shared" ca="1" si="21"/>
        <v/>
      </c>
      <c r="K356" s="7" t="str">
        <f t="shared" si="22"/>
        <v/>
      </c>
      <c r="L356" s="13"/>
      <c r="M356" s="29" t="str">
        <f t="shared" si="23"/>
        <v/>
      </c>
    </row>
    <row r="357" spans="1:13" x14ac:dyDescent="0.35">
      <c r="A357" s="81"/>
      <c r="B357" s="13"/>
      <c r="C357" s="21"/>
      <c r="D357" s="14"/>
      <c r="E357" s="14"/>
      <c r="F357" s="14"/>
      <c r="G357" s="21"/>
      <c r="H357" s="53"/>
      <c r="I357" s="7" t="str">
        <f t="shared" si="20"/>
        <v/>
      </c>
      <c r="J357" s="27" t="str">
        <f t="shared" ca="1" si="21"/>
        <v/>
      </c>
      <c r="K357" s="7" t="str">
        <f t="shared" si="22"/>
        <v/>
      </c>
      <c r="L357" s="13"/>
      <c r="M357" s="29" t="str">
        <f t="shared" si="23"/>
        <v/>
      </c>
    </row>
    <row r="358" spans="1:13" x14ac:dyDescent="0.35">
      <c r="A358" s="81"/>
      <c r="B358" s="13"/>
      <c r="C358" s="21"/>
      <c r="D358" s="14"/>
      <c r="E358" s="14"/>
      <c r="F358" s="14"/>
      <c r="G358" s="21"/>
      <c r="H358" s="53"/>
      <c r="I358" s="7" t="str">
        <f t="shared" si="20"/>
        <v/>
      </c>
      <c r="J358" s="27" t="str">
        <f t="shared" ca="1" si="21"/>
        <v/>
      </c>
      <c r="K358" s="7" t="str">
        <f t="shared" si="22"/>
        <v/>
      </c>
      <c r="L358" s="13"/>
      <c r="M358" s="29" t="str">
        <f t="shared" si="23"/>
        <v/>
      </c>
    </row>
    <row r="359" spans="1:13" x14ac:dyDescent="0.35">
      <c r="A359" s="81"/>
      <c r="B359" s="13"/>
      <c r="C359" s="21"/>
      <c r="D359" s="14"/>
      <c r="E359" s="14"/>
      <c r="F359" s="14"/>
      <c r="G359" s="21"/>
      <c r="H359" s="53"/>
      <c r="I359" s="7" t="str">
        <f t="shared" si="20"/>
        <v/>
      </c>
      <c r="J359" s="27" t="str">
        <f t="shared" ca="1" si="21"/>
        <v/>
      </c>
      <c r="K359" s="7" t="str">
        <f t="shared" si="22"/>
        <v/>
      </c>
      <c r="L359" s="13"/>
      <c r="M359" s="29" t="str">
        <f t="shared" si="23"/>
        <v/>
      </c>
    </row>
    <row r="360" spans="1:13" x14ac:dyDescent="0.35">
      <c r="A360" s="81"/>
      <c r="B360" s="13"/>
      <c r="C360" s="21"/>
      <c r="D360" s="14"/>
      <c r="E360" s="14"/>
      <c r="F360" s="14"/>
      <c r="G360" s="21"/>
      <c r="H360" s="53"/>
      <c r="I360" s="7" t="str">
        <f t="shared" si="20"/>
        <v/>
      </c>
      <c r="J360" s="27" t="str">
        <f t="shared" ca="1" si="21"/>
        <v/>
      </c>
      <c r="K360" s="7" t="str">
        <f t="shared" si="22"/>
        <v/>
      </c>
      <c r="L360" s="13"/>
      <c r="M360" s="29" t="str">
        <f t="shared" si="23"/>
        <v/>
      </c>
    </row>
    <row r="361" spans="1:13" x14ac:dyDescent="0.35">
      <c r="A361" s="81"/>
      <c r="B361" s="13"/>
      <c r="C361" s="21"/>
      <c r="D361" s="14"/>
      <c r="E361" s="14"/>
      <c r="F361" s="14"/>
      <c r="G361" s="21"/>
      <c r="H361" s="53"/>
      <c r="I361" s="7" t="str">
        <f t="shared" si="20"/>
        <v/>
      </c>
      <c r="J361" s="27" t="str">
        <f t="shared" ca="1" si="21"/>
        <v/>
      </c>
      <c r="K361" s="7" t="str">
        <f t="shared" si="22"/>
        <v/>
      </c>
      <c r="L361" s="13"/>
      <c r="M361" s="29" t="str">
        <f t="shared" si="23"/>
        <v/>
      </c>
    </row>
    <row r="362" spans="1:13" x14ac:dyDescent="0.35">
      <c r="A362" s="81"/>
      <c r="B362" s="13"/>
      <c r="C362" s="21"/>
      <c r="D362" s="14"/>
      <c r="E362" s="14"/>
      <c r="F362" s="14"/>
      <c r="G362" s="21"/>
      <c r="H362" s="53"/>
      <c r="I362" s="7" t="str">
        <f t="shared" si="20"/>
        <v/>
      </c>
      <c r="J362" s="27" t="str">
        <f t="shared" ca="1" si="21"/>
        <v/>
      </c>
      <c r="K362" s="7" t="str">
        <f t="shared" si="22"/>
        <v/>
      </c>
      <c r="L362" s="13"/>
      <c r="M362" s="29" t="str">
        <f t="shared" si="23"/>
        <v/>
      </c>
    </row>
    <row r="363" spans="1:13" x14ac:dyDescent="0.35">
      <c r="A363" s="81"/>
      <c r="B363" s="13"/>
      <c r="C363" s="21"/>
      <c r="D363" s="14"/>
      <c r="E363" s="14"/>
      <c r="F363" s="14"/>
      <c r="G363" s="21"/>
      <c r="H363" s="53"/>
      <c r="I363" s="7" t="str">
        <f t="shared" si="20"/>
        <v/>
      </c>
      <c r="J363" s="27" t="str">
        <f t="shared" ca="1" si="21"/>
        <v/>
      </c>
      <c r="K363" s="7" t="str">
        <f t="shared" si="22"/>
        <v/>
      </c>
      <c r="L363" s="13"/>
      <c r="M363" s="29" t="str">
        <f t="shared" si="23"/>
        <v/>
      </c>
    </row>
    <row r="364" spans="1:13" x14ac:dyDescent="0.35">
      <c r="A364" s="81"/>
      <c r="B364" s="13"/>
      <c r="C364" s="21"/>
      <c r="D364" s="14"/>
      <c r="E364" s="14"/>
      <c r="F364" s="14"/>
      <c r="G364" s="21"/>
      <c r="H364" s="53"/>
      <c r="I364" s="7" t="str">
        <f t="shared" si="20"/>
        <v/>
      </c>
      <c r="J364" s="27" t="str">
        <f t="shared" ca="1" si="21"/>
        <v/>
      </c>
      <c r="K364" s="7" t="str">
        <f t="shared" si="22"/>
        <v/>
      </c>
      <c r="L364" s="13"/>
      <c r="M364" s="29" t="str">
        <f t="shared" si="23"/>
        <v/>
      </c>
    </row>
    <row r="365" spans="1:13" x14ac:dyDescent="0.35">
      <c r="A365" s="81"/>
      <c r="B365" s="13"/>
      <c r="C365" s="21"/>
      <c r="D365" s="14"/>
      <c r="E365" s="14"/>
      <c r="F365" s="14"/>
      <c r="G365" s="21"/>
      <c r="H365" s="53"/>
      <c r="I365" s="7" t="str">
        <f t="shared" si="20"/>
        <v/>
      </c>
      <c r="J365" s="27" t="str">
        <f t="shared" ca="1" si="21"/>
        <v/>
      </c>
      <c r="K365" s="7" t="str">
        <f t="shared" si="22"/>
        <v/>
      </c>
      <c r="L365" s="13"/>
      <c r="M365" s="29" t="str">
        <f t="shared" si="23"/>
        <v/>
      </c>
    </row>
    <row r="366" spans="1:13" x14ac:dyDescent="0.35">
      <c r="A366" s="81"/>
      <c r="B366" s="13"/>
      <c r="C366" s="21"/>
      <c r="D366" s="14"/>
      <c r="E366" s="14"/>
      <c r="F366" s="14"/>
      <c r="G366" s="21"/>
      <c r="H366" s="53"/>
      <c r="I366" s="7" t="str">
        <f t="shared" si="20"/>
        <v/>
      </c>
      <c r="J366" s="27" t="str">
        <f t="shared" ca="1" si="21"/>
        <v/>
      </c>
      <c r="K366" s="7" t="str">
        <f t="shared" si="22"/>
        <v/>
      </c>
      <c r="L366" s="13"/>
      <c r="M366" s="29" t="str">
        <f t="shared" si="23"/>
        <v/>
      </c>
    </row>
    <row r="367" spans="1:13" x14ac:dyDescent="0.35">
      <c r="A367" s="81"/>
      <c r="B367" s="13"/>
      <c r="C367" s="21"/>
      <c r="D367" s="14"/>
      <c r="E367" s="14"/>
      <c r="F367" s="14"/>
      <c r="G367" s="21"/>
      <c r="H367" s="53"/>
      <c r="I367" s="7" t="str">
        <f t="shared" si="20"/>
        <v/>
      </c>
      <c r="J367" s="27" t="str">
        <f t="shared" ca="1" si="21"/>
        <v/>
      </c>
      <c r="K367" s="7" t="str">
        <f t="shared" si="22"/>
        <v/>
      </c>
      <c r="L367" s="13"/>
      <c r="M367" s="29" t="str">
        <f t="shared" si="23"/>
        <v/>
      </c>
    </row>
    <row r="368" spans="1:13" x14ac:dyDescent="0.35">
      <c r="A368" s="81"/>
      <c r="B368" s="13"/>
      <c r="C368" s="21"/>
      <c r="D368" s="14"/>
      <c r="E368" s="14"/>
      <c r="F368" s="14"/>
      <c r="G368" s="21"/>
      <c r="H368" s="53"/>
      <c r="I368" s="7" t="str">
        <f t="shared" si="20"/>
        <v/>
      </c>
      <c r="J368" s="27" t="str">
        <f t="shared" ca="1" si="21"/>
        <v/>
      </c>
      <c r="K368" s="7" t="str">
        <f t="shared" si="22"/>
        <v/>
      </c>
      <c r="L368" s="13"/>
      <c r="M368" s="29" t="str">
        <f t="shared" si="23"/>
        <v/>
      </c>
    </row>
    <row r="369" spans="1:13" x14ac:dyDescent="0.35">
      <c r="A369" s="81"/>
      <c r="B369" s="13"/>
      <c r="C369" s="21"/>
      <c r="D369" s="14"/>
      <c r="E369" s="14"/>
      <c r="F369" s="14"/>
      <c r="G369" s="21"/>
      <c r="H369" s="53"/>
      <c r="I369" s="7" t="str">
        <f t="shared" si="20"/>
        <v/>
      </c>
      <c r="J369" s="27" t="str">
        <f t="shared" ca="1" si="21"/>
        <v/>
      </c>
      <c r="K369" s="7" t="str">
        <f t="shared" si="22"/>
        <v/>
      </c>
      <c r="L369" s="13"/>
      <c r="M369" s="29" t="str">
        <f t="shared" si="23"/>
        <v/>
      </c>
    </row>
    <row r="370" spans="1:13" x14ac:dyDescent="0.35">
      <c r="A370" s="81"/>
      <c r="B370" s="13"/>
      <c r="C370" s="21"/>
      <c r="D370" s="14"/>
      <c r="E370" s="14"/>
      <c r="F370" s="14"/>
      <c r="G370" s="21"/>
      <c r="H370" s="53"/>
      <c r="I370" s="7" t="str">
        <f t="shared" si="20"/>
        <v/>
      </c>
      <c r="J370" s="27" t="str">
        <f t="shared" ca="1" si="21"/>
        <v/>
      </c>
      <c r="K370" s="7" t="str">
        <f t="shared" si="22"/>
        <v/>
      </c>
      <c r="L370" s="13"/>
      <c r="M370" s="29" t="str">
        <f t="shared" si="23"/>
        <v/>
      </c>
    </row>
    <row r="371" spans="1:13" x14ac:dyDescent="0.35">
      <c r="A371" s="81"/>
      <c r="B371" s="13"/>
      <c r="C371" s="21"/>
      <c r="D371" s="14"/>
      <c r="E371" s="14"/>
      <c r="F371" s="14"/>
      <c r="G371" s="21"/>
      <c r="H371" s="53"/>
      <c r="I371" s="7" t="str">
        <f t="shared" si="20"/>
        <v/>
      </c>
      <c r="J371" s="27" t="str">
        <f t="shared" ca="1" si="21"/>
        <v/>
      </c>
      <c r="K371" s="7" t="str">
        <f t="shared" si="22"/>
        <v/>
      </c>
      <c r="L371" s="13"/>
      <c r="M371" s="29" t="str">
        <f t="shared" si="23"/>
        <v/>
      </c>
    </row>
    <row r="372" spans="1:13" x14ac:dyDescent="0.35">
      <c r="A372" s="81"/>
      <c r="B372" s="13"/>
      <c r="C372" s="21"/>
      <c r="D372" s="14"/>
      <c r="E372" s="14"/>
      <c r="F372" s="14"/>
      <c r="G372" s="21"/>
      <c r="H372" s="53"/>
      <c r="I372" s="7" t="str">
        <f t="shared" si="20"/>
        <v/>
      </c>
      <c r="J372" s="27" t="str">
        <f t="shared" ca="1" si="21"/>
        <v/>
      </c>
      <c r="K372" s="7" t="str">
        <f t="shared" si="22"/>
        <v/>
      </c>
      <c r="L372" s="13"/>
      <c r="M372" s="29" t="str">
        <f t="shared" si="23"/>
        <v/>
      </c>
    </row>
    <row r="373" spans="1:13" x14ac:dyDescent="0.35">
      <c r="A373" s="81"/>
      <c r="B373" s="13"/>
      <c r="C373" s="21"/>
      <c r="D373" s="14"/>
      <c r="E373" s="14"/>
      <c r="F373" s="14"/>
      <c r="G373" s="21"/>
      <c r="H373" s="53"/>
      <c r="I373" s="7" t="str">
        <f t="shared" si="20"/>
        <v/>
      </c>
      <c r="J373" s="27" t="str">
        <f t="shared" ca="1" si="21"/>
        <v/>
      </c>
      <c r="K373" s="7" t="str">
        <f t="shared" si="22"/>
        <v/>
      </c>
      <c r="L373" s="13"/>
      <c r="M373" s="29" t="str">
        <f t="shared" si="23"/>
        <v/>
      </c>
    </row>
    <row r="374" spans="1:13" x14ac:dyDescent="0.35">
      <c r="A374" s="81"/>
      <c r="B374" s="13"/>
      <c r="C374" s="21"/>
      <c r="D374" s="14"/>
      <c r="E374" s="14"/>
      <c r="F374" s="14"/>
      <c r="G374" s="21"/>
      <c r="H374" s="53"/>
      <c r="I374" s="7" t="str">
        <f t="shared" si="20"/>
        <v/>
      </c>
      <c r="J374" s="27" t="str">
        <f t="shared" ca="1" si="21"/>
        <v/>
      </c>
      <c r="K374" s="7" t="str">
        <f t="shared" si="22"/>
        <v/>
      </c>
      <c r="L374" s="13"/>
      <c r="M374" s="29" t="str">
        <f t="shared" si="23"/>
        <v/>
      </c>
    </row>
    <row r="375" spans="1:13" x14ac:dyDescent="0.35">
      <c r="A375" s="81"/>
      <c r="B375" s="13"/>
      <c r="C375" s="21"/>
      <c r="D375" s="14"/>
      <c r="E375" s="14"/>
      <c r="F375" s="14"/>
      <c r="G375" s="21"/>
      <c r="H375" s="53"/>
      <c r="I375" s="7" t="str">
        <f t="shared" si="20"/>
        <v/>
      </c>
      <c r="J375" s="27" t="str">
        <f t="shared" ca="1" si="21"/>
        <v/>
      </c>
      <c r="K375" s="7" t="str">
        <f t="shared" si="22"/>
        <v/>
      </c>
      <c r="L375" s="13"/>
      <c r="M375" s="29" t="str">
        <f t="shared" si="23"/>
        <v/>
      </c>
    </row>
    <row r="376" spans="1:13" x14ac:dyDescent="0.35">
      <c r="A376" s="81"/>
      <c r="B376" s="13"/>
      <c r="C376" s="21"/>
      <c r="D376" s="14"/>
      <c r="E376" s="14"/>
      <c r="F376" s="14"/>
      <c r="G376" s="21"/>
      <c r="H376" s="53"/>
      <c r="I376" s="7" t="str">
        <f t="shared" si="20"/>
        <v/>
      </c>
      <c r="J376" s="27" t="str">
        <f t="shared" ca="1" si="21"/>
        <v/>
      </c>
      <c r="K376" s="7" t="str">
        <f t="shared" si="22"/>
        <v/>
      </c>
      <c r="L376" s="13"/>
      <c r="M376" s="29" t="str">
        <f t="shared" si="23"/>
        <v/>
      </c>
    </row>
    <row r="377" spans="1:13" x14ac:dyDescent="0.35">
      <c r="A377" s="81"/>
      <c r="B377" s="13"/>
      <c r="C377" s="21"/>
      <c r="D377" s="14"/>
      <c r="E377" s="14"/>
      <c r="F377" s="14"/>
      <c r="G377" s="21"/>
      <c r="H377" s="53"/>
      <c r="I377" s="7" t="str">
        <f t="shared" si="20"/>
        <v/>
      </c>
      <c r="J377" s="27" t="str">
        <f t="shared" ca="1" si="21"/>
        <v/>
      </c>
      <c r="K377" s="7" t="str">
        <f t="shared" si="22"/>
        <v/>
      </c>
      <c r="L377" s="13"/>
      <c r="M377" s="29" t="str">
        <f t="shared" si="23"/>
        <v/>
      </c>
    </row>
    <row r="378" spans="1:13" x14ac:dyDescent="0.35">
      <c r="A378" s="81"/>
      <c r="B378" s="13"/>
      <c r="C378" s="21"/>
      <c r="D378" s="14"/>
      <c r="E378" s="14"/>
      <c r="F378" s="14"/>
      <c r="G378" s="21"/>
      <c r="H378" s="53"/>
      <c r="I378" s="7" t="str">
        <f t="shared" si="20"/>
        <v/>
      </c>
      <c r="J378" s="27" t="str">
        <f t="shared" ca="1" si="21"/>
        <v/>
      </c>
      <c r="K378" s="7" t="str">
        <f t="shared" si="22"/>
        <v/>
      </c>
      <c r="L378" s="13"/>
      <c r="M378" s="29" t="str">
        <f t="shared" si="23"/>
        <v/>
      </c>
    </row>
    <row r="379" spans="1:13" x14ac:dyDescent="0.35">
      <c r="A379" s="81"/>
      <c r="B379" s="13"/>
      <c r="C379" s="21"/>
      <c r="D379" s="14"/>
      <c r="E379" s="14"/>
      <c r="F379" s="14"/>
      <c r="G379" s="21"/>
      <c r="H379" s="53"/>
      <c r="I379" s="7" t="str">
        <f t="shared" si="20"/>
        <v/>
      </c>
      <c r="J379" s="27" t="str">
        <f t="shared" ca="1" si="21"/>
        <v/>
      </c>
      <c r="K379" s="7" t="str">
        <f t="shared" si="22"/>
        <v/>
      </c>
      <c r="L379" s="13"/>
      <c r="M379" s="29" t="str">
        <f t="shared" si="23"/>
        <v/>
      </c>
    </row>
    <row r="380" spans="1:13" x14ac:dyDescent="0.35">
      <c r="A380" s="81"/>
      <c r="B380" s="13"/>
      <c r="C380" s="21"/>
      <c r="D380" s="14"/>
      <c r="E380" s="14"/>
      <c r="F380" s="14"/>
      <c r="G380" s="21"/>
      <c r="H380" s="53"/>
      <c r="I380" s="7" t="str">
        <f t="shared" si="20"/>
        <v/>
      </c>
      <c r="J380" s="27" t="str">
        <f t="shared" ca="1" si="21"/>
        <v/>
      </c>
      <c r="K380" s="7" t="str">
        <f t="shared" si="22"/>
        <v/>
      </c>
      <c r="L380" s="13"/>
      <c r="M380" s="29" t="str">
        <f t="shared" si="23"/>
        <v/>
      </c>
    </row>
    <row r="381" spans="1:13" x14ac:dyDescent="0.35">
      <c r="A381" s="81"/>
      <c r="B381" s="13"/>
      <c r="C381" s="21"/>
      <c r="D381" s="14"/>
      <c r="E381" s="14"/>
      <c r="F381" s="14"/>
      <c r="G381" s="21"/>
      <c r="H381" s="53"/>
      <c r="I381" s="7" t="str">
        <f t="shared" si="20"/>
        <v/>
      </c>
      <c r="J381" s="27" t="str">
        <f t="shared" ca="1" si="21"/>
        <v/>
      </c>
      <c r="K381" s="7" t="str">
        <f t="shared" si="22"/>
        <v/>
      </c>
      <c r="L381" s="13"/>
      <c r="M381" s="29" t="str">
        <f t="shared" si="23"/>
        <v/>
      </c>
    </row>
    <row r="382" spans="1:13" x14ac:dyDescent="0.35">
      <c r="A382" s="81"/>
      <c r="B382" s="13"/>
      <c r="C382" s="21"/>
      <c r="D382" s="14"/>
      <c r="E382" s="14"/>
      <c r="F382" s="14"/>
      <c r="G382" s="21"/>
      <c r="H382" s="53"/>
      <c r="I382" s="7" t="str">
        <f t="shared" si="20"/>
        <v/>
      </c>
      <c r="J382" s="27" t="str">
        <f t="shared" ca="1" si="21"/>
        <v/>
      </c>
      <c r="K382" s="7" t="str">
        <f t="shared" si="22"/>
        <v/>
      </c>
      <c r="L382" s="13"/>
      <c r="M382" s="29" t="str">
        <f t="shared" si="23"/>
        <v/>
      </c>
    </row>
    <row r="383" spans="1:13" x14ac:dyDescent="0.35">
      <c r="A383" s="81"/>
      <c r="B383" s="13"/>
      <c r="C383" s="21"/>
      <c r="D383" s="14"/>
      <c r="E383" s="14"/>
      <c r="F383" s="14"/>
      <c r="G383" s="21"/>
      <c r="H383" s="53"/>
      <c r="I383" s="7" t="str">
        <f t="shared" si="20"/>
        <v/>
      </c>
      <c r="J383" s="27" t="str">
        <f t="shared" ca="1" si="21"/>
        <v/>
      </c>
      <c r="K383" s="7" t="str">
        <f t="shared" si="22"/>
        <v/>
      </c>
      <c r="L383" s="13"/>
      <c r="M383" s="29" t="str">
        <f t="shared" si="23"/>
        <v/>
      </c>
    </row>
    <row r="384" spans="1:13" x14ac:dyDescent="0.35">
      <c r="A384" s="81"/>
      <c r="B384" s="13"/>
      <c r="C384" s="21"/>
      <c r="D384" s="14"/>
      <c r="E384" s="14"/>
      <c r="F384" s="14"/>
      <c r="G384" s="21"/>
      <c r="H384" s="53"/>
      <c r="I384" s="7" t="str">
        <f t="shared" si="20"/>
        <v/>
      </c>
      <c r="J384" s="27" t="str">
        <f t="shared" ca="1" si="21"/>
        <v/>
      </c>
      <c r="K384" s="7" t="str">
        <f t="shared" si="22"/>
        <v/>
      </c>
      <c r="L384" s="13"/>
      <c r="M384" s="29" t="str">
        <f t="shared" si="23"/>
        <v/>
      </c>
    </row>
    <row r="385" spans="1:13" x14ac:dyDescent="0.35">
      <c r="A385" s="81"/>
      <c r="B385" s="13"/>
      <c r="C385" s="21"/>
      <c r="D385" s="14"/>
      <c r="E385" s="14"/>
      <c r="F385" s="14"/>
      <c r="G385" s="21"/>
      <c r="H385" s="53"/>
      <c r="I385" s="7" t="str">
        <f t="shared" si="20"/>
        <v/>
      </c>
      <c r="J385" s="27" t="str">
        <f t="shared" ca="1" si="21"/>
        <v/>
      </c>
      <c r="K385" s="7" t="str">
        <f t="shared" si="22"/>
        <v/>
      </c>
      <c r="L385" s="13"/>
      <c r="M385" s="29" t="str">
        <f t="shared" si="23"/>
        <v/>
      </c>
    </row>
    <row r="386" spans="1:13" x14ac:dyDescent="0.35">
      <c r="A386" s="81"/>
      <c r="B386" s="13"/>
      <c r="C386" s="21"/>
      <c r="D386" s="14"/>
      <c r="E386" s="14"/>
      <c r="F386" s="14"/>
      <c r="G386" s="21"/>
      <c r="H386" s="53"/>
      <c r="I386" s="7" t="str">
        <f t="shared" si="20"/>
        <v/>
      </c>
      <c r="J386" s="27" t="str">
        <f t="shared" ca="1" si="21"/>
        <v/>
      </c>
      <c r="K386" s="7" t="str">
        <f t="shared" si="22"/>
        <v/>
      </c>
      <c r="L386" s="13"/>
      <c r="M386" s="29" t="str">
        <f t="shared" si="23"/>
        <v/>
      </c>
    </row>
    <row r="387" spans="1:13" x14ac:dyDescent="0.35">
      <c r="A387" s="81"/>
      <c r="B387" s="13"/>
      <c r="C387" s="21"/>
      <c r="D387" s="14"/>
      <c r="E387" s="14"/>
      <c r="F387" s="14"/>
      <c r="G387" s="21"/>
      <c r="H387" s="53"/>
      <c r="I387" s="7" t="str">
        <f t="shared" ref="I387:I450" si="24">IF($A387="","",IF($F387&lt;&gt;"","Envoyé DHL",IF($E387&lt;&gt;"","Reçu (à envoyer)",IF($D387&lt;&gt;"","Demandé (en attente)","À demander"))))</f>
        <v/>
      </c>
      <c r="J387" s="27" t="str">
        <f t="shared" ref="J387:J450" ca="1" si="25">IF(AND($A387&lt;&gt;"",$D387&lt;&gt;"",$E387=""),TODAY()-$D387,"")</f>
        <v/>
      </c>
      <c r="K387" s="7" t="str">
        <f t="shared" ref="K387:K450" si="26">IF($A387="","",IF(AND($J387&lt;&gt;"",N($J387)&gt;P_AlerteDoc),"Attente &gt; "&amp;P_AlerteDoc&amp;" jours",IF(AND($E387&lt;&gt;"",$F387=""),"Reçu : à envoyer par DHL","")))</f>
        <v/>
      </c>
      <c r="L387" s="13"/>
      <c r="M387" s="29" t="str">
        <f t="shared" ref="M387:M450" si="27">IF($K387&lt;&gt;"",1,"")</f>
        <v/>
      </c>
    </row>
    <row r="388" spans="1:13" x14ac:dyDescent="0.35">
      <c r="A388" s="81"/>
      <c r="B388" s="13"/>
      <c r="C388" s="21"/>
      <c r="D388" s="14"/>
      <c r="E388" s="14"/>
      <c r="F388" s="14"/>
      <c r="G388" s="21"/>
      <c r="H388" s="53"/>
      <c r="I388" s="7" t="str">
        <f t="shared" si="24"/>
        <v/>
      </c>
      <c r="J388" s="27" t="str">
        <f t="shared" ca="1" si="25"/>
        <v/>
      </c>
      <c r="K388" s="7" t="str">
        <f t="shared" si="26"/>
        <v/>
      </c>
      <c r="L388" s="13"/>
      <c r="M388" s="29" t="str">
        <f t="shared" si="27"/>
        <v/>
      </c>
    </row>
    <row r="389" spans="1:13" x14ac:dyDescent="0.35">
      <c r="A389" s="81"/>
      <c r="B389" s="13"/>
      <c r="C389" s="21"/>
      <c r="D389" s="14"/>
      <c r="E389" s="14"/>
      <c r="F389" s="14"/>
      <c r="G389" s="21"/>
      <c r="H389" s="53"/>
      <c r="I389" s="7" t="str">
        <f t="shared" si="24"/>
        <v/>
      </c>
      <c r="J389" s="27" t="str">
        <f t="shared" ca="1" si="25"/>
        <v/>
      </c>
      <c r="K389" s="7" t="str">
        <f t="shared" si="26"/>
        <v/>
      </c>
      <c r="L389" s="13"/>
      <c r="M389" s="29" t="str">
        <f t="shared" si="27"/>
        <v/>
      </c>
    </row>
    <row r="390" spans="1:13" x14ac:dyDescent="0.35">
      <c r="A390" s="81"/>
      <c r="B390" s="13"/>
      <c r="C390" s="21"/>
      <c r="D390" s="14"/>
      <c r="E390" s="14"/>
      <c r="F390" s="14"/>
      <c r="G390" s="21"/>
      <c r="H390" s="53"/>
      <c r="I390" s="7" t="str">
        <f t="shared" si="24"/>
        <v/>
      </c>
      <c r="J390" s="27" t="str">
        <f t="shared" ca="1" si="25"/>
        <v/>
      </c>
      <c r="K390" s="7" t="str">
        <f t="shared" si="26"/>
        <v/>
      </c>
      <c r="L390" s="13"/>
      <c r="M390" s="29" t="str">
        <f t="shared" si="27"/>
        <v/>
      </c>
    </row>
    <row r="391" spans="1:13" x14ac:dyDescent="0.35">
      <c r="A391" s="81"/>
      <c r="B391" s="13"/>
      <c r="C391" s="21"/>
      <c r="D391" s="14"/>
      <c r="E391" s="14"/>
      <c r="F391" s="14"/>
      <c r="G391" s="21"/>
      <c r="H391" s="53"/>
      <c r="I391" s="7" t="str">
        <f t="shared" si="24"/>
        <v/>
      </c>
      <c r="J391" s="27" t="str">
        <f t="shared" ca="1" si="25"/>
        <v/>
      </c>
      <c r="K391" s="7" t="str">
        <f t="shared" si="26"/>
        <v/>
      </c>
      <c r="L391" s="13"/>
      <c r="M391" s="29" t="str">
        <f t="shared" si="27"/>
        <v/>
      </c>
    </row>
    <row r="392" spans="1:13" x14ac:dyDescent="0.35">
      <c r="A392" s="81"/>
      <c r="B392" s="13"/>
      <c r="C392" s="21"/>
      <c r="D392" s="14"/>
      <c r="E392" s="14"/>
      <c r="F392" s="14"/>
      <c r="G392" s="21"/>
      <c r="H392" s="53"/>
      <c r="I392" s="7" t="str">
        <f t="shared" si="24"/>
        <v/>
      </c>
      <c r="J392" s="27" t="str">
        <f t="shared" ca="1" si="25"/>
        <v/>
      </c>
      <c r="K392" s="7" t="str">
        <f t="shared" si="26"/>
        <v/>
      </c>
      <c r="L392" s="13"/>
      <c r="M392" s="29" t="str">
        <f t="shared" si="27"/>
        <v/>
      </c>
    </row>
    <row r="393" spans="1:13" x14ac:dyDescent="0.35">
      <c r="A393" s="81"/>
      <c r="B393" s="13"/>
      <c r="C393" s="21"/>
      <c r="D393" s="14"/>
      <c r="E393" s="14"/>
      <c r="F393" s="14"/>
      <c r="G393" s="21"/>
      <c r="H393" s="53"/>
      <c r="I393" s="7" t="str">
        <f t="shared" si="24"/>
        <v/>
      </c>
      <c r="J393" s="27" t="str">
        <f t="shared" ca="1" si="25"/>
        <v/>
      </c>
      <c r="K393" s="7" t="str">
        <f t="shared" si="26"/>
        <v/>
      </c>
      <c r="L393" s="13"/>
      <c r="M393" s="29" t="str">
        <f t="shared" si="27"/>
        <v/>
      </c>
    </row>
    <row r="394" spans="1:13" x14ac:dyDescent="0.35">
      <c r="A394" s="81"/>
      <c r="B394" s="13"/>
      <c r="C394" s="21"/>
      <c r="D394" s="14"/>
      <c r="E394" s="14"/>
      <c r="F394" s="14"/>
      <c r="G394" s="21"/>
      <c r="H394" s="53"/>
      <c r="I394" s="7" t="str">
        <f t="shared" si="24"/>
        <v/>
      </c>
      <c r="J394" s="27" t="str">
        <f t="shared" ca="1" si="25"/>
        <v/>
      </c>
      <c r="K394" s="7" t="str">
        <f t="shared" si="26"/>
        <v/>
      </c>
      <c r="L394" s="13"/>
      <c r="M394" s="29" t="str">
        <f t="shared" si="27"/>
        <v/>
      </c>
    </row>
    <row r="395" spans="1:13" x14ac:dyDescent="0.35">
      <c r="A395" s="81"/>
      <c r="B395" s="13"/>
      <c r="C395" s="21"/>
      <c r="D395" s="14"/>
      <c r="E395" s="14"/>
      <c r="F395" s="14"/>
      <c r="G395" s="21"/>
      <c r="H395" s="53"/>
      <c r="I395" s="7" t="str">
        <f t="shared" si="24"/>
        <v/>
      </c>
      <c r="J395" s="27" t="str">
        <f t="shared" ca="1" si="25"/>
        <v/>
      </c>
      <c r="K395" s="7" t="str">
        <f t="shared" si="26"/>
        <v/>
      </c>
      <c r="L395" s="13"/>
      <c r="M395" s="29" t="str">
        <f t="shared" si="27"/>
        <v/>
      </c>
    </row>
    <row r="396" spans="1:13" x14ac:dyDescent="0.35">
      <c r="A396" s="81"/>
      <c r="B396" s="13"/>
      <c r="C396" s="21"/>
      <c r="D396" s="14"/>
      <c r="E396" s="14"/>
      <c r="F396" s="14"/>
      <c r="G396" s="21"/>
      <c r="H396" s="53"/>
      <c r="I396" s="7" t="str">
        <f t="shared" si="24"/>
        <v/>
      </c>
      <c r="J396" s="27" t="str">
        <f t="shared" ca="1" si="25"/>
        <v/>
      </c>
      <c r="K396" s="7" t="str">
        <f t="shared" si="26"/>
        <v/>
      </c>
      <c r="L396" s="13"/>
      <c r="M396" s="29" t="str">
        <f t="shared" si="27"/>
        <v/>
      </c>
    </row>
    <row r="397" spans="1:13" x14ac:dyDescent="0.35">
      <c r="A397" s="81"/>
      <c r="B397" s="13"/>
      <c r="C397" s="21"/>
      <c r="D397" s="14"/>
      <c r="E397" s="14"/>
      <c r="F397" s="14"/>
      <c r="G397" s="21"/>
      <c r="H397" s="53"/>
      <c r="I397" s="7" t="str">
        <f t="shared" si="24"/>
        <v/>
      </c>
      <c r="J397" s="27" t="str">
        <f t="shared" ca="1" si="25"/>
        <v/>
      </c>
      <c r="K397" s="7" t="str">
        <f t="shared" si="26"/>
        <v/>
      </c>
      <c r="L397" s="13"/>
      <c r="M397" s="29" t="str">
        <f t="shared" si="27"/>
        <v/>
      </c>
    </row>
    <row r="398" spans="1:13" x14ac:dyDescent="0.35">
      <c r="A398" s="81"/>
      <c r="B398" s="13"/>
      <c r="C398" s="21"/>
      <c r="D398" s="14"/>
      <c r="E398" s="14"/>
      <c r="F398" s="14"/>
      <c r="G398" s="21"/>
      <c r="H398" s="53"/>
      <c r="I398" s="7" t="str">
        <f t="shared" si="24"/>
        <v/>
      </c>
      <c r="J398" s="27" t="str">
        <f t="shared" ca="1" si="25"/>
        <v/>
      </c>
      <c r="K398" s="7" t="str">
        <f t="shared" si="26"/>
        <v/>
      </c>
      <c r="L398" s="13"/>
      <c r="M398" s="29" t="str">
        <f t="shared" si="27"/>
        <v/>
      </c>
    </row>
    <row r="399" spans="1:13" x14ac:dyDescent="0.35">
      <c r="A399" s="81"/>
      <c r="B399" s="13"/>
      <c r="C399" s="21"/>
      <c r="D399" s="14"/>
      <c r="E399" s="14"/>
      <c r="F399" s="14"/>
      <c r="G399" s="21"/>
      <c r="H399" s="53"/>
      <c r="I399" s="7" t="str">
        <f t="shared" si="24"/>
        <v/>
      </c>
      <c r="J399" s="27" t="str">
        <f t="shared" ca="1" si="25"/>
        <v/>
      </c>
      <c r="K399" s="7" t="str">
        <f t="shared" si="26"/>
        <v/>
      </c>
      <c r="L399" s="13"/>
      <c r="M399" s="29" t="str">
        <f t="shared" si="27"/>
        <v/>
      </c>
    </row>
    <row r="400" spans="1:13" x14ac:dyDescent="0.35">
      <c r="A400" s="81"/>
      <c r="B400" s="13"/>
      <c r="C400" s="21"/>
      <c r="D400" s="14"/>
      <c r="E400" s="14"/>
      <c r="F400" s="14"/>
      <c r="G400" s="21"/>
      <c r="H400" s="53"/>
      <c r="I400" s="7" t="str">
        <f t="shared" si="24"/>
        <v/>
      </c>
      <c r="J400" s="27" t="str">
        <f t="shared" ca="1" si="25"/>
        <v/>
      </c>
      <c r="K400" s="7" t="str">
        <f t="shared" si="26"/>
        <v/>
      </c>
      <c r="L400" s="13"/>
      <c r="M400" s="29" t="str">
        <f t="shared" si="27"/>
        <v/>
      </c>
    </row>
    <row r="401" spans="1:13" x14ac:dyDescent="0.35">
      <c r="A401" s="81"/>
      <c r="B401" s="13"/>
      <c r="C401" s="21"/>
      <c r="D401" s="14"/>
      <c r="E401" s="14"/>
      <c r="F401" s="14"/>
      <c r="G401" s="21"/>
      <c r="H401" s="53"/>
      <c r="I401" s="7" t="str">
        <f t="shared" si="24"/>
        <v/>
      </c>
      <c r="J401" s="27" t="str">
        <f t="shared" ca="1" si="25"/>
        <v/>
      </c>
      <c r="K401" s="7" t="str">
        <f t="shared" si="26"/>
        <v/>
      </c>
      <c r="L401" s="13"/>
      <c r="M401" s="29" t="str">
        <f t="shared" si="27"/>
        <v/>
      </c>
    </row>
    <row r="402" spans="1:13" x14ac:dyDescent="0.35">
      <c r="A402" s="81"/>
      <c r="B402" s="13"/>
      <c r="C402" s="21"/>
      <c r="D402" s="14"/>
      <c r="E402" s="14"/>
      <c r="F402" s="14"/>
      <c r="G402" s="21"/>
      <c r="H402" s="53"/>
      <c r="I402" s="7" t="str">
        <f t="shared" si="24"/>
        <v/>
      </c>
      <c r="J402" s="27" t="str">
        <f t="shared" ca="1" si="25"/>
        <v/>
      </c>
      <c r="K402" s="7" t="str">
        <f t="shared" si="26"/>
        <v/>
      </c>
      <c r="L402" s="13"/>
      <c r="M402" s="29" t="str">
        <f t="shared" si="27"/>
        <v/>
      </c>
    </row>
    <row r="403" spans="1:13" x14ac:dyDescent="0.35">
      <c r="A403" s="81"/>
      <c r="B403" s="13"/>
      <c r="C403" s="21"/>
      <c r="D403" s="14"/>
      <c r="E403" s="14"/>
      <c r="F403" s="14"/>
      <c r="G403" s="21"/>
      <c r="H403" s="53"/>
      <c r="I403" s="7" t="str">
        <f t="shared" si="24"/>
        <v/>
      </c>
      <c r="J403" s="27" t="str">
        <f t="shared" ca="1" si="25"/>
        <v/>
      </c>
      <c r="K403" s="7" t="str">
        <f t="shared" si="26"/>
        <v/>
      </c>
      <c r="L403" s="13"/>
      <c r="M403" s="29" t="str">
        <f t="shared" si="27"/>
        <v/>
      </c>
    </row>
    <row r="404" spans="1:13" x14ac:dyDescent="0.35">
      <c r="A404" s="81"/>
      <c r="B404" s="13"/>
      <c r="C404" s="21"/>
      <c r="D404" s="14"/>
      <c r="E404" s="14"/>
      <c r="F404" s="14"/>
      <c r="G404" s="21"/>
      <c r="H404" s="53"/>
      <c r="I404" s="7" t="str">
        <f t="shared" si="24"/>
        <v/>
      </c>
      <c r="J404" s="27" t="str">
        <f t="shared" ca="1" si="25"/>
        <v/>
      </c>
      <c r="K404" s="7" t="str">
        <f t="shared" si="26"/>
        <v/>
      </c>
      <c r="L404" s="13"/>
      <c r="M404" s="29" t="str">
        <f t="shared" si="27"/>
        <v/>
      </c>
    </row>
    <row r="405" spans="1:13" x14ac:dyDescent="0.35">
      <c r="A405" s="81"/>
      <c r="B405" s="13"/>
      <c r="C405" s="21"/>
      <c r="D405" s="14"/>
      <c r="E405" s="14"/>
      <c r="F405" s="14"/>
      <c r="G405" s="21"/>
      <c r="H405" s="53"/>
      <c r="I405" s="7" t="str">
        <f t="shared" si="24"/>
        <v/>
      </c>
      <c r="J405" s="27" t="str">
        <f t="shared" ca="1" si="25"/>
        <v/>
      </c>
      <c r="K405" s="7" t="str">
        <f t="shared" si="26"/>
        <v/>
      </c>
      <c r="L405" s="13"/>
      <c r="M405" s="29" t="str">
        <f t="shared" si="27"/>
        <v/>
      </c>
    </row>
    <row r="406" spans="1:13" x14ac:dyDescent="0.35">
      <c r="A406" s="81"/>
      <c r="B406" s="13"/>
      <c r="C406" s="21"/>
      <c r="D406" s="14"/>
      <c r="E406" s="14"/>
      <c r="F406" s="14"/>
      <c r="G406" s="21"/>
      <c r="H406" s="53"/>
      <c r="I406" s="7" t="str">
        <f t="shared" si="24"/>
        <v/>
      </c>
      <c r="J406" s="27" t="str">
        <f t="shared" ca="1" si="25"/>
        <v/>
      </c>
      <c r="K406" s="7" t="str">
        <f t="shared" si="26"/>
        <v/>
      </c>
      <c r="L406" s="13"/>
      <c r="M406" s="29" t="str">
        <f t="shared" si="27"/>
        <v/>
      </c>
    </row>
    <row r="407" spans="1:13" x14ac:dyDescent="0.35">
      <c r="A407" s="81"/>
      <c r="B407" s="13"/>
      <c r="C407" s="21"/>
      <c r="D407" s="14"/>
      <c r="E407" s="14"/>
      <c r="F407" s="14"/>
      <c r="G407" s="21"/>
      <c r="H407" s="53"/>
      <c r="I407" s="7" t="str">
        <f t="shared" si="24"/>
        <v/>
      </c>
      <c r="J407" s="27" t="str">
        <f t="shared" ca="1" si="25"/>
        <v/>
      </c>
      <c r="K407" s="7" t="str">
        <f t="shared" si="26"/>
        <v/>
      </c>
      <c r="L407" s="13"/>
      <c r="M407" s="29" t="str">
        <f t="shared" si="27"/>
        <v/>
      </c>
    </row>
    <row r="408" spans="1:13" x14ac:dyDescent="0.35">
      <c r="A408" s="81"/>
      <c r="B408" s="13"/>
      <c r="C408" s="21"/>
      <c r="D408" s="14"/>
      <c r="E408" s="14"/>
      <c r="F408" s="14"/>
      <c r="G408" s="21"/>
      <c r="H408" s="53"/>
      <c r="I408" s="7" t="str">
        <f t="shared" si="24"/>
        <v/>
      </c>
      <c r="J408" s="27" t="str">
        <f t="shared" ca="1" si="25"/>
        <v/>
      </c>
      <c r="K408" s="7" t="str">
        <f t="shared" si="26"/>
        <v/>
      </c>
      <c r="L408" s="13"/>
      <c r="M408" s="29" t="str">
        <f t="shared" si="27"/>
        <v/>
      </c>
    </row>
    <row r="409" spans="1:13" x14ac:dyDescent="0.35">
      <c r="A409" s="81"/>
      <c r="B409" s="13"/>
      <c r="C409" s="21"/>
      <c r="D409" s="14"/>
      <c r="E409" s="14"/>
      <c r="F409" s="14"/>
      <c r="G409" s="21"/>
      <c r="H409" s="53"/>
      <c r="I409" s="7" t="str">
        <f t="shared" si="24"/>
        <v/>
      </c>
      <c r="J409" s="27" t="str">
        <f t="shared" ca="1" si="25"/>
        <v/>
      </c>
      <c r="K409" s="7" t="str">
        <f t="shared" si="26"/>
        <v/>
      </c>
      <c r="L409" s="13"/>
      <c r="M409" s="29" t="str">
        <f t="shared" si="27"/>
        <v/>
      </c>
    </row>
    <row r="410" spans="1:13" x14ac:dyDescent="0.35">
      <c r="A410" s="81"/>
      <c r="B410" s="13"/>
      <c r="C410" s="21"/>
      <c r="D410" s="14"/>
      <c r="E410" s="14"/>
      <c r="F410" s="14"/>
      <c r="G410" s="21"/>
      <c r="H410" s="53"/>
      <c r="I410" s="7" t="str">
        <f t="shared" si="24"/>
        <v/>
      </c>
      <c r="J410" s="27" t="str">
        <f t="shared" ca="1" si="25"/>
        <v/>
      </c>
      <c r="K410" s="7" t="str">
        <f t="shared" si="26"/>
        <v/>
      </c>
      <c r="L410" s="13"/>
      <c r="M410" s="29" t="str">
        <f t="shared" si="27"/>
        <v/>
      </c>
    </row>
    <row r="411" spans="1:13" x14ac:dyDescent="0.35">
      <c r="A411" s="81"/>
      <c r="B411" s="13"/>
      <c r="C411" s="21"/>
      <c r="D411" s="14"/>
      <c r="E411" s="14"/>
      <c r="F411" s="14"/>
      <c r="G411" s="21"/>
      <c r="H411" s="53"/>
      <c r="I411" s="7" t="str">
        <f t="shared" si="24"/>
        <v/>
      </c>
      <c r="J411" s="27" t="str">
        <f t="shared" ca="1" si="25"/>
        <v/>
      </c>
      <c r="K411" s="7" t="str">
        <f t="shared" si="26"/>
        <v/>
      </c>
      <c r="L411" s="13"/>
      <c r="M411" s="29" t="str">
        <f t="shared" si="27"/>
        <v/>
      </c>
    </row>
    <row r="412" spans="1:13" x14ac:dyDescent="0.35">
      <c r="A412" s="81"/>
      <c r="B412" s="13"/>
      <c r="C412" s="21"/>
      <c r="D412" s="14"/>
      <c r="E412" s="14"/>
      <c r="F412" s="14"/>
      <c r="G412" s="21"/>
      <c r="H412" s="53"/>
      <c r="I412" s="7" t="str">
        <f t="shared" si="24"/>
        <v/>
      </c>
      <c r="J412" s="27" t="str">
        <f t="shared" ca="1" si="25"/>
        <v/>
      </c>
      <c r="K412" s="7" t="str">
        <f t="shared" si="26"/>
        <v/>
      </c>
      <c r="L412" s="13"/>
      <c r="M412" s="29" t="str">
        <f t="shared" si="27"/>
        <v/>
      </c>
    </row>
    <row r="413" spans="1:13" x14ac:dyDescent="0.35">
      <c r="A413" s="81"/>
      <c r="B413" s="13"/>
      <c r="C413" s="21"/>
      <c r="D413" s="14"/>
      <c r="E413" s="14"/>
      <c r="F413" s="14"/>
      <c r="G413" s="21"/>
      <c r="H413" s="53"/>
      <c r="I413" s="7" t="str">
        <f t="shared" si="24"/>
        <v/>
      </c>
      <c r="J413" s="27" t="str">
        <f t="shared" ca="1" si="25"/>
        <v/>
      </c>
      <c r="K413" s="7" t="str">
        <f t="shared" si="26"/>
        <v/>
      </c>
      <c r="L413" s="13"/>
      <c r="M413" s="29" t="str">
        <f t="shared" si="27"/>
        <v/>
      </c>
    </row>
    <row r="414" spans="1:13" x14ac:dyDescent="0.35">
      <c r="A414" s="81"/>
      <c r="B414" s="13"/>
      <c r="C414" s="21"/>
      <c r="D414" s="14"/>
      <c r="E414" s="14"/>
      <c r="F414" s="14"/>
      <c r="G414" s="21"/>
      <c r="H414" s="53"/>
      <c r="I414" s="7" t="str">
        <f t="shared" si="24"/>
        <v/>
      </c>
      <c r="J414" s="27" t="str">
        <f t="shared" ca="1" si="25"/>
        <v/>
      </c>
      <c r="K414" s="7" t="str">
        <f t="shared" si="26"/>
        <v/>
      </c>
      <c r="L414" s="13"/>
      <c r="M414" s="29" t="str">
        <f t="shared" si="27"/>
        <v/>
      </c>
    </row>
    <row r="415" spans="1:13" x14ac:dyDescent="0.35">
      <c r="A415" s="81"/>
      <c r="B415" s="13"/>
      <c r="C415" s="21"/>
      <c r="D415" s="14"/>
      <c r="E415" s="14"/>
      <c r="F415" s="14"/>
      <c r="G415" s="21"/>
      <c r="H415" s="53"/>
      <c r="I415" s="7" t="str">
        <f t="shared" si="24"/>
        <v/>
      </c>
      <c r="J415" s="27" t="str">
        <f t="shared" ca="1" si="25"/>
        <v/>
      </c>
      <c r="K415" s="7" t="str">
        <f t="shared" si="26"/>
        <v/>
      </c>
      <c r="L415" s="13"/>
      <c r="M415" s="29" t="str">
        <f t="shared" si="27"/>
        <v/>
      </c>
    </row>
    <row r="416" spans="1:13" x14ac:dyDescent="0.35">
      <c r="A416" s="81"/>
      <c r="B416" s="13"/>
      <c r="C416" s="21"/>
      <c r="D416" s="14"/>
      <c r="E416" s="14"/>
      <c r="F416" s="14"/>
      <c r="G416" s="21"/>
      <c r="H416" s="53"/>
      <c r="I416" s="7" t="str">
        <f t="shared" si="24"/>
        <v/>
      </c>
      <c r="J416" s="27" t="str">
        <f t="shared" ca="1" si="25"/>
        <v/>
      </c>
      <c r="K416" s="7" t="str">
        <f t="shared" si="26"/>
        <v/>
      </c>
      <c r="L416" s="13"/>
      <c r="M416" s="29" t="str">
        <f t="shared" si="27"/>
        <v/>
      </c>
    </row>
    <row r="417" spans="1:13" x14ac:dyDescent="0.35">
      <c r="A417" s="81"/>
      <c r="B417" s="13"/>
      <c r="C417" s="21"/>
      <c r="D417" s="14"/>
      <c r="E417" s="14"/>
      <c r="F417" s="14"/>
      <c r="G417" s="21"/>
      <c r="H417" s="53"/>
      <c r="I417" s="7" t="str">
        <f t="shared" si="24"/>
        <v/>
      </c>
      <c r="J417" s="27" t="str">
        <f t="shared" ca="1" si="25"/>
        <v/>
      </c>
      <c r="K417" s="7" t="str">
        <f t="shared" si="26"/>
        <v/>
      </c>
      <c r="L417" s="13"/>
      <c r="M417" s="29" t="str">
        <f t="shared" si="27"/>
        <v/>
      </c>
    </row>
    <row r="418" spans="1:13" x14ac:dyDescent="0.35">
      <c r="A418" s="81"/>
      <c r="B418" s="13"/>
      <c r="C418" s="21"/>
      <c r="D418" s="14"/>
      <c r="E418" s="14"/>
      <c r="F418" s="14"/>
      <c r="G418" s="21"/>
      <c r="H418" s="53"/>
      <c r="I418" s="7" t="str">
        <f t="shared" si="24"/>
        <v/>
      </c>
      <c r="J418" s="27" t="str">
        <f t="shared" ca="1" si="25"/>
        <v/>
      </c>
      <c r="K418" s="7" t="str">
        <f t="shared" si="26"/>
        <v/>
      </c>
      <c r="L418" s="13"/>
      <c r="M418" s="29" t="str">
        <f t="shared" si="27"/>
        <v/>
      </c>
    </row>
    <row r="419" spans="1:13" x14ac:dyDescent="0.35">
      <c r="A419" s="81"/>
      <c r="B419" s="13"/>
      <c r="C419" s="21"/>
      <c r="D419" s="14"/>
      <c r="E419" s="14"/>
      <c r="F419" s="14"/>
      <c r="G419" s="21"/>
      <c r="H419" s="53"/>
      <c r="I419" s="7" t="str">
        <f t="shared" si="24"/>
        <v/>
      </c>
      <c r="J419" s="27" t="str">
        <f t="shared" ca="1" si="25"/>
        <v/>
      </c>
      <c r="K419" s="7" t="str">
        <f t="shared" si="26"/>
        <v/>
      </c>
      <c r="L419" s="13"/>
      <c r="M419" s="29" t="str">
        <f t="shared" si="27"/>
        <v/>
      </c>
    </row>
    <row r="420" spans="1:13" x14ac:dyDescent="0.35">
      <c r="A420" s="81"/>
      <c r="B420" s="13"/>
      <c r="C420" s="21"/>
      <c r="D420" s="14"/>
      <c r="E420" s="14"/>
      <c r="F420" s="14"/>
      <c r="G420" s="21"/>
      <c r="H420" s="53"/>
      <c r="I420" s="7" t="str">
        <f t="shared" si="24"/>
        <v/>
      </c>
      <c r="J420" s="27" t="str">
        <f t="shared" ca="1" si="25"/>
        <v/>
      </c>
      <c r="K420" s="7" t="str">
        <f t="shared" si="26"/>
        <v/>
      </c>
      <c r="L420" s="13"/>
      <c r="M420" s="29" t="str">
        <f t="shared" si="27"/>
        <v/>
      </c>
    </row>
    <row r="421" spans="1:13" x14ac:dyDescent="0.35">
      <c r="A421" s="81"/>
      <c r="B421" s="13"/>
      <c r="C421" s="21"/>
      <c r="D421" s="14"/>
      <c r="E421" s="14"/>
      <c r="F421" s="14"/>
      <c r="G421" s="21"/>
      <c r="H421" s="53"/>
      <c r="I421" s="7" t="str">
        <f t="shared" si="24"/>
        <v/>
      </c>
      <c r="J421" s="27" t="str">
        <f t="shared" ca="1" si="25"/>
        <v/>
      </c>
      <c r="K421" s="7" t="str">
        <f t="shared" si="26"/>
        <v/>
      </c>
      <c r="L421" s="13"/>
      <c r="M421" s="29" t="str">
        <f t="shared" si="27"/>
        <v/>
      </c>
    </row>
    <row r="422" spans="1:13" x14ac:dyDescent="0.35">
      <c r="A422" s="81"/>
      <c r="B422" s="13"/>
      <c r="C422" s="21"/>
      <c r="D422" s="14"/>
      <c r="E422" s="14"/>
      <c r="F422" s="14"/>
      <c r="G422" s="21"/>
      <c r="H422" s="53"/>
      <c r="I422" s="7" t="str">
        <f t="shared" si="24"/>
        <v/>
      </c>
      <c r="J422" s="27" t="str">
        <f t="shared" ca="1" si="25"/>
        <v/>
      </c>
      <c r="K422" s="7" t="str">
        <f t="shared" si="26"/>
        <v/>
      </c>
      <c r="L422" s="13"/>
      <c r="M422" s="29" t="str">
        <f t="shared" si="27"/>
        <v/>
      </c>
    </row>
    <row r="423" spans="1:13" x14ac:dyDescent="0.35">
      <c r="A423" s="81"/>
      <c r="B423" s="13"/>
      <c r="C423" s="21"/>
      <c r="D423" s="14"/>
      <c r="E423" s="14"/>
      <c r="F423" s="14"/>
      <c r="G423" s="21"/>
      <c r="H423" s="53"/>
      <c r="I423" s="7" t="str">
        <f t="shared" si="24"/>
        <v/>
      </c>
      <c r="J423" s="27" t="str">
        <f t="shared" ca="1" si="25"/>
        <v/>
      </c>
      <c r="K423" s="7" t="str">
        <f t="shared" si="26"/>
        <v/>
      </c>
      <c r="L423" s="13"/>
      <c r="M423" s="29" t="str">
        <f t="shared" si="27"/>
        <v/>
      </c>
    </row>
    <row r="424" spans="1:13" x14ac:dyDescent="0.35">
      <c r="A424" s="81"/>
      <c r="B424" s="13"/>
      <c r="C424" s="21"/>
      <c r="D424" s="14"/>
      <c r="E424" s="14"/>
      <c r="F424" s="14"/>
      <c r="G424" s="21"/>
      <c r="H424" s="53"/>
      <c r="I424" s="7" t="str">
        <f t="shared" si="24"/>
        <v/>
      </c>
      <c r="J424" s="27" t="str">
        <f t="shared" ca="1" si="25"/>
        <v/>
      </c>
      <c r="K424" s="7" t="str">
        <f t="shared" si="26"/>
        <v/>
      </c>
      <c r="L424" s="13"/>
      <c r="M424" s="29" t="str">
        <f t="shared" si="27"/>
        <v/>
      </c>
    </row>
    <row r="425" spans="1:13" x14ac:dyDescent="0.35">
      <c r="A425" s="81"/>
      <c r="B425" s="13"/>
      <c r="C425" s="21"/>
      <c r="D425" s="14"/>
      <c r="E425" s="14"/>
      <c r="F425" s="14"/>
      <c r="G425" s="21"/>
      <c r="H425" s="53"/>
      <c r="I425" s="7" t="str">
        <f t="shared" si="24"/>
        <v/>
      </c>
      <c r="J425" s="27" t="str">
        <f t="shared" ca="1" si="25"/>
        <v/>
      </c>
      <c r="K425" s="7" t="str">
        <f t="shared" si="26"/>
        <v/>
      </c>
      <c r="L425" s="13"/>
      <c r="M425" s="29" t="str">
        <f t="shared" si="27"/>
        <v/>
      </c>
    </row>
    <row r="426" spans="1:13" x14ac:dyDescent="0.35">
      <c r="A426" s="81"/>
      <c r="B426" s="13"/>
      <c r="C426" s="21"/>
      <c r="D426" s="14"/>
      <c r="E426" s="14"/>
      <c r="F426" s="14"/>
      <c r="G426" s="21"/>
      <c r="H426" s="53"/>
      <c r="I426" s="7" t="str">
        <f t="shared" si="24"/>
        <v/>
      </c>
      <c r="J426" s="27" t="str">
        <f t="shared" ca="1" si="25"/>
        <v/>
      </c>
      <c r="K426" s="7" t="str">
        <f t="shared" si="26"/>
        <v/>
      </c>
      <c r="L426" s="13"/>
      <c r="M426" s="29" t="str">
        <f t="shared" si="27"/>
        <v/>
      </c>
    </row>
    <row r="427" spans="1:13" x14ac:dyDescent="0.35">
      <c r="A427" s="81"/>
      <c r="B427" s="13"/>
      <c r="C427" s="21"/>
      <c r="D427" s="14"/>
      <c r="E427" s="14"/>
      <c r="F427" s="14"/>
      <c r="G427" s="21"/>
      <c r="H427" s="53"/>
      <c r="I427" s="7" t="str">
        <f t="shared" si="24"/>
        <v/>
      </c>
      <c r="J427" s="27" t="str">
        <f t="shared" ca="1" si="25"/>
        <v/>
      </c>
      <c r="K427" s="7" t="str">
        <f t="shared" si="26"/>
        <v/>
      </c>
      <c r="L427" s="13"/>
      <c r="M427" s="29" t="str">
        <f t="shared" si="27"/>
        <v/>
      </c>
    </row>
    <row r="428" spans="1:13" x14ac:dyDescent="0.35">
      <c r="A428" s="81"/>
      <c r="B428" s="13"/>
      <c r="C428" s="21"/>
      <c r="D428" s="14"/>
      <c r="E428" s="14"/>
      <c r="F428" s="14"/>
      <c r="G428" s="21"/>
      <c r="H428" s="53"/>
      <c r="I428" s="7" t="str">
        <f t="shared" si="24"/>
        <v/>
      </c>
      <c r="J428" s="27" t="str">
        <f t="shared" ca="1" si="25"/>
        <v/>
      </c>
      <c r="K428" s="7" t="str">
        <f t="shared" si="26"/>
        <v/>
      </c>
      <c r="L428" s="13"/>
      <c r="M428" s="29" t="str">
        <f t="shared" si="27"/>
        <v/>
      </c>
    </row>
    <row r="429" spans="1:13" x14ac:dyDescent="0.35">
      <c r="A429" s="81"/>
      <c r="B429" s="13"/>
      <c r="C429" s="21"/>
      <c r="D429" s="14"/>
      <c r="E429" s="14"/>
      <c r="F429" s="14"/>
      <c r="G429" s="21"/>
      <c r="H429" s="53"/>
      <c r="I429" s="7" t="str">
        <f t="shared" si="24"/>
        <v/>
      </c>
      <c r="J429" s="27" t="str">
        <f t="shared" ca="1" si="25"/>
        <v/>
      </c>
      <c r="K429" s="7" t="str">
        <f t="shared" si="26"/>
        <v/>
      </c>
      <c r="L429" s="13"/>
      <c r="M429" s="29" t="str">
        <f t="shared" si="27"/>
        <v/>
      </c>
    </row>
    <row r="430" spans="1:13" x14ac:dyDescent="0.35">
      <c r="A430" s="81"/>
      <c r="B430" s="13"/>
      <c r="C430" s="21"/>
      <c r="D430" s="14"/>
      <c r="E430" s="14"/>
      <c r="F430" s="14"/>
      <c r="G430" s="21"/>
      <c r="H430" s="53"/>
      <c r="I430" s="7" t="str">
        <f t="shared" si="24"/>
        <v/>
      </c>
      <c r="J430" s="27" t="str">
        <f t="shared" ca="1" si="25"/>
        <v/>
      </c>
      <c r="K430" s="7" t="str">
        <f t="shared" si="26"/>
        <v/>
      </c>
      <c r="L430" s="13"/>
      <c r="M430" s="29" t="str">
        <f t="shared" si="27"/>
        <v/>
      </c>
    </row>
    <row r="431" spans="1:13" x14ac:dyDescent="0.35">
      <c r="A431" s="81"/>
      <c r="B431" s="13"/>
      <c r="C431" s="21"/>
      <c r="D431" s="14"/>
      <c r="E431" s="14"/>
      <c r="F431" s="14"/>
      <c r="G431" s="21"/>
      <c r="H431" s="53"/>
      <c r="I431" s="7" t="str">
        <f t="shared" si="24"/>
        <v/>
      </c>
      <c r="J431" s="27" t="str">
        <f t="shared" ca="1" si="25"/>
        <v/>
      </c>
      <c r="K431" s="7" t="str">
        <f t="shared" si="26"/>
        <v/>
      </c>
      <c r="L431" s="13"/>
      <c r="M431" s="29" t="str">
        <f t="shared" si="27"/>
        <v/>
      </c>
    </row>
    <row r="432" spans="1:13" x14ac:dyDescent="0.35">
      <c r="A432" s="81"/>
      <c r="B432" s="13"/>
      <c r="C432" s="21"/>
      <c r="D432" s="14"/>
      <c r="E432" s="14"/>
      <c r="F432" s="14"/>
      <c r="G432" s="21"/>
      <c r="H432" s="53"/>
      <c r="I432" s="7" t="str">
        <f t="shared" si="24"/>
        <v/>
      </c>
      <c r="J432" s="27" t="str">
        <f t="shared" ca="1" si="25"/>
        <v/>
      </c>
      <c r="K432" s="7" t="str">
        <f t="shared" si="26"/>
        <v/>
      </c>
      <c r="L432" s="13"/>
      <c r="M432" s="29" t="str">
        <f t="shared" si="27"/>
        <v/>
      </c>
    </row>
    <row r="433" spans="1:13" x14ac:dyDescent="0.35">
      <c r="A433" s="81"/>
      <c r="B433" s="13"/>
      <c r="C433" s="21"/>
      <c r="D433" s="14"/>
      <c r="E433" s="14"/>
      <c r="F433" s="14"/>
      <c r="G433" s="21"/>
      <c r="H433" s="53"/>
      <c r="I433" s="7" t="str">
        <f t="shared" si="24"/>
        <v/>
      </c>
      <c r="J433" s="27" t="str">
        <f t="shared" ca="1" si="25"/>
        <v/>
      </c>
      <c r="K433" s="7" t="str">
        <f t="shared" si="26"/>
        <v/>
      </c>
      <c r="L433" s="13"/>
      <c r="M433" s="29" t="str">
        <f t="shared" si="27"/>
        <v/>
      </c>
    </row>
    <row r="434" spans="1:13" x14ac:dyDescent="0.35">
      <c r="A434" s="81"/>
      <c r="B434" s="13"/>
      <c r="C434" s="21"/>
      <c r="D434" s="14"/>
      <c r="E434" s="14"/>
      <c r="F434" s="14"/>
      <c r="G434" s="21"/>
      <c r="H434" s="53"/>
      <c r="I434" s="7" t="str">
        <f t="shared" si="24"/>
        <v/>
      </c>
      <c r="J434" s="27" t="str">
        <f t="shared" ca="1" si="25"/>
        <v/>
      </c>
      <c r="K434" s="7" t="str">
        <f t="shared" si="26"/>
        <v/>
      </c>
      <c r="L434" s="13"/>
      <c r="M434" s="29" t="str">
        <f t="shared" si="27"/>
        <v/>
      </c>
    </row>
    <row r="435" spans="1:13" x14ac:dyDescent="0.35">
      <c r="A435" s="81"/>
      <c r="B435" s="13"/>
      <c r="C435" s="21"/>
      <c r="D435" s="14"/>
      <c r="E435" s="14"/>
      <c r="F435" s="14"/>
      <c r="G435" s="21"/>
      <c r="H435" s="53"/>
      <c r="I435" s="7" t="str">
        <f t="shared" si="24"/>
        <v/>
      </c>
      <c r="J435" s="27" t="str">
        <f t="shared" ca="1" si="25"/>
        <v/>
      </c>
      <c r="K435" s="7" t="str">
        <f t="shared" si="26"/>
        <v/>
      </c>
      <c r="L435" s="13"/>
      <c r="M435" s="29" t="str">
        <f t="shared" si="27"/>
        <v/>
      </c>
    </row>
    <row r="436" spans="1:13" x14ac:dyDescent="0.35">
      <c r="A436" s="81"/>
      <c r="B436" s="13"/>
      <c r="C436" s="21"/>
      <c r="D436" s="14"/>
      <c r="E436" s="14"/>
      <c r="F436" s="14"/>
      <c r="G436" s="21"/>
      <c r="H436" s="53"/>
      <c r="I436" s="7" t="str">
        <f t="shared" si="24"/>
        <v/>
      </c>
      <c r="J436" s="27" t="str">
        <f t="shared" ca="1" si="25"/>
        <v/>
      </c>
      <c r="K436" s="7" t="str">
        <f t="shared" si="26"/>
        <v/>
      </c>
      <c r="L436" s="13"/>
      <c r="M436" s="29" t="str">
        <f t="shared" si="27"/>
        <v/>
      </c>
    </row>
    <row r="437" spans="1:13" x14ac:dyDescent="0.35">
      <c r="A437" s="81"/>
      <c r="B437" s="13"/>
      <c r="C437" s="21"/>
      <c r="D437" s="14"/>
      <c r="E437" s="14"/>
      <c r="F437" s="14"/>
      <c r="G437" s="21"/>
      <c r="H437" s="53"/>
      <c r="I437" s="7" t="str">
        <f t="shared" si="24"/>
        <v/>
      </c>
      <c r="J437" s="27" t="str">
        <f t="shared" ca="1" si="25"/>
        <v/>
      </c>
      <c r="K437" s="7" t="str">
        <f t="shared" si="26"/>
        <v/>
      </c>
      <c r="L437" s="13"/>
      <c r="M437" s="29" t="str">
        <f t="shared" si="27"/>
        <v/>
      </c>
    </row>
    <row r="438" spans="1:13" x14ac:dyDescent="0.35">
      <c r="A438" s="81"/>
      <c r="B438" s="13"/>
      <c r="C438" s="21"/>
      <c r="D438" s="14"/>
      <c r="E438" s="14"/>
      <c r="F438" s="14"/>
      <c r="G438" s="21"/>
      <c r="H438" s="53"/>
      <c r="I438" s="7" t="str">
        <f t="shared" si="24"/>
        <v/>
      </c>
      <c r="J438" s="27" t="str">
        <f t="shared" ca="1" si="25"/>
        <v/>
      </c>
      <c r="K438" s="7" t="str">
        <f t="shared" si="26"/>
        <v/>
      </c>
      <c r="L438" s="13"/>
      <c r="M438" s="29" t="str">
        <f t="shared" si="27"/>
        <v/>
      </c>
    </row>
    <row r="439" spans="1:13" x14ac:dyDescent="0.35">
      <c r="A439" s="81"/>
      <c r="B439" s="13"/>
      <c r="C439" s="21"/>
      <c r="D439" s="14"/>
      <c r="E439" s="14"/>
      <c r="F439" s="14"/>
      <c r="G439" s="21"/>
      <c r="H439" s="53"/>
      <c r="I439" s="7" t="str">
        <f t="shared" si="24"/>
        <v/>
      </c>
      <c r="J439" s="27" t="str">
        <f t="shared" ca="1" si="25"/>
        <v/>
      </c>
      <c r="K439" s="7" t="str">
        <f t="shared" si="26"/>
        <v/>
      </c>
      <c r="L439" s="13"/>
      <c r="M439" s="29" t="str">
        <f t="shared" si="27"/>
        <v/>
      </c>
    </row>
    <row r="440" spans="1:13" x14ac:dyDescent="0.35">
      <c r="A440" s="81"/>
      <c r="B440" s="13"/>
      <c r="C440" s="21"/>
      <c r="D440" s="14"/>
      <c r="E440" s="14"/>
      <c r="F440" s="14"/>
      <c r="G440" s="21"/>
      <c r="H440" s="53"/>
      <c r="I440" s="7" t="str">
        <f t="shared" si="24"/>
        <v/>
      </c>
      <c r="J440" s="27" t="str">
        <f t="shared" ca="1" si="25"/>
        <v/>
      </c>
      <c r="K440" s="7" t="str">
        <f t="shared" si="26"/>
        <v/>
      </c>
      <c r="L440" s="13"/>
      <c r="M440" s="29" t="str">
        <f t="shared" si="27"/>
        <v/>
      </c>
    </row>
    <row r="441" spans="1:13" x14ac:dyDescent="0.35">
      <c r="A441" s="81"/>
      <c r="B441" s="13"/>
      <c r="C441" s="21"/>
      <c r="D441" s="14"/>
      <c r="E441" s="14"/>
      <c r="F441" s="14"/>
      <c r="G441" s="21"/>
      <c r="H441" s="53"/>
      <c r="I441" s="7" t="str">
        <f t="shared" si="24"/>
        <v/>
      </c>
      <c r="J441" s="27" t="str">
        <f t="shared" ca="1" si="25"/>
        <v/>
      </c>
      <c r="K441" s="7" t="str">
        <f t="shared" si="26"/>
        <v/>
      </c>
      <c r="L441" s="13"/>
      <c r="M441" s="29" t="str">
        <f t="shared" si="27"/>
        <v/>
      </c>
    </row>
    <row r="442" spans="1:13" x14ac:dyDescent="0.35">
      <c r="A442" s="81"/>
      <c r="B442" s="13"/>
      <c r="C442" s="21"/>
      <c r="D442" s="14"/>
      <c r="E442" s="14"/>
      <c r="F442" s="14"/>
      <c r="G442" s="21"/>
      <c r="H442" s="53"/>
      <c r="I442" s="7" t="str">
        <f t="shared" si="24"/>
        <v/>
      </c>
      <c r="J442" s="27" t="str">
        <f t="shared" ca="1" si="25"/>
        <v/>
      </c>
      <c r="K442" s="7" t="str">
        <f t="shared" si="26"/>
        <v/>
      </c>
      <c r="L442" s="13"/>
      <c r="M442" s="29" t="str">
        <f t="shared" si="27"/>
        <v/>
      </c>
    </row>
    <row r="443" spans="1:13" x14ac:dyDescent="0.35">
      <c r="A443" s="81"/>
      <c r="B443" s="13"/>
      <c r="C443" s="21"/>
      <c r="D443" s="14"/>
      <c r="E443" s="14"/>
      <c r="F443" s="14"/>
      <c r="G443" s="21"/>
      <c r="H443" s="53"/>
      <c r="I443" s="7" t="str">
        <f t="shared" si="24"/>
        <v/>
      </c>
      <c r="J443" s="27" t="str">
        <f t="shared" ca="1" si="25"/>
        <v/>
      </c>
      <c r="K443" s="7" t="str">
        <f t="shared" si="26"/>
        <v/>
      </c>
      <c r="L443" s="13"/>
      <c r="M443" s="29" t="str">
        <f t="shared" si="27"/>
        <v/>
      </c>
    </row>
    <row r="444" spans="1:13" x14ac:dyDescent="0.35">
      <c r="A444" s="81"/>
      <c r="B444" s="13"/>
      <c r="C444" s="21"/>
      <c r="D444" s="14"/>
      <c r="E444" s="14"/>
      <c r="F444" s="14"/>
      <c r="G444" s="21"/>
      <c r="H444" s="53"/>
      <c r="I444" s="7" t="str">
        <f t="shared" si="24"/>
        <v/>
      </c>
      <c r="J444" s="27" t="str">
        <f t="shared" ca="1" si="25"/>
        <v/>
      </c>
      <c r="K444" s="7" t="str">
        <f t="shared" si="26"/>
        <v/>
      </c>
      <c r="L444" s="13"/>
      <c r="M444" s="29" t="str">
        <f t="shared" si="27"/>
        <v/>
      </c>
    </row>
    <row r="445" spans="1:13" x14ac:dyDescent="0.35">
      <c r="A445" s="81"/>
      <c r="B445" s="13"/>
      <c r="C445" s="21"/>
      <c r="D445" s="14"/>
      <c r="E445" s="14"/>
      <c r="F445" s="14"/>
      <c r="G445" s="21"/>
      <c r="H445" s="53"/>
      <c r="I445" s="7" t="str">
        <f t="shared" si="24"/>
        <v/>
      </c>
      <c r="J445" s="27" t="str">
        <f t="shared" ca="1" si="25"/>
        <v/>
      </c>
      <c r="K445" s="7" t="str">
        <f t="shared" si="26"/>
        <v/>
      </c>
      <c r="L445" s="13"/>
      <c r="M445" s="29" t="str">
        <f t="shared" si="27"/>
        <v/>
      </c>
    </row>
    <row r="446" spans="1:13" x14ac:dyDescent="0.35">
      <c r="A446" s="81"/>
      <c r="B446" s="13"/>
      <c r="C446" s="21"/>
      <c r="D446" s="14"/>
      <c r="E446" s="14"/>
      <c r="F446" s="14"/>
      <c r="G446" s="21"/>
      <c r="H446" s="53"/>
      <c r="I446" s="7" t="str">
        <f t="shared" si="24"/>
        <v/>
      </c>
      <c r="J446" s="27" t="str">
        <f t="shared" ca="1" si="25"/>
        <v/>
      </c>
      <c r="K446" s="7" t="str">
        <f t="shared" si="26"/>
        <v/>
      </c>
      <c r="L446" s="13"/>
      <c r="M446" s="29" t="str">
        <f t="shared" si="27"/>
        <v/>
      </c>
    </row>
    <row r="447" spans="1:13" x14ac:dyDescent="0.35">
      <c r="A447" s="81"/>
      <c r="B447" s="13"/>
      <c r="C447" s="21"/>
      <c r="D447" s="14"/>
      <c r="E447" s="14"/>
      <c r="F447" s="14"/>
      <c r="G447" s="21"/>
      <c r="H447" s="53"/>
      <c r="I447" s="7" t="str">
        <f t="shared" si="24"/>
        <v/>
      </c>
      <c r="J447" s="27" t="str">
        <f t="shared" ca="1" si="25"/>
        <v/>
      </c>
      <c r="K447" s="7" t="str">
        <f t="shared" si="26"/>
        <v/>
      </c>
      <c r="L447" s="13"/>
      <c r="M447" s="29" t="str">
        <f t="shared" si="27"/>
        <v/>
      </c>
    </row>
    <row r="448" spans="1:13" x14ac:dyDescent="0.35">
      <c r="A448" s="81"/>
      <c r="B448" s="13"/>
      <c r="C448" s="21"/>
      <c r="D448" s="14"/>
      <c r="E448" s="14"/>
      <c r="F448" s="14"/>
      <c r="G448" s="21"/>
      <c r="H448" s="53"/>
      <c r="I448" s="7" t="str">
        <f t="shared" si="24"/>
        <v/>
      </c>
      <c r="J448" s="27" t="str">
        <f t="shared" ca="1" si="25"/>
        <v/>
      </c>
      <c r="K448" s="7" t="str">
        <f t="shared" si="26"/>
        <v/>
      </c>
      <c r="L448" s="13"/>
      <c r="M448" s="29" t="str">
        <f t="shared" si="27"/>
        <v/>
      </c>
    </row>
    <row r="449" spans="1:13" x14ac:dyDescent="0.35">
      <c r="A449" s="81"/>
      <c r="B449" s="13"/>
      <c r="C449" s="21"/>
      <c r="D449" s="14"/>
      <c r="E449" s="14"/>
      <c r="F449" s="14"/>
      <c r="G449" s="21"/>
      <c r="H449" s="53"/>
      <c r="I449" s="7" t="str">
        <f t="shared" si="24"/>
        <v/>
      </c>
      <c r="J449" s="27" t="str">
        <f t="shared" ca="1" si="25"/>
        <v/>
      </c>
      <c r="K449" s="7" t="str">
        <f t="shared" si="26"/>
        <v/>
      </c>
      <c r="L449" s="13"/>
      <c r="M449" s="29" t="str">
        <f t="shared" si="27"/>
        <v/>
      </c>
    </row>
    <row r="450" spans="1:13" x14ac:dyDescent="0.35">
      <c r="A450" s="81"/>
      <c r="B450" s="13"/>
      <c r="C450" s="21"/>
      <c r="D450" s="14"/>
      <c r="E450" s="14"/>
      <c r="F450" s="14"/>
      <c r="G450" s="21"/>
      <c r="H450" s="53"/>
      <c r="I450" s="7" t="str">
        <f t="shared" si="24"/>
        <v/>
      </c>
      <c r="J450" s="27" t="str">
        <f t="shared" ca="1" si="25"/>
        <v/>
      </c>
      <c r="K450" s="7" t="str">
        <f t="shared" si="26"/>
        <v/>
      </c>
      <c r="L450" s="13"/>
      <c r="M450" s="29" t="str">
        <f t="shared" si="27"/>
        <v/>
      </c>
    </row>
    <row r="451" spans="1:13" x14ac:dyDescent="0.35">
      <c r="A451" s="81"/>
      <c r="B451" s="13"/>
      <c r="C451" s="21"/>
      <c r="D451" s="14"/>
      <c r="E451" s="14"/>
      <c r="F451" s="14"/>
      <c r="G451" s="21"/>
      <c r="H451" s="53"/>
      <c r="I451" s="7" t="str">
        <f t="shared" ref="I451:I514" si="28">IF($A451="","",IF($F451&lt;&gt;"","Envoyé DHL",IF($E451&lt;&gt;"","Reçu (à envoyer)",IF($D451&lt;&gt;"","Demandé (en attente)","À demander"))))</f>
        <v/>
      </c>
      <c r="J451" s="27" t="str">
        <f t="shared" ref="J451:J514" ca="1" si="29">IF(AND($A451&lt;&gt;"",$D451&lt;&gt;"",$E451=""),TODAY()-$D451,"")</f>
        <v/>
      </c>
      <c r="K451" s="7" t="str">
        <f t="shared" ref="K451:K514" si="30">IF($A451="","",IF(AND($J451&lt;&gt;"",N($J451)&gt;P_AlerteDoc),"Attente &gt; "&amp;P_AlerteDoc&amp;" jours",IF(AND($E451&lt;&gt;"",$F451=""),"Reçu : à envoyer par DHL","")))</f>
        <v/>
      </c>
      <c r="L451" s="13"/>
      <c r="M451" s="29" t="str">
        <f t="shared" ref="M451:M514" si="31">IF($K451&lt;&gt;"",1,"")</f>
        <v/>
      </c>
    </row>
    <row r="452" spans="1:13" x14ac:dyDescent="0.35">
      <c r="A452" s="81"/>
      <c r="B452" s="13"/>
      <c r="C452" s="21"/>
      <c r="D452" s="14"/>
      <c r="E452" s="14"/>
      <c r="F452" s="14"/>
      <c r="G452" s="21"/>
      <c r="H452" s="53"/>
      <c r="I452" s="7" t="str">
        <f t="shared" si="28"/>
        <v/>
      </c>
      <c r="J452" s="27" t="str">
        <f t="shared" ca="1" si="29"/>
        <v/>
      </c>
      <c r="K452" s="7" t="str">
        <f t="shared" si="30"/>
        <v/>
      </c>
      <c r="L452" s="13"/>
      <c r="M452" s="29" t="str">
        <f t="shared" si="31"/>
        <v/>
      </c>
    </row>
    <row r="453" spans="1:13" x14ac:dyDescent="0.35">
      <c r="A453" s="81"/>
      <c r="B453" s="13"/>
      <c r="C453" s="21"/>
      <c r="D453" s="14"/>
      <c r="E453" s="14"/>
      <c r="F453" s="14"/>
      <c r="G453" s="21"/>
      <c r="H453" s="53"/>
      <c r="I453" s="7" t="str">
        <f t="shared" si="28"/>
        <v/>
      </c>
      <c r="J453" s="27" t="str">
        <f t="shared" ca="1" si="29"/>
        <v/>
      </c>
      <c r="K453" s="7" t="str">
        <f t="shared" si="30"/>
        <v/>
      </c>
      <c r="L453" s="13"/>
      <c r="M453" s="29" t="str">
        <f t="shared" si="31"/>
        <v/>
      </c>
    </row>
    <row r="454" spans="1:13" x14ac:dyDescent="0.35">
      <c r="A454" s="81"/>
      <c r="B454" s="13"/>
      <c r="C454" s="21"/>
      <c r="D454" s="14"/>
      <c r="E454" s="14"/>
      <c r="F454" s="14"/>
      <c r="G454" s="21"/>
      <c r="H454" s="53"/>
      <c r="I454" s="7" t="str">
        <f t="shared" si="28"/>
        <v/>
      </c>
      <c r="J454" s="27" t="str">
        <f t="shared" ca="1" si="29"/>
        <v/>
      </c>
      <c r="K454" s="7" t="str">
        <f t="shared" si="30"/>
        <v/>
      </c>
      <c r="L454" s="13"/>
      <c r="M454" s="29" t="str">
        <f t="shared" si="31"/>
        <v/>
      </c>
    </row>
    <row r="455" spans="1:13" x14ac:dyDescent="0.35">
      <c r="A455" s="81"/>
      <c r="B455" s="13"/>
      <c r="C455" s="21"/>
      <c r="D455" s="14"/>
      <c r="E455" s="14"/>
      <c r="F455" s="14"/>
      <c r="G455" s="21"/>
      <c r="H455" s="53"/>
      <c r="I455" s="7" t="str">
        <f t="shared" si="28"/>
        <v/>
      </c>
      <c r="J455" s="27" t="str">
        <f t="shared" ca="1" si="29"/>
        <v/>
      </c>
      <c r="K455" s="7" t="str">
        <f t="shared" si="30"/>
        <v/>
      </c>
      <c r="L455" s="13"/>
      <c r="M455" s="29" t="str">
        <f t="shared" si="31"/>
        <v/>
      </c>
    </row>
    <row r="456" spans="1:13" x14ac:dyDescent="0.35">
      <c r="A456" s="81"/>
      <c r="B456" s="13"/>
      <c r="C456" s="21"/>
      <c r="D456" s="14"/>
      <c r="E456" s="14"/>
      <c r="F456" s="14"/>
      <c r="G456" s="21"/>
      <c r="H456" s="53"/>
      <c r="I456" s="7" t="str">
        <f t="shared" si="28"/>
        <v/>
      </c>
      <c r="J456" s="27" t="str">
        <f t="shared" ca="1" si="29"/>
        <v/>
      </c>
      <c r="K456" s="7" t="str">
        <f t="shared" si="30"/>
        <v/>
      </c>
      <c r="L456" s="13"/>
      <c r="M456" s="29" t="str">
        <f t="shared" si="31"/>
        <v/>
      </c>
    </row>
    <row r="457" spans="1:13" x14ac:dyDescent="0.35">
      <c r="A457" s="81"/>
      <c r="B457" s="13"/>
      <c r="C457" s="21"/>
      <c r="D457" s="14"/>
      <c r="E457" s="14"/>
      <c r="F457" s="14"/>
      <c r="G457" s="21"/>
      <c r="H457" s="53"/>
      <c r="I457" s="7" t="str">
        <f t="shared" si="28"/>
        <v/>
      </c>
      <c r="J457" s="27" t="str">
        <f t="shared" ca="1" si="29"/>
        <v/>
      </c>
      <c r="K457" s="7" t="str">
        <f t="shared" si="30"/>
        <v/>
      </c>
      <c r="L457" s="13"/>
      <c r="M457" s="29" t="str">
        <f t="shared" si="31"/>
        <v/>
      </c>
    </row>
    <row r="458" spans="1:13" x14ac:dyDescent="0.35">
      <c r="A458" s="81"/>
      <c r="B458" s="13"/>
      <c r="C458" s="21"/>
      <c r="D458" s="14"/>
      <c r="E458" s="14"/>
      <c r="F458" s="14"/>
      <c r="G458" s="21"/>
      <c r="H458" s="53"/>
      <c r="I458" s="7" t="str">
        <f t="shared" si="28"/>
        <v/>
      </c>
      <c r="J458" s="27" t="str">
        <f t="shared" ca="1" si="29"/>
        <v/>
      </c>
      <c r="K458" s="7" t="str">
        <f t="shared" si="30"/>
        <v/>
      </c>
      <c r="L458" s="13"/>
      <c r="M458" s="29" t="str">
        <f t="shared" si="31"/>
        <v/>
      </c>
    </row>
    <row r="459" spans="1:13" x14ac:dyDescent="0.35">
      <c r="A459" s="81"/>
      <c r="B459" s="13"/>
      <c r="C459" s="21"/>
      <c r="D459" s="14"/>
      <c r="E459" s="14"/>
      <c r="F459" s="14"/>
      <c r="G459" s="21"/>
      <c r="H459" s="53"/>
      <c r="I459" s="7" t="str">
        <f t="shared" si="28"/>
        <v/>
      </c>
      <c r="J459" s="27" t="str">
        <f t="shared" ca="1" si="29"/>
        <v/>
      </c>
      <c r="K459" s="7" t="str">
        <f t="shared" si="30"/>
        <v/>
      </c>
      <c r="L459" s="13"/>
      <c r="M459" s="29" t="str">
        <f t="shared" si="31"/>
        <v/>
      </c>
    </row>
    <row r="460" spans="1:13" x14ac:dyDescent="0.35">
      <c r="A460" s="81"/>
      <c r="B460" s="13"/>
      <c r="C460" s="21"/>
      <c r="D460" s="14"/>
      <c r="E460" s="14"/>
      <c r="F460" s="14"/>
      <c r="G460" s="21"/>
      <c r="H460" s="53"/>
      <c r="I460" s="7" t="str">
        <f t="shared" si="28"/>
        <v/>
      </c>
      <c r="J460" s="27" t="str">
        <f t="shared" ca="1" si="29"/>
        <v/>
      </c>
      <c r="K460" s="7" t="str">
        <f t="shared" si="30"/>
        <v/>
      </c>
      <c r="L460" s="13"/>
      <c r="M460" s="29" t="str">
        <f t="shared" si="31"/>
        <v/>
      </c>
    </row>
    <row r="461" spans="1:13" x14ac:dyDescent="0.35">
      <c r="A461" s="81"/>
      <c r="B461" s="13"/>
      <c r="C461" s="21"/>
      <c r="D461" s="14"/>
      <c r="E461" s="14"/>
      <c r="F461" s="14"/>
      <c r="G461" s="21"/>
      <c r="H461" s="53"/>
      <c r="I461" s="7" t="str">
        <f t="shared" si="28"/>
        <v/>
      </c>
      <c r="J461" s="27" t="str">
        <f t="shared" ca="1" si="29"/>
        <v/>
      </c>
      <c r="K461" s="7" t="str">
        <f t="shared" si="30"/>
        <v/>
      </c>
      <c r="L461" s="13"/>
      <c r="M461" s="29" t="str">
        <f t="shared" si="31"/>
        <v/>
      </c>
    </row>
    <row r="462" spans="1:13" x14ac:dyDescent="0.35">
      <c r="A462" s="81"/>
      <c r="B462" s="13"/>
      <c r="C462" s="21"/>
      <c r="D462" s="14"/>
      <c r="E462" s="14"/>
      <c r="F462" s="14"/>
      <c r="G462" s="21"/>
      <c r="H462" s="53"/>
      <c r="I462" s="7" t="str">
        <f t="shared" si="28"/>
        <v/>
      </c>
      <c r="J462" s="27" t="str">
        <f t="shared" ca="1" si="29"/>
        <v/>
      </c>
      <c r="K462" s="7" t="str">
        <f t="shared" si="30"/>
        <v/>
      </c>
      <c r="L462" s="13"/>
      <c r="M462" s="29" t="str">
        <f t="shared" si="31"/>
        <v/>
      </c>
    </row>
    <row r="463" spans="1:13" x14ac:dyDescent="0.35">
      <c r="A463" s="81"/>
      <c r="B463" s="13"/>
      <c r="C463" s="21"/>
      <c r="D463" s="14"/>
      <c r="E463" s="14"/>
      <c r="F463" s="14"/>
      <c r="G463" s="21"/>
      <c r="H463" s="53"/>
      <c r="I463" s="7" t="str">
        <f t="shared" si="28"/>
        <v/>
      </c>
      <c r="J463" s="27" t="str">
        <f t="shared" ca="1" si="29"/>
        <v/>
      </c>
      <c r="K463" s="7" t="str">
        <f t="shared" si="30"/>
        <v/>
      </c>
      <c r="L463" s="13"/>
      <c r="M463" s="29" t="str">
        <f t="shared" si="31"/>
        <v/>
      </c>
    </row>
    <row r="464" spans="1:13" x14ac:dyDescent="0.35">
      <c r="A464" s="81"/>
      <c r="B464" s="13"/>
      <c r="C464" s="21"/>
      <c r="D464" s="14"/>
      <c r="E464" s="14"/>
      <c r="F464" s="14"/>
      <c r="G464" s="21"/>
      <c r="H464" s="53"/>
      <c r="I464" s="7" t="str">
        <f t="shared" si="28"/>
        <v/>
      </c>
      <c r="J464" s="27" t="str">
        <f t="shared" ca="1" si="29"/>
        <v/>
      </c>
      <c r="K464" s="7" t="str">
        <f t="shared" si="30"/>
        <v/>
      </c>
      <c r="L464" s="13"/>
      <c r="M464" s="29" t="str">
        <f t="shared" si="31"/>
        <v/>
      </c>
    </row>
    <row r="465" spans="1:13" x14ac:dyDescent="0.35">
      <c r="A465" s="81"/>
      <c r="B465" s="13"/>
      <c r="C465" s="21"/>
      <c r="D465" s="14"/>
      <c r="E465" s="14"/>
      <c r="F465" s="14"/>
      <c r="G465" s="21"/>
      <c r="H465" s="53"/>
      <c r="I465" s="7" t="str">
        <f t="shared" si="28"/>
        <v/>
      </c>
      <c r="J465" s="27" t="str">
        <f t="shared" ca="1" si="29"/>
        <v/>
      </c>
      <c r="K465" s="7" t="str">
        <f t="shared" si="30"/>
        <v/>
      </c>
      <c r="L465" s="13"/>
      <c r="M465" s="29" t="str">
        <f t="shared" si="31"/>
        <v/>
      </c>
    </row>
    <row r="466" spans="1:13" x14ac:dyDescent="0.35">
      <c r="A466" s="81"/>
      <c r="B466" s="13"/>
      <c r="C466" s="21"/>
      <c r="D466" s="14"/>
      <c r="E466" s="14"/>
      <c r="F466" s="14"/>
      <c r="G466" s="21"/>
      <c r="H466" s="53"/>
      <c r="I466" s="7" t="str">
        <f t="shared" si="28"/>
        <v/>
      </c>
      <c r="J466" s="27" t="str">
        <f t="shared" ca="1" si="29"/>
        <v/>
      </c>
      <c r="K466" s="7" t="str">
        <f t="shared" si="30"/>
        <v/>
      </c>
      <c r="L466" s="13"/>
      <c r="M466" s="29" t="str">
        <f t="shared" si="31"/>
        <v/>
      </c>
    </row>
    <row r="467" spans="1:13" x14ac:dyDescent="0.35">
      <c r="A467" s="81"/>
      <c r="B467" s="13"/>
      <c r="C467" s="21"/>
      <c r="D467" s="14"/>
      <c r="E467" s="14"/>
      <c r="F467" s="14"/>
      <c r="G467" s="21"/>
      <c r="H467" s="53"/>
      <c r="I467" s="7" t="str">
        <f t="shared" si="28"/>
        <v/>
      </c>
      <c r="J467" s="27" t="str">
        <f t="shared" ca="1" si="29"/>
        <v/>
      </c>
      <c r="K467" s="7" t="str">
        <f t="shared" si="30"/>
        <v/>
      </c>
      <c r="L467" s="13"/>
      <c r="M467" s="29" t="str">
        <f t="shared" si="31"/>
        <v/>
      </c>
    </row>
    <row r="468" spans="1:13" x14ac:dyDescent="0.35">
      <c r="A468" s="81"/>
      <c r="B468" s="13"/>
      <c r="C468" s="21"/>
      <c r="D468" s="14"/>
      <c r="E468" s="14"/>
      <c r="F468" s="14"/>
      <c r="G468" s="21"/>
      <c r="H468" s="53"/>
      <c r="I468" s="7" t="str">
        <f t="shared" si="28"/>
        <v/>
      </c>
      <c r="J468" s="27" t="str">
        <f t="shared" ca="1" si="29"/>
        <v/>
      </c>
      <c r="K468" s="7" t="str">
        <f t="shared" si="30"/>
        <v/>
      </c>
      <c r="L468" s="13"/>
      <c r="M468" s="29" t="str">
        <f t="shared" si="31"/>
        <v/>
      </c>
    </row>
    <row r="469" spans="1:13" x14ac:dyDescent="0.35">
      <c r="A469" s="81"/>
      <c r="B469" s="13"/>
      <c r="C469" s="21"/>
      <c r="D469" s="14"/>
      <c r="E469" s="14"/>
      <c r="F469" s="14"/>
      <c r="G469" s="21"/>
      <c r="H469" s="53"/>
      <c r="I469" s="7" t="str">
        <f t="shared" si="28"/>
        <v/>
      </c>
      <c r="J469" s="27" t="str">
        <f t="shared" ca="1" si="29"/>
        <v/>
      </c>
      <c r="K469" s="7" t="str">
        <f t="shared" si="30"/>
        <v/>
      </c>
      <c r="L469" s="13"/>
      <c r="M469" s="29" t="str">
        <f t="shared" si="31"/>
        <v/>
      </c>
    </row>
    <row r="470" spans="1:13" x14ac:dyDescent="0.35">
      <c r="A470" s="81"/>
      <c r="B470" s="13"/>
      <c r="C470" s="21"/>
      <c r="D470" s="14"/>
      <c r="E470" s="14"/>
      <c r="F470" s="14"/>
      <c r="G470" s="21"/>
      <c r="H470" s="53"/>
      <c r="I470" s="7" t="str">
        <f t="shared" si="28"/>
        <v/>
      </c>
      <c r="J470" s="27" t="str">
        <f t="shared" ca="1" si="29"/>
        <v/>
      </c>
      <c r="K470" s="7" t="str">
        <f t="shared" si="30"/>
        <v/>
      </c>
      <c r="L470" s="13"/>
      <c r="M470" s="29" t="str">
        <f t="shared" si="31"/>
        <v/>
      </c>
    </row>
    <row r="471" spans="1:13" x14ac:dyDescent="0.35">
      <c r="A471" s="81"/>
      <c r="B471" s="13"/>
      <c r="C471" s="21"/>
      <c r="D471" s="14"/>
      <c r="E471" s="14"/>
      <c r="F471" s="14"/>
      <c r="G471" s="21"/>
      <c r="H471" s="53"/>
      <c r="I471" s="7" t="str">
        <f t="shared" si="28"/>
        <v/>
      </c>
      <c r="J471" s="27" t="str">
        <f t="shared" ca="1" si="29"/>
        <v/>
      </c>
      <c r="K471" s="7" t="str">
        <f t="shared" si="30"/>
        <v/>
      </c>
      <c r="L471" s="13"/>
      <c r="M471" s="29" t="str">
        <f t="shared" si="31"/>
        <v/>
      </c>
    </row>
    <row r="472" spans="1:13" x14ac:dyDescent="0.35">
      <c r="A472" s="81"/>
      <c r="B472" s="13"/>
      <c r="C472" s="21"/>
      <c r="D472" s="14"/>
      <c r="E472" s="14"/>
      <c r="F472" s="14"/>
      <c r="G472" s="21"/>
      <c r="H472" s="53"/>
      <c r="I472" s="7" t="str">
        <f t="shared" si="28"/>
        <v/>
      </c>
      <c r="J472" s="27" t="str">
        <f t="shared" ca="1" si="29"/>
        <v/>
      </c>
      <c r="K472" s="7" t="str">
        <f t="shared" si="30"/>
        <v/>
      </c>
      <c r="L472" s="13"/>
      <c r="M472" s="29" t="str">
        <f t="shared" si="31"/>
        <v/>
      </c>
    </row>
    <row r="473" spans="1:13" x14ac:dyDescent="0.35">
      <c r="A473" s="81"/>
      <c r="B473" s="13"/>
      <c r="C473" s="21"/>
      <c r="D473" s="14"/>
      <c r="E473" s="14"/>
      <c r="F473" s="14"/>
      <c r="G473" s="21"/>
      <c r="H473" s="53"/>
      <c r="I473" s="7" t="str">
        <f t="shared" si="28"/>
        <v/>
      </c>
      <c r="J473" s="27" t="str">
        <f t="shared" ca="1" si="29"/>
        <v/>
      </c>
      <c r="K473" s="7" t="str">
        <f t="shared" si="30"/>
        <v/>
      </c>
      <c r="L473" s="13"/>
      <c r="M473" s="29" t="str">
        <f t="shared" si="31"/>
        <v/>
      </c>
    </row>
    <row r="474" spans="1:13" x14ac:dyDescent="0.35">
      <c r="A474" s="81"/>
      <c r="B474" s="13"/>
      <c r="C474" s="21"/>
      <c r="D474" s="14"/>
      <c r="E474" s="14"/>
      <c r="F474" s="14"/>
      <c r="G474" s="21"/>
      <c r="H474" s="53"/>
      <c r="I474" s="7" t="str">
        <f t="shared" si="28"/>
        <v/>
      </c>
      <c r="J474" s="27" t="str">
        <f t="shared" ca="1" si="29"/>
        <v/>
      </c>
      <c r="K474" s="7" t="str">
        <f t="shared" si="30"/>
        <v/>
      </c>
      <c r="L474" s="13"/>
      <c r="M474" s="29" t="str">
        <f t="shared" si="31"/>
        <v/>
      </c>
    </row>
    <row r="475" spans="1:13" x14ac:dyDescent="0.35">
      <c r="A475" s="81"/>
      <c r="B475" s="13"/>
      <c r="C475" s="21"/>
      <c r="D475" s="14"/>
      <c r="E475" s="14"/>
      <c r="F475" s="14"/>
      <c r="G475" s="21"/>
      <c r="H475" s="53"/>
      <c r="I475" s="7" t="str">
        <f t="shared" si="28"/>
        <v/>
      </c>
      <c r="J475" s="27" t="str">
        <f t="shared" ca="1" si="29"/>
        <v/>
      </c>
      <c r="K475" s="7" t="str">
        <f t="shared" si="30"/>
        <v/>
      </c>
      <c r="L475" s="13"/>
      <c r="M475" s="29" t="str">
        <f t="shared" si="31"/>
        <v/>
      </c>
    </row>
    <row r="476" spans="1:13" x14ac:dyDescent="0.35">
      <c r="A476" s="81"/>
      <c r="B476" s="13"/>
      <c r="C476" s="21"/>
      <c r="D476" s="14"/>
      <c r="E476" s="14"/>
      <c r="F476" s="14"/>
      <c r="G476" s="21"/>
      <c r="H476" s="53"/>
      <c r="I476" s="7" t="str">
        <f t="shared" si="28"/>
        <v/>
      </c>
      <c r="J476" s="27" t="str">
        <f t="shared" ca="1" si="29"/>
        <v/>
      </c>
      <c r="K476" s="7" t="str">
        <f t="shared" si="30"/>
        <v/>
      </c>
      <c r="L476" s="13"/>
      <c r="M476" s="29" t="str">
        <f t="shared" si="31"/>
        <v/>
      </c>
    </row>
    <row r="477" spans="1:13" x14ac:dyDescent="0.35">
      <c r="A477" s="81"/>
      <c r="B477" s="13"/>
      <c r="C477" s="21"/>
      <c r="D477" s="14"/>
      <c r="E477" s="14"/>
      <c r="F477" s="14"/>
      <c r="G477" s="21"/>
      <c r="H477" s="53"/>
      <c r="I477" s="7" t="str">
        <f t="shared" si="28"/>
        <v/>
      </c>
      <c r="J477" s="27" t="str">
        <f t="shared" ca="1" si="29"/>
        <v/>
      </c>
      <c r="K477" s="7" t="str">
        <f t="shared" si="30"/>
        <v/>
      </c>
      <c r="L477" s="13"/>
      <c r="M477" s="29" t="str">
        <f t="shared" si="31"/>
        <v/>
      </c>
    </row>
    <row r="478" spans="1:13" x14ac:dyDescent="0.35">
      <c r="A478" s="81"/>
      <c r="B478" s="13"/>
      <c r="C478" s="21"/>
      <c r="D478" s="14"/>
      <c r="E478" s="14"/>
      <c r="F478" s="14"/>
      <c r="G478" s="21"/>
      <c r="H478" s="53"/>
      <c r="I478" s="7" t="str">
        <f t="shared" si="28"/>
        <v/>
      </c>
      <c r="J478" s="27" t="str">
        <f t="shared" ca="1" si="29"/>
        <v/>
      </c>
      <c r="K478" s="7" t="str">
        <f t="shared" si="30"/>
        <v/>
      </c>
      <c r="L478" s="13"/>
      <c r="M478" s="29" t="str">
        <f t="shared" si="31"/>
        <v/>
      </c>
    </row>
    <row r="479" spans="1:13" x14ac:dyDescent="0.35">
      <c r="A479" s="81"/>
      <c r="B479" s="13"/>
      <c r="C479" s="21"/>
      <c r="D479" s="14"/>
      <c r="E479" s="14"/>
      <c r="F479" s="14"/>
      <c r="G479" s="21"/>
      <c r="H479" s="53"/>
      <c r="I479" s="7" t="str">
        <f t="shared" si="28"/>
        <v/>
      </c>
      <c r="J479" s="27" t="str">
        <f t="shared" ca="1" si="29"/>
        <v/>
      </c>
      <c r="K479" s="7" t="str">
        <f t="shared" si="30"/>
        <v/>
      </c>
      <c r="L479" s="13"/>
      <c r="M479" s="29" t="str">
        <f t="shared" si="31"/>
        <v/>
      </c>
    </row>
    <row r="480" spans="1:13" x14ac:dyDescent="0.35">
      <c r="A480" s="81"/>
      <c r="B480" s="13"/>
      <c r="C480" s="21"/>
      <c r="D480" s="14"/>
      <c r="E480" s="14"/>
      <c r="F480" s="14"/>
      <c r="G480" s="21"/>
      <c r="H480" s="53"/>
      <c r="I480" s="7" t="str">
        <f t="shared" si="28"/>
        <v/>
      </c>
      <c r="J480" s="27" t="str">
        <f t="shared" ca="1" si="29"/>
        <v/>
      </c>
      <c r="K480" s="7" t="str">
        <f t="shared" si="30"/>
        <v/>
      </c>
      <c r="L480" s="13"/>
      <c r="M480" s="29" t="str">
        <f t="shared" si="31"/>
        <v/>
      </c>
    </row>
    <row r="481" spans="1:13" x14ac:dyDescent="0.35">
      <c r="A481" s="81"/>
      <c r="B481" s="13"/>
      <c r="C481" s="21"/>
      <c r="D481" s="14"/>
      <c r="E481" s="14"/>
      <c r="F481" s="14"/>
      <c r="G481" s="21"/>
      <c r="H481" s="53"/>
      <c r="I481" s="7" t="str">
        <f t="shared" si="28"/>
        <v/>
      </c>
      <c r="J481" s="27" t="str">
        <f t="shared" ca="1" si="29"/>
        <v/>
      </c>
      <c r="K481" s="7" t="str">
        <f t="shared" si="30"/>
        <v/>
      </c>
      <c r="L481" s="13"/>
      <c r="M481" s="29" t="str">
        <f t="shared" si="31"/>
        <v/>
      </c>
    </row>
    <row r="482" spans="1:13" x14ac:dyDescent="0.35">
      <c r="A482" s="81"/>
      <c r="B482" s="13"/>
      <c r="C482" s="21"/>
      <c r="D482" s="14"/>
      <c r="E482" s="14"/>
      <c r="F482" s="14"/>
      <c r="G482" s="21"/>
      <c r="H482" s="53"/>
      <c r="I482" s="7" t="str">
        <f t="shared" si="28"/>
        <v/>
      </c>
      <c r="J482" s="27" t="str">
        <f t="shared" ca="1" si="29"/>
        <v/>
      </c>
      <c r="K482" s="7" t="str">
        <f t="shared" si="30"/>
        <v/>
      </c>
      <c r="L482" s="13"/>
      <c r="M482" s="29" t="str">
        <f t="shared" si="31"/>
        <v/>
      </c>
    </row>
    <row r="483" spans="1:13" x14ac:dyDescent="0.35">
      <c r="A483" s="81"/>
      <c r="B483" s="13"/>
      <c r="C483" s="21"/>
      <c r="D483" s="14"/>
      <c r="E483" s="14"/>
      <c r="F483" s="14"/>
      <c r="G483" s="21"/>
      <c r="H483" s="53"/>
      <c r="I483" s="7" t="str">
        <f t="shared" si="28"/>
        <v/>
      </c>
      <c r="J483" s="27" t="str">
        <f t="shared" ca="1" si="29"/>
        <v/>
      </c>
      <c r="K483" s="7" t="str">
        <f t="shared" si="30"/>
        <v/>
      </c>
      <c r="L483" s="13"/>
      <c r="M483" s="29" t="str">
        <f t="shared" si="31"/>
        <v/>
      </c>
    </row>
    <row r="484" spans="1:13" x14ac:dyDescent="0.35">
      <c r="A484" s="81"/>
      <c r="B484" s="13"/>
      <c r="C484" s="21"/>
      <c r="D484" s="14"/>
      <c r="E484" s="14"/>
      <c r="F484" s="14"/>
      <c r="G484" s="21"/>
      <c r="H484" s="53"/>
      <c r="I484" s="7" t="str">
        <f t="shared" si="28"/>
        <v/>
      </c>
      <c r="J484" s="27" t="str">
        <f t="shared" ca="1" si="29"/>
        <v/>
      </c>
      <c r="K484" s="7" t="str">
        <f t="shared" si="30"/>
        <v/>
      </c>
      <c r="L484" s="13"/>
      <c r="M484" s="29" t="str">
        <f t="shared" si="31"/>
        <v/>
      </c>
    </row>
    <row r="485" spans="1:13" x14ac:dyDescent="0.35">
      <c r="A485" s="81"/>
      <c r="B485" s="13"/>
      <c r="C485" s="21"/>
      <c r="D485" s="14"/>
      <c r="E485" s="14"/>
      <c r="F485" s="14"/>
      <c r="G485" s="21"/>
      <c r="H485" s="53"/>
      <c r="I485" s="7" t="str">
        <f t="shared" si="28"/>
        <v/>
      </c>
      <c r="J485" s="27" t="str">
        <f t="shared" ca="1" si="29"/>
        <v/>
      </c>
      <c r="K485" s="7" t="str">
        <f t="shared" si="30"/>
        <v/>
      </c>
      <c r="L485" s="13"/>
      <c r="M485" s="29" t="str">
        <f t="shared" si="31"/>
        <v/>
      </c>
    </row>
    <row r="486" spans="1:13" x14ac:dyDescent="0.35">
      <c r="A486" s="81"/>
      <c r="B486" s="13"/>
      <c r="C486" s="21"/>
      <c r="D486" s="14"/>
      <c r="E486" s="14"/>
      <c r="F486" s="14"/>
      <c r="G486" s="21"/>
      <c r="H486" s="53"/>
      <c r="I486" s="7" t="str">
        <f t="shared" si="28"/>
        <v/>
      </c>
      <c r="J486" s="27" t="str">
        <f t="shared" ca="1" si="29"/>
        <v/>
      </c>
      <c r="K486" s="7" t="str">
        <f t="shared" si="30"/>
        <v/>
      </c>
      <c r="L486" s="13"/>
      <c r="M486" s="29" t="str">
        <f t="shared" si="31"/>
        <v/>
      </c>
    </row>
    <row r="487" spans="1:13" x14ac:dyDescent="0.35">
      <c r="A487" s="81"/>
      <c r="B487" s="13"/>
      <c r="C487" s="21"/>
      <c r="D487" s="14"/>
      <c r="E487" s="14"/>
      <c r="F487" s="14"/>
      <c r="G487" s="21"/>
      <c r="H487" s="53"/>
      <c r="I487" s="7" t="str">
        <f t="shared" si="28"/>
        <v/>
      </c>
      <c r="J487" s="27" t="str">
        <f t="shared" ca="1" si="29"/>
        <v/>
      </c>
      <c r="K487" s="7" t="str">
        <f t="shared" si="30"/>
        <v/>
      </c>
      <c r="L487" s="13"/>
      <c r="M487" s="29" t="str">
        <f t="shared" si="31"/>
        <v/>
      </c>
    </row>
    <row r="488" spans="1:13" x14ac:dyDescent="0.35">
      <c r="A488" s="81"/>
      <c r="B488" s="13"/>
      <c r="C488" s="21"/>
      <c r="D488" s="14"/>
      <c r="E488" s="14"/>
      <c r="F488" s="14"/>
      <c r="G488" s="21"/>
      <c r="H488" s="53"/>
      <c r="I488" s="7" t="str">
        <f t="shared" si="28"/>
        <v/>
      </c>
      <c r="J488" s="27" t="str">
        <f t="shared" ca="1" si="29"/>
        <v/>
      </c>
      <c r="K488" s="7" t="str">
        <f t="shared" si="30"/>
        <v/>
      </c>
      <c r="L488" s="13"/>
      <c r="M488" s="29" t="str">
        <f t="shared" si="31"/>
        <v/>
      </c>
    </row>
    <row r="489" spans="1:13" x14ac:dyDescent="0.35">
      <c r="A489" s="81"/>
      <c r="B489" s="13"/>
      <c r="C489" s="21"/>
      <c r="D489" s="14"/>
      <c r="E489" s="14"/>
      <c r="F489" s="14"/>
      <c r="G489" s="21"/>
      <c r="H489" s="53"/>
      <c r="I489" s="7" t="str">
        <f t="shared" si="28"/>
        <v/>
      </c>
      <c r="J489" s="27" t="str">
        <f t="shared" ca="1" si="29"/>
        <v/>
      </c>
      <c r="K489" s="7" t="str">
        <f t="shared" si="30"/>
        <v/>
      </c>
      <c r="L489" s="13"/>
      <c r="M489" s="29" t="str">
        <f t="shared" si="31"/>
        <v/>
      </c>
    </row>
    <row r="490" spans="1:13" x14ac:dyDescent="0.35">
      <c r="A490" s="81"/>
      <c r="B490" s="13"/>
      <c r="C490" s="21"/>
      <c r="D490" s="14"/>
      <c r="E490" s="14"/>
      <c r="F490" s="14"/>
      <c r="G490" s="21"/>
      <c r="H490" s="53"/>
      <c r="I490" s="7" t="str">
        <f t="shared" si="28"/>
        <v/>
      </c>
      <c r="J490" s="27" t="str">
        <f t="shared" ca="1" si="29"/>
        <v/>
      </c>
      <c r="K490" s="7" t="str">
        <f t="shared" si="30"/>
        <v/>
      </c>
      <c r="L490" s="13"/>
      <c r="M490" s="29" t="str">
        <f t="shared" si="31"/>
        <v/>
      </c>
    </row>
    <row r="491" spans="1:13" x14ac:dyDescent="0.35">
      <c r="A491" s="81"/>
      <c r="B491" s="13"/>
      <c r="C491" s="21"/>
      <c r="D491" s="14"/>
      <c r="E491" s="14"/>
      <c r="F491" s="14"/>
      <c r="G491" s="21"/>
      <c r="H491" s="53"/>
      <c r="I491" s="7" t="str">
        <f t="shared" si="28"/>
        <v/>
      </c>
      <c r="J491" s="27" t="str">
        <f t="shared" ca="1" si="29"/>
        <v/>
      </c>
      <c r="K491" s="7" t="str">
        <f t="shared" si="30"/>
        <v/>
      </c>
      <c r="L491" s="13"/>
      <c r="M491" s="29" t="str">
        <f t="shared" si="31"/>
        <v/>
      </c>
    </row>
    <row r="492" spans="1:13" x14ac:dyDescent="0.35">
      <c r="A492" s="81"/>
      <c r="B492" s="13"/>
      <c r="C492" s="21"/>
      <c r="D492" s="14"/>
      <c r="E492" s="14"/>
      <c r="F492" s="14"/>
      <c r="G492" s="21"/>
      <c r="H492" s="53"/>
      <c r="I492" s="7" t="str">
        <f t="shared" si="28"/>
        <v/>
      </c>
      <c r="J492" s="27" t="str">
        <f t="shared" ca="1" si="29"/>
        <v/>
      </c>
      <c r="K492" s="7" t="str">
        <f t="shared" si="30"/>
        <v/>
      </c>
      <c r="L492" s="13"/>
      <c r="M492" s="29" t="str">
        <f t="shared" si="31"/>
        <v/>
      </c>
    </row>
    <row r="493" spans="1:13" x14ac:dyDescent="0.35">
      <c r="A493" s="81"/>
      <c r="B493" s="13"/>
      <c r="C493" s="21"/>
      <c r="D493" s="14"/>
      <c r="E493" s="14"/>
      <c r="F493" s="14"/>
      <c r="G493" s="21"/>
      <c r="H493" s="53"/>
      <c r="I493" s="7" t="str">
        <f t="shared" si="28"/>
        <v/>
      </c>
      <c r="J493" s="27" t="str">
        <f t="shared" ca="1" si="29"/>
        <v/>
      </c>
      <c r="K493" s="7" t="str">
        <f t="shared" si="30"/>
        <v/>
      </c>
      <c r="L493" s="13"/>
      <c r="M493" s="29" t="str">
        <f t="shared" si="31"/>
        <v/>
      </c>
    </row>
    <row r="494" spans="1:13" x14ac:dyDescent="0.35">
      <c r="A494" s="81"/>
      <c r="B494" s="13"/>
      <c r="C494" s="21"/>
      <c r="D494" s="14"/>
      <c r="E494" s="14"/>
      <c r="F494" s="14"/>
      <c r="G494" s="21"/>
      <c r="H494" s="53"/>
      <c r="I494" s="7" t="str">
        <f t="shared" si="28"/>
        <v/>
      </c>
      <c r="J494" s="27" t="str">
        <f t="shared" ca="1" si="29"/>
        <v/>
      </c>
      <c r="K494" s="7" t="str">
        <f t="shared" si="30"/>
        <v/>
      </c>
      <c r="L494" s="13"/>
      <c r="M494" s="29" t="str">
        <f t="shared" si="31"/>
        <v/>
      </c>
    </row>
    <row r="495" spans="1:13" x14ac:dyDescent="0.35">
      <c r="A495" s="81"/>
      <c r="B495" s="13"/>
      <c r="C495" s="21"/>
      <c r="D495" s="14"/>
      <c r="E495" s="14"/>
      <c r="F495" s="14"/>
      <c r="G495" s="21"/>
      <c r="H495" s="53"/>
      <c r="I495" s="7" t="str">
        <f t="shared" si="28"/>
        <v/>
      </c>
      <c r="J495" s="27" t="str">
        <f t="shared" ca="1" si="29"/>
        <v/>
      </c>
      <c r="K495" s="7" t="str">
        <f t="shared" si="30"/>
        <v/>
      </c>
      <c r="L495" s="13"/>
      <c r="M495" s="29" t="str">
        <f t="shared" si="31"/>
        <v/>
      </c>
    </row>
    <row r="496" spans="1:13" x14ac:dyDescent="0.35">
      <c r="A496" s="81"/>
      <c r="B496" s="13"/>
      <c r="C496" s="21"/>
      <c r="D496" s="14"/>
      <c r="E496" s="14"/>
      <c r="F496" s="14"/>
      <c r="G496" s="21"/>
      <c r="H496" s="53"/>
      <c r="I496" s="7" t="str">
        <f t="shared" si="28"/>
        <v/>
      </c>
      <c r="J496" s="27" t="str">
        <f t="shared" ca="1" si="29"/>
        <v/>
      </c>
      <c r="K496" s="7" t="str">
        <f t="shared" si="30"/>
        <v/>
      </c>
      <c r="L496" s="13"/>
      <c r="M496" s="29" t="str">
        <f t="shared" si="31"/>
        <v/>
      </c>
    </row>
    <row r="497" spans="1:13" x14ac:dyDescent="0.35">
      <c r="A497" s="81"/>
      <c r="B497" s="13"/>
      <c r="C497" s="21"/>
      <c r="D497" s="14"/>
      <c r="E497" s="14"/>
      <c r="F497" s="14"/>
      <c r="G497" s="21"/>
      <c r="H497" s="53"/>
      <c r="I497" s="7" t="str">
        <f t="shared" si="28"/>
        <v/>
      </c>
      <c r="J497" s="27" t="str">
        <f t="shared" ca="1" si="29"/>
        <v/>
      </c>
      <c r="K497" s="7" t="str">
        <f t="shared" si="30"/>
        <v/>
      </c>
      <c r="L497" s="13"/>
      <c r="M497" s="29" t="str">
        <f t="shared" si="31"/>
        <v/>
      </c>
    </row>
    <row r="498" spans="1:13" x14ac:dyDescent="0.35">
      <c r="A498" s="81"/>
      <c r="B498" s="13"/>
      <c r="C498" s="21"/>
      <c r="D498" s="14"/>
      <c r="E498" s="14"/>
      <c r="F498" s="14"/>
      <c r="G498" s="21"/>
      <c r="H498" s="53"/>
      <c r="I498" s="7" t="str">
        <f t="shared" si="28"/>
        <v/>
      </c>
      <c r="J498" s="27" t="str">
        <f t="shared" ca="1" si="29"/>
        <v/>
      </c>
      <c r="K498" s="7" t="str">
        <f t="shared" si="30"/>
        <v/>
      </c>
      <c r="L498" s="13"/>
      <c r="M498" s="29" t="str">
        <f t="shared" si="31"/>
        <v/>
      </c>
    </row>
    <row r="499" spans="1:13" x14ac:dyDescent="0.35">
      <c r="A499" s="81"/>
      <c r="B499" s="13"/>
      <c r="C499" s="21"/>
      <c r="D499" s="14"/>
      <c r="E499" s="14"/>
      <c r="F499" s="14"/>
      <c r="G499" s="21"/>
      <c r="H499" s="53"/>
      <c r="I499" s="7" t="str">
        <f t="shared" si="28"/>
        <v/>
      </c>
      <c r="J499" s="27" t="str">
        <f t="shared" ca="1" si="29"/>
        <v/>
      </c>
      <c r="K499" s="7" t="str">
        <f t="shared" si="30"/>
        <v/>
      </c>
      <c r="L499" s="13"/>
      <c r="M499" s="29" t="str">
        <f t="shared" si="31"/>
        <v/>
      </c>
    </row>
    <row r="500" spans="1:13" x14ac:dyDescent="0.35">
      <c r="A500" s="81"/>
      <c r="B500" s="13"/>
      <c r="C500" s="21"/>
      <c r="D500" s="14"/>
      <c r="E500" s="14"/>
      <c r="F500" s="14"/>
      <c r="G500" s="21"/>
      <c r="H500" s="53"/>
      <c r="I500" s="7" t="str">
        <f t="shared" si="28"/>
        <v/>
      </c>
      <c r="J500" s="27" t="str">
        <f t="shared" ca="1" si="29"/>
        <v/>
      </c>
      <c r="K500" s="7" t="str">
        <f t="shared" si="30"/>
        <v/>
      </c>
      <c r="L500" s="13"/>
      <c r="M500" s="29" t="str">
        <f t="shared" si="31"/>
        <v/>
      </c>
    </row>
    <row r="501" spans="1:13" x14ac:dyDescent="0.35">
      <c r="A501" s="81"/>
      <c r="B501" s="13"/>
      <c r="C501" s="21"/>
      <c r="D501" s="14"/>
      <c r="E501" s="14"/>
      <c r="F501" s="14"/>
      <c r="G501" s="21"/>
      <c r="H501" s="53"/>
      <c r="I501" s="7" t="str">
        <f t="shared" si="28"/>
        <v/>
      </c>
      <c r="J501" s="27" t="str">
        <f t="shared" ca="1" si="29"/>
        <v/>
      </c>
      <c r="K501" s="7" t="str">
        <f t="shared" si="30"/>
        <v/>
      </c>
      <c r="L501" s="13"/>
      <c r="M501" s="29" t="str">
        <f t="shared" si="31"/>
        <v/>
      </c>
    </row>
    <row r="502" spans="1:13" x14ac:dyDescent="0.35">
      <c r="A502" s="81"/>
      <c r="B502" s="13"/>
      <c r="C502" s="21"/>
      <c r="D502" s="14"/>
      <c r="E502" s="14"/>
      <c r="F502" s="14"/>
      <c r="G502" s="21"/>
      <c r="H502" s="53"/>
      <c r="I502" s="7" t="str">
        <f t="shared" si="28"/>
        <v/>
      </c>
      <c r="J502" s="27" t="str">
        <f t="shared" ca="1" si="29"/>
        <v/>
      </c>
      <c r="K502" s="7" t="str">
        <f t="shared" si="30"/>
        <v/>
      </c>
      <c r="L502" s="13"/>
      <c r="M502" s="29" t="str">
        <f t="shared" si="31"/>
        <v/>
      </c>
    </row>
    <row r="503" spans="1:13" x14ac:dyDescent="0.35">
      <c r="A503" s="81"/>
      <c r="B503" s="13"/>
      <c r="C503" s="21"/>
      <c r="D503" s="14"/>
      <c r="E503" s="14"/>
      <c r="F503" s="14"/>
      <c r="G503" s="21"/>
      <c r="H503" s="53"/>
      <c r="I503" s="7" t="str">
        <f t="shared" si="28"/>
        <v/>
      </c>
      <c r="J503" s="27" t="str">
        <f t="shared" ca="1" si="29"/>
        <v/>
      </c>
      <c r="K503" s="7" t="str">
        <f t="shared" si="30"/>
        <v/>
      </c>
      <c r="L503" s="13"/>
      <c r="M503" s="29" t="str">
        <f t="shared" si="31"/>
        <v/>
      </c>
    </row>
    <row r="504" spans="1:13" x14ac:dyDescent="0.35">
      <c r="A504" s="81"/>
      <c r="B504" s="13"/>
      <c r="C504" s="21"/>
      <c r="D504" s="14"/>
      <c r="E504" s="14"/>
      <c r="F504" s="14"/>
      <c r="G504" s="21"/>
      <c r="H504" s="53"/>
      <c r="I504" s="7" t="str">
        <f t="shared" si="28"/>
        <v/>
      </c>
      <c r="J504" s="27" t="str">
        <f t="shared" ca="1" si="29"/>
        <v/>
      </c>
      <c r="K504" s="7" t="str">
        <f t="shared" si="30"/>
        <v/>
      </c>
      <c r="L504" s="13"/>
      <c r="M504" s="29" t="str">
        <f t="shared" si="31"/>
        <v/>
      </c>
    </row>
    <row r="505" spans="1:13" x14ac:dyDescent="0.35">
      <c r="A505" s="81"/>
      <c r="B505" s="13"/>
      <c r="C505" s="21"/>
      <c r="D505" s="14"/>
      <c r="E505" s="14"/>
      <c r="F505" s="14"/>
      <c r="G505" s="21"/>
      <c r="H505" s="53"/>
      <c r="I505" s="7" t="str">
        <f t="shared" si="28"/>
        <v/>
      </c>
      <c r="J505" s="27" t="str">
        <f t="shared" ca="1" si="29"/>
        <v/>
      </c>
      <c r="K505" s="7" t="str">
        <f t="shared" si="30"/>
        <v/>
      </c>
      <c r="L505" s="13"/>
      <c r="M505" s="29" t="str">
        <f t="shared" si="31"/>
        <v/>
      </c>
    </row>
    <row r="506" spans="1:13" x14ac:dyDescent="0.35">
      <c r="A506" s="81"/>
      <c r="B506" s="13"/>
      <c r="C506" s="21"/>
      <c r="D506" s="14"/>
      <c r="E506" s="14"/>
      <c r="F506" s="14"/>
      <c r="G506" s="21"/>
      <c r="H506" s="53"/>
      <c r="I506" s="7" t="str">
        <f t="shared" si="28"/>
        <v/>
      </c>
      <c r="J506" s="27" t="str">
        <f t="shared" ca="1" si="29"/>
        <v/>
      </c>
      <c r="K506" s="7" t="str">
        <f t="shared" si="30"/>
        <v/>
      </c>
      <c r="L506" s="13"/>
      <c r="M506" s="29" t="str">
        <f t="shared" si="31"/>
        <v/>
      </c>
    </row>
    <row r="507" spans="1:13" x14ac:dyDescent="0.35">
      <c r="A507" s="81"/>
      <c r="B507" s="13"/>
      <c r="C507" s="21"/>
      <c r="D507" s="14"/>
      <c r="E507" s="14"/>
      <c r="F507" s="14"/>
      <c r="G507" s="21"/>
      <c r="H507" s="53"/>
      <c r="I507" s="7" t="str">
        <f t="shared" si="28"/>
        <v/>
      </c>
      <c r="J507" s="27" t="str">
        <f t="shared" ca="1" si="29"/>
        <v/>
      </c>
      <c r="K507" s="7" t="str">
        <f t="shared" si="30"/>
        <v/>
      </c>
      <c r="L507" s="13"/>
      <c r="M507" s="29" t="str">
        <f t="shared" si="31"/>
        <v/>
      </c>
    </row>
    <row r="508" spans="1:13" x14ac:dyDescent="0.35">
      <c r="A508" s="81"/>
      <c r="B508" s="13"/>
      <c r="C508" s="21"/>
      <c r="D508" s="14"/>
      <c r="E508" s="14"/>
      <c r="F508" s="14"/>
      <c r="G508" s="21"/>
      <c r="H508" s="53"/>
      <c r="I508" s="7" t="str">
        <f t="shared" si="28"/>
        <v/>
      </c>
      <c r="J508" s="27" t="str">
        <f t="shared" ca="1" si="29"/>
        <v/>
      </c>
      <c r="K508" s="7" t="str">
        <f t="shared" si="30"/>
        <v/>
      </c>
      <c r="L508" s="13"/>
      <c r="M508" s="29" t="str">
        <f t="shared" si="31"/>
        <v/>
      </c>
    </row>
    <row r="509" spans="1:13" x14ac:dyDescent="0.35">
      <c r="A509" s="81"/>
      <c r="B509" s="13"/>
      <c r="C509" s="21"/>
      <c r="D509" s="14"/>
      <c r="E509" s="14"/>
      <c r="F509" s="14"/>
      <c r="G509" s="21"/>
      <c r="H509" s="53"/>
      <c r="I509" s="7" t="str">
        <f t="shared" si="28"/>
        <v/>
      </c>
      <c r="J509" s="27" t="str">
        <f t="shared" ca="1" si="29"/>
        <v/>
      </c>
      <c r="K509" s="7" t="str">
        <f t="shared" si="30"/>
        <v/>
      </c>
      <c r="L509" s="13"/>
      <c r="M509" s="29" t="str">
        <f t="shared" si="31"/>
        <v/>
      </c>
    </row>
    <row r="510" spans="1:13" x14ac:dyDescent="0.35">
      <c r="A510" s="81"/>
      <c r="B510" s="13"/>
      <c r="C510" s="21"/>
      <c r="D510" s="14"/>
      <c r="E510" s="14"/>
      <c r="F510" s="14"/>
      <c r="G510" s="21"/>
      <c r="H510" s="53"/>
      <c r="I510" s="7" t="str">
        <f t="shared" si="28"/>
        <v/>
      </c>
      <c r="J510" s="27" t="str">
        <f t="shared" ca="1" si="29"/>
        <v/>
      </c>
      <c r="K510" s="7" t="str">
        <f t="shared" si="30"/>
        <v/>
      </c>
      <c r="L510" s="13"/>
      <c r="M510" s="29" t="str">
        <f t="shared" si="31"/>
        <v/>
      </c>
    </row>
    <row r="511" spans="1:13" x14ac:dyDescent="0.35">
      <c r="A511" s="81"/>
      <c r="B511" s="13"/>
      <c r="C511" s="21"/>
      <c r="D511" s="14"/>
      <c r="E511" s="14"/>
      <c r="F511" s="14"/>
      <c r="G511" s="21"/>
      <c r="H511" s="53"/>
      <c r="I511" s="7" t="str">
        <f t="shared" si="28"/>
        <v/>
      </c>
      <c r="J511" s="27" t="str">
        <f t="shared" ca="1" si="29"/>
        <v/>
      </c>
      <c r="K511" s="7" t="str">
        <f t="shared" si="30"/>
        <v/>
      </c>
      <c r="L511" s="13"/>
      <c r="M511" s="29" t="str">
        <f t="shared" si="31"/>
        <v/>
      </c>
    </row>
    <row r="512" spans="1:13" x14ac:dyDescent="0.35">
      <c r="A512" s="81"/>
      <c r="B512" s="13"/>
      <c r="C512" s="21"/>
      <c r="D512" s="14"/>
      <c r="E512" s="14"/>
      <c r="F512" s="14"/>
      <c r="G512" s="21"/>
      <c r="H512" s="53"/>
      <c r="I512" s="7" t="str">
        <f t="shared" si="28"/>
        <v/>
      </c>
      <c r="J512" s="27" t="str">
        <f t="shared" ca="1" si="29"/>
        <v/>
      </c>
      <c r="K512" s="7" t="str">
        <f t="shared" si="30"/>
        <v/>
      </c>
      <c r="L512" s="13"/>
      <c r="M512" s="29" t="str">
        <f t="shared" si="31"/>
        <v/>
      </c>
    </row>
    <row r="513" spans="1:13" x14ac:dyDescent="0.35">
      <c r="A513" s="81"/>
      <c r="B513" s="13"/>
      <c r="C513" s="21"/>
      <c r="D513" s="14"/>
      <c r="E513" s="14"/>
      <c r="F513" s="14"/>
      <c r="G513" s="21"/>
      <c r="H513" s="53"/>
      <c r="I513" s="7" t="str">
        <f t="shared" si="28"/>
        <v/>
      </c>
      <c r="J513" s="27" t="str">
        <f t="shared" ca="1" si="29"/>
        <v/>
      </c>
      <c r="K513" s="7" t="str">
        <f t="shared" si="30"/>
        <v/>
      </c>
      <c r="L513" s="13"/>
      <c r="M513" s="29" t="str">
        <f t="shared" si="31"/>
        <v/>
      </c>
    </row>
    <row r="514" spans="1:13" x14ac:dyDescent="0.35">
      <c r="A514" s="81"/>
      <c r="B514" s="13"/>
      <c r="C514" s="21"/>
      <c r="D514" s="14"/>
      <c r="E514" s="14"/>
      <c r="F514" s="14"/>
      <c r="G514" s="21"/>
      <c r="H514" s="53"/>
      <c r="I514" s="7" t="str">
        <f t="shared" si="28"/>
        <v/>
      </c>
      <c r="J514" s="27" t="str">
        <f t="shared" ca="1" si="29"/>
        <v/>
      </c>
      <c r="K514" s="7" t="str">
        <f t="shared" si="30"/>
        <v/>
      </c>
      <c r="L514" s="13"/>
      <c r="M514" s="29" t="str">
        <f t="shared" si="31"/>
        <v/>
      </c>
    </row>
    <row r="515" spans="1:13" x14ac:dyDescent="0.35">
      <c r="A515" s="81"/>
      <c r="B515" s="13"/>
      <c r="C515" s="21"/>
      <c r="D515" s="14"/>
      <c r="E515" s="14"/>
      <c r="F515" s="14"/>
      <c r="G515" s="21"/>
      <c r="H515" s="53"/>
      <c r="I515" s="7" t="str">
        <f t="shared" ref="I515:I578" si="32">IF($A515="","",IF($F515&lt;&gt;"","Envoyé DHL",IF($E515&lt;&gt;"","Reçu (à envoyer)",IF($D515&lt;&gt;"","Demandé (en attente)","À demander"))))</f>
        <v/>
      </c>
      <c r="J515" s="27" t="str">
        <f t="shared" ref="J515:J578" ca="1" si="33">IF(AND($A515&lt;&gt;"",$D515&lt;&gt;"",$E515=""),TODAY()-$D515,"")</f>
        <v/>
      </c>
      <c r="K515" s="7" t="str">
        <f t="shared" ref="K515:K578" si="34">IF($A515="","",IF(AND($J515&lt;&gt;"",N($J515)&gt;P_AlerteDoc),"Attente &gt; "&amp;P_AlerteDoc&amp;" jours",IF(AND($E515&lt;&gt;"",$F515=""),"Reçu : à envoyer par DHL","")))</f>
        <v/>
      </c>
      <c r="L515" s="13"/>
      <c r="M515" s="29" t="str">
        <f t="shared" ref="M515:M578" si="35">IF($K515&lt;&gt;"",1,"")</f>
        <v/>
      </c>
    </row>
    <row r="516" spans="1:13" x14ac:dyDescent="0.35">
      <c r="A516" s="81"/>
      <c r="B516" s="13"/>
      <c r="C516" s="21"/>
      <c r="D516" s="14"/>
      <c r="E516" s="14"/>
      <c r="F516" s="14"/>
      <c r="G516" s="21"/>
      <c r="H516" s="53"/>
      <c r="I516" s="7" t="str">
        <f t="shared" si="32"/>
        <v/>
      </c>
      <c r="J516" s="27" t="str">
        <f t="shared" ca="1" si="33"/>
        <v/>
      </c>
      <c r="K516" s="7" t="str">
        <f t="shared" si="34"/>
        <v/>
      </c>
      <c r="L516" s="13"/>
      <c r="M516" s="29" t="str">
        <f t="shared" si="35"/>
        <v/>
      </c>
    </row>
    <row r="517" spans="1:13" x14ac:dyDescent="0.35">
      <c r="A517" s="81"/>
      <c r="B517" s="13"/>
      <c r="C517" s="21"/>
      <c r="D517" s="14"/>
      <c r="E517" s="14"/>
      <c r="F517" s="14"/>
      <c r="G517" s="21"/>
      <c r="H517" s="53"/>
      <c r="I517" s="7" t="str">
        <f t="shared" si="32"/>
        <v/>
      </c>
      <c r="J517" s="27" t="str">
        <f t="shared" ca="1" si="33"/>
        <v/>
      </c>
      <c r="K517" s="7" t="str">
        <f t="shared" si="34"/>
        <v/>
      </c>
      <c r="L517" s="13"/>
      <c r="M517" s="29" t="str">
        <f t="shared" si="35"/>
        <v/>
      </c>
    </row>
    <row r="518" spans="1:13" x14ac:dyDescent="0.35">
      <c r="A518" s="81"/>
      <c r="B518" s="13"/>
      <c r="C518" s="21"/>
      <c r="D518" s="14"/>
      <c r="E518" s="14"/>
      <c r="F518" s="14"/>
      <c r="G518" s="21"/>
      <c r="H518" s="53"/>
      <c r="I518" s="7" t="str">
        <f t="shared" si="32"/>
        <v/>
      </c>
      <c r="J518" s="27" t="str">
        <f t="shared" ca="1" si="33"/>
        <v/>
      </c>
      <c r="K518" s="7" t="str">
        <f t="shared" si="34"/>
        <v/>
      </c>
      <c r="L518" s="13"/>
      <c r="M518" s="29" t="str">
        <f t="shared" si="35"/>
        <v/>
      </c>
    </row>
    <row r="519" spans="1:13" x14ac:dyDescent="0.35">
      <c r="A519" s="81"/>
      <c r="B519" s="13"/>
      <c r="C519" s="21"/>
      <c r="D519" s="14"/>
      <c r="E519" s="14"/>
      <c r="F519" s="14"/>
      <c r="G519" s="21"/>
      <c r="H519" s="53"/>
      <c r="I519" s="7" t="str">
        <f t="shared" si="32"/>
        <v/>
      </c>
      <c r="J519" s="27" t="str">
        <f t="shared" ca="1" si="33"/>
        <v/>
      </c>
      <c r="K519" s="7" t="str">
        <f t="shared" si="34"/>
        <v/>
      </c>
      <c r="L519" s="13"/>
      <c r="M519" s="29" t="str">
        <f t="shared" si="35"/>
        <v/>
      </c>
    </row>
    <row r="520" spans="1:13" x14ac:dyDescent="0.35">
      <c r="A520" s="81"/>
      <c r="B520" s="13"/>
      <c r="C520" s="21"/>
      <c r="D520" s="14"/>
      <c r="E520" s="14"/>
      <c r="F520" s="14"/>
      <c r="G520" s="21"/>
      <c r="H520" s="53"/>
      <c r="I520" s="7" t="str">
        <f t="shared" si="32"/>
        <v/>
      </c>
      <c r="J520" s="27" t="str">
        <f t="shared" ca="1" si="33"/>
        <v/>
      </c>
      <c r="K520" s="7" t="str">
        <f t="shared" si="34"/>
        <v/>
      </c>
      <c r="L520" s="13"/>
      <c r="M520" s="29" t="str">
        <f t="shared" si="35"/>
        <v/>
      </c>
    </row>
    <row r="521" spans="1:13" x14ac:dyDescent="0.35">
      <c r="A521" s="81"/>
      <c r="B521" s="13"/>
      <c r="C521" s="21"/>
      <c r="D521" s="14"/>
      <c r="E521" s="14"/>
      <c r="F521" s="14"/>
      <c r="G521" s="21"/>
      <c r="H521" s="53"/>
      <c r="I521" s="7" t="str">
        <f t="shared" si="32"/>
        <v/>
      </c>
      <c r="J521" s="27" t="str">
        <f t="shared" ca="1" si="33"/>
        <v/>
      </c>
      <c r="K521" s="7" t="str">
        <f t="shared" si="34"/>
        <v/>
      </c>
      <c r="L521" s="13"/>
      <c r="M521" s="29" t="str">
        <f t="shared" si="35"/>
        <v/>
      </c>
    </row>
    <row r="522" spans="1:13" x14ac:dyDescent="0.35">
      <c r="A522" s="81"/>
      <c r="B522" s="13"/>
      <c r="C522" s="21"/>
      <c r="D522" s="14"/>
      <c r="E522" s="14"/>
      <c r="F522" s="14"/>
      <c r="G522" s="21"/>
      <c r="H522" s="53"/>
      <c r="I522" s="7" t="str">
        <f t="shared" si="32"/>
        <v/>
      </c>
      <c r="J522" s="27" t="str">
        <f t="shared" ca="1" si="33"/>
        <v/>
      </c>
      <c r="K522" s="7" t="str">
        <f t="shared" si="34"/>
        <v/>
      </c>
      <c r="L522" s="13"/>
      <c r="M522" s="29" t="str">
        <f t="shared" si="35"/>
        <v/>
      </c>
    </row>
    <row r="523" spans="1:13" x14ac:dyDescent="0.35">
      <c r="A523" s="81"/>
      <c r="B523" s="13"/>
      <c r="C523" s="21"/>
      <c r="D523" s="14"/>
      <c r="E523" s="14"/>
      <c r="F523" s="14"/>
      <c r="G523" s="21"/>
      <c r="H523" s="53"/>
      <c r="I523" s="7" t="str">
        <f t="shared" si="32"/>
        <v/>
      </c>
      <c r="J523" s="27" t="str">
        <f t="shared" ca="1" si="33"/>
        <v/>
      </c>
      <c r="K523" s="7" t="str">
        <f t="shared" si="34"/>
        <v/>
      </c>
      <c r="L523" s="13"/>
      <c r="M523" s="29" t="str">
        <f t="shared" si="35"/>
        <v/>
      </c>
    </row>
    <row r="524" spans="1:13" x14ac:dyDescent="0.35">
      <c r="A524" s="81"/>
      <c r="B524" s="13"/>
      <c r="C524" s="21"/>
      <c r="D524" s="14"/>
      <c r="E524" s="14"/>
      <c r="F524" s="14"/>
      <c r="G524" s="21"/>
      <c r="H524" s="53"/>
      <c r="I524" s="7" t="str">
        <f t="shared" si="32"/>
        <v/>
      </c>
      <c r="J524" s="27" t="str">
        <f t="shared" ca="1" si="33"/>
        <v/>
      </c>
      <c r="K524" s="7" t="str">
        <f t="shared" si="34"/>
        <v/>
      </c>
      <c r="L524" s="13"/>
      <c r="M524" s="29" t="str">
        <f t="shared" si="35"/>
        <v/>
      </c>
    </row>
    <row r="525" spans="1:13" x14ac:dyDescent="0.35">
      <c r="A525" s="81"/>
      <c r="B525" s="13"/>
      <c r="C525" s="21"/>
      <c r="D525" s="14"/>
      <c r="E525" s="14"/>
      <c r="F525" s="14"/>
      <c r="G525" s="21"/>
      <c r="H525" s="53"/>
      <c r="I525" s="7" t="str">
        <f t="shared" si="32"/>
        <v/>
      </c>
      <c r="J525" s="27" t="str">
        <f t="shared" ca="1" si="33"/>
        <v/>
      </c>
      <c r="K525" s="7" t="str">
        <f t="shared" si="34"/>
        <v/>
      </c>
      <c r="L525" s="13"/>
      <c r="M525" s="29" t="str">
        <f t="shared" si="35"/>
        <v/>
      </c>
    </row>
    <row r="526" spans="1:13" x14ac:dyDescent="0.35">
      <c r="A526" s="81"/>
      <c r="B526" s="13"/>
      <c r="C526" s="21"/>
      <c r="D526" s="14"/>
      <c r="E526" s="14"/>
      <c r="F526" s="14"/>
      <c r="G526" s="21"/>
      <c r="H526" s="53"/>
      <c r="I526" s="7" t="str">
        <f t="shared" si="32"/>
        <v/>
      </c>
      <c r="J526" s="27" t="str">
        <f t="shared" ca="1" si="33"/>
        <v/>
      </c>
      <c r="K526" s="7" t="str">
        <f t="shared" si="34"/>
        <v/>
      </c>
      <c r="L526" s="13"/>
      <c r="M526" s="29" t="str">
        <f t="shared" si="35"/>
        <v/>
      </c>
    </row>
    <row r="527" spans="1:13" x14ac:dyDescent="0.35">
      <c r="A527" s="81"/>
      <c r="B527" s="13"/>
      <c r="C527" s="21"/>
      <c r="D527" s="14"/>
      <c r="E527" s="14"/>
      <c r="F527" s="14"/>
      <c r="G527" s="21"/>
      <c r="H527" s="53"/>
      <c r="I527" s="7" t="str">
        <f t="shared" si="32"/>
        <v/>
      </c>
      <c r="J527" s="27" t="str">
        <f t="shared" ca="1" si="33"/>
        <v/>
      </c>
      <c r="K527" s="7" t="str">
        <f t="shared" si="34"/>
        <v/>
      </c>
      <c r="L527" s="13"/>
      <c r="M527" s="29" t="str">
        <f t="shared" si="35"/>
        <v/>
      </c>
    </row>
    <row r="528" spans="1:13" x14ac:dyDescent="0.35">
      <c r="A528" s="81"/>
      <c r="B528" s="13"/>
      <c r="C528" s="21"/>
      <c r="D528" s="14"/>
      <c r="E528" s="14"/>
      <c r="F528" s="14"/>
      <c r="G528" s="21"/>
      <c r="H528" s="53"/>
      <c r="I528" s="7" t="str">
        <f t="shared" si="32"/>
        <v/>
      </c>
      <c r="J528" s="27" t="str">
        <f t="shared" ca="1" si="33"/>
        <v/>
      </c>
      <c r="K528" s="7" t="str">
        <f t="shared" si="34"/>
        <v/>
      </c>
      <c r="L528" s="13"/>
      <c r="M528" s="29" t="str">
        <f t="shared" si="35"/>
        <v/>
      </c>
    </row>
    <row r="529" spans="1:13" x14ac:dyDescent="0.35">
      <c r="A529" s="81"/>
      <c r="B529" s="13"/>
      <c r="C529" s="21"/>
      <c r="D529" s="14"/>
      <c r="E529" s="14"/>
      <c r="F529" s="14"/>
      <c r="G529" s="21"/>
      <c r="H529" s="53"/>
      <c r="I529" s="7" t="str">
        <f t="shared" si="32"/>
        <v/>
      </c>
      <c r="J529" s="27" t="str">
        <f t="shared" ca="1" si="33"/>
        <v/>
      </c>
      <c r="K529" s="7" t="str">
        <f t="shared" si="34"/>
        <v/>
      </c>
      <c r="L529" s="13"/>
      <c r="M529" s="29" t="str">
        <f t="shared" si="35"/>
        <v/>
      </c>
    </row>
    <row r="530" spans="1:13" x14ac:dyDescent="0.35">
      <c r="A530" s="81"/>
      <c r="B530" s="13"/>
      <c r="C530" s="21"/>
      <c r="D530" s="14"/>
      <c r="E530" s="14"/>
      <c r="F530" s="14"/>
      <c r="G530" s="21"/>
      <c r="H530" s="53"/>
      <c r="I530" s="7" t="str">
        <f t="shared" si="32"/>
        <v/>
      </c>
      <c r="J530" s="27" t="str">
        <f t="shared" ca="1" si="33"/>
        <v/>
      </c>
      <c r="K530" s="7" t="str">
        <f t="shared" si="34"/>
        <v/>
      </c>
      <c r="L530" s="13"/>
      <c r="M530" s="29" t="str">
        <f t="shared" si="35"/>
        <v/>
      </c>
    </row>
    <row r="531" spans="1:13" x14ac:dyDescent="0.35">
      <c r="A531" s="81"/>
      <c r="B531" s="13"/>
      <c r="C531" s="21"/>
      <c r="D531" s="14"/>
      <c r="E531" s="14"/>
      <c r="F531" s="14"/>
      <c r="G531" s="21"/>
      <c r="H531" s="53"/>
      <c r="I531" s="7" t="str">
        <f t="shared" si="32"/>
        <v/>
      </c>
      <c r="J531" s="27" t="str">
        <f t="shared" ca="1" si="33"/>
        <v/>
      </c>
      <c r="K531" s="7" t="str">
        <f t="shared" si="34"/>
        <v/>
      </c>
      <c r="L531" s="13"/>
      <c r="M531" s="29" t="str">
        <f t="shared" si="35"/>
        <v/>
      </c>
    </row>
    <row r="532" spans="1:13" x14ac:dyDescent="0.35">
      <c r="A532" s="81"/>
      <c r="B532" s="13"/>
      <c r="C532" s="21"/>
      <c r="D532" s="14"/>
      <c r="E532" s="14"/>
      <c r="F532" s="14"/>
      <c r="G532" s="21"/>
      <c r="H532" s="53"/>
      <c r="I532" s="7" t="str">
        <f t="shared" si="32"/>
        <v/>
      </c>
      <c r="J532" s="27" t="str">
        <f t="shared" ca="1" si="33"/>
        <v/>
      </c>
      <c r="K532" s="7" t="str">
        <f t="shared" si="34"/>
        <v/>
      </c>
      <c r="L532" s="13"/>
      <c r="M532" s="29" t="str">
        <f t="shared" si="35"/>
        <v/>
      </c>
    </row>
    <row r="533" spans="1:13" x14ac:dyDescent="0.35">
      <c r="A533" s="81"/>
      <c r="B533" s="13"/>
      <c r="C533" s="21"/>
      <c r="D533" s="14"/>
      <c r="E533" s="14"/>
      <c r="F533" s="14"/>
      <c r="G533" s="21"/>
      <c r="H533" s="53"/>
      <c r="I533" s="7" t="str">
        <f t="shared" si="32"/>
        <v/>
      </c>
      <c r="J533" s="27" t="str">
        <f t="shared" ca="1" si="33"/>
        <v/>
      </c>
      <c r="K533" s="7" t="str">
        <f t="shared" si="34"/>
        <v/>
      </c>
      <c r="L533" s="13"/>
      <c r="M533" s="29" t="str">
        <f t="shared" si="35"/>
        <v/>
      </c>
    </row>
    <row r="534" spans="1:13" x14ac:dyDescent="0.35">
      <c r="A534" s="81"/>
      <c r="B534" s="13"/>
      <c r="C534" s="21"/>
      <c r="D534" s="14"/>
      <c r="E534" s="14"/>
      <c r="F534" s="14"/>
      <c r="G534" s="21"/>
      <c r="H534" s="53"/>
      <c r="I534" s="7" t="str">
        <f t="shared" si="32"/>
        <v/>
      </c>
      <c r="J534" s="27" t="str">
        <f t="shared" ca="1" si="33"/>
        <v/>
      </c>
      <c r="K534" s="7" t="str">
        <f t="shared" si="34"/>
        <v/>
      </c>
      <c r="L534" s="13"/>
      <c r="M534" s="29" t="str">
        <f t="shared" si="35"/>
        <v/>
      </c>
    </row>
    <row r="535" spans="1:13" x14ac:dyDescent="0.35">
      <c r="A535" s="81"/>
      <c r="B535" s="13"/>
      <c r="C535" s="21"/>
      <c r="D535" s="14"/>
      <c r="E535" s="14"/>
      <c r="F535" s="14"/>
      <c r="G535" s="21"/>
      <c r="H535" s="53"/>
      <c r="I535" s="7" t="str">
        <f t="shared" si="32"/>
        <v/>
      </c>
      <c r="J535" s="27" t="str">
        <f t="shared" ca="1" si="33"/>
        <v/>
      </c>
      <c r="K535" s="7" t="str">
        <f t="shared" si="34"/>
        <v/>
      </c>
      <c r="L535" s="13"/>
      <c r="M535" s="29" t="str">
        <f t="shared" si="35"/>
        <v/>
      </c>
    </row>
    <row r="536" spans="1:13" x14ac:dyDescent="0.35">
      <c r="A536" s="81"/>
      <c r="B536" s="13"/>
      <c r="C536" s="21"/>
      <c r="D536" s="14"/>
      <c r="E536" s="14"/>
      <c r="F536" s="14"/>
      <c r="G536" s="21"/>
      <c r="H536" s="53"/>
      <c r="I536" s="7" t="str">
        <f t="shared" si="32"/>
        <v/>
      </c>
      <c r="J536" s="27" t="str">
        <f t="shared" ca="1" si="33"/>
        <v/>
      </c>
      <c r="K536" s="7" t="str">
        <f t="shared" si="34"/>
        <v/>
      </c>
      <c r="L536" s="13"/>
      <c r="M536" s="29" t="str">
        <f t="shared" si="35"/>
        <v/>
      </c>
    </row>
    <row r="537" spans="1:13" x14ac:dyDescent="0.35">
      <c r="A537" s="81"/>
      <c r="B537" s="13"/>
      <c r="C537" s="21"/>
      <c r="D537" s="14"/>
      <c r="E537" s="14"/>
      <c r="F537" s="14"/>
      <c r="G537" s="21"/>
      <c r="H537" s="53"/>
      <c r="I537" s="7" t="str">
        <f t="shared" si="32"/>
        <v/>
      </c>
      <c r="J537" s="27" t="str">
        <f t="shared" ca="1" si="33"/>
        <v/>
      </c>
      <c r="K537" s="7" t="str">
        <f t="shared" si="34"/>
        <v/>
      </c>
      <c r="L537" s="13"/>
      <c r="M537" s="29" t="str">
        <f t="shared" si="35"/>
        <v/>
      </c>
    </row>
    <row r="538" spans="1:13" x14ac:dyDescent="0.35">
      <c r="A538" s="81"/>
      <c r="B538" s="13"/>
      <c r="C538" s="21"/>
      <c r="D538" s="14"/>
      <c r="E538" s="14"/>
      <c r="F538" s="14"/>
      <c r="G538" s="21"/>
      <c r="H538" s="53"/>
      <c r="I538" s="7" t="str">
        <f t="shared" si="32"/>
        <v/>
      </c>
      <c r="J538" s="27" t="str">
        <f t="shared" ca="1" si="33"/>
        <v/>
      </c>
      <c r="K538" s="7" t="str">
        <f t="shared" si="34"/>
        <v/>
      </c>
      <c r="L538" s="13"/>
      <c r="M538" s="29" t="str">
        <f t="shared" si="35"/>
        <v/>
      </c>
    </row>
    <row r="539" spans="1:13" x14ac:dyDescent="0.35">
      <c r="A539" s="81"/>
      <c r="B539" s="13"/>
      <c r="C539" s="21"/>
      <c r="D539" s="14"/>
      <c r="E539" s="14"/>
      <c r="F539" s="14"/>
      <c r="G539" s="21"/>
      <c r="H539" s="53"/>
      <c r="I539" s="7" t="str">
        <f t="shared" si="32"/>
        <v/>
      </c>
      <c r="J539" s="27" t="str">
        <f t="shared" ca="1" si="33"/>
        <v/>
      </c>
      <c r="K539" s="7" t="str">
        <f t="shared" si="34"/>
        <v/>
      </c>
      <c r="L539" s="13"/>
      <c r="M539" s="29" t="str">
        <f t="shared" si="35"/>
        <v/>
      </c>
    </row>
    <row r="540" spans="1:13" x14ac:dyDescent="0.35">
      <c r="A540" s="81"/>
      <c r="B540" s="13"/>
      <c r="C540" s="21"/>
      <c r="D540" s="14"/>
      <c r="E540" s="14"/>
      <c r="F540" s="14"/>
      <c r="G540" s="21"/>
      <c r="H540" s="53"/>
      <c r="I540" s="7" t="str">
        <f t="shared" si="32"/>
        <v/>
      </c>
      <c r="J540" s="27" t="str">
        <f t="shared" ca="1" si="33"/>
        <v/>
      </c>
      <c r="K540" s="7" t="str">
        <f t="shared" si="34"/>
        <v/>
      </c>
      <c r="L540" s="13"/>
      <c r="M540" s="29" t="str">
        <f t="shared" si="35"/>
        <v/>
      </c>
    </row>
    <row r="541" spans="1:13" x14ac:dyDescent="0.35">
      <c r="A541" s="81"/>
      <c r="B541" s="13"/>
      <c r="C541" s="21"/>
      <c r="D541" s="14"/>
      <c r="E541" s="14"/>
      <c r="F541" s="14"/>
      <c r="G541" s="21"/>
      <c r="H541" s="53"/>
      <c r="I541" s="7" t="str">
        <f t="shared" si="32"/>
        <v/>
      </c>
      <c r="J541" s="27" t="str">
        <f t="shared" ca="1" si="33"/>
        <v/>
      </c>
      <c r="K541" s="7" t="str">
        <f t="shared" si="34"/>
        <v/>
      </c>
      <c r="L541" s="13"/>
      <c r="M541" s="29" t="str">
        <f t="shared" si="35"/>
        <v/>
      </c>
    </row>
    <row r="542" spans="1:13" x14ac:dyDescent="0.35">
      <c r="A542" s="81"/>
      <c r="B542" s="13"/>
      <c r="C542" s="21"/>
      <c r="D542" s="14"/>
      <c r="E542" s="14"/>
      <c r="F542" s="14"/>
      <c r="G542" s="21"/>
      <c r="H542" s="53"/>
      <c r="I542" s="7" t="str">
        <f t="shared" si="32"/>
        <v/>
      </c>
      <c r="J542" s="27" t="str">
        <f t="shared" ca="1" si="33"/>
        <v/>
      </c>
      <c r="K542" s="7" t="str">
        <f t="shared" si="34"/>
        <v/>
      </c>
      <c r="L542" s="13"/>
      <c r="M542" s="29" t="str">
        <f t="shared" si="35"/>
        <v/>
      </c>
    </row>
    <row r="543" spans="1:13" x14ac:dyDescent="0.35">
      <c r="A543" s="81"/>
      <c r="B543" s="13"/>
      <c r="C543" s="21"/>
      <c r="D543" s="14"/>
      <c r="E543" s="14"/>
      <c r="F543" s="14"/>
      <c r="G543" s="21"/>
      <c r="H543" s="53"/>
      <c r="I543" s="7" t="str">
        <f t="shared" si="32"/>
        <v/>
      </c>
      <c r="J543" s="27" t="str">
        <f t="shared" ca="1" si="33"/>
        <v/>
      </c>
      <c r="K543" s="7" t="str">
        <f t="shared" si="34"/>
        <v/>
      </c>
      <c r="L543" s="13"/>
      <c r="M543" s="29" t="str">
        <f t="shared" si="35"/>
        <v/>
      </c>
    </row>
    <row r="544" spans="1:13" x14ac:dyDescent="0.35">
      <c r="A544" s="81"/>
      <c r="B544" s="13"/>
      <c r="C544" s="21"/>
      <c r="D544" s="14"/>
      <c r="E544" s="14"/>
      <c r="F544" s="14"/>
      <c r="G544" s="21"/>
      <c r="H544" s="53"/>
      <c r="I544" s="7" t="str">
        <f t="shared" si="32"/>
        <v/>
      </c>
      <c r="J544" s="27" t="str">
        <f t="shared" ca="1" si="33"/>
        <v/>
      </c>
      <c r="K544" s="7" t="str">
        <f t="shared" si="34"/>
        <v/>
      </c>
      <c r="L544" s="13"/>
      <c r="M544" s="29" t="str">
        <f t="shared" si="35"/>
        <v/>
      </c>
    </row>
    <row r="545" spans="1:13" x14ac:dyDescent="0.35">
      <c r="A545" s="81"/>
      <c r="B545" s="13"/>
      <c r="C545" s="21"/>
      <c r="D545" s="14"/>
      <c r="E545" s="14"/>
      <c r="F545" s="14"/>
      <c r="G545" s="21"/>
      <c r="H545" s="53"/>
      <c r="I545" s="7" t="str">
        <f t="shared" si="32"/>
        <v/>
      </c>
      <c r="J545" s="27" t="str">
        <f t="shared" ca="1" si="33"/>
        <v/>
      </c>
      <c r="K545" s="7" t="str">
        <f t="shared" si="34"/>
        <v/>
      </c>
      <c r="L545" s="13"/>
      <c r="M545" s="29" t="str">
        <f t="shared" si="35"/>
        <v/>
      </c>
    </row>
    <row r="546" spans="1:13" x14ac:dyDescent="0.35">
      <c r="A546" s="81"/>
      <c r="B546" s="13"/>
      <c r="C546" s="21"/>
      <c r="D546" s="14"/>
      <c r="E546" s="14"/>
      <c r="F546" s="14"/>
      <c r="G546" s="21"/>
      <c r="H546" s="53"/>
      <c r="I546" s="7" t="str">
        <f t="shared" si="32"/>
        <v/>
      </c>
      <c r="J546" s="27" t="str">
        <f t="shared" ca="1" si="33"/>
        <v/>
      </c>
      <c r="K546" s="7" t="str">
        <f t="shared" si="34"/>
        <v/>
      </c>
      <c r="L546" s="13"/>
      <c r="M546" s="29" t="str">
        <f t="shared" si="35"/>
        <v/>
      </c>
    </row>
    <row r="547" spans="1:13" x14ac:dyDescent="0.35">
      <c r="A547" s="81"/>
      <c r="B547" s="13"/>
      <c r="C547" s="21"/>
      <c r="D547" s="14"/>
      <c r="E547" s="14"/>
      <c r="F547" s="14"/>
      <c r="G547" s="21"/>
      <c r="H547" s="53"/>
      <c r="I547" s="7" t="str">
        <f t="shared" si="32"/>
        <v/>
      </c>
      <c r="J547" s="27" t="str">
        <f t="shared" ca="1" si="33"/>
        <v/>
      </c>
      <c r="K547" s="7" t="str">
        <f t="shared" si="34"/>
        <v/>
      </c>
      <c r="L547" s="13"/>
      <c r="M547" s="29" t="str">
        <f t="shared" si="35"/>
        <v/>
      </c>
    </row>
    <row r="548" spans="1:13" x14ac:dyDescent="0.35">
      <c r="A548" s="81"/>
      <c r="B548" s="13"/>
      <c r="C548" s="21"/>
      <c r="D548" s="14"/>
      <c r="E548" s="14"/>
      <c r="F548" s="14"/>
      <c r="G548" s="21"/>
      <c r="H548" s="53"/>
      <c r="I548" s="7" t="str">
        <f t="shared" si="32"/>
        <v/>
      </c>
      <c r="J548" s="27" t="str">
        <f t="shared" ca="1" si="33"/>
        <v/>
      </c>
      <c r="K548" s="7" t="str">
        <f t="shared" si="34"/>
        <v/>
      </c>
      <c r="L548" s="13"/>
      <c r="M548" s="29" t="str">
        <f t="shared" si="35"/>
        <v/>
      </c>
    </row>
    <row r="549" spans="1:13" x14ac:dyDescent="0.35">
      <c r="A549" s="81"/>
      <c r="B549" s="13"/>
      <c r="C549" s="21"/>
      <c r="D549" s="14"/>
      <c r="E549" s="14"/>
      <c r="F549" s="14"/>
      <c r="G549" s="21"/>
      <c r="H549" s="53"/>
      <c r="I549" s="7" t="str">
        <f t="shared" si="32"/>
        <v/>
      </c>
      <c r="J549" s="27" t="str">
        <f t="shared" ca="1" si="33"/>
        <v/>
      </c>
      <c r="K549" s="7" t="str">
        <f t="shared" si="34"/>
        <v/>
      </c>
      <c r="L549" s="13"/>
      <c r="M549" s="29" t="str">
        <f t="shared" si="35"/>
        <v/>
      </c>
    </row>
    <row r="550" spans="1:13" x14ac:dyDescent="0.35">
      <c r="A550" s="81"/>
      <c r="B550" s="13"/>
      <c r="C550" s="21"/>
      <c r="D550" s="14"/>
      <c r="E550" s="14"/>
      <c r="F550" s="14"/>
      <c r="G550" s="21"/>
      <c r="H550" s="53"/>
      <c r="I550" s="7" t="str">
        <f t="shared" si="32"/>
        <v/>
      </c>
      <c r="J550" s="27" t="str">
        <f t="shared" ca="1" si="33"/>
        <v/>
      </c>
      <c r="K550" s="7" t="str">
        <f t="shared" si="34"/>
        <v/>
      </c>
      <c r="L550" s="13"/>
      <c r="M550" s="29" t="str">
        <f t="shared" si="35"/>
        <v/>
      </c>
    </row>
    <row r="551" spans="1:13" x14ac:dyDescent="0.35">
      <c r="A551" s="81"/>
      <c r="B551" s="13"/>
      <c r="C551" s="21"/>
      <c r="D551" s="14"/>
      <c r="E551" s="14"/>
      <c r="F551" s="14"/>
      <c r="G551" s="21"/>
      <c r="H551" s="53"/>
      <c r="I551" s="7" t="str">
        <f t="shared" si="32"/>
        <v/>
      </c>
      <c r="J551" s="27" t="str">
        <f t="shared" ca="1" si="33"/>
        <v/>
      </c>
      <c r="K551" s="7" t="str">
        <f t="shared" si="34"/>
        <v/>
      </c>
      <c r="L551" s="13"/>
      <c r="M551" s="29" t="str">
        <f t="shared" si="35"/>
        <v/>
      </c>
    </row>
    <row r="552" spans="1:13" x14ac:dyDescent="0.35">
      <c r="A552" s="81"/>
      <c r="B552" s="13"/>
      <c r="C552" s="21"/>
      <c r="D552" s="14"/>
      <c r="E552" s="14"/>
      <c r="F552" s="14"/>
      <c r="G552" s="21"/>
      <c r="H552" s="53"/>
      <c r="I552" s="7" t="str">
        <f t="shared" si="32"/>
        <v/>
      </c>
      <c r="J552" s="27" t="str">
        <f t="shared" ca="1" si="33"/>
        <v/>
      </c>
      <c r="K552" s="7" t="str">
        <f t="shared" si="34"/>
        <v/>
      </c>
      <c r="L552" s="13"/>
      <c r="M552" s="29" t="str">
        <f t="shared" si="35"/>
        <v/>
      </c>
    </row>
    <row r="553" spans="1:13" x14ac:dyDescent="0.35">
      <c r="A553" s="81"/>
      <c r="B553" s="13"/>
      <c r="C553" s="21"/>
      <c r="D553" s="14"/>
      <c r="E553" s="14"/>
      <c r="F553" s="14"/>
      <c r="G553" s="21"/>
      <c r="H553" s="53"/>
      <c r="I553" s="7" t="str">
        <f t="shared" si="32"/>
        <v/>
      </c>
      <c r="J553" s="27" t="str">
        <f t="shared" ca="1" si="33"/>
        <v/>
      </c>
      <c r="K553" s="7" t="str">
        <f t="shared" si="34"/>
        <v/>
      </c>
      <c r="L553" s="13"/>
      <c r="M553" s="29" t="str">
        <f t="shared" si="35"/>
        <v/>
      </c>
    </row>
    <row r="554" spans="1:13" x14ac:dyDescent="0.35">
      <c r="A554" s="81"/>
      <c r="B554" s="13"/>
      <c r="C554" s="21"/>
      <c r="D554" s="14"/>
      <c r="E554" s="14"/>
      <c r="F554" s="14"/>
      <c r="G554" s="21"/>
      <c r="H554" s="53"/>
      <c r="I554" s="7" t="str">
        <f t="shared" si="32"/>
        <v/>
      </c>
      <c r="J554" s="27" t="str">
        <f t="shared" ca="1" si="33"/>
        <v/>
      </c>
      <c r="K554" s="7" t="str">
        <f t="shared" si="34"/>
        <v/>
      </c>
      <c r="L554" s="13"/>
      <c r="M554" s="29" t="str">
        <f t="shared" si="35"/>
        <v/>
      </c>
    </row>
    <row r="555" spans="1:13" x14ac:dyDescent="0.35">
      <c r="A555" s="81"/>
      <c r="B555" s="13"/>
      <c r="C555" s="21"/>
      <c r="D555" s="14"/>
      <c r="E555" s="14"/>
      <c r="F555" s="14"/>
      <c r="G555" s="21"/>
      <c r="H555" s="53"/>
      <c r="I555" s="7" t="str">
        <f t="shared" si="32"/>
        <v/>
      </c>
      <c r="J555" s="27" t="str">
        <f t="shared" ca="1" si="33"/>
        <v/>
      </c>
      <c r="K555" s="7" t="str">
        <f t="shared" si="34"/>
        <v/>
      </c>
      <c r="L555" s="13"/>
      <c r="M555" s="29" t="str">
        <f t="shared" si="35"/>
        <v/>
      </c>
    </row>
    <row r="556" spans="1:13" x14ac:dyDescent="0.35">
      <c r="A556" s="81"/>
      <c r="B556" s="13"/>
      <c r="C556" s="21"/>
      <c r="D556" s="14"/>
      <c r="E556" s="14"/>
      <c r="F556" s="14"/>
      <c r="G556" s="21"/>
      <c r="H556" s="53"/>
      <c r="I556" s="7" t="str">
        <f t="shared" si="32"/>
        <v/>
      </c>
      <c r="J556" s="27" t="str">
        <f t="shared" ca="1" si="33"/>
        <v/>
      </c>
      <c r="K556" s="7" t="str">
        <f t="shared" si="34"/>
        <v/>
      </c>
      <c r="L556" s="13"/>
      <c r="M556" s="29" t="str">
        <f t="shared" si="35"/>
        <v/>
      </c>
    </row>
    <row r="557" spans="1:13" x14ac:dyDescent="0.35">
      <c r="A557" s="81"/>
      <c r="B557" s="13"/>
      <c r="C557" s="21"/>
      <c r="D557" s="14"/>
      <c r="E557" s="14"/>
      <c r="F557" s="14"/>
      <c r="G557" s="21"/>
      <c r="H557" s="53"/>
      <c r="I557" s="7" t="str">
        <f t="shared" si="32"/>
        <v/>
      </c>
      <c r="J557" s="27" t="str">
        <f t="shared" ca="1" si="33"/>
        <v/>
      </c>
      <c r="K557" s="7" t="str">
        <f t="shared" si="34"/>
        <v/>
      </c>
      <c r="L557" s="13"/>
      <c r="M557" s="29" t="str">
        <f t="shared" si="35"/>
        <v/>
      </c>
    </row>
    <row r="558" spans="1:13" x14ac:dyDescent="0.35">
      <c r="A558" s="81"/>
      <c r="B558" s="13"/>
      <c r="C558" s="21"/>
      <c r="D558" s="14"/>
      <c r="E558" s="14"/>
      <c r="F558" s="14"/>
      <c r="G558" s="21"/>
      <c r="H558" s="53"/>
      <c r="I558" s="7" t="str">
        <f t="shared" si="32"/>
        <v/>
      </c>
      <c r="J558" s="27" t="str">
        <f t="shared" ca="1" si="33"/>
        <v/>
      </c>
      <c r="K558" s="7" t="str">
        <f t="shared" si="34"/>
        <v/>
      </c>
      <c r="L558" s="13"/>
      <c r="M558" s="29" t="str">
        <f t="shared" si="35"/>
        <v/>
      </c>
    </row>
    <row r="559" spans="1:13" x14ac:dyDescent="0.35">
      <c r="A559" s="81"/>
      <c r="B559" s="13"/>
      <c r="C559" s="21"/>
      <c r="D559" s="14"/>
      <c r="E559" s="14"/>
      <c r="F559" s="14"/>
      <c r="G559" s="21"/>
      <c r="H559" s="53"/>
      <c r="I559" s="7" t="str">
        <f t="shared" si="32"/>
        <v/>
      </c>
      <c r="J559" s="27" t="str">
        <f t="shared" ca="1" si="33"/>
        <v/>
      </c>
      <c r="K559" s="7" t="str">
        <f t="shared" si="34"/>
        <v/>
      </c>
      <c r="L559" s="13"/>
      <c r="M559" s="29" t="str">
        <f t="shared" si="35"/>
        <v/>
      </c>
    </row>
    <row r="560" spans="1:13" x14ac:dyDescent="0.35">
      <c r="A560" s="81"/>
      <c r="B560" s="13"/>
      <c r="C560" s="21"/>
      <c r="D560" s="14"/>
      <c r="E560" s="14"/>
      <c r="F560" s="14"/>
      <c r="G560" s="21"/>
      <c r="H560" s="53"/>
      <c r="I560" s="7" t="str">
        <f t="shared" si="32"/>
        <v/>
      </c>
      <c r="J560" s="27" t="str">
        <f t="shared" ca="1" si="33"/>
        <v/>
      </c>
      <c r="K560" s="7" t="str">
        <f t="shared" si="34"/>
        <v/>
      </c>
      <c r="L560" s="13"/>
      <c r="M560" s="29" t="str">
        <f t="shared" si="35"/>
        <v/>
      </c>
    </row>
    <row r="561" spans="1:13" x14ac:dyDescent="0.35">
      <c r="A561" s="81"/>
      <c r="B561" s="13"/>
      <c r="C561" s="21"/>
      <c r="D561" s="14"/>
      <c r="E561" s="14"/>
      <c r="F561" s="14"/>
      <c r="G561" s="21"/>
      <c r="H561" s="53"/>
      <c r="I561" s="7" t="str">
        <f t="shared" si="32"/>
        <v/>
      </c>
      <c r="J561" s="27" t="str">
        <f t="shared" ca="1" si="33"/>
        <v/>
      </c>
      <c r="K561" s="7" t="str">
        <f t="shared" si="34"/>
        <v/>
      </c>
      <c r="L561" s="13"/>
      <c r="M561" s="29" t="str">
        <f t="shared" si="35"/>
        <v/>
      </c>
    </row>
    <row r="562" spans="1:13" x14ac:dyDescent="0.35">
      <c r="A562" s="81"/>
      <c r="B562" s="13"/>
      <c r="C562" s="21"/>
      <c r="D562" s="14"/>
      <c r="E562" s="14"/>
      <c r="F562" s="14"/>
      <c r="G562" s="21"/>
      <c r="H562" s="53"/>
      <c r="I562" s="7" t="str">
        <f t="shared" si="32"/>
        <v/>
      </c>
      <c r="J562" s="27" t="str">
        <f t="shared" ca="1" si="33"/>
        <v/>
      </c>
      <c r="K562" s="7" t="str">
        <f t="shared" si="34"/>
        <v/>
      </c>
      <c r="L562" s="13"/>
      <c r="M562" s="29" t="str">
        <f t="shared" si="35"/>
        <v/>
      </c>
    </row>
    <row r="563" spans="1:13" x14ac:dyDescent="0.35">
      <c r="A563" s="81"/>
      <c r="B563" s="13"/>
      <c r="C563" s="21"/>
      <c r="D563" s="14"/>
      <c r="E563" s="14"/>
      <c r="F563" s="14"/>
      <c r="G563" s="21"/>
      <c r="H563" s="53"/>
      <c r="I563" s="7" t="str">
        <f t="shared" si="32"/>
        <v/>
      </c>
      <c r="J563" s="27" t="str">
        <f t="shared" ca="1" si="33"/>
        <v/>
      </c>
      <c r="K563" s="7" t="str">
        <f t="shared" si="34"/>
        <v/>
      </c>
      <c r="L563" s="13"/>
      <c r="M563" s="29" t="str">
        <f t="shared" si="35"/>
        <v/>
      </c>
    </row>
    <row r="564" spans="1:13" x14ac:dyDescent="0.35">
      <c r="A564" s="81"/>
      <c r="B564" s="13"/>
      <c r="C564" s="21"/>
      <c r="D564" s="14"/>
      <c r="E564" s="14"/>
      <c r="F564" s="14"/>
      <c r="G564" s="21"/>
      <c r="H564" s="53"/>
      <c r="I564" s="7" t="str">
        <f t="shared" si="32"/>
        <v/>
      </c>
      <c r="J564" s="27" t="str">
        <f t="shared" ca="1" si="33"/>
        <v/>
      </c>
      <c r="K564" s="7" t="str">
        <f t="shared" si="34"/>
        <v/>
      </c>
      <c r="L564" s="13"/>
      <c r="M564" s="29" t="str">
        <f t="shared" si="35"/>
        <v/>
      </c>
    </row>
    <row r="565" spans="1:13" x14ac:dyDescent="0.35">
      <c r="A565" s="81"/>
      <c r="B565" s="13"/>
      <c r="C565" s="21"/>
      <c r="D565" s="14"/>
      <c r="E565" s="14"/>
      <c r="F565" s="14"/>
      <c r="G565" s="21"/>
      <c r="H565" s="53"/>
      <c r="I565" s="7" t="str">
        <f t="shared" si="32"/>
        <v/>
      </c>
      <c r="J565" s="27" t="str">
        <f t="shared" ca="1" si="33"/>
        <v/>
      </c>
      <c r="K565" s="7" t="str">
        <f t="shared" si="34"/>
        <v/>
      </c>
      <c r="L565" s="13"/>
      <c r="M565" s="29" t="str">
        <f t="shared" si="35"/>
        <v/>
      </c>
    </row>
    <row r="566" spans="1:13" x14ac:dyDescent="0.35">
      <c r="A566" s="81"/>
      <c r="B566" s="13"/>
      <c r="C566" s="21"/>
      <c r="D566" s="14"/>
      <c r="E566" s="14"/>
      <c r="F566" s="14"/>
      <c r="G566" s="21"/>
      <c r="H566" s="53"/>
      <c r="I566" s="7" t="str">
        <f t="shared" si="32"/>
        <v/>
      </c>
      <c r="J566" s="27" t="str">
        <f t="shared" ca="1" si="33"/>
        <v/>
      </c>
      <c r="K566" s="7" t="str">
        <f t="shared" si="34"/>
        <v/>
      </c>
      <c r="L566" s="13"/>
      <c r="M566" s="29" t="str">
        <f t="shared" si="35"/>
        <v/>
      </c>
    </row>
    <row r="567" spans="1:13" x14ac:dyDescent="0.35">
      <c r="A567" s="81"/>
      <c r="B567" s="13"/>
      <c r="C567" s="21"/>
      <c r="D567" s="14"/>
      <c r="E567" s="14"/>
      <c r="F567" s="14"/>
      <c r="G567" s="21"/>
      <c r="H567" s="53"/>
      <c r="I567" s="7" t="str">
        <f t="shared" si="32"/>
        <v/>
      </c>
      <c r="J567" s="27" t="str">
        <f t="shared" ca="1" si="33"/>
        <v/>
      </c>
      <c r="K567" s="7" t="str">
        <f t="shared" si="34"/>
        <v/>
      </c>
      <c r="L567" s="13"/>
      <c r="M567" s="29" t="str">
        <f t="shared" si="35"/>
        <v/>
      </c>
    </row>
    <row r="568" spans="1:13" x14ac:dyDescent="0.35">
      <c r="A568" s="81"/>
      <c r="B568" s="13"/>
      <c r="C568" s="21"/>
      <c r="D568" s="14"/>
      <c r="E568" s="14"/>
      <c r="F568" s="14"/>
      <c r="G568" s="21"/>
      <c r="H568" s="53"/>
      <c r="I568" s="7" t="str">
        <f t="shared" si="32"/>
        <v/>
      </c>
      <c r="J568" s="27" t="str">
        <f t="shared" ca="1" si="33"/>
        <v/>
      </c>
      <c r="K568" s="7" t="str">
        <f t="shared" si="34"/>
        <v/>
      </c>
      <c r="L568" s="13"/>
      <c r="M568" s="29" t="str">
        <f t="shared" si="35"/>
        <v/>
      </c>
    </row>
    <row r="569" spans="1:13" x14ac:dyDescent="0.35">
      <c r="A569" s="81"/>
      <c r="B569" s="13"/>
      <c r="C569" s="21"/>
      <c r="D569" s="14"/>
      <c r="E569" s="14"/>
      <c r="F569" s="14"/>
      <c r="G569" s="21"/>
      <c r="H569" s="53"/>
      <c r="I569" s="7" t="str">
        <f t="shared" si="32"/>
        <v/>
      </c>
      <c r="J569" s="27" t="str">
        <f t="shared" ca="1" si="33"/>
        <v/>
      </c>
      <c r="K569" s="7" t="str">
        <f t="shared" si="34"/>
        <v/>
      </c>
      <c r="L569" s="13"/>
      <c r="M569" s="29" t="str">
        <f t="shared" si="35"/>
        <v/>
      </c>
    </row>
    <row r="570" spans="1:13" x14ac:dyDescent="0.35">
      <c r="A570" s="81"/>
      <c r="B570" s="13"/>
      <c r="C570" s="21"/>
      <c r="D570" s="14"/>
      <c r="E570" s="14"/>
      <c r="F570" s="14"/>
      <c r="G570" s="21"/>
      <c r="H570" s="53"/>
      <c r="I570" s="7" t="str">
        <f t="shared" si="32"/>
        <v/>
      </c>
      <c r="J570" s="27" t="str">
        <f t="shared" ca="1" si="33"/>
        <v/>
      </c>
      <c r="K570" s="7" t="str">
        <f t="shared" si="34"/>
        <v/>
      </c>
      <c r="L570" s="13"/>
      <c r="M570" s="29" t="str">
        <f t="shared" si="35"/>
        <v/>
      </c>
    </row>
    <row r="571" spans="1:13" x14ac:dyDescent="0.35">
      <c r="A571" s="81"/>
      <c r="B571" s="13"/>
      <c r="C571" s="21"/>
      <c r="D571" s="14"/>
      <c r="E571" s="14"/>
      <c r="F571" s="14"/>
      <c r="G571" s="21"/>
      <c r="H571" s="53"/>
      <c r="I571" s="7" t="str">
        <f t="shared" si="32"/>
        <v/>
      </c>
      <c r="J571" s="27" t="str">
        <f t="shared" ca="1" si="33"/>
        <v/>
      </c>
      <c r="K571" s="7" t="str">
        <f t="shared" si="34"/>
        <v/>
      </c>
      <c r="L571" s="13"/>
      <c r="M571" s="29" t="str">
        <f t="shared" si="35"/>
        <v/>
      </c>
    </row>
    <row r="572" spans="1:13" x14ac:dyDescent="0.35">
      <c r="A572" s="81"/>
      <c r="B572" s="13"/>
      <c r="C572" s="21"/>
      <c r="D572" s="14"/>
      <c r="E572" s="14"/>
      <c r="F572" s="14"/>
      <c r="G572" s="21"/>
      <c r="H572" s="53"/>
      <c r="I572" s="7" t="str">
        <f t="shared" si="32"/>
        <v/>
      </c>
      <c r="J572" s="27" t="str">
        <f t="shared" ca="1" si="33"/>
        <v/>
      </c>
      <c r="K572" s="7" t="str">
        <f t="shared" si="34"/>
        <v/>
      </c>
      <c r="L572" s="13"/>
      <c r="M572" s="29" t="str">
        <f t="shared" si="35"/>
        <v/>
      </c>
    </row>
    <row r="573" spans="1:13" x14ac:dyDescent="0.35">
      <c r="A573" s="81"/>
      <c r="B573" s="13"/>
      <c r="C573" s="21"/>
      <c r="D573" s="14"/>
      <c r="E573" s="14"/>
      <c r="F573" s="14"/>
      <c r="G573" s="21"/>
      <c r="H573" s="53"/>
      <c r="I573" s="7" t="str">
        <f t="shared" si="32"/>
        <v/>
      </c>
      <c r="J573" s="27" t="str">
        <f t="shared" ca="1" si="33"/>
        <v/>
      </c>
      <c r="K573" s="7" t="str">
        <f t="shared" si="34"/>
        <v/>
      </c>
      <c r="L573" s="13"/>
      <c r="M573" s="29" t="str">
        <f t="shared" si="35"/>
        <v/>
      </c>
    </row>
    <row r="574" spans="1:13" x14ac:dyDescent="0.35">
      <c r="A574" s="81"/>
      <c r="B574" s="13"/>
      <c r="C574" s="21"/>
      <c r="D574" s="14"/>
      <c r="E574" s="14"/>
      <c r="F574" s="14"/>
      <c r="G574" s="21"/>
      <c r="H574" s="53"/>
      <c r="I574" s="7" t="str">
        <f t="shared" si="32"/>
        <v/>
      </c>
      <c r="J574" s="27" t="str">
        <f t="shared" ca="1" si="33"/>
        <v/>
      </c>
      <c r="K574" s="7" t="str">
        <f t="shared" si="34"/>
        <v/>
      </c>
      <c r="L574" s="13"/>
      <c r="M574" s="29" t="str">
        <f t="shared" si="35"/>
        <v/>
      </c>
    </row>
    <row r="575" spans="1:13" x14ac:dyDescent="0.35">
      <c r="A575" s="81"/>
      <c r="B575" s="13"/>
      <c r="C575" s="21"/>
      <c r="D575" s="14"/>
      <c r="E575" s="14"/>
      <c r="F575" s="14"/>
      <c r="G575" s="21"/>
      <c r="H575" s="53"/>
      <c r="I575" s="7" t="str">
        <f t="shared" si="32"/>
        <v/>
      </c>
      <c r="J575" s="27" t="str">
        <f t="shared" ca="1" si="33"/>
        <v/>
      </c>
      <c r="K575" s="7" t="str">
        <f t="shared" si="34"/>
        <v/>
      </c>
      <c r="L575" s="13"/>
      <c r="M575" s="29" t="str">
        <f t="shared" si="35"/>
        <v/>
      </c>
    </row>
    <row r="576" spans="1:13" x14ac:dyDescent="0.35">
      <c r="A576" s="81"/>
      <c r="B576" s="13"/>
      <c r="C576" s="21"/>
      <c r="D576" s="14"/>
      <c r="E576" s="14"/>
      <c r="F576" s="14"/>
      <c r="G576" s="21"/>
      <c r="H576" s="53"/>
      <c r="I576" s="7" t="str">
        <f t="shared" si="32"/>
        <v/>
      </c>
      <c r="J576" s="27" t="str">
        <f t="shared" ca="1" si="33"/>
        <v/>
      </c>
      <c r="K576" s="7" t="str">
        <f t="shared" si="34"/>
        <v/>
      </c>
      <c r="L576" s="13"/>
      <c r="M576" s="29" t="str">
        <f t="shared" si="35"/>
        <v/>
      </c>
    </row>
    <row r="577" spans="1:13" x14ac:dyDescent="0.35">
      <c r="A577" s="81"/>
      <c r="B577" s="13"/>
      <c r="C577" s="21"/>
      <c r="D577" s="14"/>
      <c r="E577" s="14"/>
      <c r="F577" s="14"/>
      <c r="G577" s="21"/>
      <c r="H577" s="53"/>
      <c r="I577" s="7" t="str">
        <f t="shared" si="32"/>
        <v/>
      </c>
      <c r="J577" s="27" t="str">
        <f t="shared" ca="1" si="33"/>
        <v/>
      </c>
      <c r="K577" s="7" t="str">
        <f t="shared" si="34"/>
        <v/>
      </c>
      <c r="L577" s="13"/>
      <c r="M577" s="29" t="str">
        <f t="shared" si="35"/>
        <v/>
      </c>
    </row>
    <row r="578" spans="1:13" x14ac:dyDescent="0.35">
      <c r="A578" s="81"/>
      <c r="B578" s="13"/>
      <c r="C578" s="21"/>
      <c r="D578" s="14"/>
      <c r="E578" s="14"/>
      <c r="F578" s="14"/>
      <c r="G578" s="21"/>
      <c r="H578" s="53"/>
      <c r="I578" s="7" t="str">
        <f t="shared" si="32"/>
        <v/>
      </c>
      <c r="J578" s="27" t="str">
        <f t="shared" ca="1" si="33"/>
        <v/>
      </c>
      <c r="K578" s="7" t="str">
        <f t="shared" si="34"/>
        <v/>
      </c>
      <c r="L578" s="13"/>
      <c r="M578" s="29" t="str">
        <f t="shared" si="35"/>
        <v/>
      </c>
    </row>
    <row r="579" spans="1:13" x14ac:dyDescent="0.35">
      <c r="A579" s="81"/>
      <c r="B579" s="13"/>
      <c r="C579" s="21"/>
      <c r="D579" s="14"/>
      <c r="E579" s="14"/>
      <c r="F579" s="14"/>
      <c r="G579" s="21"/>
      <c r="H579" s="53"/>
      <c r="I579" s="7" t="str">
        <f t="shared" ref="I579:I642" si="36">IF($A579="","",IF($F579&lt;&gt;"","Envoyé DHL",IF($E579&lt;&gt;"","Reçu (à envoyer)",IF($D579&lt;&gt;"","Demandé (en attente)","À demander"))))</f>
        <v/>
      </c>
      <c r="J579" s="27" t="str">
        <f t="shared" ref="J579:J642" ca="1" si="37">IF(AND($A579&lt;&gt;"",$D579&lt;&gt;"",$E579=""),TODAY()-$D579,"")</f>
        <v/>
      </c>
      <c r="K579" s="7" t="str">
        <f t="shared" ref="K579:K642" si="38">IF($A579="","",IF(AND($J579&lt;&gt;"",N($J579)&gt;P_AlerteDoc),"Attente &gt; "&amp;P_AlerteDoc&amp;" jours",IF(AND($E579&lt;&gt;"",$F579=""),"Reçu : à envoyer par DHL","")))</f>
        <v/>
      </c>
      <c r="L579" s="13"/>
      <c r="M579" s="29" t="str">
        <f t="shared" ref="M579:M642" si="39">IF($K579&lt;&gt;"",1,"")</f>
        <v/>
      </c>
    </row>
    <row r="580" spans="1:13" x14ac:dyDescent="0.35">
      <c r="A580" s="81"/>
      <c r="B580" s="13"/>
      <c r="C580" s="21"/>
      <c r="D580" s="14"/>
      <c r="E580" s="14"/>
      <c r="F580" s="14"/>
      <c r="G580" s="21"/>
      <c r="H580" s="53"/>
      <c r="I580" s="7" t="str">
        <f t="shared" si="36"/>
        <v/>
      </c>
      <c r="J580" s="27" t="str">
        <f t="shared" ca="1" si="37"/>
        <v/>
      </c>
      <c r="K580" s="7" t="str">
        <f t="shared" si="38"/>
        <v/>
      </c>
      <c r="L580" s="13"/>
      <c r="M580" s="29" t="str">
        <f t="shared" si="39"/>
        <v/>
      </c>
    </row>
    <row r="581" spans="1:13" x14ac:dyDescent="0.35">
      <c r="A581" s="81"/>
      <c r="B581" s="13"/>
      <c r="C581" s="21"/>
      <c r="D581" s="14"/>
      <c r="E581" s="14"/>
      <c r="F581" s="14"/>
      <c r="G581" s="21"/>
      <c r="H581" s="53"/>
      <c r="I581" s="7" t="str">
        <f t="shared" si="36"/>
        <v/>
      </c>
      <c r="J581" s="27" t="str">
        <f t="shared" ca="1" si="37"/>
        <v/>
      </c>
      <c r="K581" s="7" t="str">
        <f t="shared" si="38"/>
        <v/>
      </c>
      <c r="L581" s="13"/>
      <c r="M581" s="29" t="str">
        <f t="shared" si="39"/>
        <v/>
      </c>
    </row>
    <row r="582" spans="1:13" x14ac:dyDescent="0.35">
      <c r="A582" s="81"/>
      <c r="B582" s="13"/>
      <c r="C582" s="21"/>
      <c r="D582" s="14"/>
      <c r="E582" s="14"/>
      <c r="F582" s="14"/>
      <c r="G582" s="21"/>
      <c r="H582" s="53"/>
      <c r="I582" s="7" t="str">
        <f t="shared" si="36"/>
        <v/>
      </c>
      <c r="J582" s="27" t="str">
        <f t="shared" ca="1" si="37"/>
        <v/>
      </c>
      <c r="K582" s="7" t="str">
        <f t="shared" si="38"/>
        <v/>
      </c>
      <c r="L582" s="13"/>
      <c r="M582" s="29" t="str">
        <f t="shared" si="39"/>
        <v/>
      </c>
    </row>
    <row r="583" spans="1:13" x14ac:dyDescent="0.35">
      <c r="A583" s="81"/>
      <c r="B583" s="13"/>
      <c r="C583" s="21"/>
      <c r="D583" s="14"/>
      <c r="E583" s="14"/>
      <c r="F583" s="14"/>
      <c r="G583" s="21"/>
      <c r="H583" s="53"/>
      <c r="I583" s="7" t="str">
        <f t="shared" si="36"/>
        <v/>
      </c>
      <c r="J583" s="27" t="str">
        <f t="shared" ca="1" si="37"/>
        <v/>
      </c>
      <c r="K583" s="7" t="str">
        <f t="shared" si="38"/>
        <v/>
      </c>
      <c r="L583" s="13"/>
      <c r="M583" s="29" t="str">
        <f t="shared" si="39"/>
        <v/>
      </c>
    </row>
    <row r="584" spans="1:13" x14ac:dyDescent="0.35">
      <c r="A584" s="81"/>
      <c r="B584" s="13"/>
      <c r="C584" s="21"/>
      <c r="D584" s="14"/>
      <c r="E584" s="14"/>
      <c r="F584" s="14"/>
      <c r="G584" s="21"/>
      <c r="H584" s="53"/>
      <c r="I584" s="7" t="str">
        <f t="shared" si="36"/>
        <v/>
      </c>
      <c r="J584" s="27" t="str">
        <f t="shared" ca="1" si="37"/>
        <v/>
      </c>
      <c r="K584" s="7" t="str">
        <f t="shared" si="38"/>
        <v/>
      </c>
      <c r="L584" s="13"/>
      <c r="M584" s="29" t="str">
        <f t="shared" si="39"/>
        <v/>
      </c>
    </row>
    <row r="585" spans="1:13" x14ac:dyDescent="0.35">
      <c r="A585" s="81"/>
      <c r="B585" s="13"/>
      <c r="C585" s="21"/>
      <c r="D585" s="14"/>
      <c r="E585" s="14"/>
      <c r="F585" s="14"/>
      <c r="G585" s="21"/>
      <c r="H585" s="53"/>
      <c r="I585" s="7" t="str">
        <f t="shared" si="36"/>
        <v/>
      </c>
      <c r="J585" s="27" t="str">
        <f t="shared" ca="1" si="37"/>
        <v/>
      </c>
      <c r="K585" s="7" t="str">
        <f t="shared" si="38"/>
        <v/>
      </c>
      <c r="L585" s="13"/>
      <c r="M585" s="29" t="str">
        <f t="shared" si="39"/>
        <v/>
      </c>
    </row>
    <row r="586" spans="1:13" x14ac:dyDescent="0.35">
      <c r="A586" s="81"/>
      <c r="B586" s="13"/>
      <c r="C586" s="21"/>
      <c r="D586" s="14"/>
      <c r="E586" s="14"/>
      <c r="F586" s="14"/>
      <c r="G586" s="21"/>
      <c r="H586" s="53"/>
      <c r="I586" s="7" t="str">
        <f t="shared" si="36"/>
        <v/>
      </c>
      <c r="J586" s="27" t="str">
        <f t="shared" ca="1" si="37"/>
        <v/>
      </c>
      <c r="K586" s="7" t="str">
        <f t="shared" si="38"/>
        <v/>
      </c>
      <c r="L586" s="13"/>
      <c r="M586" s="29" t="str">
        <f t="shared" si="39"/>
        <v/>
      </c>
    </row>
    <row r="587" spans="1:13" x14ac:dyDescent="0.35">
      <c r="A587" s="81"/>
      <c r="B587" s="13"/>
      <c r="C587" s="21"/>
      <c r="D587" s="14"/>
      <c r="E587" s="14"/>
      <c r="F587" s="14"/>
      <c r="G587" s="21"/>
      <c r="H587" s="53"/>
      <c r="I587" s="7" t="str">
        <f t="shared" si="36"/>
        <v/>
      </c>
      <c r="J587" s="27" t="str">
        <f t="shared" ca="1" si="37"/>
        <v/>
      </c>
      <c r="K587" s="7" t="str">
        <f t="shared" si="38"/>
        <v/>
      </c>
      <c r="L587" s="13"/>
      <c r="M587" s="29" t="str">
        <f t="shared" si="39"/>
        <v/>
      </c>
    </row>
    <row r="588" spans="1:13" x14ac:dyDescent="0.35">
      <c r="A588" s="81"/>
      <c r="B588" s="13"/>
      <c r="C588" s="21"/>
      <c r="D588" s="14"/>
      <c r="E588" s="14"/>
      <c r="F588" s="14"/>
      <c r="G588" s="21"/>
      <c r="H588" s="53"/>
      <c r="I588" s="7" t="str">
        <f t="shared" si="36"/>
        <v/>
      </c>
      <c r="J588" s="27" t="str">
        <f t="shared" ca="1" si="37"/>
        <v/>
      </c>
      <c r="K588" s="7" t="str">
        <f t="shared" si="38"/>
        <v/>
      </c>
      <c r="L588" s="13"/>
      <c r="M588" s="29" t="str">
        <f t="shared" si="39"/>
        <v/>
      </c>
    </row>
    <row r="589" spans="1:13" x14ac:dyDescent="0.35">
      <c r="A589" s="81"/>
      <c r="B589" s="13"/>
      <c r="C589" s="21"/>
      <c r="D589" s="14"/>
      <c r="E589" s="14"/>
      <c r="F589" s="14"/>
      <c r="G589" s="21"/>
      <c r="H589" s="53"/>
      <c r="I589" s="7" t="str">
        <f t="shared" si="36"/>
        <v/>
      </c>
      <c r="J589" s="27" t="str">
        <f t="shared" ca="1" si="37"/>
        <v/>
      </c>
      <c r="K589" s="7" t="str">
        <f t="shared" si="38"/>
        <v/>
      </c>
      <c r="L589" s="13"/>
      <c r="M589" s="29" t="str">
        <f t="shared" si="39"/>
        <v/>
      </c>
    </row>
    <row r="590" spans="1:13" x14ac:dyDescent="0.35">
      <c r="A590" s="81"/>
      <c r="B590" s="13"/>
      <c r="C590" s="21"/>
      <c r="D590" s="14"/>
      <c r="E590" s="14"/>
      <c r="F590" s="14"/>
      <c r="G590" s="21"/>
      <c r="H590" s="53"/>
      <c r="I590" s="7" t="str">
        <f t="shared" si="36"/>
        <v/>
      </c>
      <c r="J590" s="27" t="str">
        <f t="shared" ca="1" si="37"/>
        <v/>
      </c>
      <c r="K590" s="7" t="str">
        <f t="shared" si="38"/>
        <v/>
      </c>
      <c r="L590" s="13"/>
      <c r="M590" s="29" t="str">
        <f t="shared" si="39"/>
        <v/>
      </c>
    </row>
    <row r="591" spans="1:13" x14ac:dyDescent="0.35">
      <c r="A591" s="81"/>
      <c r="B591" s="13"/>
      <c r="C591" s="21"/>
      <c r="D591" s="14"/>
      <c r="E591" s="14"/>
      <c r="F591" s="14"/>
      <c r="G591" s="21"/>
      <c r="H591" s="53"/>
      <c r="I591" s="7" t="str">
        <f t="shared" si="36"/>
        <v/>
      </c>
      <c r="J591" s="27" t="str">
        <f t="shared" ca="1" si="37"/>
        <v/>
      </c>
      <c r="K591" s="7" t="str">
        <f t="shared" si="38"/>
        <v/>
      </c>
      <c r="L591" s="13"/>
      <c r="M591" s="29" t="str">
        <f t="shared" si="39"/>
        <v/>
      </c>
    </row>
    <row r="592" spans="1:13" x14ac:dyDescent="0.35">
      <c r="A592" s="81"/>
      <c r="B592" s="13"/>
      <c r="C592" s="21"/>
      <c r="D592" s="14"/>
      <c r="E592" s="14"/>
      <c r="F592" s="14"/>
      <c r="G592" s="21"/>
      <c r="H592" s="53"/>
      <c r="I592" s="7" t="str">
        <f t="shared" si="36"/>
        <v/>
      </c>
      <c r="J592" s="27" t="str">
        <f t="shared" ca="1" si="37"/>
        <v/>
      </c>
      <c r="K592" s="7" t="str">
        <f t="shared" si="38"/>
        <v/>
      </c>
      <c r="L592" s="13"/>
      <c r="M592" s="29" t="str">
        <f t="shared" si="39"/>
        <v/>
      </c>
    </row>
    <row r="593" spans="1:13" x14ac:dyDescent="0.35">
      <c r="A593" s="81"/>
      <c r="B593" s="13"/>
      <c r="C593" s="21"/>
      <c r="D593" s="14"/>
      <c r="E593" s="14"/>
      <c r="F593" s="14"/>
      <c r="G593" s="21"/>
      <c r="H593" s="53"/>
      <c r="I593" s="7" t="str">
        <f t="shared" si="36"/>
        <v/>
      </c>
      <c r="J593" s="27" t="str">
        <f t="shared" ca="1" si="37"/>
        <v/>
      </c>
      <c r="K593" s="7" t="str">
        <f t="shared" si="38"/>
        <v/>
      </c>
      <c r="L593" s="13"/>
      <c r="M593" s="29" t="str">
        <f t="shared" si="39"/>
        <v/>
      </c>
    </row>
    <row r="594" spans="1:13" x14ac:dyDescent="0.35">
      <c r="A594" s="81"/>
      <c r="B594" s="13"/>
      <c r="C594" s="21"/>
      <c r="D594" s="14"/>
      <c r="E594" s="14"/>
      <c r="F594" s="14"/>
      <c r="G594" s="21"/>
      <c r="H594" s="53"/>
      <c r="I594" s="7" t="str">
        <f t="shared" si="36"/>
        <v/>
      </c>
      <c r="J594" s="27" t="str">
        <f t="shared" ca="1" si="37"/>
        <v/>
      </c>
      <c r="K594" s="7" t="str">
        <f t="shared" si="38"/>
        <v/>
      </c>
      <c r="L594" s="13"/>
      <c r="M594" s="29" t="str">
        <f t="shared" si="39"/>
        <v/>
      </c>
    </row>
    <row r="595" spans="1:13" x14ac:dyDescent="0.35">
      <c r="A595" s="81"/>
      <c r="B595" s="13"/>
      <c r="C595" s="21"/>
      <c r="D595" s="14"/>
      <c r="E595" s="14"/>
      <c r="F595" s="14"/>
      <c r="G595" s="21"/>
      <c r="H595" s="53"/>
      <c r="I595" s="7" t="str">
        <f t="shared" si="36"/>
        <v/>
      </c>
      <c r="J595" s="27" t="str">
        <f t="shared" ca="1" si="37"/>
        <v/>
      </c>
      <c r="K595" s="7" t="str">
        <f t="shared" si="38"/>
        <v/>
      </c>
      <c r="L595" s="13"/>
      <c r="M595" s="29" t="str">
        <f t="shared" si="39"/>
        <v/>
      </c>
    </row>
    <row r="596" spans="1:13" x14ac:dyDescent="0.35">
      <c r="A596" s="81"/>
      <c r="B596" s="13"/>
      <c r="C596" s="21"/>
      <c r="D596" s="14"/>
      <c r="E596" s="14"/>
      <c r="F596" s="14"/>
      <c r="G596" s="21"/>
      <c r="H596" s="53"/>
      <c r="I596" s="7" t="str">
        <f t="shared" si="36"/>
        <v/>
      </c>
      <c r="J596" s="27" t="str">
        <f t="shared" ca="1" si="37"/>
        <v/>
      </c>
      <c r="K596" s="7" t="str">
        <f t="shared" si="38"/>
        <v/>
      </c>
      <c r="L596" s="13"/>
      <c r="M596" s="29" t="str">
        <f t="shared" si="39"/>
        <v/>
      </c>
    </row>
    <row r="597" spans="1:13" x14ac:dyDescent="0.35">
      <c r="A597" s="81"/>
      <c r="B597" s="13"/>
      <c r="C597" s="21"/>
      <c r="D597" s="14"/>
      <c r="E597" s="14"/>
      <c r="F597" s="14"/>
      <c r="G597" s="21"/>
      <c r="H597" s="53"/>
      <c r="I597" s="7" t="str">
        <f t="shared" si="36"/>
        <v/>
      </c>
      <c r="J597" s="27" t="str">
        <f t="shared" ca="1" si="37"/>
        <v/>
      </c>
      <c r="K597" s="7" t="str">
        <f t="shared" si="38"/>
        <v/>
      </c>
      <c r="L597" s="13"/>
      <c r="M597" s="29" t="str">
        <f t="shared" si="39"/>
        <v/>
      </c>
    </row>
    <row r="598" spans="1:13" x14ac:dyDescent="0.35">
      <c r="A598" s="81"/>
      <c r="B598" s="13"/>
      <c r="C598" s="21"/>
      <c r="D598" s="14"/>
      <c r="E598" s="14"/>
      <c r="F598" s="14"/>
      <c r="G598" s="21"/>
      <c r="H598" s="53"/>
      <c r="I598" s="7" t="str">
        <f t="shared" si="36"/>
        <v/>
      </c>
      <c r="J598" s="27" t="str">
        <f t="shared" ca="1" si="37"/>
        <v/>
      </c>
      <c r="K598" s="7" t="str">
        <f t="shared" si="38"/>
        <v/>
      </c>
      <c r="L598" s="13"/>
      <c r="M598" s="29" t="str">
        <f t="shared" si="39"/>
        <v/>
      </c>
    </row>
    <row r="599" spans="1:13" x14ac:dyDescent="0.35">
      <c r="A599" s="81"/>
      <c r="B599" s="13"/>
      <c r="C599" s="21"/>
      <c r="D599" s="14"/>
      <c r="E599" s="14"/>
      <c r="F599" s="14"/>
      <c r="G599" s="21"/>
      <c r="H599" s="53"/>
      <c r="I599" s="7" t="str">
        <f t="shared" si="36"/>
        <v/>
      </c>
      <c r="J599" s="27" t="str">
        <f t="shared" ca="1" si="37"/>
        <v/>
      </c>
      <c r="K599" s="7" t="str">
        <f t="shared" si="38"/>
        <v/>
      </c>
      <c r="L599" s="13"/>
      <c r="M599" s="29" t="str">
        <f t="shared" si="39"/>
        <v/>
      </c>
    </row>
    <row r="600" spans="1:13" x14ac:dyDescent="0.35">
      <c r="A600" s="81"/>
      <c r="B600" s="13"/>
      <c r="C600" s="21"/>
      <c r="D600" s="14"/>
      <c r="E600" s="14"/>
      <c r="F600" s="14"/>
      <c r="G600" s="21"/>
      <c r="H600" s="53"/>
      <c r="I600" s="7" t="str">
        <f t="shared" si="36"/>
        <v/>
      </c>
      <c r="J600" s="27" t="str">
        <f t="shared" ca="1" si="37"/>
        <v/>
      </c>
      <c r="K600" s="7" t="str">
        <f t="shared" si="38"/>
        <v/>
      </c>
      <c r="L600" s="13"/>
      <c r="M600" s="29" t="str">
        <f t="shared" si="39"/>
        <v/>
      </c>
    </row>
    <row r="601" spans="1:13" x14ac:dyDescent="0.35">
      <c r="A601" s="81"/>
      <c r="B601" s="13"/>
      <c r="C601" s="21"/>
      <c r="D601" s="14"/>
      <c r="E601" s="14"/>
      <c r="F601" s="14"/>
      <c r="G601" s="21"/>
      <c r="H601" s="53"/>
      <c r="I601" s="7" t="str">
        <f t="shared" si="36"/>
        <v/>
      </c>
      <c r="J601" s="27" t="str">
        <f t="shared" ca="1" si="37"/>
        <v/>
      </c>
      <c r="K601" s="7" t="str">
        <f t="shared" si="38"/>
        <v/>
      </c>
      <c r="L601" s="13"/>
      <c r="M601" s="29" t="str">
        <f t="shared" si="39"/>
        <v/>
      </c>
    </row>
    <row r="602" spans="1:13" x14ac:dyDescent="0.35">
      <c r="A602" s="81"/>
      <c r="B602" s="13"/>
      <c r="C602" s="21"/>
      <c r="D602" s="14"/>
      <c r="E602" s="14"/>
      <c r="F602" s="14"/>
      <c r="G602" s="21"/>
      <c r="H602" s="53"/>
      <c r="I602" s="7" t="str">
        <f t="shared" si="36"/>
        <v/>
      </c>
      <c r="J602" s="27" t="str">
        <f t="shared" ca="1" si="37"/>
        <v/>
      </c>
      <c r="K602" s="7" t="str">
        <f t="shared" si="38"/>
        <v/>
      </c>
      <c r="L602" s="13"/>
      <c r="M602" s="29" t="str">
        <f t="shared" si="39"/>
        <v/>
      </c>
    </row>
    <row r="603" spans="1:13" x14ac:dyDescent="0.35">
      <c r="A603" s="81"/>
      <c r="B603" s="13"/>
      <c r="C603" s="21"/>
      <c r="D603" s="14"/>
      <c r="E603" s="14"/>
      <c r="F603" s="14"/>
      <c r="G603" s="21"/>
      <c r="H603" s="53"/>
      <c r="I603" s="7" t="str">
        <f t="shared" si="36"/>
        <v/>
      </c>
      <c r="J603" s="27" t="str">
        <f t="shared" ca="1" si="37"/>
        <v/>
      </c>
      <c r="K603" s="7" t="str">
        <f t="shared" si="38"/>
        <v/>
      </c>
      <c r="L603" s="13"/>
      <c r="M603" s="29" t="str">
        <f t="shared" si="39"/>
        <v/>
      </c>
    </row>
    <row r="604" spans="1:13" x14ac:dyDescent="0.35">
      <c r="A604" s="81"/>
      <c r="B604" s="13"/>
      <c r="C604" s="21"/>
      <c r="D604" s="14"/>
      <c r="E604" s="14"/>
      <c r="F604" s="14"/>
      <c r="G604" s="21"/>
      <c r="H604" s="53"/>
      <c r="I604" s="7" t="str">
        <f t="shared" si="36"/>
        <v/>
      </c>
      <c r="J604" s="27" t="str">
        <f t="shared" ca="1" si="37"/>
        <v/>
      </c>
      <c r="K604" s="7" t="str">
        <f t="shared" si="38"/>
        <v/>
      </c>
      <c r="L604" s="13"/>
      <c r="M604" s="29" t="str">
        <f t="shared" si="39"/>
        <v/>
      </c>
    </row>
    <row r="605" spans="1:13" x14ac:dyDescent="0.35">
      <c r="A605" s="81"/>
      <c r="B605" s="13"/>
      <c r="C605" s="21"/>
      <c r="D605" s="14"/>
      <c r="E605" s="14"/>
      <c r="F605" s="14"/>
      <c r="G605" s="21"/>
      <c r="H605" s="53"/>
      <c r="I605" s="7" t="str">
        <f t="shared" si="36"/>
        <v/>
      </c>
      <c r="J605" s="27" t="str">
        <f t="shared" ca="1" si="37"/>
        <v/>
      </c>
      <c r="K605" s="7" t="str">
        <f t="shared" si="38"/>
        <v/>
      </c>
      <c r="L605" s="13"/>
      <c r="M605" s="29" t="str">
        <f t="shared" si="39"/>
        <v/>
      </c>
    </row>
    <row r="606" spans="1:13" x14ac:dyDescent="0.35">
      <c r="A606" s="81"/>
      <c r="B606" s="13"/>
      <c r="C606" s="21"/>
      <c r="D606" s="14"/>
      <c r="E606" s="14"/>
      <c r="F606" s="14"/>
      <c r="G606" s="21"/>
      <c r="H606" s="53"/>
      <c r="I606" s="7" t="str">
        <f t="shared" si="36"/>
        <v/>
      </c>
      <c r="J606" s="27" t="str">
        <f t="shared" ca="1" si="37"/>
        <v/>
      </c>
      <c r="K606" s="7" t="str">
        <f t="shared" si="38"/>
        <v/>
      </c>
      <c r="L606" s="13"/>
      <c r="M606" s="29" t="str">
        <f t="shared" si="39"/>
        <v/>
      </c>
    </row>
    <row r="607" spans="1:13" x14ac:dyDescent="0.35">
      <c r="A607" s="81"/>
      <c r="B607" s="13"/>
      <c r="C607" s="21"/>
      <c r="D607" s="14"/>
      <c r="E607" s="14"/>
      <c r="F607" s="14"/>
      <c r="G607" s="21"/>
      <c r="H607" s="53"/>
      <c r="I607" s="7" t="str">
        <f t="shared" si="36"/>
        <v/>
      </c>
      <c r="J607" s="27" t="str">
        <f t="shared" ca="1" si="37"/>
        <v/>
      </c>
      <c r="K607" s="7" t="str">
        <f t="shared" si="38"/>
        <v/>
      </c>
      <c r="L607" s="13"/>
      <c r="M607" s="29" t="str">
        <f t="shared" si="39"/>
        <v/>
      </c>
    </row>
    <row r="608" spans="1:13" x14ac:dyDescent="0.35">
      <c r="A608" s="81"/>
      <c r="B608" s="13"/>
      <c r="C608" s="21"/>
      <c r="D608" s="14"/>
      <c r="E608" s="14"/>
      <c r="F608" s="14"/>
      <c r="G608" s="21"/>
      <c r="H608" s="53"/>
      <c r="I608" s="7" t="str">
        <f t="shared" si="36"/>
        <v/>
      </c>
      <c r="J608" s="27" t="str">
        <f t="shared" ca="1" si="37"/>
        <v/>
      </c>
      <c r="K608" s="7" t="str">
        <f t="shared" si="38"/>
        <v/>
      </c>
      <c r="L608" s="13"/>
      <c r="M608" s="29" t="str">
        <f t="shared" si="39"/>
        <v/>
      </c>
    </row>
    <row r="609" spans="1:13" x14ac:dyDescent="0.35">
      <c r="A609" s="81"/>
      <c r="B609" s="13"/>
      <c r="C609" s="21"/>
      <c r="D609" s="14"/>
      <c r="E609" s="14"/>
      <c r="F609" s="14"/>
      <c r="G609" s="21"/>
      <c r="H609" s="53"/>
      <c r="I609" s="7" t="str">
        <f t="shared" si="36"/>
        <v/>
      </c>
      <c r="J609" s="27" t="str">
        <f t="shared" ca="1" si="37"/>
        <v/>
      </c>
      <c r="K609" s="7" t="str">
        <f t="shared" si="38"/>
        <v/>
      </c>
      <c r="L609" s="13"/>
      <c r="M609" s="29" t="str">
        <f t="shared" si="39"/>
        <v/>
      </c>
    </row>
    <row r="610" spans="1:13" x14ac:dyDescent="0.35">
      <c r="A610" s="81"/>
      <c r="B610" s="13"/>
      <c r="C610" s="21"/>
      <c r="D610" s="14"/>
      <c r="E610" s="14"/>
      <c r="F610" s="14"/>
      <c r="G610" s="21"/>
      <c r="H610" s="53"/>
      <c r="I610" s="7" t="str">
        <f t="shared" si="36"/>
        <v/>
      </c>
      <c r="J610" s="27" t="str">
        <f t="shared" ca="1" si="37"/>
        <v/>
      </c>
      <c r="K610" s="7" t="str">
        <f t="shared" si="38"/>
        <v/>
      </c>
      <c r="L610" s="13"/>
      <c r="M610" s="29" t="str">
        <f t="shared" si="39"/>
        <v/>
      </c>
    </row>
    <row r="611" spans="1:13" x14ac:dyDescent="0.35">
      <c r="A611" s="81"/>
      <c r="B611" s="13"/>
      <c r="C611" s="21"/>
      <c r="D611" s="14"/>
      <c r="E611" s="14"/>
      <c r="F611" s="14"/>
      <c r="G611" s="21"/>
      <c r="H611" s="53"/>
      <c r="I611" s="7" t="str">
        <f t="shared" si="36"/>
        <v/>
      </c>
      <c r="J611" s="27" t="str">
        <f t="shared" ca="1" si="37"/>
        <v/>
      </c>
      <c r="K611" s="7" t="str">
        <f t="shared" si="38"/>
        <v/>
      </c>
      <c r="L611" s="13"/>
      <c r="M611" s="29" t="str">
        <f t="shared" si="39"/>
        <v/>
      </c>
    </row>
    <row r="612" spans="1:13" x14ac:dyDescent="0.35">
      <c r="A612" s="81"/>
      <c r="B612" s="13"/>
      <c r="C612" s="21"/>
      <c r="D612" s="14"/>
      <c r="E612" s="14"/>
      <c r="F612" s="14"/>
      <c r="G612" s="21"/>
      <c r="H612" s="53"/>
      <c r="I612" s="7" t="str">
        <f t="shared" si="36"/>
        <v/>
      </c>
      <c r="J612" s="27" t="str">
        <f t="shared" ca="1" si="37"/>
        <v/>
      </c>
      <c r="K612" s="7" t="str">
        <f t="shared" si="38"/>
        <v/>
      </c>
      <c r="L612" s="13"/>
      <c r="M612" s="29" t="str">
        <f t="shared" si="39"/>
        <v/>
      </c>
    </row>
    <row r="613" spans="1:13" x14ac:dyDescent="0.35">
      <c r="A613" s="81"/>
      <c r="B613" s="13"/>
      <c r="C613" s="21"/>
      <c r="D613" s="14"/>
      <c r="E613" s="14"/>
      <c r="F613" s="14"/>
      <c r="G613" s="21"/>
      <c r="H613" s="53"/>
      <c r="I613" s="7" t="str">
        <f t="shared" si="36"/>
        <v/>
      </c>
      <c r="J613" s="27" t="str">
        <f t="shared" ca="1" si="37"/>
        <v/>
      </c>
      <c r="K613" s="7" t="str">
        <f t="shared" si="38"/>
        <v/>
      </c>
      <c r="L613" s="13"/>
      <c r="M613" s="29" t="str">
        <f t="shared" si="39"/>
        <v/>
      </c>
    </row>
    <row r="614" spans="1:13" x14ac:dyDescent="0.35">
      <c r="A614" s="81"/>
      <c r="B614" s="13"/>
      <c r="C614" s="21"/>
      <c r="D614" s="14"/>
      <c r="E614" s="14"/>
      <c r="F614" s="14"/>
      <c r="G614" s="21"/>
      <c r="H614" s="53"/>
      <c r="I614" s="7" t="str">
        <f t="shared" si="36"/>
        <v/>
      </c>
      <c r="J614" s="27" t="str">
        <f t="shared" ca="1" si="37"/>
        <v/>
      </c>
      <c r="K614" s="7" t="str">
        <f t="shared" si="38"/>
        <v/>
      </c>
      <c r="L614" s="13"/>
      <c r="M614" s="29" t="str">
        <f t="shared" si="39"/>
        <v/>
      </c>
    </row>
    <row r="615" spans="1:13" x14ac:dyDescent="0.35">
      <c r="A615" s="81"/>
      <c r="B615" s="13"/>
      <c r="C615" s="21"/>
      <c r="D615" s="14"/>
      <c r="E615" s="14"/>
      <c r="F615" s="14"/>
      <c r="G615" s="21"/>
      <c r="H615" s="53"/>
      <c r="I615" s="7" t="str">
        <f t="shared" si="36"/>
        <v/>
      </c>
      <c r="J615" s="27" t="str">
        <f t="shared" ca="1" si="37"/>
        <v/>
      </c>
      <c r="K615" s="7" t="str">
        <f t="shared" si="38"/>
        <v/>
      </c>
      <c r="L615" s="13"/>
      <c r="M615" s="29" t="str">
        <f t="shared" si="39"/>
        <v/>
      </c>
    </row>
    <row r="616" spans="1:13" x14ac:dyDescent="0.35">
      <c r="A616" s="81"/>
      <c r="B616" s="13"/>
      <c r="C616" s="21"/>
      <c r="D616" s="14"/>
      <c r="E616" s="14"/>
      <c r="F616" s="14"/>
      <c r="G616" s="21"/>
      <c r="H616" s="53"/>
      <c r="I616" s="7" t="str">
        <f t="shared" si="36"/>
        <v/>
      </c>
      <c r="J616" s="27" t="str">
        <f t="shared" ca="1" si="37"/>
        <v/>
      </c>
      <c r="K616" s="7" t="str">
        <f t="shared" si="38"/>
        <v/>
      </c>
      <c r="L616" s="13"/>
      <c r="M616" s="29" t="str">
        <f t="shared" si="39"/>
        <v/>
      </c>
    </row>
    <row r="617" spans="1:13" x14ac:dyDescent="0.35">
      <c r="A617" s="81"/>
      <c r="B617" s="13"/>
      <c r="C617" s="21"/>
      <c r="D617" s="14"/>
      <c r="E617" s="14"/>
      <c r="F617" s="14"/>
      <c r="G617" s="21"/>
      <c r="H617" s="53"/>
      <c r="I617" s="7" t="str">
        <f t="shared" si="36"/>
        <v/>
      </c>
      <c r="J617" s="27" t="str">
        <f t="shared" ca="1" si="37"/>
        <v/>
      </c>
      <c r="K617" s="7" t="str">
        <f t="shared" si="38"/>
        <v/>
      </c>
      <c r="L617" s="13"/>
      <c r="M617" s="29" t="str">
        <f t="shared" si="39"/>
        <v/>
      </c>
    </row>
    <row r="618" spans="1:13" x14ac:dyDescent="0.35">
      <c r="A618" s="81"/>
      <c r="B618" s="13"/>
      <c r="C618" s="21"/>
      <c r="D618" s="14"/>
      <c r="E618" s="14"/>
      <c r="F618" s="14"/>
      <c r="G618" s="21"/>
      <c r="H618" s="53"/>
      <c r="I618" s="7" t="str">
        <f t="shared" si="36"/>
        <v/>
      </c>
      <c r="J618" s="27" t="str">
        <f t="shared" ca="1" si="37"/>
        <v/>
      </c>
      <c r="K618" s="7" t="str">
        <f t="shared" si="38"/>
        <v/>
      </c>
      <c r="L618" s="13"/>
      <c r="M618" s="29" t="str">
        <f t="shared" si="39"/>
        <v/>
      </c>
    </row>
    <row r="619" spans="1:13" x14ac:dyDescent="0.35">
      <c r="A619" s="81"/>
      <c r="B619" s="13"/>
      <c r="C619" s="21"/>
      <c r="D619" s="14"/>
      <c r="E619" s="14"/>
      <c r="F619" s="14"/>
      <c r="G619" s="21"/>
      <c r="H619" s="53"/>
      <c r="I619" s="7" t="str">
        <f t="shared" si="36"/>
        <v/>
      </c>
      <c r="J619" s="27" t="str">
        <f t="shared" ca="1" si="37"/>
        <v/>
      </c>
      <c r="K619" s="7" t="str">
        <f t="shared" si="38"/>
        <v/>
      </c>
      <c r="L619" s="13"/>
      <c r="M619" s="29" t="str">
        <f t="shared" si="39"/>
        <v/>
      </c>
    </row>
    <row r="620" spans="1:13" x14ac:dyDescent="0.35">
      <c r="A620" s="81"/>
      <c r="B620" s="13"/>
      <c r="C620" s="21"/>
      <c r="D620" s="14"/>
      <c r="E620" s="14"/>
      <c r="F620" s="14"/>
      <c r="G620" s="21"/>
      <c r="H620" s="53"/>
      <c r="I620" s="7" t="str">
        <f t="shared" si="36"/>
        <v/>
      </c>
      <c r="J620" s="27" t="str">
        <f t="shared" ca="1" si="37"/>
        <v/>
      </c>
      <c r="K620" s="7" t="str">
        <f t="shared" si="38"/>
        <v/>
      </c>
      <c r="L620" s="13"/>
      <c r="M620" s="29" t="str">
        <f t="shared" si="39"/>
        <v/>
      </c>
    </row>
    <row r="621" spans="1:13" x14ac:dyDescent="0.35">
      <c r="A621" s="81"/>
      <c r="B621" s="13"/>
      <c r="C621" s="21"/>
      <c r="D621" s="14"/>
      <c r="E621" s="14"/>
      <c r="F621" s="14"/>
      <c r="G621" s="21"/>
      <c r="H621" s="53"/>
      <c r="I621" s="7" t="str">
        <f t="shared" si="36"/>
        <v/>
      </c>
      <c r="J621" s="27" t="str">
        <f t="shared" ca="1" si="37"/>
        <v/>
      </c>
      <c r="K621" s="7" t="str">
        <f t="shared" si="38"/>
        <v/>
      </c>
      <c r="L621" s="13"/>
      <c r="M621" s="29" t="str">
        <f t="shared" si="39"/>
        <v/>
      </c>
    </row>
    <row r="622" spans="1:13" x14ac:dyDescent="0.35">
      <c r="A622" s="81"/>
      <c r="B622" s="13"/>
      <c r="C622" s="21"/>
      <c r="D622" s="14"/>
      <c r="E622" s="14"/>
      <c r="F622" s="14"/>
      <c r="G622" s="21"/>
      <c r="H622" s="53"/>
      <c r="I622" s="7" t="str">
        <f t="shared" si="36"/>
        <v/>
      </c>
      <c r="J622" s="27" t="str">
        <f t="shared" ca="1" si="37"/>
        <v/>
      </c>
      <c r="K622" s="7" t="str">
        <f t="shared" si="38"/>
        <v/>
      </c>
      <c r="L622" s="13"/>
      <c r="M622" s="29" t="str">
        <f t="shared" si="39"/>
        <v/>
      </c>
    </row>
    <row r="623" spans="1:13" x14ac:dyDescent="0.35">
      <c r="A623" s="81"/>
      <c r="B623" s="13"/>
      <c r="C623" s="21"/>
      <c r="D623" s="14"/>
      <c r="E623" s="14"/>
      <c r="F623" s="14"/>
      <c r="G623" s="21"/>
      <c r="H623" s="53"/>
      <c r="I623" s="7" t="str">
        <f t="shared" si="36"/>
        <v/>
      </c>
      <c r="J623" s="27" t="str">
        <f t="shared" ca="1" si="37"/>
        <v/>
      </c>
      <c r="K623" s="7" t="str">
        <f t="shared" si="38"/>
        <v/>
      </c>
      <c r="L623" s="13"/>
      <c r="M623" s="29" t="str">
        <f t="shared" si="39"/>
        <v/>
      </c>
    </row>
    <row r="624" spans="1:13" x14ac:dyDescent="0.35">
      <c r="A624" s="81"/>
      <c r="B624" s="13"/>
      <c r="C624" s="21"/>
      <c r="D624" s="14"/>
      <c r="E624" s="14"/>
      <c r="F624" s="14"/>
      <c r="G624" s="21"/>
      <c r="H624" s="53"/>
      <c r="I624" s="7" t="str">
        <f t="shared" si="36"/>
        <v/>
      </c>
      <c r="J624" s="27" t="str">
        <f t="shared" ca="1" si="37"/>
        <v/>
      </c>
      <c r="K624" s="7" t="str">
        <f t="shared" si="38"/>
        <v/>
      </c>
      <c r="L624" s="13"/>
      <c r="M624" s="29" t="str">
        <f t="shared" si="39"/>
        <v/>
      </c>
    </row>
    <row r="625" spans="1:13" x14ac:dyDescent="0.35">
      <c r="A625" s="81"/>
      <c r="B625" s="13"/>
      <c r="C625" s="21"/>
      <c r="D625" s="14"/>
      <c r="E625" s="14"/>
      <c r="F625" s="14"/>
      <c r="G625" s="21"/>
      <c r="H625" s="53"/>
      <c r="I625" s="7" t="str">
        <f t="shared" si="36"/>
        <v/>
      </c>
      <c r="J625" s="27" t="str">
        <f t="shared" ca="1" si="37"/>
        <v/>
      </c>
      <c r="K625" s="7" t="str">
        <f t="shared" si="38"/>
        <v/>
      </c>
      <c r="L625" s="13"/>
      <c r="M625" s="29" t="str">
        <f t="shared" si="39"/>
        <v/>
      </c>
    </row>
    <row r="626" spans="1:13" x14ac:dyDescent="0.35">
      <c r="A626" s="81"/>
      <c r="B626" s="13"/>
      <c r="C626" s="21"/>
      <c r="D626" s="14"/>
      <c r="E626" s="14"/>
      <c r="F626" s="14"/>
      <c r="G626" s="21"/>
      <c r="H626" s="53"/>
      <c r="I626" s="7" t="str">
        <f t="shared" si="36"/>
        <v/>
      </c>
      <c r="J626" s="27" t="str">
        <f t="shared" ca="1" si="37"/>
        <v/>
      </c>
      <c r="K626" s="7" t="str">
        <f t="shared" si="38"/>
        <v/>
      </c>
      <c r="L626" s="13"/>
      <c r="M626" s="29" t="str">
        <f t="shared" si="39"/>
        <v/>
      </c>
    </row>
    <row r="627" spans="1:13" x14ac:dyDescent="0.35">
      <c r="A627" s="81"/>
      <c r="B627" s="13"/>
      <c r="C627" s="21"/>
      <c r="D627" s="14"/>
      <c r="E627" s="14"/>
      <c r="F627" s="14"/>
      <c r="G627" s="21"/>
      <c r="H627" s="53"/>
      <c r="I627" s="7" t="str">
        <f t="shared" si="36"/>
        <v/>
      </c>
      <c r="J627" s="27" t="str">
        <f t="shared" ca="1" si="37"/>
        <v/>
      </c>
      <c r="K627" s="7" t="str">
        <f t="shared" si="38"/>
        <v/>
      </c>
      <c r="L627" s="13"/>
      <c r="M627" s="29" t="str">
        <f t="shared" si="39"/>
        <v/>
      </c>
    </row>
    <row r="628" spans="1:13" x14ac:dyDescent="0.35">
      <c r="A628" s="81"/>
      <c r="B628" s="13"/>
      <c r="C628" s="21"/>
      <c r="D628" s="14"/>
      <c r="E628" s="14"/>
      <c r="F628" s="14"/>
      <c r="G628" s="21"/>
      <c r="H628" s="53"/>
      <c r="I628" s="7" t="str">
        <f t="shared" si="36"/>
        <v/>
      </c>
      <c r="J628" s="27" t="str">
        <f t="shared" ca="1" si="37"/>
        <v/>
      </c>
      <c r="K628" s="7" t="str">
        <f t="shared" si="38"/>
        <v/>
      </c>
      <c r="L628" s="13"/>
      <c r="M628" s="29" t="str">
        <f t="shared" si="39"/>
        <v/>
      </c>
    </row>
    <row r="629" spans="1:13" x14ac:dyDescent="0.35">
      <c r="A629" s="81"/>
      <c r="B629" s="13"/>
      <c r="C629" s="21"/>
      <c r="D629" s="14"/>
      <c r="E629" s="14"/>
      <c r="F629" s="14"/>
      <c r="G629" s="21"/>
      <c r="H629" s="53"/>
      <c r="I629" s="7" t="str">
        <f t="shared" si="36"/>
        <v/>
      </c>
      <c r="J629" s="27" t="str">
        <f t="shared" ca="1" si="37"/>
        <v/>
      </c>
      <c r="K629" s="7" t="str">
        <f t="shared" si="38"/>
        <v/>
      </c>
      <c r="L629" s="13"/>
      <c r="M629" s="29" t="str">
        <f t="shared" si="39"/>
        <v/>
      </c>
    </row>
    <row r="630" spans="1:13" x14ac:dyDescent="0.35">
      <c r="A630" s="81"/>
      <c r="B630" s="13"/>
      <c r="C630" s="21"/>
      <c r="D630" s="14"/>
      <c r="E630" s="14"/>
      <c r="F630" s="14"/>
      <c r="G630" s="21"/>
      <c r="H630" s="53"/>
      <c r="I630" s="7" t="str">
        <f t="shared" si="36"/>
        <v/>
      </c>
      <c r="J630" s="27" t="str">
        <f t="shared" ca="1" si="37"/>
        <v/>
      </c>
      <c r="K630" s="7" t="str">
        <f t="shared" si="38"/>
        <v/>
      </c>
      <c r="L630" s="13"/>
      <c r="M630" s="29" t="str">
        <f t="shared" si="39"/>
        <v/>
      </c>
    </row>
    <row r="631" spans="1:13" x14ac:dyDescent="0.35">
      <c r="A631" s="81"/>
      <c r="B631" s="13"/>
      <c r="C631" s="21"/>
      <c r="D631" s="14"/>
      <c r="E631" s="14"/>
      <c r="F631" s="14"/>
      <c r="G631" s="21"/>
      <c r="H631" s="53"/>
      <c r="I631" s="7" t="str">
        <f t="shared" si="36"/>
        <v/>
      </c>
      <c r="J631" s="27" t="str">
        <f t="shared" ca="1" si="37"/>
        <v/>
      </c>
      <c r="K631" s="7" t="str">
        <f t="shared" si="38"/>
        <v/>
      </c>
      <c r="L631" s="13"/>
      <c r="M631" s="29" t="str">
        <f t="shared" si="39"/>
        <v/>
      </c>
    </row>
    <row r="632" spans="1:13" x14ac:dyDescent="0.35">
      <c r="A632" s="81"/>
      <c r="B632" s="13"/>
      <c r="C632" s="21"/>
      <c r="D632" s="14"/>
      <c r="E632" s="14"/>
      <c r="F632" s="14"/>
      <c r="G632" s="21"/>
      <c r="H632" s="53"/>
      <c r="I632" s="7" t="str">
        <f t="shared" si="36"/>
        <v/>
      </c>
      <c r="J632" s="27" t="str">
        <f t="shared" ca="1" si="37"/>
        <v/>
      </c>
      <c r="K632" s="7" t="str">
        <f t="shared" si="38"/>
        <v/>
      </c>
      <c r="L632" s="13"/>
      <c r="M632" s="29" t="str">
        <f t="shared" si="39"/>
        <v/>
      </c>
    </row>
    <row r="633" spans="1:13" x14ac:dyDescent="0.35">
      <c r="A633" s="81"/>
      <c r="B633" s="13"/>
      <c r="C633" s="21"/>
      <c r="D633" s="14"/>
      <c r="E633" s="14"/>
      <c r="F633" s="14"/>
      <c r="G633" s="21"/>
      <c r="H633" s="53"/>
      <c r="I633" s="7" t="str">
        <f t="shared" si="36"/>
        <v/>
      </c>
      <c r="J633" s="27" t="str">
        <f t="shared" ca="1" si="37"/>
        <v/>
      </c>
      <c r="K633" s="7" t="str">
        <f t="shared" si="38"/>
        <v/>
      </c>
      <c r="L633" s="13"/>
      <c r="M633" s="29" t="str">
        <f t="shared" si="39"/>
        <v/>
      </c>
    </row>
    <row r="634" spans="1:13" x14ac:dyDescent="0.35">
      <c r="A634" s="81"/>
      <c r="B634" s="13"/>
      <c r="C634" s="21"/>
      <c r="D634" s="14"/>
      <c r="E634" s="14"/>
      <c r="F634" s="14"/>
      <c r="G634" s="21"/>
      <c r="H634" s="53"/>
      <c r="I634" s="7" t="str">
        <f t="shared" si="36"/>
        <v/>
      </c>
      <c r="J634" s="27" t="str">
        <f t="shared" ca="1" si="37"/>
        <v/>
      </c>
      <c r="K634" s="7" t="str">
        <f t="shared" si="38"/>
        <v/>
      </c>
      <c r="L634" s="13"/>
      <c r="M634" s="29" t="str">
        <f t="shared" si="39"/>
        <v/>
      </c>
    </row>
    <row r="635" spans="1:13" x14ac:dyDescent="0.35">
      <c r="A635" s="81"/>
      <c r="B635" s="13"/>
      <c r="C635" s="21"/>
      <c r="D635" s="14"/>
      <c r="E635" s="14"/>
      <c r="F635" s="14"/>
      <c r="G635" s="21"/>
      <c r="H635" s="53"/>
      <c r="I635" s="7" t="str">
        <f t="shared" si="36"/>
        <v/>
      </c>
      <c r="J635" s="27" t="str">
        <f t="shared" ca="1" si="37"/>
        <v/>
      </c>
      <c r="K635" s="7" t="str">
        <f t="shared" si="38"/>
        <v/>
      </c>
      <c r="L635" s="13"/>
      <c r="M635" s="29" t="str">
        <f t="shared" si="39"/>
        <v/>
      </c>
    </row>
    <row r="636" spans="1:13" x14ac:dyDescent="0.35">
      <c r="A636" s="81"/>
      <c r="B636" s="13"/>
      <c r="C636" s="21"/>
      <c r="D636" s="14"/>
      <c r="E636" s="14"/>
      <c r="F636" s="14"/>
      <c r="G636" s="21"/>
      <c r="H636" s="53"/>
      <c r="I636" s="7" t="str">
        <f t="shared" si="36"/>
        <v/>
      </c>
      <c r="J636" s="27" t="str">
        <f t="shared" ca="1" si="37"/>
        <v/>
      </c>
      <c r="K636" s="7" t="str">
        <f t="shared" si="38"/>
        <v/>
      </c>
      <c r="L636" s="13"/>
      <c r="M636" s="29" t="str">
        <f t="shared" si="39"/>
        <v/>
      </c>
    </row>
    <row r="637" spans="1:13" x14ac:dyDescent="0.35">
      <c r="A637" s="81"/>
      <c r="B637" s="13"/>
      <c r="C637" s="21"/>
      <c r="D637" s="14"/>
      <c r="E637" s="14"/>
      <c r="F637" s="14"/>
      <c r="G637" s="21"/>
      <c r="H637" s="53"/>
      <c r="I637" s="7" t="str">
        <f t="shared" si="36"/>
        <v/>
      </c>
      <c r="J637" s="27" t="str">
        <f t="shared" ca="1" si="37"/>
        <v/>
      </c>
      <c r="K637" s="7" t="str">
        <f t="shared" si="38"/>
        <v/>
      </c>
      <c r="L637" s="13"/>
      <c r="M637" s="29" t="str">
        <f t="shared" si="39"/>
        <v/>
      </c>
    </row>
    <row r="638" spans="1:13" x14ac:dyDescent="0.35">
      <c r="A638" s="81"/>
      <c r="B638" s="13"/>
      <c r="C638" s="21"/>
      <c r="D638" s="14"/>
      <c r="E638" s="14"/>
      <c r="F638" s="14"/>
      <c r="G638" s="21"/>
      <c r="H638" s="53"/>
      <c r="I638" s="7" t="str">
        <f t="shared" si="36"/>
        <v/>
      </c>
      <c r="J638" s="27" t="str">
        <f t="shared" ca="1" si="37"/>
        <v/>
      </c>
      <c r="K638" s="7" t="str">
        <f t="shared" si="38"/>
        <v/>
      </c>
      <c r="L638" s="13"/>
      <c r="M638" s="29" t="str">
        <f t="shared" si="39"/>
        <v/>
      </c>
    </row>
    <row r="639" spans="1:13" x14ac:dyDescent="0.35">
      <c r="A639" s="81"/>
      <c r="B639" s="13"/>
      <c r="C639" s="21"/>
      <c r="D639" s="14"/>
      <c r="E639" s="14"/>
      <c r="F639" s="14"/>
      <c r="G639" s="21"/>
      <c r="H639" s="53"/>
      <c r="I639" s="7" t="str">
        <f t="shared" si="36"/>
        <v/>
      </c>
      <c r="J639" s="27" t="str">
        <f t="shared" ca="1" si="37"/>
        <v/>
      </c>
      <c r="K639" s="7" t="str">
        <f t="shared" si="38"/>
        <v/>
      </c>
      <c r="L639" s="13"/>
      <c r="M639" s="29" t="str">
        <f t="shared" si="39"/>
        <v/>
      </c>
    </row>
    <row r="640" spans="1:13" x14ac:dyDescent="0.35">
      <c r="A640" s="81"/>
      <c r="B640" s="13"/>
      <c r="C640" s="21"/>
      <c r="D640" s="14"/>
      <c r="E640" s="14"/>
      <c r="F640" s="14"/>
      <c r="G640" s="21"/>
      <c r="H640" s="53"/>
      <c r="I640" s="7" t="str">
        <f t="shared" si="36"/>
        <v/>
      </c>
      <c r="J640" s="27" t="str">
        <f t="shared" ca="1" si="37"/>
        <v/>
      </c>
      <c r="K640" s="7" t="str">
        <f t="shared" si="38"/>
        <v/>
      </c>
      <c r="L640" s="13"/>
      <c r="M640" s="29" t="str">
        <f t="shared" si="39"/>
        <v/>
      </c>
    </row>
    <row r="641" spans="1:13" x14ac:dyDescent="0.35">
      <c r="A641" s="81"/>
      <c r="B641" s="13"/>
      <c r="C641" s="21"/>
      <c r="D641" s="14"/>
      <c r="E641" s="14"/>
      <c r="F641" s="14"/>
      <c r="G641" s="21"/>
      <c r="H641" s="53"/>
      <c r="I641" s="7" t="str">
        <f t="shared" si="36"/>
        <v/>
      </c>
      <c r="J641" s="27" t="str">
        <f t="shared" ca="1" si="37"/>
        <v/>
      </c>
      <c r="K641" s="7" t="str">
        <f t="shared" si="38"/>
        <v/>
      </c>
      <c r="L641" s="13"/>
      <c r="M641" s="29" t="str">
        <f t="shared" si="39"/>
        <v/>
      </c>
    </row>
    <row r="642" spans="1:13" x14ac:dyDescent="0.35">
      <c r="A642" s="81"/>
      <c r="B642" s="13"/>
      <c r="C642" s="21"/>
      <c r="D642" s="14"/>
      <c r="E642" s="14"/>
      <c r="F642" s="14"/>
      <c r="G642" s="21"/>
      <c r="H642" s="53"/>
      <c r="I642" s="7" t="str">
        <f t="shared" si="36"/>
        <v/>
      </c>
      <c r="J642" s="27" t="str">
        <f t="shared" ca="1" si="37"/>
        <v/>
      </c>
      <c r="K642" s="7" t="str">
        <f t="shared" si="38"/>
        <v/>
      </c>
      <c r="L642" s="13"/>
      <c r="M642" s="29" t="str">
        <f t="shared" si="39"/>
        <v/>
      </c>
    </row>
    <row r="643" spans="1:13" x14ac:dyDescent="0.35">
      <c r="A643" s="81"/>
      <c r="B643" s="13"/>
      <c r="C643" s="21"/>
      <c r="D643" s="14"/>
      <c r="E643" s="14"/>
      <c r="F643" s="14"/>
      <c r="G643" s="21"/>
      <c r="H643" s="53"/>
      <c r="I643" s="7" t="str">
        <f t="shared" ref="I643:I706" si="40">IF($A643="","",IF($F643&lt;&gt;"","Envoyé DHL",IF($E643&lt;&gt;"","Reçu (à envoyer)",IF($D643&lt;&gt;"","Demandé (en attente)","À demander"))))</f>
        <v/>
      </c>
      <c r="J643" s="27" t="str">
        <f t="shared" ref="J643:J706" ca="1" si="41">IF(AND($A643&lt;&gt;"",$D643&lt;&gt;"",$E643=""),TODAY()-$D643,"")</f>
        <v/>
      </c>
      <c r="K643" s="7" t="str">
        <f t="shared" ref="K643:K706" si="42">IF($A643="","",IF(AND($J643&lt;&gt;"",N($J643)&gt;P_AlerteDoc),"Attente &gt; "&amp;P_AlerteDoc&amp;" jours",IF(AND($E643&lt;&gt;"",$F643=""),"Reçu : à envoyer par DHL","")))</f>
        <v/>
      </c>
      <c r="L643" s="13"/>
      <c r="M643" s="29" t="str">
        <f t="shared" ref="M643:M706" si="43">IF($K643&lt;&gt;"",1,"")</f>
        <v/>
      </c>
    </row>
    <row r="644" spans="1:13" x14ac:dyDescent="0.35">
      <c r="A644" s="81"/>
      <c r="B644" s="13"/>
      <c r="C644" s="21"/>
      <c r="D644" s="14"/>
      <c r="E644" s="14"/>
      <c r="F644" s="14"/>
      <c r="G644" s="21"/>
      <c r="H644" s="53"/>
      <c r="I644" s="7" t="str">
        <f t="shared" si="40"/>
        <v/>
      </c>
      <c r="J644" s="27" t="str">
        <f t="shared" ca="1" si="41"/>
        <v/>
      </c>
      <c r="K644" s="7" t="str">
        <f t="shared" si="42"/>
        <v/>
      </c>
      <c r="L644" s="13"/>
      <c r="M644" s="29" t="str">
        <f t="shared" si="43"/>
        <v/>
      </c>
    </row>
    <row r="645" spans="1:13" x14ac:dyDescent="0.35">
      <c r="A645" s="81"/>
      <c r="B645" s="13"/>
      <c r="C645" s="21"/>
      <c r="D645" s="14"/>
      <c r="E645" s="14"/>
      <c r="F645" s="14"/>
      <c r="G645" s="21"/>
      <c r="H645" s="53"/>
      <c r="I645" s="7" t="str">
        <f t="shared" si="40"/>
        <v/>
      </c>
      <c r="J645" s="27" t="str">
        <f t="shared" ca="1" si="41"/>
        <v/>
      </c>
      <c r="K645" s="7" t="str">
        <f t="shared" si="42"/>
        <v/>
      </c>
      <c r="L645" s="13"/>
      <c r="M645" s="29" t="str">
        <f t="shared" si="43"/>
        <v/>
      </c>
    </row>
    <row r="646" spans="1:13" x14ac:dyDescent="0.35">
      <c r="A646" s="81"/>
      <c r="B646" s="13"/>
      <c r="C646" s="21"/>
      <c r="D646" s="14"/>
      <c r="E646" s="14"/>
      <c r="F646" s="14"/>
      <c r="G646" s="21"/>
      <c r="H646" s="53"/>
      <c r="I646" s="7" t="str">
        <f t="shared" si="40"/>
        <v/>
      </c>
      <c r="J646" s="27" t="str">
        <f t="shared" ca="1" si="41"/>
        <v/>
      </c>
      <c r="K646" s="7" t="str">
        <f t="shared" si="42"/>
        <v/>
      </c>
      <c r="L646" s="13"/>
      <c r="M646" s="29" t="str">
        <f t="shared" si="43"/>
        <v/>
      </c>
    </row>
    <row r="647" spans="1:13" x14ac:dyDescent="0.35">
      <c r="A647" s="81"/>
      <c r="B647" s="13"/>
      <c r="C647" s="21"/>
      <c r="D647" s="14"/>
      <c r="E647" s="14"/>
      <c r="F647" s="14"/>
      <c r="G647" s="21"/>
      <c r="H647" s="53"/>
      <c r="I647" s="7" t="str">
        <f t="shared" si="40"/>
        <v/>
      </c>
      <c r="J647" s="27" t="str">
        <f t="shared" ca="1" si="41"/>
        <v/>
      </c>
      <c r="K647" s="7" t="str">
        <f t="shared" si="42"/>
        <v/>
      </c>
      <c r="L647" s="13"/>
      <c r="M647" s="29" t="str">
        <f t="shared" si="43"/>
        <v/>
      </c>
    </row>
    <row r="648" spans="1:13" x14ac:dyDescent="0.35">
      <c r="A648" s="81"/>
      <c r="B648" s="13"/>
      <c r="C648" s="21"/>
      <c r="D648" s="14"/>
      <c r="E648" s="14"/>
      <c r="F648" s="14"/>
      <c r="G648" s="21"/>
      <c r="H648" s="53"/>
      <c r="I648" s="7" t="str">
        <f t="shared" si="40"/>
        <v/>
      </c>
      <c r="J648" s="27" t="str">
        <f t="shared" ca="1" si="41"/>
        <v/>
      </c>
      <c r="K648" s="7" t="str">
        <f t="shared" si="42"/>
        <v/>
      </c>
      <c r="L648" s="13"/>
      <c r="M648" s="29" t="str">
        <f t="shared" si="43"/>
        <v/>
      </c>
    </row>
    <row r="649" spans="1:13" x14ac:dyDescent="0.35">
      <c r="A649" s="81"/>
      <c r="B649" s="13"/>
      <c r="C649" s="21"/>
      <c r="D649" s="14"/>
      <c r="E649" s="14"/>
      <c r="F649" s="14"/>
      <c r="G649" s="21"/>
      <c r="H649" s="53"/>
      <c r="I649" s="7" t="str">
        <f t="shared" si="40"/>
        <v/>
      </c>
      <c r="J649" s="27" t="str">
        <f t="shared" ca="1" si="41"/>
        <v/>
      </c>
      <c r="K649" s="7" t="str">
        <f t="shared" si="42"/>
        <v/>
      </c>
      <c r="L649" s="13"/>
      <c r="M649" s="29" t="str">
        <f t="shared" si="43"/>
        <v/>
      </c>
    </row>
    <row r="650" spans="1:13" x14ac:dyDescent="0.35">
      <c r="A650" s="81"/>
      <c r="B650" s="13"/>
      <c r="C650" s="21"/>
      <c r="D650" s="14"/>
      <c r="E650" s="14"/>
      <c r="F650" s="14"/>
      <c r="G650" s="21"/>
      <c r="H650" s="53"/>
      <c r="I650" s="7" t="str">
        <f t="shared" si="40"/>
        <v/>
      </c>
      <c r="J650" s="27" t="str">
        <f t="shared" ca="1" si="41"/>
        <v/>
      </c>
      <c r="K650" s="7" t="str">
        <f t="shared" si="42"/>
        <v/>
      </c>
      <c r="L650" s="13"/>
      <c r="M650" s="29" t="str">
        <f t="shared" si="43"/>
        <v/>
      </c>
    </row>
    <row r="651" spans="1:13" x14ac:dyDescent="0.35">
      <c r="A651" s="81"/>
      <c r="B651" s="13"/>
      <c r="C651" s="21"/>
      <c r="D651" s="14"/>
      <c r="E651" s="14"/>
      <c r="F651" s="14"/>
      <c r="G651" s="21"/>
      <c r="H651" s="53"/>
      <c r="I651" s="7" t="str">
        <f t="shared" si="40"/>
        <v/>
      </c>
      <c r="J651" s="27" t="str">
        <f t="shared" ca="1" si="41"/>
        <v/>
      </c>
      <c r="K651" s="7" t="str">
        <f t="shared" si="42"/>
        <v/>
      </c>
      <c r="L651" s="13"/>
      <c r="M651" s="29" t="str">
        <f t="shared" si="43"/>
        <v/>
      </c>
    </row>
    <row r="652" spans="1:13" x14ac:dyDescent="0.35">
      <c r="A652" s="81"/>
      <c r="B652" s="13"/>
      <c r="C652" s="21"/>
      <c r="D652" s="14"/>
      <c r="E652" s="14"/>
      <c r="F652" s="14"/>
      <c r="G652" s="21"/>
      <c r="H652" s="53"/>
      <c r="I652" s="7" t="str">
        <f t="shared" si="40"/>
        <v/>
      </c>
      <c r="J652" s="27" t="str">
        <f t="shared" ca="1" si="41"/>
        <v/>
      </c>
      <c r="K652" s="7" t="str">
        <f t="shared" si="42"/>
        <v/>
      </c>
      <c r="L652" s="13"/>
      <c r="M652" s="29" t="str">
        <f t="shared" si="43"/>
        <v/>
      </c>
    </row>
    <row r="653" spans="1:13" x14ac:dyDescent="0.35">
      <c r="A653" s="81"/>
      <c r="B653" s="13"/>
      <c r="C653" s="21"/>
      <c r="D653" s="14"/>
      <c r="E653" s="14"/>
      <c r="F653" s="14"/>
      <c r="G653" s="21"/>
      <c r="H653" s="53"/>
      <c r="I653" s="7" t="str">
        <f t="shared" si="40"/>
        <v/>
      </c>
      <c r="J653" s="27" t="str">
        <f t="shared" ca="1" si="41"/>
        <v/>
      </c>
      <c r="K653" s="7" t="str">
        <f t="shared" si="42"/>
        <v/>
      </c>
      <c r="L653" s="13"/>
      <c r="M653" s="29" t="str">
        <f t="shared" si="43"/>
        <v/>
      </c>
    </row>
    <row r="654" spans="1:13" x14ac:dyDescent="0.35">
      <c r="A654" s="81"/>
      <c r="B654" s="13"/>
      <c r="C654" s="21"/>
      <c r="D654" s="14"/>
      <c r="E654" s="14"/>
      <c r="F654" s="14"/>
      <c r="G654" s="21"/>
      <c r="H654" s="53"/>
      <c r="I654" s="7" t="str">
        <f t="shared" si="40"/>
        <v/>
      </c>
      <c r="J654" s="27" t="str">
        <f t="shared" ca="1" si="41"/>
        <v/>
      </c>
      <c r="K654" s="7" t="str">
        <f t="shared" si="42"/>
        <v/>
      </c>
      <c r="L654" s="13"/>
      <c r="M654" s="29" t="str">
        <f t="shared" si="43"/>
        <v/>
      </c>
    </row>
    <row r="655" spans="1:13" x14ac:dyDescent="0.35">
      <c r="A655" s="81"/>
      <c r="B655" s="13"/>
      <c r="C655" s="21"/>
      <c r="D655" s="14"/>
      <c r="E655" s="14"/>
      <c r="F655" s="14"/>
      <c r="G655" s="21"/>
      <c r="H655" s="53"/>
      <c r="I655" s="7" t="str">
        <f t="shared" si="40"/>
        <v/>
      </c>
      <c r="J655" s="27" t="str">
        <f t="shared" ca="1" si="41"/>
        <v/>
      </c>
      <c r="K655" s="7" t="str">
        <f t="shared" si="42"/>
        <v/>
      </c>
      <c r="L655" s="13"/>
      <c r="M655" s="29" t="str">
        <f t="shared" si="43"/>
        <v/>
      </c>
    </row>
    <row r="656" spans="1:13" x14ac:dyDescent="0.35">
      <c r="A656" s="81"/>
      <c r="B656" s="13"/>
      <c r="C656" s="21"/>
      <c r="D656" s="14"/>
      <c r="E656" s="14"/>
      <c r="F656" s="14"/>
      <c r="G656" s="21"/>
      <c r="H656" s="53"/>
      <c r="I656" s="7" t="str">
        <f t="shared" si="40"/>
        <v/>
      </c>
      <c r="J656" s="27" t="str">
        <f t="shared" ca="1" si="41"/>
        <v/>
      </c>
      <c r="K656" s="7" t="str">
        <f t="shared" si="42"/>
        <v/>
      </c>
      <c r="L656" s="13"/>
      <c r="M656" s="29" t="str">
        <f t="shared" si="43"/>
        <v/>
      </c>
    </row>
    <row r="657" spans="1:13" x14ac:dyDescent="0.35">
      <c r="A657" s="81"/>
      <c r="B657" s="13"/>
      <c r="C657" s="21"/>
      <c r="D657" s="14"/>
      <c r="E657" s="14"/>
      <c r="F657" s="14"/>
      <c r="G657" s="21"/>
      <c r="H657" s="53"/>
      <c r="I657" s="7" t="str">
        <f t="shared" si="40"/>
        <v/>
      </c>
      <c r="J657" s="27" t="str">
        <f t="shared" ca="1" si="41"/>
        <v/>
      </c>
      <c r="K657" s="7" t="str">
        <f t="shared" si="42"/>
        <v/>
      </c>
      <c r="L657" s="13"/>
      <c r="M657" s="29" t="str">
        <f t="shared" si="43"/>
        <v/>
      </c>
    </row>
    <row r="658" spans="1:13" x14ac:dyDescent="0.35">
      <c r="A658" s="81"/>
      <c r="B658" s="13"/>
      <c r="C658" s="21"/>
      <c r="D658" s="14"/>
      <c r="E658" s="14"/>
      <c r="F658" s="14"/>
      <c r="G658" s="21"/>
      <c r="H658" s="53"/>
      <c r="I658" s="7" t="str">
        <f t="shared" si="40"/>
        <v/>
      </c>
      <c r="J658" s="27" t="str">
        <f t="shared" ca="1" si="41"/>
        <v/>
      </c>
      <c r="K658" s="7" t="str">
        <f t="shared" si="42"/>
        <v/>
      </c>
      <c r="L658" s="13"/>
      <c r="M658" s="29" t="str">
        <f t="shared" si="43"/>
        <v/>
      </c>
    </row>
    <row r="659" spans="1:13" x14ac:dyDescent="0.35">
      <c r="A659" s="81"/>
      <c r="B659" s="13"/>
      <c r="C659" s="21"/>
      <c r="D659" s="14"/>
      <c r="E659" s="14"/>
      <c r="F659" s="14"/>
      <c r="G659" s="21"/>
      <c r="H659" s="53"/>
      <c r="I659" s="7" t="str">
        <f t="shared" si="40"/>
        <v/>
      </c>
      <c r="J659" s="27" t="str">
        <f t="shared" ca="1" si="41"/>
        <v/>
      </c>
      <c r="K659" s="7" t="str">
        <f t="shared" si="42"/>
        <v/>
      </c>
      <c r="L659" s="13"/>
      <c r="M659" s="29" t="str">
        <f t="shared" si="43"/>
        <v/>
      </c>
    </row>
    <row r="660" spans="1:13" x14ac:dyDescent="0.35">
      <c r="A660" s="81"/>
      <c r="B660" s="13"/>
      <c r="C660" s="21"/>
      <c r="D660" s="14"/>
      <c r="E660" s="14"/>
      <c r="F660" s="14"/>
      <c r="G660" s="21"/>
      <c r="H660" s="53"/>
      <c r="I660" s="7" t="str">
        <f t="shared" si="40"/>
        <v/>
      </c>
      <c r="J660" s="27" t="str">
        <f t="shared" ca="1" si="41"/>
        <v/>
      </c>
      <c r="K660" s="7" t="str">
        <f t="shared" si="42"/>
        <v/>
      </c>
      <c r="L660" s="13"/>
      <c r="M660" s="29" t="str">
        <f t="shared" si="43"/>
        <v/>
      </c>
    </row>
    <row r="661" spans="1:13" x14ac:dyDescent="0.35">
      <c r="A661" s="81"/>
      <c r="B661" s="13"/>
      <c r="C661" s="21"/>
      <c r="D661" s="14"/>
      <c r="E661" s="14"/>
      <c r="F661" s="14"/>
      <c r="G661" s="21"/>
      <c r="H661" s="53"/>
      <c r="I661" s="7" t="str">
        <f t="shared" si="40"/>
        <v/>
      </c>
      <c r="J661" s="27" t="str">
        <f t="shared" ca="1" si="41"/>
        <v/>
      </c>
      <c r="K661" s="7" t="str">
        <f t="shared" si="42"/>
        <v/>
      </c>
      <c r="L661" s="13"/>
      <c r="M661" s="29" t="str">
        <f t="shared" si="43"/>
        <v/>
      </c>
    </row>
    <row r="662" spans="1:13" x14ac:dyDescent="0.35">
      <c r="A662" s="81"/>
      <c r="B662" s="13"/>
      <c r="C662" s="21"/>
      <c r="D662" s="14"/>
      <c r="E662" s="14"/>
      <c r="F662" s="14"/>
      <c r="G662" s="21"/>
      <c r="H662" s="53"/>
      <c r="I662" s="7" t="str">
        <f t="shared" si="40"/>
        <v/>
      </c>
      <c r="J662" s="27" t="str">
        <f t="shared" ca="1" si="41"/>
        <v/>
      </c>
      <c r="K662" s="7" t="str">
        <f t="shared" si="42"/>
        <v/>
      </c>
      <c r="L662" s="13"/>
      <c r="M662" s="29" t="str">
        <f t="shared" si="43"/>
        <v/>
      </c>
    </row>
    <row r="663" spans="1:13" x14ac:dyDescent="0.35">
      <c r="A663" s="81"/>
      <c r="B663" s="13"/>
      <c r="C663" s="21"/>
      <c r="D663" s="14"/>
      <c r="E663" s="14"/>
      <c r="F663" s="14"/>
      <c r="G663" s="21"/>
      <c r="H663" s="53"/>
      <c r="I663" s="7" t="str">
        <f t="shared" si="40"/>
        <v/>
      </c>
      <c r="J663" s="27" t="str">
        <f t="shared" ca="1" si="41"/>
        <v/>
      </c>
      <c r="K663" s="7" t="str">
        <f t="shared" si="42"/>
        <v/>
      </c>
      <c r="L663" s="13"/>
      <c r="M663" s="29" t="str">
        <f t="shared" si="43"/>
        <v/>
      </c>
    </row>
    <row r="664" spans="1:13" x14ac:dyDescent="0.35">
      <c r="A664" s="81"/>
      <c r="B664" s="13"/>
      <c r="C664" s="21"/>
      <c r="D664" s="14"/>
      <c r="E664" s="14"/>
      <c r="F664" s="14"/>
      <c r="G664" s="21"/>
      <c r="H664" s="53"/>
      <c r="I664" s="7" t="str">
        <f t="shared" si="40"/>
        <v/>
      </c>
      <c r="J664" s="27" t="str">
        <f t="shared" ca="1" si="41"/>
        <v/>
      </c>
      <c r="K664" s="7" t="str">
        <f t="shared" si="42"/>
        <v/>
      </c>
      <c r="L664" s="13"/>
      <c r="M664" s="29" t="str">
        <f t="shared" si="43"/>
        <v/>
      </c>
    </row>
    <row r="665" spans="1:13" x14ac:dyDescent="0.35">
      <c r="A665" s="81"/>
      <c r="B665" s="13"/>
      <c r="C665" s="21"/>
      <c r="D665" s="14"/>
      <c r="E665" s="14"/>
      <c r="F665" s="14"/>
      <c r="G665" s="21"/>
      <c r="H665" s="53"/>
      <c r="I665" s="7" t="str">
        <f t="shared" si="40"/>
        <v/>
      </c>
      <c r="J665" s="27" t="str">
        <f t="shared" ca="1" si="41"/>
        <v/>
      </c>
      <c r="K665" s="7" t="str">
        <f t="shared" si="42"/>
        <v/>
      </c>
      <c r="L665" s="13"/>
      <c r="M665" s="29" t="str">
        <f t="shared" si="43"/>
        <v/>
      </c>
    </row>
    <row r="666" spans="1:13" x14ac:dyDescent="0.35">
      <c r="A666" s="81"/>
      <c r="B666" s="13"/>
      <c r="C666" s="21"/>
      <c r="D666" s="14"/>
      <c r="E666" s="14"/>
      <c r="F666" s="14"/>
      <c r="G666" s="21"/>
      <c r="H666" s="53"/>
      <c r="I666" s="7" t="str">
        <f t="shared" si="40"/>
        <v/>
      </c>
      <c r="J666" s="27" t="str">
        <f t="shared" ca="1" si="41"/>
        <v/>
      </c>
      <c r="K666" s="7" t="str">
        <f t="shared" si="42"/>
        <v/>
      </c>
      <c r="L666" s="13"/>
      <c r="M666" s="29" t="str">
        <f t="shared" si="43"/>
        <v/>
      </c>
    </row>
    <row r="667" spans="1:13" x14ac:dyDescent="0.35">
      <c r="A667" s="81"/>
      <c r="B667" s="13"/>
      <c r="C667" s="21"/>
      <c r="D667" s="14"/>
      <c r="E667" s="14"/>
      <c r="F667" s="14"/>
      <c r="G667" s="21"/>
      <c r="H667" s="53"/>
      <c r="I667" s="7" t="str">
        <f t="shared" si="40"/>
        <v/>
      </c>
      <c r="J667" s="27" t="str">
        <f t="shared" ca="1" si="41"/>
        <v/>
      </c>
      <c r="K667" s="7" t="str">
        <f t="shared" si="42"/>
        <v/>
      </c>
      <c r="L667" s="13"/>
      <c r="M667" s="29" t="str">
        <f t="shared" si="43"/>
        <v/>
      </c>
    </row>
    <row r="668" spans="1:13" x14ac:dyDescent="0.35">
      <c r="A668" s="81"/>
      <c r="B668" s="13"/>
      <c r="C668" s="21"/>
      <c r="D668" s="14"/>
      <c r="E668" s="14"/>
      <c r="F668" s="14"/>
      <c r="G668" s="21"/>
      <c r="H668" s="53"/>
      <c r="I668" s="7" t="str">
        <f t="shared" si="40"/>
        <v/>
      </c>
      <c r="J668" s="27" t="str">
        <f t="shared" ca="1" si="41"/>
        <v/>
      </c>
      <c r="K668" s="7" t="str">
        <f t="shared" si="42"/>
        <v/>
      </c>
      <c r="L668" s="13"/>
      <c r="M668" s="29" t="str">
        <f t="shared" si="43"/>
        <v/>
      </c>
    </row>
    <row r="669" spans="1:13" x14ac:dyDescent="0.35">
      <c r="A669" s="81"/>
      <c r="B669" s="13"/>
      <c r="C669" s="21"/>
      <c r="D669" s="14"/>
      <c r="E669" s="14"/>
      <c r="F669" s="14"/>
      <c r="G669" s="21"/>
      <c r="H669" s="53"/>
      <c r="I669" s="7" t="str">
        <f t="shared" si="40"/>
        <v/>
      </c>
      <c r="J669" s="27" t="str">
        <f t="shared" ca="1" si="41"/>
        <v/>
      </c>
      <c r="K669" s="7" t="str">
        <f t="shared" si="42"/>
        <v/>
      </c>
      <c r="L669" s="13"/>
      <c r="M669" s="29" t="str">
        <f t="shared" si="43"/>
        <v/>
      </c>
    </row>
    <row r="670" spans="1:13" x14ac:dyDescent="0.35">
      <c r="A670" s="81"/>
      <c r="B670" s="13"/>
      <c r="C670" s="21"/>
      <c r="D670" s="14"/>
      <c r="E670" s="14"/>
      <c r="F670" s="14"/>
      <c r="G670" s="21"/>
      <c r="H670" s="53"/>
      <c r="I670" s="7" t="str">
        <f t="shared" si="40"/>
        <v/>
      </c>
      <c r="J670" s="27" t="str">
        <f t="shared" ca="1" si="41"/>
        <v/>
      </c>
      <c r="K670" s="7" t="str">
        <f t="shared" si="42"/>
        <v/>
      </c>
      <c r="L670" s="13"/>
      <c r="M670" s="29" t="str">
        <f t="shared" si="43"/>
        <v/>
      </c>
    </row>
    <row r="671" spans="1:13" x14ac:dyDescent="0.35">
      <c r="A671" s="81"/>
      <c r="B671" s="13"/>
      <c r="C671" s="21"/>
      <c r="D671" s="14"/>
      <c r="E671" s="14"/>
      <c r="F671" s="14"/>
      <c r="G671" s="21"/>
      <c r="H671" s="53"/>
      <c r="I671" s="7" t="str">
        <f t="shared" si="40"/>
        <v/>
      </c>
      <c r="J671" s="27" t="str">
        <f t="shared" ca="1" si="41"/>
        <v/>
      </c>
      <c r="K671" s="7" t="str">
        <f t="shared" si="42"/>
        <v/>
      </c>
      <c r="L671" s="13"/>
      <c r="M671" s="29" t="str">
        <f t="shared" si="43"/>
        <v/>
      </c>
    </row>
    <row r="672" spans="1:13" x14ac:dyDescent="0.35">
      <c r="A672" s="81"/>
      <c r="B672" s="13"/>
      <c r="C672" s="21"/>
      <c r="D672" s="14"/>
      <c r="E672" s="14"/>
      <c r="F672" s="14"/>
      <c r="G672" s="21"/>
      <c r="H672" s="53"/>
      <c r="I672" s="7" t="str">
        <f t="shared" si="40"/>
        <v/>
      </c>
      <c r="J672" s="27" t="str">
        <f t="shared" ca="1" si="41"/>
        <v/>
      </c>
      <c r="K672" s="7" t="str">
        <f t="shared" si="42"/>
        <v/>
      </c>
      <c r="L672" s="13"/>
      <c r="M672" s="29" t="str">
        <f t="shared" si="43"/>
        <v/>
      </c>
    </row>
    <row r="673" spans="1:13" x14ac:dyDescent="0.35">
      <c r="A673" s="81"/>
      <c r="B673" s="13"/>
      <c r="C673" s="21"/>
      <c r="D673" s="14"/>
      <c r="E673" s="14"/>
      <c r="F673" s="14"/>
      <c r="G673" s="21"/>
      <c r="H673" s="53"/>
      <c r="I673" s="7" t="str">
        <f t="shared" si="40"/>
        <v/>
      </c>
      <c r="J673" s="27" t="str">
        <f t="shared" ca="1" si="41"/>
        <v/>
      </c>
      <c r="K673" s="7" t="str">
        <f t="shared" si="42"/>
        <v/>
      </c>
      <c r="L673" s="13"/>
      <c r="M673" s="29" t="str">
        <f t="shared" si="43"/>
        <v/>
      </c>
    </row>
    <row r="674" spans="1:13" x14ac:dyDescent="0.35">
      <c r="A674" s="81"/>
      <c r="B674" s="13"/>
      <c r="C674" s="21"/>
      <c r="D674" s="14"/>
      <c r="E674" s="14"/>
      <c r="F674" s="14"/>
      <c r="G674" s="21"/>
      <c r="H674" s="53"/>
      <c r="I674" s="7" t="str">
        <f t="shared" si="40"/>
        <v/>
      </c>
      <c r="J674" s="27" t="str">
        <f t="shared" ca="1" si="41"/>
        <v/>
      </c>
      <c r="K674" s="7" t="str">
        <f t="shared" si="42"/>
        <v/>
      </c>
      <c r="L674" s="13"/>
      <c r="M674" s="29" t="str">
        <f t="shared" si="43"/>
        <v/>
      </c>
    </row>
    <row r="675" spans="1:13" x14ac:dyDescent="0.35">
      <c r="A675" s="81"/>
      <c r="B675" s="13"/>
      <c r="C675" s="21"/>
      <c r="D675" s="14"/>
      <c r="E675" s="14"/>
      <c r="F675" s="14"/>
      <c r="G675" s="21"/>
      <c r="H675" s="53"/>
      <c r="I675" s="7" t="str">
        <f t="shared" si="40"/>
        <v/>
      </c>
      <c r="J675" s="27" t="str">
        <f t="shared" ca="1" si="41"/>
        <v/>
      </c>
      <c r="K675" s="7" t="str">
        <f t="shared" si="42"/>
        <v/>
      </c>
      <c r="L675" s="13"/>
      <c r="M675" s="29" t="str">
        <f t="shared" si="43"/>
        <v/>
      </c>
    </row>
    <row r="676" spans="1:13" x14ac:dyDescent="0.35">
      <c r="A676" s="81"/>
      <c r="B676" s="13"/>
      <c r="C676" s="21"/>
      <c r="D676" s="14"/>
      <c r="E676" s="14"/>
      <c r="F676" s="14"/>
      <c r="G676" s="21"/>
      <c r="H676" s="53"/>
      <c r="I676" s="7" t="str">
        <f t="shared" si="40"/>
        <v/>
      </c>
      <c r="J676" s="27" t="str">
        <f t="shared" ca="1" si="41"/>
        <v/>
      </c>
      <c r="K676" s="7" t="str">
        <f t="shared" si="42"/>
        <v/>
      </c>
      <c r="L676" s="13"/>
      <c r="M676" s="29" t="str">
        <f t="shared" si="43"/>
        <v/>
      </c>
    </row>
    <row r="677" spans="1:13" x14ac:dyDescent="0.35">
      <c r="A677" s="81"/>
      <c r="B677" s="13"/>
      <c r="C677" s="21"/>
      <c r="D677" s="14"/>
      <c r="E677" s="14"/>
      <c r="F677" s="14"/>
      <c r="G677" s="21"/>
      <c r="H677" s="53"/>
      <c r="I677" s="7" t="str">
        <f t="shared" si="40"/>
        <v/>
      </c>
      <c r="J677" s="27" t="str">
        <f t="shared" ca="1" si="41"/>
        <v/>
      </c>
      <c r="K677" s="7" t="str">
        <f t="shared" si="42"/>
        <v/>
      </c>
      <c r="L677" s="13"/>
      <c r="M677" s="29" t="str">
        <f t="shared" si="43"/>
        <v/>
      </c>
    </row>
    <row r="678" spans="1:13" x14ac:dyDescent="0.35">
      <c r="A678" s="81"/>
      <c r="B678" s="13"/>
      <c r="C678" s="21"/>
      <c r="D678" s="14"/>
      <c r="E678" s="14"/>
      <c r="F678" s="14"/>
      <c r="G678" s="21"/>
      <c r="H678" s="53"/>
      <c r="I678" s="7" t="str">
        <f t="shared" si="40"/>
        <v/>
      </c>
      <c r="J678" s="27" t="str">
        <f t="shared" ca="1" si="41"/>
        <v/>
      </c>
      <c r="K678" s="7" t="str">
        <f t="shared" si="42"/>
        <v/>
      </c>
      <c r="L678" s="13"/>
      <c r="M678" s="29" t="str">
        <f t="shared" si="43"/>
        <v/>
      </c>
    </row>
    <row r="679" spans="1:13" x14ac:dyDescent="0.35">
      <c r="A679" s="81"/>
      <c r="B679" s="13"/>
      <c r="C679" s="21"/>
      <c r="D679" s="14"/>
      <c r="E679" s="14"/>
      <c r="F679" s="14"/>
      <c r="G679" s="21"/>
      <c r="H679" s="53"/>
      <c r="I679" s="7" t="str">
        <f t="shared" si="40"/>
        <v/>
      </c>
      <c r="J679" s="27" t="str">
        <f t="shared" ca="1" si="41"/>
        <v/>
      </c>
      <c r="K679" s="7" t="str">
        <f t="shared" si="42"/>
        <v/>
      </c>
      <c r="L679" s="13"/>
      <c r="M679" s="29" t="str">
        <f t="shared" si="43"/>
        <v/>
      </c>
    </row>
    <row r="680" spans="1:13" x14ac:dyDescent="0.35">
      <c r="A680" s="81"/>
      <c r="B680" s="13"/>
      <c r="C680" s="21"/>
      <c r="D680" s="14"/>
      <c r="E680" s="14"/>
      <c r="F680" s="14"/>
      <c r="G680" s="21"/>
      <c r="H680" s="53"/>
      <c r="I680" s="7" t="str">
        <f t="shared" si="40"/>
        <v/>
      </c>
      <c r="J680" s="27" t="str">
        <f t="shared" ca="1" si="41"/>
        <v/>
      </c>
      <c r="K680" s="7" t="str">
        <f t="shared" si="42"/>
        <v/>
      </c>
      <c r="L680" s="13"/>
      <c r="M680" s="29" t="str">
        <f t="shared" si="43"/>
        <v/>
      </c>
    </row>
    <row r="681" spans="1:13" x14ac:dyDescent="0.35">
      <c r="A681" s="81"/>
      <c r="B681" s="13"/>
      <c r="C681" s="21"/>
      <c r="D681" s="14"/>
      <c r="E681" s="14"/>
      <c r="F681" s="14"/>
      <c r="G681" s="21"/>
      <c r="H681" s="53"/>
      <c r="I681" s="7" t="str">
        <f t="shared" si="40"/>
        <v/>
      </c>
      <c r="J681" s="27" t="str">
        <f t="shared" ca="1" si="41"/>
        <v/>
      </c>
      <c r="K681" s="7" t="str">
        <f t="shared" si="42"/>
        <v/>
      </c>
      <c r="L681" s="13"/>
      <c r="M681" s="29" t="str">
        <f t="shared" si="43"/>
        <v/>
      </c>
    </row>
    <row r="682" spans="1:13" x14ac:dyDescent="0.35">
      <c r="A682" s="81"/>
      <c r="B682" s="13"/>
      <c r="C682" s="21"/>
      <c r="D682" s="14"/>
      <c r="E682" s="14"/>
      <c r="F682" s="14"/>
      <c r="G682" s="21"/>
      <c r="H682" s="53"/>
      <c r="I682" s="7" t="str">
        <f t="shared" si="40"/>
        <v/>
      </c>
      <c r="J682" s="27" t="str">
        <f t="shared" ca="1" si="41"/>
        <v/>
      </c>
      <c r="K682" s="7" t="str">
        <f t="shared" si="42"/>
        <v/>
      </c>
      <c r="L682" s="13"/>
      <c r="M682" s="29" t="str">
        <f t="shared" si="43"/>
        <v/>
      </c>
    </row>
    <row r="683" spans="1:13" x14ac:dyDescent="0.35">
      <c r="A683" s="81"/>
      <c r="B683" s="13"/>
      <c r="C683" s="21"/>
      <c r="D683" s="14"/>
      <c r="E683" s="14"/>
      <c r="F683" s="14"/>
      <c r="G683" s="21"/>
      <c r="H683" s="53"/>
      <c r="I683" s="7" t="str">
        <f t="shared" si="40"/>
        <v/>
      </c>
      <c r="J683" s="27" t="str">
        <f t="shared" ca="1" si="41"/>
        <v/>
      </c>
      <c r="K683" s="7" t="str">
        <f t="shared" si="42"/>
        <v/>
      </c>
      <c r="L683" s="13"/>
      <c r="M683" s="29" t="str">
        <f t="shared" si="43"/>
        <v/>
      </c>
    </row>
    <row r="684" spans="1:13" x14ac:dyDescent="0.35">
      <c r="A684" s="81"/>
      <c r="B684" s="13"/>
      <c r="C684" s="21"/>
      <c r="D684" s="14"/>
      <c r="E684" s="14"/>
      <c r="F684" s="14"/>
      <c r="G684" s="21"/>
      <c r="H684" s="53"/>
      <c r="I684" s="7" t="str">
        <f t="shared" si="40"/>
        <v/>
      </c>
      <c r="J684" s="27" t="str">
        <f t="shared" ca="1" si="41"/>
        <v/>
      </c>
      <c r="K684" s="7" t="str">
        <f t="shared" si="42"/>
        <v/>
      </c>
      <c r="L684" s="13"/>
      <c r="M684" s="29" t="str">
        <f t="shared" si="43"/>
        <v/>
      </c>
    </row>
    <row r="685" spans="1:13" x14ac:dyDescent="0.35">
      <c r="A685" s="81"/>
      <c r="B685" s="13"/>
      <c r="C685" s="21"/>
      <c r="D685" s="14"/>
      <c r="E685" s="14"/>
      <c r="F685" s="14"/>
      <c r="G685" s="21"/>
      <c r="H685" s="53"/>
      <c r="I685" s="7" t="str">
        <f t="shared" si="40"/>
        <v/>
      </c>
      <c r="J685" s="27" t="str">
        <f t="shared" ca="1" si="41"/>
        <v/>
      </c>
      <c r="K685" s="7" t="str">
        <f t="shared" si="42"/>
        <v/>
      </c>
      <c r="L685" s="13"/>
      <c r="M685" s="29" t="str">
        <f t="shared" si="43"/>
        <v/>
      </c>
    </row>
    <row r="686" spans="1:13" x14ac:dyDescent="0.35">
      <c r="A686" s="81"/>
      <c r="B686" s="13"/>
      <c r="C686" s="21"/>
      <c r="D686" s="14"/>
      <c r="E686" s="14"/>
      <c r="F686" s="14"/>
      <c r="G686" s="21"/>
      <c r="H686" s="53"/>
      <c r="I686" s="7" t="str">
        <f t="shared" si="40"/>
        <v/>
      </c>
      <c r="J686" s="27" t="str">
        <f t="shared" ca="1" si="41"/>
        <v/>
      </c>
      <c r="K686" s="7" t="str">
        <f t="shared" si="42"/>
        <v/>
      </c>
      <c r="L686" s="13"/>
      <c r="M686" s="29" t="str">
        <f t="shared" si="43"/>
        <v/>
      </c>
    </row>
    <row r="687" spans="1:13" x14ac:dyDescent="0.35">
      <c r="A687" s="81"/>
      <c r="B687" s="13"/>
      <c r="C687" s="21"/>
      <c r="D687" s="14"/>
      <c r="E687" s="14"/>
      <c r="F687" s="14"/>
      <c r="G687" s="21"/>
      <c r="H687" s="53"/>
      <c r="I687" s="7" t="str">
        <f t="shared" si="40"/>
        <v/>
      </c>
      <c r="J687" s="27" t="str">
        <f t="shared" ca="1" si="41"/>
        <v/>
      </c>
      <c r="K687" s="7" t="str">
        <f t="shared" si="42"/>
        <v/>
      </c>
      <c r="L687" s="13"/>
      <c r="M687" s="29" t="str">
        <f t="shared" si="43"/>
        <v/>
      </c>
    </row>
    <row r="688" spans="1:13" x14ac:dyDescent="0.35">
      <c r="A688" s="81"/>
      <c r="B688" s="13"/>
      <c r="C688" s="21"/>
      <c r="D688" s="14"/>
      <c r="E688" s="14"/>
      <c r="F688" s="14"/>
      <c r="G688" s="21"/>
      <c r="H688" s="53"/>
      <c r="I688" s="7" t="str">
        <f t="shared" si="40"/>
        <v/>
      </c>
      <c r="J688" s="27" t="str">
        <f t="shared" ca="1" si="41"/>
        <v/>
      </c>
      <c r="K688" s="7" t="str">
        <f t="shared" si="42"/>
        <v/>
      </c>
      <c r="L688" s="13"/>
      <c r="M688" s="29" t="str">
        <f t="shared" si="43"/>
        <v/>
      </c>
    </row>
    <row r="689" spans="1:13" x14ac:dyDescent="0.35">
      <c r="A689" s="81"/>
      <c r="B689" s="13"/>
      <c r="C689" s="21"/>
      <c r="D689" s="14"/>
      <c r="E689" s="14"/>
      <c r="F689" s="14"/>
      <c r="G689" s="21"/>
      <c r="H689" s="53"/>
      <c r="I689" s="7" t="str">
        <f t="shared" si="40"/>
        <v/>
      </c>
      <c r="J689" s="27" t="str">
        <f t="shared" ca="1" si="41"/>
        <v/>
      </c>
      <c r="K689" s="7" t="str">
        <f t="shared" si="42"/>
        <v/>
      </c>
      <c r="L689" s="13"/>
      <c r="M689" s="29" t="str">
        <f t="shared" si="43"/>
        <v/>
      </c>
    </row>
    <row r="690" spans="1:13" x14ac:dyDescent="0.35">
      <c r="A690" s="81"/>
      <c r="B690" s="13"/>
      <c r="C690" s="21"/>
      <c r="D690" s="14"/>
      <c r="E690" s="14"/>
      <c r="F690" s="14"/>
      <c r="G690" s="21"/>
      <c r="H690" s="53"/>
      <c r="I690" s="7" t="str">
        <f t="shared" si="40"/>
        <v/>
      </c>
      <c r="J690" s="27" t="str">
        <f t="shared" ca="1" si="41"/>
        <v/>
      </c>
      <c r="K690" s="7" t="str">
        <f t="shared" si="42"/>
        <v/>
      </c>
      <c r="L690" s="13"/>
      <c r="M690" s="29" t="str">
        <f t="shared" si="43"/>
        <v/>
      </c>
    </row>
    <row r="691" spans="1:13" x14ac:dyDescent="0.35">
      <c r="A691" s="81"/>
      <c r="B691" s="13"/>
      <c r="C691" s="21"/>
      <c r="D691" s="14"/>
      <c r="E691" s="14"/>
      <c r="F691" s="14"/>
      <c r="G691" s="21"/>
      <c r="H691" s="53"/>
      <c r="I691" s="7" t="str">
        <f t="shared" si="40"/>
        <v/>
      </c>
      <c r="J691" s="27" t="str">
        <f t="shared" ca="1" si="41"/>
        <v/>
      </c>
      <c r="K691" s="7" t="str">
        <f t="shared" si="42"/>
        <v/>
      </c>
      <c r="L691" s="13"/>
      <c r="M691" s="29" t="str">
        <f t="shared" si="43"/>
        <v/>
      </c>
    </row>
    <row r="692" spans="1:13" x14ac:dyDescent="0.35">
      <c r="A692" s="81"/>
      <c r="B692" s="13"/>
      <c r="C692" s="21"/>
      <c r="D692" s="14"/>
      <c r="E692" s="14"/>
      <c r="F692" s="14"/>
      <c r="G692" s="21"/>
      <c r="H692" s="53"/>
      <c r="I692" s="7" t="str">
        <f t="shared" si="40"/>
        <v/>
      </c>
      <c r="J692" s="27" t="str">
        <f t="shared" ca="1" si="41"/>
        <v/>
      </c>
      <c r="K692" s="7" t="str">
        <f t="shared" si="42"/>
        <v/>
      </c>
      <c r="L692" s="13"/>
      <c r="M692" s="29" t="str">
        <f t="shared" si="43"/>
        <v/>
      </c>
    </row>
    <row r="693" spans="1:13" x14ac:dyDescent="0.35">
      <c r="A693" s="81"/>
      <c r="B693" s="13"/>
      <c r="C693" s="21"/>
      <c r="D693" s="14"/>
      <c r="E693" s="14"/>
      <c r="F693" s="14"/>
      <c r="G693" s="21"/>
      <c r="H693" s="53"/>
      <c r="I693" s="7" t="str">
        <f t="shared" si="40"/>
        <v/>
      </c>
      <c r="J693" s="27" t="str">
        <f t="shared" ca="1" si="41"/>
        <v/>
      </c>
      <c r="K693" s="7" t="str">
        <f t="shared" si="42"/>
        <v/>
      </c>
      <c r="L693" s="13"/>
      <c r="M693" s="29" t="str">
        <f t="shared" si="43"/>
        <v/>
      </c>
    </row>
    <row r="694" spans="1:13" x14ac:dyDescent="0.35">
      <c r="A694" s="81"/>
      <c r="B694" s="13"/>
      <c r="C694" s="21"/>
      <c r="D694" s="14"/>
      <c r="E694" s="14"/>
      <c r="F694" s="14"/>
      <c r="G694" s="21"/>
      <c r="H694" s="53"/>
      <c r="I694" s="7" t="str">
        <f t="shared" si="40"/>
        <v/>
      </c>
      <c r="J694" s="27" t="str">
        <f t="shared" ca="1" si="41"/>
        <v/>
      </c>
      <c r="K694" s="7" t="str">
        <f t="shared" si="42"/>
        <v/>
      </c>
      <c r="L694" s="13"/>
      <c r="M694" s="29" t="str">
        <f t="shared" si="43"/>
        <v/>
      </c>
    </row>
    <row r="695" spans="1:13" x14ac:dyDescent="0.35">
      <c r="A695" s="81"/>
      <c r="B695" s="13"/>
      <c r="C695" s="21"/>
      <c r="D695" s="14"/>
      <c r="E695" s="14"/>
      <c r="F695" s="14"/>
      <c r="G695" s="21"/>
      <c r="H695" s="53"/>
      <c r="I695" s="7" t="str">
        <f t="shared" si="40"/>
        <v/>
      </c>
      <c r="J695" s="27" t="str">
        <f t="shared" ca="1" si="41"/>
        <v/>
      </c>
      <c r="K695" s="7" t="str">
        <f t="shared" si="42"/>
        <v/>
      </c>
      <c r="L695" s="13"/>
      <c r="M695" s="29" t="str">
        <f t="shared" si="43"/>
        <v/>
      </c>
    </row>
    <row r="696" spans="1:13" x14ac:dyDescent="0.35">
      <c r="A696" s="81"/>
      <c r="B696" s="13"/>
      <c r="C696" s="21"/>
      <c r="D696" s="14"/>
      <c r="E696" s="14"/>
      <c r="F696" s="14"/>
      <c r="G696" s="21"/>
      <c r="H696" s="53"/>
      <c r="I696" s="7" t="str">
        <f t="shared" si="40"/>
        <v/>
      </c>
      <c r="J696" s="27" t="str">
        <f t="shared" ca="1" si="41"/>
        <v/>
      </c>
      <c r="K696" s="7" t="str">
        <f t="shared" si="42"/>
        <v/>
      </c>
      <c r="L696" s="13"/>
      <c r="M696" s="29" t="str">
        <f t="shared" si="43"/>
        <v/>
      </c>
    </row>
    <row r="697" spans="1:13" x14ac:dyDescent="0.35">
      <c r="A697" s="81"/>
      <c r="B697" s="13"/>
      <c r="C697" s="21"/>
      <c r="D697" s="14"/>
      <c r="E697" s="14"/>
      <c r="F697" s="14"/>
      <c r="G697" s="21"/>
      <c r="H697" s="53"/>
      <c r="I697" s="7" t="str">
        <f t="shared" si="40"/>
        <v/>
      </c>
      <c r="J697" s="27" t="str">
        <f t="shared" ca="1" si="41"/>
        <v/>
      </c>
      <c r="K697" s="7" t="str">
        <f t="shared" si="42"/>
        <v/>
      </c>
      <c r="L697" s="13"/>
      <c r="M697" s="29" t="str">
        <f t="shared" si="43"/>
        <v/>
      </c>
    </row>
    <row r="698" spans="1:13" x14ac:dyDescent="0.35">
      <c r="A698" s="81"/>
      <c r="B698" s="13"/>
      <c r="C698" s="21"/>
      <c r="D698" s="14"/>
      <c r="E698" s="14"/>
      <c r="F698" s="14"/>
      <c r="G698" s="21"/>
      <c r="H698" s="53"/>
      <c r="I698" s="7" t="str">
        <f t="shared" si="40"/>
        <v/>
      </c>
      <c r="J698" s="27" t="str">
        <f t="shared" ca="1" si="41"/>
        <v/>
      </c>
      <c r="K698" s="7" t="str">
        <f t="shared" si="42"/>
        <v/>
      </c>
      <c r="L698" s="13"/>
      <c r="M698" s="29" t="str">
        <f t="shared" si="43"/>
        <v/>
      </c>
    </row>
    <row r="699" spans="1:13" x14ac:dyDescent="0.35">
      <c r="A699" s="81"/>
      <c r="B699" s="13"/>
      <c r="C699" s="21"/>
      <c r="D699" s="14"/>
      <c r="E699" s="14"/>
      <c r="F699" s="14"/>
      <c r="G699" s="21"/>
      <c r="H699" s="53"/>
      <c r="I699" s="7" t="str">
        <f t="shared" si="40"/>
        <v/>
      </c>
      <c r="J699" s="27" t="str">
        <f t="shared" ca="1" si="41"/>
        <v/>
      </c>
      <c r="K699" s="7" t="str">
        <f t="shared" si="42"/>
        <v/>
      </c>
      <c r="L699" s="13"/>
      <c r="M699" s="29" t="str">
        <f t="shared" si="43"/>
        <v/>
      </c>
    </row>
    <row r="700" spans="1:13" x14ac:dyDescent="0.35">
      <c r="A700" s="81"/>
      <c r="B700" s="13"/>
      <c r="C700" s="21"/>
      <c r="D700" s="14"/>
      <c r="E700" s="14"/>
      <c r="F700" s="14"/>
      <c r="G700" s="21"/>
      <c r="H700" s="53"/>
      <c r="I700" s="7" t="str">
        <f t="shared" si="40"/>
        <v/>
      </c>
      <c r="J700" s="27" t="str">
        <f t="shared" ca="1" si="41"/>
        <v/>
      </c>
      <c r="K700" s="7" t="str">
        <f t="shared" si="42"/>
        <v/>
      </c>
      <c r="L700" s="13"/>
      <c r="M700" s="29" t="str">
        <f t="shared" si="43"/>
        <v/>
      </c>
    </row>
    <row r="701" spans="1:13" x14ac:dyDescent="0.35">
      <c r="A701" s="81"/>
      <c r="B701" s="13"/>
      <c r="C701" s="21"/>
      <c r="D701" s="14"/>
      <c r="E701" s="14"/>
      <c r="F701" s="14"/>
      <c r="G701" s="21"/>
      <c r="H701" s="53"/>
      <c r="I701" s="7" t="str">
        <f t="shared" si="40"/>
        <v/>
      </c>
      <c r="J701" s="27" t="str">
        <f t="shared" ca="1" si="41"/>
        <v/>
      </c>
      <c r="K701" s="7" t="str">
        <f t="shared" si="42"/>
        <v/>
      </c>
      <c r="L701" s="13"/>
      <c r="M701" s="29" t="str">
        <f t="shared" si="43"/>
        <v/>
      </c>
    </row>
    <row r="702" spans="1:13" x14ac:dyDescent="0.35">
      <c r="A702" s="81"/>
      <c r="B702" s="13"/>
      <c r="C702" s="21"/>
      <c r="D702" s="14"/>
      <c r="E702" s="14"/>
      <c r="F702" s="14"/>
      <c r="G702" s="21"/>
      <c r="H702" s="53"/>
      <c r="I702" s="7" t="str">
        <f t="shared" si="40"/>
        <v/>
      </c>
      <c r="J702" s="27" t="str">
        <f t="shared" ca="1" si="41"/>
        <v/>
      </c>
      <c r="K702" s="7" t="str">
        <f t="shared" si="42"/>
        <v/>
      </c>
      <c r="L702" s="13"/>
      <c r="M702" s="29" t="str">
        <f t="shared" si="43"/>
        <v/>
      </c>
    </row>
    <row r="703" spans="1:13" x14ac:dyDescent="0.35">
      <c r="A703" s="81"/>
      <c r="B703" s="13"/>
      <c r="C703" s="21"/>
      <c r="D703" s="14"/>
      <c r="E703" s="14"/>
      <c r="F703" s="14"/>
      <c r="G703" s="21"/>
      <c r="H703" s="53"/>
      <c r="I703" s="7" t="str">
        <f t="shared" si="40"/>
        <v/>
      </c>
      <c r="J703" s="27" t="str">
        <f t="shared" ca="1" si="41"/>
        <v/>
      </c>
      <c r="K703" s="7" t="str">
        <f t="shared" si="42"/>
        <v/>
      </c>
      <c r="L703" s="13"/>
      <c r="M703" s="29" t="str">
        <f t="shared" si="43"/>
        <v/>
      </c>
    </row>
    <row r="704" spans="1:13" x14ac:dyDescent="0.35">
      <c r="A704" s="81"/>
      <c r="B704" s="13"/>
      <c r="C704" s="21"/>
      <c r="D704" s="14"/>
      <c r="E704" s="14"/>
      <c r="F704" s="14"/>
      <c r="G704" s="21"/>
      <c r="H704" s="53"/>
      <c r="I704" s="7" t="str">
        <f t="shared" si="40"/>
        <v/>
      </c>
      <c r="J704" s="27" t="str">
        <f t="shared" ca="1" si="41"/>
        <v/>
      </c>
      <c r="K704" s="7" t="str">
        <f t="shared" si="42"/>
        <v/>
      </c>
      <c r="L704" s="13"/>
      <c r="M704" s="29" t="str">
        <f t="shared" si="43"/>
        <v/>
      </c>
    </row>
    <row r="705" spans="1:13" x14ac:dyDescent="0.35">
      <c r="A705" s="81"/>
      <c r="B705" s="13"/>
      <c r="C705" s="21"/>
      <c r="D705" s="14"/>
      <c r="E705" s="14"/>
      <c r="F705" s="14"/>
      <c r="G705" s="21"/>
      <c r="H705" s="53"/>
      <c r="I705" s="7" t="str">
        <f t="shared" si="40"/>
        <v/>
      </c>
      <c r="J705" s="27" t="str">
        <f t="shared" ca="1" si="41"/>
        <v/>
      </c>
      <c r="K705" s="7" t="str">
        <f t="shared" si="42"/>
        <v/>
      </c>
      <c r="L705" s="13"/>
      <c r="M705" s="29" t="str">
        <f t="shared" si="43"/>
        <v/>
      </c>
    </row>
    <row r="706" spans="1:13" x14ac:dyDescent="0.35">
      <c r="A706" s="81"/>
      <c r="B706" s="13"/>
      <c r="C706" s="21"/>
      <c r="D706" s="14"/>
      <c r="E706" s="14"/>
      <c r="F706" s="14"/>
      <c r="G706" s="21"/>
      <c r="H706" s="53"/>
      <c r="I706" s="7" t="str">
        <f t="shared" si="40"/>
        <v/>
      </c>
      <c r="J706" s="27" t="str">
        <f t="shared" ca="1" si="41"/>
        <v/>
      </c>
      <c r="K706" s="7" t="str">
        <f t="shared" si="42"/>
        <v/>
      </c>
      <c r="L706" s="13"/>
      <c r="M706" s="29" t="str">
        <f t="shared" si="43"/>
        <v/>
      </c>
    </row>
    <row r="707" spans="1:13" x14ac:dyDescent="0.35">
      <c r="A707" s="81"/>
      <c r="B707" s="13"/>
      <c r="C707" s="21"/>
      <c r="D707" s="14"/>
      <c r="E707" s="14"/>
      <c r="F707" s="14"/>
      <c r="G707" s="21"/>
      <c r="H707" s="53"/>
      <c r="I707" s="7" t="str">
        <f t="shared" ref="I707:I770" si="44">IF($A707="","",IF($F707&lt;&gt;"","Envoyé DHL",IF($E707&lt;&gt;"","Reçu (à envoyer)",IF($D707&lt;&gt;"","Demandé (en attente)","À demander"))))</f>
        <v/>
      </c>
      <c r="J707" s="27" t="str">
        <f t="shared" ref="J707:J770" ca="1" si="45">IF(AND($A707&lt;&gt;"",$D707&lt;&gt;"",$E707=""),TODAY()-$D707,"")</f>
        <v/>
      </c>
      <c r="K707" s="7" t="str">
        <f t="shared" ref="K707:K770" si="46">IF($A707="","",IF(AND($J707&lt;&gt;"",N($J707)&gt;P_AlerteDoc),"Attente &gt; "&amp;P_AlerteDoc&amp;" jours",IF(AND($E707&lt;&gt;"",$F707=""),"Reçu : à envoyer par DHL","")))</f>
        <v/>
      </c>
      <c r="L707" s="13"/>
      <c r="M707" s="29" t="str">
        <f t="shared" ref="M707:M770" si="47">IF($K707&lt;&gt;"",1,"")</f>
        <v/>
      </c>
    </row>
    <row r="708" spans="1:13" x14ac:dyDescent="0.35">
      <c r="A708" s="81"/>
      <c r="B708" s="13"/>
      <c r="C708" s="21"/>
      <c r="D708" s="14"/>
      <c r="E708" s="14"/>
      <c r="F708" s="14"/>
      <c r="G708" s="21"/>
      <c r="H708" s="53"/>
      <c r="I708" s="7" t="str">
        <f t="shared" si="44"/>
        <v/>
      </c>
      <c r="J708" s="27" t="str">
        <f t="shared" ca="1" si="45"/>
        <v/>
      </c>
      <c r="K708" s="7" t="str">
        <f t="shared" si="46"/>
        <v/>
      </c>
      <c r="L708" s="13"/>
      <c r="M708" s="29" t="str">
        <f t="shared" si="47"/>
        <v/>
      </c>
    </row>
    <row r="709" spans="1:13" x14ac:dyDescent="0.35">
      <c r="A709" s="81"/>
      <c r="B709" s="13"/>
      <c r="C709" s="21"/>
      <c r="D709" s="14"/>
      <c r="E709" s="14"/>
      <c r="F709" s="14"/>
      <c r="G709" s="21"/>
      <c r="H709" s="53"/>
      <c r="I709" s="7" t="str">
        <f t="shared" si="44"/>
        <v/>
      </c>
      <c r="J709" s="27" t="str">
        <f t="shared" ca="1" si="45"/>
        <v/>
      </c>
      <c r="K709" s="7" t="str">
        <f t="shared" si="46"/>
        <v/>
      </c>
      <c r="L709" s="13"/>
      <c r="M709" s="29" t="str">
        <f t="shared" si="47"/>
        <v/>
      </c>
    </row>
    <row r="710" spans="1:13" x14ac:dyDescent="0.35">
      <c r="A710" s="81"/>
      <c r="B710" s="13"/>
      <c r="C710" s="21"/>
      <c r="D710" s="14"/>
      <c r="E710" s="14"/>
      <c r="F710" s="14"/>
      <c r="G710" s="21"/>
      <c r="H710" s="53"/>
      <c r="I710" s="7" t="str">
        <f t="shared" si="44"/>
        <v/>
      </c>
      <c r="J710" s="27" t="str">
        <f t="shared" ca="1" si="45"/>
        <v/>
      </c>
      <c r="K710" s="7" t="str">
        <f t="shared" si="46"/>
        <v/>
      </c>
      <c r="L710" s="13"/>
      <c r="M710" s="29" t="str">
        <f t="shared" si="47"/>
        <v/>
      </c>
    </row>
    <row r="711" spans="1:13" x14ac:dyDescent="0.35">
      <c r="A711" s="81"/>
      <c r="B711" s="13"/>
      <c r="C711" s="21"/>
      <c r="D711" s="14"/>
      <c r="E711" s="14"/>
      <c r="F711" s="14"/>
      <c r="G711" s="21"/>
      <c r="H711" s="53"/>
      <c r="I711" s="7" t="str">
        <f t="shared" si="44"/>
        <v/>
      </c>
      <c r="J711" s="27" t="str">
        <f t="shared" ca="1" si="45"/>
        <v/>
      </c>
      <c r="K711" s="7" t="str">
        <f t="shared" si="46"/>
        <v/>
      </c>
      <c r="L711" s="13"/>
      <c r="M711" s="29" t="str">
        <f t="shared" si="47"/>
        <v/>
      </c>
    </row>
    <row r="712" spans="1:13" x14ac:dyDescent="0.35">
      <c r="A712" s="81"/>
      <c r="B712" s="13"/>
      <c r="C712" s="21"/>
      <c r="D712" s="14"/>
      <c r="E712" s="14"/>
      <c r="F712" s="14"/>
      <c r="G712" s="21"/>
      <c r="H712" s="53"/>
      <c r="I712" s="7" t="str">
        <f t="shared" si="44"/>
        <v/>
      </c>
      <c r="J712" s="27" t="str">
        <f t="shared" ca="1" si="45"/>
        <v/>
      </c>
      <c r="K712" s="7" t="str">
        <f t="shared" si="46"/>
        <v/>
      </c>
      <c r="L712" s="13"/>
      <c r="M712" s="29" t="str">
        <f t="shared" si="47"/>
        <v/>
      </c>
    </row>
    <row r="713" spans="1:13" x14ac:dyDescent="0.35">
      <c r="A713" s="81"/>
      <c r="B713" s="13"/>
      <c r="C713" s="21"/>
      <c r="D713" s="14"/>
      <c r="E713" s="14"/>
      <c r="F713" s="14"/>
      <c r="G713" s="21"/>
      <c r="H713" s="53"/>
      <c r="I713" s="7" t="str">
        <f t="shared" si="44"/>
        <v/>
      </c>
      <c r="J713" s="27" t="str">
        <f t="shared" ca="1" si="45"/>
        <v/>
      </c>
      <c r="K713" s="7" t="str">
        <f t="shared" si="46"/>
        <v/>
      </c>
      <c r="L713" s="13"/>
      <c r="M713" s="29" t="str">
        <f t="shared" si="47"/>
        <v/>
      </c>
    </row>
    <row r="714" spans="1:13" x14ac:dyDescent="0.35">
      <c r="A714" s="81"/>
      <c r="B714" s="13"/>
      <c r="C714" s="21"/>
      <c r="D714" s="14"/>
      <c r="E714" s="14"/>
      <c r="F714" s="14"/>
      <c r="G714" s="21"/>
      <c r="H714" s="53"/>
      <c r="I714" s="7" t="str">
        <f t="shared" si="44"/>
        <v/>
      </c>
      <c r="J714" s="27" t="str">
        <f t="shared" ca="1" si="45"/>
        <v/>
      </c>
      <c r="K714" s="7" t="str">
        <f t="shared" si="46"/>
        <v/>
      </c>
      <c r="L714" s="13"/>
      <c r="M714" s="29" t="str">
        <f t="shared" si="47"/>
        <v/>
      </c>
    </row>
    <row r="715" spans="1:13" x14ac:dyDescent="0.35">
      <c r="A715" s="81"/>
      <c r="B715" s="13"/>
      <c r="C715" s="21"/>
      <c r="D715" s="14"/>
      <c r="E715" s="14"/>
      <c r="F715" s="14"/>
      <c r="G715" s="21"/>
      <c r="H715" s="53"/>
      <c r="I715" s="7" t="str">
        <f t="shared" si="44"/>
        <v/>
      </c>
      <c r="J715" s="27" t="str">
        <f t="shared" ca="1" si="45"/>
        <v/>
      </c>
      <c r="K715" s="7" t="str">
        <f t="shared" si="46"/>
        <v/>
      </c>
      <c r="L715" s="13"/>
      <c r="M715" s="29" t="str">
        <f t="shared" si="47"/>
        <v/>
      </c>
    </row>
    <row r="716" spans="1:13" x14ac:dyDescent="0.35">
      <c r="A716" s="81"/>
      <c r="B716" s="13"/>
      <c r="C716" s="21"/>
      <c r="D716" s="14"/>
      <c r="E716" s="14"/>
      <c r="F716" s="14"/>
      <c r="G716" s="21"/>
      <c r="H716" s="53"/>
      <c r="I716" s="7" t="str">
        <f t="shared" si="44"/>
        <v/>
      </c>
      <c r="J716" s="27" t="str">
        <f t="shared" ca="1" si="45"/>
        <v/>
      </c>
      <c r="K716" s="7" t="str">
        <f t="shared" si="46"/>
        <v/>
      </c>
      <c r="L716" s="13"/>
      <c r="M716" s="29" t="str">
        <f t="shared" si="47"/>
        <v/>
      </c>
    </row>
    <row r="717" spans="1:13" x14ac:dyDescent="0.35">
      <c r="A717" s="81"/>
      <c r="B717" s="13"/>
      <c r="C717" s="21"/>
      <c r="D717" s="14"/>
      <c r="E717" s="14"/>
      <c r="F717" s="14"/>
      <c r="G717" s="21"/>
      <c r="H717" s="53"/>
      <c r="I717" s="7" t="str">
        <f t="shared" si="44"/>
        <v/>
      </c>
      <c r="J717" s="27" t="str">
        <f t="shared" ca="1" si="45"/>
        <v/>
      </c>
      <c r="K717" s="7" t="str">
        <f t="shared" si="46"/>
        <v/>
      </c>
      <c r="L717" s="13"/>
      <c r="M717" s="29" t="str">
        <f t="shared" si="47"/>
        <v/>
      </c>
    </row>
    <row r="718" spans="1:13" x14ac:dyDescent="0.35">
      <c r="A718" s="81"/>
      <c r="B718" s="13"/>
      <c r="C718" s="21"/>
      <c r="D718" s="14"/>
      <c r="E718" s="14"/>
      <c r="F718" s="14"/>
      <c r="G718" s="21"/>
      <c r="H718" s="53"/>
      <c r="I718" s="7" t="str">
        <f t="shared" si="44"/>
        <v/>
      </c>
      <c r="J718" s="27" t="str">
        <f t="shared" ca="1" si="45"/>
        <v/>
      </c>
      <c r="K718" s="7" t="str">
        <f t="shared" si="46"/>
        <v/>
      </c>
      <c r="L718" s="13"/>
      <c r="M718" s="29" t="str">
        <f t="shared" si="47"/>
        <v/>
      </c>
    </row>
    <row r="719" spans="1:13" x14ac:dyDescent="0.35">
      <c r="A719" s="81"/>
      <c r="B719" s="13"/>
      <c r="C719" s="21"/>
      <c r="D719" s="14"/>
      <c r="E719" s="14"/>
      <c r="F719" s="14"/>
      <c r="G719" s="21"/>
      <c r="H719" s="53"/>
      <c r="I719" s="7" t="str">
        <f t="shared" si="44"/>
        <v/>
      </c>
      <c r="J719" s="27" t="str">
        <f t="shared" ca="1" si="45"/>
        <v/>
      </c>
      <c r="K719" s="7" t="str">
        <f t="shared" si="46"/>
        <v/>
      </c>
      <c r="L719" s="13"/>
      <c r="M719" s="29" t="str">
        <f t="shared" si="47"/>
        <v/>
      </c>
    </row>
    <row r="720" spans="1:13" x14ac:dyDescent="0.35">
      <c r="A720" s="81"/>
      <c r="B720" s="13"/>
      <c r="C720" s="21"/>
      <c r="D720" s="14"/>
      <c r="E720" s="14"/>
      <c r="F720" s="14"/>
      <c r="G720" s="21"/>
      <c r="H720" s="53"/>
      <c r="I720" s="7" t="str">
        <f t="shared" si="44"/>
        <v/>
      </c>
      <c r="J720" s="27" t="str">
        <f t="shared" ca="1" si="45"/>
        <v/>
      </c>
      <c r="K720" s="7" t="str">
        <f t="shared" si="46"/>
        <v/>
      </c>
      <c r="L720" s="13"/>
      <c r="M720" s="29" t="str">
        <f t="shared" si="47"/>
        <v/>
      </c>
    </row>
    <row r="721" spans="1:13" x14ac:dyDescent="0.35">
      <c r="A721" s="81"/>
      <c r="B721" s="13"/>
      <c r="C721" s="21"/>
      <c r="D721" s="14"/>
      <c r="E721" s="14"/>
      <c r="F721" s="14"/>
      <c r="G721" s="21"/>
      <c r="H721" s="53"/>
      <c r="I721" s="7" t="str">
        <f t="shared" si="44"/>
        <v/>
      </c>
      <c r="J721" s="27" t="str">
        <f t="shared" ca="1" si="45"/>
        <v/>
      </c>
      <c r="K721" s="7" t="str">
        <f t="shared" si="46"/>
        <v/>
      </c>
      <c r="L721" s="13"/>
      <c r="M721" s="29" t="str">
        <f t="shared" si="47"/>
        <v/>
      </c>
    </row>
    <row r="722" spans="1:13" x14ac:dyDescent="0.35">
      <c r="A722" s="81"/>
      <c r="B722" s="13"/>
      <c r="C722" s="21"/>
      <c r="D722" s="14"/>
      <c r="E722" s="14"/>
      <c r="F722" s="14"/>
      <c r="G722" s="21"/>
      <c r="H722" s="53"/>
      <c r="I722" s="7" t="str">
        <f t="shared" si="44"/>
        <v/>
      </c>
      <c r="J722" s="27" t="str">
        <f t="shared" ca="1" si="45"/>
        <v/>
      </c>
      <c r="K722" s="7" t="str">
        <f t="shared" si="46"/>
        <v/>
      </c>
      <c r="L722" s="13"/>
      <c r="M722" s="29" t="str">
        <f t="shared" si="47"/>
        <v/>
      </c>
    </row>
    <row r="723" spans="1:13" x14ac:dyDescent="0.35">
      <c r="A723" s="81"/>
      <c r="B723" s="13"/>
      <c r="C723" s="21"/>
      <c r="D723" s="14"/>
      <c r="E723" s="14"/>
      <c r="F723" s="14"/>
      <c r="G723" s="21"/>
      <c r="H723" s="53"/>
      <c r="I723" s="7" t="str">
        <f t="shared" si="44"/>
        <v/>
      </c>
      <c r="J723" s="27" t="str">
        <f t="shared" ca="1" si="45"/>
        <v/>
      </c>
      <c r="K723" s="7" t="str">
        <f t="shared" si="46"/>
        <v/>
      </c>
      <c r="L723" s="13"/>
      <c r="M723" s="29" t="str">
        <f t="shared" si="47"/>
        <v/>
      </c>
    </row>
    <row r="724" spans="1:13" x14ac:dyDescent="0.35">
      <c r="A724" s="81"/>
      <c r="B724" s="13"/>
      <c r="C724" s="21"/>
      <c r="D724" s="14"/>
      <c r="E724" s="14"/>
      <c r="F724" s="14"/>
      <c r="G724" s="21"/>
      <c r="H724" s="53"/>
      <c r="I724" s="7" t="str">
        <f t="shared" si="44"/>
        <v/>
      </c>
      <c r="J724" s="27" t="str">
        <f t="shared" ca="1" si="45"/>
        <v/>
      </c>
      <c r="K724" s="7" t="str">
        <f t="shared" si="46"/>
        <v/>
      </c>
      <c r="L724" s="13"/>
      <c r="M724" s="29" t="str">
        <f t="shared" si="47"/>
        <v/>
      </c>
    </row>
    <row r="725" spans="1:13" x14ac:dyDescent="0.35">
      <c r="A725" s="81"/>
      <c r="B725" s="13"/>
      <c r="C725" s="21"/>
      <c r="D725" s="14"/>
      <c r="E725" s="14"/>
      <c r="F725" s="14"/>
      <c r="G725" s="21"/>
      <c r="H725" s="53"/>
      <c r="I725" s="7" t="str">
        <f t="shared" si="44"/>
        <v/>
      </c>
      <c r="J725" s="27" t="str">
        <f t="shared" ca="1" si="45"/>
        <v/>
      </c>
      <c r="K725" s="7" t="str">
        <f t="shared" si="46"/>
        <v/>
      </c>
      <c r="L725" s="13"/>
      <c r="M725" s="29" t="str">
        <f t="shared" si="47"/>
        <v/>
      </c>
    </row>
    <row r="726" spans="1:13" x14ac:dyDescent="0.35">
      <c r="A726" s="81"/>
      <c r="B726" s="13"/>
      <c r="C726" s="21"/>
      <c r="D726" s="14"/>
      <c r="E726" s="14"/>
      <c r="F726" s="14"/>
      <c r="G726" s="21"/>
      <c r="H726" s="53"/>
      <c r="I726" s="7" t="str">
        <f t="shared" si="44"/>
        <v/>
      </c>
      <c r="J726" s="27" t="str">
        <f t="shared" ca="1" si="45"/>
        <v/>
      </c>
      <c r="K726" s="7" t="str">
        <f t="shared" si="46"/>
        <v/>
      </c>
      <c r="L726" s="13"/>
      <c r="M726" s="29" t="str">
        <f t="shared" si="47"/>
        <v/>
      </c>
    </row>
    <row r="727" spans="1:13" x14ac:dyDescent="0.35">
      <c r="A727" s="81"/>
      <c r="B727" s="13"/>
      <c r="C727" s="21"/>
      <c r="D727" s="14"/>
      <c r="E727" s="14"/>
      <c r="F727" s="14"/>
      <c r="G727" s="21"/>
      <c r="H727" s="53"/>
      <c r="I727" s="7" t="str">
        <f t="shared" si="44"/>
        <v/>
      </c>
      <c r="J727" s="27" t="str">
        <f t="shared" ca="1" si="45"/>
        <v/>
      </c>
      <c r="K727" s="7" t="str">
        <f t="shared" si="46"/>
        <v/>
      </c>
      <c r="L727" s="13"/>
      <c r="M727" s="29" t="str">
        <f t="shared" si="47"/>
        <v/>
      </c>
    </row>
    <row r="728" spans="1:13" x14ac:dyDescent="0.35">
      <c r="A728" s="81"/>
      <c r="B728" s="13"/>
      <c r="C728" s="21"/>
      <c r="D728" s="14"/>
      <c r="E728" s="14"/>
      <c r="F728" s="14"/>
      <c r="G728" s="21"/>
      <c r="H728" s="53"/>
      <c r="I728" s="7" t="str">
        <f t="shared" si="44"/>
        <v/>
      </c>
      <c r="J728" s="27" t="str">
        <f t="shared" ca="1" si="45"/>
        <v/>
      </c>
      <c r="K728" s="7" t="str">
        <f t="shared" si="46"/>
        <v/>
      </c>
      <c r="L728" s="13"/>
      <c r="M728" s="29" t="str">
        <f t="shared" si="47"/>
        <v/>
      </c>
    </row>
    <row r="729" spans="1:13" x14ac:dyDescent="0.35">
      <c r="A729" s="81"/>
      <c r="B729" s="13"/>
      <c r="C729" s="21"/>
      <c r="D729" s="14"/>
      <c r="E729" s="14"/>
      <c r="F729" s="14"/>
      <c r="G729" s="21"/>
      <c r="H729" s="53"/>
      <c r="I729" s="7" t="str">
        <f t="shared" si="44"/>
        <v/>
      </c>
      <c r="J729" s="27" t="str">
        <f t="shared" ca="1" si="45"/>
        <v/>
      </c>
      <c r="K729" s="7" t="str">
        <f t="shared" si="46"/>
        <v/>
      </c>
      <c r="L729" s="13"/>
      <c r="M729" s="29" t="str">
        <f t="shared" si="47"/>
        <v/>
      </c>
    </row>
    <row r="730" spans="1:13" x14ac:dyDescent="0.35">
      <c r="A730" s="81"/>
      <c r="B730" s="13"/>
      <c r="C730" s="21"/>
      <c r="D730" s="14"/>
      <c r="E730" s="14"/>
      <c r="F730" s="14"/>
      <c r="G730" s="21"/>
      <c r="H730" s="53"/>
      <c r="I730" s="7" t="str">
        <f t="shared" si="44"/>
        <v/>
      </c>
      <c r="J730" s="27" t="str">
        <f t="shared" ca="1" si="45"/>
        <v/>
      </c>
      <c r="K730" s="7" t="str">
        <f t="shared" si="46"/>
        <v/>
      </c>
      <c r="L730" s="13"/>
      <c r="M730" s="29" t="str">
        <f t="shared" si="47"/>
        <v/>
      </c>
    </row>
    <row r="731" spans="1:13" x14ac:dyDescent="0.35">
      <c r="A731" s="81"/>
      <c r="B731" s="13"/>
      <c r="C731" s="21"/>
      <c r="D731" s="14"/>
      <c r="E731" s="14"/>
      <c r="F731" s="14"/>
      <c r="G731" s="21"/>
      <c r="H731" s="53"/>
      <c r="I731" s="7" t="str">
        <f t="shared" si="44"/>
        <v/>
      </c>
      <c r="J731" s="27" t="str">
        <f t="shared" ca="1" si="45"/>
        <v/>
      </c>
      <c r="K731" s="7" t="str">
        <f t="shared" si="46"/>
        <v/>
      </c>
      <c r="L731" s="13"/>
      <c r="M731" s="29" t="str">
        <f t="shared" si="47"/>
        <v/>
      </c>
    </row>
    <row r="732" spans="1:13" x14ac:dyDescent="0.35">
      <c r="A732" s="81"/>
      <c r="B732" s="13"/>
      <c r="C732" s="21"/>
      <c r="D732" s="14"/>
      <c r="E732" s="14"/>
      <c r="F732" s="14"/>
      <c r="G732" s="21"/>
      <c r="H732" s="53"/>
      <c r="I732" s="7" t="str">
        <f t="shared" si="44"/>
        <v/>
      </c>
      <c r="J732" s="27" t="str">
        <f t="shared" ca="1" si="45"/>
        <v/>
      </c>
      <c r="K732" s="7" t="str">
        <f t="shared" si="46"/>
        <v/>
      </c>
      <c r="L732" s="13"/>
      <c r="M732" s="29" t="str">
        <f t="shared" si="47"/>
        <v/>
      </c>
    </row>
    <row r="733" spans="1:13" x14ac:dyDescent="0.35">
      <c r="A733" s="81"/>
      <c r="B733" s="13"/>
      <c r="C733" s="21"/>
      <c r="D733" s="14"/>
      <c r="E733" s="14"/>
      <c r="F733" s="14"/>
      <c r="G733" s="21"/>
      <c r="H733" s="53"/>
      <c r="I733" s="7" t="str">
        <f t="shared" si="44"/>
        <v/>
      </c>
      <c r="J733" s="27" t="str">
        <f t="shared" ca="1" si="45"/>
        <v/>
      </c>
      <c r="K733" s="7" t="str">
        <f t="shared" si="46"/>
        <v/>
      </c>
      <c r="L733" s="13"/>
      <c r="M733" s="29" t="str">
        <f t="shared" si="47"/>
        <v/>
      </c>
    </row>
    <row r="734" spans="1:13" x14ac:dyDescent="0.35">
      <c r="A734" s="81"/>
      <c r="B734" s="13"/>
      <c r="C734" s="21"/>
      <c r="D734" s="14"/>
      <c r="E734" s="14"/>
      <c r="F734" s="14"/>
      <c r="G734" s="21"/>
      <c r="H734" s="53"/>
      <c r="I734" s="7" t="str">
        <f t="shared" si="44"/>
        <v/>
      </c>
      <c r="J734" s="27" t="str">
        <f t="shared" ca="1" si="45"/>
        <v/>
      </c>
      <c r="K734" s="7" t="str">
        <f t="shared" si="46"/>
        <v/>
      </c>
      <c r="L734" s="13"/>
      <c r="M734" s="29" t="str">
        <f t="shared" si="47"/>
        <v/>
      </c>
    </row>
    <row r="735" spans="1:13" x14ac:dyDescent="0.35">
      <c r="A735" s="81"/>
      <c r="B735" s="13"/>
      <c r="C735" s="21"/>
      <c r="D735" s="14"/>
      <c r="E735" s="14"/>
      <c r="F735" s="14"/>
      <c r="G735" s="21"/>
      <c r="H735" s="53"/>
      <c r="I735" s="7" t="str">
        <f t="shared" si="44"/>
        <v/>
      </c>
      <c r="J735" s="27" t="str">
        <f t="shared" ca="1" si="45"/>
        <v/>
      </c>
      <c r="K735" s="7" t="str">
        <f t="shared" si="46"/>
        <v/>
      </c>
      <c r="L735" s="13"/>
      <c r="M735" s="29" t="str">
        <f t="shared" si="47"/>
        <v/>
      </c>
    </row>
    <row r="736" spans="1:13" x14ac:dyDescent="0.35">
      <c r="A736" s="81"/>
      <c r="B736" s="13"/>
      <c r="C736" s="21"/>
      <c r="D736" s="14"/>
      <c r="E736" s="14"/>
      <c r="F736" s="14"/>
      <c r="G736" s="21"/>
      <c r="H736" s="53"/>
      <c r="I736" s="7" t="str">
        <f t="shared" si="44"/>
        <v/>
      </c>
      <c r="J736" s="27" t="str">
        <f t="shared" ca="1" si="45"/>
        <v/>
      </c>
      <c r="K736" s="7" t="str">
        <f t="shared" si="46"/>
        <v/>
      </c>
      <c r="L736" s="13"/>
      <c r="M736" s="29" t="str">
        <f t="shared" si="47"/>
        <v/>
      </c>
    </row>
    <row r="737" spans="1:13" x14ac:dyDescent="0.35">
      <c r="A737" s="81"/>
      <c r="B737" s="13"/>
      <c r="C737" s="21"/>
      <c r="D737" s="14"/>
      <c r="E737" s="14"/>
      <c r="F737" s="14"/>
      <c r="G737" s="21"/>
      <c r="H737" s="53"/>
      <c r="I737" s="7" t="str">
        <f t="shared" si="44"/>
        <v/>
      </c>
      <c r="J737" s="27" t="str">
        <f t="shared" ca="1" si="45"/>
        <v/>
      </c>
      <c r="K737" s="7" t="str">
        <f t="shared" si="46"/>
        <v/>
      </c>
      <c r="L737" s="13"/>
      <c r="M737" s="29" t="str">
        <f t="shared" si="47"/>
        <v/>
      </c>
    </row>
    <row r="738" spans="1:13" x14ac:dyDescent="0.35">
      <c r="A738" s="81"/>
      <c r="B738" s="13"/>
      <c r="C738" s="21"/>
      <c r="D738" s="14"/>
      <c r="E738" s="14"/>
      <c r="F738" s="14"/>
      <c r="G738" s="21"/>
      <c r="H738" s="53"/>
      <c r="I738" s="7" t="str">
        <f t="shared" si="44"/>
        <v/>
      </c>
      <c r="J738" s="27" t="str">
        <f t="shared" ca="1" si="45"/>
        <v/>
      </c>
      <c r="K738" s="7" t="str">
        <f t="shared" si="46"/>
        <v/>
      </c>
      <c r="L738" s="13"/>
      <c r="M738" s="29" t="str">
        <f t="shared" si="47"/>
        <v/>
      </c>
    </row>
    <row r="739" spans="1:13" x14ac:dyDescent="0.35">
      <c r="A739" s="81"/>
      <c r="B739" s="13"/>
      <c r="C739" s="21"/>
      <c r="D739" s="14"/>
      <c r="E739" s="14"/>
      <c r="F739" s="14"/>
      <c r="G739" s="21"/>
      <c r="H739" s="53"/>
      <c r="I739" s="7" t="str">
        <f t="shared" si="44"/>
        <v/>
      </c>
      <c r="J739" s="27" t="str">
        <f t="shared" ca="1" si="45"/>
        <v/>
      </c>
      <c r="K739" s="7" t="str">
        <f t="shared" si="46"/>
        <v/>
      </c>
      <c r="L739" s="13"/>
      <c r="M739" s="29" t="str">
        <f t="shared" si="47"/>
        <v/>
      </c>
    </row>
    <row r="740" spans="1:13" x14ac:dyDescent="0.35">
      <c r="A740" s="81"/>
      <c r="B740" s="13"/>
      <c r="C740" s="21"/>
      <c r="D740" s="14"/>
      <c r="E740" s="14"/>
      <c r="F740" s="14"/>
      <c r="G740" s="21"/>
      <c r="H740" s="53"/>
      <c r="I740" s="7" t="str">
        <f t="shared" si="44"/>
        <v/>
      </c>
      <c r="J740" s="27" t="str">
        <f t="shared" ca="1" si="45"/>
        <v/>
      </c>
      <c r="K740" s="7" t="str">
        <f t="shared" si="46"/>
        <v/>
      </c>
      <c r="L740" s="13"/>
      <c r="M740" s="29" t="str">
        <f t="shared" si="47"/>
        <v/>
      </c>
    </row>
    <row r="741" spans="1:13" x14ac:dyDescent="0.35">
      <c r="A741" s="81"/>
      <c r="B741" s="13"/>
      <c r="C741" s="21"/>
      <c r="D741" s="14"/>
      <c r="E741" s="14"/>
      <c r="F741" s="14"/>
      <c r="G741" s="21"/>
      <c r="H741" s="53"/>
      <c r="I741" s="7" t="str">
        <f t="shared" si="44"/>
        <v/>
      </c>
      <c r="J741" s="27" t="str">
        <f t="shared" ca="1" si="45"/>
        <v/>
      </c>
      <c r="K741" s="7" t="str">
        <f t="shared" si="46"/>
        <v/>
      </c>
      <c r="L741" s="13"/>
      <c r="M741" s="29" t="str">
        <f t="shared" si="47"/>
        <v/>
      </c>
    </row>
    <row r="742" spans="1:13" x14ac:dyDescent="0.35">
      <c r="A742" s="81"/>
      <c r="B742" s="13"/>
      <c r="C742" s="21"/>
      <c r="D742" s="14"/>
      <c r="E742" s="14"/>
      <c r="F742" s="14"/>
      <c r="G742" s="21"/>
      <c r="H742" s="53"/>
      <c r="I742" s="7" t="str">
        <f t="shared" si="44"/>
        <v/>
      </c>
      <c r="J742" s="27" t="str">
        <f t="shared" ca="1" si="45"/>
        <v/>
      </c>
      <c r="K742" s="7" t="str">
        <f t="shared" si="46"/>
        <v/>
      </c>
      <c r="L742" s="13"/>
      <c r="M742" s="29" t="str">
        <f t="shared" si="47"/>
        <v/>
      </c>
    </row>
    <row r="743" spans="1:13" x14ac:dyDescent="0.35">
      <c r="A743" s="81"/>
      <c r="B743" s="13"/>
      <c r="C743" s="21"/>
      <c r="D743" s="14"/>
      <c r="E743" s="14"/>
      <c r="F743" s="14"/>
      <c r="G743" s="21"/>
      <c r="H743" s="53"/>
      <c r="I743" s="7" t="str">
        <f t="shared" si="44"/>
        <v/>
      </c>
      <c r="J743" s="27" t="str">
        <f t="shared" ca="1" si="45"/>
        <v/>
      </c>
      <c r="K743" s="7" t="str">
        <f t="shared" si="46"/>
        <v/>
      </c>
      <c r="L743" s="13"/>
      <c r="M743" s="29" t="str">
        <f t="shared" si="47"/>
        <v/>
      </c>
    </row>
    <row r="744" spans="1:13" x14ac:dyDescent="0.35">
      <c r="A744" s="81"/>
      <c r="B744" s="13"/>
      <c r="C744" s="21"/>
      <c r="D744" s="14"/>
      <c r="E744" s="14"/>
      <c r="F744" s="14"/>
      <c r="G744" s="21"/>
      <c r="H744" s="53"/>
      <c r="I744" s="7" t="str">
        <f t="shared" si="44"/>
        <v/>
      </c>
      <c r="J744" s="27" t="str">
        <f t="shared" ca="1" si="45"/>
        <v/>
      </c>
      <c r="K744" s="7" t="str">
        <f t="shared" si="46"/>
        <v/>
      </c>
      <c r="L744" s="13"/>
      <c r="M744" s="29" t="str">
        <f t="shared" si="47"/>
        <v/>
      </c>
    </row>
    <row r="745" spans="1:13" x14ac:dyDescent="0.35">
      <c r="A745" s="81"/>
      <c r="B745" s="13"/>
      <c r="C745" s="21"/>
      <c r="D745" s="14"/>
      <c r="E745" s="14"/>
      <c r="F745" s="14"/>
      <c r="G745" s="21"/>
      <c r="H745" s="53"/>
      <c r="I745" s="7" t="str">
        <f t="shared" si="44"/>
        <v/>
      </c>
      <c r="J745" s="27" t="str">
        <f t="shared" ca="1" si="45"/>
        <v/>
      </c>
      <c r="K745" s="7" t="str">
        <f t="shared" si="46"/>
        <v/>
      </c>
      <c r="L745" s="13"/>
      <c r="M745" s="29" t="str">
        <f t="shared" si="47"/>
        <v/>
      </c>
    </row>
    <row r="746" spans="1:13" x14ac:dyDescent="0.35">
      <c r="A746" s="81"/>
      <c r="B746" s="13"/>
      <c r="C746" s="21"/>
      <c r="D746" s="14"/>
      <c r="E746" s="14"/>
      <c r="F746" s="14"/>
      <c r="G746" s="21"/>
      <c r="H746" s="53"/>
      <c r="I746" s="7" t="str">
        <f t="shared" si="44"/>
        <v/>
      </c>
      <c r="J746" s="27" t="str">
        <f t="shared" ca="1" si="45"/>
        <v/>
      </c>
      <c r="K746" s="7" t="str">
        <f t="shared" si="46"/>
        <v/>
      </c>
      <c r="L746" s="13"/>
      <c r="M746" s="29" t="str">
        <f t="shared" si="47"/>
        <v/>
      </c>
    </row>
    <row r="747" spans="1:13" x14ac:dyDescent="0.35">
      <c r="A747" s="81"/>
      <c r="B747" s="13"/>
      <c r="C747" s="21"/>
      <c r="D747" s="14"/>
      <c r="E747" s="14"/>
      <c r="F747" s="14"/>
      <c r="G747" s="21"/>
      <c r="H747" s="53"/>
      <c r="I747" s="7" t="str">
        <f t="shared" si="44"/>
        <v/>
      </c>
      <c r="J747" s="27" t="str">
        <f t="shared" ca="1" si="45"/>
        <v/>
      </c>
      <c r="K747" s="7" t="str">
        <f t="shared" si="46"/>
        <v/>
      </c>
      <c r="L747" s="13"/>
      <c r="M747" s="29" t="str">
        <f t="shared" si="47"/>
        <v/>
      </c>
    </row>
    <row r="748" spans="1:13" x14ac:dyDescent="0.35">
      <c r="A748" s="81"/>
      <c r="B748" s="13"/>
      <c r="C748" s="21"/>
      <c r="D748" s="14"/>
      <c r="E748" s="14"/>
      <c r="F748" s="14"/>
      <c r="G748" s="21"/>
      <c r="H748" s="53"/>
      <c r="I748" s="7" t="str">
        <f t="shared" si="44"/>
        <v/>
      </c>
      <c r="J748" s="27" t="str">
        <f t="shared" ca="1" si="45"/>
        <v/>
      </c>
      <c r="K748" s="7" t="str">
        <f t="shared" si="46"/>
        <v/>
      </c>
      <c r="L748" s="13"/>
      <c r="M748" s="29" t="str">
        <f t="shared" si="47"/>
        <v/>
      </c>
    </row>
    <row r="749" spans="1:13" x14ac:dyDescent="0.35">
      <c r="A749" s="81"/>
      <c r="B749" s="13"/>
      <c r="C749" s="21"/>
      <c r="D749" s="14"/>
      <c r="E749" s="14"/>
      <c r="F749" s="14"/>
      <c r="G749" s="21"/>
      <c r="H749" s="53"/>
      <c r="I749" s="7" t="str">
        <f t="shared" si="44"/>
        <v/>
      </c>
      <c r="J749" s="27" t="str">
        <f t="shared" ca="1" si="45"/>
        <v/>
      </c>
      <c r="K749" s="7" t="str">
        <f t="shared" si="46"/>
        <v/>
      </c>
      <c r="L749" s="13"/>
      <c r="M749" s="29" t="str">
        <f t="shared" si="47"/>
        <v/>
      </c>
    </row>
    <row r="750" spans="1:13" x14ac:dyDescent="0.35">
      <c r="A750" s="81"/>
      <c r="B750" s="13"/>
      <c r="C750" s="21"/>
      <c r="D750" s="14"/>
      <c r="E750" s="14"/>
      <c r="F750" s="14"/>
      <c r="G750" s="21"/>
      <c r="H750" s="53"/>
      <c r="I750" s="7" t="str">
        <f t="shared" si="44"/>
        <v/>
      </c>
      <c r="J750" s="27" t="str">
        <f t="shared" ca="1" si="45"/>
        <v/>
      </c>
      <c r="K750" s="7" t="str">
        <f t="shared" si="46"/>
        <v/>
      </c>
      <c r="L750" s="13"/>
      <c r="M750" s="29" t="str">
        <f t="shared" si="47"/>
        <v/>
      </c>
    </row>
    <row r="751" spans="1:13" x14ac:dyDescent="0.35">
      <c r="A751" s="81"/>
      <c r="B751" s="13"/>
      <c r="C751" s="21"/>
      <c r="D751" s="14"/>
      <c r="E751" s="14"/>
      <c r="F751" s="14"/>
      <c r="G751" s="21"/>
      <c r="H751" s="53"/>
      <c r="I751" s="7" t="str">
        <f t="shared" si="44"/>
        <v/>
      </c>
      <c r="J751" s="27" t="str">
        <f t="shared" ca="1" si="45"/>
        <v/>
      </c>
      <c r="K751" s="7" t="str">
        <f t="shared" si="46"/>
        <v/>
      </c>
      <c r="L751" s="13"/>
      <c r="M751" s="29" t="str">
        <f t="shared" si="47"/>
        <v/>
      </c>
    </row>
    <row r="752" spans="1:13" x14ac:dyDescent="0.35">
      <c r="A752" s="81"/>
      <c r="B752" s="13"/>
      <c r="C752" s="21"/>
      <c r="D752" s="14"/>
      <c r="E752" s="14"/>
      <c r="F752" s="14"/>
      <c r="G752" s="21"/>
      <c r="H752" s="53"/>
      <c r="I752" s="7" t="str">
        <f t="shared" si="44"/>
        <v/>
      </c>
      <c r="J752" s="27" t="str">
        <f t="shared" ca="1" si="45"/>
        <v/>
      </c>
      <c r="K752" s="7" t="str">
        <f t="shared" si="46"/>
        <v/>
      </c>
      <c r="L752" s="13"/>
      <c r="M752" s="29" t="str">
        <f t="shared" si="47"/>
        <v/>
      </c>
    </row>
    <row r="753" spans="1:13" x14ac:dyDescent="0.35">
      <c r="A753" s="81"/>
      <c r="B753" s="13"/>
      <c r="C753" s="21"/>
      <c r="D753" s="14"/>
      <c r="E753" s="14"/>
      <c r="F753" s="14"/>
      <c r="G753" s="21"/>
      <c r="H753" s="53"/>
      <c r="I753" s="7" t="str">
        <f t="shared" si="44"/>
        <v/>
      </c>
      <c r="J753" s="27" t="str">
        <f t="shared" ca="1" si="45"/>
        <v/>
      </c>
      <c r="K753" s="7" t="str">
        <f t="shared" si="46"/>
        <v/>
      </c>
      <c r="L753" s="13"/>
      <c r="M753" s="29" t="str">
        <f t="shared" si="47"/>
        <v/>
      </c>
    </row>
    <row r="754" spans="1:13" x14ac:dyDescent="0.35">
      <c r="A754" s="81"/>
      <c r="B754" s="13"/>
      <c r="C754" s="21"/>
      <c r="D754" s="14"/>
      <c r="E754" s="14"/>
      <c r="F754" s="14"/>
      <c r="G754" s="21"/>
      <c r="H754" s="53"/>
      <c r="I754" s="7" t="str">
        <f t="shared" si="44"/>
        <v/>
      </c>
      <c r="J754" s="27" t="str">
        <f t="shared" ca="1" si="45"/>
        <v/>
      </c>
      <c r="K754" s="7" t="str">
        <f t="shared" si="46"/>
        <v/>
      </c>
      <c r="L754" s="13"/>
      <c r="M754" s="29" t="str">
        <f t="shared" si="47"/>
        <v/>
      </c>
    </row>
    <row r="755" spans="1:13" x14ac:dyDescent="0.35">
      <c r="A755" s="81"/>
      <c r="B755" s="13"/>
      <c r="C755" s="21"/>
      <c r="D755" s="14"/>
      <c r="E755" s="14"/>
      <c r="F755" s="14"/>
      <c r="G755" s="21"/>
      <c r="H755" s="53"/>
      <c r="I755" s="7" t="str">
        <f t="shared" si="44"/>
        <v/>
      </c>
      <c r="J755" s="27" t="str">
        <f t="shared" ca="1" si="45"/>
        <v/>
      </c>
      <c r="K755" s="7" t="str">
        <f t="shared" si="46"/>
        <v/>
      </c>
      <c r="L755" s="13"/>
      <c r="M755" s="29" t="str">
        <f t="shared" si="47"/>
        <v/>
      </c>
    </row>
    <row r="756" spans="1:13" x14ac:dyDescent="0.35">
      <c r="A756" s="81"/>
      <c r="B756" s="13"/>
      <c r="C756" s="21"/>
      <c r="D756" s="14"/>
      <c r="E756" s="14"/>
      <c r="F756" s="14"/>
      <c r="G756" s="21"/>
      <c r="H756" s="53"/>
      <c r="I756" s="7" t="str">
        <f t="shared" si="44"/>
        <v/>
      </c>
      <c r="J756" s="27" t="str">
        <f t="shared" ca="1" si="45"/>
        <v/>
      </c>
      <c r="K756" s="7" t="str">
        <f t="shared" si="46"/>
        <v/>
      </c>
      <c r="L756" s="13"/>
      <c r="M756" s="29" t="str">
        <f t="shared" si="47"/>
        <v/>
      </c>
    </row>
    <row r="757" spans="1:13" x14ac:dyDescent="0.35">
      <c r="A757" s="81"/>
      <c r="B757" s="13"/>
      <c r="C757" s="21"/>
      <c r="D757" s="14"/>
      <c r="E757" s="14"/>
      <c r="F757" s="14"/>
      <c r="G757" s="21"/>
      <c r="H757" s="53"/>
      <c r="I757" s="7" t="str">
        <f t="shared" si="44"/>
        <v/>
      </c>
      <c r="J757" s="27" t="str">
        <f t="shared" ca="1" si="45"/>
        <v/>
      </c>
      <c r="K757" s="7" t="str">
        <f t="shared" si="46"/>
        <v/>
      </c>
      <c r="L757" s="13"/>
      <c r="M757" s="29" t="str">
        <f t="shared" si="47"/>
        <v/>
      </c>
    </row>
    <row r="758" spans="1:13" x14ac:dyDescent="0.35">
      <c r="A758" s="81"/>
      <c r="B758" s="13"/>
      <c r="C758" s="21"/>
      <c r="D758" s="14"/>
      <c r="E758" s="14"/>
      <c r="F758" s="14"/>
      <c r="G758" s="21"/>
      <c r="H758" s="53"/>
      <c r="I758" s="7" t="str">
        <f t="shared" si="44"/>
        <v/>
      </c>
      <c r="J758" s="27" t="str">
        <f t="shared" ca="1" si="45"/>
        <v/>
      </c>
      <c r="K758" s="7" t="str">
        <f t="shared" si="46"/>
        <v/>
      </c>
      <c r="L758" s="13"/>
      <c r="M758" s="29" t="str">
        <f t="shared" si="47"/>
        <v/>
      </c>
    </row>
    <row r="759" spans="1:13" x14ac:dyDescent="0.35">
      <c r="A759" s="81"/>
      <c r="B759" s="13"/>
      <c r="C759" s="21"/>
      <c r="D759" s="14"/>
      <c r="E759" s="14"/>
      <c r="F759" s="14"/>
      <c r="G759" s="21"/>
      <c r="H759" s="53"/>
      <c r="I759" s="7" t="str">
        <f t="shared" si="44"/>
        <v/>
      </c>
      <c r="J759" s="27" t="str">
        <f t="shared" ca="1" si="45"/>
        <v/>
      </c>
      <c r="K759" s="7" t="str">
        <f t="shared" si="46"/>
        <v/>
      </c>
      <c r="L759" s="13"/>
      <c r="M759" s="29" t="str">
        <f t="shared" si="47"/>
        <v/>
      </c>
    </row>
    <row r="760" spans="1:13" x14ac:dyDescent="0.35">
      <c r="A760" s="81"/>
      <c r="B760" s="13"/>
      <c r="C760" s="21"/>
      <c r="D760" s="14"/>
      <c r="E760" s="14"/>
      <c r="F760" s="14"/>
      <c r="G760" s="21"/>
      <c r="H760" s="53"/>
      <c r="I760" s="7" t="str">
        <f t="shared" si="44"/>
        <v/>
      </c>
      <c r="J760" s="27" t="str">
        <f t="shared" ca="1" si="45"/>
        <v/>
      </c>
      <c r="K760" s="7" t="str">
        <f t="shared" si="46"/>
        <v/>
      </c>
      <c r="L760" s="13"/>
      <c r="M760" s="29" t="str">
        <f t="shared" si="47"/>
        <v/>
      </c>
    </row>
    <row r="761" spans="1:13" x14ac:dyDescent="0.35">
      <c r="A761" s="81"/>
      <c r="B761" s="13"/>
      <c r="C761" s="21"/>
      <c r="D761" s="14"/>
      <c r="E761" s="14"/>
      <c r="F761" s="14"/>
      <c r="G761" s="21"/>
      <c r="H761" s="53"/>
      <c r="I761" s="7" t="str">
        <f t="shared" si="44"/>
        <v/>
      </c>
      <c r="J761" s="27" t="str">
        <f t="shared" ca="1" si="45"/>
        <v/>
      </c>
      <c r="K761" s="7" t="str">
        <f t="shared" si="46"/>
        <v/>
      </c>
      <c r="L761" s="13"/>
      <c r="M761" s="29" t="str">
        <f t="shared" si="47"/>
        <v/>
      </c>
    </row>
    <row r="762" spans="1:13" x14ac:dyDescent="0.35">
      <c r="A762" s="81"/>
      <c r="B762" s="13"/>
      <c r="C762" s="21"/>
      <c r="D762" s="14"/>
      <c r="E762" s="14"/>
      <c r="F762" s="14"/>
      <c r="G762" s="21"/>
      <c r="H762" s="53"/>
      <c r="I762" s="7" t="str">
        <f t="shared" si="44"/>
        <v/>
      </c>
      <c r="J762" s="27" t="str">
        <f t="shared" ca="1" si="45"/>
        <v/>
      </c>
      <c r="K762" s="7" t="str">
        <f t="shared" si="46"/>
        <v/>
      </c>
      <c r="L762" s="13"/>
      <c r="M762" s="29" t="str">
        <f t="shared" si="47"/>
        <v/>
      </c>
    </row>
    <row r="763" spans="1:13" x14ac:dyDescent="0.35">
      <c r="A763" s="81"/>
      <c r="B763" s="13"/>
      <c r="C763" s="21"/>
      <c r="D763" s="14"/>
      <c r="E763" s="14"/>
      <c r="F763" s="14"/>
      <c r="G763" s="21"/>
      <c r="H763" s="53"/>
      <c r="I763" s="7" t="str">
        <f t="shared" si="44"/>
        <v/>
      </c>
      <c r="J763" s="27" t="str">
        <f t="shared" ca="1" si="45"/>
        <v/>
      </c>
      <c r="K763" s="7" t="str">
        <f t="shared" si="46"/>
        <v/>
      </c>
      <c r="L763" s="13"/>
      <c r="M763" s="29" t="str">
        <f t="shared" si="47"/>
        <v/>
      </c>
    </row>
    <row r="764" spans="1:13" x14ac:dyDescent="0.35">
      <c r="A764" s="81"/>
      <c r="B764" s="13"/>
      <c r="C764" s="21"/>
      <c r="D764" s="14"/>
      <c r="E764" s="14"/>
      <c r="F764" s="14"/>
      <c r="G764" s="21"/>
      <c r="H764" s="53"/>
      <c r="I764" s="7" t="str">
        <f t="shared" si="44"/>
        <v/>
      </c>
      <c r="J764" s="27" t="str">
        <f t="shared" ca="1" si="45"/>
        <v/>
      </c>
      <c r="K764" s="7" t="str">
        <f t="shared" si="46"/>
        <v/>
      </c>
      <c r="L764" s="13"/>
      <c r="M764" s="29" t="str">
        <f t="shared" si="47"/>
        <v/>
      </c>
    </row>
    <row r="765" spans="1:13" x14ac:dyDescent="0.35">
      <c r="A765" s="81"/>
      <c r="B765" s="13"/>
      <c r="C765" s="21"/>
      <c r="D765" s="14"/>
      <c r="E765" s="14"/>
      <c r="F765" s="14"/>
      <c r="G765" s="21"/>
      <c r="H765" s="53"/>
      <c r="I765" s="7" t="str">
        <f t="shared" si="44"/>
        <v/>
      </c>
      <c r="J765" s="27" t="str">
        <f t="shared" ca="1" si="45"/>
        <v/>
      </c>
      <c r="K765" s="7" t="str">
        <f t="shared" si="46"/>
        <v/>
      </c>
      <c r="L765" s="13"/>
      <c r="M765" s="29" t="str">
        <f t="shared" si="47"/>
        <v/>
      </c>
    </row>
    <row r="766" spans="1:13" x14ac:dyDescent="0.35">
      <c r="A766" s="81"/>
      <c r="B766" s="13"/>
      <c r="C766" s="21"/>
      <c r="D766" s="14"/>
      <c r="E766" s="14"/>
      <c r="F766" s="14"/>
      <c r="G766" s="21"/>
      <c r="H766" s="53"/>
      <c r="I766" s="7" t="str">
        <f t="shared" si="44"/>
        <v/>
      </c>
      <c r="J766" s="27" t="str">
        <f t="shared" ca="1" si="45"/>
        <v/>
      </c>
      <c r="K766" s="7" t="str">
        <f t="shared" si="46"/>
        <v/>
      </c>
      <c r="L766" s="13"/>
      <c r="M766" s="29" t="str">
        <f t="shared" si="47"/>
        <v/>
      </c>
    </row>
    <row r="767" spans="1:13" x14ac:dyDescent="0.35">
      <c r="A767" s="81"/>
      <c r="B767" s="13"/>
      <c r="C767" s="21"/>
      <c r="D767" s="14"/>
      <c r="E767" s="14"/>
      <c r="F767" s="14"/>
      <c r="G767" s="21"/>
      <c r="H767" s="53"/>
      <c r="I767" s="7" t="str">
        <f t="shared" si="44"/>
        <v/>
      </c>
      <c r="J767" s="27" t="str">
        <f t="shared" ca="1" si="45"/>
        <v/>
      </c>
      <c r="K767" s="7" t="str">
        <f t="shared" si="46"/>
        <v/>
      </c>
      <c r="L767" s="13"/>
      <c r="M767" s="29" t="str">
        <f t="shared" si="47"/>
        <v/>
      </c>
    </row>
    <row r="768" spans="1:13" x14ac:dyDescent="0.35">
      <c r="A768" s="81"/>
      <c r="B768" s="13"/>
      <c r="C768" s="21"/>
      <c r="D768" s="14"/>
      <c r="E768" s="14"/>
      <c r="F768" s="14"/>
      <c r="G768" s="21"/>
      <c r="H768" s="53"/>
      <c r="I768" s="7" t="str">
        <f t="shared" si="44"/>
        <v/>
      </c>
      <c r="J768" s="27" t="str">
        <f t="shared" ca="1" si="45"/>
        <v/>
      </c>
      <c r="K768" s="7" t="str">
        <f t="shared" si="46"/>
        <v/>
      </c>
      <c r="L768" s="13"/>
      <c r="M768" s="29" t="str">
        <f t="shared" si="47"/>
        <v/>
      </c>
    </row>
    <row r="769" spans="1:13" x14ac:dyDescent="0.35">
      <c r="A769" s="81"/>
      <c r="B769" s="13"/>
      <c r="C769" s="21"/>
      <c r="D769" s="14"/>
      <c r="E769" s="14"/>
      <c r="F769" s="14"/>
      <c r="G769" s="21"/>
      <c r="H769" s="53"/>
      <c r="I769" s="7" t="str">
        <f t="shared" si="44"/>
        <v/>
      </c>
      <c r="J769" s="27" t="str">
        <f t="shared" ca="1" si="45"/>
        <v/>
      </c>
      <c r="K769" s="7" t="str">
        <f t="shared" si="46"/>
        <v/>
      </c>
      <c r="L769" s="13"/>
      <c r="M769" s="29" t="str">
        <f t="shared" si="47"/>
        <v/>
      </c>
    </row>
    <row r="770" spans="1:13" x14ac:dyDescent="0.35">
      <c r="A770" s="81"/>
      <c r="B770" s="13"/>
      <c r="C770" s="21"/>
      <c r="D770" s="14"/>
      <c r="E770" s="14"/>
      <c r="F770" s="14"/>
      <c r="G770" s="21"/>
      <c r="H770" s="53"/>
      <c r="I770" s="7" t="str">
        <f t="shared" si="44"/>
        <v/>
      </c>
      <c r="J770" s="27" t="str">
        <f t="shared" ca="1" si="45"/>
        <v/>
      </c>
      <c r="K770" s="7" t="str">
        <f t="shared" si="46"/>
        <v/>
      </c>
      <c r="L770" s="13"/>
      <c r="M770" s="29" t="str">
        <f t="shared" si="47"/>
        <v/>
      </c>
    </row>
    <row r="771" spans="1:13" x14ac:dyDescent="0.35">
      <c r="A771" s="81"/>
      <c r="B771" s="13"/>
      <c r="C771" s="21"/>
      <c r="D771" s="14"/>
      <c r="E771" s="14"/>
      <c r="F771" s="14"/>
      <c r="G771" s="21"/>
      <c r="H771" s="53"/>
      <c r="I771" s="7" t="str">
        <f t="shared" ref="I771:I834" si="48">IF($A771="","",IF($F771&lt;&gt;"","Envoyé DHL",IF($E771&lt;&gt;"","Reçu (à envoyer)",IF($D771&lt;&gt;"","Demandé (en attente)","À demander"))))</f>
        <v/>
      </c>
      <c r="J771" s="27" t="str">
        <f t="shared" ref="J771:J834" ca="1" si="49">IF(AND($A771&lt;&gt;"",$D771&lt;&gt;"",$E771=""),TODAY()-$D771,"")</f>
        <v/>
      </c>
      <c r="K771" s="7" t="str">
        <f t="shared" ref="K771:K834" si="50">IF($A771="","",IF(AND($J771&lt;&gt;"",N($J771)&gt;P_AlerteDoc),"Attente &gt; "&amp;P_AlerteDoc&amp;" jours",IF(AND($E771&lt;&gt;"",$F771=""),"Reçu : à envoyer par DHL","")))</f>
        <v/>
      </c>
      <c r="L771" s="13"/>
      <c r="M771" s="29" t="str">
        <f t="shared" ref="M771:M834" si="51">IF($K771&lt;&gt;"",1,"")</f>
        <v/>
      </c>
    </row>
    <row r="772" spans="1:13" x14ac:dyDescent="0.35">
      <c r="A772" s="81"/>
      <c r="B772" s="13"/>
      <c r="C772" s="21"/>
      <c r="D772" s="14"/>
      <c r="E772" s="14"/>
      <c r="F772" s="14"/>
      <c r="G772" s="21"/>
      <c r="H772" s="53"/>
      <c r="I772" s="7" t="str">
        <f t="shared" si="48"/>
        <v/>
      </c>
      <c r="J772" s="27" t="str">
        <f t="shared" ca="1" si="49"/>
        <v/>
      </c>
      <c r="K772" s="7" t="str">
        <f t="shared" si="50"/>
        <v/>
      </c>
      <c r="L772" s="13"/>
      <c r="M772" s="29" t="str">
        <f t="shared" si="51"/>
        <v/>
      </c>
    </row>
    <row r="773" spans="1:13" x14ac:dyDescent="0.35">
      <c r="A773" s="81"/>
      <c r="B773" s="13"/>
      <c r="C773" s="21"/>
      <c r="D773" s="14"/>
      <c r="E773" s="14"/>
      <c r="F773" s="14"/>
      <c r="G773" s="21"/>
      <c r="H773" s="53"/>
      <c r="I773" s="7" t="str">
        <f t="shared" si="48"/>
        <v/>
      </c>
      <c r="J773" s="27" t="str">
        <f t="shared" ca="1" si="49"/>
        <v/>
      </c>
      <c r="K773" s="7" t="str">
        <f t="shared" si="50"/>
        <v/>
      </c>
      <c r="L773" s="13"/>
      <c r="M773" s="29" t="str">
        <f t="shared" si="51"/>
        <v/>
      </c>
    </row>
    <row r="774" spans="1:13" x14ac:dyDescent="0.35">
      <c r="A774" s="81"/>
      <c r="B774" s="13"/>
      <c r="C774" s="21"/>
      <c r="D774" s="14"/>
      <c r="E774" s="14"/>
      <c r="F774" s="14"/>
      <c r="G774" s="21"/>
      <c r="H774" s="53"/>
      <c r="I774" s="7" t="str">
        <f t="shared" si="48"/>
        <v/>
      </c>
      <c r="J774" s="27" t="str">
        <f t="shared" ca="1" si="49"/>
        <v/>
      </c>
      <c r="K774" s="7" t="str">
        <f t="shared" si="50"/>
        <v/>
      </c>
      <c r="L774" s="13"/>
      <c r="M774" s="29" t="str">
        <f t="shared" si="51"/>
        <v/>
      </c>
    </row>
    <row r="775" spans="1:13" x14ac:dyDescent="0.35">
      <c r="A775" s="81"/>
      <c r="B775" s="13"/>
      <c r="C775" s="21"/>
      <c r="D775" s="14"/>
      <c r="E775" s="14"/>
      <c r="F775" s="14"/>
      <c r="G775" s="21"/>
      <c r="H775" s="53"/>
      <c r="I775" s="7" t="str">
        <f t="shared" si="48"/>
        <v/>
      </c>
      <c r="J775" s="27" t="str">
        <f t="shared" ca="1" si="49"/>
        <v/>
      </c>
      <c r="K775" s="7" t="str">
        <f t="shared" si="50"/>
        <v/>
      </c>
      <c r="L775" s="13"/>
      <c r="M775" s="29" t="str">
        <f t="shared" si="51"/>
        <v/>
      </c>
    </row>
    <row r="776" spans="1:13" x14ac:dyDescent="0.35">
      <c r="A776" s="81"/>
      <c r="B776" s="13"/>
      <c r="C776" s="21"/>
      <c r="D776" s="14"/>
      <c r="E776" s="14"/>
      <c r="F776" s="14"/>
      <c r="G776" s="21"/>
      <c r="H776" s="53"/>
      <c r="I776" s="7" t="str">
        <f t="shared" si="48"/>
        <v/>
      </c>
      <c r="J776" s="27" t="str">
        <f t="shared" ca="1" si="49"/>
        <v/>
      </c>
      <c r="K776" s="7" t="str">
        <f t="shared" si="50"/>
        <v/>
      </c>
      <c r="L776" s="13"/>
      <c r="M776" s="29" t="str">
        <f t="shared" si="51"/>
        <v/>
      </c>
    </row>
    <row r="777" spans="1:13" x14ac:dyDescent="0.35">
      <c r="A777" s="81"/>
      <c r="B777" s="13"/>
      <c r="C777" s="21"/>
      <c r="D777" s="14"/>
      <c r="E777" s="14"/>
      <c r="F777" s="14"/>
      <c r="G777" s="21"/>
      <c r="H777" s="53"/>
      <c r="I777" s="7" t="str">
        <f t="shared" si="48"/>
        <v/>
      </c>
      <c r="J777" s="27" t="str">
        <f t="shared" ca="1" si="49"/>
        <v/>
      </c>
      <c r="K777" s="7" t="str">
        <f t="shared" si="50"/>
        <v/>
      </c>
      <c r="L777" s="13"/>
      <c r="M777" s="29" t="str">
        <f t="shared" si="51"/>
        <v/>
      </c>
    </row>
    <row r="778" spans="1:13" x14ac:dyDescent="0.35">
      <c r="A778" s="81"/>
      <c r="B778" s="13"/>
      <c r="C778" s="21"/>
      <c r="D778" s="14"/>
      <c r="E778" s="14"/>
      <c r="F778" s="14"/>
      <c r="G778" s="21"/>
      <c r="H778" s="53"/>
      <c r="I778" s="7" t="str">
        <f t="shared" si="48"/>
        <v/>
      </c>
      <c r="J778" s="27" t="str">
        <f t="shared" ca="1" si="49"/>
        <v/>
      </c>
      <c r="K778" s="7" t="str">
        <f t="shared" si="50"/>
        <v/>
      </c>
      <c r="L778" s="13"/>
      <c r="M778" s="29" t="str">
        <f t="shared" si="51"/>
        <v/>
      </c>
    </row>
    <row r="779" spans="1:13" x14ac:dyDescent="0.35">
      <c r="A779" s="81"/>
      <c r="B779" s="13"/>
      <c r="C779" s="21"/>
      <c r="D779" s="14"/>
      <c r="E779" s="14"/>
      <c r="F779" s="14"/>
      <c r="G779" s="21"/>
      <c r="H779" s="53"/>
      <c r="I779" s="7" t="str">
        <f t="shared" si="48"/>
        <v/>
      </c>
      <c r="J779" s="27" t="str">
        <f t="shared" ca="1" si="49"/>
        <v/>
      </c>
      <c r="K779" s="7" t="str">
        <f t="shared" si="50"/>
        <v/>
      </c>
      <c r="L779" s="13"/>
      <c r="M779" s="29" t="str">
        <f t="shared" si="51"/>
        <v/>
      </c>
    </row>
    <row r="780" spans="1:13" x14ac:dyDescent="0.35">
      <c r="A780" s="81"/>
      <c r="B780" s="13"/>
      <c r="C780" s="21"/>
      <c r="D780" s="14"/>
      <c r="E780" s="14"/>
      <c r="F780" s="14"/>
      <c r="G780" s="21"/>
      <c r="H780" s="53"/>
      <c r="I780" s="7" t="str">
        <f t="shared" si="48"/>
        <v/>
      </c>
      <c r="J780" s="27" t="str">
        <f t="shared" ca="1" si="49"/>
        <v/>
      </c>
      <c r="K780" s="7" t="str">
        <f t="shared" si="50"/>
        <v/>
      </c>
      <c r="L780" s="13"/>
      <c r="M780" s="29" t="str">
        <f t="shared" si="51"/>
        <v/>
      </c>
    </row>
    <row r="781" spans="1:13" x14ac:dyDescent="0.35">
      <c r="A781" s="81"/>
      <c r="B781" s="13"/>
      <c r="C781" s="21"/>
      <c r="D781" s="14"/>
      <c r="E781" s="14"/>
      <c r="F781" s="14"/>
      <c r="G781" s="21"/>
      <c r="H781" s="53"/>
      <c r="I781" s="7" t="str">
        <f t="shared" si="48"/>
        <v/>
      </c>
      <c r="J781" s="27" t="str">
        <f t="shared" ca="1" si="49"/>
        <v/>
      </c>
      <c r="K781" s="7" t="str">
        <f t="shared" si="50"/>
        <v/>
      </c>
      <c r="L781" s="13"/>
      <c r="M781" s="29" t="str">
        <f t="shared" si="51"/>
        <v/>
      </c>
    </row>
    <row r="782" spans="1:13" x14ac:dyDescent="0.35">
      <c r="A782" s="81"/>
      <c r="B782" s="13"/>
      <c r="C782" s="21"/>
      <c r="D782" s="14"/>
      <c r="E782" s="14"/>
      <c r="F782" s="14"/>
      <c r="G782" s="21"/>
      <c r="H782" s="53"/>
      <c r="I782" s="7" t="str">
        <f t="shared" si="48"/>
        <v/>
      </c>
      <c r="J782" s="27" t="str">
        <f t="shared" ca="1" si="49"/>
        <v/>
      </c>
      <c r="K782" s="7" t="str">
        <f t="shared" si="50"/>
        <v/>
      </c>
      <c r="L782" s="13"/>
      <c r="M782" s="29" t="str">
        <f t="shared" si="51"/>
        <v/>
      </c>
    </row>
    <row r="783" spans="1:13" x14ac:dyDescent="0.35">
      <c r="A783" s="81"/>
      <c r="B783" s="13"/>
      <c r="C783" s="21"/>
      <c r="D783" s="14"/>
      <c r="E783" s="14"/>
      <c r="F783" s="14"/>
      <c r="G783" s="21"/>
      <c r="H783" s="53"/>
      <c r="I783" s="7" t="str">
        <f t="shared" si="48"/>
        <v/>
      </c>
      <c r="J783" s="27" t="str">
        <f t="shared" ca="1" si="49"/>
        <v/>
      </c>
      <c r="K783" s="7" t="str">
        <f t="shared" si="50"/>
        <v/>
      </c>
      <c r="L783" s="13"/>
      <c r="M783" s="29" t="str">
        <f t="shared" si="51"/>
        <v/>
      </c>
    </row>
    <row r="784" spans="1:13" x14ac:dyDescent="0.35">
      <c r="A784" s="81"/>
      <c r="B784" s="13"/>
      <c r="C784" s="21"/>
      <c r="D784" s="14"/>
      <c r="E784" s="14"/>
      <c r="F784" s="14"/>
      <c r="G784" s="21"/>
      <c r="H784" s="53"/>
      <c r="I784" s="7" t="str">
        <f t="shared" si="48"/>
        <v/>
      </c>
      <c r="J784" s="27" t="str">
        <f t="shared" ca="1" si="49"/>
        <v/>
      </c>
      <c r="K784" s="7" t="str">
        <f t="shared" si="50"/>
        <v/>
      </c>
      <c r="L784" s="13"/>
      <c r="M784" s="29" t="str">
        <f t="shared" si="51"/>
        <v/>
      </c>
    </row>
    <row r="785" spans="1:13" x14ac:dyDescent="0.35">
      <c r="A785" s="81"/>
      <c r="B785" s="13"/>
      <c r="C785" s="21"/>
      <c r="D785" s="14"/>
      <c r="E785" s="14"/>
      <c r="F785" s="14"/>
      <c r="G785" s="21"/>
      <c r="H785" s="53"/>
      <c r="I785" s="7" t="str">
        <f t="shared" si="48"/>
        <v/>
      </c>
      <c r="J785" s="27" t="str">
        <f t="shared" ca="1" si="49"/>
        <v/>
      </c>
      <c r="K785" s="7" t="str">
        <f t="shared" si="50"/>
        <v/>
      </c>
      <c r="L785" s="13"/>
      <c r="M785" s="29" t="str">
        <f t="shared" si="51"/>
        <v/>
      </c>
    </row>
    <row r="786" spans="1:13" x14ac:dyDescent="0.35">
      <c r="A786" s="81"/>
      <c r="B786" s="13"/>
      <c r="C786" s="21"/>
      <c r="D786" s="14"/>
      <c r="E786" s="14"/>
      <c r="F786" s="14"/>
      <c r="G786" s="21"/>
      <c r="H786" s="53"/>
      <c r="I786" s="7" t="str">
        <f t="shared" si="48"/>
        <v/>
      </c>
      <c r="J786" s="27" t="str">
        <f t="shared" ca="1" si="49"/>
        <v/>
      </c>
      <c r="K786" s="7" t="str">
        <f t="shared" si="50"/>
        <v/>
      </c>
      <c r="L786" s="13"/>
      <c r="M786" s="29" t="str">
        <f t="shared" si="51"/>
        <v/>
      </c>
    </row>
    <row r="787" spans="1:13" x14ac:dyDescent="0.35">
      <c r="A787" s="81"/>
      <c r="B787" s="13"/>
      <c r="C787" s="21"/>
      <c r="D787" s="14"/>
      <c r="E787" s="14"/>
      <c r="F787" s="14"/>
      <c r="G787" s="21"/>
      <c r="H787" s="53"/>
      <c r="I787" s="7" t="str">
        <f t="shared" si="48"/>
        <v/>
      </c>
      <c r="J787" s="27" t="str">
        <f t="shared" ca="1" si="49"/>
        <v/>
      </c>
      <c r="K787" s="7" t="str">
        <f t="shared" si="50"/>
        <v/>
      </c>
      <c r="L787" s="13"/>
      <c r="M787" s="29" t="str">
        <f t="shared" si="51"/>
        <v/>
      </c>
    </row>
    <row r="788" spans="1:13" x14ac:dyDescent="0.35">
      <c r="A788" s="81"/>
      <c r="B788" s="13"/>
      <c r="C788" s="21"/>
      <c r="D788" s="14"/>
      <c r="E788" s="14"/>
      <c r="F788" s="14"/>
      <c r="G788" s="21"/>
      <c r="H788" s="53"/>
      <c r="I788" s="7" t="str">
        <f t="shared" si="48"/>
        <v/>
      </c>
      <c r="J788" s="27" t="str">
        <f t="shared" ca="1" si="49"/>
        <v/>
      </c>
      <c r="K788" s="7" t="str">
        <f t="shared" si="50"/>
        <v/>
      </c>
      <c r="L788" s="13"/>
      <c r="M788" s="29" t="str">
        <f t="shared" si="51"/>
        <v/>
      </c>
    </row>
    <row r="789" spans="1:13" x14ac:dyDescent="0.35">
      <c r="A789" s="81"/>
      <c r="B789" s="13"/>
      <c r="C789" s="21"/>
      <c r="D789" s="14"/>
      <c r="E789" s="14"/>
      <c r="F789" s="14"/>
      <c r="G789" s="21"/>
      <c r="H789" s="53"/>
      <c r="I789" s="7" t="str">
        <f t="shared" si="48"/>
        <v/>
      </c>
      <c r="J789" s="27" t="str">
        <f t="shared" ca="1" si="49"/>
        <v/>
      </c>
      <c r="K789" s="7" t="str">
        <f t="shared" si="50"/>
        <v/>
      </c>
      <c r="L789" s="13"/>
      <c r="M789" s="29" t="str">
        <f t="shared" si="51"/>
        <v/>
      </c>
    </row>
    <row r="790" spans="1:13" x14ac:dyDescent="0.35">
      <c r="A790" s="81"/>
      <c r="B790" s="13"/>
      <c r="C790" s="21"/>
      <c r="D790" s="14"/>
      <c r="E790" s="14"/>
      <c r="F790" s="14"/>
      <c r="G790" s="21"/>
      <c r="H790" s="53"/>
      <c r="I790" s="7" t="str">
        <f t="shared" si="48"/>
        <v/>
      </c>
      <c r="J790" s="27" t="str">
        <f t="shared" ca="1" si="49"/>
        <v/>
      </c>
      <c r="K790" s="7" t="str">
        <f t="shared" si="50"/>
        <v/>
      </c>
      <c r="L790" s="13"/>
      <c r="M790" s="29" t="str">
        <f t="shared" si="51"/>
        <v/>
      </c>
    </row>
    <row r="791" spans="1:13" x14ac:dyDescent="0.35">
      <c r="A791" s="81"/>
      <c r="B791" s="13"/>
      <c r="C791" s="21"/>
      <c r="D791" s="14"/>
      <c r="E791" s="14"/>
      <c r="F791" s="14"/>
      <c r="G791" s="21"/>
      <c r="H791" s="53"/>
      <c r="I791" s="7" t="str">
        <f t="shared" si="48"/>
        <v/>
      </c>
      <c r="J791" s="27" t="str">
        <f t="shared" ca="1" si="49"/>
        <v/>
      </c>
      <c r="K791" s="7" t="str">
        <f t="shared" si="50"/>
        <v/>
      </c>
      <c r="L791" s="13"/>
      <c r="M791" s="29" t="str">
        <f t="shared" si="51"/>
        <v/>
      </c>
    </row>
    <row r="792" spans="1:13" x14ac:dyDescent="0.35">
      <c r="A792" s="81"/>
      <c r="B792" s="13"/>
      <c r="C792" s="21"/>
      <c r="D792" s="14"/>
      <c r="E792" s="14"/>
      <c r="F792" s="14"/>
      <c r="G792" s="21"/>
      <c r="H792" s="53"/>
      <c r="I792" s="7" t="str">
        <f t="shared" si="48"/>
        <v/>
      </c>
      <c r="J792" s="27" t="str">
        <f t="shared" ca="1" si="49"/>
        <v/>
      </c>
      <c r="K792" s="7" t="str">
        <f t="shared" si="50"/>
        <v/>
      </c>
      <c r="L792" s="13"/>
      <c r="M792" s="29" t="str">
        <f t="shared" si="51"/>
        <v/>
      </c>
    </row>
    <row r="793" spans="1:13" x14ac:dyDescent="0.35">
      <c r="A793" s="81"/>
      <c r="B793" s="13"/>
      <c r="C793" s="21"/>
      <c r="D793" s="14"/>
      <c r="E793" s="14"/>
      <c r="F793" s="14"/>
      <c r="G793" s="21"/>
      <c r="H793" s="53"/>
      <c r="I793" s="7" t="str">
        <f t="shared" si="48"/>
        <v/>
      </c>
      <c r="J793" s="27" t="str">
        <f t="shared" ca="1" si="49"/>
        <v/>
      </c>
      <c r="K793" s="7" t="str">
        <f t="shared" si="50"/>
        <v/>
      </c>
      <c r="L793" s="13"/>
      <c r="M793" s="29" t="str">
        <f t="shared" si="51"/>
        <v/>
      </c>
    </row>
    <row r="794" spans="1:13" x14ac:dyDescent="0.35">
      <c r="A794" s="81"/>
      <c r="B794" s="13"/>
      <c r="C794" s="21"/>
      <c r="D794" s="14"/>
      <c r="E794" s="14"/>
      <c r="F794" s="14"/>
      <c r="G794" s="21"/>
      <c r="H794" s="53"/>
      <c r="I794" s="7" t="str">
        <f t="shared" si="48"/>
        <v/>
      </c>
      <c r="J794" s="27" t="str">
        <f t="shared" ca="1" si="49"/>
        <v/>
      </c>
      <c r="K794" s="7" t="str">
        <f t="shared" si="50"/>
        <v/>
      </c>
      <c r="L794" s="13"/>
      <c r="M794" s="29" t="str">
        <f t="shared" si="51"/>
        <v/>
      </c>
    </row>
    <row r="795" spans="1:13" x14ac:dyDescent="0.35">
      <c r="A795" s="81"/>
      <c r="B795" s="13"/>
      <c r="C795" s="21"/>
      <c r="D795" s="14"/>
      <c r="E795" s="14"/>
      <c r="F795" s="14"/>
      <c r="G795" s="21"/>
      <c r="H795" s="53"/>
      <c r="I795" s="7" t="str">
        <f t="shared" si="48"/>
        <v/>
      </c>
      <c r="J795" s="27" t="str">
        <f t="shared" ca="1" si="49"/>
        <v/>
      </c>
      <c r="K795" s="7" t="str">
        <f t="shared" si="50"/>
        <v/>
      </c>
      <c r="L795" s="13"/>
      <c r="M795" s="29" t="str">
        <f t="shared" si="51"/>
        <v/>
      </c>
    </row>
    <row r="796" spans="1:13" x14ac:dyDescent="0.35">
      <c r="A796" s="81"/>
      <c r="B796" s="13"/>
      <c r="C796" s="21"/>
      <c r="D796" s="14"/>
      <c r="E796" s="14"/>
      <c r="F796" s="14"/>
      <c r="G796" s="21"/>
      <c r="H796" s="53"/>
      <c r="I796" s="7" t="str">
        <f t="shared" si="48"/>
        <v/>
      </c>
      <c r="J796" s="27" t="str">
        <f t="shared" ca="1" si="49"/>
        <v/>
      </c>
      <c r="K796" s="7" t="str">
        <f t="shared" si="50"/>
        <v/>
      </c>
      <c r="L796" s="13"/>
      <c r="M796" s="29" t="str">
        <f t="shared" si="51"/>
        <v/>
      </c>
    </row>
    <row r="797" spans="1:13" x14ac:dyDescent="0.35">
      <c r="A797" s="81"/>
      <c r="B797" s="13"/>
      <c r="C797" s="21"/>
      <c r="D797" s="14"/>
      <c r="E797" s="14"/>
      <c r="F797" s="14"/>
      <c r="G797" s="21"/>
      <c r="H797" s="53"/>
      <c r="I797" s="7" t="str">
        <f t="shared" si="48"/>
        <v/>
      </c>
      <c r="J797" s="27" t="str">
        <f t="shared" ca="1" si="49"/>
        <v/>
      </c>
      <c r="K797" s="7" t="str">
        <f t="shared" si="50"/>
        <v/>
      </c>
      <c r="L797" s="13"/>
      <c r="M797" s="29" t="str">
        <f t="shared" si="51"/>
        <v/>
      </c>
    </row>
    <row r="798" spans="1:13" x14ac:dyDescent="0.35">
      <c r="A798" s="81"/>
      <c r="B798" s="13"/>
      <c r="C798" s="21"/>
      <c r="D798" s="14"/>
      <c r="E798" s="14"/>
      <c r="F798" s="14"/>
      <c r="G798" s="21"/>
      <c r="H798" s="53"/>
      <c r="I798" s="7" t="str">
        <f t="shared" si="48"/>
        <v/>
      </c>
      <c r="J798" s="27" t="str">
        <f t="shared" ca="1" si="49"/>
        <v/>
      </c>
      <c r="K798" s="7" t="str">
        <f t="shared" si="50"/>
        <v/>
      </c>
      <c r="L798" s="13"/>
      <c r="M798" s="29" t="str">
        <f t="shared" si="51"/>
        <v/>
      </c>
    </row>
    <row r="799" spans="1:13" x14ac:dyDescent="0.35">
      <c r="A799" s="81"/>
      <c r="B799" s="13"/>
      <c r="C799" s="21"/>
      <c r="D799" s="14"/>
      <c r="E799" s="14"/>
      <c r="F799" s="14"/>
      <c r="G799" s="21"/>
      <c r="H799" s="53"/>
      <c r="I799" s="7" t="str">
        <f t="shared" si="48"/>
        <v/>
      </c>
      <c r="J799" s="27" t="str">
        <f t="shared" ca="1" si="49"/>
        <v/>
      </c>
      <c r="K799" s="7" t="str">
        <f t="shared" si="50"/>
        <v/>
      </c>
      <c r="L799" s="13"/>
      <c r="M799" s="29" t="str">
        <f t="shared" si="51"/>
        <v/>
      </c>
    </row>
    <row r="800" spans="1:13" x14ac:dyDescent="0.35">
      <c r="A800" s="81"/>
      <c r="B800" s="13"/>
      <c r="C800" s="21"/>
      <c r="D800" s="14"/>
      <c r="E800" s="14"/>
      <c r="F800" s="14"/>
      <c r="G800" s="21"/>
      <c r="H800" s="53"/>
      <c r="I800" s="7" t="str">
        <f t="shared" si="48"/>
        <v/>
      </c>
      <c r="J800" s="27" t="str">
        <f t="shared" ca="1" si="49"/>
        <v/>
      </c>
      <c r="K800" s="7" t="str">
        <f t="shared" si="50"/>
        <v/>
      </c>
      <c r="L800" s="13"/>
      <c r="M800" s="29" t="str">
        <f t="shared" si="51"/>
        <v/>
      </c>
    </row>
    <row r="801" spans="1:13" x14ac:dyDescent="0.35">
      <c r="A801" s="81"/>
      <c r="B801" s="13"/>
      <c r="C801" s="21"/>
      <c r="D801" s="14"/>
      <c r="E801" s="14"/>
      <c r="F801" s="14"/>
      <c r="G801" s="21"/>
      <c r="H801" s="53"/>
      <c r="I801" s="7" t="str">
        <f t="shared" si="48"/>
        <v/>
      </c>
      <c r="J801" s="27" t="str">
        <f t="shared" ca="1" si="49"/>
        <v/>
      </c>
      <c r="K801" s="7" t="str">
        <f t="shared" si="50"/>
        <v/>
      </c>
      <c r="L801" s="13"/>
      <c r="M801" s="29" t="str">
        <f t="shared" si="51"/>
        <v/>
      </c>
    </row>
    <row r="802" spans="1:13" x14ac:dyDescent="0.35">
      <c r="A802" s="81"/>
      <c r="B802" s="13"/>
      <c r="C802" s="21"/>
      <c r="D802" s="14"/>
      <c r="E802" s="14"/>
      <c r="F802" s="14"/>
      <c r="G802" s="21"/>
      <c r="H802" s="53"/>
      <c r="I802" s="7" t="str">
        <f t="shared" si="48"/>
        <v/>
      </c>
      <c r="J802" s="27" t="str">
        <f t="shared" ca="1" si="49"/>
        <v/>
      </c>
      <c r="K802" s="7" t="str">
        <f t="shared" si="50"/>
        <v/>
      </c>
      <c r="L802" s="13"/>
      <c r="M802" s="29" t="str">
        <f t="shared" si="51"/>
        <v/>
      </c>
    </row>
    <row r="803" spans="1:13" x14ac:dyDescent="0.35">
      <c r="A803" s="81"/>
      <c r="B803" s="13"/>
      <c r="C803" s="21"/>
      <c r="D803" s="14"/>
      <c r="E803" s="14"/>
      <c r="F803" s="14"/>
      <c r="G803" s="21"/>
      <c r="H803" s="53"/>
      <c r="I803" s="7" t="str">
        <f t="shared" si="48"/>
        <v/>
      </c>
      <c r="J803" s="27" t="str">
        <f t="shared" ca="1" si="49"/>
        <v/>
      </c>
      <c r="K803" s="7" t="str">
        <f t="shared" si="50"/>
        <v/>
      </c>
      <c r="L803" s="13"/>
      <c r="M803" s="29" t="str">
        <f t="shared" si="51"/>
        <v/>
      </c>
    </row>
    <row r="804" spans="1:13" x14ac:dyDescent="0.35">
      <c r="A804" s="81"/>
      <c r="B804" s="13"/>
      <c r="C804" s="21"/>
      <c r="D804" s="14"/>
      <c r="E804" s="14"/>
      <c r="F804" s="14"/>
      <c r="G804" s="21"/>
      <c r="H804" s="53"/>
      <c r="I804" s="7" t="str">
        <f t="shared" si="48"/>
        <v/>
      </c>
      <c r="J804" s="27" t="str">
        <f t="shared" ca="1" si="49"/>
        <v/>
      </c>
      <c r="K804" s="7" t="str">
        <f t="shared" si="50"/>
        <v/>
      </c>
      <c r="L804" s="13"/>
      <c r="M804" s="29" t="str">
        <f t="shared" si="51"/>
        <v/>
      </c>
    </row>
    <row r="805" spans="1:13" x14ac:dyDescent="0.35">
      <c r="A805" s="81"/>
      <c r="B805" s="13"/>
      <c r="C805" s="21"/>
      <c r="D805" s="14"/>
      <c r="E805" s="14"/>
      <c r="F805" s="14"/>
      <c r="G805" s="21"/>
      <c r="H805" s="53"/>
      <c r="I805" s="7" t="str">
        <f t="shared" si="48"/>
        <v/>
      </c>
      <c r="J805" s="27" t="str">
        <f t="shared" ca="1" si="49"/>
        <v/>
      </c>
      <c r="K805" s="7" t="str">
        <f t="shared" si="50"/>
        <v/>
      </c>
      <c r="L805" s="13"/>
      <c r="M805" s="29" t="str">
        <f t="shared" si="51"/>
        <v/>
      </c>
    </row>
    <row r="806" spans="1:13" x14ac:dyDescent="0.35">
      <c r="A806" s="81"/>
      <c r="B806" s="13"/>
      <c r="C806" s="21"/>
      <c r="D806" s="14"/>
      <c r="E806" s="14"/>
      <c r="F806" s="14"/>
      <c r="G806" s="21"/>
      <c r="H806" s="53"/>
      <c r="I806" s="7" t="str">
        <f t="shared" si="48"/>
        <v/>
      </c>
      <c r="J806" s="27" t="str">
        <f t="shared" ca="1" si="49"/>
        <v/>
      </c>
      <c r="K806" s="7" t="str">
        <f t="shared" si="50"/>
        <v/>
      </c>
      <c r="L806" s="13"/>
      <c r="M806" s="29" t="str">
        <f t="shared" si="51"/>
        <v/>
      </c>
    </row>
    <row r="807" spans="1:13" x14ac:dyDescent="0.35">
      <c r="A807" s="81"/>
      <c r="B807" s="13"/>
      <c r="C807" s="21"/>
      <c r="D807" s="14"/>
      <c r="E807" s="14"/>
      <c r="F807" s="14"/>
      <c r="G807" s="21"/>
      <c r="H807" s="53"/>
      <c r="I807" s="7" t="str">
        <f t="shared" si="48"/>
        <v/>
      </c>
      <c r="J807" s="27" t="str">
        <f t="shared" ca="1" si="49"/>
        <v/>
      </c>
      <c r="K807" s="7" t="str">
        <f t="shared" si="50"/>
        <v/>
      </c>
      <c r="L807" s="13"/>
      <c r="M807" s="29" t="str">
        <f t="shared" si="51"/>
        <v/>
      </c>
    </row>
    <row r="808" spans="1:13" x14ac:dyDescent="0.35">
      <c r="A808" s="81"/>
      <c r="B808" s="13"/>
      <c r="C808" s="21"/>
      <c r="D808" s="14"/>
      <c r="E808" s="14"/>
      <c r="F808" s="14"/>
      <c r="G808" s="21"/>
      <c r="H808" s="53"/>
      <c r="I808" s="7" t="str">
        <f t="shared" si="48"/>
        <v/>
      </c>
      <c r="J808" s="27" t="str">
        <f t="shared" ca="1" si="49"/>
        <v/>
      </c>
      <c r="K808" s="7" t="str">
        <f t="shared" si="50"/>
        <v/>
      </c>
      <c r="L808" s="13"/>
      <c r="M808" s="29" t="str">
        <f t="shared" si="51"/>
        <v/>
      </c>
    </row>
    <row r="809" spans="1:13" x14ac:dyDescent="0.35">
      <c r="A809" s="81"/>
      <c r="B809" s="13"/>
      <c r="C809" s="21"/>
      <c r="D809" s="14"/>
      <c r="E809" s="14"/>
      <c r="F809" s="14"/>
      <c r="G809" s="21"/>
      <c r="H809" s="53"/>
      <c r="I809" s="7" t="str">
        <f t="shared" si="48"/>
        <v/>
      </c>
      <c r="J809" s="27" t="str">
        <f t="shared" ca="1" si="49"/>
        <v/>
      </c>
      <c r="K809" s="7" t="str">
        <f t="shared" si="50"/>
        <v/>
      </c>
      <c r="L809" s="13"/>
      <c r="M809" s="29" t="str">
        <f t="shared" si="51"/>
        <v/>
      </c>
    </row>
    <row r="810" spans="1:13" x14ac:dyDescent="0.35">
      <c r="A810" s="81"/>
      <c r="B810" s="13"/>
      <c r="C810" s="21"/>
      <c r="D810" s="14"/>
      <c r="E810" s="14"/>
      <c r="F810" s="14"/>
      <c r="G810" s="21"/>
      <c r="H810" s="53"/>
      <c r="I810" s="7" t="str">
        <f t="shared" si="48"/>
        <v/>
      </c>
      <c r="J810" s="27" t="str">
        <f t="shared" ca="1" si="49"/>
        <v/>
      </c>
      <c r="K810" s="7" t="str">
        <f t="shared" si="50"/>
        <v/>
      </c>
      <c r="L810" s="13"/>
      <c r="M810" s="29" t="str">
        <f t="shared" si="51"/>
        <v/>
      </c>
    </row>
    <row r="811" spans="1:13" x14ac:dyDescent="0.35">
      <c r="A811" s="81"/>
      <c r="B811" s="13"/>
      <c r="C811" s="21"/>
      <c r="D811" s="14"/>
      <c r="E811" s="14"/>
      <c r="F811" s="14"/>
      <c r="G811" s="21"/>
      <c r="H811" s="53"/>
      <c r="I811" s="7" t="str">
        <f t="shared" si="48"/>
        <v/>
      </c>
      <c r="J811" s="27" t="str">
        <f t="shared" ca="1" si="49"/>
        <v/>
      </c>
      <c r="K811" s="7" t="str">
        <f t="shared" si="50"/>
        <v/>
      </c>
      <c r="L811" s="13"/>
      <c r="M811" s="29" t="str">
        <f t="shared" si="51"/>
        <v/>
      </c>
    </row>
    <row r="812" spans="1:13" x14ac:dyDescent="0.35">
      <c r="A812" s="81"/>
      <c r="B812" s="13"/>
      <c r="C812" s="21"/>
      <c r="D812" s="14"/>
      <c r="E812" s="14"/>
      <c r="F812" s="14"/>
      <c r="G812" s="21"/>
      <c r="H812" s="53"/>
      <c r="I812" s="7" t="str">
        <f t="shared" si="48"/>
        <v/>
      </c>
      <c r="J812" s="27" t="str">
        <f t="shared" ca="1" si="49"/>
        <v/>
      </c>
      <c r="K812" s="7" t="str">
        <f t="shared" si="50"/>
        <v/>
      </c>
      <c r="L812" s="13"/>
      <c r="M812" s="29" t="str">
        <f t="shared" si="51"/>
        <v/>
      </c>
    </row>
    <row r="813" spans="1:13" x14ac:dyDescent="0.35">
      <c r="A813" s="81"/>
      <c r="B813" s="13"/>
      <c r="C813" s="21"/>
      <c r="D813" s="14"/>
      <c r="E813" s="14"/>
      <c r="F813" s="14"/>
      <c r="G813" s="21"/>
      <c r="H813" s="53"/>
      <c r="I813" s="7" t="str">
        <f t="shared" si="48"/>
        <v/>
      </c>
      <c r="J813" s="27" t="str">
        <f t="shared" ca="1" si="49"/>
        <v/>
      </c>
      <c r="K813" s="7" t="str">
        <f t="shared" si="50"/>
        <v/>
      </c>
      <c r="L813" s="13"/>
      <c r="M813" s="29" t="str">
        <f t="shared" si="51"/>
        <v/>
      </c>
    </row>
    <row r="814" spans="1:13" x14ac:dyDescent="0.35">
      <c r="A814" s="81"/>
      <c r="B814" s="13"/>
      <c r="C814" s="21"/>
      <c r="D814" s="14"/>
      <c r="E814" s="14"/>
      <c r="F814" s="14"/>
      <c r="G814" s="21"/>
      <c r="H814" s="53"/>
      <c r="I814" s="7" t="str">
        <f t="shared" si="48"/>
        <v/>
      </c>
      <c r="J814" s="27" t="str">
        <f t="shared" ca="1" si="49"/>
        <v/>
      </c>
      <c r="K814" s="7" t="str">
        <f t="shared" si="50"/>
        <v/>
      </c>
      <c r="L814" s="13"/>
      <c r="M814" s="29" t="str">
        <f t="shared" si="51"/>
        <v/>
      </c>
    </row>
    <row r="815" spans="1:13" x14ac:dyDescent="0.35">
      <c r="A815" s="81"/>
      <c r="B815" s="13"/>
      <c r="C815" s="21"/>
      <c r="D815" s="14"/>
      <c r="E815" s="14"/>
      <c r="F815" s="14"/>
      <c r="G815" s="21"/>
      <c r="H815" s="53"/>
      <c r="I815" s="7" t="str">
        <f t="shared" si="48"/>
        <v/>
      </c>
      <c r="J815" s="27" t="str">
        <f t="shared" ca="1" si="49"/>
        <v/>
      </c>
      <c r="K815" s="7" t="str">
        <f t="shared" si="50"/>
        <v/>
      </c>
      <c r="L815" s="13"/>
      <c r="M815" s="29" t="str">
        <f t="shared" si="51"/>
        <v/>
      </c>
    </row>
    <row r="816" spans="1:13" x14ac:dyDescent="0.35">
      <c r="A816" s="81"/>
      <c r="B816" s="13"/>
      <c r="C816" s="21"/>
      <c r="D816" s="14"/>
      <c r="E816" s="14"/>
      <c r="F816" s="14"/>
      <c r="G816" s="21"/>
      <c r="H816" s="53"/>
      <c r="I816" s="7" t="str">
        <f t="shared" si="48"/>
        <v/>
      </c>
      <c r="J816" s="27" t="str">
        <f t="shared" ca="1" si="49"/>
        <v/>
      </c>
      <c r="K816" s="7" t="str">
        <f t="shared" si="50"/>
        <v/>
      </c>
      <c r="L816" s="13"/>
      <c r="M816" s="29" t="str">
        <f t="shared" si="51"/>
        <v/>
      </c>
    </row>
    <row r="817" spans="1:13" x14ac:dyDescent="0.35">
      <c r="A817" s="81"/>
      <c r="B817" s="13"/>
      <c r="C817" s="21"/>
      <c r="D817" s="14"/>
      <c r="E817" s="14"/>
      <c r="F817" s="14"/>
      <c r="G817" s="21"/>
      <c r="H817" s="53"/>
      <c r="I817" s="7" t="str">
        <f t="shared" si="48"/>
        <v/>
      </c>
      <c r="J817" s="27" t="str">
        <f t="shared" ca="1" si="49"/>
        <v/>
      </c>
      <c r="K817" s="7" t="str">
        <f t="shared" si="50"/>
        <v/>
      </c>
      <c r="L817" s="13"/>
      <c r="M817" s="29" t="str">
        <f t="shared" si="51"/>
        <v/>
      </c>
    </row>
    <row r="818" spans="1:13" x14ac:dyDescent="0.35">
      <c r="A818" s="81"/>
      <c r="B818" s="13"/>
      <c r="C818" s="21"/>
      <c r="D818" s="14"/>
      <c r="E818" s="14"/>
      <c r="F818" s="14"/>
      <c r="G818" s="21"/>
      <c r="H818" s="53"/>
      <c r="I818" s="7" t="str">
        <f t="shared" si="48"/>
        <v/>
      </c>
      <c r="J818" s="27" t="str">
        <f t="shared" ca="1" si="49"/>
        <v/>
      </c>
      <c r="K818" s="7" t="str">
        <f t="shared" si="50"/>
        <v/>
      </c>
      <c r="L818" s="13"/>
      <c r="M818" s="29" t="str">
        <f t="shared" si="51"/>
        <v/>
      </c>
    </row>
    <row r="819" spans="1:13" x14ac:dyDescent="0.35">
      <c r="A819" s="81"/>
      <c r="B819" s="13"/>
      <c r="C819" s="21"/>
      <c r="D819" s="14"/>
      <c r="E819" s="14"/>
      <c r="F819" s="14"/>
      <c r="G819" s="21"/>
      <c r="H819" s="53"/>
      <c r="I819" s="7" t="str">
        <f t="shared" si="48"/>
        <v/>
      </c>
      <c r="J819" s="27" t="str">
        <f t="shared" ca="1" si="49"/>
        <v/>
      </c>
      <c r="K819" s="7" t="str">
        <f t="shared" si="50"/>
        <v/>
      </c>
      <c r="L819" s="13"/>
      <c r="M819" s="29" t="str">
        <f t="shared" si="51"/>
        <v/>
      </c>
    </row>
    <row r="820" spans="1:13" x14ac:dyDescent="0.35">
      <c r="A820" s="81"/>
      <c r="B820" s="13"/>
      <c r="C820" s="21"/>
      <c r="D820" s="14"/>
      <c r="E820" s="14"/>
      <c r="F820" s="14"/>
      <c r="G820" s="21"/>
      <c r="H820" s="53"/>
      <c r="I820" s="7" t="str">
        <f t="shared" si="48"/>
        <v/>
      </c>
      <c r="J820" s="27" t="str">
        <f t="shared" ca="1" si="49"/>
        <v/>
      </c>
      <c r="K820" s="7" t="str">
        <f t="shared" si="50"/>
        <v/>
      </c>
      <c r="L820" s="13"/>
      <c r="M820" s="29" t="str">
        <f t="shared" si="51"/>
        <v/>
      </c>
    </row>
    <row r="821" spans="1:13" x14ac:dyDescent="0.35">
      <c r="A821" s="81"/>
      <c r="B821" s="13"/>
      <c r="C821" s="21"/>
      <c r="D821" s="14"/>
      <c r="E821" s="14"/>
      <c r="F821" s="14"/>
      <c r="G821" s="21"/>
      <c r="H821" s="53"/>
      <c r="I821" s="7" t="str">
        <f t="shared" si="48"/>
        <v/>
      </c>
      <c r="J821" s="27" t="str">
        <f t="shared" ca="1" si="49"/>
        <v/>
      </c>
      <c r="K821" s="7" t="str">
        <f t="shared" si="50"/>
        <v/>
      </c>
      <c r="L821" s="13"/>
      <c r="M821" s="29" t="str">
        <f t="shared" si="51"/>
        <v/>
      </c>
    </row>
    <row r="822" spans="1:13" x14ac:dyDescent="0.35">
      <c r="A822" s="81"/>
      <c r="B822" s="13"/>
      <c r="C822" s="21"/>
      <c r="D822" s="14"/>
      <c r="E822" s="14"/>
      <c r="F822" s="14"/>
      <c r="G822" s="21"/>
      <c r="H822" s="53"/>
      <c r="I822" s="7" t="str">
        <f t="shared" si="48"/>
        <v/>
      </c>
      <c r="J822" s="27" t="str">
        <f t="shared" ca="1" si="49"/>
        <v/>
      </c>
      <c r="K822" s="7" t="str">
        <f t="shared" si="50"/>
        <v/>
      </c>
      <c r="L822" s="13"/>
      <c r="M822" s="29" t="str">
        <f t="shared" si="51"/>
        <v/>
      </c>
    </row>
    <row r="823" spans="1:13" x14ac:dyDescent="0.35">
      <c r="A823" s="81"/>
      <c r="B823" s="13"/>
      <c r="C823" s="21"/>
      <c r="D823" s="14"/>
      <c r="E823" s="14"/>
      <c r="F823" s="14"/>
      <c r="G823" s="21"/>
      <c r="H823" s="53"/>
      <c r="I823" s="7" t="str">
        <f t="shared" si="48"/>
        <v/>
      </c>
      <c r="J823" s="27" t="str">
        <f t="shared" ca="1" si="49"/>
        <v/>
      </c>
      <c r="K823" s="7" t="str">
        <f t="shared" si="50"/>
        <v/>
      </c>
      <c r="L823" s="13"/>
      <c r="M823" s="29" t="str">
        <f t="shared" si="51"/>
        <v/>
      </c>
    </row>
    <row r="824" spans="1:13" x14ac:dyDescent="0.35">
      <c r="A824" s="81"/>
      <c r="B824" s="13"/>
      <c r="C824" s="21"/>
      <c r="D824" s="14"/>
      <c r="E824" s="14"/>
      <c r="F824" s="14"/>
      <c r="G824" s="21"/>
      <c r="H824" s="53"/>
      <c r="I824" s="7" t="str">
        <f t="shared" si="48"/>
        <v/>
      </c>
      <c r="J824" s="27" t="str">
        <f t="shared" ca="1" si="49"/>
        <v/>
      </c>
      <c r="K824" s="7" t="str">
        <f t="shared" si="50"/>
        <v/>
      </c>
      <c r="L824" s="13"/>
      <c r="M824" s="29" t="str">
        <f t="shared" si="51"/>
        <v/>
      </c>
    </row>
    <row r="825" spans="1:13" x14ac:dyDescent="0.35">
      <c r="A825" s="81"/>
      <c r="B825" s="13"/>
      <c r="C825" s="21"/>
      <c r="D825" s="14"/>
      <c r="E825" s="14"/>
      <c r="F825" s="14"/>
      <c r="G825" s="21"/>
      <c r="H825" s="53"/>
      <c r="I825" s="7" t="str">
        <f t="shared" si="48"/>
        <v/>
      </c>
      <c r="J825" s="27" t="str">
        <f t="shared" ca="1" si="49"/>
        <v/>
      </c>
      <c r="K825" s="7" t="str">
        <f t="shared" si="50"/>
        <v/>
      </c>
      <c r="L825" s="13"/>
      <c r="M825" s="29" t="str">
        <f t="shared" si="51"/>
        <v/>
      </c>
    </row>
    <row r="826" spans="1:13" x14ac:dyDescent="0.35">
      <c r="A826" s="81"/>
      <c r="B826" s="13"/>
      <c r="C826" s="21"/>
      <c r="D826" s="14"/>
      <c r="E826" s="14"/>
      <c r="F826" s="14"/>
      <c r="G826" s="21"/>
      <c r="H826" s="53"/>
      <c r="I826" s="7" t="str">
        <f t="shared" si="48"/>
        <v/>
      </c>
      <c r="J826" s="27" t="str">
        <f t="shared" ca="1" si="49"/>
        <v/>
      </c>
      <c r="K826" s="7" t="str">
        <f t="shared" si="50"/>
        <v/>
      </c>
      <c r="L826" s="13"/>
      <c r="M826" s="29" t="str">
        <f t="shared" si="51"/>
        <v/>
      </c>
    </row>
    <row r="827" spans="1:13" x14ac:dyDescent="0.35">
      <c r="A827" s="81"/>
      <c r="B827" s="13"/>
      <c r="C827" s="21"/>
      <c r="D827" s="14"/>
      <c r="E827" s="14"/>
      <c r="F827" s="14"/>
      <c r="G827" s="21"/>
      <c r="H827" s="53"/>
      <c r="I827" s="7" t="str">
        <f t="shared" si="48"/>
        <v/>
      </c>
      <c r="J827" s="27" t="str">
        <f t="shared" ca="1" si="49"/>
        <v/>
      </c>
      <c r="K827" s="7" t="str">
        <f t="shared" si="50"/>
        <v/>
      </c>
      <c r="L827" s="13"/>
      <c r="M827" s="29" t="str">
        <f t="shared" si="51"/>
        <v/>
      </c>
    </row>
    <row r="828" spans="1:13" x14ac:dyDescent="0.35">
      <c r="A828" s="81"/>
      <c r="B828" s="13"/>
      <c r="C828" s="21"/>
      <c r="D828" s="14"/>
      <c r="E828" s="14"/>
      <c r="F828" s="14"/>
      <c r="G828" s="21"/>
      <c r="H828" s="53"/>
      <c r="I828" s="7" t="str">
        <f t="shared" si="48"/>
        <v/>
      </c>
      <c r="J828" s="27" t="str">
        <f t="shared" ca="1" si="49"/>
        <v/>
      </c>
      <c r="K828" s="7" t="str">
        <f t="shared" si="50"/>
        <v/>
      </c>
      <c r="L828" s="13"/>
      <c r="M828" s="29" t="str">
        <f t="shared" si="51"/>
        <v/>
      </c>
    </row>
    <row r="829" spans="1:13" x14ac:dyDescent="0.35">
      <c r="A829" s="81"/>
      <c r="B829" s="13"/>
      <c r="C829" s="21"/>
      <c r="D829" s="14"/>
      <c r="E829" s="14"/>
      <c r="F829" s="14"/>
      <c r="G829" s="21"/>
      <c r="H829" s="53"/>
      <c r="I829" s="7" t="str">
        <f t="shared" si="48"/>
        <v/>
      </c>
      <c r="J829" s="27" t="str">
        <f t="shared" ca="1" si="49"/>
        <v/>
      </c>
      <c r="K829" s="7" t="str">
        <f t="shared" si="50"/>
        <v/>
      </c>
      <c r="L829" s="13"/>
      <c r="M829" s="29" t="str">
        <f t="shared" si="51"/>
        <v/>
      </c>
    </row>
    <row r="830" spans="1:13" x14ac:dyDescent="0.35">
      <c r="A830" s="81"/>
      <c r="B830" s="13"/>
      <c r="C830" s="21"/>
      <c r="D830" s="14"/>
      <c r="E830" s="14"/>
      <c r="F830" s="14"/>
      <c r="G830" s="21"/>
      <c r="H830" s="53"/>
      <c r="I830" s="7" t="str">
        <f t="shared" si="48"/>
        <v/>
      </c>
      <c r="J830" s="27" t="str">
        <f t="shared" ca="1" si="49"/>
        <v/>
      </c>
      <c r="K830" s="7" t="str">
        <f t="shared" si="50"/>
        <v/>
      </c>
      <c r="L830" s="13"/>
      <c r="M830" s="29" t="str">
        <f t="shared" si="51"/>
        <v/>
      </c>
    </row>
    <row r="831" spans="1:13" x14ac:dyDescent="0.35">
      <c r="A831" s="81"/>
      <c r="B831" s="13"/>
      <c r="C831" s="21"/>
      <c r="D831" s="14"/>
      <c r="E831" s="14"/>
      <c r="F831" s="14"/>
      <c r="G831" s="21"/>
      <c r="H831" s="53"/>
      <c r="I831" s="7" t="str">
        <f t="shared" si="48"/>
        <v/>
      </c>
      <c r="J831" s="27" t="str">
        <f t="shared" ca="1" si="49"/>
        <v/>
      </c>
      <c r="K831" s="7" t="str">
        <f t="shared" si="50"/>
        <v/>
      </c>
      <c r="L831" s="13"/>
      <c r="M831" s="29" t="str">
        <f t="shared" si="51"/>
        <v/>
      </c>
    </row>
    <row r="832" spans="1:13" x14ac:dyDescent="0.35">
      <c r="A832" s="81"/>
      <c r="B832" s="13"/>
      <c r="C832" s="21"/>
      <c r="D832" s="14"/>
      <c r="E832" s="14"/>
      <c r="F832" s="14"/>
      <c r="G832" s="21"/>
      <c r="H832" s="53"/>
      <c r="I832" s="7" t="str">
        <f t="shared" si="48"/>
        <v/>
      </c>
      <c r="J832" s="27" t="str">
        <f t="shared" ca="1" si="49"/>
        <v/>
      </c>
      <c r="K832" s="7" t="str">
        <f t="shared" si="50"/>
        <v/>
      </c>
      <c r="L832" s="13"/>
      <c r="M832" s="29" t="str">
        <f t="shared" si="51"/>
        <v/>
      </c>
    </row>
    <row r="833" spans="1:13" x14ac:dyDescent="0.35">
      <c r="A833" s="81"/>
      <c r="B833" s="13"/>
      <c r="C833" s="21"/>
      <c r="D833" s="14"/>
      <c r="E833" s="14"/>
      <c r="F833" s="14"/>
      <c r="G833" s="21"/>
      <c r="H833" s="53"/>
      <c r="I833" s="7" t="str">
        <f t="shared" si="48"/>
        <v/>
      </c>
      <c r="J833" s="27" t="str">
        <f t="shared" ca="1" si="49"/>
        <v/>
      </c>
      <c r="K833" s="7" t="str">
        <f t="shared" si="50"/>
        <v/>
      </c>
      <c r="L833" s="13"/>
      <c r="M833" s="29" t="str">
        <f t="shared" si="51"/>
        <v/>
      </c>
    </row>
    <row r="834" spans="1:13" x14ac:dyDescent="0.35">
      <c r="A834" s="81"/>
      <c r="B834" s="13"/>
      <c r="C834" s="21"/>
      <c r="D834" s="14"/>
      <c r="E834" s="14"/>
      <c r="F834" s="14"/>
      <c r="G834" s="21"/>
      <c r="H834" s="53"/>
      <c r="I834" s="7" t="str">
        <f t="shared" si="48"/>
        <v/>
      </c>
      <c r="J834" s="27" t="str">
        <f t="shared" ca="1" si="49"/>
        <v/>
      </c>
      <c r="K834" s="7" t="str">
        <f t="shared" si="50"/>
        <v/>
      </c>
      <c r="L834" s="13"/>
      <c r="M834" s="29" t="str">
        <f t="shared" si="51"/>
        <v/>
      </c>
    </row>
    <row r="835" spans="1:13" x14ac:dyDescent="0.35">
      <c r="A835" s="81"/>
      <c r="B835" s="13"/>
      <c r="C835" s="21"/>
      <c r="D835" s="14"/>
      <c r="E835" s="14"/>
      <c r="F835" s="14"/>
      <c r="G835" s="21"/>
      <c r="H835" s="53"/>
      <c r="I835" s="7" t="str">
        <f t="shared" ref="I835:I898" si="52">IF($A835="","",IF($F835&lt;&gt;"","Envoyé DHL",IF($E835&lt;&gt;"","Reçu (à envoyer)",IF($D835&lt;&gt;"","Demandé (en attente)","À demander"))))</f>
        <v/>
      </c>
      <c r="J835" s="27" t="str">
        <f t="shared" ref="J835:J898" ca="1" si="53">IF(AND($A835&lt;&gt;"",$D835&lt;&gt;"",$E835=""),TODAY()-$D835,"")</f>
        <v/>
      </c>
      <c r="K835" s="7" t="str">
        <f t="shared" ref="K835:K898" si="54">IF($A835="","",IF(AND($J835&lt;&gt;"",N($J835)&gt;P_AlerteDoc),"Attente &gt; "&amp;P_AlerteDoc&amp;" jours",IF(AND($E835&lt;&gt;"",$F835=""),"Reçu : à envoyer par DHL","")))</f>
        <v/>
      </c>
      <c r="L835" s="13"/>
      <c r="M835" s="29" t="str">
        <f t="shared" ref="M835:M898" si="55">IF($K835&lt;&gt;"",1,"")</f>
        <v/>
      </c>
    </row>
    <row r="836" spans="1:13" x14ac:dyDescent="0.35">
      <c r="A836" s="81"/>
      <c r="B836" s="13"/>
      <c r="C836" s="21"/>
      <c r="D836" s="14"/>
      <c r="E836" s="14"/>
      <c r="F836" s="14"/>
      <c r="G836" s="21"/>
      <c r="H836" s="53"/>
      <c r="I836" s="7" t="str">
        <f t="shared" si="52"/>
        <v/>
      </c>
      <c r="J836" s="27" t="str">
        <f t="shared" ca="1" si="53"/>
        <v/>
      </c>
      <c r="K836" s="7" t="str">
        <f t="shared" si="54"/>
        <v/>
      </c>
      <c r="L836" s="13"/>
      <c r="M836" s="29" t="str">
        <f t="shared" si="55"/>
        <v/>
      </c>
    </row>
    <row r="837" spans="1:13" x14ac:dyDescent="0.35">
      <c r="A837" s="81"/>
      <c r="B837" s="13"/>
      <c r="C837" s="21"/>
      <c r="D837" s="14"/>
      <c r="E837" s="14"/>
      <c r="F837" s="14"/>
      <c r="G837" s="21"/>
      <c r="H837" s="53"/>
      <c r="I837" s="7" t="str">
        <f t="shared" si="52"/>
        <v/>
      </c>
      <c r="J837" s="27" t="str">
        <f t="shared" ca="1" si="53"/>
        <v/>
      </c>
      <c r="K837" s="7" t="str">
        <f t="shared" si="54"/>
        <v/>
      </c>
      <c r="L837" s="13"/>
      <c r="M837" s="29" t="str">
        <f t="shared" si="55"/>
        <v/>
      </c>
    </row>
    <row r="838" spans="1:13" x14ac:dyDescent="0.35">
      <c r="A838" s="81"/>
      <c r="B838" s="13"/>
      <c r="C838" s="21"/>
      <c r="D838" s="14"/>
      <c r="E838" s="14"/>
      <c r="F838" s="14"/>
      <c r="G838" s="21"/>
      <c r="H838" s="53"/>
      <c r="I838" s="7" t="str">
        <f t="shared" si="52"/>
        <v/>
      </c>
      <c r="J838" s="27" t="str">
        <f t="shared" ca="1" si="53"/>
        <v/>
      </c>
      <c r="K838" s="7" t="str">
        <f t="shared" si="54"/>
        <v/>
      </c>
      <c r="L838" s="13"/>
      <c r="M838" s="29" t="str">
        <f t="shared" si="55"/>
        <v/>
      </c>
    </row>
    <row r="839" spans="1:13" x14ac:dyDescent="0.35">
      <c r="A839" s="81"/>
      <c r="B839" s="13"/>
      <c r="C839" s="21"/>
      <c r="D839" s="14"/>
      <c r="E839" s="14"/>
      <c r="F839" s="14"/>
      <c r="G839" s="21"/>
      <c r="H839" s="53"/>
      <c r="I839" s="7" t="str">
        <f t="shared" si="52"/>
        <v/>
      </c>
      <c r="J839" s="27" t="str">
        <f t="shared" ca="1" si="53"/>
        <v/>
      </c>
      <c r="K839" s="7" t="str">
        <f t="shared" si="54"/>
        <v/>
      </c>
      <c r="L839" s="13"/>
      <c r="M839" s="29" t="str">
        <f t="shared" si="55"/>
        <v/>
      </c>
    </row>
    <row r="840" spans="1:13" x14ac:dyDescent="0.35">
      <c r="A840" s="81"/>
      <c r="B840" s="13"/>
      <c r="C840" s="21"/>
      <c r="D840" s="14"/>
      <c r="E840" s="14"/>
      <c r="F840" s="14"/>
      <c r="G840" s="21"/>
      <c r="H840" s="53"/>
      <c r="I840" s="7" t="str">
        <f t="shared" si="52"/>
        <v/>
      </c>
      <c r="J840" s="27" t="str">
        <f t="shared" ca="1" si="53"/>
        <v/>
      </c>
      <c r="K840" s="7" t="str">
        <f t="shared" si="54"/>
        <v/>
      </c>
      <c r="L840" s="13"/>
      <c r="M840" s="29" t="str">
        <f t="shared" si="55"/>
        <v/>
      </c>
    </row>
    <row r="841" spans="1:13" x14ac:dyDescent="0.35">
      <c r="A841" s="81"/>
      <c r="B841" s="13"/>
      <c r="C841" s="21"/>
      <c r="D841" s="14"/>
      <c r="E841" s="14"/>
      <c r="F841" s="14"/>
      <c r="G841" s="21"/>
      <c r="H841" s="53"/>
      <c r="I841" s="7" t="str">
        <f t="shared" si="52"/>
        <v/>
      </c>
      <c r="J841" s="27" t="str">
        <f t="shared" ca="1" si="53"/>
        <v/>
      </c>
      <c r="K841" s="7" t="str">
        <f t="shared" si="54"/>
        <v/>
      </c>
      <c r="L841" s="13"/>
      <c r="M841" s="29" t="str">
        <f t="shared" si="55"/>
        <v/>
      </c>
    </row>
    <row r="842" spans="1:13" x14ac:dyDescent="0.35">
      <c r="A842" s="81"/>
      <c r="B842" s="13"/>
      <c r="C842" s="21"/>
      <c r="D842" s="14"/>
      <c r="E842" s="14"/>
      <c r="F842" s="14"/>
      <c r="G842" s="21"/>
      <c r="H842" s="53"/>
      <c r="I842" s="7" t="str">
        <f t="shared" si="52"/>
        <v/>
      </c>
      <c r="J842" s="27" t="str">
        <f t="shared" ca="1" si="53"/>
        <v/>
      </c>
      <c r="K842" s="7" t="str">
        <f t="shared" si="54"/>
        <v/>
      </c>
      <c r="L842" s="13"/>
      <c r="M842" s="29" t="str">
        <f t="shared" si="55"/>
        <v/>
      </c>
    </row>
    <row r="843" spans="1:13" x14ac:dyDescent="0.35">
      <c r="A843" s="81"/>
      <c r="B843" s="13"/>
      <c r="C843" s="21"/>
      <c r="D843" s="14"/>
      <c r="E843" s="14"/>
      <c r="F843" s="14"/>
      <c r="G843" s="21"/>
      <c r="H843" s="53"/>
      <c r="I843" s="7" t="str">
        <f t="shared" si="52"/>
        <v/>
      </c>
      <c r="J843" s="27" t="str">
        <f t="shared" ca="1" si="53"/>
        <v/>
      </c>
      <c r="K843" s="7" t="str">
        <f t="shared" si="54"/>
        <v/>
      </c>
      <c r="L843" s="13"/>
      <c r="M843" s="29" t="str">
        <f t="shared" si="55"/>
        <v/>
      </c>
    </row>
    <row r="844" spans="1:13" x14ac:dyDescent="0.35">
      <c r="A844" s="81"/>
      <c r="B844" s="13"/>
      <c r="C844" s="21"/>
      <c r="D844" s="14"/>
      <c r="E844" s="14"/>
      <c r="F844" s="14"/>
      <c r="G844" s="21"/>
      <c r="H844" s="53"/>
      <c r="I844" s="7" t="str">
        <f t="shared" si="52"/>
        <v/>
      </c>
      <c r="J844" s="27" t="str">
        <f t="shared" ca="1" si="53"/>
        <v/>
      </c>
      <c r="K844" s="7" t="str">
        <f t="shared" si="54"/>
        <v/>
      </c>
      <c r="L844" s="13"/>
      <c r="M844" s="29" t="str">
        <f t="shared" si="55"/>
        <v/>
      </c>
    </row>
    <row r="845" spans="1:13" x14ac:dyDescent="0.35">
      <c r="A845" s="81"/>
      <c r="B845" s="13"/>
      <c r="C845" s="21"/>
      <c r="D845" s="14"/>
      <c r="E845" s="14"/>
      <c r="F845" s="14"/>
      <c r="G845" s="21"/>
      <c r="H845" s="53"/>
      <c r="I845" s="7" t="str">
        <f t="shared" si="52"/>
        <v/>
      </c>
      <c r="J845" s="27" t="str">
        <f t="shared" ca="1" si="53"/>
        <v/>
      </c>
      <c r="K845" s="7" t="str">
        <f t="shared" si="54"/>
        <v/>
      </c>
      <c r="L845" s="13"/>
      <c r="M845" s="29" t="str">
        <f t="shared" si="55"/>
        <v/>
      </c>
    </row>
    <row r="846" spans="1:13" x14ac:dyDescent="0.35">
      <c r="A846" s="81"/>
      <c r="B846" s="13"/>
      <c r="C846" s="21"/>
      <c r="D846" s="14"/>
      <c r="E846" s="14"/>
      <c r="F846" s="14"/>
      <c r="G846" s="21"/>
      <c r="H846" s="53"/>
      <c r="I846" s="7" t="str">
        <f t="shared" si="52"/>
        <v/>
      </c>
      <c r="J846" s="27" t="str">
        <f t="shared" ca="1" si="53"/>
        <v/>
      </c>
      <c r="K846" s="7" t="str">
        <f t="shared" si="54"/>
        <v/>
      </c>
      <c r="L846" s="13"/>
      <c r="M846" s="29" t="str">
        <f t="shared" si="55"/>
        <v/>
      </c>
    </row>
    <row r="847" spans="1:13" x14ac:dyDescent="0.35">
      <c r="A847" s="81"/>
      <c r="B847" s="13"/>
      <c r="C847" s="21"/>
      <c r="D847" s="14"/>
      <c r="E847" s="14"/>
      <c r="F847" s="14"/>
      <c r="G847" s="21"/>
      <c r="H847" s="53"/>
      <c r="I847" s="7" t="str">
        <f t="shared" si="52"/>
        <v/>
      </c>
      <c r="J847" s="27" t="str">
        <f t="shared" ca="1" si="53"/>
        <v/>
      </c>
      <c r="K847" s="7" t="str">
        <f t="shared" si="54"/>
        <v/>
      </c>
      <c r="L847" s="13"/>
      <c r="M847" s="29" t="str">
        <f t="shared" si="55"/>
        <v/>
      </c>
    </row>
    <row r="848" spans="1:13" x14ac:dyDescent="0.35">
      <c r="A848" s="81"/>
      <c r="B848" s="13"/>
      <c r="C848" s="21"/>
      <c r="D848" s="14"/>
      <c r="E848" s="14"/>
      <c r="F848" s="14"/>
      <c r="G848" s="21"/>
      <c r="H848" s="53"/>
      <c r="I848" s="7" t="str">
        <f t="shared" si="52"/>
        <v/>
      </c>
      <c r="J848" s="27" t="str">
        <f t="shared" ca="1" si="53"/>
        <v/>
      </c>
      <c r="K848" s="7" t="str">
        <f t="shared" si="54"/>
        <v/>
      </c>
      <c r="L848" s="13"/>
      <c r="M848" s="29" t="str">
        <f t="shared" si="55"/>
        <v/>
      </c>
    </row>
    <row r="849" spans="1:13" x14ac:dyDescent="0.35">
      <c r="A849" s="81"/>
      <c r="B849" s="13"/>
      <c r="C849" s="21"/>
      <c r="D849" s="14"/>
      <c r="E849" s="14"/>
      <c r="F849" s="14"/>
      <c r="G849" s="21"/>
      <c r="H849" s="53"/>
      <c r="I849" s="7" t="str">
        <f t="shared" si="52"/>
        <v/>
      </c>
      <c r="J849" s="27" t="str">
        <f t="shared" ca="1" si="53"/>
        <v/>
      </c>
      <c r="K849" s="7" t="str">
        <f t="shared" si="54"/>
        <v/>
      </c>
      <c r="L849" s="13"/>
      <c r="M849" s="29" t="str">
        <f t="shared" si="55"/>
        <v/>
      </c>
    </row>
    <row r="850" spans="1:13" x14ac:dyDescent="0.35">
      <c r="A850" s="81"/>
      <c r="B850" s="13"/>
      <c r="C850" s="21"/>
      <c r="D850" s="14"/>
      <c r="E850" s="14"/>
      <c r="F850" s="14"/>
      <c r="G850" s="21"/>
      <c r="H850" s="53"/>
      <c r="I850" s="7" t="str">
        <f t="shared" si="52"/>
        <v/>
      </c>
      <c r="J850" s="27" t="str">
        <f t="shared" ca="1" si="53"/>
        <v/>
      </c>
      <c r="K850" s="7" t="str">
        <f t="shared" si="54"/>
        <v/>
      </c>
      <c r="L850" s="13"/>
      <c r="M850" s="29" t="str">
        <f t="shared" si="55"/>
        <v/>
      </c>
    </row>
    <row r="851" spans="1:13" x14ac:dyDescent="0.35">
      <c r="A851" s="81"/>
      <c r="B851" s="13"/>
      <c r="C851" s="21"/>
      <c r="D851" s="14"/>
      <c r="E851" s="14"/>
      <c r="F851" s="14"/>
      <c r="G851" s="21"/>
      <c r="H851" s="53"/>
      <c r="I851" s="7" t="str">
        <f t="shared" si="52"/>
        <v/>
      </c>
      <c r="J851" s="27" t="str">
        <f t="shared" ca="1" si="53"/>
        <v/>
      </c>
      <c r="K851" s="7" t="str">
        <f t="shared" si="54"/>
        <v/>
      </c>
      <c r="L851" s="13"/>
      <c r="M851" s="29" t="str">
        <f t="shared" si="55"/>
        <v/>
      </c>
    </row>
    <row r="852" spans="1:13" x14ac:dyDescent="0.35">
      <c r="A852" s="81"/>
      <c r="B852" s="13"/>
      <c r="C852" s="21"/>
      <c r="D852" s="14"/>
      <c r="E852" s="14"/>
      <c r="F852" s="14"/>
      <c r="G852" s="21"/>
      <c r="H852" s="53"/>
      <c r="I852" s="7" t="str">
        <f t="shared" si="52"/>
        <v/>
      </c>
      <c r="J852" s="27" t="str">
        <f t="shared" ca="1" si="53"/>
        <v/>
      </c>
      <c r="K852" s="7" t="str">
        <f t="shared" si="54"/>
        <v/>
      </c>
      <c r="L852" s="13"/>
      <c r="M852" s="29" t="str">
        <f t="shared" si="55"/>
        <v/>
      </c>
    </row>
    <row r="853" spans="1:13" x14ac:dyDescent="0.35">
      <c r="A853" s="81"/>
      <c r="B853" s="13"/>
      <c r="C853" s="21"/>
      <c r="D853" s="14"/>
      <c r="E853" s="14"/>
      <c r="F853" s="14"/>
      <c r="G853" s="21"/>
      <c r="H853" s="53"/>
      <c r="I853" s="7" t="str">
        <f t="shared" si="52"/>
        <v/>
      </c>
      <c r="J853" s="27" t="str">
        <f t="shared" ca="1" si="53"/>
        <v/>
      </c>
      <c r="K853" s="7" t="str">
        <f t="shared" si="54"/>
        <v/>
      </c>
      <c r="L853" s="13"/>
      <c r="M853" s="29" t="str">
        <f t="shared" si="55"/>
        <v/>
      </c>
    </row>
    <row r="854" spans="1:13" x14ac:dyDescent="0.35">
      <c r="A854" s="81"/>
      <c r="B854" s="13"/>
      <c r="C854" s="21"/>
      <c r="D854" s="14"/>
      <c r="E854" s="14"/>
      <c r="F854" s="14"/>
      <c r="G854" s="21"/>
      <c r="H854" s="53"/>
      <c r="I854" s="7" t="str">
        <f t="shared" si="52"/>
        <v/>
      </c>
      <c r="J854" s="27" t="str">
        <f t="shared" ca="1" si="53"/>
        <v/>
      </c>
      <c r="K854" s="7" t="str">
        <f t="shared" si="54"/>
        <v/>
      </c>
      <c r="L854" s="13"/>
      <c r="M854" s="29" t="str">
        <f t="shared" si="55"/>
        <v/>
      </c>
    </row>
    <row r="855" spans="1:13" x14ac:dyDescent="0.35">
      <c r="A855" s="81"/>
      <c r="B855" s="13"/>
      <c r="C855" s="21"/>
      <c r="D855" s="14"/>
      <c r="E855" s="14"/>
      <c r="F855" s="14"/>
      <c r="G855" s="21"/>
      <c r="H855" s="53"/>
      <c r="I855" s="7" t="str">
        <f t="shared" si="52"/>
        <v/>
      </c>
      <c r="J855" s="27" t="str">
        <f t="shared" ca="1" si="53"/>
        <v/>
      </c>
      <c r="K855" s="7" t="str">
        <f t="shared" si="54"/>
        <v/>
      </c>
      <c r="L855" s="13"/>
      <c r="M855" s="29" t="str">
        <f t="shared" si="55"/>
        <v/>
      </c>
    </row>
    <row r="856" spans="1:13" x14ac:dyDescent="0.35">
      <c r="A856" s="81"/>
      <c r="B856" s="13"/>
      <c r="C856" s="21"/>
      <c r="D856" s="14"/>
      <c r="E856" s="14"/>
      <c r="F856" s="14"/>
      <c r="G856" s="21"/>
      <c r="H856" s="53"/>
      <c r="I856" s="7" t="str">
        <f t="shared" si="52"/>
        <v/>
      </c>
      <c r="J856" s="27" t="str">
        <f t="shared" ca="1" si="53"/>
        <v/>
      </c>
      <c r="K856" s="7" t="str">
        <f t="shared" si="54"/>
        <v/>
      </c>
      <c r="L856" s="13"/>
      <c r="M856" s="29" t="str">
        <f t="shared" si="55"/>
        <v/>
      </c>
    </row>
    <row r="857" spans="1:13" x14ac:dyDescent="0.35">
      <c r="A857" s="81"/>
      <c r="B857" s="13"/>
      <c r="C857" s="21"/>
      <c r="D857" s="14"/>
      <c r="E857" s="14"/>
      <c r="F857" s="14"/>
      <c r="G857" s="21"/>
      <c r="H857" s="53"/>
      <c r="I857" s="7" t="str">
        <f t="shared" si="52"/>
        <v/>
      </c>
      <c r="J857" s="27" t="str">
        <f t="shared" ca="1" si="53"/>
        <v/>
      </c>
      <c r="K857" s="7" t="str">
        <f t="shared" si="54"/>
        <v/>
      </c>
      <c r="L857" s="13"/>
      <c r="M857" s="29" t="str">
        <f t="shared" si="55"/>
        <v/>
      </c>
    </row>
    <row r="858" spans="1:13" x14ac:dyDescent="0.35">
      <c r="A858" s="81"/>
      <c r="B858" s="13"/>
      <c r="C858" s="21"/>
      <c r="D858" s="14"/>
      <c r="E858" s="14"/>
      <c r="F858" s="14"/>
      <c r="G858" s="21"/>
      <c r="H858" s="53"/>
      <c r="I858" s="7" t="str">
        <f t="shared" si="52"/>
        <v/>
      </c>
      <c r="J858" s="27" t="str">
        <f t="shared" ca="1" si="53"/>
        <v/>
      </c>
      <c r="K858" s="7" t="str">
        <f t="shared" si="54"/>
        <v/>
      </c>
      <c r="L858" s="13"/>
      <c r="M858" s="29" t="str">
        <f t="shared" si="55"/>
        <v/>
      </c>
    </row>
    <row r="859" spans="1:13" x14ac:dyDescent="0.35">
      <c r="A859" s="81"/>
      <c r="B859" s="13"/>
      <c r="C859" s="21"/>
      <c r="D859" s="14"/>
      <c r="E859" s="14"/>
      <c r="F859" s="14"/>
      <c r="G859" s="21"/>
      <c r="H859" s="53"/>
      <c r="I859" s="7" t="str">
        <f t="shared" si="52"/>
        <v/>
      </c>
      <c r="J859" s="27" t="str">
        <f t="shared" ca="1" si="53"/>
        <v/>
      </c>
      <c r="K859" s="7" t="str">
        <f t="shared" si="54"/>
        <v/>
      </c>
      <c r="L859" s="13"/>
      <c r="M859" s="29" t="str">
        <f t="shared" si="55"/>
        <v/>
      </c>
    </row>
    <row r="860" spans="1:13" x14ac:dyDescent="0.35">
      <c r="A860" s="81"/>
      <c r="B860" s="13"/>
      <c r="C860" s="21"/>
      <c r="D860" s="14"/>
      <c r="E860" s="14"/>
      <c r="F860" s="14"/>
      <c r="G860" s="21"/>
      <c r="H860" s="53"/>
      <c r="I860" s="7" t="str">
        <f t="shared" si="52"/>
        <v/>
      </c>
      <c r="J860" s="27" t="str">
        <f t="shared" ca="1" si="53"/>
        <v/>
      </c>
      <c r="K860" s="7" t="str">
        <f t="shared" si="54"/>
        <v/>
      </c>
      <c r="L860" s="13"/>
      <c r="M860" s="29" t="str">
        <f t="shared" si="55"/>
        <v/>
      </c>
    </row>
    <row r="861" spans="1:13" x14ac:dyDescent="0.35">
      <c r="A861" s="81"/>
      <c r="B861" s="13"/>
      <c r="C861" s="21"/>
      <c r="D861" s="14"/>
      <c r="E861" s="14"/>
      <c r="F861" s="14"/>
      <c r="G861" s="21"/>
      <c r="H861" s="53"/>
      <c r="I861" s="7" t="str">
        <f t="shared" si="52"/>
        <v/>
      </c>
      <c r="J861" s="27" t="str">
        <f t="shared" ca="1" si="53"/>
        <v/>
      </c>
      <c r="K861" s="7" t="str">
        <f t="shared" si="54"/>
        <v/>
      </c>
      <c r="L861" s="13"/>
      <c r="M861" s="29" t="str">
        <f t="shared" si="55"/>
        <v/>
      </c>
    </row>
    <row r="862" spans="1:13" x14ac:dyDescent="0.35">
      <c r="A862" s="81"/>
      <c r="B862" s="13"/>
      <c r="C862" s="21"/>
      <c r="D862" s="14"/>
      <c r="E862" s="14"/>
      <c r="F862" s="14"/>
      <c r="G862" s="21"/>
      <c r="H862" s="53"/>
      <c r="I862" s="7" t="str">
        <f t="shared" si="52"/>
        <v/>
      </c>
      <c r="J862" s="27" t="str">
        <f t="shared" ca="1" si="53"/>
        <v/>
      </c>
      <c r="K862" s="7" t="str">
        <f t="shared" si="54"/>
        <v/>
      </c>
      <c r="L862" s="13"/>
      <c r="M862" s="29" t="str">
        <f t="shared" si="55"/>
        <v/>
      </c>
    </row>
    <row r="863" spans="1:13" x14ac:dyDescent="0.35">
      <c r="A863" s="81"/>
      <c r="B863" s="13"/>
      <c r="C863" s="21"/>
      <c r="D863" s="14"/>
      <c r="E863" s="14"/>
      <c r="F863" s="14"/>
      <c r="G863" s="21"/>
      <c r="H863" s="53"/>
      <c r="I863" s="7" t="str">
        <f t="shared" si="52"/>
        <v/>
      </c>
      <c r="J863" s="27" t="str">
        <f t="shared" ca="1" si="53"/>
        <v/>
      </c>
      <c r="K863" s="7" t="str">
        <f t="shared" si="54"/>
        <v/>
      </c>
      <c r="L863" s="13"/>
      <c r="M863" s="29" t="str">
        <f t="shared" si="55"/>
        <v/>
      </c>
    </row>
    <row r="864" spans="1:13" x14ac:dyDescent="0.35">
      <c r="A864" s="81"/>
      <c r="B864" s="13"/>
      <c r="C864" s="21"/>
      <c r="D864" s="14"/>
      <c r="E864" s="14"/>
      <c r="F864" s="14"/>
      <c r="G864" s="21"/>
      <c r="H864" s="53"/>
      <c r="I864" s="7" t="str">
        <f t="shared" si="52"/>
        <v/>
      </c>
      <c r="J864" s="27" t="str">
        <f t="shared" ca="1" si="53"/>
        <v/>
      </c>
      <c r="K864" s="7" t="str">
        <f t="shared" si="54"/>
        <v/>
      </c>
      <c r="L864" s="13"/>
      <c r="M864" s="29" t="str">
        <f t="shared" si="55"/>
        <v/>
      </c>
    </row>
    <row r="865" spans="1:13" x14ac:dyDescent="0.35">
      <c r="A865" s="81"/>
      <c r="B865" s="13"/>
      <c r="C865" s="21"/>
      <c r="D865" s="14"/>
      <c r="E865" s="14"/>
      <c r="F865" s="14"/>
      <c r="G865" s="21"/>
      <c r="H865" s="53"/>
      <c r="I865" s="7" t="str">
        <f t="shared" si="52"/>
        <v/>
      </c>
      <c r="J865" s="27" t="str">
        <f t="shared" ca="1" si="53"/>
        <v/>
      </c>
      <c r="K865" s="7" t="str">
        <f t="shared" si="54"/>
        <v/>
      </c>
      <c r="L865" s="13"/>
      <c r="M865" s="29" t="str">
        <f t="shared" si="55"/>
        <v/>
      </c>
    </row>
    <row r="866" spans="1:13" x14ac:dyDescent="0.35">
      <c r="A866" s="81"/>
      <c r="B866" s="13"/>
      <c r="C866" s="21"/>
      <c r="D866" s="14"/>
      <c r="E866" s="14"/>
      <c r="F866" s="14"/>
      <c r="G866" s="21"/>
      <c r="H866" s="53"/>
      <c r="I866" s="7" t="str">
        <f t="shared" si="52"/>
        <v/>
      </c>
      <c r="J866" s="27" t="str">
        <f t="shared" ca="1" si="53"/>
        <v/>
      </c>
      <c r="K866" s="7" t="str">
        <f t="shared" si="54"/>
        <v/>
      </c>
      <c r="L866" s="13"/>
      <c r="M866" s="29" t="str">
        <f t="shared" si="55"/>
        <v/>
      </c>
    </row>
    <row r="867" spans="1:13" x14ac:dyDescent="0.35">
      <c r="A867" s="81"/>
      <c r="B867" s="13"/>
      <c r="C867" s="21"/>
      <c r="D867" s="14"/>
      <c r="E867" s="14"/>
      <c r="F867" s="14"/>
      <c r="G867" s="21"/>
      <c r="H867" s="53"/>
      <c r="I867" s="7" t="str">
        <f t="shared" si="52"/>
        <v/>
      </c>
      <c r="J867" s="27" t="str">
        <f t="shared" ca="1" si="53"/>
        <v/>
      </c>
      <c r="K867" s="7" t="str">
        <f t="shared" si="54"/>
        <v/>
      </c>
      <c r="L867" s="13"/>
      <c r="M867" s="29" t="str">
        <f t="shared" si="55"/>
        <v/>
      </c>
    </row>
    <row r="868" spans="1:13" x14ac:dyDescent="0.35">
      <c r="A868" s="81"/>
      <c r="B868" s="13"/>
      <c r="C868" s="21"/>
      <c r="D868" s="14"/>
      <c r="E868" s="14"/>
      <c r="F868" s="14"/>
      <c r="G868" s="21"/>
      <c r="H868" s="53"/>
      <c r="I868" s="7" t="str">
        <f t="shared" si="52"/>
        <v/>
      </c>
      <c r="J868" s="27" t="str">
        <f t="shared" ca="1" si="53"/>
        <v/>
      </c>
      <c r="K868" s="7" t="str">
        <f t="shared" si="54"/>
        <v/>
      </c>
      <c r="L868" s="13"/>
      <c r="M868" s="29" t="str">
        <f t="shared" si="55"/>
        <v/>
      </c>
    </row>
    <row r="869" spans="1:13" x14ac:dyDescent="0.35">
      <c r="A869" s="81"/>
      <c r="B869" s="13"/>
      <c r="C869" s="21"/>
      <c r="D869" s="14"/>
      <c r="E869" s="14"/>
      <c r="F869" s="14"/>
      <c r="G869" s="21"/>
      <c r="H869" s="53"/>
      <c r="I869" s="7" t="str">
        <f t="shared" si="52"/>
        <v/>
      </c>
      <c r="J869" s="27" t="str">
        <f t="shared" ca="1" si="53"/>
        <v/>
      </c>
      <c r="K869" s="7" t="str">
        <f t="shared" si="54"/>
        <v/>
      </c>
      <c r="L869" s="13"/>
      <c r="M869" s="29" t="str">
        <f t="shared" si="55"/>
        <v/>
      </c>
    </row>
    <row r="870" spans="1:13" x14ac:dyDescent="0.35">
      <c r="A870" s="81"/>
      <c r="B870" s="13"/>
      <c r="C870" s="21"/>
      <c r="D870" s="14"/>
      <c r="E870" s="14"/>
      <c r="F870" s="14"/>
      <c r="G870" s="21"/>
      <c r="H870" s="53"/>
      <c r="I870" s="7" t="str">
        <f t="shared" si="52"/>
        <v/>
      </c>
      <c r="J870" s="27" t="str">
        <f t="shared" ca="1" si="53"/>
        <v/>
      </c>
      <c r="K870" s="7" t="str">
        <f t="shared" si="54"/>
        <v/>
      </c>
      <c r="L870" s="13"/>
      <c r="M870" s="29" t="str">
        <f t="shared" si="55"/>
        <v/>
      </c>
    </row>
    <row r="871" spans="1:13" x14ac:dyDescent="0.35">
      <c r="A871" s="81"/>
      <c r="B871" s="13"/>
      <c r="C871" s="21"/>
      <c r="D871" s="14"/>
      <c r="E871" s="14"/>
      <c r="F871" s="14"/>
      <c r="G871" s="21"/>
      <c r="H871" s="53"/>
      <c r="I871" s="7" t="str">
        <f t="shared" si="52"/>
        <v/>
      </c>
      <c r="J871" s="27" t="str">
        <f t="shared" ca="1" si="53"/>
        <v/>
      </c>
      <c r="K871" s="7" t="str">
        <f t="shared" si="54"/>
        <v/>
      </c>
      <c r="L871" s="13"/>
      <c r="M871" s="29" t="str">
        <f t="shared" si="55"/>
        <v/>
      </c>
    </row>
    <row r="872" spans="1:13" x14ac:dyDescent="0.35">
      <c r="A872" s="81"/>
      <c r="B872" s="13"/>
      <c r="C872" s="21"/>
      <c r="D872" s="14"/>
      <c r="E872" s="14"/>
      <c r="F872" s="14"/>
      <c r="G872" s="21"/>
      <c r="H872" s="53"/>
      <c r="I872" s="7" t="str">
        <f t="shared" si="52"/>
        <v/>
      </c>
      <c r="J872" s="27" t="str">
        <f t="shared" ca="1" si="53"/>
        <v/>
      </c>
      <c r="K872" s="7" t="str">
        <f t="shared" si="54"/>
        <v/>
      </c>
      <c r="L872" s="13"/>
      <c r="M872" s="29" t="str">
        <f t="shared" si="55"/>
        <v/>
      </c>
    </row>
    <row r="873" spans="1:13" x14ac:dyDescent="0.35">
      <c r="A873" s="81"/>
      <c r="B873" s="13"/>
      <c r="C873" s="21"/>
      <c r="D873" s="14"/>
      <c r="E873" s="14"/>
      <c r="F873" s="14"/>
      <c r="G873" s="21"/>
      <c r="H873" s="53"/>
      <c r="I873" s="7" t="str">
        <f t="shared" si="52"/>
        <v/>
      </c>
      <c r="J873" s="27" t="str">
        <f t="shared" ca="1" si="53"/>
        <v/>
      </c>
      <c r="K873" s="7" t="str">
        <f t="shared" si="54"/>
        <v/>
      </c>
      <c r="L873" s="13"/>
      <c r="M873" s="29" t="str">
        <f t="shared" si="55"/>
        <v/>
      </c>
    </row>
    <row r="874" spans="1:13" x14ac:dyDescent="0.35">
      <c r="A874" s="81"/>
      <c r="B874" s="13"/>
      <c r="C874" s="21"/>
      <c r="D874" s="14"/>
      <c r="E874" s="14"/>
      <c r="F874" s="14"/>
      <c r="G874" s="21"/>
      <c r="H874" s="53"/>
      <c r="I874" s="7" t="str">
        <f t="shared" si="52"/>
        <v/>
      </c>
      <c r="J874" s="27" t="str">
        <f t="shared" ca="1" si="53"/>
        <v/>
      </c>
      <c r="K874" s="7" t="str">
        <f t="shared" si="54"/>
        <v/>
      </c>
      <c r="L874" s="13"/>
      <c r="M874" s="29" t="str">
        <f t="shared" si="55"/>
        <v/>
      </c>
    </row>
    <row r="875" spans="1:13" x14ac:dyDescent="0.35">
      <c r="A875" s="81"/>
      <c r="B875" s="13"/>
      <c r="C875" s="21"/>
      <c r="D875" s="14"/>
      <c r="E875" s="14"/>
      <c r="F875" s="14"/>
      <c r="G875" s="21"/>
      <c r="H875" s="53"/>
      <c r="I875" s="7" t="str">
        <f t="shared" si="52"/>
        <v/>
      </c>
      <c r="J875" s="27" t="str">
        <f t="shared" ca="1" si="53"/>
        <v/>
      </c>
      <c r="K875" s="7" t="str">
        <f t="shared" si="54"/>
        <v/>
      </c>
      <c r="L875" s="13"/>
      <c r="M875" s="29" t="str">
        <f t="shared" si="55"/>
        <v/>
      </c>
    </row>
    <row r="876" spans="1:13" x14ac:dyDescent="0.35">
      <c r="A876" s="81"/>
      <c r="B876" s="13"/>
      <c r="C876" s="21"/>
      <c r="D876" s="14"/>
      <c r="E876" s="14"/>
      <c r="F876" s="14"/>
      <c r="G876" s="21"/>
      <c r="H876" s="53"/>
      <c r="I876" s="7" t="str">
        <f t="shared" si="52"/>
        <v/>
      </c>
      <c r="J876" s="27" t="str">
        <f t="shared" ca="1" si="53"/>
        <v/>
      </c>
      <c r="K876" s="7" t="str">
        <f t="shared" si="54"/>
        <v/>
      </c>
      <c r="L876" s="13"/>
      <c r="M876" s="29" t="str">
        <f t="shared" si="55"/>
        <v/>
      </c>
    </row>
    <row r="877" spans="1:13" x14ac:dyDescent="0.35">
      <c r="A877" s="81"/>
      <c r="B877" s="13"/>
      <c r="C877" s="21"/>
      <c r="D877" s="14"/>
      <c r="E877" s="14"/>
      <c r="F877" s="14"/>
      <c r="G877" s="21"/>
      <c r="H877" s="53"/>
      <c r="I877" s="7" t="str">
        <f t="shared" si="52"/>
        <v/>
      </c>
      <c r="J877" s="27" t="str">
        <f t="shared" ca="1" si="53"/>
        <v/>
      </c>
      <c r="K877" s="7" t="str">
        <f t="shared" si="54"/>
        <v/>
      </c>
      <c r="L877" s="13"/>
      <c r="M877" s="29" t="str">
        <f t="shared" si="55"/>
        <v/>
      </c>
    </row>
    <row r="878" spans="1:13" x14ac:dyDescent="0.35">
      <c r="A878" s="81"/>
      <c r="B878" s="13"/>
      <c r="C878" s="21"/>
      <c r="D878" s="14"/>
      <c r="E878" s="14"/>
      <c r="F878" s="14"/>
      <c r="G878" s="21"/>
      <c r="H878" s="53"/>
      <c r="I878" s="7" t="str">
        <f t="shared" si="52"/>
        <v/>
      </c>
      <c r="J878" s="27" t="str">
        <f t="shared" ca="1" si="53"/>
        <v/>
      </c>
      <c r="K878" s="7" t="str">
        <f t="shared" si="54"/>
        <v/>
      </c>
      <c r="L878" s="13"/>
      <c r="M878" s="29" t="str">
        <f t="shared" si="55"/>
        <v/>
      </c>
    </row>
    <row r="879" spans="1:13" x14ac:dyDescent="0.35">
      <c r="A879" s="81"/>
      <c r="B879" s="13"/>
      <c r="C879" s="21"/>
      <c r="D879" s="14"/>
      <c r="E879" s="14"/>
      <c r="F879" s="14"/>
      <c r="G879" s="21"/>
      <c r="H879" s="53"/>
      <c r="I879" s="7" t="str">
        <f t="shared" si="52"/>
        <v/>
      </c>
      <c r="J879" s="27" t="str">
        <f t="shared" ca="1" si="53"/>
        <v/>
      </c>
      <c r="K879" s="7" t="str">
        <f t="shared" si="54"/>
        <v/>
      </c>
      <c r="L879" s="13"/>
      <c r="M879" s="29" t="str">
        <f t="shared" si="55"/>
        <v/>
      </c>
    </row>
    <row r="880" spans="1:13" x14ac:dyDescent="0.35">
      <c r="A880" s="81"/>
      <c r="B880" s="13"/>
      <c r="C880" s="21"/>
      <c r="D880" s="14"/>
      <c r="E880" s="14"/>
      <c r="F880" s="14"/>
      <c r="G880" s="21"/>
      <c r="H880" s="53"/>
      <c r="I880" s="7" t="str">
        <f t="shared" si="52"/>
        <v/>
      </c>
      <c r="J880" s="27" t="str">
        <f t="shared" ca="1" si="53"/>
        <v/>
      </c>
      <c r="K880" s="7" t="str">
        <f t="shared" si="54"/>
        <v/>
      </c>
      <c r="L880" s="13"/>
      <c r="M880" s="29" t="str">
        <f t="shared" si="55"/>
        <v/>
      </c>
    </row>
    <row r="881" spans="1:13" x14ac:dyDescent="0.35">
      <c r="A881" s="81"/>
      <c r="B881" s="13"/>
      <c r="C881" s="21"/>
      <c r="D881" s="14"/>
      <c r="E881" s="14"/>
      <c r="F881" s="14"/>
      <c r="G881" s="21"/>
      <c r="H881" s="53"/>
      <c r="I881" s="7" t="str">
        <f t="shared" si="52"/>
        <v/>
      </c>
      <c r="J881" s="27" t="str">
        <f t="shared" ca="1" si="53"/>
        <v/>
      </c>
      <c r="K881" s="7" t="str">
        <f t="shared" si="54"/>
        <v/>
      </c>
      <c r="L881" s="13"/>
      <c r="M881" s="29" t="str">
        <f t="shared" si="55"/>
        <v/>
      </c>
    </row>
    <row r="882" spans="1:13" x14ac:dyDescent="0.35">
      <c r="A882" s="81"/>
      <c r="B882" s="13"/>
      <c r="C882" s="21"/>
      <c r="D882" s="14"/>
      <c r="E882" s="14"/>
      <c r="F882" s="14"/>
      <c r="G882" s="21"/>
      <c r="H882" s="53"/>
      <c r="I882" s="7" t="str">
        <f t="shared" si="52"/>
        <v/>
      </c>
      <c r="J882" s="27" t="str">
        <f t="shared" ca="1" si="53"/>
        <v/>
      </c>
      <c r="K882" s="7" t="str">
        <f t="shared" si="54"/>
        <v/>
      </c>
      <c r="L882" s="13"/>
      <c r="M882" s="29" t="str">
        <f t="shared" si="55"/>
        <v/>
      </c>
    </row>
    <row r="883" spans="1:13" x14ac:dyDescent="0.35">
      <c r="A883" s="81"/>
      <c r="B883" s="13"/>
      <c r="C883" s="21"/>
      <c r="D883" s="14"/>
      <c r="E883" s="14"/>
      <c r="F883" s="14"/>
      <c r="G883" s="21"/>
      <c r="H883" s="53"/>
      <c r="I883" s="7" t="str">
        <f t="shared" si="52"/>
        <v/>
      </c>
      <c r="J883" s="27" t="str">
        <f t="shared" ca="1" si="53"/>
        <v/>
      </c>
      <c r="K883" s="7" t="str">
        <f t="shared" si="54"/>
        <v/>
      </c>
      <c r="L883" s="13"/>
      <c r="M883" s="29" t="str">
        <f t="shared" si="55"/>
        <v/>
      </c>
    </row>
    <row r="884" spans="1:13" x14ac:dyDescent="0.35">
      <c r="A884" s="81"/>
      <c r="B884" s="13"/>
      <c r="C884" s="21"/>
      <c r="D884" s="14"/>
      <c r="E884" s="14"/>
      <c r="F884" s="14"/>
      <c r="G884" s="21"/>
      <c r="H884" s="53"/>
      <c r="I884" s="7" t="str">
        <f t="shared" si="52"/>
        <v/>
      </c>
      <c r="J884" s="27" t="str">
        <f t="shared" ca="1" si="53"/>
        <v/>
      </c>
      <c r="K884" s="7" t="str">
        <f t="shared" si="54"/>
        <v/>
      </c>
      <c r="L884" s="13"/>
      <c r="M884" s="29" t="str">
        <f t="shared" si="55"/>
        <v/>
      </c>
    </row>
    <row r="885" spans="1:13" x14ac:dyDescent="0.35">
      <c r="A885" s="81"/>
      <c r="B885" s="13"/>
      <c r="C885" s="21"/>
      <c r="D885" s="14"/>
      <c r="E885" s="14"/>
      <c r="F885" s="14"/>
      <c r="G885" s="21"/>
      <c r="H885" s="53"/>
      <c r="I885" s="7" t="str">
        <f t="shared" si="52"/>
        <v/>
      </c>
      <c r="J885" s="27" t="str">
        <f t="shared" ca="1" si="53"/>
        <v/>
      </c>
      <c r="K885" s="7" t="str">
        <f t="shared" si="54"/>
        <v/>
      </c>
      <c r="L885" s="13"/>
      <c r="M885" s="29" t="str">
        <f t="shared" si="55"/>
        <v/>
      </c>
    </row>
    <row r="886" spans="1:13" x14ac:dyDescent="0.35">
      <c r="A886" s="81"/>
      <c r="B886" s="13"/>
      <c r="C886" s="21"/>
      <c r="D886" s="14"/>
      <c r="E886" s="14"/>
      <c r="F886" s="14"/>
      <c r="G886" s="21"/>
      <c r="H886" s="53"/>
      <c r="I886" s="7" t="str">
        <f t="shared" si="52"/>
        <v/>
      </c>
      <c r="J886" s="27" t="str">
        <f t="shared" ca="1" si="53"/>
        <v/>
      </c>
      <c r="K886" s="7" t="str">
        <f t="shared" si="54"/>
        <v/>
      </c>
      <c r="L886" s="13"/>
      <c r="M886" s="29" t="str">
        <f t="shared" si="55"/>
        <v/>
      </c>
    </row>
    <row r="887" spans="1:13" x14ac:dyDescent="0.35">
      <c r="A887" s="81"/>
      <c r="B887" s="13"/>
      <c r="C887" s="21"/>
      <c r="D887" s="14"/>
      <c r="E887" s="14"/>
      <c r="F887" s="14"/>
      <c r="G887" s="21"/>
      <c r="H887" s="53"/>
      <c r="I887" s="7" t="str">
        <f t="shared" si="52"/>
        <v/>
      </c>
      <c r="J887" s="27" t="str">
        <f t="shared" ca="1" si="53"/>
        <v/>
      </c>
      <c r="K887" s="7" t="str">
        <f t="shared" si="54"/>
        <v/>
      </c>
      <c r="L887" s="13"/>
      <c r="M887" s="29" t="str">
        <f t="shared" si="55"/>
        <v/>
      </c>
    </row>
    <row r="888" spans="1:13" x14ac:dyDescent="0.35">
      <c r="A888" s="81"/>
      <c r="B888" s="13"/>
      <c r="C888" s="21"/>
      <c r="D888" s="14"/>
      <c r="E888" s="14"/>
      <c r="F888" s="14"/>
      <c r="G888" s="21"/>
      <c r="H888" s="53"/>
      <c r="I888" s="7" t="str">
        <f t="shared" si="52"/>
        <v/>
      </c>
      <c r="J888" s="27" t="str">
        <f t="shared" ca="1" si="53"/>
        <v/>
      </c>
      <c r="K888" s="7" t="str">
        <f t="shared" si="54"/>
        <v/>
      </c>
      <c r="L888" s="13"/>
      <c r="M888" s="29" t="str">
        <f t="shared" si="55"/>
        <v/>
      </c>
    </row>
    <row r="889" spans="1:13" x14ac:dyDescent="0.35">
      <c r="A889" s="81"/>
      <c r="B889" s="13"/>
      <c r="C889" s="21"/>
      <c r="D889" s="14"/>
      <c r="E889" s="14"/>
      <c r="F889" s="14"/>
      <c r="G889" s="21"/>
      <c r="H889" s="53"/>
      <c r="I889" s="7" t="str">
        <f t="shared" si="52"/>
        <v/>
      </c>
      <c r="J889" s="27" t="str">
        <f t="shared" ca="1" si="53"/>
        <v/>
      </c>
      <c r="K889" s="7" t="str">
        <f t="shared" si="54"/>
        <v/>
      </c>
      <c r="L889" s="13"/>
      <c r="M889" s="29" t="str">
        <f t="shared" si="55"/>
        <v/>
      </c>
    </row>
    <row r="890" spans="1:13" x14ac:dyDescent="0.35">
      <c r="A890" s="81"/>
      <c r="B890" s="13"/>
      <c r="C890" s="21"/>
      <c r="D890" s="14"/>
      <c r="E890" s="14"/>
      <c r="F890" s="14"/>
      <c r="G890" s="21"/>
      <c r="H890" s="53"/>
      <c r="I890" s="7" t="str">
        <f t="shared" si="52"/>
        <v/>
      </c>
      <c r="J890" s="27" t="str">
        <f t="shared" ca="1" si="53"/>
        <v/>
      </c>
      <c r="K890" s="7" t="str">
        <f t="shared" si="54"/>
        <v/>
      </c>
      <c r="L890" s="13"/>
      <c r="M890" s="29" t="str">
        <f t="shared" si="55"/>
        <v/>
      </c>
    </row>
    <row r="891" spans="1:13" x14ac:dyDescent="0.35">
      <c r="A891" s="81"/>
      <c r="B891" s="13"/>
      <c r="C891" s="21"/>
      <c r="D891" s="14"/>
      <c r="E891" s="14"/>
      <c r="F891" s="14"/>
      <c r="G891" s="21"/>
      <c r="H891" s="53"/>
      <c r="I891" s="7" t="str">
        <f t="shared" si="52"/>
        <v/>
      </c>
      <c r="J891" s="27" t="str">
        <f t="shared" ca="1" si="53"/>
        <v/>
      </c>
      <c r="K891" s="7" t="str">
        <f t="shared" si="54"/>
        <v/>
      </c>
      <c r="L891" s="13"/>
      <c r="M891" s="29" t="str">
        <f t="shared" si="55"/>
        <v/>
      </c>
    </row>
    <row r="892" spans="1:13" x14ac:dyDescent="0.35">
      <c r="A892" s="81"/>
      <c r="B892" s="13"/>
      <c r="C892" s="21"/>
      <c r="D892" s="14"/>
      <c r="E892" s="14"/>
      <c r="F892" s="14"/>
      <c r="G892" s="21"/>
      <c r="H892" s="53"/>
      <c r="I892" s="7" t="str">
        <f t="shared" si="52"/>
        <v/>
      </c>
      <c r="J892" s="27" t="str">
        <f t="shared" ca="1" si="53"/>
        <v/>
      </c>
      <c r="K892" s="7" t="str">
        <f t="shared" si="54"/>
        <v/>
      </c>
      <c r="L892" s="13"/>
      <c r="M892" s="29" t="str">
        <f t="shared" si="55"/>
        <v/>
      </c>
    </row>
    <row r="893" spans="1:13" x14ac:dyDescent="0.35">
      <c r="A893" s="81"/>
      <c r="B893" s="13"/>
      <c r="C893" s="21"/>
      <c r="D893" s="14"/>
      <c r="E893" s="14"/>
      <c r="F893" s="14"/>
      <c r="G893" s="21"/>
      <c r="H893" s="53"/>
      <c r="I893" s="7" t="str">
        <f t="shared" si="52"/>
        <v/>
      </c>
      <c r="J893" s="27" t="str">
        <f t="shared" ca="1" si="53"/>
        <v/>
      </c>
      <c r="K893" s="7" t="str">
        <f t="shared" si="54"/>
        <v/>
      </c>
      <c r="L893" s="13"/>
      <c r="M893" s="29" t="str">
        <f t="shared" si="55"/>
        <v/>
      </c>
    </row>
    <row r="894" spans="1:13" x14ac:dyDescent="0.35">
      <c r="A894" s="81"/>
      <c r="B894" s="13"/>
      <c r="C894" s="21"/>
      <c r="D894" s="14"/>
      <c r="E894" s="14"/>
      <c r="F894" s="14"/>
      <c r="G894" s="21"/>
      <c r="H894" s="53"/>
      <c r="I894" s="7" t="str">
        <f t="shared" si="52"/>
        <v/>
      </c>
      <c r="J894" s="27" t="str">
        <f t="shared" ca="1" si="53"/>
        <v/>
      </c>
      <c r="K894" s="7" t="str">
        <f t="shared" si="54"/>
        <v/>
      </c>
      <c r="L894" s="13"/>
      <c r="M894" s="29" t="str">
        <f t="shared" si="55"/>
        <v/>
      </c>
    </row>
    <row r="895" spans="1:13" x14ac:dyDescent="0.35">
      <c r="A895" s="81"/>
      <c r="B895" s="13"/>
      <c r="C895" s="21"/>
      <c r="D895" s="14"/>
      <c r="E895" s="14"/>
      <c r="F895" s="14"/>
      <c r="G895" s="21"/>
      <c r="H895" s="53"/>
      <c r="I895" s="7" t="str">
        <f t="shared" si="52"/>
        <v/>
      </c>
      <c r="J895" s="27" t="str">
        <f t="shared" ca="1" si="53"/>
        <v/>
      </c>
      <c r="K895" s="7" t="str">
        <f t="shared" si="54"/>
        <v/>
      </c>
      <c r="L895" s="13"/>
      <c r="M895" s="29" t="str">
        <f t="shared" si="55"/>
        <v/>
      </c>
    </row>
    <row r="896" spans="1:13" x14ac:dyDescent="0.35">
      <c r="A896" s="81"/>
      <c r="B896" s="13"/>
      <c r="C896" s="21"/>
      <c r="D896" s="14"/>
      <c r="E896" s="14"/>
      <c r="F896" s="14"/>
      <c r="G896" s="21"/>
      <c r="H896" s="53"/>
      <c r="I896" s="7" t="str">
        <f t="shared" si="52"/>
        <v/>
      </c>
      <c r="J896" s="27" t="str">
        <f t="shared" ca="1" si="53"/>
        <v/>
      </c>
      <c r="K896" s="7" t="str">
        <f t="shared" si="54"/>
        <v/>
      </c>
      <c r="L896" s="13"/>
      <c r="M896" s="29" t="str">
        <f t="shared" si="55"/>
        <v/>
      </c>
    </row>
    <row r="897" spans="1:13" x14ac:dyDescent="0.35">
      <c r="A897" s="81"/>
      <c r="B897" s="13"/>
      <c r="C897" s="21"/>
      <c r="D897" s="14"/>
      <c r="E897" s="14"/>
      <c r="F897" s="14"/>
      <c r="G897" s="21"/>
      <c r="H897" s="53"/>
      <c r="I897" s="7" t="str">
        <f t="shared" si="52"/>
        <v/>
      </c>
      <c r="J897" s="27" t="str">
        <f t="shared" ca="1" si="53"/>
        <v/>
      </c>
      <c r="K897" s="7" t="str">
        <f t="shared" si="54"/>
        <v/>
      </c>
      <c r="L897" s="13"/>
      <c r="M897" s="29" t="str">
        <f t="shared" si="55"/>
        <v/>
      </c>
    </row>
    <row r="898" spans="1:13" x14ac:dyDescent="0.35">
      <c r="A898" s="81"/>
      <c r="B898" s="13"/>
      <c r="C898" s="21"/>
      <c r="D898" s="14"/>
      <c r="E898" s="14"/>
      <c r="F898" s="14"/>
      <c r="G898" s="21"/>
      <c r="H898" s="53"/>
      <c r="I898" s="7" t="str">
        <f t="shared" si="52"/>
        <v/>
      </c>
      <c r="J898" s="27" t="str">
        <f t="shared" ca="1" si="53"/>
        <v/>
      </c>
      <c r="K898" s="7" t="str">
        <f t="shared" si="54"/>
        <v/>
      </c>
      <c r="L898" s="13"/>
      <c r="M898" s="29" t="str">
        <f t="shared" si="55"/>
        <v/>
      </c>
    </row>
    <row r="899" spans="1:13" x14ac:dyDescent="0.35">
      <c r="A899" s="81"/>
      <c r="B899" s="13"/>
      <c r="C899" s="21"/>
      <c r="D899" s="14"/>
      <c r="E899" s="14"/>
      <c r="F899" s="14"/>
      <c r="G899" s="21"/>
      <c r="H899" s="53"/>
      <c r="I899" s="7" t="str">
        <f t="shared" ref="I899:I962" si="56">IF($A899="","",IF($F899&lt;&gt;"","Envoyé DHL",IF($E899&lt;&gt;"","Reçu (à envoyer)",IF($D899&lt;&gt;"","Demandé (en attente)","À demander"))))</f>
        <v/>
      </c>
      <c r="J899" s="27" t="str">
        <f t="shared" ref="J899:J962" ca="1" si="57">IF(AND($A899&lt;&gt;"",$D899&lt;&gt;"",$E899=""),TODAY()-$D899,"")</f>
        <v/>
      </c>
      <c r="K899" s="7" t="str">
        <f t="shared" ref="K899:K962" si="58">IF($A899="","",IF(AND($J899&lt;&gt;"",N($J899)&gt;P_AlerteDoc),"Attente &gt; "&amp;P_AlerteDoc&amp;" jours",IF(AND($E899&lt;&gt;"",$F899=""),"Reçu : à envoyer par DHL","")))</f>
        <v/>
      </c>
      <c r="L899" s="13"/>
      <c r="M899" s="29" t="str">
        <f t="shared" ref="M899:M962" si="59">IF($K899&lt;&gt;"",1,"")</f>
        <v/>
      </c>
    </row>
    <row r="900" spans="1:13" x14ac:dyDescent="0.35">
      <c r="A900" s="81"/>
      <c r="B900" s="13"/>
      <c r="C900" s="21"/>
      <c r="D900" s="14"/>
      <c r="E900" s="14"/>
      <c r="F900" s="14"/>
      <c r="G900" s="21"/>
      <c r="H900" s="53"/>
      <c r="I900" s="7" t="str">
        <f t="shared" si="56"/>
        <v/>
      </c>
      <c r="J900" s="27" t="str">
        <f t="shared" ca="1" si="57"/>
        <v/>
      </c>
      <c r="K900" s="7" t="str">
        <f t="shared" si="58"/>
        <v/>
      </c>
      <c r="L900" s="13"/>
      <c r="M900" s="29" t="str">
        <f t="shared" si="59"/>
        <v/>
      </c>
    </row>
    <row r="901" spans="1:13" x14ac:dyDescent="0.35">
      <c r="A901" s="81"/>
      <c r="B901" s="13"/>
      <c r="C901" s="21"/>
      <c r="D901" s="14"/>
      <c r="E901" s="14"/>
      <c r="F901" s="14"/>
      <c r="G901" s="21"/>
      <c r="H901" s="53"/>
      <c r="I901" s="7" t="str">
        <f t="shared" si="56"/>
        <v/>
      </c>
      <c r="J901" s="27" t="str">
        <f t="shared" ca="1" si="57"/>
        <v/>
      </c>
      <c r="K901" s="7" t="str">
        <f t="shared" si="58"/>
        <v/>
      </c>
      <c r="L901" s="13"/>
      <c r="M901" s="29" t="str">
        <f t="shared" si="59"/>
        <v/>
      </c>
    </row>
    <row r="902" spans="1:13" x14ac:dyDescent="0.35">
      <c r="A902" s="81"/>
      <c r="B902" s="13"/>
      <c r="C902" s="21"/>
      <c r="D902" s="14"/>
      <c r="E902" s="14"/>
      <c r="F902" s="14"/>
      <c r="G902" s="21"/>
      <c r="H902" s="53"/>
      <c r="I902" s="7" t="str">
        <f t="shared" si="56"/>
        <v/>
      </c>
      <c r="J902" s="27" t="str">
        <f t="shared" ca="1" si="57"/>
        <v/>
      </c>
      <c r="K902" s="7" t="str">
        <f t="shared" si="58"/>
        <v/>
      </c>
      <c r="L902" s="13"/>
      <c r="M902" s="29" t="str">
        <f t="shared" si="59"/>
        <v/>
      </c>
    </row>
    <row r="903" spans="1:13" x14ac:dyDescent="0.35">
      <c r="A903" s="81"/>
      <c r="B903" s="13"/>
      <c r="C903" s="21"/>
      <c r="D903" s="14"/>
      <c r="E903" s="14"/>
      <c r="F903" s="14"/>
      <c r="G903" s="21"/>
      <c r="H903" s="53"/>
      <c r="I903" s="7" t="str">
        <f t="shared" si="56"/>
        <v/>
      </c>
      <c r="J903" s="27" t="str">
        <f t="shared" ca="1" si="57"/>
        <v/>
      </c>
      <c r="K903" s="7" t="str">
        <f t="shared" si="58"/>
        <v/>
      </c>
      <c r="L903" s="13"/>
      <c r="M903" s="29" t="str">
        <f t="shared" si="59"/>
        <v/>
      </c>
    </row>
    <row r="904" spans="1:13" x14ac:dyDescent="0.35">
      <c r="A904" s="81"/>
      <c r="B904" s="13"/>
      <c r="C904" s="21"/>
      <c r="D904" s="14"/>
      <c r="E904" s="14"/>
      <c r="F904" s="14"/>
      <c r="G904" s="21"/>
      <c r="H904" s="53"/>
      <c r="I904" s="7" t="str">
        <f t="shared" si="56"/>
        <v/>
      </c>
      <c r="J904" s="27" t="str">
        <f t="shared" ca="1" si="57"/>
        <v/>
      </c>
      <c r="K904" s="7" t="str">
        <f t="shared" si="58"/>
        <v/>
      </c>
      <c r="L904" s="13"/>
      <c r="M904" s="29" t="str">
        <f t="shared" si="59"/>
        <v/>
      </c>
    </row>
    <row r="905" spans="1:13" x14ac:dyDescent="0.35">
      <c r="A905" s="81"/>
      <c r="B905" s="13"/>
      <c r="C905" s="21"/>
      <c r="D905" s="14"/>
      <c r="E905" s="14"/>
      <c r="F905" s="14"/>
      <c r="G905" s="21"/>
      <c r="H905" s="53"/>
      <c r="I905" s="7" t="str">
        <f t="shared" si="56"/>
        <v/>
      </c>
      <c r="J905" s="27" t="str">
        <f t="shared" ca="1" si="57"/>
        <v/>
      </c>
      <c r="K905" s="7" t="str">
        <f t="shared" si="58"/>
        <v/>
      </c>
      <c r="L905" s="13"/>
      <c r="M905" s="29" t="str">
        <f t="shared" si="59"/>
        <v/>
      </c>
    </row>
    <row r="906" spans="1:13" x14ac:dyDescent="0.35">
      <c r="A906" s="81"/>
      <c r="B906" s="13"/>
      <c r="C906" s="21"/>
      <c r="D906" s="14"/>
      <c r="E906" s="14"/>
      <c r="F906" s="14"/>
      <c r="G906" s="21"/>
      <c r="H906" s="53"/>
      <c r="I906" s="7" t="str">
        <f t="shared" si="56"/>
        <v/>
      </c>
      <c r="J906" s="27" t="str">
        <f t="shared" ca="1" si="57"/>
        <v/>
      </c>
      <c r="K906" s="7" t="str">
        <f t="shared" si="58"/>
        <v/>
      </c>
      <c r="L906" s="13"/>
      <c r="M906" s="29" t="str">
        <f t="shared" si="59"/>
        <v/>
      </c>
    </row>
    <row r="907" spans="1:13" x14ac:dyDescent="0.35">
      <c r="A907" s="81"/>
      <c r="B907" s="13"/>
      <c r="C907" s="21"/>
      <c r="D907" s="14"/>
      <c r="E907" s="14"/>
      <c r="F907" s="14"/>
      <c r="G907" s="21"/>
      <c r="H907" s="53"/>
      <c r="I907" s="7" t="str">
        <f t="shared" si="56"/>
        <v/>
      </c>
      <c r="J907" s="27" t="str">
        <f t="shared" ca="1" si="57"/>
        <v/>
      </c>
      <c r="K907" s="7" t="str">
        <f t="shared" si="58"/>
        <v/>
      </c>
      <c r="L907" s="13"/>
      <c r="M907" s="29" t="str">
        <f t="shared" si="59"/>
        <v/>
      </c>
    </row>
    <row r="908" spans="1:13" x14ac:dyDescent="0.35">
      <c r="A908" s="81"/>
      <c r="B908" s="13"/>
      <c r="C908" s="21"/>
      <c r="D908" s="14"/>
      <c r="E908" s="14"/>
      <c r="F908" s="14"/>
      <c r="G908" s="21"/>
      <c r="H908" s="53"/>
      <c r="I908" s="7" t="str">
        <f t="shared" si="56"/>
        <v/>
      </c>
      <c r="J908" s="27" t="str">
        <f t="shared" ca="1" si="57"/>
        <v/>
      </c>
      <c r="K908" s="7" t="str">
        <f t="shared" si="58"/>
        <v/>
      </c>
      <c r="L908" s="13"/>
      <c r="M908" s="29" t="str">
        <f t="shared" si="59"/>
        <v/>
      </c>
    </row>
    <row r="909" spans="1:13" x14ac:dyDescent="0.35">
      <c r="A909" s="81"/>
      <c r="B909" s="13"/>
      <c r="C909" s="21"/>
      <c r="D909" s="14"/>
      <c r="E909" s="14"/>
      <c r="F909" s="14"/>
      <c r="G909" s="21"/>
      <c r="H909" s="53"/>
      <c r="I909" s="7" t="str">
        <f t="shared" si="56"/>
        <v/>
      </c>
      <c r="J909" s="27" t="str">
        <f t="shared" ca="1" si="57"/>
        <v/>
      </c>
      <c r="K909" s="7" t="str">
        <f t="shared" si="58"/>
        <v/>
      </c>
      <c r="L909" s="13"/>
      <c r="M909" s="29" t="str">
        <f t="shared" si="59"/>
        <v/>
      </c>
    </row>
    <row r="910" spans="1:13" x14ac:dyDescent="0.35">
      <c r="A910" s="81"/>
      <c r="B910" s="13"/>
      <c r="C910" s="21"/>
      <c r="D910" s="14"/>
      <c r="E910" s="14"/>
      <c r="F910" s="14"/>
      <c r="G910" s="21"/>
      <c r="H910" s="53"/>
      <c r="I910" s="7" t="str">
        <f t="shared" si="56"/>
        <v/>
      </c>
      <c r="J910" s="27" t="str">
        <f t="shared" ca="1" si="57"/>
        <v/>
      </c>
      <c r="K910" s="7" t="str">
        <f t="shared" si="58"/>
        <v/>
      </c>
      <c r="L910" s="13"/>
      <c r="M910" s="29" t="str">
        <f t="shared" si="59"/>
        <v/>
      </c>
    </row>
    <row r="911" spans="1:13" x14ac:dyDescent="0.35">
      <c r="A911" s="81"/>
      <c r="B911" s="13"/>
      <c r="C911" s="21"/>
      <c r="D911" s="14"/>
      <c r="E911" s="14"/>
      <c r="F911" s="14"/>
      <c r="G911" s="21"/>
      <c r="H911" s="53"/>
      <c r="I911" s="7" t="str">
        <f t="shared" si="56"/>
        <v/>
      </c>
      <c r="J911" s="27" t="str">
        <f t="shared" ca="1" si="57"/>
        <v/>
      </c>
      <c r="K911" s="7" t="str">
        <f t="shared" si="58"/>
        <v/>
      </c>
      <c r="L911" s="13"/>
      <c r="M911" s="29" t="str">
        <f t="shared" si="59"/>
        <v/>
      </c>
    </row>
    <row r="912" spans="1:13" x14ac:dyDescent="0.35">
      <c r="A912" s="81"/>
      <c r="B912" s="13"/>
      <c r="C912" s="21"/>
      <c r="D912" s="14"/>
      <c r="E912" s="14"/>
      <c r="F912" s="14"/>
      <c r="G912" s="21"/>
      <c r="H912" s="53"/>
      <c r="I912" s="7" t="str">
        <f t="shared" si="56"/>
        <v/>
      </c>
      <c r="J912" s="27" t="str">
        <f t="shared" ca="1" si="57"/>
        <v/>
      </c>
      <c r="K912" s="7" t="str">
        <f t="shared" si="58"/>
        <v/>
      </c>
      <c r="L912" s="13"/>
      <c r="M912" s="29" t="str">
        <f t="shared" si="59"/>
        <v/>
      </c>
    </row>
    <row r="913" spans="1:13" x14ac:dyDescent="0.35">
      <c r="A913" s="81"/>
      <c r="B913" s="13"/>
      <c r="C913" s="21"/>
      <c r="D913" s="14"/>
      <c r="E913" s="14"/>
      <c r="F913" s="14"/>
      <c r="G913" s="21"/>
      <c r="H913" s="53"/>
      <c r="I913" s="7" t="str">
        <f t="shared" si="56"/>
        <v/>
      </c>
      <c r="J913" s="27" t="str">
        <f t="shared" ca="1" si="57"/>
        <v/>
      </c>
      <c r="K913" s="7" t="str">
        <f t="shared" si="58"/>
        <v/>
      </c>
      <c r="L913" s="13"/>
      <c r="M913" s="29" t="str">
        <f t="shared" si="59"/>
        <v/>
      </c>
    </row>
    <row r="914" spans="1:13" x14ac:dyDescent="0.35">
      <c r="A914" s="81"/>
      <c r="B914" s="13"/>
      <c r="C914" s="21"/>
      <c r="D914" s="14"/>
      <c r="E914" s="14"/>
      <c r="F914" s="14"/>
      <c r="G914" s="21"/>
      <c r="H914" s="53"/>
      <c r="I914" s="7" t="str">
        <f t="shared" si="56"/>
        <v/>
      </c>
      <c r="J914" s="27" t="str">
        <f t="shared" ca="1" si="57"/>
        <v/>
      </c>
      <c r="K914" s="7" t="str">
        <f t="shared" si="58"/>
        <v/>
      </c>
      <c r="L914" s="13"/>
      <c r="M914" s="29" t="str">
        <f t="shared" si="59"/>
        <v/>
      </c>
    </row>
    <row r="915" spans="1:13" x14ac:dyDescent="0.35">
      <c r="A915" s="81"/>
      <c r="B915" s="13"/>
      <c r="C915" s="21"/>
      <c r="D915" s="14"/>
      <c r="E915" s="14"/>
      <c r="F915" s="14"/>
      <c r="G915" s="21"/>
      <c r="H915" s="53"/>
      <c r="I915" s="7" t="str">
        <f t="shared" si="56"/>
        <v/>
      </c>
      <c r="J915" s="27" t="str">
        <f t="shared" ca="1" si="57"/>
        <v/>
      </c>
      <c r="K915" s="7" t="str">
        <f t="shared" si="58"/>
        <v/>
      </c>
      <c r="L915" s="13"/>
      <c r="M915" s="29" t="str">
        <f t="shared" si="59"/>
        <v/>
      </c>
    </row>
    <row r="916" spans="1:13" x14ac:dyDescent="0.35">
      <c r="A916" s="81"/>
      <c r="B916" s="13"/>
      <c r="C916" s="21"/>
      <c r="D916" s="14"/>
      <c r="E916" s="14"/>
      <c r="F916" s="14"/>
      <c r="G916" s="21"/>
      <c r="H916" s="53"/>
      <c r="I916" s="7" t="str">
        <f t="shared" si="56"/>
        <v/>
      </c>
      <c r="J916" s="27" t="str">
        <f t="shared" ca="1" si="57"/>
        <v/>
      </c>
      <c r="K916" s="7" t="str">
        <f t="shared" si="58"/>
        <v/>
      </c>
      <c r="L916" s="13"/>
      <c r="M916" s="29" t="str">
        <f t="shared" si="59"/>
        <v/>
      </c>
    </row>
    <row r="917" spans="1:13" x14ac:dyDescent="0.35">
      <c r="A917" s="81"/>
      <c r="B917" s="13"/>
      <c r="C917" s="21"/>
      <c r="D917" s="14"/>
      <c r="E917" s="14"/>
      <c r="F917" s="14"/>
      <c r="G917" s="21"/>
      <c r="H917" s="53"/>
      <c r="I917" s="7" t="str">
        <f t="shared" si="56"/>
        <v/>
      </c>
      <c r="J917" s="27" t="str">
        <f t="shared" ca="1" si="57"/>
        <v/>
      </c>
      <c r="K917" s="7" t="str">
        <f t="shared" si="58"/>
        <v/>
      </c>
      <c r="L917" s="13"/>
      <c r="M917" s="29" t="str">
        <f t="shared" si="59"/>
        <v/>
      </c>
    </row>
    <row r="918" spans="1:13" x14ac:dyDescent="0.35">
      <c r="A918" s="81"/>
      <c r="B918" s="13"/>
      <c r="C918" s="21"/>
      <c r="D918" s="14"/>
      <c r="E918" s="14"/>
      <c r="F918" s="14"/>
      <c r="G918" s="21"/>
      <c r="H918" s="53"/>
      <c r="I918" s="7" t="str">
        <f t="shared" si="56"/>
        <v/>
      </c>
      <c r="J918" s="27" t="str">
        <f t="shared" ca="1" si="57"/>
        <v/>
      </c>
      <c r="K918" s="7" t="str">
        <f t="shared" si="58"/>
        <v/>
      </c>
      <c r="L918" s="13"/>
      <c r="M918" s="29" t="str">
        <f t="shared" si="59"/>
        <v/>
      </c>
    </row>
    <row r="919" spans="1:13" x14ac:dyDescent="0.35">
      <c r="A919" s="81"/>
      <c r="B919" s="13"/>
      <c r="C919" s="21"/>
      <c r="D919" s="14"/>
      <c r="E919" s="14"/>
      <c r="F919" s="14"/>
      <c r="G919" s="21"/>
      <c r="H919" s="53"/>
      <c r="I919" s="7" t="str">
        <f t="shared" si="56"/>
        <v/>
      </c>
      <c r="J919" s="27" t="str">
        <f t="shared" ca="1" si="57"/>
        <v/>
      </c>
      <c r="K919" s="7" t="str">
        <f t="shared" si="58"/>
        <v/>
      </c>
      <c r="L919" s="13"/>
      <c r="M919" s="29" t="str">
        <f t="shared" si="59"/>
        <v/>
      </c>
    </row>
    <row r="920" spans="1:13" x14ac:dyDescent="0.35">
      <c r="A920" s="81"/>
      <c r="B920" s="13"/>
      <c r="C920" s="21"/>
      <c r="D920" s="14"/>
      <c r="E920" s="14"/>
      <c r="F920" s="14"/>
      <c r="G920" s="21"/>
      <c r="H920" s="53"/>
      <c r="I920" s="7" t="str">
        <f t="shared" si="56"/>
        <v/>
      </c>
      <c r="J920" s="27" t="str">
        <f t="shared" ca="1" si="57"/>
        <v/>
      </c>
      <c r="K920" s="7" t="str">
        <f t="shared" si="58"/>
        <v/>
      </c>
      <c r="L920" s="13"/>
      <c r="M920" s="29" t="str">
        <f t="shared" si="59"/>
        <v/>
      </c>
    </row>
    <row r="921" spans="1:13" x14ac:dyDescent="0.35">
      <c r="A921" s="81"/>
      <c r="B921" s="13"/>
      <c r="C921" s="21"/>
      <c r="D921" s="14"/>
      <c r="E921" s="14"/>
      <c r="F921" s="14"/>
      <c r="G921" s="21"/>
      <c r="H921" s="53"/>
      <c r="I921" s="7" t="str">
        <f t="shared" si="56"/>
        <v/>
      </c>
      <c r="J921" s="27" t="str">
        <f t="shared" ca="1" si="57"/>
        <v/>
      </c>
      <c r="K921" s="7" t="str">
        <f t="shared" si="58"/>
        <v/>
      </c>
      <c r="L921" s="13"/>
      <c r="M921" s="29" t="str">
        <f t="shared" si="59"/>
        <v/>
      </c>
    </row>
    <row r="922" spans="1:13" x14ac:dyDescent="0.35">
      <c r="A922" s="81"/>
      <c r="B922" s="13"/>
      <c r="C922" s="21"/>
      <c r="D922" s="14"/>
      <c r="E922" s="14"/>
      <c r="F922" s="14"/>
      <c r="G922" s="21"/>
      <c r="H922" s="53"/>
      <c r="I922" s="7" t="str">
        <f t="shared" si="56"/>
        <v/>
      </c>
      <c r="J922" s="27" t="str">
        <f t="shared" ca="1" si="57"/>
        <v/>
      </c>
      <c r="K922" s="7" t="str">
        <f t="shared" si="58"/>
        <v/>
      </c>
      <c r="L922" s="13"/>
      <c r="M922" s="29" t="str">
        <f t="shared" si="59"/>
        <v/>
      </c>
    </row>
    <row r="923" spans="1:13" x14ac:dyDescent="0.35">
      <c r="A923" s="81"/>
      <c r="B923" s="13"/>
      <c r="C923" s="21"/>
      <c r="D923" s="14"/>
      <c r="E923" s="14"/>
      <c r="F923" s="14"/>
      <c r="G923" s="21"/>
      <c r="H923" s="53"/>
      <c r="I923" s="7" t="str">
        <f t="shared" si="56"/>
        <v/>
      </c>
      <c r="J923" s="27" t="str">
        <f t="shared" ca="1" si="57"/>
        <v/>
      </c>
      <c r="K923" s="7" t="str">
        <f t="shared" si="58"/>
        <v/>
      </c>
      <c r="L923" s="13"/>
      <c r="M923" s="29" t="str">
        <f t="shared" si="59"/>
        <v/>
      </c>
    </row>
    <row r="924" spans="1:13" x14ac:dyDescent="0.35">
      <c r="A924" s="81"/>
      <c r="B924" s="13"/>
      <c r="C924" s="21"/>
      <c r="D924" s="14"/>
      <c r="E924" s="14"/>
      <c r="F924" s="14"/>
      <c r="G924" s="21"/>
      <c r="H924" s="53"/>
      <c r="I924" s="7" t="str">
        <f t="shared" si="56"/>
        <v/>
      </c>
      <c r="J924" s="27" t="str">
        <f t="shared" ca="1" si="57"/>
        <v/>
      </c>
      <c r="K924" s="7" t="str">
        <f t="shared" si="58"/>
        <v/>
      </c>
      <c r="L924" s="13"/>
      <c r="M924" s="29" t="str">
        <f t="shared" si="59"/>
        <v/>
      </c>
    </row>
    <row r="925" spans="1:13" x14ac:dyDescent="0.35">
      <c r="A925" s="81"/>
      <c r="B925" s="13"/>
      <c r="C925" s="21"/>
      <c r="D925" s="14"/>
      <c r="E925" s="14"/>
      <c r="F925" s="14"/>
      <c r="G925" s="21"/>
      <c r="H925" s="53"/>
      <c r="I925" s="7" t="str">
        <f t="shared" si="56"/>
        <v/>
      </c>
      <c r="J925" s="27" t="str">
        <f t="shared" ca="1" si="57"/>
        <v/>
      </c>
      <c r="K925" s="7" t="str">
        <f t="shared" si="58"/>
        <v/>
      </c>
      <c r="L925" s="13"/>
      <c r="M925" s="29" t="str">
        <f t="shared" si="59"/>
        <v/>
      </c>
    </row>
    <row r="926" spans="1:13" x14ac:dyDescent="0.35">
      <c r="A926" s="81"/>
      <c r="B926" s="13"/>
      <c r="C926" s="21"/>
      <c r="D926" s="14"/>
      <c r="E926" s="14"/>
      <c r="F926" s="14"/>
      <c r="G926" s="21"/>
      <c r="H926" s="53"/>
      <c r="I926" s="7" t="str">
        <f t="shared" si="56"/>
        <v/>
      </c>
      <c r="J926" s="27" t="str">
        <f t="shared" ca="1" si="57"/>
        <v/>
      </c>
      <c r="K926" s="7" t="str">
        <f t="shared" si="58"/>
        <v/>
      </c>
      <c r="L926" s="13"/>
      <c r="M926" s="29" t="str">
        <f t="shared" si="59"/>
        <v/>
      </c>
    </row>
    <row r="927" spans="1:13" x14ac:dyDescent="0.35">
      <c r="A927" s="81"/>
      <c r="B927" s="13"/>
      <c r="C927" s="21"/>
      <c r="D927" s="14"/>
      <c r="E927" s="14"/>
      <c r="F927" s="14"/>
      <c r="G927" s="21"/>
      <c r="H927" s="53"/>
      <c r="I927" s="7" t="str">
        <f t="shared" si="56"/>
        <v/>
      </c>
      <c r="J927" s="27" t="str">
        <f t="shared" ca="1" si="57"/>
        <v/>
      </c>
      <c r="K927" s="7" t="str">
        <f t="shared" si="58"/>
        <v/>
      </c>
      <c r="L927" s="13"/>
      <c r="M927" s="29" t="str">
        <f t="shared" si="59"/>
        <v/>
      </c>
    </row>
    <row r="928" spans="1:13" x14ac:dyDescent="0.35">
      <c r="A928" s="81"/>
      <c r="B928" s="13"/>
      <c r="C928" s="21"/>
      <c r="D928" s="14"/>
      <c r="E928" s="14"/>
      <c r="F928" s="14"/>
      <c r="G928" s="21"/>
      <c r="H928" s="53"/>
      <c r="I928" s="7" t="str">
        <f t="shared" si="56"/>
        <v/>
      </c>
      <c r="J928" s="27" t="str">
        <f t="shared" ca="1" si="57"/>
        <v/>
      </c>
      <c r="K928" s="7" t="str">
        <f t="shared" si="58"/>
        <v/>
      </c>
      <c r="L928" s="13"/>
      <c r="M928" s="29" t="str">
        <f t="shared" si="59"/>
        <v/>
      </c>
    </row>
    <row r="929" spans="1:13" x14ac:dyDescent="0.35">
      <c r="A929" s="81"/>
      <c r="B929" s="13"/>
      <c r="C929" s="21"/>
      <c r="D929" s="14"/>
      <c r="E929" s="14"/>
      <c r="F929" s="14"/>
      <c r="G929" s="21"/>
      <c r="H929" s="53"/>
      <c r="I929" s="7" t="str">
        <f t="shared" si="56"/>
        <v/>
      </c>
      <c r="J929" s="27" t="str">
        <f t="shared" ca="1" si="57"/>
        <v/>
      </c>
      <c r="K929" s="7" t="str">
        <f t="shared" si="58"/>
        <v/>
      </c>
      <c r="L929" s="13"/>
      <c r="M929" s="29" t="str">
        <f t="shared" si="59"/>
        <v/>
      </c>
    </row>
    <row r="930" spans="1:13" x14ac:dyDescent="0.35">
      <c r="A930" s="81"/>
      <c r="B930" s="13"/>
      <c r="C930" s="21"/>
      <c r="D930" s="14"/>
      <c r="E930" s="14"/>
      <c r="F930" s="14"/>
      <c r="G930" s="21"/>
      <c r="H930" s="53"/>
      <c r="I930" s="7" t="str">
        <f t="shared" si="56"/>
        <v/>
      </c>
      <c r="J930" s="27" t="str">
        <f t="shared" ca="1" si="57"/>
        <v/>
      </c>
      <c r="K930" s="7" t="str">
        <f t="shared" si="58"/>
        <v/>
      </c>
      <c r="L930" s="13"/>
      <c r="M930" s="29" t="str">
        <f t="shared" si="59"/>
        <v/>
      </c>
    </row>
    <row r="931" spans="1:13" x14ac:dyDescent="0.35">
      <c r="A931" s="81"/>
      <c r="B931" s="13"/>
      <c r="C931" s="21"/>
      <c r="D931" s="14"/>
      <c r="E931" s="14"/>
      <c r="F931" s="14"/>
      <c r="G931" s="21"/>
      <c r="H931" s="53"/>
      <c r="I931" s="7" t="str">
        <f t="shared" si="56"/>
        <v/>
      </c>
      <c r="J931" s="27" t="str">
        <f t="shared" ca="1" si="57"/>
        <v/>
      </c>
      <c r="K931" s="7" t="str">
        <f t="shared" si="58"/>
        <v/>
      </c>
      <c r="L931" s="13"/>
      <c r="M931" s="29" t="str">
        <f t="shared" si="59"/>
        <v/>
      </c>
    </row>
    <row r="932" spans="1:13" x14ac:dyDescent="0.35">
      <c r="A932" s="81"/>
      <c r="B932" s="13"/>
      <c r="C932" s="21"/>
      <c r="D932" s="14"/>
      <c r="E932" s="14"/>
      <c r="F932" s="14"/>
      <c r="G932" s="21"/>
      <c r="H932" s="53"/>
      <c r="I932" s="7" t="str">
        <f t="shared" si="56"/>
        <v/>
      </c>
      <c r="J932" s="27" t="str">
        <f t="shared" ca="1" si="57"/>
        <v/>
      </c>
      <c r="K932" s="7" t="str">
        <f t="shared" si="58"/>
        <v/>
      </c>
      <c r="L932" s="13"/>
      <c r="M932" s="29" t="str">
        <f t="shared" si="59"/>
        <v/>
      </c>
    </row>
    <row r="933" spans="1:13" x14ac:dyDescent="0.35">
      <c r="A933" s="81"/>
      <c r="B933" s="13"/>
      <c r="C933" s="21"/>
      <c r="D933" s="14"/>
      <c r="E933" s="14"/>
      <c r="F933" s="14"/>
      <c r="G933" s="21"/>
      <c r="H933" s="53"/>
      <c r="I933" s="7" t="str">
        <f t="shared" si="56"/>
        <v/>
      </c>
      <c r="J933" s="27" t="str">
        <f t="shared" ca="1" si="57"/>
        <v/>
      </c>
      <c r="K933" s="7" t="str">
        <f t="shared" si="58"/>
        <v/>
      </c>
      <c r="L933" s="13"/>
      <c r="M933" s="29" t="str">
        <f t="shared" si="59"/>
        <v/>
      </c>
    </row>
    <row r="934" spans="1:13" x14ac:dyDescent="0.35">
      <c r="A934" s="81"/>
      <c r="B934" s="13"/>
      <c r="C934" s="21"/>
      <c r="D934" s="14"/>
      <c r="E934" s="14"/>
      <c r="F934" s="14"/>
      <c r="G934" s="21"/>
      <c r="H934" s="53"/>
      <c r="I934" s="7" t="str">
        <f t="shared" si="56"/>
        <v/>
      </c>
      <c r="J934" s="27" t="str">
        <f t="shared" ca="1" si="57"/>
        <v/>
      </c>
      <c r="K934" s="7" t="str">
        <f t="shared" si="58"/>
        <v/>
      </c>
      <c r="L934" s="13"/>
      <c r="M934" s="29" t="str">
        <f t="shared" si="59"/>
        <v/>
      </c>
    </row>
    <row r="935" spans="1:13" x14ac:dyDescent="0.35">
      <c r="A935" s="81"/>
      <c r="B935" s="13"/>
      <c r="C935" s="21"/>
      <c r="D935" s="14"/>
      <c r="E935" s="14"/>
      <c r="F935" s="14"/>
      <c r="G935" s="21"/>
      <c r="H935" s="53"/>
      <c r="I935" s="7" t="str">
        <f t="shared" si="56"/>
        <v/>
      </c>
      <c r="J935" s="27" t="str">
        <f t="shared" ca="1" si="57"/>
        <v/>
      </c>
      <c r="K935" s="7" t="str">
        <f t="shared" si="58"/>
        <v/>
      </c>
      <c r="L935" s="13"/>
      <c r="M935" s="29" t="str">
        <f t="shared" si="59"/>
        <v/>
      </c>
    </row>
    <row r="936" spans="1:13" x14ac:dyDescent="0.35">
      <c r="A936" s="81"/>
      <c r="B936" s="13"/>
      <c r="C936" s="21"/>
      <c r="D936" s="14"/>
      <c r="E936" s="14"/>
      <c r="F936" s="14"/>
      <c r="G936" s="21"/>
      <c r="H936" s="53"/>
      <c r="I936" s="7" t="str">
        <f t="shared" si="56"/>
        <v/>
      </c>
      <c r="J936" s="27" t="str">
        <f t="shared" ca="1" si="57"/>
        <v/>
      </c>
      <c r="K936" s="7" t="str">
        <f t="shared" si="58"/>
        <v/>
      </c>
      <c r="L936" s="13"/>
      <c r="M936" s="29" t="str">
        <f t="shared" si="59"/>
        <v/>
      </c>
    </row>
    <row r="937" spans="1:13" x14ac:dyDescent="0.35">
      <c r="A937" s="81"/>
      <c r="B937" s="13"/>
      <c r="C937" s="21"/>
      <c r="D937" s="14"/>
      <c r="E937" s="14"/>
      <c r="F937" s="14"/>
      <c r="G937" s="21"/>
      <c r="H937" s="53"/>
      <c r="I937" s="7" t="str">
        <f t="shared" si="56"/>
        <v/>
      </c>
      <c r="J937" s="27" t="str">
        <f t="shared" ca="1" si="57"/>
        <v/>
      </c>
      <c r="K937" s="7" t="str">
        <f t="shared" si="58"/>
        <v/>
      </c>
      <c r="L937" s="13"/>
      <c r="M937" s="29" t="str">
        <f t="shared" si="59"/>
        <v/>
      </c>
    </row>
    <row r="938" spans="1:13" x14ac:dyDescent="0.35">
      <c r="A938" s="81"/>
      <c r="B938" s="13"/>
      <c r="C938" s="21"/>
      <c r="D938" s="14"/>
      <c r="E938" s="14"/>
      <c r="F938" s="14"/>
      <c r="G938" s="21"/>
      <c r="H938" s="53"/>
      <c r="I938" s="7" t="str">
        <f t="shared" si="56"/>
        <v/>
      </c>
      <c r="J938" s="27" t="str">
        <f t="shared" ca="1" si="57"/>
        <v/>
      </c>
      <c r="K938" s="7" t="str">
        <f t="shared" si="58"/>
        <v/>
      </c>
      <c r="L938" s="13"/>
      <c r="M938" s="29" t="str">
        <f t="shared" si="59"/>
        <v/>
      </c>
    </row>
    <row r="939" spans="1:13" x14ac:dyDescent="0.35">
      <c r="A939" s="81"/>
      <c r="B939" s="13"/>
      <c r="C939" s="21"/>
      <c r="D939" s="14"/>
      <c r="E939" s="14"/>
      <c r="F939" s="14"/>
      <c r="G939" s="21"/>
      <c r="H939" s="53"/>
      <c r="I939" s="7" t="str">
        <f t="shared" si="56"/>
        <v/>
      </c>
      <c r="J939" s="27" t="str">
        <f t="shared" ca="1" si="57"/>
        <v/>
      </c>
      <c r="K939" s="7" t="str">
        <f t="shared" si="58"/>
        <v/>
      </c>
      <c r="L939" s="13"/>
      <c r="M939" s="29" t="str">
        <f t="shared" si="59"/>
        <v/>
      </c>
    </row>
    <row r="940" spans="1:13" x14ac:dyDescent="0.35">
      <c r="A940" s="81"/>
      <c r="B940" s="13"/>
      <c r="C940" s="21"/>
      <c r="D940" s="14"/>
      <c r="E940" s="14"/>
      <c r="F940" s="14"/>
      <c r="G940" s="21"/>
      <c r="H940" s="53"/>
      <c r="I940" s="7" t="str">
        <f t="shared" si="56"/>
        <v/>
      </c>
      <c r="J940" s="27" t="str">
        <f t="shared" ca="1" si="57"/>
        <v/>
      </c>
      <c r="K940" s="7" t="str">
        <f t="shared" si="58"/>
        <v/>
      </c>
      <c r="L940" s="13"/>
      <c r="M940" s="29" t="str">
        <f t="shared" si="59"/>
        <v/>
      </c>
    </row>
    <row r="941" spans="1:13" x14ac:dyDescent="0.35">
      <c r="A941" s="81"/>
      <c r="B941" s="13"/>
      <c r="C941" s="21"/>
      <c r="D941" s="14"/>
      <c r="E941" s="14"/>
      <c r="F941" s="14"/>
      <c r="G941" s="21"/>
      <c r="H941" s="53"/>
      <c r="I941" s="7" t="str">
        <f t="shared" si="56"/>
        <v/>
      </c>
      <c r="J941" s="27" t="str">
        <f t="shared" ca="1" si="57"/>
        <v/>
      </c>
      <c r="K941" s="7" t="str">
        <f t="shared" si="58"/>
        <v/>
      </c>
      <c r="L941" s="13"/>
      <c r="M941" s="29" t="str">
        <f t="shared" si="59"/>
        <v/>
      </c>
    </row>
    <row r="942" spans="1:13" x14ac:dyDescent="0.35">
      <c r="A942" s="81"/>
      <c r="B942" s="13"/>
      <c r="C942" s="21"/>
      <c r="D942" s="14"/>
      <c r="E942" s="14"/>
      <c r="F942" s="14"/>
      <c r="G942" s="21"/>
      <c r="H942" s="53"/>
      <c r="I942" s="7" t="str">
        <f t="shared" si="56"/>
        <v/>
      </c>
      <c r="J942" s="27" t="str">
        <f t="shared" ca="1" si="57"/>
        <v/>
      </c>
      <c r="K942" s="7" t="str">
        <f t="shared" si="58"/>
        <v/>
      </c>
      <c r="L942" s="13"/>
      <c r="M942" s="29" t="str">
        <f t="shared" si="59"/>
        <v/>
      </c>
    </row>
    <row r="943" spans="1:13" x14ac:dyDescent="0.35">
      <c r="A943" s="81"/>
      <c r="B943" s="13"/>
      <c r="C943" s="21"/>
      <c r="D943" s="14"/>
      <c r="E943" s="14"/>
      <c r="F943" s="14"/>
      <c r="G943" s="21"/>
      <c r="H943" s="53"/>
      <c r="I943" s="7" t="str">
        <f t="shared" si="56"/>
        <v/>
      </c>
      <c r="J943" s="27" t="str">
        <f t="shared" ca="1" si="57"/>
        <v/>
      </c>
      <c r="K943" s="7" t="str">
        <f t="shared" si="58"/>
        <v/>
      </c>
      <c r="L943" s="13"/>
      <c r="M943" s="29" t="str">
        <f t="shared" si="59"/>
        <v/>
      </c>
    </row>
    <row r="944" spans="1:13" x14ac:dyDescent="0.35">
      <c r="A944" s="81"/>
      <c r="B944" s="13"/>
      <c r="C944" s="21"/>
      <c r="D944" s="14"/>
      <c r="E944" s="14"/>
      <c r="F944" s="14"/>
      <c r="G944" s="21"/>
      <c r="H944" s="53"/>
      <c r="I944" s="7" t="str">
        <f t="shared" si="56"/>
        <v/>
      </c>
      <c r="J944" s="27" t="str">
        <f t="shared" ca="1" si="57"/>
        <v/>
      </c>
      <c r="K944" s="7" t="str">
        <f t="shared" si="58"/>
        <v/>
      </c>
      <c r="L944" s="13"/>
      <c r="M944" s="29" t="str">
        <f t="shared" si="59"/>
        <v/>
      </c>
    </row>
    <row r="945" spans="1:13" x14ac:dyDescent="0.35">
      <c r="A945" s="81"/>
      <c r="B945" s="13"/>
      <c r="C945" s="21"/>
      <c r="D945" s="14"/>
      <c r="E945" s="14"/>
      <c r="F945" s="14"/>
      <c r="G945" s="21"/>
      <c r="H945" s="53"/>
      <c r="I945" s="7" t="str">
        <f t="shared" si="56"/>
        <v/>
      </c>
      <c r="J945" s="27" t="str">
        <f t="shared" ca="1" si="57"/>
        <v/>
      </c>
      <c r="K945" s="7" t="str">
        <f t="shared" si="58"/>
        <v/>
      </c>
      <c r="L945" s="13"/>
      <c r="M945" s="29" t="str">
        <f t="shared" si="59"/>
        <v/>
      </c>
    </row>
    <row r="946" spans="1:13" x14ac:dyDescent="0.35">
      <c r="A946" s="81"/>
      <c r="B946" s="13"/>
      <c r="C946" s="21"/>
      <c r="D946" s="14"/>
      <c r="E946" s="14"/>
      <c r="F946" s="14"/>
      <c r="G946" s="21"/>
      <c r="H946" s="53"/>
      <c r="I946" s="7" t="str">
        <f t="shared" si="56"/>
        <v/>
      </c>
      <c r="J946" s="27" t="str">
        <f t="shared" ca="1" si="57"/>
        <v/>
      </c>
      <c r="K946" s="7" t="str">
        <f t="shared" si="58"/>
        <v/>
      </c>
      <c r="L946" s="13"/>
      <c r="M946" s="29" t="str">
        <f t="shared" si="59"/>
        <v/>
      </c>
    </row>
    <row r="947" spans="1:13" x14ac:dyDescent="0.35">
      <c r="A947" s="81"/>
      <c r="B947" s="13"/>
      <c r="C947" s="21"/>
      <c r="D947" s="14"/>
      <c r="E947" s="14"/>
      <c r="F947" s="14"/>
      <c r="G947" s="21"/>
      <c r="H947" s="53"/>
      <c r="I947" s="7" t="str">
        <f t="shared" si="56"/>
        <v/>
      </c>
      <c r="J947" s="27" t="str">
        <f t="shared" ca="1" si="57"/>
        <v/>
      </c>
      <c r="K947" s="7" t="str">
        <f t="shared" si="58"/>
        <v/>
      </c>
      <c r="L947" s="13"/>
      <c r="M947" s="29" t="str">
        <f t="shared" si="59"/>
        <v/>
      </c>
    </row>
    <row r="948" spans="1:13" x14ac:dyDescent="0.35">
      <c r="A948" s="81"/>
      <c r="B948" s="13"/>
      <c r="C948" s="21"/>
      <c r="D948" s="14"/>
      <c r="E948" s="14"/>
      <c r="F948" s="14"/>
      <c r="G948" s="21"/>
      <c r="H948" s="53"/>
      <c r="I948" s="7" t="str">
        <f t="shared" si="56"/>
        <v/>
      </c>
      <c r="J948" s="27" t="str">
        <f t="shared" ca="1" si="57"/>
        <v/>
      </c>
      <c r="K948" s="7" t="str">
        <f t="shared" si="58"/>
        <v/>
      </c>
      <c r="L948" s="13"/>
      <c r="M948" s="29" t="str">
        <f t="shared" si="59"/>
        <v/>
      </c>
    </row>
    <row r="949" spans="1:13" x14ac:dyDescent="0.35">
      <c r="A949" s="81"/>
      <c r="B949" s="13"/>
      <c r="C949" s="21"/>
      <c r="D949" s="14"/>
      <c r="E949" s="14"/>
      <c r="F949" s="14"/>
      <c r="G949" s="21"/>
      <c r="H949" s="53"/>
      <c r="I949" s="7" t="str">
        <f t="shared" si="56"/>
        <v/>
      </c>
      <c r="J949" s="27" t="str">
        <f t="shared" ca="1" si="57"/>
        <v/>
      </c>
      <c r="K949" s="7" t="str">
        <f t="shared" si="58"/>
        <v/>
      </c>
      <c r="L949" s="13"/>
      <c r="M949" s="29" t="str">
        <f t="shared" si="59"/>
        <v/>
      </c>
    </row>
    <row r="950" spans="1:13" x14ac:dyDescent="0.35">
      <c r="A950" s="81"/>
      <c r="B950" s="13"/>
      <c r="C950" s="21"/>
      <c r="D950" s="14"/>
      <c r="E950" s="14"/>
      <c r="F950" s="14"/>
      <c r="G950" s="21"/>
      <c r="H950" s="53"/>
      <c r="I950" s="7" t="str">
        <f t="shared" si="56"/>
        <v/>
      </c>
      <c r="J950" s="27" t="str">
        <f t="shared" ca="1" si="57"/>
        <v/>
      </c>
      <c r="K950" s="7" t="str">
        <f t="shared" si="58"/>
        <v/>
      </c>
      <c r="L950" s="13"/>
      <c r="M950" s="29" t="str">
        <f t="shared" si="59"/>
        <v/>
      </c>
    </row>
    <row r="951" spans="1:13" x14ac:dyDescent="0.35">
      <c r="A951" s="81"/>
      <c r="B951" s="13"/>
      <c r="C951" s="21"/>
      <c r="D951" s="14"/>
      <c r="E951" s="14"/>
      <c r="F951" s="14"/>
      <c r="G951" s="21"/>
      <c r="H951" s="53"/>
      <c r="I951" s="7" t="str">
        <f t="shared" si="56"/>
        <v/>
      </c>
      <c r="J951" s="27" t="str">
        <f t="shared" ca="1" si="57"/>
        <v/>
      </c>
      <c r="K951" s="7" t="str">
        <f t="shared" si="58"/>
        <v/>
      </c>
      <c r="L951" s="13"/>
      <c r="M951" s="29" t="str">
        <f t="shared" si="59"/>
        <v/>
      </c>
    </row>
    <row r="952" spans="1:13" x14ac:dyDescent="0.35">
      <c r="A952" s="81"/>
      <c r="B952" s="13"/>
      <c r="C952" s="21"/>
      <c r="D952" s="14"/>
      <c r="E952" s="14"/>
      <c r="F952" s="14"/>
      <c r="G952" s="21"/>
      <c r="H952" s="53"/>
      <c r="I952" s="7" t="str">
        <f t="shared" si="56"/>
        <v/>
      </c>
      <c r="J952" s="27" t="str">
        <f t="shared" ca="1" si="57"/>
        <v/>
      </c>
      <c r="K952" s="7" t="str">
        <f t="shared" si="58"/>
        <v/>
      </c>
      <c r="L952" s="13"/>
      <c r="M952" s="29" t="str">
        <f t="shared" si="59"/>
        <v/>
      </c>
    </row>
    <row r="953" spans="1:13" x14ac:dyDescent="0.35">
      <c r="A953" s="81"/>
      <c r="B953" s="13"/>
      <c r="C953" s="21"/>
      <c r="D953" s="14"/>
      <c r="E953" s="14"/>
      <c r="F953" s="14"/>
      <c r="G953" s="21"/>
      <c r="H953" s="53"/>
      <c r="I953" s="7" t="str">
        <f t="shared" si="56"/>
        <v/>
      </c>
      <c r="J953" s="27" t="str">
        <f t="shared" ca="1" si="57"/>
        <v/>
      </c>
      <c r="K953" s="7" t="str">
        <f t="shared" si="58"/>
        <v/>
      </c>
      <c r="L953" s="13"/>
      <c r="M953" s="29" t="str">
        <f t="shared" si="59"/>
        <v/>
      </c>
    </row>
    <row r="954" spans="1:13" x14ac:dyDescent="0.35">
      <c r="A954" s="81"/>
      <c r="B954" s="13"/>
      <c r="C954" s="21"/>
      <c r="D954" s="14"/>
      <c r="E954" s="14"/>
      <c r="F954" s="14"/>
      <c r="G954" s="21"/>
      <c r="H954" s="53"/>
      <c r="I954" s="7" t="str">
        <f t="shared" si="56"/>
        <v/>
      </c>
      <c r="J954" s="27" t="str">
        <f t="shared" ca="1" si="57"/>
        <v/>
      </c>
      <c r="K954" s="7" t="str">
        <f t="shared" si="58"/>
        <v/>
      </c>
      <c r="L954" s="13"/>
      <c r="M954" s="29" t="str">
        <f t="shared" si="59"/>
        <v/>
      </c>
    </row>
    <row r="955" spans="1:13" x14ac:dyDescent="0.35">
      <c r="A955" s="81"/>
      <c r="B955" s="13"/>
      <c r="C955" s="21"/>
      <c r="D955" s="14"/>
      <c r="E955" s="14"/>
      <c r="F955" s="14"/>
      <c r="G955" s="21"/>
      <c r="H955" s="53"/>
      <c r="I955" s="7" t="str">
        <f t="shared" si="56"/>
        <v/>
      </c>
      <c r="J955" s="27" t="str">
        <f t="shared" ca="1" si="57"/>
        <v/>
      </c>
      <c r="K955" s="7" t="str">
        <f t="shared" si="58"/>
        <v/>
      </c>
      <c r="L955" s="13"/>
      <c r="M955" s="29" t="str">
        <f t="shared" si="59"/>
        <v/>
      </c>
    </row>
    <row r="956" spans="1:13" x14ac:dyDescent="0.35">
      <c r="A956" s="81"/>
      <c r="B956" s="13"/>
      <c r="C956" s="21"/>
      <c r="D956" s="14"/>
      <c r="E956" s="14"/>
      <c r="F956" s="14"/>
      <c r="G956" s="21"/>
      <c r="H956" s="53"/>
      <c r="I956" s="7" t="str">
        <f t="shared" si="56"/>
        <v/>
      </c>
      <c r="J956" s="27" t="str">
        <f t="shared" ca="1" si="57"/>
        <v/>
      </c>
      <c r="K956" s="7" t="str">
        <f t="shared" si="58"/>
        <v/>
      </c>
      <c r="L956" s="13"/>
      <c r="M956" s="29" t="str">
        <f t="shared" si="59"/>
        <v/>
      </c>
    </row>
    <row r="957" spans="1:13" x14ac:dyDescent="0.35">
      <c r="A957" s="81"/>
      <c r="B957" s="13"/>
      <c r="C957" s="21"/>
      <c r="D957" s="14"/>
      <c r="E957" s="14"/>
      <c r="F957" s="14"/>
      <c r="G957" s="21"/>
      <c r="H957" s="53"/>
      <c r="I957" s="7" t="str">
        <f t="shared" si="56"/>
        <v/>
      </c>
      <c r="J957" s="27" t="str">
        <f t="shared" ca="1" si="57"/>
        <v/>
      </c>
      <c r="K957" s="7" t="str">
        <f t="shared" si="58"/>
        <v/>
      </c>
      <c r="L957" s="13"/>
      <c r="M957" s="29" t="str">
        <f t="shared" si="59"/>
        <v/>
      </c>
    </row>
    <row r="958" spans="1:13" x14ac:dyDescent="0.35">
      <c r="A958" s="81"/>
      <c r="B958" s="13"/>
      <c r="C958" s="21"/>
      <c r="D958" s="14"/>
      <c r="E958" s="14"/>
      <c r="F958" s="14"/>
      <c r="G958" s="21"/>
      <c r="H958" s="53"/>
      <c r="I958" s="7" t="str">
        <f t="shared" si="56"/>
        <v/>
      </c>
      <c r="J958" s="27" t="str">
        <f t="shared" ca="1" si="57"/>
        <v/>
      </c>
      <c r="K958" s="7" t="str">
        <f t="shared" si="58"/>
        <v/>
      </c>
      <c r="L958" s="13"/>
      <c r="M958" s="29" t="str">
        <f t="shared" si="59"/>
        <v/>
      </c>
    </row>
    <row r="959" spans="1:13" x14ac:dyDescent="0.35">
      <c r="A959" s="81"/>
      <c r="B959" s="13"/>
      <c r="C959" s="21"/>
      <c r="D959" s="14"/>
      <c r="E959" s="14"/>
      <c r="F959" s="14"/>
      <c r="G959" s="21"/>
      <c r="H959" s="53"/>
      <c r="I959" s="7" t="str">
        <f t="shared" si="56"/>
        <v/>
      </c>
      <c r="J959" s="27" t="str">
        <f t="shared" ca="1" si="57"/>
        <v/>
      </c>
      <c r="K959" s="7" t="str">
        <f t="shared" si="58"/>
        <v/>
      </c>
      <c r="L959" s="13"/>
      <c r="M959" s="29" t="str">
        <f t="shared" si="59"/>
        <v/>
      </c>
    </row>
    <row r="960" spans="1:13" x14ac:dyDescent="0.35">
      <c r="A960" s="81"/>
      <c r="B960" s="13"/>
      <c r="C960" s="21"/>
      <c r="D960" s="14"/>
      <c r="E960" s="14"/>
      <c r="F960" s="14"/>
      <c r="G960" s="21"/>
      <c r="H960" s="53"/>
      <c r="I960" s="7" t="str">
        <f t="shared" si="56"/>
        <v/>
      </c>
      <c r="J960" s="27" t="str">
        <f t="shared" ca="1" si="57"/>
        <v/>
      </c>
      <c r="K960" s="7" t="str">
        <f t="shared" si="58"/>
        <v/>
      </c>
      <c r="L960" s="13"/>
      <c r="M960" s="29" t="str">
        <f t="shared" si="59"/>
        <v/>
      </c>
    </row>
    <row r="961" spans="1:13" x14ac:dyDescent="0.35">
      <c r="A961" s="81"/>
      <c r="B961" s="13"/>
      <c r="C961" s="21"/>
      <c r="D961" s="14"/>
      <c r="E961" s="14"/>
      <c r="F961" s="14"/>
      <c r="G961" s="21"/>
      <c r="H961" s="53"/>
      <c r="I961" s="7" t="str">
        <f t="shared" si="56"/>
        <v/>
      </c>
      <c r="J961" s="27" t="str">
        <f t="shared" ca="1" si="57"/>
        <v/>
      </c>
      <c r="K961" s="7" t="str">
        <f t="shared" si="58"/>
        <v/>
      </c>
      <c r="L961" s="13"/>
      <c r="M961" s="29" t="str">
        <f t="shared" si="59"/>
        <v/>
      </c>
    </row>
    <row r="962" spans="1:13" x14ac:dyDescent="0.35">
      <c r="A962" s="81"/>
      <c r="B962" s="13"/>
      <c r="C962" s="21"/>
      <c r="D962" s="14"/>
      <c r="E962" s="14"/>
      <c r="F962" s="14"/>
      <c r="G962" s="21"/>
      <c r="H962" s="53"/>
      <c r="I962" s="7" t="str">
        <f t="shared" si="56"/>
        <v/>
      </c>
      <c r="J962" s="27" t="str">
        <f t="shared" ca="1" si="57"/>
        <v/>
      </c>
      <c r="K962" s="7" t="str">
        <f t="shared" si="58"/>
        <v/>
      </c>
      <c r="L962" s="13"/>
      <c r="M962" s="29" t="str">
        <f t="shared" si="59"/>
        <v/>
      </c>
    </row>
    <row r="963" spans="1:13" x14ac:dyDescent="0.35">
      <c r="A963" s="81"/>
      <c r="B963" s="13"/>
      <c r="C963" s="21"/>
      <c r="D963" s="14"/>
      <c r="E963" s="14"/>
      <c r="F963" s="14"/>
      <c r="G963" s="21"/>
      <c r="H963" s="53"/>
      <c r="I963" s="7" t="str">
        <f t="shared" ref="I963:I1002" si="60">IF($A963="","",IF($F963&lt;&gt;"","Envoyé DHL",IF($E963&lt;&gt;"","Reçu (à envoyer)",IF($D963&lt;&gt;"","Demandé (en attente)","À demander"))))</f>
        <v/>
      </c>
      <c r="J963" s="27" t="str">
        <f t="shared" ref="J963:J1002" ca="1" si="61">IF(AND($A963&lt;&gt;"",$D963&lt;&gt;"",$E963=""),TODAY()-$D963,"")</f>
        <v/>
      </c>
      <c r="K963" s="7" t="str">
        <f t="shared" ref="K963:K1002" si="62">IF($A963="","",IF(AND($J963&lt;&gt;"",N($J963)&gt;P_AlerteDoc),"Attente &gt; "&amp;P_AlerteDoc&amp;" jours",IF(AND($E963&lt;&gt;"",$F963=""),"Reçu : à envoyer par DHL","")))</f>
        <v/>
      </c>
      <c r="L963" s="13"/>
      <c r="M963" s="29" t="str">
        <f t="shared" ref="M963:M1002" si="63">IF($K963&lt;&gt;"",1,"")</f>
        <v/>
      </c>
    </row>
    <row r="964" spans="1:13" x14ac:dyDescent="0.35">
      <c r="A964" s="81"/>
      <c r="B964" s="13"/>
      <c r="C964" s="21"/>
      <c r="D964" s="14"/>
      <c r="E964" s="14"/>
      <c r="F964" s="14"/>
      <c r="G964" s="21"/>
      <c r="H964" s="53"/>
      <c r="I964" s="7" t="str">
        <f t="shared" si="60"/>
        <v/>
      </c>
      <c r="J964" s="27" t="str">
        <f t="shared" ca="1" si="61"/>
        <v/>
      </c>
      <c r="K964" s="7" t="str">
        <f t="shared" si="62"/>
        <v/>
      </c>
      <c r="L964" s="13"/>
      <c r="M964" s="29" t="str">
        <f t="shared" si="63"/>
        <v/>
      </c>
    </row>
    <row r="965" spans="1:13" x14ac:dyDescent="0.35">
      <c r="A965" s="81"/>
      <c r="B965" s="13"/>
      <c r="C965" s="21"/>
      <c r="D965" s="14"/>
      <c r="E965" s="14"/>
      <c r="F965" s="14"/>
      <c r="G965" s="21"/>
      <c r="H965" s="53"/>
      <c r="I965" s="7" t="str">
        <f t="shared" si="60"/>
        <v/>
      </c>
      <c r="J965" s="27" t="str">
        <f t="shared" ca="1" si="61"/>
        <v/>
      </c>
      <c r="K965" s="7" t="str">
        <f t="shared" si="62"/>
        <v/>
      </c>
      <c r="L965" s="13"/>
      <c r="M965" s="29" t="str">
        <f t="shared" si="63"/>
        <v/>
      </c>
    </row>
    <row r="966" spans="1:13" x14ac:dyDescent="0.35">
      <c r="A966" s="81"/>
      <c r="B966" s="13"/>
      <c r="C966" s="21"/>
      <c r="D966" s="14"/>
      <c r="E966" s="14"/>
      <c r="F966" s="14"/>
      <c r="G966" s="21"/>
      <c r="H966" s="53"/>
      <c r="I966" s="7" t="str">
        <f t="shared" si="60"/>
        <v/>
      </c>
      <c r="J966" s="27" t="str">
        <f t="shared" ca="1" si="61"/>
        <v/>
      </c>
      <c r="K966" s="7" t="str">
        <f t="shared" si="62"/>
        <v/>
      </c>
      <c r="L966" s="13"/>
      <c r="M966" s="29" t="str">
        <f t="shared" si="63"/>
        <v/>
      </c>
    </row>
    <row r="967" spans="1:13" x14ac:dyDescent="0.35">
      <c r="A967" s="81"/>
      <c r="B967" s="13"/>
      <c r="C967" s="21"/>
      <c r="D967" s="14"/>
      <c r="E967" s="14"/>
      <c r="F967" s="14"/>
      <c r="G967" s="21"/>
      <c r="H967" s="53"/>
      <c r="I967" s="7" t="str">
        <f t="shared" si="60"/>
        <v/>
      </c>
      <c r="J967" s="27" t="str">
        <f t="shared" ca="1" si="61"/>
        <v/>
      </c>
      <c r="K967" s="7" t="str">
        <f t="shared" si="62"/>
        <v/>
      </c>
      <c r="L967" s="13"/>
      <c r="M967" s="29" t="str">
        <f t="shared" si="63"/>
        <v/>
      </c>
    </row>
    <row r="968" spans="1:13" x14ac:dyDescent="0.35">
      <c r="A968" s="81"/>
      <c r="B968" s="13"/>
      <c r="C968" s="21"/>
      <c r="D968" s="14"/>
      <c r="E968" s="14"/>
      <c r="F968" s="14"/>
      <c r="G968" s="21"/>
      <c r="H968" s="53"/>
      <c r="I968" s="7" t="str">
        <f t="shared" si="60"/>
        <v/>
      </c>
      <c r="J968" s="27" t="str">
        <f t="shared" ca="1" si="61"/>
        <v/>
      </c>
      <c r="K968" s="7" t="str">
        <f t="shared" si="62"/>
        <v/>
      </c>
      <c r="L968" s="13"/>
      <c r="M968" s="29" t="str">
        <f t="shared" si="63"/>
        <v/>
      </c>
    </row>
    <row r="969" spans="1:13" x14ac:dyDescent="0.35">
      <c r="A969" s="81"/>
      <c r="B969" s="13"/>
      <c r="C969" s="21"/>
      <c r="D969" s="14"/>
      <c r="E969" s="14"/>
      <c r="F969" s="14"/>
      <c r="G969" s="21"/>
      <c r="H969" s="53"/>
      <c r="I969" s="7" t="str">
        <f t="shared" si="60"/>
        <v/>
      </c>
      <c r="J969" s="27" t="str">
        <f t="shared" ca="1" si="61"/>
        <v/>
      </c>
      <c r="K969" s="7" t="str">
        <f t="shared" si="62"/>
        <v/>
      </c>
      <c r="L969" s="13"/>
      <c r="M969" s="29" t="str">
        <f t="shared" si="63"/>
        <v/>
      </c>
    </row>
    <row r="970" spans="1:13" x14ac:dyDescent="0.35">
      <c r="A970" s="81"/>
      <c r="B970" s="13"/>
      <c r="C970" s="21"/>
      <c r="D970" s="14"/>
      <c r="E970" s="14"/>
      <c r="F970" s="14"/>
      <c r="G970" s="21"/>
      <c r="H970" s="53"/>
      <c r="I970" s="7" t="str">
        <f t="shared" si="60"/>
        <v/>
      </c>
      <c r="J970" s="27" t="str">
        <f t="shared" ca="1" si="61"/>
        <v/>
      </c>
      <c r="K970" s="7" t="str">
        <f t="shared" si="62"/>
        <v/>
      </c>
      <c r="L970" s="13"/>
      <c r="M970" s="29" t="str">
        <f t="shared" si="63"/>
        <v/>
      </c>
    </row>
    <row r="971" spans="1:13" x14ac:dyDescent="0.35">
      <c r="A971" s="81"/>
      <c r="B971" s="13"/>
      <c r="C971" s="21"/>
      <c r="D971" s="14"/>
      <c r="E971" s="14"/>
      <c r="F971" s="14"/>
      <c r="G971" s="21"/>
      <c r="H971" s="53"/>
      <c r="I971" s="7" t="str">
        <f t="shared" si="60"/>
        <v/>
      </c>
      <c r="J971" s="27" t="str">
        <f t="shared" ca="1" si="61"/>
        <v/>
      </c>
      <c r="K971" s="7" t="str">
        <f t="shared" si="62"/>
        <v/>
      </c>
      <c r="L971" s="13"/>
      <c r="M971" s="29" t="str">
        <f t="shared" si="63"/>
        <v/>
      </c>
    </row>
    <row r="972" spans="1:13" x14ac:dyDescent="0.35">
      <c r="A972" s="81"/>
      <c r="B972" s="13"/>
      <c r="C972" s="21"/>
      <c r="D972" s="14"/>
      <c r="E972" s="14"/>
      <c r="F972" s="14"/>
      <c r="G972" s="21"/>
      <c r="H972" s="53"/>
      <c r="I972" s="7" t="str">
        <f t="shared" si="60"/>
        <v/>
      </c>
      <c r="J972" s="27" t="str">
        <f t="shared" ca="1" si="61"/>
        <v/>
      </c>
      <c r="K972" s="7" t="str">
        <f t="shared" si="62"/>
        <v/>
      </c>
      <c r="L972" s="13"/>
      <c r="M972" s="29" t="str">
        <f t="shared" si="63"/>
        <v/>
      </c>
    </row>
    <row r="973" spans="1:13" x14ac:dyDescent="0.35">
      <c r="A973" s="81"/>
      <c r="B973" s="13"/>
      <c r="C973" s="21"/>
      <c r="D973" s="14"/>
      <c r="E973" s="14"/>
      <c r="F973" s="14"/>
      <c r="G973" s="21"/>
      <c r="H973" s="53"/>
      <c r="I973" s="7" t="str">
        <f t="shared" si="60"/>
        <v/>
      </c>
      <c r="J973" s="27" t="str">
        <f t="shared" ca="1" si="61"/>
        <v/>
      </c>
      <c r="K973" s="7" t="str">
        <f t="shared" si="62"/>
        <v/>
      </c>
      <c r="L973" s="13"/>
      <c r="M973" s="29" t="str">
        <f t="shared" si="63"/>
        <v/>
      </c>
    </row>
    <row r="974" spans="1:13" x14ac:dyDescent="0.35">
      <c r="A974" s="81"/>
      <c r="B974" s="13"/>
      <c r="C974" s="21"/>
      <c r="D974" s="14"/>
      <c r="E974" s="14"/>
      <c r="F974" s="14"/>
      <c r="G974" s="21"/>
      <c r="H974" s="53"/>
      <c r="I974" s="7" t="str">
        <f t="shared" si="60"/>
        <v/>
      </c>
      <c r="J974" s="27" t="str">
        <f t="shared" ca="1" si="61"/>
        <v/>
      </c>
      <c r="K974" s="7" t="str">
        <f t="shared" si="62"/>
        <v/>
      </c>
      <c r="L974" s="13"/>
      <c r="M974" s="29" t="str">
        <f t="shared" si="63"/>
        <v/>
      </c>
    </row>
    <row r="975" spans="1:13" x14ac:dyDescent="0.35">
      <c r="A975" s="81"/>
      <c r="B975" s="13"/>
      <c r="C975" s="21"/>
      <c r="D975" s="14"/>
      <c r="E975" s="14"/>
      <c r="F975" s="14"/>
      <c r="G975" s="21"/>
      <c r="H975" s="53"/>
      <c r="I975" s="7" t="str">
        <f t="shared" si="60"/>
        <v/>
      </c>
      <c r="J975" s="27" t="str">
        <f t="shared" ca="1" si="61"/>
        <v/>
      </c>
      <c r="K975" s="7" t="str">
        <f t="shared" si="62"/>
        <v/>
      </c>
      <c r="L975" s="13"/>
      <c r="M975" s="29" t="str">
        <f t="shared" si="63"/>
        <v/>
      </c>
    </row>
    <row r="976" spans="1:13" x14ac:dyDescent="0.35">
      <c r="A976" s="81"/>
      <c r="B976" s="13"/>
      <c r="C976" s="21"/>
      <c r="D976" s="14"/>
      <c r="E976" s="14"/>
      <c r="F976" s="14"/>
      <c r="G976" s="21"/>
      <c r="H976" s="53"/>
      <c r="I976" s="7" t="str">
        <f t="shared" si="60"/>
        <v/>
      </c>
      <c r="J976" s="27" t="str">
        <f t="shared" ca="1" si="61"/>
        <v/>
      </c>
      <c r="K976" s="7" t="str">
        <f t="shared" si="62"/>
        <v/>
      </c>
      <c r="L976" s="13"/>
      <c r="M976" s="29" t="str">
        <f t="shared" si="63"/>
        <v/>
      </c>
    </row>
    <row r="977" spans="1:13" x14ac:dyDescent="0.35">
      <c r="A977" s="81"/>
      <c r="B977" s="13"/>
      <c r="C977" s="21"/>
      <c r="D977" s="14"/>
      <c r="E977" s="14"/>
      <c r="F977" s="14"/>
      <c r="G977" s="21"/>
      <c r="H977" s="53"/>
      <c r="I977" s="7" t="str">
        <f t="shared" si="60"/>
        <v/>
      </c>
      <c r="J977" s="27" t="str">
        <f t="shared" ca="1" si="61"/>
        <v/>
      </c>
      <c r="K977" s="7" t="str">
        <f t="shared" si="62"/>
        <v/>
      </c>
      <c r="L977" s="13"/>
      <c r="M977" s="29" t="str">
        <f t="shared" si="63"/>
        <v/>
      </c>
    </row>
    <row r="978" spans="1:13" x14ac:dyDescent="0.35">
      <c r="A978" s="81"/>
      <c r="B978" s="13"/>
      <c r="C978" s="21"/>
      <c r="D978" s="14"/>
      <c r="E978" s="14"/>
      <c r="F978" s="14"/>
      <c r="G978" s="21"/>
      <c r="H978" s="53"/>
      <c r="I978" s="7" t="str">
        <f t="shared" si="60"/>
        <v/>
      </c>
      <c r="J978" s="27" t="str">
        <f t="shared" ca="1" si="61"/>
        <v/>
      </c>
      <c r="K978" s="7" t="str">
        <f t="shared" si="62"/>
        <v/>
      </c>
      <c r="L978" s="13"/>
      <c r="M978" s="29" t="str">
        <f t="shared" si="63"/>
        <v/>
      </c>
    </row>
    <row r="979" spans="1:13" x14ac:dyDescent="0.35">
      <c r="A979" s="81"/>
      <c r="B979" s="13"/>
      <c r="C979" s="21"/>
      <c r="D979" s="14"/>
      <c r="E979" s="14"/>
      <c r="F979" s="14"/>
      <c r="G979" s="21"/>
      <c r="H979" s="53"/>
      <c r="I979" s="7" t="str">
        <f t="shared" si="60"/>
        <v/>
      </c>
      <c r="J979" s="27" t="str">
        <f t="shared" ca="1" si="61"/>
        <v/>
      </c>
      <c r="K979" s="7" t="str">
        <f t="shared" si="62"/>
        <v/>
      </c>
      <c r="L979" s="13"/>
      <c r="M979" s="29" t="str">
        <f t="shared" si="63"/>
        <v/>
      </c>
    </row>
    <row r="980" spans="1:13" x14ac:dyDescent="0.35">
      <c r="A980" s="81"/>
      <c r="B980" s="13"/>
      <c r="C980" s="21"/>
      <c r="D980" s="14"/>
      <c r="E980" s="14"/>
      <c r="F980" s="14"/>
      <c r="G980" s="21"/>
      <c r="H980" s="53"/>
      <c r="I980" s="7" t="str">
        <f t="shared" si="60"/>
        <v/>
      </c>
      <c r="J980" s="27" t="str">
        <f t="shared" ca="1" si="61"/>
        <v/>
      </c>
      <c r="K980" s="7" t="str">
        <f t="shared" si="62"/>
        <v/>
      </c>
      <c r="L980" s="13"/>
      <c r="M980" s="29" t="str">
        <f t="shared" si="63"/>
        <v/>
      </c>
    </row>
    <row r="981" spans="1:13" x14ac:dyDescent="0.35">
      <c r="A981" s="81"/>
      <c r="B981" s="13"/>
      <c r="C981" s="21"/>
      <c r="D981" s="14"/>
      <c r="E981" s="14"/>
      <c r="F981" s="14"/>
      <c r="G981" s="21"/>
      <c r="H981" s="53"/>
      <c r="I981" s="7" t="str">
        <f t="shared" si="60"/>
        <v/>
      </c>
      <c r="J981" s="27" t="str">
        <f t="shared" ca="1" si="61"/>
        <v/>
      </c>
      <c r="K981" s="7" t="str">
        <f t="shared" si="62"/>
        <v/>
      </c>
      <c r="L981" s="13"/>
      <c r="M981" s="29" t="str">
        <f t="shared" si="63"/>
        <v/>
      </c>
    </row>
    <row r="982" spans="1:13" x14ac:dyDescent="0.35">
      <c r="A982" s="81"/>
      <c r="B982" s="13"/>
      <c r="C982" s="21"/>
      <c r="D982" s="14"/>
      <c r="E982" s="14"/>
      <c r="F982" s="14"/>
      <c r="G982" s="21"/>
      <c r="H982" s="53"/>
      <c r="I982" s="7" t="str">
        <f t="shared" si="60"/>
        <v/>
      </c>
      <c r="J982" s="27" t="str">
        <f t="shared" ca="1" si="61"/>
        <v/>
      </c>
      <c r="K982" s="7" t="str">
        <f t="shared" si="62"/>
        <v/>
      </c>
      <c r="L982" s="13"/>
      <c r="M982" s="29" t="str">
        <f t="shared" si="63"/>
        <v/>
      </c>
    </row>
    <row r="983" spans="1:13" x14ac:dyDescent="0.35">
      <c r="A983" s="81"/>
      <c r="B983" s="13"/>
      <c r="C983" s="21"/>
      <c r="D983" s="14"/>
      <c r="E983" s="14"/>
      <c r="F983" s="14"/>
      <c r="G983" s="21"/>
      <c r="H983" s="53"/>
      <c r="I983" s="7" t="str">
        <f t="shared" si="60"/>
        <v/>
      </c>
      <c r="J983" s="27" t="str">
        <f t="shared" ca="1" si="61"/>
        <v/>
      </c>
      <c r="K983" s="7" t="str">
        <f t="shared" si="62"/>
        <v/>
      </c>
      <c r="L983" s="13"/>
      <c r="M983" s="29" t="str">
        <f t="shared" si="63"/>
        <v/>
      </c>
    </row>
    <row r="984" spans="1:13" x14ac:dyDescent="0.35">
      <c r="A984" s="81"/>
      <c r="B984" s="13"/>
      <c r="C984" s="21"/>
      <c r="D984" s="14"/>
      <c r="E984" s="14"/>
      <c r="F984" s="14"/>
      <c r="G984" s="21"/>
      <c r="H984" s="53"/>
      <c r="I984" s="7" t="str">
        <f t="shared" si="60"/>
        <v/>
      </c>
      <c r="J984" s="27" t="str">
        <f t="shared" ca="1" si="61"/>
        <v/>
      </c>
      <c r="K984" s="7" t="str">
        <f t="shared" si="62"/>
        <v/>
      </c>
      <c r="L984" s="13"/>
      <c r="M984" s="29" t="str">
        <f t="shared" si="63"/>
        <v/>
      </c>
    </row>
    <row r="985" spans="1:13" x14ac:dyDescent="0.35">
      <c r="A985" s="81"/>
      <c r="B985" s="13"/>
      <c r="C985" s="21"/>
      <c r="D985" s="14"/>
      <c r="E985" s="14"/>
      <c r="F985" s="14"/>
      <c r="G985" s="21"/>
      <c r="H985" s="53"/>
      <c r="I985" s="7" t="str">
        <f t="shared" si="60"/>
        <v/>
      </c>
      <c r="J985" s="27" t="str">
        <f t="shared" ca="1" si="61"/>
        <v/>
      </c>
      <c r="K985" s="7" t="str">
        <f t="shared" si="62"/>
        <v/>
      </c>
      <c r="L985" s="13"/>
      <c r="M985" s="29" t="str">
        <f t="shared" si="63"/>
        <v/>
      </c>
    </row>
    <row r="986" spans="1:13" x14ac:dyDescent="0.35">
      <c r="A986" s="81"/>
      <c r="B986" s="13"/>
      <c r="C986" s="21"/>
      <c r="D986" s="14"/>
      <c r="E986" s="14"/>
      <c r="F986" s="14"/>
      <c r="G986" s="21"/>
      <c r="H986" s="53"/>
      <c r="I986" s="7" t="str">
        <f t="shared" si="60"/>
        <v/>
      </c>
      <c r="J986" s="27" t="str">
        <f t="shared" ca="1" si="61"/>
        <v/>
      </c>
      <c r="K986" s="7" t="str">
        <f t="shared" si="62"/>
        <v/>
      </c>
      <c r="L986" s="13"/>
      <c r="M986" s="29" t="str">
        <f t="shared" si="63"/>
        <v/>
      </c>
    </row>
    <row r="987" spans="1:13" x14ac:dyDescent="0.35">
      <c r="A987" s="81"/>
      <c r="B987" s="13"/>
      <c r="C987" s="21"/>
      <c r="D987" s="14"/>
      <c r="E987" s="14"/>
      <c r="F987" s="14"/>
      <c r="G987" s="21"/>
      <c r="H987" s="53"/>
      <c r="I987" s="7" t="str">
        <f t="shared" si="60"/>
        <v/>
      </c>
      <c r="J987" s="27" t="str">
        <f t="shared" ca="1" si="61"/>
        <v/>
      </c>
      <c r="K987" s="7" t="str">
        <f t="shared" si="62"/>
        <v/>
      </c>
      <c r="L987" s="13"/>
      <c r="M987" s="29" t="str">
        <f t="shared" si="63"/>
        <v/>
      </c>
    </row>
    <row r="988" spans="1:13" x14ac:dyDescent="0.35">
      <c r="A988" s="81"/>
      <c r="B988" s="13"/>
      <c r="C988" s="21"/>
      <c r="D988" s="14"/>
      <c r="E988" s="14"/>
      <c r="F988" s="14"/>
      <c r="G988" s="21"/>
      <c r="H988" s="53"/>
      <c r="I988" s="7" t="str">
        <f t="shared" si="60"/>
        <v/>
      </c>
      <c r="J988" s="27" t="str">
        <f t="shared" ca="1" si="61"/>
        <v/>
      </c>
      <c r="K988" s="7" t="str">
        <f t="shared" si="62"/>
        <v/>
      </c>
      <c r="L988" s="13"/>
      <c r="M988" s="29" t="str">
        <f t="shared" si="63"/>
        <v/>
      </c>
    </row>
    <row r="989" spans="1:13" x14ac:dyDescent="0.35">
      <c r="A989" s="81"/>
      <c r="B989" s="13"/>
      <c r="C989" s="21"/>
      <c r="D989" s="14"/>
      <c r="E989" s="14"/>
      <c r="F989" s="14"/>
      <c r="G989" s="21"/>
      <c r="H989" s="53"/>
      <c r="I989" s="7" t="str">
        <f t="shared" si="60"/>
        <v/>
      </c>
      <c r="J989" s="27" t="str">
        <f t="shared" ca="1" si="61"/>
        <v/>
      </c>
      <c r="K989" s="7" t="str">
        <f t="shared" si="62"/>
        <v/>
      </c>
      <c r="L989" s="13"/>
      <c r="M989" s="29" t="str">
        <f t="shared" si="63"/>
        <v/>
      </c>
    </row>
    <row r="990" spans="1:13" x14ac:dyDescent="0.35">
      <c r="A990" s="81"/>
      <c r="B990" s="13"/>
      <c r="C990" s="21"/>
      <c r="D990" s="14"/>
      <c r="E990" s="14"/>
      <c r="F990" s="14"/>
      <c r="G990" s="21"/>
      <c r="H990" s="53"/>
      <c r="I990" s="7" t="str">
        <f t="shared" si="60"/>
        <v/>
      </c>
      <c r="J990" s="27" t="str">
        <f t="shared" ca="1" si="61"/>
        <v/>
      </c>
      <c r="K990" s="7" t="str">
        <f t="shared" si="62"/>
        <v/>
      </c>
      <c r="L990" s="13"/>
      <c r="M990" s="29" t="str">
        <f t="shared" si="63"/>
        <v/>
      </c>
    </row>
    <row r="991" spans="1:13" x14ac:dyDescent="0.35">
      <c r="A991" s="81"/>
      <c r="B991" s="13"/>
      <c r="C991" s="21"/>
      <c r="D991" s="14"/>
      <c r="E991" s="14"/>
      <c r="F991" s="14"/>
      <c r="G991" s="21"/>
      <c r="H991" s="53"/>
      <c r="I991" s="7" t="str">
        <f t="shared" si="60"/>
        <v/>
      </c>
      <c r="J991" s="27" t="str">
        <f t="shared" ca="1" si="61"/>
        <v/>
      </c>
      <c r="K991" s="7" t="str">
        <f t="shared" si="62"/>
        <v/>
      </c>
      <c r="L991" s="13"/>
      <c r="M991" s="29" t="str">
        <f t="shared" si="63"/>
        <v/>
      </c>
    </row>
    <row r="992" spans="1:13" x14ac:dyDescent="0.35">
      <c r="A992" s="81"/>
      <c r="B992" s="13"/>
      <c r="C992" s="21"/>
      <c r="D992" s="14"/>
      <c r="E992" s="14"/>
      <c r="F992" s="14"/>
      <c r="G992" s="21"/>
      <c r="H992" s="53"/>
      <c r="I992" s="7" t="str">
        <f t="shared" si="60"/>
        <v/>
      </c>
      <c r="J992" s="27" t="str">
        <f t="shared" ca="1" si="61"/>
        <v/>
      </c>
      <c r="K992" s="7" t="str">
        <f t="shared" si="62"/>
        <v/>
      </c>
      <c r="L992" s="13"/>
      <c r="M992" s="29" t="str">
        <f t="shared" si="63"/>
        <v/>
      </c>
    </row>
    <row r="993" spans="1:13" x14ac:dyDescent="0.35">
      <c r="A993" s="81"/>
      <c r="B993" s="13"/>
      <c r="C993" s="21"/>
      <c r="D993" s="14"/>
      <c r="E993" s="14"/>
      <c r="F993" s="14"/>
      <c r="G993" s="21"/>
      <c r="H993" s="53"/>
      <c r="I993" s="7" t="str">
        <f t="shared" si="60"/>
        <v/>
      </c>
      <c r="J993" s="27" t="str">
        <f t="shared" ca="1" si="61"/>
        <v/>
      </c>
      <c r="K993" s="7" t="str">
        <f t="shared" si="62"/>
        <v/>
      </c>
      <c r="L993" s="13"/>
      <c r="M993" s="29" t="str">
        <f t="shared" si="63"/>
        <v/>
      </c>
    </row>
    <row r="994" spans="1:13" x14ac:dyDescent="0.35">
      <c r="A994" s="81"/>
      <c r="B994" s="13"/>
      <c r="C994" s="21"/>
      <c r="D994" s="14"/>
      <c r="E994" s="14"/>
      <c r="F994" s="14"/>
      <c r="G994" s="21"/>
      <c r="H994" s="53"/>
      <c r="I994" s="7" t="str">
        <f t="shared" si="60"/>
        <v/>
      </c>
      <c r="J994" s="27" t="str">
        <f t="shared" ca="1" si="61"/>
        <v/>
      </c>
      <c r="K994" s="7" t="str">
        <f t="shared" si="62"/>
        <v/>
      </c>
      <c r="L994" s="13"/>
      <c r="M994" s="29" t="str">
        <f t="shared" si="63"/>
        <v/>
      </c>
    </row>
    <row r="995" spans="1:13" x14ac:dyDescent="0.35">
      <c r="A995" s="81"/>
      <c r="B995" s="13"/>
      <c r="C995" s="21"/>
      <c r="D995" s="14"/>
      <c r="E995" s="14"/>
      <c r="F995" s="14"/>
      <c r="G995" s="21"/>
      <c r="H995" s="53"/>
      <c r="I995" s="7" t="str">
        <f t="shared" si="60"/>
        <v/>
      </c>
      <c r="J995" s="27" t="str">
        <f t="shared" ca="1" si="61"/>
        <v/>
      </c>
      <c r="K995" s="7" t="str">
        <f t="shared" si="62"/>
        <v/>
      </c>
      <c r="L995" s="13"/>
      <c r="M995" s="29" t="str">
        <f t="shared" si="63"/>
        <v/>
      </c>
    </row>
    <row r="996" spans="1:13" x14ac:dyDescent="0.35">
      <c r="A996" s="81"/>
      <c r="B996" s="13"/>
      <c r="C996" s="21"/>
      <c r="D996" s="14"/>
      <c r="E996" s="14"/>
      <c r="F996" s="14"/>
      <c r="G996" s="21"/>
      <c r="H996" s="53"/>
      <c r="I996" s="7" t="str">
        <f t="shared" si="60"/>
        <v/>
      </c>
      <c r="J996" s="27" t="str">
        <f t="shared" ca="1" si="61"/>
        <v/>
      </c>
      <c r="K996" s="7" t="str">
        <f t="shared" si="62"/>
        <v/>
      </c>
      <c r="L996" s="13"/>
      <c r="M996" s="29" t="str">
        <f t="shared" si="63"/>
        <v/>
      </c>
    </row>
    <row r="997" spans="1:13" x14ac:dyDescent="0.35">
      <c r="A997" s="81"/>
      <c r="B997" s="13"/>
      <c r="C997" s="21"/>
      <c r="D997" s="14"/>
      <c r="E997" s="14"/>
      <c r="F997" s="14"/>
      <c r="G997" s="21"/>
      <c r="H997" s="53"/>
      <c r="I997" s="7" t="str">
        <f t="shared" si="60"/>
        <v/>
      </c>
      <c r="J997" s="27" t="str">
        <f t="shared" ca="1" si="61"/>
        <v/>
      </c>
      <c r="K997" s="7" t="str">
        <f t="shared" si="62"/>
        <v/>
      </c>
      <c r="L997" s="13"/>
      <c r="M997" s="29" t="str">
        <f t="shared" si="63"/>
        <v/>
      </c>
    </row>
    <row r="998" spans="1:13" x14ac:dyDescent="0.35">
      <c r="A998" s="81"/>
      <c r="B998" s="13"/>
      <c r="C998" s="21"/>
      <c r="D998" s="14"/>
      <c r="E998" s="14"/>
      <c r="F998" s="14"/>
      <c r="G998" s="21"/>
      <c r="H998" s="53"/>
      <c r="I998" s="7" t="str">
        <f t="shared" si="60"/>
        <v/>
      </c>
      <c r="J998" s="27" t="str">
        <f t="shared" ca="1" si="61"/>
        <v/>
      </c>
      <c r="K998" s="7" t="str">
        <f t="shared" si="62"/>
        <v/>
      </c>
      <c r="L998" s="13"/>
      <c r="M998" s="29" t="str">
        <f t="shared" si="63"/>
        <v/>
      </c>
    </row>
    <row r="999" spans="1:13" x14ac:dyDescent="0.35">
      <c r="A999" s="81"/>
      <c r="B999" s="13"/>
      <c r="C999" s="21"/>
      <c r="D999" s="14"/>
      <c r="E999" s="14"/>
      <c r="F999" s="14"/>
      <c r="G999" s="21"/>
      <c r="H999" s="53"/>
      <c r="I999" s="7" t="str">
        <f t="shared" si="60"/>
        <v/>
      </c>
      <c r="J999" s="27" t="str">
        <f t="shared" ca="1" si="61"/>
        <v/>
      </c>
      <c r="K999" s="7" t="str">
        <f t="shared" si="62"/>
        <v/>
      </c>
      <c r="L999" s="13"/>
      <c r="M999" s="29" t="str">
        <f t="shared" si="63"/>
        <v/>
      </c>
    </row>
    <row r="1000" spans="1:13" x14ac:dyDescent="0.35">
      <c r="A1000" s="81"/>
      <c r="B1000" s="13"/>
      <c r="C1000" s="21"/>
      <c r="D1000" s="14"/>
      <c r="E1000" s="14"/>
      <c r="F1000" s="14"/>
      <c r="G1000" s="21"/>
      <c r="H1000" s="53"/>
      <c r="I1000" s="7" t="str">
        <f t="shared" si="60"/>
        <v/>
      </c>
      <c r="J1000" s="27" t="str">
        <f t="shared" ca="1" si="61"/>
        <v/>
      </c>
      <c r="K1000" s="7" t="str">
        <f t="shared" si="62"/>
        <v/>
      </c>
      <c r="L1000" s="13"/>
      <c r="M1000" s="29" t="str">
        <f t="shared" si="63"/>
        <v/>
      </c>
    </row>
    <row r="1001" spans="1:13" x14ac:dyDescent="0.35">
      <c r="A1001" s="81"/>
      <c r="B1001" s="13"/>
      <c r="C1001" s="21"/>
      <c r="D1001" s="14"/>
      <c r="E1001" s="14"/>
      <c r="F1001" s="14"/>
      <c r="G1001" s="21"/>
      <c r="H1001" s="53"/>
      <c r="I1001" s="7" t="str">
        <f t="shared" si="60"/>
        <v/>
      </c>
      <c r="J1001" s="27" t="str">
        <f t="shared" ca="1" si="61"/>
        <v/>
      </c>
      <c r="K1001" s="7" t="str">
        <f t="shared" si="62"/>
        <v/>
      </c>
      <c r="L1001" s="13"/>
      <c r="M1001" s="29" t="str">
        <f t="shared" si="63"/>
        <v/>
      </c>
    </row>
    <row r="1002" spans="1:13" x14ac:dyDescent="0.35">
      <c r="A1002" s="81"/>
      <c r="B1002" s="13"/>
      <c r="C1002" s="21"/>
      <c r="D1002" s="14"/>
      <c r="E1002" s="14"/>
      <c r="F1002" s="14"/>
      <c r="G1002" s="21"/>
      <c r="H1002" s="53"/>
      <c r="I1002" s="7" t="str">
        <f t="shared" si="60"/>
        <v/>
      </c>
      <c r="J1002" s="27" t="str">
        <f t="shared" ca="1" si="61"/>
        <v/>
      </c>
      <c r="K1002" s="7" t="str">
        <f t="shared" si="62"/>
        <v/>
      </c>
      <c r="L1002" s="13"/>
      <c r="M1002" s="29" t="str">
        <f t="shared" si="63"/>
        <v/>
      </c>
    </row>
  </sheetData>
  <mergeCells count="1">
    <mergeCell ref="A1:M1"/>
  </mergeCells>
  <conditionalFormatting sqref="I3:I1002">
    <cfRule type="cellIs" dxfId="11" priority="1" operator="equal">
      <formula>"Envoyé DHL"</formula>
    </cfRule>
    <cfRule type="cellIs" dxfId="10" priority="2" operator="equal">
      <formula>"Reçu (à envoyer)"</formula>
    </cfRule>
    <cfRule type="cellIs" dxfId="9" priority="3" operator="equal">
      <formula>"Demandé (en attente)"</formula>
    </cfRule>
    <cfRule type="cellIs" dxfId="8" priority="4" operator="equal">
      <formula>"À demander"</formula>
    </cfRule>
  </conditionalFormatting>
  <conditionalFormatting sqref="K3:K1002">
    <cfRule type="expression" dxfId="7" priority="5">
      <formula>LEN($K3)&gt;0</formula>
    </cfRule>
  </conditionalFormatting>
  <dataValidations count="3">
    <dataValidation type="list" allowBlank="1" showErrorMessage="1" errorTitle="BL inconnu" error="Ce BL introuvable. Ajoutez-le d'abord dans la feuille Connaissements." sqref="A3:A1002" xr:uid="{00000000-0002-0000-0600-000000000000}">
      <formula1>L_BL</formula1>
    </dataValidation>
    <dataValidation type="list" errorStyle="warning" allowBlank="1" showErrorMessage="1" errorTitle="Document absent de la liste" error="Ce type de document n'est pas dans la feuille Listes. Cliquez sur Oui pour le garder." sqref="B3:B1002" xr:uid="{00000000-0002-0000-0600-000001000000}">
      <formula1>L_Types_Document</formula1>
    </dataValidation>
    <dataValidation type="date" operator="greaterThan" allowBlank="1" showErrorMessage="1" errorTitle="Date non valide" error="Saisissez une date, par exemple 10/10/2026." sqref="D3:F1002" xr:uid="{00000000-0002-0000-0600-000002000000}">
      <formula1>36526</formula1>
    </dataValidation>
  </dataValidations>
  <pageMargins left="0.75" right="0.75" top="1" bottom="1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5623"/>
    <pageSetUpPr fitToPage="1"/>
  </sheetPr>
  <dimension ref="A1:I1504"/>
  <sheetViews>
    <sheetView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baseColWidth="10" defaultColWidth="8.7265625" defaultRowHeight="14.5" x14ac:dyDescent="0.35"/>
  <cols>
    <col min="1" max="1" width="14" customWidth="1"/>
    <col min="2" max="2" width="28" customWidth="1"/>
    <col min="3" max="4" width="13" customWidth="1"/>
    <col min="5" max="5" width="22" customWidth="1"/>
    <col min="6" max="6" width="15" customWidth="1"/>
    <col min="7" max="7" width="12" customWidth="1"/>
    <col min="8" max="8" width="34" customWidth="1"/>
    <col min="9" max="9" width="6" hidden="1" customWidth="1"/>
  </cols>
  <sheetData>
    <row r="1" spans="1:9" ht="20" x14ac:dyDescent="0.4">
      <c r="A1" s="19" t="s">
        <v>117</v>
      </c>
    </row>
    <row r="2" spans="1:9" ht="62" hidden="1" customHeight="1" x14ac:dyDescent="0.35">
      <c r="A2" s="49" t="s">
        <v>118</v>
      </c>
      <c r="B2" s="50"/>
      <c r="C2" s="50"/>
      <c r="D2" s="50"/>
      <c r="E2" s="50"/>
      <c r="F2" s="50"/>
      <c r="G2" s="50"/>
      <c r="H2" s="50"/>
      <c r="I2" s="50"/>
    </row>
    <row r="4" spans="1:9" ht="36" customHeight="1" x14ac:dyDescent="0.35">
      <c r="A4" s="12" t="s">
        <v>39</v>
      </c>
      <c r="B4" s="12" t="s">
        <v>47</v>
      </c>
      <c r="C4" s="12" t="s">
        <v>48</v>
      </c>
      <c r="D4" s="12" t="s">
        <v>119</v>
      </c>
      <c r="E4" s="12" t="s">
        <v>49</v>
      </c>
      <c r="F4" s="20" t="s">
        <v>120</v>
      </c>
      <c r="G4" s="20" t="s">
        <v>50</v>
      </c>
      <c r="H4" s="12" t="s">
        <v>121</v>
      </c>
      <c r="I4" s="20" t="s">
        <v>105</v>
      </c>
    </row>
    <row r="5" spans="1:9" x14ac:dyDescent="0.35">
      <c r="A5" s="21"/>
      <c r="B5" s="13"/>
      <c r="C5" s="14"/>
      <c r="D5" s="14"/>
      <c r="E5" s="13"/>
      <c r="F5" s="7"/>
      <c r="G5" s="27"/>
      <c r="H5" s="13"/>
      <c r="I5" s="29"/>
    </row>
    <row r="6" spans="1:9" x14ac:dyDescent="0.35">
      <c r="A6" s="21"/>
      <c r="B6" s="13"/>
      <c r="C6" s="14"/>
      <c r="D6" s="14"/>
      <c r="E6" s="13"/>
      <c r="F6" s="7"/>
      <c r="G6" s="27"/>
      <c r="H6" s="13"/>
      <c r="I6" s="29"/>
    </row>
    <row r="7" spans="1:9" x14ac:dyDescent="0.35">
      <c r="A7" s="21"/>
      <c r="B7" s="13"/>
      <c r="C7" s="14"/>
      <c r="D7" s="14"/>
      <c r="E7" s="13"/>
      <c r="F7" s="7"/>
      <c r="G7" s="27"/>
      <c r="H7" s="13"/>
      <c r="I7" s="29"/>
    </row>
    <row r="8" spans="1:9" x14ac:dyDescent="0.35">
      <c r="A8" s="21"/>
      <c r="B8" s="13"/>
      <c r="C8" s="14"/>
      <c r="D8" s="14"/>
      <c r="E8" s="13"/>
      <c r="F8" s="7"/>
      <c r="G8" s="27"/>
      <c r="H8" s="13"/>
      <c r="I8" s="29"/>
    </row>
    <row r="9" spans="1:9" x14ac:dyDescent="0.35">
      <c r="A9" s="21"/>
      <c r="B9" s="13"/>
      <c r="C9" s="14"/>
      <c r="D9" s="14"/>
      <c r="E9" s="13"/>
      <c r="F9" s="7" t="str">
        <f t="shared" ref="F5:F68" ca="1" si="0">IF($B9="","",IF($D9&lt;&gt;"","Fait",IF($C9="","Non planifié",IF(N($C9)&lt;TODAY(),"En retard","À venir"))))</f>
        <v/>
      </c>
      <c r="G9" s="27" t="str">
        <f t="shared" ref="G5:G68" ca="1" si="1">IF($B9="","",IF(AND($C9&lt;&gt;"",$D9&lt;&gt;""),$D9-$C9,IF($F9="En retard",TODAY()-$C9,"")))</f>
        <v/>
      </c>
      <c r="H9" s="13"/>
      <c r="I9" s="29" t="str">
        <f t="shared" ref="I5:I68" ca="1" si="2">IF($F9="En retard",1,"")</f>
        <v/>
      </c>
    </row>
    <row r="10" spans="1:9" x14ac:dyDescent="0.35">
      <c r="A10" s="21"/>
      <c r="B10" s="13"/>
      <c r="C10" s="14"/>
      <c r="D10" s="14"/>
      <c r="E10" s="13"/>
      <c r="F10" s="7" t="str">
        <f t="shared" ca="1" si="0"/>
        <v/>
      </c>
      <c r="G10" s="27" t="str">
        <f t="shared" ca="1" si="1"/>
        <v/>
      </c>
      <c r="H10" s="13"/>
      <c r="I10" s="29" t="str">
        <f t="shared" ca="1" si="2"/>
        <v/>
      </c>
    </row>
    <row r="11" spans="1:9" x14ac:dyDescent="0.35">
      <c r="A11" s="21"/>
      <c r="B11" s="13"/>
      <c r="C11" s="14"/>
      <c r="D11" s="14"/>
      <c r="E11" s="13"/>
      <c r="F11" s="7" t="str">
        <f t="shared" ca="1" si="0"/>
        <v/>
      </c>
      <c r="G11" s="27" t="str">
        <f t="shared" ca="1" si="1"/>
        <v/>
      </c>
      <c r="H11" s="13"/>
      <c r="I11" s="29" t="str">
        <f t="shared" ca="1" si="2"/>
        <v/>
      </c>
    </row>
    <row r="12" spans="1:9" x14ac:dyDescent="0.35">
      <c r="A12" s="21"/>
      <c r="B12" s="13"/>
      <c r="C12" s="14"/>
      <c r="D12" s="14"/>
      <c r="E12" s="13"/>
      <c r="F12" s="7" t="str">
        <f t="shared" ca="1" si="0"/>
        <v/>
      </c>
      <c r="G12" s="27" t="str">
        <f t="shared" ca="1" si="1"/>
        <v/>
      </c>
      <c r="H12" s="13"/>
      <c r="I12" s="29" t="str">
        <f t="shared" ca="1" si="2"/>
        <v/>
      </c>
    </row>
    <row r="13" spans="1:9" x14ac:dyDescent="0.35">
      <c r="A13" s="21"/>
      <c r="B13" s="13"/>
      <c r="C13" s="14"/>
      <c r="D13" s="14"/>
      <c r="E13" s="13"/>
      <c r="F13" s="7" t="str">
        <f t="shared" ca="1" si="0"/>
        <v/>
      </c>
      <c r="G13" s="27" t="str">
        <f t="shared" ca="1" si="1"/>
        <v/>
      </c>
      <c r="H13" s="13"/>
      <c r="I13" s="29" t="str">
        <f t="shared" ca="1" si="2"/>
        <v/>
      </c>
    </row>
    <row r="14" spans="1:9" x14ac:dyDescent="0.35">
      <c r="A14" s="21"/>
      <c r="B14" s="13"/>
      <c r="C14" s="14"/>
      <c r="D14" s="14"/>
      <c r="E14" s="13"/>
      <c r="F14" s="7" t="str">
        <f t="shared" ca="1" si="0"/>
        <v/>
      </c>
      <c r="G14" s="27" t="str">
        <f t="shared" ca="1" si="1"/>
        <v/>
      </c>
      <c r="H14" s="13"/>
      <c r="I14" s="29" t="str">
        <f t="shared" ca="1" si="2"/>
        <v/>
      </c>
    </row>
    <row r="15" spans="1:9" x14ac:dyDescent="0.35">
      <c r="A15" s="21"/>
      <c r="B15" s="13"/>
      <c r="C15" s="14"/>
      <c r="D15" s="14"/>
      <c r="E15" s="13"/>
      <c r="F15" s="7" t="str">
        <f t="shared" ca="1" si="0"/>
        <v/>
      </c>
      <c r="G15" s="27" t="str">
        <f t="shared" ca="1" si="1"/>
        <v/>
      </c>
      <c r="H15" s="13"/>
      <c r="I15" s="29" t="str">
        <f t="shared" ca="1" si="2"/>
        <v/>
      </c>
    </row>
    <row r="16" spans="1:9" x14ac:dyDescent="0.35">
      <c r="A16" s="21"/>
      <c r="B16" s="13"/>
      <c r="C16" s="14"/>
      <c r="D16" s="14"/>
      <c r="E16" s="13"/>
      <c r="F16" s="7" t="str">
        <f t="shared" ca="1" si="0"/>
        <v/>
      </c>
      <c r="G16" s="27" t="str">
        <f t="shared" ca="1" si="1"/>
        <v/>
      </c>
      <c r="H16" s="13"/>
      <c r="I16" s="29" t="str">
        <f t="shared" ca="1" si="2"/>
        <v/>
      </c>
    </row>
    <row r="17" spans="1:9" x14ac:dyDescent="0.35">
      <c r="A17" s="21"/>
      <c r="B17" s="13"/>
      <c r="C17" s="14"/>
      <c r="D17" s="14"/>
      <c r="E17" s="13"/>
      <c r="F17" s="7" t="str">
        <f t="shared" ca="1" si="0"/>
        <v/>
      </c>
      <c r="G17" s="27" t="str">
        <f t="shared" ca="1" si="1"/>
        <v/>
      </c>
      <c r="H17" s="13"/>
      <c r="I17" s="29" t="str">
        <f t="shared" ca="1" si="2"/>
        <v/>
      </c>
    </row>
    <row r="18" spans="1:9" x14ac:dyDescent="0.35">
      <c r="A18" s="21"/>
      <c r="B18" s="13"/>
      <c r="C18" s="14"/>
      <c r="D18" s="14"/>
      <c r="E18" s="13"/>
      <c r="F18" s="7" t="str">
        <f t="shared" ca="1" si="0"/>
        <v/>
      </c>
      <c r="G18" s="27" t="str">
        <f t="shared" ca="1" si="1"/>
        <v/>
      </c>
      <c r="H18" s="13"/>
      <c r="I18" s="29" t="str">
        <f t="shared" ca="1" si="2"/>
        <v/>
      </c>
    </row>
    <row r="19" spans="1:9" x14ac:dyDescent="0.35">
      <c r="A19" s="21"/>
      <c r="B19" s="13"/>
      <c r="C19" s="14"/>
      <c r="D19" s="14"/>
      <c r="E19" s="13"/>
      <c r="F19" s="7" t="str">
        <f t="shared" ca="1" si="0"/>
        <v/>
      </c>
      <c r="G19" s="27" t="str">
        <f t="shared" ca="1" si="1"/>
        <v/>
      </c>
      <c r="H19" s="13"/>
      <c r="I19" s="29" t="str">
        <f t="shared" ca="1" si="2"/>
        <v/>
      </c>
    </row>
    <row r="20" spans="1:9" x14ac:dyDescent="0.35">
      <c r="A20" s="21"/>
      <c r="B20" s="13"/>
      <c r="C20" s="14"/>
      <c r="D20" s="14"/>
      <c r="E20" s="13"/>
      <c r="F20" s="7" t="str">
        <f t="shared" ca="1" si="0"/>
        <v/>
      </c>
      <c r="G20" s="27" t="str">
        <f t="shared" ca="1" si="1"/>
        <v/>
      </c>
      <c r="H20" s="13"/>
      <c r="I20" s="29" t="str">
        <f t="shared" ca="1" si="2"/>
        <v/>
      </c>
    </row>
    <row r="21" spans="1:9" x14ac:dyDescent="0.35">
      <c r="A21" s="21"/>
      <c r="B21" s="13"/>
      <c r="C21" s="14"/>
      <c r="D21" s="14"/>
      <c r="E21" s="13"/>
      <c r="F21" s="7" t="str">
        <f t="shared" ca="1" si="0"/>
        <v/>
      </c>
      <c r="G21" s="27" t="str">
        <f t="shared" ca="1" si="1"/>
        <v/>
      </c>
      <c r="H21" s="13"/>
      <c r="I21" s="29" t="str">
        <f t="shared" ca="1" si="2"/>
        <v/>
      </c>
    </row>
    <row r="22" spans="1:9" x14ac:dyDescent="0.35">
      <c r="A22" s="21"/>
      <c r="B22" s="13"/>
      <c r="C22" s="14"/>
      <c r="D22" s="14"/>
      <c r="E22" s="13"/>
      <c r="F22" s="7" t="str">
        <f t="shared" ca="1" si="0"/>
        <v/>
      </c>
      <c r="G22" s="27" t="str">
        <f t="shared" ca="1" si="1"/>
        <v/>
      </c>
      <c r="H22" s="13"/>
      <c r="I22" s="29" t="str">
        <f t="shared" ca="1" si="2"/>
        <v/>
      </c>
    </row>
    <row r="23" spans="1:9" x14ac:dyDescent="0.35">
      <c r="A23" s="21"/>
      <c r="B23" s="13"/>
      <c r="C23" s="14"/>
      <c r="D23" s="14"/>
      <c r="E23" s="13"/>
      <c r="F23" s="7" t="str">
        <f t="shared" ca="1" si="0"/>
        <v/>
      </c>
      <c r="G23" s="27" t="str">
        <f t="shared" ca="1" si="1"/>
        <v/>
      </c>
      <c r="H23" s="13"/>
      <c r="I23" s="29" t="str">
        <f t="shared" ca="1" si="2"/>
        <v/>
      </c>
    </row>
    <row r="24" spans="1:9" x14ac:dyDescent="0.35">
      <c r="A24" s="21"/>
      <c r="B24" s="13"/>
      <c r="C24" s="14"/>
      <c r="D24" s="14"/>
      <c r="E24" s="13"/>
      <c r="F24" s="7" t="str">
        <f t="shared" ca="1" si="0"/>
        <v/>
      </c>
      <c r="G24" s="27" t="str">
        <f t="shared" ca="1" si="1"/>
        <v/>
      </c>
      <c r="H24" s="13"/>
      <c r="I24" s="29" t="str">
        <f t="shared" ca="1" si="2"/>
        <v/>
      </c>
    </row>
    <row r="25" spans="1:9" x14ac:dyDescent="0.35">
      <c r="A25" s="21"/>
      <c r="B25" s="13"/>
      <c r="C25" s="14"/>
      <c r="D25" s="14"/>
      <c r="E25" s="13"/>
      <c r="F25" s="7" t="str">
        <f t="shared" ca="1" si="0"/>
        <v/>
      </c>
      <c r="G25" s="27" t="str">
        <f t="shared" ca="1" si="1"/>
        <v/>
      </c>
      <c r="H25" s="13"/>
      <c r="I25" s="29" t="str">
        <f t="shared" ca="1" si="2"/>
        <v/>
      </c>
    </row>
    <row r="26" spans="1:9" x14ac:dyDescent="0.35">
      <c r="A26" s="21"/>
      <c r="B26" s="13"/>
      <c r="C26" s="14"/>
      <c r="D26" s="14"/>
      <c r="E26" s="13"/>
      <c r="F26" s="7" t="str">
        <f t="shared" ca="1" si="0"/>
        <v/>
      </c>
      <c r="G26" s="27" t="str">
        <f t="shared" ca="1" si="1"/>
        <v/>
      </c>
      <c r="H26" s="13"/>
      <c r="I26" s="29" t="str">
        <f t="shared" ca="1" si="2"/>
        <v/>
      </c>
    </row>
    <row r="27" spans="1:9" x14ac:dyDescent="0.35">
      <c r="A27" s="21"/>
      <c r="B27" s="13"/>
      <c r="C27" s="14"/>
      <c r="D27" s="14"/>
      <c r="E27" s="13"/>
      <c r="F27" s="7" t="str">
        <f t="shared" ca="1" si="0"/>
        <v/>
      </c>
      <c r="G27" s="27" t="str">
        <f t="shared" ca="1" si="1"/>
        <v/>
      </c>
      <c r="H27" s="13"/>
      <c r="I27" s="29" t="str">
        <f t="shared" ca="1" si="2"/>
        <v/>
      </c>
    </row>
    <row r="28" spans="1:9" x14ac:dyDescent="0.35">
      <c r="A28" s="21"/>
      <c r="B28" s="13"/>
      <c r="C28" s="14"/>
      <c r="D28" s="14"/>
      <c r="E28" s="13"/>
      <c r="F28" s="7" t="str">
        <f t="shared" ca="1" si="0"/>
        <v/>
      </c>
      <c r="G28" s="27" t="str">
        <f t="shared" ca="1" si="1"/>
        <v/>
      </c>
      <c r="H28" s="13"/>
      <c r="I28" s="29" t="str">
        <f t="shared" ca="1" si="2"/>
        <v/>
      </c>
    </row>
    <row r="29" spans="1:9" x14ac:dyDescent="0.35">
      <c r="A29" s="21"/>
      <c r="B29" s="13"/>
      <c r="C29" s="14"/>
      <c r="D29" s="14"/>
      <c r="E29" s="13"/>
      <c r="F29" s="7" t="str">
        <f t="shared" ca="1" si="0"/>
        <v/>
      </c>
      <c r="G29" s="27" t="str">
        <f t="shared" ca="1" si="1"/>
        <v/>
      </c>
      <c r="H29" s="13"/>
      <c r="I29" s="29" t="str">
        <f t="shared" ca="1" si="2"/>
        <v/>
      </c>
    </row>
    <row r="30" spans="1:9" x14ac:dyDescent="0.35">
      <c r="A30" s="21"/>
      <c r="B30" s="13"/>
      <c r="C30" s="14"/>
      <c r="D30" s="14"/>
      <c r="E30" s="13"/>
      <c r="F30" s="7" t="str">
        <f t="shared" ca="1" si="0"/>
        <v/>
      </c>
      <c r="G30" s="27" t="str">
        <f t="shared" ca="1" si="1"/>
        <v/>
      </c>
      <c r="H30" s="13"/>
      <c r="I30" s="29" t="str">
        <f t="shared" ca="1" si="2"/>
        <v/>
      </c>
    </row>
    <row r="31" spans="1:9" x14ac:dyDescent="0.35">
      <c r="A31" s="21"/>
      <c r="B31" s="13"/>
      <c r="C31" s="14"/>
      <c r="D31" s="14"/>
      <c r="E31" s="13"/>
      <c r="F31" s="7" t="str">
        <f t="shared" ca="1" si="0"/>
        <v/>
      </c>
      <c r="G31" s="27" t="str">
        <f t="shared" ca="1" si="1"/>
        <v/>
      </c>
      <c r="H31" s="13"/>
      <c r="I31" s="29" t="str">
        <f t="shared" ca="1" si="2"/>
        <v/>
      </c>
    </row>
    <row r="32" spans="1:9" x14ac:dyDescent="0.35">
      <c r="A32" s="21"/>
      <c r="B32" s="13"/>
      <c r="C32" s="14"/>
      <c r="D32" s="14"/>
      <c r="E32" s="13"/>
      <c r="F32" s="7" t="str">
        <f t="shared" ca="1" si="0"/>
        <v/>
      </c>
      <c r="G32" s="27" t="str">
        <f t="shared" ca="1" si="1"/>
        <v/>
      </c>
      <c r="H32" s="13"/>
      <c r="I32" s="29" t="str">
        <f t="shared" ca="1" si="2"/>
        <v/>
      </c>
    </row>
    <row r="33" spans="1:9" x14ac:dyDescent="0.35">
      <c r="A33" s="21"/>
      <c r="B33" s="13"/>
      <c r="C33" s="14"/>
      <c r="D33" s="14"/>
      <c r="E33" s="13"/>
      <c r="F33" s="7" t="str">
        <f t="shared" ca="1" si="0"/>
        <v/>
      </c>
      <c r="G33" s="27" t="str">
        <f t="shared" ca="1" si="1"/>
        <v/>
      </c>
      <c r="H33" s="13"/>
      <c r="I33" s="29" t="str">
        <f t="shared" ca="1" si="2"/>
        <v/>
      </c>
    </row>
    <row r="34" spans="1:9" x14ac:dyDescent="0.35">
      <c r="A34" s="21"/>
      <c r="B34" s="13"/>
      <c r="C34" s="14"/>
      <c r="D34" s="14"/>
      <c r="E34" s="13"/>
      <c r="F34" s="7" t="str">
        <f t="shared" ca="1" si="0"/>
        <v/>
      </c>
      <c r="G34" s="27" t="str">
        <f t="shared" ca="1" si="1"/>
        <v/>
      </c>
      <c r="H34" s="13"/>
      <c r="I34" s="29" t="str">
        <f t="shared" ca="1" si="2"/>
        <v/>
      </c>
    </row>
    <row r="35" spans="1:9" x14ac:dyDescent="0.35">
      <c r="A35" s="21"/>
      <c r="B35" s="13"/>
      <c r="C35" s="14"/>
      <c r="D35" s="14"/>
      <c r="E35" s="13"/>
      <c r="F35" s="7" t="str">
        <f t="shared" ca="1" si="0"/>
        <v/>
      </c>
      <c r="G35" s="27" t="str">
        <f t="shared" ca="1" si="1"/>
        <v/>
      </c>
      <c r="H35" s="13"/>
      <c r="I35" s="29" t="str">
        <f t="shared" ca="1" si="2"/>
        <v/>
      </c>
    </row>
    <row r="36" spans="1:9" x14ac:dyDescent="0.35">
      <c r="A36" s="21"/>
      <c r="B36" s="13"/>
      <c r="C36" s="14"/>
      <c r="D36" s="14"/>
      <c r="E36" s="13"/>
      <c r="F36" s="7" t="str">
        <f t="shared" ca="1" si="0"/>
        <v/>
      </c>
      <c r="G36" s="27" t="str">
        <f t="shared" ca="1" si="1"/>
        <v/>
      </c>
      <c r="H36" s="13"/>
      <c r="I36" s="29" t="str">
        <f t="shared" ca="1" si="2"/>
        <v/>
      </c>
    </row>
    <row r="37" spans="1:9" x14ac:dyDescent="0.35">
      <c r="A37" s="21"/>
      <c r="B37" s="13"/>
      <c r="C37" s="14"/>
      <c r="D37" s="14"/>
      <c r="E37" s="13"/>
      <c r="F37" s="7" t="str">
        <f t="shared" ca="1" si="0"/>
        <v/>
      </c>
      <c r="G37" s="27" t="str">
        <f t="shared" ca="1" si="1"/>
        <v/>
      </c>
      <c r="H37" s="13"/>
      <c r="I37" s="29" t="str">
        <f t="shared" ca="1" si="2"/>
        <v/>
      </c>
    </row>
    <row r="38" spans="1:9" x14ac:dyDescent="0.35">
      <c r="A38" s="21"/>
      <c r="B38" s="13"/>
      <c r="C38" s="14"/>
      <c r="D38" s="14"/>
      <c r="E38" s="13"/>
      <c r="F38" s="7" t="str">
        <f t="shared" ca="1" si="0"/>
        <v/>
      </c>
      <c r="G38" s="27" t="str">
        <f t="shared" ca="1" si="1"/>
        <v/>
      </c>
      <c r="H38" s="13"/>
      <c r="I38" s="29" t="str">
        <f t="shared" ca="1" si="2"/>
        <v/>
      </c>
    </row>
    <row r="39" spans="1:9" x14ac:dyDescent="0.35">
      <c r="A39" s="21"/>
      <c r="B39" s="13"/>
      <c r="C39" s="14"/>
      <c r="D39" s="14"/>
      <c r="E39" s="13"/>
      <c r="F39" s="7" t="str">
        <f t="shared" ca="1" si="0"/>
        <v/>
      </c>
      <c r="G39" s="27" t="str">
        <f t="shared" ca="1" si="1"/>
        <v/>
      </c>
      <c r="H39" s="13"/>
      <c r="I39" s="29" t="str">
        <f t="shared" ca="1" si="2"/>
        <v/>
      </c>
    </row>
    <row r="40" spans="1:9" x14ac:dyDescent="0.35">
      <c r="A40" s="21"/>
      <c r="B40" s="13"/>
      <c r="C40" s="14"/>
      <c r="D40" s="14"/>
      <c r="E40" s="13"/>
      <c r="F40" s="7" t="str">
        <f t="shared" ca="1" si="0"/>
        <v/>
      </c>
      <c r="G40" s="27" t="str">
        <f t="shared" ca="1" si="1"/>
        <v/>
      </c>
      <c r="H40" s="13"/>
      <c r="I40" s="29" t="str">
        <f t="shared" ca="1" si="2"/>
        <v/>
      </c>
    </row>
    <row r="41" spans="1:9" x14ac:dyDescent="0.35">
      <c r="A41" s="21"/>
      <c r="B41" s="13"/>
      <c r="C41" s="14"/>
      <c r="D41" s="14"/>
      <c r="E41" s="13"/>
      <c r="F41" s="7" t="str">
        <f t="shared" ca="1" si="0"/>
        <v/>
      </c>
      <c r="G41" s="27" t="str">
        <f t="shared" ca="1" si="1"/>
        <v/>
      </c>
      <c r="H41" s="13"/>
      <c r="I41" s="29" t="str">
        <f t="shared" ca="1" si="2"/>
        <v/>
      </c>
    </row>
    <row r="42" spans="1:9" x14ac:dyDescent="0.35">
      <c r="A42" s="21"/>
      <c r="B42" s="13"/>
      <c r="C42" s="14"/>
      <c r="D42" s="14"/>
      <c r="E42" s="13"/>
      <c r="F42" s="7" t="str">
        <f t="shared" ca="1" si="0"/>
        <v/>
      </c>
      <c r="G42" s="27" t="str">
        <f t="shared" ca="1" si="1"/>
        <v/>
      </c>
      <c r="H42" s="13"/>
      <c r="I42" s="29" t="str">
        <f t="shared" ca="1" si="2"/>
        <v/>
      </c>
    </row>
    <row r="43" spans="1:9" x14ac:dyDescent="0.35">
      <c r="A43" s="21"/>
      <c r="B43" s="13"/>
      <c r="C43" s="14"/>
      <c r="D43" s="14"/>
      <c r="E43" s="13"/>
      <c r="F43" s="7" t="str">
        <f t="shared" ca="1" si="0"/>
        <v/>
      </c>
      <c r="G43" s="27" t="str">
        <f t="shared" ca="1" si="1"/>
        <v/>
      </c>
      <c r="H43" s="13"/>
      <c r="I43" s="29" t="str">
        <f t="shared" ca="1" si="2"/>
        <v/>
      </c>
    </row>
    <row r="44" spans="1:9" x14ac:dyDescent="0.35">
      <c r="A44" s="21"/>
      <c r="B44" s="13"/>
      <c r="C44" s="14"/>
      <c r="D44" s="14"/>
      <c r="E44" s="13"/>
      <c r="F44" s="7" t="str">
        <f t="shared" ca="1" si="0"/>
        <v/>
      </c>
      <c r="G44" s="27" t="str">
        <f t="shared" ca="1" si="1"/>
        <v/>
      </c>
      <c r="H44" s="13"/>
      <c r="I44" s="29" t="str">
        <f t="shared" ca="1" si="2"/>
        <v/>
      </c>
    </row>
    <row r="45" spans="1:9" x14ac:dyDescent="0.35">
      <c r="A45" s="21"/>
      <c r="B45" s="13"/>
      <c r="C45" s="14"/>
      <c r="D45" s="14"/>
      <c r="E45" s="13"/>
      <c r="F45" s="7" t="str">
        <f t="shared" ca="1" si="0"/>
        <v/>
      </c>
      <c r="G45" s="27" t="str">
        <f t="shared" ca="1" si="1"/>
        <v/>
      </c>
      <c r="H45" s="13"/>
      <c r="I45" s="29" t="str">
        <f t="shared" ca="1" si="2"/>
        <v/>
      </c>
    </row>
    <row r="46" spans="1:9" x14ac:dyDescent="0.35">
      <c r="A46" s="21"/>
      <c r="B46" s="13"/>
      <c r="C46" s="14"/>
      <c r="D46" s="14"/>
      <c r="E46" s="13"/>
      <c r="F46" s="7" t="str">
        <f t="shared" ca="1" si="0"/>
        <v/>
      </c>
      <c r="G46" s="27" t="str">
        <f t="shared" ca="1" si="1"/>
        <v/>
      </c>
      <c r="H46" s="13"/>
      <c r="I46" s="29" t="str">
        <f t="shared" ca="1" si="2"/>
        <v/>
      </c>
    </row>
    <row r="47" spans="1:9" x14ac:dyDescent="0.35">
      <c r="A47" s="21"/>
      <c r="B47" s="13"/>
      <c r="C47" s="14"/>
      <c r="D47" s="14"/>
      <c r="E47" s="13"/>
      <c r="F47" s="7" t="str">
        <f t="shared" ca="1" si="0"/>
        <v/>
      </c>
      <c r="G47" s="27" t="str">
        <f t="shared" ca="1" si="1"/>
        <v/>
      </c>
      <c r="H47" s="13"/>
      <c r="I47" s="29" t="str">
        <f t="shared" ca="1" si="2"/>
        <v/>
      </c>
    </row>
    <row r="48" spans="1:9" x14ac:dyDescent="0.35">
      <c r="A48" s="21"/>
      <c r="B48" s="13"/>
      <c r="C48" s="14"/>
      <c r="D48" s="14"/>
      <c r="E48" s="13"/>
      <c r="F48" s="7" t="str">
        <f t="shared" ca="1" si="0"/>
        <v/>
      </c>
      <c r="G48" s="27" t="str">
        <f t="shared" ca="1" si="1"/>
        <v/>
      </c>
      <c r="H48" s="13"/>
      <c r="I48" s="29" t="str">
        <f t="shared" ca="1" si="2"/>
        <v/>
      </c>
    </row>
    <row r="49" spans="1:9" x14ac:dyDescent="0.35">
      <c r="A49" s="21"/>
      <c r="B49" s="13"/>
      <c r="C49" s="14"/>
      <c r="D49" s="14"/>
      <c r="E49" s="13"/>
      <c r="F49" s="7" t="str">
        <f t="shared" ca="1" si="0"/>
        <v/>
      </c>
      <c r="G49" s="27" t="str">
        <f t="shared" ca="1" si="1"/>
        <v/>
      </c>
      <c r="H49" s="13"/>
      <c r="I49" s="29" t="str">
        <f t="shared" ca="1" si="2"/>
        <v/>
      </c>
    </row>
    <row r="50" spans="1:9" x14ac:dyDescent="0.35">
      <c r="A50" s="21"/>
      <c r="B50" s="13"/>
      <c r="C50" s="14"/>
      <c r="D50" s="14"/>
      <c r="E50" s="13"/>
      <c r="F50" s="7" t="str">
        <f t="shared" ca="1" si="0"/>
        <v/>
      </c>
      <c r="G50" s="27" t="str">
        <f t="shared" ca="1" si="1"/>
        <v/>
      </c>
      <c r="H50" s="13"/>
      <c r="I50" s="29" t="str">
        <f t="shared" ca="1" si="2"/>
        <v/>
      </c>
    </row>
    <row r="51" spans="1:9" x14ac:dyDescent="0.35">
      <c r="A51" s="21"/>
      <c r="B51" s="13"/>
      <c r="C51" s="14"/>
      <c r="D51" s="14"/>
      <c r="E51" s="13"/>
      <c r="F51" s="7" t="str">
        <f t="shared" ca="1" si="0"/>
        <v/>
      </c>
      <c r="G51" s="27" t="str">
        <f t="shared" ca="1" si="1"/>
        <v/>
      </c>
      <c r="H51" s="13"/>
      <c r="I51" s="29" t="str">
        <f t="shared" ca="1" si="2"/>
        <v/>
      </c>
    </row>
    <row r="52" spans="1:9" x14ac:dyDescent="0.35">
      <c r="A52" s="21"/>
      <c r="B52" s="13"/>
      <c r="C52" s="14"/>
      <c r="D52" s="14"/>
      <c r="E52" s="13"/>
      <c r="F52" s="7" t="str">
        <f t="shared" ca="1" si="0"/>
        <v/>
      </c>
      <c r="G52" s="27" t="str">
        <f t="shared" ca="1" si="1"/>
        <v/>
      </c>
      <c r="H52" s="13"/>
      <c r="I52" s="29" t="str">
        <f t="shared" ca="1" si="2"/>
        <v/>
      </c>
    </row>
    <row r="53" spans="1:9" x14ac:dyDescent="0.35">
      <c r="A53" s="21"/>
      <c r="B53" s="13"/>
      <c r="C53" s="14"/>
      <c r="D53" s="14"/>
      <c r="E53" s="13"/>
      <c r="F53" s="7" t="str">
        <f t="shared" ca="1" si="0"/>
        <v/>
      </c>
      <c r="G53" s="27" t="str">
        <f t="shared" ca="1" si="1"/>
        <v/>
      </c>
      <c r="H53" s="13"/>
      <c r="I53" s="29" t="str">
        <f t="shared" ca="1" si="2"/>
        <v/>
      </c>
    </row>
    <row r="54" spans="1:9" x14ac:dyDescent="0.35">
      <c r="A54" s="21"/>
      <c r="B54" s="13"/>
      <c r="C54" s="14"/>
      <c r="D54" s="14"/>
      <c r="E54" s="13"/>
      <c r="F54" s="7" t="str">
        <f t="shared" ca="1" si="0"/>
        <v/>
      </c>
      <c r="G54" s="27" t="str">
        <f t="shared" ca="1" si="1"/>
        <v/>
      </c>
      <c r="H54" s="13"/>
      <c r="I54" s="29" t="str">
        <f t="shared" ca="1" si="2"/>
        <v/>
      </c>
    </row>
    <row r="55" spans="1:9" x14ac:dyDescent="0.35">
      <c r="A55" s="21"/>
      <c r="B55" s="13"/>
      <c r="C55" s="14"/>
      <c r="D55" s="14"/>
      <c r="E55" s="13"/>
      <c r="F55" s="7" t="str">
        <f t="shared" ca="1" si="0"/>
        <v/>
      </c>
      <c r="G55" s="27" t="str">
        <f t="shared" ca="1" si="1"/>
        <v/>
      </c>
      <c r="H55" s="13"/>
      <c r="I55" s="29" t="str">
        <f t="shared" ca="1" si="2"/>
        <v/>
      </c>
    </row>
    <row r="56" spans="1:9" x14ac:dyDescent="0.35">
      <c r="A56" s="21"/>
      <c r="B56" s="13"/>
      <c r="C56" s="14"/>
      <c r="D56" s="14"/>
      <c r="E56" s="13"/>
      <c r="F56" s="7" t="str">
        <f t="shared" ca="1" si="0"/>
        <v/>
      </c>
      <c r="G56" s="27" t="str">
        <f t="shared" ca="1" si="1"/>
        <v/>
      </c>
      <c r="H56" s="13"/>
      <c r="I56" s="29" t="str">
        <f t="shared" ca="1" si="2"/>
        <v/>
      </c>
    </row>
    <row r="57" spans="1:9" x14ac:dyDescent="0.35">
      <c r="A57" s="21"/>
      <c r="B57" s="13"/>
      <c r="C57" s="14"/>
      <c r="D57" s="14"/>
      <c r="E57" s="13"/>
      <c r="F57" s="7" t="str">
        <f t="shared" ca="1" si="0"/>
        <v/>
      </c>
      <c r="G57" s="27" t="str">
        <f t="shared" ca="1" si="1"/>
        <v/>
      </c>
      <c r="H57" s="13"/>
      <c r="I57" s="29" t="str">
        <f t="shared" ca="1" si="2"/>
        <v/>
      </c>
    </row>
    <row r="58" spans="1:9" x14ac:dyDescent="0.35">
      <c r="A58" s="21"/>
      <c r="B58" s="13"/>
      <c r="C58" s="14"/>
      <c r="D58" s="14"/>
      <c r="E58" s="13"/>
      <c r="F58" s="7" t="str">
        <f t="shared" ca="1" si="0"/>
        <v/>
      </c>
      <c r="G58" s="27" t="str">
        <f t="shared" ca="1" si="1"/>
        <v/>
      </c>
      <c r="H58" s="13"/>
      <c r="I58" s="29" t="str">
        <f t="shared" ca="1" si="2"/>
        <v/>
      </c>
    </row>
    <row r="59" spans="1:9" x14ac:dyDescent="0.35">
      <c r="A59" s="21"/>
      <c r="B59" s="13"/>
      <c r="C59" s="14"/>
      <c r="D59" s="14"/>
      <c r="E59" s="13"/>
      <c r="F59" s="7" t="str">
        <f t="shared" ca="1" si="0"/>
        <v/>
      </c>
      <c r="G59" s="27" t="str">
        <f t="shared" ca="1" si="1"/>
        <v/>
      </c>
      <c r="H59" s="13"/>
      <c r="I59" s="29" t="str">
        <f t="shared" ca="1" si="2"/>
        <v/>
      </c>
    </row>
    <row r="60" spans="1:9" x14ac:dyDescent="0.35">
      <c r="A60" s="21"/>
      <c r="B60" s="13"/>
      <c r="C60" s="14"/>
      <c r="D60" s="14"/>
      <c r="E60" s="13"/>
      <c r="F60" s="7" t="str">
        <f t="shared" ca="1" si="0"/>
        <v/>
      </c>
      <c r="G60" s="27" t="str">
        <f t="shared" ca="1" si="1"/>
        <v/>
      </c>
      <c r="H60" s="13"/>
      <c r="I60" s="29" t="str">
        <f t="shared" ca="1" si="2"/>
        <v/>
      </c>
    </row>
    <row r="61" spans="1:9" x14ac:dyDescent="0.35">
      <c r="A61" s="21"/>
      <c r="B61" s="13"/>
      <c r="C61" s="14"/>
      <c r="D61" s="14"/>
      <c r="E61" s="13"/>
      <c r="F61" s="7" t="str">
        <f t="shared" ca="1" si="0"/>
        <v/>
      </c>
      <c r="G61" s="27" t="str">
        <f t="shared" ca="1" si="1"/>
        <v/>
      </c>
      <c r="H61" s="13"/>
      <c r="I61" s="29" t="str">
        <f t="shared" ca="1" si="2"/>
        <v/>
      </c>
    </row>
    <row r="62" spans="1:9" x14ac:dyDescent="0.35">
      <c r="A62" s="21"/>
      <c r="B62" s="13"/>
      <c r="C62" s="14"/>
      <c r="D62" s="14"/>
      <c r="E62" s="13"/>
      <c r="F62" s="7" t="str">
        <f t="shared" ca="1" si="0"/>
        <v/>
      </c>
      <c r="G62" s="27" t="str">
        <f t="shared" ca="1" si="1"/>
        <v/>
      </c>
      <c r="H62" s="13"/>
      <c r="I62" s="29" t="str">
        <f t="shared" ca="1" si="2"/>
        <v/>
      </c>
    </row>
    <row r="63" spans="1:9" x14ac:dyDescent="0.35">
      <c r="A63" s="21"/>
      <c r="B63" s="13"/>
      <c r="C63" s="14"/>
      <c r="D63" s="14"/>
      <c r="E63" s="13"/>
      <c r="F63" s="7" t="str">
        <f t="shared" ca="1" si="0"/>
        <v/>
      </c>
      <c r="G63" s="27" t="str">
        <f t="shared" ca="1" si="1"/>
        <v/>
      </c>
      <c r="H63" s="13"/>
      <c r="I63" s="29" t="str">
        <f t="shared" ca="1" si="2"/>
        <v/>
      </c>
    </row>
    <row r="64" spans="1:9" x14ac:dyDescent="0.35">
      <c r="A64" s="21"/>
      <c r="B64" s="13"/>
      <c r="C64" s="14"/>
      <c r="D64" s="14"/>
      <c r="E64" s="13"/>
      <c r="F64" s="7" t="str">
        <f t="shared" ca="1" si="0"/>
        <v/>
      </c>
      <c r="G64" s="27" t="str">
        <f t="shared" ca="1" si="1"/>
        <v/>
      </c>
      <c r="H64" s="13"/>
      <c r="I64" s="29" t="str">
        <f t="shared" ca="1" si="2"/>
        <v/>
      </c>
    </row>
    <row r="65" spans="1:9" x14ac:dyDescent="0.35">
      <c r="A65" s="21"/>
      <c r="B65" s="13"/>
      <c r="C65" s="14"/>
      <c r="D65" s="14"/>
      <c r="E65" s="13"/>
      <c r="F65" s="7" t="str">
        <f t="shared" ca="1" si="0"/>
        <v/>
      </c>
      <c r="G65" s="27" t="str">
        <f t="shared" ca="1" si="1"/>
        <v/>
      </c>
      <c r="H65" s="13"/>
      <c r="I65" s="29" t="str">
        <f t="shared" ca="1" si="2"/>
        <v/>
      </c>
    </row>
    <row r="66" spans="1:9" x14ac:dyDescent="0.35">
      <c r="A66" s="21"/>
      <c r="B66" s="13"/>
      <c r="C66" s="14"/>
      <c r="D66" s="14"/>
      <c r="E66" s="13"/>
      <c r="F66" s="7" t="str">
        <f t="shared" ca="1" si="0"/>
        <v/>
      </c>
      <c r="G66" s="27" t="str">
        <f t="shared" ca="1" si="1"/>
        <v/>
      </c>
      <c r="H66" s="13"/>
      <c r="I66" s="29" t="str">
        <f t="shared" ca="1" si="2"/>
        <v/>
      </c>
    </row>
    <row r="67" spans="1:9" x14ac:dyDescent="0.35">
      <c r="A67" s="21"/>
      <c r="B67" s="13"/>
      <c r="C67" s="14"/>
      <c r="D67" s="14"/>
      <c r="E67" s="13"/>
      <c r="F67" s="7" t="str">
        <f t="shared" ca="1" si="0"/>
        <v/>
      </c>
      <c r="G67" s="27" t="str">
        <f t="shared" ca="1" si="1"/>
        <v/>
      </c>
      <c r="H67" s="13"/>
      <c r="I67" s="29" t="str">
        <f t="shared" ca="1" si="2"/>
        <v/>
      </c>
    </row>
    <row r="68" spans="1:9" x14ac:dyDescent="0.35">
      <c r="A68" s="21"/>
      <c r="B68" s="13"/>
      <c r="C68" s="14"/>
      <c r="D68" s="14"/>
      <c r="E68" s="13"/>
      <c r="F68" s="7" t="str">
        <f t="shared" ca="1" si="0"/>
        <v/>
      </c>
      <c r="G68" s="27" t="str">
        <f t="shared" ca="1" si="1"/>
        <v/>
      </c>
      <c r="H68" s="13"/>
      <c r="I68" s="29" t="str">
        <f t="shared" ca="1" si="2"/>
        <v/>
      </c>
    </row>
    <row r="69" spans="1:9" x14ac:dyDescent="0.35">
      <c r="A69" s="21"/>
      <c r="B69" s="13"/>
      <c r="C69" s="14"/>
      <c r="D69" s="14"/>
      <c r="E69" s="13"/>
      <c r="F69" s="7" t="str">
        <f t="shared" ref="F69:F132" ca="1" si="3">IF($B69="","",IF($D69&lt;&gt;"","Fait",IF($C69="","Non planifié",IF(N($C69)&lt;TODAY(),"En retard","À venir"))))</f>
        <v/>
      </c>
      <c r="G69" s="27" t="str">
        <f t="shared" ref="G69:G132" ca="1" si="4">IF($B69="","",IF(AND($C69&lt;&gt;"",$D69&lt;&gt;""),$D69-$C69,IF($F69="En retard",TODAY()-$C69,"")))</f>
        <v/>
      </c>
      <c r="H69" s="13"/>
      <c r="I69" s="29" t="str">
        <f t="shared" ref="I69:I132" ca="1" si="5">IF($F69="En retard",1,"")</f>
        <v/>
      </c>
    </row>
    <row r="70" spans="1:9" x14ac:dyDescent="0.35">
      <c r="A70" s="21"/>
      <c r="B70" s="13"/>
      <c r="C70" s="14"/>
      <c r="D70" s="14"/>
      <c r="E70" s="13"/>
      <c r="F70" s="7" t="str">
        <f t="shared" ca="1" si="3"/>
        <v/>
      </c>
      <c r="G70" s="27" t="str">
        <f t="shared" ca="1" si="4"/>
        <v/>
      </c>
      <c r="H70" s="13"/>
      <c r="I70" s="29" t="str">
        <f t="shared" ca="1" si="5"/>
        <v/>
      </c>
    </row>
    <row r="71" spans="1:9" x14ac:dyDescent="0.35">
      <c r="A71" s="21"/>
      <c r="B71" s="13"/>
      <c r="C71" s="14"/>
      <c r="D71" s="14"/>
      <c r="E71" s="13"/>
      <c r="F71" s="7" t="str">
        <f t="shared" ca="1" si="3"/>
        <v/>
      </c>
      <c r="G71" s="27" t="str">
        <f t="shared" ca="1" si="4"/>
        <v/>
      </c>
      <c r="H71" s="13"/>
      <c r="I71" s="29" t="str">
        <f t="shared" ca="1" si="5"/>
        <v/>
      </c>
    </row>
    <row r="72" spans="1:9" x14ac:dyDescent="0.35">
      <c r="A72" s="21"/>
      <c r="B72" s="13"/>
      <c r="C72" s="14"/>
      <c r="D72" s="14"/>
      <c r="E72" s="13"/>
      <c r="F72" s="7" t="str">
        <f t="shared" ca="1" si="3"/>
        <v/>
      </c>
      <c r="G72" s="27" t="str">
        <f t="shared" ca="1" si="4"/>
        <v/>
      </c>
      <c r="H72" s="13"/>
      <c r="I72" s="29" t="str">
        <f t="shared" ca="1" si="5"/>
        <v/>
      </c>
    </row>
    <row r="73" spans="1:9" x14ac:dyDescent="0.35">
      <c r="A73" s="21"/>
      <c r="B73" s="13"/>
      <c r="C73" s="14"/>
      <c r="D73" s="14"/>
      <c r="E73" s="13"/>
      <c r="F73" s="7" t="str">
        <f t="shared" ca="1" si="3"/>
        <v/>
      </c>
      <c r="G73" s="27" t="str">
        <f t="shared" ca="1" si="4"/>
        <v/>
      </c>
      <c r="H73" s="13"/>
      <c r="I73" s="29" t="str">
        <f t="shared" ca="1" si="5"/>
        <v/>
      </c>
    </row>
    <row r="74" spans="1:9" x14ac:dyDescent="0.35">
      <c r="A74" s="21"/>
      <c r="B74" s="13"/>
      <c r="C74" s="14"/>
      <c r="D74" s="14"/>
      <c r="E74" s="13"/>
      <c r="F74" s="7" t="str">
        <f t="shared" ca="1" si="3"/>
        <v/>
      </c>
      <c r="G74" s="27" t="str">
        <f t="shared" ca="1" si="4"/>
        <v/>
      </c>
      <c r="H74" s="13"/>
      <c r="I74" s="29" t="str">
        <f t="shared" ca="1" si="5"/>
        <v/>
      </c>
    </row>
    <row r="75" spans="1:9" x14ac:dyDescent="0.35">
      <c r="A75" s="21"/>
      <c r="B75" s="13"/>
      <c r="C75" s="14"/>
      <c r="D75" s="14"/>
      <c r="E75" s="13"/>
      <c r="F75" s="7" t="str">
        <f t="shared" ca="1" si="3"/>
        <v/>
      </c>
      <c r="G75" s="27" t="str">
        <f t="shared" ca="1" si="4"/>
        <v/>
      </c>
      <c r="H75" s="13"/>
      <c r="I75" s="29" t="str">
        <f t="shared" ca="1" si="5"/>
        <v/>
      </c>
    </row>
    <row r="76" spans="1:9" x14ac:dyDescent="0.35">
      <c r="A76" s="21"/>
      <c r="B76" s="13"/>
      <c r="C76" s="14"/>
      <c r="D76" s="14"/>
      <c r="E76" s="13"/>
      <c r="F76" s="7" t="str">
        <f t="shared" ca="1" si="3"/>
        <v/>
      </c>
      <c r="G76" s="27" t="str">
        <f t="shared" ca="1" si="4"/>
        <v/>
      </c>
      <c r="H76" s="13"/>
      <c r="I76" s="29" t="str">
        <f t="shared" ca="1" si="5"/>
        <v/>
      </c>
    </row>
    <row r="77" spans="1:9" x14ac:dyDescent="0.35">
      <c r="A77" s="21"/>
      <c r="B77" s="13"/>
      <c r="C77" s="14"/>
      <c r="D77" s="14"/>
      <c r="E77" s="13"/>
      <c r="F77" s="7" t="str">
        <f t="shared" ca="1" si="3"/>
        <v/>
      </c>
      <c r="G77" s="27" t="str">
        <f t="shared" ca="1" si="4"/>
        <v/>
      </c>
      <c r="H77" s="13"/>
      <c r="I77" s="29" t="str">
        <f t="shared" ca="1" si="5"/>
        <v/>
      </c>
    </row>
    <row r="78" spans="1:9" x14ac:dyDescent="0.35">
      <c r="A78" s="21"/>
      <c r="B78" s="13"/>
      <c r="C78" s="14"/>
      <c r="D78" s="14"/>
      <c r="E78" s="13"/>
      <c r="F78" s="7" t="str">
        <f t="shared" ca="1" si="3"/>
        <v/>
      </c>
      <c r="G78" s="27" t="str">
        <f t="shared" ca="1" si="4"/>
        <v/>
      </c>
      <c r="H78" s="13"/>
      <c r="I78" s="29" t="str">
        <f t="shared" ca="1" si="5"/>
        <v/>
      </c>
    </row>
    <row r="79" spans="1:9" x14ac:dyDescent="0.35">
      <c r="A79" s="21"/>
      <c r="B79" s="13"/>
      <c r="C79" s="14"/>
      <c r="D79" s="14"/>
      <c r="E79" s="13"/>
      <c r="F79" s="7" t="str">
        <f t="shared" ca="1" si="3"/>
        <v/>
      </c>
      <c r="G79" s="27" t="str">
        <f t="shared" ca="1" si="4"/>
        <v/>
      </c>
      <c r="H79" s="13"/>
      <c r="I79" s="29" t="str">
        <f t="shared" ca="1" si="5"/>
        <v/>
      </c>
    </row>
    <row r="80" spans="1:9" x14ac:dyDescent="0.35">
      <c r="A80" s="21"/>
      <c r="B80" s="13"/>
      <c r="C80" s="14"/>
      <c r="D80" s="14"/>
      <c r="E80" s="13"/>
      <c r="F80" s="7" t="str">
        <f t="shared" ca="1" si="3"/>
        <v/>
      </c>
      <c r="G80" s="27" t="str">
        <f t="shared" ca="1" si="4"/>
        <v/>
      </c>
      <c r="H80" s="13"/>
      <c r="I80" s="29" t="str">
        <f t="shared" ca="1" si="5"/>
        <v/>
      </c>
    </row>
    <row r="81" spans="1:9" x14ac:dyDescent="0.35">
      <c r="A81" s="21"/>
      <c r="B81" s="13"/>
      <c r="C81" s="14"/>
      <c r="D81" s="14"/>
      <c r="E81" s="13"/>
      <c r="F81" s="7" t="str">
        <f t="shared" ca="1" si="3"/>
        <v/>
      </c>
      <c r="G81" s="27" t="str">
        <f t="shared" ca="1" si="4"/>
        <v/>
      </c>
      <c r="H81" s="13"/>
      <c r="I81" s="29" t="str">
        <f t="shared" ca="1" si="5"/>
        <v/>
      </c>
    </row>
    <row r="82" spans="1:9" x14ac:dyDescent="0.35">
      <c r="A82" s="21"/>
      <c r="B82" s="13"/>
      <c r="C82" s="14"/>
      <c r="D82" s="14"/>
      <c r="E82" s="13"/>
      <c r="F82" s="7" t="str">
        <f t="shared" ca="1" si="3"/>
        <v/>
      </c>
      <c r="G82" s="27" t="str">
        <f t="shared" ca="1" si="4"/>
        <v/>
      </c>
      <c r="H82" s="13"/>
      <c r="I82" s="29" t="str">
        <f t="shared" ca="1" si="5"/>
        <v/>
      </c>
    </row>
    <row r="83" spans="1:9" x14ac:dyDescent="0.35">
      <c r="A83" s="21"/>
      <c r="B83" s="13"/>
      <c r="C83" s="14"/>
      <c r="D83" s="14"/>
      <c r="E83" s="13"/>
      <c r="F83" s="7" t="str">
        <f t="shared" ca="1" si="3"/>
        <v/>
      </c>
      <c r="G83" s="27" t="str">
        <f t="shared" ca="1" si="4"/>
        <v/>
      </c>
      <c r="H83" s="13"/>
      <c r="I83" s="29" t="str">
        <f t="shared" ca="1" si="5"/>
        <v/>
      </c>
    </row>
    <row r="84" spans="1:9" x14ac:dyDescent="0.35">
      <c r="A84" s="21"/>
      <c r="B84" s="13"/>
      <c r="C84" s="14"/>
      <c r="D84" s="14"/>
      <c r="E84" s="13"/>
      <c r="F84" s="7" t="str">
        <f t="shared" ca="1" si="3"/>
        <v/>
      </c>
      <c r="G84" s="27" t="str">
        <f t="shared" ca="1" si="4"/>
        <v/>
      </c>
      <c r="H84" s="13"/>
      <c r="I84" s="29" t="str">
        <f t="shared" ca="1" si="5"/>
        <v/>
      </c>
    </row>
    <row r="85" spans="1:9" x14ac:dyDescent="0.35">
      <c r="A85" s="21"/>
      <c r="B85" s="13"/>
      <c r="C85" s="14"/>
      <c r="D85" s="14"/>
      <c r="E85" s="13"/>
      <c r="F85" s="7" t="str">
        <f t="shared" ca="1" si="3"/>
        <v/>
      </c>
      <c r="G85" s="27" t="str">
        <f t="shared" ca="1" si="4"/>
        <v/>
      </c>
      <c r="H85" s="13"/>
      <c r="I85" s="29" t="str">
        <f t="shared" ca="1" si="5"/>
        <v/>
      </c>
    </row>
    <row r="86" spans="1:9" x14ac:dyDescent="0.35">
      <c r="A86" s="21"/>
      <c r="B86" s="13"/>
      <c r="C86" s="14"/>
      <c r="D86" s="14"/>
      <c r="E86" s="13"/>
      <c r="F86" s="7" t="str">
        <f t="shared" ca="1" si="3"/>
        <v/>
      </c>
      <c r="G86" s="27" t="str">
        <f t="shared" ca="1" si="4"/>
        <v/>
      </c>
      <c r="H86" s="13"/>
      <c r="I86" s="29" t="str">
        <f t="shared" ca="1" si="5"/>
        <v/>
      </c>
    </row>
    <row r="87" spans="1:9" x14ac:dyDescent="0.35">
      <c r="A87" s="21"/>
      <c r="B87" s="13"/>
      <c r="C87" s="14"/>
      <c r="D87" s="14"/>
      <c r="E87" s="13"/>
      <c r="F87" s="7" t="str">
        <f t="shared" ca="1" si="3"/>
        <v/>
      </c>
      <c r="G87" s="27" t="str">
        <f t="shared" ca="1" si="4"/>
        <v/>
      </c>
      <c r="H87" s="13"/>
      <c r="I87" s="29" t="str">
        <f t="shared" ca="1" si="5"/>
        <v/>
      </c>
    </row>
    <row r="88" spans="1:9" x14ac:dyDescent="0.35">
      <c r="A88" s="21"/>
      <c r="B88" s="13"/>
      <c r="C88" s="14"/>
      <c r="D88" s="14"/>
      <c r="E88" s="13"/>
      <c r="F88" s="7" t="str">
        <f t="shared" ca="1" si="3"/>
        <v/>
      </c>
      <c r="G88" s="27" t="str">
        <f t="shared" ca="1" si="4"/>
        <v/>
      </c>
      <c r="H88" s="13"/>
      <c r="I88" s="29" t="str">
        <f t="shared" ca="1" si="5"/>
        <v/>
      </c>
    </row>
    <row r="89" spans="1:9" x14ac:dyDescent="0.35">
      <c r="A89" s="21"/>
      <c r="B89" s="13"/>
      <c r="C89" s="14"/>
      <c r="D89" s="14"/>
      <c r="E89" s="13"/>
      <c r="F89" s="7" t="str">
        <f t="shared" ca="1" si="3"/>
        <v/>
      </c>
      <c r="G89" s="27" t="str">
        <f t="shared" ca="1" si="4"/>
        <v/>
      </c>
      <c r="H89" s="13"/>
      <c r="I89" s="29" t="str">
        <f t="shared" ca="1" si="5"/>
        <v/>
      </c>
    </row>
    <row r="90" spans="1:9" x14ac:dyDescent="0.35">
      <c r="A90" s="21"/>
      <c r="B90" s="13"/>
      <c r="C90" s="14"/>
      <c r="D90" s="14"/>
      <c r="E90" s="13"/>
      <c r="F90" s="7" t="str">
        <f t="shared" ca="1" si="3"/>
        <v/>
      </c>
      <c r="G90" s="27" t="str">
        <f t="shared" ca="1" si="4"/>
        <v/>
      </c>
      <c r="H90" s="13"/>
      <c r="I90" s="29" t="str">
        <f t="shared" ca="1" si="5"/>
        <v/>
      </c>
    </row>
    <row r="91" spans="1:9" x14ac:dyDescent="0.35">
      <c r="A91" s="21"/>
      <c r="B91" s="13"/>
      <c r="C91" s="14"/>
      <c r="D91" s="14"/>
      <c r="E91" s="13"/>
      <c r="F91" s="7" t="str">
        <f t="shared" ca="1" si="3"/>
        <v/>
      </c>
      <c r="G91" s="27" t="str">
        <f t="shared" ca="1" si="4"/>
        <v/>
      </c>
      <c r="H91" s="13"/>
      <c r="I91" s="29" t="str">
        <f t="shared" ca="1" si="5"/>
        <v/>
      </c>
    </row>
    <row r="92" spans="1:9" x14ac:dyDescent="0.35">
      <c r="A92" s="21"/>
      <c r="B92" s="13"/>
      <c r="C92" s="14"/>
      <c r="D92" s="14"/>
      <c r="E92" s="13"/>
      <c r="F92" s="7" t="str">
        <f t="shared" ca="1" si="3"/>
        <v/>
      </c>
      <c r="G92" s="27" t="str">
        <f t="shared" ca="1" si="4"/>
        <v/>
      </c>
      <c r="H92" s="13"/>
      <c r="I92" s="29" t="str">
        <f t="shared" ca="1" si="5"/>
        <v/>
      </c>
    </row>
    <row r="93" spans="1:9" x14ac:dyDescent="0.35">
      <c r="A93" s="21"/>
      <c r="B93" s="13"/>
      <c r="C93" s="14"/>
      <c r="D93" s="14"/>
      <c r="E93" s="13"/>
      <c r="F93" s="7" t="str">
        <f t="shared" ca="1" si="3"/>
        <v/>
      </c>
      <c r="G93" s="27" t="str">
        <f t="shared" ca="1" si="4"/>
        <v/>
      </c>
      <c r="H93" s="13"/>
      <c r="I93" s="29" t="str">
        <f t="shared" ca="1" si="5"/>
        <v/>
      </c>
    </row>
    <row r="94" spans="1:9" x14ac:dyDescent="0.35">
      <c r="A94" s="21"/>
      <c r="B94" s="13"/>
      <c r="C94" s="14"/>
      <c r="D94" s="14"/>
      <c r="E94" s="13"/>
      <c r="F94" s="7" t="str">
        <f t="shared" ca="1" si="3"/>
        <v/>
      </c>
      <c r="G94" s="27" t="str">
        <f t="shared" ca="1" si="4"/>
        <v/>
      </c>
      <c r="H94" s="13"/>
      <c r="I94" s="29" t="str">
        <f t="shared" ca="1" si="5"/>
        <v/>
      </c>
    </row>
    <row r="95" spans="1:9" x14ac:dyDescent="0.35">
      <c r="A95" s="21"/>
      <c r="B95" s="13"/>
      <c r="C95" s="14"/>
      <c r="D95" s="14"/>
      <c r="E95" s="13"/>
      <c r="F95" s="7" t="str">
        <f t="shared" ca="1" si="3"/>
        <v/>
      </c>
      <c r="G95" s="27" t="str">
        <f t="shared" ca="1" si="4"/>
        <v/>
      </c>
      <c r="H95" s="13"/>
      <c r="I95" s="29" t="str">
        <f t="shared" ca="1" si="5"/>
        <v/>
      </c>
    </row>
    <row r="96" spans="1:9" x14ac:dyDescent="0.35">
      <c r="A96" s="21"/>
      <c r="B96" s="13"/>
      <c r="C96" s="14"/>
      <c r="D96" s="14"/>
      <c r="E96" s="13"/>
      <c r="F96" s="7" t="str">
        <f t="shared" ca="1" si="3"/>
        <v/>
      </c>
      <c r="G96" s="27" t="str">
        <f t="shared" ca="1" si="4"/>
        <v/>
      </c>
      <c r="H96" s="13"/>
      <c r="I96" s="29" t="str">
        <f t="shared" ca="1" si="5"/>
        <v/>
      </c>
    </row>
    <row r="97" spans="1:9" x14ac:dyDescent="0.35">
      <c r="A97" s="21"/>
      <c r="B97" s="13"/>
      <c r="C97" s="14"/>
      <c r="D97" s="14"/>
      <c r="E97" s="13"/>
      <c r="F97" s="7" t="str">
        <f t="shared" ca="1" si="3"/>
        <v/>
      </c>
      <c r="G97" s="27" t="str">
        <f t="shared" ca="1" si="4"/>
        <v/>
      </c>
      <c r="H97" s="13"/>
      <c r="I97" s="29" t="str">
        <f t="shared" ca="1" si="5"/>
        <v/>
      </c>
    </row>
    <row r="98" spans="1:9" x14ac:dyDescent="0.35">
      <c r="A98" s="21"/>
      <c r="B98" s="13"/>
      <c r="C98" s="14"/>
      <c r="D98" s="14"/>
      <c r="E98" s="13"/>
      <c r="F98" s="7" t="str">
        <f t="shared" ca="1" si="3"/>
        <v/>
      </c>
      <c r="G98" s="27" t="str">
        <f t="shared" ca="1" si="4"/>
        <v/>
      </c>
      <c r="H98" s="13"/>
      <c r="I98" s="29" t="str">
        <f t="shared" ca="1" si="5"/>
        <v/>
      </c>
    </row>
    <row r="99" spans="1:9" x14ac:dyDescent="0.35">
      <c r="A99" s="21"/>
      <c r="B99" s="13"/>
      <c r="C99" s="14"/>
      <c r="D99" s="14"/>
      <c r="E99" s="13"/>
      <c r="F99" s="7" t="str">
        <f t="shared" ca="1" si="3"/>
        <v/>
      </c>
      <c r="G99" s="27" t="str">
        <f t="shared" ca="1" si="4"/>
        <v/>
      </c>
      <c r="H99" s="13"/>
      <c r="I99" s="29" t="str">
        <f t="shared" ca="1" si="5"/>
        <v/>
      </c>
    </row>
    <row r="100" spans="1:9" x14ac:dyDescent="0.35">
      <c r="A100" s="21"/>
      <c r="B100" s="13"/>
      <c r="C100" s="14"/>
      <c r="D100" s="14"/>
      <c r="E100" s="13"/>
      <c r="F100" s="7" t="str">
        <f t="shared" ca="1" si="3"/>
        <v/>
      </c>
      <c r="G100" s="27" t="str">
        <f t="shared" ca="1" si="4"/>
        <v/>
      </c>
      <c r="H100" s="13"/>
      <c r="I100" s="29" t="str">
        <f t="shared" ca="1" si="5"/>
        <v/>
      </c>
    </row>
    <row r="101" spans="1:9" x14ac:dyDescent="0.35">
      <c r="A101" s="21"/>
      <c r="B101" s="13"/>
      <c r="C101" s="14"/>
      <c r="D101" s="14"/>
      <c r="E101" s="13"/>
      <c r="F101" s="7" t="str">
        <f t="shared" ca="1" si="3"/>
        <v/>
      </c>
      <c r="G101" s="27" t="str">
        <f t="shared" ca="1" si="4"/>
        <v/>
      </c>
      <c r="H101" s="13"/>
      <c r="I101" s="29" t="str">
        <f t="shared" ca="1" si="5"/>
        <v/>
      </c>
    </row>
    <row r="102" spans="1:9" x14ac:dyDescent="0.35">
      <c r="A102" s="21"/>
      <c r="B102" s="13"/>
      <c r="C102" s="14"/>
      <c r="D102" s="14"/>
      <c r="E102" s="13"/>
      <c r="F102" s="7" t="str">
        <f t="shared" ca="1" si="3"/>
        <v/>
      </c>
      <c r="G102" s="27" t="str">
        <f t="shared" ca="1" si="4"/>
        <v/>
      </c>
      <c r="H102" s="13"/>
      <c r="I102" s="29" t="str">
        <f t="shared" ca="1" si="5"/>
        <v/>
      </c>
    </row>
    <row r="103" spans="1:9" x14ac:dyDescent="0.35">
      <c r="A103" s="21"/>
      <c r="B103" s="13"/>
      <c r="C103" s="14"/>
      <c r="D103" s="14"/>
      <c r="E103" s="13"/>
      <c r="F103" s="7" t="str">
        <f t="shared" ca="1" si="3"/>
        <v/>
      </c>
      <c r="G103" s="27" t="str">
        <f t="shared" ca="1" si="4"/>
        <v/>
      </c>
      <c r="H103" s="13"/>
      <c r="I103" s="29" t="str">
        <f t="shared" ca="1" si="5"/>
        <v/>
      </c>
    </row>
    <row r="104" spans="1:9" x14ac:dyDescent="0.35">
      <c r="A104" s="21"/>
      <c r="B104" s="13"/>
      <c r="C104" s="14"/>
      <c r="D104" s="14"/>
      <c r="E104" s="13"/>
      <c r="F104" s="7" t="str">
        <f t="shared" ca="1" si="3"/>
        <v/>
      </c>
      <c r="G104" s="27" t="str">
        <f t="shared" ca="1" si="4"/>
        <v/>
      </c>
      <c r="H104" s="13"/>
      <c r="I104" s="29" t="str">
        <f t="shared" ca="1" si="5"/>
        <v/>
      </c>
    </row>
    <row r="105" spans="1:9" x14ac:dyDescent="0.35">
      <c r="A105" s="21"/>
      <c r="B105" s="13"/>
      <c r="C105" s="14"/>
      <c r="D105" s="14"/>
      <c r="E105" s="13"/>
      <c r="F105" s="7" t="str">
        <f t="shared" ca="1" si="3"/>
        <v/>
      </c>
      <c r="G105" s="27" t="str">
        <f t="shared" ca="1" si="4"/>
        <v/>
      </c>
      <c r="H105" s="13"/>
      <c r="I105" s="29" t="str">
        <f t="shared" ca="1" si="5"/>
        <v/>
      </c>
    </row>
    <row r="106" spans="1:9" x14ac:dyDescent="0.35">
      <c r="A106" s="21"/>
      <c r="B106" s="13"/>
      <c r="C106" s="14"/>
      <c r="D106" s="14"/>
      <c r="E106" s="13"/>
      <c r="F106" s="7" t="str">
        <f t="shared" ca="1" si="3"/>
        <v/>
      </c>
      <c r="G106" s="27" t="str">
        <f t="shared" ca="1" si="4"/>
        <v/>
      </c>
      <c r="H106" s="13"/>
      <c r="I106" s="29" t="str">
        <f t="shared" ca="1" si="5"/>
        <v/>
      </c>
    </row>
    <row r="107" spans="1:9" x14ac:dyDescent="0.35">
      <c r="A107" s="21"/>
      <c r="B107" s="13"/>
      <c r="C107" s="14"/>
      <c r="D107" s="14"/>
      <c r="E107" s="13"/>
      <c r="F107" s="7" t="str">
        <f t="shared" ca="1" si="3"/>
        <v/>
      </c>
      <c r="G107" s="27" t="str">
        <f t="shared" ca="1" si="4"/>
        <v/>
      </c>
      <c r="H107" s="13"/>
      <c r="I107" s="29" t="str">
        <f t="shared" ca="1" si="5"/>
        <v/>
      </c>
    </row>
    <row r="108" spans="1:9" x14ac:dyDescent="0.35">
      <c r="A108" s="21"/>
      <c r="B108" s="13"/>
      <c r="C108" s="14"/>
      <c r="D108" s="14"/>
      <c r="E108" s="13"/>
      <c r="F108" s="7" t="str">
        <f t="shared" ca="1" si="3"/>
        <v/>
      </c>
      <c r="G108" s="27" t="str">
        <f t="shared" ca="1" si="4"/>
        <v/>
      </c>
      <c r="H108" s="13"/>
      <c r="I108" s="29" t="str">
        <f t="shared" ca="1" si="5"/>
        <v/>
      </c>
    </row>
    <row r="109" spans="1:9" x14ac:dyDescent="0.35">
      <c r="A109" s="21"/>
      <c r="B109" s="13"/>
      <c r="C109" s="14"/>
      <c r="D109" s="14"/>
      <c r="E109" s="13"/>
      <c r="F109" s="7" t="str">
        <f t="shared" ca="1" si="3"/>
        <v/>
      </c>
      <c r="G109" s="27" t="str">
        <f t="shared" ca="1" si="4"/>
        <v/>
      </c>
      <c r="H109" s="13"/>
      <c r="I109" s="29" t="str">
        <f t="shared" ca="1" si="5"/>
        <v/>
      </c>
    </row>
    <row r="110" spans="1:9" x14ac:dyDescent="0.35">
      <c r="A110" s="21"/>
      <c r="B110" s="13"/>
      <c r="C110" s="14"/>
      <c r="D110" s="14"/>
      <c r="E110" s="13"/>
      <c r="F110" s="7" t="str">
        <f t="shared" ca="1" si="3"/>
        <v/>
      </c>
      <c r="G110" s="27" t="str">
        <f t="shared" ca="1" si="4"/>
        <v/>
      </c>
      <c r="H110" s="13"/>
      <c r="I110" s="29" t="str">
        <f t="shared" ca="1" si="5"/>
        <v/>
      </c>
    </row>
    <row r="111" spans="1:9" x14ac:dyDescent="0.35">
      <c r="A111" s="21"/>
      <c r="B111" s="13"/>
      <c r="C111" s="14"/>
      <c r="D111" s="14"/>
      <c r="E111" s="13"/>
      <c r="F111" s="7" t="str">
        <f t="shared" ca="1" si="3"/>
        <v/>
      </c>
      <c r="G111" s="27" t="str">
        <f t="shared" ca="1" si="4"/>
        <v/>
      </c>
      <c r="H111" s="13"/>
      <c r="I111" s="29" t="str">
        <f t="shared" ca="1" si="5"/>
        <v/>
      </c>
    </row>
    <row r="112" spans="1:9" x14ac:dyDescent="0.35">
      <c r="A112" s="21"/>
      <c r="B112" s="13"/>
      <c r="C112" s="14"/>
      <c r="D112" s="14"/>
      <c r="E112" s="13"/>
      <c r="F112" s="7" t="str">
        <f t="shared" ca="1" si="3"/>
        <v/>
      </c>
      <c r="G112" s="27" t="str">
        <f t="shared" ca="1" si="4"/>
        <v/>
      </c>
      <c r="H112" s="13"/>
      <c r="I112" s="29" t="str">
        <f t="shared" ca="1" si="5"/>
        <v/>
      </c>
    </row>
    <row r="113" spans="1:9" x14ac:dyDescent="0.35">
      <c r="A113" s="21"/>
      <c r="B113" s="13"/>
      <c r="C113" s="14"/>
      <c r="D113" s="14"/>
      <c r="E113" s="13"/>
      <c r="F113" s="7" t="str">
        <f t="shared" ca="1" si="3"/>
        <v/>
      </c>
      <c r="G113" s="27" t="str">
        <f t="shared" ca="1" si="4"/>
        <v/>
      </c>
      <c r="H113" s="13"/>
      <c r="I113" s="29" t="str">
        <f t="shared" ca="1" si="5"/>
        <v/>
      </c>
    </row>
    <row r="114" spans="1:9" x14ac:dyDescent="0.35">
      <c r="A114" s="21"/>
      <c r="B114" s="13"/>
      <c r="C114" s="14"/>
      <c r="D114" s="14"/>
      <c r="E114" s="13"/>
      <c r="F114" s="7" t="str">
        <f t="shared" ca="1" si="3"/>
        <v/>
      </c>
      <c r="G114" s="27" t="str">
        <f t="shared" ca="1" si="4"/>
        <v/>
      </c>
      <c r="H114" s="13"/>
      <c r="I114" s="29" t="str">
        <f t="shared" ca="1" si="5"/>
        <v/>
      </c>
    </row>
    <row r="115" spans="1:9" x14ac:dyDescent="0.35">
      <c r="A115" s="21"/>
      <c r="B115" s="13"/>
      <c r="C115" s="14"/>
      <c r="D115" s="14"/>
      <c r="E115" s="13"/>
      <c r="F115" s="7" t="str">
        <f t="shared" ca="1" si="3"/>
        <v/>
      </c>
      <c r="G115" s="27" t="str">
        <f t="shared" ca="1" si="4"/>
        <v/>
      </c>
      <c r="H115" s="13"/>
      <c r="I115" s="29" t="str">
        <f t="shared" ca="1" si="5"/>
        <v/>
      </c>
    </row>
    <row r="116" spans="1:9" x14ac:dyDescent="0.35">
      <c r="A116" s="21"/>
      <c r="B116" s="13"/>
      <c r="C116" s="14"/>
      <c r="D116" s="14"/>
      <c r="E116" s="13"/>
      <c r="F116" s="7" t="str">
        <f t="shared" ca="1" si="3"/>
        <v/>
      </c>
      <c r="G116" s="27" t="str">
        <f t="shared" ca="1" si="4"/>
        <v/>
      </c>
      <c r="H116" s="13"/>
      <c r="I116" s="29" t="str">
        <f t="shared" ca="1" si="5"/>
        <v/>
      </c>
    </row>
    <row r="117" spans="1:9" x14ac:dyDescent="0.35">
      <c r="A117" s="21"/>
      <c r="B117" s="13"/>
      <c r="C117" s="14"/>
      <c r="D117" s="14"/>
      <c r="E117" s="13"/>
      <c r="F117" s="7" t="str">
        <f t="shared" ca="1" si="3"/>
        <v/>
      </c>
      <c r="G117" s="27" t="str">
        <f t="shared" ca="1" si="4"/>
        <v/>
      </c>
      <c r="H117" s="13"/>
      <c r="I117" s="29" t="str">
        <f t="shared" ca="1" si="5"/>
        <v/>
      </c>
    </row>
    <row r="118" spans="1:9" x14ac:dyDescent="0.35">
      <c r="A118" s="21"/>
      <c r="B118" s="13"/>
      <c r="C118" s="14"/>
      <c r="D118" s="14"/>
      <c r="E118" s="13"/>
      <c r="F118" s="7" t="str">
        <f t="shared" ca="1" si="3"/>
        <v/>
      </c>
      <c r="G118" s="27" t="str">
        <f t="shared" ca="1" si="4"/>
        <v/>
      </c>
      <c r="H118" s="13"/>
      <c r="I118" s="29" t="str">
        <f t="shared" ca="1" si="5"/>
        <v/>
      </c>
    </row>
    <row r="119" spans="1:9" x14ac:dyDescent="0.35">
      <c r="A119" s="21"/>
      <c r="B119" s="13"/>
      <c r="C119" s="14"/>
      <c r="D119" s="14"/>
      <c r="E119" s="13"/>
      <c r="F119" s="7" t="str">
        <f t="shared" ca="1" si="3"/>
        <v/>
      </c>
      <c r="G119" s="27" t="str">
        <f t="shared" ca="1" si="4"/>
        <v/>
      </c>
      <c r="H119" s="13"/>
      <c r="I119" s="29" t="str">
        <f t="shared" ca="1" si="5"/>
        <v/>
      </c>
    </row>
    <row r="120" spans="1:9" x14ac:dyDescent="0.35">
      <c r="A120" s="21"/>
      <c r="B120" s="13"/>
      <c r="C120" s="14"/>
      <c r="D120" s="14"/>
      <c r="E120" s="13"/>
      <c r="F120" s="7" t="str">
        <f t="shared" ca="1" si="3"/>
        <v/>
      </c>
      <c r="G120" s="27" t="str">
        <f t="shared" ca="1" si="4"/>
        <v/>
      </c>
      <c r="H120" s="13"/>
      <c r="I120" s="29" t="str">
        <f t="shared" ca="1" si="5"/>
        <v/>
      </c>
    </row>
    <row r="121" spans="1:9" x14ac:dyDescent="0.35">
      <c r="A121" s="21"/>
      <c r="B121" s="13"/>
      <c r="C121" s="14"/>
      <c r="D121" s="14"/>
      <c r="E121" s="13"/>
      <c r="F121" s="7" t="str">
        <f t="shared" ca="1" si="3"/>
        <v/>
      </c>
      <c r="G121" s="27" t="str">
        <f t="shared" ca="1" si="4"/>
        <v/>
      </c>
      <c r="H121" s="13"/>
      <c r="I121" s="29" t="str">
        <f t="shared" ca="1" si="5"/>
        <v/>
      </c>
    </row>
    <row r="122" spans="1:9" x14ac:dyDescent="0.35">
      <c r="A122" s="21"/>
      <c r="B122" s="13"/>
      <c r="C122" s="14"/>
      <c r="D122" s="14"/>
      <c r="E122" s="13"/>
      <c r="F122" s="7" t="str">
        <f t="shared" ca="1" si="3"/>
        <v/>
      </c>
      <c r="G122" s="27" t="str">
        <f t="shared" ca="1" si="4"/>
        <v/>
      </c>
      <c r="H122" s="13"/>
      <c r="I122" s="29" t="str">
        <f t="shared" ca="1" si="5"/>
        <v/>
      </c>
    </row>
    <row r="123" spans="1:9" x14ac:dyDescent="0.35">
      <c r="A123" s="21"/>
      <c r="B123" s="13"/>
      <c r="C123" s="14"/>
      <c r="D123" s="14"/>
      <c r="E123" s="13"/>
      <c r="F123" s="7" t="str">
        <f t="shared" ca="1" si="3"/>
        <v/>
      </c>
      <c r="G123" s="27" t="str">
        <f t="shared" ca="1" si="4"/>
        <v/>
      </c>
      <c r="H123" s="13"/>
      <c r="I123" s="29" t="str">
        <f t="shared" ca="1" si="5"/>
        <v/>
      </c>
    </row>
    <row r="124" spans="1:9" x14ac:dyDescent="0.35">
      <c r="A124" s="21"/>
      <c r="B124" s="13"/>
      <c r="C124" s="14"/>
      <c r="D124" s="14"/>
      <c r="E124" s="13"/>
      <c r="F124" s="7" t="str">
        <f t="shared" ca="1" si="3"/>
        <v/>
      </c>
      <c r="G124" s="27" t="str">
        <f t="shared" ca="1" si="4"/>
        <v/>
      </c>
      <c r="H124" s="13"/>
      <c r="I124" s="29" t="str">
        <f t="shared" ca="1" si="5"/>
        <v/>
      </c>
    </row>
    <row r="125" spans="1:9" x14ac:dyDescent="0.35">
      <c r="A125" s="21"/>
      <c r="B125" s="13"/>
      <c r="C125" s="14"/>
      <c r="D125" s="14"/>
      <c r="E125" s="13"/>
      <c r="F125" s="7" t="str">
        <f t="shared" ca="1" si="3"/>
        <v/>
      </c>
      <c r="G125" s="27" t="str">
        <f t="shared" ca="1" si="4"/>
        <v/>
      </c>
      <c r="H125" s="13"/>
      <c r="I125" s="29" t="str">
        <f t="shared" ca="1" si="5"/>
        <v/>
      </c>
    </row>
    <row r="126" spans="1:9" x14ac:dyDescent="0.35">
      <c r="A126" s="21"/>
      <c r="B126" s="13"/>
      <c r="C126" s="14"/>
      <c r="D126" s="14"/>
      <c r="E126" s="13"/>
      <c r="F126" s="7" t="str">
        <f t="shared" ca="1" si="3"/>
        <v/>
      </c>
      <c r="G126" s="27" t="str">
        <f t="shared" ca="1" si="4"/>
        <v/>
      </c>
      <c r="H126" s="13"/>
      <c r="I126" s="29" t="str">
        <f t="shared" ca="1" si="5"/>
        <v/>
      </c>
    </row>
    <row r="127" spans="1:9" x14ac:dyDescent="0.35">
      <c r="A127" s="21"/>
      <c r="B127" s="13"/>
      <c r="C127" s="14"/>
      <c r="D127" s="14"/>
      <c r="E127" s="13"/>
      <c r="F127" s="7" t="str">
        <f t="shared" ca="1" si="3"/>
        <v/>
      </c>
      <c r="G127" s="27" t="str">
        <f t="shared" ca="1" si="4"/>
        <v/>
      </c>
      <c r="H127" s="13"/>
      <c r="I127" s="29" t="str">
        <f t="shared" ca="1" si="5"/>
        <v/>
      </c>
    </row>
    <row r="128" spans="1:9" x14ac:dyDescent="0.35">
      <c r="A128" s="21"/>
      <c r="B128" s="13"/>
      <c r="C128" s="14"/>
      <c r="D128" s="14"/>
      <c r="E128" s="13"/>
      <c r="F128" s="7" t="str">
        <f t="shared" ca="1" si="3"/>
        <v/>
      </c>
      <c r="G128" s="27" t="str">
        <f t="shared" ca="1" si="4"/>
        <v/>
      </c>
      <c r="H128" s="13"/>
      <c r="I128" s="29" t="str">
        <f t="shared" ca="1" si="5"/>
        <v/>
      </c>
    </row>
    <row r="129" spans="1:9" x14ac:dyDescent="0.35">
      <c r="A129" s="21"/>
      <c r="B129" s="13"/>
      <c r="C129" s="14"/>
      <c r="D129" s="14"/>
      <c r="E129" s="13"/>
      <c r="F129" s="7" t="str">
        <f t="shared" ca="1" si="3"/>
        <v/>
      </c>
      <c r="G129" s="27" t="str">
        <f t="shared" ca="1" si="4"/>
        <v/>
      </c>
      <c r="H129" s="13"/>
      <c r="I129" s="29" t="str">
        <f t="shared" ca="1" si="5"/>
        <v/>
      </c>
    </row>
    <row r="130" spans="1:9" x14ac:dyDescent="0.35">
      <c r="A130" s="21"/>
      <c r="B130" s="13"/>
      <c r="C130" s="14"/>
      <c r="D130" s="14"/>
      <c r="E130" s="13"/>
      <c r="F130" s="7" t="str">
        <f t="shared" ca="1" si="3"/>
        <v/>
      </c>
      <c r="G130" s="27" t="str">
        <f t="shared" ca="1" si="4"/>
        <v/>
      </c>
      <c r="H130" s="13"/>
      <c r="I130" s="29" t="str">
        <f t="shared" ca="1" si="5"/>
        <v/>
      </c>
    </row>
    <row r="131" spans="1:9" x14ac:dyDescent="0.35">
      <c r="A131" s="21"/>
      <c r="B131" s="13"/>
      <c r="C131" s="14"/>
      <c r="D131" s="14"/>
      <c r="E131" s="13"/>
      <c r="F131" s="7" t="str">
        <f t="shared" ca="1" si="3"/>
        <v/>
      </c>
      <c r="G131" s="27" t="str">
        <f t="shared" ca="1" si="4"/>
        <v/>
      </c>
      <c r="H131" s="13"/>
      <c r="I131" s="29" t="str">
        <f t="shared" ca="1" si="5"/>
        <v/>
      </c>
    </row>
    <row r="132" spans="1:9" x14ac:dyDescent="0.35">
      <c r="A132" s="21"/>
      <c r="B132" s="13"/>
      <c r="C132" s="14"/>
      <c r="D132" s="14"/>
      <c r="E132" s="13"/>
      <c r="F132" s="7" t="str">
        <f t="shared" ca="1" si="3"/>
        <v/>
      </c>
      <c r="G132" s="27" t="str">
        <f t="shared" ca="1" si="4"/>
        <v/>
      </c>
      <c r="H132" s="13"/>
      <c r="I132" s="29" t="str">
        <f t="shared" ca="1" si="5"/>
        <v/>
      </c>
    </row>
    <row r="133" spans="1:9" x14ac:dyDescent="0.35">
      <c r="A133" s="21"/>
      <c r="B133" s="13"/>
      <c r="C133" s="14"/>
      <c r="D133" s="14"/>
      <c r="E133" s="13"/>
      <c r="F133" s="7" t="str">
        <f t="shared" ref="F133:F196" ca="1" si="6">IF($B133="","",IF($D133&lt;&gt;"","Fait",IF($C133="","Non planifié",IF(N($C133)&lt;TODAY(),"En retard","À venir"))))</f>
        <v/>
      </c>
      <c r="G133" s="27" t="str">
        <f t="shared" ref="G133:G196" ca="1" si="7">IF($B133="","",IF(AND($C133&lt;&gt;"",$D133&lt;&gt;""),$D133-$C133,IF($F133="En retard",TODAY()-$C133,"")))</f>
        <v/>
      </c>
      <c r="H133" s="13"/>
      <c r="I133" s="29" t="str">
        <f t="shared" ref="I133:I196" ca="1" si="8">IF($F133="En retard",1,"")</f>
        <v/>
      </c>
    </row>
    <row r="134" spans="1:9" x14ac:dyDescent="0.35">
      <c r="A134" s="21"/>
      <c r="B134" s="13"/>
      <c r="C134" s="14"/>
      <c r="D134" s="14"/>
      <c r="E134" s="13"/>
      <c r="F134" s="7" t="str">
        <f t="shared" ca="1" si="6"/>
        <v/>
      </c>
      <c r="G134" s="27" t="str">
        <f t="shared" ca="1" si="7"/>
        <v/>
      </c>
      <c r="H134" s="13"/>
      <c r="I134" s="29" t="str">
        <f t="shared" ca="1" si="8"/>
        <v/>
      </c>
    </row>
    <row r="135" spans="1:9" x14ac:dyDescent="0.35">
      <c r="A135" s="21"/>
      <c r="B135" s="13"/>
      <c r="C135" s="14"/>
      <c r="D135" s="14"/>
      <c r="E135" s="13"/>
      <c r="F135" s="7" t="str">
        <f t="shared" ca="1" si="6"/>
        <v/>
      </c>
      <c r="G135" s="27" t="str">
        <f t="shared" ca="1" si="7"/>
        <v/>
      </c>
      <c r="H135" s="13"/>
      <c r="I135" s="29" t="str">
        <f t="shared" ca="1" si="8"/>
        <v/>
      </c>
    </row>
    <row r="136" spans="1:9" x14ac:dyDescent="0.35">
      <c r="A136" s="21"/>
      <c r="B136" s="13"/>
      <c r="C136" s="14"/>
      <c r="D136" s="14"/>
      <c r="E136" s="13"/>
      <c r="F136" s="7" t="str">
        <f t="shared" ca="1" si="6"/>
        <v/>
      </c>
      <c r="G136" s="27" t="str">
        <f t="shared" ca="1" si="7"/>
        <v/>
      </c>
      <c r="H136" s="13"/>
      <c r="I136" s="29" t="str">
        <f t="shared" ca="1" si="8"/>
        <v/>
      </c>
    </row>
    <row r="137" spans="1:9" x14ac:dyDescent="0.35">
      <c r="A137" s="21"/>
      <c r="B137" s="13"/>
      <c r="C137" s="14"/>
      <c r="D137" s="14"/>
      <c r="E137" s="13"/>
      <c r="F137" s="7" t="str">
        <f t="shared" ca="1" si="6"/>
        <v/>
      </c>
      <c r="G137" s="27" t="str">
        <f t="shared" ca="1" si="7"/>
        <v/>
      </c>
      <c r="H137" s="13"/>
      <c r="I137" s="29" t="str">
        <f t="shared" ca="1" si="8"/>
        <v/>
      </c>
    </row>
    <row r="138" spans="1:9" x14ac:dyDescent="0.35">
      <c r="A138" s="21"/>
      <c r="B138" s="13"/>
      <c r="C138" s="14"/>
      <c r="D138" s="14"/>
      <c r="E138" s="13"/>
      <c r="F138" s="7" t="str">
        <f t="shared" ca="1" si="6"/>
        <v/>
      </c>
      <c r="G138" s="27" t="str">
        <f t="shared" ca="1" si="7"/>
        <v/>
      </c>
      <c r="H138" s="13"/>
      <c r="I138" s="29" t="str">
        <f t="shared" ca="1" si="8"/>
        <v/>
      </c>
    </row>
    <row r="139" spans="1:9" x14ac:dyDescent="0.35">
      <c r="A139" s="21"/>
      <c r="B139" s="13"/>
      <c r="C139" s="14"/>
      <c r="D139" s="14"/>
      <c r="E139" s="13"/>
      <c r="F139" s="7" t="str">
        <f t="shared" ca="1" si="6"/>
        <v/>
      </c>
      <c r="G139" s="27" t="str">
        <f t="shared" ca="1" si="7"/>
        <v/>
      </c>
      <c r="H139" s="13"/>
      <c r="I139" s="29" t="str">
        <f t="shared" ca="1" si="8"/>
        <v/>
      </c>
    </row>
    <row r="140" spans="1:9" x14ac:dyDescent="0.35">
      <c r="A140" s="21"/>
      <c r="B140" s="13"/>
      <c r="C140" s="14"/>
      <c r="D140" s="14"/>
      <c r="E140" s="13"/>
      <c r="F140" s="7" t="str">
        <f t="shared" ca="1" si="6"/>
        <v/>
      </c>
      <c r="G140" s="27" t="str">
        <f t="shared" ca="1" si="7"/>
        <v/>
      </c>
      <c r="H140" s="13"/>
      <c r="I140" s="29" t="str">
        <f t="shared" ca="1" si="8"/>
        <v/>
      </c>
    </row>
    <row r="141" spans="1:9" x14ac:dyDescent="0.35">
      <c r="A141" s="21"/>
      <c r="B141" s="13"/>
      <c r="C141" s="14"/>
      <c r="D141" s="14"/>
      <c r="E141" s="13"/>
      <c r="F141" s="7" t="str">
        <f t="shared" ca="1" si="6"/>
        <v/>
      </c>
      <c r="G141" s="27" t="str">
        <f t="shared" ca="1" si="7"/>
        <v/>
      </c>
      <c r="H141" s="13"/>
      <c r="I141" s="29" t="str">
        <f t="shared" ca="1" si="8"/>
        <v/>
      </c>
    </row>
    <row r="142" spans="1:9" x14ac:dyDescent="0.35">
      <c r="A142" s="21"/>
      <c r="B142" s="13"/>
      <c r="C142" s="14"/>
      <c r="D142" s="14"/>
      <c r="E142" s="13"/>
      <c r="F142" s="7" t="str">
        <f t="shared" ca="1" si="6"/>
        <v/>
      </c>
      <c r="G142" s="27" t="str">
        <f t="shared" ca="1" si="7"/>
        <v/>
      </c>
      <c r="H142" s="13"/>
      <c r="I142" s="29" t="str">
        <f t="shared" ca="1" si="8"/>
        <v/>
      </c>
    </row>
    <row r="143" spans="1:9" x14ac:dyDescent="0.35">
      <c r="A143" s="21"/>
      <c r="B143" s="13"/>
      <c r="C143" s="14"/>
      <c r="D143" s="14"/>
      <c r="E143" s="13"/>
      <c r="F143" s="7" t="str">
        <f t="shared" ca="1" si="6"/>
        <v/>
      </c>
      <c r="G143" s="27" t="str">
        <f t="shared" ca="1" si="7"/>
        <v/>
      </c>
      <c r="H143" s="13"/>
      <c r="I143" s="29" t="str">
        <f t="shared" ca="1" si="8"/>
        <v/>
      </c>
    </row>
    <row r="144" spans="1:9" x14ac:dyDescent="0.35">
      <c r="A144" s="21"/>
      <c r="B144" s="13"/>
      <c r="C144" s="14"/>
      <c r="D144" s="14"/>
      <c r="E144" s="13"/>
      <c r="F144" s="7" t="str">
        <f t="shared" ca="1" si="6"/>
        <v/>
      </c>
      <c r="G144" s="27" t="str">
        <f t="shared" ca="1" si="7"/>
        <v/>
      </c>
      <c r="H144" s="13"/>
      <c r="I144" s="29" t="str">
        <f t="shared" ca="1" si="8"/>
        <v/>
      </c>
    </row>
    <row r="145" spans="1:9" x14ac:dyDescent="0.35">
      <c r="A145" s="21"/>
      <c r="B145" s="13"/>
      <c r="C145" s="14"/>
      <c r="D145" s="14"/>
      <c r="E145" s="13"/>
      <c r="F145" s="7" t="str">
        <f t="shared" ca="1" si="6"/>
        <v/>
      </c>
      <c r="G145" s="27" t="str">
        <f t="shared" ca="1" si="7"/>
        <v/>
      </c>
      <c r="H145" s="13"/>
      <c r="I145" s="29" t="str">
        <f t="shared" ca="1" si="8"/>
        <v/>
      </c>
    </row>
    <row r="146" spans="1:9" x14ac:dyDescent="0.35">
      <c r="A146" s="21"/>
      <c r="B146" s="13"/>
      <c r="C146" s="14"/>
      <c r="D146" s="14"/>
      <c r="E146" s="13"/>
      <c r="F146" s="7" t="str">
        <f t="shared" ca="1" si="6"/>
        <v/>
      </c>
      <c r="G146" s="27" t="str">
        <f t="shared" ca="1" si="7"/>
        <v/>
      </c>
      <c r="H146" s="13"/>
      <c r="I146" s="29" t="str">
        <f t="shared" ca="1" si="8"/>
        <v/>
      </c>
    </row>
    <row r="147" spans="1:9" x14ac:dyDescent="0.35">
      <c r="A147" s="21"/>
      <c r="B147" s="13"/>
      <c r="C147" s="14"/>
      <c r="D147" s="14"/>
      <c r="E147" s="13"/>
      <c r="F147" s="7" t="str">
        <f t="shared" ca="1" si="6"/>
        <v/>
      </c>
      <c r="G147" s="27" t="str">
        <f t="shared" ca="1" si="7"/>
        <v/>
      </c>
      <c r="H147" s="13"/>
      <c r="I147" s="29" t="str">
        <f t="shared" ca="1" si="8"/>
        <v/>
      </c>
    </row>
    <row r="148" spans="1:9" x14ac:dyDescent="0.35">
      <c r="A148" s="21"/>
      <c r="B148" s="13"/>
      <c r="C148" s="14"/>
      <c r="D148" s="14"/>
      <c r="E148" s="13"/>
      <c r="F148" s="7" t="str">
        <f t="shared" ca="1" si="6"/>
        <v/>
      </c>
      <c r="G148" s="27" t="str">
        <f t="shared" ca="1" si="7"/>
        <v/>
      </c>
      <c r="H148" s="13"/>
      <c r="I148" s="29" t="str">
        <f t="shared" ca="1" si="8"/>
        <v/>
      </c>
    </row>
    <row r="149" spans="1:9" x14ac:dyDescent="0.35">
      <c r="A149" s="21"/>
      <c r="B149" s="13"/>
      <c r="C149" s="14"/>
      <c r="D149" s="14"/>
      <c r="E149" s="13"/>
      <c r="F149" s="7" t="str">
        <f t="shared" ca="1" si="6"/>
        <v/>
      </c>
      <c r="G149" s="27" t="str">
        <f t="shared" ca="1" si="7"/>
        <v/>
      </c>
      <c r="H149" s="13"/>
      <c r="I149" s="29" t="str">
        <f t="shared" ca="1" si="8"/>
        <v/>
      </c>
    </row>
    <row r="150" spans="1:9" x14ac:dyDescent="0.35">
      <c r="A150" s="21"/>
      <c r="B150" s="13"/>
      <c r="C150" s="14"/>
      <c r="D150" s="14"/>
      <c r="E150" s="13"/>
      <c r="F150" s="7" t="str">
        <f t="shared" ca="1" si="6"/>
        <v/>
      </c>
      <c r="G150" s="27" t="str">
        <f t="shared" ca="1" si="7"/>
        <v/>
      </c>
      <c r="H150" s="13"/>
      <c r="I150" s="29" t="str">
        <f t="shared" ca="1" si="8"/>
        <v/>
      </c>
    </row>
    <row r="151" spans="1:9" x14ac:dyDescent="0.35">
      <c r="A151" s="21"/>
      <c r="B151" s="13"/>
      <c r="C151" s="14"/>
      <c r="D151" s="14"/>
      <c r="E151" s="13"/>
      <c r="F151" s="7" t="str">
        <f t="shared" ca="1" si="6"/>
        <v/>
      </c>
      <c r="G151" s="27" t="str">
        <f t="shared" ca="1" si="7"/>
        <v/>
      </c>
      <c r="H151" s="13"/>
      <c r="I151" s="29" t="str">
        <f t="shared" ca="1" si="8"/>
        <v/>
      </c>
    </row>
    <row r="152" spans="1:9" x14ac:dyDescent="0.35">
      <c r="A152" s="21"/>
      <c r="B152" s="13"/>
      <c r="C152" s="14"/>
      <c r="D152" s="14"/>
      <c r="E152" s="13"/>
      <c r="F152" s="7" t="str">
        <f t="shared" ca="1" si="6"/>
        <v/>
      </c>
      <c r="G152" s="27" t="str">
        <f t="shared" ca="1" si="7"/>
        <v/>
      </c>
      <c r="H152" s="13"/>
      <c r="I152" s="29" t="str">
        <f t="shared" ca="1" si="8"/>
        <v/>
      </c>
    </row>
    <row r="153" spans="1:9" x14ac:dyDescent="0.35">
      <c r="A153" s="21"/>
      <c r="B153" s="13"/>
      <c r="C153" s="14"/>
      <c r="D153" s="14"/>
      <c r="E153" s="13"/>
      <c r="F153" s="7" t="str">
        <f t="shared" ca="1" si="6"/>
        <v/>
      </c>
      <c r="G153" s="27" t="str">
        <f t="shared" ca="1" si="7"/>
        <v/>
      </c>
      <c r="H153" s="13"/>
      <c r="I153" s="29" t="str">
        <f t="shared" ca="1" si="8"/>
        <v/>
      </c>
    </row>
    <row r="154" spans="1:9" x14ac:dyDescent="0.35">
      <c r="A154" s="21"/>
      <c r="B154" s="13"/>
      <c r="C154" s="14"/>
      <c r="D154" s="14"/>
      <c r="E154" s="13"/>
      <c r="F154" s="7" t="str">
        <f t="shared" ca="1" si="6"/>
        <v/>
      </c>
      <c r="G154" s="27" t="str">
        <f t="shared" ca="1" si="7"/>
        <v/>
      </c>
      <c r="H154" s="13"/>
      <c r="I154" s="29" t="str">
        <f t="shared" ca="1" si="8"/>
        <v/>
      </c>
    </row>
    <row r="155" spans="1:9" x14ac:dyDescent="0.35">
      <c r="A155" s="21"/>
      <c r="B155" s="13"/>
      <c r="C155" s="14"/>
      <c r="D155" s="14"/>
      <c r="E155" s="13"/>
      <c r="F155" s="7" t="str">
        <f t="shared" ca="1" si="6"/>
        <v/>
      </c>
      <c r="G155" s="27" t="str">
        <f t="shared" ca="1" si="7"/>
        <v/>
      </c>
      <c r="H155" s="13"/>
      <c r="I155" s="29" t="str">
        <f t="shared" ca="1" si="8"/>
        <v/>
      </c>
    </row>
    <row r="156" spans="1:9" x14ac:dyDescent="0.35">
      <c r="A156" s="21"/>
      <c r="B156" s="13"/>
      <c r="C156" s="14"/>
      <c r="D156" s="14"/>
      <c r="E156" s="13"/>
      <c r="F156" s="7" t="str">
        <f t="shared" ca="1" si="6"/>
        <v/>
      </c>
      <c r="G156" s="27" t="str">
        <f t="shared" ca="1" si="7"/>
        <v/>
      </c>
      <c r="H156" s="13"/>
      <c r="I156" s="29" t="str">
        <f t="shared" ca="1" si="8"/>
        <v/>
      </c>
    </row>
    <row r="157" spans="1:9" x14ac:dyDescent="0.35">
      <c r="A157" s="21"/>
      <c r="B157" s="13"/>
      <c r="C157" s="14"/>
      <c r="D157" s="14"/>
      <c r="E157" s="13"/>
      <c r="F157" s="7" t="str">
        <f t="shared" ca="1" si="6"/>
        <v/>
      </c>
      <c r="G157" s="27" t="str">
        <f t="shared" ca="1" si="7"/>
        <v/>
      </c>
      <c r="H157" s="13"/>
      <c r="I157" s="29" t="str">
        <f t="shared" ca="1" si="8"/>
        <v/>
      </c>
    </row>
    <row r="158" spans="1:9" x14ac:dyDescent="0.35">
      <c r="A158" s="21"/>
      <c r="B158" s="13"/>
      <c r="C158" s="14"/>
      <c r="D158" s="14"/>
      <c r="E158" s="13"/>
      <c r="F158" s="7" t="str">
        <f t="shared" ca="1" si="6"/>
        <v/>
      </c>
      <c r="G158" s="27" t="str">
        <f t="shared" ca="1" si="7"/>
        <v/>
      </c>
      <c r="H158" s="13"/>
      <c r="I158" s="29" t="str">
        <f t="shared" ca="1" si="8"/>
        <v/>
      </c>
    </row>
    <row r="159" spans="1:9" x14ac:dyDescent="0.35">
      <c r="A159" s="21"/>
      <c r="B159" s="13"/>
      <c r="C159" s="14"/>
      <c r="D159" s="14"/>
      <c r="E159" s="13"/>
      <c r="F159" s="7" t="str">
        <f t="shared" ca="1" si="6"/>
        <v/>
      </c>
      <c r="G159" s="27" t="str">
        <f t="shared" ca="1" si="7"/>
        <v/>
      </c>
      <c r="H159" s="13"/>
      <c r="I159" s="29" t="str">
        <f t="shared" ca="1" si="8"/>
        <v/>
      </c>
    </row>
    <row r="160" spans="1:9" x14ac:dyDescent="0.35">
      <c r="A160" s="21"/>
      <c r="B160" s="13"/>
      <c r="C160" s="14"/>
      <c r="D160" s="14"/>
      <c r="E160" s="13"/>
      <c r="F160" s="7" t="str">
        <f t="shared" ca="1" si="6"/>
        <v/>
      </c>
      <c r="G160" s="27" t="str">
        <f t="shared" ca="1" si="7"/>
        <v/>
      </c>
      <c r="H160" s="13"/>
      <c r="I160" s="29" t="str">
        <f t="shared" ca="1" si="8"/>
        <v/>
      </c>
    </row>
    <row r="161" spans="1:9" x14ac:dyDescent="0.35">
      <c r="A161" s="21"/>
      <c r="B161" s="13"/>
      <c r="C161" s="14"/>
      <c r="D161" s="14"/>
      <c r="E161" s="13"/>
      <c r="F161" s="7" t="str">
        <f t="shared" ca="1" si="6"/>
        <v/>
      </c>
      <c r="G161" s="27" t="str">
        <f t="shared" ca="1" si="7"/>
        <v/>
      </c>
      <c r="H161" s="13"/>
      <c r="I161" s="29" t="str">
        <f t="shared" ca="1" si="8"/>
        <v/>
      </c>
    </row>
    <row r="162" spans="1:9" x14ac:dyDescent="0.35">
      <c r="A162" s="21"/>
      <c r="B162" s="13"/>
      <c r="C162" s="14"/>
      <c r="D162" s="14"/>
      <c r="E162" s="13"/>
      <c r="F162" s="7" t="str">
        <f t="shared" ca="1" si="6"/>
        <v/>
      </c>
      <c r="G162" s="27" t="str">
        <f t="shared" ca="1" si="7"/>
        <v/>
      </c>
      <c r="H162" s="13"/>
      <c r="I162" s="29" t="str">
        <f t="shared" ca="1" si="8"/>
        <v/>
      </c>
    </row>
    <row r="163" spans="1:9" x14ac:dyDescent="0.35">
      <c r="A163" s="21"/>
      <c r="B163" s="13"/>
      <c r="C163" s="14"/>
      <c r="D163" s="14"/>
      <c r="E163" s="13"/>
      <c r="F163" s="7" t="str">
        <f t="shared" ca="1" si="6"/>
        <v/>
      </c>
      <c r="G163" s="27" t="str">
        <f t="shared" ca="1" si="7"/>
        <v/>
      </c>
      <c r="H163" s="13"/>
      <c r="I163" s="29" t="str">
        <f t="shared" ca="1" si="8"/>
        <v/>
      </c>
    </row>
    <row r="164" spans="1:9" x14ac:dyDescent="0.35">
      <c r="A164" s="21"/>
      <c r="B164" s="13"/>
      <c r="C164" s="14"/>
      <c r="D164" s="14"/>
      <c r="E164" s="13"/>
      <c r="F164" s="7" t="str">
        <f t="shared" ca="1" si="6"/>
        <v/>
      </c>
      <c r="G164" s="27" t="str">
        <f t="shared" ca="1" si="7"/>
        <v/>
      </c>
      <c r="H164" s="13"/>
      <c r="I164" s="29" t="str">
        <f t="shared" ca="1" si="8"/>
        <v/>
      </c>
    </row>
    <row r="165" spans="1:9" x14ac:dyDescent="0.35">
      <c r="A165" s="21"/>
      <c r="B165" s="13"/>
      <c r="C165" s="14"/>
      <c r="D165" s="14"/>
      <c r="E165" s="13"/>
      <c r="F165" s="7" t="str">
        <f t="shared" ca="1" si="6"/>
        <v/>
      </c>
      <c r="G165" s="27" t="str">
        <f t="shared" ca="1" si="7"/>
        <v/>
      </c>
      <c r="H165" s="13"/>
      <c r="I165" s="29" t="str">
        <f t="shared" ca="1" si="8"/>
        <v/>
      </c>
    </row>
    <row r="166" spans="1:9" x14ac:dyDescent="0.35">
      <c r="A166" s="21"/>
      <c r="B166" s="13"/>
      <c r="C166" s="14"/>
      <c r="D166" s="14"/>
      <c r="E166" s="13"/>
      <c r="F166" s="7" t="str">
        <f t="shared" ca="1" si="6"/>
        <v/>
      </c>
      <c r="G166" s="27" t="str">
        <f t="shared" ca="1" si="7"/>
        <v/>
      </c>
      <c r="H166" s="13"/>
      <c r="I166" s="29" t="str">
        <f t="shared" ca="1" si="8"/>
        <v/>
      </c>
    </row>
    <row r="167" spans="1:9" x14ac:dyDescent="0.35">
      <c r="A167" s="21"/>
      <c r="B167" s="13"/>
      <c r="C167" s="14"/>
      <c r="D167" s="14"/>
      <c r="E167" s="13"/>
      <c r="F167" s="7" t="str">
        <f t="shared" ca="1" si="6"/>
        <v/>
      </c>
      <c r="G167" s="27" t="str">
        <f t="shared" ca="1" si="7"/>
        <v/>
      </c>
      <c r="H167" s="13"/>
      <c r="I167" s="29" t="str">
        <f t="shared" ca="1" si="8"/>
        <v/>
      </c>
    </row>
    <row r="168" spans="1:9" x14ac:dyDescent="0.35">
      <c r="A168" s="21"/>
      <c r="B168" s="13"/>
      <c r="C168" s="14"/>
      <c r="D168" s="14"/>
      <c r="E168" s="13"/>
      <c r="F168" s="7" t="str">
        <f t="shared" ca="1" si="6"/>
        <v/>
      </c>
      <c r="G168" s="27" t="str">
        <f t="shared" ca="1" si="7"/>
        <v/>
      </c>
      <c r="H168" s="13"/>
      <c r="I168" s="29" t="str">
        <f t="shared" ca="1" si="8"/>
        <v/>
      </c>
    </row>
    <row r="169" spans="1:9" x14ac:dyDescent="0.35">
      <c r="A169" s="21"/>
      <c r="B169" s="13"/>
      <c r="C169" s="14"/>
      <c r="D169" s="14"/>
      <c r="E169" s="13"/>
      <c r="F169" s="7" t="str">
        <f t="shared" ca="1" si="6"/>
        <v/>
      </c>
      <c r="G169" s="27" t="str">
        <f t="shared" ca="1" si="7"/>
        <v/>
      </c>
      <c r="H169" s="13"/>
      <c r="I169" s="29" t="str">
        <f t="shared" ca="1" si="8"/>
        <v/>
      </c>
    </row>
    <row r="170" spans="1:9" x14ac:dyDescent="0.35">
      <c r="A170" s="21"/>
      <c r="B170" s="13"/>
      <c r="C170" s="14"/>
      <c r="D170" s="14"/>
      <c r="E170" s="13"/>
      <c r="F170" s="7" t="str">
        <f t="shared" ca="1" si="6"/>
        <v/>
      </c>
      <c r="G170" s="27" t="str">
        <f t="shared" ca="1" si="7"/>
        <v/>
      </c>
      <c r="H170" s="13"/>
      <c r="I170" s="29" t="str">
        <f t="shared" ca="1" si="8"/>
        <v/>
      </c>
    </row>
    <row r="171" spans="1:9" x14ac:dyDescent="0.35">
      <c r="A171" s="21"/>
      <c r="B171" s="13"/>
      <c r="C171" s="14"/>
      <c r="D171" s="14"/>
      <c r="E171" s="13"/>
      <c r="F171" s="7" t="str">
        <f t="shared" ca="1" si="6"/>
        <v/>
      </c>
      <c r="G171" s="27" t="str">
        <f t="shared" ca="1" si="7"/>
        <v/>
      </c>
      <c r="H171" s="13"/>
      <c r="I171" s="29" t="str">
        <f t="shared" ca="1" si="8"/>
        <v/>
      </c>
    </row>
    <row r="172" spans="1:9" x14ac:dyDescent="0.35">
      <c r="A172" s="21"/>
      <c r="B172" s="13"/>
      <c r="C172" s="14"/>
      <c r="D172" s="14"/>
      <c r="E172" s="13"/>
      <c r="F172" s="7" t="str">
        <f t="shared" ca="1" si="6"/>
        <v/>
      </c>
      <c r="G172" s="27" t="str">
        <f t="shared" ca="1" si="7"/>
        <v/>
      </c>
      <c r="H172" s="13"/>
      <c r="I172" s="29" t="str">
        <f t="shared" ca="1" si="8"/>
        <v/>
      </c>
    </row>
    <row r="173" spans="1:9" x14ac:dyDescent="0.35">
      <c r="A173" s="21"/>
      <c r="B173" s="13"/>
      <c r="C173" s="14"/>
      <c r="D173" s="14"/>
      <c r="E173" s="13"/>
      <c r="F173" s="7" t="str">
        <f t="shared" ca="1" si="6"/>
        <v/>
      </c>
      <c r="G173" s="27" t="str">
        <f t="shared" ca="1" si="7"/>
        <v/>
      </c>
      <c r="H173" s="13"/>
      <c r="I173" s="29" t="str">
        <f t="shared" ca="1" si="8"/>
        <v/>
      </c>
    </row>
    <row r="174" spans="1:9" x14ac:dyDescent="0.35">
      <c r="A174" s="21"/>
      <c r="B174" s="13"/>
      <c r="C174" s="14"/>
      <c r="D174" s="14"/>
      <c r="E174" s="13"/>
      <c r="F174" s="7" t="str">
        <f t="shared" ca="1" si="6"/>
        <v/>
      </c>
      <c r="G174" s="27" t="str">
        <f t="shared" ca="1" si="7"/>
        <v/>
      </c>
      <c r="H174" s="13"/>
      <c r="I174" s="29" t="str">
        <f t="shared" ca="1" si="8"/>
        <v/>
      </c>
    </row>
    <row r="175" spans="1:9" x14ac:dyDescent="0.35">
      <c r="A175" s="21"/>
      <c r="B175" s="13"/>
      <c r="C175" s="14"/>
      <c r="D175" s="14"/>
      <c r="E175" s="13"/>
      <c r="F175" s="7" t="str">
        <f t="shared" ca="1" si="6"/>
        <v/>
      </c>
      <c r="G175" s="27" t="str">
        <f t="shared" ca="1" si="7"/>
        <v/>
      </c>
      <c r="H175" s="13"/>
      <c r="I175" s="29" t="str">
        <f t="shared" ca="1" si="8"/>
        <v/>
      </c>
    </row>
    <row r="176" spans="1:9" x14ac:dyDescent="0.35">
      <c r="A176" s="21"/>
      <c r="B176" s="13"/>
      <c r="C176" s="14"/>
      <c r="D176" s="14"/>
      <c r="E176" s="13"/>
      <c r="F176" s="7" t="str">
        <f t="shared" ca="1" si="6"/>
        <v/>
      </c>
      <c r="G176" s="27" t="str">
        <f t="shared" ca="1" si="7"/>
        <v/>
      </c>
      <c r="H176" s="13"/>
      <c r="I176" s="29" t="str">
        <f t="shared" ca="1" si="8"/>
        <v/>
      </c>
    </row>
    <row r="177" spans="1:9" x14ac:dyDescent="0.35">
      <c r="A177" s="21"/>
      <c r="B177" s="13"/>
      <c r="C177" s="14"/>
      <c r="D177" s="14"/>
      <c r="E177" s="13"/>
      <c r="F177" s="7" t="str">
        <f t="shared" ca="1" si="6"/>
        <v/>
      </c>
      <c r="G177" s="27" t="str">
        <f t="shared" ca="1" si="7"/>
        <v/>
      </c>
      <c r="H177" s="13"/>
      <c r="I177" s="29" t="str">
        <f t="shared" ca="1" si="8"/>
        <v/>
      </c>
    </row>
    <row r="178" spans="1:9" x14ac:dyDescent="0.35">
      <c r="A178" s="21"/>
      <c r="B178" s="13"/>
      <c r="C178" s="14"/>
      <c r="D178" s="14"/>
      <c r="E178" s="13"/>
      <c r="F178" s="7" t="str">
        <f t="shared" ca="1" si="6"/>
        <v/>
      </c>
      <c r="G178" s="27" t="str">
        <f t="shared" ca="1" si="7"/>
        <v/>
      </c>
      <c r="H178" s="13"/>
      <c r="I178" s="29" t="str">
        <f t="shared" ca="1" si="8"/>
        <v/>
      </c>
    </row>
    <row r="179" spans="1:9" x14ac:dyDescent="0.35">
      <c r="A179" s="21"/>
      <c r="B179" s="13"/>
      <c r="C179" s="14"/>
      <c r="D179" s="14"/>
      <c r="E179" s="13"/>
      <c r="F179" s="7" t="str">
        <f t="shared" ca="1" si="6"/>
        <v/>
      </c>
      <c r="G179" s="27" t="str">
        <f t="shared" ca="1" si="7"/>
        <v/>
      </c>
      <c r="H179" s="13"/>
      <c r="I179" s="29" t="str">
        <f t="shared" ca="1" si="8"/>
        <v/>
      </c>
    </row>
    <row r="180" spans="1:9" x14ac:dyDescent="0.35">
      <c r="A180" s="21"/>
      <c r="B180" s="13"/>
      <c r="C180" s="14"/>
      <c r="D180" s="14"/>
      <c r="E180" s="13"/>
      <c r="F180" s="7" t="str">
        <f t="shared" ca="1" si="6"/>
        <v/>
      </c>
      <c r="G180" s="27" t="str">
        <f t="shared" ca="1" si="7"/>
        <v/>
      </c>
      <c r="H180" s="13"/>
      <c r="I180" s="29" t="str">
        <f t="shared" ca="1" si="8"/>
        <v/>
      </c>
    </row>
    <row r="181" spans="1:9" x14ac:dyDescent="0.35">
      <c r="A181" s="21"/>
      <c r="B181" s="13"/>
      <c r="C181" s="14"/>
      <c r="D181" s="14"/>
      <c r="E181" s="13"/>
      <c r="F181" s="7" t="str">
        <f t="shared" ca="1" si="6"/>
        <v/>
      </c>
      <c r="G181" s="27" t="str">
        <f t="shared" ca="1" si="7"/>
        <v/>
      </c>
      <c r="H181" s="13"/>
      <c r="I181" s="29" t="str">
        <f t="shared" ca="1" si="8"/>
        <v/>
      </c>
    </row>
    <row r="182" spans="1:9" x14ac:dyDescent="0.35">
      <c r="A182" s="21"/>
      <c r="B182" s="13"/>
      <c r="C182" s="14"/>
      <c r="D182" s="14"/>
      <c r="E182" s="13"/>
      <c r="F182" s="7" t="str">
        <f t="shared" ca="1" si="6"/>
        <v/>
      </c>
      <c r="G182" s="27" t="str">
        <f t="shared" ca="1" si="7"/>
        <v/>
      </c>
      <c r="H182" s="13"/>
      <c r="I182" s="29" t="str">
        <f t="shared" ca="1" si="8"/>
        <v/>
      </c>
    </row>
    <row r="183" spans="1:9" x14ac:dyDescent="0.35">
      <c r="A183" s="21"/>
      <c r="B183" s="13"/>
      <c r="C183" s="14"/>
      <c r="D183" s="14"/>
      <c r="E183" s="13"/>
      <c r="F183" s="7" t="str">
        <f t="shared" ca="1" si="6"/>
        <v/>
      </c>
      <c r="G183" s="27" t="str">
        <f t="shared" ca="1" si="7"/>
        <v/>
      </c>
      <c r="H183" s="13"/>
      <c r="I183" s="29" t="str">
        <f t="shared" ca="1" si="8"/>
        <v/>
      </c>
    </row>
    <row r="184" spans="1:9" x14ac:dyDescent="0.35">
      <c r="A184" s="21"/>
      <c r="B184" s="13"/>
      <c r="C184" s="14"/>
      <c r="D184" s="14"/>
      <c r="E184" s="13"/>
      <c r="F184" s="7" t="str">
        <f t="shared" ca="1" si="6"/>
        <v/>
      </c>
      <c r="G184" s="27" t="str">
        <f t="shared" ca="1" si="7"/>
        <v/>
      </c>
      <c r="H184" s="13"/>
      <c r="I184" s="29" t="str">
        <f t="shared" ca="1" si="8"/>
        <v/>
      </c>
    </row>
    <row r="185" spans="1:9" x14ac:dyDescent="0.35">
      <c r="A185" s="21"/>
      <c r="B185" s="13"/>
      <c r="C185" s="14"/>
      <c r="D185" s="14"/>
      <c r="E185" s="13"/>
      <c r="F185" s="7" t="str">
        <f t="shared" ca="1" si="6"/>
        <v/>
      </c>
      <c r="G185" s="27" t="str">
        <f t="shared" ca="1" si="7"/>
        <v/>
      </c>
      <c r="H185" s="13"/>
      <c r="I185" s="29" t="str">
        <f t="shared" ca="1" si="8"/>
        <v/>
      </c>
    </row>
    <row r="186" spans="1:9" x14ac:dyDescent="0.35">
      <c r="A186" s="21"/>
      <c r="B186" s="13"/>
      <c r="C186" s="14"/>
      <c r="D186" s="14"/>
      <c r="E186" s="13"/>
      <c r="F186" s="7" t="str">
        <f t="shared" ca="1" si="6"/>
        <v/>
      </c>
      <c r="G186" s="27" t="str">
        <f t="shared" ca="1" si="7"/>
        <v/>
      </c>
      <c r="H186" s="13"/>
      <c r="I186" s="29" t="str">
        <f t="shared" ca="1" si="8"/>
        <v/>
      </c>
    </row>
    <row r="187" spans="1:9" x14ac:dyDescent="0.35">
      <c r="A187" s="21"/>
      <c r="B187" s="13"/>
      <c r="C187" s="14"/>
      <c r="D187" s="14"/>
      <c r="E187" s="13"/>
      <c r="F187" s="7" t="str">
        <f t="shared" ca="1" si="6"/>
        <v/>
      </c>
      <c r="G187" s="27" t="str">
        <f t="shared" ca="1" si="7"/>
        <v/>
      </c>
      <c r="H187" s="13"/>
      <c r="I187" s="29" t="str">
        <f t="shared" ca="1" si="8"/>
        <v/>
      </c>
    </row>
    <row r="188" spans="1:9" x14ac:dyDescent="0.35">
      <c r="A188" s="21"/>
      <c r="B188" s="13"/>
      <c r="C188" s="14"/>
      <c r="D188" s="14"/>
      <c r="E188" s="13"/>
      <c r="F188" s="7" t="str">
        <f t="shared" ca="1" si="6"/>
        <v/>
      </c>
      <c r="G188" s="27" t="str">
        <f t="shared" ca="1" si="7"/>
        <v/>
      </c>
      <c r="H188" s="13"/>
      <c r="I188" s="29" t="str">
        <f t="shared" ca="1" si="8"/>
        <v/>
      </c>
    </row>
    <row r="189" spans="1:9" x14ac:dyDescent="0.35">
      <c r="A189" s="21"/>
      <c r="B189" s="13"/>
      <c r="C189" s="14"/>
      <c r="D189" s="14"/>
      <c r="E189" s="13"/>
      <c r="F189" s="7" t="str">
        <f t="shared" ca="1" si="6"/>
        <v/>
      </c>
      <c r="G189" s="27" t="str">
        <f t="shared" ca="1" si="7"/>
        <v/>
      </c>
      <c r="H189" s="13"/>
      <c r="I189" s="29" t="str">
        <f t="shared" ca="1" si="8"/>
        <v/>
      </c>
    </row>
    <row r="190" spans="1:9" x14ac:dyDescent="0.35">
      <c r="A190" s="21"/>
      <c r="B190" s="13"/>
      <c r="C190" s="14"/>
      <c r="D190" s="14"/>
      <c r="E190" s="13"/>
      <c r="F190" s="7" t="str">
        <f t="shared" ca="1" si="6"/>
        <v/>
      </c>
      <c r="G190" s="27" t="str">
        <f t="shared" ca="1" si="7"/>
        <v/>
      </c>
      <c r="H190" s="13"/>
      <c r="I190" s="29" t="str">
        <f t="shared" ca="1" si="8"/>
        <v/>
      </c>
    </row>
    <row r="191" spans="1:9" x14ac:dyDescent="0.35">
      <c r="A191" s="21"/>
      <c r="B191" s="13"/>
      <c r="C191" s="14"/>
      <c r="D191" s="14"/>
      <c r="E191" s="13"/>
      <c r="F191" s="7" t="str">
        <f t="shared" ca="1" si="6"/>
        <v/>
      </c>
      <c r="G191" s="27" t="str">
        <f t="shared" ca="1" si="7"/>
        <v/>
      </c>
      <c r="H191" s="13"/>
      <c r="I191" s="29" t="str">
        <f t="shared" ca="1" si="8"/>
        <v/>
      </c>
    </row>
    <row r="192" spans="1:9" x14ac:dyDescent="0.35">
      <c r="A192" s="21"/>
      <c r="B192" s="13"/>
      <c r="C192" s="14"/>
      <c r="D192" s="14"/>
      <c r="E192" s="13"/>
      <c r="F192" s="7" t="str">
        <f t="shared" ca="1" si="6"/>
        <v/>
      </c>
      <c r="G192" s="27" t="str">
        <f t="shared" ca="1" si="7"/>
        <v/>
      </c>
      <c r="H192" s="13"/>
      <c r="I192" s="29" t="str">
        <f t="shared" ca="1" si="8"/>
        <v/>
      </c>
    </row>
    <row r="193" spans="1:9" x14ac:dyDescent="0.35">
      <c r="A193" s="21"/>
      <c r="B193" s="13"/>
      <c r="C193" s="14"/>
      <c r="D193" s="14"/>
      <c r="E193" s="13"/>
      <c r="F193" s="7" t="str">
        <f t="shared" ca="1" si="6"/>
        <v/>
      </c>
      <c r="G193" s="27" t="str">
        <f t="shared" ca="1" si="7"/>
        <v/>
      </c>
      <c r="H193" s="13"/>
      <c r="I193" s="29" t="str">
        <f t="shared" ca="1" si="8"/>
        <v/>
      </c>
    </row>
    <row r="194" spans="1:9" x14ac:dyDescent="0.35">
      <c r="A194" s="21"/>
      <c r="B194" s="13"/>
      <c r="C194" s="14"/>
      <c r="D194" s="14"/>
      <c r="E194" s="13"/>
      <c r="F194" s="7" t="str">
        <f t="shared" ca="1" si="6"/>
        <v/>
      </c>
      <c r="G194" s="27" t="str">
        <f t="shared" ca="1" si="7"/>
        <v/>
      </c>
      <c r="H194" s="13"/>
      <c r="I194" s="29" t="str">
        <f t="shared" ca="1" si="8"/>
        <v/>
      </c>
    </row>
    <row r="195" spans="1:9" x14ac:dyDescent="0.35">
      <c r="A195" s="21"/>
      <c r="B195" s="13"/>
      <c r="C195" s="14"/>
      <c r="D195" s="14"/>
      <c r="E195" s="13"/>
      <c r="F195" s="7" t="str">
        <f t="shared" ca="1" si="6"/>
        <v/>
      </c>
      <c r="G195" s="27" t="str">
        <f t="shared" ca="1" si="7"/>
        <v/>
      </c>
      <c r="H195" s="13"/>
      <c r="I195" s="29" t="str">
        <f t="shared" ca="1" si="8"/>
        <v/>
      </c>
    </row>
    <row r="196" spans="1:9" x14ac:dyDescent="0.35">
      <c r="A196" s="21"/>
      <c r="B196" s="13"/>
      <c r="C196" s="14"/>
      <c r="D196" s="14"/>
      <c r="E196" s="13"/>
      <c r="F196" s="7" t="str">
        <f t="shared" ca="1" si="6"/>
        <v/>
      </c>
      <c r="G196" s="27" t="str">
        <f t="shared" ca="1" si="7"/>
        <v/>
      </c>
      <c r="H196" s="13"/>
      <c r="I196" s="29" t="str">
        <f t="shared" ca="1" si="8"/>
        <v/>
      </c>
    </row>
    <row r="197" spans="1:9" x14ac:dyDescent="0.35">
      <c r="A197" s="21"/>
      <c r="B197" s="13"/>
      <c r="C197" s="14"/>
      <c r="D197" s="14"/>
      <c r="E197" s="13"/>
      <c r="F197" s="7" t="str">
        <f t="shared" ref="F197:F260" ca="1" si="9">IF($B197="","",IF($D197&lt;&gt;"","Fait",IF($C197="","Non planifié",IF(N($C197)&lt;TODAY(),"En retard","À venir"))))</f>
        <v/>
      </c>
      <c r="G197" s="27" t="str">
        <f t="shared" ref="G197:G260" ca="1" si="10">IF($B197="","",IF(AND($C197&lt;&gt;"",$D197&lt;&gt;""),$D197-$C197,IF($F197="En retard",TODAY()-$C197,"")))</f>
        <v/>
      </c>
      <c r="H197" s="13"/>
      <c r="I197" s="29" t="str">
        <f t="shared" ref="I197:I260" ca="1" si="11">IF($F197="En retard",1,"")</f>
        <v/>
      </c>
    </row>
    <row r="198" spans="1:9" x14ac:dyDescent="0.35">
      <c r="A198" s="21"/>
      <c r="B198" s="13"/>
      <c r="C198" s="14"/>
      <c r="D198" s="14"/>
      <c r="E198" s="13"/>
      <c r="F198" s="7" t="str">
        <f t="shared" ca="1" si="9"/>
        <v/>
      </c>
      <c r="G198" s="27" t="str">
        <f t="shared" ca="1" si="10"/>
        <v/>
      </c>
      <c r="H198" s="13"/>
      <c r="I198" s="29" t="str">
        <f t="shared" ca="1" si="11"/>
        <v/>
      </c>
    </row>
    <row r="199" spans="1:9" x14ac:dyDescent="0.35">
      <c r="A199" s="21"/>
      <c r="B199" s="13"/>
      <c r="C199" s="14"/>
      <c r="D199" s="14"/>
      <c r="E199" s="13"/>
      <c r="F199" s="7" t="str">
        <f t="shared" ca="1" si="9"/>
        <v/>
      </c>
      <c r="G199" s="27" t="str">
        <f t="shared" ca="1" si="10"/>
        <v/>
      </c>
      <c r="H199" s="13"/>
      <c r="I199" s="29" t="str">
        <f t="shared" ca="1" si="11"/>
        <v/>
      </c>
    </row>
    <row r="200" spans="1:9" x14ac:dyDescent="0.35">
      <c r="A200" s="21"/>
      <c r="B200" s="13"/>
      <c r="C200" s="14"/>
      <c r="D200" s="14"/>
      <c r="E200" s="13"/>
      <c r="F200" s="7" t="str">
        <f t="shared" ca="1" si="9"/>
        <v/>
      </c>
      <c r="G200" s="27" t="str">
        <f t="shared" ca="1" si="10"/>
        <v/>
      </c>
      <c r="H200" s="13"/>
      <c r="I200" s="29" t="str">
        <f t="shared" ca="1" si="11"/>
        <v/>
      </c>
    </row>
    <row r="201" spans="1:9" x14ac:dyDescent="0.35">
      <c r="A201" s="21"/>
      <c r="B201" s="13"/>
      <c r="C201" s="14"/>
      <c r="D201" s="14"/>
      <c r="E201" s="13"/>
      <c r="F201" s="7" t="str">
        <f t="shared" ca="1" si="9"/>
        <v/>
      </c>
      <c r="G201" s="27" t="str">
        <f t="shared" ca="1" si="10"/>
        <v/>
      </c>
      <c r="H201" s="13"/>
      <c r="I201" s="29" t="str">
        <f t="shared" ca="1" si="11"/>
        <v/>
      </c>
    </row>
    <row r="202" spans="1:9" x14ac:dyDescent="0.35">
      <c r="A202" s="21"/>
      <c r="B202" s="13"/>
      <c r="C202" s="14"/>
      <c r="D202" s="14"/>
      <c r="E202" s="13"/>
      <c r="F202" s="7" t="str">
        <f t="shared" ca="1" si="9"/>
        <v/>
      </c>
      <c r="G202" s="27" t="str">
        <f t="shared" ca="1" si="10"/>
        <v/>
      </c>
      <c r="H202" s="13"/>
      <c r="I202" s="29" t="str">
        <f t="shared" ca="1" si="11"/>
        <v/>
      </c>
    </row>
    <row r="203" spans="1:9" x14ac:dyDescent="0.35">
      <c r="A203" s="21"/>
      <c r="B203" s="13"/>
      <c r="C203" s="14"/>
      <c r="D203" s="14"/>
      <c r="E203" s="13"/>
      <c r="F203" s="7" t="str">
        <f t="shared" ca="1" si="9"/>
        <v/>
      </c>
      <c r="G203" s="27" t="str">
        <f t="shared" ca="1" si="10"/>
        <v/>
      </c>
      <c r="H203" s="13"/>
      <c r="I203" s="29" t="str">
        <f t="shared" ca="1" si="11"/>
        <v/>
      </c>
    </row>
    <row r="204" spans="1:9" x14ac:dyDescent="0.35">
      <c r="A204" s="21"/>
      <c r="B204" s="13"/>
      <c r="C204" s="14"/>
      <c r="D204" s="14"/>
      <c r="E204" s="13"/>
      <c r="F204" s="7" t="str">
        <f t="shared" ca="1" si="9"/>
        <v/>
      </c>
      <c r="G204" s="27" t="str">
        <f t="shared" ca="1" si="10"/>
        <v/>
      </c>
      <c r="H204" s="13"/>
      <c r="I204" s="29" t="str">
        <f t="shared" ca="1" si="11"/>
        <v/>
      </c>
    </row>
    <row r="205" spans="1:9" x14ac:dyDescent="0.35">
      <c r="A205" s="21"/>
      <c r="B205" s="13"/>
      <c r="C205" s="14"/>
      <c r="D205" s="14"/>
      <c r="E205" s="13"/>
      <c r="F205" s="7" t="str">
        <f t="shared" ca="1" si="9"/>
        <v/>
      </c>
      <c r="G205" s="27" t="str">
        <f t="shared" ca="1" si="10"/>
        <v/>
      </c>
      <c r="H205" s="13"/>
      <c r="I205" s="29" t="str">
        <f t="shared" ca="1" si="11"/>
        <v/>
      </c>
    </row>
    <row r="206" spans="1:9" x14ac:dyDescent="0.35">
      <c r="A206" s="21"/>
      <c r="B206" s="13"/>
      <c r="C206" s="14"/>
      <c r="D206" s="14"/>
      <c r="E206" s="13"/>
      <c r="F206" s="7" t="str">
        <f t="shared" ca="1" si="9"/>
        <v/>
      </c>
      <c r="G206" s="27" t="str">
        <f t="shared" ca="1" si="10"/>
        <v/>
      </c>
      <c r="H206" s="13"/>
      <c r="I206" s="29" t="str">
        <f t="shared" ca="1" si="11"/>
        <v/>
      </c>
    </row>
    <row r="207" spans="1:9" x14ac:dyDescent="0.35">
      <c r="A207" s="21"/>
      <c r="B207" s="13"/>
      <c r="C207" s="14"/>
      <c r="D207" s="14"/>
      <c r="E207" s="13"/>
      <c r="F207" s="7" t="str">
        <f t="shared" ca="1" si="9"/>
        <v/>
      </c>
      <c r="G207" s="27" t="str">
        <f t="shared" ca="1" si="10"/>
        <v/>
      </c>
      <c r="H207" s="13"/>
      <c r="I207" s="29" t="str">
        <f t="shared" ca="1" si="11"/>
        <v/>
      </c>
    </row>
    <row r="208" spans="1:9" x14ac:dyDescent="0.35">
      <c r="A208" s="21"/>
      <c r="B208" s="13"/>
      <c r="C208" s="14"/>
      <c r="D208" s="14"/>
      <c r="E208" s="13"/>
      <c r="F208" s="7" t="str">
        <f t="shared" ca="1" si="9"/>
        <v/>
      </c>
      <c r="G208" s="27" t="str">
        <f t="shared" ca="1" si="10"/>
        <v/>
      </c>
      <c r="H208" s="13"/>
      <c r="I208" s="29" t="str">
        <f t="shared" ca="1" si="11"/>
        <v/>
      </c>
    </row>
    <row r="209" spans="1:9" x14ac:dyDescent="0.35">
      <c r="A209" s="21"/>
      <c r="B209" s="13"/>
      <c r="C209" s="14"/>
      <c r="D209" s="14"/>
      <c r="E209" s="13"/>
      <c r="F209" s="7" t="str">
        <f t="shared" ca="1" si="9"/>
        <v/>
      </c>
      <c r="G209" s="27" t="str">
        <f t="shared" ca="1" si="10"/>
        <v/>
      </c>
      <c r="H209" s="13"/>
      <c r="I209" s="29" t="str">
        <f t="shared" ca="1" si="11"/>
        <v/>
      </c>
    </row>
    <row r="210" spans="1:9" x14ac:dyDescent="0.35">
      <c r="A210" s="21"/>
      <c r="B210" s="13"/>
      <c r="C210" s="14"/>
      <c r="D210" s="14"/>
      <c r="E210" s="13"/>
      <c r="F210" s="7" t="str">
        <f t="shared" ca="1" si="9"/>
        <v/>
      </c>
      <c r="G210" s="27" t="str">
        <f t="shared" ca="1" si="10"/>
        <v/>
      </c>
      <c r="H210" s="13"/>
      <c r="I210" s="29" t="str">
        <f t="shared" ca="1" si="11"/>
        <v/>
      </c>
    </row>
    <row r="211" spans="1:9" x14ac:dyDescent="0.35">
      <c r="A211" s="21"/>
      <c r="B211" s="13"/>
      <c r="C211" s="14"/>
      <c r="D211" s="14"/>
      <c r="E211" s="13"/>
      <c r="F211" s="7" t="str">
        <f t="shared" ca="1" si="9"/>
        <v/>
      </c>
      <c r="G211" s="27" t="str">
        <f t="shared" ca="1" si="10"/>
        <v/>
      </c>
      <c r="H211" s="13"/>
      <c r="I211" s="29" t="str">
        <f t="shared" ca="1" si="11"/>
        <v/>
      </c>
    </row>
    <row r="212" spans="1:9" x14ac:dyDescent="0.35">
      <c r="A212" s="21"/>
      <c r="B212" s="13"/>
      <c r="C212" s="14"/>
      <c r="D212" s="14"/>
      <c r="E212" s="13"/>
      <c r="F212" s="7" t="str">
        <f t="shared" ca="1" si="9"/>
        <v/>
      </c>
      <c r="G212" s="27" t="str">
        <f t="shared" ca="1" si="10"/>
        <v/>
      </c>
      <c r="H212" s="13"/>
      <c r="I212" s="29" t="str">
        <f t="shared" ca="1" si="11"/>
        <v/>
      </c>
    </row>
    <row r="213" spans="1:9" x14ac:dyDescent="0.35">
      <c r="A213" s="21"/>
      <c r="B213" s="13"/>
      <c r="C213" s="14"/>
      <c r="D213" s="14"/>
      <c r="E213" s="13"/>
      <c r="F213" s="7" t="str">
        <f t="shared" ca="1" si="9"/>
        <v/>
      </c>
      <c r="G213" s="27" t="str">
        <f t="shared" ca="1" si="10"/>
        <v/>
      </c>
      <c r="H213" s="13"/>
      <c r="I213" s="29" t="str">
        <f t="shared" ca="1" si="11"/>
        <v/>
      </c>
    </row>
    <row r="214" spans="1:9" x14ac:dyDescent="0.35">
      <c r="A214" s="21"/>
      <c r="B214" s="13"/>
      <c r="C214" s="14"/>
      <c r="D214" s="14"/>
      <c r="E214" s="13"/>
      <c r="F214" s="7" t="str">
        <f t="shared" ca="1" si="9"/>
        <v/>
      </c>
      <c r="G214" s="27" t="str">
        <f t="shared" ca="1" si="10"/>
        <v/>
      </c>
      <c r="H214" s="13"/>
      <c r="I214" s="29" t="str">
        <f t="shared" ca="1" si="11"/>
        <v/>
      </c>
    </row>
    <row r="215" spans="1:9" x14ac:dyDescent="0.35">
      <c r="A215" s="21"/>
      <c r="B215" s="13"/>
      <c r="C215" s="14"/>
      <c r="D215" s="14"/>
      <c r="E215" s="13"/>
      <c r="F215" s="7" t="str">
        <f t="shared" ca="1" si="9"/>
        <v/>
      </c>
      <c r="G215" s="27" t="str">
        <f t="shared" ca="1" si="10"/>
        <v/>
      </c>
      <c r="H215" s="13"/>
      <c r="I215" s="29" t="str">
        <f t="shared" ca="1" si="11"/>
        <v/>
      </c>
    </row>
    <row r="216" spans="1:9" x14ac:dyDescent="0.35">
      <c r="A216" s="21"/>
      <c r="B216" s="13"/>
      <c r="C216" s="14"/>
      <c r="D216" s="14"/>
      <c r="E216" s="13"/>
      <c r="F216" s="7" t="str">
        <f t="shared" ca="1" si="9"/>
        <v/>
      </c>
      <c r="G216" s="27" t="str">
        <f t="shared" ca="1" si="10"/>
        <v/>
      </c>
      <c r="H216" s="13"/>
      <c r="I216" s="29" t="str">
        <f t="shared" ca="1" si="11"/>
        <v/>
      </c>
    </row>
    <row r="217" spans="1:9" x14ac:dyDescent="0.35">
      <c r="A217" s="21"/>
      <c r="B217" s="13"/>
      <c r="C217" s="14"/>
      <c r="D217" s="14"/>
      <c r="E217" s="13"/>
      <c r="F217" s="7" t="str">
        <f t="shared" ca="1" si="9"/>
        <v/>
      </c>
      <c r="G217" s="27" t="str">
        <f t="shared" ca="1" si="10"/>
        <v/>
      </c>
      <c r="H217" s="13"/>
      <c r="I217" s="29" t="str">
        <f t="shared" ca="1" si="11"/>
        <v/>
      </c>
    </row>
    <row r="218" spans="1:9" x14ac:dyDescent="0.35">
      <c r="A218" s="21"/>
      <c r="B218" s="13"/>
      <c r="C218" s="14"/>
      <c r="D218" s="14"/>
      <c r="E218" s="13"/>
      <c r="F218" s="7" t="str">
        <f t="shared" ca="1" si="9"/>
        <v/>
      </c>
      <c r="G218" s="27" t="str">
        <f t="shared" ca="1" si="10"/>
        <v/>
      </c>
      <c r="H218" s="13"/>
      <c r="I218" s="29" t="str">
        <f t="shared" ca="1" si="11"/>
        <v/>
      </c>
    </row>
    <row r="219" spans="1:9" x14ac:dyDescent="0.35">
      <c r="A219" s="21"/>
      <c r="B219" s="13"/>
      <c r="C219" s="14"/>
      <c r="D219" s="14"/>
      <c r="E219" s="13"/>
      <c r="F219" s="7" t="str">
        <f t="shared" ca="1" si="9"/>
        <v/>
      </c>
      <c r="G219" s="27" t="str">
        <f t="shared" ca="1" si="10"/>
        <v/>
      </c>
      <c r="H219" s="13"/>
      <c r="I219" s="29" t="str">
        <f t="shared" ca="1" si="11"/>
        <v/>
      </c>
    </row>
    <row r="220" spans="1:9" x14ac:dyDescent="0.35">
      <c r="A220" s="21"/>
      <c r="B220" s="13"/>
      <c r="C220" s="14"/>
      <c r="D220" s="14"/>
      <c r="E220" s="13"/>
      <c r="F220" s="7" t="str">
        <f t="shared" ca="1" si="9"/>
        <v/>
      </c>
      <c r="G220" s="27" t="str">
        <f t="shared" ca="1" si="10"/>
        <v/>
      </c>
      <c r="H220" s="13"/>
      <c r="I220" s="29" t="str">
        <f t="shared" ca="1" si="11"/>
        <v/>
      </c>
    </row>
    <row r="221" spans="1:9" x14ac:dyDescent="0.35">
      <c r="A221" s="21"/>
      <c r="B221" s="13"/>
      <c r="C221" s="14"/>
      <c r="D221" s="14"/>
      <c r="E221" s="13"/>
      <c r="F221" s="7" t="str">
        <f t="shared" ca="1" si="9"/>
        <v/>
      </c>
      <c r="G221" s="27" t="str">
        <f t="shared" ca="1" si="10"/>
        <v/>
      </c>
      <c r="H221" s="13"/>
      <c r="I221" s="29" t="str">
        <f t="shared" ca="1" si="11"/>
        <v/>
      </c>
    </row>
    <row r="222" spans="1:9" x14ac:dyDescent="0.35">
      <c r="A222" s="21"/>
      <c r="B222" s="13"/>
      <c r="C222" s="14"/>
      <c r="D222" s="14"/>
      <c r="E222" s="13"/>
      <c r="F222" s="7" t="str">
        <f t="shared" ca="1" si="9"/>
        <v/>
      </c>
      <c r="G222" s="27" t="str">
        <f t="shared" ca="1" si="10"/>
        <v/>
      </c>
      <c r="H222" s="13"/>
      <c r="I222" s="29" t="str">
        <f t="shared" ca="1" si="11"/>
        <v/>
      </c>
    </row>
    <row r="223" spans="1:9" x14ac:dyDescent="0.35">
      <c r="A223" s="21"/>
      <c r="B223" s="13"/>
      <c r="C223" s="14"/>
      <c r="D223" s="14"/>
      <c r="E223" s="13"/>
      <c r="F223" s="7" t="str">
        <f t="shared" ca="1" si="9"/>
        <v/>
      </c>
      <c r="G223" s="27" t="str">
        <f t="shared" ca="1" si="10"/>
        <v/>
      </c>
      <c r="H223" s="13"/>
      <c r="I223" s="29" t="str">
        <f t="shared" ca="1" si="11"/>
        <v/>
      </c>
    </row>
    <row r="224" spans="1:9" x14ac:dyDescent="0.35">
      <c r="A224" s="21"/>
      <c r="B224" s="13"/>
      <c r="C224" s="14"/>
      <c r="D224" s="14"/>
      <c r="E224" s="13"/>
      <c r="F224" s="7" t="str">
        <f t="shared" ca="1" si="9"/>
        <v/>
      </c>
      <c r="G224" s="27" t="str">
        <f t="shared" ca="1" si="10"/>
        <v/>
      </c>
      <c r="H224" s="13"/>
      <c r="I224" s="29" t="str">
        <f t="shared" ca="1" si="11"/>
        <v/>
      </c>
    </row>
    <row r="225" spans="1:9" x14ac:dyDescent="0.35">
      <c r="A225" s="21"/>
      <c r="B225" s="13"/>
      <c r="C225" s="14"/>
      <c r="D225" s="14"/>
      <c r="E225" s="13"/>
      <c r="F225" s="7" t="str">
        <f t="shared" ca="1" si="9"/>
        <v/>
      </c>
      <c r="G225" s="27" t="str">
        <f t="shared" ca="1" si="10"/>
        <v/>
      </c>
      <c r="H225" s="13"/>
      <c r="I225" s="29" t="str">
        <f t="shared" ca="1" si="11"/>
        <v/>
      </c>
    </row>
    <row r="226" spans="1:9" x14ac:dyDescent="0.35">
      <c r="A226" s="21"/>
      <c r="B226" s="13"/>
      <c r="C226" s="14"/>
      <c r="D226" s="14"/>
      <c r="E226" s="13"/>
      <c r="F226" s="7" t="str">
        <f t="shared" ca="1" si="9"/>
        <v/>
      </c>
      <c r="G226" s="27" t="str">
        <f t="shared" ca="1" si="10"/>
        <v/>
      </c>
      <c r="H226" s="13"/>
      <c r="I226" s="29" t="str">
        <f t="shared" ca="1" si="11"/>
        <v/>
      </c>
    </row>
    <row r="227" spans="1:9" x14ac:dyDescent="0.35">
      <c r="A227" s="21"/>
      <c r="B227" s="13"/>
      <c r="C227" s="14"/>
      <c r="D227" s="14"/>
      <c r="E227" s="13"/>
      <c r="F227" s="7" t="str">
        <f t="shared" ca="1" si="9"/>
        <v/>
      </c>
      <c r="G227" s="27" t="str">
        <f t="shared" ca="1" si="10"/>
        <v/>
      </c>
      <c r="H227" s="13"/>
      <c r="I227" s="29" t="str">
        <f t="shared" ca="1" si="11"/>
        <v/>
      </c>
    </row>
    <row r="228" spans="1:9" x14ac:dyDescent="0.35">
      <c r="A228" s="21"/>
      <c r="B228" s="13"/>
      <c r="C228" s="14"/>
      <c r="D228" s="14"/>
      <c r="E228" s="13"/>
      <c r="F228" s="7" t="str">
        <f t="shared" ca="1" si="9"/>
        <v/>
      </c>
      <c r="G228" s="27" t="str">
        <f t="shared" ca="1" si="10"/>
        <v/>
      </c>
      <c r="H228" s="13"/>
      <c r="I228" s="29" t="str">
        <f t="shared" ca="1" si="11"/>
        <v/>
      </c>
    </row>
    <row r="229" spans="1:9" x14ac:dyDescent="0.35">
      <c r="A229" s="21"/>
      <c r="B229" s="13"/>
      <c r="C229" s="14"/>
      <c r="D229" s="14"/>
      <c r="E229" s="13"/>
      <c r="F229" s="7" t="str">
        <f t="shared" ca="1" si="9"/>
        <v/>
      </c>
      <c r="G229" s="27" t="str">
        <f t="shared" ca="1" si="10"/>
        <v/>
      </c>
      <c r="H229" s="13"/>
      <c r="I229" s="29" t="str">
        <f t="shared" ca="1" si="11"/>
        <v/>
      </c>
    </row>
    <row r="230" spans="1:9" x14ac:dyDescent="0.35">
      <c r="A230" s="21"/>
      <c r="B230" s="13"/>
      <c r="C230" s="14"/>
      <c r="D230" s="14"/>
      <c r="E230" s="13"/>
      <c r="F230" s="7" t="str">
        <f t="shared" ca="1" si="9"/>
        <v/>
      </c>
      <c r="G230" s="27" t="str">
        <f t="shared" ca="1" si="10"/>
        <v/>
      </c>
      <c r="H230" s="13"/>
      <c r="I230" s="29" t="str">
        <f t="shared" ca="1" si="11"/>
        <v/>
      </c>
    </row>
    <row r="231" spans="1:9" x14ac:dyDescent="0.35">
      <c r="A231" s="21"/>
      <c r="B231" s="13"/>
      <c r="C231" s="14"/>
      <c r="D231" s="14"/>
      <c r="E231" s="13"/>
      <c r="F231" s="7" t="str">
        <f t="shared" ca="1" si="9"/>
        <v/>
      </c>
      <c r="G231" s="27" t="str">
        <f t="shared" ca="1" si="10"/>
        <v/>
      </c>
      <c r="H231" s="13"/>
      <c r="I231" s="29" t="str">
        <f t="shared" ca="1" si="11"/>
        <v/>
      </c>
    </row>
    <row r="232" spans="1:9" x14ac:dyDescent="0.35">
      <c r="A232" s="21"/>
      <c r="B232" s="13"/>
      <c r="C232" s="14"/>
      <c r="D232" s="14"/>
      <c r="E232" s="13"/>
      <c r="F232" s="7" t="str">
        <f t="shared" ca="1" si="9"/>
        <v/>
      </c>
      <c r="G232" s="27" t="str">
        <f t="shared" ca="1" si="10"/>
        <v/>
      </c>
      <c r="H232" s="13"/>
      <c r="I232" s="29" t="str">
        <f t="shared" ca="1" si="11"/>
        <v/>
      </c>
    </row>
    <row r="233" spans="1:9" x14ac:dyDescent="0.35">
      <c r="A233" s="21"/>
      <c r="B233" s="13"/>
      <c r="C233" s="14"/>
      <c r="D233" s="14"/>
      <c r="E233" s="13"/>
      <c r="F233" s="7" t="str">
        <f t="shared" ca="1" si="9"/>
        <v/>
      </c>
      <c r="G233" s="27" t="str">
        <f t="shared" ca="1" si="10"/>
        <v/>
      </c>
      <c r="H233" s="13"/>
      <c r="I233" s="29" t="str">
        <f t="shared" ca="1" si="11"/>
        <v/>
      </c>
    </row>
    <row r="234" spans="1:9" x14ac:dyDescent="0.35">
      <c r="A234" s="21"/>
      <c r="B234" s="13"/>
      <c r="C234" s="14"/>
      <c r="D234" s="14"/>
      <c r="E234" s="13"/>
      <c r="F234" s="7" t="str">
        <f t="shared" ca="1" si="9"/>
        <v/>
      </c>
      <c r="G234" s="27" t="str">
        <f t="shared" ca="1" si="10"/>
        <v/>
      </c>
      <c r="H234" s="13"/>
      <c r="I234" s="29" t="str">
        <f t="shared" ca="1" si="11"/>
        <v/>
      </c>
    </row>
    <row r="235" spans="1:9" x14ac:dyDescent="0.35">
      <c r="A235" s="21"/>
      <c r="B235" s="13"/>
      <c r="C235" s="14"/>
      <c r="D235" s="14"/>
      <c r="E235" s="13"/>
      <c r="F235" s="7" t="str">
        <f t="shared" ca="1" si="9"/>
        <v/>
      </c>
      <c r="G235" s="27" t="str">
        <f t="shared" ca="1" si="10"/>
        <v/>
      </c>
      <c r="H235" s="13"/>
      <c r="I235" s="29" t="str">
        <f t="shared" ca="1" si="11"/>
        <v/>
      </c>
    </row>
    <row r="236" spans="1:9" x14ac:dyDescent="0.35">
      <c r="A236" s="21"/>
      <c r="B236" s="13"/>
      <c r="C236" s="14"/>
      <c r="D236" s="14"/>
      <c r="E236" s="13"/>
      <c r="F236" s="7" t="str">
        <f t="shared" ca="1" si="9"/>
        <v/>
      </c>
      <c r="G236" s="27" t="str">
        <f t="shared" ca="1" si="10"/>
        <v/>
      </c>
      <c r="H236" s="13"/>
      <c r="I236" s="29" t="str">
        <f t="shared" ca="1" si="11"/>
        <v/>
      </c>
    </row>
    <row r="237" spans="1:9" x14ac:dyDescent="0.35">
      <c r="A237" s="21"/>
      <c r="B237" s="13"/>
      <c r="C237" s="14"/>
      <c r="D237" s="14"/>
      <c r="E237" s="13"/>
      <c r="F237" s="7" t="str">
        <f t="shared" ca="1" si="9"/>
        <v/>
      </c>
      <c r="G237" s="27" t="str">
        <f t="shared" ca="1" si="10"/>
        <v/>
      </c>
      <c r="H237" s="13"/>
      <c r="I237" s="29" t="str">
        <f t="shared" ca="1" si="11"/>
        <v/>
      </c>
    </row>
    <row r="238" spans="1:9" x14ac:dyDescent="0.35">
      <c r="A238" s="21"/>
      <c r="B238" s="13"/>
      <c r="C238" s="14"/>
      <c r="D238" s="14"/>
      <c r="E238" s="13"/>
      <c r="F238" s="7" t="str">
        <f t="shared" ca="1" si="9"/>
        <v/>
      </c>
      <c r="G238" s="27" t="str">
        <f t="shared" ca="1" si="10"/>
        <v/>
      </c>
      <c r="H238" s="13"/>
      <c r="I238" s="29" t="str">
        <f t="shared" ca="1" si="11"/>
        <v/>
      </c>
    </row>
    <row r="239" spans="1:9" x14ac:dyDescent="0.35">
      <c r="A239" s="21"/>
      <c r="B239" s="13"/>
      <c r="C239" s="14"/>
      <c r="D239" s="14"/>
      <c r="E239" s="13"/>
      <c r="F239" s="7" t="str">
        <f t="shared" ca="1" si="9"/>
        <v/>
      </c>
      <c r="G239" s="27" t="str">
        <f t="shared" ca="1" si="10"/>
        <v/>
      </c>
      <c r="H239" s="13"/>
      <c r="I239" s="29" t="str">
        <f t="shared" ca="1" si="11"/>
        <v/>
      </c>
    </row>
    <row r="240" spans="1:9" x14ac:dyDescent="0.35">
      <c r="A240" s="21"/>
      <c r="B240" s="13"/>
      <c r="C240" s="14"/>
      <c r="D240" s="14"/>
      <c r="E240" s="13"/>
      <c r="F240" s="7" t="str">
        <f t="shared" ca="1" si="9"/>
        <v/>
      </c>
      <c r="G240" s="27" t="str">
        <f t="shared" ca="1" si="10"/>
        <v/>
      </c>
      <c r="H240" s="13"/>
      <c r="I240" s="29" t="str">
        <f t="shared" ca="1" si="11"/>
        <v/>
      </c>
    </row>
    <row r="241" spans="1:9" x14ac:dyDescent="0.35">
      <c r="A241" s="21"/>
      <c r="B241" s="13"/>
      <c r="C241" s="14"/>
      <c r="D241" s="14"/>
      <c r="E241" s="13"/>
      <c r="F241" s="7" t="str">
        <f t="shared" ca="1" si="9"/>
        <v/>
      </c>
      <c r="G241" s="27" t="str">
        <f t="shared" ca="1" si="10"/>
        <v/>
      </c>
      <c r="H241" s="13"/>
      <c r="I241" s="29" t="str">
        <f t="shared" ca="1" si="11"/>
        <v/>
      </c>
    </row>
    <row r="242" spans="1:9" x14ac:dyDescent="0.35">
      <c r="A242" s="21"/>
      <c r="B242" s="13"/>
      <c r="C242" s="14"/>
      <c r="D242" s="14"/>
      <c r="E242" s="13"/>
      <c r="F242" s="7" t="str">
        <f t="shared" ca="1" si="9"/>
        <v/>
      </c>
      <c r="G242" s="27" t="str">
        <f t="shared" ca="1" si="10"/>
        <v/>
      </c>
      <c r="H242" s="13"/>
      <c r="I242" s="29" t="str">
        <f t="shared" ca="1" si="11"/>
        <v/>
      </c>
    </row>
    <row r="243" spans="1:9" x14ac:dyDescent="0.35">
      <c r="A243" s="21"/>
      <c r="B243" s="13"/>
      <c r="C243" s="14"/>
      <c r="D243" s="14"/>
      <c r="E243" s="13"/>
      <c r="F243" s="7" t="str">
        <f t="shared" ca="1" si="9"/>
        <v/>
      </c>
      <c r="G243" s="27" t="str">
        <f t="shared" ca="1" si="10"/>
        <v/>
      </c>
      <c r="H243" s="13"/>
      <c r="I243" s="29" t="str">
        <f t="shared" ca="1" si="11"/>
        <v/>
      </c>
    </row>
    <row r="244" spans="1:9" x14ac:dyDescent="0.35">
      <c r="A244" s="21"/>
      <c r="B244" s="13"/>
      <c r="C244" s="14"/>
      <c r="D244" s="14"/>
      <c r="E244" s="13"/>
      <c r="F244" s="7" t="str">
        <f t="shared" ca="1" si="9"/>
        <v/>
      </c>
      <c r="G244" s="27" t="str">
        <f t="shared" ca="1" si="10"/>
        <v/>
      </c>
      <c r="H244" s="13"/>
      <c r="I244" s="29" t="str">
        <f t="shared" ca="1" si="11"/>
        <v/>
      </c>
    </row>
    <row r="245" spans="1:9" x14ac:dyDescent="0.35">
      <c r="A245" s="21"/>
      <c r="B245" s="13"/>
      <c r="C245" s="14"/>
      <c r="D245" s="14"/>
      <c r="E245" s="13"/>
      <c r="F245" s="7" t="str">
        <f t="shared" ca="1" si="9"/>
        <v/>
      </c>
      <c r="G245" s="27" t="str">
        <f t="shared" ca="1" si="10"/>
        <v/>
      </c>
      <c r="H245" s="13"/>
      <c r="I245" s="29" t="str">
        <f t="shared" ca="1" si="11"/>
        <v/>
      </c>
    </row>
    <row r="246" spans="1:9" x14ac:dyDescent="0.35">
      <c r="A246" s="21"/>
      <c r="B246" s="13"/>
      <c r="C246" s="14"/>
      <c r="D246" s="14"/>
      <c r="E246" s="13"/>
      <c r="F246" s="7" t="str">
        <f t="shared" ca="1" si="9"/>
        <v/>
      </c>
      <c r="G246" s="27" t="str">
        <f t="shared" ca="1" si="10"/>
        <v/>
      </c>
      <c r="H246" s="13"/>
      <c r="I246" s="29" t="str">
        <f t="shared" ca="1" si="11"/>
        <v/>
      </c>
    </row>
    <row r="247" spans="1:9" x14ac:dyDescent="0.35">
      <c r="A247" s="21"/>
      <c r="B247" s="13"/>
      <c r="C247" s="14"/>
      <c r="D247" s="14"/>
      <c r="E247" s="13"/>
      <c r="F247" s="7" t="str">
        <f t="shared" ca="1" si="9"/>
        <v/>
      </c>
      <c r="G247" s="27" t="str">
        <f t="shared" ca="1" si="10"/>
        <v/>
      </c>
      <c r="H247" s="13"/>
      <c r="I247" s="29" t="str">
        <f t="shared" ca="1" si="11"/>
        <v/>
      </c>
    </row>
    <row r="248" spans="1:9" x14ac:dyDescent="0.35">
      <c r="A248" s="21"/>
      <c r="B248" s="13"/>
      <c r="C248" s="14"/>
      <c r="D248" s="14"/>
      <c r="E248" s="13"/>
      <c r="F248" s="7" t="str">
        <f t="shared" ca="1" si="9"/>
        <v/>
      </c>
      <c r="G248" s="27" t="str">
        <f t="shared" ca="1" si="10"/>
        <v/>
      </c>
      <c r="H248" s="13"/>
      <c r="I248" s="29" t="str">
        <f t="shared" ca="1" si="11"/>
        <v/>
      </c>
    </row>
    <row r="249" spans="1:9" x14ac:dyDescent="0.35">
      <c r="A249" s="21"/>
      <c r="B249" s="13"/>
      <c r="C249" s="14"/>
      <c r="D249" s="14"/>
      <c r="E249" s="13"/>
      <c r="F249" s="7" t="str">
        <f t="shared" ca="1" si="9"/>
        <v/>
      </c>
      <c r="G249" s="27" t="str">
        <f t="shared" ca="1" si="10"/>
        <v/>
      </c>
      <c r="H249" s="13"/>
      <c r="I249" s="29" t="str">
        <f t="shared" ca="1" si="11"/>
        <v/>
      </c>
    </row>
    <row r="250" spans="1:9" x14ac:dyDescent="0.35">
      <c r="A250" s="21"/>
      <c r="B250" s="13"/>
      <c r="C250" s="14"/>
      <c r="D250" s="14"/>
      <c r="E250" s="13"/>
      <c r="F250" s="7" t="str">
        <f t="shared" ca="1" si="9"/>
        <v/>
      </c>
      <c r="G250" s="27" t="str">
        <f t="shared" ca="1" si="10"/>
        <v/>
      </c>
      <c r="H250" s="13"/>
      <c r="I250" s="29" t="str">
        <f t="shared" ca="1" si="11"/>
        <v/>
      </c>
    </row>
    <row r="251" spans="1:9" x14ac:dyDescent="0.35">
      <c r="A251" s="21"/>
      <c r="B251" s="13"/>
      <c r="C251" s="14"/>
      <c r="D251" s="14"/>
      <c r="E251" s="13"/>
      <c r="F251" s="7" t="str">
        <f t="shared" ca="1" si="9"/>
        <v/>
      </c>
      <c r="G251" s="27" t="str">
        <f t="shared" ca="1" si="10"/>
        <v/>
      </c>
      <c r="H251" s="13"/>
      <c r="I251" s="29" t="str">
        <f t="shared" ca="1" si="11"/>
        <v/>
      </c>
    </row>
    <row r="252" spans="1:9" x14ac:dyDescent="0.35">
      <c r="A252" s="21"/>
      <c r="B252" s="13"/>
      <c r="C252" s="14"/>
      <c r="D252" s="14"/>
      <c r="E252" s="13"/>
      <c r="F252" s="7" t="str">
        <f t="shared" ca="1" si="9"/>
        <v/>
      </c>
      <c r="G252" s="27" t="str">
        <f t="shared" ca="1" si="10"/>
        <v/>
      </c>
      <c r="H252" s="13"/>
      <c r="I252" s="29" t="str">
        <f t="shared" ca="1" si="11"/>
        <v/>
      </c>
    </row>
    <row r="253" spans="1:9" x14ac:dyDescent="0.35">
      <c r="A253" s="21"/>
      <c r="B253" s="13"/>
      <c r="C253" s="14"/>
      <c r="D253" s="14"/>
      <c r="E253" s="13"/>
      <c r="F253" s="7" t="str">
        <f t="shared" ca="1" si="9"/>
        <v/>
      </c>
      <c r="G253" s="27" t="str">
        <f t="shared" ca="1" si="10"/>
        <v/>
      </c>
      <c r="H253" s="13"/>
      <c r="I253" s="29" t="str">
        <f t="shared" ca="1" si="11"/>
        <v/>
      </c>
    </row>
    <row r="254" spans="1:9" x14ac:dyDescent="0.35">
      <c r="A254" s="21"/>
      <c r="B254" s="13"/>
      <c r="C254" s="14"/>
      <c r="D254" s="14"/>
      <c r="E254" s="13"/>
      <c r="F254" s="7" t="str">
        <f t="shared" ca="1" si="9"/>
        <v/>
      </c>
      <c r="G254" s="27" t="str">
        <f t="shared" ca="1" si="10"/>
        <v/>
      </c>
      <c r="H254" s="13"/>
      <c r="I254" s="29" t="str">
        <f t="shared" ca="1" si="11"/>
        <v/>
      </c>
    </row>
    <row r="255" spans="1:9" x14ac:dyDescent="0.35">
      <c r="A255" s="21"/>
      <c r="B255" s="13"/>
      <c r="C255" s="14"/>
      <c r="D255" s="14"/>
      <c r="E255" s="13"/>
      <c r="F255" s="7" t="str">
        <f t="shared" ca="1" si="9"/>
        <v/>
      </c>
      <c r="G255" s="27" t="str">
        <f t="shared" ca="1" si="10"/>
        <v/>
      </c>
      <c r="H255" s="13"/>
      <c r="I255" s="29" t="str">
        <f t="shared" ca="1" si="11"/>
        <v/>
      </c>
    </row>
    <row r="256" spans="1:9" x14ac:dyDescent="0.35">
      <c r="A256" s="21"/>
      <c r="B256" s="13"/>
      <c r="C256" s="14"/>
      <c r="D256" s="14"/>
      <c r="E256" s="13"/>
      <c r="F256" s="7" t="str">
        <f t="shared" ca="1" si="9"/>
        <v/>
      </c>
      <c r="G256" s="27" t="str">
        <f t="shared" ca="1" si="10"/>
        <v/>
      </c>
      <c r="H256" s="13"/>
      <c r="I256" s="29" t="str">
        <f t="shared" ca="1" si="11"/>
        <v/>
      </c>
    </row>
    <row r="257" spans="1:9" x14ac:dyDescent="0.35">
      <c r="A257" s="21"/>
      <c r="B257" s="13"/>
      <c r="C257" s="14"/>
      <c r="D257" s="14"/>
      <c r="E257" s="13"/>
      <c r="F257" s="7" t="str">
        <f t="shared" ca="1" si="9"/>
        <v/>
      </c>
      <c r="G257" s="27" t="str">
        <f t="shared" ca="1" si="10"/>
        <v/>
      </c>
      <c r="H257" s="13"/>
      <c r="I257" s="29" t="str">
        <f t="shared" ca="1" si="11"/>
        <v/>
      </c>
    </row>
    <row r="258" spans="1:9" x14ac:dyDescent="0.35">
      <c r="A258" s="21"/>
      <c r="B258" s="13"/>
      <c r="C258" s="14"/>
      <c r="D258" s="14"/>
      <c r="E258" s="13"/>
      <c r="F258" s="7" t="str">
        <f t="shared" ca="1" si="9"/>
        <v/>
      </c>
      <c r="G258" s="27" t="str">
        <f t="shared" ca="1" si="10"/>
        <v/>
      </c>
      <c r="H258" s="13"/>
      <c r="I258" s="29" t="str">
        <f t="shared" ca="1" si="11"/>
        <v/>
      </c>
    </row>
    <row r="259" spans="1:9" x14ac:dyDescent="0.35">
      <c r="A259" s="21"/>
      <c r="B259" s="13"/>
      <c r="C259" s="14"/>
      <c r="D259" s="14"/>
      <c r="E259" s="13"/>
      <c r="F259" s="7" t="str">
        <f t="shared" ca="1" si="9"/>
        <v/>
      </c>
      <c r="G259" s="27" t="str">
        <f t="shared" ca="1" si="10"/>
        <v/>
      </c>
      <c r="H259" s="13"/>
      <c r="I259" s="29" t="str">
        <f t="shared" ca="1" si="11"/>
        <v/>
      </c>
    </row>
    <row r="260" spans="1:9" x14ac:dyDescent="0.35">
      <c r="A260" s="21"/>
      <c r="B260" s="13"/>
      <c r="C260" s="14"/>
      <c r="D260" s="14"/>
      <c r="E260" s="13"/>
      <c r="F260" s="7" t="str">
        <f t="shared" ca="1" si="9"/>
        <v/>
      </c>
      <c r="G260" s="27" t="str">
        <f t="shared" ca="1" si="10"/>
        <v/>
      </c>
      <c r="H260" s="13"/>
      <c r="I260" s="29" t="str">
        <f t="shared" ca="1" si="11"/>
        <v/>
      </c>
    </row>
    <row r="261" spans="1:9" x14ac:dyDescent="0.35">
      <c r="A261" s="21"/>
      <c r="B261" s="13"/>
      <c r="C261" s="14"/>
      <c r="D261" s="14"/>
      <c r="E261" s="13"/>
      <c r="F261" s="7" t="str">
        <f t="shared" ref="F261:F324" ca="1" si="12">IF($B261="","",IF($D261&lt;&gt;"","Fait",IF($C261="","Non planifié",IF(N($C261)&lt;TODAY(),"En retard","À venir"))))</f>
        <v/>
      </c>
      <c r="G261" s="27" t="str">
        <f t="shared" ref="G261:G324" ca="1" si="13">IF($B261="","",IF(AND($C261&lt;&gt;"",$D261&lt;&gt;""),$D261-$C261,IF($F261="En retard",TODAY()-$C261,"")))</f>
        <v/>
      </c>
      <c r="H261" s="13"/>
      <c r="I261" s="29" t="str">
        <f t="shared" ref="I261:I324" ca="1" si="14">IF($F261="En retard",1,"")</f>
        <v/>
      </c>
    </row>
    <row r="262" spans="1:9" x14ac:dyDescent="0.35">
      <c r="A262" s="21"/>
      <c r="B262" s="13"/>
      <c r="C262" s="14"/>
      <c r="D262" s="14"/>
      <c r="E262" s="13"/>
      <c r="F262" s="7" t="str">
        <f t="shared" ca="1" si="12"/>
        <v/>
      </c>
      <c r="G262" s="27" t="str">
        <f t="shared" ca="1" si="13"/>
        <v/>
      </c>
      <c r="H262" s="13"/>
      <c r="I262" s="29" t="str">
        <f t="shared" ca="1" si="14"/>
        <v/>
      </c>
    </row>
    <row r="263" spans="1:9" x14ac:dyDescent="0.35">
      <c r="A263" s="21"/>
      <c r="B263" s="13"/>
      <c r="C263" s="14"/>
      <c r="D263" s="14"/>
      <c r="E263" s="13"/>
      <c r="F263" s="7" t="str">
        <f t="shared" ca="1" si="12"/>
        <v/>
      </c>
      <c r="G263" s="27" t="str">
        <f t="shared" ca="1" si="13"/>
        <v/>
      </c>
      <c r="H263" s="13"/>
      <c r="I263" s="29" t="str">
        <f t="shared" ca="1" si="14"/>
        <v/>
      </c>
    </row>
    <row r="264" spans="1:9" x14ac:dyDescent="0.35">
      <c r="A264" s="21"/>
      <c r="B264" s="13"/>
      <c r="C264" s="14"/>
      <c r="D264" s="14"/>
      <c r="E264" s="13"/>
      <c r="F264" s="7" t="str">
        <f t="shared" ca="1" si="12"/>
        <v/>
      </c>
      <c r="G264" s="27" t="str">
        <f t="shared" ca="1" si="13"/>
        <v/>
      </c>
      <c r="H264" s="13"/>
      <c r="I264" s="29" t="str">
        <f t="shared" ca="1" si="14"/>
        <v/>
      </c>
    </row>
    <row r="265" spans="1:9" x14ac:dyDescent="0.35">
      <c r="A265" s="21"/>
      <c r="B265" s="13"/>
      <c r="C265" s="14"/>
      <c r="D265" s="14"/>
      <c r="E265" s="13"/>
      <c r="F265" s="7" t="str">
        <f t="shared" ca="1" si="12"/>
        <v/>
      </c>
      <c r="G265" s="27" t="str">
        <f t="shared" ca="1" si="13"/>
        <v/>
      </c>
      <c r="H265" s="13"/>
      <c r="I265" s="29" t="str">
        <f t="shared" ca="1" si="14"/>
        <v/>
      </c>
    </row>
    <row r="266" spans="1:9" x14ac:dyDescent="0.35">
      <c r="A266" s="21"/>
      <c r="B266" s="13"/>
      <c r="C266" s="14"/>
      <c r="D266" s="14"/>
      <c r="E266" s="13"/>
      <c r="F266" s="7" t="str">
        <f t="shared" ca="1" si="12"/>
        <v/>
      </c>
      <c r="G266" s="27" t="str">
        <f t="shared" ca="1" si="13"/>
        <v/>
      </c>
      <c r="H266" s="13"/>
      <c r="I266" s="29" t="str">
        <f t="shared" ca="1" si="14"/>
        <v/>
      </c>
    </row>
    <row r="267" spans="1:9" x14ac:dyDescent="0.35">
      <c r="A267" s="21"/>
      <c r="B267" s="13"/>
      <c r="C267" s="14"/>
      <c r="D267" s="14"/>
      <c r="E267" s="13"/>
      <c r="F267" s="7" t="str">
        <f t="shared" ca="1" si="12"/>
        <v/>
      </c>
      <c r="G267" s="27" t="str">
        <f t="shared" ca="1" si="13"/>
        <v/>
      </c>
      <c r="H267" s="13"/>
      <c r="I267" s="29" t="str">
        <f t="shared" ca="1" si="14"/>
        <v/>
      </c>
    </row>
    <row r="268" spans="1:9" x14ac:dyDescent="0.35">
      <c r="A268" s="21"/>
      <c r="B268" s="13"/>
      <c r="C268" s="14"/>
      <c r="D268" s="14"/>
      <c r="E268" s="13"/>
      <c r="F268" s="7" t="str">
        <f t="shared" ca="1" si="12"/>
        <v/>
      </c>
      <c r="G268" s="27" t="str">
        <f t="shared" ca="1" si="13"/>
        <v/>
      </c>
      <c r="H268" s="13"/>
      <c r="I268" s="29" t="str">
        <f t="shared" ca="1" si="14"/>
        <v/>
      </c>
    </row>
    <row r="269" spans="1:9" x14ac:dyDescent="0.35">
      <c r="A269" s="21"/>
      <c r="B269" s="13"/>
      <c r="C269" s="14"/>
      <c r="D269" s="14"/>
      <c r="E269" s="13"/>
      <c r="F269" s="7" t="str">
        <f t="shared" ca="1" si="12"/>
        <v/>
      </c>
      <c r="G269" s="27" t="str">
        <f t="shared" ca="1" si="13"/>
        <v/>
      </c>
      <c r="H269" s="13"/>
      <c r="I269" s="29" t="str">
        <f t="shared" ca="1" si="14"/>
        <v/>
      </c>
    </row>
    <row r="270" spans="1:9" x14ac:dyDescent="0.35">
      <c r="A270" s="21"/>
      <c r="B270" s="13"/>
      <c r="C270" s="14"/>
      <c r="D270" s="14"/>
      <c r="E270" s="13"/>
      <c r="F270" s="7" t="str">
        <f t="shared" ca="1" si="12"/>
        <v/>
      </c>
      <c r="G270" s="27" t="str">
        <f t="shared" ca="1" si="13"/>
        <v/>
      </c>
      <c r="H270" s="13"/>
      <c r="I270" s="29" t="str">
        <f t="shared" ca="1" si="14"/>
        <v/>
      </c>
    </row>
    <row r="271" spans="1:9" x14ac:dyDescent="0.35">
      <c r="A271" s="21"/>
      <c r="B271" s="13"/>
      <c r="C271" s="14"/>
      <c r="D271" s="14"/>
      <c r="E271" s="13"/>
      <c r="F271" s="7" t="str">
        <f t="shared" ca="1" si="12"/>
        <v/>
      </c>
      <c r="G271" s="27" t="str">
        <f t="shared" ca="1" si="13"/>
        <v/>
      </c>
      <c r="H271" s="13"/>
      <c r="I271" s="29" t="str">
        <f t="shared" ca="1" si="14"/>
        <v/>
      </c>
    </row>
    <row r="272" spans="1:9" x14ac:dyDescent="0.35">
      <c r="A272" s="21"/>
      <c r="B272" s="13"/>
      <c r="C272" s="14"/>
      <c r="D272" s="14"/>
      <c r="E272" s="13"/>
      <c r="F272" s="7" t="str">
        <f t="shared" ca="1" si="12"/>
        <v/>
      </c>
      <c r="G272" s="27" t="str">
        <f t="shared" ca="1" si="13"/>
        <v/>
      </c>
      <c r="H272" s="13"/>
      <c r="I272" s="29" t="str">
        <f t="shared" ca="1" si="14"/>
        <v/>
      </c>
    </row>
    <row r="273" spans="1:9" x14ac:dyDescent="0.35">
      <c r="A273" s="21"/>
      <c r="B273" s="13"/>
      <c r="C273" s="14"/>
      <c r="D273" s="14"/>
      <c r="E273" s="13"/>
      <c r="F273" s="7" t="str">
        <f t="shared" ca="1" si="12"/>
        <v/>
      </c>
      <c r="G273" s="27" t="str">
        <f t="shared" ca="1" si="13"/>
        <v/>
      </c>
      <c r="H273" s="13"/>
      <c r="I273" s="29" t="str">
        <f t="shared" ca="1" si="14"/>
        <v/>
      </c>
    </row>
    <row r="274" spans="1:9" x14ac:dyDescent="0.35">
      <c r="A274" s="21"/>
      <c r="B274" s="13"/>
      <c r="C274" s="14"/>
      <c r="D274" s="14"/>
      <c r="E274" s="13"/>
      <c r="F274" s="7" t="str">
        <f t="shared" ca="1" si="12"/>
        <v/>
      </c>
      <c r="G274" s="27" t="str">
        <f t="shared" ca="1" si="13"/>
        <v/>
      </c>
      <c r="H274" s="13"/>
      <c r="I274" s="29" t="str">
        <f t="shared" ca="1" si="14"/>
        <v/>
      </c>
    </row>
    <row r="275" spans="1:9" x14ac:dyDescent="0.35">
      <c r="A275" s="21"/>
      <c r="B275" s="13"/>
      <c r="C275" s="14"/>
      <c r="D275" s="14"/>
      <c r="E275" s="13"/>
      <c r="F275" s="7" t="str">
        <f t="shared" ca="1" si="12"/>
        <v/>
      </c>
      <c r="G275" s="27" t="str">
        <f t="shared" ca="1" si="13"/>
        <v/>
      </c>
      <c r="H275" s="13"/>
      <c r="I275" s="29" t="str">
        <f t="shared" ca="1" si="14"/>
        <v/>
      </c>
    </row>
    <row r="276" spans="1:9" x14ac:dyDescent="0.35">
      <c r="A276" s="21"/>
      <c r="B276" s="13"/>
      <c r="C276" s="14"/>
      <c r="D276" s="14"/>
      <c r="E276" s="13"/>
      <c r="F276" s="7" t="str">
        <f t="shared" ca="1" si="12"/>
        <v/>
      </c>
      <c r="G276" s="27" t="str">
        <f t="shared" ca="1" si="13"/>
        <v/>
      </c>
      <c r="H276" s="13"/>
      <c r="I276" s="29" t="str">
        <f t="shared" ca="1" si="14"/>
        <v/>
      </c>
    </row>
    <row r="277" spans="1:9" x14ac:dyDescent="0.35">
      <c r="A277" s="21"/>
      <c r="B277" s="13"/>
      <c r="C277" s="14"/>
      <c r="D277" s="14"/>
      <c r="E277" s="13"/>
      <c r="F277" s="7" t="str">
        <f t="shared" ca="1" si="12"/>
        <v/>
      </c>
      <c r="G277" s="27" t="str">
        <f t="shared" ca="1" si="13"/>
        <v/>
      </c>
      <c r="H277" s="13"/>
      <c r="I277" s="29" t="str">
        <f t="shared" ca="1" si="14"/>
        <v/>
      </c>
    </row>
    <row r="278" spans="1:9" x14ac:dyDescent="0.35">
      <c r="A278" s="21"/>
      <c r="B278" s="13"/>
      <c r="C278" s="14"/>
      <c r="D278" s="14"/>
      <c r="E278" s="13"/>
      <c r="F278" s="7" t="str">
        <f t="shared" ca="1" si="12"/>
        <v/>
      </c>
      <c r="G278" s="27" t="str">
        <f t="shared" ca="1" si="13"/>
        <v/>
      </c>
      <c r="H278" s="13"/>
      <c r="I278" s="29" t="str">
        <f t="shared" ca="1" si="14"/>
        <v/>
      </c>
    </row>
    <row r="279" spans="1:9" x14ac:dyDescent="0.35">
      <c r="A279" s="21"/>
      <c r="B279" s="13"/>
      <c r="C279" s="14"/>
      <c r="D279" s="14"/>
      <c r="E279" s="13"/>
      <c r="F279" s="7" t="str">
        <f t="shared" ca="1" si="12"/>
        <v/>
      </c>
      <c r="G279" s="27" t="str">
        <f t="shared" ca="1" si="13"/>
        <v/>
      </c>
      <c r="H279" s="13"/>
      <c r="I279" s="29" t="str">
        <f t="shared" ca="1" si="14"/>
        <v/>
      </c>
    </row>
    <row r="280" spans="1:9" x14ac:dyDescent="0.35">
      <c r="A280" s="21"/>
      <c r="B280" s="13"/>
      <c r="C280" s="14"/>
      <c r="D280" s="14"/>
      <c r="E280" s="13"/>
      <c r="F280" s="7" t="str">
        <f t="shared" ca="1" si="12"/>
        <v/>
      </c>
      <c r="G280" s="27" t="str">
        <f t="shared" ca="1" si="13"/>
        <v/>
      </c>
      <c r="H280" s="13"/>
      <c r="I280" s="29" t="str">
        <f t="shared" ca="1" si="14"/>
        <v/>
      </c>
    </row>
    <row r="281" spans="1:9" x14ac:dyDescent="0.35">
      <c r="A281" s="21"/>
      <c r="B281" s="13"/>
      <c r="C281" s="14"/>
      <c r="D281" s="14"/>
      <c r="E281" s="13"/>
      <c r="F281" s="7" t="str">
        <f t="shared" ca="1" si="12"/>
        <v/>
      </c>
      <c r="G281" s="27" t="str">
        <f t="shared" ca="1" si="13"/>
        <v/>
      </c>
      <c r="H281" s="13"/>
      <c r="I281" s="29" t="str">
        <f t="shared" ca="1" si="14"/>
        <v/>
      </c>
    </row>
    <row r="282" spans="1:9" x14ac:dyDescent="0.35">
      <c r="A282" s="21"/>
      <c r="B282" s="13"/>
      <c r="C282" s="14"/>
      <c r="D282" s="14"/>
      <c r="E282" s="13"/>
      <c r="F282" s="7" t="str">
        <f t="shared" ca="1" si="12"/>
        <v/>
      </c>
      <c r="G282" s="27" t="str">
        <f t="shared" ca="1" si="13"/>
        <v/>
      </c>
      <c r="H282" s="13"/>
      <c r="I282" s="29" t="str">
        <f t="shared" ca="1" si="14"/>
        <v/>
      </c>
    </row>
    <row r="283" spans="1:9" x14ac:dyDescent="0.35">
      <c r="A283" s="21"/>
      <c r="B283" s="13"/>
      <c r="C283" s="14"/>
      <c r="D283" s="14"/>
      <c r="E283" s="13"/>
      <c r="F283" s="7" t="str">
        <f t="shared" ca="1" si="12"/>
        <v/>
      </c>
      <c r="G283" s="27" t="str">
        <f t="shared" ca="1" si="13"/>
        <v/>
      </c>
      <c r="H283" s="13"/>
      <c r="I283" s="29" t="str">
        <f t="shared" ca="1" si="14"/>
        <v/>
      </c>
    </row>
    <row r="284" spans="1:9" x14ac:dyDescent="0.35">
      <c r="A284" s="21"/>
      <c r="B284" s="13"/>
      <c r="C284" s="14"/>
      <c r="D284" s="14"/>
      <c r="E284" s="13"/>
      <c r="F284" s="7" t="str">
        <f t="shared" ca="1" si="12"/>
        <v/>
      </c>
      <c r="G284" s="27" t="str">
        <f t="shared" ca="1" si="13"/>
        <v/>
      </c>
      <c r="H284" s="13"/>
      <c r="I284" s="29" t="str">
        <f t="shared" ca="1" si="14"/>
        <v/>
      </c>
    </row>
    <row r="285" spans="1:9" x14ac:dyDescent="0.35">
      <c r="A285" s="21"/>
      <c r="B285" s="13"/>
      <c r="C285" s="14"/>
      <c r="D285" s="14"/>
      <c r="E285" s="13"/>
      <c r="F285" s="7" t="str">
        <f t="shared" ca="1" si="12"/>
        <v/>
      </c>
      <c r="G285" s="27" t="str">
        <f t="shared" ca="1" si="13"/>
        <v/>
      </c>
      <c r="H285" s="13"/>
      <c r="I285" s="29" t="str">
        <f t="shared" ca="1" si="14"/>
        <v/>
      </c>
    </row>
    <row r="286" spans="1:9" x14ac:dyDescent="0.35">
      <c r="A286" s="21"/>
      <c r="B286" s="13"/>
      <c r="C286" s="14"/>
      <c r="D286" s="14"/>
      <c r="E286" s="13"/>
      <c r="F286" s="7" t="str">
        <f t="shared" ca="1" si="12"/>
        <v/>
      </c>
      <c r="G286" s="27" t="str">
        <f t="shared" ca="1" si="13"/>
        <v/>
      </c>
      <c r="H286" s="13"/>
      <c r="I286" s="29" t="str">
        <f t="shared" ca="1" si="14"/>
        <v/>
      </c>
    </row>
    <row r="287" spans="1:9" x14ac:dyDescent="0.35">
      <c r="A287" s="21"/>
      <c r="B287" s="13"/>
      <c r="C287" s="14"/>
      <c r="D287" s="14"/>
      <c r="E287" s="13"/>
      <c r="F287" s="7" t="str">
        <f t="shared" ca="1" si="12"/>
        <v/>
      </c>
      <c r="G287" s="27" t="str">
        <f t="shared" ca="1" si="13"/>
        <v/>
      </c>
      <c r="H287" s="13"/>
      <c r="I287" s="29" t="str">
        <f t="shared" ca="1" si="14"/>
        <v/>
      </c>
    </row>
    <row r="288" spans="1:9" x14ac:dyDescent="0.35">
      <c r="A288" s="21"/>
      <c r="B288" s="13"/>
      <c r="C288" s="14"/>
      <c r="D288" s="14"/>
      <c r="E288" s="13"/>
      <c r="F288" s="7" t="str">
        <f t="shared" ca="1" si="12"/>
        <v/>
      </c>
      <c r="G288" s="27" t="str">
        <f t="shared" ca="1" si="13"/>
        <v/>
      </c>
      <c r="H288" s="13"/>
      <c r="I288" s="29" t="str">
        <f t="shared" ca="1" si="14"/>
        <v/>
      </c>
    </row>
    <row r="289" spans="1:9" x14ac:dyDescent="0.35">
      <c r="A289" s="21"/>
      <c r="B289" s="13"/>
      <c r="C289" s="14"/>
      <c r="D289" s="14"/>
      <c r="E289" s="13"/>
      <c r="F289" s="7" t="str">
        <f t="shared" ca="1" si="12"/>
        <v/>
      </c>
      <c r="G289" s="27" t="str">
        <f t="shared" ca="1" si="13"/>
        <v/>
      </c>
      <c r="H289" s="13"/>
      <c r="I289" s="29" t="str">
        <f t="shared" ca="1" si="14"/>
        <v/>
      </c>
    </row>
    <row r="290" spans="1:9" x14ac:dyDescent="0.35">
      <c r="A290" s="21"/>
      <c r="B290" s="13"/>
      <c r="C290" s="14"/>
      <c r="D290" s="14"/>
      <c r="E290" s="13"/>
      <c r="F290" s="7" t="str">
        <f t="shared" ca="1" si="12"/>
        <v/>
      </c>
      <c r="G290" s="27" t="str">
        <f t="shared" ca="1" si="13"/>
        <v/>
      </c>
      <c r="H290" s="13"/>
      <c r="I290" s="29" t="str">
        <f t="shared" ca="1" si="14"/>
        <v/>
      </c>
    </row>
    <row r="291" spans="1:9" x14ac:dyDescent="0.35">
      <c r="A291" s="21"/>
      <c r="B291" s="13"/>
      <c r="C291" s="14"/>
      <c r="D291" s="14"/>
      <c r="E291" s="13"/>
      <c r="F291" s="7" t="str">
        <f t="shared" ca="1" si="12"/>
        <v/>
      </c>
      <c r="G291" s="27" t="str">
        <f t="shared" ca="1" si="13"/>
        <v/>
      </c>
      <c r="H291" s="13"/>
      <c r="I291" s="29" t="str">
        <f t="shared" ca="1" si="14"/>
        <v/>
      </c>
    </row>
    <row r="292" spans="1:9" x14ac:dyDescent="0.35">
      <c r="A292" s="21"/>
      <c r="B292" s="13"/>
      <c r="C292" s="14"/>
      <c r="D292" s="14"/>
      <c r="E292" s="13"/>
      <c r="F292" s="7" t="str">
        <f t="shared" ca="1" si="12"/>
        <v/>
      </c>
      <c r="G292" s="27" t="str">
        <f t="shared" ca="1" si="13"/>
        <v/>
      </c>
      <c r="H292" s="13"/>
      <c r="I292" s="29" t="str">
        <f t="shared" ca="1" si="14"/>
        <v/>
      </c>
    </row>
    <row r="293" spans="1:9" x14ac:dyDescent="0.35">
      <c r="A293" s="21"/>
      <c r="B293" s="13"/>
      <c r="C293" s="14"/>
      <c r="D293" s="14"/>
      <c r="E293" s="13"/>
      <c r="F293" s="7" t="str">
        <f t="shared" ca="1" si="12"/>
        <v/>
      </c>
      <c r="G293" s="27" t="str">
        <f t="shared" ca="1" si="13"/>
        <v/>
      </c>
      <c r="H293" s="13"/>
      <c r="I293" s="29" t="str">
        <f t="shared" ca="1" si="14"/>
        <v/>
      </c>
    </row>
    <row r="294" spans="1:9" x14ac:dyDescent="0.35">
      <c r="A294" s="21"/>
      <c r="B294" s="13"/>
      <c r="C294" s="14"/>
      <c r="D294" s="14"/>
      <c r="E294" s="13"/>
      <c r="F294" s="7" t="str">
        <f t="shared" ca="1" si="12"/>
        <v/>
      </c>
      <c r="G294" s="27" t="str">
        <f t="shared" ca="1" si="13"/>
        <v/>
      </c>
      <c r="H294" s="13"/>
      <c r="I294" s="29" t="str">
        <f t="shared" ca="1" si="14"/>
        <v/>
      </c>
    </row>
    <row r="295" spans="1:9" x14ac:dyDescent="0.35">
      <c r="A295" s="21"/>
      <c r="B295" s="13"/>
      <c r="C295" s="14"/>
      <c r="D295" s="14"/>
      <c r="E295" s="13"/>
      <c r="F295" s="7" t="str">
        <f t="shared" ca="1" si="12"/>
        <v/>
      </c>
      <c r="G295" s="27" t="str">
        <f t="shared" ca="1" si="13"/>
        <v/>
      </c>
      <c r="H295" s="13"/>
      <c r="I295" s="29" t="str">
        <f t="shared" ca="1" si="14"/>
        <v/>
      </c>
    </row>
    <row r="296" spans="1:9" x14ac:dyDescent="0.35">
      <c r="A296" s="21"/>
      <c r="B296" s="13"/>
      <c r="C296" s="14"/>
      <c r="D296" s="14"/>
      <c r="E296" s="13"/>
      <c r="F296" s="7" t="str">
        <f t="shared" ca="1" si="12"/>
        <v/>
      </c>
      <c r="G296" s="27" t="str">
        <f t="shared" ca="1" si="13"/>
        <v/>
      </c>
      <c r="H296" s="13"/>
      <c r="I296" s="29" t="str">
        <f t="shared" ca="1" si="14"/>
        <v/>
      </c>
    </row>
    <row r="297" spans="1:9" x14ac:dyDescent="0.35">
      <c r="A297" s="21"/>
      <c r="B297" s="13"/>
      <c r="C297" s="14"/>
      <c r="D297" s="14"/>
      <c r="E297" s="13"/>
      <c r="F297" s="7" t="str">
        <f t="shared" ca="1" si="12"/>
        <v/>
      </c>
      <c r="G297" s="27" t="str">
        <f t="shared" ca="1" si="13"/>
        <v/>
      </c>
      <c r="H297" s="13"/>
      <c r="I297" s="29" t="str">
        <f t="shared" ca="1" si="14"/>
        <v/>
      </c>
    </row>
    <row r="298" spans="1:9" x14ac:dyDescent="0.35">
      <c r="A298" s="21"/>
      <c r="B298" s="13"/>
      <c r="C298" s="14"/>
      <c r="D298" s="14"/>
      <c r="E298" s="13"/>
      <c r="F298" s="7" t="str">
        <f t="shared" ca="1" si="12"/>
        <v/>
      </c>
      <c r="G298" s="27" t="str">
        <f t="shared" ca="1" si="13"/>
        <v/>
      </c>
      <c r="H298" s="13"/>
      <c r="I298" s="29" t="str">
        <f t="shared" ca="1" si="14"/>
        <v/>
      </c>
    </row>
    <row r="299" spans="1:9" x14ac:dyDescent="0.35">
      <c r="A299" s="21"/>
      <c r="B299" s="13"/>
      <c r="C299" s="14"/>
      <c r="D299" s="14"/>
      <c r="E299" s="13"/>
      <c r="F299" s="7" t="str">
        <f t="shared" ca="1" si="12"/>
        <v/>
      </c>
      <c r="G299" s="27" t="str">
        <f t="shared" ca="1" si="13"/>
        <v/>
      </c>
      <c r="H299" s="13"/>
      <c r="I299" s="29" t="str">
        <f t="shared" ca="1" si="14"/>
        <v/>
      </c>
    </row>
    <row r="300" spans="1:9" x14ac:dyDescent="0.35">
      <c r="A300" s="21"/>
      <c r="B300" s="13"/>
      <c r="C300" s="14"/>
      <c r="D300" s="14"/>
      <c r="E300" s="13"/>
      <c r="F300" s="7" t="str">
        <f t="shared" ca="1" si="12"/>
        <v/>
      </c>
      <c r="G300" s="27" t="str">
        <f t="shared" ca="1" si="13"/>
        <v/>
      </c>
      <c r="H300" s="13"/>
      <c r="I300" s="29" t="str">
        <f t="shared" ca="1" si="14"/>
        <v/>
      </c>
    </row>
    <row r="301" spans="1:9" x14ac:dyDescent="0.35">
      <c r="A301" s="21"/>
      <c r="B301" s="13"/>
      <c r="C301" s="14"/>
      <c r="D301" s="14"/>
      <c r="E301" s="13"/>
      <c r="F301" s="7" t="str">
        <f t="shared" ca="1" si="12"/>
        <v/>
      </c>
      <c r="G301" s="27" t="str">
        <f t="shared" ca="1" si="13"/>
        <v/>
      </c>
      <c r="H301" s="13"/>
      <c r="I301" s="29" t="str">
        <f t="shared" ca="1" si="14"/>
        <v/>
      </c>
    </row>
    <row r="302" spans="1:9" x14ac:dyDescent="0.35">
      <c r="A302" s="21"/>
      <c r="B302" s="13"/>
      <c r="C302" s="14"/>
      <c r="D302" s="14"/>
      <c r="E302" s="13"/>
      <c r="F302" s="7" t="str">
        <f t="shared" ca="1" si="12"/>
        <v/>
      </c>
      <c r="G302" s="27" t="str">
        <f t="shared" ca="1" si="13"/>
        <v/>
      </c>
      <c r="H302" s="13"/>
      <c r="I302" s="29" t="str">
        <f t="shared" ca="1" si="14"/>
        <v/>
      </c>
    </row>
    <row r="303" spans="1:9" x14ac:dyDescent="0.35">
      <c r="A303" s="21"/>
      <c r="B303" s="13"/>
      <c r="C303" s="14"/>
      <c r="D303" s="14"/>
      <c r="E303" s="13"/>
      <c r="F303" s="7" t="str">
        <f t="shared" ca="1" si="12"/>
        <v/>
      </c>
      <c r="G303" s="27" t="str">
        <f t="shared" ca="1" si="13"/>
        <v/>
      </c>
      <c r="H303" s="13"/>
      <c r="I303" s="29" t="str">
        <f t="shared" ca="1" si="14"/>
        <v/>
      </c>
    </row>
    <row r="304" spans="1:9" x14ac:dyDescent="0.35">
      <c r="A304" s="21"/>
      <c r="B304" s="13"/>
      <c r="C304" s="14"/>
      <c r="D304" s="14"/>
      <c r="E304" s="13"/>
      <c r="F304" s="7" t="str">
        <f t="shared" ca="1" si="12"/>
        <v/>
      </c>
      <c r="G304" s="27" t="str">
        <f t="shared" ca="1" si="13"/>
        <v/>
      </c>
      <c r="H304" s="13"/>
      <c r="I304" s="29" t="str">
        <f t="shared" ca="1" si="14"/>
        <v/>
      </c>
    </row>
    <row r="305" spans="1:9" x14ac:dyDescent="0.35">
      <c r="A305" s="21"/>
      <c r="B305" s="13"/>
      <c r="C305" s="14"/>
      <c r="D305" s="14"/>
      <c r="E305" s="13"/>
      <c r="F305" s="7" t="str">
        <f t="shared" ca="1" si="12"/>
        <v/>
      </c>
      <c r="G305" s="27" t="str">
        <f t="shared" ca="1" si="13"/>
        <v/>
      </c>
      <c r="H305" s="13"/>
      <c r="I305" s="29" t="str">
        <f t="shared" ca="1" si="14"/>
        <v/>
      </c>
    </row>
    <row r="306" spans="1:9" x14ac:dyDescent="0.35">
      <c r="A306" s="21"/>
      <c r="B306" s="13"/>
      <c r="C306" s="14"/>
      <c r="D306" s="14"/>
      <c r="E306" s="13"/>
      <c r="F306" s="7" t="str">
        <f t="shared" ca="1" si="12"/>
        <v/>
      </c>
      <c r="G306" s="27" t="str">
        <f t="shared" ca="1" si="13"/>
        <v/>
      </c>
      <c r="H306" s="13"/>
      <c r="I306" s="29" t="str">
        <f t="shared" ca="1" si="14"/>
        <v/>
      </c>
    </row>
    <row r="307" spans="1:9" x14ac:dyDescent="0.35">
      <c r="A307" s="21"/>
      <c r="B307" s="13"/>
      <c r="C307" s="14"/>
      <c r="D307" s="14"/>
      <c r="E307" s="13"/>
      <c r="F307" s="7" t="str">
        <f t="shared" ca="1" si="12"/>
        <v/>
      </c>
      <c r="G307" s="27" t="str">
        <f t="shared" ca="1" si="13"/>
        <v/>
      </c>
      <c r="H307" s="13"/>
      <c r="I307" s="29" t="str">
        <f t="shared" ca="1" si="14"/>
        <v/>
      </c>
    </row>
    <row r="308" spans="1:9" x14ac:dyDescent="0.35">
      <c r="A308" s="21"/>
      <c r="B308" s="13"/>
      <c r="C308" s="14"/>
      <c r="D308" s="14"/>
      <c r="E308" s="13"/>
      <c r="F308" s="7" t="str">
        <f t="shared" ca="1" si="12"/>
        <v/>
      </c>
      <c r="G308" s="27" t="str">
        <f t="shared" ca="1" si="13"/>
        <v/>
      </c>
      <c r="H308" s="13"/>
      <c r="I308" s="29" t="str">
        <f t="shared" ca="1" si="14"/>
        <v/>
      </c>
    </row>
    <row r="309" spans="1:9" x14ac:dyDescent="0.35">
      <c r="A309" s="21"/>
      <c r="B309" s="13"/>
      <c r="C309" s="14"/>
      <c r="D309" s="14"/>
      <c r="E309" s="13"/>
      <c r="F309" s="7" t="str">
        <f t="shared" ca="1" si="12"/>
        <v/>
      </c>
      <c r="G309" s="27" t="str">
        <f t="shared" ca="1" si="13"/>
        <v/>
      </c>
      <c r="H309" s="13"/>
      <c r="I309" s="29" t="str">
        <f t="shared" ca="1" si="14"/>
        <v/>
      </c>
    </row>
    <row r="310" spans="1:9" x14ac:dyDescent="0.35">
      <c r="A310" s="21"/>
      <c r="B310" s="13"/>
      <c r="C310" s="14"/>
      <c r="D310" s="14"/>
      <c r="E310" s="13"/>
      <c r="F310" s="7" t="str">
        <f t="shared" ca="1" si="12"/>
        <v/>
      </c>
      <c r="G310" s="27" t="str">
        <f t="shared" ca="1" si="13"/>
        <v/>
      </c>
      <c r="H310" s="13"/>
      <c r="I310" s="29" t="str">
        <f t="shared" ca="1" si="14"/>
        <v/>
      </c>
    </row>
    <row r="311" spans="1:9" x14ac:dyDescent="0.35">
      <c r="A311" s="21"/>
      <c r="B311" s="13"/>
      <c r="C311" s="14"/>
      <c r="D311" s="14"/>
      <c r="E311" s="13"/>
      <c r="F311" s="7" t="str">
        <f t="shared" ca="1" si="12"/>
        <v/>
      </c>
      <c r="G311" s="27" t="str">
        <f t="shared" ca="1" si="13"/>
        <v/>
      </c>
      <c r="H311" s="13"/>
      <c r="I311" s="29" t="str">
        <f t="shared" ca="1" si="14"/>
        <v/>
      </c>
    </row>
    <row r="312" spans="1:9" x14ac:dyDescent="0.35">
      <c r="A312" s="21"/>
      <c r="B312" s="13"/>
      <c r="C312" s="14"/>
      <c r="D312" s="14"/>
      <c r="E312" s="13"/>
      <c r="F312" s="7" t="str">
        <f t="shared" ca="1" si="12"/>
        <v/>
      </c>
      <c r="G312" s="27" t="str">
        <f t="shared" ca="1" si="13"/>
        <v/>
      </c>
      <c r="H312" s="13"/>
      <c r="I312" s="29" t="str">
        <f t="shared" ca="1" si="14"/>
        <v/>
      </c>
    </row>
    <row r="313" spans="1:9" x14ac:dyDescent="0.35">
      <c r="A313" s="21"/>
      <c r="B313" s="13"/>
      <c r="C313" s="14"/>
      <c r="D313" s="14"/>
      <c r="E313" s="13"/>
      <c r="F313" s="7" t="str">
        <f t="shared" ca="1" si="12"/>
        <v/>
      </c>
      <c r="G313" s="27" t="str">
        <f t="shared" ca="1" si="13"/>
        <v/>
      </c>
      <c r="H313" s="13"/>
      <c r="I313" s="29" t="str">
        <f t="shared" ca="1" si="14"/>
        <v/>
      </c>
    </row>
    <row r="314" spans="1:9" x14ac:dyDescent="0.35">
      <c r="A314" s="21"/>
      <c r="B314" s="13"/>
      <c r="C314" s="14"/>
      <c r="D314" s="14"/>
      <c r="E314" s="13"/>
      <c r="F314" s="7" t="str">
        <f t="shared" ca="1" si="12"/>
        <v/>
      </c>
      <c r="G314" s="27" t="str">
        <f t="shared" ca="1" si="13"/>
        <v/>
      </c>
      <c r="H314" s="13"/>
      <c r="I314" s="29" t="str">
        <f t="shared" ca="1" si="14"/>
        <v/>
      </c>
    </row>
    <row r="315" spans="1:9" x14ac:dyDescent="0.35">
      <c r="A315" s="21"/>
      <c r="B315" s="13"/>
      <c r="C315" s="14"/>
      <c r="D315" s="14"/>
      <c r="E315" s="13"/>
      <c r="F315" s="7" t="str">
        <f t="shared" ca="1" si="12"/>
        <v/>
      </c>
      <c r="G315" s="27" t="str">
        <f t="shared" ca="1" si="13"/>
        <v/>
      </c>
      <c r="H315" s="13"/>
      <c r="I315" s="29" t="str">
        <f t="shared" ca="1" si="14"/>
        <v/>
      </c>
    </row>
    <row r="316" spans="1:9" x14ac:dyDescent="0.35">
      <c r="A316" s="21"/>
      <c r="B316" s="13"/>
      <c r="C316" s="14"/>
      <c r="D316" s="14"/>
      <c r="E316" s="13"/>
      <c r="F316" s="7" t="str">
        <f t="shared" ca="1" si="12"/>
        <v/>
      </c>
      <c r="G316" s="27" t="str">
        <f t="shared" ca="1" si="13"/>
        <v/>
      </c>
      <c r="H316" s="13"/>
      <c r="I316" s="29" t="str">
        <f t="shared" ca="1" si="14"/>
        <v/>
      </c>
    </row>
    <row r="317" spans="1:9" x14ac:dyDescent="0.35">
      <c r="A317" s="21"/>
      <c r="B317" s="13"/>
      <c r="C317" s="14"/>
      <c r="D317" s="14"/>
      <c r="E317" s="13"/>
      <c r="F317" s="7" t="str">
        <f t="shared" ca="1" si="12"/>
        <v/>
      </c>
      <c r="G317" s="27" t="str">
        <f t="shared" ca="1" si="13"/>
        <v/>
      </c>
      <c r="H317" s="13"/>
      <c r="I317" s="29" t="str">
        <f t="shared" ca="1" si="14"/>
        <v/>
      </c>
    </row>
    <row r="318" spans="1:9" x14ac:dyDescent="0.35">
      <c r="A318" s="21"/>
      <c r="B318" s="13"/>
      <c r="C318" s="14"/>
      <c r="D318" s="14"/>
      <c r="E318" s="13"/>
      <c r="F318" s="7" t="str">
        <f t="shared" ca="1" si="12"/>
        <v/>
      </c>
      <c r="G318" s="27" t="str">
        <f t="shared" ca="1" si="13"/>
        <v/>
      </c>
      <c r="H318" s="13"/>
      <c r="I318" s="29" t="str">
        <f t="shared" ca="1" si="14"/>
        <v/>
      </c>
    </row>
    <row r="319" spans="1:9" x14ac:dyDescent="0.35">
      <c r="A319" s="21"/>
      <c r="B319" s="13"/>
      <c r="C319" s="14"/>
      <c r="D319" s="14"/>
      <c r="E319" s="13"/>
      <c r="F319" s="7" t="str">
        <f t="shared" ca="1" si="12"/>
        <v/>
      </c>
      <c r="G319" s="27" t="str">
        <f t="shared" ca="1" si="13"/>
        <v/>
      </c>
      <c r="H319" s="13"/>
      <c r="I319" s="29" t="str">
        <f t="shared" ca="1" si="14"/>
        <v/>
      </c>
    </row>
    <row r="320" spans="1:9" x14ac:dyDescent="0.35">
      <c r="A320" s="21"/>
      <c r="B320" s="13"/>
      <c r="C320" s="14"/>
      <c r="D320" s="14"/>
      <c r="E320" s="13"/>
      <c r="F320" s="7" t="str">
        <f t="shared" ca="1" si="12"/>
        <v/>
      </c>
      <c r="G320" s="27" t="str">
        <f t="shared" ca="1" si="13"/>
        <v/>
      </c>
      <c r="H320" s="13"/>
      <c r="I320" s="29" t="str">
        <f t="shared" ca="1" si="14"/>
        <v/>
      </c>
    </row>
    <row r="321" spans="1:9" x14ac:dyDescent="0.35">
      <c r="A321" s="21"/>
      <c r="B321" s="13"/>
      <c r="C321" s="14"/>
      <c r="D321" s="14"/>
      <c r="E321" s="13"/>
      <c r="F321" s="7" t="str">
        <f t="shared" ca="1" si="12"/>
        <v/>
      </c>
      <c r="G321" s="27" t="str">
        <f t="shared" ca="1" si="13"/>
        <v/>
      </c>
      <c r="H321" s="13"/>
      <c r="I321" s="29" t="str">
        <f t="shared" ca="1" si="14"/>
        <v/>
      </c>
    </row>
    <row r="322" spans="1:9" x14ac:dyDescent="0.35">
      <c r="A322" s="21"/>
      <c r="B322" s="13"/>
      <c r="C322" s="14"/>
      <c r="D322" s="14"/>
      <c r="E322" s="13"/>
      <c r="F322" s="7" t="str">
        <f t="shared" ca="1" si="12"/>
        <v/>
      </c>
      <c r="G322" s="27" t="str">
        <f t="shared" ca="1" si="13"/>
        <v/>
      </c>
      <c r="H322" s="13"/>
      <c r="I322" s="29" t="str">
        <f t="shared" ca="1" si="14"/>
        <v/>
      </c>
    </row>
    <row r="323" spans="1:9" x14ac:dyDescent="0.35">
      <c r="A323" s="21"/>
      <c r="B323" s="13"/>
      <c r="C323" s="14"/>
      <c r="D323" s="14"/>
      <c r="E323" s="13"/>
      <c r="F323" s="7" t="str">
        <f t="shared" ca="1" si="12"/>
        <v/>
      </c>
      <c r="G323" s="27" t="str">
        <f t="shared" ca="1" si="13"/>
        <v/>
      </c>
      <c r="H323" s="13"/>
      <c r="I323" s="29" t="str">
        <f t="shared" ca="1" si="14"/>
        <v/>
      </c>
    </row>
    <row r="324" spans="1:9" x14ac:dyDescent="0.35">
      <c r="A324" s="21"/>
      <c r="B324" s="13"/>
      <c r="C324" s="14"/>
      <c r="D324" s="14"/>
      <c r="E324" s="13"/>
      <c r="F324" s="7" t="str">
        <f t="shared" ca="1" si="12"/>
        <v/>
      </c>
      <c r="G324" s="27" t="str">
        <f t="shared" ca="1" si="13"/>
        <v/>
      </c>
      <c r="H324" s="13"/>
      <c r="I324" s="29" t="str">
        <f t="shared" ca="1" si="14"/>
        <v/>
      </c>
    </row>
    <row r="325" spans="1:9" x14ac:dyDescent="0.35">
      <c r="A325" s="21"/>
      <c r="B325" s="13"/>
      <c r="C325" s="14"/>
      <c r="D325" s="14"/>
      <c r="E325" s="13"/>
      <c r="F325" s="7" t="str">
        <f t="shared" ref="F325:F388" ca="1" si="15">IF($B325="","",IF($D325&lt;&gt;"","Fait",IF($C325="","Non planifié",IF(N($C325)&lt;TODAY(),"En retard","À venir"))))</f>
        <v/>
      </c>
      <c r="G325" s="27" t="str">
        <f t="shared" ref="G325:G388" ca="1" si="16">IF($B325="","",IF(AND($C325&lt;&gt;"",$D325&lt;&gt;""),$D325-$C325,IF($F325="En retard",TODAY()-$C325,"")))</f>
        <v/>
      </c>
      <c r="H325" s="13"/>
      <c r="I325" s="29" t="str">
        <f t="shared" ref="I325:I388" ca="1" si="17">IF($F325="En retard",1,"")</f>
        <v/>
      </c>
    </row>
    <row r="326" spans="1:9" x14ac:dyDescent="0.35">
      <c r="A326" s="21"/>
      <c r="B326" s="13"/>
      <c r="C326" s="14"/>
      <c r="D326" s="14"/>
      <c r="E326" s="13"/>
      <c r="F326" s="7" t="str">
        <f t="shared" ca="1" si="15"/>
        <v/>
      </c>
      <c r="G326" s="27" t="str">
        <f t="shared" ca="1" si="16"/>
        <v/>
      </c>
      <c r="H326" s="13"/>
      <c r="I326" s="29" t="str">
        <f t="shared" ca="1" si="17"/>
        <v/>
      </c>
    </row>
    <row r="327" spans="1:9" x14ac:dyDescent="0.35">
      <c r="A327" s="21"/>
      <c r="B327" s="13"/>
      <c r="C327" s="14"/>
      <c r="D327" s="14"/>
      <c r="E327" s="13"/>
      <c r="F327" s="7" t="str">
        <f t="shared" ca="1" si="15"/>
        <v/>
      </c>
      <c r="G327" s="27" t="str">
        <f t="shared" ca="1" si="16"/>
        <v/>
      </c>
      <c r="H327" s="13"/>
      <c r="I327" s="29" t="str">
        <f t="shared" ca="1" si="17"/>
        <v/>
      </c>
    </row>
    <row r="328" spans="1:9" x14ac:dyDescent="0.35">
      <c r="A328" s="21"/>
      <c r="B328" s="13"/>
      <c r="C328" s="14"/>
      <c r="D328" s="14"/>
      <c r="E328" s="13"/>
      <c r="F328" s="7" t="str">
        <f t="shared" ca="1" si="15"/>
        <v/>
      </c>
      <c r="G328" s="27" t="str">
        <f t="shared" ca="1" si="16"/>
        <v/>
      </c>
      <c r="H328" s="13"/>
      <c r="I328" s="29" t="str">
        <f t="shared" ca="1" si="17"/>
        <v/>
      </c>
    </row>
    <row r="329" spans="1:9" x14ac:dyDescent="0.35">
      <c r="A329" s="21"/>
      <c r="B329" s="13"/>
      <c r="C329" s="14"/>
      <c r="D329" s="14"/>
      <c r="E329" s="13"/>
      <c r="F329" s="7" t="str">
        <f t="shared" ca="1" si="15"/>
        <v/>
      </c>
      <c r="G329" s="27" t="str">
        <f t="shared" ca="1" si="16"/>
        <v/>
      </c>
      <c r="H329" s="13"/>
      <c r="I329" s="29" t="str">
        <f t="shared" ca="1" si="17"/>
        <v/>
      </c>
    </row>
    <row r="330" spans="1:9" x14ac:dyDescent="0.35">
      <c r="A330" s="21"/>
      <c r="B330" s="13"/>
      <c r="C330" s="14"/>
      <c r="D330" s="14"/>
      <c r="E330" s="13"/>
      <c r="F330" s="7" t="str">
        <f t="shared" ca="1" si="15"/>
        <v/>
      </c>
      <c r="G330" s="27" t="str">
        <f t="shared" ca="1" si="16"/>
        <v/>
      </c>
      <c r="H330" s="13"/>
      <c r="I330" s="29" t="str">
        <f t="shared" ca="1" si="17"/>
        <v/>
      </c>
    </row>
    <row r="331" spans="1:9" x14ac:dyDescent="0.35">
      <c r="A331" s="21"/>
      <c r="B331" s="13"/>
      <c r="C331" s="14"/>
      <c r="D331" s="14"/>
      <c r="E331" s="13"/>
      <c r="F331" s="7" t="str">
        <f t="shared" ca="1" si="15"/>
        <v/>
      </c>
      <c r="G331" s="27" t="str">
        <f t="shared" ca="1" si="16"/>
        <v/>
      </c>
      <c r="H331" s="13"/>
      <c r="I331" s="29" t="str">
        <f t="shared" ca="1" si="17"/>
        <v/>
      </c>
    </row>
    <row r="332" spans="1:9" x14ac:dyDescent="0.35">
      <c r="A332" s="21"/>
      <c r="B332" s="13"/>
      <c r="C332" s="14"/>
      <c r="D332" s="14"/>
      <c r="E332" s="13"/>
      <c r="F332" s="7" t="str">
        <f t="shared" ca="1" si="15"/>
        <v/>
      </c>
      <c r="G332" s="27" t="str">
        <f t="shared" ca="1" si="16"/>
        <v/>
      </c>
      <c r="H332" s="13"/>
      <c r="I332" s="29" t="str">
        <f t="shared" ca="1" si="17"/>
        <v/>
      </c>
    </row>
    <row r="333" spans="1:9" x14ac:dyDescent="0.35">
      <c r="A333" s="21"/>
      <c r="B333" s="13"/>
      <c r="C333" s="14"/>
      <c r="D333" s="14"/>
      <c r="E333" s="13"/>
      <c r="F333" s="7" t="str">
        <f t="shared" ca="1" si="15"/>
        <v/>
      </c>
      <c r="G333" s="27" t="str">
        <f t="shared" ca="1" si="16"/>
        <v/>
      </c>
      <c r="H333" s="13"/>
      <c r="I333" s="29" t="str">
        <f t="shared" ca="1" si="17"/>
        <v/>
      </c>
    </row>
    <row r="334" spans="1:9" x14ac:dyDescent="0.35">
      <c r="A334" s="21"/>
      <c r="B334" s="13"/>
      <c r="C334" s="14"/>
      <c r="D334" s="14"/>
      <c r="E334" s="13"/>
      <c r="F334" s="7" t="str">
        <f t="shared" ca="1" si="15"/>
        <v/>
      </c>
      <c r="G334" s="27" t="str">
        <f t="shared" ca="1" si="16"/>
        <v/>
      </c>
      <c r="H334" s="13"/>
      <c r="I334" s="29" t="str">
        <f t="shared" ca="1" si="17"/>
        <v/>
      </c>
    </row>
    <row r="335" spans="1:9" x14ac:dyDescent="0.35">
      <c r="A335" s="21"/>
      <c r="B335" s="13"/>
      <c r="C335" s="14"/>
      <c r="D335" s="14"/>
      <c r="E335" s="13"/>
      <c r="F335" s="7" t="str">
        <f t="shared" ca="1" si="15"/>
        <v/>
      </c>
      <c r="G335" s="27" t="str">
        <f t="shared" ca="1" si="16"/>
        <v/>
      </c>
      <c r="H335" s="13"/>
      <c r="I335" s="29" t="str">
        <f t="shared" ca="1" si="17"/>
        <v/>
      </c>
    </row>
    <row r="336" spans="1:9" x14ac:dyDescent="0.35">
      <c r="A336" s="21"/>
      <c r="B336" s="13"/>
      <c r="C336" s="14"/>
      <c r="D336" s="14"/>
      <c r="E336" s="13"/>
      <c r="F336" s="7" t="str">
        <f t="shared" ca="1" si="15"/>
        <v/>
      </c>
      <c r="G336" s="27" t="str">
        <f t="shared" ca="1" si="16"/>
        <v/>
      </c>
      <c r="H336" s="13"/>
      <c r="I336" s="29" t="str">
        <f t="shared" ca="1" si="17"/>
        <v/>
      </c>
    </row>
    <row r="337" spans="1:9" x14ac:dyDescent="0.35">
      <c r="A337" s="21"/>
      <c r="B337" s="13"/>
      <c r="C337" s="14"/>
      <c r="D337" s="14"/>
      <c r="E337" s="13"/>
      <c r="F337" s="7" t="str">
        <f t="shared" ca="1" si="15"/>
        <v/>
      </c>
      <c r="G337" s="27" t="str">
        <f t="shared" ca="1" si="16"/>
        <v/>
      </c>
      <c r="H337" s="13"/>
      <c r="I337" s="29" t="str">
        <f t="shared" ca="1" si="17"/>
        <v/>
      </c>
    </row>
    <row r="338" spans="1:9" x14ac:dyDescent="0.35">
      <c r="A338" s="21"/>
      <c r="B338" s="13"/>
      <c r="C338" s="14"/>
      <c r="D338" s="14"/>
      <c r="E338" s="13"/>
      <c r="F338" s="7" t="str">
        <f t="shared" ca="1" si="15"/>
        <v/>
      </c>
      <c r="G338" s="27" t="str">
        <f t="shared" ca="1" si="16"/>
        <v/>
      </c>
      <c r="H338" s="13"/>
      <c r="I338" s="29" t="str">
        <f t="shared" ca="1" si="17"/>
        <v/>
      </c>
    </row>
    <row r="339" spans="1:9" x14ac:dyDescent="0.35">
      <c r="A339" s="21"/>
      <c r="B339" s="13"/>
      <c r="C339" s="14"/>
      <c r="D339" s="14"/>
      <c r="E339" s="13"/>
      <c r="F339" s="7" t="str">
        <f t="shared" ca="1" si="15"/>
        <v/>
      </c>
      <c r="G339" s="27" t="str">
        <f t="shared" ca="1" si="16"/>
        <v/>
      </c>
      <c r="H339" s="13"/>
      <c r="I339" s="29" t="str">
        <f t="shared" ca="1" si="17"/>
        <v/>
      </c>
    </row>
    <row r="340" spans="1:9" x14ac:dyDescent="0.35">
      <c r="A340" s="21"/>
      <c r="B340" s="13"/>
      <c r="C340" s="14"/>
      <c r="D340" s="14"/>
      <c r="E340" s="13"/>
      <c r="F340" s="7" t="str">
        <f t="shared" ca="1" si="15"/>
        <v/>
      </c>
      <c r="G340" s="27" t="str">
        <f t="shared" ca="1" si="16"/>
        <v/>
      </c>
      <c r="H340" s="13"/>
      <c r="I340" s="29" t="str">
        <f t="shared" ca="1" si="17"/>
        <v/>
      </c>
    </row>
    <row r="341" spans="1:9" x14ac:dyDescent="0.35">
      <c r="A341" s="21"/>
      <c r="B341" s="13"/>
      <c r="C341" s="14"/>
      <c r="D341" s="14"/>
      <c r="E341" s="13"/>
      <c r="F341" s="7" t="str">
        <f t="shared" ca="1" si="15"/>
        <v/>
      </c>
      <c r="G341" s="27" t="str">
        <f t="shared" ca="1" si="16"/>
        <v/>
      </c>
      <c r="H341" s="13"/>
      <c r="I341" s="29" t="str">
        <f t="shared" ca="1" si="17"/>
        <v/>
      </c>
    </row>
    <row r="342" spans="1:9" x14ac:dyDescent="0.35">
      <c r="A342" s="21"/>
      <c r="B342" s="13"/>
      <c r="C342" s="14"/>
      <c r="D342" s="14"/>
      <c r="E342" s="13"/>
      <c r="F342" s="7" t="str">
        <f t="shared" ca="1" si="15"/>
        <v/>
      </c>
      <c r="G342" s="27" t="str">
        <f t="shared" ca="1" si="16"/>
        <v/>
      </c>
      <c r="H342" s="13"/>
      <c r="I342" s="29" t="str">
        <f t="shared" ca="1" si="17"/>
        <v/>
      </c>
    </row>
    <row r="343" spans="1:9" x14ac:dyDescent="0.35">
      <c r="A343" s="21"/>
      <c r="B343" s="13"/>
      <c r="C343" s="14"/>
      <c r="D343" s="14"/>
      <c r="E343" s="13"/>
      <c r="F343" s="7" t="str">
        <f t="shared" ca="1" si="15"/>
        <v/>
      </c>
      <c r="G343" s="27" t="str">
        <f t="shared" ca="1" si="16"/>
        <v/>
      </c>
      <c r="H343" s="13"/>
      <c r="I343" s="29" t="str">
        <f t="shared" ca="1" si="17"/>
        <v/>
      </c>
    </row>
    <row r="344" spans="1:9" x14ac:dyDescent="0.35">
      <c r="A344" s="21"/>
      <c r="B344" s="13"/>
      <c r="C344" s="14"/>
      <c r="D344" s="14"/>
      <c r="E344" s="13"/>
      <c r="F344" s="7" t="str">
        <f t="shared" ca="1" si="15"/>
        <v/>
      </c>
      <c r="G344" s="27" t="str">
        <f t="shared" ca="1" si="16"/>
        <v/>
      </c>
      <c r="H344" s="13"/>
      <c r="I344" s="29" t="str">
        <f t="shared" ca="1" si="17"/>
        <v/>
      </c>
    </row>
    <row r="345" spans="1:9" x14ac:dyDescent="0.35">
      <c r="A345" s="21"/>
      <c r="B345" s="13"/>
      <c r="C345" s="14"/>
      <c r="D345" s="14"/>
      <c r="E345" s="13"/>
      <c r="F345" s="7" t="str">
        <f t="shared" ca="1" si="15"/>
        <v/>
      </c>
      <c r="G345" s="27" t="str">
        <f t="shared" ca="1" si="16"/>
        <v/>
      </c>
      <c r="H345" s="13"/>
      <c r="I345" s="29" t="str">
        <f t="shared" ca="1" si="17"/>
        <v/>
      </c>
    </row>
    <row r="346" spans="1:9" x14ac:dyDescent="0.35">
      <c r="A346" s="21"/>
      <c r="B346" s="13"/>
      <c r="C346" s="14"/>
      <c r="D346" s="14"/>
      <c r="E346" s="13"/>
      <c r="F346" s="7" t="str">
        <f t="shared" ca="1" si="15"/>
        <v/>
      </c>
      <c r="G346" s="27" t="str">
        <f t="shared" ca="1" si="16"/>
        <v/>
      </c>
      <c r="H346" s="13"/>
      <c r="I346" s="29" t="str">
        <f t="shared" ca="1" si="17"/>
        <v/>
      </c>
    </row>
    <row r="347" spans="1:9" x14ac:dyDescent="0.35">
      <c r="A347" s="21"/>
      <c r="B347" s="13"/>
      <c r="C347" s="14"/>
      <c r="D347" s="14"/>
      <c r="E347" s="13"/>
      <c r="F347" s="7" t="str">
        <f t="shared" ca="1" si="15"/>
        <v/>
      </c>
      <c r="G347" s="27" t="str">
        <f t="shared" ca="1" si="16"/>
        <v/>
      </c>
      <c r="H347" s="13"/>
      <c r="I347" s="29" t="str">
        <f t="shared" ca="1" si="17"/>
        <v/>
      </c>
    </row>
    <row r="348" spans="1:9" x14ac:dyDescent="0.35">
      <c r="A348" s="21"/>
      <c r="B348" s="13"/>
      <c r="C348" s="14"/>
      <c r="D348" s="14"/>
      <c r="E348" s="13"/>
      <c r="F348" s="7" t="str">
        <f t="shared" ca="1" si="15"/>
        <v/>
      </c>
      <c r="G348" s="27" t="str">
        <f t="shared" ca="1" si="16"/>
        <v/>
      </c>
      <c r="H348" s="13"/>
      <c r="I348" s="29" t="str">
        <f t="shared" ca="1" si="17"/>
        <v/>
      </c>
    </row>
    <row r="349" spans="1:9" x14ac:dyDescent="0.35">
      <c r="A349" s="21"/>
      <c r="B349" s="13"/>
      <c r="C349" s="14"/>
      <c r="D349" s="14"/>
      <c r="E349" s="13"/>
      <c r="F349" s="7" t="str">
        <f t="shared" ca="1" si="15"/>
        <v/>
      </c>
      <c r="G349" s="27" t="str">
        <f t="shared" ca="1" si="16"/>
        <v/>
      </c>
      <c r="H349" s="13"/>
      <c r="I349" s="29" t="str">
        <f t="shared" ca="1" si="17"/>
        <v/>
      </c>
    </row>
    <row r="350" spans="1:9" x14ac:dyDescent="0.35">
      <c r="A350" s="21"/>
      <c r="B350" s="13"/>
      <c r="C350" s="14"/>
      <c r="D350" s="14"/>
      <c r="E350" s="13"/>
      <c r="F350" s="7" t="str">
        <f t="shared" ca="1" si="15"/>
        <v/>
      </c>
      <c r="G350" s="27" t="str">
        <f t="shared" ca="1" si="16"/>
        <v/>
      </c>
      <c r="H350" s="13"/>
      <c r="I350" s="29" t="str">
        <f t="shared" ca="1" si="17"/>
        <v/>
      </c>
    </row>
    <row r="351" spans="1:9" x14ac:dyDescent="0.35">
      <c r="A351" s="21"/>
      <c r="B351" s="13"/>
      <c r="C351" s="14"/>
      <c r="D351" s="14"/>
      <c r="E351" s="13"/>
      <c r="F351" s="7" t="str">
        <f t="shared" ca="1" si="15"/>
        <v/>
      </c>
      <c r="G351" s="27" t="str">
        <f t="shared" ca="1" si="16"/>
        <v/>
      </c>
      <c r="H351" s="13"/>
      <c r="I351" s="29" t="str">
        <f t="shared" ca="1" si="17"/>
        <v/>
      </c>
    </row>
    <row r="352" spans="1:9" x14ac:dyDescent="0.35">
      <c r="A352" s="21"/>
      <c r="B352" s="13"/>
      <c r="C352" s="14"/>
      <c r="D352" s="14"/>
      <c r="E352" s="13"/>
      <c r="F352" s="7" t="str">
        <f t="shared" ca="1" si="15"/>
        <v/>
      </c>
      <c r="G352" s="27" t="str">
        <f t="shared" ca="1" si="16"/>
        <v/>
      </c>
      <c r="H352" s="13"/>
      <c r="I352" s="29" t="str">
        <f t="shared" ca="1" si="17"/>
        <v/>
      </c>
    </row>
    <row r="353" spans="1:9" x14ac:dyDescent="0.35">
      <c r="A353" s="21"/>
      <c r="B353" s="13"/>
      <c r="C353" s="14"/>
      <c r="D353" s="14"/>
      <c r="E353" s="13"/>
      <c r="F353" s="7" t="str">
        <f t="shared" ca="1" si="15"/>
        <v/>
      </c>
      <c r="G353" s="27" t="str">
        <f t="shared" ca="1" si="16"/>
        <v/>
      </c>
      <c r="H353" s="13"/>
      <c r="I353" s="29" t="str">
        <f t="shared" ca="1" si="17"/>
        <v/>
      </c>
    </row>
    <row r="354" spans="1:9" x14ac:dyDescent="0.35">
      <c r="A354" s="21"/>
      <c r="B354" s="13"/>
      <c r="C354" s="14"/>
      <c r="D354" s="14"/>
      <c r="E354" s="13"/>
      <c r="F354" s="7" t="str">
        <f t="shared" ca="1" si="15"/>
        <v/>
      </c>
      <c r="G354" s="27" t="str">
        <f t="shared" ca="1" si="16"/>
        <v/>
      </c>
      <c r="H354" s="13"/>
      <c r="I354" s="29" t="str">
        <f t="shared" ca="1" si="17"/>
        <v/>
      </c>
    </row>
    <row r="355" spans="1:9" x14ac:dyDescent="0.35">
      <c r="A355" s="21"/>
      <c r="B355" s="13"/>
      <c r="C355" s="14"/>
      <c r="D355" s="14"/>
      <c r="E355" s="13"/>
      <c r="F355" s="7" t="str">
        <f t="shared" ca="1" si="15"/>
        <v/>
      </c>
      <c r="G355" s="27" t="str">
        <f t="shared" ca="1" si="16"/>
        <v/>
      </c>
      <c r="H355" s="13"/>
      <c r="I355" s="29" t="str">
        <f t="shared" ca="1" si="17"/>
        <v/>
      </c>
    </row>
    <row r="356" spans="1:9" x14ac:dyDescent="0.35">
      <c r="A356" s="21"/>
      <c r="B356" s="13"/>
      <c r="C356" s="14"/>
      <c r="D356" s="14"/>
      <c r="E356" s="13"/>
      <c r="F356" s="7" t="str">
        <f t="shared" ca="1" si="15"/>
        <v/>
      </c>
      <c r="G356" s="27" t="str">
        <f t="shared" ca="1" si="16"/>
        <v/>
      </c>
      <c r="H356" s="13"/>
      <c r="I356" s="29" t="str">
        <f t="shared" ca="1" si="17"/>
        <v/>
      </c>
    </row>
    <row r="357" spans="1:9" x14ac:dyDescent="0.35">
      <c r="A357" s="21"/>
      <c r="B357" s="13"/>
      <c r="C357" s="14"/>
      <c r="D357" s="14"/>
      <c r="E357" s="13"/>
      <c r="F357" s="7" t="str">
        <f t="shared" ca="1" si="15"/>
        <v/>
      </c>
      <c r="G357" s="27" t="str">
        <f t="shared" ca="1" si="16"/>
        <v/>
      </c>
      <c r="H357" s="13"/>
      <c r="I357" s="29" t="str">
        <f t="shared" ca="1" si="17"/>
        <v/>
      </c>
    </row>
    <row r="358" spans="1:9" x14ac:dyDescent="0.35">
      <c r="A358" s="21"/>
      <c r="B358" s="13"/>
      <c r="C358" s="14"/>
      <c r="D358" s="14"/>
      <c r="E358" s="13"/>
      <c r="F358" s="7" t="str">
        <f t="shared" ca="1" si="15"/>
        <v/>
      </c>
      <c r="G358" s="27" t="str">
        <f t="shared" ca="1" si="16"/>
        <v/>
      </c>
      <c r="H358" s="13"/>
      <c r="I358" s="29" t="str">
        <f t="shared" ca="1" si="17"/>
        <v/>
      </c>
    </row>
    <row r="359" spans="1:9" x14ac:dyDescent="0.35">
      <c r="A359" s="21"/>
      <c r="B359" s="13"/>
      <c r="C359" s="14"/>
      <c r="D359" s="14"/>
      <c r="E359" s="13"/>
      <c r="F359" s="7" t="str">
        <f t="shared" ca="1" si="15"/>
        <v/>
      </c>
      <c r="G359" s="27" t="str">
        <f t="shared" ca="1" si="16"/>
        <v/>
      </c>
      <c r="H359" s="13"/>
      <c r="I359" s="29" t="str">
        <f t="shared" ca="1" si="17"/>
        <v/>
      </c>
    </row>
    <row r="360" spans="1:9" x14ac:dyDescent="0.35">
      <c r="A360" s="21"/>
      <c r="B360" s="13"/>
      <c r="C360" s="14"/>
      <c r="D360" s="14"/>
      <c r="E360" s="13"/>
      <c r="F360" s="7" t="str">
        <f t="shared" ca="1" si="15"/>
        <v/>
      </c>
      <c r="G360" s="27" t="str">
        <f t="shared" ca="1" si="16"/>
        <v/>
      </c>
      <c r="H360" s="13"/>
      <c r="I360" s="29" t="str">
        <f t="shared" ca="1" si="17"/>
        <v/>
      </c>
    </row>
    <row r="361" spans="1:9" x14ac:dyDescent="0.35">
      <c r="A361" s="21"/>
      <c r="B361" s="13"/>
      <c r="C361" s="14"/>
      <c r="D361" s="14"/>
      <c r="E361" s="13"/>
      <c r="F361" s="7" t="str">
        <f t="shared" ca="1" si="15"/>
        <v/>
      </c>
      <c r="G361" s="27" t="str">
        <f t="shared" ca="1" si="16"/>
        <v/>
      </c>
      <c r="H361" s="13"/>
      <c r="I361" s="29" t="str">
        <f t="shared" ca="1" si="17"/>
        <v/>
      </c>
    </row>
    <row r="362" spans="1:9" x14ac:dyDescent="0.35">
      <c r="A362" s="21"/>
      <c r="B362" s="13"/>
      <c r="C362" s="14"/>
      <c r="D362" s="14"/>
      <c r="E362" s="13"/>
      <c r="F362" s="7" t="str">
        <f t="shared" ca="1" si="15"/>
        <v/>
      </c>
      <c r="G362" s="27" t="str">
        <f t="shared" ca="1" si="16"/>
        <v/>
      </c>
      <c r="H362" s="13"/>
      <c r="I362" s="29" t="str">
        <f t="shared" ca="1" si="17"/>
        <v/>
      </c>
    </row>
    <row r="363" spans="1:9" x14ac:dyDescent="0.35">
      <c r="A363" s="21"/>
      <c r="B363" s="13"/>
      <c r="C363" s="14"/>
      <c r="D363" s="14"/>
      <c r="E363" s="13"/>
      <c r="F363" s="7" t="str">
        <f t="shared" ca="1" si="15"/>
        <v/>
      </c>
      <c r="G363" s="27" t="str">
        <f t="shared" ca="1" si="16"/>
        <v/>
      </c>
      <c r="H363" s="13"/>
      <c r="I363" s="29" t="str">
        <f t="shared" ca="1" si="17"/>
        <v/>
      </c>
    </row>
    <row r="364" spans="1:9" x14ac:dyDescent="0.35">
      <c r="A364" s="21"/>
      <c r="B364" s="13"/>
      <c r="C364" s="14"/>
      <c r="D364" s="14"/>
      <c r="E364" s="13"/>
      <c r="F364" s="7" t="str">
        <f t="shared" ca="1" si="15"/>
        <v/>
      </c>
      <c r="G364" s="27" t="str">
        <f t="shared" ca="1" si="16"/>
        <v/>
      </c>
      <c r="H364" s="13"/>
      <c r="I364" s="29" t="str">
        <f t="shared" ca="1" si="17"/>
        <v/>
      </c>
    </row>
    <row r="365" spans="1:9" x14ac:dyDescent="0.35">
      <c r="A365" s="21"/>
      <c r="B365" s="13"/>
      <c r="C365" s="14"/>
      <c r="D365" s="14"/>
      <c r="E365" s="13"/>
      <c r="F365" s="7" t="str">
        <f t="shared" ca="1" si="15"/>
        <v/>
      </c>
      <c r="G365" s="27" t="str">
        <f t="shared" ca="1" si="16"/>
        <v/>
      </c>
      <c r="H365" s="13"/>
      <c r="I365" s="29" t="str">
        <f t="shared" ca="1" si="17"/>
        <v/>
      </c>
    </row>
    <row r="366" spans="1:9" x14ac:dyDescent="0.35">
      <c r="A366" s="21"/>
      <c r="B366" s="13"/>
      <c r="C366" s="14"/>
      <c r="D366" s="14"/>
      <c r="E366" s="13"/>
      <c r="F366" s="7" t="str">
        <f t="shared" ca="1" si="15"/>
        <v/>
      </c>
      <c r="G366" s="27" t="str">
        <f t="shared" ca="1" si="16"/>
        <v/>
      </c>
      <c r="H366" s="13"/>
      <c r="I366" s="29" t="str">
        <f t="shared" ca="1" si="17"/>
        <v/>
      </c>
    </row>
    <row r="367" spans="1:9" x14ac:dyDescent="0.35">
      <c r="A367" s="21"/>
      <c r="B367" s="13"/>
      <c r="C367" s="14"/>
      <c r="D367" s="14"/>
      <c r="E367" s="13"/>
      <c r="F367" s="7" t="str">
        <f t="shared" ca="1" si="15"/>
        <v/>
      </c>
      <c r="G367" s="27" t="str">
        <f t="shared" ca="1" si="16"/>
        <v/>
      </c>
      <c r="H367" s="13"/>
      <c r="I367" s="29" t="str">
        <f t="shared" ca="1" si="17"/>
        <v/>
      </c>
    </row>
    <row r="368" spans="1:9" x14ac:dyDescent="0.35">
      <c r="A368" s="21"/>
      <c r="B368" s="13"/>
      <c r="C368" s="14"/>
      <c r="D368" s="14"/>
      <c r="E368" s="13"/>
      <c r="F368" s="7" t="str">
        <f t="shared" ca="1" si="15"/>
        <v/>
      </c>
      <c r="G368" s="27" t="str">
        <f t="shared" ca="1" si="16"/>
        <v/>
      </c>
      <c r="H368" s="13"/>
      <c r="I368" s="29" t="str">
        <f t="shared" ca="1" si="17"/>
        <v/>
      </c>
    </row>
    <row r="369" spans="1:9" x14ac:dyDescent="0.35">
      <c r="A369" s="21"/>
      <c r="B369" s="13"/>
      <c r="C369" s="14"/>
      <c r="D369" s="14"/>
      <c r="E369" s="13"/>
      <c r="F369" s="7" t="str">
        <f t="shared" ca="1" si="15"/>
        <v/>
      </c>
      <c r="G369" s="27" t="str">
        <f t="shared" ca="1" si="16"/>
        <v/>
      </c>
      <c r="H369" s="13"/>
      <c r="I369" s="29" t="str">
        <f t="shared" ca="1" si="17"/>
        <v/>
      </c>
    </row>
    <row r="370" spans="1:9" x14ac:dyDescent="0.35">
      <c r="A370" s="21"/>
      <c r="B370" s="13"/>
      <c r="C370" s="14"/>
      <c r="D370" s="14"/>
      <c r="E370" s="13"/>
      <c r="F370" s="7" t="str">
        <f t="shared" ca="1" si="15"/>
        <v/>
      </c>
      <c r="G370" s="27" t="str">
        <f t="shared" ca="1" si="16"/>
        <v/>
      </c>
      <c r="H370" s="13"/>
      <c r="I370" s="29" t="str">
        <f t="shared" ca="1" si="17"/>
        <v/>
      </c>
    </row>
    <row r="371" spans="1:9" x14ac:dyDescent="0.35">
      <c r="A371" s="21"/>
      <c r="B371" s="13"/>
      <c r="C371" s="14"/>
      <c r="D371" s="14"/>
      <c r="E371" s="13"/>
      <c r="F371" s="7" t="str">
        <f t="shared" ca="1" si="15"/>
        <v/>
      </c>
      <c r="G371" s="27" t="str">
        <f t="shared" ca="1" si="16"/>
        <v/>
      </c>
      <c r="H371" s="13"/>
      <c r="I371" s="29" t="str">
        <f t="shared" ca="1" si="17"/>
        <v/>
      </c>
    </row>
    <row r="372" spans="1:9" x14ac:dyDescent="0.35">
      <c r="A372" s="21"/>
      <c r="B372" s="13"/>
      <c r="C372" s="14"/>
      <c r="D372" s="14"/>
      <c r="E372" s="13"/>
      <c r="F372" s="7" t="str">
        <f t="shared" ca="1" si="15"/>
        <v/>
      </c>
      <c r="G372" s="27" t="str">
        <f t="shared" ca="1" si="16"/>
        <v/>
      </c>
      <c r="H372" s="13"/>
      <c r="I372" s="29" t="str">
        <f t="shared" ca="1" si="17"/>
        <v/>
      </c>
    </row>
    <row r="373" spans="1:9" x14ac:dyDescent="0.35">
      <c r="A373" s="21"/>
      <c r="B373" s="13"/>
      <c r="C373" s="14"/>
      <c r="D373" s="14"/>
      <c r="E373" s="13"/>
      <c r="F373" s="7" t="str">
        <f t="shared" ca="1" si="15"/>
        <v/>
      </c>
      <c r="G373" s="27" t="str">
        <f t="shared" ca="1" si="16"/>
        <v/>
      </c>
      <c r="H373" s="13"/>
      <c r="I373" s="29" t="str">
        <f t="shared" ca="1" si="17"/>
        <v/>
      </c>
    </row>
    <row r="374" spans="1:9" x14ac:dyDescent="0.35">
      <c r="A374" s="21"/>
      <c r="B374" s="13"/>
      <c r="C374" s="14"/>
      <c r="D374" s="14"/>
      <c r="E374" s="13"/>
      <c r="F374" s="7" t="str">
        <f t="shared" ca="1" si="15"/>
        <v/>
      </c>
      <c r="G374" s="27" t="str">
        <f t="shared" ca="1" si="16"/>
        <v/>
      </c>
      <c r="H374" s="13"/>
      <c r="I374" s="29" t="str">
        <f t="shared" ca="1" si="17"/>
        <v/>
      </c>
    </row>
    <row r="375" spans="1:9" x14ac:dyDescent="0.35">
      <c r="A375" s="21"/>
      <c r="B375" s="13"/>
      <c r="C375" s="14"/>
      <c r="D375" s="14"/>
      <c r="E375" s="13"/>
      <c r="F375" s="7" t="str">
        <f t="shared" ca="1" si="15"/>
        <v/>
      </c>
      <c r="G375" s="27" t="str">
        <f t="shared" ca="1" si="16"/>
        <v/>
      </c>
      <c r="H375" s="13"/>
      <c r="I375" s="29" t="str">
        <f t="shared" ca="1" si="17"/>
        <v/>
      </c>
    </row>
    <row r="376" spans="1:9" x14ac:dyDescent="0.35">
      <c r="A376" s="21"/>
      <c r="B376" s="13"/>
      <c r="C376" s="14"/>
      <c r="D376" s="14"/>
      <c r="E376" s="13"/>
      <c r="F376" s="7" t="str">
        <f t="shared" ca="1" si="15"/>
        <v/>
      </c>
      <c r="G376" s="27" t="str">
        <f t="shared" ca="1" si="16"/>
        <v/>
      </c>
      <c r="H376" s="13"/>
      <c r="I376" s="29" t="str">
        <f t="shared" ca="1" si="17"/>
        <v/>
      </c>
    </row>
    <row r="377" spans="1:9" x14ac:dyDescent="0.35">
      <c r="A377" s="21"/>
      <c r="B377" s="13"/>
      <c r="C377" s="14"/>
      <c r="D377" s="14"/>
      <c r="E377" s="13"/>
      <c r="F377" s="7" t="str">
        <f t="shared" ca="1" si="15"/>
        <v/>
      </c>
      <c r="G377" s="27" t="str">
        <f t="shared" ca="1" si="16"/>
        <v/>
      </c>
      <c r="H377" s="13"/>
      <c r="I377" s="29" t="str">
        <f t="shared" ca="1" si="17"/>
        <v/>
      </c>
    </row>
    <row r="378" spans="1:9" x14ac:dyDescent="0.35">
      <c r="A378" s="21"/>
      <c r="B378" s="13"/>
      <c r="C378" s="14"/>
      <c r="D378" s="14"/>
      <c r="E378" s="13"/>
      <c r="F378" s="7" t="str">
        <f t="shared" ca="1" si="15"/>
        <v/>
      </c>
      <c r="G378" s="27" t="str">
        <f t="shared" ca="1" si="16"/>
        <v/>
      </c>
      <c r="H378" s="13"/>
      <c r="I378" s="29" t="str">
        <f t="shared" ca="1" si="17"/>
        <v/>
      </c>
    </row>
    <row r="379" spans="1:9" x14ac:dyDescent="0.35">
      <c r="A379" s="21"/>
      <c r="B379" s="13"/>
      <c r="C379" s="14"/>
      <c r="D379" s="14"/>
      <c r="E379" s="13"/>
      <c r="F379" s="7" t="str">
        <f t="shared" ca="1" si="15"/>
        <v/>
      </c>
      <c r="G379" s="27" t="str">
        <f t="shared" ca="1" si="16"/>
        <v/>
      </c>
      <c r="H379" s="13"/>
      <c r="I379" s="29" t="str">
        <f t="shared" ca="1" si="17"/>
        <v/>
      </c>
    </row>
    <row r="380" spans="1:9" x14ac:dyDescent="0.35">
      <c r="A380" s="21"/>
      <c r="B380" s="13"/>
      <c r="C380" s="14"/>
      <c r="D380" s="14"/>
      <c r="E380" s="13"/>
      <c r="F380" s="7" t="str">
        <f t="shared" ca="1" si="15"/>
        <v/>
      </c>
      <c r="G380" s="27" t="str">
        <f t="shared" ca="1" si="16"/>
        <v/>
      </c>
      <c r="H380" s="13"/>
      <c r="I380" s="29" t="str">
        <f t="shared" ca="1" si="17"/>
        <v/>
      </c>
    </row>
    <row r="381" spans="1:9" x14ac:dyDescent="0.35">
      <c r="A381" s="21"/>
      <c r="B381" s="13"/>
      <c r="C381" s="14"/>
      <c r="D381" s="14"/>
      <c r="E381" s="13"/>
      <c r="F381" s="7" t="str">
        <f t="shared" ca="1" si="15"/>
        <v/>
      </c>
      <c r="G381" s="27" t="str">
        <f t="shared" ca="1" si="16"/>
        <v/>
      </c>
      <c r="H381" s="13"/>
      <c r="I381" s="29" t="str">
        <f t="shared" ca="1" si="17"/>
        <v/>
      </c>
    </row>
    <row r="382" spans="1:9" x14ac:dyDescent="0.35">
      <c r="A382" s="21"/>
      <c r="B382" s="13"/>
      <c r="C382" s="14"/>
      <c r="D382" s="14"/>
      <c r="E382" s="13"/>
      <c r="F382" s="7" t="str">
        <f t="shared" ca="1" si="15"/>
        <v/>
      </c>
      <c r="G382" s="27" t="str">
        <f t="shared" ca="1" si="16"/>
        <v/>
      </c>
      <c r="H382" s="13"/>
      <c r="I382" s="29" t="str">
        <f t="shared" ca="1" si="17"/>
        <v/>
      </c>
    </row>
    <row r="383" spans="1:9" x14ac:dyDescent="0.35">
      <c r="A383" s="21"/>
      <c r="B383" s="13"/>
      <c r="C383" s="14"/>
      <c r="D383" s="14"/>
      <c r="E383" s="13"/>
      <c r="F383" s="7" t="str">
        <f t="shared" ca="1" si="15"/>
        <v/>
      </c>
      <c r="G383" s="27" t="str">
        <f t="shared" ca="1" si="16"/>
        <v/>
      </c>
      <c r="H383" s="13"/>
      <c r="I383" s="29" t="str">
        <f t="shared" ca="1" si="17"/>
        <v/>
      </c>
    </row>
    <row r="384" spans="1:9" x14ac:dyDescent="0.35">
      <c r="A384" s="21"/>
      <c r="B384" s="13"/>
      <c r="C384" s="14"/>
      <c r="D384" s="14"/>
      <c r="E384" s="13"/>
      <c r="F384" s="7" t="str">
        <f t="shared" ca="1" si="15"/>
        <v/>
      </c>
      <c r="G384" s="27" t="str">
        <f t="shared" ca="1" si="16"/>
        <v/>
      </c>
      <c r="H384" s="13"/>
      <c r="I384" s="29" t="str">
        <f t="shared" ca="1" si="17"/>
        <v/>
      </c>
    </row>
    <row r="385" spans="1:9" x14ac:dyDescent="0.35">
      <c r="A385" s="21"/>
      <c r="B385" s="13"/>
      <c r="C385" s="14"/>
      <c r="D385" s="14"/>
      <c r="E385" s="13"/>
      <c r="F385" s="7" t="str">
        <f t="shared" ca="1" si="15"/>
        <v/>
      </c>
      <c r="G385" s="27" t="str">
        <f t="shared" ca="1" si="16"/>
        <v/>
      </c>
      <c r="H385" s="13"/>
      <c r="I385" s="29" t="str">
        <f t="shared" ca="1" si="17"/>
        <v/>
      </c>
    </row>
    <row r="386" spans="1:9" x14ac:dyDescent="0.35">
      <c r="A386" s="21"/>
      <c r="B386" s="13"/>
      <c r="C386" s="14"/>
      <c r="D386" s="14"/>
      <c r="E386" s="13"/>
      <c r="F386" s="7" t="str">
        <f t="shared" ca="1" si="15"/>
        <v/>
      </c>
      <c r="G386" s="27" t="str">
        <f t="shared" ca="1" si="16"/>
        <v/>
      </c>
      <c r="H386" s="13"/>
      <c r="I386" s="29" t="str">
        <f t="shared" ca="1" si="17"/>
        <v/>
      </c>
    </row>
    <row r="387" spans="1:9" x14ac:dyDescent="0.35">
      <c r="A387" s="21"/>
      <c r="B387" s="13"/>
      <c r="C387" s="14"/>
      <c r="D387" s="14"/>
      <c r="E387" s="13"/>
      <c r="F387" s="7" t="str">
        <f t="shared" ca="1" si="15"/>
        <v/>
      </c>
      <c r="G387" s="27" t="str">
        <f t="shared" ca="1" si="16"/>
        <v/>
      </c>
      <c r="H387" s="13"/>
      <c r="I387" s="29" t="str">
        <f t="shared" ca="1" si="17"/>
        <v/>
      </c>
    </row>
    <row r="388" spans="1:9" x14ac:dyDescent="0.35">
      <c r="A388" s="21"/>
      <c r="B388" s="13"/>
      <c r="C388" s="14"/>
      <c r="D388" s="14"/>
      <c r="E388" s="13"/>
      <c r="F388" s="7" t="str">
        <f t="shared" ca="1" si="15"/>
        <v/>
      </c>
      <c r="G388" s="27" t="str">
        <f t="shared" ca="1" si="16"/>
        <v/>
      </c>
      <c r="H388" s="13"/>
      <c r="I388" s="29" t="str">
        <f t="shared" ca="1" si="17"/>
        <v/>
      </c>
    </row>
    <row r="389" spans="1:9" x14ac:dyDescent="0.35">
      <c r="A389" s="21"/>
      <c r="B389" s="13"/>
      <c r="C389" s="14"/>
      <c r="D389" s="14"/>
      <c r="E389" s="13"/>
      <c r="F389" s="7" t="str">
        <f t="shared" ref="F389:F452" ca="1" si="18">IF($B389="","",IF($D389&lt;&gt;"","Fait",IF($C389="","Non planifié",IF(N($C389)&lt;TODAY(),"En retard","À venir"))))</f>
        <v/>
      </c>
      <c r="G389" s="27" t="str">
        <f t="shared" ref="G389:G452" ca="1" si="19">IF($B389="","",IF(AND($C389&lt;&gt;"",$D389&lt;&gt;""),$D389-$C389,IF($F389="En retard",TODAY()-$C389,"")))</f>
        <v/>
      </c>
      <c r="H389" s="13"/>
      <c r="I389" s="29" t="str">
        <f t="shared" ref="I389:I452" ca="1" si="20">IF($F389="En retard",1,"")</f>
        <v/>
      </c>
    </row>
    <row r="390" spans="1:9" x14ac:dyDescent="0.35">
      <c r="A390" s="21"/>
      <c r="B390" s="13"/>
      <c r="C390" s="14"/>
      <c r="D390" s="14"/>
      <c r="E390" s="13"/>
      <c r="F390" s="7" t="str">
        <f t="shared" ca="1" si="18"/>
        <v/>
      </c>
      <c r="G390" s="27" t="str">
        <f t="shared" ca="1" si="19"/>
        <v/>
      </c>
      <c r="H390" s="13"/>
      <c r="I390" s="29" t="str">
        <f t="shared" ca="1" si="20"/>
        <v/>
      </c>
    </row>
    <row r="391" spans="1:9" x14ac:dyDescent="0.35">
      <c r="A391" s="21"/>
      <c r="B391" s="13"/>
      <c r="C391" s="14"/>
      <c r="D391" s="14"/>
      <c r="E391" s="13"/>
      <c r="F391" s="7" t="str">
        <f t="shared" ca="1" si="18"/>
        <v/>
      </c>
      <c r="G391" s="27" t="str">
        <f t="shared" ca="1" si="19"/>
        <v/>
      </c>
      <c r="H391" s="13"/>
      <c r="I391" s="29" t="str">
        <f t="shared" ca="1" si="20"/>
        <v/>
      </c>
    </row>
    <row r="392" spans="1:9" x14ac:dyDescent="0.35">
      <c r="A392" s="21"/>
      <c r="B392" s="13"/>
      <c r="C392" s="14"/>
      <c r="D392" s="14"/>
      <c r="E392" s="13"/>
      <c r="F392" s="7" t="str">
        <f t="shared" ca="1" si="18"/>
        <v/>
      </c>
      <c r="G392" s="27" t="str">
        <f t="shared" ca="1" si="19"/>
        <v/>
      </c>
      <c r="H392" s="13"/>
      <c r="I392" s="29" t="str">
        <f t="shared" ca="1" si="20"/>
        <v/>
      </c>
    </row>
    <row r="393" spans="1:9" x14ac:dyDescent="0.35">
      <c r="A393" s="21"/>
      <c r="B393" s="13"/>
      <c r="C393" s="14"/>
      <c r="D393" s="14"/>
      <c r="E393" s="13"/>
      <c r="F393" s="7" t="str">
        <f t="shared" ca="1" si="18"/>
        <v/>
      </c>
      <c r="G393" s="27" t="str">
        <f t="shared" ca="1" si="19"/>
        <v/>
      </c>
      <c r="H393" s="13"/>
      <c r="I393" s="29" t="str">
        <f t="shared" ca="1" si="20"/>
        <v/>
      </c>
    </row>
    <row r="394" spans="1:9" x14ac:dyDescent="0.35">
      <c r="A394" s="21"/>
      <c r="B394" s="13"/>
      <c r="C394" s="14"/>
      <c r="D394" s="14"/>
      <c r="E394" s="13"/>
      <c r="F394" s="7" t="str">
        <f t="shared" ca="1" si="18"/>
        <v/>
      </c>
      <c r="G394" s="27" t="str">
        <f t="shared" ca="1" si="19"/>
        <v/>
      </c>
      <c r="H394" s="13"/>
      <c r="I394" s="29" t="str">
        <f t="shared" ca="1" si="20"/>
        <v/>
      </c>
    </row>
    <row r="395" spans="1:9" x14ac:dyDescent="0.35">
      <c r="A395" s="21"/>
      <c r="B395" s="13"/>
      <c r="C395" s="14"/>
      <c r="D395" s="14"/>
      <c r="E395" s="13"/>
      <c r="F395" s="7" t="str">
        <f t="shared" ca="1" si="18"/>
        <v/>
      </c>
      <c r="G395" s="27" t="str">
        <f t="shared" ca="1" si="19"/>
        <v/>
      </c>
      <c r="H395" s="13"/>
      <c r="I395" s="29" t="str">
        <f t="shared" ca="1" si="20"/>
        <v/>
      </c>
    </row>
    <row r="396" spans="1:9" x14ac:dyDescent="0.35">
      <c r="A396" s="21"/>
      <c r="B396" s="13"/>
      <c r="C396" s="14"/>
      <c r="D396" s="14"/>
      <c r="E396" s="13"/>
      <c r="F396" s="7" t="str">
        <f t="shared" ca="1" si="18"/>
        <v/>
      </c>
      <c r="G396" s="27" t="str">
        <f t="shared" ca="1" si="19"/>
        <v/>
      </c>
      <c r="H396" s="13"/>
      <c r="I396" s="29" t="str">
        <f t="shared" ca="1" si="20"/>
        <v/>
      </c>
    </row>
    <row r="397" spans="1:9" x14ac:dyDescent="0.35">
      <c r="A397" s="21"/>
      <c r="B397" s="13"/>
      <c r="C397" s="14"/>
      <c r="D397" s="14"/>
      <c r="E397" s="13"/>
      <c r="F397" s="7" t="str">
        <f t="shared" ca="1" si="18"/>
        <v/>
      </c>
      <c r="G397" s="27" t="str">
        <f t="shared" ca="1" si="19"/>
        <v/>
      </c>
      <c r="H397" s="13"/>
      <c r="I397" s="29" t="str">
        <f t="shared" ca="1" si="20"/>
        <v/>
      </c>
    </row>
    <row r="398" spans="1:9" x14ac:dyDescent="0.35">
      <c r="A398" s="21"/>
      <c r="B398" s="13"/>
      <c r="C398" s="14"/>
      <c r="D398" s="14"/>
      <c r="E398" s="13"/>
      <c r="F398" s="7" t="str">
        <f t="shared" ca="1" si="18"/>
        <v/>
      </c>
      <c r="G398" s="27" t="str">
        <f t="shared" ca="1" si="19"/>
        <v/>
      </c>
      <c r="H398" s="13"/>
      <c r="I398" s="29" t="str">
        <f t="shared" ca="1" si="20"/>
        <v/>
      </c>
    </row>
    <row r="399" spans="1:9" x14ac:dyDescent="0.35">
      <c r="A399" s="21"/>
      <c r="B399" s="13"/>
      <c r="C399" s="14"/>
      <c r="D399" s="14"/>
      <c r="E399" s="13"/>
      <c r="F399" s="7" t="str">
        <f t="shared" ca="1" si="18"/>
        <v/>
      </c>
      <c r="G399" s="27" t="str">
        <f t="shared" ca="1" si="19"/>
        <v/>
      </c>
      <c r="H399" s="13"/>
      <c r="I399" s="29" t="str">
        <f t="shared" ca="1" si="20"/>
        <v/>
      </c>
    </row>
    <row r="400" spans="1:9" x14ac:dyDescent="0.35">
      <c r="A400" s="21"/>
      <c r="B400" s="13"/>
      <c r="C400" s="14"/>
      <c r="D400" s="14"/>
      <c r="E400" s="13"/>
      <c r="F400" s="7" t="str">
        <f t="shared" ca="1" si="18"/>
        <v/>
      </c>
      <c r="G400" s="27" t="str">
        <f t="shared" ca="1" si="19"/>
        <v/>
      </c>
      <c r="H400" s="13"/>
      <c r="I400" s="29" t="str">
        <f t="shared" ca="1" si="20"/>
        <v/>
      </c>
    </row>
    <row r="401" spans="1:9" x14ac:dyDescent="0.35">
      <c r="A401" s="21"/>
      <c r="B401" s="13"/>
      <c r="C401" s="14"/>
      <c r="D401" s="14"/>
      <c r="E401" s="13"/>
      <c r="F401" s="7" t="str">
        <f t="shared" ca="1" si="18"/>
        <v/>
      </c>
      <c r="G401" s="27" t="str">
        <f t="shared" ca="1" si="19"/>
        <v/>
      </c>
      <c r="H401" s="13"/>
      <c r="I401" s="29" t="str">
        <f t="shared" ca="1" si="20"/>
        <v/>
      </c>
    </row>
    <row r="402" spans="1:9" x14ac:dyDescent="0.35">
      <c r="A402" s="21"/>
      <c r="B402" s="13"/>
      <c r="C402" s="14"/>
      <c r="D402" s="14"/>
      <c r="E402" s="13"/>
      <c r="F402" s="7" t="str">
        <f t="shared" ca="1" si="18"/>
        <v/>
      </c>
      <c r="G402" s="27" t="str">
        <f t="shared" ca="1" si="19"/>
        <v/>
      </c>
      <c r="H402" s="13"/>
      <c r="I402" s="29" t="str">
        <f t="shared" ca="1" si="20"/>
        <v/>
      </c>
    </row>
    <row r="403" spans="1:9" x14ac:dyDescent="0.35">
      <c r="A403" s="21"/>
      <c r="B403" s="13"/>
      <c r="C403" s="14"/>
      <c r="D403" s="14"/>
      <c r="E403" s="13"/>
      <c r="F403" s="7" t="str">
        <f t="shared" ca="1" si="18"/>
        <v/>
      </c>
      <c r="G403" s="27" t="str">
        <f t="shared" ca="1" si="19"/>
        <v/>
      </c>
      <c r="H403" s="13"/>
      <c r="I403" s="29" t="str">
        <f t="shared" ca="1" si="20"/>
        <v/>
      </c>
    </row>
    <row r="404" spans="1:9" x14ac:dyDescent="0.35">
      <c r="A404" s="21"/>
      <c r="B404" s="13"/>
      <c r="C404" s="14"/>
      <c r="D404" s="14"/>
      <c r="E404" s="13"/>
      <c r="F404" s="7" t="str">
        <f t="shared" ca="1" si="18"/>
        <v/>
      </c>
      <c r="G404" s="27" t="str">
        <f t="shared" ca="1" si="19"/>
        <v/>
      </c>
      <c r="H404" s="13"/>
      <c r="I404" s="29" t="str">
        <f t="shared" ca="1" si="20"/>
        <v/>
      </c>
    </row>
    <row r="405" spans="1:9" x14ac:dyDescent="0.35">
      <c r="A405" s="21"/>
      <c r="B405" s="13"/>
      <c r="C405" s="14"/>
      <c r="D405" s="14"/>
      <c r="E405" s="13"/>
      <c r="F405" s="7" t="str">
        <f t="shared" ca="1" si="18"/>
        <v/>
      </c>
      <c r="G405" s="27" t="str">
        <f t="shared" ca="1" si="19"/>
        <v/>
      </c>
      <c r="H405" s="13"/>
      <c r="I405" s="29" t="str">
        <f t="shared" ca="1" si="20"/>
        <v/>
      </c>
    </row>
    <row r="406" spans="1:9" x14ac:dyDescent="0.35">
      <c r="A406" s="21"/>
      <c r="B406" s="13"/>
      <c r="C406" s="14"/>
      <c r="D406" s="14"/>
      <c r="E406" s="13"/>
      <c r="F406" s="7" t="str">
        <f t="shared" ca="1" si="18"/>
        <v/>
      </c>
      <c r="G406" s="27" t="str">
        <f t="shared" ca="1" si="19"/>
        <v/>
      </c>
      <c r="H406" s="13"/>
      <c r="I406" s="29" t="str">
        <f t="shared" ca="1" si="20"/>
        <v/>
      </c>
    </row>
    <row r="407" spans="1:9" x14ac:dyDescent="0.35">
      <c r="A407" s="21"/>
      <c r="B407" s="13"/>
      <c r="C407" s="14"/>
      <c r="D407" s="14"/>
      <c r="E407" s="13"/>
      <c r="F407" s="7" t="str">
        <f t="shared" ca="1" si="18"/>
        <v/>
      </c>
      <c r="G407" s="27" t="str">
        <f t="shared" ca="1" si="19"/>
        <v/>
      </c>
      <c r="H407" s="13"/>
      <c r="I407" s="29" t="str">
        <f t="shared" ca="1" si="20"/>
        <v/>
      </c>
    </row>
    <row r="408" spans="1:9" x14ac:dyDescent="0.35">
      <c r="A408" s="21"/>
      <c r="B408" s="13"/>
      <c r="C408" s="14"/>
      <c r="D408" s="14"/>
      <c r="E408" s="13"/>
      <c r="F408" s="7" t="str">
        <f t="shared" ca="1" si="18"/>
        <v/>
      </c>
      <c r="G408" s="27" t="str">
        <f t="shared" ca="1" si="19"/>
        <v/>
      </c>
      <c r="H408" s="13"/>
      <c r="I408" s="29" t="str">
        <f t="shared" ca="1" si="20"/>
        <v/>
      </c>
    </row>
    <row r="409" spans="1:9" x14ac:dyDescent="0.35">
      <c r="A409" s="21"/>
      <c r="B409" s="13"/>
      <c r="C409" s="14"/>
      <c r="D409" s="14"/>
      <c r="E409" s="13"/>
      <c r="F409" s="7" t="str">
        <f t="shared" ca="1" si="18"/>
        <v/>
      </c>
      <c r="G409" s="27" t="str">
        <f t="shared" ca="1" si="19"/>
        <v/>
      </c>
      <c r="H409" s="13"/>
      <c r="I409" s="29" t="str">
        <f t="shared" ca="1" si="20"/>
        <v/>
      </c>
    </row>
    <row r="410" spans="1:9" x14ac:dyDescent="0.35">
      <c r="A410" s="21"/>
      <c r="B410" s="13"/>
      <c r="C410" s="14"/>
      <c r="D410" s="14"/>
      <c r="E410" s="13"/>
      <c r="F410" s="7" t="str">
        <f t="shared" ca="1" si="18"/>
        <v/>
      </c>
      <c r="G410" s="27" t="str">
        <f t="shared" ca="1" si="19"/>
        <v/>
      </c>
      <c r="H410" s="13"/>
      <c r="I410" s="29" t="str">
        <f t="shared" ca="1" si="20"/>
        <v/>
      </c>
    </row>
    <row r="411" spans="1:9" x14ac:dyDescent="0.35">
      <c r="A411" s="21"/>
      <c r="B411" s="13"/>
      <c r="C411" s="14"/>
      <c r="D411" s="14"/>
      <c r="E411" s="13"/>
      <c r="F411" s="7" t="str">
        <f t="shared" ca="1" si="18"/>
        <v/>
      </c>
      <c r="G411" s="27" t="str">
        <f t="shared" ca="1" si="19"/>
        <v/>
      </c>
      <c r="H411" s="13"/>
      <c r="I411" s="29" t="str">
        <f t="shared" ca="1" si="20"/>
        <v/>
      </c>
    </row>
    <row r="412" spans="1:9" x14ac:dyDescent="0.35">
      <c r="A412" s="21"/>
      <c r="B412" s="13"/>
      <c r="C412" s="14"/>
      <c r="D412" s="14"/>
      <c r="E412" s="13"/>
      <c r="F412" s="7" t="str">
        <f t="shared" ca="1" si="18"/>
        <v/>
      </c>
      <c r="G412" s="27" t="str">
        <f t="shared" ca="1" si="19"/>
        <v/>
      </c>
      <c r="H412" s="13"/>
      <c r="I412" s="29" t="str">
        <f t="shared" ca="1" si="20"/>
        <v/>
      </c>
    </row>
    <row r="413" spans="1:9" x14ac:dyDescent="0.35">
      <c r="A413" s="21"/>
      <c r="B413" s="13"/>
      <c r="C413" s="14"/>
      <c r="D413" s="14"/>
      <c r="E413" s="13"/>
      <c r="F413" s="7" t="str">
        <f t="shared" ca="1" si="18"/>
        <v/>
      </c>
      <c r="G413" s="27" t="str">
        <f t="shared" ca="1" si="19"/>
        <v/>
      </c>
      <c r="H413" s="13"/>
      <c r="I413" s="29" t="str">
        <f t="shared" ca="1" si="20"/>
        <v/>
      </c>
    </row>
    <row r="414" spans="1:9" x14ac:dyDescent="0.35">
      <c r="A414" s="21"/>
      <c r="B414" s="13"/>
      <c r="C414" s="14"/>
      <c r="D414" s="14"/>
      <c r="E414" s="13"/>
      <c r="F414" s="7" t="str">
        <f t="shared" ca="1" si="18"/>
        <v/>
      </c>
      <c r="G414" s="27" t="str">
        <f t="shared" ca="1" si="19"/>
        <v/>
      </c>
      <c r="H414" s="13"/>
      <c r="I414" s="29" t="str">
        <f t="shared" ca="1" si="20"/>
        <v/>
      </c>
    </row>
    <row r="415" spans="1:9" x14ac:dyDescent="0.35">
      <c r="A415" s="21"/>
      <c r="B415" s="13"/>
      <c r="C415" s="14"/>
      <c r="D415" s="14"/>
      <c r="E415" s="13"/>
      <c r="F415" s="7" t="str">
        <f t="shared" ca="1" si="18"/>
        <v/>
      </c>
      <c r="G415" s="27" t="str">
        <f t="shared" ca="1" si="19"/>
        <v/>
      </c>
      <c r="H415" s="13"/>
      <c r="I415" s="29" t="str">
        <f t="shared" ca="1" si="20"/>
        <v/>
      </c>
    </row>
    <row r="416" spans="1:9" x14ac:dyDescent="0.35">
      <c r="A416" s="21"/>
      <c r="B416" s="13"/>
      <c r="C416" s="14"/>
      <c r="D416" s="14"/>
      <c r="E416" s="13"/>
      <c r="F416" s="7" t="str">
        <f t="shared" ca="1" si="18"/>
        <v/>
      </c>
      <c r="G416" s="27" t="str">
        <f t="shared" ca="1" si="19"/>
        <v/>
      </c>
      <c r="H416" s="13"/>
      <c r="I416" s="29" t="str">
        <f t="shared" ca="1" si="20"/>
        <v/>
      </c>
    </row>
    <row r="417" spans="1:9" x14ac:dyDescent="0.35">
      <c r="A417" s="21"/>
      <c r="B417" s="13"/>
      <c r="C417" s="14"/>
      <c r="D417" s="14"/>
      <c r="E417" s="13"/>
      <c r="F417" s="7" t="str">
        <f t="shared" ca="1" si="18"/>
        <v/>
      </c>
      <c r="G417" s="27" t="str">
        <f t="shared" ca="1" si="19"/>
        <v/>
      </c>
      <c r="H417" s="13"/>
      <c r="I417" s="29" t="str">
        <f t="shared" ca="1" si="20"/>
        <v/>
      </c>
    </row>
    <row r="418" spans="1:9" x14ac:dyDescent="0.35">
      <c r="A418" s="21"/>
      <c r="B418" s="13"/>
      <c r="C418" s="14"/>
      <c r="D418" s="14"/>
      <c r="E418" s="13"/>
      <c r="F418" s="7" t="str">
        <f t="shared" ca="1" si="18"/>
        <v/>
      </c>
      <c r="G418" s="27" t="str">
        <f t="shared" ca="1" si="19"/>
        <v/>
      </c>
      <c r="H418" s="13"/>
      <c r="I418" s="29" t="str">
        <f t="shared" ca="1" si="20"/>
        <v/>
      </c>
    </row>
    <row r="419" spans="1:9" x14ac:dyDescent="0.35">
      <c r="A419" s="21"/>
      <c r="B419" s="13"/>
      <c r="C419" s="14"/>
      <c r="D419" s="14"/>
      <c r="E419" s="13"/>
      <c r="F419" s="7" t="str">
        <f t="shared" ca="1" si="18"/>
        <v/>
      </c>
      <c r="G419" s="27" t="str">
        <f t="shared" ca="1" si="19"/>
        <v/>
      </c>
      <c r="H419" s="13"/>
      <c r="I419" s="29" t="str">
        <f t="shared" ca="1" si="20"/>
        <v/>
      </c>
    </row>
    <row r="420" spans="1:9" x14ac:dyDescent="0.35">
      <c r="A420" s="21"/>
      <c r="B420" s="13"/>
      <c r="C420" s="14"/>
      <c r="D420" s="14"/>
      <c r="E420" s="13"/>
      <c r="F420" s="7" t="str">
        <f t="shared" ca="1" si="18"/>
        <v/>
      </c>
      <c r="G420" s="27" t="str">
        <f t="shared" ca="1" si="19"/>
        <v/>
      </c>
      <c r="H420" s="13"/>
      <c r="I420" s="29" t="str">
        <f t="shared" ca="1" si="20"/>
        <v/>
      </c>
    </row>
    <row r="421" spans="1:9" x14ac:dyDescent="0.35">
      <c r="A421" s="21"/>
      <c r="B421" s="13"/>
      <c r="C421" s="14"/>
      <c r="D421" s="14"/>
      <c r="E421" s="13"/>
      <c r="F421" s="7" t="str">
        <f t="shared" ca="1" si="18"/>
        <v/>
      </c>
      <c r="G421" s="27" t="str">
        <f t="shared" ca="1" si="19"/>
        <v/>
      </c>
      <c r="H421" s="13"/>
      <c r="I421" s="29" t="str">
        <f t="shared" ca="1" si="20"/>
        <v/>
      </c>
    </row>
    <row r="422" spans="1:9" x14ac:dyDescent="0.35">
      <c r="A422" s="21"/>
      <c r="B422" s="13"/>
      <c r="C422" s="14"/>
      <c r="D422" s="14"/>
      <c r="E422" s="13"/>
      <c r="F422" s="7" t="str">
        <f t="shared" ca="1" si="18"/>
        <v/>
      </c>
      <c r="G422" s="27" t="str">
        <f t="shared" ca="1" si="19"/>
        <v/>
      </c>
      <c r="H422" s="13"/>
      <c r="I422" s="29" t="str">
        <f t="shared" ca="1" si="20"/>
        <v/>
      </c>
    </row>
    <row r="423" spans="1:9" x14ac:dyDescent="0.35">
      <c r="A423" s="21"/>
      <c r="B423" s="13"/>
      <c r="C423" s="14"/>
      <c r="D423" s="14"/>
      <c r="E423" s="13"/>
      <c r="F423" s="7" t="str">
        <f t="shared" ca="1" si="18"/>
        <v/>
      </c>
      <c r="G423" s="27" t="str">
        <f t="shared" ca="1" si="19"/>
        <v/>
      </c>
      <c r="H423" s="13"/>
      <c r="I423" s="29" t="str">
        <f t="shared" ca="1" si="20"/>
        <v/>
      </c>
    </row>
    <row r="424" spans="1:9" x14ac:dyDescent="0.35">
      <c r="A424" s="21"/>
      <c r="B424" s="13"/>
      <c r="C424" s="14"/>
      <c r="D424" s="14"/>
      <c r="E424" s="13"/>
      <c r="F424" s="7" t="str">
        <f t="shared" ca="1" si="18"/>
        <v/>
      </c>
      <c r="G424" s="27" t="str">
        <f t="shared" ca="1" si="19"/>
        <v/>
      </c>
      <c r="H424" s="13"/>
      <c r="I424" s="29" t="str">
        <f t="shared" ca="1" si="20"/>
        <v/>
      </c>
    </row>
    <row r="425" spans="1:9" x14ac:dyDescent="0.35">
      <c r="A425" s="21"/>
      <c r="B425" s="13"/>
      <c r="C425" s="14"/>
      <c r="D425" s="14"/>
      <c r="E425" s="13"/>
      <c r="F425" s="7" t="str">
        <f t="shared" ca="1" si="18"/>
        <v/>
      </c>
      <c r="G425" s="27" t="str">
        <f t="shared" ca="1" si="19"/>
        <v/>
      </c>
      <c r="H425" s="13"/>
      <c r="I425" s="29" t="str">
        <f t="shared" ca="1" si="20"/>
        <v/>
      </c>
    </row>
    <row r="426" spans="1:9" x14ac:dyDescent="0.35">
      <c r="A426" s="21"/>
      <c r="B426" s="13"/>
      <c r="C426" s="14"/>
      <c r="D426" s="14"/>
      <c r="E426" s="13"/>
      <c r="F426" s="7" t="str">
        <f t="shared" ca="1" si="18"/>
        <v/>
      </c>
      <c r="G426" s="27" t="str">
        <f t="shared" ca="1" si="19"/>
        <v/>
      </c>
      <c r="H426" s="13"/>
      <c r="I426" s="29" t="str">
        <f t="shared" ca="1" si="20"/>
        <v/>
      </c>
    </row>
    <row r="427" spans="1:9" x14ac:dyDescent="0.35">
      <c r="A427" s="21"/>
      <c r="B427" s="13"/>
      <c r="C427" s="14"/>
      <c r="D427" s="14"/>
      <c r="E427" s="13"/>
      <c r="F427" s="7" t="str">
        <f t="shared" ca="1" si="18"/>
        <v/>
      </c>
      <c r="G427" s="27" t="str">
        <f t="shared" ca="1" si="19"/>
        <v/>
      </c>
      <c r="H427" s="13"/>
      <c r="I427" s="29" t="str">
        <f t="shared" ca="1" si="20"/>
        <v/>
      </c>
    </row>
    <row r="428" spans="1:9" x14ac:dyDescent="0.35">
      <c r="A428" s="21"/>
      <c r="B428" s="13"/>
      <c r="C428" s="14"/>
      <c r="D428" s="14"/>
      <c r="E428" s="13"/>
      <c r="F428" s="7" t="str">
        <f t="shared" ca="1" si="18"/>
        <v/>
      </c>
      <c r="G428" s="27" t="str">
        <f t="shared" ca="1" si="19"/>
        <v/>
      </c>
      <c r="H428" s="13"/>
      <c r="I428" s="29" t="str">
        <f t="shared" ca="1" si="20"/>
        <v/>
      </c>
    </row>
    <row r="429" spans="1:9" x14ac:dyDescent="0.35">
      <c r="A429" s="21"/>
      <c r="B429" s="13"/>
      <c r="C429" s="14"/>
      <c r="D429" s="14"/>
      <c r="E429" s="13"/>
      <c r="F429" s="7" t="str">
        <f t="shared" ca="1" si="18"/>
        <v/>
      </c>
      <c r="G429" s="27" t="str">
        <f t="shared" ca="1" si="19"/>
        <v/>
      </c>
      <c r="H429" s="13"/>
      <c r="I429" s="29" t="str">
        <f t="shared" ca="1" si="20"/>
        <v/>
      </c>
    </row>
    <row r="430" spans="1:9" x14ac:dyDescent="0.35">
      <c r="A430" s="21"/>
      <c r="B430" s="13"/>
      <c r="C430" s="14"/>
      <c r="D430" s="14"/>
      <c r="E430" s="13"/>
      <c r="F430" s="7" t="str">
        <f t="shared" ca="1" si="18"/>
        <v/>
      </c>
      <c r="G430" s="27" t="str">
        <f t="shared" ca="1" si="19"/>
        <v/>
      </c>
      <c r="H430" s="13"/>
      <c r="I430" s="29" t="str">
        <f t="shared" ca="1" si="20"/>
        <v/>
      </c>
    </row>
    <row r="431" spans="1:9" x14ac:dyDescent="0.35">
      <c r="A431" s="21"/>
      <c r="B431" s="13"/>
      <c r="C431" s="14"/>
      <c r="D431" s="14"/>
      <c r="E431" s="13"/>
      <c r="F431" s="7" t="str">
        <f t="shared" ca="1" si="18"/>
        <v/>
      </c>
      <c r="G431" s="27" t="str">
        <f t="shared" ca="1" si="19"/>
        <v/>
      </c>
      <c r="H431" s="13"/>
      <c r="I431" s="29" t="str">
        <f t="shared" ca="1" si="20"/>
        <v/>
      </c>
    </row>
    <row r="432" spans="1:9" x14ac:dyDescent="0.35">
      <c r="A432" s="21"/>
      <c r="B432" s="13"/>
      <c r="C432" s="14"/>
      <c r="D432" s="14"/>
      <c r="E432" s="13"/>
      <c r="F432" s="7" t="str">
        <f t="shared" ca="1" si="18"/>
        <v/>
      </c>
      <c r="G432" s="27" t="str">
        <f t="shared" ca="1" si="19"/>
        <v/>
      </c>
      <c r="H432" s="13"/>
      <c r="I432" s="29" t="str">
        <f t="shared" ca="1" si="20"/>
        <v/>
      </c>
    </row>
    <row r="433" spans="1:9" x14ac:dyDescent="0.35">
      <c r="A433" s="21"/>
      <c r="B433" s="13"/>
      <c r="C433" s="14"/>
      <c r="D433" s="14"/>
      <c r="E433" s="13"/>
      <c r="F433" s="7" t="str">
        <f t="shared" ca="1" si="18"/>
        <v/>
      </c>
      <c r="G433" s="27" t="str">
        <f t="shared" ca="1" si="19"/>
        <v/>
      </c>
      <c r="H433" s="13"/>
      <c r="I433" s="29" t="str">
        <f t="shared" ca="1" si="20"/>
        <v/>
      </c>
    </row>
    <row r="434" spans="1:9" x14ac:dyDescent="0.35">
      <c r="A434" s="21"/>
      <c r="B434" s="13"/>
      <c r="C434" s="14"/>
      <c r="D434" s="14"/>
      <c r="E434" s="13"/>
      <c r="F434" s="7" t="str">
        <f t="shared" ca="1" si="18"/>
        <v/>
      </c>
      <c r="G434" s="27" t="str">
        <f t="shared" ca="1" si="19"/>
        <v/>
      </c>
      <c r="H434" s="13"/>
      <c r="I434" s="29" t="str">
        <f t="shared" ca="1" si="20"/>
        <v/>
      </c>
    </row>
    <row r="435" spans="1:9" x14ac:dyDescent="0.35">
      <c r="A435" s="21"/>
      <c r="B435" s="13"/>
      <c r="C435" s="14"/>
      <c r="D435" s="14"/>
      <c r="E435" s="13"/>
      <c r="F435" s="7" t="str">
        <f t="shared" ca="1" si="18"/>
        <v/>
      </c>
      <c r="G435" s="27" t="str">
        <f t="shared" ca="1" si="19"/>
        <v/>
      </c>
      <c r="H435" s="13"/>
      <c r="I435" s="29" t="str">
        <f t="shared" ca="1" si="20"/>
        <v/>
      </c>
    </row>
    <row r="436" spans="1:9" x14ac:dyDescent="0.35">
      <c r="A436" s="21"/>
      <c r="B436" s="13"/>
      <c r="C436" s="14"/>
      <c r="D436" s="14"/>
      <c r="E436" s="13"/>
      <c r="F436" s="7" t="str">
        <f t="shared" ca="1" si="18"/>
        <v/>
      </c>
      <c r="G436" s="27" t="str">
        <f t="shared" ca="1" si="19"/>
        <v/>
      </c>
      <c r="H436" s="13"/>
      <c r="I436" s="29" t="str">
        <f t="shared" ca="1" si="20"/>
        <v/>
      </c>
    </row>
    <row r="437" spans="1:9" x14ac:dyDescent="0.35">
      <c r="A437" s="21"/>
      <c r="B437" s="13"/>
      <c r="C437" s="14"/>
      <c r="D437" s="14"/>
      <c r="E437" s="13"/>
      <c r="F437" s="7" t="str">
        <f t="shared" ca="1" si="18"/>
        <v/>
      </c>
      <c r="G437" s="27" t="str">
        <f t="shared" ca="1" si="19"/>
        <v/>
      </c>
      <c r="H437" s="13"/>
      <c r="I437" s="29" t="str">
        <f t="shared" ca="1" si="20"/>
        <v/>
      </c>
    </row>
    <row r="438" spans="1:9" x14ac:dyDescent="0.35">
      <c r="A438" s="21"/>
      <c r="B438" s="13"/>
      <c r="C438" s="14"/>
      <c r="D438" s="14"/>
      <c r="E438" s="13"/>
      <c r="F438" s="7" t="str">
        <f t="shared" ca="1" si="18"/>
        <v/>
      </c>
      <c r="G438" s="27" t="str">
        <f t="shared" ca="1" si="19"/>
        <v/>
      </c>
      <c r="H438" s="13"/>
      <c r="I438" s="29" t="str">
        <f t="shared" ca="1" si="20"/>
        <v/>
      </c>
    </row>
    <row r="439" spans="1:9" x14ac:dyDescent="0.35">
      <c r="A439" s="21"/>
      <c r="B439" s="13"/>
      <c r="C439" s="14"/>
      <c r="D439" s="14"/>
      <c r="E439" s="13"/>
      <c r="F439" s="7" t="str">
        <f t="shared" ca="1" si="18"/>
        <v/>
      </c>
      <c r="G439" s="27" t="str">
        <f t="shared" ca="1" si="19"/>
        <v/>
      </c>
      <c r="H439" s="13"/>
      <c r="I439" s="29" t="str">
        <f t="shared" ca="1" si="20"/>
        <v/>
      </c>
    </row>
    <row r="440" spans="1:9" x14ac:dyDescent="0.35">
      <c r="A440" s="21"/>
      <c r="B440" s="13"/>
      <c r="C440" s="14"/>
      <c r="D440" s="14"/>
      <c r="E440" s="13"/>
      <c r="F440" s="7" t="str">
        <f t="shared" ca="1" si="18"/>
        <v/>
      </c>
      <c r="G440" s="27" t="str">
        <f t="shared" ca="1" si="19"/>
        <v/>
      </c>
      <c r="H440" s="13"/>
      <c r="I440" s="29" t="str">
        <f t="shared" ca="1" si="20"/>
        <v/>
      </c>
    </row>
    <row r="441" spans="1:9" x14ac:dyDescent="0.35">
      <c r="A441" s="21"/>
      <c r="B441" s="13"/>
      <c r="C441" s="14"/>
      <c r="D441" s="14"/>
      <c r="E441" s="13"/>
      <c r="F441" s="7" t="str">
        <f t="shared" ca="1" si="18"/>
        <v/>
      </c>
      <c r="G441" s="27" t="str">
        <f t="shared" ca="1" si="19"/>
        <v/>
      </c>
      <c r="H441" s="13"/>
      <c r="I441" s="29" t="str">
        <f t="shared" ca="1" si="20"/>
        <v/>
      </c>
    </row>
    <row r="442" spans="1:9" x14ac:dyDescent="0.35">
      <c r="A442" s="21"/>
      <c r="B442" s="13"/>
      <c r="C442" s="14"/>
      <c r="D442" s="14"/>
      <c r="E442" s="13"/>
      <c r="F442" s="7" t="str">
        <f t="shared" ca="1" si="18"/>
        <v/>
      </c>
      <c r="G442" s="27" t="str">
        <f t="shared" ca="1" si="19"/>
        <v/>
      </c>
      <c r="H442" s="13"/>
      <c r="I442" s="29" t="str">
        <f t="shared" ca="1" si="20"/>
        <v/>
      </c>
    </row>
    <row r="443" spans="1:9" x14ac:dyDescent="0.35">
      <c r="A443" s="21"/>
      <c r="B443" s="13"/>
      <c r="C443" s="14"/>
      <c r="D443" s="14"/>
      <c r="E443" s="13"/>
      <c r="F443" s="7" t="str">
        <f t="shared" ca="1" si="18"/>
        <v/>
      </c>
      <c r="G443" s="27" t="str">
        <f t="shared" ca="1" si="19"/>
        <v/>
      </c>
      <c r="H443" s="13"/>
      <c r="I443" s="29" t="str">
        <f t="shared" ca="1" si="20"/>
        <v/>
      </c>
    </row>
    <row r="444" spans="1:9" x14ac:dyDescent="0.35">
      <c r="A444" s="21"/>
      <c r="B444" s="13"/>
      <c r="C444" s="14"/>
      <c r="D444" s="14"/>
      <c r="E444" s="13"/>
      <c r="F444" s="7" t="str">
        <f t="shared" ca="1" si="18"/>
        <v/>
      </c>
      <c r="G444" s="27" t="str">
        <f t="shared" ca="1" si="19"/>
        <v/>
      </c>
      <c r="H444" s="13"/>
      <c r="I444" s="29" t="str">
        <f t="shared" ca="1" si="20"/>
        <v/>
      </c>
    </row>
    <row r="445" spans="1:9" x14ac:dyDescent="0.35">
      <c r="A445" s="21"/>
      <c r="B445" s="13"/>
      <c r="C445" s="14"/>
      <c r="D445" s="14"/>
      <c r="E445" s="13"/>
      <c r="F445" s="7" t="str">
        <f t="shared" ca="1" si="18"/>
        <v/>
      </c>
      <c r="G445" s="27" t="str">
        <f t="shared" ca="1" si="19"/>
        <v/>
      </c>
      <c r="H445" s="13"/>
      <c r="I445" s="29" t="str">
        <f t="shared" ca="1" si="20"/>
        <v/>
      </c>
    </row>
    <row r="446" spans="1:9" x14ac:dyDescent="0.35">
      <c r="A446" s="21"/>
      <c r="B446" s="13"/>
      <c r="C446" s="14"/>
      <c r="D446" s="14"/>
      <c r="E446" s="13"/>
      <c r="F446" s="7" t="str">
        <f t="shared" ca="1" si="18"/>
        <v/>
      </c>
      <c r="G446" s="27" t="str">
        <f t="shared" ca="1" si="19"/>
        <v/>
      </c>
      <c r="H446" s="13"/>
      <c r="I446" s="29" t="str">
        <f t="shared" ca="1" si="20"/>
        <v/>
      </c>
    </row>
    <row r="447" spans="1:9" x14ac:dyDescent="0.35">
      <c r="A447" s="21"/>
      <c r="B447" s="13"/>
      <c r="C447" s="14"/>
      <c r="D447" s="14"/>
      <c r="E447" s="13"/>
      <c r="F447" s="7" t="str">
        <f t="shared" ca="1" si="18"/>
        <v/>
      </c>
      <c r="G447" s="27" t="str">
        <f t="shared" ca="1" si="19"/>
        <v/>
      </c>
      <c r="H447" s="13"/>
      <c r="I447" s="29" t="str">
        <f t="shared" ca="1" si="20"/>
        <v/>
      </c>
    </row>
    <row r="448" spans="1:9" x14ac:dyDescent="0.35">
      <c r="A448" s="21"/>
      <c r="B448" s="13"/>
      <c r="C448" s="14"/>
      <c r="D448" s="14"/>
      <c r="E448" s="13"/>
      <c r="F448" s="7" t="str">
        <f t="shared" ca="1" si="18"/>
        <v/>
      </c>
      <c r="G448" s="27" t="str">
        <f t="shared" ca="1" si="19"/>
        <v/>
      </c>
      <c r="H448" s="13"/>
      <c r="I448" s="29" t="str">
        <f t="shared" ca="1" si="20"/>
        <v/>
      </c>
    </row>
    <row r="449" spans="1:9" x14ac:dyDescent="0.35">
      <c r="A449" s="21"/>
      <c r="B449" s="13"/>
      <c r="C449" s="14"/>
      <c r="D449" s="14"/>
      <c r="E449" s="13"/>
      <c r="F449" s="7" t="str">
        <f t="shared" ca="1" si="18"/>
        <v/>
      </c>
      <c r="G449" s="27" t="str">
        <f t="shared" ca="1" si="19"/>
        <v/>
      </c>
      <c r="H449" s="13"/>
      <c r="I449" s="29" t="str">
        <f t="shared" ca="1" si="20"/>
        <v/>
      </c>
    </row>
    <row r="450" spans="1:9" x14ac:dyDescent="0.35">
      <c r="A450" s="21"/>
      <c r="B450" s="13"/>
      <c r="C450" s="14"/>
      <c r="D450" s="14"/>
      <c r="E450" s="13"/>
      <c r="F450" s="7" t="str">
        <f t="shared" ca="1" si="18"/>
        <v/>
      </c>
      <c r="G450" s="27" t="str">
        <f t="shared" ca="1" si="19"/>
        <v/>
      </c>
      <c r="H450" s="13"/>
      <c r="I450" s="29" t="str">
        <f t="shared" ca="1" si="20"/>
        <v/>
      </c>
    </row>
    <row r="451" spans="1:9" x14ac:dyDescent="0.35">
      <c r="A451" s="21"/>
      <c r="B451" s="13"/>
      <c r="C451" s="14"/>
      <c r="D451" s="14"/>
      <c r="E451" s="13"/>
      <c r="F451" s="7" t="str">
        <f t="shared" ca="1" si="18"/>
        <v/>
      </c>
      <c r="G451" s="27" t="str">
        <f t="shared" ca="1" si="19"/>
        <v/>
      </c>
      <c r="H451" s="13"/>
      <c r="I451" s="29" t="str">
        <f t="shared" ca="1" si="20"/>
        <v/>
      </c>
    </row>
    <row r="452" spans="1:9" x14ac:dyDescent="0.35">
      <c r="A452" s="21"/>
      <c r="B452" s="13"/>
      <c r="C452" s="14"/>
      <c r="D452" s="14"/>
      <c r="E452" s="13"/>
      <c r="F452" s="7" t="str">
        <f t="shared" ca="1" si="18"/>
        <v/>
      </c>
      <c r="G452" s="27" t="str">
        <f t="shared" ca="1" si="19"/>
        <v/>
      </c>
      <c r="H452" s="13"/>
      <c r="I452" s="29" t="str">
        <f t="shared" ca="1" si="20"/>
        <v/>
      </c>
    </row>
    <row r="453" spans="1:9" x14ac:dyDescent="0.35">
      <c r="A453" s="21"/>
      <c r="B453" s="13"/>
      <c r="C453" s="14"/>
      <c r="D453" s="14"/>
      <c r="E453" s="13"/>
      <c r="F453" s="7" t="str">
        <f t="shared" ref="F453:F516" ca="1" si="21">IF($B453="","",IF($D453&lt;&gt;"","Fait",IF($C453="","Non planifié",IF(N($C453)&lt;TODAY(),"En retard","À venir"))))</f>
        <v/>
      </c>
      <c r="G453" s="27" t="str">
        <f t="shared" ref="G453:G516" ca="1" si="22">IF($B453="","",IF(AND($C453&lt;&gt;"",$D453&lt;&gt;""),$D453-$C453,IF($F453="En retard",TODAY()-$C453,"")))</f>
        <v/>
      </c>
      <c r="H453" s="13"/>
      <c r="I453" s="29" t="str">
        <f t="shared" ref="I453:I516" ca="1" si="23">IF($F453="En retard",1,"")</f>
        <v/>
      </c>
    </row>
    <row r="454" spans="1:9" x14ac:dyDescent="0.35">
      <c r="A454" s="21"/>
      <c r="B454" s="13"/>
      <c r="C454" s="14"/>
      <c r="D454" s="14"/>
      <c r="E454" s="13"/>
      <c r="F454" s="7" t="str">
        <f t="shared" ca="1" si="21"/>
        <v/>
      </c>
      <c r="G454" s="27" t="str">
        <f t="shared" ca="1" si="22"/>
        <v/>
      </c>
      <c r="H454" s="13"/>
      <c r="I454" s="29" t="str">
        <f t="shared" ca="1" si="23"/>
        <v/>
      </c>
    </row>
    <row r="455" spans="1:9" x14ac:dyDescent="0.35">
      <c r="A455" s="21"/>
      <c r="B455" s="13"/>
      <c r="C455" s="14"/>
      <c r="D455" s="14"/>
      <c r="E455" s="13"/>
      <c r="F455" s="7" t="str">
        <f t="shared" ca="1" si="21"/>
        <v/>
      </c>
      <c r="G455" s="27" t="str">
        <f t="shared" ca="1" si="22"/>
        <v/>
      </c>
      <c r="H455" s="13"/>
      <c r="I455" s="29" t="str">
        <f t="shared" ca="1" si="23"/>
        <v/>
      </c>
    </row>
    <row r="456" spans="1:9" x14ac:dyDescent="0.35">
      <c r="A456" s="21"/>
      <c r="B456" s="13"/>
      <c r="C456" s="14"/>
      <c r="D456" s="14"/>
      <c r="E456" s="13"/>
      <c r="F456" s="7" t="str">
        <f t="shared" ca="1" si="21"/>
        <v/>
      </c>
      <c r="G456" s="27" t="str">
        <f t="shared" ca="1" si="22"/>
        <v/>
      </c>
      <c r="H456" s="13"/>
      <c r="I456" s="29" t="str">
        <f t="shared" ca="1" si="23"/>
        <v/>
      </c>
    </row>
    <row r="457" spans="1:9" x14ac:dyDescent="0.35">
      <c r="A457" s="21"/>
      <c r="B457" s="13"/>
      <c r="C457" s="14"/>
      <c r="D457" s="14"/>
      <c r="E457" s="13"/>
      <c r="F457" s="7" t="str">
        <f t="shared" ca="1" si="21"/>
        <v/>
      </c>
      <c r="G457" s="27" t="str">
        <f t="shared" ca="1" si="22"/>
        <v/>
      </c>
      <c r="H457" s="13"/>
      <c r="I457" s="29" t="str">
        <f t="shared" ca="1" si="23"/>
        <v/>
      </c>
    </row>
    <row r="458" spans="1:9" x14ac:dyDescent="0.35">
      <c r="A458" s="21"/>
      <c r="B458" s="13"/>
      <c r="C458" s="14"/>
      <c r="D458" s="14"/>
      <c r="E458" s="13"/>
      <c r="F458" s="7" t="str">
        <f t="shared" ca="1" si="21"/>
        <v/>
      </c>
      <c r="G458" s="27" t="str">
        <f t="shared" ca="1" si="22"/>
        <v/>
      </c>
      <c r="H458" s="13"/>
      <c r="I458" s="29" t="str">
        <f t="shared" ca="1" si="23"/>
        <v/>
      </c>
    </row>
    <row r="459" spans="1:9" x14ac:dyDescent="0.35">
      <c r="A459" s="21"/>
      <c r="B459" s="13"/>
      <c r="C459" s="14"/>
      <c r="D459" s="14"/>
      <c r="E459" s="13"/>
      <c r="F459" s="7" t="str">
        <f t="shared" ca="1" si="21"/>
        <v/>
      </c>
      <c r="G459" s="27" t="str">
        <f t="shared" ca="1" si="22"/>
        <v/>
      </c>
      <c r="H459" s="13"/>
      <c r="I459" s="29" t="str">
        <f t="shared" ca="1" si="23"/>
        <v/>
      </c>
    </row>
    <row r="460" spans="1:9" x14ac:dyDescent="0.35">
      <c r="A460" s="21"/>
      <c r="B460" s="13"/>
      <c r="C460" s="14"/>
      <c r="D460" s="14"/>
      <c r="E460" s="13"/>
      <c r="F460" s="7" t="str">
        <f t="shared" ca="1" si="21"/>
        <v/>
      </c>
      <c r="G460" s="27" t="str">
        <f t="shared" ca="1" si="22"/>
        <v/>
      </c>
      <c r="H460" s="13"/>
      <c r="I460" s="29" t="str">
        <f t="shared" ca="1" si="23"/>
        <v/>
      </c>
    </row>
    <row r="461" spans="1:9" x14ac:dyDescent="0.35">
      <c r="A461" s="21"/>
      <c r="B461" s="13"/>
      <c r="C461" s="14"/>
      <c r="D461" s="14"/>
      <c r="E461" s="13"/>
      <c r="F461" s="7" t="str">
        <f t="shared" ca="1" si="21"/>
        <v/>
      </c>
      <c r="G461" s="27" t="str">
        <f t="shared" ca="1" si="22"/>
        <v/>
      </c>
      <c r="H461" s="13"/>
      <c r="I461" s="29" t="str">
        <f t="shared" ca="1" si="23"/>
        <v/>
      </c>
    </row>
    <row r="462" spans="1:9" x14ac:dyDescent="0.35">
      <c r="A462" s="21"/>
      <c r="B462" s="13"/>
      <c r="C462" s="14"/>
      <c r="D462" s="14"/>
      <c r="E462" s="13"/>
      <c r="F462" s="7" t="str">
        <f t="shared" ca="1" si="21"/>
        <v/>
      </c>
      <c r="G462" s="27" t="str">
        <f t="shared" ca="1" si="22"/>
        <v/>
      </c>
      <c r="H462" s="13"/>
      <c r="I462" s="29" t="str">
        <f t="shared" ca="1" si="23"/>
        <v/>
      </c>
    </row>
    <row r="463" spans="1:9" x14ac:dyDescent="0.35">
      <c r="A463" s="21"/>
      <c r="B463" s="13"/>
      <c r="C463" s="14"/>
      <c r="D463" s="14"/>
      <c r="E463" s="13"/>
      <c r="F463" s="7" t="str">
        <f t="shared" ca="1" si="21"/>
        <v/>
      </c>
      <c r="G463" s="27" t="str">
        <f t="shared" ca="1" si="22"/>
        <v/>
      </c>
      <c r="H463" s="13"/>
      <c r="I463" s="29" t="str">
        <f t="shared" ca="1" si="23"/>
        <v/>
      </c>
    </row>
    <row r="464" spans="1:9" x14ac:dyDescent="0.35">
      <c r="A464" s="21"/>
      <c r="B464" s="13"/>
      <c r="C464" s="14"/>
      <c r="D464" s="14"/>
      <c r="E464" s="13"/>
      <c r="F464" s="7" t="str">
        <f t="shared" ca="1" si="21"/>
        <v/>
      </c>
      <c r="G464" s="27" t="str">
        <f t="shared" ca="1" si="22"/>
        <v/>
      </c>
      <c r="H464" s="13"/>
      <c r="I464" s="29" t="str">
        <f t="shared" ca="1" si="23"/>
        <v/>
      </c>
    </row>
    <row r="465" spans="1:9" x14ac:dyDescent="0.35">
      <c r="A465" s="21"/>
      <c r="B465" s="13"/>
      <c r="C465" s="14"/>
      <c r="D465" s="14"/>
      <c r="E465" s="13"/>
      <c r="F465" s="7" t="str">
        <f t="shared" ca="1" si="21"/>
        <v/>
      </c>
      <c r="G465" s="27" t="str">
        <f t="shared" ca="1" si="22"/>
        <v/>
      </c>
      <c r="H465" s="13"/>
      <c r="I465" s="29" t="str">
        <f t="shared" ca="1" si="23"/>
        <v/>
      </c>
    </row>
    <row r="466" spans="1:9" x14ac:dyDescent="0.35">
      <c r="A466" s="21"/>
      <c r="B466" s="13"/>
      <c r="C466" s="14"/>
      <c r="D466" s="14"/>
      <c r="E466" s="13"/>
      <c r="F466" s="7" t="str">
        <f t="shared" ca="1" si="21"/>
        <v/>
      </c>
      <c r="G466" s="27" t="str">
        <f t="shared" ca="1" si="22"/>
        <v/>
      </c>
      <c r="H466" s="13"/>
      <c r="I466" s="29" t="str">
        <f t="shared" ca="1" si="23"/>
        <v/>
      </c>
    </row>
    <row r="467" spans="1:9" x14ac:dyDescent="0.35">
      <c r="A467" s="21"/>
      <c r="B467" s="13"/>
      <c r="C467" s="14"/>
      <c r="D467" s="14"/>
      <c r="E467" s="13"/>
      <c r="F467" s="7" t="str">
        <f t="shared" ca="1" si="21"/>
        <v/>
      </c>
      <c r="G467" s="27" t="str">
        <f t="shared" ca="1" si="22"/>
        <v/>
      </c>
      <c r="H467" s="13"/>
      <c r="I467" s="29" t="str">
        <f t="shared" ca="1" si="23"/>
        <v/>
      </c>
    </row>
    <row r="468" spans="1:9" x14ac:dyDescent="0.35">
      <c r="A468" s="21"/>
      <c r="B468" s="13"/>
      <c r="C468" s="14"/>
      <c r="D468" s="14"/>
      <c r="E468" s="13"/>
      <c r="F468" s="7" t="str">
        <f t="shared" ca="1" si="21"/>
        <v/>
      </c>
      <c r="G468" s="27" t="str">
        <f t="shared" ca="1" si="22"/>
        <v/>
      </c>
      <c r="H468" s="13"/>
      <c r="I468" s="29" t="str">
        <f t="shared" ca="1" si="23"/>
        <v/>
      </c>
    </row>
    <row r="469" spans="1:9" x14ac:dyDescent="0.35">
      <c r="A469" s="21"/>
      <c r="B469" s="13"/>
      <c r="C469" s="14"/>
      <c r="D469" s="14"/>
      <c r="E469" s="13"/>
      <c r="F469" s="7" t="str">
        <f t="shared" ca="1" si="21"/>
        <v/>
      </c>
      <c r="G469" s="27" t="str">
        <f t="shared" ca="1" si="22"/>
        <v/>
      </c>
      <c r="H469" s="13"/>
      <c r="I469" s="29" t="str">
        <f t="shared" ca="1" si="23"/>
        <v/>
      </c>
    </row>
    <row r="470" spans="1:9" x14ac:dyDescent="0.35">
      <c r="A470" s="21"/>
      <c r="B470" s="13"/>
      <c r="C470" s="14"/>
      <c r="D470" s="14"/>
      <c r="E470" s="13"/>
      <c r="F470" s="7" t="str">
        <f t="shared" ca="1" si="21"/>
        <v/>
      </c>
      <c r="G470" s="27" t="str">
        <f t="shared" ca="1" si="22"/>
        <v/>
      </c>
      <c r="H470" s="13"/>
      <c r="I470" s="29" t="str">
        <f t="shared" ca="1" si="23"/>
        <v/>
      </c>
    </row>
    <row r="471" spans="1:9" x14ac:dyDescent="0.35">
      <c r="A471" s="21"/>
      <c r="B471" s="13"/>
      <c r="C471" s="14"/>
      <c r="D471" s="14"/>
      <c r="E471" s="13"/>
      <c r="F471" s="7" t="str">
        <f t="shared" ca="1" si="21"/>
        <v/>
      </c>
      <c r="G471" s="27" t="str">
        <f t="shared" ca="1" si="22"/>
        <v/>
      </c>
      <c r="H471" s="13"/>
      <c r="I471" s="29" t="str">
        <f t="shared" ca="1" si="23"/>
        <v/>
      </c>
    </row>
    <row r="472" spans="1:9" x14ac:dyDescent="0.35">
      <c r="A472" s="21"/>
      <c r="B472" s="13"/>
      <c r="C472" s="14"/>
      <c r="D472" s="14"/>
      <c r="E472" s="13"/>
      <c r="F472" s="7" t="str">
        <f t="shared" ca="1" si="21"/>
        <v/>
      </c>
      <c r="G472" s="27" t="str">
        <f t="shared" ca="1" si="22"/>
        <v/>
      </c>
      <c r="H472" s="13"/>
      <c r="I472" s="29" t="str">
        <f t="shared" ca="1" si="23"/>
        <v/>
      </c>
    </row>
    <row r="473" spans="1:9" x14ac:dyDescent="0.35">
      <c r="A473" s="21"/>
      <c r="B473" s="13"/>
      <c r="C473" s="14"/>
      <c r="D473" s="14"/>
      <c r="E473" s="13"/>
      <c r="F473" s="7" t="str">
        <f t="shared" ca="1" si="21"/>
        <v/>
      </c>
      <c r="G473" s="27" t="str">
        <f t="shared" ca="1" si="22"/>
        <v/>
      </c>
      <c r="H473" s="13"/>
      <c r="I473" s="29" t="str">
        <f t="shared" ca="1" si="23"/>
        <v/>
      </c>
    </row>
    <row r="474" spans="1:9" x14ac:dyDescent="0.35">
      <c r="A474" s="21"/>
      <c r="B474" s="13"/>
      <c r="C474" s="14"/>
      <c r="D474" s="14"/>
      <c r="E474" s="13"/>
      <c r="F474" s="7" t="str">
        <f t="shared" ca="1" si="21"/>
        <v/>
      </c>
      <c r="G474" s="27" t="str">
        <f t="shared" ca="1" si="22"/>
        <v/>
      </c>
      <c r="H474" s="13"/>
      <c r="I474" s="29" t="str">
        <f t="shared" ca="1" si="23"/>
        <v/>
      </c>
    </row>
    <row r="475" spans="1:9" x14ac:dyDescent="0.35">
      <c r="A475" s="21"/>
      <c r="B475" s="13"/>
      <c r="C475" s="14"/>
      <c r="D475" s="14"/>
      <c r="E475" s="13"/>
      <c r="F475" s="7" t="str">
        <f t="shared" ca="1" si="21"/>
        <v/>
      </c>
      <c r="G475" s="27" t="str">
        <f t="shared" ca="1" si="22"/>
        <v/>
      </c>
      <c r="H475" s="13"/>
      <c r="I475" s="29" t="str">
        <f t="shared" ca="1" si="23"/>
        <v/>
      </c>
    </row>
    <row r="476" spans="1:9" x14ac:dyDescent="0.35">
      <c r="A476" s="21"/>
      <c r="B476" s="13"/>
      <c r="C476" s="14"/>
      <c r="D476" s="14"/>
      <c r="E476" s="13"/>
      <c r="F476" s="7" t="str">
        <f t="shared" ca="1" si="21"/>
        <v/>
      </c>
      <c r="G476" s="27" t="str">
        <f t="shared" ca="1" si="22"/>
        <v/>
      </c>
      <c r="H476" s="13"/>
      <c r="I476" s="29" t="str">
        <f t="shared" ca="1" si="23"/>
        <v/>
      </c>
    </row>
    <row r="477" spans="1:9" x14ac:dyDescent="0.35">
      <c r="A477" s="21"/>
      <c r="B477" s="13"/>
      <c r="C477" s="14"/>
      <c r="D477" s="14"/>
      <c r="E477" s="13"/>
      <c r="F477" s="7" t="str">
        <f t="shared" ca="1" si="21"/>
        <v/>
      </c>
      <c r="G477" s="27" t="str">
        <f t="shared" ca="1" si="22"/>
        <v/>
      </c>
      <c r="H477" s="13"/>
      <c r="I477" s="29" t="str">
        <f t="shared" ca="1" si="23"/>
        <v/>
      </c>
    </row>
    <row r="478" spans="1:9" x14ac:dyDescent="0.35">
      <c r="A478" s="21"/>
      <c r="B478" s="13"/>
      <c r="C478" s="14"/>
      <c r="D478" s="14"/>
      <c r="E478" s="13"/>
      <c r="F478" s="7" t="str">
        <f t="shared" ca="1" si="21"/>
        <v/>
      </c>
      <c r="G478" s="27" t="str">
        <f t="shared" ca="1" si="22"/>
        <v/>
      </c>
      <c r="H478" s="13"/>
      <c r="I478" s="29" t="str">
        <f t="shared" ca="1" si="23"/>
        <v/>
      </c>
    </row>
    <row r="479" spans="1:9" x14ac:dyDescent="0.35">
      <c r="A479" s="21"/>
      <c r="B479" s="13"/>
      <c r="C479" s="14"/>
      <c r="D479" s="14"/>
      <c r="E479" s="13"/>
      <c r="F479" s="7" t="str">
        <f t="shared" ca="1" si="21"/>
        <v/>
      </c>
      <c r="G479" s="27" t="str">
        <f t="shared" ca="1" si="22"/>
        <v/>
      </c>
      <c r="H479" s="13"/>
      <c r="I479" s="29" t="str">
        <f t="shared" ca="1" si="23"/>
        <v/>
      </c>
    </row>
    <row r="480" spans="1:9" x14ac:dyDescent="0.35">
      <c r="A480" s="21"/>
      <c r="B480" s="13"/>
      <c r="C480" s="14"/>
      <c r="D480" s="14"/>
      <c r="E480" s="13"/>
      <c r="F480" s="7" t="str">
        <f t="shared" ca="1" si="21"/>
        <v/>
      </c>
      <c r="G480" s="27" t="str">
        <f t="shared" ca="1" si="22"/>
        <v/>
      </c>
      <c r="H480" s="13"/>
      <c r="I480" s="29" t="str">
        <f t="shared" ca="1" si="23"/>
        <v/>
      </c>
    </row>
    <row r="481" spans="1:9" x14ac:dyDescent="0.35">
      <c r="A481" s="21"/>
      <c r="B481" s="13"/>
      <c r="C481" s="14"/>
      <c r="D481" s="14"/>
      <c r="E481" s="13"/>
      <c r="F481" s="7" t="str">
        <f t="shared" ca="1" si="21"/>
        <v/>
      </c>
      <c r="G481" s="27" t="str">
        <f t="shared" ca="1" si="22"/>
        <v/>
      </c>
      <c r="H481" s="13"/>
      <c r="I481" s="29" t="str">
        <f t="shared" ca="1" si="23"/>
        <v/>
      </c>
    </row>
    <row r="482" spans="1:9" x14ac:dyDescent="0.35">
      <c r="A482" s="21"/>
      <c r="B482" s="13"/>
      <c r="C482" s="14"/>
      <c r="D482" s="14"/>
      <c r="E482" s="13"/>
      <c r="F482" s="7" t="str">
        <f t="shared" ca="1" si="21"/>
        <v/>
      </c>
      <c r="G482" s="27" t="str">
        <f t="shared" ca="1" si="22"/>
        <v/>
      </c>
      <c r="H482" s="13"/>
      <c r="I482" s="29" t="str">
        <f t="shared" ca="1" si="23"/>
        <v/>
      </c>
    </row>
    <row r="483" spans="1:9" x14ac:dyDescent="0.35">
      <c r="A483" s="21"/>
      <c r="B483" s="13"/>
      <c r="C483" s="14"/>
      <c r="D483" s="14"/>
      <c r="E483" s="13"/>
      <c r="F483" s="7" t="str">
        <f t="shared" ca="1" si="21"/>
        <v/>
      </c>
      <c r="G483" s="27" t="str">
        <f t="shared" ca="1" si="22"/>
        <v/>
      </c>
      <c r="H483" s="13"/>
      <c r="I483" s="29" t="str">
        <f t="shared" ca="1" si="23"/>
        <v/>
      </c>
    </row>
    <row r="484" spans="1:9" x14ac:dyDescent="0.35">
      <c r="A484" s="21"/>
      <c r="B484" s="13"/>
      <c r="C484" s="14"/>
      <c r="D484" s="14"/>
      <c r="E484" s="13"/>
      <c r="F484" s="7" t="str">
        <f t="shared" ca="1" si="21"/>
        <v/>
      </c>
      <c r="G484" s="27" t="str">
        <f t="shared" ca="1" si="22"/>
        <v/>
      </c>
      <c r="H484" s="13"/>
      <c r="I484" s="29" t="str">
        <f t="shared" ca="1" si="23"/>
        <v/>
      </c>
    </row>
    <row r="485" spans="1:9" x14ac:dyDescent="0.35">
      <c r="A485" s="21"/>
      <c r="B485" s="13"/>
      <c r="C485" s="14"/>
      <c r="D485" s="14"/>
      <c r="E485" s="13"/>
      <c r="F485" s="7" t="str">
        <f t="shared" ca="1" si="21"/>
        <v/>
      </c>
      <c r="G485" s="27" t="str">
        <f t="shared" ca="1" si="22"/>
        <v/>
      </c>
      <c r="H485" s="13"/>
      <c r="I485" s="29" t="str">
        <f t="shared" ca="1" si="23"/>
        <v/>
      </c>
    </row>
    <row r="486" spans="1:9" x14ac:dyDescent="0.35">
      <c r="A486" s="21"/>
      <c r="B486" s="13"/>
      <c r="C486" s="14"/>
      <c r="D486" s="14"/>
      <c r="E486" s="13"/>
      <c r="F486" s="7" t="str">
        <f t="shared" ca="1" si="21"/>
        <v/>
      </c>
      <c r="G486" s="27" t="str">
        <f t="shared" ca="1" si="22"/>
        <v/>
      </c>
      <c r="H486" s="13"/>
      <c r="I486" s="29" t="str">
        <f t="shared" ca="1" si="23"/>
        <v/>
      </c>
    </row>
    <row r="487" spans="1:9" x14ac:dyDescent="0.35">
      <c r="A487" s="21"/>
      <c r="B487" s="13"/>
      <c r="C487" s="14"/>
      <c r="D487" s="14"/>
      <c r="E487" s="13"/>
      <c r="F487" s="7" t="str">
        <f t="shared" ca="1" si="21"/>
        <v/>
      </c>
      <c r="G487" s="27" t="str">
        <f t="shared" ca="1" si="22"/>
        <v/>
      </c>
      <c r="H487" s="13"/>
      <c r="I487" s="29" t="str">
        <f t="shared" ca="1" si="23"/>
        <v/>
      </c>
    </row>
    <row r="488" spans="1:9" x14ac:dyDescent="0.35">
      <c r="A488" s="21"/>
      <c r="B488" s="13"/>
      <c r="C488" s="14"/>
      <c r="D488" s="14"/>
      <c r="E488" s="13"/>
      <c r="F488" s="7" t="str">
        <f t="shared" ca="1" si="21"/>
        <v/>
      </c>
      <c r="G488" s="27" t="str">
        <f t="shared" ca="1" si="22"/>
        <v/>
      </c>
      <c r="H488" s="13"/>
      <c r="I488" s="29" t="str">
        <f t="shared" ca="1" si="23"/>
        <v/>
      </c>
    </row>
    <row r="489" spans="1:9" x14ac:dyDescent="0.35">
      <c r="A489" s="21"/>
      <c r="B489" s="13"/>
      <c r="C489" s="14"/>
      <c r="D489" s="14"/>
      <c r="E489" s="13"/>
      <c r="F489" s="7" t="str">
        <f t="shared" ca="1" si="21"/>
        <v/>
      </c>
      <c r="G489" s="27" t="str">
        <f t="shared" ca="1" si="22"/>
        <v/>
      </c>
      <c r="H489" s="13"/>
      <c r="I489" s="29" t="str">
        <f t="shared" ca="1" si="23"/>
        <v/>
      </c>
    </row>
    <row r="490" spans="1:9" x14ac:dyDescent="0.35">
      <c r="A490" s="21"/>
      <c r="B490" s="13"/>
      <c r="C490" s="14"/>
      <c r="D490" s="14"/>
      <c r="E490" s="13"/>
      <c r="F490" s="7" t="str">
        <f t="shared" ca="1" si="21"/>
        <v/>
      </c>
      <c r="G490" s="27" t="str">
        <f t="shared" ca="1" si="22"/>
        <v/>
      </c>
      <c r="H490" s="13"/>
      <c r="I490" s="29" t="str">
        <f t="shared" ca="1" si="23"/>
        <v/>
      </c>
    </row>
    <row r="491" spans="1:9" x14ac:dyDescent="0.35">
      <c r="A491" s="21"/>
      <c r="B491" s="13"/>
      <c r="C491" s="14"/>
      <c r="D491" s="14"/>
      <c r="E491" s="13"/>
      <c r="F491" s="7" t="str">
        <f t="shared" ca="1" si="21"/>
        <v/>
      </c>
      <c r="G491" s="27" t="str">
        <f t="shared" ca="1" si="22"/>
        <v/>
      </c>
      <c r="H491" s="13"/>
      <c r="I491" s="29" t="str">
        <f t="shared" ca="1" si="23"/>
        <v/>
      </c>
    </row>
    <row r="492" spans="1:9" x14ac:dyDescent="0.35">
      <c r="A492" s="21"/>
      <c r="B492" s="13"/>
      <c r="C492" s="14"/>
      <c r="D492" s="14"/>
      <c r="E492" s="13"/>
      <c r="F492" s="7" t="str">
        <f t="shared" ca="1" si="21"/>
        <v/>
      </c>
      <c r="G492" s="27" t="str">
        <f t="shared" ca="1" si="22"/>
        <v/>
      </c>
      <c r="H492" s="13"/>
      <c r="I492" s="29" t="str">
        <f t="shared" ca="1" si="23"/>
        <v/>
      </c>
    </row>
    <row r="493" spans="1:9" x14ac:dyDescent="0.35">
      <c r="A493" s="21"/>
      <c r="B493" s="13"/>
      <c r="C493" s="14"/>
      <c r="D493" s="14"/>
      <c r="E493" s="13"/>
      <c r="F493" s="7" t="str">
        <f t="shared" ca="1" si="21"/>
        <v/>
      </c>
      <c r="G493" s="27" t="str">
        <f t="shared" ca="1" si="22"/>
        <v/>
      </c>
      <c r="H493" s="13"/>
      <c r="I493" s="29" t="str">
        <f t="shared" ca="1" si="23"/>
        <v/>
      </c>
    </row>
    <row r="494" spans="1:9" x14ac:dyDescent="0.35">
      <c r="A494" s="21"/>
      <c r="B494" s="13"/>
      <c r="C494" s="14"/>
      <c r="D494" s="14"/>
      <c r="E494" s="13"/>
      <c r="F494" s="7" t="str">
        <f t="shared" ca="1" si="21"/>
        <v/>
      </c>
      <c r="G494" s="27" t="str">
        <f t="shared" ca="1" si="22"/>
        <v/>
      </c>
      <c r="H494" s="13"/>
      <c r="I494" s="29" t="str">
        <f t="shared" ca="1" si="23"/>
        <v/>
      </c>
    </row>
    <row r="495" spans="1:9" x14ac:dyDescent="0.35">
      <c r="A495" s="21"/>
      <c r="B495" s="13"/>
      <c r="C495" s="14"/>
      <c r="D495" s="14"/>
      <c r="E495" s="13"/>
      <c r="F495" s="7" t="str">
        <f t="shared" ca="1" si="21"/>
        <v/>
      </c>
      <c r="G495" s="27" t="str">
        <f t="shared" ca="1" si="22"/>
        <v/>
      </c>
      <c r="H495" s="13"/>
      <c r="I495" s="29" t="str">
        <f t="shared" ca="1" si="23"/>
        <v/>
      </c>
    </row>
    <row r="496" spans="1:9" x14ac:dyDescent="0.35">
      <c r="A496" s="21"/>
      <c r="B496" s="13"/>
      <c r="C496" s="14"/>
      <c r="D496" s="14"/>
      <c r="E496" s="13"/>
      <c r="F496" s="7" t="str">
        <f t="shared" ca="1" si="21"/>
        <v/>
      </c>
      <c r="G496" s="27" t="str">
        <f t="shared" ca="1" si="22"/>
        <v/>
      </c>
      <c r="H496" s="13"/>
      <c r="I496" s="29" t="str">
        <f t="shared" ca="1" si="23"/>
        <v/>
      </c>
    </row>
    <row r="497" spans="1:9" x14ac:dyDescent="0.35">
      <c r="A497" s="21"/>
      <c r="B497" s="13"/>
      <c r="C497" s="14"/>
      <c r="D497" s="14"/>
      <c r="E497" s="13"/>
      <c r="F497" s="7" t="str">
        <f t="shared" ca="1" si="21"/>
        <v/>
      </c>
      <c r="G497" s="27" t="str">
        <f t="shared" ca="1" si="22"/>
        <v/>
      </c>
      <c r="H497" s="13"/>
      <c r="I497" s="29" t="str">
        <f t="shared" ca="1" si="23"/>
        <v/>
      </c>
    </row>
    <row r="498" spans="1:9" x14ac:dyDescent="0.35">
      <c r="A498" s="21"/>
      <c r="B498" s="13"/>
      <c r="C498" s="14"/>
      <c r="D498" s="14"/>
      <c r="E498" s="13"/>
      <c r="F498" s="7" t="str">
        <f t="shared" ca="1" si="21"/>
        <v/>
      </c>
      <c r="G498" s="27" t="str">
        <f t="shared" ca="1" si="22"/>
        <v/>
      </c>
      <c r="H498" s="13"/>
      <c r="I498" s="29" t="str">
        <f t="shared" ca="1" si="23"/>
        <v/>
      </c>
    </row>
    <row r="499" spans="1:9" x14ac:dyDescent="0.35">
      <c r="A499" s="21"/>
      <c r="B499" s="13"/>
      <c r="C499" s="14"/>
      <c r="D499" s="14"/>
      <c r="E499" s="13"/>
      <c r="F499" s="7" t="str">
        <f t="shared" ca="1" si="21"/>
        <v/>
      </c>
      <c r="G499" s="27" t="str">
        <f t="shared" ca="1" si="22"/>
        <v/>
      </c>
      <c r="H499" s="13"/>
      <c r="I499" s="29" t="str">
        <f t="shared" ca="1" si="23"/>
        <v/>
      </c>
    </row>
    <row r="500" spans="1:9" x14ac:dyDescent="0.35">
      <c r="A500" s="21"/>
      <c r="B500" s="13"/>
      <c r="C500" s="14"/>
      <c r="D500" s="14"/>
      <c r="E500" s="13"/>
      <c r="F500" s="7" t="str">
        <f t="shared" ca="1" si="21"/>
        <v/>
      </c>
      <c r="G500" s="27" t="str">
        <f t="shared" ca="1" si="22"/>
        <v/>
      </c>
      <c r="H500" s="13"/>
      <c r="I500" s="29" t="str">
        <f t="shared" ca="1" si="23"/>
        <v/>
      </c>
    </row>
    <row r="501" spans="1:9" x14ac:dyDescent="0.35">
      <c r="A501" s="21"/>
      <c r="B501" s="13"/>
      <c r="C501" s="14"/>
      <c r="D501" s="14"/>
      <c r="E501" s="13"/>
      <c r="F501" s="7" t="str">
        <f t="shared" ca="1" si="21"/>
        <v/>
      </c>
      <c r="G501" s="27" t="str">
        <f t="shared" ca="1" si="22"/>
        <v/>
      </c>
      <c r="H501" s="13"/>
      <c r="I501" s="29" t="str">
        <f t="shared" ca="1" si="23"/>
        <v/>
      </c>
    </row>
    <row r="502" spans="1:9" x14ac:dyDescent="0.35">
      <c r="A502" s="21"/>
      <c r="B502" s="13"/>
      <c r="C502" s="14"/>
      <c r="D502" s="14"/>
      <c r="E502" s="13"/>
      <c r="F502" s="7" t="str">
        <f t="shared" ca="1" si="21"/>
        <v/>
      </c>
      <c r="G502" s="27" t="str">
        <f t="shared" ca="1" si="22"/>
        <v/>
      </c>
      <c r="H502" s="13"/>
      <c r="I502" s="29" t="str">
        <f t="shared" ca="1" si="23"/>
        <v/>
      </c>
    </row>
    <row r="503" spans="1:9" x14ac:dyDescent="0.35">
      <c r="A503" s="21"/>
      <c r="B503" s="13"/>
      <c r="C503" s="14"/>
      <c r="D503" s="14"/>
      <c r="E503" s="13"/>
      <c r="F503" s="7" t="str">
        <f t="shared" ca="1" si="21"/>
        <v/>
      </c>
      <c r="G503" s="27" t="str">
        <f t="shared" ca="1" si="22"/>
        <v/>
      </c>
      <c r="H503" s="13"/>
      <c r="I503" s="29" t="str">
        <f t="shared" ca="1" si="23"/>
        <v/>
      </c>
    </row>
    <row r="504" spans="1:9" x14ac:dyDescent="0.35">
      <c r="A504" s="21"/>
      <c r="B504" s="13"/>
      <c r="C504" s="14"/>
      <c r="D504" s="14"/>
      <c r="E504" s="13"/>
      <c r="F504" s="7" t="str">
        <f t="shared" ca="1" si="21"/>
        <v/>
      </c>
      <c r="G504" s="27" t="str">
        <f t="shared" ca="1" si="22"/>
        <v/>
      </c>
      <c r="H504" s="13"/>
      <c r="I504" s="29" t="str">
        <f t="shared" ca="1" si="23"/>
        <v/>
      </c>
    </row>
    <row r="505" spans="1:9" x14ac:dyDescent="0.35">
      <c r="A505" s="21"/>
      <c r="B505" s="13"/>
      <c r="C505" s="14"/>
      <c r="D505" s="14"/>
      <c r="E505" s="13"/>
      <c r="F505" s="7" t="str">
        <f t="shared" ca="1" si="21"/>
        <v/>
      </c>
      <c r="G505" s="27" t="str">
        <f t="shared" ca="1" si="22"/>
        <v/>
      </c>
      <c r="H505" s="13"/>
      <c r="I505" s="29" t="str">
        <f t="shared" ca="1" si="23"/>
        <v/>
      </c>
    </row>
    <row r="506" spans="1:9" x14ac:dyDescent="0.35">
      <c r="A506" s="21"/>
      <c r="B506" s="13"/>
      <c r="C506" s="14"/>
      <c r="D506" s="14"/>
      <c r="E506" s="13"/>
      <c r="F506" s="7" t="str">
        <f t="shared" ca="1" si="21"/>
        <v/>
      </c>
      <c r="G506" s="27" t="str">
        <f t="shared" ca="1" si="22"/>
        <v/>
      </c>
      <c r="H506" s="13"/>
      <c r="I506" s="29" t="str">
        <f t="shared" ca="1" si="23"/>
        <v/>
      </c>
    </row>
    <row r="507" spans="1:9" x14ac:dyDescent="0.35">
      <c r="A507" s="21"/>
      <c r="B507" s="13"/>
      <c r="C507" s="14"/>
      <c r="D507" s="14"/>
      <c r="E507" s="13"/>
      <c r="F507" s="7" t="str">
        <f t="shared" ca="1" si="21"/>
        <v/>
      </c>
      <c r="G507" s="27" t="str">
        <f t="shared" ca="1" si="22"/>
        <v/>
      </c>
      <c r="H507" s="13"/>
      <c r="I507" s="29" t="str">
        <f t="shared" ca="1" si="23"/>
        <v/>
      </c>
    </row>
    <row r="508" spans="1:9" x14ac:dyDescent="0.35">
      <c r="A508" s="21"/>
      <c r="B508" s="13"/>
      <c r="C508" s="14"/>
      <c r="D508" s="14"/>
      <c r="E508" s="13"/>
      <c r="F508" s="7" t="str">
        <f t="shared" ca="1" si="21"/>
        <v/>
      </c>
      <c r="G508" s="27" t="str">
        <f t="shared" ca="1" si="22"/>
        <v/>
      </c>
      <c r="H508" s="13"/>
      <c r="I508" s="29" t="str">
        <f t="shared" ca="1" si="23"/>
        <v/>
      </c>
    </row>
    <row r="509" spans="1:9" x14ac:dyDescent="0.35">
      <c r="A509" s="21"/>
      <c r="B509" s="13"/>
      <c r="C509" s="14"/>
      <c r="D509" s="14"/>
      <c r="E509" s="13"/>
      <c r="F509" s="7" t="str">
        <f t="shared" ca="1" si="21"/>
        <v/>
      </c>
      <c r="G509" s="27" t="str">
        <f t="shared" ca="1" si="22"/>
        <v/>
      </c>
      <c r="H509" s="13"/>
      <c r="I509" s="29" t="str">
        <f t="shared" ca="1" si="23"/>
        <v/>
      </c>
    </row>
    <row r="510" spans="1:9" x14ac:dyDescent="0.35">
      <c r="A510" s="21"/>
      <c r="B510" s="13"/>
      <c r="C510" s="14"/>
      <c r="D510" s="14"/>
      <c r="E510" s="13"/>
      <c r="F510" s="7" t="str">
        <f t="shared" ca="1" si="21"/>
        <v/>
      </c>
      <c r="G510" s="27" t="str">
        <f t="shared" ca="1" si="22"/>
        <v/>
      </c>
      <c r="H510" s="13"/>
      <c r="I510" s="29" t="str">
        <f t="shared" ca="1" si="23"/>
        <v/>
      </c>
    </row>
    <row r="511" spans="1:9" x14ac:dyDescent="0.35">
      <c r="A511" s="21"/>
      <c r="B511" s="13"/>
      <c r="C511" s="14"/>
      <c r="D511" s="14"/>
      <c r="E511" s="13"/>
      <c r="F511" s="7" t="str">
        <f t="shared" ca="1" si="21"/>
        <v/>
      </c>
      <c r="G511" s="27" t="str">
        <f t="shared" ca="1" si="22"/>
        <v/>
      </c>
      <c r="H511" s="13"/>
      <c r="I511" s="29" t="str">
        <f t="shared" ca="1" si="23"/>
        <v/>
      </c>
    </row>
    <row r="512" spans="1:9" x14ac:dyDescent="0.35">
      <c r="A512" s="21"/>
      <c r="B512" s="13"/>
      <c r="C512" s="14"/>
      <c r="D512" s="14"/>
      <c r="E512" s="13"/>
      <c r="F512" s="7" t="str">
        <f t="shared" ca="1" si="21"/>
        <v/>
      </c>
      <c r="G512" s="27" t="str">
        <f t="shared" ca="1" si="22"/>
        <v/>
      </c>
      <c r="H512" s="13"/>
      <c r="I512" s="29" t="str">
        <f t="shared" ca="1" si="23"/>
        <v/>
      </c>
    </row>
    <row r="513" spans="1:9" x14ac:dyDescent="0.35">
      <c r="A513" s="21"/>
      <c r="B513" s="13"/>
      <c r="C513" s="14"/>
      <c r="D513" s="14"/>
      <c r="E513" s="13"/>
      <c r="F513" s="7" t="str">
        <f t="shared" ca="1" si="21"/>
        <v/>
      </c>
      <c r="G513" s="27" t="str">
        <f t="shared" ca="1" si="22"/>
        <v/>
      </c>
      <c r="H513" s="13"/>
      <c r="I513" s="29" t="str">
        <f t="shared" ca="1" si="23"/>
        <v/>
      </c>
    </row>
    <row r="514" spans="1:9" x14ac:dyDescent="0.35">
      <c r="A514" s="21"/>
      <c r="B514" s="13"/>
      <c r="C514" s="14"/>
      <c r="D514" s="14"/>
      <c r="E514" s="13"/>
      <c r="F514" s="7" t="str">
        <f t="shared" ca="1" si="21"/>
        <v/>
      </c>
      <c r="G514" s="27" t="str">
        <f t="shared" ca="1" si="22"/>
        <v/>
      </c>
      <c r="H514" s="13"/>
      <c r="I514" s="29" t="str">
        <f t="shared" ca="1" si="23"/>
        <v/>
      </c>
    </row>
    <row r="515" spans="1:9" x14ac:dyDescent="0.35">
      <c r="A515" s="21"/>
      <c r="B515" s="13"/>
      <c r="C515" s="14"/>
      <c r="D515" s="14"/>
      <c r="E515" s="13"/>
      <c r="F515" s="7" t="str">
        <f t="shared" ca="1" si="21"/>
        <v/>
      </c>
      <c r="G515" s="27" t="str">
        <f t="shared" ca="1" si="22"/>
        <v/>
      </c>
      <c r="H515" s="13"/>
      <c r="I515" s="29" t="str">
        <f t="shared" ca="1" si="23"/>
        <v/>
      </c>
    </row>
    <row r="516" spans="1:9" x14ac:dyDescent="0.35">
      <c r="A516" s="21"/>
      <c r="B516" s="13"/>
      <c r="C516" s="14"/>
      <c r="D516" s="14"/>
      <c r="E516" s="13"/>
      <c r="F516" s="7" t="str">
        <f t="shared" ca="1" si="21"/>
        <v/>
      </c>
      <c r="G516" s="27" t="str">
        <f t="shared" ca="1" si="22"/>
        <v/>
      </c>
      <c r="H516" s="13"/>
      <c r="I516" s="29" t="str">
        <f t="shared" ca="1" si="23"/>
        <v/>
      </c>
    </row>
    <row r="517" spans="1:9" x14ac:dyDescent="0.35">
      <c r="A517" s="21"/>
      <c r="B517" s="13"/>
      <c r="C517" s="14"/>
      <c r="D517" s="14"/>
      <c r="E517" s="13"/>
      <c r="F517" s="7" t="str">
        <f t="shared" ref="F517:F580" ca="1" si="24">IF($B517="","",IF($D517&lt;&gt;"","Fait",IF($C517="","Non planifié",IF(N($C517)&lt;TODAY(),"En retard","À venir"))))</f>
        <v/>
      </c>
      <c r="G517" s="27" t="str">
        <f t="shared" ref="G517:G580" ca="1" si="25">IF($B517="","",IF(AND($C517&lt;&gt;"",$D517&lt;&gt;""),$D517-$C517,IF($F517="En retard",TODAY()-$C517,"")))</f>
        <v/>
      </c>
      <c r="H517" s="13"/>
      <c r="I517" s="29" t="str">
        <f t="shared" ref="I517:I580" ca="1" si="26">IF($F517="En retard",1,"")</f>
        <v/>
      </c>
    </row>
    <row r="518" spans="1:9" x14ac:dyDescent="0.35">
      <c r="A518" s="21"/>
      <c r="B518" s="13"/>
      <c r="C518" s="14"/>
      <c r="D518" s="14"/>
      <c r="E518" s="13"/>
      <c r="F518" s="7" t="str">
        <f t="shared" ca="1" si="24"/>
        <v/>
      </c>
      <c r="G518" s="27" t="str">
        <f t="shared" ca="1" si="25"/>
        <v/>
      </c>
      <c r="H518" s="13"/>
      <c r="I518" s="29" t="str">
        <f t="shared" ca="1" si="26"/>
        <v/>
      </c>
    </row>
    <row r="519" spans="1:9" x14ac:dyDescent="0.35">
      <c r="A519" s="21"/>
      <c r="B519" s="13"/>
      <c r="C519" s="14"/>
      <c r="D519" s="14"/>
      <c r="E519" s="13"/>
      <c r="F519" s="7" t="str">
        <f t="shared" ca="1" si="24"/>
        <v/>
      </c>
      <c r="G519" s="27" t="str">
        <f t="shared" ca="1" si="25"/>
        <v/>
      </c>
      <c r="H519" s="13"/>
      <c r="I519" s="29" t="str">
        <f t="shared" ca="1" si="26"/>
        <v/>
      </c>
    </row>
    <row r="520" spans="1:9" x14ac:dyDescent="0.35">
      <c r="A520" s="21"/>
      <c r="B520" s="13"/>
      <c r="C520" s="14"/>
      <c r="D520" s="14"/>
      <c r="E520" s="13"/>
      <c r="F520" s="7" t="str">
        <f t="shared" ca="1" si="24"/>
        <v/>
      </c>
      <c r="G520" s="27" t="str">
        <f t="shared" ca="1" si="25"/>
        <v/>
      </c>
      <c r="H520" s="13"/>
      <c r="I520" s="29" t="str">
        <f t="shared" ca="1" si="26"/>
        <v/>
      </c>
    </row>
    <row r="521" spans="1:9" x14ac:dyDescent="0.35">
      <c r="A521" s="21"/>
      <c r="B521" s="13"/>
      <c r="C521" s="14"/>
      <c r="D521" s="14"/>
      <c r="E521" s="13"/>
      <c r="F521" s="7" t="str">
        <f t="shared" ca="1" si="24"/>
        <v/>
      </c>
      <c r="G521" s="27" t="str">
        <f t="shared" ca="1" si="25"/>
        <v/>
      </c>
      <c r="H521" s="13"/>
      <c r="I521" s="29" t="str">
        <f t="shared" ca="1" si="26"/>
        <v/>
      </c>
    </row>
    <row r="522" spans="1:9" x14ac:dyDescent="0.35">
      <c r="A522" s="21"/>
      <c r="B522" s="13"/>
      <c r="C522" s="14"/>
      <c r="D522" s="14"/>
      <c r="E522" s="13"/>
      <c r="F522" s="7" t="str">
        <f t="shared" ca="1" si="24"/>
        <v/>
      </c>
      <c r="G522" s="27" t="str">
        <f t="shared" ca="1" si="25"/>
        <v/>
      </c>
      <c r="H522" s="13"/>
      <c r="I522" s="29" t="str">
        <f t="shared" ca="1" si="26"/>
        <v/>
      </c>
    </row>
    <row r="523" spans="1:9" x14ac:dyDescent="0.35">
      <c r="A523" s="21"/>
      <c r="B523" s="13"/>
      <c r="C523" s="14"/>
      <c r="D523" s="14"/>
      <c r="E523" s="13"/>
      <c r="F523" s="7" t="str">
        <f t="shared" ca="1" si="24"/>
        <v/>
      </c>
      <c r="G523" s="27" t="str">
        <f t="shared" ca="1" si="25"/>
        <v/>
      </c>
      <c r="H523" s="13"/>
      <c r="I523" s="29" t="str">
        <f t="shared" ca="1" si="26"/>
        <v/>
      </c>
    </row>
    <row r="524" spans="1:9" x14ac:dyDescent="0.35">
      <c r="A524" s="21"/>
      <c r="B524" s="13"/>
      <c r="C524" s="14"/>
      <c r="D524" s="14"/>
      <c r="E524" s="13"/>
      <c r="F524" s="7" t="str">
        <f t="shared" ca="1" si="24"/>
        <v/>
      </c>
      <c r="G524" s="27" t="str">
        <f t="shared" ca="1" si="25"/>
        <v/>
      </c>
      <c r="H524" s="13"/>
      <c r="I524" s="29" t="str">
        <f t="shared" ca="1" si="26"/>
        <v/>
      </c>
    </row>
    <row r="525" spans="1:9" x14ac:dyDescent="0.35">
      <c r="A525" s="21"/>
      <c r="B525" s="13"/>
      <c r="C525" s="14"/>
      <c r="D525" s="14"/>
      <c r="E525" s="13"/>
      <c r="F525" s="7" t="str">
        <f t="shared" ca="1" si="24"/>
        <v/>
      </c>
      <c r="G525" s="27" t="str">
        <f t="shared" ca="1" si="25"/>
        <v/>
      </c>
      <c r="H525" s="13"/>
      <c r="I525" s="29" t="str">
        <f t="shared" ca="1" si="26"/>
        <v/>
      </c>
    </row>
    <row r="526" spans="1:9" x14ac:dyDescent="0.35">
      <c r="A526" s="21"/>
      <c r="B526" s="13"/>
      <c r="C526" s="14"/>
      <c r="D526" s="14"/>
      <c r="E526" s="13"/>
      <c r="F526" s="7" t="str">
        <f t="shared" ca="1" si="24"/>
        <v/>
      </c>
      <c r="G526" s="27" t="str">
        <f t="shared" ca="1" si="25"/>
        <v/>
      </c>
      <c r="H526" s="13"/>
      <c r="I526" s="29" t="str">
        <f t="shared" ca="1" si="26"/>
        <v/>
      </c>
    </row>
    <row r="527" spans="1:9" x14ac:dyDescent="0.35">
      <c r="A527" s="21"/>
      <c r="B527" s="13"/>
      <c r="C527" s="14"/>
      <c r="D527" s="14"/>
      <c r="E527" s="13"/>
      <c r="F527" s="7" t="str">
        <f t="shared" ca="1" si="24"/>
        <v/>
      </c>
      <c r="G527" s="27" t="str">
        <f t="shared" ca="1" si="25"/>
        <v/>
      </c>
      <c r="H527" s="13"/>
      <c r="I527" s="29" t="str">
        <f t="shared" ca="1" si="26"/>
        <v/>
      </c>
    </row>
    <row r="528" spans="1:9" x14ac:dyDescent="0.35">
      <c r="A528" s="21"/>
      <c r="B528" s="13"/>
      <c r="C528" s="14"/>
      <c r="D528" s="14"/>
      <c r="E528" s="13"/>
      <c r="F528" s="7" t="str">
        <f t="shared" ca="1" si="24"/>
        <v/>
      </c>
      <c r="G528" s="27" t="str">
        <f t="shared" ca="1" si="25"/>
        <v/>
      </c>
      <c r="H528" s="13"/>
      <c r="I528" s="29" t="str">
        <f t="shared" ca="1" si="26"/>
        <v/>
      </c>
    </row>
    <row r="529" spans="1:9" x14ac:dyDescent="0.35">
      <c r="A529" s="21"/>
      <c r="B529" s="13"/>
      <c r="C529" s="14"/>
      <c r="D529" s="14"/>
      <c r="E529" s="13"/>
      <c r="F529" s="7" t="str">
        <f t="shared" ca="1" si="24"/>
        <v/>
      </c>
      <c r="G529" s="27" t="str">
        <f t="shared" ca="1" si="25"/>
        <v/>
      </c>
      <c r="H529" s="13"/>
      <c r="I529" s="29" t="str">
        <f t="shared" ca="1" si="26"/>
        <v/>
      </c>
    </row>
    <row r="530" spans="1:9" x14ac:dyDescent="0.35">
      <c r="A530" s="21"/>
      <c r="B530" s="13"/>
      <c r="C530" s="14"/>
      <c r="D530" s="14"/>
      <c r="E530" s="13"/>
      <c r="F530" s="7" t="str">
        <f t="shared" ca="1" si="24"/>
        <v/>
      </c>
      <c r="G530" s="27" t="str">
        <f t="shared" ca="1" si="25"/>
        <v/>
      </c>
      <c r="H530" s="13"/>
      <c r="I530" s="29" t="str">
        <f t="shared" ca="1" si="26"/>
        <v/>
      </c>
    </row>
    <row r="531" spans="1:9" x14ac:dyDescent="0.35">
      <c r="A531" s="21"/>
      <c r="B531" s="13"/>
      <c r="C531" s="14"/>
      <c r="D531" s="14"/>
      <c r="E531" s="13"/>
      <c r="F531" s="7" t="str">
        <f t="shared" ca="1" si="24"/>
        <v/>
      </c>
      <c r="G531" s="27" t="str">
        <f t="shared" ca="1" si="25"/>
        <v/>
      </c>
      <c r="H531" s="13"/>
      <c r="I531" s="29" t="str">
        <f t="shared" ca="1" si="26"/>
        <v/>
      </c>
    </row>
    <row r="532" spans="1:9" x14ac:dyDescent="0.35">
      <c r="A532" s="21"/>
      <c r="B532" s="13"/>
      <c r="C532" s="14"/>
      <c r="D532" s="14"/>
      <c r="E532" s="13"/>
      <c r="F532" s="7" t="str">
        <f t="shared" ca="1" si="24"/>
        <v/>
      </c>
      <c r="G532" s="27" t="str">
        <f t="shared" ca="1" si="25"/>
        <v/>
      </c>
      <c r="H532" s="13"/>
      <c r="I532" s="29" t="str">
        <f t="shared" ca="1" si="26"/>
        <v/>
      </c>
    </row>
    <row r="533" spans="1:9" x14ac:dyDescent="0.35">
      <c r="A533" s="21"/>
      <c r="B533" s="13"/>
      <c r="C533" s="14"/>
      <c r="D533" s="14"/>
      <c r="E533" s="13"/>
      <c r="F533" s="7" t="str">
        <f t="shared" ca="1" si="24"/>
        <v/>
      </c>
      <c r="G533" s="27" t="str">
        <f t="shared" ca="1" si="25"/>
        <v/>
      </c>
      <c r="H533" s="13"/>
      <c r="I533" s="29" t="str">
        <f t="shared" ca="1" si="26"/>
        <v/>
      </c>
    </row>
    <row r="534" spans="1:9" x14ac:dyDescent="0.35">
      <c r="A534" s="21"/>
      <c r="B534" s="13"/>
      <c r="C534" s="14"/>
      <c r="D534" s="14"/>
      <c r="E534" s="13"/>
      <c r="F534" s="7" t="str">
        <f t="shared" ca="1" si="24"/>
        <v/>
      </c>
      <c r="G534" s="27" t="str">
        <f t="shared" ca="1" si="25"/>
        <v/>
      </c>
      <c r="H534" s="13"/>
      <c r="I534" s="29" t="str">
        <f t="shared" ca="1" si="26"/>
        <v/>
      </c>
    </row>
    <row r="535" spans="1:9" x14ac:dyDescent="0.35">
      <c r="A535" s="21"/>
      <c r="B535" s="13"/>
      <c r="C535" s="14"/>
      <c r="D535" s="14"/>
      <c r="E535" s="13"/>
      <c r="F535" s="7" t="str">
        <f t="shared" ca="1" si="24"/>
        <v/>
      </c>
      <c r="G535" s="27" t="str">
        <f t="shared" ca="1" si="25"/>
        <v/>
      </c>
      <c r="H535" s="13"/>
      <c r="I535" s="29" t="str">
        <f t="shared" ca="1" si="26"/>
        <v/>
      </c>
    </row>
    <row r="536" spans="1:9" x14ac:dyDescent="0.35">
      <c r="A536" s="21"/>
      <c r="B536" s="13"/>
      <c r="C536" s="14"/>
      <c r="D536" s="14"/>
      <c r="E536" s="13"/>
      <c r="F536" s="7" t="str">
        <f t="shared" ca="1" si="24"/>
        <v/>
      </c>
      <c r="G536" s="27" t="str">
        <f t="shared" ca="1" si="25"/>
        <v/>
      </c>
      <c r="H536" s="13"/>
      <c r="I536" s="29" t="str">
        <f t="shared" ca="1" si="26"/>
        <v/>
      </c>
    </row>
    <row r="537" spans="1:9" x14ac:dyDescent="0.35">
      <c r="A537" s="21"/>
      <c r="B537" s="13"/>
      <c r="C537" s="14"/>
      <c r="D537" s="14"/>
      <c r="E537" s="13"/>
      <c r="F537" s="7" t="str">
        <f t="shared" ca="1" si="24"/>
        <v/>
      </c>
      <c r="G537" s="27" t="str">
        <f t="shared" ca="1" si="25"/>
        <v/>
      </c>
      <c r="H537" s="13"/>
      <c r="I537" s="29" t="str">
        <f t="shared" ca="1" si="26"/>
        <v/>
      </c>
    </row>
    <row r="538" spans="1:9" x14ac:dyDescent="0.35">
      <c r="A538" s="21"/>
      <c r="B538" s="13"/>
      <c r="C538" s="14"/>
      <c r="D538" s="14"/>
      <c r="E538" s="13"/>
      <c r="F538" s="7" t="str">
        <f t="shared" ca="1" si="24"/>
        <v/>
      </c>
      <c r="G538" s="27" t="str">
        <f t="shared" ca="1" si="25"/>
        <v/>
      </c>
      <c r="H538" s="13"/>
      <c r="I538" s="29" t="str">
        <f t="shared" ca="1" si="26"/>
        <v/>
      </c>
    </row>
    <row r="539" spans="1:9" x14ac:dyDescent="0.35">
      <c r="A539" s="21"/>
      <c r="B539" s="13"/>
      <c r="C539" s="14"/>
      <c r="D539" s="14"/>
      <c r="E539" s="13"/>
      <c r="F539" s="7" t="str">
        <f t="shared" ca="1" si="24"/>
        <v/>
      </c>
      <c r="G539" s="27" t="str">
        <f t="shared" ca="1" si="25"/>
        <v/>
      </c>
      <c r="H539" s="13"/>
      <c r="I539" s="29" t="str">
        <f t="shared" ca="1" si="26"/>
        <v/>
      </c>
    </row>
    <row r="540" spans="1:9" x14ac:dyDescent="0.35">
      <c r="A540" s="21"/>
      <c r="B540" s="13"/>
      <c r="C540" s="14"/>
      <c r="D540" s="14"/>
      <c r="E540" s="13"/>
      <c r="F540" s="7" t="str">
        <f t="shared" ca="1" si="24"/>
        <v/>
      </c>
      <c r="G540" s="27" t="str">
        <f t="shared" ca="1" si="25"/>
        <v/>
      </c>
      <c r="H540" s="13"/>
      <c r="I540" s="29" t="str">
        <f t="shared" ca="1" si="26"/>
        <v/>
      </c>
    </row>
    <row r="541" spans="1:9" x14ac:dyDescent="0.35">
      <c r="A541" s="21"/>
      <c r="B541" s="13"/>
      <c r="C541" s="14"/>
      <c r="D541" s="14"/>
      <c r="E541" s="13"/>
      <c r="F541" s="7" t="str">
        <f t="shared" ca="1" si="24"/>
        <v/>
      </c>
      <c r="G541" s="27" t="str">
        <f t="shared" ca="1" si="25"/>
        <v/>
      </c>
      <c r="H541" s="13"/>
      <c r="I541" s="29" t="str">
        <f t="shared" ca="1" si="26"/>
        <v/>
      </c>
    </row>
    <row r="542" spans="1:9" x14ac:dyDescent="0.35">
      <c r="A542" s="21"/>
      <c r="B542" s="13"/>
      <c r="C542" s="14"/>
      <c r="D542" s="14"/>
      <c r="E542" s="13"/>
      <c r="F542" s="7" t="str">
        <f t="shared" ca="1" si="24"/>
        <v/>
      </c>
      <c r="G542" s="27" t="str">
        <f t="shared" ca="1" si="25"/>
        <v/>
      </c>
      <c r="H542" s="13"/>
      <c r="I542" s="29" t="str">
        <f t="shared" ca="1" si="26"/>
        <v/>
      </c>
    </row>
    <row r="543" spans="1:9" x14ac:dyDescent="0.35">
      <c r="A543" s="21"/>
      <c r="B543" s="13"/>
      <c r="C543" s="14"/>
      <c r="D543" s="14"/>
      <c r="E543" s="13"/>
      <c r="F543" s="7" t="str">
        <f t="shared" ca="1" si="24"/>
        <v/>
      </c>
      <c r="G543" s="27" t="str">
        <f t="shared" ca="1" si="25"/>
        <v/>
      </c>
      <c r="H543" s="13"/>
      <c r="I543" s="29" t="str">
        <f t="shared" ca="1" si="26"/>
        <v/>
      </c>
    </row>
    <row r="544" spans="1:9" x14ac:dyDescent="0.35">
      <c r="A544" s="21"/>
      <c r="B544" s="13"/>
      <c r="C544" s="14"/>
      <c r="D544" s="14"/>
      <c r="E544" s="13"/>
      <c r="F544" s="7" t="str">
        <f t="shared" ca="1" si="24"/>
        <v/>
      </c>
      <c r="G544" s="27" t="str">
        <f t="shared" ca="1" si="25"/>
        <v/>
      </c>
      <c r="H544" s="13"/>
      <c r="I544" s="29" t="str">
        <f t="shared" ca="1" si="26"/>
        <v/>
      </c>
    </row>
    <row r="545" spans="1:9" x14ac:dyDescent="0.35">
      <c r="A545" s="21"/>
      <c r="B545" s="13"/>
      <c r="C545" s="14"/>
      <c r="D545" s="14"/>
      <c r="E545" s="13"/>
      <c r="F545" s="7" t="str">
        <f t="shared" ca="1" si="24"/>
        <v/>
      </c>
      <c r="G545" s="27" t="str">
        <f t="shared" ca="1" si="25"/>
        <v/>
      </c>
      <c r="H545" s="13"/>
      <c r="I545" s="29" t="str">
        <f t="shared" ca="1" si="26"/>
        <v/>
      </c>
    </row>
    <row r="546" spans="1:9" x14ac:dyDescent="0.35">
      <c r="A546" s="21"/>
      <c r="B546" s="13"/>
      <c r="C546" s="14"/>
      <c r="D546" s="14"/>
      <c r="E546" s="13"/>
      <c r="F546" s="7" t="str">
        <f t="shared" ca="1" si="24"/>
        <v/>
      </c>
      <c r="G546" s="27" t="str">
        <f t="shared" ca="1" si="25"/>
        <v/>
      </c>
      <c r="H546" s="13"/>
      <c r="I546" s="29" t="str">
        <f t="shared" ca="1" si="26"/>
        <v/>
      </c>
    </row>
    <row r="547" spans="1:9" x14ac:dyDescent="0.35">
      <c r="A547" s="21"/>
      <c r="B547" s="13"/>
      <c r="C547" s="14"/>
      <c r="D547" s="14"/>
      <c r="E547" s="13"/>
      <c r="F547" s="7" t="str">
        <f t="shared" ca="1" si="24"/>
        <v/>
      </c>
      <c r="G547" s="27" t="str">
        <f t="shared" ca="1" si="25"/>
        <v/>
      </c>
      <c r="H547" s="13"/>
      <c r="I547" s="29" t="str">
        <f t="shared" ca="1" si="26"/>
        <v/>
      </c>
    </row>
    <row r="548" spans="1:9" x14ac:dyDescent="0.35">
      <c r="A548" s="21"/>
      <c r="B548" s="13"/>
      <c r="C548" s="14"/>
      <c r="D548" s="14"/>
      <c r="E548" s="13"/>
      <c r="F548" s="7" t="str">
        <f t="shared" ca="1" si="24"/>
        <v/>
      </c>
      <c r="G548" s="27" t="str">
        <f t="shared" ca="1" si="25"/>
        <v/>
      </c>
      <c r="H548" s="13"/>
      <c r="I548" s="29" t="str">
        <f t="shared" ca="1" si="26"/>
        <v/>
      </c>
    </row>
    <row r="549" spans="1:9" x14ac:dyDescent="0.35">
      <c r="A549" s="21"/>
      <c r="B549" s="13"/>
      <c r="C549" s="14"/>
      <c r="D549" s="14"/>
      <c r="E549" s="13"/>
      <c r="F549" s="7" t="str">
        <f t="shared" ca="1" si="24"/>
        <v/>
      </c>
      <c r="G549" s="27" t="str">
        <f t="shared" ca="1" si="25"/>
        <v/>
      </c>
      <c r="H549" s="13"/>
      <c r="I549" s="29" t="str">
        <f t="shared" ca="1" si="26"/>
        <v/>
      </c>
    </row>
    <row r="550" spans="1:9" x14ac:dyDescent="0.35">
      <c r="A550" s="21"/>
      <c r="B550" s="13"/>
      <c r="C550" s="14"/>
      <c r="D550" s="14"/>
      <c r="E550" s="13"/>
      <c r="F550" s="7" t="str">
        <f t="shared" ca="1" si="24"/>
        <v/>
      </c>
      <c r="G550" s="27" t="str">
        <f t="shared" ca="1" si="25"/>
        <v/>
      </c>
      <c r="H550" s="13"/>
      <c r="I550" s="29" t="str">
        <f t="shared" ca="1" si="26"/>
        <v/>
      </c>
    </row>
    <row r="551" spans="1:9" x14ac:dyDescent="0.35">
      <c r="A551" s="21"/>
      <c r="B551" s="13"/>
      <c r="C551" s="14"/>
      <c r="D551" s="14"/>
      <c r="E551" s="13"/>
      <c r="F551" s="7" t="str">
        <f t="shared" ca="1" si="24"/>
        <v/>
      </c>
      <c r="G551" s="27" t="str">
        <f t="shared" ca="1" si="25"/>
        <v/>
      </c>
      <c r="H551" s="13"/>
      <c r="I551" s="29" t="str">
        <f t="shared" ca="1" si="26"/>
        <v/>
      </c>
    </row>
    <row r="552" spans="1:9" x14ac:dyDescent="0.35">
      <c r="A552" s="21"/>
      <c r="B552" s="13"/>
      <c r="C552" s="14"/>
      <c r="D552" s="14"/>
      <c r="E552" s="13"/>
      <c r="F552" s="7" t="str">
        <f t="shared" ca="1" si="24"/>
        <v/>
      </c>
      <c r="G552" s="27" t="str">
        <f t="shared" ca="1" si="25"/>
        <v/>
      </c>
      <c r="H552" s="13"/>
      <c r="I552" s="29" t="str">
        <f t="shared" ca="1" si="26"/>
        <v/>
      </c>
    </row>
    <row r="553" spans="1:9" x14ac:dyDescent="0.35">
      <c r="A553" s="21"/>
      <c r="B553" s="13"/>
      <c r="C553" s="14"/>
      <c r="D553" s="14"/>
      <c r="E553" s="13"/>
      <c r="F553" s="7" t="str">
        <f t="shared" ca="1" si="24"/>
        <v/>
      </c>
      <c r="G553" s="27" t="str">
        <f t="shared" ca="1" si="25"/>
        <v/>
      </c>
      <c r="H553" s="13"/>
      <c r="I553" s="29" t="str">
        <f t="shared" ca="1" si="26"/>
        <v/>
      </c>
    </row>
    <row r="554" spans="1:9" x14ac:dyDescent="0.35">
      <c r="A554" s="21"/>
      <c r="B554" s="13"/>
      <c r="C554" s="14"/>
      <c r="D554" s="14"/>
      <c r="E554" s="13"/>
      <c r="F554" s="7" t="str">
        <f t="shared" ca="1" si="24"/>
        <v/>
      </c>
      <c r="G554" s="27" t="str">
        <f t="shared" ca="1" si="25"/>
        <v/>
      </c>
      <c r="H554" s="13"/>
      <c r="I554" s="29" t="str">
        <f t="shared" ca="1" si="26"/>
        <v/>
      </c>
    </row>
    <row r="555" spans="1:9" x14ac:dyDescent="0.35">
      <c r="A555" s="21"/>
      <c r="B555" s="13"/>
      <c r="C555" s="14"/>
      <c r="D555" s="14"/>
      <c r="E555" s="13"/>
      <c r="F555" s="7" t="str">
        <f t="shared" ca="1" si="24"/>
        <v/>
      </c>
      <c r="G555" s="27" t="str">
        <f t="shared" ca="1" si="25"/>
        <v/>
      </c>
      <c r="H555" s="13"/>
      <c r="I555" s="29" t="str">
        <f t="shared" ca="1" si="26"/>
        <v/>
      </c>
    </row>
    <row r="556" spans="1:9" x14ac:dyDescent="0.35">
      <c r="A556" s="21"/>
      <c r="B556" s="13"/>
      <c r="C556" s="14"/>
      <c r="D556" s="14"/>
      <c r="E556" s="13"/>
      <c r="F556" s="7" t="str">
        <f t="shared" ca="1" si="24"/>
        <v/>
      </c>
      <c r="G556" s="27" t="str">
        <f t="shared" ca="1" si="25"/>
        <v/>
      </c>
      <c r="H556" s="13"/>
      <c r="I556" s="29" t="str">
        <f t="shared" ca="1" si="26"/>
        <v/>
      </c>
    </row>
    <row r="557" spans="1:9" x14ac:dyDescent="0.35">
      <c r="A557" s="21"/>
      <c r="B557" s="13"/>
      <c r="C557" s="14"/>
      <c r="D557" s="14"/>
      <c r="E557" s="13"/>
      <c r="F557" s="7" t="str">
        <f t="shared" ca="1" si="24"/>
        <v/>
      </c>
      <c r="G557" s="27" t="str">
        <f t="shared" ca="1" si="25"/>
        <v/>
      </c>
      <c r="H557" s="13"/>
      <c r="I557" s="29" t="str">
        <f t="shared" ca="1" si="26"/>
        <v/>
      </c>
    </row>
    <row r="558" spans="1:9" x14ac:dyDescent="0.35">
      <c r="A558" s="21"/>
      <c r="B558" s="13"/>
      <c r="C558" s="14"/>
      <c r="D558" s="14"/>
      <c r="E558" s="13"/>
      <c r="F558" s="7" t="str">
        <f t="shared" ca="1" si="24"/>
        <v/>
      </c>
      <c r="G558" s="27" t="str">
        <f t="shared" ca="1" si="25"/>
        <v/>
      </c>
      <c r="H558" s="13"/>
      <c r="I558" s="29" t="str">
        <f t="shared" ca="1" si="26"/>
        <v/>
      </c>
    </row>
    <row r="559" spans="1:9" x14ac:dyDescent="0.35">
      <c r="A559" s="21"/>
      <c r="B559" s="13"/>
      <c r="C559" s="14"/>
      <c r="D559" s="14"/>
      <c r="E559" s="13"/>
      <c r="F559" s="7" t="str">
        <f t="shared" ca="1" si="24"/>
        <v/>
      </c>
      <c r="G559" s="27" t="str">
        <f t="shared" ca="1" si="25"/>
        <v/>
      </c>
      <c r="H559" s="13"/>
      <c r="I559" s="29" t="str">
        <f t="shared" ca="1" si="26"/>
        <v/>
      </c>
    </row>
    <row r="560" spans="1:9" x14ac:dyDescent="0.35">
      <c r="A560" s="21"/>
      <c r="B560" s="13"/>
      <c r="C560" s="14"/>
      <c r="D560" s="14"/>
      <c r="E560" s="13"/>
      <c r="F560" s="7" t="str">
        <f t="shared" ca="1" si="24"/>
        <v/>
      </c>
      <c r="G560" s="27" t="str">
        <f t="shared" ca="1" si="25"/>
        <v/>
      </c>
      <c r="H560" s="13"/>
      <c r="I560" s="29" t="str">
        <f t="shared" ca="1" si="26"/>
        <v/>
      </c>
    </row>
    <row r="561" spans="1:9" x14ac:dyDescent="0.35">
      <c r="A561" s="21"/>
      <c r="B561" s="13"/>
      <c r="C561" s="14"/>
      <c r="D561" s="14"/>
      <c r="E561" s="13"/>
      <c r="F561" s="7" t="str">
        <f t="shared" ca="1" si="24"/>
        <v/>
      </c>
      <c r="G561" s="27" t="str">
        <f t="shared" ca="1" si="25"/>
        <v/>
      </c>
      <c r="H561" s="13"/>
      <c r="I561" s="29" t="str">
        <f t="shared" ca="1" si="26"/>
        <v/>
      </c>
    </row>
    <row r="562" spans="1:9" x14ac:dyDescent="0.35">
      <c r="A562" s="21"/>
      <c r="B562" s="13"/>
      <c r="C562" s="14"/>
      <c r="D562" s="14"/>
      <c r="E562" s="13"/>
      <c r="F562" s="7" t="str">
        <f t="shared" ca="1" si="24"/>
        <v/>
      </c>
      <c r="G562" s="27" t="str">
        <f t="shared" ca="1" si="25"/>
        <v/>
      </c>
      <c r="H562" s="13"/>
      <c r="I562" s="29" t="str">
        <f t="shared" ca="1" si="26"/>
        <v/>
      </c>
    </row>
    <row r="563" spans="1:9" x14ac:dyDescent="0.35">
      <c r="A563" s="21"/>
      <c r="B563" s="13"/>
      <c r="C563" s="14"/>
      <c r="D563" s="14"/>
      <c r="E563" s="13"/>
      <c r="F563" s="7" t="str">
        <f t="shared" ca="1" si="24"/>
        <v/>
      </c>
      <c r="G563" s="27" t="str">
        <f t="shared" ca="1" si="25"/>
        <v/>
      </c>
      <c r="H563" s="13"/>
      <c r="I563" s="29" t="str">
        <f t="shared" ca="1" si="26"/>
        <v/>
      </c>
    </row>
    <row r="564" spans="1:9" x14ac:dyDescent="0.35">
      <c r="A564" s="21"/>
      <c r="B564" s="13"/>
      <c r="C564" s="14"/>
      <c r="D564" s="14"/>
      <c r="E564" s="13"/>
      <c r="F564" s="7" t="str">
        <f t="shared" ca="1" si="24"/>
        <v/>
      </c>
      <c r="G564" s="27" t="str">
        <f t="shared" ca="1" si="25"/>
        <v/>
      </c>
      <c r="H564" s="13"/>
      <c r="I564" s="29" t="str">
        <f t="shared" ca="1" si="26"/>
        <v/>
      </c>
    </row>
    <row r="565" spans="1:9" x14ac:dyDescent="0.35">
      <c r="A565" s="21"/>
      <c r="B565" s="13"/>
      <c r="C565" s="14"/>
      <c r="D565" s="14"/>
      <c r="E565" s="13"/>
      <c r="F565" s="7" t="str">
        <f t="shared" ca="1" si="24"/>
        <v/>
      </c>
      <c r="G565" s="27" t="str">
        <f t="shared" ca="1" si="25"/>
        <v/>
      </c>
      <c r="H565" s="13"/>
      <c r="I565" s="29" t="str">
        <f t="shared" ca="1" si="26"/>
        <v/>
      </c>
    </row>
    <row r="566" spans="1:9" x14ac:dyDescent="0.35">
      <c r="A566" s="21"/>
      <c r="B566" s="13"/>
      <c r="C566" s="14"/>
      <c r="D566" s="14"/>
      <c r="E566" s="13"/>
      <c r="F566" s="7" t="str">
        <f t="shared" ca="1" si="24"/>
        <v/>
      </c>
      <c r="G566" s="27" t="str">
        <f t="shared" ca="1" si="25"/>
        <v/>
      </c>
      <c r="H566" s="13"/>
      <c r="I566" s="29" t="str">
        <f t="shared" ca="1" si="26"/>
        <v/>
      </c>
    </row>
    <row r="567" spans="1:9" x14ac:dyDescent="0.35">
      <c r="A567" s="21"/>
      <c r="B567" s="13"/>
      <c r="C567" s="14"/>
      <c r="D567" s="14"/>
      <c r="E567" s="13"/>
      <c r="F567" s="7" t="str">
        <f t="shared" ca="1" si="24"/>
        <v/>
      </c>
      <c r="G567" s="27" t="str">
        <f t="shared" ca="1" si="25"/>
        <v/>
      </c>
      <c r="H567" s="13"/>
      <c r="I567" s="29" t="str">
        <f t="shared" ca="1" si="26"/>
        <v/>
      </c>
    </row>
    <row r="568" spans="1:9" x14ac:dyDescent="0.35">
      <c r="A568" s="21"/>
      <c r="B568" s="13"/>
      <c r="C568" s="14"/>
      <c r="D568" s="14"/>
      <c r="E568" s="13"/>
      <c r="F568" s="7" t="str">
        <f t="shared" ca="1" si="24"/>
        <v/>
      </c>
      <c r="G568" s="27" t="str">
        <f t="shared" ca="1" si="25"/>
        <v/>
      </c>
      <c r="H568" s="13"/>
      <c r="I568" s="29" t="str">
        <f t="shared" ca="1" si="26"/>
        <v/>
      </c>
    </row>
    <row r="569" spans="1:9" x14ac:dyDescent="0.35">
      <c r="A569" s="21"/>
      <c r="B569" s="13"/>
      <c r="C569" s="14"/>
      <c r="D569" s="14"/>
      <c r="E569" s="13"/>
      <c r="F569" s="7" t="str">
        <f t="shared" ca="1" si="24"/>
        <v/>
      </c>
      <c r="G569" s="27" t="str">
        <f t="shared" ca="1" si="25"/>
        <v/>
      </c>
      <c r="H569" s="13"/>
      <c r="I569" s="29" t="str">
        <f t="shared" ca="1" si="26"/>
        <v/>
      </c>
    </row>
    <row r="570" spans="1:9" x14ac:dyDescent="0.35">
      <c r="A570" s="21"/>
      <c r="B570" s="13"/>
      <c r="C570" s="14"/>
      <c r="D570" s="14"/>
      <c r="E570" s="13"/>
      <c r="F570" s="7" t="str">
        <f t="shared" ca="1" si="24"/>
        <v/>
      </c>
      <c r="G570" s="27" t="str">
        <f t="shared" ca="1" si="25"/>
        <v/>
      </c>
      <c r="H570" s="13"/>
      <c r="I570" s="29" t="str">
        <f t="shared" ca="1" si="26"/>
        <v/>
      </c>
    </row>
    <row r="571" spans="1:9" x14ac:dyDescent="0.35">
      <c r="A571" s="21"/>
      <c r="B571" s="13"/>
      <c r="C571" s="14"/>
      <c r="D571" s="14"/>
      <c r="E571" s="13"/>
      <c r="F571" s="7" t="str">
        <f t="shared" ca="1" si="24"/>
        <v/>
      </c>
      <c r="G571" s="27" t="str">
        <f t="shared" ca="1" si="25"/>
        <v/>
      </c>
      <c r="H571" s="13"/>
      <c r="I571" s="29" t="str">
        <f t="shared" ca="1" si="26"/>
        <v/>
      </c>
    </row>
    <row r="572" spans="1:9" x14ac:dyDescent="0.35">
      <c r="A572" s="21"/>
      <c r="B572" s="13"/>
      <c r="C572" s="14"/>
      <c r="D572" s="14"/>
      <c r="E572" s="13"/>
      <c r="F572" s="7" t="str">
        <f t="shared" ca="1" si="24"/>
        <v/>
      </c>
      <c r="G572" s="27" t="str">
        <f t="shared" ca="1" si="25"/>
        <v/>
      </c>
      <c r="H572" s="13"/>
      <c r="I572" s="29" t="str">
        <f t="shared" ca="1" si="26"/>
        <v/>
      </c>
    </row>
    <row r="573" spans="1:9" x14ac:dyDescent="0.35">
      <c r="A573" s="21"/>
      <c r="B573" s="13"/>
      <c r="C573" s="14"/>
      <c r="D573" s="14"/>
      <c r="E573" s="13"/>
      <c r="F573" s="7" t="str">
        <f t="shared" ca="1" si="24"/>
        <v/>
      </c>
      <c r="G573" s="27" t="str">
        <f t="shared" ca="1" si="25"/>
        <v/>
      </c>
      <c r="H573" s="13"/>
      <c r="I573" s="29" t="str">
        <f t="shared" ca="1" si="26"/>
        <v/>
      </c>
    </row>
    <row r="574" spans="1:9" x14ac:dyDescent="0.35">
      <c r="A574" s="21"/>
      <c r="B574" s="13"/>
      <c r="C574" s="14"/>
      <c r="D574" s="14"/>
      <c r="E574" s="13"/>
      <c r="F574" s="7" t="str">
        <f t="shared" ca="1" si="24"/>
        <v/>
      </c>
      <c r="G574" s="27" t="str">
        <f t="shared" ca="1" si="25"/>
        <v/>
      </c>
      <c r="H574" s="13"/>
      <c r="I574" s="29" t="str">
        <f t="shared" ca="1" si="26"/>
        <v/>
      </c>
    </row>
    <row r="575" spans="1:9" x14ac:dyDescent="0.35">
      <c r="A575" s="21"/>
      <c r="B575" s="13"/>
      <c r="C575" s="14"/>
      <c r="D575" s="14"/>
      <c r="E575" s="13"/>
      <c r="F575" s="7" t="str">
        <f t="shared" ca="1" si="24"/>
        <v/>
      </c>
      <c r="G575" s="27" t="str">
        <f t="shared" ca="1" si="25"/>
        <v/>
      </c>
      <c r="H575" s="13"/>
      <c r="I575" s="29" t="str">
        <f t="shared" ca="1" si="26"/>
        <v/>
      </c>
    </row>
    <row r="576" spans="1:9" x14ac:dyDescent="0.35">
      <c r="A576" s="21"/>
      <c r="B576" s="13"/>
      <c r="C576" s="14"/>
      <c r="D576" s="14"/>
      <c r="E576" s="13"/>
      <c r="F576" s="7" t="str">
        <f t="shared" ca="1" si="24"/>
        <v/>
      </c>
      <c r="G576" s="27" t="str">
        <f t="shared" ca="1" si="25"/>
        <v/>
      </c>
      <c r="H576" s="13"/>
      <c r="I576" s="29" t="str">
        <f t="shared" ca="1" si="26"/>
        <v/>
      </c>
    </row>
    <row r="577" spans="1:9" x14ac:dyDescent="0.35">
      <c r="A577" s="21"/>
      <c r="B577" s="13"/>
      <c r="C577" s="14"/>
      <c r="D577" s="14"/>
      <c r="E577" s="13"/>
      <c r="F577" s="7" t="str">
        <f t="shared" ca="1" si="24"/>
        <v/>
      </c>
      <c r="G577" s="27" t="str">
        <f t="shared" ca="1" si="25"/>
        <v/>
      </c>
      <c r="H577" s="13"/>
      <c r="I577" s="29" t="str">
        <f t="shared" ca="1" si="26"/>
        <v/>
      </c>
    </row>
    <row r="578" spans="1:9" x14ac:dyDescent="0.35">
      <c r="A578" s="21"/>
      <c r="B578" s="13"/>
      <c r="C578" s="14"/>
      <c r="D578" s="14"/>
      <c r="E578" s="13"/>
      <c r="F578" s="7" t="str">
        <f t="shared" ca="1" si="24"/>
        <v/>
      </c>
      <c r="G578" s="27" t="str">
        <f t="shared" ca="1" si="25"/>
        <v/>
      </c>
      <c r="H578" s="13"/>
      <c r="I578" s="29" t="str">
        <f t="shared" ca="1" si="26"/>
        <v/>
      </c>
    </row>
    <row r="579" spans="1:9" x14ac:dyDescent="0.35">
      <c r="A579" s="21"/>
      <c r="B579" s="13"/>
      <c r="C579" s="14"/>
      <c r="D579" s="14"/>
      <c r="E579" s="13"/>
      <c r="F579" s="7" t="str">
        <f t="shared" ca="1" si="24"/>
        <v/>
      </c>
      <c r="G579" s="27" t="str">
        <f t="shared" ca="1" si="25"/>
        <v/>
      </c>
      <c r="H579" s="13"/>
      <c r="I579" s="29" t="str">
        <f t="shared" ca="1" si="26"/>
        <v/>
      </c>
    </row>
    <row r="580" spans="1:9" x14ac:dyDescent="0.35">
      <c r="A580" s="21"/>
      <c r="B580" s="13"/>
      <c r="C580" s="14"/>
      <c r="D580" s="14"/>
      <c r="E580" s="13"/>
      <c r="F580" s="7" t="str">
        <f t="shared" ca="1" si="24"/>
        <v/>
      </c>
      <c r="G580" s="27" t="str">
        <f t="shared" ca="1" si="25"/>
        <v/>
      </c>
      <c r="H580" s="13"/>
      <c r="I580" s="29" t="str">
        <f t="shared" ca="1" si="26"/>
        <v/>
      </c>
    </row>
    <row r="581" spans="1:9" x14ac:dyDescent="0.35">
      <c r="A581" s="21"/>
      <c r="B581" s="13"/>
      <c r="C581" s="14"/>
      <c r="D581" s="14"/>
      <c r="E581" s="13"/>
      <c r="F581" s="7" t="str">
        <f t="shared" ref="F581:F644" ca="1" si="27">IF($B581="","",IF($D581&lt;&gt;"","Fait",IF($C581="","Non planifié",IF(N($C581)&lt;TODAY(),"En retard","À venir"))))</f>
        <v/>
      </c>
      <c r="G581" s="27" t="str">
        <f t="shared" ref="G581:G644" ca="1" si="28">IF($B581="","",IF(AND($C581&lt;&gt;"",$D581&lt;&gt;""),$D581-$C581,IF($F581="En retard",TODAY()-$C581,"")))</f>
        <v/>
      </c>
      <c r="H581" s="13"/>
      <c r="I581" s="29" t="str">
        <f t="shared" ref="I581:I644" ca="1" si="29">IF($F581="En retard",1,"")</f>
        <v/>
      </c>
    </row>
    <row r="582" spans="1:9" x14ac:dyDescent="0.35">
      <c r="A582" s="21"/>
      <c r="B582" s="13"/>
      <c r="C582" s="14"/>
      <c r="D582" s="14"/>
      <c r="E582" s="13"/>
      <c r="F582" s="7" t="str">
        <f t="shared" ca="1" si="27"/>
        <v/>
      </c>
      <c r="G582" s="27" t="str">
        <f t="shared" ca="1" si="28"/>
        <v/>
      </c>
      <c r="H582" s="13"/>
      <c r="I582" s="29" t="str">
        <f t="shared" ca="1" si="29"/>
        <v/>
      </c>
    </row>
    <row r="583" spans="1:9" x14ac:dyDescent="0.35">
      <c r="A583" s="21"/>
      <c r="B583" s="13"/>
      <c r="C583" s="14"/>
      <c r="D583" s="14"/>
      <c r="E583" s="13"/>
      <c r="F583" s="7" t="str">
        <f t="shared" ca="1" si="27"/>
        <v/>
      </c>
      <c r="G583" s="27" t="str">
        <f t="shared" ca="1" si="28"/>
        <v/>
      </c>
      <c r="H583" s="13"/>
      <c r="I583" s="29" t="str">
        <f t="shared" ca="1" si="29"/>
        <v/>
      </c>
    </row>
    <row r="584" spans="1:9" x14ac:dyDescent="0.35">
      <c r="A584" s="21"/>
      <c r="B584" s="13"/>
      <c r="C584" s="14"/>
      <c r="D584" s="14"/>
      <c r="E584" s="13"/>
      <c r="F584" s="7" t="str">
        <f t="shared" ca="1" si="27"/>
        <v/>
      </c>
      <c r="G584" s="27" t="str">
        <f t="shared" ca="1" si="28"/>
        <v/>
      </c>
      <c r="H584" s="13"/>
      <c r="I584" s="29" t="str">
        <f t="shared" ca="1" si="29"/>
        <v/>
      </c>
    </row>
    <row r="585" spans="1:9" x14ac:dyDescent="0.35">
      <c r="A585" s="21"/>
      <c r="B585" s="13"/>
      <c r="C585" s="14"/>
      <c r="D585" s="14"/>
      <c r="E585" s="13"/>
      <c r="F585" s="7" t="str">
        <f t="shared" ca="1" si="27"/>
        <v/>
      </c>
      <c r="G585" s="27" t="str">
        <f t="shared" ca="1" si="28"/>
        <v/>
      </c>
      <c r="H585" s="13"/>
      <c r="I585" s="29" t="str">
        <f t="shared" ca="1" si="29"/>
        <v/>
      </c>
    </row>
    <row r="586" spans="1:9" x14ac:dyDescent="0.35">
      <c r="A586" s="21"/>
      <c r="B586" s="13"/>
      <c r="C586" s="14"/>
      <c r="D586" s="14"/>
      <c r="E586" s="13"/>
      <c r="F586" s="7" t="str">
        <f t="shared" ca="1" si="27"/>
        <v/>
      </c>
      <c r="G586" s="27" t="str">
        <f t="shared" ca="1" si="28"/>
        <v/>
      </c>
      <c r="H586" s="13"/>
      <c r="I586" s="29" t="str">
        <f t="shared" ca="1" si="29"/>
        <v/>
      </c>
    </row>
    <row r="587" spans="1:9" x14ac:dyDescent="0.35">
      <c r="A587" s="21"/>
      <c r="B587" s="13"/>
      <c r="C587" s="14"/>
      <c r="D587" s="14"/>
      <c r="E587" s="13"/>
      <c r="F587" s="7" t="str">
        <f t="shared" ca="1" si="27"/>
        <v/>
      </c>
      <c r="G587" s="27" t="str">
        <f t="shared" ca="1" si="28"/>
        <v/>
      </c>
      <c r="H587" s="13"/>
      <c r="I587" s="29" t="str">
        <f t="shared" ca="1" si="29"/>
        <v/>
      </c>
    </row>
    <row r="588" spans="1:9" x14ac:dyDescent="0.35">
      <c r="A588" s="21"/>
      <c r="B588" s="13"/>
      <c r="C588" s="14"/>
      <c r="D588" s="14"/>
      <c r="E588" s="13"/>
      <c r="F588" s="7" t="str">
        <f t="shared" ca="1" si="27"/>
        <v/>
      </c>
      <c r="G588" s="27" t="str">
        <f t="shared" ca="1" si="28"/>
        <v/>
      </c>
      <c r="H588" s="13"/>
      <c r="I588" s="29" t="str">
        <f t="shared" ca="1" si="29"/>
        <v/>
      </c>
    </row>
    <row r="589" spans="1:9" x14ac:dyDescent="0.35">
      <c r="A589" s="21"/>
      <c r="B589" s="13"/>
      <c r="C589" s="14"/>
      <c r="D589" s="14"/>
      <c r="E589" s="13"/>
      <c r="F589" s="7" t="str">
        <f t="shared" ca="1" si="27"/>
        <v/>
      </c>
      <c r="G589" s="27" t="str">
        <f t="shared" ca="1" si="28"/>
        <v/>
      </c>
      <c r="H589" s="13"/>
      <c r="I589" s="29" t="str">
        <f t="shared" ca="1" si="29"/>
        <v/>
      </c>
    </row>
    <row r="590" spans="1:9" x14ac:dyDescent="0.35">
      <c r="A590" s="21"/>
      <c r="B590" s="13"/>
      <c r="C590" s="14"/>
      <c r="D590" s="14"/>
      <c r="E590" s="13"/>
      <c r="F590" s="7" t="str">
        <f t="shared" ca="1" si="27"/>
        <v/>
      </c>
      <c r="G590" s="27" t="str">
        <f t="shared" ca="1" si="28"/>
        <v/>
      </c>
      <c r="H590" s="13"/>
      <c r="I590" s="29" t="str">
        <f t="shared" ca="1" si="29"/>
        <v/>
      </c>
    </row>
    <row r="591" spans="1:9" x14ac:dyDescent="0.35">
      <c r="A591" s="21"/>
      <c r="B591" s="13"/>
      <c r="C591" s="14"/>
      <c r="D591" s="14"/>
      <c r="E591" s="13"/>
      <c r="F591" s="7" t="str">
        <f t="shared" ca="1" si="27"/>
        <v/>
      </c>
      <c r="G591" s="27" t="str">
        <f t="shared" ca="1" si="28"/>
        <v/>
      </c>
      <c r="H591" s="13"/>
      <c r="I591" s="29" t="str">
        <f t="shared" ca="1" si="29"/>
        <v/>
      </c>
    </row>
    <row r="592" spans="1:9" x14ac:dyDescent="0.35">
      <c r="A592" s="21"/>
      <c r="B592" s="13"/>
      <c r="C592" s="14"/>
      <c r="D592" s="14"/>
      <c r="E592" s="13"/>
      <c r="F592" s="7" t="str">
        <f t="shared" ca="1" si="27"/>
        <v/>
      </c>
      <c r="G592" s="27" t="str">
        <f t="shared" ca="1" si="28"/>
        <v/>
      </c>
      <c r="H592" s="13"/>
      <c r="I592" s="29" t="str">
        <f t="shared" ca="1" si="29"/>
        <v/>
      </c>
    </row>
    <row r="593" spans="1:9" x14ac:dyDescent="0.35">
      <c r="A593" s="21"/>
      <c r="B593" s="13"/>
      <c r="C593" s="14"/>
      <c r="D593" s="14"/>
      <c r="E593" s="13"/>
      <c r="F593" s="7" t="str">
        <f t="shared" ca="1" si="27"/>
        <v/>
      </c>
      <c r="G593" s="27" t="str">
        <f t="shared" ca="1" si="28"/>
        <v/>
      </c>
      <c r="H593" s="13"/>
      <c r="I593" s="29" t="str">
        <f t="shared" ca="1" si="29"/>
        <v/>
      </c>
    </row>
    <row r="594" spans="1:9" x14ac:dyDescent="0.35">
      <c r="A594" s="21"/>
      <c r="B594" s="13"/>
      <c r="C594" s="14"/>
      <c r="D594" s="14"/>
      <c r="E594" s="13"/>
      <c r="F594" s="7" t="str">
        <f t="shared" ca="1" si="27"/>
        <v/>
      </c>
      <c r="G594" s="27" t="str">
        <f t="shared" ca="1" si="28"/>
        <v/>
      </c>
      <c r="H594" s="13"/>
      <c r="I594" s="29" t="str">
        <f t="shared" ca="1" si="29"/>
        <v/>
      </c>
    </row>
    <row r="595" spans="1:9" x14ac:dyDescent="0.35">
      <c r="A595" s="21"/>
      <c r="B595" s="13"/>
      <c r="C595" s="14"/>
      <c r="D595" s="14"/>
      <c r="E595" s="13"/>
      <c r="F595" s="7" t="str">
        <f t="shared" ca="1" si="27"/>
        <v/>
      </c>
      <c r="G595" s="27" t="str">
        <f t="shared" ca="1" si="28"/>
        <v/>
      </c>
      <c r="H595" s="13"/>
      <c r="I595" s="29" t="str">
        <f t="shared" ca="1" si="29"/>
        <v/>
      </c>
    </row>
    <row r="596" spans="1:9" x14ac:dyDescent="0.35">
      <c r="A596" s="21"/>
      <c r="B596" s="13"/>
      <c r="C596" s="14"/>
      <c r="D596" s="14"/>
      <c r="E596" s="13"/>
      <c r="F596" s="7" t="str">
        <f t="shared" ca="1" si="27"/>
        <v/>
      </c>
      <c r="G596" s="27" t="str">
        <f t="shared" ca="1" si="28"/>
        <v/>
      </c>
      <c r="H596" s="13"/>
      <c r="I596" s="29" t="str">
        <f t="shared" ca="1" si="29"/>
        <v/>
      </c>
    </row>
    <row r="597" spans="1:9" x14ac:dyDescent="0.35">
      <c r="A597" s="21"/>
      <c r="B597" s="13"/>
      <c r="C597" s="14"/>
      <c r="D597" s="14"/>
      <c r="E597" s="13"/>
      <c r="F597" s="7" t="str">
        <f t="shared" ca="1" si="27"/>
        <v/>
      </c>
      <c r="G597" s="27" t="str">
        <f t="shared" ca="1" si="28"/>
        <v/>
      </c>
      <c r="H597" s="13"/>
      <c r="I597" s="29" t="str">
        <f t="shared" ca="1" si="29"/>
        <v/>
      </c>
    </row>
    <row r="598" spans="1:9" x14ac:dyDescent="0.35">
      <c r="A598" s="21"/>
      <c r="B598" s="13"/>
      <c r="C598" s="14"/>
      <c r="D598" s="14"/>
      <c r="E598" s="13"/>
      <c r="F598" s="7" t="str">
        <f t="shared" ca="1" si="27"/>
        <v/>
      </c>
      <c r="G598" s="27" t="str">
        <f t="shared" ca="1" si="28"/>
        <v/>
      </c>
      <c r="H598" s="13"/>
      <c r="I598" s="29" t="str">
        <f t="shared" ca="1" si="29"/>
        <v/>
      </c>
    </row>
    <row r="599" spans="1:9" x14ac:dyDescent="0.35">
      <c r="A599" s="21"/>
      <c r="B599" s="13"/>
      <c r="C599" s="14"/>
      <c r="D599" s="14"/>
      <c r="E599" s="13"/>
      <c r="F599" s="7" t="str">
        <f t="shared" ca="1" si="27"/>
        <v/>
      </c>
      <c r="G599" s="27" t="str">
        <f t="shared" ca="1" si="28"/>
        <v/>
      </c>
      <c r="H599" s="13"/>
      <c r="I599" s="29" t="str">
        <f t="shared" ca="1" si="29"/>
        <v/>
      </c>
    </row>
    <row r="600" spans="1:9" x14ac:dyDescent="0.35">
      <c r="A600" s="21"/>
      <c r="B600" s="13"/>
      <c r="C600" s="14"/>
      <c r="D600" s="14"/>
      <c r="E600" s="13"/>
      <c r="F600" s="7" t="str">
        <f t="shared" ca="1" si="27"/>
        <v/>
      </c>
      <c r="G600" s="27" t="str">
        <f t="shared" ca="1" si="28"/>
        <v/>
      </c>
      <c r="H600" s="13"/>
      <c r="I600" s="29" t="str">
        <f t="shared" ca="1" si="29"/>
        <v/>
      </c>
    </row>
    <row r="601" spans="1:9" x14ac:dyDescent="0.35">
      <c r="A601" s="21"/>
      <c r="B601" s="13"/>
      <c r="C601" s="14"/>
      <c r="D601" s="14"/>
      <c r="E601" s="13"/>
      <c r="F601" s="7" t="str">
        <f t="shared" ca="1" si="27"/>
        <v/>
      </c>
      <c r="G601" s="27" t="str">
        <f t="shared" ca="1" si="28"/>
        <v/>
      </c>
      <c r="H601" s="13"/>
      <c r="I601" s="29" t="str">
        <f t="shared" ca="1" si="29"/>
        <v/>
      </c>
    </row>
    <row r="602" spans="1:9" x14ac:dyDescent="0.35">
      <c r="A602" s="21"/>
      <c r="B602" s="13"/>
      <c r="C602" s="14"/>
      <c r="D602" s="14"/>
      <c r="E602" s="13"/>
      <c r="F602" s="7" t="str">
        <f t="shared" ca="1" si="27"/>
        <v/>
      </c>
      <c r="G602" s="27" t="str">
        <f t="shared" ca="1" si="28"/>
        <v/>
      </c>
      <c r="H602" s="13"/>
      <c r="I602" s="29" t="str">
        <f t="shared" ca="1" si="29"/>
        <v/>
      </c>
    </row>
    <row r="603" spans="1:9" x14ac:dyDescent="0.35">
      <c r="A603" s="21"/>
      <c r="B603" s="13"/>
      <c r="C603" s="14"/>
      <c r="D603" s="14"/>
      <c r="E603" s="13"/>
      <c r="F603" s="7" t="str">
        <f t="shared" ca="1" si="27"/>
        <v/>
      </c>
      <c r="G603" s="27" t="str">
        <f t="shared" ca="1" si="28"/>
        <v/>
      </c>
      <c r="H603" s="13"/>
      <c r="I603" s="29" t="str">
        <f t="shared" ca="1" si="29"/>
        <v/>
      </c>
    </row>
    <row r="604" spans="1:9" x14ac:dyDescent="0.35">
      <c r="A604" s="21"/>
      <c r="B604" s="13"/>
      <c r="C604" s="14"/>
      <c r="D604" s="14"/>
      <c r="E604" s="13"/>
      <c r="F604" s="7" t="str">
        <f t="shared" ca="1" si="27"/>
        <v/>
      </c>
      <c r="G604" s="27" t="str">
        <f t="shared" ca="1" si="28"/>
        <v/>
      </c>
      <c r="H604" s="13"/>
      <c r="I604" s="29" t="str">
        <f t="shared" ca="1" si="29"/>
        <v/>
      </c>
    </row>
    <row r="605" spans="1:9" x14ac:dyDescent="0.35">
      <c r="A605" s="21"/>
      <c r="B605" s="13"/>
      <c r="C605" s="14"/>
      <c r="D605" s="14"/>
      <c r="E605" s="13"/>
      <c r="F605" s="7" t="str">
        <f t="shared" ca="1" si="27"/>
        <v/>
      </c>
      <c r="G605" s="27" t="str">
        <f t="shared" ca="1" si="28"/>
        <v/>
      </c>
      <c r="H605" s="13"/>
      <c r="I605" s="29" t="str">
        <f t="shared" ca="1" si="29"/>
        <v/>
      </c>
    </row>
    <row r="606" spans="1:9" x14ac:dyDescent="0.35">
      <c r="A606" s="21"/>
      <c r="B606" s="13"/>
      <c r="C606" s="14"/>
      <c r="D606" s="14"/>
      <c r="E606" s="13"/>
      <c r="F606" s="7" t="str">
        <f t="shared" ca="1" si="27"/>
        <v/>
      </c>
      <c r="G606" s="27" t="str">
        <f t="shared" ca="1" si="28"/>
        <v/>
      </c>
      <c r="H606" s="13"/>
      <c r="I606" s="29" t="str">
        <f t="shared" ca="1" si="29"/>
        <v/>
      </c>
    </row>
    <row r="607" spans="1:9" x14ac:dyDescent="0.35">
      <c r="A607" s="21"/>
      <c r="B607" s="13"/>
      <c r="C607" s="14"/>
      <c r="D607" s="14"/>
      <c r="E607" s="13"/>
      <c r="F607" s="7" t="str">
        <f t="shared" ca="1" si="27"/>
        <v/>
      </c>
      <c r="G607" s="27" t="str">
        <f t="shared" ca="1" si="28"/>
        <v/>
      </c>
      <c r="H607" s="13"/>
      <c r="I607" s="29" t="str">
        <f t="shared" ca="1" si="29"/>
        <v/>
      </c>
    </row>
    <row r="608" spans="1:9" x14ac:dyDescent="0.35">
      <c r="A608" s="21"/>
      <c r="B608" s="13"/>
      <c r="C608" s="14"/>
      <c r="D608" s="14"/>
      <c r="E608" s="13"/>
      <c r="F608" s="7" t="str">
        <f t="shared" ca="1" si="27"/>
        <v/>
      </c>
      <c r="G608" s="27" t="str">
        <f t="shared" ca="1" si="28"/>
        <v/>
      </c>
      <c r="H608" s="13"/>
      <c r="I608" s="29" t="str">
        <f t="shared" ca="1" si="29"/>
        <v/>
      </c>
    </row>
    <row r="609" spans="1:9" x14ac:dyDescent="0.35">
      <c r="A609" s="21"/>
      <c r="B609" s="13"/>
      <c r="C609" s="14"/>
      <c r="D609" s="14"/>
      <c r="E609" s="13"/>
      <c r="F609" s="7" t="str">
        <f t="shared" ca="1" si="27"/>
        <v/>
      </c>
      <c r="G609" s="27" t="str">
        <f t="shared" ca="1" si="28"/>
        <v/>
      </c>
      <c r="H609" s="13"/>
      <c r="I609" s="29" t="str">
        <f t="shared" ca="1" si="29"/>
        <v/>
      </c>
    </row>
    <row r="610" spans="1:9" x14ac:dyDescent="0.35">
      <c r="A610" s="21"/>
      <c r="B610" s="13"/>
      <c r="C610" s="14"/>
      <c r="D610" s="14"/>
      <c r="E610" s="13"/>
      <c r="F610" s="7" t="str">
        <f t="shared" ca="1" si="27"/>
        <v/>
      </c>
      <c r="G610" s="27" t="str">
        <f t="shared" ca="1" si="28"/>
        <v/>
      </c>
      <c r="H610" s="13"/>
      <c r="I610" s="29" t="str">
        <f t="shared" ca="1" si="29"/>
        <v/>
      </c>
    </row>
    <row r="611" spans="1:9" x14ac:dyDescent="0.35">
      <c r="A611" s="21"/>
      <c r="B611" s="13"/>
      <c r="C611" s="14"/>
      <c r="D611" s="14"/>
      <c r="E611" s="13"/>
      <c r="F611" s="7" t="str">
        <f t="shared" ca="1" si="27"/>
        <v/>
      </c>
      <c r="G611" s="27" t="str">
        <f t="shared" ca="1" si="28"/>
        <v/>
      </c>
      <c r="H611" s="13"/>
      <c r="I611" s="29" t="str">
        <f t="shared" ca="1" si="29"/>
        <v/>
      </c>
    </row>
    <row r="612" spans="1:9" x14ac:dyDescent="0.35">
      <c r="A612" s="21"/>
      <c r="B612" s="13"/>
      <c r="C612" s="14"/>
      <c r="D612" s="14"/>
      <c r="E612" s="13"/>
      <c r="F612" s="7" t="str">
        <f t="shared" ca="1" si="27"/>
        <v/>
      </c>
      <c r="G612" s="27" t="str">
        <f t="shared" ca="1" si="28"/>
        <v/>
      </c>
      <c r="H612" s="13"/>
      <c r="I612" s="29" t="str">
        <f t="shared" ca="1" si="29"/>
        <v/>
      </c>
    </row>
    <row r="613" spans="1:9" x14ac:dyDescent="0.35">
      <c r="A613" s="21"/>
      <c r="B613" s="13"/>
      <c r="C613" s="14"/>
      <c r="D613" s="14"/>
      <c r="E613" s="13"/>
      <c r="F613" s="7" t="str">
        <f t="shared" ca="1" si="27"/>
        <v/>
      </c>
      <c r="G613" s="27" t="str">
        <f t="shared" ca="1" si="28"/>
        <v/>
      </c>
      <c r="H613" s="13"/>
      <c r="I613" s="29" t="str">
        <f t="shared" ca="1" si="29"/>
        <v/>
      </c>
    </row>
    <row r="614" spans="1:9" x14ac:dyDescent="0.35">
      <c r="A614" s="21"/>
      <c r="B614" s="13"/>
      <c r="C614" s="14"/>
      <c r="D614" s="14"/>
      <c r="E614" s="13"/>
      <c r="F614" s="7" t="str">
        <f t="shared" ca="1" si="27"/>
        <v/>
      </c>
      <c r="G614" s="27" t="str">
        <f t="shared" ca="1" si="28"/>
        <v/>
      </c>
      <c r="H614" s="13"/>
      <c r="I614" s="29" t="str">
        <f t="shared" ca="1" si="29"/>
        <v/>
      </c>
    </row>
    <row r="615" spans="1:9" x14ac:dyDescent="0.35">
      <c r="A615" s="21"/>
      <c r="B615" s="13"/>
      <c r="C615" s="14"/>
      <c r="D615" s="14"/>
      <c r="E615" s="13"/>
      <c r="F615" s="7" t="str">
        <f t="shared" ca="1" si="27"/>
        <v/>
      </c>
      <c r="G615" s="27" t="str">
        <f t="shared" ca="1" si="28"/>
        <v/>
      </c>
      <c r="H615" s="13"/>
      <c r="I615" s="29" t="str">
        <f t="shared" ca="1" si="29"/>
        <v/>
      </c>
    </row>
    <row r="616" spans="1:9" x14ac:dyDescent="0.35">
      <c r="A616" s="21"/>
      <c r="B616" s="13"/>
      <c r="C616" s="14"/>
      <c r="D616" s="14"/>
      <c r="E616" s="13"/>
      <c r="F616" s="7" t="str">
        <f t="shared" ca="1" si="27"/>
        <v/>
      </c>
      <c r="G616" s="27" t="str">
        <f t="shared" ca="1" si="28"/>
        <v/>
      </c>
      <c r="H616" s="13"/>
      <c r="I616" s="29" t="str">
        <f t="shared" ca="1" si="29"/>
        <v/>
      </c>
    </row>
    <row r="617" spans="1:9" x14ac:dyDescent="0.35">
      <c r="A617" s="21"/>
      <c r="B617" s="13"/>
      <c r="C617" s="14"/>
      <c r="D617" s="14"/>
      <c r="E617" s="13"/>
      <c r="F617" s="7" t="str">
        <f t="shared" ca="1" si="27"/>
        <v/>
      </c>
      <c r="G617" s="27" t="str">
        <f t="shared" ca="1" si="28"/>
        <v/>
      </c>
      <c r="H617" s="13"/>
      <c r="I617" s="29" t="str">
        <f t="shared" ca="1" si="29"/>
        <v/>
      </c>
    </row>
    <row r="618" spans="1:9" x14ac:dyDescent="0.35">
      <c r="A618" s="21"/>
      <c r="B618" s="13"/>
      <c r="C618" s="14"/>
      <c r="D618" s="14"/>
      <c r="E618" s="13"/>
      <c r="F618" s="7" t="str">
        <f t="shared" ca="1" si="27"/>
        <v/>
      </c>
      <c r="G618" s="27" t="str">
        <f t="shared" ca="1" si="28"/>
        <v/>
      </c>
      <c r="H618" s="13"/>
      <c r="I618" s="29" t="str">
        <f t="shared" ca="1" si="29"/>
        <v/>
      </c>
    </row>
    <row r="619" spans="1:9" x14ac:dyDescent="0.35">
      <c r="A619" s="21"/>
      <c r="B619" s="13"/>
      <c r="C619" s="14"/>
      <c r="D619" s="14"/>
      <c r="E619" s="13"/>
      <c r="F619" s="7" t="str">
        <f t="shared" ca="1" si="27"/>
        <v/>
      </c>
      <c r="G619" s="27" t="str">
        <f t="shared" ca="1" si="28"/>
        <v/>
      </c>
      <c r="H619" s="13"/>
      <c r="I619" s="29" t="str">
        <f t="shared" ca="1" si="29"/>
        <v/>
      </c>
    </row>
    <row r="620" spans="1:9" x14ac:dyDescent="0.35">
      <c r="A620" s="21"/>
      <c r="B620" s="13"/>
      <c r="C620" s="14"/>
      <c r="D620" s="14"/>
      <c r="E620" s="13"/>
      <c r="F620" s="7" t="str">
        <f t="shared" ca="1" si="27"/>
        <v/>
      </c>
      <c r="G620" s="27" t="str">
        <f t="shared" ca="1" si="28"/>
        <v/>
      </c>
      <c r="H620" s="13"/>
      <c r="I620" s="29" t="str">
        <f t="shared" ca="1" si="29"/>
        <v/>
      </c>
    </row>
    <row r="621" spans="1:9" x14ac:dyDescent="0.35">
      <c r="A621" s="21"/>
      <c r="B621" s="13"/>
      <c r="C621" s="14"/>
      <c r="D621" s="14"/>
      <c r="E621" s="13"/>
      <c r="F621" s="7" t="str">
        <f t="shared" ca="1" si="27"/>
        <v/>
      </c>
      <c r="G621" s="27" t="str">
        <f t="shared" ca="1" si="28"/>
        <v/>
      </c>
      <c r="H621" s="13"/>
      <c r="I621" s="29" t="str">
        <f t="shared" ca="1" si="29"/>
        <v/>
      </c>
    </row>
    <row r="622" spans="1:9" x14ac:dyDescent="0.35">
      <c r="A622" s="21"/>
      <c r="B622" s="13"/>
      <c r="C622" s="14"/>
      <c r="D622" s="14"/>
      <c r="E622" s="13"/>
      <c r="F622" s="7" t="str">
        <f t="shared" ca="1" si="27"/>
        <v/>
      </c>
      <c r="G622" s="27" t="str">
        <f t="shared" ca="1" si="28"/>
        <v/>
      </c>
      <c r="H622" s="13"/>
      <c r="I622" s="29" t="str">
        <f t="shared" ca="1" si="29"/>
        <v/>
      </c>
    </row>
    <row r="623" spans="1:9" x14ac:dyDescent="0.35">
      <c r="A623" s="21"/>
      <c r="B623" s="13"/>
      <c r="C623" s="14"/>
      <c r="D623" s="14"/>
      <c r="E623" s="13"/>
      <c r="F623" s="7" t="str">
        <f t="shared" ca="1" si="27"/>
        <v/>
      </c>
      <c r="G623" s="27" t="str">
        <f t="shared" ca="1" si="28"/>
        <v/>
      </c>
      <c r="H623" s="13"/>
      <c r="I623" s="29" t="str">
        <f t="shared" ca="1" si="29"/>
        <v/>
      </c>
    </row>
    <row r="624" spans="1:9" x14ac:dyDescent="0.35">
      <c r="A624" s="21"/>
      <c r="B624" s="13"/>
      <c r="C624" s="14"/>
      <c r="D624" s="14"/>
      <c r="E624" s="13"/>
      <c r="F624" s="7" t="str">
        <f t="shared" ca="1" si="27"/>
        <v/>
      </c>
      <c r="G624" s="27" t="str">
        <f t="shared" ca="1" si="28"/>
        <v/>
      </c>
      <c r="H624" s="13"/>
      <c r="I624" s="29" t="str">
        <f t="shared" ca="1" si="29"/>
        <v/>
      </c>
    </row>
    <row r="625" spans="1:9" x14ac:dyDescent="0.35">
      <c r="A625" s="21"/>
      <c r="B625" s="13"/>
      <c r="C625" s="14"/>
      <c r="D625" s="14"/>
      <c r="E625" s="13"/>
      <c r="F625" s="7" t="str">
        <f t="shared" ca="1" si="27"/>
        <v/>
      </c>
      <c r="G625" s="27" t="str">
        <f t="shared" ca="1" si="28"/>
        <v/>
      </c>
      <c r="H625" s="13"/>
      <c r="I625" s="29" t="str">
        <f t="shared" ca="1" si="29"/>
        <v/>
      </c>
    </row>
    <row r="626" spans="1:9" x14ac:dyDescent="0.35">
      <c r="A626" s="21"/>
      <c r="B626" s="13"/>
      <c r="C626" s="14"/>
      <c r="D626" s="14"/>
      <c r="E626" s="13"/>
      <c r="F626" s="7" t="str">
        <f t="shared" ca="1" si="27"/>
        <v/>
      </c>
      <c r="G626" s="27" t="str">
        <f t="shared" ca="1" si="28"/>
        <v/>
      </c>
      <c r="H626" s="13"/>
      <c r="I626" s="29" t="str">
        <f t="shared" ca="1" si="29"/>
        <v/>
      </c>
    </row>
    <row r="627" spans="1:9" x14ac:dyDescent="0.35">
      <c r="A627" s="21"/>
      <c r="B627" s="13"/>
      <c r="C627" s="14"/>
      <c r="D627" s="14"/>
      <c r="E627" s="13"/>
      <c r="F627" s="7" t="str">
        <f t="shared" ca="1" si="27"/>
        <v/>
      </c>
      <c r="G627" s="27" t="str">
        <f t="shared" ca="1" si="28"/>
        <v/>
      </c>
      <c r="H627" s="13"/>
      <c r="I627" s="29" t="str">
        <f t="shared" ca="1" si="29"/>
        <v/>
      </c>
    </row>
    <row r="628" spans="1:9" x14ac:dyDescent="0.35">
      <c r="A628" s="21"/>
      <c r="B628" s="13"/>
      <c r="C628" s="14"/>
      <c r="D628" s="14"/>
      <c r="E628" s="13"/>
      <c r="F628" s="7" t="str">
        <f t="shared" ca="1" si="27"/>
        <v/>
      </c>
      <c r="G628" s="27" t="str">
        <f t="shared" ca="1" si="28"/>
        <v/>
      </c>
      <c r="H628" s="13"/>
      <c r="I628" s="29" t="str">
        <f t="shared" ca="1" si="29"/>
        <v/>
      </c>
    </row>
    <row r="629" spans="1:9" x14ac:dyDescent="0.35">
      <c r="A629" s="21"/>
      <c r="B629" s="13"/>
      <c r="C629" s="14"/>
      <c r="D629" s="14"/>
      <c r="E629" s="13"/>
      <c r="F629" s="7" t="str">
        <f t="shared" ca="1" si="27"/>
        <v/>
      </c>
      <c r="G629" s="27" t="str">
        <f t="shared" ca="1" si="28"/>
        <v/>
      </c>
      <c r="H629" s="13"/>
      <c r="I629" s="29" t="str">
        <f t="shared" ca="1" si="29"/>
        <v/>
      </c>
    </row>
    <row r="630" spans="1:9" x14ac:dyDescent="0.35">
      <c r="A630" s="21"/>
      <c r="B630" s="13"/>
      <c r="C630" s="14"/>
      <c r="D630" s="14"/>
      <c r="E630" s="13"/>
      <c r="F630" s="7" t="str">
        <f t="shared" ca="1" si="27"/>
        <v/>
      </c>
      <c r="G630" s="27" t="str">
        <f t="shared" ca="1" si="28"/>
        <v/>
      </c>
      <c r="H630" s="13"/>
      <c r="I630" s="29" t="str">
        <f t="shared" ca="1" si="29"/>
        <v/>
      </c>
    </row>
    <row r="631" spans="1:9" x14ac:dyDescent="0.35">
      <c r="A631" s="21"/>
      <c r="B631" s="13"/>
      <c r="C631" s="14"/>
      <c r="D631" s="14"/>
      <c r="E631" s="13"/>
      <c r="F631" s="7" t="str">
        <f t="shared" ca="1" si="27"/>
        <v/>
      </c>
      <c r="G631" s="27" t="str">
        <f t="shared" ca="1" si="28"/>
        <v/>
      </c>
      <c r="H631" s="13"/>
      <c r="I631" s="29" t="str">
        <f t="shared" ca="1" si="29"/>
        <v/>
      </c>
    </row>
    <row r="632" spans="1:9" x14ac:dyDescent="0.35">
      <c r="A632" s="21"/>
      <c r="B632" s="13"/>
      <c r="C632" s="14"/>
      <c r="D632" s="14"/>
      <c r="E632" s="13"/>
      <c r="F632" s="7" t="str">
        <f t="shared" ca="1" si="27"/>
        <v/>
      </c>
      <c r="G632" s="27" t="str">
        <f t="shared" ca="1" si="28"/>
        <v/>
      </c>
      <c r="H632" s="13"/>
      <c r="I632" s="29" t="str">
        <f t="shared" ca="1" si="29"/>
        <v/>
      </c>
    </row>
    <row r="633" spans="1:9" x14ac:dyDescent="0.35">
      <c r="A633" s="21"/>
      <c r="B633" s="13"/>
      <c r="C633" s="14"/>
      <c r="D633" s="14"/>
      <c r="E633" s="13"/>
      <c r="F633" s="7" t="str">
        <f t="shared" ca="1" si="27"/>
        <v/>
      </c>
      <c r="G633" s="27" t="str">
        <f t="shared" ca="1" si="28"/>
        <v/>
      </c>
      <c r="H633" s="13"/>
      <c r="I633" s="29" t="str">
        <f t="shared" ca="1" si="29"/>
        <v/>
      </c>
    </row>
    <row r="634" spans="1:9" x14ac:dyDescent="0.35">
      <c r="A634" s="21"/>
      <c r="B634" s="13"/>
      <c r="C634" s="14"/>
      <c r="D634" s="14"/>
      <c r="E634" s="13"/>
      <c r="F634" s="7" t="str">
        <f t="shared" ca="1" si="27"/>
        <v/>
      </c>
      <c r="G634" s="27" t="str">
        <f t="shared" ca="1" si="28"/>
        <v/>
      </c>
      <c r="H634" s="13"/>
      <c r="I634" s="29" t="str">
        <f t="shared" ca="1" si="29"/>
        <v/>
      </c>
    </row>
    <row r="635" spans="1:9" x14ac:dyDescent="0.35">
      <c r="A635" s="21"/>
      <c r="B635" s="13"/>
      <c r="C635" s="14"/>
      <c r="D635" s="14"/>
      <c r="E635" s="13"/>
      <c r="F635" s="7" t="str">
        <f t="shared" ca="1" si="27"/>
        <v/>
      </c>
      <c r="G635" s="27" t="str">
        <f t="shared" ca="1" si="28"/>
        <v/>
      </c>
      <c r="H635" s="13"/>
      <c r="I635" s="29" t="str">
        <f t="shared" ca="1" si="29"/>
        <v/>
      </c>
    </row>
    <row r="636" spans="1:9" x14ac:dyDescent="0.35">
      <c r="A636" s="21"/>
      <c r="B636" s="13"/>
      <c r="C636" s="14"/>
      <c r="D636" s="14"/>
      <c r="E636" s="13"/>
      <c r="F636" s="7" t="str">
        <f t="shared" ca="1" si="27"/>
        <v/>
      </c>
      <c r="G636" s="27" t="str">
        <f t="shared" ca="1" si="28"/>
        <v/>
      </c>
      <c r="H636" s="13"/>
      <c r="I636" s="29" t="str">
        <f t="shared" ca="1" si="29"/>
        <v/>
      </c>
    </row>
    <row r="637" spans="1:9" x14ac:dyDescent="0.35">
      <c r="A637" s="21"/>
      <c r="B637" s="13"/>
      <c r="C637" s="14"/>
      <c r="D637" s="14"/>
      <c r="E637" s="13"/>
      <c r="F637" s="7" t="str">
        <f t="shared" ca="1" si="27"/>
        <v/>
      </c>
      <c r="G637" s="27" t="str">
        <f t="shared" ca="1" si="28"/>
        <v/>
      </c>
      <c r="H637" s="13"/>
      <c r="I637" s="29" t="str">
        <f t="shared" ca="1" si="29"/>
        <v/>
      </c>
    </row>
    <row r="638" spans="1:9" x14ac:dyDescent="0.35">
      <c r="A638" s="21"/>
      <c r="B638" s="13"/>
      <c r="C638" s="14"/>
      <c r="D638" s="14"/>
      <c r="E638" s="13"/>
      <c r="F638" s="7" t="str">
        <f t="shared" ca="1" si="27"/>
        <v/>
      </c>
      <c r="G638" s="27" t="str">
        <f t="shared" ca="1" si="28"/>
        <v/>
      </c>
      <c r="H638" s="13"/>
      <c r="I638" s="29" t="str">
        <f t="shared" ca="1" si="29"/>
        <v/>
      </c>
    </row>
    <row r="639" spans="1:9" x14ac:dyDescent="0.35">
      <c r="A639" s="21"/>
      <c r="B639" s="13"/>
      <c r="C639" s="14"/>
      <c r="D639" s="14"/>
      <c r="E639" s="13"/>
      <c r="F639" s="7" t="str">
        <f t="shared" ca="1" si="27"/>
        <v/>
      </c>
      <c r="G639" s="27" t="str">
        <f t="shared" ca="1" si="28"/>
        <v/>
      </c>
      <c r="H639" s="13"/>
      <c r="I639" s="29" t="str">
        <f t="shared" ca="1" si="29"/>
        <v/>
      </c>
    </row>
    <row r="640" spans="1:9" x14ac:dyDescent="0.35">
      <c r="A640" s="21"/>
      <c r="B640" s="13"/>
      <c r="C640" s="14"/>
      <c r="D640" s="14"/>
      <c r="E640" s="13"/>
      <c r="F640" s="7" t="str">
        <f t="shared" ca="1" si="27"/>
        <v/>
      </c>
      <c r="G640" s="27" t="str">
        <f t="shared" ca="1" si="28"/>
        <v/>
      </c>
      <c r="H640" s="13"/>
      <c r="I640" s="29" t="str">
        <f t="shared" ca="1" si="29"/>
        <v/>
      </c>
    </row>
    <row r="641" spans="1:9" x14ac:dyDescent="0.35">
      <c r="A641" s="21"/>
      <c r="B641" s="13"/>
      <c r="C641" s="14"/>
      <c r="D641" s="14"/>
      <c r="E641" s="13"/>
      <c r="F641" s="7" t="str">
        <f t="shared" ca="1" si="27"/>
        <v/>
      </c>
      <c r="G641" s="27" t="str">
        <f t="shared" ca="1" si="28"/>
        <v/>
      </c>
      <c r="H641" s="13"/>
      <c r="I641" s="29" t="str">
        <f t="shared" ca="1" si="29"/>
        <v/>
      </c>
    </row>
    <row r="642" spans="1:9" x14ac:dyDescent="0.35">
      <c r="A642" s="21"/>
      <c r="B642" s="13"/>
      <c r="C642" s="14"/>
      <c r="D642" s="14"/>
      <c r="E642" s="13"/>
      <c r="F642" s="7" t="str">
        <f t="shared" ca="1" si="27"/>
        <v/>
      </c>
      <c r="G642" s="27" t="str">
        <f t="shared" ca="1" si="28"/>
        <v/>
      </c>
      <c r="H642" s="13"/>
      <c r="I642" s="29" t="str">
        <f t="shared" ca="1" si="29"/>
        <v/>
      </c>
    </row>
    <row r="643" spans="1:9" x14ac:dyDescent="0.35">
      <c r="A643" s="21"/>
      <c r="B643" s="13"/>
      <c r="C643" s="14"/>
      <c r="D643" s="14"/>
      <c r="E643" s="13"/>
      <c r="F643" s="7" t="str">
        <f t="shared" ca="1" si="27"/>
        <v/>
      </c>
      <c r="G643" s="27" t="str">
        <f t="shared" ca="1" si="28"/>
        <v/>
      </c>
      <c r="H643" s="13"/>
      <c r="I643" s="29" t="str">
        <f t="shared" ca="1" si="29"/>
        <v/>
      </c>
    </row>
    <row r="644" spans="1:9" x14ac:dyDescent="0.35">
      <c r="A644" s="21"/>
      <c r="B644" s="13"/>
      <c r="C644" s="14"/>
      <c r="D644" s="14"/>
      <c r="E644" s="13"/>
      <c r="F644" s="7" t="str">
        <f t="shared" ca="1" si="27"/>
        <v/>
      </c>
      <c r="G644" s="27" t="str">
        <f t="shared" ca="1" si="28"/>
        <v/>
      </c>
      <c r="H644" s="13"/>
      <c r="I644" s="29" t="str">
        <f t="shared" ca="1" si="29"/>
        <v/>
      </c>
    </row>
    <row r="645" spans="1:9" x14ac:dyDescent="0.35">
      <c r="A645" s="21"/>
      <c r="B645" s="13"/>
      <c r="C645" s="14"/>
      <c r="D645" s="14"/>
      <c r="E645" s="13"/>
      <c r="F645" s="7" t="str">
        <f t="shared" ref="F645:F708" ca="1" si="30">IF($B645="","",IF($D645&lt;&gt;"","Fait",IF($C645="","Non planifié",IF(N($C645)&lt;TODAY(),"En retard","À venir"))))</f>
        <v/>
      </c>
      <c r="G645" s="27" t="str">
        <f t="shared" ref="G645:G708" ca="1" si="31">IF($B645="","",IF(AND($C645&lt;&gt;"",$D645&lt;&gt;""),$D645-$C645,IF($F645="En retard",TODAY()-$C645,"")))</f>
        <v/>
      </c>
      <c r="H645" s="13"/>
      <c r="I645" s="29" t="str">
        <f t="shared" ref="I645:I708" ca="1" si="32">IF($F645="En retard",1,"")</f>
        <v/>
      </c>
    </row>
    <row r="646" spans="1:9" x14ac:dyDescent="0.35">
      <c r="A646" s="21"/>
      <c r="B646" s="13"/>
      <c r="C646" s="14"/>
      <c r="D646" s="14"/>
      <c r="E646" s="13"/>
      <c r="F646" s="7" t="str">
        <f t="shared" ca="1" si="30"/>
        <v/>
      </c>
      <c r="G646" s="27" t="str">
        <f t="shared" ca="1" si="31"/>
        <v/>
      </c>
      <c r="H646" s="13"/>
      <c r="I646" s="29" t="str">
        <f t="shared" ca="1" si="32"/>
        <v/>
      </c>
    </row>
    <row r="647" spans="1:9" x14ac:dyDescent="0.35">
      <c r="A647" s="21"/>
      <c r="B647" s="13"/>
      <c r="C647" s="14"/>
      <c r="D647" s="14"/>
      <c r="E647" s="13"/>
      <c r="F647" s="7" t="str">
        <f t="shared" ca="1" si="30"/>
        <v/>
      </c>
      <c r="G647" s="27" t="str">
        <f t="shared" ca="1" si="31"/>
        <v/>
      </c>
      <c r="H647" s="13"/>
      <c r="I647" s="29" t="str">
        <f t="shared" ca="1" si="32"/>
        <v/>
      </c>
    </row>
    <row r="648" spans="1:9" x14ac:dyDescent="0.35">
      <c r="A648" s="21"/>
      <c r="B648" s="13"/>
      <c r="C648" s="14"/>
      <c r="D648" s="14"/>
      <c r="E648" s="13"/>
      <c r="F648" s="7" t="str">
        <f t="shared" ca="1" si="30"/>
        <v/>
      </c>
      <c r="G648" s="27" t="str">
        <f t="shared" ca="1" si="31"/>
        <v/>
      </c>
      <c r="H648" s="13"/>
      <c r="I648" s="29" t="str">
        <f t="shared" ca="1" si="32"/>
        <v/>
      </c>
    </row>
    <row r="649" spans="1:9" x14ac:dyDescent="0.35">
      <c r="A649" s="21"/>
      <c r="B649" s="13"/>
      <c r="C649" s="14"/>
      <c r="D649" s="14"/>
      <c r="E649" s="13"/>
      <c r="F649" s="7" t="str">
        <f t="shared" ca="1" si="30"/>
        <v/>
      </c>
      <c r="G649" s="27" t="str">
        <f t="shared" ca="1" si="31"/>
        <v/>
      </c>
      <c r="H649" s="13"/>
      <c r="I649" s="29" t="str">
        <f t="shared" ca="1" si="32"/>
        <v/>
      </c>
    </row>
    <row r="650" spans="1:9" x14ac:dyDescent="0.35">
      <c r="A650" s="21"/>
      <c r="B650" s="13"/>
      <c r="C650" s="14"/>
      <c r="D650" s="14"/>
      <c r="E650" s="13"/>
      <c r="F650" s="7" t="str">
        <f t="shared" ca="1" si="30"/>
        <v/>
      </c>
      <c r="G650" s="27" t="str">
        <f t="shared" ca="1" si="31"/>
        <v/>
      </c>
      <c r="H650" s="13"/>
      <c r="I650" s="29" t="str">
        <f t="shared" ca="1" si="32"/>
        <v/>
      </c>
    </row>
    <row r="651" spans="1:9" x14ac:dyDescent="0.35">
      <c r="A651" s="21"/>
      <c r="B651" s="13"/>
      <c r="C651" s="14"/>
      <c r="D651" s="14"/>
      <c r="E651" s="13"/>
      <c r="F651" s="7" t="str">
        <f t="shared" ca="1" si="30"/>
        <v/>
      </c>
      <c r="G651" s="27" t="str">
        <f t="shared" ca="1" si="31"/>
        <v/>
      </c>
      <c r="H651" s="13"/>
      <c r="I651" s="29" t="str">
        <f t="shared" ca="1" si="32"/>
        <v/>
      </c>
    </row>
    <row r="652" spans="1:9" x14ac:dyDescent="0.35">
      <c r="A652" s="21"/>
      <c r="B652" s="13"/>
      <c r="C652" s="14"/>
      <c r="D652" s="14"/>
      <c r="E652" s="13"/>
      <c r="F652" s="7" t="str">
        <f t="shared" ca="1" si="30"/>
        <v/>
      </c>
      <c r="G652" s="27" t="str">
        <f t="shared" ca="1" si="31"/>
        <v/>
      </c>
      <c r="H652" s="13"/>
      <c r="I652" s="29" t="str">
        <f t="shared" ca="1" si="32"/>
        <v/>
      </c>
    </row>
    <row r="653" spans="1:9" x14ac:dyDescent="0.35">
      <c r="A653" s="21"/>
      <c r="B653" s="13"/>
      <c r="C653" s="14"/>
      <c r="D653" s="14"/>
      <c r="E653" s="13"/>
      <c r="F653" s="7" t="str">
        <f t="shared" ca="1" si="30"/>
        <v/>
      </c>
      <c r="G653" s="27" t="str">
        <f t="shared" ca="1" si="31"/>
        <v/>
      </c>
      <c r="H653" s="13"/>
      <c r="I653" s="29" t="str">
        <f t="shared" ca="1" si="32"/>
        <v/>
      </c>
    </row>
    <row r="654" spans="1:9" x14ac:dyDescent="0.35">
      <c r="A654" s="21"/>
      <c r="B654" s="13"/>
      <c r="C654" s="14"/>
      <c r="D654" s="14"/>
      <c r="E654" s="13"/>
      <c r="F654" s="7" t="str">
        <f t="shared" ca="1" si="30"/>
        <v/>
      </c>
      <c r="G654" s="27" t="str">
        <f t="shared" ca="1" si="31"/>
        <v/>
      </c>
      <c r="H654" s="13"/>
      <c r="I654" s="29" t="str">
        <f t="shared" ca="1" si="32"/>
        <v/>
      </c>
    </row>
    <row r="655" spans="1:9" x14ac:dyDescent="0.35">
      <c r="A655" s="21"/>
      <c r="B655" s="13"/>
      <c r="C655" s="14"/>
      <c r="D655" s="14"/>
      <c r="E655" s="13"/>
      <c r="F655" s="7" t="str">
        <f t="shared" ca="1" si="30"/>
        <v/>
      </c>
      <c r="G655" s="27" t="str">
        <f t="shared" ca="1" si="31"/>
        <v/>
      </c>
      <c r="H655" s="13"/>
      <c r="I655" s="29" t="str">
        <f t="shared" ca="1" si="32"/>
        <v/>
      </c>
    </row>
    <row r="656" spans="1:9" x14ac:dyDescent="0.35">
      <c r="A656" s="21"/>
      <c r="B656" s="13"/>
      <c r="C656" s="14"/>
      <c r="D656" s="14"/>
      <c r="E656" s="13"/>
      <c r="F656" s="7" t="str">
        <f t="shared" ca="1" si="30"/>
        <v/>
      </c>
      <c r="G656" s="27" t="str">
        <f t="shared" ca="1" si="31"/>
        <v/>
      </c>
      <c r="H656" s="13"/>
      <c r="I656" s="29" t="str">
        <f t="shared" ca="1" si="32"/>
        <v/>
      </c>
    </row>
    <row r="657" spans="1:9" x14ac:dyDescent="0.35">
      <c r="A657" s="21"/>
      <c r="B657" s="13"/>
      <c r="C657" s="14"/>
      <c r="D657" s="14"/>
      <c r="E657" s="13"/>
      <c r="F657" s="7" t="str">
        <f t="shared" ca="1" si="30"/>
        <v/>
      </c>
      <c r="G657" s="27" t="str">
        <f t="shared" ca="1" si="31"/>
        <v/>
      </c>
      <c r="H657" s="13"/>
      <c r="I657" s="29" t="str">
        <f t="shared" ca="1" si="32"/>
        <v/>
      </c>
    </row>
    <row r="658" spans="1:9" x14ac:dyDescent="0.35">
      <c r="A658" s="21"/>
      <c r="B658" s="13"/>
      <c r="C658" s="14"/>
      <c r="D658" s="14"/>
      <c r="E658" s="13"/>
      <c r="F658" s="7" t="str">
        <f t="shared" ca="1" si="30"/>
        <v/>
      </c>
      <c r="G658" s="27" t="str">
        <f t="shared" ca="1" si="31"/>
        <v/>
      </c>
      <c r="H658" s="13"/>
      <c r="I658" s="29" t="str">
        <f t="shared" ca="1" si="32"/>
        <v/>
      </c>
    </row>
    <row r="659" spans="1:9" x14ac:dyDescent="0.35">
      <c r="A659" s="21"/>
      <c r="B659" s="13"/>
      <c r="C659" s="14"/>
      <c r="D659" s="14"/>
      <c r="E659" s="13"/>
      <c r="F659" s="7" t="str">
        <f t="shared" ca="1" si="30"/>
        <v/>
      </c>
      <c r="G659" s="27" t="str">
        <f t="shared" ca="1" si="31"/>
        <v/>
      </c>
      <c r="H659" s="13"/>
      <c r="I659" s="29" t="str">
        <f t="shared" ca="1" si="32"/>
        <v/>
      </c>
    </row>
    <row r="660" spans="1:9" x14ac:dyDescent="0.35">
      <c r="A660" s="21"/>
      <c r="B660" s="13"/>
      <c r="C660" s="14"/>
      <c r="D660" s="14"/>
      <c r="E660" s="13"/>
      <c r="F660" s="7" t="str">
        <f t="shared" ca="1" si="30"/>
        <v/>
      </c>
      <c r="G660" s="27" t="str">
        <f t="shared" ca="1" si="31"/>
        <v/>
      </c>
      <c r="H660" s="13"/>
      <c r="I660" s="29" t="str">
        <f t="shared" ca="1" si="32"/>
        <v/>
      </c>
    </row>
    <row r="661" spans="1:9" x14ac:dyDescent="0.35">
      <c r="A661" s="21"/>
      <c r="B661" s="13"/>
      <c r="C661" s="14"/>
      <c r="D661" s="14"/>
      <c r="E661" s="13"/>
      <c r="F661" s="7" t="str">
        <f t="shared" ca="1" si="30"/>
        <v/>
      </c>
      <c r="G661" s="27" t="str">
        <f t="shared" ca="1" si="31"/>
        <v/>
      </c>
      <c r="H661" s="13"/>
      <c r="I661" s="29" t="str">
        <f t="shared" ca="1" si="32"/>
        <v/>
      </c>
    </row>
    <row r="662" spans="1:9" x14ac:dyDescent="0.35">
      <c r="A662" s="21"/>
      <c r="B662" s="13"/>
      <c r="C662" s="14"/>
      <c r="D662" s="14"/>
      <c r="E662" s="13"/>
      <c r="F662" s="7" t="str">
        <f t="shared" ca="1" si="30"/>
        <v/>
      </c>
      <c r="G662" s="27" t="str">
        <f t="shared" ca="1" si="31"/>
        <v/>
      </c>
      <c r="H662" s="13"/>
      <c r="I662" s="29" t="str">
        <f t="shared" ca="1" si="32"/>
        <v/>
      </c>
    </row>
    <row r="663" spans="1:9" x14ac:dyDescent="0.35">
      <c r="A663" s="21"/>
      <c r="B663" s="13"/>
      <c r="C663" s="14"/>
      <c r="D663" s="14"/>
      <c r="E663" s="13"/>
      <c r="F663" s="7" t="str">
        <f t="shared" ca="1" si="30"/>
        <v/>
      </c>
      <c r="G663" s="27" t="str">
        <f t="shared" ca="1" si="31"/>
        <v/>
      </c>
      <c r="H663" s="13"/>
      <c r="I663" s="29" t="str">
        <f t="shared" ca="1" si="32"/>
        <v/>
      </c>
    </row>
    <row r="664" spans="1:9" x14ac:dyDescent="0.35">
      <c r="A664" s="21"/>
      <c r="B664" s="13"/>
      <c r="C664" s="14"/>
      <c r="D664" s="14"/>
      <c r="E664" s="13"/>
      <c r="F664" s="7" t="str">
        <f t="shared" ca="1" si="30"/>
        <v/>
      </c>
      <c r="G664" s="27" t="str">
        <f t="shared" ca="1" si="31"/>
        <v/>
      </c>
      <c r="H664" s="13"/>
      <c r="I664" s="29" t="str">
        <f t="shared" ca="1" si="32"/>
        <v/>
      </c>
    </row>
    <row r="665" spans="1:9" x14ac:dyDescent="0.35">
      <c r="A665" s="21"/>
      <c r="B665" s="13"/>
      <c r="C665" s="14"/>
      <c r="D665" s="14"/>
      <c r="E665" s="13"/>
      <c r="F665" s="7" t="str">
        <f t="shared" ca="1" si="30"/>
        <v/>
      </c>
      <c r="G665" s="27" t="str">
        <f t="shared" ca="1" si="31"/>
        <v/>
      </c>
      <c r="H665" s="13"/>
      <c r="I665" s="29" t="str">
        <f t="shared" ca="1" si="32"/>
        <v/>
      </c>
    </row>
    <row r="666" spans="1:9" x14ac:dyDescent="0.35">
      <c r="A666" s="21"/>
      <c r="B666" s="13"/>
      <c r="C666" s="14"/>
      <c r="D666" s="14"/>
      <c r="E666" s="13"/>
      <c r="F666" s="7" t="str">
        <f t="shared" ca="1" si="30"/>
        <v/>
      </c>
      <c r="G666" s="27" t="str">
        <f t="shared" ca="1" si="31"/>
        <v/>
      </c>
      <c r="H666" s="13"/>
      <c r="I666" s="29" t="str">
        <f t="shared" ca="1" si="32"/>
        <v/>
      </c>
    </row>
    <row r="667" spans="1:9" x14ac:dyDescent="0.35">
      <c r="A667" s="21"/>
      <c r="B667" s="13"/>
      <c r="C667" s="14"/>
      <c r="D667" s="14"/>
      <c r="E667" s="13"/>
      <c r="F667" s="7" t="str">
        <f t="shared" ca="1" si="30"/>
        <v/>
      </c>
      <c r="G667" s="27" t="str">
        <f t="shared" ca="1" si="31"/>
        <v/>
      </c>
      <c r="H667" s="13"/>
      <c r="I667" s="29" t="str">
        <f t="shared" ca="1" si="32"/>
        <v/>
      </c>
    </row>
    <row r="668" spans="1:9" x14ac:dyDescent="0.35">
      <c r="A668" s="21"/>
      <c r="B668" s="13"/>
      <c r="C668" s="14"/>
      <c r="D668" s="14"/>
      <c r="E668" s="13"/>
      <c r="F668" s="7" t="str">
        <f t="shared" ca="1" si="30"/>
        <v/>
      </c>
      <c r="G668" s="27" t="str">
        <f t="shared" ca="1" si="31"/>
        <v/>
      </c>
      <c r="H668" s="13"/>
      <c r="I668" s="29" t="str">
        <f t="shared" ca="1" si="32"/>
        <v/>
      </c>
    </row>
    <row r="669" spans="1:9" x14ac:dyDescent="0.35">
      <c r="A669" s="21"/>
      <c r="B669" s="13"/>
      <c r="C669" s="14"/>
      <c r="D669" s="14"/>
      <c r="E669" s="13"/>
      <c r="F669" s="7" t="str">
        <f t="shared" ca="1" si="30"/>
        <v/>
      </c>
      <c r="G669" s="27" t="str">
        <f t="shared" ca="1" si="31"/>
        <v/>
      </c>
      <c r="H669" s="13"/>
      <c r="I669" s="29" t="str">
        <f t="shared" ca="1" si="32"/>
        <v/>
      </c>
    </row>
    <row r="670" spans="1:9" x14ac:dyDescent="0.35">
      <c r="A670" s="21"/>
      <c r="B670" s="13"/>
      <c r="C670" s="14"/>
      <c r="D670" s="14"/>
      <c r="E670" s="13"/>
      <c r="F670" s="7" t="str">
        <f t="shared" ca="1" si="30"/>
        <v/>
      </c>
      <c r="G670" s="27" t="str">
        <f t="shared" ca="1" si="31"/>
        <v/>
      </c>
      <c r="H670" s="13"/>
      <c r="I670" s="29" t="str">
        <f t="shared" ca="1" si="32"/>
        <v/>
      </c>
    </row>
    <row r="671" spans="1:9" x14ac:dyDescent="0.35">
      <c r="A671" s="21"/>
      <c r="B671" s="13"/>
      <c r="C671" s="14"/>
      <c r="D671" s="14"/>
      <c r="E671" s="13"/>
      <c r="F671" s="7" t="str">
        <f t="shared" ca="1" si="30"/>
        <v/>
      </c>
      <c r="G671" s="27" t="str">
        <f t="shared" ca="1" si="31"/>
        <v/>
      </c>
      <c r="H671" s="13"/>
      <c r="I671" s="29" t="str">
        <f t="shared" ca="1" si="32"/>
        <v/>
      </c>
    </row>
    <row r="672" spans="1:9" x14ac:dyDescent="0.35">
      <c r="A672" s="21"/>
      <c r="B672" s="13"/>
      <c r="C672" s="14"/>
      <c r="D672" s="14"/>
      <c r="E672" s="13"/>
      <c r="F672" s="7" t="str">
        <f t="shared" ca="1" si="30"/>
        <v/>
      </c>
      <c r="G672" s="27" t="str">
        <f t="shared" ca="1" si="31"/>
        <v/>
      </c>
      <c r="H672" s="13"/>
      <c r="I672" s="29" t="str">
        <f t="shared" ca="1" si="32"/>
        <v/>
      </c>
    </row>
    <row r="673" spans="1:9" x14ac:dyDescent="0.35">
      <c r="A673" s="21"/>
      <c r="B673" s="13"/>
      <c r="C673" s="14"/>
      <c r="D673" s="14"/>
      <c r="E673" s="13"/>
      <c r="F673" s="7" t="str">
        <f t="shared" ca="1" si="30"/>
        <v/>
      </c>
      <c r="G673" s="27" t="str">
        <f t="shared" ca="1" si="31"/>
        <v/>
      </c>
      <c r="H673" s="13"/>
      <c r="I673" s="29" t="str">
        <f t="shared" ca="1" si="32"/>
        <v/>
      </c>
    </row>
    <row r="674" spans="1:9" x14ac:dyDescent="0.35">
      <c r="A674" s="21"/>
      <c r="B674" s="13"/>
      <c r="C674" s="14"/>
      <c r="D674" s="14"/>
      <c r="E674" s="13"/>
      <c r="F674" s="7" t="str">
        <f t="shared" ca="1" si="30"/>
        <v/>
      </c>
      <c r="G674" s="27" t="str">
        <f t="shared" ca="1" si="31"/>
        <v/>
      </c>
      <c r="H674" s="13"/>
      <c r="I674" s="29" t="str">
        <f t="shared" ca="1" si="32"/>
        <v/>
      </c>
    </row>
    <row r="675" spans="1:9" x14ac:dyDescent="0.35">
      <c r="A675" s="21"/>
      <c r="B675" s="13"/>
      <c r="C675" s="14"/>
      <c r="D675" s="14"/>
      <c r="E675" s="13"/>
      <c r="F675" s="7" t="str">
        <f t="shared" ca="1" si="30"/>
        <v/>
      </c>
      <c r="G675" s="27" t="str">
        <f t="shared" ca="1" si="31"/>
        <v/>
      </c>
      <c r="H675" s="13"/>
      <c r="I675" s="29" t="str">
        <f t="shared" ca="1" si="32"/>
        <v/>
      </c>
    </row>
    <row r="676" spans="1:9" x14ac:dyDescent="0.35">
      <c r="A676" s="21"/>
      <c r="B676" s="13"/>
      <c r="C676" s="14"/>
      <c r="D676" s="14"/>
      <c r="E676" s="13"/>
      <c r="F676" s="7" t="str">
        <f t="shared" ca="1" si="30"/>
        <v/>
      </c>
      <c r="G676" s="27" t="str">
        <f t="shared" ca="1" si="31"/>
        <v/>
      </c>
      <c r="H676" s="13"/>
      <c r="I676" s="29" t="str">
        <f t="shared" ca="1" si="32"/>
        <v/>
      </c>
    </row>
    <row r="677" spans="1:9" x14ac:dyDescent="0.35">
      <c r="A677" s="21"/>
      <c r="B677" s="13"/>
      <c r="C677" s="14"/>
      <c r="D677" s="14"/>
      <c r="E677" s="13"/>
      <c r="F677" s="7" t="str">
        <f t="shared" ca="1" si="30"/>
        <v/>
      </c>
      <c r="G677" s="27" t="str">
        <f t="shared" ca="1" si="31"/>
        <v/>
      </c>
      <c r="H677" s="13"/>
      <c r="I677" s="29" t="str">
        <f t="shared" ca="1" si="32"/>
        <v/>
      </c>
    </row>
    <row r="678" spans="1:9" x14ac:dyDescent="0.35">
      <c r="A678" s="21"/>
      <c r="B678" s="13"/>
      <c r="C678" s="14"/>
      <c r="D678" s="14"/>
      <c r="E678" s="13"/>
      <c r="F678" s="7" t="str">
        <f t="shared" ca="1" si="30"/>
        <v/>
      </c>
      <c r="G678" s="27" t="str">
        <f t="shared" ca="1" si="31"/>
        <v/>
      </c>
      <c r="H678" s="13"/>
      <c r="I678" s="29" t="str">
        <f t="shared" ca="1" si="32"/>
        <v/>
      </c>
    </row>
    <row r="679" spans="1:9" x14ac:dyDescent="0.35">
      <c r="A679" s="21"/>
      <c r="B679" s="13"/>
      <c r="C679" s="14"/>
      <c r="D679" s="14"/>
      <c r="E679" s="13"/>
      <c r="F679" s="7" t="str">
        <f t="shared" ca="1" si="30"/>
        <v/>
      </c>
      <c r="G679" s="27" t="str">
        <f t="shared" ca="1" si="31"/>
        <v/>
      </c>
      <c r="H679" s="13"/>
      <c r="I679" s="29" t="str">
        <f t="shared" ca="1" si="32"/>
        <v/>
      </c>
    </row>
    <row r="680" spans="1:9" x14ac:dyDescent="0.35">
      <c r="A680" s="21"/>
      <c r="B680" s="13"/>
      <c r="C680" s="14"/>
      <c r="D680" s="14"/>
      <c r="E680" s="13"/>
      <c r="F680" s="7" t="str">
        <f t="shared" ca="1" si="30"/>
        <v/>
      </c>
      <c r="G680" s="27" t="str">
        <f t="shared" ca="1" si="31"/>
        <v/>
      </c>
      <c r="H680" s="13"/>
      <c r="I680" s="29" t="str">
        <f t="shared" ca="1" si="32"/>
        <v/>
      </c>
    </row>
    <row r="681" spans="1:9" x14ac:dyDescent="0.35">
      <c r="A681" s="21"/>
      <c r="B681" s="13"/>
      <c r="C681" s="14"/>
      <c r="D681" s="14"/>
      <c r="E681" s="13"/>
      <c r="F681" s="7" t="str">
        <f t="shared" ca="1" si="30"/>
        <v/>
      </c>
      <c r="G681" s="27" t="str">
        <f t="shared" ca="1" si="31"/>
        <v/>
      </c>
      <c r="H681" s="13"/>
      <c r="I681" s="29" t="str">
        <f t="shared" ca="1" si="32"/>
        <v/>
      </c>
    </row>
    <row r="682" spans="1:9" x14ac:dyDescent="0.35">
      <c r="A682" s="21"/>
      <c r="B682" s="13"/>
      <c r="C682" s="14"/>
      <c r="D682" s="14"/>
      <c r="E682" s="13"/>
      <c r="F682" s="7" t="str">
        <f t="shared" ca="1" si="30"/>
        <v/>
      </c>
      <c r="G682" s="27" t="str">
        <f t="shared" ca="1" si="31"/>
        <v/>
      </c>
      <c r="H682" s="13"/>
      <c r="I682" s="29" t="str">
        <f t="shared" ca="1" si="32"/>
        <v/>
      </c>
    </row>
    <row r="683" spans="1:9" x14ac:dyDescent="0.35">
      <c r="A683" s="21"/>
      <c r="B683" s="13"/>
      <c r="C683" s="14"/>
      <c r="D683" s="14"/>
      <c r="E683" s="13"/>
      <c r="F683" s="7" t="str">
        <f t="shared" ca="1" si="30"/>
        <v/>
      </c>
      <c r="G683" s="27" t="str">
        <f t="shared" ca="1" si="31"/>
        <v/>
      </c>
      <c r="H683" s="13"/>
      <c r="I683" s="29" t="str">
        <f t="shared" ca="1" si="32"/>
        <v/>
      </c>
    </row>
    <row r="684" spans="1:9" x14ac:dyDescent="0.35">
      <c r="A684" s="21"/>
      <c r="B684" s="13"/>
      <c r="C684" s="14"/>
      <c r="D684" s="14"/>
      <c r="E684" s="13"/>
      <c r="F684" s="7" t="str">
        <f t="shared" ca="1" si="30"/>
        <v/>
      </c>
      <c r="G684" s="27" t="str">
        <f t="shared" ca="1" si="31"/>
        <v/>
      </c>
      <c r="H684" s="13"/>
      <c r="I684" s="29" t="str">
        <f t="shared" ca="1" si="32"/>
        <v/>
      </c>
    </row>
    <row r="685" spans="1:9" x14ac:dyDescent="0.35">
      <c r="A685" s="21"/>
      <c r="B685" s="13"/>
      <c r="C685" s="14"/>
      <c r="D685" s="14"/>
      <c r="E685" s="13"/>
      <c r="F685" s="7" t="str">
        <f t="shared" ca="1" si="30"/>
        <v/>
      </c>
      <c r="G685" s="27" t="str">
        <f t="shared" ca="1" si="31"/>
        <v/>
      </c>
      <c r="H685" s="13"/>
      <c r="I685" s="29" t="str">
        <f t="shared" ca="1" si="32"/>
        <v/>
      </c>
    </row>
    <row r="686" spans="1:9" x14ac:dyDescent="0.35">
      <c r="A686" s="21"/>
      <c r="B686" s="13"/>
      <c r="C686" s="14"/>
      <c r="D686" s="14"/>
      <c r="E686" s="13"/>
      <c r="F686" s="7" t="str">
        <f t="shared" ca="1" si="30"/>
        <v/>
      </c>
      <c r="G686" s="27" t="str">
        <f t="shared" ca="1" si="31"/>
        <v/>
      </c>
      <c r="H686" s="13"/>
      <c r="I686" s="29" t="str">
        <f t="shared" ca="1" si="32"/>
        <v/>
      </c>
    </row>
    <row r="687" spans="1:9" x14ac:dyDescent="0.35">
      <c r="A687" s="21"/>
      <c r="B687" s="13"/>
      <c r="C687" s="14"/>
      <c r="D687" s="14"/>
      <c r="E687" s="13"/>
      <c r="F687" s="7" t="str">
        <f t="shared" ca="1" si="30"/>
        <v/>
      </c>
      <c r="G687" s="27" t="str">
        <f t="shared" ca="1" si="31"/>
        <v/>
      </c>
      <c r="H687" s="13"/>
      <c r="I687" s="29" t="str">
        <f t="shared" ca="1" si="32"/>
        <v/>
      </c>
    </row>
    <row r="688" spans="1:9" x14ac:dyDescent="0.35">
      <c r="A688" s="21"/>
      <c r="B688" s="13"/>
      <c r="C688" s="14"/>
      <c r="D688" s="14"/>
      <c r="E688" s="13"/>
      <c r="F688" s="7" t="str">
        <f t="shared" ca="1" si="30"/>
        <v/>
      </c>
      <c r="G688" s="27" t="str">
        <f t="shared" ca="1" si="31"/>
        <v/>
      </c>
      <c r="H688" s="13"/>
      <c r="I688" s="29" t="str">
        <f t="shared" ca="1" si="32"/>
        <v/>
      </c>
    </row>
    <row r="689" spans="1:9" x14ac:dyDescent="0.35">
      <c r="A689" s="21"/>
      <c r="B689" s="13"/>
      <c r="C689" s="14"/>
      <c r="D689" s="14"/>
      <c r="E689" s="13"/>
      <c r="F689" s="7" t="str">
        <f t="shared" ca="1" si="30"/>
        <v/>
      </c>
      <c r="G689" s="27" t="str">
        <f t="shared" ca="1" si="31"/>
        <v/>
      </c>
      <c r="H689" s="13"/>
      <c r="I689" s="29" t="str">
        <f t="shared" ca="1" si="32"/>
        <v/>
      </c>
    </row>
    <row r="690" spans="1:9" x14ac:dyDescent="0.35">
      <c r="A690" s="21"/>
      <c r="B690" s="13"/>
      <c r="C690" s="14"/>
      <c r="D690" s="14"/>
      <c r="E690" s="13"/>
      <c r="F690" s="7" t="str">
        <f t="shared" ca="1" si="30"/>
        <v/>
      </c>
      <c r="G690" s="27" t="str">
        <f t="shared" ca="1" si="31"/>
        <v/>
      </c>
      <c r="H690" s="13"/>
      <c r="I690" s="29" t="str">
        <f t="shared" ca="1" si="32"/>
        <v/>
      </c>
    </row>
    <row r="691" spans="1:9" x14ac:dyDescent="0.35">
      <c r="A691" s="21"/>
      <c r="B691" s="13"/>
      <c r="C691" s="14"/>
      <c r="D691" s="14"/>
      <c r="E691" s="13"/>
      <c r="F691" s="7" t="str">
        <f t="shared" ca="1" si="30"/>
        <v/>
      </c>
      <c r="G691" s="27" t="str">
        <f t="shared" ca="1" si="31"/>
        <v/>
      </c>
      <c r="H691" s="13"/>
      <c r="I691" s="29" t="str">
        <f t="shared" ca="1" si="32"/>
        <v/>
      </c>
    </row>
    <row r="692" spans="1:9" x14ac:dyDescent="0.35">
      <c r="A692" s="21"/>
      <c r="B692" s="13"/>
      <c r="C692" s="14"/>
      <c r="D692" s="14"/>
      <c r="E692" s="13"/>
      <c r="F692" s="7" t="str">
        <f t="shared" ca="1" si="30"/>
        <v/>
      </c>
      <c r="G692" s="27" t="str">
        <f t="shared" ca="1" si="31"/>
        <v/>
      </c>
      <c r="H692" s="13"/>
      <c r="I692" s="29" t="str">
        <f t="shared" ca="1" si="32"/>
        <v/>
      </c>
    </row>
    <row r="693" spans="1:9" x14ac:dyDescent="0.35">
      <c r="A693" s="21"/>
      <c r="B693" s="13"/>
      <c r="C693" s="14"/>
      <c r="D693" s="14"/>
      <c r="E693" s="13"/>
      <c r="F693" s="7" t="str">
        <f t="shared" ca="1" si="30"/>
        <v/>
      </c>
      <c r="G693" s="27" t="str">
        <f t="shared" ca="1" si="31"/>
        <v/>
      </c>
      <c r="H693" s="13"/>
      <c r="I693" s="29" t="str">
        <f t="shared" ca="1" si="32"/>
        <v/>
      </c>
    </row>
    <row r="694" spans="1:9" x14ac:dyDescent="0.35">
      <c r="A694" s="21"/>
      <c r="B694" s="13"/>
      <c r="C694" s="14"/>
      <c r="D694" s="14"/>
      <c r="E694" s="13"/>
      <c r="F694" s="7" t="str">
        <f t="shared" ca="1" si="30"/>
        <v/>
      </c>
      <c r="G694" s="27" t="str">
        <f t="shared" ca="1" si="31"/>
        <v/>
      </c>
      <c r="H694" s="13"/>
      <c r="I694" s="29" t="str">
        <f t="shared" ca="1" si="32"/>
        <v/>
      </c>
    </row>
    <row r="695" spans="1:9" x14ac:dyDescent="0.35">
      <c r="A695" s="21"/>
      <c r="B695" s="13"/>
      <c r="C695" s="14"/>
      <c r="D695" s="14"/>
      <c r="E695" s="13"/>
      <c r="F695" s="7" t="str">
        <f t="shared" ca="1" si="30"/>
        <v/>
      </c>
      <c r="G695" s="27" t="str">
        <f t="shared" ca="1" si="31"/>
        <v/>
      </c>
      <c r="H695" s="13"/>
      <c r="I695" s="29" t="str">
        <f t="shared" ca="1" si="32"/>
        <v/>
      </c>
    </row>
    <row r="696" spans="1:9" x14ac:dyDescent="0.35">
      <c r="A696" s="21"/>
      <c r="B696" s="13"/>
      <c r="C696" s="14"/>
      <c r="D696" s="14"/>
      <c r="E696" s="13"/>
      <c r="F696" s="7" t="str">
        <f t="shared" ca="1" si="30"/>
        <v/>
      </c>
      <c r="G696" s="27" t="str">
        <f t="shared" ca="1" si="31"/>
        <v/>
      </c>
      <c r="H696" s="13"/>
      <c r="I696" s="29" t="str">
        <f t="shared" ca="1" si="32"/>
        <v/>
      </c>
    </row>
    <row r="697" spans="1:9" x14ac:dyDescent="0.35">
      <c r="A697" s="21"/>
      <c r="B697" s="13"/>
      <c r="C697" s="14"/>
      <c r="D697" s="14"/>
      <c r="E697" s="13"/>
      <c r="F697" s="7" t="str">
        <f t="shared" ca="1" si="30"/>
        <v/>
      </c>
      <c r="G697" s="27" t="str">
        <f t="shared" ca="1" si="31"/>
        <v/>
      </c>
      <c r="H697" s="13"/>
      <c r="I697" s="29" t="str">
        <f t="shared" ca="1" si="32"/>
        <v/>
      </c>
    </row>
    <row r="698" spans="1:9" x14ac:dyDescent="0.35">
      <c r="A698" s="21"/>
      <c r="B698" s="13"/>
      <c r="C698" s="14"/>
      <c r="D698" s="14"/>
      <c r="E698" s="13"/>
      <c r="F698" s="7" t="str">
        <f t="shared" ca="1" si="30"/>
        <v/>
      </c>
      <c r="G698" s="27" t="str">
        <f t="shared" ca="1" si="31"/>
        <v/>
      </c>
      <c r="H698" s="13"/>
      <c r="I698" s="29" t="str">
        <f t="shared" ca="1" si="32"/>
        <v/>
      </c>
    </row>
    <row r="699" spans="1:9" x14ac:dyDescent="0.35">
      <c r="A699" s="21"/>
      <c r="B699" s="13"/>
      <c r="C699" s="14"/>
      <c r="D699" s="14"/>
      <c r="E699" s="13"/>
      <c r="F699" s="7" t="str">
        <f t="shared" ca="1" si="30"/>
        <v/>
      </c>
      <c r="G699" s="27" t="str">
        <f t="shared" ca="1" si="31"/>
        <v/>
      </c>
      <c r="H699" s="13"/>
      <c r="I699" s="29" t="str">
        <f t="shared" ca="1" si="32"/>
        <v/>
      </c>
    </row>
    <row r="700" spans="1:9" x14ac:dyDescent="0.35">
      <c r="A700" s="21"/>
      <c r="B700" s="13"/>
      <c r="C700" s="14"/>
      <c r="D700" s="14"/>
      <c r="E700" s="13"/>
      <c r="F700" s="7" t="str">
        <f t="shared" ca="1" si="30"/>
        <v/>
      </c>
      <c r="G700" s="27" t="str">
        <f t="shared" ca="1" si="31"/>
        <v/>
      </c>
      <c r="H700" s="13"/>
      <c r="I700" s="29" t="str">
        <f t="shared" ca="1" si="32"/>
        <v/>
      </c>
    </row>
    <row r="701" spans="1:9" x14ac:dyDescent="0.35">
      <c r="A701" s="21"/>
      <c r="B701" s="13"/>
      <c r="C701" s="14"/>
      <c r="D701" s="14"/>
      <c r="E701" s="13"/>
      <c r="F701" s="7" t="str">
        <f t="shared" ca="1" si="30"/>
        <v/>
      </c>
      <c r="G701" s="27" t="str">
        <f t="shared" ca="1" si="31"/>
        <v/>
      </c>
      <c r="H701" s="13"/>
      <c r="I701" s="29" t="str">
        <f t="shared" ca="1" si="32"/>
        <v/>
      </c>
    </row>
    <row r="702" spans="1:9" x14ac:dyDescent="0.35">
      <c r="A702" s="21"/>
      <c r="B702" s="13"/>
      <c r="C702" s="14"/>
      <c r="D702" s="14"/>
      <c r="E702" s="13"/>
      <c r="F702" s="7" t="str">
        <f t="shared" ca="1" si="30"/>
        <v/>
      </c>
      <c r="G702" s="27" t="str">
        <f t="shared" ca="1" si="31"/>
        <v/>
      </c>
      <c r="H702" s="13"/>
      <c r="I702" s="29" t="str">
        <f t="shared" ca="1" si="32"/>
        <v/>
      </c>
    </row>
    <row r="703" spans="1:9" x14ac:dyDescent="0.35">
      <c r="A703" s="21"/>
      <c r="B703" s="13"/>
      <c r="C703" s="14"/>
      <c r="D703" s="14"/>
      <c r="E703" s="13"/>
      <c r="F703" s="7" t="str">
        <f t="shared" ca="1" si="30"/>
        <v/>
      </c>
      <c r="G703" s="27" t="str">
        <f t="shared" ca="1" si="31"/>
        <v/>
      </c>
      <c r="H703" s="13"/>
      <c r="I703" s="29" t="str">
        <f t="shared" ca="1" si="32"/>
        <v/>
      </c>
    </row>
    <row r="704" spans="1:9" x14ac:dyDescent="0.35">
      <c r="A704" s="21"/>
      <c r="B704" s="13"/>
      <c r="C704" s="14"/>
      <c r="D704" s="14"/>
      <c r="E704" s="13"/>
      <c r="F704" s="7" t="str">
        <f t="shared" ca="1" si="30"/>
        <v/>
      </c>
      <c r="G704" s="27" t="str">
        <f t="shared" ca="1" si="31"/>
        <v/>
      </c>
      <c r="H704" s="13"/>
      <c r="I704" s="29" t="str">
        <f t="shared" ca="1" si="32"/>
        <v/>
      </c>
    </row>
    <row r="705" spans="1:9" x14ac:dyDescent="0.35">
      <c r="A705" s="21"/>
      <c r="B705" s="13"/>
      <c r="C705" s="14"/>
      <c r="D705" s="14"/>
      <c r="E705" s="13"/>
      <c r="F705" s="7" t="str">
        <f t="shared" ca="1" si="30"/>
        <v/>
      </c>
      <c r="G705" s="27" t="str">
        <f t="shared" ca="1" si="31"/>
        <v/>
      </c>
      <c r="H705" s="13"/>
      <c r="I705" s="29" t="str">
        <f t="shared" ca="1" si="32"/>
        <v/>
      </c>
    </row>
    <row r="706" spans="1:9" x14ac:dyDescent="0.35">
      <c r="A706" s="21"/>
      <c r="B706" s="13"/>
      <c r="C706" s="14"/>
      <c r="D706" s="14"/>
      <c r="E706" s="13"/>
      <c r="F706" s="7" t="str">
        <f t="shared" ca="1" si="30"/>
        <v/>
      </c>
      <c r="G706" s="27" t="str">
        <f t="shared" ca="1" si="31"/>
        <v/>
      </c>
      <c r="H706" s="13"/>
      <c r="I706" s="29" t="str">
        <f t="shared" ca="1" si="32"/>
        <v/>
      </c>
    </row>
    <row r="707" spans="1:9" x14ac:dyDescent="0.35">
      <c r="A707" s="21"/>
      <c r="B707" s="13"/>
      <c r="C707" s="14"/>
      <c r="D707" s="14"/>
      <c r="E707" s="13"/>
      <c r="F707" s="7" t="str">
        <f t="shared" ca="1" si="30"/>
        <v/>
      </c>
      <c r="G707" s="27" t="str">
        <f t="shared" ca="1" si="31"/>
        <v/>
      </c>
      <c r="H707" s="13"/>
      <c r="I707" s="29" t="str">
        <f t="shared" ca="1" si="32"/>
        <v/>
      </c>
    </row>
    <row r="708" spans="1:9" x14ac:dyDescent="0.35">
      <c r="A708" s="21"/>
      <c r="B708" s="13"/>
      <c r="C708" s="14"/>
      <c r="D708" s="14"/>
      <c r="E708" s="13"/>
      <c r="F708" s="7" t="str">
        <f t="shared" ca="1" si="30"/>
        <v/>
      </c>
      <c r="G708" s="27" t="str">
        <f t="shared" ca="1" si="31"/>
        <v/>
      </c>
      <c r="H708" s="13"/>
      <c r="I708" s="29" t="str">
        <f t="shared" ca="1" si="32"/>
        <v/>
      </c>
    </row>
    <row r="709" spans="1:9" x14ac:dyDescent="0.35">
      <c r="A709" s="21"/>
      <c r="B709" s="13"/>
      <c r="C709" s="14"/>
      <c r="D709" s="14"/>
      <c r="E709" s="13"/>
      <c r="F709" s="7" t="str">
        <f t="shared" ref="F709:F772" ca="1" si="33">IF($B709="","",IF($D709&lt;&gt;"","Fait",IF($C709="","Non planifié",IF(N($C709)&lt;TODAY(),"En retard","À venir"))))</f>
        <v/>
      </c>
      <c r="G709" s="27" t="str">
        <f t="shared" ref="G709:G772" ca="1" si="34">IF($B709="","",IF(AND($C709&lt;&gt;"",$D709&lt;&gt;""),$D709-$C709,IF($F709="En retard",TODAY()-$C709,"")))</f>
        <v/>
      </c>
      <c r="H709" s="13"/>
      <c r="I709" s="29" t="str">
        <f t="shared" ref="I709:I772" ca="1" si="35">IF($F709="En retard",1,"")</f>
        <v/>
      </c>
    </row>
    <row r="710" spans="1:9" x14ac:dyDescent="0.35">
      <c r="A710" s="21"/>
      <c r="B710" s="13"/>
      <c r="C710" s="14"/>
      <c r="D710" s="14"/>
      <c r="E710" s="13"/>
      <c r="F710" s="7" t="str">
        <f t="shared" ca="1" si="33"/>
        <v/>
      </c>
      <c r="G710" s="27" t="str">
        <f t="shared" ca="1" si="34"/>
        <v/>
      </c>
      <c r="H710" s="13"/>
      <c r="I710" s="29" t="str">
        <f t="shared" ca="1" si="35"/>
        <v/>
      </c>
    </row>
    <row r="711" spans="1:9" x14ac:dyDescent="0.35">
      <c r="A711" s="21"/>
      <c r="B711" s="13"/>
      <c r="C711" s="14"/>
      <c r="D711" s="14"/>
      <c r="E711" s="13"/>
      <c r="F711" s="7" t="str">
        <f t="shared" ca="1" si="33"/>
        <v/>
      </c>
      <c r="G711" s="27" t="str">
        <f t="shared" ca="1" si="34"/>
        <v/>
      </c>
      <c r="H711" s="13"/>
      <c r="I711" s="29" t="str">
        <f t="shared" ca="1" si="35"/>
        <v/>
      </c>
    </row>
    <row r="712" spans="1:9" x14ac:dyDescent="0.35">
      <c r="A712" s="21"/>
      <c r="B712" s="13"/>
      <c r="C712" s="14"/>
      <c r="D712" s="14"/>
      <c r="E712" s="13"/>
      <c r="F712" s="7" t="str">
        <f t="shared" ca="1" si="33"/>
        <v/>
      </c>
      <c r="G712" s="27" t="str">
        <f t="shared" ca="1" si="34"/>
        <v/>
      </c>
      <c r="H712" s="13"/>
      <c r="I712" s="29" t="str">
        <f t="shared" ca="1" si="35"/>
        <v/>
      </c>
    </row>
    <row r="713" spans="1:9" x14ac:dyDescent="0.35">
      <c r="A713" s="21"/>
      <c r="B713" s="13"/>
      <c r="C713" s="14"/>
      <c r="D713" s="14"/>
      <c r="E713" s="13"/>
      <c r="F713" s="7" t="str">
        <f t="shared" ca="1" si="33"/>
        <v/>
      </c>
      <c r="G713" s="27" t="str">
        <f t="shared" ca="1" si="34"/>
        <v/>
      </c>
      <c r="H713" s="13"/>
      <c r="I713" s="29" t="str">
        <f t="shared" ca="1" si="35"/>
        <v/>
      </c>
    </row>
    <row r="714" spans="1:9" x14ac:dyDescent="0.35">
      <c r="A714" s="21"/>
      <c r="B714" s="13"/>
      <c r="C714" s="14"/>
      <c r="D714" s="14"/>
      <c r="E714" s="13"/>
      <c r="F714" s="7" t="str">
        <f t="shared" ca="1" si="33"/>
        <v/>
      </c>
      <c r="G714" s="27" t="str">
        <f t="shared" ca="1" si="34"/>
        <v/>
      </c>
      <c r="H714" s="13"/>
      <c r="I714" s="29" t="str">
        <f t="shared" ca="1" si="35"/>
        <v/>
      </c>
    </row>
    <row r="715" spans="1:9" x14ac:dyDescent="0.35">
      <c r="A715" s="21"/>
      <c r="B715" s="13"/>
      <c r="C715" s="14"/>
      <c r="D715" s="14"/>
      <c r="E715" s="13"/>
      <c r="F715" s="7" t="str">
        <f t="shared" ca="1" si="33"/>
        <v/>
      </c>
      <c r="G715" s="27" t="str">
        <f t="shared" ca="1" si="34"/>
        <v/>
      </c>
      <c r="H715" s="13"/>
      <c r="I715" s="29" t="str">
        <f t="shared" ca="1" si="35"/>
        <v/>
      </c>
    </row>
    <row r="716" spans="1:9" x14ac:dyDescent="0.35">
      <c r="A716" s="21"/>
      <c r="B716" s="13"/>
      <c r="C716" s="14"/>
      <c r="D716" s="14"/>
      <c r="E716" s="13"/>
      <c r="F716" s="7" t="str">
        <f t="shared" ca="1" si="33"/>
        <v/>
      </c>
      <c r="G716" s="27" t="str">
        <f t="shared" ca="1" si="34"/>
        <v/>
      </c>
      <c r="H716" s="13"/>
      <c r="I716" s="29" t="str">
        <f t="shared" ca="1" si="35"/>
        <v/>
      </c>
    </row>
    <row r="717" spans="1:9" x14ac:dyDescent="0.35">
      <c r="A717" s="21"/>
      <c r="B717" s="13"/>
      <c r="C717" s="14"/>
      <c r="D717" s="14"/>
      <c r="E717" s="13"/>
      <c r="F717" s="7" t="str">
        <f t="shared" ca="1" si="33"/>
        <v/>
      </c>
      <c r="G717" s="27" t="str">
        <f t="shared" ca="1" si="34"/>
        <v/>
      </c>
      <c r="H717" s="13"/>
      <c r="I717" s="29" t="str">
        <f t="shared" ca="1" si="35"/>
        <v/>
      </c>
    </row>
    <row r="718" spans="1:9" x14ac:dyDescent="0.35">
      <c r="A718" s="21"/>
      <c r="B718" s="13"/>
      <c r="C718" s="14"/>
      <c r="D718" s="14"/>
      <c r="E718" s="13"/>
      <c r="F718" s="7" t="str">
        <f t="shared" ca="1" si="33"/>
        <v/>
      </c>
      <c r="G718" s="27" t="str">
        <f t="shared" ca="1" si="34"/>
        <v/>
      </c>
      <c r="H718" s="13"/>
      <c r="I718" s="29" t="str">
        <f t="shared" ca="1" si="35"/>
        <v/>
      </c>
    </row>
    <row r="719" spans="1:9" x14ac:dyDescent="0.35">
      <c r="A719" s="21"/>
      <c r="B719" s="13"/>
      <c r="C719" s="14"/>
      <c r="D719" s="14"/>
      <c r="E719" s="13"/>
      <c r="F719" s="7" t="str">
        <f t="shared" ca="1" si="33"/>
        <v/>
      </c>
      <c r="G719" s="27" t="str">
        <f t="shared" ca="1" si="34"/>
        <v/>
      </c>
      <c r="H719" s="13"/>
      <c r="I719" s="29" t="str">
        <f t="shared" ca="1" si="35"/>
        <v/>
      </c>
    </row>
    <row r="720" spans="1:9" x14ac:dyDescent="0.35">
      <c r="A720" s="21"/>
      <c r="B720" s="13"/>
      <c r="C720" s="14"/>
      <c r="D720" s="14"/>
      <c r="E720" s="13"/>
      <c r="F720" s="7" t="str">
        <f t="shared" ca="1" si="33"/>
        <v/>
      </c>
      <c r="G720" s="27" t="str">
        <f t="shared" ca="1" si="34"/>
        <v/>
      </c>
      <c r="H720" s="13"/>
      <c r="I720" s="29" t="str">
        <f t="shared" ca="1" si="35"/>
        <v/>
      </c>
    </row>
    <row r="721" spans="1:9" x14ac:dyDescent="0.35">
      <c r="A721" s="21"/>
      <c r="B721" s="13"/>
      <c r="C721" s="14"/>
      <c r="D721" s="14"/>
      <c r="E721" s="13"/>
      <c r="F721" s="7" t="str">
        <f t="shared" ca="1" si="33"/>
        <v/>
      </c>
      <c r="G721" s="27" t="str">
        <f t="shared" ca="1" si="34"/>
        <v/>
      </c>
      <c r="H721" s="13"/>
      <c r="I721" s="29" t="str">
        <f t="shared" ca="1" si="35"/>
        <v/>
      </c>
    </row>
    <row r="722" spans="1:9" x14ac:dyDescent="0.35">
      <c r="A722" s="21"/>
      <c r="B722" s="13"/>
      <c r="C722" s="14"/>
      <c r="D722" s="14"/>
      <c r="E722" s="13"/>
      <c r="F722" s="7" t="str">
        <f t="shared" ca="1" si="33"/>
        <v/>
      </c>
      <c r="G722" s="27" t="str">
        <f t="shared" ca="1" si="34"/>
        <v/>
      </c>
      <c r="H722" s="13"/>
      <c r="I722" s="29" t="str">
        <f t="shared" ca="1" si="35"/>
        <v/>
      </c>
    </row>
    <row r="723" spans="1:9" x14ac:dyDescent="0.35">
      <c r="A723" s="21"/>
      <c r="B723" s="13"/>
      <c r="C723" s="14"/>
      <c r="D723" s="14"/>
      <c r="E723" s="13"/>
      <c r="F723" s="7" t="str">
        <f t="shared" ca="1" si="33"/>
        <v/>
      </c>
      <c r="G723" s="27" t="str">
        <f t="shared" ca="1" si="34"/>
        <v/>
      </c>
      <c r="H723" s="13"/>
      <c r="I723" s="29" t="str">
        <f t="shared" ca="1" si="35"/>
        <v/>
      </c>
    </row>
    <row r="724" spans="1:9" x14ac:dyDescent="0.35">
      <c r="A724" s="21"/>
      <c r="B724" s="13"/>
      <c r="C724" s="14"/>
      <c r="D724" s="14"/>
      <c r="E724" s="13"/>
      <c r="F724" s="7" t="str">
        <f t="shared" ca="1" si="33"/>
        <v/>
      </c>
      <c r="G724" s="27" t="str">
        <f t="shared" ca="1" si="34"/>
        <v/>
      </c>
      <c r="H724" s="13"/>
      <c r="I724" s="29" t="str">
        <f t="shared" ca="1" si="35"/>
        <v/>
      </c>
    </row>
    <row r="725" spans="1:9" x14ac:dyDescent="0.35">
      <c r="A725" s="21"/>
      <c r="B725" s="13"/>
      <c r="C725" s="14"/>
      <c r="D725" s="14"/>
      <c r="E725" s="13"/>
      <c r="F725" s="7" t="str">
        <f t="shared" ca="1" si="33"/>
        <v/>
      </c>
      <c r="G725" s="27" t="str">
        <f t="shared" ca="1" si="34"/>
        <v/>
      </c>
      <c r="H725" s="13"/>
      <c r="I725" s="29" t="str">
        <f t="shared" ca="1" si="35"/>
        <v/>
      </c>
    </row>
    <row r="726" spans="1:9" x14ac:dyDescent="0.35">
      <c r="A726" s="21"/>
      <c r="B726" s="13"/>
      <c r="C726" s="14"/>
      <c r="D726" s="14"/>
      <c r="E726" s="13"/>
      <c r="F726" s="7" t="str">
        <f t="shared" ca="1" si="33"/>
        <v/>
      </c>
      <c r="G726" s="27" t="str">
        <f t="shared" ca="1" si="34"/>
        <v/>
      </c>
      <c r="H726" s="13"/>
      <c r="I726" s="29" t="str">
        <f t="shared" ca="1" si="35"/>
        <v/>
      </c>
    </row>
    <row r="727" spans="1:9" x14ac:dyDescent="0.35">
      <c r="A727" s="21"/>
      <c r="B727" s="13"/>
      <c r="C727" s="14"/>
      <c r="D727" s="14"/>
      <c r="E727" s="13"/>
      <c r="F727" s="7" t="str">
        <f t="shared" ca="1" si="33"/>
        <v/>
      </c>
      <c r="G727" s="27" t="str">
        <f t="shared" ca="1" si="34"/>
        <v/>
      </c>
      <c r="H727" s="13"/>
      <c r="I727" s="29" t="str">
        <f t="shared" ca="1" si="35"/>
        <v/>
      </c>
    </row>
    <row r="728" spans="1:9" x14ac:dyDescent="0.35">
      <c r="A728" s="21"/>
      <c r="B728" s="13"/>
      <c r="C728" s="14"/>
      <c r="D728" s="14"/>
      <c r="E728" s="13"/>
      <c r="F728" s="7" t="str">
        <f t="shared" ca="1" si="33"/>
        <v/>
      </c>
      <c r="G728" s="27" t="str">
        <f t="shared" ca="1" si="34"/>
        <v/>
      </c>
      <c r="H728" s="13"/>
      <c r="I728" s="29" t="str">
        <f t="shared" ca="1" si="35"/>
        <v/>
      </c>
    </row>
    <row r="729" spans="1:9" x14ac:dyDescent="0.35">
      <c r="A729" s="21"/>
      <c r="B729" s="13"/>
      <c r="C729" s="14"/>
      <c r="D729" s="14"/>
      <c r="E729" s="13"/>
      <c r="F729" s="7" t="str">
        <f t="shared" ca="1" si="33"/>
        <v/>
      </c>
      <c r="G729" s="27" t="str">
        <f t="shared" ca="1" si="34"/>
        <v/>
      </c>
      <c r="H729" s="13"/>
      <c r="I729" s="29" t="str">
        <f t="shared" ca="1" si="35"/>
        <v/>
      </c>
    </row>
    <row r="730" spans="1:9" x14ac:dyDescent="0.35">
      <c r="A730" s="21"/>
      <c r="B730" s="13"/>
      <c r="C730" s="14"/>
      <c r="D730" s="14"/>
      <c r="E730" s="13"/>
      <c r="F730" s="7" t="str">
        <f t="shared" ca="1" si="33"/>
        <v/>
      </c>
      <c r="G730" s="27" t="str">
        <f t="shared" ca="1" si="34"/>
        <v/>
      </c>
      <c r="H730" s="13"/>
      <c r="I730" s="29" t="str">
        <f t="shared" ca="1" si="35"/>
        <v/>
      </c>
    </row>
    <row r="731" spans="1:9" x14ac:dyDescent="0.35">
      <c r="A731" s="21"/>
      <c r="B731" s="13"/>
      <c r="C731" s="14"/>
      <c r="D731" s="14"/>
      <c r="E731" s="13"/>
      <c r="F731" s="7" t="str">
        <f t="shared" ca="1" si="33"/>
        <v/>
      </c>
      <c r="G731" s="27" t="str">
        <f t="shared" ca="1" si="34"/>
        <v/>
      </c>
      <c r="H731" s="13"/>
      <c r="I731" s="29" t="str">
        <f t="shared" ca="1" si="35"/>
        <v/>
      </c>
    </row>
    <row r="732" spans="1:9" x14ac:dyDescent="0.35">
      <c r="A732" s="21"/>
      <c r="B732" s="13"/>
      <c r="C732" s="14"/>
      <c r="D732" s="14"/>
      <c r="E732" s="13"/>
      <c r="F732" s="7" t="str">
        <f t="shared" ca="1" si="33"/>
        <v/>
      </c>
      <c r="G732" s="27" t="str">
        <f t="shared" ca="1" si="34"/>
        <v/>
      </c>
      <c r="H732" s="13"/>
      <c r="I732" s="29" t="str">
        <f t="shared" ca="1" si="35"/>
        <v/>
      </c>
    </row>
    <row r="733" spans="1:9" x14ac:dyDescent="0.35">
      <c r="A733" s="21"/>
      <c r="B733" s="13"/>
      <c r="C733" s="14"/>
      <c r="D733" s="14"/>
      <c r="E733" s="13"/>
      <c r="F733" s="7" t="str">
        <f t="shared" ca="1" si="33"/>
        <v/>
      </c>
      <c r="G733" s="27" t="str">
        <f t="shared" ca="1" si="34"/>
        <v/>
      </c>
      <c r="H733" s="13"/>
      <c r="I733" s="29" t="str">
        <f t="shared" ca="1" si="35"/>
        <v/>
      </c>
    </row>
    <row r="734" spans="1:9" x14ac:dyDescent="0.35">
      <c r="A734" s="21"/>
      <c r="B734" s="13"/>
      <c r="C734" s="14"/>
      <c r="D734" s="14"/>
      <c r="E734" s="13"/>
      <c r="F734" s="7" t="str">
        <f t="shared" ca="1" si="33"/>
        <v/>
      </c>
      <c r="G734" s="27" t="str">
        <f t="shared" ca="1" si="34"/>
        <v/>
      </c>
      <c r="H734" s="13"/>
      <c r="I734" s="29" t="str">
        <f t="shared" ca="1" si="35"/>
        <v/>
      </c>
    </row>
    <row r="735" spans="1:9" x14ac:dyDescent="0.35">
      <c r="A735" s="21"/>
      <c r="B735" s="13"/>
      <c r="C735" s="14"/>
      <c r="D735" s="14"/>
      <c r="E735" s="13"/>
      <c r="F735" s="7" t="str">
        <f t="shared" ca="1" si="33"/>
        <v/>
      </c>
      <c r="G735" s="27" t="str">
        <f t="shared" ca="1" si="34"/>
        <v/>
      </c>
      <c r="H735" s="13"/>
      <c r="I735" s="29" t="str">
        <f t="shared" ca="1" si="35"/>
        <v/>
      </c>
    </row>
    <row r="736" spans="1:9" x14ac:dyDescent="0.35">
      <c r="A736" s="21"/>
      <c r="B736" s="13"/>
      <c r="C736" s="14"/>
      <c r="D736" s="14"/>
      <c r="E736" s="13"/>
      <c r="F736" s="7" t="str">
        <f t="shared" ca="1" si="33"/>
        <v/>
      </c>
      <c r="G736" s="27" t="str">
        <f t="shared" ca="1" si="34"/>
        <v/>
      </c>
      <c r="H736" s="13"/>
      <c r="I736" s="29" t="str">
        <f t="shared" ca="1" si="35"/>
        <v/>
      </c>
    </row>
    <row r="737" spans="1:9" x14ac:dyDescent="0.35">
      <c r="A737" s="21"/>
      <c r="B737" s="13"/>
      <c r="C737" s="14"/>
      <c r="D737" s="14"/>
      <c r="E737" s="13"/>
      <c r="F737" s="7" t="str">
        <f t="shared" ca="1" si="33"/>
        <v/>
      </c>
      <c r="G737" s="27" t="str">
        <f t="shared" ca="1" si="34"/>
        <v/>
      </c>
      <c r="H737" s="13"/>
      <c r="I737" s="29" t="str">
        <f t="shared" ca="1" si="35"/>
        <v/>
      </c>
    </row>
    <row r="738" spans="1:9" x14ac:dyDescent="0.35">
      <c r="A738" s="21"/>
      <c r="B738" s="13"/>
      <c r="C738" s="14"/>
      <c r="D738" s="14"/>
      <c r="E738" s="13"/>
      <c r="F738" s="7" t="str">
        <f t="shared" ca="1" si="33"/>
        <v/>
      </c>
      <c r="G738" s="27" t="str">
        <f t="shared" ca="1" si="34"/>
        <v/>
      </c>
      <c r="H738" s="13"/>
      <c r="I738" s="29" t="str">
        <f t="shared" ca="1" si="35"/>
        <v/>
      </c>
    </row>
    <row r="739" spans="1:9" x14ac:dyDescent="0.35">
      <c r="A739" s="21"/>
      <c r="B739" s="13"/>
      <c r="C739" s="14"/>
      <c r="D739" s="14"/>
      <c r="E739" s="13"/>
      <c r="F739" s="7" t="str">
        <f t="shared" ca="1" si="33"/>
        <v/>
      </c>
      <c r="G739" s="27" t="str">
        <f t="shared" ca="1" si="34"/>
        <v/>
      </c>
      <c r="H739" s="13"/>
      <c r="I739" s="29" t="str">
        <f t="shared" ca="1" si="35"/>
        <v/>
      </c>
    </row>
    <row r="740" spans="1:9" x14ac:dyDescent="0.35">
      <c r="A740" s="21"/>
      <c r="B740" s="13"/>
      <c r="C740" s="14"/>
      <c r="D740" s="14"/>
      <c r="E740" s="13"/>
      <c r="F740" s="7" t="str">
        <f t="shared" ca="1" si="33"/>
        <v/>
      </c>
      <c r="G740" s="27" t="str">
        <f t="shared" ca="1" si="34"/>
        <v/>
      </c>
      <c r="H740" s="13"/>
      <c r="I740" s="29" t="str">
        <f t="shared" ca="1" si="35"/>
        <v/>
      </c>
    </row>
    <row r="741" spans="1:9" x14ac:dyDescent="0.35">
      <c r="A741" s="21"/>
      <c r="B741" s="13"/>
      <c r="C741" s="14"/>
      <c r="D741" s="14"/>
      <c r="E741" s="13"/>
      <c r="F741" s="7" t="str">
        <f t="shared" ca="1" si="33"/>
        <v/>
      </c>
      <c r="G741" s="27" t="str">
        <f t="shared" ca="1" si="34"/>
        <v/>
      </c>
      <c r="H741" s="13"/>
      <c r="I741" s="29" t="str">
        <f t="shared" ca="1" si="35"/>
        <v/>
      </c>
    </row>
    <row r="742" spans="1:9" x14ac:dyDescent="0.35">
      <c r="A742" s="21"/>
      <c r="B742" s="13"/>
      <c r="C742" s="14"/>
      <c r="D742" s="14"/>
      <c r="E742" s="13"/>
      <c r="F742" s="7" t="str">
        <f t="shared" ca="1" si="33"/>
        <v/>
      </c>
      <c r="G742" s="27" t="str">
        <f t="shared" ca="1" si="34"/>
        <v/>
      </c>
      <c r="H742" s="13"/>
      <c r="I742" s="29" t="str">
        <f t="shared" ca="1" si="35"/>
        <v/>
      </c>
    </row>
    <row r="743" spans="1:9" x14ac:dyDescent="0.35">
      <c r="A743" s="21"/>
      <c r="B743" s="13"/>
      <c r="C743" s="14"/>
      <c r="D743" s="14"/>
      <c r="E743" s="13"/>
      <c r="F743" s="7" t="str">
        <f t="shared" ca="1" si="33"/>
        <v/>
      </c>
      <c r="G743" s="27" t="str">
        <f t="shared" ca="1" si="34"/>
        <v/>
      </c>
      <c r="H743" s="13"/>
      <c r="I743" s="29" t="str">
        <f t="shared" ca="1" si="35"/>
        <v/>
      </c>
    </row>
    <row r="744" spans="1:9" x14ac:dyDescent="0.35">
      <c r="A744" s="21"/>
      <c r="B744" s="13"/>
      <c r="C744" s="14"/>
      <c r="D744" s="14"/>
      <c r="E744" s="13"/>
      <c r="F744" s="7" t="str">
        <f t="shared" ca="1" si="33"/>
        <v/>
      </c>
      <c r="G744" s="27" t="str">
        <f t="shared" ca="1" si="34"/>
        <v/>
      </c>
      <c r="H744" s="13"/>
      <c r="I744" s="29" t="str">
        <f t="shared" ca="1" si="35"/>
        <v/>
      </c>
    </row>
    <row r="745" spans="1:9" x14ac:dyDescent="0.35">
      <c r="A745" s="21"/>
      <c r="B745" s="13"/>
      <c r="C745" s="14"/>
      <c r="D745" s="14"/>
      <c r="E745" s="13"/>
      <c r="F745" s="7" t="str">
        <f t="shared" ca="1" si="33"/>
        <v/>
      </c>
      <c r="G745" s="27" t="str">
        <f t="shared" ca="1" si="34"/>
        <v/>
      </c>
      <c r="H745" s="13"/>
      <c r="I745" s="29" t="str">
        <f t="shared" ca="1" si="35"/>
        <v/>
      </c>
    </row>
    <row r="746" spans="1:9" x14ac:dyDescent="0.35">
      <c r="A746" s="21"/>
      <c r="B746" s="13"/>
      <c r="C746" s="14"/>
      <c r="D746" s="14"/>
      <c r="E746" s="13"/>
      <c r="F746" s="7" t="str">
        <f t="shared" ca="1" si="33"/>
        <v/>
      </c>
      <c r="G746" s="27" t="str">
        <f t="shared" ca="1" si="34"/>
        <v/>
      </c>
      <c r="H746" s="13"/>
      <c r="I746" s="29" t="str">
        <f t="shared" ca="1" si="35"/>
        <v/>
      </c>
    </row>
    <row r="747" spans="1:9" x14ac:dyDescent="0.35">
      <c r="A747" s="21"/>
      <c r="B747" s="13"/>
      <c r="C747" s="14"/>
      <c r="D747" s="14"/>
      <c r="E747" s="13"/>
      <c r="F747" s="7" t="str">
        <f t="shared" ca="1" si="33"/>
        <v/>
      </c>
      <c r="G747" s="27" t="str">
        <f t="shared" ca="1" si="34"/>
        <v/>
      </c>
      <c r="H747" s="13"/>
      <c r="I747" s="29" t="str">
        <f t="shared" ca="1" si="35"/>
        <v/>
      </c>
    </row>
    <row r="748" spans="1:9" x14ac:dyDescent="0.35">
      <c r="A748" s="21"/>
      <c r="B748" s="13"/>
      <c r="C748" s="14"/>
      <c r="D748" s="14"/>
      <c r="E748" s="13"/>
      <c r="F748" s="7" t="str">
        <f t="shared" ca="1" si="33"/>
        <v/>
      </c>
      <c r="G748" s="27" t="str">
        <f t="shared" ca="1" si="34"/>
        <v/>
      </c>
      <c r="H748" s="13"/>
      <c r="I748" s="29" t="str">
        <f t="shared" ca="1" si="35"/>
        <v/>
      </c>
    </row>
    <row r="749" spans="1:9" x14ac:dyDescent="0.35">
      <c r="A749" s="21"/>
      <c r="B749" s="13"/>
      <c r="C749" s="14"/>
      <c r="D749" s="14"/>
      <c r="E749" s="13"/>
      <c r="F749" s="7" t="str">
        <f t="shared" ca="1" si="33"/>
        <v/>
      </c>
      <c r="G749" s="27" t="str">
        <f t="shared" ca="1" si="34"/>
        <v/>
      </c>
      <c r="H749" s="13"/>
      <c r="I749" s="29" t="str">
        <f t="shared" ca="1" si="35"/>
        <v/>
      </c>
    </row>
    <row r="750" spans="1:9" x14ac:dyDescent="0.35">
      <c r="A750" s="21"/>
      <c r="B750" s="13"/>
      <c r="C750" s="14"/>
      <c r="D750" s="14"/>
      <c r="E750" s="13"/>
      <c r="F750" s="7" t="str">
        <f t="shared" ca="1" si="33"/>
        <v/>
      </c>
      <c r="G750" s="27" t="str">
        <f t="shared" ca="1" si="34"/>
        <v/>
      </c>
      <c r="H750" s="13"/>
      <c r="I750" s="29" t="str">
        <f t="shared" ca="1" si="35"/>
        <v/>
      </c>
    </row>
    <row r="751" spans="1:9" x14ac:dyDescent="0.35">
      <c r="A751" s="21"/>
      <c r="B751" s="13"/>
      <c r="C751" s="14"/>
      <c r="D751" s="14"/>
      <c r="E751" s="13"/>
      <c r="F751" s="7" t="str">
        <f t="shared" ca="1" si="33"/>
        <v/>
      </c>
      <c r="G751" s="27" t="str">
        <f t="shared" ca="1" si="34"/>
        <v/>
      </c>
      <c r="H751" s="13"/>
      <c r="I751" s="29" t="str">
        <f t="shared" ca="1" si="35"/>
        <v/>
      </c>
    </row>
    <row r="752" spans="1:9" x14ac:dyDescent="0.35">
      <c r="A752" s="21"/>
      <c r="B752" s="13"/>
      <c r="C752" s="14"/>
      <c r="D752" s="14"/>
      <c r="E752" s="13"/>
      <c r="F752" s="7" t="str">
        <f t="shared" ca="1" si="33"/>
        <v/>
      </c>
      <c r="G752" s="27" t="str">
        <f t="shared" ca="1" si="34"/>
        <v/>
      </c>
      <c r="H752" s="13"/>
      <c r="I752" s="29" t="str">
        <f t="shared" ca="1" si="35"/>
        <v/>
      </c>
    </row>
    <row r="753" spans="1:9" x14ac:dyDescent="0.35">
      <c r="A753" s="21"/>
      <c r="B753" s="13"/>
      <c r="C753" s="14"/>
      <c r="D753" s="14"/>
      <c r="E753" s="13"/>
      <c r="F753" s="7" t="str">
        <f t="shared" ca="1" si="33"/>
        <v/>
      </c>
      <c r="G753" s="27" t="str">
        <f t="shared" ca="1" si="34"/>
        <v/>
      </c>
      <c r="H753" s="13"/>
      <c r="I753" s="29" t="str">
        <f t="shared" ca="1" si="35"/>
        <v/>
      </c>
    </row>
    <row r="754" spans="1:9" x14ac:dyDescent="0.35">
      <c r="A754" s="21"/>
      <c r="B754" s="13"/>
      <c r="C754" s="14"/>
      <c r="D754" s="14"/>
      <c r="E754" s="13"/>
      <c r="F754" s="7" t="str">
        <f t="shared" ca="1" si="33"/>
        <v/>
      </c>
      <c r="G754" s="27" t="str">
        <f t="shared" ca="1" si="34"/>
        <v/>
      </c>
      <c r="H754" s="13"/>
      <c r="I754" s="29" t="str">
        <f t="shared" ca="1" si="35"/>
        <v/>
      </c>
    </row>
    <row r="755" spans="1:9" x14ac:dyDescent="0.35">
      <c r="A755" s="21"/>
      <c r="B755" s="13"/>
      <c r="C755" s="14"/>
      <c r="D755" s="14"/>
      <c r="E755" s="13"/>
      <c r="F755" s="7" t="str">
        <f t="shared" ca="1" si="33"/>
        <v/>
      </c>
      <c r="G755" s="27" t="str">
        <f t="shared" ca="1" si="34"/>
        <v/>
      </c>
      <c r="H755" s="13"/>
      <c r="I755" s="29" t="str">
        <f t="shared" ca="1" si="35"/>
        <v/>
      </c>
    </row>
    <row r="756" spans="1:9" x14ac:dyDescent="0.35">
      <c r="A756" s="21"/>
      <c r="B756" s="13"/>
      <c r="C756" s="14"/>
      <c r="D756" s="14"/>
      <c r="E756" s="13"/>
      <c r="F756" s="7" t="str">
        <f t="shared" ca="1" si="33"/>
        <v/>
      </c>
      <c r="G756" s="27" t="str">
        <f t="shared" ca="1" si="34"/>
        <v/>
      </c>
      <c r="H756" s="13"/>
      <c r="I756" s="29" t="str">
        <f t="shared" ca="1" si="35"/>
        <v/>
      </c>
    </row>
    <row r="757" spans="1:9" x14ac:dyDescent="0.35">
      <c r="A757" s="21"/>
      <c r="B757" s="13"/>
      <c r="C757" s="14"/>
      <c r="D757" s="14"/>
      <c r="E757" s="13"/>
      <c r="F757" s="7" t="str">
        <f t="shared" ca="1" si="33"/>
        <v/>
      </c>
      <c r="G757" s="27" t="str">
        <f t="shared" ca="1" si="34"/>
        <v/>
      </c>
      <c r="H757" s="13"/>
      <c r="I757" s="29" t="str">
        <f t="shared" ca="1" si="35"/>
        <v/>
      </c>
    </row>
    <row r="758" spans="1:9" x14ac:dyDescent="0.35">
      <c r="A758" s="21"/>
      <c r="B758" s="13"/>
      <c r="C758" s="14"/>
      <c r="D758" s="14"/>
      <c r="E758" s="13"/>
      <c r="F758" s="7" t="str">
        <f t="shared" ca="1" si="33"/>
        <v/>
      </c>
      <c r="G758" s="27" t="str">
        <f t="shared" ca="1" si="34"/>
        <v/>
      </c>
      <c r="H758" s="13"/>
      <c r="I758" s="29" t="str">
        <f t="shared" ca="1" si="35"/>
        <v/>
      </c>
    </row>
    <row r="759" spans="1:9" x14ac:dyDescent="0.35">
      <c r="A759" s="21"/>
      <c r="B759" s="13"/>
      <c r="C759" s="14"/>
      <c r="D759" s="14"/>
      <c r="E759" s="13"/>
      <c r="F759" s="7" t="str">
        <f t="shared" ca="1" si="33"/>
        <v/>
      </c>
      <c r="G759" s="27" t="str">
        <f t="shared" ca="1" si="34"/>
        <v/>
      </c>
      <c r="H759" s="13"/>
      <c r="I759" s="29" t="str">
        <f t="shared" ca="1" si="35"/>
        <v/>
      </c>
    </row>
    <row r="760" spans="1:9" x14ac:dyDescent="0.35">
      <c r="A760" s="21"/>
      <c r="B760" s="13"/>
      <c r="C760" s="14"/>
      <c r="D760" s="14"/>
      <c r="E760" s="13"/>
      <c r="F760" s="7" t="str">
        <f t="shared" ca="1" si="33"/>
        <v/>
      </c>
      <c r="G760" s="27" t="str">
        <f t="shared" ca="1" si="34"/>
        <v/>
      </c>
      <c r="H760" s="13"/>
      <c r="I760" s="29" t="str">
        <f t="shared" ca="1" si="35"/>
        <v/>
      </c>
    </row>
    <row r="761" spans="1:9" x14ac:dyDescent="0.35">
      <c r="A761" s="21"/>
      <c r="B761" s="13"/>
      <c r="C761" s="14"/>
      <c r="D761" s="14"/>
      <c r="E761" s="13"/>
      <c r="F761" s="7" t="str">
        <f t="shared" ca="1" si="33"/>
        <v/>
      </c>
      <c r="G761" s="27" t="str">
        <f t="shared" ca="1" si="34"/>
        <v/>
      </c>
      <c r="H761" s="13"/>
      <c r="I761" s="29" t="str">
        <f t="shared" ca="1" si="35"/>
        <v/>
      </c>
    </row>
    <row r="762" spans="1:9" x14ac:dyDescent="0.35">
      <c r="A762" s="21"/>
      <c r="B762" s="13"/>
      <c r="C762" s="14"/>
      <c r="D762" s="14"/>
      <c r="E762" s="13"/>
      <c r="F762" s="7" t="str">
        <f t="shared" ca="1" si="33"/>
        <v/>
      </c>
      <c r="G762" s="27" t="str">
        <f t="shared" ca="1" si="34"/>
        <v/>
      </c>
      <c r="H762" s="13"/>
      <c r="I762" s="29" t="str">
        <f t="shared" ca="1" si="35"/>
        <v/>
      </c>
    </row>
    <row r="763" spans="1:9" x14ac:dyDescent="0.35">
      <c r="A763" s="21"/>
      <c r="B763" s="13"/>
      <c r="C763" s="14"/>
      <c r="D763" s="14"/>
      <c r="E763" s="13"/>
      <c r="F763" s="7" t="str">
        <f t="shared" ca="1" si="33"/>
        <v/>
      </c>
      <c r="G763" s="27" t="str">
        <f t="shared" ca="1" si="34"/>
        <v/>
      </c>
      <c r="H763" s="13"/>
      <c r="I763" s="29" t="str">
        <f t="shared" ca="1" si="35"/>
        <v/>
      </c>
    </row>
    <row r="764" spans="1:9" x14ac:dyDescent="0.35">
      <c r="A764" s="21"/>
      <c r="B764" s="13"/>
      <c r="C764" s="14"/>
      <c r="D764" s="14"/>
      <c r="E764" s="13"/>
      <c r="F764" s="7" t="str">
        <f t="shared" ca="1" si="33"/>
        <v/>
      </c>
      <c r="G764" s="27" t="str">
        <f t="shared" ca="1" si="34"/>
        <v/>
      </c>
      <c r="H764" s="13"/>
      <c r="I764" s="29" t="str">
        <f t="shared" ca="1" si="35"/>
        <v/>
      </c>
    </row>
    <row r="765" spans="1:9" x14ac:dyDescent="0.35">
      <c r="A765" s="21"/>
      <c r="B765" s="13"/>
      <c r="C765" s="14"/>
      <c r="D765" s="14"/>
      <c r="E765" s="13"/>
      <c r="F765" s="7" t="str">
        <f t="shared" ca="1" si="33"/>
        <v/>
      </c>
      <c r="G765" s="27" t="str">
        <f t="shared" ca="1" si="34"/>
        <v/>
      </c>
      <c r="H765" s="13"/>
      <c r="I765" s="29" t="str">
        <f t="shared" ca="1" si="35"/>
        <v/>
      </c>
    </row>
    <row r="766" spans="1:9" x14ac:dyDescent="0.35">
      <c r="A766" s="21"/>
      <c r="B766" s="13"/>
      <c r="C766" s="14"/>
      <c r="D766" s="14"/>
      <c r="E766" s="13"/>
      <c r="F766" s="7" t="str">
        <f t="shared" ca="1" si="33"/>
        <v/>
      </c>
      <c r="G766" s="27" t="str">
        <f t="shared" ca="1" si="34"/>
        <v/>
      </c>
      <c r="H766" s="13"/>
      <c r="I766" s="29" t="str">
        <f t="shared" ca="1" si="35"/>
        <v/>
      </c>
    </row>
    <row r="767" spans="1:9" x14ac:dyDescent="0.35">
      <c r="A767" s="21"/>
      <c r="B767" s="13"/>
      <c r="C767" s="14"/>
      <c r="D767" s="14"/>
      <c r="E767" s="13"/>
      <c r="F767" s="7" t="str">
        <f t="shared" ca="1" si="33"/>
        <v/>
      </c>
      <c r="G767" s="27" t="str">
        <f t="shared" ca="1" si="34"/>
        <v/>
      </c>
      <c r="H767" s="13"/>
      <c r="I767" s="29" t="str">
        <f t="shared" ca="1" si="35"/>
        <v/>
      </c>
    </row>
    <row r="768" spans="1:9" x14ac:dyDescent="0.35">
      <c r="A768" s="21"/>
      <c r="B768" s="13"/>
      <c r="C768" s="14"/>
      <c r="D768" s="14"/>
      <c r="E768" s="13"/>
      <c r="F768" s="7" t="str">
        <f t="shared" ca="1" si="33"/>
        <v/>
      </c>
      <c r="G768" s="27" t="str">
        <f t="shared" ca="1" si="34"/>
        <v/>
      </c>
      <c r="H768" s="13"/>
      <c r="I768" s="29" t="str">
        <f t="shared" ca="1" si="35"/>
        <v/>
      </c>
    </row>
    <row r="769" spans="1:9" x14ac:dyDescent="0.35">
      <c r="A769" s="21"/>
      <c r="B769" s="13"/>
      <c r="C769" s="14"/>
      <c r="D769" s="14"/>
      <c r="E769" s="13"/>
      <c r="F769" s="7" t="str">
        <f t="shared" ca="1" si="33"/>
        <v/>
      </c>
      <c r="G769" s="27" t="str">
        <f t="shared" ca="1" si="34"/>
        <v/>
      </c>
      <c r="H769" s="13"/>
      <c r="I769" s="29" t="str">
        <f t="shared" ca="1" si="35"/>
        <v/>
      </c>
    </row>
    <row r="770" spans="1:9" x14ac:dyDescent="0.35">
      <c r="A770" s="21"/>
      <c r="B770" s="13"/>
      <c r="C770" s="14"/>
      <c r="D770" s="14"/>
      <c r="E770" s="13"/>
      <c r="F770" s="7" t="str">
        <f t="shared" ca="1" si="33"/>
        <v/>
      </c>
      <c r="G770" s="27" t="str">
        <f t="shared" ca="1" si="34"/>
        <v/>
      </c>
      <c r="H770" s="13"/>
      <c r="I770" s="29" t="str">
        <f t="shared" ca="1" si="35"/>
        <v/>
      </c>
    </row>
    <row r="771" spans="1:9" x14ac:dyDescent="0.35">
      <c r="A771" s="21"/>
      <c r="B771" s="13"/>
      <c r="C771" s="14"/>
      <c r="D771" s="14"/>
      <c r="E771" s="13"/>
      <c r="F771" s="7" t="str">
        <f t="shared" ca="1" si="33"/>
        <v/>
      </c>
      <c r="G771" s="27" t="str">
        <f t="shared" ca="1" si="34"/>
        <v/>
      </c>
      <c r="H771" s="13"/>
      <c r="I771" s="29" t="str">
        <f t="shared" ca="1" si="35"/>
        <v/>
      </c>
    </row>
    <row r="772" spans="1:9" x14ac:dyDescent="0.35">
      <c r="A772" s="21"/>
      <c r="B772" s="13"/>
      <c r="C772" s="14"/>
      <c r="D772" s="14"/>
      <c r="E772" s="13"/>
      <c r="F772" s="7" t="str">
        <f t="shared" ca="1" si="33"/>
        <v/>
      </c>
      <c r="G772" s="27" t="str">
        <f t="shared" ca="1" si="34"/>
        <v/>
      </c>
      <c r="H772" s="13"/>
      <c r="I772" s="29" t="str">
        <f t="shared" ca="1" si="35"/>
        <v/>
      </c>
    </row>
    <row r="773" spans="1:9" x14ac:dyDescent="0.35">
      <c r="A773" s="21"/>
      <c r="B773" s="13"/>
      <c r="C773" s="14"/>
      <c r="D773" s="14"/>
      <c r="E773" s="13"/>
      <c r="F773" s="7" t="str">
        <f t="shared" ref="F773:F836" ca="1" si="36">IF($B773="","",IF($D773&lt;&gt;"","Fait",IF($C773="","Non planifié",IF(N($C773)&lt;TODAY(),"En retard","À venir"))))</f>
        <v/>
      </c>
      <c r="G773" s="27" t="str">
        <f t="shared" ref="G773:G836" ca="1" si="37">IF($B773="","",IF(AND($C773&lt;&gt;"",$D773&lt;&gt;""),$D773-$C773,IF($F773="En retard",TODAY()-$C773,"")))</f>
        <v/>
      </c>
      <c r="H773" s="13"/>
      <c r="I773" s="29" t="str">
        <f t="shared" ref="I773:I836" ca="1" si="38">IF($F773="En retard",1,"")</f>
        <v/>
      </c>
    </row>
    <row r="774" spans="1:9" x14ac:dyDescent="0.35">
      <c r="A774" s="21"/>
      <c r="B774" s="13"/>
      <c r="C774" s="14"/>
      <c r="D774" s="14"/>
      <c r="E774" s="13"/>
      <c r="F774" s="7" t="str">
        <f t="shared" ca="1" si="36"/>
        <v/>
      </c>
      <c r="G774" s="27" t="str">
        <f t="shared" ca="1" si="37"/>
        <v/>
      </c>
      <c r="H774" s="13"/>
      <c r="I774" s="29" t="str">
        <f t="shared" ca="1" si="38"/>
        <v/>
      </c>
    </row>
    <row r="775" spans="1:9" x14ac:dyDescent="0.35">
      <c r="A775" s="21"/>
      <c r="B775" s="13"/>
      <c r="C775" s="14"/>
      <c r="D775" s="14"/>
      <c r="E775" s="13"/>
      <c r="F775" s="7" t="str">
        <f t="shared" ca="1" si="36"/>
        <v/>
      </c>
      <c r="G775" s="27" t="str">
        <f t="shared" ca="1" si="37"/>
        <v/>
      </c>
      <c r="H775" s="13"/>
      <c r="I775" s="29" t="str">
        <f t="shared" ca="1" si="38"/>
        <v/>
      </c>
    </row>
    <row r="776" spans="1:9" x14ac:dyDescent="0.35">
      <c r="A776" s="21"/>
      <c r="B776" s="13"/>
      <c r="C776" s="14"/>
      <c r="D776" s="14"/>
      <c r="E776" s="13"/>
      <c r="F776" s="7" t="str">
        <f t="shared" ca="1" si="36"/>
        <v/>
      </c>
      <c r="G776" s="27" t="str">
        <f t="shared" ca="1" si="37"/>
        <v/>
      </c>
      <c r="H776" s="13"/>
      <c r="I776" s="29" t="str">
        <f t="shared" ca="1" si="38"/>
        <v/>
      </c>
    </row>
    <row r="777" spans="1:9" x14ac:dyDescent="0.35">
      <c r="A777" s="21"/>
      <c r="B777" s="13"/>
      <c r="C777" s="14"/>
      <c r="D777" s="14"/>
      <c r="E777" s="13"/>
      <c r="F777" s="7" t="str">
        <f t="shared" ca="1" si="36"/>
        <v/>
      </c>
      <c r="G777" s="27" t="str">
        <f t="shared" ca="1" si="37"/>
        <v/>
      </c>
      <c r="H777" s="13"/>
      <c r="I777" s="29" t="str">
        <f t="shared" ca="1" si="38"/>
        <v/>
      </c>
    </row>
    <row r="778" spans="1:9" x14ac:dyDescent="0.35">
      <c r="A778" s="21"/>
      <c r="B778" s="13"/>
      <c r="C778" s="14"/>
      <c r="D778" s="14"/>
      <c r="E778" s="13"/>
      <c r="F778" s="7" t="str">
        <f t="shared" ca="1" si="36"/>
        <v/>
      </c>
      <c r="G778" s="27" t="str">
        <f t="shared" ca="1" si="37"/>
        <v/>
      </c>
      <c r="H778" s="13"/>
      <c r="I778" s="29" t="str">
        <f t="shared" ca="1" si="38"/>
        <v/>
      </c>
    </row>
    <row r="779" spans="1:9" x14ac:dyDescent="0.35">
      <c r="A779" s="21"/>
      <c r="B779" s="13"/>
      <c r="C779" s="14"/>
      <c r="D779" s="14"/>
      <c r="E779" s="13"/>
      <c r="F779" s="7" t="str">
        <f t="shared" ca="1" si="36"/>
        <v/>
      </c>
      <c r="G779" s="27" t="str">
        <f t="shared" ca="1" si="37"/>
        <v/>
      </c>
      <c r="H779" s="13"/>
      <c r="I779" s="29" t="str">
        <f t="shared" ca="1" si="38"/>
        <v/>
      </c>
    </row>
    <row r="780" spans="1:9" x14ac:dyDescent="0.35">
      <c r="A780" s="21"/>
      <c r="B780" s="13"/>
      <c r="C780" s="14"/>
      <c r="D780" s="14"/>
      <c r="E780" s="13"/>
      <c r="F780" s="7" t="str">
        <f t="shared" ca="1" si="36"/>
        <v/>
      </c>
      <c r="G780" s="27" t="str">
        <f t="shared" ca="1" si="37"/>
        <v/>
      </c>
      <c r="H780" s="13"/>
      <c r="I780" s="29" t="str">
        <f t="shared" ca="1" si="38"/>
        <v/>
      </c>
    </row>
    <row r="781" spans="1:9" x14ac:dyDescent="0.35">
      <c r="A781" s="21"/>
      <c r="B781" s="13"/>
      <c r="C781" s="14"/>
      <c r="D781" s="14"/>
      <c r="E781" s="13"/>
      <c r="F781" s="7" t="str">
        <f t="shared" ca="1" si="36"/>
        <v/>
      </c>
      <c r="G781" s="27" t="str">
        <f t="shared" ca="1" si="37"/>
        <v/>
      </c>
      <c r="H781" s="13"/>
      <c r="I781" s="29" t="str">
        <f t="shared" ca="1" si="38"/>
        <v/>
      </c>
    </row>
    <row r="782" spans="1:9" x14ac:dyDescent="0.35">
      <c r="A782" s="21"/>
      <c r="B782" s="13"/>
      <c r="C782" s="14"/>
      <c r="D782" s="14"/>
      <c r="E782" s="13"/>
      <c r="F782" s="7" t="str">
        <f t="shared" ca="1" si="36"/>
        <v/>
      </c>
      <c r="G782" s="27" t="str">
        <f t="shared" ca="1" si="37"/>
        <v/>
      </c>
      <c r="H782" s="13"/>
      <c r="I782" s="29" t="str">
        <f t="shared" ca="1" si="38"/>
        <v/>
      </c>
    </row>
    <row r="783" spans="1:9" x14ac:dyDescent="0.35">
      <c r="A783" s="21"/>
      <c r="B783" s="13"/>
      <c r="C783" s="14"/>
      <c r="D783" s="14"/>
      <c r="E783" s="13"/>
      <c r="F783" s="7" t="str">
        <f t="shared" ca="1" si="36"/>
        <v/>
      </c>
      <c r="G783" s="27" t="str">
        <f t="shared" ca="1" si="37"/>
        <v/>
      </c>
      <c r="H783" s="13"/>
      <c r="I783" s="29" t="str">
        <f t="shared" ca="1" si="38"/>
        <v/>
      </c>
    </row>
    <row r="784" spans="1:9" x14ac:dyDescent="0.35">
      <c r="A784" s="21"/>
      <c r="B784" s="13"/>
      <c r="C784" s="14"/>
      <c r="D784" s="14"/>
      <c r="E784" s="13"/>
      <c r="F784" s="7" t="str">
        <f t="shared" ca="1" si="36"/>
        <v/>
      </c>
      <c r="G784" s="27" t="str">
        <f t="shared" ca="1" si="37"/>
        <v/>
      </c>
      <c r="H784" s="13"/>
      <c r="I784" s="29" t="str">
        <f t="shared" ca="1" si="38"/>
        <v/>
      </c>
    </row>
    <row r="785" spans="1:9" x14ac:dyDescent="0.35">
      <c r="A785" s="21"/>
      <c r="B785" s="13"/>
      <c r="C785" s="14"/>
      <c r="D785" s="14"/>
      <c r="E785" s="13"/>
      <c r="F785" s="7" t="str">
        <f t="shared" ca="1" si="36"/>
        <v/>
      </c>
      <c r="G785" s="27" t="str">
        <f t="shared" ca="1" si="37"/>
        <v/>
      </c>
      <c r="H785" s="13"/>
      <c r="I785" s="29" t="str">
        <f t="shared" ca="1" si="38"/>
        <v/>
      </c>
    </row>
    <row r="786" spans="1:9" x14ac:dyDescent="0.35">
      <c r="A786" s="21"/>
      <c r="B786" s="13"/>
      <c r="C786" s="14"/>
      <c r="D786" s="14"/>
      <c r="E786" s="13"/>
      <c r="F786" s="7" t="str">
        <f t="shared" ca="1" si="36"/>
        <v/>
      </c>
      <c r="G786" s="27" t="str">
        <f t="shared" ca="1" si="37"/>
        <v/>
      </c>
      <c r="H786" s="13"/>
      <c r="I786" s="29" t="str">
        <f t="shared" ca="1" si="38"/>
        <v/>
      </c>
    </row>
    <row r="787" spans="1:9" x14ac:dyDescent="0.35">
      <c r="A787" s="21"/>
      <c r="B787" s="13"/>
      <c r="C787" s="14"/>
      <c r="D787" s="14"/>
      <c r="E787" s="13"/>
      <c r="F787" s="7" t="str">
        <f t="shared" ca="1" si="36"/>
        <v/>
      </c>
      <c r="G787" s="27" t="str">
        <f t="shared" ca="1" si="37"/>
        <v/>
      </c>
      <c r="H787" s="13"/>
      <c r="I787" s="29" t="str">
        <f t="shared" ca="1" si="38"/>
        <v/>
      </c>
    </row>
    <row r="788" spans="1:9" x14ac:dyDescent="0.35">
      <c r="A788" s="21"/>
      <c r="B788" s="13"/>
      <c r="C788" s="14"/>
      <c r="D788" s="14"/>
      <c r="E788" s="13"/>
      <c r="F788" s="7" t="str">
        <f t="shared" ca="1" si="36"/>
        <v/>
      </c>
      <c r="G788" s="27" t="str">
        <f t="shared" ca="1" si="37"/>
        <v/>
      </c>
      <c r="H788" s="13"/>
      <c r="I788" s="29" t="str">
        <f t="shared" ca="1" si="38"/>
        <v/>
      </c>
    </row>
    <row r="789" spans="1:9" x14ac:dyDescent="0.35">
      <c r="A789" s="21"/>
      <c r="B789" s="13"/>
      <c r="C789" s="14"/>
      <c r="D789" s="14"/>
      <c r="E789" s="13"/>
      <c r="F789" s="7" t="str">
        <f t="shared" ca="1" si="36"/>
        <v/>
      </c>
      <c r="G789" s="27" t="str">
        <f t="shared" ca="1" si="37"/>
        <v/>
      </c>
      <c r="H789" s="13"/>
      <c r="I789" s="29" t="str">
        <f t="shared" ca="1" si="38"/>
        <v/>
      </c>
    </row>
    <row r="790" spans="1:9" x14ac:dyDescent="0.35">
      <c r="A790" s="21"/>
      <c r="B790" s="13"/>
      <c r="C790" s="14"/>
      <c r="D790" s="14"/>
      <c r="E790" s="13"/>
      <c r="F790" s="7" t="str">
        <f t="shared" ca="1" si="36"/>
        <v/>
      </c>
      <c r="G790" s="27" t="str">
        <f t="shared" ca="1" si="37"/>
        <v/>
      </c>
      <c r="H790" s="13"/>
      <c r="I790" s="29" t="str">
        <f t="shared" ca="1" si="38"/>
        <v/>
      </c>
    </row>
    <row r="791" spans="1:9" x14ac:dyDescent="0.35">
      <c r="A791" s="21"/>
      <c r="B791" s="13"/>
      <c r="C791" s="14"/>
      <c r="D791" s="14"/>
      <c r="E791" s="13"/>
      <c r="F791" s="7" t="str">
        <f t="shared" ca="1" si="36"/>
        <v/>
      </c>
      <c r="G791" s="27" t="str">
        <f t="shared" ca="1" si="37"/>
        <v/>
      </c>
      <c r="H791" s="13"/>
      <c r="I791" s="29" t="str">
        <f t="shared" ca="1" si="38"/>
        <v/>
      </c>
    </row>
    <row r="792" spans="1:9" x14ac:dyDescent="0.35">
      <c r="A792" s="21"/>
      <c r="B792" s="13"/>
      <c r="C792" s="14"/>
      <c r="D792" s="14"/>
      <c r="E792" s="13"/>
      <c r="F792" s="7" t="str">
        <f t="shared" ca="1" si="36"/>
        <v/>
      </c>
      <c r="G792" s="27" t="str">
        <f t="shared" ca="1" si="37"/>
        <v/>
      </c>
      <c r="H792" s="13"/>
      <c r="I792" s="29" t="str">
        <f t="shared" ca="1" si="38"/>
        <v/>
      </c>
    </row>
    <row r="793" spans="1:9" x14ac:dyDescent="0.35">
      <c r="A793" s="21"/>
      <c r="B793" s="13"/>
      <c r="C793" s="14"/>
      <c r="D793" s="14"/>
      <c r="E793" s="13"/>
      <c r="F793" s="7" t="str">
        <f t="shared" ca="1" si="36"/>
        <v/>
      </c>
      <c r="G793" s="27" t="str">
        <f t="shared" ca="1" si="37"/>
        <v/>
      </c>
      <c r="H793" s="13"/>
      <c r="I793" s="29" t="str">
        <f t="shared" ca="1" si="38"/>
        <v/>
      </c>
    </row>
    <row r="794" spans="1:9" x14ac:dyDescent="0.35">
      <c r="A794" s="21"/>
      <c r="B794" s="13"/>
      <c r="C794" s="14"/>
      <c r="D794" s="14"/>
      <c r="E794" s="13"/>
      <c r="F794" s="7" t="str">
        <f t="shared" ca="1" si="36"/>
        <v/>
      </c>
      <c r="G794" s="27" t="str">
        <f t="shared" ca="1" si="37"/>
        <v/>
      </c>
      <c r="H794" s="13"/>
      <c r="I794" s="29" t="str">
        <f t="shared" ca="1" si="38"/>
        <v/>
      </c>
    </row>
    <row r="795" spans="1:9" x14ac:dyDescent="0.35">
      <c r="A795" s="21"/>
      <c r="B795" s="13"/>
      <c r="C795" s="14"/>
      <c r="D795" s="14"/>
      <c r="E795" s="13"/>
      <c r="F795" s="7" t="str">
        <f t="shared" ca="1" si="36"/>
        <v/>
      </c>
      <c r="G795" s="27" t="str">
        <f t="shared" ca="1" si="37"/>
        <v/>
      </c>
      <c r="H795" s="13"/>
      <c r="I795" s="29" t="str">
        <f t="shared" ca="1" si="38"/>
        <v/>
      </c>
    </row>
    <row r="796" spans="1:9" x14ac:dyDescent="0.35">
      <c r="A796" s="21"/>
      <c r="B796" s="13"/>
      <c r="C796" s="14"/>
      <c r="D796" s="14"/>
      <c r="E796" s="13"/>
      <c r="F796" s="7" t="str">
        <f t="shared" ca="1" si="36"/>
        <v/>
      </c>
      <c r="G796" s="27" t="str">
        <f t="shared" ca="1" si="37"/>
        <v/>
      </c>
      <c r="H796" s="13"/>
      <c r="I796" s="29" t="str">
        <f t="shared" ca="1" si="38"/>
        <v/>
      </c>
    </row>
    <row r="797" spans="1:9" x14ac:dyDescent="0.35">
      <c r="A797" s="21"/>
      <c r="B797" s="13"/>
      <c r="C797" s="14"/>
      <c r="D797" s="14"/>
      <c r="E797" s="13"/>
      <c r="F797" s="7" t="str">
        <f t="shared" ca="1" si="36"/>
        <v/>
      </c>
      <c r="G797" s="27" t="str">
        <f t="shared" ca="1" si="37"/>
        <v/>
      </c>
      <c r="H797" s="13"/>
      <c r="I797" s="29" t="str">
        <f t="shared" ca="1" si="38"/>
        <v/>
      </c>
    </row>
    <row r="798" spans="1:9" x14ac:dyDescent="0.35">
      <c r="A798" s="21"/>
      <c r="B798" s="13"/>
      <c r="C798" s="14"/>
      <c r="D798" s="14"/>
      <c r="E798" s="13"/>
      <c r="F798" s="7" t="str">
        <f t="shared" ca="1" si="36"/>
        <v/>
      </c>
      <c r="G798" s="27" t="str">
        <f t="shared" ca="1" si="37"/>
        <v/>
      </c>
      <c r="H798" s="13"/>
      <c r="I798" s="29" t="str">
        <f t="shared" ca="1" si="38"/>
        <v/>
      </c>
    </row>
    <row r="799" spans="1:9" x14ac:dyDescent="0.35">
      <c r="A799" s="21"/>
      <c r="B799" s="13"/>
      <c r="C799" s="14"/>
      <c r="D799" s="14"/>
      <c r="E799" s="13"/>
      <c r="F799" s="7" t="str">
        <f t="shared" ca="1" si="36"/>
        <v/>
      </c>
      <c r="G799" s="27" t="str">
        <f t="shared" ca="1" si="37"/>
        <v/>
      </c>
      <c r="H799" s="13"/>
      <c r="I799" s="29" t="str">
        <f t="shared" ca="1" si="38"/>
        <v/>
      </c>
    </row>
    <row r="800" spans="1:9" x14ac:dyDescent="0.35">
      <c r="A800" s="21"/>
      <c r="B800" s="13"/>
      <c r="C800" s="14"/>
      <c r="D800" s="14"/>
      <c r="E800" s="13"/>
      <c r="F800" s="7" t="str">
        <f t="shared" ca="1" si="36"/>
        <v/>
      </c>
      <c r="G800" s="27" t="str">
        <f t="shared" ca="1" si="37"/>
        <v/>
      </c>
      <c r="H800" s="13"/>
      <c r="I800" s="29" t="str">
        <f t="shared" ca="1" si="38"/>
        <v/>
      </c>
    </row>
    <row r="801" spans="1:9" x14ac:dyDescent="0.35">
      <c r="A801" s="21"/>
      <c r="B801" s="13"/>
      <c r="C801" s="14"/>
      <c r="D801" s="14"/>
      <c r="E801" s="13"/>
      <c r="F801" s="7" t="str">
        <f t="shared" ca="1" si="36"/>
        <v/>
      </c>
      <c r="G801" s="27" t="str">
        <f t="shared" ca="1" si="37"/>
        <v/>
      </c>
      <c r="H801" s="13"/>
      <c r="I801" s="29" t="str">
        <f t="shared" ca="1" si="38"/>
        <v/>
      </c>
    </row>
    <row r="802" spans="1:9" x14ac:dyDescent="0.35">
      <c r="A802" s="21"/>
      <c r="B802" s="13"/>
      <c r="C802" s="14"/>
      <c r="D802" s="14"/>
      <c r="E802" s="13"/>
      <c r="F802" s="7" t="str">
        <f t="shared" ca="1" si="36"/>
        <v/>
      </c>
      <c r="G802" s="27" t="str">
        <f t="shared" ca="1" si="37"/>
        <v/>
      </c>
      <c r="H802" s="13"/>
      <c r="I802" s="29" t="str">
        <f t="shared" ca="1" si="38"/>
        <v/>
      </c>
    </row>
    <row r="803" spans="1:9" x14ac:dyDescent="0.35">
      <c r="A803" s="21"/>
      <c r="B803" s="13"/>
      <c r="C803" s="14"/>
      <c r="D803" s="14"/>
      <c r="E803" s="13"/>
      <c r="F803" s="7" t="str">
        <f t="shared" ca="1" si="36"/>
        <v/>
      </c>
      <c r="G803" s="27" t="str">
        <f t="shared" ca="1" si="37"/>
        <v/>
      </c>
      <c r="H803" s="13"/>
      <c r="I803" s="29" t="str">
        <f t="shared" ca="1" si="38"/>
        <v/>
      </c>
    </row>
    <row r="804" spans="1:9" x14ac:dyDescent="0.35">
      <c r="A804" s="21"/>
      <c r="B804" s="13"/>
      <c r="C804" s="14"/>
      <c r="D804" s="14"/>
      <c r="E804" s="13"/>
      <c r="F804" s="7" t="str">
        <f t="shared" ca="1" si="36"/>
        <v/>
      </c>
      <c r="G804" s="27" t="str">
        <f t="shared" ca="1" si="37"/>
        <v/>
      </c>
      <c r="H804" s="13"/>
      <c r="I804" s="29" t="str">
        <f t="shared" ca="1" si="38"/>
        <v/>
      </c>
    </row>
    <row r="805" spans="1:9" x14ac:dyDescent="0.35">
      <c r="A805" s="21"/>
      <c r="B805" s="13"/>
      <c r="C805" s="14"/>
      <c r="D805" s="14"/>
      <c r="E805" s="13"/>
      <c r="F805" s="7" t="str">
        <f t="shared" ca="1" si="36"/>
        <v/>
      </c>
      <c r="G805" s="27" t="str">
        <f t="shared" ca="1" si="37"/>
        <v/>
      </c>
      <c r="H805" s="13"/>
      <c r="I805" s="29" t="str">
        <f t="shared" ca="1" si="38"/>
        <v/>
      </c>
    </row>
    <row r="806" spans="1:9" x14ac:dyDescent="0.35">
      <c r="A806" s="21"/>
      <c r="B806" s="13"/>
      <c r="C806" s="14"/>
      <c r="D806" s="14"/>
      <c r="E806" s="13"/>
      <c r="F806" s="7" t="str">
        <f t="shared" ca="1" si="36"/>
        <v/>
      </c>
      <c r="G806" s="27" t="str">
        <f t="shared" ca="1" si="37"/>
        <v/>
      </c>
      <c r="H806" s="13"/>
      <c r="I806" s="29" t="str">
        <f t="shared" ca="1" si="38"/>
        <v/>
      </c>
    </row>
    <row r="807" spans="1:9" x14ac:dyDescent="0.35">
      <c r="A807" s="21"/>
      <c r="B807" s="13"/>
      <c r="C807" s="14"/>
      <c r="D807" s="14"/>
      <c r="E807" s="13"/>
      <c r="F807" s="7" t="str">
        <f t="shared" ca="1" si="36"/>
        <v/>
      </c>
      <c r="G807" s="27" t="str">
        <f t="shared" ca="1" si="37"/>
        <v/>
      </c>
      <c r="H807" s="13"/>
      <c r="I807" s="29" t="str">
        <f t="shared" ca="1" si="38"/>
        <v/>
      </c>
    </row>
    <row r="808" spans="1:9" x14ac:dyDescent="0.35">
      <c r="A808" s="21"/>
      <c r="B808" s="13"/>
      <c r="C808" s="14"/>
      <c r="D808" s="14"/>
      <c r="E808" s="13"/>
      <c r="F808" s="7" t="str">
        <f t="shared" ca="1" si="36"/>
        <v/>
      </c>
      <c r="G808" s="27" t="str">
        <f t="shared" ca="1" si="37"/>
        <v/>
      </c>
      <c r="H808" s="13"/>
      <c r="I808" s="29" t="str">
        <f t="shared" ca="1" si="38"/>
        <v/>
      </c>
    </row>
    <row r="809" spans="1:9" x14ac:dyDescent="0.35">
      <c r="A809" s="21"/>
      <c r="B809" s="13"/>
      <c r="C809" s="14"/>
      <c r="D809" s="14"/>
      <c r="E809" s="13"/>
      <c r="F809" s="7" t="str">
        <f t="shared" ca="1" si="36"/>
        <v/>
      </c>
      <c r="G809" s="27" t="str">
        <f t="shared" ca="1" si="37"/>
        <v/>
      </c>
      <c r="H809" s="13"/>
      <c r="I809" s="29" t="str">
        <f t="shared" ca="1" si="38"/>
        <v/>
      </c>
    </row>
    <row r="810" spans="1:9" x14ac:dyDescent="0.35">
      <c r="A810" s="21"/>
      <c r="B810" s="13"/>
      <c r="C810" s="14"/>
      <c r="D810" s="14"/>
      <c r="E810" s="13"/>
      <c r="F810" s="7" t="str">
        <f t="shared" ca="1" si="36"/>
        <v/>
      </c>
      <c r="G810" s="27" t="str">
        <f t="shared" ca="1" si="37"/>
        <v/>
      </c>
      <c r="H810" s="13"/>
      <c r="I810" s="29" t="str">
        <f t="shared" ca="1" si="38"/>
        <v/>
      </c>
    </row>
    <row r="811" spans="1:9" x14ac:dyDescent="0.35">
      <c r="A811" s="21"/>
      <c r="B811" s="13"/>
      <c r="C811" s="14"/>
      <c r="D811" s="14"/>
      <c r="E811" s="13"/>
      <c r="F811" s="7" t="str">
        <f t="shared" ca="1" si="36"/>
        <v/>
      </c>
      <c r="G811" s="27" t="str">
        <f t="shared" ca="1" si="37"/>
        <v/>
      </c>
      <c r="H811" s="13"/>
      <c r="I811" s="29" t="str">
        <f t="shared" ca="1" si="38"/>
        <v/>
      </c>
    </row>
    <row r="812" spans="1:9" x14ac:dyDescent="0.35">
      <c r="A812" s="21"/>
      <c r="B812" s="13"/>
      <c r="C812" s="14"/>
      <c r="D812" s="14"/>
      <c r="E812" s="13"/>
      <c r="F812" s="7" t="str">
        <f t="shared" ca="1" si="36"/>
        <v/>
      </c>
      <c r="G812" s="27" t="str">
        <f t="shared" ca="1" si="37"/>
        <v/>
      </c>
      <c r="H812" s="13"/>
      <c r="I812" s="29" t="str">
        <f t="shared" ca="1" si="38"/>
        <v/>
      </c>
    </row>
    <row r="813" spans="1:9" x14ac:dyDescent="0.35">
      <c r="A813" s="21"/>
      <c r="B813" s="13"/>
      <c r="C813" s="14"/>
      <c r="D813" s="14"/>
      <c r="E813" s="13"/>
      <c r="F813" s="7" t="str">
        <f t="shared" ca="1" si="36"/>
        <v/>
      </c>
      <c r="G813" s="27" t="str">
        <f t="shared" ca="1" si="37"/>
        <v/>
      </c>
      <c r="H813" s="13"/>
      <c r="I813" s="29" t="str">
        <f t="shared" ca="1" si="38"/>
        <v/>
      </c>
    </row>
    <row r="814" spans="1:9" x14ac:dyDescent="0.35">
      <c r="A814" s="21"/>
      <c r="B814" s="13"/>
      <c r="C814" s="14"/>
      <c r="D814" s="14"/>
      <c r="E814" s="13"/>
      <c r="F814" s="7" t="str">
        <f t="shared" ca="1" si="36"/>
        <v/>
      </c>
      <c r="G814" s="27" t="str">
        <f t="shared" ca="1" si="37"/>
        <v/>
      </c>
      <c r="H814" s="13"/>
      <c r="I814" s="29" t="str">
        <f t="shared" ca="1" si="38"/>
        <v/>
      </c>
    </row>
    <row r="815" spans="1:9" x14ac:dyDescent="0.35">
      <c r="A815" s="21"/>
      <c r="B815" s="13"/>
      <c r="C815" s="14"/>
      <c r="D815" s="14"/>
      <c r="E815" s="13"/>
      <c r="F815" s="7" t="str">
        <f t="shared" ca="1" si="36"/>
        <v/>
      </c>
      <c r="G815" s="27" t="str">
        <f t="shared" ca="1" si="37"/>
        <v/>
      </c>
      <c r="H815" s="13"/>
      <c r="I815" s="29" t="str">
        <f t="shared" ca="1" si="38"/>
        <v/>
      </c>
    </row>
    <row r="816" spans="1:9" x14ac:dyDescent="0.35">
      <c r="A816" s="21"/>
      <c r="B816" s="13"/>
      <c r="C816" s="14"/>
      <c r="D816" s="14"/>
      <c r="E816" s="13"/>
      <c r="F816" s="7" t="str">
        <f t="shared" ca="1" si="36"/>
        <v/>
      </c>
      <c r="G816" s="27" t="str">
        <f t="shared" ca="1" si="37"/>
        <v/>
      </c>
      <c r="H816" s="13"/>
      <c r="I816" s="29" t="str">
        <f t="shared" ca="1" si="38"/>
        <v/>
      </c>
    </row>
    <row r="817" spans="1:9" x14ac:dyDescent="0.35">
      <c r="A817" s="21"/>
      <c r="B817" s="13"/>
      <c r="C817" s="14"/>
      <c r="D817" s="14"/>
      <c r="E817" s="13"/>
      <c r="F817" s="7" t="str">
        <f t="shared" ca="1" si="36"/>
        <v/>
      </c>
      <c r="G817" s="27" t="str">
        <f t="shared" ca="1" si="37"/>
        <v/>
      </c>
      <c r="H817" s="13"/>
      <c r="I817" s="29" t="str">
        <f t="shared" ca="1" si="38"/>
        <v/>
      </c>
    </row>
    <row r="818" spans="1:9" x14ac:dyDescent="0.35">
      <c r="A818" s="21"/>
      <c r="B818" s="13"/>
      <c r="C818" s="14"/>
      <c r="D818" s="14"/>
      <c r="E818" s="13"/>
      <c r="F818" s="7" t="str">
        <f t="shared" ca="1" si="36"/>
        <v/>
      </c>
      <c r="G818" s="27" t="str">
        <f t="shared" ca="1" si="37"/>
        <v/>
      </c>
      <c r="H818" s="13"/>
      <c r="I818" s="29" t="str">
        <f t="shared" ca="1" si="38"/>
        <v/>
      </c>
    </row>
    <row r="819" spans="1:9" x14ac:dyDescent="0.35">
      <c r="A819" s="21"/>
      <c r="B819" s="13"/>
      <c r="C819" s="14"/>
      <c r="D819" s="14"/>
      <c r="E819" s="13"/>
      <c r="F819" s="7" t="str">
        <f t="shared" ca="1" si="36"/>
        <v/>
      </c>
      <c r="G819" s="27" t="str">
        <f t="shared" ca="1" si="37"/>
        <v/>
      </c>
      <c r="H819" s="13"/>
      <c r="I819" s="29" t="str">
        <f t="shared" ca="1" si="38"/>
        <v/>
      </c>
    </row>
    <row r="820" spans="1:9" x14ac:dyDescent="0.35">
      <c r="A820" s="21"/>
      <c r="B820" s="13"/>
      <c r="C820" s="14"/>
      <c r="D820" s="14"/>
      <c r="E820" s="13"/>
      <c r="F820" s="7" t="str">
        <f t="shared" ca="1" si="36"/>
        <v/>
      </c>
      <c r="G820" s="27" t="str">
        <f t="shared" ca="1" si="37"/>
        <v/>
      </c>
      <c r="H820" s="13"/>
      <c r="I820" s="29" t="str">
        <f t="shared" ca="1" si="38"/>
        <v/>
      </c>
    </row>
    <row r="821" spans="1:9" x14ac:dyDescent="0.35">
      <c r="A821" s="21"/>
      <c r="B821" s="13"/>
      <c r="C821" s="14"/>
      <c r="D821" s="14"/>
      <c r="E821" s="13"/>
      <c r="F821" s="7" t="str">
        <f t="shared" ca="1" si="36"/>
        <v/>
      </c>
      <c r="G821" s="27" t="str">
        <f t="shared" ca="1" si="37"/>
        <v/>
      </c>
      <c r="H821" s="13"/>
      <c r="I821" s="29" t="str">
        <f t="shared" ca="1" si="38"/>
        <v/>
      </c>
    </row>
    <row r="822" spans="1:9" x14ac:dyDescent="0.35">
      <c r="A822" s="21"/>
      <c r="B822" s="13"/>
      <c r="C822" s="14"/>
      <c r="D822" s="14"/>
      <c r="E822" s="13"/>
      <c r="F822" s="7" t="str">
        <f t="shared" ca="1" si="36"/>
        <v/>
      </c>
      <c r="G822" s="27" t="str">
        <f t="shared" ca="1" si="37"/>
        <v/>
      </c>
      <c r="H822" s="13"/>
      <c r="I822" s="29" t="str">
        <f t="shared" ca="1" si="38"/>
        <v/>
      </c>
    </row>
    <row r="823" spans="1:9" x14ac:dyDescent="0.35">
      <c r="A823" s="21"/>
      <c r="B823" s="13"/>
      <c r="C823" s="14"/>
      <c r="D823" s="14"/>
      <c r="E823" s="13"/>
      <c r="F823" s="7" t="str">
        <f t="shared" ca="1" si="36"/>
        <v/>
      </c>
      <c r="G823" s="27" t="str">
        <f t="shared" ca="1" si="37"/>
        <v/>
      </c>
      <c r="H823" s="13"/>
      <c r="I823" s="29" t="str">
        <f t="shared" ca="1" si="38"/>
        <v/>
      </c>
    </row>
    <row r="824" spans="1:9" x14ac:dyDescent="0.35">
      <c r="A824" s="21"/>
      <c r="B824" s="13"/>
      <c r="C824" s="14"/>
      <c r="D824" s="14"/>
      <c r="E824" s="13"/>
      <c r="F824" s="7" t="str">
        <f t="shared" ca="1" si="36"/>
        <v/>
      </c>
      <c r="G824" s="27" t="str">
        <f t="shared" ca="1" si="37"/>
        <v/>
      </c>
      <c r="H824" s="13"/>
      <c r="I824" s="29" t="str">
        <f t="shared" ca="1" si="38"/>
        <v/>
      </c>
    </row>
    <row r="825" spans="1:9" x14ac:dyDescent="0.35">
      <c r="A825" s="21"/>
      <c r="B825" s="13"/>
      <c r="C825" s="14"/>
      <c r="D825" s="14"/>
      <c r="E825" s="13"/>
      <c r="F825" s="7" t="str">
        <f t="shared" ca="1" si="36"/>
        <v/>
      </c>
      <c r="G825" s="27" t="str">
        <f t="shared" ca="1" si="37"/>
        <v/>
      </c>
      <c r="H825" s="13"/>
      <c r="I825" s="29" t="str">
        <f t="shared" ca="1" si="38"/>
        <v/>
      </c>
    </row>
    <row r="826" spans="1:9" x14ac:dyDescent="0.35">
      <c r="A826" s="21"/>
      <c r="B826" s="13"/>
      <c r="C826" s="14"/>
      <c r="D826" s="14"/>
      <c r="E826" s="13"/>
      <c r="F826" s="7" t="str">
        <f t="shared" ca="1" si="36"/>
        <v/>
      </c>
      <c r="G826" s="27" t="str">
        <f t="shared" ca="1" si="37"/>
        <v/>
      </c>
      <c r="H826" s="13"/>
      <c r="I826" s="29" t="str">
        <f t="shared" ca="1" si="38"/>
        <v/>
      </c>
    </row>
    <row r="827" spans="1:9" x14ac:dyDescent="0.35">
      <c r="A827" s="21"/>
      <c r="B827" s="13"/>
      <c r="C827" s="14"/>
      <c r="D827" s="14"/>
      <c r="E827" s="13"/>
      <c r="F827" s="7" t="str">
        <f t="shared" ca="1" si="36"/>
        <v/>
      </c>
      <c r="G827" s="27" t="str">
        <f t="shared" ca="1" si="37"/>
        <v/>
      </c>
      <c r="H827" s="13"/>
      <c r="I827" s="29" t="str">
        <f t="shared" ca="1" si="38"/>
        <v/>
      </c>
    </row>
    <row r="828" spans="1:9" x14ac:dyDescent="0.35">
      <c r="A828" s="21"/>
      <c r="B828" s="13"/>
      <c r="C828" s="14"/>
      <c r="D828" s="14"/>
      <c r="E828" s="13"/>
      <c r="F828" s="7" t="str">
        <f t="shared" ca="1" si="36"/>
        <v/>
      </c>
      <c r="G828" s="27" t="str">
        <f t="shared" ca="1" si="37"/>
        <v/>
      </c>
      <c r="H828" s="13"/>
      <c r="I828" s="29" t="str">
        <f t="shared" ca="1" si="38"/>
        <v/>
      </c>
    </row>
    <row r="829" spans="1:9" x14ac:dyDescent="0.35">
      <c r="A829" s="21"/>
      <c r="B829" s="13"/>
      <c r="C829" s="14"/>
      <c r="D829" s="14"/>
      <c r="E829" s="13"/>
      <c r="F829" s="7" t="str">
        <f t="shared" ca="1" si="36"/>
        <v/>
      </c>
      <c r="G829" s="27" t="str">
        <f t="shared" ca="1" si="37"/>
        <v/>
      </c>
      <c r="H829" s="13"/>
      <c r="I829" s="29" t="str">
        <f t="shared" ca="1" si="38"/>
        <v/>
      </c>
    </row>
    <row r="830" spans="1:9" x14ac:dyDescent="0.35">
      <c r="A830" s="21"/>
      <c r="B830" s="13"/>
      <c r="C830" s="14"/>
      <c r="D830" s="14"/>
      <c r="E830" s="13"/>
      <c r="F830" s="7" t="str">
        <f t="shared" ca="1" si="36"/>
        <v/>
      </c>
      <c r="G830" s="27" t="str">
        <f t="shared" ca="1" si="37"/>
        <v/>
      </c>
      <c r="H830" s="13"/>
      <c r="I830" s="29" t="str">
        <f t="shared" ca="1" si="38"/>
        <v/>
      </c>
    </row>
    <row r="831" spans="1:9" x14ac:dyDescent="0.35">
      <c r="A831" s="21"/>
      <c r="B831" s="13"/>
      <c r="C831" s="14"/>
      <c r="D831" s="14"/>
      <c r="E831" s="13"/>
      <c r="F831" s="7" t="str">
        <f t="shared" ca="1" si="36"/>
        <v/>
      </c>
      <c r="G831" s="27" t="str">
        <f t="shared" ca="1" si="37"/>
        <v/>
      </c>
      <c r="H831" s="13"/>
      <c r="I831" s="29" t="str">
        <f t="shared" ca="1" si="38"/>
        <v/>
      </c>
    </row>
    <row r="832" spans="1:9" x14ac:dyDescent="0.35">
      <c r="A832" s="21"/>
      <c r="B832" s="13"/>
      <c r="C832" s="14"/>
      <c r="D832" s="14"/>
      <c r="E832" s="13"/>
      <c r="F832" s="7" t="str">
        <f t="shared" ca="1" si="36"/>
        <v/>
      </c>
      <c r="G832" s="27" t="str">
        <f t="shared" ca="1" si="37"/>
        <v/>
      </c>
      <c r="H832" s="13"/>
      <c r="I832" s="29" t="str">
        <f t="shared" ca="1" si="38"/>
        <v/>
      </c>
    </row>
    <row r="833" spans="1:9" x14ac:dyDescent="0.35">
      <c r="A833" s="21"/>
      <c r="B833" s="13"/>
      <c r="C833" s="14"/>
      <c r="D833" s="14"/>
      <c r="E833" s="13"/>
      <c r="F833" s="7" t="str">
        <f t="shared" ca="1" si="36"/>
        <v/>
      </c>
      <c r="G833" s="27" t="str">
        <f t="shared" ca="1" si="37"/>
        <v/>
      </c>
      <c r="H833" s="13"/>
      <c r="I833" s="29" t="str">
        <f t="shared" ca="1" si="38"/>
        <v/>
      </c>
    </row>
    <row r="834" spans="1:9" x14ac:dyDescent="0.35">
      <c r="A834" s="21"/>
      <c r="B834" s="13"/>
      <c r="C834" s="14"/>
      <c r="D834" s="14"/>
      <c r="E834" s="13"/>
      <c r="F834" s="7" t="str">
        <f t="shared" ca="1" si="36"/>
        <v/>
      </c>
      <c r="G834" s="27" t="str">
        <f t="shared" ca="1" si="37"/>
        <v/>
      </c>
      <c r="H834" s="13"/>
      <c r="I834" s="29" t="str">
        <f t="shared" ca="1" si="38"/>
        <v/>
      </c>
    </row>
    <row r="835" spans="1:9" x14ac:dyDescent="0.35">
      <c r="A835" s="21"/>
      <c r="B835" s="13"/>
      <c r="C835" s="14"/>
      <c r="D835" s="14"/>
      <c r="E835" s="13"/>
      <c r="F835" s="7" t="str">
        <f t="shared" ca="1" si="36"/>
        <v/>
      </c>
      <c r="G835" s="27" t="str">
        <f t="shared" ca="1" si="37"/>
        <v/>
      </c>
      <c r="H835" s="13"/>
      <c r="I835" s="29" t="str">
        <f t="shared" ca="1" si="38"/>
        <v/>
      </c>
    </row>
    <row r="836" spans="1:9" x14ac:dyDescent="0.35">
      <c r="A836" s="21"/>
      <c r="B836" s="13"/>
      <c r="C836" s="14"/>
      <c r="D836" s="14"/>
      <c r="E836" s="13"/>
      <c r="F836" s="7" t="str">
        <f t="shared" ca="1" si="36"/>
        <v/>
      </c>
      <c r="G836" s="27" t="str">
        <f t="shared" ca="1" si="37"/>
        <v/>
      </c>
      <c r="H836" s="13"/>
      <c r="I836" s="29" t="str">
        <f t="shared" ca="1" si="38"/>
        <v/>
      </c>
    </row>
    <row r="837" spans="1:9" x14ac:dyDescent="0.35">
      <c r="A837" s="21"/>
      <c r="B837" s="13"/>
      <c r="C837" s="14"/>
      <c r="D837" s="14"/>
      <c r="E837" s="13"/>
      <c r="F837" s="7" t="str">
        <f t="shared" ref="F837:F900" ca="1" si="39">IF($B837="","",IF($D837&lt;&gt;"","Fait",IF($C837="","Non planifié",IF(N($C837)&lt;TODAY(),"En retard","À venir"))))</f>
        <v/>
      </c>
      <c r="G837" s="27" t="str">
        <f t="shared" ref="G837:G900" ca="1" si="40">IF($B837="","",IF(AND($C837&lt;&gt;"",$D837&lt;&gt;""),$D837-$C837,IF($F837="En retard",TODAY()-$C837,"")))</f>
        <v/>
      </c>
      <c r="H837" s="13"/>
      <c r="I837" s="29" t="str">
        <f t="shared" ref="I837:I900" ca="1" si="41">IF($F837="En retard",1,"")</f>
        <v/>
      </c>
    </row>
    <row r="838" spans="1:9" x14ac:dyDescent="0.35">
      <c r="A838" s="21"/>
      <c r="B838" s="13"/>
      <c r="C838" s="14"/>
      <c r="D838" s="14"/>
      <c r="E838" s="13"/>
      <c r="F838" s="7" t="str">
        <f t="shared" ca="1" si="39"/>
        <v/>
      </c>
      <c r="G838" s="27" t="str">
        <f t="shared" ca="1" si="40"/>
        <v/>
      </c>
      <c r="H838" s="13"/>
      <c r="I838" s="29" t="str">
        <f t="shared" ca="1" si="41"/>
        <v/>
      </c>
    </row>
    <row r="839" spans="1:9" x14ac:dyDescent="0.35">
      <c r="A839" s="21"/>
      <c r="B839" s="13"/>
      <c r="C839" s="14"/>
      <c r="D839" s="14"/>
      <c r="E839" s="13"/>
      <c r="F839" s="7" t="str">
        <f t="shared" ca="1" si="39"/>
        <v/>
      </c>
      <c r="G839" s="27" t="str">
        <f t="shared" ca="1" si="40"/>
        <v/>
      </c>
      <c r="H839" s="13"/>
      <c r="I839" s="29" t="str">
        <f t="shared" ca="1" si="41"/>
        <v/>
      </c>
    </row>
    <row r="840" spans="1:9" x14ac:dyDescent="0.35">
      <c r="A840" s="21"/>
      <c r="B840" s="13"/>
      <c r="C840" s="14"/>
      <c r="D840" s="14"/>
      <c r="E840" s="13"/>
      <c r="F840" s="7" t="str">
        <f t="shared" ca="1" si="39"/>
        <v/>
      </c>
      <c r="G840" s="27" t="str">
        <f t="shared" ca="1" si="40"/>
        <v/>
      </c>
      <c r="H840" s="13"/>
      <c r="I840" s="29" t="str">
        <f t="shared" ca="1" si="41"/>
        <v/>
      </c>
    </row>
    <row r="841" spans="1:9" x14ac:dyDescent="0.35">
      <c r="A841" s="21"/>
      <c r="B841" s="13"/>
      <c r="C841" s="14"/>
      <c r="D841" s="14"/>
      <c r="E841" s="13"/>
      <c r="F841" s="7" t="str">
        <f t="shared" ca="1" si="39"/>
        <v/>
      </c>
      <c r="G841" s="27" t="str">
        <f t="shared" ca="1" si="40"/>
        <v/>
      </c>
      <c r="H841" s="13"/>
      <c r="I841" s="29" t="str">
        <f t="shared" ca="1" si="41"/>
        <v/>
      </c>
    </row>
    <row r="842" spans="1:9" x14ac:dyDescent="0.35">
      <c r="A842" s="21"/>
      <c r="B842" s="13"/>
      <c r="C842" s="14"/>
      <c r="D842" s="14"/>
      <c r="E842" s="13"/>
      <c r="F842" s="7" t="str">
        <f t="shared" ca="1" si="39"/>
        <v/>
      </c>
      <c r="G842" s="27" t="str">
        <f t="shared" ca="1" si="40"/>
        <v/>
      </c>
      <c r="H842" s="13"/>
      <c r="I842" s="29" t="str">
        <f t="shared" ca="1" si="41"/>
        <v/>
      </c>
    </row>
    <row r="843" spans="1:9" x14ac:dyDescent="0.35">
      <c r="A843" s="21"/>
      <c r="B843" s="13"/>
      <c r="C843" s="14"/>
      <c r="D843" s="14"/>
      <c r="E843" s="13"/>
      <c r="F843" s="7" t="str">
        <f t="shared" ca="1" si="39"/>
        <v/>
      </c>
      <c r="G843" s="27" t="str">
        <f t="shared" ca="1" si="40"/>
        <v/>
      </c>
      <c r="H843" s="13"/>
      <c r="I843" s="29" t="str">
        <f t="shared" ca="1" si="41"/>
        <v/>
      </c>
    </row>
    <row r="844" spans="1:9" x14ac:dyDescent="0.35">
      <c r="A844" s="21"/>
      <c r="B844" s="13"/>
      <c r="C844" s="14"/>
      <c r="D844" s="14"/>
      <c r="E844" s="13"/>
      <c r="F844" s="7" t="str">
        <f t="shared" ca="1" si="39"/>
        <v/>
      </c>
      <c r="G844" s="27" t="str">
        <f t="shared" ca="1" si="40"/>
        <v/>
      </c>
      <c r="H844" s="13"/>
      <c r="I844" s="29" t="str">
        <f t="shared" ca="1" si="41"/>
        <v/>
      </c>
    </row>
    <row r="845" spans="1:9" x14ac:dyDescent="0.35">
      <c r="A845" s="21"/>
      <c r="B845" s="13"/>
      <c r="C845" s="14"/>
      <c r="D845" s="14"/>
      <c r="E845" s="13"/>
      <c r="F845" s="7" t="str">
        <f t="shared" ca="1" si="39"/>
        <v/>
      </c>
      <c r="G845" s="27" t="str">
        <f t="shared" ca="1" si="40"/>
        <v/>
      </c>
      <c r="H845" s="13"/>
      <c r="I845" s="29" t="str">
        <f t="shared" ca="1" si="41"/>
        <v/>
      </c>
    </row>
    <row r="846" spans="1:9" x14ac:dyDescent="0.35">
      <c r="A846" s="21"/>
      <c r="B846" s="13"/>
      <c r="C846" s="14"/>
      <c r="D846" s="14"/>
      <c r="E846" s="13"/>
      <c r="F846" s="7" t="str">
        <f t="shared" ca="1" si="39"/>
        <v/>
      </c>
      <c r="G846" s="27" t="str">
        <f t="shared" ca="1" si="40"/>
        <v/>
      </c>
      <c r="H846" s="13"/>
      <c r="I846" s="29" t="str">
        <f t="shared" ca="1" si="41"/>
        <v/>
      </c>
    </row>
    <row r="847" spans="1:9" x14ac:dyDescent="0.35">
      <c r="A847" s="21"/>
      <c r="B847" s="13"/>
      <c r="C847" s="14"/>
      <c r="D847" s="14"/>
      <c r="E847" s="13"/>
      <c r="F847" s="7" t="str">
        <f t="shared" ca="1" si="39"/>
        <v/>
      </c>
      <c r="G847" s="27" t="str">
        <f t="shared" ca="1" si="40"/>
        <v/>
      </c>
      <c r="H847" s="13"/>
      <c r="I847" s="29" t="str">
        <f t="shared" ca="1" si="41"/>
        <v/>
      </c>
    </row>
    <row r="848" spans="1:9" x14ac:dyDescent="0.35">
      <c r="A848" s="21"/>
      <c r="B848" s="13"/>
      <c r="C848" s="14"/>
      <c r="D848" s="14"/>
      <c r="E848" s="13"/>
      <c r="F848" s="7" t="str">
        <f t="shared" ca="1" si="39"/>
        <v/>
      </c>
      <c r="G848" s="27" t="str">
        <f t="shared" ca="1" si="40"/>
        <v/>
      </c>
      <c r="H848" s="13"/>
      <c r="I848" s="29" t="str">
        <f t="shared" ca="1" si="41"/>
        <v/>
      </c>
    </row>
    <row r="849" spans="1:9" x14ac:dyDescent="0.35">
      <c r="A849" s="21"/>
      <c r="B849" s="13"/>
      <c r="C849" s="14"/>
      <c r="D849" s="14"/>
      <c r="E849" s="13"/>
      <c r="F849" s="7" t="str">
        <f t="shared" ca="1" si="39"/>
        <v/>
      </c>
      <c r="G849" s="27" t="str">
        <f t="shared" ca="1" si="40"/>
        <v/>
      </c>
      <c r="H849" s="13"/>
      <c r="I849" s="29" t="str">
        <f t="shared" ca="1" si="41"/>
        <v/>
      </c>
    </row>
    <row r="850" spans="1:9" x14ac:dyDescent="0.35">
      <c r="A850" s="21"/>
      <c r="B850" s="13"/>
      <c r="C850" s="14"/>
      <c r="D850" s="14"/>
      <c r="E850" s="13"/>
      <c r="F850" s="7" t="str">
        <f t="shared" ca="1" si="39"/>
        <v/>
      </c>
      <c r="G850" s="27" t="str">
        <f t="shared" ca="1" si="40"/>
        <v/>
      </c>
      <c r="H850" s="13"/>
      <c r="I850" s="29" t="str">
        <f t="shared" ca="1" si="41"/>
        <v/>
      </c>
    </row>
    <row r="851" spans="1:9" x14ac:dyDescent="0.35">
      <c r="A851" s="21"/>
      <c r="B851" s="13"/>
      <c r="C851" s="14"/>
      <c r="D851" s="14"/>
      <c r="E851" s="13"/>
      <c r="F851" s="7" t="str">
        <f t="shared" ca="1" si="39"/>
        <v/>
      </c>
      <c r="G851" s="27" t="str">
        <f t="shared" ca="1" si="40"/>
        <v/>
      </c>
      <c r="H851" s="13"/>
      <c r="I851" s="29" t="str">
        <f t="shared" ca="1" si="41"/>
        <v/>
      </c>
    </row>
    <row r="852" spans="1:9" x14ac:dyDescent="0.35">
      <c r="A852" s="21"/>
      <c r="B852" s="13"/>
      <c r="C852" s="14"/>
      <c r="D852" s="14"/>
      <c r="E852" s="13"/>
      <c r="F852" s="7" t="str">
        <f t="shared" ca="1" si="39"/>
        <v/>
      </c>
      <c r="G852" s="27" t="str">
        <f t="shared" ca="1" si="40"/>
        <v/>
      </c>
      <c r="H852" s="13"/>
      <c r="I852" s="29" t="str">
        <f t="shared" ca="1" si="41"/>
        <v/>
      </c>
    </row>
    <row r="853" spans="1:9" x14ac:dyDescent="0.35">
      <c r="A853" s="21"/>
      <c r="B853" s="13"/>
      <c r="C853" s="14"/>
      <c r="D853" s="14"/>
      <c r="E853" s="13"/>
      <c r="F853" s="7" t="str">
        <f t="shared" ca="1" si="39"/>
        <v/>
      </c>
      <c r="G853" s="27" t="str">
        <f t="shared" ca="1" si="40"/>
        <v/>
      </c>
      <c r="H853" s="13"/>
      <c r="I853" s="29" t="str">
        <f t="shared" ca="1" si="41"/>
        <v/>
      </c>
    </row>
    <row r="854" spans="1:9" x14ac:dyDescent="0.35">
      <c r="A854" s="21"/>
      <c r="B854" s="13"/>
      <c r="C854" s="14"/>
      <c r="D854" s="14"/>
      <c r="E854" s="13"/>
      <c r="F854" s="7" t="str">
        <f t="shared" ca="1" si="39"/>
        <v/>
      </c>
      <c r="G854" s="27" t="str">
        <f t="shared" ca="1" si="40"/>
        <v/>
      </c>
      <c r="H854" s="13"/>
      <c r="I854" s="29" t="str">
        <f t="shared" ca="1" si="41"/>
        <v/>
      </c>
    </row>
    <row r="855" spans="1:9" x14ac:dyDescent="0.35">
      <c r="A855" s="21"/>
      <c r="B855" s="13"/>
      <c r="C855" s="14"/>
      <c r="D855" s="14"/>
      <c r="E855" s="13"/>
      <c r="F855" s="7" t="str">
        <f t="shared" ca="1" si="39"/>
        <v/>
      </c>
      <c r="G855" s="27" t="str">
        <f t="shared" ca="1" si="40"/>
        <v/>
      </c>
      <c r="H855" s="13"/>
      <c r="I855" s="29" t="str">
        <f t="shared" ca="1" si="41"/>
        <v/>
      </c>
    </row>
    <row r="856" spans="1:9" x14ac:dyDescent="0.35">
      <c r="A856" s="21"/>
      <c r="B856" s="13"/>
      <c r="C856" s="14"/>
      <c r="D856" s="14"/>
      <c r="E856" s="13"/>
      <c r="F856" s="7" t="str">
        <f t="shared" ca="1" si="39"/>
        <v/>
      </c>
      <c r="G856" s="27" t="str">
        <f t="shared" ca="1" si="40"/>
        <v/>
      </c>
      <c r="H856" s="13"/>
      <c r="I856" s="29" t="str">
        <f t="shared" ca="1" si="41"/>
        <v/>
      </c>
    </row>
    <row r="857" spans="1:9" x14ac:dyDescent="0.35">
      <c r="A857" s="21"/>
      <c r="B857" s="13"/>
      <c r="C857" s="14"/>
      <c r="D857" s="14"/>
      <c r="E857" s="13"/>
      <c r="F857" s="7" t="str">
        <f t="shared" ca="1" si="39"/>
        <v/>
      </c>
      <c r="G857" s="27" t="str">
        <f t="shared" ca="1" si="40"/>
        <v/>
      </c>
      <c r="H857" s="13"/>
      <c r="I857" s="29" t="str">
        <f t="shared" ca="1" si="41"/>
        <v/>
      </c>
    </row>
    <row r="858" spans="1:9" x14ac:dyDescent="0.35">
      <c r="A858" s="21"/>
      <c r="B858" s="13"/>
      <c r="C858" s="14"/>
      <c r="D858" s="14"/>
      <c r="E858" s="13"/>
      <c r="F858" s="7" t="str">
        <f t="shared" ca="1" si="39"/>
        <v/>
      </c>
      <c r="G858" s="27" t="str">
        <f t="shared" ca="1" si="40"/>
        <v/>
      </c>
      <c r="H858" s="13"/>
      <c r="I858" s="29" t="str">
        <f t="shared" ca="1" si="41"/>
        <v/>
      </c>
    </row>
    <row r="859" spans="1:9" x14ac:dyDescent="0.35">
      <c r="A859" s="21"/>
      <c r="B859" s="13"/>
      <c r="C859" s="14"/>
      <c r="D859" s="14"/>
      <c r="E859" s="13"/>
      <c r="F859" s="7" t="str">
        <f t="shared" ca="1" si="39"/>
        <v/>
      </c>
      <c r="G859" s="27" t="str">
        <f t="shared" ca="1" si="40"/>
        <v/>
      </c>
      <c r="H859" s="13"/>
      <c r="I859" s="29" t="str">
        <f t="shared" ca="1" si="41"/>
        <v/>
      </c>
    </row>
    <row r="860" spans="1:9" x14ac:dyDescent="0.35">
      <c r="A860" s="21"/>
      <c r="B860" s="13"/>
      <c r="C860" s="14"/>
      <c r="D860" s="14"/>
      <c r="E860" s="13"/>
      <c r="F860" s="7" t="str">
        <f t="shared" ca="1" si="39"/>
        <v/>
      </c>
      <c r="G860" s="27" t="str">
        <f t="shared" ca="1" si="40"/>
        <v/>
      </c>
      <c r="H860" s="13"/>
      <c r="I860" s="29" t="str">
        <f t="shared" ca="1" si="41"/>
        <v/>
      </c>
    </row>
    <row r="861" spans="1:9" x14ac:dyDescent="0.35">
      <c r="A861" s="21"/>
      <c r="B861" s="13"/>
      <c r="C861" s="14"/>
      <c r="D861" s="14"/>
      <c r="E861" s="13"/>
      <c r="F861" s="7" t="str">
        <f t="shared" ca="1" si="39"/>
        <v/>
      </c>
      <c r="G861" s="27" t="str">
        <f t="shared" ca="1" si="40"/>
        <v/>
      </c>
      <c r="H861" s="13"/>
      <c r="I861" s="29" t="str">
        <f t="shared" ca="1" si="41"/>
        <v/>
      </c>
    </row>
    <row r="862" spans="1:9" x14ac:dyDescent="0.35">
      <c r="A862" s="21"/>
      <c r="B862" s="13"/>
      <c r="C862" s="14"/>
      <c r="D862" s="14"/>
      <c r="E862" s="13"/>
      <c r="F862" s="7" t="str">
        <f t="shared" ca="1" si="39"/>
        <v/>
      </c>
      <c r="G862" s="27" t="str">
        <f t="shared" ca="1" si="40"/>
        <v/>
      </c>
      <c r="H862" s="13"/>
      <c r="I862" s="29" t="str">
        <f t="shared" ca="1" si="41"/>
        <v/>
      </c>
    </row>
    <row r="863" spans="1:9" x14ac:dyDescent="0.35">
      <c r="A863" s="21"/>
      <c r="B863" s="13"/>
      <c r="C863" s="14"/>
      <c r="D863" s="14"/>
      <c r="E863" s="13"/>
      <c r="F863" s="7" t="str">
        <f t="shared" ca="1" si="39"/>
        <v/>
      </c>
      <c r="G863" s="27" t="str">
        <f t="shared" ca="1" si="40"/>
        <v/>
      </c>
      <c r="H863" s="13"/>
      <c r="I863" s="29" t="str">
        <f t="shared" ca="1" si="41"/>
        <v/>
      </c>
    </row>
    <row r="864" spans="1:9" x14ac:dyDescent="0.35">
      <c r="A864" s="21"/>
      <c r="B864" s="13"/>
      <c r="C864" s="14"/>
      <c r="D864" s="14"/>
      <c r="E864" s="13"/>
      <c r="F864" s="7" t="str">
        <f t="shared" ca="1" si="39"/>
        <v/>
      </c>
      <c r="G864" s="27" t="str">
        <f t="shared" ca="1" si="40"/>
        <v/>
      </c>
      <c r="H864" s="13"/>
      <c r="I864" s="29" t="str">
        <f t="shared" ca="1" si="41"/>
        <v/>
      </c>
    </row>
    <row r="865" spans="1:9" x14ac:dyDescent="0.35">
      <c r="A865" s="21"/>
      <c r="B865" s="13"/>
      <c r="C865" s="14"/>
      <c r="D865" s="14"/>
      <c r="E865" s="13"/>
      <c r="F865" s="7" t="str">
        <f t="shared" ca="1" si="39"/>
        <v/>
      </c>
      <c r="G865" s="27" t="str">
        <f t="shared" ca="1" si="40"/>
        <v/>
      </c>
      <c r="H865" s="13"/>
      <c r="I865" s="29" t="str">
        <f t="shared" ca="1" si="41"/>
        <v/>
      </c>
    </row>
    <row r="866" spans="1:9" x14ac:dyDescent="0.35">
      <c r="A866" s="21"/>
      <c r="B866" s="13"/>
      <c r="C866" s="14"/>
      <c r="D866" s="14"/>
      <c r="E866" s="13"/>
      <c r="F866" s="7" t="str">
        <f t="shared" ca="1" si="39"/>
        <v/>
      </c>
      <c r="G866" s="27" t="str">
        <f t="shared" ca="1" si="40"/>
        <v/>
      </c>
      <c r="H866" s="13"/>
      <c r="I866" s="29" t="str">
        <f t="shared" ca="1" si="41"/>
        <v/>
      </c>
    </row>
    <row r="867" spans="1:9" x14ac:dyDescent="0.35">
      <c r="A867" s="21"/>
      <c r="B867" s="13"/>
      <c r="C867" s="14"/>
      <c r="D867" s="14"/>
      <c r="E867" s="13"/>
      <c r="F867" s="7" t="str">
        <f t="shared" ca="1" si="39"/>
        <v/>
      </c>
      <c r="G867" s="27" t="str">
        <f t="shared" ca="1" si="40"/>
        <v/>
      </c>
      <c r="H867" s="13"/>
      <c r="I867" s="29" t="str">
        <f t="shared" ca="1" si="41"/>
        <v/>
      </c>
    </row>
    <row r="868" spans="1:9" x14ac:dyDescent="0.35">
      <c r="A868" s="21"/>
      <c r="B868" s="13"/>
      <c r="C868" s="14"/>
      <c r="D868" s="14"/>
      <c r="E868" s="13"/>
      <c r="F868" s="7" t="str">
        <f t="shared" ca="1" si="39"/>
        <v/>
      </c>
      <c r="G868" s="27" t="str">
        <f t="shared" ca="1" si="40"/>
        <v/>
      </c>
      <c r="H868" s="13"/>
      <c r="I868" s="29" t="str">
        <f t="shared" ca="1" si="41"/>
        <v/>
      </c>
    </row>
    <row r="869" spans="1:9" x14ac:dyDescent="0.35">
      <c r="A869" s="21"/>
      <c r="B869" s="13"/>
      <c r="C869" s="14"/>
      <c r="D869" s="14"/>
      <c r="E869" s="13"/>
      <c r="F869" s="7" t="str">
        <f t="shared" ca="1" si="39"/>
        <v/>
      </c>
      <c r="G869" s="27" t="str">
        <f t="shared" ca="1" si="40"/>
        <v/>
      </c>
      <c r="H869" s="13"/>
      <c r="I869" s="29" t="str">
        <f t="shared" ca="1" si="41"/>
        <v/>
      </c>
    </row>
    <row r="870" spans="1:9" x14ac:dyDescent="0.35">
      <c r="A870" s="21"/>
      <c r="B870" s="13"/>
      <c r="C870" s="14"/>
      <c r="D870" s="14"/>
      <c r="E870" s="13"/>
      <c r="F870" s="7" t="str">
        <f t="shared" ca="1" si="39"/>
        <v/>
      </c>
      <c r="G870" s="27" t="str">
        <f t="shared" ca="1" si="40"/>
        <v/>
      </c>
      <c r="H870" s="13"/>
      <c r="I870" s="29" t="str">
        <f t="shared" ca="1" si="41"/>
        <v/>
      </c>
    </row>
    <row r="871" spans="1:9" x14ac:dyDescent="0.35">
      <c r="A871" s="21"/>
      <c r="B871" s="13"/>
      <c r="C871" s="14"/>
      <c r="D871" s="14"/>
      <c r="E871" s="13"/>
      <c r="F871" s="7" t="str">
        <f t="shared" ca="1" si="39"/>
        <v/>
      </c>
      <c r="G871" s="27" t="str">
        <f t="shared" ca="1" si="40"/>
        <v/>
      </c>
      <c r="H871" s="13"/>
      <c r="I871" s="29" t="str">
        <f t="shared" ca="1" si="41"/>
        <v/>
      </c>
    </row>
    <row r="872" spans="1:9" x14ac:dyDescent="0.35">
      <c r="A872" s="21"/>
      <c r="B872" s="13"/>
      <c r="C872" s="14"/>
      <c r="D872" s="14"/>
      <c r="E872" s="13"/>
      <c r="F872" s="7" t="str">
        <f t="shared" ca="1" si="39"/>
        <v/>
      </c>
      <c r="G872" s="27" t="str">
        <f t="shared" ca="1" si="40"/>
        <v/>
      </c>
      <c r="H872" s="13"/>
      <c r="I872" s="29" t="str">
        <f t="shared" ca="1" si="41"/>
        <v/>
      </c>
    </row>
    <row r="873" spans="1:9" x14ac:dyDescent="0.35">
      <c r="A873" s="21"/>
      <c r="B873" s="13"/>
      <c r="C873" s="14"/>
      <c r="D873" s="14"/>
      <c r="E873" s="13"/>
      <c r="F873" s="7" t="str">
        <f t="shared" ca="1" si="39"/>
        <v/>
      </c>
      <c r="G873" s="27" t="str">
        <f t="shared" ca="1" si="40"/>
        <v/>
      </c>
      <c r="H873" s="13"/>
      <c r="I873" s="29" t="str">
        <f t="shared" ca="1" si="41"/>
        <v/>
      </c>
    </row>
    <row r="874" spans="1:9" x14ac:dyDescent="0.35">
      <c r="A874" s="21"/>
      <c r="B874" s="13"/>
      <c r="C874" s="14"/>
      <c r="D874" s="14"/>
      <c r="E874" s="13"/>
      <c r="F874" s="7" t="str">
        <f t="shared" ca="1" si="39"/>
        <v/>
      </c>
      <c r="G874" s="27" t="str">
        <f t="shared" ca="1" si="40"/>
        <v/>
      </c>
      <c r="H874" s="13"/>
      <c r="I874" s="29" t="str">
        <f t="shared" ca="1" si="41"/>
        <v/>
      </c>
    </row>
    <row r="875" spans="1:9" x14ac:dyDescent="0.35">
      <c r="A875" s="21"/>
      <c r="B875" s="13"/>
      <c r="C875" s="14"/>
      <c r="D875" s="14"/>
      <c r="E875" s="13"/>
      <c r="F875" s="7" t="str">
        <f t="shared" ca="1" si="39"/>
        <v/>
      </c>
      <c r="G875" s="27" t="str">
        <f t="shared" ca="1" si="40"/>
        <v/>
      </c>
      <c r="H875" s="13"/>
      <c r="I875" s="29" t="str">
        <f t="shared" ca="1" si="41"/>
        <v/>
      </c>
    </row>
    <row r="876" spans="1:9" x14ac:dyDescent="0.35">
      <c r="A876" s="21"/>
      <c r="B876" s="13"/>
      <c r="C876" s="14"/>
      <c r="D876" s="14"/>
      <c r="E876" s="13"/>
      <c r="F876" s="7" t="str">
        <f t="shared" ca="1" si="39"/>
        <v/>
      </c>
      <c r="G876" s="27" t="str">
        <f t="shared" ca="1" si="40"/>
        <v/>
      </c>
      <c r="H876" s="13"/>
      <c r="I876" s="29" t="str">
        <f t="shared" ca="1" si="41"/>
        <v/>
      </c>
    </row>
    <row r="877" spans="1:9" x14ac:dyDescent="0.35">
      <c r="A877" s="21"/>
      <c r="B877" s="13"/>
      <c r="C877" s="14"/>
      <c r="D877" s="14"/>
      <c r="E877" s="13"/>
      <c r="F877" s="7" t="str">
        <f t="shared" ca="1" si="39"/>
        <v/>
      </c>
      <c r="G877" s="27" t="str">
        <f t="shared" ca="1" si="40"/>
        <v/>
      </c>
      <c r="H877" s="13"/>
      <c r="I877" s="29" t="str">
        <f t="shared" ca="1" si="41"/>
        <v/>
      </c>
    </row>
    <row r="878" spans="1:9" x14ac:dyDescent="0.35">
      <c r="A878" s="21"/>
      <c r="B878" s="13"/>
      <c r="C878" s="14"/>
      <c r="D878" s="14"/>
      <c r="E878" s="13"/>
      <c r="F878" s="7" t="str">
        <f t="shared" ca="1" si="39"/>
        <v/>
      </c>
      <c r="G878" s="27" t="str">
        <f t="shared" ca="1" si="40"/>
        <v/>
      </c>
      <c r="H878" s="13"/>
      <c r="I878" s="29" t="str">
        <f t="shared" ca="1" si="41"/>
        <v/>
      </c>
    </row>
    <row r="879" spans="1:9" x14ac:dyDescent="0.35">
      <c r="A879" s="21"/>
      <c r="B879" s="13"/>
      <c r="C879" s="14"/>
      <c r="D879" s="14"/>
      <c r="E879" s="13"/>
      <c r="F879" s="7" t="str">
        <f t="shared" ca="1" si="39"/>
        <v/>
      </c>
      <c r="G879" s="27" t="str">
        <f t="shared" ca="1" si="40"/>
        <v/>
      </c>
      <c r="H879" s="13"/>
      <c r="I879" s="29" t="str">
        <f t="shared" ca="1" si="41"/>
        <v/>
      </c>
    </row>
    <row r="880" spans="1:9" x14ac:dyDescent="0.35">
      <c r="A880" s="21"/>
      <c r="B880" s="13"/>
      <c r="C880" s="14"/>
      <c r="D880" s="14"/>
      <c r="E880" s="13"/>
      <c r="F880" s="7" t="str">
        <f t="shared" ca="1" si="39"/>
        <v/>
      </c>
      <c r="G880" s="27" t="str">
        <f t="shared" ca="1" si="40"/>
        <v/>
      </c>
      <c r="H880" s="13"/>
      <c r="I880" s="29" t="str">
        <f t="shared" ca="1" si="41"/>
        <v/>
      </c>
    </row>
    <row r="881" spans="1:9" x14ac:dyDescent="0.35">
      <c r="A881" s="21"/>
      <c r="B881" s="13"/>
      <c r="C881" s="14"/>
      <c r="D881" s="14"/>
      <c r="E881" s="13"/>
      <c r="F881" s="7" t="str">
        <f t="shared" ca="1" si="39"/>
        <v/>
      </c>
      <c r="G881" s="27" t="str">
        <f t="shared" ca="1" si="40"/>
        <v/>
      </c>
      <c r="H881" s="13"/>
      <c r="I881" s="29" t="str">
        <f t="shared" ca="1" si="41"/>
        <v/>
      </c>
    </row>
    <row r="882" spans="1:9" x14ac:dyDescent="0.35">
      <c r="A882" s="21"/>
      <c r="B882" s="13"/>
      <c r="C882" s="14"/>
      <c r="D882" s="14"/>
      <c r="E882" s="13"/>
      <c r="F882" s="7" t="str">
        <f t="shared" ca="1" si="39"/>
        <v/>
      </c>
      <c r="G882" s="27" t="str">
        <f t="shared" ca="1" si="40"/>
        <v/>
      </c>
      <c r="H882" s="13"/>
      <c r="I882" s="29" t="str">
        <f t="shared" ca="1" si="41"/>
        <v/>
      </c>
    </row>
    <row r="883" spans="1:9" x14ac:dyDescent="0.35">
      <c r="A883" s="21"/>
      <c r="B883" s="13"/>
      <c r="C883" s="14"/>
      <c r="D883" s="14"/>
      <c r="E883" s="13"/>
      <c r="F883" s="7" t="str">
        <f t="shared" ca="1" si="39"/>
        <v/>
      </c>
      <c r="G883" s="27" t="str">
        <f t="shared" ca="1" si="40"/>
        <v/>
      </c>
      <c r="H883" s="13"/>
      <c r="I883" s="29" t="str">
        <f t="shared" ca="1" si="41"/>
        <v/>
      </c>
    </row>
    <row r="884" spans="1:9" x14ac:dyDescent="0.35">
      <c r="A884" s="21"/>
      <c r="B884" s="13"/>
      <c r="C884" s="14"/>
      <c r="D884" s="14"/>
      <c r="E884" s="13"/>
      <c r="F884" s="7" t="str">
        <f t="shared" ca="1" si="39"/>
        <v/>
      </c>
      <c r="G884" s="27" t="str">
        <f t="shared" ca="1" si="40"/>
        <v/>
      </c>
      <c r="H884" s="13"/>
      <c r="I884" s="29" t="str">
        <f t="shared" ca="1" si="41"/>
        <v/>
      </c>
    </row>
    <row r="885" spans="1:9" x14ac:dyDescent="0.35">
      <c r="A885" s="21"/>
      <c r="B885" s="13"/>
      <c r="C885" s="14"/>
      <c r="D885" s="14"/>
      <c r="E885" s="13"/>
      <c r="F885" s="7" t="str">
        <f t="shared" ca="1" si="39"/>
        <v/>
      </c>
      <c r="G885" s="27" t="str">
        <f t="shared" ca="1" si="40"/>
        <v/>
      </c>
      <c r="H885" s="13"/>
      <c r="I885" s="29" t="str">
        <f t="shared" ca="1" si="41"/>
        <v/>
      </c>
    </row>
    <row r="886" spans="1:9" x14ac:dyDescent="0.35">
      <c r="A886" s="21"/>
      <c r="B886" s="13"/>
      <c r="C886" s="14"/>
      <c r="D886" s="14"/>
      <c r="E886" s="13"/>
      <c r="F886" s="7" t="str">
        <f t="shared" ca="1" si="39"/>
        <v/>
      </c>
      <c r="G886" s="27" t="str">
        <f t="shared" ca="1" si="40"/>
        <v/>
      </c>
      <c r="H886" s="13"/>
      <c r="I886" s="29" t="str">
        <f t="shared" ca="1" si="41"/>
        <v/>
      </c>
    </row>
    <row r="887" spans="1:9" x14ac:dyDescent="0.35">
      <c r="A887" s="21"/>
      <c r="B887" s="13"/>
      <c r="C887" s="14"/>
      <c r="D887" s="14"/>
      <c r="E887" s="13"/>
      <c r="F887" s="7" t="str">
        <f t="shared" ca="1" si="39"/>
        <v/>
      </c>
      <c r="G887" s="27" t="str">
        <f t="shared" ca="1" si="40"/>
        <v/>
      </c>
      <c r="H887" s="13"/>
      <c r="I887" s="29" t="str">
        <f t="shared" ca="1" si="41"/>
        <v/>
      </c>
    </row>
    <row r="888" spans="1:9" x14ac:dyDescent="0.35">
      <c r="A888" s="21"/>
      <c r="B888" s="13"/>
      <c r="C888" s="14"/>
      <c r="D888" s="14"/>
      <c r="E888" s="13"/>
      <c r="F888" s="7" t="str">
        <f t="shared" ca="1" si="39"/>
        <v/>
      </c>
      <c r="G888" s="27" t="str">
        <f t="shared" ca="1" si="40"/>
        <v/>
      </c>
      <c r="H888" s="13"/>
      <c r="I888" s="29" t="str">
        <f t="shared" ca="1" si="41"/>
        <v/>
      </c>
    </row>
    <row r="889" spans="1:9" x14ac:dyDescent="0.35">
      <c r="A889" s="21"/>
      <c r="B889" s="13"/>
      <c r="C889" s="14"/>
      <c r="D889" s="14"/>
      <c r="E889" s="13"/>
      <c r="F889" s="7" t="str">
        <f t="shared" ca="1" si="39"/>
        <v/>
      </c>
      <c r="G889" s="27" t="str">
        <f t="shared" ca="1" si="40"/>
        <v/>
      </c>
      <c r="H889" s="13"/>
      <c r="I889" s="29" t="str">
        <f t="shared" ca="1" si="41"/>
        <v/>
      </c>
    </row>
    <row r="890" spans="1:9" x14ac:dyDescent="0.35">
      <c r="A890" s="21"/>
      <c r="B890" s="13"/>
      <c r="C890" s="14"/>
      <c r="D890" s="14"/>
      <c r="E890" s="13"/>
      <c r="F890" s="7" t="str">
        <f t="shared" ca="1" si="39"/>
        <v/>
      </c>
      <c r="G890" s="27" t="str">
        <f t="shared" ca="1" si="40"/>
        <v/>
      </c>
      <c r="H890" s="13"/>
      <c r="I890" s="29" t="str">
        <f t="shared" ca="1" si="41"/>
        <v/>
      </c>
    </row>
    <row r="891" spans="1:9" x14ac:dyDescent="0.35">
      <c r="A891" s="21"/>
      <c r="B891" s="13"/>
      <c r="C891" s="14"/>
      <c r="D891" s="14"/>
      <c r="E891" s="13"/>
      <c r="F891" s="7" t="str">
        <f t="shared" ca="1" si="39"/>
        <v/>
      </c>
      <c r="G891" s="27" t="str">
        <f t="shared" ca="1" si="40"/>
        <v/>
      </c>
      <c r="H891" s="13"/>
      <c r="I891" s="29" t="str">
        <f t="shared" ca="1" si="41"/>
        <v/>
      </c>
    </row>
    <row r="892" spans="1:9" x14ac:dyDescent="0.35">
      <c r="A892" s="21"/>
      <c r="B892" s="13"/>
      <c r="C892" s="14"/>
      <c r="D892" s="14"/>
      <c r="E892" s="13"/>
      <c r="F892" s="7" t="str">
        <f t="shared" ca="1" si="39"/>
        <v/>
      </c>
      <c r="G892" s="27" t="str">
        <f t="shared" ca="1" si="40"/>
        <v/>
      </c>
      <c r="H892" s="13"/>
      <c r="I892" s="29" t="str">
        <f t="shared" ca="1" si="41"/>
        <v/>
      </c>
    </row>
    <row r="893" spans="1:9" x14ac:dyDescent="0.35">
      <c r="A893" s="21"/>
      <c r="B893" s="13"/>
      <c r="C893" s="14"/>
      <c r="D893" s="14"/>
      <c r="E893" s="13"/>
      <c r="F893" s="7" t="str">
        <f t="shared" ca="1" si="39"/>
        <v/>
      </c>
      <c r="G893" s="27" t="str">
        <f t="shared" ca="1" si="40"/>
        <v/>
      </c>
      <c r="H893" s="13"/>
      <c r="I893" s="29" t="str">
        <f t="shared" ca="1" si="41"/>
        <v/>
      </c>
    </row>
    <row r="894" spans="1:9" x14ac:dyDescent="0.35">
      <c r="A894" s="21"/>
      <c r="B894" s="13"/>
      <c r="C894" s="14"/>
      <c r="D894" s="14"/>
      <c r="E894" s="13"/>
      <c r="F894" s="7" t="str">
        <f t="shared" ca="1" si="39"/>
        <v/>
      </c>
      <c r="G894" s="27" t="str">
        <f t="shared" ca="1" si="40"/>
        <v/>
      </c>
      <c r="H894" s="13"/>
      <c r="I894" s="29" t="str">
        <f t="shared" ca="1" si="41"/>
        <v/>
      </c>
    </row>
    <row r="895" spans="1:9" x14ac:dyDescent="0.35">
      <c r="A895" s="21"/>
      <c r="B895" s="13"/>
      <c r="C895" s="14"/>
      <c r="D895" s="14"/>
      <c r="E895" s="13"/>
      <c r="F895" s="7" t="str">
        <f t="shared" ca="1" si="39"/>
        <v/>
      </c>
      <c r="G895" s="27" t="str">
        <f t="shared" ca="1" si="40"/>
        <v/>
      </c>
      <c r="H895" s="13"/>
      <c r="I895" s="29" t="str">
        <f t="shared" ca="1" si="41"/>
        <v/>
      </c>
    </row>
    <row r="896" spans="1:9" x14ac:dyDescent="0.35">
      <c r="A896" s="21"/>
      <c r="B896" s="13"/>
      <c r="C896" s="14"/>
      <c r="D896" s="14"/>
      <c r="E896" s="13"/>
      <c r="F896" s="7" t="str">
        <f t="shared" ca="1" si="39"/>
        <v/>
      </c>
      <c r="G896" s="27" t="str">
        <f t="shared" ca="1" si="40"/>
        <v/>
      </c>
      <c r="H896" s="13"/>
      <c r="I896" s="29" t="str">
        <f t="shared" ca="1" si="41"/>
        <v/>
      </c>
    </row>
    <row r="897" spans="1:9" x14ac:dyDescent="0.35">
      <c r="A897" s="21"/>
      <c r="B897" s="13"/>
      <c r="C897" s="14"/>
      <c r="D897" s="14"/>
      <c r="E897" s="13"/>
      <c r="F897" s="7" t="str">
        <f t="shared" ca="1" si="39"/>
        <v/>
      </c>
      <c r="G897" s="27" t="str">
        <f t="shared" ca="1" si="40"/>
        <v/>
      </c>
      <c r="H897" s="13"/>
      <c r="I897" s="29" t="str">
        <f t="shared" ca="1" si="41"/>
        <v/>
      </c>
    </row>
    <row r="898" spans="1:9" x14ac:dyDescent="0.35">
      <c r="A898" s="21"/>
      <c r="B898" s="13"/>
      <c r="C898" s="14"/>
      <c r="D898" s="14"/>
      <c r="E898" s="13"/>
      <c r="F898" s="7" t="str">
        <f t="shared" ca="1" si="39"/>
        <v/>
      </c>
      <c r="G898" s="27" t="str">
        <f t="shared" ca="1" si="40"/>
        <v/>
      </c>
      <c r="H898" s="13"/>
      <c r="I898" s="29" t="str">
        <f t="shared" ca="1" si="41"/>
        <v/>
      </c>
    </row>
    <row r="899" spans="1:9" x14ac:dyDescent="0.35">
      <c r="A899" s="21"/>
      <c r="B899" s="13"/>
      <c r="C899" s="14"/>
      <c r="D899" s="14"/>
      <c r="E899" s="13"/>
      <c r="F899" s="7" t="str">
        <f t="shared" ca="1" si="39"/>
        <v/>
      </c>
      <c r="G899" s="27" t="str">
        <f t="shared" ca="1" si="40"/>
        <v/>
      </c>
      <c r="H899" s="13"/>
      <c r="I899" s="29" t="str">
        <f t="shared" ca="1" si="41"/>
        <v/>
      </c>
    </row>
    <row r="900" spans="1:9" x14ac:dyDescent="0.35">
      <c r="A900" s="21"/>
      <c r="B900" s="13"/>
      <c r="C900" s="14"/>
      <c r="D900" s="14"/>
      <c r="E900" s="13"/>
      <c r="F900" s="7" t="str">
        <f t="shared" ca="1" si="39"/>
        <v/>
      </c>
      <c r="G900" s="27" t="str">
        <f t="shared" ca="1" si="40"/>
        <v/>
      </c>
      <c r="H900" s="13"/>
      <c r="I900" s="29" t="str">
        <f t="shared" ca="1" si="41"/>
        <v/>
      </c>
    </row>
    <row r="901" spans="1:9" x14ac:dyDescent="0.35">
      <c r="A901" s="21"/>
      <c r="B901" s="13"/>
      <c r="C901" s="14"/>
      <c r="D901" s="14"/>
      <c r="E901" s="13"/>
      <c r="F901" s="7" t="str">
        <f t="shared" ref="F901:F964" ca="1" si="42">IF($B901="","",IF($D901&lt;&gt;"","Fait",IF($C901="","Non planifié",IF(N($C901)&lt;TODAY(),"En retard","À venir"))))</f>
        <v/>
      </c>
      <c r="G901" s="27" t="str">
        <f t="shared" ref="G901:G964" ca="1" si="43">IF($B901="","",IF(AND($C901&lt;&gt;"",$D901&lt;&gt;""),$D901-$C901,IF($F901="En retard",TODAY()-$C901,"")))</f>
        <v/>
      </c>
      <c r="H901" s="13"/>
      <c r="I901" s="29" t="str">
        <f t="shared" ref="I901:I964" ca="1" si="44">IF($F901="En retard",1,"")</f>
        <v/>
      </c>
    </row>
    <row r="902" spans="1:9" x14ac:dyDescent="0.35">
      <c r="A902" s="21"/>
      <c r="B902" s="13"/>
      <c r="C902" s="14"/>
      <c r="D902" s="14"/>
      <c r="E902" s="13"/>
      <c r="F902" s="7" t="str">
        <f t="shared" ca="1" si="42"/>
        <v/>
      </c>
      <c r="G902" s="27" t="str">
        <f t="shared" ca="1" si="43"/>
        <v/>
      </c>
      <c r="H902" s="13"/>
      <c r="I902" s="29" t="str">
        <f t="shared" ca="1" si="44"/>
        <v/>
      </c>
    </row>
    <row r="903" spans="1:9" x14ac:dyDescent="0.35">
      <c r="A903" s="21"/>
      <c r="B903" s="13"/>
      <c r="C903" s="14"/>
      <c r="D903" s="14"/>
      <c r="E903" s="13"/>
      <c r="F903" s="7" t="str">
        <f t="shared" ca="1" si="42"/>
        <v/>
      </c>
      <c r="G903" s="27" t="str">
        <f t="shared" ca="1" si="43"/>
        <v/>
      </c>
      <c r="H903" s="13"/>
      <c r="I903" s="29" t="str">
        <f t="shared" ca="1" si="44"/>
        <v/>
      </c>
    </row>
    <row r="904" spans="1:9" x14ac:dyDescent="0.35">
      <c r="A904" s="21"/>
      <c r="B904" s="13"/>
      <c r="C904" s="14"/>
      <c r="D904" s="14"/>
      <c r="E904" s="13"/>
      <c r="F904" s="7" t="str">
        <f t="shared" ca="1" si="42"/>
        <v/>
      </c>
      <c r="G904" s="27" t="str">
        <f t="shared" ca="1" si="43"/>
        <v/>
      </c>
      <c r="H904" s="13"/>
      <c r="I904" s="29" t="str">
        <f t="shared" ca="1" si="44"/>
        <v/>
      </c>
    </row>
    <row r="905" spans="1:9" x14ac:dyDescent="0.35">
      <c r="A905" s="21"/>
      <c r="B905" s="13"/>
      <c r="C905" s="14"/>
      <c r="D905" s="14"/>
      <c r="E905" s="13"/>
      <c r="F905" s="7" t="str">
        <f t="shared" ca="1" si="42"/>
        <v/>
      </c>
      <c r="G905" s="27" t="str">
        <f t="shared" ca="1" si="43"/>
        <v/>
      </c>
      <c r="H905" s="13"/>
      <c r="I905" s="29" t="str">
        <f t="shared" ca="1" si="44"/>
        <v/>
      </c>
    </row>
    <row r="906" spans="1:9" x14ac:dyDescent="0.35">
      <c r="A906" s="21"/>
      <c r="B906" s="13"/>
      <c r="C906" s="14"/>
      <c r="D906" s="14"/>
      <c r="E906" s="13"/>
      <c r="F906" s="7" t="str">
        <f t="shared" ca="1" si="42"/>
        <v/>
      </c>
      <c r="G906" s="27" t="str">
        <f t="shared" ca="1" si="43"/>
        <v/>
      </c>
      <c r="H906" s="13"/>
      <c r="I906" s="29" t="str">
        <f t="shared" ca="1" si="44"/>
        <v/>
      </c>
    </row>
    <row r="907" spans="1:9" x14ac:dyDescent="0.35">
      <c r="A907" s="21"/>
      <c r="B907" s="13"/>
      <c r="C907" s="14"/>
      <c r="D907" s="14"/>
      <c r="E907" s="13"/>
      <c r="F907" s="7" t="str">
        <f t="shared" ca="1" si="42"/>
        <v/>
      </c>
      <c r="G907" s="27" t="str">
        <f t="shared" ca="1" si="43"/>
        <v/>
      </c>
      <c r="H907" s="13"/>
      <c r="I907" s="29" t="str">
        <f t="shared" ca="1" si="44"/>
        <v/>
      </c>
    </row>
    <row r="908" spans="1:9" x14ac:dyDescent="0.35">
      <c r="A908" s="21"/>
      <c r="B908" s="13"/>
      <c r="C908" s="14"/>
      <c r="D908" s="14"/>
      <c r="E908" s="13"/>
      <c r="F908" s="7" t="str">
        <f t="shared" ca="1" si="42"/>
        <v/>
      </c>
      <c r="G908" s="27" t="str">
        <f t="shared" ca="1" si="43"/>
        <v/>
      </c>
      <c r="H908" s="13"/>
      <c r="I908" s="29" t="str">
        <f t="shared" ca="1" si="44"/>
        <v/>
      </c>
    </row>
    <row r="909" spans="1:9" x14ac:dyDescent="0.35">
      <c r="A909" s="21"/>
      <c r="B909" s="13"/>
      <c r="C909" s="14"/>
      <c r="D909" s="14"/>
      <c r="E909" s="13"/>
      <c r="F909" s="7" t="str">
        <f t="shared" ca="1" si="42"/>
        <v/>
      </c>
      <c r="G909" s="27" t="str">
        <f t="shared" ca="1" si="43"/>
        <v/>
      </c>
      <c r="H909" s="13"/>
      <c r="I909" s="29" t="str">
        <f t="shared" ca="1" si="44"/>
        <v/>
      </c>
    </row>
    <row r="910" spans="1:9" x14ac:dyDescent="0.35">
      <c r="A910" s="21"/>
      <c r="B910" s="13"/>
      <c r="C910" s="14"/>
      <c r="D910" s="14"/>
      <c r="E910" s="13"/>
      <c r="F910" s="7" t="str">
        <f t="shared" ca="1" si="42"/>
        <v/>
      </c>
      <c r="G910" s="27" t="str">
        <f t="shared" ca="1" si="43"/>
        <v/>
      </c>
      <c r="H910" s="13"/>
      <c r="I910" s="29" t="str">
        <f t="shared" ca="1" si="44"/>
        <v/>
      </c>
    </row>
    <row r="911" spans="1:9" x14ac:dyDescent="0.35">
      <c r="A911" s="21"/>
      <c r="B911" s="13"/>
      <c r="C911" s="14"/>
      <c r="D911" s="14"/>
      <c r="E911" s="13"/>
      <c r="F911" s="7" t="str">
        <f t="shared" ca="1" si="42"/>
        <v/>
      </c>
      <c r="G911" s="27" t="str">
        <f t="shared" ca="1" si="43"/>
        <v/>
      </c>
      <c r="H911" s="13"/>
      <c r="I911" s="29" t="str">
        <f t="shared" ca="1" si="44"/>
        <v/>
      </c>
    </row>
    <row r="912" spans="1:9" x14ac:dyDescent="0.35">
      <c r="A912" s="21"/>
      <c r="B912" s="13"/>
      <c r="C912" s="14"/>
      <c r="D912" s="14"/>
      <c r="E912" s="13"/>
      <c r="F912" s="7" t="str">
        <f t="shared" ca="1" si="42"/>
        <v/>
      </c>
      <c r="G912" s="27" t="str">
        <f t="shared" ca="1" si="43"/>
        <v/>
      </c>
      <c r="H912" s="13"/>
      <c r="I912" s="29" t="str">
        <f t="shared" ca="1" si="44"/>
        <v/>
      </c>
    </row>
    <row r="913" spans="1:9" x14ac:dyDescent="0.35">
      <c r="A913" s="21"/>
      <c r="B913" s="13"/>
      <c r="C913" s="14"/>
      <c r="D913" s="14"/>
      <c r="E913" s="13"/>
      <c r="F913" s="7" t="str">
        <f t="shared" ca="1" si="42"/>
        <v/>
      </c>
      <c r="G913" s="27" t="str">
        <f t="shared" ca="1" si="43"/>
        <v/>
      </c>
      <c r="H913" s="13"/>
      <c r="I913" s="29" t="str">
        <f t="shared" ca="1" si="44"/>
        <v/>
      </c>
    </row>
    <row r="914" spans="1:9" x14ac:dyDescent="0.35">
      <c r="A914" s="21"/>
      <c r="B914" s="13"/>
      <c r="C914" s="14"/>
      <c r="D914" s="14"/>
      <c r="E914" s="13"/>
      <c r="F914" s="7" t="str">
        <f t="shared" ca="1" si="42"/>
        <v/>
      </c>
      <c r="G914" s="27" t="str">
        <f t="shared" ca="1" si="43"/>
        <v/>
      </c>
      <c r="H914" s="13"/>
      <c r="I914" s="29" t="str">
        <f t="shared" ca="1" si="44"/>
        <v/>
      </c>
    </row>
    <row r="915" spans="1:9" x14ac:dyDescent="0.35">
      <c r="A915" s="21"/>
      <c r="B915" s="13"/>
      <c r="C915" s="14"/>
      <c r="D915" s="14"/>
      <c r="E915" s="13"/>
      <c r="F915" s="7" t="str">
        <f t="shared" ca="1" si="42"/>
        <v/>
      </c>
      <c r="G915" s="27" t="str">
        <f t="shared" ca="1" si="43"/>
        <v/>
      </c>
      <c r="H915" s="13"/>
      <c r="I915" s="29" t="str">
        <f t="shared" ca="1" si="44"/>
        <v/>
      </c>
    </row>
    <row r="916" spans="1:9" x14ac:dyDescent="0.35">
      <c r="A916" s="21"/>
      <c r="B916" s="13"/>
      <c r="C916" s="14"/>
      <c r="D916" s="14"/>
      <c r="E916" s="13"/>
      <c r="F916" s="7" t="str">
        <f t="shared" ca="1" si="42"/>
        <v/>
      </c>
      <c r="G916" s="27" t="str">
        <f t="shared" ca="1" si="43"/>
        <v/>
      </c>
      <c r="H916" s="13"/>
      <c r="I916" s="29" t="str">
        <f t="shared" ca="1" si="44"/>
        <v/>
      </c>
    </row>
    <row r="917" spans="1:9" x14ac:dyDescent="0.35">
      <c r="A917" s="21"/>
      <c r="B917" s="13"/>
      <c r="C917" s="14"/>
      <c r="D917" s="14"/>
      <c r="E917" s="13"/>
      <c r="F917" s="7" t="str">
        <f t="shared" ca="1" si="42"/>
        <v/>
      </c>
      <c r="G917" s="27" t="str">
        <f t="shared" ca="1" si="43"/>
        <v/>
      </c>
      <c r="H917" s="13"/>
      <c r="I917" s="29" t="str">
        <f t="shared" ca="1" si="44"/>
        <v/>
      </c>
    </row>
    <row r="918" spans="1:9" x14ac:dyDescent="0.35">
      <c r="A918" s="21"/>
      <c r="B918" s="13"/>
      <c r="C918" s="14"/>
      <c r="D918" s="14"/>
      <c r="E918" s="13"/>
      <c r="F918" s="7" t="str">
        <f t="shared" ca="1" si="42"/>
        <v/>
      </c>
      <c r="G918" s="27" t="str">
        <f t="shared" ca="1" si="43"/>
        <v/>
      </c>
      <c r="H918" s="13"/>
      <c r="I918" s="29" t="str">
        <f t="shared" ca="1" si="44"/>
        <v/>
      </c>
    </row>
    <row r="919" spans="1:9" x14ac:dyDescent="0.35">
      <c r="A919" s="21"/>
      <c r="B919" s="13"/>
      <c r="C919" s="14"/>
      <c r="D919" s="14"/>
      <c r="E919" s="13"/>
      <c r="F919" s="7" t="str">
        <f t="shared" ca="1" si="42"/>
        <v/>
      </c>
      <c r="G919" s="27" t="str">
        <f t="shared" ca="1" si="43"/>
        <v/>
      </c>
      <c r="H919" s="13"/>
      <c r="I919" s="29" t="str">
        <f t="shared" ca="1" si="44"/>
        <v/>
      </c>
    </row>
    <row r="920" spans="1:9" x14ac:dyDescent="0.35">
      <c r="A920" s="21"/>
      <c r="B920" s="13"/>
      <c r="C920" s="14"/>
      <c r="D920" s="14"/>
      <c r="E920" s="13"/>
      <c r="F920" s="7" t="str">
        <f t="shared" ca="1" si="42"/>
        <v/>
      </c>
      <c r="G920" s="27" t="str">
        <f t="shared" ca="1" si="43"/>
        <v/>
      </c>
      <c r="H920" s="13"/>
      <c r="I920" s="29" t="str">
        <f t="shared" ca="1" si="44"/>
        <v/>
      </c>
    </row>
    <row r="921" spans="1:9" x14ac:dyDescent="0.35">
      <c r="A921" s="21"/>
      <c r="B921" s="13"/>
      <c r="C921" s="14"/>
      <c r="D921" s="14"/>
      <c r="E921" s="13"/>
      <c r="F921" s="7" t="str">
        <f t="shared" ca="1" si="42"/>
        <v/>
      </c>
      <c r="G921" s="27" t="str">
        <f t="shared" ca="1" si="43"/>
        <v/>
      </c>
      <c r="H921" s="13"/>
      <c r="I921" s="29" t="str">
        <f t="shared" ca="1" si="44"/>
        <v/>
      </c>
    </row>
    <row r="922" spans="1:9" x14ac:dyDescent="0.35">
      <c r="A922" s="21"/>
      <c r="B922" s="13"/>
      <c r="C922" s="14"/>
      <c r="D922" s="14"/>
      <c r="E922" s="13"/>
      <c r="F922" s="7" t="str">
        <f t="shared" ca="1" si="42"/>
        <v/>
      </c>
      <c r="G922" s="27" t="str">
        <f t="shared" ca="1" si="43"/>
        <v/>
      </c>
      <c r="H922" s="13"/>
      <c r="I922" s="29" t="str">
        <f t="shared" ca="1" si="44"/>
        <v/>
      </c>
    </row>
    <row r="923" spans="1:9" x14ac:dyDescent="0.35">
      <c r="A923" s="21"/>
      <c r="B923" s="13"/>
      <c r="C923" s="14"/>
      <c r="D923" s="14"/>
      <c r="E923" s="13"/>
      <c r="F923" s="7" t="str">
        <f t="shared" ca="1" si="42"/>
        <v/>
      </c>
      <c r="G923" s="27" t="str">
        <f t="shared" ca="1" si="43"/>
        <v/>
      </c>
      <c r="H923" s="13"/>
      <c r="I923" s="29" t="str">
        <f t="shared" ca="1" si="44"/>
        <v/>
      </c>
    </row>
    <row r="924" spans="1:9" x14ac:dyDescent="0.35">
      <c r="A924" s="21"/>
      <c r="B924" s="13"/>
      <c r="C924" s="14"/>
      <c r="D924" s="14"/>
      <c r="E924" s="13"/>
      <c r="F924" s="7" t="str">
        <f t="shared" ca="1" si="42"/>
        <v/>
      </c>
      <c r="G924" s="27" t="str">
        <f t="shared" ca="1" si="43"/>
        <v/>
      </c>
      <c r="H924" s="13"/>
      <c r="I924" s="29" t="str">
        <f t="shared" ca="1" si="44"/>
        <v/>
      </c>
    </row>
    <row r="925" spans="1:9" x14ac:dyDescent="0.35">
      <c r="A925" s="21"/>
      <c r="B925" s="13"/>
      <c r="C925" s="14"/>
      <c r="D925" s="14"/>
      <c r="E925" s="13"/>
      <c r="F925" s="7" t="str">
        <f t="shared" ca="1" si="42"/>
        <v/>
      </c>
      <c r="G925" s="27" t="str">
        <f t="shared" ca="1" si="43"/>
        <v/>
      </c>
      <c r="H925" s="13"/>
      <c r="I925" s="29" t="str">
        <f t="shared" ca="1" si="44"/>
        <v/>
      </c>
    </row>
    <row r="926" spans="1:9" x14ac:dyDescent="0.35">
      <c r="A926" s="21"/>
      <c r="B926" s="13"/>
      <c r="C926" s="14"/>
      <c r="D926" s="14"/>
      <c r="E926" s="13"/>
      <c r="F926" s="7" t="str">
        <f t="shared" ca="1" si="42"/>
        <v/>
      </c>
      <c r="G926" s="27" t="str">
        <f t="shared" ca="1" si="43"/>
        <v/>
      </c>
      <c r="H926" s="13"/>
      <c r="I926" s="29" t="str">
        <f t="shared" ca="1" si="44"/>
        <v/>
      </c>
    </row>
    <row r="927" spans="1:9" x14ac:dyDescent="0.35">
      <c r="A927" s="21"/>
      <c r="B927" s="13"/>
      <c r="C927" s="14"/>
      <c r="D927" s="14"/>
      <c r="E927" s="13"/>
      <c r="F927" s="7" t="str">
        <f t="shared" ca="1" si="42"/>
        <v/>
      </c>
      <c r="G927" s="27" t="str">
        <f t="shared" ca="1" si="43"/>
        <v/>
      </c>
      <c r="H927" s="13"/>
      <c r="I927" s="29" t="str">
        <f t="shared" ca="1" si="44"/>
        <v/>
      </c>
    </row>
    <row r="928" spans="1:9" x14ac:dyDescent="0.35">
      <c r="A928" s="21"/>
      <c r="B928" s="13"/>
      <c r="C928" s="14"/>
      <c r="D928" s="14"/>
      <c r="E928" s="13"/>
      <c r="F928" s="7" t="str">
        <f t="shared" ca="1" si="42"/>
        <v/>
      </c>
      <c r="G928" s="27" t="str">
        <f t="shared" ca="1" si="43"/>
        <v/>
      </c>
      <c r="H928" s="13"/>
      <c r="I928" s="29" t="str">
        <f t="shared" ca="1" si="44"/>
        <v/>
      </c>
    </row>
    <row r="929" spans="1:9" x14ac:dyDescent="0.35">
      <c r="A929" s="21"/>
      <c r="B929" s="13"/>
      <c r="C929" s="14"/>
      <c r="D929" s="14"/>
      <c r="E929" s="13"/>
      <c r="F929" s="7" t="str">
        <f t="shared" ca="1" si="42"/>
        <v/>
      </c>
      <c r="G929" s="27" t="str">
        <f t="shared" ca="1" si="43"/>
        <v/>
      </c>
      <c r="H929" s="13"/>
      <c r="I929" s="29" t="str">
        <f t="shared" ca="1" si="44"/>
        <v/>
      </c>
    </row>
    <row r="930" spans="1:9" x14ac:dyDescent="0.35">
      <c r="A930" s="21"/>
      <c r="B930" s="13"/>
      <c r="C930" s="14"/>
      <c r="D930" s="14"/>
      <c r="E930" s="13"/>
      <c r="F930" s="7" t="str">
        <f t="shared" ca="1" si="42"/>
        <v/>
      </c>
      <c r="G930" s="27" t="str">
        <f t="shared" ca="1" si="43"/>
        <v/>
      </c>
      <c r="H930" s="13"/>
      <c r="I930" s="29" t="str">
        <f t="shared" ca="1" si="44"/>
        <v/>
      </c>
    </row>
    <row r="931" spans="1:9" x14ac:dyDescent="0.35">
      <c r="A931" s="21"/>
      <c r="B931" s="13"/>
      <c r="C931" s="14"/>
      <c r="D931" s="14"/>
      <c r="E931" s="13"/>
      <c r="F931" s="7" t="str">
        <f t="shared" ca="1" si="42"/>
        <v/>
      </c>
      <c r="G931" s="27" t="str">
        <f t="shared" ca="1" si="43"/>
        <v/>
      </c>
      <c r="H931" s="13"/>
      <c r="I931" s="29" t="str">
        <f t="shared" ca="1" si="44"/>
        <v/>
      </c>
    </row>
    <row r="932" spans="1:9" x14ac:dyDescent="0.35">
      <c r="A932" s="21"/>
      <c r="B932" s="13"/>
      <c r="C932" s="14"/>
      <c r="D932" s="14"/>
      <c r="E932" s="13"/>
      <c r="F932" s="7" t="str">
        <f t="shared" ca="1" si="42"/>
        <v/>
      </c>
      <c r="G932" s="27" t="str">
        <f t="shared" ca="1" si="43"/>
        <v/>
      </c>
      <c r="H932" s="13"/>
      <c r="I932" s="29" t="str">
        <f t="shared" ca="1" si="44"/>
        <v/>
      </c>
    </row>
    <row r="933" spans="1:9" x14ac:dyDescent="0.35">
      <c r="A933" s="21"/>
      <c r="B933" s="13"/>
      <c r="C933" s="14"/>
      <c r="D933" s="14"/>
      <c r="E933" s="13"/>
      <c r="F933" s="7" t="str">
        <f t="shared" ca="1" si="42"/>
        <v/>
      </c>
      <c r="G933" s="27" t="str">
        <f t="shared" ca="1" si="43"/>
        <v/>
      </c>
      <c r="H933" s="13"/>
      <c r="I933" s="29" t="str">
        <f t="shared" ca="1" si="44"/>
        <v/>
      </c>
    </row>
    <row r="934" spans="1:9" x14ac:dyDescent="0.35">
      <c r="A934" s="21"/>
      <c r="B934" s="13"/>
      <c r="C934" s="14"/>
      <c r="D934" s="14"/>
      <c r="E934" s="13"/>
      <c r="F934" s="7" t="str">
        <f t="shared" ca="1" si="42"/>
        <v/>
      </c>
      <c r="G934" s="27" t="str">
        <f t="shared" ca="1" si="43"/>
        <v/>
      </c>
      <c r="H934" s="13"/>
      <c r="I934" s="29" t="str">
        <f t="shared" ca="1" si="44"/>
        <v/>
      </c>
    </row>
    <row r="935" spans="1:9" x14ac:dyDescent="0.35">
      <c r="A935" s="21"/>
      <c r="B935" s="13"/>
      <c r="C935" s="14"/>
      <c r="D935" s="14"/>
      <c r="E935" s="13"/>
      <c r="F935" s="7" t="str">
        <f t="shared" ca="1" si="42"/>
        <v/>
      </c>
      <c r="G935" s="27" t="str">
        <f t="shared" ca="1" si="43"/>
        <v/>
      </c>
      <c r="H935" s="13"/>
      <c r="I935" s="29" t="str">
        <f t="shared" ca="1" si="44"/>
        <v/>
      </c>
    </row>
    <row r="936" spans="1:9" x14ac:dyDescent="0.35">
      <c r="A936" s="21"/>
      <c r="B936" s="13"/>
      <c r="C936" s="14"/>
      <c r="D936" s="14"/>
      <c r="E936" s="13"/>
      <c r="F936" s="7" t="str">
        <f t="shared" ca="1" si="42"/>
        <v/>
      </c>
      <c r="G936" s="27" t="str">
        <f t="shared" ca="1" si="43"/>
        <v/>
      </c>
      <c r="H936" s="13"/>
      <c r="I936" s="29" t="str">
        <f t="shared" ca="1" si="44"/>
        <v/>
      </c>
    </row>
    <row r="937" spans="1:9" x14ac:dyDescent="0.35">
      <c r="A937" s="21"/>
      <c r="B937" s="13"/>
      <c r="C937" s="14"/>
      <c r="D937" s="14"/>
      <c r="E937" s="13"/>
      <c r="F937" s="7" t="str">
        <f t="shared" ca="1" si="42"/>
        <v/>
      </c>
      <c r="G937" s="27" t="str">
        <f t="shared" ca="1" si="43"/>
        <v/>
      </c>
      <c r="H937" s="13"/>
      <c r="I937" s="29" t="str">
        <f t="shared" ca="1" si="44"/>
        <v/>
      </c>
    </row>
    <row r="938" spans="1:9" x14ac:dyDescent="0.35">
      <c r="A938" s="21"/>
      <c r="B938" s="13"/>
      <c r="C938" s="14"/>
      <c r="D938" s="14"/>
      <c r="E938" s="13"/>
      <c r="F938" s="7" t="str">
        <f t="shared" ca="1" si="42"/>
        <v/>
      </c>
      <c r="G938" s="27" t="str">
        <f t="shared" ca="1" si="43"/>
        <v/>
      </c>
      <c r="H938" s="13"/>
      <c r="I938" s="29" t="str">
        <f t="shared" ca="1" si="44"/>
        <v/>
      </c>
    </row>
    <row r="939" spans="1:9" x14ac:dyDescent="0.35">
      <c r="A939" s="21"/>
      <c r="B939" s="13"/>
      <c r="C939" s="14"/>
      <c r="D939" s="14"/>
      <c r="E939" s="13"/>
      <c r="F939" s="7" t="str">
        <f t="shared" ca="1" si="42"/>
        <v/>
      </c>
      <c r="G939" s="27" t="str">
        <f t="shared" ca="1" si="43"/>
        <v/>
      </c>
      <c r="H939" s="13"/>
      <c r="I939" s="29" t="str">
        <f t="shared" ca="1" si="44"/>
        <v/>
      </c>
    </row>
    <row r="940" spans="1:9" x14ac:dyDescent="0.35">
      <c r="A940" s="21"/>
      <c r="B940" s="13"/>
      <c r="C940" s="14"/>
      <c r="D940" s="14"/>
      <c r="E940" s="13"/>
      <c r="F940" s="7" t="str">
        <f t="shared" ca="1" si="42"/>
        <v/>
      </c>
      <c r="G940" s="27" t="str">
        <f t="shared" ca="1" si="43"/>
        <v/>
      </c>
      <c r="H940" s="13"/>
      <c r="I940" s="29" t="str">
        <f t="shared" ca="1" si="44"/>
        <v/>
      </c>
    </row>
    <row r="941" spans="1:9" x14ac:dyDescent="0.35">
      <c r="A941" s="21"/>
      <c r="B941" s="13"/>
      <c r="C941" s="14"/>
      <c r="D941" s="14"/>
      <c r="E941" s="13"/>
      <c r="F941" s="7" t="str">
        <f t="shared" ca="1" si="42"/>
        <v/>
      </c>
      <c r="G941" s="27" t="str">
        <f t="shared" ca="1" si="43"/>
        <v/>
      </c>
      <c r="H941" s="13"/>
      <c r="I941" s="29" t="str">
        <f t="shared" ca="1" si="44"/>
        <v/>
      </c>
    </row>
    <row r="942" spans="1:9" x14ac:dyDescent="0.35">
      <c r="A942" s="21"/>
      <c r="B942" s="13"/>
      <c r="C942" s="14"/>
      <c r="D942" s="14"/>
      <c r="E942" s="13"/>
      <c r="F942" s="7" t="str">
        <f t="shared" ca="1" si="42"/>
        <v/>
      </c>
      <c r="G942" s="27" t="str">
        <f t="shared" ca="1" si="43"/>
        <v/>
      </c>
      <c r="H942" s="13"/>
      <c r="I942" s="29" t="str">
        <f t="shared" ca="1" si="44"/>
        <v/>
      </c>
    </row>
    <row r="943" spans="1:9" x14ac:dyDescent="0.35">
      <c r="A943" s="21"/>
      <c r="B943" s="13"/>
      <c r="C943" s="14"/>
      <c r="D943" s="14"/>
      <c r="E943" s="13"/>
      <c r="F943" s="7" t="str">
        <f t="shared" ca="1" si="42"/>
        <v/>
      </c>
      <c r="G943" s="27" t="str">
        <f t="shared" ca="1" si="43"/>
        <v/>
      </c>
      <c r="H943" s="13"/>
      <c r="I943" s="29" t="str">
        <f t="shared" ca="1" si="44"/>
        <v/>
      </c>
    </row>
    <row r="944" spans="1:9" x14ac:dyDescent="0.35">
      <c r="A944" s="21"/>
      <c r="B944" s="13"/>
      <c r="C944" s="14"/>
      <c r="D944" s="14"/>
      <c r="E944" s="13"/>
      <c r="F944" s="7" t="str">
        <f t="shared" ca="1" si="42"/>
        <v/>
      </c>
      <c r="G944" s="27" t="str">
        <f t="shared" ca="1" si="43"/>
        <v/>
      </c>
      <c r="H944" s="13"/>
      <c r="I944" s="29" t="str">
        <f t="shared" ca="1" si="44"/>
        <v/>
      </c>
    </row>
    <row r="945" spans="1:9" x14ac:dyDescent="0.35">
      <c r="A945" s="21"/>
      <c r="B945" s="13"/>
      <c r="C945" s="14"/>
      <c r="D945" s="14"/>
      <c r="E945" s="13"/>
      <c r="F945" s="7" t="str">
        <f t="shared" ca="1" si="42"/>
        <v/>
      </c>
      <c r="G945" s="27" t="str">
        <f t="shared" ca="1" si="43"/>
        <v/>
      </c>
      <c r="H945" s="13"/>
      <c r="I945" s="29" t="str">
        <f t="shared" ca="1" si="44"/>
        <v/>
      </c>
    </row>
    <row r="946" spans="1:9" x14ac:dyDescent="0.35">
      <c r="A946" s="21"/>
      <c r="B946" s="13"/>
      <c r="C946" s="14"/>
      <c r="D946" s="14"/>
      <c r="E946" s="13"/>
      <c r="F946" s="7" t="str">
        <f t="shared" ca="1" si="42"/>
        <v/>
      </c>
      <c r="G946" s="27" t="str">
        <f t="shared" ca="1" si="43"/>
        <v/>
      </c>
      <c r="H946" s="13"/>
      <c r="I946" s="29" t="str">
        <f t="shared" ca="1" si="44"/>
        <v/>
      </c>
    </row>
    <row r="947" spans="1:9" x14ac:dyDescent="0.35">
      <c r="A947" s="21"/>
      <c r="B947" s="13"/>
      <c r="C947" s="14"/>
      <c r="D947" s="14"/>
      <c r="E947" s="13"/>
      <c r="F947" s="7" t="str">
        <f t="shared" ca="1" si="42"/>
        <v/>
      </c>
      <c r="G947" s="27" t="str">
        <f t="shared" ca="1" si="43"/>
        <v/>
      </c>
      <c r="H947" s="13"/>
      <c r="I947" s="29" t="str">
        <f t="shared" ca="1" si="44"/>
        <v/>
      </c>
    </row>
    <row r="948" spans="1:9" x14ac:dyDescent="0.35">
      <c r="A948" s="21"/>
      <c r="B948" s="13"/>
      <c r="C948" s="14"/>
      <c r="D948" s="14"/>
      <c r="E948" s="13"/>
      <c r="F948" s="7" t="str">
        <f t="shared" ca="1" si="42"/>
        <v/>
      </c>
      <c r="G948" s="27" t="str">
        <f t="shared" ca="1" si="43"/>
        <v/>
      </c>
      <c r="H948" s="13"/>
      <c r="I948" s="29" t="str">
        <f t="shared" ca="1" si="44"/>
        <v/>
      </c>
    </row>
    <row r="949" spans="1:9" x14ac:dyDescent="0.35">
      <c r="A949" s="21"/>
      <c r="B949" s="13"/>
      <c r="C949" s="14"/>
      <c r="D949" s="14"/>
      <c r="E949" s="13"/>
      <c r="F949" s="7" t="str">
        <f t="shared" ca="1" si="42"/>
        <v/>
      </c>
      <c r="G949" s="27" t="str">
        <f t="shared" ca="1" si="43"/>
        <v/>
      </c>
      <c r="H949" s="13"/>
      <c r="I949" s="29" t="str">
        <f t="shared" ca="1" si="44"/>
        <v/>
      </c>
    </row>
    <row r="950" spans="1:9" x14ac:dyDescent="0.35">
      <c r="A950" s="21"/>
      <c r="B950" s="13"/>
      <c r="C950" s="14"/>
      <c r="D950" s="14"/>
      <c r="E950" s="13"/>
      <c r="F950" s="7" t="str">
        <f t="shared" ca="1" si="42"/>
        <v/>
      </c>
      <c r="G950" s="27" t="str">
        <f t="shared" ca="1" si="43"/>
        <v/>
      </c>
      <c r="H950" s="13"/>
      <c r="I950" s="29" t="str">
        <f t="shared" ca="1" si="44"/>
        <v/>
      </c>
    </row>
    <row r="951" spans="1:9" x14ac:dyDescent="0.35">
      <c r="A951" s="21"/>
      <c r="B951" s="13"/>
      <c r="C951" s="14"/>
      <c r="D951" s="14"/>
      <c r="E951" s="13"/>
      <c r="F951" s="7" t="str">
        <f t="shared" ca="1" si="42"/>
        <v/>
      </c>
      <c r="G951" s="27" t="str">
        <f t="shared" ca="1" si="43"/>
        <v/>
      </c>
      <c r="H951" s="13"/>
      <c r="I951" s="29" t="str">
        <f t="shared" ca="1" si="44"/>
        <v/>
      </c>
    </row>
    <row r="952" spans="1:9" x14ac:dyDescent="0.35">
      <c r="A952" s="21"/>
      <c r="B952" s="13"/>
      <c r="C952" s="14"/>
      <c r="D952" s="14"/>
      <c r="E952" s="13"/>
      <c r="F952" s="7" t="str">
        <f t="shared" ca="1" si="42"/>
        <v/>
      </c>
      <c r="G952" s="27" t="str">
        <f t="shared" ca="1" si="43"/>
        <v/>
      </c>
      <c r="H952" s="13"/>
      <c r="I952" s="29" t="str">
        <f t="shared" ca="1" si="44"/>
        <v/>
      </c>
    </row>
    <row r="953" spans="1:9" x14ac:dyDescent="0.35">
      <c r="A953" s="21"/>
      <c r="B953" s="13"/>
      <c r="C953" s="14"/>
      <c r="D953" s="14"/>
      <c r="E953" s="13"/>
      <c r="F953" s="7" t="str">
        <f t="shared" ca="1" si="42"/>
        <v/>
      </c>
      <c r="G953" s="27" t="str">
        <f t="shared" ca="1" si="43"/>
        <v/>
      </c>
      <c r="H953" s="13"/>
      <c r="I953" s="29" t="str">
        <f t="shared" ca="1" si="44"/>
        <v/>
      </c>
    </row>
    <row r="954" spans="1:9" x14ac:dyDescent="0.35">
      <c r="A954" s="21"/>
      <c r="B954" s="13"/>
      <c r="C954" s="14"/>
      <c r="D954" s="14"/>
      <c r="E954" s="13"/>
      <c r="F954" s="7" t="str">
        <f t="shared" ca="1" si="42"/>
        <v/>
      </c>
      <c r="G954" s="27" t="str">
        <f t="shared" ca="1" si="43"/>
        <v/>
      </c>
      <c r="H954" s="13"/>
      <c r="I954" s="29" t="str">
        <f t="shared" ca="1" si="44"/>
        <v/>
      </c>
    </row>
    <row r="955" spans="1:9" x14ac:dyDescent="0.35">
      <c r="A955" s="21"/>
      <c r="B955" s="13"/>
      <c r="C955" s="14"/>
      <c r="D955" s="14"/>
      <c r="E955" s="13"/>
      <c r="F955" s="7" t="str">
        <f t="shared" ca="1" si="42"/>
        <v/>
      </c>
      <c r="G955" s="27" t="str">
        <f t="shared" ca="1" si="43"/>
        <v/>
      </c>
      <c r="H955" s="13"/>
      <c r="I955" s="29" t="str">
        <f t="shared" ca="1" si="44"/>
        <v/>
      </c>
    </row>
    <row r="956" spans="1:9" x14ac:dyDescent="0.35">
      <c r="A956" s="21"/>
      <c r="B956" s="13"/>
      <c r="C956" s="14"/>
      <c r="D956" s="14"/>
      <c r="E956" s="13"/>
      <c r="F956" s="7" t="str">
        <f t="shared" ca="1" si="42"/>
        <v/>
      </c>
      <c r="G956" s="27" t="str">
        <f t="shared" ca="1" si="43"/>
        <v/>
      </c>
      <c r="H956" s="13"/>
      <c r="I956" s="29" t="str">
        <f t="shared" ca="1" si="44"/>
        <v/>
      </c>
    </row>
    <row r="957" spans="1:9" x14ac:dyDescent="0.35">
      <c r="A957" s="21"/>
      <c r="B957" s="13"/>
      <c r="C957" s="14"/>
      <c r="D957" s="14"/>
      <c r="E957" s="13"/>
      <c r="F957" s="7" t="str">
        <f t="shared" ca="1" si="42"/>
        <v/>
      </c>
      <c r="G957" s="27" t="str">
        <f t="shared" ca="1" si="43"/>
        <v/>
      </c>
      <c r="H957" s="13"/>
      <c r="I957" s="29" t="str">
        <f t="shared" ca="1" si="44"/>
        <v/>
      </c>
    </row>
    <row r="958" spans="1:9" x14ac:dyDescent="0.35">
      <c r="A958" s="21"/>
      <c r="B958" s="13"/>
      <c r="C958" s="14"/>
      <c r="D958" s="14"/>
      <c r="E958" s="13"/>
      <c r="F958" s="7" t="str">
        <f t="shared" ca="1" si="42"/>
        <v/>
      </c>
      <c r="G958" s="27" t="str">
        <f t="shared" ca="1" si="43"/>
        <v/>
      </c>
      <c r="H958" s="13"/>
      <c r="I958" s="29" t="str">
        <f t="shared" ca="1" si="44"/>
        <v/>
      </c>
    </row>
    <row r="959" spans="1:9" x14ac:dyDescent="0.35">
      <c r="A959" s="21"/>
      <c r="B959" s="13"/>
      <c r="C959" s="14"/>
      <c r="D959" s="14"/>
      <c r="E959" s="13"/>
      <c r="F959" s="7" t="str">
        <f t="shared" ca="1" si="42"/>
        <v/>
      </c>
      <c r="G959" s="27" t="str">
        <f t="shared" ca="1" si="43"/>
        <v/>
      </c>
      <c r="H959" s="13"/>
      <c r="I959" s="29" t="str">
        <f t="shared" ca="1" si="44"/>
        <v/>
      </c>
    </row>
    <row r="960" spans="1:9" x14ac:dyDescent="0.35">
      <c r="A960" s="21"/>
      <c r="B960" s="13"/>
      <c r="C960" s="14"/>
      <c r="D960" s="14"/>
      <c r="E960" s="13"/>
      <c r="F960" s="7" t="str">
        <f t="shared" ca="1" si="42"/>
        <v/>
      </c>
      <c r="G960" s="27" t="str">
        <f t="shared" ca="1" si="43"/>
        <v/>
      </c>
      <c r="H960" s="13"/>
      <c r="I960" s="29" t="str">
        <f t="shared" ca="1" si="44"/>
        <v/>
      </c>
    </row>
    <row r="961" spans="1:9" x14ac:dyDescent="0.35">
      <c r="A961" s="21"/>
      <c r="B961" s="13"/>
      <c r="C961" s="14"/>
      <c r="D961" s="14"/>
      <c r="E961" s="13"/>
      <c r="F961" s="7" t="str">
        <f t="shared" ca="1" si="42"/>
        <v/>
      </c>
      <c r="G961" s="27" t="str">
        <f t="shared" ca="1" si="43"/>
        <v/>
      </c>
      <c r="H961" s="13"/>
      <c r="I961" s="29" t="str">
        <f t="shared" ca="1" si="44"/>
        <v/>
      </c>
    </row>
    <row r="962" spans="1:9" x14ac:dyDescent="0.35">
      <c r="A962" s="21"/>
      <c r="B962" s="13"/>
      <c r="C962" s="14"/>
      <c r="D962" s="14"/>
      <c r="E962" s="13"/>
      <c r="F962" s="7" t="str">
        <f t="shared" ca="1" si="42"/>
        <v/>
      </c>
      <c r="G962" s="27" t="str">
        <f t="shared" ca="1" si="43"/>
        <v/>
      </c>
      <c r="H962" s="13"/>
      <c r="I962" s="29" t="str">
        <f t="shared" ca="1" si="44"/>
        <v/>
      </c>
    </row>
    <row r="963" spans="1:9" x14ac:dyDescent="0.35">
      <c r="A963" s="21"/>
      <c r="B963" s="13"/>
      <c r="C963" s="14"/>
      <c r="D963" s="14"/>
      <c r="E963" s="13"/>
      <c r="F963" s="7" t="str">
        <f t="shared" ca="1" si="42"/>
        <v/>
      </c>
      <c r="G963" s="27" t="str">
        <f t="shared" ca="1" si="43"/>
        <v/>
      </c>
      <c r="H963" s="13"/>
      <c r="I963" s="29" t="str">
        <f t="shared" ca="1" si="44"/>
        <v/>
      </c>
    </row>
    <row r="964" spans="1:9" x14ac:dyDescent="0.35">
      <c r="A964" s="21"/>
      <c r="B964" s="13"/>
      <c r="C964" s="14"/>
      <c r="D964" s="14"/>
      <c r="E964" s="13"/>
      <c r="F964" s="7" t="str">
        <f t="shared" ca="1" si="42"/>
        <v/>
      </c>
      <c r="G964" s="27" t="str">
        <f t="shared" ca="1" si="43"/>
        <v/>
      </c>
      <c r="H964" s="13"/>
      <c r="I964" s="29" t="str">
        <f t="shared" ca="1" si="44"/>
        <v/>
      </c>
    </row>
    <row r="965" spans="1:9" x14ac:dyDescent="0.35">
      <c r="A965" s="21"/>
      <c r="B965" s="13"/>
      <c r="C965" s="14"/>
      <c r="D965" s="14"/>
      <c r="E965" s="13"/>
      <c r="F965" s="7" t="str">
        <f t="shared" ref="F965:F1028" ca="1" si="45">IF($B965="","",IF($D965&lt;&gt;"","Fait",IF($C965="","Non planifié",IF(N($C965)&lt;TODAY(),"En retard","À venir"))))</f>
        <v/>
      </c>
      <c r="G965" s="27" t="str">
        <f t="shared" ref="G965:G1028" ca="1" si="46">IF($B965="","",IF(AND($C965&lt;&gt;"",$D965&lt;&gt;""),$D965-$C965,IF($F965="En retard",TODAY()-$C965,"")))</f>
        <v/>
      </c>
      <c r="H965" s="13"/>
      <c r="I965" s="29" t="str">
        <f t="shared" ref="I965:I1028" ca="1" si="47">IF($F965="En retard",1,"")</f>
        <v/>
      </c>
    </row>
    <row r="966" spans="1:9" x14ac:dyDescent="0.35">
      <c r="A966" s="21"/>
      <c r="B966" s="13"/>
      <c r="C966" s="14"/>
      <c r="D966" s="14"/>
      <c r="E966" s="13"/>
      <c r="F966" s="7" t="str">
        <f t="shared" ca="1" si="45"/>
        <v/>
      </c>
      <c r="G966" s="27" t="str">
        <f t="shared" ca="1" si="46"/>
        <v/>
      </c>
      <c r="H966" s="13"/>
      <c r="I966" s="29" t="str">
        <f t="shared" ca="1" si="47"/>
        <v/>
      </c>
    </row>
    <row r="967" spans="1:9" x14ac:dyDescent="0.35">
      <c r="A967" s="21"/>
      <c r="B967" s="13"/>
      <c r="C967" s="14"/>
      <c r="D967" s="14"/>
      <c r="E967" s="13"/>
      <c r="F967" s="7" t="str">
        <f t="shared" ca="1" si="45"/>
        <v/>
      </c>
      <c r="G967" s="27" t="str">
        <f t="shared" ca="1" si="46"/>
        <v/>
      </c>
      <c r="H967" s="13"/>
      <c r="I967" s="29" t="str">
        <f t="shared" ca="1" si="47"/>
        <v/>
      </c>
    </row>
    <row r="968" spans="1:9" x14ac:dyDescent="0.35">
      <c r="A968" s="21"/>
      <c r="B968" s="13"/>
      <c r="C968" s="14"/>
      <c r="D968" s="14"/>
      <c r="E968" s="13"/>
      <c r="F968" s="7" t="str">
        <f t="shared" ca="1" si="45"/>
        <v/>
      </c>
      <c r="G968" s="27" t="str">
        <f t="shared" ca="1" si="46"/>
        <v/>
      </c>
      <c r="H968" s="13"/>
      <c r="I968" s="29" t="str">
        <f t="shared" ca="1" si="47"/>
        <v/>
      </c>
    </row>
    <row r="969" spans="1:9" x14ac:dyDescent="0.35">
      <c r="A969" s="21"/>
      <c r="B969" s="13"/>
      <c r="C969" s="14"/>
      <c r="D969" s="14"/>
      <c r="E969" s="13"/>
      <c r="F969" s="7" t="str">
        <f t="shared" ca="1" si="45"/>
        <v/>
      </c>
      <c r="G969" s="27" t="str">
        <f t="shared" ca="1" si="46"/>
        <v/>
      </c>
      <c r="H969" s="13"/>
      <c r="I969" s="29" t="str">
        <f t="shared" ca="1" si="47"/>
        <v/>
      </c>
    </row>
    <row r="970" spans="1:9" x14ac:dyDescent="0.35">
      <c r="A970" s="21"/>
      <c r="B970" s="13"/>
      <c r="C970" s="14"/>
      <c r="D970" s="14"/>
      <c r="E970" s="13"/>
      <c r="F970" s="7" t="str">
        <f t="shared" ca="1" si="45"/>
        <v/>
      </c>
      <c r="G970" s="27" t="str">
        <f t="shared" ca="1" si="46"/>
        <v/>
      </c>
      <c r="H970" s="13"/>
      <c r="I970" s="29" t="str">
        <f t="shared" ca="1" si="47"/>
        <v/>
      </c>
    </row>
    <row r="971" spans="1:9" x14ac:dyDescent="0.35">
      <c r="A971" s="21"/>
      <c r="B971" s="13"/>
      <c r="C971" s="14"/>
      <c r="D971" s="14"/>
      <c r="E971" s="13"/>
      <c r="F971" s="7" t="str">
        <f t="shared" ca="1" si="45"/>
        <v/>
      </c>
      <c r="G971" s="27" t="str">
        <f t="shared" ca="1" si="46"/>
        <v/>
      </c>
      <c r="H971" s="13"/>
      <c r="I971" s="29" t="str">
        <f t="shared" ca="1" si="47"/>
        <v/>
      </c>
    </row>
    <row r="972" spans="1:9" x14ac:dyDescent="0.35">
      <c r="A972" s="21"/>
      <c r="B972" s="13"/>
      <c r="C972" s="14"/>
      <c r="D972" s="14"/>
      <c r="E972" s="13"/>
      <c r="F972" s="7" t="str">
        <f t="shared" ca="1" si="45"/>
        <v/>
      </c>
      <c r="G972" s="27" t="str">
        <f t="shared" ca="1" si="46"/>
        <v/>
      </c>
      <c r="H972" s="13"/>
      <c r="I972" s="29" t="str">
        <f t="shared" ca="1" si="47"/>
        <v/>
      </c>
    </row>
    <row r="973" spans="1:9" x14ac:dyDescent="0.35">
      <c r="A973" s="21"/>
      <c r="B973" s="13"/>
      <c r="C973" s="14"/>
      <c r="D973" s="14"/>
      <c r="E973" s="13"/>
      <c r="F973" s="7" t="str">
        <f t="shared" ca="1" si="45"/>
        <v/>
      </c>
      <c r="G973" s="27" t="str">
        <f t="shared" ca="1" si="46"/>
        <v/>
      </c>
      <c r="H973" s="13"/>
      <c r="I973" s="29" t="str">
        <f t="shared" ca="1" si="47"/>
        <v/>
      </c>
    </row>
    <row r="974" spans="1:9" x14ac:dyDescent="0.35">
      <c r="A974" s="21"/>
      <c r="B974" s="13"/>
      <c r="C974" s="14"/>
      <c r="D974" s="14"/>
      <c r="E974" s="13"/>
      <c r="F974" s="7" t="str">
        <f t="shared" ca="1" si="45"/>
        <v/>
      </c>
      <c r="G974" s="27" t="str">
        <f t="shared" ca="1" si="46"/>
        <v/>
      </c>
      <c r="H974" s="13"/>
      <c r="I974" s="29" t="str">
        <f t="shared" ca="1" si="47"/>
        <v/>
      </c>
    </row>
    <row r="975" spans="1:9" x14ac:dyDescent="0.35">
      <c r="A975" s="21"/>
      <c r="B975" s="13"/>
      <c r="C975" s="14"/>
      <c r="D975" s="14"/>
      <c r="E975" s="13"/>
      <c r="F975" s="7" t="str">
        <f t="shared" ca="1" si="45"/>
        <v/>
      </c>
      <c r="G975" s="27" t="str">
        <f t="shared" ca="1" si="46"/>
        <v/>
      </c>
      <c r="H975" s="13"/>
      <c r="I975" s="29" t="str">
        <f t="shared" ca="1" si="47"/>
        <v/>
      </c>
    </row>
    <row r="976" spans="1:9" x14ac:dyDescent="0.35">
      <c r="A976" s="21"/>
      <c r="B976" s="13"/>
      <c r="C976" s="14"/>
      <c r="D976" s="14"/>
      <c r="E976" s="13"/>
      <c r="F976" s="7" t="str">
        <f t="shared" ca="1" si="45"/>
        <v/>
      </c>
      <c r="G976" s="27" t="str">
        <f t="shared" ca="1" si="46"/>
        <v/>
      </c>
      <c r="H976" s="13"/>
      <c r="I976" s="29" t="str">
        <f t="shared" ca="1" si="47"/>
        <v/>
      </c>
    </row>
    <row r="977" spans="1:9" x14ac:dyDescent="0.35">
      <c r="A977" s="21"/>
      <c r="B977" s="13"/>
      <c r="C977" s="14"/>
      <c r="D977" s="14"/>
      <c r="E977" s="13"/>
      <c r="F977" s="7" t="str">
        <f t="shared" ca="1" si="45"/>
        <v/>
      </c>
      <c r="G977" s="27" t="str">
        <f t="shared" ca="1" si="46"/>
        <v/>
      </c>
      <c r="H977" s="13"/>
      <c r="I977" s="29" t="str">
        <f t="shared" ca="1" si="47"/>
        <v/>
      </c>
    </row>
    <row r="978" spans="1:9" x14ac:dyDescent="0.35">
      <c r="A978" s="21"/>
      <c r="B978" s="13"/>
      <c r="C978" s="14"/>
      <c r="D978" s="14"/>
      <c r="E978" s="13"/>
      <c r="F978" s="7" t="str">
        <f t="shared" ca="1" si="45"/>
        <v/>
      </c>
      <c r="G978" s="27" t="str">
        <f t="shared" ca="1" si="46"/>
        <v/>
      </c>
      <c r="H978" s="13"/>
      <c r="I978" s="29" t="str">
        <f t="shared" ca="1" si="47"/>
        <v/>
      </c>
    </row>
    <row r="979" spans="1:9" x14ac:dyDescent="0.35">
      <c r="A979" s="21"/>
      <c r="B979" s="13"/>
      <c r="C979" s="14"/>
      <c r="D979" s="14"/>
      <c r="E979" s="13"/>
      <c r="F979" s="7" t="str">
        <f t="shared" ca="1" si="45"/>
        <v/>
      </c>
      <c r="G979" s="27" t="str">
        <f t="shared" ca="1" si="46"/>
        <v/>
      </c>
      <c r="H979" s="13"/>
      <c r="I979" s="29" t="str">
        <f t="shared" ca="1" si="47"/>
        <v/>
      </c>
    </row>
    <row r="980" spans="1:9" x14ac:dyDescent="0.35">
      <c r="A980" s="21"/>
      <c r="B980" s="13"/>
      <c r="C980" s="14"/>
      <c r="D980" s="14"/>
      <c r="E980" s="13"/>
      <c r="F980" s="7" t="str">
        <f t="shared" ca="1" si="45"/>
        <v/>
      </c>
      <c r="G980" s="27" t="str">
        <f t="shared" ca="1" si="46"/>
        <v/>
      </c>
      <c r="H980" s="13"/>
      <c r="I980" s="29" t="str">
        <f t="shared" ca="1" si="47"/>
        <v/>
      </c>
    </row>
    <row r="981" spans="1:9" x14ac:dyDescent="0.35">
      <c r="A981" s="21"/>
      <c r="B981" s="13"/>
      <c r="C981" s="14"/>
      <c r="D981" s="14"/>
      <c r="E981" s="13"/>
      <c r="F981" s="7" t="str">
        <f t="shared" ca="1" si="45"/>
        <v/>
      </c>
      <c r="G981" s="27" t="str">
        <f t="shared" ca="1" si="46"/>
        <v/>
      </c>
      <c r="H981" s="13"/>
      <c r="I981" s="29" t="str">
        <f t="shared" ca="1" si="47"/>
        <v/>
      </c>
    </row>
    <row r="982" spans="1:9" x14ac:dyDescent="0.35">
      <c r="A982" s="21"/>
      <c r="B982" s="13"/>
      <c r="C982" s="14"/>
      <c r="D982" s="14"/>
      <c r="E982" s="13"/>
      <c r="F982" s="7" t="str">
        <f t="shared" ca="1" si="45"/>
        <v/>
      </c>
      <c r="G982" s="27" t="str">
        <f t="shared" ca="1" si="46"/>
        <v/>
      </c>
      <c r="H982" s="13"/>
      <c r="I982" s="29" t="str">
        <f t="shared" ca="1" si="47"/>
        <v/>
      </c>
    </row>
    <row r="983" spans="1:9" x14ac:dyDescent="0.35">
      <c r="A983" s="21"/>
      <c r="B983" s="13"/>
      <c r="C983" s="14"/>
      <c r="D983" s="14"/>
      <c r="E983" s="13"/>
      <c r="F983" s="7" t="str">
        <f t="shared" ca="1" si="45"/>
        <v/>
      </c>
      <c r="G983" s="27" t="str">
        <f t="shared" ca="1" si="46"/>
        <v/>
      </c>
      <c r="H983" s="13"/>
      <c r="I983" s="29" t="str">
        <f t="shared" ca="1" si="47"/>
        <v/>
      </c>
    </row>
    <row r="984" spans="1:9" x14ac:dyDescent="0.35">
      <c r="A984" s="21"/>
      <c r="B984" s="13"/>
      <c r="C984" s="14"/>
      <c r="D984" s="14"/>
      <c r="E984" s="13"/>
      <c r="F984" s="7" t="str">
        <f t="shared" ca="1" si="45"/>
        <v/>
      </c>
      <c r="G984" s="27" t="str">
        <f t="shared" ca="1" si="46"/>
        <v/>
      </c>
      <c r="H984" s="13"/>
      <c r="I984" s="29" t="str">
        <f t="shared" ca="1" si="47"/>
        <v/>
      </c>
    </row>
    <row r="985" spans="1:9" x14ac:dyDescent="0.35">
      <c r="A985" s="21"/>
      <c r="B985" s="13"/>
      <c r="C985" s="14"/>
      <c r="D985" s="14"/>
      <c r="E985" s="13"/>
      <c r="F985" s="7" t="str">
        <f t="shared" ca="1" si="45"/>
        <v/>
      </c>
      <c r="G985" s="27" t="str">
        <f t="shared" ca="1" si="46"/>
        <v/>
      </c>
      <c r="H985" s="13"/>
      <c r="I985" s="29" t="str">
        <f t="shared" ca="1" si="47"/>
        <v/>
      </c>
    </row>
    <row r="986" spans="1:9" x14ac:dyDescent="0.35">
      <c r="A986" s="21"/>
      <c r="B986" s="13"/>
      <c r="C986" s="14"/>
      <c r="D986" s="14"/>
      <c r="E986" s="13"/>
      <c r="F986" s="7" t="str">
        <f t="shared" ca="1" si="45"/>
        <v/>
      </c>
      <c r="G986" s="27" t="str">
        <f t="shared" ca="1" si="46"/>
        <v/>
      </c>
      <c r="H986" s="13"/>
      <c r="I986" s="29" t="str">
        <f t="shared" ca="1" si="47"/>
        <v/>
      </c>
    </row>
    <row r="987" spans="1:9" x14ac:dyDescent="0.35">
      <c r="A987" s="21"/>
      <c r="B987" s="13"/>
      <c r="C987" s="14"/>
      <c r="D987" s="14"/>
      <c r="E987" s="13"/>
      <c r="F987" s="7" t="str">
        <f t="shared" ca="1" si="45"/>
        <v/>
      </c>
      <c r="G987" s="27" t="str">
        <f t="shared" ca="1" si="46"/>
        <v/>
      </c>
      <c r="H987" s="13"/>
      <c r="I987" s="29" t="str">
        <f t="shared" ca="1" si="47"/>
        <v/>
      </c>
    </row>
    <row r="988" spans="1:9" x14ac:dyDescent="0.35">
      <c r="A988" s="21"/>
      <c r="B988" s="13"/>
      <c r="C988" s="14"/>
      <c r="D988" s="14"/>
      <c r="E988" s="13"/>
      <c r="F988" s="7" t="str">
        <f t="shared" ca="1" si="45"/>
        <v/>
      </c>
      <c r="G988" s="27" t="str">
        <f t="shared" ca="1" si="46"/>
        <v/>
      </c>
      <c r="H988" s="13"/>
      <c r="I988" s="29" t="str">
        <f t="shared" ca="1" si="47"/>
        <v/>
      </c>
    </row>
    <row r="989" spans="1:9" x14ac:dyDescent="0.35">
      <c r="A989" s="21"/>
      <c r="B989" s="13"/>
      <c r="C989" s="14"/>
      <c r="D989" s="14"/>
      <c r="E989" s="13"/>
      <c r="F989" s="7" t="str">
        <f t="shared" ca="1" si="45"/>
        <v/>
      </c>
      <c r="G989" s="27" t="str">
        <f t="shared" ca="1" si="46"/>
        <v/>
      </c>
      <c r="H989" s="13"/>
      <c r="I989" s="29" t="str">
        <f t="shared" ca="1" si="47"/>
        <v/>
      </c>
    </row>
    <row r="990" spans="1:9" x14ac:dyDescent="0.35">
      <c r="A990" s="21"/>
      <c r="B990" s="13"/>
      <c r="C990" s="14"/>
      <c r="D990" s="14"/>
      <c r="E990" s="13"/>
      <c r="F990" s="7" t="str">
        <f t="shared" ca="1" si="45"/>
        <v/>
      </c>
      <c r="G990" s="27" t="str">
        <f t="shared" ca="1" si="46"/>
        <v/>
      </c>
      <c r="H990" s="13"/>
      <c r="I990" s="29" t="str">
        <f t="shared" ca="1" si="47"/>
        <v/>
      </c>
    </row>
    <row r="991" spans="1:9" x14ac:dyDescent="0.35">
      <c r="A991" s="21"/>
      <c r="B991" s="13"/>
      <c r="C991" s="14"/>
      <c r="D991" s="14"/>
      <c r="E991" s="13"/>
      <c r="F991" s="7" t="str">
        <f t="shared" ca="1" si="45"/>
        <v/>
      </c>
      <c r="G991" s="27" t="str">
        <f t="shared" ca="1" si="46"/>
        <v/>
      </c>
      <c r="H991" s="13"/>
      <c r="I991" s="29" t="str">
        <f t="shared" ca="1" si="47"/>
        <v/>
      </c>
    </row>
    <row r="992" spans="1:9" x14ac:dyDescent="0.35">
      <c r="A992" s="21"/>
      <c r="B992" s="13"/>
      <c r="C992" s="14"/>
      <c r="D992" s="14"/>
      <c r="E992" s="13"/>
      <c r="F992" s="7" t="str">
        <f t="shared" ca="1" si="45"/>
        <v/>
      </c>
      <c r="G992" s="27" t="str">
        <f t="shared" ca="1" si="46"/>
        <v/>
      </c>
      <c r="H992" s="13"/>
      <c r="I992" s="29" t="str">
        <f t="shared" ca="1" si="47"/>
        <v/>
      </c>
    </row>
    <row r="993" spans="1:9" x14ac:dyDescent="0.35">
      <c r="A993" s="21"/>
      <c r="B993" s="13"/>
      <c r="C993" s="14"/>
      <c r="D993" s="14"/>
      <c r="E993" s="13"/>
      <c r="F993" s="7" t="str">
        <f t="shared" ca="1" si="45"/>
        <v/>
      </c>
      <c r="G993" s="27" t="str">
        <f t="shared" ca="1" si="46"/>
        <v/>
      </c>
      <c r="H993" s="13"/>
      <c r="I993" s="29" t="str">
        <f t="shared" ca="1" si="47"/>
        <v/>
      </c>
    </row>
    <row r="994" spans="1:9" x14ac:dyDescent="0.35">
      <c r="A994" s="21"/>
      <c r="B994" s="13"/>
      <c r="C994" s="14"/>
      <c r="D994" s="14"/>
      <c r="E994" s="13"/>
      <c r="F994" s="7" t="str">
        <f t="shared" ca="1" si="45"/>
        <v/>
      </c>
      <c r="G994" s="27" t="str">
        <f t="shared" ca="1" si="46"/>
        <v/>
      </c>
      <c r="H994" s="13"/>
      <c r="I994" s="29" t="str">
        <f t="shared" ca="1" si="47"/>
        <v/>
      </c>
    </row>
    <row r="995" spans="1:9" x14ac:dyDescent="0.35">
      <c r="A995" s="21"/>
      <c r="B995" s="13"/>
      <c r="C995" s="14"/>
      <c r="D995" s="14"/>
      <c r="E995" s="13"/>
      <c r="F995" s="7" t="str">
        <f t="shared" ca="1" si="45"/>
        <v/>
      </c>
      <c r="G995" s="27" t="str">
        <f t="shared" ca="1" si="46"/>
        <v/>
      </c>
      <c r="H995" s="13"/>
      <c r="I995" s="29" t="str">
        <f t="shared" ca="1" si="47"/>
        <v/>
      </c>
    </row>
    <row r="996" spans="1:9" x14ac:dyDescent="0.35">
      <c r="A996" s="21"/>
      <c r="B996" s="13"/>
      <c r="C996" s="14"/>
      <c r="D996" s="14"/>
      <c r="E996" s="13"/>
      <c r="F996" s="7" t="str">
        <f t="shared" ca="1" si="45"/>
        <v/>
      </c>
      <c r="G996" s="27" t="str">
        <f t="shared" ca="1" si="46"/>
        <v/>
      </c>
      <c r="H996" s="13"/>
      <c r="I996" s="29" t="str">
        <f t="shared" ca="1" si="47"/>
        <v/>
      </c>
    </row>
    <row r="997" spans="1:9" x14ac:dyDescent="0.35">
      <c r="A997" s="21"/>
      <c r="B997" s="13"/>
      <c r="C997" s="14"/>
      <c r="D997" s="14"/>
      <c r="E997" s="13"/>
      <c r="F997" s="7" t="str">
        <f t="shared" ca="1" si="45"/>
        <v/>
      </c>
      <c r="G997" s="27" t="str">
        <f t="shared" ca="1" si="46"/>
        <v/>
      </c>
      <c r="H997" s="13"/>
      <c r="I997" s="29" t="str">
        <f t="shared" ca="1" si="47"/>
        <v/>
      </c>
    </row>
    <row r="998" spans="1:9" x14ac:dyDescent="0.35">
      <c r="A998" s="21"/>
      <c r="B998" s="13"/>
      <c r="C998" s="14"/>
      <c r="D998" s="14"/>
      <c r="E998" s="13"/>
      <c r="F998" s="7" t="str">
        <f t="shared" ca="1" si="45"/>
        <v/>
      </c>
      <c r="G998" s="27" t="str">
        <f t="shared" ca="1" si="46"/>
        <v/>
      </c>
      <c r="H998" s="13"/>
      <c r="I998" s="29" t="str">
        <f t="shared" ca="1" si="47"/>
        <v/>
      </c>
    </row>
    <row r="999" spans="1:9" x14ac:dyDescent="0.35">
      <c r="A999" s="21"/>
      <c r="B999" s="13"/>
      <c r="C999" s="14"/>
      <c r="D999" s="14"/>
      <c r="E999" s="13"/>
      <c r="F999" s="7" t="str">
        <f t="shared" ca="1" si="45"/>
        <v/>
      </c>
      <c r="G999" s="27" t="str">
        <f t="shared" ca="1" si="46"/>
        <v/>
      </c>
      <c r="H999" s="13"/>
      <c r="I999" s="29" t="str">
        <f t="shared" ca="1" si="47"/>
        <v/>
      </c>
    </row>
    <row r="1000" spans="1:9" x14ac:dyDescent="0.35">
      <c r="A1000" s="21"/>
      <c r="B1000" s="13"/>
      <c r="C1000" s="14"/>
      <c r="D1000" s="14"/>
      <c r="E1000" s="13"/>
      <c r="F1000" s="7" t="str">
        <f t="shared" ca="1" si="45"/>
        <v/>
      </c>
      <c r="G1000" s="27" t="str">
        <f t="shared" ca="1" si="46"/>
        <v/>
      </c>
      <c r="H1000" s="13"/>
      <c r="I1000" s="29" t="str">
        <f t="shared" ca="1" si="47"/>
        <v/>
      </c>
    </row>
    <row r="1001" spans="1:9" x14ac:dyDescent="0.35">
      <c r="A1001" s="21"/>
      <c r="B1001" s="13"/>
      <c r="C1001" s="14"/>
      <c r="D1001" s="14"/>
      <c r="E1001" s="13"/>
      <c r="F1001" s="7" t="str">
        <f t="shared" ca="1" si="45"/>
        <v/>
      </c>
      <c r="G1001" s="27" t="str">
        <f t="shared" ca="1" si="46"/>
        <v/>
      </c>
      <c r="H1001" s="13"/>
      <c r="I1001" s="29" t="str">
        <f t="shared" ca="1" si="47"/>
        <v/>
      </c>
    </row>
    <row r="1002" spans="1:9" x14ac:dyDescent="0.35">
      <c r="A1002" s="21"/>
      <c r="B1002" s="13"/>
      <c r="C1002" s="14"/>
      <c r="D1002" s="14"/>
      <c r="E1002" s="13"/>
      <c r="F1002" s="7" t="str">
        <f t="shared" ca="1" si="45"/>
        <v/>
      </c>
      <c r="G1002" s="27" t="str">
        <f t="shared" ca="1" si="46"/>
        <v/>
      </c>
      <c r="H1002" s="13"/>
      <c r="I1002" s="29" t="str">
        <f t="shared" ca="1" si="47"/>
        <v/>
      </c>
    </row>
    <row r="1003" spans="1:9" x14ac:dyDescent="0.35">
      <c r="A1003" s="21"/>
      <c r="B1003" s="13"/>
      <c r="C1003" s="14"/>
      <c r="D1003" s="14"/>
      <c r="E1003" s="13"/>
      <c r="F1003" s="7" t="str">
        <f t="shared" ca="1" si="45"/>
        <v/>
      </c>
      <c r="G1003" s="27" t="str">
        <f t="shared" ca="1" si="46"/>
        <v/>
      </c>
      <c r="H1003" s="13"/>
      <c r="I1003" s="29" t="str">
        <f t="shared" ca="1" si="47"/>
        <v/>
      </c>
    </row>
    <row r="1004" spans="1:9" x14ac:dyDescent="0.35">
      <c r="A1004" s="21"/>
      <c r="B1004" s="13"/>
      <c r="C1004" s="14"/>
      <c r="D1004" s="14"/>
      <c r="E1004" s="13"/>
      <c r="F1004" s="7" t="str">
        <f t="shared" ca="1" si="45"/>
        <v/>
      </c>
      <c r="G1004" s="27" t="str">
        <f t="shared" ca="1" si="46"/>
        <v/>
      </c>
      <c r="H1004" s="13"/>
      <c r="I1004" s="29" t="str">
        <f t="shared" ca="1" si="47"/>
        <v/>
      </c>
    </row>
    <row r="1005" spans="1:9" x14ac:dyDescent="0.35">
      <c r="A1005" s="21"/>
      <c r="B1005" s="13"/>
      <c r="C1005" s="14"/>
      <c r="D1005" s="14"/>
      <c r="E1005" s="13"/>
      <c r="F1005" s="7" t="str">
        <f t="shared" ca="1" si="45"/>
        <v/>
      </c>
      <c r="G1005" s="27" t="str">
        <f t="shared" ca="1" si="46"/>
        <v/>
      </c>
      <c r="H1005" s="13"/>
      <c r="I1005" s="29" t="str">
        <f t="shared" ca="1" si="47"/>
        <v/>
      </c>
    </row>
    <row r="1006" spans="1:9" x14ac:dyDescent="0.35">
      <c r="A1006" s="21"/>
      <c r="B1006" s="13"/>
      <c r="C1006" s="14"/>
      <c r="D1006" s="14"/>
      <c r="E1006" s="13"/>
      <c r="F1006" s="7" t="str">
        <f t="shared" ca="1" si="45"/>
        <v/>
      </c>
      <c r="G1006" s="27" t="str">
        <f t="shared" ca="1" si="46"/>
        <v/>
      </c>
      <c r="H1006" s="13"/>
      <c r="I1006" s="29" t="str">
        <f t="shared" ca="1" si="47"/>
        <v/>
      </c>
    </row>
    <row r="1007" spans="1:9" x14ac:dyDescent="0.35">
      <c r="A1007" s="21"/>
      <c r="B1007" s="13"/>
      <c r="C1007" s="14"/>
      <c r="D1007" s="14"/>
      <c r="E1007" s="13"/>
      <c r="F1007" s="7" t="str">
        <f t="shared" ca="1" si="45"/>
        <v/>
      </c>
      <c r="G1007" s="27" t="str">
        <f t="shared" ca="1" si="46"/>
        <v/>
      </c>
      <c r="H1007" s="13"/>
      <c r="I1007" s="29" t="str">
        <f t="shared" ca="1" si="47"/>
        <v/>
      </c>
    </row>
    <row r="1008" spans="1:9" x14ac:dyDescent="0.35">
      <c r="A1008" s="21"/>
      <c r="B1008" s="13"/>
      <c r="C1008" s="14"/>
      <c r="D1008" s="14"/>
      <c r="E1008" s="13"/>
      <c r="F1008" s="7" t="str">
        <f t="shared" ca="1" si="45"/>
        <v/>
      </c>
      <c r="G1008" s="27" t="str">
        <f t="shared" ca="1" si="46"/>
        <v/>
      </c>
      <c r="H1008" s="13"/>
      <c r="I1008" s="29" t="str">
        <f t="shared" ca="1" si="47"/>
        <v/>
      </c>
    </row>
    <row r="1009" spans="1:9" x14ac:dyDescent="0.35">
      <c r="A1009" s="21"/>
      <c r="B1009" s="13"/>
      <c r="C1009" s="14"/>
      <c r="D1009" s="14"/>
      <c r="E1009" s="13"/>
      <c r="F1009" s="7" t="str">
        <f t="shared" ca="1" si="45"/>
        <v/>
      </c>
      <c r="G1009" s="27" t="str">
        <f t="shared" ca="1" si="46"/>
        <v/>
      </c>
      <c r="H1009" s="13"/>
      <c r="I1009" s="29" t="str">
        <f t="shared" ca="1" si="47"/>
        <v/>
      </c>
    </row>
    <row r="1010" spans="1:9" x14ac:dyDescent="0.35">
      <c r="A1010" s="21"/>
      <c r="B1010" s="13"/>
      <c r="C1010" s="14"/>
      <c r="D1010" s="14"/>
      <c r="E1010" s="13"/>
      <c r="F1010" s="7" t="str">
        <f t="shared" ca="1" si="45"/>
        <v/>
      </c>
      <c r="G1010" s="27" t="str">
        <f t="shared" ca="1" si="46"/>
        <v/>
      </c>
      <c r="H1010" s="13"/>
      <c r="I1010" s="29" t="str">
        <f t="shared" ca="1" si="47"/>
        <v/>
      </c>
    </row>
    <row r="1011" spans="1:9" x14ac:dyDescent="0.35">
      <c r="A1011" s="21"/>
      <c r="B1011" s="13"/>
      <c r="C1011" s="14"/>
      <c r="D1011" s="14"/>
      <c r="E1011" s="13"/>
      <c r="F1011" s="7" t="str">
        <f t="shared" ca="1" si="45"/>
        <v/>
      </c>
      <c r="G1011" s="27" t="str">
        <f t="shared" ca="1" si="46"/>
        <v/>
      </c>
      <c r="H1011" s="13"/>
      <c r="I1011" s="29" t="str">
        <f t="shared" ca="1" si="47"/>
        <v/>
      </c>
    </row>
    <row r="1012" spans="1:9" x14ac:dyDescent="0.35">
      <c r="A1012" s="21"/>
      <c r="B1012" s="13"/>
      <c r="C1012" s="14"/>
      <c r="D1012" s="14"/>
      <c r="E1012" s="13"/>
      <c r="F1012" s="7" t="str">
        <f t="shared" ca="1" si="45"/>
        <v/>
      </c>
      <c r="G1012" s="27" t="str">
        <f t="shared" ca="1" si="46"/>
        <v/>
      </c>
      <c r="H1012" s="13"/>
      <c r="I1012" s="29" t="str">
        <f t="shared" ca="1" si="47"/>
        <v/>
      </c>
    </row>
    <row r="1013" spans="1:9" x14ac:dyDescent="0.35">
      <c r="A1013" s="21"/>
      <c r="B1013" s="13"/>
      <c r="C1013" s="14"/>
      <c r="D1013" s="14"/>
      <c r="E1013" s="13"/>
      <c r="F1013" s="7" t="str">
        <f t="shared" ca="1" si="45"/>
        <v/>
      </c>
      <c r="G1013" s="27" t="str">
        <f t="shared" ca="1" si="46"/>
        <v/>
      </c>
      <c r="H1013" s="13"/>
      <c r="I1013" s="29" t="str">
        <f t="shared" ca="1" si="47"/>
        <v/>
      </c>
    </row>
    <row r="1014" spans="1:9" x14ac:dyDescent="0.35">
      <c r="A1014" s="21"/>
      <c r="B1014" s="13"/>
      <c r="C1014" s="14"/>
      <c r="D1014" s="14"/>
      <c r="E1014" s="13"/>
      <c r="F1014" s="7" t="str">
        <f t="shared" ca="1" si="45"/>
        <v/>
      </c>
      <c r="G1014" s="27" t="str">
        <f t="shared" ca="1" si="46"/>
        <v/>
      </c>
      <c r="H1014" s="13"/>
      <c r="I1014" s="29" t="str">
        <f t="shared" ca="1" si="47"/>
        <v/>
      </c>
    </row>
    <row r="1015" spans="1:9" x14ac:dyDescent="0.35">
      <c r="A1015" s="21"/>
      <c r="B1015" s="13"/>
      <c r="C1015" s="14"/>
      <c r="D1015" s="14"/>
      <c r="E1015" s="13"/>
      <c r="F1015" s="7" t="str">
        <f t="shared" ca="1" si="45"/>
        <v/>
      </c>
      <c r="G1015" s="27" t="str">
        <f t="shared" ca="1" si="46"/>
        <v/>
      </c>
      <c r="H1015" s="13"/>
      <c r="I1015" s="29" t="str">
        <f t="shared" ca="1" si="47"/>
        <v/>
      </c>
    </row>
    <row r="1016" spans="1:9" x14ac:dyDescent="0.35">
      <c r="A1016" s="21"/>
      <c r="B1016" s="13"/>
      <c r="C1016" s="14"/>
      <c r="D1016" s="14"/>
      <c r="E1016" s="13"/>
      <c r="F1016" s="7" t="str">
        <f t="shared" ca="1" si="45"/>
        <v/>
      </c>
      <c r="G1016" s="27" t="str">
        <f t="shared" ca="1" si="46"/>
        <v/>
      </c>
      <c r="H1016" s="13"/>
      <c r="I1016" s="29" t="str">
        <f t="shared" ca="1" si="47"/>
        <v/>
      </c>
    </row>
    <row r="1017" spans="1:9" x14ac:dyDescent="0.35">
      <c r="A1017" s="21"/>
      <c r="B1017" s="13"/>
      <c r="C1017" s="14"/>
      <c r="D1017" s="14"/>
      <c r="E1017" s="13"/>
      <c r="F1017" s="7" t="str">
        <f t="shared" ca="1" si="45"/>
        <v/>
      </c>
      <c r="G1017" s="27" t="str">
        <f t="shared" ca="1" si="46"/>
        <v/>
      </c>
      <c r="H1017" s="13"/>
      <c r="I1017" s="29" t="str">
        <f t="shared" ca="1" si="47"/>
        <v/>
      </c>
    </row>
    <row r="1018" spans="1:9" x14ac:dyDescent="0.35">
      <c r="A1018" s="21"/>
      <c r="B1018" s="13"/>
      <c r="C1018" s="14"/>
      <c r="D1018" s="14"/>
      <c r="E1018" s="13"/>
      <c r="F1018" s="7" t="str">
        <f t="shared" ca="1" si="45"/>
        <v/>
      </c>
      <c r="G1018" s="27" t="str">
        <f t="shared" ca="1" si="46"/>
        <v/>
      </c>
      <c r="H1018" s="13"/>
      <c r="I1018" s="29" t="str">
        <f t="shared" ca="1" si="47"/>
        <v/>
      </c>
    </row>
    <row r="1019" spans="1:9" x14ac:dyDescent="0.35">
      <c r="A1019" s="21"/>
      <c r="B1019" s="13"/>
      <c r="C1019" s="14"/>
      <c r="D1019" s="14"/>
      <c r="E1019" s="13"/>
      <c r="F1019" s="7" t="str">
        <f t="shared" ca="1" si="45"/>
        <v/>
      </c>
      <c r="G1019" s="27" t="str">
        <f t="shared" ca="1" si="46"/>
        <v/>
      </c>
      <c r="H1019" s="13"/>
      <c r="I1019" s="29" t="str">
        <f t="shared" ca="1" si="47"/>
        <v/>
      </c>
    </row>
    <row r="1020" spans="1:9" x14ac:dyDescent="0.35">
      <c r="A1020" s="21"/>
      <c r="B1020" s="13"/>
      <c r="C1020" s="14"/>
      <c r="D1020" s="14"/>
      <c r="E1020" s="13"/>
      <c r="F1020" s="7" t="str">
        <f t="shared" ca="1" si="45"/>
        <v/>
      </c>
      <c r="G1020" s="27" t="str">
        <f t="shared" ca="1" si="46"/>
        <v/>
      </c>
      <c r="H1020" s="13"/>
      <c r="I1020" s="29" t="str">
        <f t="shared" ca="1" si="47"/>
        <v/>
      </c>
    </row>
    <row r="1021" spans="1:9" x14ac:dyDescent="0.35">
      <c r="A1021" s="21"/>
      <c r="B1021" s="13"/>
      <c r="C1021" s="14"/>
      <c r="D1021" s="14"/>
      <c r="E1021" s="13"/>
      <c r="F1021" s="7" t="str">
        <f t="shared" ca="1" si="45"/>
        <v/>
      </c>
      <c r="G1021" s="27" t="str">
        <f t="shared" ca="1" si="46"/>
        <v/>
      </c>
      <c r="H1021" s="13"/>
      <c r="I1021" s="29" t="str">
        <f t="shared" ca="1" si="47"/>
        <v/>
      </c>
    </row>
    <row r="1022" spans="1:9" x14ac:dyDescent="0.35">
      <c r="A1022" s="21"/>
      <c r="B1022" s="13"/>
      <c r="C1022" s="14"/>
      <c r="D1022" s="14"/>
      <c r="E1022" s="13"/>
      <c r="F1022" s="7" t="str">
        <f t="shared" ca="1" si="45"/>
        <v/>
      </c>
      <c r="G1022" s="27" t="str">
        <f t="shared" ca="1" si="46"/>
        <v/>
      </c>
      <c r="H1022" s="13"/>
      <c r="I1022" s="29" t="str">
        <f t="shared" ca="1" si="47"/>
        <v/>
      </c>
    </row>
    <row r="1023" spans="1:9" x14ac:dyDescent="0.35">
      <c r="A1023" s="21"/>
      <c r="B1023" s="13"/>
      <c r="C1023" s="14"/>
      <c r="D1023" s="14"/>
      <c r="E1023" s="13"/>
      <c r="F1023" s="7" t="str">
        <f t="shared" ca="1" si="45"/>
        <v/>
      </c>
      <c r="G1023" s="27" t="str">
        <f t="shared" ca="1" si="46"/>
        <v/>
      </c>
      <c r="H1023" s="13"/>
      <c r="I1023" s="29" t="str">
        <f t="shared" ca="1" si="47"/>
        <v/>
      </c>
    </row>
    <row r="1024" spans="1:9" x14ac:dyDescent="0.35">
      <c r="A1024" s="21"/>
      <c r="B1024" s="13"/>
      <c r="C1024" s="14"/>
      <c r="D1024" s="14"/>
      <c r="E1024" s="13"/>
      <c r="F1024" s="7" t="str">
        <f t="shared" ca="1" si="45"/>
        <v/>
      </c>
      <c r="G1024" s="27" t="str">
        <f t="shared" ca="1" si="46"/>
        <v/>
      </c>
      <c r="H1024" s="13"/>
      <c r="I1024" s="29" t="str">
        <f t="shared" ca="1" si="47"/>
        <v/>
      </c>
    </row>
    <row r="1025" spans="1:9" x14ac:dyDescent="0.35">
      <c r="A1025" s="21"/>
      <c r="B1025" s="13"/>
      <c r="C1025" s="14"/>
      <c r="D1025" s="14"/>
      <c r="E1025" s="13"/>
      <c r="F1025" s="7" t="str">
        <f t="shared" ca="1" si="45"/>
        <v/>
      </c>
      <c r="G1025" s="27" t="str">
        <f t="shared" ca="1" si="46"/>
        <v/>
      </c>
      <c r="H1025" s="13"/>
      <c r="I1025" s="29" t="str">
        <f t="shared" ca="1" si="47"/>
        <v/>
      </c>
    </row>
    <row r="1026" spans="1:9" x14ac:dyDescent="0.35">
      <c r="A1026" s="21"/>
      <c r="B1026" s="13"/>
      <c r="C1026" s="14"/>
      <c r="D1026" s="14"/>
      <c r="E1026" s="13"/>
      <c r="F1026" s="7" t="str">
        <f t="shared" ca="1" si="45"/>
        <v/>
      </c>
      <c r="G1026" s="27" t="str">
        <f t="shared" ca="1" si="46"/>
        <v/>
      </c>
      <c r="H1026" s="13"/>
      <c r="I1026" s="29" t="str">
        <f t="shared" ca="1" si="47"/>
        <v/>
      </c>
    </row>
    <row r="1027" spans="1:9" x14ac:dyDescent="0.35">
      <c r="A1027" s="21"/>
      <c r="B1027" s="13"/>
      <c r="C1027" s="14"/>
      <c r="D1027" s="14"/>
      <c r="E1027" s="13"/>
      <c r="F1027" s="7" t="str">
        <f t="shared" ca="1" si="45"/>
        <v/>
      </c>
      <c r="G1027" s="27" t="str">
        <f t="shared" ca="1" si="46"/>
        <v/>
      </c>
      <c r="H1027" s="13"/>
      <c r="I1027" s="29" t="str">
        <f t="shared" ca="1" si="47"/>
        <v/>
      </c>
    </row>
    <row r="1028" spans="1:9" x14ac:dyDescent="0.35">
      <c r="A1028" s="21"/>
      <c r="B1028" s="13"/>
      <c r="C1028" s="14"/>
      <c r="D1028" s="14"/>
      <c r="E1028" s="13"/>
      <c r="F1028" s="7" t="str">
        <f t="shared" ca="1" si="45"/>
        <v/>
      </c>
      <c r="G1028" s="27" t="str">
        <f t="shared" ca="1" si="46"/>
        <v/>
      </c>
      <c r="H1028" s="13"/>
      <c r="I1028" s="29" t="str">
        <f t="shared" ca="1" si="47"/>
        <v/>
      </c>
    </row>
    <row r="1029" spans="1:9" x14ac:dyDescent="0.35">
      <c r="A1029" s="21"/>
      <c r="B1029" s="13"/>
      <c r="C1029" s="14"/>
      <c r="D1029" s="14"/>
      <c r="E1029" s="13"/>
      <c r="F1029" s="7" t="str">
        <f t="shared" ref="F1029:F1092" ca="1" si="48">IF($B1029="","",IF($D1029&lt;&gt;"","Fait",IF($C1029="","Non planifié",IF(N($C1029)&lt;TODAY(),"En retard","À venir"))))</f>
        <v/>
      </c>
      <c r="G1029" s="27" t="str">
        <f t="shared" ref="G1029:G1092" ca="1" si="49">IF($B1029="","",IF(AND($C1029&lt;&gt;"",$D1029&lt;&gt;""),$D1029-$C1029,IF($F1029="En retard",TODAY()-$C1029,"")))</f>
        <v/>
      </c>
      <c r="H1029" s="13"/>
      <c r="I1029" s="29" t="str">
        <f t="shared" ref="I1029:I1092" ca="1" si="50">IF($F1029="En retard",1,"")</f>
        <v/>
      </c>
    </row>
    <row r="1030" spans="1:9" x14ac:dyDescent="0.35">
      <c r="A1030" s="21"/>
      <c r="B1030" s="13"/>
      <c r="C1030" s="14"/>
      <c r="D1030" s="14"/>
      <c r="E1030" s="13"/>
      <c r="F1030" s="7" t="str">
        <f t="shared" ca="1" si="48"/>
        <v/>
      </c>
      <c r="G1030" s="27" t="str">
        <f t="shared" ca="1" si="49"/>
        <v/>
      </c>
      <c r="H1030" s="13"/>
      <c r="I1030" s="29" t="str">
        <f t="shared" ca="1" si="50"/>
        <v/>
      </c>
    </row>
    <row r="1031" spans="1:9" x14ac:dyDescent="0.35">
      <c r="A1031" s="21"/>
      <c r="B1031" s="13"/>
      <c r="C1031" s="14"/>
      <c r="D1031" s="14"/>
      <c r="E1031" s="13"/>
      <c r="F1031" s="7" t="str">
        <f t="shared" ca="1" si="48"/>
        <v/>
      </c>
      <c r="G1031" s="27" t="str">
        <f t="shared" ca="1" si="49"/>
        <v/>
      </c>
      <c r="H1031" s="13"/>
      <c r="I1031" s="29" t="str">
        <f t="shared" ca="1" si="50"/>
        <v/>
      </c>
    </row>
    <row r="1032" spans="1:9" x14ac:dyDescent="0.35">
      <c r="A1032" s="21"/>
      <c r="B1032" s="13"/>
      <c r="C1032" s="14"/>
      <c r="D1032" s="14"/>
      <c r="E1032" s="13"/>
      <c r="F1032" s="7" t="str">
        <f t="shared" ca="1" si="48"/>
        <v/>
      </c>
      <c r="G1032" s="27" t="str">
        <f t="shared" ca="1" si="49"/>
        <v/>
      </c>
      <c r="H1032" s="13"/>
      <c r="I1032" s="29" t="str">
        <f t="shared" ca="1" si="50"/>
        <v/>
      </c>
    </row>
    <row r="1033" spans="1:9" x14ac:dyDescent="0.35">
      <c r="A1033" s="21"/>
      <c r="B1033" s="13"/>
      <c r="C1033" s="14"/>
      <c r="D1033" s="14"/>
      <c r="E1033" s="13"/>
      <c r="F1033" s="7" t="str">
        <f t="shared" ca="1" si="48"/>
        <v/>
      </c>
      <c r="G1033" s="27" t="str">
        <f t="shared" ca="1" si="49"/>
        <v/>
      </c>
      <c r="H1033" s="13"/>
      <c r="I1033" s="29" t="str">
        <f t="shared" ca="1" si="50"/>
        <v/>
      </c>
    </row>
    <row r="1034" spans="1:9" x14ac:dyDescent="0.35">
      <c r="A1034" s="21"/>
      <c r="B1034" s="13"/>
      <c r="C1034" s="14"/>
      <c r="D1034" s="14"/>
      <c r="E1034" s="13"/>
      <c r="F1034" s="7" t="str">
        <f t="shared" ca="1" si="48"/>
        <v/>
      </c>
      <c r="G1034" s="27" t="str">
        <f t="shared" ca="1" si="49"/>
        <v/>
      </c>
      <c r="H1034" s="13"/>
      <c r="I1034" s="29" t="str">
        <f t="shared" ca="1" si="50"/>
        <v/>
      </c>
    </row>
    <row r="1035" spans="1:9" x14ac:dyDescent="0.35">
      <c r="A1035" s="21"/>
      <c r="B1035" s="13"/>
      <c r="C1035" s="14"/>
      <c r="D1035" s="14"/>
      <c r="E1035" s="13"/>
      <c r="F1035" s="7" t="str">
        <f t="shared" ca="1" si="48"/>
        <v/>
      </c>
      <c r="G1035" s="27" t="str">
        <f t="shared" ca="1" si="49"/>
        <v/>
      </c>
      <c r="H1035" s="13"/>
      <c r="I1035" s="29" t="str">
        <f t="shared" ca="1" si="50"/>
        <v/>
      </c>
    </row>
    <row r="1036" spans="1:9" x14ac:dyDescent="0.35">
      <c r="A1036" s="21"/>
      <c r="B1036" s="13"/>
      <c r="C1036" s="14"/>
      <c r="D1036" s="14"/>
      <c r="E1036" s="13"/>
      <c r="F1036" s="7" t="str">
        <f t="shared" ca="1" si="48"/>
        <v/>
      </c>
      <c r="G1036" s="27" t="str">
        <f t="shared" ca="1" si="49"/>
        <v/>
      </c>
      <c r="H1036" s="13"/>
      <c r="I1036" s="29" t="str">
        <f t="shared" ca="1" si="50"/>
        <v/>
      </c>
    </row>
    <row r="1037" spans="1:9" x14ac:dyDescent="0.35">
      <c r="A1037" s="21"/>
      <c r="B1037" s="13"/>
      <c r="C1037" s="14"/>
      <c r="D1037" s="14"/>
      <c r="E1037" s="13"/>
      <c r="F1037" s="7" t="str">
        <f t="shared" ca="1" si="48"/>
        <v/>
      </c>
      <c r="G1037" s="27" t="str">
        <f t="shared" ca="1" si="49"/>
        <v/>
      </c>
      <c r="H1037" s="13"/>
      <c r="I1037" s="29" t="str">
        <f t="shared" ca="1" si="50"/>
        <v/>
      </c>
    </row>
    <row r="1038" spans="1:9" x14ac:dyDescent="0.35">
      <c r="A1038" s="21"/>
      <c r="B1038" s="13"/>
      <c r="C1038" s="14"/>
      <c r="D1038" s="14"/>
      <c r="E1038" s="13"/>
      <c r="F1038" s="7" t="str">
        <f t="shared" ca="1" si="48"/>
        <v/>
      </c>
      <c r="G1038" s="27" t="str">
        <f t="shared" ca="1" si="49"/>
        <v/>
      </c>
      <c r="H1038" s="13"/>
      <c r="I1038" s="29" t="str">
        <f t="shared" ca="1" si="50"/>
        <v/>
      </c>
    </row>
    <row r="1039" spans="1:9" x14ac:dyDescent="0.35">
      <c r="A1039" s="21"/>
      <c r="B1039" s="13"/>
      <c r="C1039" s="14"/>
      <c r="D1039" s="14"/>
      <c r="E1039" s="13"/>
      <c r="F1039" s="7" t="str">
        <f t="shared" ca="1" si="48"/>
        <v/>
      </c>
      <c r="G1039" s="27" t="str">
        <f t="shared" ca="1" si="49"/>
        <v/>
      </c>
      <c r="H1039" s="13"/>
      <c r="I1039" s="29" t="str">
        <f t="shared" ca="1" si="50"/>
        <v/>
      </c>
    </row>
    <row r="1040" spans="1:9" x14ac:dyDescent="0.35">
      <c r="A1040" s="21"/>
      <c r="B1040" s="13"/>
      <c r="C1040" s="14"/>
      <c r="D1040" s="14"/>
      <c r="E1040" s="13"/>
      <c r="F1040" s="7" t="str">
        <f t="shared" ca="1" si="48"/>
        <v/>
      </c>
      <c r="G1040" s="27" t="str">
        <f t="shared" ca="1" si="49"/>
        <v/>
      </c>
      <c r="H1040" s="13"/>
      <c r="I1040" s="29" t="str">
        <f t="shared" ca="1" si="50"/>
        <v/>
      </c>
    </row>
    <row r="1041" spans="1:9" x14ac:dyDescent="0.35">
      <c r="A1041" s="21"/>
      <c r="B1041" s="13"/>
      <c r="C1041" s="14"/>
      <c r="D1041" s="14"/>
      <c r="E1041" s="13"/>
      <c r="F1041" s="7" t="str">
        <f t="shared" ca="1" si="48"/>
        <v/>
      </c>
      <c r="G1041" s="27" t="str">
        <f t="shared" ca="1" si="49"/>
        <v/>
      </c>
      <c r="H1041" s="13"/>
      <c r="I1041" s="29" t="str">
        <f t="shared" ca="1" si="50"/>
        <v/>
      </c>
    </row>
    <row r="1042" spans="1:9" x14ac:dyDescent="0.35">
      <c r="A1042" s="21"/>
      <c r="B1042" s="13"/>
      <c r="C1042" s="14"/>
      <c r="D1042" s="14"/>
      <c r="E1042" s="13"/>
      <c r="F1042" s="7" t="str">
        <f t="shared" ca="1" si="48"/>
        <v/>
      </c>
      <c r="G1042" s="27" t="str">
        <f t="shared" ca="1" si="49"/>
        <v/>
      </c>
      <c r="H1042" s="13"/>
      <c r="I1042" s="29" t="str">
        <f t="shared" ca="1" si="50"/>
        <v/>
      </c>
    </row>
    <row r="1043" spans="1:9" x14ac:dyDescent="0.35">
      <c r="A1043" s="21"/>
      <c r="B1043" s="13"/>
      <c r="C1043" s="14"/>
      <c r="D1043" s="14"/>
      <c r="E1043" s="13"/>
      <c r="F1043" s="7" t="str">
        <f t="shared" ca="1" si="48"/>
        <v/>
      </c>
      <c r="G1043" s="27" t="str">
        <f t="shared" ca="1" si="49"/>
        <v/>
      </c>
      <c r="H1043" s="13"/>
      <c r="I1043" s="29" t="str">
        <f t="shared" ca="1" si="50"/>
        <v/>
      </c>
    </row>
    <row r="1044" spans="1:9" x14ac:dyDescent="0.35">
      <c r="A1044" s="21"/>
      <c r="B1044" s="13"/>
      <c r="C1044" s="14"/>
      <c r="D1044" s="14"/>
      <c r="E1044" s="13"/>
      <c r="F1044" s="7" t="str">
        <f t="shared" ca="1" si="48"/>
        <v/>
      </c>
      <c r="G1044" s="27" t="str">
        <f t="shared" ca="1" si="49"/>
        <v/>
      </c>
      <c r="H1044" s="13"/>
      <c r="I1044" s="29" t="str">
        <f t="shared" ca="1" si="50"/>
        <v/>
      </c>
    </row>
    <row r="1045" spans="1:9" x14ac:dyDescent="0.35">
      <c r="A1045" s="21"/>
      <c r="B1045" s="13"/>
      <c r="C1045" s="14"/>
      <c r="D1045" s="14"/>
      <c r="E1045" s="13"/>
      <c r="F1045" s="7" t="str">
        <f t="shared" ca="1" si="48"/>
        <v/>
      </c>
      <c r="G1045" s="27" t="str">
        <f t="shared" ca="1" si="49"/>
        <v/>
      </c>
      <c r="H1045" s="13"/>
      <c r="I1045" s="29" t="str">
        <f t="shared" ca="1" si="50"/>
        <v/>
      </c>
    </row>
    <row r="1046" spans="1:9" x14ac:dyDescent="0.35">
      <c r="A1046" s="21"/>
      <c r="B1046" s="13"/>
      <c r="C1046" s="14"/>
      <c r="D1046" s="14"/>
      <c r="E1046" s="13"/>
      <c r="F1046" s="7" t="str">
        <f t="shared" ca="1" si="48"/>
        <v/>
      </c>
      <c r="G1046" s="27" t="str">
        <f t="shared" ca="1" si="49"/>
        <v/>
      </c>
      <c r="H1046" s="13"/>
      <c r="I1046" s="29" t="str">
        <f t="shared" ca="1" si="50"/>
        <v/>
      </c>
    </row>
    <row r="1047" spans="1:9" x14ac:dyDescent="0.35">
      <c r="A1047" s="21"/>
      <c r="B1047" s="13"/>
      <c r="C1047" s="14"/>
      <c r="D1047" s="14"/>
      <c r="E1047" s="13"/>
      <c r="F1047" s="7" t="str">
        <f t="shared" ca="1" si="48"/>
        <v/>
      </c>
      <c r="G1047" s="27" t="str">
        <f t="shared" ca="1" si="49"/>
        <v/>
      </c>
      <c r="H1047" s="13"/>
      <c r="I1047" s="29" t="str">
        <f t="shared" ca="1" si="50"/>
        <v/>
      </c>
    </row>
    <row r="1048" spans="1:9" x14ac:dyDescent="0.35">
      <c r="A1048" s="21"/>
      <c r="B1048" s="13"/>
      <c r="C1048" s="14"/>
      <c r="D1048" s="14"/>
      <c r="E1048" s="13"/>
      <c r="F1048" s="7" t="str">
        <f t="shared" ca="1" si="48"/>
        <v/>
      </c>
      <c r="G1048" s="27" t="str">
        <f t="shared" ca="1" si="49"/>
        <v/>
      </c>
      <c r="H1048" s="13"/>
      <c r="I1048" s="29" t="str">
        <f t="shared" ca="1" si="50"/>
        <v/>
      </c>
    </row>
    <row r="1049" spans="1:9" x14ac:dyDescent="0.35">
      <c r="A1049" s="21"/>
      <c r="B1049" s="13"/>
      <c r="C1049" s="14"/>
      <c r="D1049" s="14"/>
      <c r="E1049" s="13"/>
      <c r="F1049" s="7" t="str">
        <f t="shared" ca="1" si="48"/>
        <v/>
      </c>
      <c r="G1049" s="27" t="str">
        <f t="shared" ca="1" si="49"/>
        <v/>
      </c>
      <c r="H1049" s="13"/>
      <c r="I1049" s="29" t="str">
        <f t="shared" ca="1" si="50"/>
        <v/>
      </c>
    </row>
    <row r="1050" spans="1:9" x14ac:dyDescent="0.35">
      <c r="A1050" s="21"/>
      <c r="B1050" s="13"/>
      <c r="C1050" s="14"/>
      <c r="D1050" s="14"/>
      <c r="E1050" s="13"/>
      <c r="F1050" s="7" t="str">
        <f t="shared" ca="1" si="48"/>
        <v/>
      </c>
      <c r="G1050" s="27" t="str">
        <f t="shared" ca="1" si="49"/>
        <v/>
      </c>
      <c r="H1050" s="13"/>
      <c r="I1050" s="29" t="str">
        <f t="shared" ca="1" si="50"/>
        <v/>
      </c>
    </row>
    <row r="1051" spans="1:9" x14ac:dyDescent="0.35">
      <c r="A1051" s="21"/>
      <c r="B1051" s="13"/>
      <c r="C1051" s="14"/>
      <c r="D1051" s="14"/>
      <c r="E1051" s="13"/>
      <c r="F1051" s="7" t="str">
        <f t="shared" ca="1" si="48"/>
        <v/>
      </c>
      <c r="G1051" s="27" t="str">
        <f t="shared" ca="1" si="49"/>
        <v/>
      </c>
      <c r="H1051" s="13"/>
      <c r="I1051" s="29" t="str">
        <f t="shared" ca="1" si="50"/>
        <v/>
      </c>
    </row>
    <row r="1052" spans="1:9" x14ac:dyDescent="0.35">
      <c r="A1052" s="21"/>
      <c r="B1052" s="13"/>
      <c r="C1052" s="14"/>
      <c r="D1052" s="14"/>
      <c r="E1052" s="13"/>
      <c r="F1052" s="7" t="str">
        <f t="shared" ca="1" si="48"/>
        <v/>
      </c>
      <c r="G1052" s="27" t="str">
        <f t="shared" ca="1" si="49"/>
        <v/>
      </c>
      <c r="H1052" s="13"/>
      <c r="I1052" s="29" t="str">
        <f t="shared" ca="1" si="50"/>
        <v/>
      </c>
    </row>
    <row r="1053" spans="1:9" x14ac:dyDescent="0.35">
      <c r="A1053" s="21"/>
      <c r="B1053" s="13"/>
      <c r="C1053" s="14"/>
      <c r="D1053" s="14"/>
      <c r="E1053" s="13"/>
      <c r="F1053" s="7" t="str">
        <f t="shared" ca="1" si="48"/>
        <v/>
      </c>
      <c r="G1053" s="27" t="str">
        <f t="shared" ca="1" si="49"/>
        <v/>
      </c>
      <c r="H1053" s="13"/>
      <c r="I1053" s="29" t="str">
        <f t="shared" ca="1" si="50"/>
        <v/>
      </c>
    </row>
    <row r="1054" spans="1:9" x14ac:dyDescent="0.35">
      <c r="A1054" s="21"/>
      <c r="B1054" s="13"/>
      <c r="C1054" s="14"/>
      <c r="D1054" s="14"/>
      <c r="E1054" s="13"/>
      <c r="F1054" s="7" t="str">
        <f t="shared" ca="1" si="48"/>
        <v/>
      </c>
      <c r="G1054" s="27" t="str">
        <f t="shared" ca="1" si="49"/>
        <v/>
      </c>
      <c r="H1054" s="13"/>
      <c r="I1054" s="29" t="str">
        <f t="shared" ca="1" si="50"/>
        <v/>
      </c>
    </row>
    <row r="1055" spans="1:9" x14ac:dyDescent="0.35">
      <c r="A1055" s="21"/>
      <c r="B1055" s="13"/>
      <c r="C1055" s="14"/>
      <c r="D1055" s="14"/>
      <c r="E1055" s="13"/>
      <c r="F1055" s="7" t="str">
        <f t="shared" ca="1" si="48"/>
        <v/>
      </c>
      <c r="G1055" s="27" t="str">
        <f t="shared" ca="1" si="49"/>
        <v/>
      </c>
      <c r="H1055" s="13"/>
      <c r="I1055" s="29" t="str">
        <f t="shared" ca="1" si="50"/>
        <v/>
      </c>
    </row>
    <row r="1056" spans="1:9" x14ac:dyDescent="0.35">
      <c r="A1056" s="21"/>
      <c r="B1056" s="13"/>
      <c r="C1056" s="14"/>
      <c r="D1056" s="14"/>
      <c r="E1056" s="13"/>
      <c r="F1056" s="7" t="str">
        <f t="shared" ca="1" si="48"/>
        <v/>
      </c>
      <c r="G1056" s="27" t="str">
        <f t="shared" ca="1" si="49"/>
        <v/>
      </c>
      <c r="H1056" s="13"/>
      <c r="I1056" s="29" t="str">
        <f t="shared" ca="1" si="50"/>
        <v/>
      </c>
    </row>
    <row r="1057" spans="1:9" x14ac:dyDescent="0.35">
      <c r="A1057" s="21"/>
      <c r="B1057" s="13"/>
      <c r="C1057" s="14"/>
      <c r="D1057" s="14"/>
      <c r="E1057" s="13"/>
      <c r="F1057" s="7" t="str">
        <f t="shared" ca="1" si="48"/>
        <v/>
      </c>
      <c r="G1057" s="27" t="str">
        <f t="shared" ca="1" si="49"/>
        <v/>
      </c>
      <c r="H1057" s="13"/>
      <c r="I1057" s="29" t="str">
        <f t="shared" ca="1" si="50"/>
        <v/>
      </c>
    </row>
    <row r="1058" spans="1:9" x14ac:dyDescent="0.35">
      <c r="A1058" s="21"/>
      <c r="B1058" s="13"/>
      <c r="C1058" s="14"/>
      <c r="D1058" s="14"/>
      <c r="E1058" s="13"/>
      <c r="F1058" s="7" t="str">
        <f t="shared" ca="1" si="48"/>
        <v/>
      </c>
      <c r="G1058" s="27" t="str">
        <f t="shared" ca="1" si="49"/>
        <v/>
      </c>
      <c r="H1058" s="13"/>
      <c r="I1058" s="29" t="str">
        <f t="shared" ca="1" si="50"/>
        <v/>
      </c>
    </row>
    <row r="1059" spans="1:9" x14ac:dyDescent="0.35">
      <c r="A1059" s="21"/>
      <c r="B1059" s="13"/>
      <c r="C1059" s="14"/>
      <c r="D1059" s="14"/>
      <c r="E1059" s="13"/>
      <c r="F1059" s="7" t="str">
        <f t="shared" ca="1" si="48"/>
        <v/>
      </c>
      <c r="G1059" s="27" t="str">
        <f t="shared" ca="1" si="49"/>
        <v/>
      </c>
      <c r="H1059" s="13"/>
      <c r="I1059" s="29" t="str">
        <f t="shared" ca="1" si="50"/>
        <v/>
      </c>
    </row>
    <row r="1060" spans="1:9" x14ac:dyDescent="0.35">
      <c r="A1060" s="21"/>
      <c r="B1060" s="13"/>
      <c r="C1060" s="14"/>
      <c r="D1060" s="14"/>
      <c r="E1060" s="13"/>
      <c r="F1060" s="7" t="str">
        <f t="shared" ca="1" si="48"/>
        <v/>
      </c>
      <c r="G1060" s="27" t="str">
        <f t="shared" ca="1" si="49"/>
        <v/>
      </c>
      <c r="H1060" s="13"/>
      <c r="I1060" s="29" t="str">
        <f t="shared" ca="1" si="50"/>
        <v/>
      </c>
    </row>
    <row r="1061" spans="1:9" x14ac:dyDescent="0.35">
      <c r="A1061" s="21"/>
      <c r="B1061" s="13"/>
      <c r="C1061" s="14"/>
      <c r="D1061" s="14"/>
      <c r="E1061" s="13"/>
      <c r="F1061" s="7" t="str">
        <f t="shared" ca="1" si="48"/>
        <v/>
      </c>
      <c r="G1061" s="27" t="str">
        <f t="shared" ca="1" si="49"/>
        <v/>
      </c>
      <c r="H1061" s="13"/>
      <c r="I1061" s="29" t="str">
        <f t="shared" ca="1" si="50"/>
        <v/>
      </c>
    </row>
    <row r="1062" spans="1:9" x14ac:dyDescent="0.35">
      <c r="A1062" s="21"/>
      <c r="B1062" s="13"/>
      <c r="C1062" s="14"/>
      <c r="D1062" s="14"/>
      <c r="E1062" s="13"/>
      <c r="F1062" s="7" t="str">
        <f t="shared" ca="1" si="48"/>
        <v/>
      </c>
      <c r="G1062" s="27" t="str">
        <f t="shared" ca="1" si="49"/>
        <v/>
      </c>
      <c r="H1062" s="13"/>
      <c r="I1062" s="29" t="str">
        <f t="shared" ca="1" si="50"/>
        <v/>
      </c>
    </row>
    <row r="1063" spans="1:9" x14ac:dyDescent="0.35">
      <c r="A1063" s="21"/>
      <c r="B1063" s="13"/>
      <c r="C1063" s="14"/>
      <c r="D1063" s="14"/>
      <c r="E1063" s="13"/>
      <c r="F1063" s="7" t="str">
        <f t="shared" ca="1" si="48"/>
        <v/>
      </c>
      <c r="G1063" s="27" t="str">
        <f t="shared" ca="1" si="49"/>
        <v/>
      </c>
      <c r="H1063" s="13"/>
      <c r="I1063" s="29" t="str">
        <f t="shared" ca="1" si="50"/>
        <v/>
      </c>
    </row>
    <row r="1064" spans="1:9" x14ac:dyDescent="0.35">
      <c r="A1064" s="21"/>
      <c r="B1064" s="13"/>
      <c r="C1064" s="14"/>
      <c r="D1064" s="14"/>
      <c r="E1064" s="13"/>
      <c r="F1064" s="7" t="str">
        <f t="shared" ca="1" si="48"/>
        <v/>
      </c>
      <c r="G1064" s="27" t="str">
        <f t="shared" ca="1" si="49"/>
        <v/>
      </c>
      <c r="H1064" s="13"/>
      <c r="I1064" s="29" t="str">
        <f t="shared" ca="1" si="50"/>
        <v/>
      </c>
    </row>
    <row r="1065" spans="1:9" x14ac:dyDescent="0.35">
      <c r="A1065" s="21"/>
      <c r="B1065" s="13"/>
      <c r="C1065" s="14"/>
      <c r="D1065" s="14"/>
      <c r="E1065" s="13"/>
      <c r="F1065" s="7" t="str">
        <f t="shared" ca="1" si="48"/>
        <v/>
      </c>
      <c r="G1065" s="27" t="str">
        <f t="shared" ca="1" si="49"/>
        <v/>
      </c>
      <c r="H1065" s="13"/>
      <c r="I1065" s="29" t="str">
        <f t="shared" ca="1" si="50"/>
        <v/>
      </c>
    </row>
    <row r="1066" spans="1:9" x14ac:dyDescent="0.35">
      <c r="A1066" s="21"/>
      <c r="B1066" s="13"/>
      <c r="C1066" s="14"/>
      <c r="D1066" s="14"/>
      <c r="E1066" s="13"/>
      <c r="F1066" s="7" t="str">
        <f t="shared" ca="1" si="48"/>
        <v/>
      </c>
      <c r="G1066" s="27" t="str">
        <f t="shared" ca="1" si="49"/>
        <v/>
      </c>
      <c r="H1066" s="13"/>
      <c r="I1066" s="29" t="str">
        <f t="shared" ca="1" si="50"/>
        <v/>
      </c>
    </row>
    <row r="1067" spans="1:9" x14ac:dyDescent="0.35">
      <c r="A1067" s="21"/>
      <c r="B1067" s="13"/>
      <c r="C1067" s="14"/>
      <c r="D1067" s="14"/>
      <c r="E1067" s="13"/>
      <c r="F1067" s="7" t="str">
        <f t="shared" ca="1" si="48"/>
        <v/>
      </c>
      <c r="G1067" s="27" t="str">
        <f t="shared" ca="1" si="49"/>
        <v/>
      </c>
      <c r="H1067" s="13"/>
      <c r="I1067" s="29" t="str">
        <f t="shared" ca="1" si="50"/>
        <v/>
      </c>
    </row>
    <row r="1068" spans="1:9" x14ac:dyDescent="0.35">
      <c r="A1068" s="21"/>
      <c r="B1068" s="13"/>
      <c r="C1068" s="14"/>
      <c r="D1068" s="14"/>
      <c r="E1068" s="13"/>
      <c r="F1068" s="7" t="str">
        <f t="shared" ca="1" si="48"/>
        <v/>
      </c>
      <c r="G1068" s="27" t="str">
        <f t="shared" ca="1" si="49"/>
        <v/>
      </c>
      <c r="H1068" s="13"/>
      <c r="I1068" s="29" t="str">
        <f t="shared" ca="1" si="50"/>
        <v/>
      </c>
    </row>
    <row r="1069" spans="1:9" x14ac:dyDescent="0.35">
      <c r="A1069" s="21"/>
      <c r="B1069" s="13"/>
      <c r="C1069" s="14"/>
      <c r="D1069" s="14"/>
      <c r="E1069" s="13"/>
      <c r="F1069" s="7" t="str">
        <f t="shared" ca="1" si="48"/>
        <v/>
      </c>
      <c r="G1069" s="27" t="str">
        <f t="shared" ca="1" si="49"/>
        <v/>
      </c>
      <c r="H1069" s="13"/>
      <c r="I1069" s="29" t="str">
        <f t="shared" ca="1" si="50"/>
        <v/>
      </c>
    </row>
    <row r="1070" spans="1:9" x14ac:dyDescent="0.35">
      <c r="A1070" s="21"/>
      <c r="B1070" s="13"/>
      <c r="C1070" s="14"/>
      <c r="D1070" s="14"/>
      <c r="E1070" s="13"/>
      <c r="F1070" s="7" t="str">
        <f t="shared" ca="1" si="48"/>
        <v/>
      </c>
      <c r="G1070" s="27" t="str">
        <f t="shared" ca="1" si="49"/>
        <v/>
      </c>
      <c r="H1070" s="13"/>
      <c r="I1070" s="29" t="str">
        <f t="shared" ca="1" si="50"/>
        <v/>
      </c>
    </row>
    <row r="1071" spans="1:9" x14ac:dyDescent="0.35">
      <c r="A1071" s="21"/>
      <c r="B1071" s="13"/>
      <c r="C1071" s="14"/>
      <c r="D1071" s="14"/>
      <c r="E1071" s="13"/>
      <c r="F1071" s="7" t="str">
        <f t="shared" ca="1" si="48"/>
        <v/>
      </c>
      <c r="G1071" s="27" t="str">
        <f t="shared" ca="1" si="49"/>
        <v/>
      </c>
      <c r="H1071" s="13"/>
      <c r="I1071" s="29" t="str">
        <f t="shared" ca="1" si="50"/>
        <v/>
      </c>
    </row>
    <row r="1072" spans="1:9" x14ac:dyDescent="0.35">
      <c r="A1072" s="21"/>
      <c r="B1072" s="13"/>
      <c r="C1072" s="14"/>
      <c r="D1072" s="14"/>
      <c r="E1072" s="13"/>
      <c r="F1072" s="7" t="str">
        <f t="shared" ca="1" si="48"/>
        <v/>
      </c>
      <c r="G1072" s="27" t="str">
        <f t="shared" ca="1" si="49"/>
        <v/>
      </c>
      <c r="H1072" s="13"/>
      <c r="I1072" s="29" t="str">
        <f t="shared" ca="1" si="50"/>
        <v/>
      </c>
    </row>
    <row r="1073" spans="1:9" x14ac:dyDescent="0.35">
      <c r="A1073" s="21"/>
      <c r="B1073" s="13"/>
      <c r="C1073" s="14"/>
      <c r="D1073" s="14"/>
      <c r="E1073" s="13"/>
      <c r="F1073" s="7" t="str">
        <f t="shared" ca="1" si="48"/>
        <v/>
      </c>
      <c r="G1073" s="27" t="str">
        <f t="shared" ca="1" si="49"/>
        <v/>
      </c>
      <c r="H1073" s="13"/>
      <c r="I1073" s="29" t="str">
        <f t="shared" ca="1" si="50"/>
        <v/>
      </c>
    </row>
    <row r="1074" spans="1:9" x14ac:dyDescent="0.35">
      <c r="A1074" s="21"/>
      <c r="B1074" s="13"/>
      <c r="C1074" s="14"/>
      <c r="D1074" s="14"/>
      <c r="E1074" s="13"/>
      <c r="F1074" s="7" t="str">
        <f t="shared" ca="1" si="48"/>
        <v/>
      </c>
      <c r="G1074" s="27" t="str">
        <f t="shared" ca="1" si="49"/>
        <v/>
      </c>
      <c r="H1074" s="13"/>
      <c r="I1074" s="29" t="str">
        <f t="shared" ca="1" si="50"/>
        <v/>
      </c>
    </row>
    <row r="1075" spans="1:9" x14ac:dyDescent="0.35">
      <c r="A1075" s="21"/>
      <c r="B1075" s="13"/>
      <c r="C1075" s="14"/>
      <c r="D1075" s="14"/>
      <c r="E1075" s="13"/>
      <c r="F1075" s="7" t="str">
        <f t="shared" ca="1" si="48"/>
        <v/>
      </c>
      <c r="G1075" s="27" t="str">
        <f t="shared" ca="1" si="49"/>
        <v/>
      </c>
      <c r="H1075" s="13"/>
      <c r="I1075" s="29" t="str">
        <f t="shared" ca="1" si="50"/>
        <v/>
      </c>
    </row>
    <row r="1076" spans="1:9" x14ac:dyDescent="0.35">
      <c r="A1076" s="21"/>
      <c r="B1076" s="13"/>
      <c r="C1076" s="14"/>
      <c r="D1076" s="14"/>
      <c r="E1076" s="13"/>
      <c r="F1076" s="7" t="str">
        <f t="shared" ca="1" si="48"/>
        <v/>
      </c>
      <c r="G1076" s="27" t="str">
        <f t="shared" ca="1" si="49"/>
        <v/>
      </c>
      <c r="H1076" s="13"/>
      <c r="I1076" s="29" t="str">
        <f t="shared" ca="1" si="50"/>
        <v/>
      </c>
    </row>
    <row r="1077" spans="1:9" x14ac:dyDescent="0.35">
      <c r="A1077" s="21"/>
      <c r="B1077" s="13"/>
      <c r="C1077" s="14"/>
      <c r="D1077" s="14"/>
      <c r="E1077" s="13"/>
      <c r="F1077" s="7" t="str">
        <f t="shared" ca="1" si="48"/>
        <v/>
      </c>
      <c r="G1077" s="27" t="str">
        <f t="shared" ca="1" si="49"/>
        <v/>
      </c>
      <c r="H1077" s="13"/>
      <c r="I1077" s="29" t="str">
        <f t="shared" ca="1" si="50"/>
        <v/>
      </c>
    </row>
    <row r="1078" spans="1:9" x14ac:dyDescent="0.35">
      <c r="A1078" s="21"/>
      <c r="B1078" s="13"/>
      <c r="C1078" s="14"/>
      <c r="D1078" s="14"/>
      <c r="E1078" s="13"/>
      <c r="F1078" s="7" t="str">
        <f t="shared" ca="1" si="48"/>
        <v/>
      </c>
      <c r="G1078" s="27" t="str">
        <f t="shared" ca="1" si="49"/>
        <v/>
      </c>
      <c r="H1078" s="13"/>
      <c r="I1078" s="29" t="str">
        <f t="shared" ca="1" si="50"/>
        <v/>
      </c>
    </row>
    <row r="1079" spans="1:9" x14ac:dyDescent="0.35">
      <c r="A1079" s="21"/>
      <c r="B1079" s="13"/>
      <c r="C1079" s="14"/>
      <c r="D1079" s="14"/>
      <c r="E1079" s="13"/>
      <c r="F1079" s="7" t="str">
        <f t="shared" ca="1" si="48"/>
        <v/>
      </c>
      <c r="G1079" s="27" t="str">
        <f t="shared" ca="1" si="49"/>
        <v/>
      </c>
      <c r="H1079" s="13"/>
      <c r="I1079" s="29" t="str">
        <f t="shared" ca="1" si="50"/>
        <v/>
      </c>
    </row>
    <row r="1080" spans="1:9" x14ac:dyDescent="0.35">
      <c r="A1080" s="21"/>
      <c r="B1080" s="13"/>
      <c r="C1080" s="14"/>
      <c r="D1080" s="14"/>
      <c r="E1080" s="13"/>
      <c r="F1080" s="7" t="str">
        <f t="shared" ca="1" si="48"/>
        <v/>
      </c>
      <c r="G1080" s="27" t="str">
        <f t="shared" ca="1" si="49"/>
        <v/>
      </c>
      <c r="H1080" s="13"/>
      <c r="I1080" s="29" t="str">
        <f t="shared" ca="1" si="50"/>
        <v/>
      </c>
    </row>
    <row r="1081" spans="1:9" x14ac:dyDescent="0.35">
      <c r="A1081" s="21"/>
      <c r="B1081" s="13"/>
      <c r="C1081" s="14"/>
      <c r="D1081" s="14"/>
      <c r="E1081" s="13"/>
      <c r="F1081" s="7" t="str">
        <f t="shared" ca="1" si="48"/>
        <v/>
      </c>
      <c r="G1081" s="27" t="str">
        <f t="shared" ca="1" si="49"/>
        <v/>
      </c>
      <c r="H1081" s="13"/>
      <c r="I1081" s="29" t="str">
        <f t="shared" ca="1" si="50"/>
        <v/>
      </c>
    </row>
    <row r="1082" spans="1:9" x14ac:dyDescent="0.35">
      <c r="A1082" s="21"/>
      <c r="B1082" s="13"/>
      <c r="C1082" s="14"/>
      <c r="D1082" s="14"/>
      <c r="E1082" s="13"/>
      <c r="F1082" s="7" t="str">
        <f t="shared" ca="1" si="48"/>
        <v/>
      </c>
      <c r="G1082" s="27" t="str">
        <f t="shared" ca="1" si="49"/>
        <v/>
      </c>
      <c r="H1082" s="13"/>
      <c r="I1082" s="29" t="str">
        <f t="shared" ca="1" si="50"/>
        <v/>
      </c>
    </row>
    <row r="1083" spans="1:9" x14ac:dyDescent="0.35">
      <c r="A1083" s="21"/>
      <c r="B1083" s="13"/>
      <c r="C1083" s="14"/>
      <c r="D1083" s="14"/>
      <c r="E1083" s="13"/>
      <c r="F1083" s="7" t="str">
        <f t="shared" ca="1" si="48"/>
        <v/>
      </c>
      <c r="G1083" s="27" t="str">
        <f t="shared" ca="1" si="49"/>
        <v/>
      </c>
      <c r="H1083" s="13"/>
      <c r="I1083" s="29" t="str">
        <f t="shared" ca="1" si="50"/>
        <v/>
      </c>
    </row>
    <row r="1084" spans="1:9" x14ac:dyDescent="0.35">
      <c r="A1084" s="21"/>
      <c r="B1084" s="13"/>
      <c r="C1084" s="14"/>
      <c r="D1084" s="14"/>
      <c r="E1084" s="13"/>
      <c r="F1084" s="7" t="str">
        <f t="shared" ca="1" si="48"/>
        <v/>
      </c>
      <c r="G1084" s="27" t="str">
        <f t="shared" ca="1" si="49"/>
        <v/>
      </c>
      <c r="H1084" s="13"/>
      <c r="I1084" s="29" t="str">
        <f t="shared" ca="1" si="50"/>
        <v/>
      </c>
    </row>
    <row r="1085" spans="1:9" x14ac:dyDescent="0.35">
      <c r="A1085" s="21"/>
      <c r="B1085" s="13"/>
      <c r="C1085" s="14"/>
      <c r="D1085" s="14"/>
      <c r="E1085" s="13"/>
      <c r="F1085" s="7" t="str">
        <f t="shared" ca="1" si="48"/>
        <v/>
      </c>
      <c r="G1085" s="27" t="str">
        <f t="shared" ca="1" si="49"/>
        <v/>
      </c>
      <c r="H1085" s="13"/>
      <c r="I1085" s="29" t="str">
        <f t="shared" ca="1" si="50"/>
        <v/>
      </c>
    </row>
    <row r="1086" spans="1:9" x14ac:dyDescent="0.35">
      <c r="A1086" s="21"/>
      <c r="B1086" s="13"/>
      <c r="C1086" s="14"/>
      <c r="D1086" s="14"/>
      <c r="E1086" s="13"/>
      <c r="F1086" s="7" t="str">
        <f t="shared" ca="1" si="48"/>
        <v/>
      </c>
      <c r="G1086" s="27" t="str">
        <f t="shared" ca="1" si="49"/>
        <v/>
      </c>
      <c r="H1086" s="13"/>
      <c r="I1086" s="29" t="str">
        <f t="shared" ca="1" si="50"/>
        <v/>
      </c>
    </row>
    <row r="1087" spans="1:9" x14ac:dyDescent="0.35">
      <c r="A1087" s="21"/>
      <c r="B1087" s="13"/>
      <c r="C1087" s="14"/>
      <c r="D1087" s="14"/>
      <c r="E1087" s="13"/>
      <c r="F1087" s="7" t="str">
        <f t="shared" ca="1" si="48"/>
        <v/>
      </c>
      <c r="G1087" s="27" t="str">
        <f t="shared" ca="1" si="49"/>
        <v/>
      </c>
      <c r="H1087" s="13"/>
      <c r="I1087" s="29" t="str">
        <f t="shared" ca="1" si="50"/>
        <v/>
      </c>
    </row>
    <row r="1088" spans="1:9" x14ac:dyDescent="0.35">
      <c r="A1088" s="21"/>
      <c r="B1088" s="13"/>
      <c r="C1088" s="14"/>
      <c r="D1088" s="14"/>
      <c r="E1088" s="13"/>
      <c r="F1088" s="7" t="str">
        <f t="shared" ca="1" si="48"/>
        <v/>
      </c>
      <c r="G1088" s="27" t="str">
        <f t="shared" ca="1" si="49"/>
        <v/>
      </c>
      <c r="H1088" s="13"/>
      <c r="I1088" s="29" t="str">
        <f t="shared" ca="1" si="50"/>
        <v/>
      </c>
    </row>
    <row r="1089" spans="1:9" x14ac:dyDescent="0.35">
      <c r="A1089" s="21"/>
      <c r="B1089" s="13"/>
      <c r="C1089" s="14"/>
      <c r="D1089" s="14"/>
      <c r="E1089" s="13"/>
      <c r="F1089" s="7" t="str">
        <f t="shared" ca="1" si="48"/>
        <v/>
      </c>
      <c r="G1089" s="27" t="str">
        <f t="shared" ca="1" si="49"/>
        <v/>
      </c>
      <c r="H1089" s="13"/>
      <c r="I1089" s="29" t="str">
        <f t="shared" ca="1" si="50"/>
        <v/>
      </c>
    </row>
    <row r="1090" spans="1:9" x14ac:dyDescent="0.35">
      <c r="A1090" s="21"/>
      <c r="B1090" s="13"/>
      <c r="C1090" s="14"/>
      <c r="D1090" s="14"/>
      <c r="E1090" s="13"/>
      <c r="F1090" s="7" t="str">
        <f t="shared" ca="1" si="48"/>
        <v/>
      </c>
      <c r="G1090" s="27" t="str">
        <f t="shared" ca="1" si="49"/>
        <v/>
      </c>
      <c r="H1090" s="13"/>
      <c r="I1090" s="29" t="str">
        <f t="shared" ca="1" si="50"/>
        <v/>
      </c>
    </row>
    <row r="1091" spans="1:9" x14ac:dyDescent="0.35">
      <c r="A1091" s="21"/>
      <c r="B1091" s="13"/>
      <c r="C1091" s="14"/>
      <c r="D1091" s="14"/>
      <c r="E1091" s="13"/>
      <c r="F1091" s="7" t="str">
        <f t="shared" ca="1" si="48"/>
        <v/>
      </c>
      <c r="G1091" s="27" t="str">
        <f t="shared" ca="1" si="49"/>
        <v/>
      </c>
      <c r="H1091" s="13"/>
      <c r="I1091" s="29" t="str">
        <f t="shared" ca="1" si="50"/>
        <v/>
      </c>
    </row>
    <row r="1092" spans="1:9" x14ac:dyDescent="0.35">
      <c r="A1092" s="21"/>
      <c r="B1092" s="13"/>
      <c r="C1092" s="14"/>
      <c r="D1092" s="14"/>
      <c r="E1092" s="13"/>
      <c r="F1092" s="7" t="str">
        <f t="shared" ca="1" si="48"/>
        <v/>
      </c>
      <c r="G1092" s="27" t="str">
        <f t="shared" ca="1" si="49"/>
        <v/>
      </c>
      <c r="H1092" s="13"/>
      <c r="I1092" s="29" t="str">
        <f t="shared" ca="1" si="50"/>
        <v/>
      </c>
    </row>
    <row r="1093" spans="1:9" x14ac:dyDescent="0.35">
      <c r="A1093" s="21"/>
      <c r="B1093" s="13"/>
      <c r="C1093" s="14"/>
      <c r="D1093" s="14"/>
      <c r="E1093" s="13"/>
      <c r="F1093" s="7" t="str">
        <f t="shared" ref="F1093:F1156" ca="1" si="51">IF($B1093="","",IF($D1093&lt;&gt;"","Fait",IF($C1093="","Non planifié",IF(N($C1093)&lt;TODAY(),"En retard","À venir"))))</f>
        <v/>
      </c>
      <c r="G1093" s="27" t="str">
        <f t="shared" ref="G1093:G1156" ca="1" si="52">IF($B1093="","",IF(AND($C1093&lt;&gt;"",$D1093&lt;&gt;""),$D1093-$C1093,IF($F1093="En retard",TODAY()-$C1093,"")))</f>
        <v/>
      </c>
      <c r="H1093" s="13"/>
      <c r="I1093" s="29" t="str">
        <f t="shared" ref="I1093:I1156" ca="1" si="53">IF($F1093="En retard",1,"")</f>
        <v/>
      </c>
    </row>
    <row r="1094" spans="1:9" x14ac:dyDescent="0.35">
      <c r="A1094" s="21"/>
      <c r="B1094" s="13"/>
      <c r="C1094" s="14"/>
      <c r="D1094" s="14"/>
      <c r="E1094" s="13"/>
      <c r="F1094" s="7" t="str">
        <f t="shared" ca="1" si="51"/>
        <v/>
      </c>
      <c r="G1094" s="27" t="str">
        <f t="shared" ca="1" si="52"/>
        <v/>
      </c>
      <c r="H1094" s="13"/>
      <c r="I1094" s="29" t="str">
        <f t="shared" ca="1" si="53"/>
        <v/>
      </c>
    </row>
    <row r="1095" spans="1:9" x14ac:dyDescent="0.35">
      <c r="A1095" s="21"/>
      <c r="B1095" s="13"/>
      <c r="C1095" s="14"/>
      <c r="D1095" s="14"/>
      <c r="E1095" s="13"/>
      <c r="F1095" s="7" t="str">
        <f t="shared" ca="1" si="51"/>
        <v/>
      </c>
      <c r="G1095" s="27" t="str">
        <f t="shared" ca="1" si="52"/>
        <v/>
      </c>
      <c r="H1095" s="13"/>
      <c r="I1095" s="29" t="str">
        <f t="shared" ca="1" si="53"/>
        <v/>
      </c>
    </row>
    <row r="1096" spans="1:9" x14ac:dyDescent="0.35">
      <c r="A1096" s="21"/>
      <c r="B1096" s="13"/>
      <c r="C1096" s="14"/>
      <c r="D1096" s="14"/>
      <c r="E1096" s="13"/>
      <c r="F1096" s="7" t="str">
        <f t="shared" ca="1" si="51"/>
        <v/>
      </c>
      <c r="G1096" s="27" t="str">
        <f t="shared" ca="1" si="52"/>
        <v/>
      </c>
      <c r="H1096" s="13"/>
      <c r="I1096" s="29" t="str">
        <f t="shared" ca="1" si="53"/>
        <v/>
      </c>
    </row>
    <row r="1097" spans="1:9" x14ac:dyDescent="0.35">
      <c r="A1097" s="21"/>
      <c r="B1097" s="13"/>
      <c r="C1097" s="14"/>
      <c r="D1097" s="14"/>
      <c r="E1097" s="13"/>
      <c r="F1097" s="7" t="str">
        <f t="shared" ca="1" si="51"/>
        <v/>
      </c>
      <c r="G1097" s="27" t="str">
        <f t="shared" ca="1" si="52"/>
        <v/>
      </c>
      <c r="H1097" s="13"/>
      <c r="I1097" s="29" t="str">
        <f t="shared" ca="1" si="53"/>
        <v/>
      </c>
    </row>
    <row r="1098" spans="1:9" x14ac:dyDescent="0.35">
      <c r="A1098" s="21"/>
      <c r="B1098" s="13"/>
      <c r="C1098" s="14"/>
      <c r="D1098" s="14"/>
      <c r="E1098" s="13"/>
      <c r="F1098" s="7" t="str">
        <f t="shared" ca="1" si="51"/>
        <v/>
      </c>
      <c r="G1098" s="27" t="str">
        <f t="shared" ca="1" si="52"/>
        <v/>
      </c>
      <c r="H1098" s="13"/>
      <c r="I1098" s="29" t="str">
        <f t="shared" ca="1" si="53"/>
        <v/>
      </c>
    </row>
    <row r="1099" spans="1:9" x14ac:dyDescent="0.35">
      <c r="A1099" s="21"/>
      <c r="B1099" s="13"/>
      <c r="C1099" s="14"/>
      <c r="D1099" s="14"/>
      <c r="E1099" s="13"/>
      <c r="F1099" s="7" t="str">
        <f t="shared" ca="1" si="51"/>
        <v/>
      </c>
      <c r="G1099" s="27" t="str">
        <f t="shared" ca="1" si="52"/>
        <v/>
      </c>
      <c r="H1099" s="13"/>
      <c r="I1099" s="29" t="str">
        <f t="shared" ca="1" si="53"/>
        <v/>
      </c>
    </row>
    <row r="1100" spans="1:9" x14ac:dyDescent="0.35">
      <c r="A1100" s="21"/>
      <c r="B1100" s="13"/>
      <c r="C1100" s="14"/>
      <c r="D1100" s="14"/>
      <c r="E1100" s="13"/>
      <c r="F1100" s="7" t="str">
        <f t="shared" ca="1" si="51"/>
        <v/>
      </c>
      <c r="G1100" s="27" t="str">
        <f t="shared" ca="1" si="52"/>
        <v/>
      </c>
      <c r="H1100" s="13"/>
      <c r="I1100" s="29" t="str">
        <f t="shared" ca="1" si="53"/>
        <v/>
      </c>
    </row>
    <row r="1101" spans="1:9" x14ac:dyDescent="0.35">
      <c r="A1101" s="21"/>
      <c r="B1101" s="13"/>
      <c r="C1101" s="14"/>
      <c r="D1101" s="14"/>
      <c r="E1101" s="13"/>
      <c r="F1101" s="7" t="str">
        <f t="shared" ca="1" si="51"/>
        <v/>
      </c>
      <c r="G1101" s="27" t="str">
        <f t="shared" ca="1" si="52"/>
        <v/>
      </c>
      <c r="H1101" s="13"/>
      <c r="I1101" s="29" t="str">
        <f t="shared" ca="1" si="53"/>
        <v/>
      </c>
    </row>
    <row r="1102" spans="1:9" x14ac:dyDescent="0.35">
      <c r="A1102" s="21"/>
      <c r="B1102" s="13"/>
      <c r="C1102" s="14"/>
      <c r="D1102" s="14"/>
      <c r="E1102" s="13"/>
      <c r="F1102" s="7" t="str">
        <f t="shared" ca="1" si="51"/>
        <v/>
      </c>
      <c r="G1102" s="27" t="str">
        <f t="shared" ca="1" si="52"/>
        <v/>
      </c>
      <c r="H1102" s="13"/>
      <c r="I1102" s="29" t="str">
        <f t="shared" ca="1" si="53"/>
        <v/>
      </c>
    </row>
    <row r="1103" spans="1:9" x14ac:dyDescent="0.35">
      <c r="A1103" s="21"/>
      <c r="B1103" s="13"/>
      <c r="C1103" s="14"/>
      <c r="D1103" s="14"/>
      <c r="E1103" s="13"/>
      <c r="F1103" s="7" t="str">
        <f t="shared" ca="1" si="51"/>
        <v/>
      </c>
      <c r="G1103" s="27" t="str">
        <f t="shared" ca="1" si="52"/>
        <v/>
      </c>
      <c r="H1103" s="13"/>
      <c r="I1103" s="29" t="str">
        <f t="shared" ca="1" si="53"/>
        <v/>
      </c>
    </row>
    <row r="1104" spans="1:9" x14ac:dyDescent="0.35">
      <c r="A1104" s="21"/>
      <c r="B1104" s="13"/>
      <c r="C1104" s="14"/>
      <c r="D1104" s="14"/>
      <c r="E1104" s="13"/>
      <c r="F1104" s="7" t="str">
        <f t="shared" ca="1" si="51"/>
        <v/>
      </c>
      <c r="G1104" s="27" t="str">
        <f t="shared" ca="1" si="52"/>
        <v/>
      </c>
      <c r="H1104" s="13"/>
      <c r="I1104" s="29" t="str">
        <f t="shared" ca="1" si="53"/>
        <v/>
      </c>
    </row>
    <row r="1105" spans="1:9" x14ac:dyDescent="0.35">
      <c r="A1105" s="21"/>
      <c r="B1105" s="13"/>
      <c r="C1105" s="14"/>
      <c r="D1105" s="14"/>
      <c r="E1105" s="13"/>
      <c r="F1105" s="7" t="str">
        <f t="shared" ca="1" si="51"/>
        <v/>
      </c>
      <c r="G1105" s="27" t="str">
        <f t="shared" ca="1" si="52"/>
        <v/>
      </c>
      <c r="H1105" s="13"/>
      <c r="I1105" s="29" t="str">
        <f t="shared" ca="1" si="53"/>
        <v/>
      </c>
    </row>
    <row r="1106" spans="1:9" x14ac:dyDescent="0.35">
      <c r="A1106" s="21"/>
      <c r="B1106" s="13"/>
      <c r="C1106" s="14"/>
      <c r="D1106" s="14"/>
      <c r="E1106" s="13"/>
      <c r="F1106" s="7" t="str">
        <f t="shared" ca="1" si="51"/>
        <v/>
      </c>
      <c r="G1106" s="27" t="str">
        <f t="shared" ca="1" si="52"/>
        <v/>
      </c>
      <c r="H1106" s="13"/>
      <c r="I1106" s="29" t="str">
        <f t="shared" ca="1" si="53"/>
        <v/>
      </c>
    </row>
    <row r="1107" spans="1:9" x14ac:dyDescent="0.35">
      <c r="A1107" s="21"/>
      <c r="B1107" s="13"/>
      <c r="C1107" s="14"/>
      <c r="D1107" s="14"/>
      <c r="E1107" s="13"/>
      <c r="F1107" s="7" t="str">
        <f t="shared" ca="1" si="51"/>
        <v/>
      </c>
      <c r="G1107" s="27" t="str">
        <f t="shared" ca="1" si="52"/>
        <v/>
      </c>
      <c r="H1107" s="13"/>
      <c r="I1107" s="29" t="str">
        <f t="shared" ca="1" si="53"/>
        <v/>
      </c>
    </row>
    <row r="1108" spans="1:9" x14ac:dyDescent="0.35">
      <c r="A1108" s="21"/>
      <c r="B1108" s="13"/>
      <c r="C1108" s="14"/>
      <c r="D1108" s="14"/>
      <c r="E1108" s="13"/>
      <c r="F1108" s="7" t="str">
        <f t="shared" ca="1" si="51"/>
        <v/>
      </c>
      <c r="G1108" s="27" t="str">
        <f t="shared" ca="1" si="52"/>
        <v/>
      </c>
      <c r="H1108" s="13"/>
      <c r="I1108" s="29" t="str">
        <f t="shared" ca="1" si="53"/>
        <v/>
      </c>
    </row>
    <row r="1109" spans="1:9" x14ac:dyDescent="0.35">
      <c r="A1109" s="21"/>
      <c r="B1109" s="13"/>
      <c r="C1109" s="14"/>
      <c r="D1109" s="14"/>
      <c r="E1109" s="13"/>
      <c r="F1109" s="7" t="str">
        <f t="shared" ca="1" si="51"/>
        <v/>
      </c>
      <c r="G1109" s="27" t="str">
        <f t="shared" ca="1" si="52"/>
        <v/>
      </c>
      <c r="H1109" s="13"/>
      <c r="I1109" s="29" t="str">
        <f t="shared" ca="1" si="53"/>
        <v/>
      </c>
    </row>
    <row r="1110" spans="1:9" x14ac:dyDescent="0.35">
      <c r="A1110" s="21"/>
      <c r="B1110" s="13"/>
      <c r="C1110" s="14"/>
      <c r="D1110" s="14"/>
      <c r="E1110" s="13"/>
      <c r="F1110" s="7" t="str">
        <f t="shared" ca="1" si="51"/>
        <v/>
      </c>
      <c r="G1110" s="27" t="str">
        <f t="shared" ca="1" si="52"/>
        <v/>
      </c>
      <c r="H1110" s="13"/>
      <c r="I1110" s="29" t="str">
        <f t="shared" ca="1" si="53"/>
        <v/>
      </c>
    </row>
    <row r="1111" spans="1:9" x14ac:dyDescent="0.35">
      <c r="A1111" s="21"/>
      <c r="B1111" s="13"/>
      <c r="C1111" s="14"/>
      <c r="D1111" s="14"/>
      <c r="E1111" s="13"/>
      <c r="F1111" s="7" t="str">
        <f t="shared" ca="1" si="51"/>
        <v/>
      </c>
      <c r="G1111" s="27" t="str">
        <f t="shared" ca="1" si="52"/>
        <v/>
      </c>
      <c r="H1111" s="13"/>
      <c r="I1111" s="29" t="str">
        <f t="shared" ca="1" si="53"/>
        <v/>
      </c>
    </row>
    <row r="1112" spans="1:9" x14ac:dyDescent="0.35">
      <c r="A1112" s="21"/>
      <c r="B1112" s="13"/>
      <c r="C1112" s="14"/>
      <c r="D1112" s="14"/>
      <c r="E1112" s="13"/>
      <c r="F1112" s="7" t="str">
        <f t="shared" ca="1" si="51"/>
        <v/>
      </c>
      <c r="G1112" s="27" t="str">
        <f t="shared" ca="1" si="52"/>
        <v/>
      </c>
      <c r="H1112" s="13"/>
      <c r="I1112" s="29" t="str">
        <f t="shared" ca="1" si="53"/>
        <v/>
      </c>
    </row>
    <row r="1113" spans="1:9" x14ac:dyDescent="0.35">
      <c r="A1113" s="21"/>
      <c r="B1113" s="13"/>
      <c r="C1113" s="14"/>
      <c r="D1113" s="14"/>
      <c r="E1113" s="13"/>
      <c r="F1113" s="7" t="str">
        <f t="shared" ca="1" si="51"/>
        <v/>
      </c>
      <c r="G1113" s="27" t="str">
        <f t="shared" ca="1" si="52"/>
        <v/>
      </c>
      <c r="H1113" s="13"/>
      <c r="I1113" s="29" t="str">
        <f t="shared" ca="1" si="53"/>
        <v/>
      </c>
    </row>
    <row r="1114" spans="1:9" x14ac:dyDescent="0.35">
      <c r="A1114" s="21"/>
      <c r="B1114" s="13"/>
      <c r="C1114" s="14"/>
      <c r="D1114" s="14"/>
      <c r="E1114" s="13"/>
      <c r="F1114" s="7" t="str">
        <f t="shared" ca="1" si="51"/>
        <v/>
      </c>
      <c r="G1114" s="27" t="str">
        <f t="shared" ca="1" si="52"/>
        <v/>
      </c>
      <c r="H1114" s="13"/>
      <c r="I1114" s="29" t="str">
        <f t="shared" ca="1" si="53"/>
        <v/>
      </c>
    </row>
    <row r="1115" spans="1:9" x14ac:dyDescent="0.35">
      <c r="A1115" s="21"/>
      <c r="B1115" s="13"/>
      <c r="C1115" s="14"/>
      <c r="D1115" s="14"/>
      <c r="E1115" s="13"/>
      <c r="F1115" s="7" t="str">
        <f t="shared" ca="1" si="51"/>
        <v/>
      </c>
      <c r="G1115" s="27" t="str">
        <f t="shared" ca="1" si="52"/>
        <v/>
      </c>
      <c r="H1115" s="13"/>
      <c r="I1115" s="29" t="str">
        <f t="shared" ca="1" si="53"/>
        <v/>
      </c>
    </row>
    <row r="1116" spans="1:9" x14ac:dyDescent="0.35">
      <c r="A1116" s="21"/>
      <c r="B1116" s="13"/>
      <c r="C1116" s="14"/>
      <c r="D1116" s="14"/>
      <c r="E1116" s="13"/>
      <c r="F1116" s="7" t="str">
        <f t="shared" ca="1" si="51"/>
        <v/>
      </c>
      <c r="G1116" s="27" t="str">
        <f t="shared" ca="1" si="52"/>
        <v/>
      </c>
      <c r="H1116" s="13"/>
      <c r="I1116" s="29" t="str">
        <f t="shared" ca="1" si="53"/>
        <v/>
      </c>
    </row>
    <row r="1117" spans="1:9" x14ac:dyDescent="0.35">
      <c r="A1117" s="21"/>
      <c r="B1117" s="13"/>
      <c r="C1117" s="14"/>
      <c r="D1117" s="14"/>
      <c r="E1117" s="13"/>
      <c r="F1117" s="7" t="str">
        <f t="shared" ca="1" si="51"/>
        <v/>
      </c>
      <c r="G1117" s="27" t="str">
        <f t="shared" ca="1" si="52"/>
        <v/>
      </c>
      <c r="H1117" s="13"/>
      <c r="I1117" s="29" t="str">
        <f t="shared" ca="1" si="53"/>
        <v/>
      </c>
    </row>
    <row r="1118" spans="1:9" x14ac:dyDescent="0.35">
      <c r="A1118" s="21"/>
      <c r="B1118" s="13"/>
      <c r="C1118" s="14"/>
      <c r="D1118" s="14"/>
      <c r="E1118" s="13"/>
      <c r="F1118" s="7" t="str">
        <f t="shared" ca="1" si="51"/>
        <v/>
      </c>
      <c r="G1118" s="27" t="str">
        <f t="shared" ca="1" si="52"/>
        <v/>
      </c>
      <c r="H1118" s="13"/>
      <c r="I1118" s="29" t="str">
        <f t="shared" ca="1" si="53"/>
        <v/>
      </c>
    </row>
    <row r="1119" spans="1:9" x14ac:dyDescent="0.35">
      <c r="A1119" s="21"/>
      <c r="B1119" s="13"/>
      <c r="C1119" s="14"/>
      <c r="D1119" s="14"/>
      <c r="E1119" s="13"/>
      <c r="F1119" s="7" t="str">
        <f t="shared" ca="1" si="51"/>
        <v/>
      </c>
      <c r="G1119" s="27" t="str">
        <f t="shared" ca="1" si="52"/>
        <v/>
      </c>
      <c r="H1119" s="13"/>
      <c r="I1119" s="29" t="str">
        <f t="shared" ca="1" si="53"/>
        <v/>
      </c>
    </row>
    <row r="1120" spans="1:9" x14ac:dyDescent="0.35">
      <c r="A1120" s="21"/>
      <c r="B1120" s="13"/>
      <c r="C1120" s="14"/>
      <c r="D1120" s="14"/>
      <c r="E1120" s="13"/>
      <c r="F1120" s="7" t="str">
        <f t="shared" ca="1" si="51"/>
        <v/>
      </c>
      <c r="G1120" s="27" t="str">
        <f t="shared" ca="1" si="52"/>
        <v/>
      </c>
      <c r="H1120" s="13"/>
      <c r="I1120" s="29" t="str">
        <f t="shared" ca="1" si="53"/>
        <v/>
      </c>
    </row>
    <row r="1121" spans="1:9" x14ac:dyDescent="0.35">
      <c r="A1121" s="21"/>
      <c r="B1121" s="13"/>
      <c r="C1121" s="14"/>
      <c r="D1121" s="14"/>
      <c r="E1121" s="13"/>
      <c r="F1121" s="7" t="str">
        <f t="shared" ca="1" si="51"/>
        <v/>
      </c>
      <c r="G1121" s="27" t="str">
        <f t="shared" ca="1" si="52"/>
        <v/>
      </c>
      <c r="H1121" s="13"/>
      <c r="I1121" s="29" t="str">
        <f t="shared" ca="1" si="53"/>
        <v/>
      </c>
    </row>
    <row r="1122" spans="1:9" x14ac:dyDescent="0.35">
      <c r="A1122" s="21"/>
      <c r="B1122" s="13"/>
      <c r="C1122" s="14"/>
      <c r="D1122" s="14"/>
      <c r="E1122" s="13"/>
      <c r="F1122" s="7" t="str">
        <f t="shared" ca="1" si="51"/>
        <v/>
      </c>
      <c r="G1122" s="27" t="str">
        <f t="shared" ca="1" si="52"/>
        <v/>
      </c>
      <c r="H1122" s="13"/>
      <c r="I1122" s="29" t="str">
        <f t="shared" ca="1" si="53"/>
        <v/>
      </c>
    </row>
    <row r="1123" spans="1:9" x14ac:dyDescent="0.35">
      <c r="A1123" s="21"/>
      <c r="B1123" s="13"/>
      <c r="C1123" s="14"/>
      <c r="D1123" s="14"/>
      <c r="E1123" s="13"/>
      <c r="F1123" s="7" t="str">
        <f t="shared" ca="1" si="51"/>
        <v/>
      </c>
      <c r="G1123" s="27" t="str">
        <f t="shared" ca="1" si="52"/>
        <v/>
      </c>
      <c r="H1123" s="13"/>
      <c r="I1123" s="29" t="str">
        <f t="shared" ca="1" si="53"/>
        <v/>
      </c>
    </row>
    <row r="1124" spans="1:9" x14ac:dyDescent="0.35">
      <c r="A1124" s="21"/>
      <c r="B1124" s="13"/>
      <c r="C1124" s="14"/>
      <c r="D1124" s="14"/>
      <c r="E1124" s="13"/>
      <c r="F1124" s="7" t="str">
        <f t="shared" ca="1" si="51"/>
        <v/>
      </c>
      <c r="G1124" s="27" t="str">
        <f t="shared" ca="1" si="52"/>
        <v/>
      </c>
      <c r="H1124" s="13"/>
      <c r="I1124" s="29" t="str">
        <f t="shared" ca="1" si="53"/>
        <v/>
      </c>
    </row>
    <row r="1125" spans="1:9" x14ac:dyDescent="0.35">
      <c r="A1125" s="21"/>
      <c r="B1125" s="13"/>
      <c r="C1125" s="14"/>
      <c r="D1125" s="14"/>
      <c r="E1125" s="13"/>
      <c r="F1125" s="7" t="str">
        <f t="shared" ca="1" si="51"/>
        <v/>
      </c>
      <c r="G1125" s="27" t="str">
        <f t="shared" ca="1" si="52"/>
        <v/>
      </c>
      <c r="H1125" s="13"/>
      <c r="I1125" s="29" t="str">
        <f t="shared" ca="1" si="53"/>
        <v/>
      </c>
    </row>
    <row r="1126" spans="1:9" x14ac:dyDescent="0.35">
      <c r="A1126" s="21"/>
      <c r="B1126" s="13"/>
      <c r="C1126" s="14"/>
      <c r="D1126" s="14"/>
      <c r="E1126" s="13"/>
      <c r="F1126" s="7" t="str">
        <f t="shared" ca="1" si="51"/>
        <v/>
      </c>
      <c r="G1126" s="27" t="str">
        <f t="shared" ca="1" si="52"/>
        <v/>
      </c>
      <c r="H1126" s="13"/>
      <c r="I1126" s="29" t="str">
        <f t="shared" ca="1" si="53"/>
        <v/>
      </c>
    </row>
    <row r="1127" spans="1:9" x14ac:dyDescent="0.35">
      <c r="A1127" s="21"/>
      <c r="B1127" s="13"/>
      <c r="C1127" s="14"/>
      <c r="D1127" s="14"/>
      <c r="E1127" s="13"/>
      <c r="F1127" s="7" t="str">
        <f t="shared" ca="1" si="51"/>
        <v/>
      </c>
      <c r="G1127" s="27" t="str">
        <f t="shared" ca="1" si="52"/>
        <v/>
      </c>
      <c r="H1127" s="13"/>
      <c r="I1127" s="29" t="str">
        <f t="shared" ca="1" si="53"/>
        <v/>
      </c>
    </row>
    <row r="1128" spans="1:9" x14ac:dyDescent="0.35">
      <c r="A1128" s="21"/>
      <c r="B1128" s="13"/>
      <c r="C1128" s="14"/>
      <c r="D1128" s="14"/>
      <c r="E1128" s="13"/>
      <c r="F1128" s="7" t="str">
        <f t="shared" ca="1" si="51"/>
        <v/>
      </c>
      <c r="G1128" s="27" t="str">
        <f t="shared" ca="1" si="52"/>
        <v/>
      </c>
      <c r="H1128" s="13"/>
      <c r="I1128" s="29" t="str">
        <f t="shared" ca="1" si="53"/>
        <v/>
      </c>
    </row>
    <row r="1129" spans="1:9" x14ac:dyDescent="0.35">
      <c r="A1129" s="21"/>
      <c r="B1129" s="13"/>
      <c r="C1129" s="14"/>
      <c r="D1129" s="14"/>
      <c r="E1129" s="13"/>
      <c r="F1129" s="7" t="str">
        <f t="shared" ca="1" si="51"/>
        <v/>
      </c>
      <c r="G1129" s="27" t="str">
        <f t="shared" ca="1" si="52"/>
        <v/>
      </c>
      <c r="H1129" s="13"/>
      <c r="I1129" s="29" t="str">
        <f t="shared" ca="1" si="53"/>
        <v/>
      </c>
    </row>
    <row r="1130" spans="1:9" x14ac:dyDescent="0.35">
      <c r="A1130" s="21"/>
      <c r="B1130" s="13"/>
      <c r="C1130" s="14"/>
      <c r="D1130" s="14"/>
      <c r="E1130" s="13"/>
      <c r="F1130" s="7" t="str">
        <f t="shared" ca="1" si="51"/>
        <v/>
      </c>
      <c r="G1130" s="27" t="str">
        <f t="shared" ca="1" si="52"/>
        <v/>
      </c>
      <c r="H1130" s="13"/>
      <c r="I1130" s="29" t="str">
        <f t="shared" ca="1" si="53"/>
        <v/>
      </c>
    </row>
    <row r="1131" spans="1:9" x14ac:dyDescent="0.35">
      <c r="A1131" s="21"/>
      <c r="B1131" s="13"/>
      <c r="C1131" s="14"/>
      <c r="D1131" s="14"/>
      <c r="E1131" s="13"/>
      <c r="F1131" s="7" t="str">
        <f t="shared" ca="1" si="51"/>
        <v/>
      </c>
      <c r="G1131" s="27" t="str">
        <f t="shared" ca="1" si="52"/>
        <v/>
      </c>
      <c r="H1131" s="13"/>
      <c r="I1131" s="29" t="str">
        <f t="shared" ca="1" si="53"/>
        <v/>
      </c>
    </row>
    <row r="1132" spans="1:9" x14ac:dyDescent="0.35">
      <c r="A1132" s="21"/>
      <c r="B1132" s="13"/>
      <c r="C1132" s="14"/>
      <c r="D1132" s="14"/>
      <c r="E1132" s="13"/>
      <c r="F1132" s="7" t="str">
        <f t="shared" ca="1" si="51"/>
        <v/>
      </c>
      <c r="G1132" s="27" t="str">
        <f t="shared" ca="1" si="52"/>
        <v/>
      </c>
      <c r="H1132" s="13"/>
      <c r="I1132" s="29" t="str">
        <f t="shared" ca="1" si="53"/>
        <v/>
      </c>
    </row>
    <row r="1133" spans="1:9" x14ac:dyDescent="0.35">
      <c r="A1133" s="21"/>
      <c r="B1133" s="13"/>
      <c r="C1133" s="14"/>
      <c r="D1133" s="14"/>
      <c r="E1133" s="13"/>
      <c r="F1133" s="7" t="str">
        <f t="shared" ca="1" si="51"/>
        <v/>
      </c>
      <c r="G1133" s="27" t="str">
        <f t="shared" ca="1" si="52"/>
        <v/>
      </c>
      <c r="H1133" s="13"/>
      <c r="I1133" s="29" t="str">
        <f t="shared" ca="1" si="53"/>
        <v/>
      </c>
    </row>
    <row r="1134" spans="1:9" x14ac:dyDescent="0.35">
      <c r="A1134" s="21"/>
      <c r="B1134" s="13"/>
      <c r="C1134" s="14"/>
      <c r="D1134" s="14"/>
      <c r="E1134" s="13"/>
      <c r="F1134" s="7" t="str">
        <f t="shared" ca="1" si="51"/>
        <v/>
      </c>
      <c r="G1134" s="27" t="str">
        <f t="shared" ca="1" si="52"/>
        <v/>
      </c>
      <c r="H1134" s="13"/>
      <c r="I1134" s="29" t="str">
        <f t="shared" ca="1" si="53"/>
        <v/>
      </c>
    </row>
    <row r="1135" spans="1:9" x14ac:dyDescent="0.35">
      <c r="A1135" s="21"/>
      <c r="B1135" s="13"/>
      <c r="C1135" s="14"/>
      <c r="D1135" s="14"/>
      <c r="E1135" s="13"/>
      <c r="F1135" s="7" t="str">
        <f t="shared" ca="1" si="51"/>
        <v/>
      </c>
      <c r="G1135" s="27" t="str">
        <f t="shared" ca="1" si="52"/>
        <v/>
      </c>
      <c r="H1135" s="13"/>
      <c r="I1135" s="29" t="str">
        <f t="shared" ca="1" si="53"/>
        <v/>
      </c>
    </row>
    <row r="1136" spans="1:9" x14ac:dyDescent="0.35">
      <c r="A1136" s="21"/>
      <c r="B1136" s="13"/>
      <c r="C1136" s="14"/>
      <c r="D1136" s="14"/>
      <c r="E1136" s="13"/>
      <c r="F1136" s="7" t="str">
        <f t="shared" ca="1" si="51"/>
        <v/>
      </c>
      <c r="G1136" s="27" t="str">
        <f t="shared" ca="1" si="52"/>
        <v/>
      </c>
      <c r="H1136" s="13"/>
      <c r="I1136" s="29" t="str">
        <f t="shared" ca="1" si="53"/>
        <v/>
      </c>
    </row>
    <row r="1137" spans="1:9" x14ac:dyDescent="0.35">
      <c r="A1137" s="21"/>
      <c r="B1137" s="13"/>
      <c r="C1137" s="14"/>
      <c r="D1137" s="14"/>
      <c r="E1137" s="13"/>
      <c r="F1137" s="7" t="str">
        <f t="shared" ca="1" si="51"/>
        <v/>
      </c>
      <c r="G1137" s="27" t="str">
        <f t="shared" ca="1" si="52"/>
        <v/>
      </c>
      <c r="H1137" s="13"/>
      <c r="I1137" s="29" t="str">
        <f t="shared" ca="1" si="53"/>
        <v/>
      </c>
    </row>
    <row r="1138" spans="1:9" x14ac:dyDescent="0.35">
      <c r="A1138" s="21"/>
      <c r="B1138" s="13"/>
      <c r="C1138" s="14"/>
      <c r="D1138" s="14"/>
      <c r="E1138" s="13"/>
      <c r="F1138" s="7" t="str">
        <f t="shared" ca="1" si="51"/>
        <v/>
      </c>
      <c r="G1138" s="27" t="str">
        <f t="shared" ca="1" si="52"/>
        <v/>
      </c>
      <c r="H1138" s="13"/>
      <c r="I1138" s="29" t="str">
        <f t="shared" ca="1" si="53"/>
        <v/>
      </c>
    </row>
    <row r="1139" spans="1:9" x14ac:dyDescent="0.35">
      <c r="A1139" s="21"/>
      <c r="B1139" s="13"/>
      <c r="C1139" s="14"/>
      <c r="D1139" s="14"/>
      <c r="E1139" s="13"/>
      <c r="F1139" s="7" t="str">
        <f t="shared" ca="1" si="51"/>
        <v/>
      </c>
      <c r="G1139" s="27" t="str">
        <f t="shared" ca="1" si="52"/>
        <v/>
      </c>
      <c r="H1139" s="13"/>
      <c r="I1139" s="29" t="str">
        <f t="shared" ca="1" si="53"/>
        <v/>
      </c>
    </row>
    <row r="1140" spans="1:9" x14ac:dyDescent="0.35">
      <c r="A1140" s="21"/>
      <c r="B1140" s="13"/>
      <c r="C1140" s="14"/>
      <c r="D1140" s="14"/>
      <c r="E1140" s="13"/>
      <c r="F1140" s="7" t="str">
        <f t="shared" ca="1" si="51"/>
        <v/>
      </c>
      <c r="G1140" s="27" t="str">
        <f t="shared" ca="1" si="52"/>
        <v/>
      </c>
      <c r="H1140" s="13"/>
      <c r="I1140" s="29" t="str">
        <f t="shared" ca="1" si="53"/>
        <v/>
      </c>
    </row>
    <row r="1141" spans="1:9" x14ac:dyDescent="0.35">
      <c r="A1141" s="21"/>
      <c r="B1141" s="13"/>
      <c r="C1141" s="14"/>
      <c r="D1141" s="14"/>
      <c r="E1141" s="13"/>
      <c r="F1141" s="7" t="str">
        <f t="shared" ca="1" si="51"/>
        <v/>
      </c>
      <c r="G1141" s="27" t="str">
        <f t="shared" ca="1" si="52"/>
        <v/>
      </c>
      <c r="H1141" s="13"/>
      <c r="I1141" s="29" t="str">
        <f t="shared" ca="1" si="53"/>
        <v/>
      </c>
    </row>
    <row r="1142" spans="1:9" x14ac:dyDescent="0.35">
      <c r="A1142" s="21"/>
      <c r="B1142" s="13"/>
      <c r="C1142" s="14"/>
      <c r="D1142" s="14"/>
      <c r="E1142" s="13"/>
      <c r="F1142" s="7" t="str">
        <f t="shared" ca="1" si="51"/>
        <v/>
      </c>
      <c r="G1142" s="27" t="str">
        <f t="shared" ca="1" si="52"/>
        <v/>
      </c>
      <c r="H1142" s="13"/>
      <c r="I1142" s="29" t="str">
        <f t="shared" ca="1" si="53"/>
        <v/>
      </c>
    </row>
    <row r="1143" spans="1:9" x14ac:dyDescent="0.35">
      <c r="A1143" s="21"/>
      <c r="B1143" s="13"/>
      <c r="C1143" s="14"/>
      <c r="D1143" s="14"/>
      <c r="E1143" s="13"/>
      <c r="F1143" s="7" t="str">
        <f t="shared" ca="1" si="51"/>
        <v/>
      </c>
      <c r="G1143" s="27" t="str">
        <f t="shared" ca="1" si="52"/>
        <v/>
      </c>
      <c r="H1143" s="13"/>
      <c r="I1143" s="29" t="str">
        <f t="shared" ca="1" si="53"/>
        <v/>
      </c>
    </row>
    <row r="1144" spans="1:9" x14ac:dyDescent="0.35">
      <c r="A1144" s="21"/>
      <c r="B1144" s="13"/>
      <c r="C1144" s="14"/>
      <c r="D1144" s="14"/>
      <c r="E1144" s="13"/>
      <c r="F1144" s="7" t="str">
        <f t="shared" ca="1" si="51"/>
        <v/>
      </c>
      <c r="G1144" s="27" t="str">
        <f t="shared" ca="1" si="52"/>
        <v/>
      </c>
      <c r="H1144" s="13"/>
      <c r="I1144" s="29" t="str">
        <f t="shared" ca="1" si="53"/>
        <v/>
      </c>
    </row>
    <row r="1145" spans="1:9" x14ac:dyDescent="0.35">
      <c r="A1145" s="21"/>
      <c r="B1145" s="13"/>
      <c r="C1145" s="14"/>
      <c r="D1145" s="14"/>
      <c r="E1145" s="13"/>
      <c r="F1145" s="7" t="str">
        <f t="shared" ca="1" si="51"/>
        <v/>
      </c>
      <c r="G1145" s="27" t="str">
        <f t="shared" ca="1" si="52"/>
        <v/>
      </c>
      <c r="H1145" s="13"/>
      <c r="I1145" s="29" t="str">
        <f t="shared" ca="1" si="53"/>
        <v/>
      </c>
    </row>
    <row r="1146" spans="1:9" x14ac:dyDescent="0.35">
      <c r="A1146" s="21"/>
      <c r="B1146" s="13"/>
      <c r="C1146" s="14"/>
      <c r="D1146" s="14"/>
      <c r="E1146" s="13"/>
      <c r="F1146" s="7" t="str">
        <f t="shared" ca="1" si="51"/>
        <v/>
      </c>
      <c r="G1146" s="27" t="str">
        <f t="shared" ca="1" si="52"/>
        <v/>
      </c>
      <c r="H1146" s="13"/>
      <c r="I1146" s="29" t="str">
        <f t="shared" ca="1" si="53"/>
        <v/>
      </c>
    </row>
    <row r="1147" spans="1:9" x14ac:dyDescent="0.35">
      <c r="A1147" s="21"/>
      <c r="B1147" s="13"/>
      <c r="C1147" s="14"/>
      <c r="D1147" s="14"/>
      <c r="E1147" s="13"/>
      <c r="F1147" s="7" t="str">
        <f t="shared" ca="1" si="51"/>
        <v/>
      </c>
      <c r="G1147" s="27" t="str">
        <f t="shared" ca="1" si="52"/>
        <v/>
      </c>
      <c r="H1147" s="13"/>
      <c r="I1147" s="29" t="str">
        <f t="shared" ca="1" si="53"/>
        <v/>
      </c>
    </row>
    <row r="1148" spans="1:9" x14ac:dyDescent="0.35">
      <c r="A1148" s="21"/>
      <c r="B1148" s="13"/>
      <c r="C1148" s="14"/>
      <c r="D1148" s="14"/>
      <c r="E1148" s="13"/>
      <c r="F1148" s="7" t="str">
        <f t="shared" ca="1" si="51"/>
        <v/>
      </c>
      <c r="G1148" s="27" t="str">
        <f t="shared" ca="1" si="52"/>
        <v/>
      </c>
      <c r="H1148" s="13"/>
      <c r="I1148" s="29" t="str">
        <f t="shared" ca="1" si="53"/>
        <v/>
      </c>
    </row>
    <row r="1149" spans="1:9" x14ac:dyDescent="0.35">
      <c r="A1149" s="21"/>
      <c r="B1149" s="13"/>
      <c r="C1149" s="14"/>
      <c r="D1149" s="14"/>
      <c r="E1149" s="13"/>
      <c r="F1149" s="7" t="str">
        <f t="shared" ca="1" si="51"/>
        <v/>
      </c>
      <c r="G1149" s="27" t="str">
        <f t="shared" ca="1" si="52"/>
        <v/>
      </c>
      <c r="H1149" s="13"/>
      <c r="I1149" s="29" t="str">
        <f t="shared" ca="1" si="53"/>
        <v/>
      </c>
    </row>
    <row r="1150" spans="1:9" x14ac:dyDescent="0.35">
      <c r="A1150" s="21"/>
      <c r="B1150" s="13"/>
      <c r="C1150" s="14"/>
      <c r="D1150" s="14"/>
      <c r="E1150" s="13"/>
      <c r="F1150" s="7" t="str">
        <f t="shared" ca="1" si="51"/>
        <v/>
      </c>
      <c r="G1150" s="27" t="str">
        <f t="shared" ca="1" si="52"/>
        <v/>
      </c>
      <c r="H1150" s="13"/>
      <c r="I1150" s="29" t="str">
        <f t="shared" ca="1" si="53"/>
        <v/>
      </c>
    </row>
    <row r="1151" spans="1:9" x14ac:dyDescent="0.35">
      <c r="A1151" s="21"/>
      <c r="B1151" s="13"/>
      <c r="C1151" s="14"/>
      <c r="D1151" s="14"/>
      <c r="E1151" s="13"/>
      <c r="F1151" s="7" t="str">
        <f t="shared" ca="1" si="51"/>
        <v/>
      </c>
      <c r="G1151" s="27" t="str">
        <f t="shared" ca="1" si="52"/>
        <v/>
      </c>
      <c r="H1151" s="13"/>
      <c r="I1151" s="29" t="str">
        <f t="shared" ca="1" si="53"/>
        <v/>
      </c>
    </row>
    <row r="1152" spans="1:9" x14ac:dyDescent="0.35">
      <c r="A1152" s="21"/>
      <c r="B1152" s="13"/>
      <c r="C1152" s="14"/>
      <c r="D1152" s="14"/>
      <c r="E1152" s="13"/>
      <c r="F1152" s="7" t="str">
        <f t="shared" ca="1" si="51"/>
        <v/>
      </c>
      <c r="G1152" s="27" t="str">
        <f t="shared" ca="1" si="52"/>
        <v/>
      </c>
      <c r="H1152" s="13"/>
      <c r="I1152" s="29" t="str">
        <f t="shared" ca="1" si="53"/>
        <v/>
      </c>
    </row>
    <row r="1153" spans="1:9" x14ac:dyDescent="0.35">
      <c r="A1153" s="21"/>
      <c r="B1153" s="13"/>
      <c r="C1153" s="14"/>
      <c r="D1153" s="14"/>
      <c r="E1153" s="13"/>
      <c r="F1153" s="7" t="str">
        <f t="shared" ca="1" si="51"/>
        <v/>
      </c>
      <c r="G1153" s="27" t="str">
        <f t="shared" ca="1" si="52"/>
        <v/>
      </c>
      <c r="H1153" s="13"/>
      <c r="I1153" s="29" t="str">
        <f t="shared" ca="1" si="53"/>
        <v/>
      </c>
    </row>
    <row r="1154" spans="1:9" x14ac:dyDescent="0.35">
      <c r="A1154" s="21"/>
      <c r="B1154" s="13"/>
      <c r="C1154" s="14"/>
      <c r="D1154" s="14"/>
      <c r="E1154" s="13"/>
      <c r="F1154" s="7" t="str">
        <f t="shared" ca="1" si="51"/>
        <v/>
      </c>
      <c r="G1154" s="27" t="str">
        <f t="shared" ca="1" si="52"/>
        <v/>
      </c>
      <c r="H1154" s="13"/>
      <c r="I1154" s="29" t="str">
        <f t="shared" ca="1" si="53"/>
        <v/>
      </c>
    </row>
    <row r="1155" spans="1:9" x14ac:dyDescent="0.35">
      <c r="A1155" s="21"/>
      <c r="B1155" s="13"/>
      <c r="C1155" s="14"/>
      <c r="D1155" s="14"/>
      <c r="E1155" s="13"/>
      <c r="F1155" s="7" t="str">
        <f t="shared" ca="1" si="51"/>
        <v/>
      </c>
      <c r="G1155" s="27" t="str">
        <f t="shared" ca="1" si="52"/>
        <v/>
      </c>
      <c r="H1155" s="13"/>
      <c r="I1155" s="29" t="str">
        <f t="shared" ca="1" si="53"/>
        <v/>
      </c>
    </row>
    <row r="1156" spans="1:9" x14ac:dyDescent="0.35">
      <c r="A1156" s="21"/>
      <c r="B1156" s="13"/>
      <c r="C1156" s="14"/>
      <c r="D1156" s="14"/>
      <c r="E1156" s="13"/>
      <c r="F1156" s="7" t="str">
        <f t="shared" ca="1" si="51"/>
        <v/>
      </c>
      <c r="G1156" s="27" t="str">
        <f t="shared" ca="1" si="52"/>
        <v/>
      </c>
      <c r="H1156" s="13"/>
      <c r="I1156" s="29" t="str">
        <f t="shared" ca="1" si="53"/>
        <v/>
      </c>
    </row>
    <row r="1157" spans="1:9" x14ac:dyDescent="0.35">
      <c r="A1157" s="21"/>
      <c r="B1157" s="13"/>
      <c r="C1157" s="14"/>
      <c r="D1157" s="14"/>
      <c r="E1157" s="13"/>
      <c r="F1157" s="7" t="str">
        <f t="shared" ref="F1157:F1220" ca="1" si="54">IF($B1157="","",IF($D1157&lt;&gt;"","Fait",IF($C1157="","Non planifié",IF(N($C1157)&lt;TODAY(),"En retard","À venir"))))</f>
        <v/>
      </c>
      <c r="G1157" s="27" t="str">
        <f t="shared" ref="G1157:G1220" ca="1" si="55">IF($B1157="","",IF(AND($C1157&lt;&gt;"",$D1157&lt;&gt;""),$D1157-$C1157,IF($F1157="En retard",TODAY()-$C1157,"")))</f>
        <v/>
      </c>
      <c r="H1157" s="13"/>
      <c r="I1157" s="29" t="str">
        <f t="shared" ref="I1157:I1220" ca="1" si="56">IF($F1157="En retard",1,"")</f>
        <v/>
      </c>
    </row>
    <row r="1158" spans="1:9" x14ac:dyDescent="0.35">
      <c r="A1158" s="21"/>
      <c r="B1158" s="13"/>
      <c r="C1158" s="14"/>
      <c r="D1158" s="14"/>
      <c r="E1158" s="13"/>
      <c r="F1158" s="7" t="str">
        <f t="shared" ca="1" si="54"/>
        <v/>
      </c>
      <c r="G1158" s="27" t="str">
        <f t="shared" ca="1" si="55"/>
        <v/>
      </c>
      <c r="H1158" s="13"/>
      <c r="I1158" s="29" t="str">
        <f t="shared" ca="1" si="56"/>
        <v/>
      </c>
    </row>
    <row r="1159" spans="1:9" x14ac:dyDescent="0.35">
      <c r="A1159" s="21"/>
      <c r="B1159" s="13"/>
      <c r="C1159" s="14"/>
      <c r="D1159" s="14"/>
      <c r="E1159" s="13"/>
      <c r="F1159" s="7" t="str">
        <f t="shared" ca="1" si="54"/>
        <v/>
      </c>
      <c r="G1159" s="27" t="str">
        <f t="shared" ca="1" si="55"/>
        <v/>
      </c>
      <c r="H1159" s="13"/>
      <c r="I1159" s="29" t="str">
        <f t="shared" ca="1" si="56"/>
        <v/>
      </c>
    </row>
    <row r="1160" spans="1:9" x14ac:dyDescent="0.35">
      <c r="A1160" s="21"/>
      <c r="B1160" s="13"/>
      <c r="C1160" s="14"/>
      <c r="D1160" s="14"/>
      <c r="E1160" s="13"/>
      <c r="F1160" s="7" t="str">
        <f t="shared" ca="1" si="54"/>
        <v/>
      </c>
      <c r="G1160" s="27" t="str">
        <f t="shared" ca="1" si="55"/>
        <v/>
      </c>
      <c r="H1160" s="13"/>
      <c r="I1160" s="29" t="str">
        <f t="shared" ca="1" si="56"/>
        <v/>
      </c>
    </row>
    <row r="1161" spans="1:9" x14ac:dyDescent="0.35">
      <c r="A1161" s="21"/>
      <c r="B1161" s="13"/>
      <c r="C1161" s="14"/>
      <c r="D1161" s="14"/>
      <c r="E1161" s="13"/>
      <c r="F1161" s="7" t="str">
        <f t="shared" ca="1" si="54"/>
        <v/>
      </c>
      <c r="G1161" s="27" t="str">
        <f t="shared" ca="1" si="55"/>
        <v/>
      </c>
      <c r="H1161" s="13"/>
      <c r="I1161" s="29" t="str">
        <f t="shared" ca="1" si="56"/>
        <v/>
      </c>
    </row>
    <row r="1162" spans="1:9" x14ac:dyDescent="0.35">
      <c r="A1162" s="21"/>
      <c r="B1162" s="13"/>
      <c r="C1162" s="14"/>
      <c r="D1162" s="14"/>
      <c r="E1162" s="13"/>
      <c r="F1162" s="7" t="str">
        <f t="shared" ca="1" si="54"/>
        <v/>
      </c>
      <c r="G1162" s="27" t="str">
        <f t="shared" ca="1" si="55"/>
        <v/>
      </c>
      <c r="H1162" s="13"/>
      <c r="I1162" s="29" t="str">
        <f t="shared" ca="1" si="56"/>
        <v/>
      </c>
    </row>
    <row r="1163" spans="1:9" x14ac:dyDescent="0.35">
      <c r="A1163" s="21"/>
      <c r="B1163" s="13"/>
      <c r="C1163" s="14"/>
      <c r="D1163" s="14"/>
      <c r="E1163" s="13"/>
      <c r="F1163" s="7" t="str">
        <f t="shared" ca="1" si="54"/>
        <v/>
      </c>
      <c r="G1163" s="27" t="str">
        <f t="shared" ca="1" si="55"/>
        <v/>
      </c>
      <c r="H1163" s="13"/>
      <c r="I1163" s="29" t="str">
        <f t="shared" ca="1" si="56"/>
        <v/>
      </c>
    </row>
    <row r="1164" spans="1:9" x14ac:dyDescent="0.35">
      <c r="A1164" s="21"/>
      <c r="B1164" s="13"/>
      <c r="C1164" s="14"/>
      <c r="D1164" s="14"/>
      <c r="E1164" s="13"/>
      <c r="F1164" s="7" t="str">
        <f t="shared" ca="1" si="54"/>
        <v/>
      </c>
      <c r="G1164" s="27" t="str">
        <f t="shared" ca="1" si="55"/>
        <v/>
      </c>
      <c r="H1164" s="13"/>
      <c r="I1164" s="29" t="str">
        <f t="shared" ca="1" si="56"/>
        <v/>
      </c>
    </row>
    <row r="1165" spans="1:9" x14ac:dyDescent="0.35">
      <c r="A1165" s="21"/>
      <c r="B1165" s="13"/>
      <c r="C1165" s="14"/>
      <c r="D1165" s="14"/>
      <c r="E1165" s="13"/>
      <c r="F1165" s="7" t="str">
        <f t="shared" ca="1" si="54"/>
        <v/>
      </c>
      <c r="G1165" s="27" t="str">
        <f t="shared" ca="1" si="55"/>
        <v/>
      </c>
      <c r="H1165" s="13"/>
      <c r="I1165" s="29" t="str">
        <f t="shared" ca="1" si="56"/>
        <v/>
      </c>
    </row>
    <row r="1166" spans="1:9" x14ac:dyDescent="0.35">
      <c r="A1166" s="21"/>
      <c r="B1166" s="13"/>
      <c r="C1166" s="14"/>
      <c r="D1166" s="14"/>
      <c r="E1166" s="13"/>
      <c r="F1166" s="7" t="str">
        <f t="shared" ca="1" si="54"/>
        <v/>
      </c>
      <c r="G1166" s="27" t="str">
        <f t="shared" ca="1" si="55"/>
        <v/>
      </c>
      <c r="H1166" s="13"/>
      <c r="I1166" s="29" t="str">
        <f t="shared" ca="1" si="56"/>
        <v/>
      </c>
    </row>
    <row r="1167" spans="1:9" x14ac:dyDescent="0.35">
      <c r="A1167" s="21"/>
      <c r="B1167" s="13"/>
      <c r="C1167" s="14"/>
      <c r="D1167" s="14"/>
      <c r="E1167" s="13"/>
      <c r="F1167" s="7" t="str">
        <f t="shared" ca="1" si="54"/>
        <v/>
      </c>
      <c r="G1167" s="27" t="str">
        <f t="shared" ca="1" si="55"/>
        <v/>
      </c>
      <c r="H1167" s="13"/>
      <c r="I1167" s="29" t="str">
        <f t="shared" ca="1" si="56"/>
        <v/>
      </c>
    </row>
    <row r="1168" spans="1:9" x14ac:dyDescent="0.35">
      <c r="A1168" s="21"/>
      <c r="B1168" s="13"/>
      <c r="C1168" s="14"/>
      <c r="D1168" s="14"/>
      <c r="E1168" s="13"/>
      <c r="F1168" s="7" t="str">
        <f t="shared" ca="1" si="54"/>
        <v/>
      </c>
      <c r="G1168" s="27" t="str">
        <f t="shared" ca="1" si="55"/>
        <v/>
      </c>
      <c r="H1168" s="13"/>
      <c r="I1168" s="29" t="str">
        <f t="shared" ca="1" si="56"/>
        <v/>
      </c>
    </row>
    <row r="1169" spans="1:9" x14ac:dyDescent="0.35">
      <c r="A1169" s="21"/>
      <c r="B1169" s="13"/>
      <c r="C1169" s="14"/>
      <c r="D1169" s="14"/>
      <c r="E1169" s="13"/>
      <c r="F1169" s="7" t="str">
        <f t="shared" ca="1" si="54"/>
        <v/>
      </c>
      <c r="G1169" s="27" t="str">
        <f t="shared" ca="1" si="55"/>
        <v/>
      </c>
      <c r="H1169" s="13"/>
      <c r="I1169" s="29" t="str">
        <f t="shared" ca="1" si="56"/>
        <v/>
      </c>
    </row>
    <row r="1170" spans="1:9" x14ac:dyDescent="0.35">
      <c r="A1170" s="21"/>
      <c r="B1170" s="13"/>
      <c r="C1170" s="14"/>
      <c r="D1170" s="14"/>
      <c r="E1170" s="13"/>
      <c r="F1170" s="7" t="str">
        <f t="shared" ca="1" si="54"/>
        <v/>
      </c>
      <c r="G1170" s="27" t="str">
        <f t="shared" ca="1" si="55"/>
        <v/>
      </c>
      <c r="H1170" s="13"/>
      <c r="I1170" s="29" t="str">
        <f t="shared" ca="1" si="56"/>
        <v/>
      </c>
    </row>
    <row r="1171" spans="1:9" x14ac:dyDescent="0.35">
      <c r="A1171" s="21"/>
      <c r="B1171" s="13"/>
      <c r="C1171" s="14"/>
      <c r="D1171" s="14"/>
      <c r="E1171" s="13"/>
      <c r="F1171" s="7" t="str">
        <f t="shared" ca="1" si="54"/>
        <v/>
      </c>
      <c r="G1171" s="27" t="str">
        <f t="shared" ca="1" si="55"/>
        <v/>
      </c>
      <c r="H1171" s="13"/>
      <c r="I1171" s="29" t="str">
        <f t="shared" ca="1" si="56"/>
        <v/>
      </c>
    </row>
    <row r="1172" spans="1:9" x14ac:dyDescent="0.35">
      <c r="A1172" s="21"/>
      <c r="B1172" s="13"/>
      <c r="C1172" s="14"/>
      <c r="D1172" s="14"/>
      <c r="E1172" s="13"/>
      <c r="F1172" s="7" t="str">
        <f t="shared" ca="1" si="54"/>
        <v/>
      </c>
      <c r="G1172" s="27" t="str">
        <f t="shared" ca="1" si="55"/>
        <v/>
      </c>
      <c r="H1172" s="13"/>
      <c r="I1172" s="29" t="str">
        <f t="shared" ca="1" si="56"/>
        <v/>
      </c>
    </row>
    <row r="1173" spans="1:9" x14ac:dyDescent="0.35">
      <c r="A1173" s="21"/>
      <c r="B1173" s="13"/>
      <c r="C1173" s="14"/>
      <c r="D1173" s="14"/>
      <c r="E1173" s="13"/>
      <c r="F1173" s="7" t="str">
        <f t="shared" ca="1" si="54"/>
        <v/>
      </c>
      <c r="G1173" s="27" t="str">
        <f t="shared" ca="1" si="55"/>
        <v/>
      </c>
      <c r="H1173" s="13"/>
      <c r="I1173" s="29" t="str">
        <f t="shared" ca="1" si="56"/>
        <v/>
      </c>
    </row>
    <row r="1174" spans="1:9" x14ac:dyDescent="0.35">
      <c r="A1174" s="21"/>
      <c r="B1174" s="13"/>
      <c r="C1174" s="14"/>
      <c r="D1174" s="14"/>
      <c r="E1174" s="13"/>
      <c r="F1174" s="7" t="str">
        <f t="shared" ca="1" si="54"/>
        <v/>
      </c>
      <c r="G1174" s="27" t="str">
        <f t="shared" ca="1" si="55"/>
        <v/>
      </c>
      <c r="H1174" s="13"/>
      <c r="I1174" s="29" t="str">
        <f t="shared" ca="1" si="56"/>
        <v/>
      </c>
    </row>
    <row r="1175" spans="1:9" x14ac:dyDescent="0.35">
      <c r="A1175" s="21"/>
      <c r="B1175" s="13"/>
      <c r="C1175" s="14"/>
      <c r="D1175" s="14"/>
      <c r="E1175" s="13"/>
      <c r="F1175" s="7" t="str">
        <f t="shared" ca="1" si="54"/>
        <v/>
      </c>
      <c r="G1175" s="27" t="str">
        <f t="shared" ca="1" si="55"/>
        <v/>
      </c>
      <c r="H1175" s="13"/>
      <c r="I1175" s="29" t="str">
        <f t="shared" ca="1" si="56"/>
        <v/>
      </c>
    </row>
    <row r="1176" spans="1:9" x14ac:dyDescent="0.35">
      <c r="A1176" s="21"/>
      <c r="B1176" s="13"/>
      <c r="C1176" s="14"/>
      <c r="D1176" s="14"/>
      <c r="E1176" s="13"/>
      <c r="F1176" s="7" t="str">
        <f t="shared" ca="1" si="54"/>
        <v/>
      </c>
      <c r="G1176" s="27" t="str">
        <f t="shared" ca="1" si="55"/>
        <v/>
      </c>
      <c r="H1176" s="13"/>
      <c r="I1176" s="29" t="str">
        <f t="shared" ca="1" si="56"/>
        <v/>
      </c>
    </row>
    <row r="1177" spans="1:9" x14ac:dyDescent="0.35">
      <c r="A1177" s="21"/>
      <c r="B1177" s="13"/>
      <c r="C1177" s="14"/>
      <c r="D1177" s="14"/>
      <c r="E1177" s="13"/>
      <c r="F1177" s="7" t="str">
        <f t="shared" ca="1" si="54"/>
        <v/>
      </c>
      <c r="G1177" s="27" t="str">
        <f t="shared" ca="1" si="55"/>
        <v/>
      </c>
      <c r="H1177" s="13"/>
      <c r="I1177" s="29" t="str">
        <f t="shared" ca="1" si="56"/>
        <v/>
      </c>
    </row>
    <row r="1178" spans="1:9" x14ac:dyDescent="0.35">
      <c r="A1178" s="21"/>
      <c r="B1178" s="13"/>
      <c r="C1178" s="14"/>
      <c r="D1178" s="14"/>
      <c r="E1178" s="13"/>
      <c r="F1178" s="7" t="str">
        <f t="shared" ca="1" si="54"/>
        <v/>
      </c>
      <c r="G1178" s="27" t="str">
        <f t="shared" ca="1" si="55"/>
        <v/>
      </c>
      <c r="H1178" s="13"/>
      <c r="I1178" s="29" t="str">
        <f t="shared" ca="1" si="56"/>
        <v/>
      </c>
    </row>
    <row r="1179" spans="1:9" x14ac:dyDescent="0.35">
      <c r="A1179" s="21"/>
      <c r="B1179" s="13"/>
      <c r="C1179" s="14"/>
      <c r="D1179" s="14"/>
      <c r="E1179" s="13"/>
      <c r="F1179" s="7" t="str">
        <f t="shared" ca="1" si="54"/>
        <v/>
      </c>
      <c r="G1179" s="27" t="str">
        <f t="shared" ca="1" si="55"/>
        <v/>
      </c>
      <c r="H1179" s="13"/>
      <c r="I1179" s="29" t="str">
        <f t="shared" ca="1" si="56"/>
        <v/>
      </c>
    </row>
    <row r="1180" spans="1:9" x14ac:dyDescent="0.35">
      <c r="A1180" s="21"/>
      <c r="B1180" s="13"/>
      <c r="C1180" s="14"/>
      <c r="D1180" s="14"/>
      <c r="E1180" s="13"/>
      <c r="F1180" s="7" t="str">
        <f t="shared" ca="1" si="54"/>
        <v/>
      </c>
      <c r="G1180" s="27" t="str">
        <f t="shared" ca="1" si="55"/>
        <v/>
      </c>
      <c r="H1180" s="13"/>
      <c r="I1180" s="29" t="str">
        <f t="shared" ca="1" si="56"/>
        <v/>
      </c>
    </row>
    <row r="1181" spans="1:9" x14ac:dyDescent="0.35">
      <c r="A1181" s="21"/>
      <c r="B1181" s="13"/>
      <c r="C1181" s="14"/>
      <c r="D1181" s="14"/>
      <c r="E1181" s="13"/>
      <c r="F1181" s="7" t="str">
        <f t="shared" ca="1" si="54"/>
        <v/>
      </c>
      <c r="G1181" s="27" t="str">
        <f t="shared" ca="1" si="55"/>
        <v/>
      </c>
      <c r="H1181" s="13"/>
      <c r="I1181" s="29" t="str">
        <f t="shared" ca="1" si="56"/>
        <v/>
      </c>
    </row>
    <row r="1182" spans="1:9" x14ac:dyDescent="0.35">
      <c r="A1182" s="21"/>
      <c r="B1182" s="13"/>
      <c r="C1182" s="14"/>
      <c r="D1182" s="14"/>
      <c r="E1182" s="13"/>
      <c r="F1182" s="7" t="str">
        <f t="shared" ca="1" si="54"/>
        <v/>
      </c>
      <c r="G1182" s="27" t="str">
        <f t="shared" ca="1" si="55"/>
        <v/>
      </c>
      <c r="H1182" s="13"/>
      <c r="I1182" s="29" t="str">
        <f t="shared" ca="1" si="56"/>
        <v/>
      </c>
    </row>
    <row r="1183" spans="1:9" x14ac:dyDescent="0.35">
      <c r="A1183" s="21"/>
      <c r="B1183" s="13"/>
      <c r="C1183" s="14"/>
      <c r="D1183" s="14"/>
      <c r="E1183" s="13"/>
      <c r="F1183" s="7" t="str">
        <f t="shared" ca="1" si="54"/>
        <v/>
      </c>
      <c r="G1183" s="27" t="str">
        <f t="shared" ca="1" si="55"/>
        <v/>
      </c>
      <c r="H1183" s="13"/>
      <c r="I1183" s="29" t="str">
        <f t="shared" ca="1" si="56"/>
        <v/>
      </c>
    </row>
    <row r="1184" spans="1:9" x14ac:dyDescent="0.35">
      <c r="A1184" s="21"/>
      <c r="B1184" s="13"/>
      <c r="C1184" s="14"/>
      <c r="D1184" s="14"/>
      <c r="E1184" s="13"/>
      <c r="F1184" s="7" t="str">
        <f t="shared" ca="1" si="54"/>
        <v/>
      </c>
      <c r="G1184" s="27" t="str">
        <f t="shared" ca="1" si="55"/>
        <v/>
      </c>
      <c r="H1184" s="13"/>
      <c r="I1184" s="29" t="str">
        <f t="shared" ca="1" si="56"/>
        <v/>
      </c>
    </row>
    <row r="1185" spans="1:9" x14ac:dyDescent="0.35">
      <c r="A1185" s="21"/>
      <c r="B1185" s="13"/>
      <c r="C1185" s="14"/>
      <c r="D1185" s="14"/>
      <c r="E1185" s="13"/>
      <c r="F1185" s="7" t="str">
        <f t="shared" ca="1" si="54"/>
        <v/>
      </c>
      <c r="G1185" s="27" t="str">
        <f t="shared" ca="1" si="55"/>
        <v/>
      </c>
      <c r="H1185" s="13"/>
      <c r="I1185" s="29" t="str">
        <f t="shared" ca="1" si="56"/>
        <v/>
      </c>
    </row>
    <row r="1186" spans="1:9" x14ac:dyDescent="0.35">
      <c r="A1186" s="21"/>
      <c r="B1186" s="13"/>
      <c r="C1186" s="14"/>
      <c r="D1186" s="14"/>
      <c r="E1186" s="13"/>
      <c r="F1186" s="7" t="str">
        <f t="shared" ca="1" si="54"/>
        <v/>
      </c>
      <c r="G1186" s="27" t="str">
        <f t="shared" ca="1" si="55"/>
        <v/>
      </c>
      <c r="H1186" s="13"/>
      <c r="I1186" s="29" t="str">
        <f t="shared" ca="1" si="56"/>
        <v/>
      </c>
    </row>
    <row r="1187" spans="1:9" x14ac:dyDescent="0.35">
      <c r="A1187" s="21"/>
      <c r="B1187" s="13"/>
      <c r="C1187" s="14"/>
      <c r="D1187" s="14"/>
      <c r="E1187" s="13"/>
      <c r="F1187" s="7" t="str">
        <f t="shared" ca="1" si="54"/>
        <v/>
      </c>
      <c r="G1187" s="27" t="str">
        <f t="shared" ca="1" si="55"/>
        <v/>
      </c>
      <c r="H1187" s="13"/>
      <c r="I1187" s="29" t="str">
        <f t="shared" ca="1" si="56"/>
        <v/>
      </c>
    </row>
    <row r="1188" spans="1:9" x14ac:dyDescent="0.35">
      <c r="A1188" s="21"/>
      <c r="B1188" s="13"/>
      <c r="C1188" s="14"/>
      <c r="D1188" s="14"/>
      <c r="E1188" s="13"/>
      <c r="F1188" s="7" t="str">
        <f t="shared" ca="1" si="54"/>
        <v/>
      </c>
      <c r="G1188" s="27" t="str">
        <f t="shared" ca="1" si="55"/>
        <v/>
      </c>
      <c r="H1188" s="13"/>
      <c r="I1188" s="29" t="str">
        <f t="shared" ca="1" si="56"/>
        <v/>
      </c>
    </row>
    <row r="1189" spans="1:9" x14ac:dyDescent="0.35">
      <c r="A1189" s="21"/>
      <c r="B1189" s="13"/>
      <c r="C1189" s="14"/>
      <c r="D1189" s="14"/>
      <c r="E1189" s="13"/>
      <c r="F1189" s="7" t="str">
        <f t="shared" ca="1" si="54"/>
        <v/>
      </c>
      <c r="G1189" s="27" t="str">
        <f t="shared" ca="1" si="55"/>
        <v/>
      </c>
      <c r="H1189" s="13"/>
      <c r="I1189" s="29" t="str">
        <f t="shared" ca="1" si="56"/>
        <v/>
      </c>
    </row>
    <row r="1190" spans="1:9" x14ac:dyDescent="0.35">
      <c r="A1190" s="21"/>
      <c r="B1190" s="13"/>
      <c r="C1190" s="14"/>
      <c r="D1190" s="14"/>
      <c r="E1190" s="13"/>
      <c r="F1190" s="7" t="str">
        <f t="shared" ca="1" si="54"/>
        <v/>
      </c>
      <c r="G1190" s="27" t="str">
        <f t="shared" ca="1" si="55"/>
        <v/>
      </c>
      <c r="H1190" s="13"/>
      <c r="I1190" s="29" t="str">
        <f t="shared" ca="1" si="56"/>
        <v/>
      </c>
    </row>
    <row r="1191" spans="1:9" x14ac:dyDescent="0.35">
      <c r="A1191" s="21"/>
      <c r="B1191" s="13"/>
      <c r="C1191" s="14"/>
      <c r="D1191" s="14"/>
      <c r="E1191" s="13"/>
      <c r="F1191" s="7" t="str">
        <f t="shared" ca="1" si="54"/>
        <v/>
      </c>
      <c r="G1191" s="27" t="str">
        <f t="shared" ca="1" si="55"/>
        <v/>
      </c>
      <c r="H1191" s="13"/>
      <c r="I1191" s="29" t="str">
        <f t="shared" ca="1" si="56"/>
        <v/>
      </c>
    </row>
    <row r="1192" spans="1:9" x14ac:dyDescent="0.35">
      <c r="A1192" s="21"/>
      <c r="B1192" s="13"/>
      <c r="C1192" s="14"/>
      <c r="D1192" s="14"/>
      <c r="E1192" s="13"/>
      <c r="F1192" s="7" t="str">
        <f t="shared" ca="1" si="54"/>
        <v/>
      </c>
      <c r="G1192" s="27" t="str">
        <f t="shared" ca="1" si="55"/>
        <v/>
      </c>
      <c r="H1192" s="13"/>
      <c r="I1192" s="29" t="str">
        <f t="shared" ca="1" si="56"/>
        <v/>
      </c>
    </row>
    <row r="1193" spans="1:9" x14ac:dyDescent="0.35">
      <c r="A1193" s="21"/>
      <c r="B1193" s="13"/>
      <c r="C1193" s="14"/>
      <c r="D1193" s="14"/>
      <c r="E1193" s="13"/>
      <c r="F1193" s="7" t="str">
        <f t="shared" ca="1" si="54"/>
        <v/>
      </c>
      <c r="G1193" s="27" t="str">
        <f t="shared" ca="1" si="55"/>
        <v/>
      </c>
      <c r="H1193" s="13"/>
      <c r="I1193" s="29" t="str">
        <f t="shared" ca="1" si="56"/>
        <v/>
      </c>
    </row>
    <row r="1194" spans="1:9" x14ac:dyDescent="0.35">
      <c r="A1194" s="21"/>
      <c r="B1194" s="13"/>
      <c r="C1194" s="14"/>
      <c r="D1194" s="14"/>
      <c r="E1194" s="13"/>
      <c r="F1194" s="7" t="str">
        <f t="shared" ca="1" si="54"/>
        <v/>
      </c>
      <c r="G1194" s="27" t="str">
        <f t="shared" ca="1" si="55"/>
        <v/>
      </c>
      <c r="H1194" s="13"/>
      <c r="I1194" s="29" t="str">
        <f t="shared" ca="1" si="56"/>
        <v/>
      </c>
    </row>
    <row r="1195" spans="1:9" x14ac:dyDescent="0.35">
      <c r="A1195" s="21"/>
      <c r="B1195" s="13"/>
      <c r="C1195" s="14"/>
      <c r="D1195" s="14"/>
      <c r="E1195" s="13"/>
      <c r="F1195" s="7" t="str">
        <f t="shared" ca="1" si="54"/>
        <v/>
      </c>
      <c r="G1195" s="27" t="str">
        <f t="shared" ca="1" si="55"/>
        <v/>
      </c>
      <c r="H1195" s="13"/>
      <c r="I1195" s="29" t="str">
        <f t="shared" ca="1" si="56"/>
        <v/>
      </c>
    </row>
    <row r="1196" spans="1:9" x14ac:dyDescent="0.35">
      <c r="A1196" s="21"/>
      <c r="B1196" s="13"/>
      <c r="C1196" s="14"/>
      <c r="D1196" s="14"/>
      <c r="E1196" s="13"/>
      <c r="F1196" s="7" t="str">
        <f t="shared" ca="1" si="54"/>
        <v/>
      </c>
      <c r="G1196" s="27" t="str">
        <f t="shared" ca="1" si="55"/>
        <v/>
      </c>
      <c r="H1196" s="13"/>
      <c r="I1196" s="29" t="str">
        <f t="shared" ca="1" si="56"/>
        <v/>
      </c>
    </row>
    <row r="1197" spans="1:9" x14ac:dyDescent="0.35">
      <c r="A1197" s="21"/>
      <c r="B1197" s="13"/>
      <c r="C1197" s="14"/>
      <c r="D1197" s="14"/>
      <c r="E1197" s="13"/>
      <c r="F1197" s="7" t="str">
        <f t="shared" ca="1" si="54"/>
        <v/>
      </c>
      <c r="G1197" s="27" t="str">
        <f t="shared" ca="1" si="55"/>
        <v/>
      </c>
      <c r="H1197" s="13"/>
      <c r="I1197" s="29" t="str">
        <f t="shared" ca="1" si="56"/>
        <v/>
      </c>
    </row>
    <row r="1198" spans="1:9" x14ac:dyDescent="0.35">
      <c r="A1198" s="21"/>
      <c r="B1198" s="13"/>
      <c r="C1198" s="14"/>
      <c r="D1198" s="14"/>
      <c r="E1198" s="13"/>
      <c r="F1198" s="7" t="str">
        <f t="shared" ca="1" si="54"/>
        <v/>
      </c>
      <c r="G1198" s="27" t="str">
        <f t="shared" ca="1" si="55"/>
        <v/>
      </c>
      <c r="H1198" s="13"/>
      <c r="I1198" s="29" t="str">
        <f t="shared" ca="1" si="56"/>
        <v/>
      </c>
    </row>
    <row r="1199" spans="1:9" x14ac:dyDescent="0.35">
      <c r="A1199" s="21"/>
      <c r="B1199" s="13"/>
      <c r="C1199" s="14"/>
      <c r="D1199" s="14"/>
      <c r="E1199" s="13"/>
      <c r="F1199" s="7" t="str">
        <f t="shared" ca="1" si="54"/>
        <v/>
      </c>
      <c r="G1199" s="27" t="str">
        <f t="shared" ca="1" si="55"/>
        <v/>
      </c>
      <c r="H1199" s="13"/>
      <c r="I1199" s="29" t="str">
        <f t="shared" ca="1" si="56"/>
        <v/>
      </c>
    </row>
    <row r="1200" spans="1:9" x14ac:dyDescent="0.35">
      <c r="A1200" s="21"/>
      <c r="B1200" s="13"/>
      <c r="C1200" s="14"/>
      <c r="D1200" s="14"/>
      <c r="E1200" s="13"/>
      <c r="F1200" s="7" t="str">
        <f t="shared" ca="1" si="54"/>
        <v/>
      </c>
      <c r="G1200" s="27" t="str">
        <f t="shared" ca="1" si="55"/>
        <v/>
      </c>
      <c r="H1200" s="13"/>
      <c r="I1200" s="29" t="str">
        <f t="shared" ca="1" si="56"/>
        <v/>
      </c>
    </row>
    <row r="1201" spans="1:9" x14ac:dyDescent="0.35">
      <c r="A1201" s="21"/>
      <c r="B1201" s="13"/>
      <c r="C1201" s="14"/>
      <c r="D1201" s="14"/>
      <c r="E1201" s="13"/>
      <c r="F1201" s="7" t="str">
        <f t="shared" ca="1" si="54"/>
        <v/>
      </c>
      <c r="G1201" s="27" t="str">
        <f t="shared" ca="1" si="55"/>
        <v/>
      </c>
      <c r="H1201" s="13"/>
      <c r="I1201" s="29" t="str">
        <f t="shared" ca="1" si="56"/>
        <v/>
      </c>
    </row>
    <row r="1202" spans="1:9" x14ac:dyDescent="0.35">
      <c r="A1202" s="21"/>
      <c r="B1202" s="13"/>
      <c r="C1202" s="14"/>
      <c r="D1202" s="14"/>
      <c r="E1202" s="13"/>
      <c r="F1202" s="7" t="str">
        <f t="shared" ca="1" si="54"/>
        <v/>
      </c>
      <c r="G1202" s="27" t="str">
        <f t="shared" ca="1" si="55"/>
        <v/>
      </c>
      <c r="H1202" s="13"/>
      <c r="I1202" s="29" t="str">
        <f t="shared" ca="1" si="56"/>
        <v/>
      </c>
    </row>
    <row r="1203" spans="1:9" x14ac:dyDescent="0.35">
      <c r="A1203" s="21"/>
      <c r="B1203" s="13"/>
      <c r="C1203" s="14"/>
      <c r="D1203" s="14"/>
      <c r="E1203" s="13"/>
      <c r="F1203" s="7" t="str">
        <f t="shared" ca="1" si="54"/>
        <v/>
      </c>
      <c r="G1203" s="27" t="str">
        <f t="shared" ca="1" si="55"/>
        <v/>
      </c>
      <c r="H1203" s="13"/>
      <c r="I1203" s="29" t="str">
        <f t="shared" ca="1" si="56"/>
        <v/>
      </c>
    </row>
    <row r="1204" spans="1:9" x14ac:dyDescent="0.35">
      <c r="A1204" s="21"/>
      <c r="B1204" s="13"/>
      <c r="C1204" s="14"/>
      <c r="D1204" s="14"/>
      <c r="E1204" s="13"/>
      <c r="F1204" s="7" t="str">
        <f t="shared" ca="1" si="54"/>
        <v/>
      </c>
      <c r="G1204" s="27" t="str">
        <f t="shared" ca="1" si="55"/>
        <v/>
      </c>
      <c r="H1204" s="13"/>
      <c r="I1204" s="29" t="str">
        <f t="shared" ca="1" si="56"/>
        <v/>
      </c>
    </row>
    <row r="1205" spans="1:9" x14ac:dyDescent="0.35">
      <c r="A1205" s="21"/>
      <c r="B1205" s="13"/>
      <c r="C1205" s="14"/>
      <c r="D1205" s="14"/>
      <c r="E1205" s="13"/>
      <c r="F1205" s="7" t="str">
        <f t="shared" ca="1" si="54"/>
        <v/>
      </c>
      <c r="G1205" s="27" t="str">
        <f t="shared" ca="1" si="55"/>
        <v/>
      </c>
      <c r="H1205" s="13"/>
      <c r="I1205" s="29" t="str">
        <f t="shared" ca="1" si="56"/>
        <v/>
      </c>
    </row>
    <row r="1206" spans="1:9" x14ac:dyDescent="0.35">
      <c r="A1206" s="21"/>
      <c r="B1206" s="13"/>
      <c r="C1206" s="14"/>
      <c r="D1206" s="14"/>
      <c r="E1206" s="13"/>
      <c r="F1206" s="7" t="str">
        <f t="shared" ca="1" si="54"/>
        <v/>
      </c>
      <c r="G1206" s="27" t="str">
        <f t="shared" ca="1" si="55"/>
        <v/>
      </c>
      <c r="H1206" s="13"/>
      <c r="I1206" s="29" t="str">
        <f t="shared" ca="1" si="56"/>
        <v/>
      </c>
    </row>
    <row r="1207" spans="1:9" x14ac:dyDescent="0.35">
      <c r="A1207" s="21"/>
      <c r="B1207" s="13"/>
      <c r="C1207" s="14"/>
      <c r="D1207" s="14"/>
      <c r="E1207" s="13"/>
      <c r="F1207" s="7" t="str">
        <f t="shared" ca="1" si="54"/>
        <v/>
      </c>
      <c r="G1207" s="27" t="str">
        <f t="shared" ca="1" si="55"/>
        <v/>
      </c>
      <c r="H1207" s="13"/>
      <c r="I1207" s="29" t="str">
        <f t="shared" ca="1" si="56"/>
        <v/>
      </c>
    </row>
    <row r="1208" spans="1:9" x14ac:dyDescent="0.35">
      <c r="A1208" s="21"/>
      <c r="B1208" s="13"/>
      <c r="C1208" s="14"/>
      <c r="D1208" s="14"/>
      <c r="E1208" s="13"/>
      <c r="F1208" s="7" t="str">
        <f t="shared" ca="1" si="54"/>
        <v/>
      </c>
      <c r="G1208" s="27" t="str">
        <f t="shared" ca="1" si="55"/>
        <v/>
      </c>
      <c r="H1208" s="13"/>
      <c r="I1208" s="29" t="str">
        <f t="shared" ca="1" si="56"/>
        <v/>
      </c>
    </row>
    <row r="1209" spans="1:9" x14ac:dyDescent="0.35">
      <c r="A1209" s="21"/>
      <c r="B1209" s="13"/>
      <c r="C1209" s="14"/>
      <c r="D1209" s="14"/>
      <c r="E1209" s="13"/>
      <c r="F1209" s="7" t="str">
        <f t="shared" ca="1" si="54"/>
        <v/>
      </c>
      <c r="G1209" s="27" t="str">
        <f t="shared" ca="1" si="55"/>
        <v/>
      </c>
      <c r="H1209" s="13"/>
      <c r="I1209" s="29" t="str">
        <f t="shared" ca="1" si="56"/>
        <v/>
      </c>
    </row>
    <row r="1210" spans="1:9" x14ac:dyDescent="0.35">
      <c r="A1210" s="21"/>
      <c r="B1210" s="13"/>
      <c r="C1210" s="14"/>
      <c r="D1210" s="14"/>
      <c r="E1210" s="13"/>
      <c r="F1210" s="7" t="str">
        <f t="shared" ca="1" si="54"/>
        <v/>
      </c>
      <c r="G1210" s="27" t="str">
        <f t="shared" ca="1" si="55"/>
        <v/>
      </c>
      <c r="H1210" s="13"/>
      <c r="I1210" s="29" t="str">
        <f t="shared" ca="1" si="56"/>
        <v/>
      </c>
    </row>
    <row r="1211" spans="1:9" x14ac:dyDescent="0.35">
      <c r="A1211" s="21"/>
      <c r="B1211" s="13"/>
      <c r="C1211" s="14"/>
      <c r="D1211" s="14"/>
      <c r="E1211" s="13"/>
      <c r="F1211" s="7" t="str">
        <f t="shared" ca="1" si="54"/>
        <v/>
      </c>
      <c r="G1211" s="27" t="str">
        <f t="shared" ca="1" si="55"/>
        <v/>
      </c>
      <c r="H1211" s="13"/>
      <c r="I1211" s="29" t="str">
        <f t="shared" ca="1" si="56"/>
        <v/>
      </c>
    </row>
    <row r="1212" spans="1:9" x14ac:dyDescent="0.35">
      <c r="A1212" s="21"/>
      <c r="B1212" s="13"/>
      <c r="C1212" s="14"/>
      <c r="D1212" s="14"/>
      <c r="E1212" s="13"/>
      <c r="F1212" s="7" t="str">
        <f t="shared" ca="1" si="54"/>
        <v/>
      </c>
      <c r="G1212" s="27" t="str">
        <f t="shared" ca="1" si="55"/>
        <v/>
      </c>
      <c r="H1212" s="13"/>
      <c r="I1212" s="29" t="str">
        <f t="shared" ca="1" si="56"/>
        <v/>
      </c>
    </row>
    <row r="1213" spans="1:9" x14ac:dyDescent="0.35">
      <c r="A1213" s="21"/>
      <c r="B1213" s="13"/>
      <c r="C1213" s="14"/>
      <c r="D1213" s="14"/>
      <c r="E1213" s="13"/>
      <c r="F1213" s="7" t="str">
        <f t="shared" ca="1" si="54"/>
        <v/>
      </c>
      <c r="G1213" s="27" t="str">
        <f t="shared" ca="1" si="55"/>
        <v/>
      </c>
      <c r="H1213" s="13"/>
      <c r="I1213" s="29" t="str">
        <f t="shared" ca="1" si="56"/>
        <v/>
      </c>
    </row>
    <row r="1214" spans="1:9" x14ac:dyDescent="0.35">
      <c r="A1214" s="21"/>
      <c r="B1214" s="13"/>
      <c r="C1214" s="14"/>
      <c r="D1214" s="14"/>
      <c r="E1214" s="13"/>
      <c r="F1214" s="7" t="str">
        <f t="shared" ca="1" si="54"/>
        <v/>
      </c>
      <c r="G1214" s="27" t="str">
        <f t="shared" ca="1" si="55"/>
        <v/>
      </c>
      <c r="H1214" s="13"/>
      <c r="I1214" s="29" t="str">
        <f t="shared" ca="1" si="56"/>
        <v/>
      </c>
    </row>
    <row r="1215" spans="1:9" x14ac:dyDescent="0.35">
      <c r="A1215" s="21"/>
      <c r="B1215" s="13"/>
      <c r="C1215" s="14"/>
      <c r="D1215" s="14"/>
      <c r="E1215" s="13"/>
      <c r="F1215" s="7" t="str">
        <f t="shared" ca="1" si="54"/>
        <v/>
      </c>
      <c r="G1215" s="27" t="str">
        <f t="shared" ca="1" si="55"/>
        <v/>
      </c>
      <c r="H1215" s="13"/>
      <c r="I1215" s="29" t="str">
        <f t="shared" ca="1" si="56"/>
        <v/>
      </c>
    </row>
    <row r="1216" spans="1:9" x14ac:dyDescent="0.35">
      <c r="A1216" s="21"/>
      <c r="B1216" s="13"/>
      <c r="C1216" s="14"/>
      <c r="D1216" s="14"/>
      <c r="E1216" s="13"/>
      <c r="F1216" s="7" t="str">
        <f t="shared" ca="1" si="54"/>
        <v/>
      </c>
      <c r="G1216" s="27" t="str">
        <f t="shared" ca="1" si="55"/>
        <v/>
      </c>
      <c r="H1216" s="13"/>
      <c r="I1216" s="29" t="str">
        <f t="shared" ca="1" si="56"/>
        <v/>
      </c>
    </row>
    <row r="1217" spans="1:9" x14ac:dyDescent="0.35">
      <c r="A1217" s="21"/>
      <c r="B1217" s="13"/>
      <c r="C1217" s="14"/>
      <c r="D1217" s="14"/>
      <c r="E1217" s="13"/>
      <c r="F1217" s="7" t="str">
        <f t="shared" ca="1" si="54"/>
        <v/>
      </c>
      <c r="G1217" s="27" t="str">
        <f t="shared" ca="1" si="55"/>
        <v/>
      </c>
      <c r="H1217" s="13"/>
      <c r="I1217" s="29" t="str">
        <f t="shared" ca="1" si="56"/>
        <v/>
      </c>
    </row>
    <row r="1218" spans="1:9" x14ac:dyDescent="0.35">
      <c r="A1218" s="21"/>
      <c r="B1218" s="13"/>
      <c r="C1218" s="14"/>
      <c r="D1218" s="14"/>
      <c r="E1218" s="13"/>
      <c r="F1218" s="7" t="str">
        <f t="shared" ca="1" si="54"/>
        <v/>
      </c>
      <c r="G1218" s="27" t="str">
        <f t="shared" ca="1" si="55"/>
        <v/>
      </c>
      <c r="H1218" s="13"/>
      <c r="I1218" s="29" t="str">
        <f t="shared" ca="1" si="56"/>
        <v/>
      </c>
    </row>
    <row r="1219" spans="1:9" x14ac:dyDescent="0.35">
      <c r="A1219" s="21"/>
      <c r="B1219" s="13"/>
      <c r="C1219" s="14"/>
      <c r="D1219" s="14"/>
      <c r="E1219" s="13"/>
      <c r="F1219" s="7" t="str">
        <f t="shared" ca="1" si="54"/>
        <v/>
      </c>
      <c r="G1219" s="27" t="str">
        <f t="shared" ca="1" si="55"/>
        <v/>
      </c>
      <c r="H1219" s="13"/>
      <c r="I1219" s="29" t="str">
        <f t="shared" ca="1" si="56"/>
        <v/>
      </c>
    </row>
    <row r="1220" spans="1:9" x14ac:dyDescent="0.35">
      <c r="A1220" s="21"/>
      <c r="B1220" s="13"/>
      <c r="C1220" s="14"/>
      <c r="D1220" s="14"/>
      <c r="E1220" s="13"/>
      <c r="F1220" s="7" t="str">
        <f t="shared" ca="1" si="54"/>
        <v/>
      </c>
      <c r="G1220" s="27" t="str">
        <f t="shared" ca="1" si="55"/>
        <v/>
      </c>
      <c r="H1220" s="13"/>
      <c r="I1220" s="29" t="str">
        <f t="shared" ca="1" si="56"/>
        <v/>
      </c>
    </row>
    <row r="1221" spans="1:9" x14ac:dyDescent="0.35">
      <c r="A1221" s="21"/>
      <c r="B1221" s="13"/>
      <c r="C1221" s="14"/>
      <c r="D1221" s="14"/>
      <c r="E1221" s="13"/>
      <c r="F1221" s="7" t="str">
        <f t="shared" ref="F1221:F1284" ca="1" si="57">IF($B1221="","",IF($D1221&lt;&gt;"","Fait",IF($C1221="","Non planifié",IF(N($C1221)&lt;TODAY(),"En retard","À venir"))))</f>
        <v/>
      </c>
      <c r="G1221" s="27" t="str">
        <f t="shared" ref="G1221:G1284" ca="1" si="58">IF($B1221="","",IF(AND($C1221&lt;&gt;"",$D1221&lt;&gt;""),$D1221-$C1221,IF($F1221="En retard",TODAY()-$C1221,"")))</f>
        <v/>
      </c>
      <c r="H1221" s="13"/>
      <c r="I1221" s="29" t="str">
        <f t="shared" ref="I1221:I1284" ca="1" si="59">IF($F1221="En retard",1,"")</f>
        <v/>
      </c>
    </row>
    <row r="1222" spans="1:9" x14ac:dyDescent="0.35">
      <c r="A1222" s="21"/>
      <c r="B1222" s="13"/>
      <c r="C1222" s="14"/>
      <c r="D1222" s="14"/>
      <c r="E1222" s="13"/>
      <c r="F1222" s="7" t="str">
        <f t="shared" ca="1" si="57"/>
        <v/>
      </c>
      <c r="G1222" s="27" t="str">
        <f t="shared" ca="1" si="58"/>
        <v/>
      </c>
      <c r="H1222" s="13"/>
      <c r="I1222" s="29" t="str">
        <f t="shared" ca="1" si="59"/>
        <v/>
      </c>
    </row>
    <row r="1223" spans="1:9" x14ac:dyDescent="0.35">
      <c r="A1223" s="21"/>
      <c r="B1223" s="13"/>
      <c r="C1223" s="14"/>
      <c r="D1223" s="14"/>
      <c r="E1223" s="13"/>
      <c r="F1223" s="7" t="str">
        <f t="shared" ca="1" si="57"/>
        <v/>
      </c>
      <c r="G1223" s="27" t="str">
        <f t="shared" ca="1" si="58"/>
        <v/>
      </c>
      <c r="H1223" s="13"/>
      <c r="I1223" s="29" t="str">
        <f t="shared" ca="1" si="59"/>
        <v/>
      </c>
    </row>
    <row r="1224" spans="1:9" x14ac:dyDescent="0.35">
      <c r="A1224" s="21"/>
      <c r="B1224" s="13"/>
      <c r="C1224" s="14"/>
      <c r="D1224" s="14"/>
      <c r="E1224" s="13"/>
      <c r="F1224" s="7" t="str">
        <f t="shared" ca="1" si="57"/>
        <v/>
      </c>
      <c r="G1224" s="27" t="str">
        <f t="shared" ca="1" si="58"/>
        <v/>
      </c>
      <c r="H1224" s="13"/>
      <c r="I1224" s="29" t="str">
        <f t="shared" ca="1" si="59"/>
        <v/>
      </c>
    </row>
    <row r="1225" spans="1:9" x14ac:dyDescent="0.35">
      <c r="A1225" s="21"/>
      <c r="B1225" s="13"/>
      <c r="C1225" s="14"/>
      <c r="D1225" s="14"/>
      <c r="E1225" s="13"/>
      <c r="F1225" s="7" t="str">
        <f t="shared" ca="1" si="57"/>
        <v/>
      </c>
      <c r="G1225" s="27" t="str">
        <f t="shared" ca="1" si="58"/>
        <v/>
      </c>
      <c r="H1225" s="13"/>
      <c r="I1225" s="29" t="str">
        <f t="shared" ca="1" si="59"/>
        <v/>
      </c>
    </row>
    <row r="1226" spans="1:9" x14ac:dyDescent="0.35">
      <c r="A1226" s="21"/>
      <c r="B1226" s="13"/>
      <c r="C1226" s="14"/>
      <c r="D1226" s="14"/>
      <c r="E1226" s="13"/>
      <c r="F1226" s="7" t="str">
        <f t="shared" ca="1" si="57"/>
        <v/>
      </c>
      <c r="G1226" s="27" t="str">
        <f t="shared" ca="1" si="58"/>
        <v/>
      </c>
      <c r="H1226" s="13"/>
      <c r="I1226" s="29" t="str">
        <f t="shared" ca="1" si="59"/>
        <v/>
      </c>
    </row>
    <row r="1227" spans="1:9" x14ac:dyDescent="0.35">
      <c r="A1227" s="21"/>
      <c r="B1227" s="13"/>
      <c r="C1227" s="14"/>
      <c r="D1227" s="14"/>
      <c r="E1227" s="13"/>
      <c r="F1227" s="7" t="str">
        <f t="shared" ca="1" si="57"/>
        <v/>
      </c>
      <c r="G1227" s="27" t="str">
        <f t="shared" ca="1" si="58"/>
        <v/>
      </c>
      <c r="H1227" s="13"/>
      <c r="I1227" s="29" t="str">
        <f t="shared" ca="1" si="59"/>
        <v/>
      </c>
    </row>
    <row r="1228" spans="1:9" x14ac:dyDescent="0.35">
      <c r="A1228" s="21"/>
      <c r="B1228" s="13"/>
      <c r="C1228" s="14"/>
      <c r="D1228" s="14"/>
      <c r="E1228" s="13"/>
      <c r="F1228" s="7" t="str">
        <f t="shared" ca="1" si="57"/>
        <v/>
      </c>
      <c r="G1228" s="27" t="str">
        <f t="shared" ca="1" si="58"/>
        <v/>
      </c>
      <c r="H1228" s="13"/>
      <c r="I1228" s="29" t="str">
        <f t="shared" ca="1" si="59"/>
        <v/>
      </c>
    </row>
    <row r="1229" spans="1:9" x14ac:dyDescent="0.35">
      <c r="A1229" s="21"/>
      <c r="B1229" s="13"/>
      <c r="C1229" s="14"/>
      <c r="D1229" s="14"/>
      <c r="E1229" s="13"/>
      <c r="F1229" s="7" t="str">
        <f t="shared" ca="1" si="57"/>
        <v/>
      </c>
      <c r="G1229" s="27" t="str">
        <f t="shared" ca="1" si="58"/>
        <v/>
      </c>
      <c r="H1229" s="13"/>
      <c r="I1229" s="29" t="str">
        <f t="shared" ca="1" si="59"/>
        <v/>
      </c>
    </row>
    <row r="1230" spans="1:9" x14ac:dyDescent="0.35">
      <c r="A1230" s="21"/>
      <c r="B1230" s="13"/>
      <c r="C1230" s="14"/>
      <c r="D1230" s="14"/>
      <c r="E1230" s="13"/>
      <c r="F1230" s="7" t="str">
        <f t="shared" ca="1" si="57"/>
        <v/>
      </c>
      <c r="G1230" s="27" t="str">
        <f t="shared" ca="1" si="58"/>
        <v/>
      </c>
      <c r="H1230" s="13"/>
      <c r="I1230" s="29" t="str">
        <f t="shared" ca="1" si="59"/>
        <v/>
      </c>
    </row>
    <row r="1231" spans="1:9" x14ac:dyDescent="0.35">
      <c r="A1231" s="21"/>
      <c r="B1231" s="13"/>
      <c r="C1231" s="14"/>
      <c r="D1231" s="14"/>
      <c r="E1231" s="13"/>
      <c r="F1231" s="7" t="str">
        <f t="shared" ca="1" si="57"/>
        <v/>
      </c>
      <c r="G1231" s="27" t="str">
        <f t="shared" ca="1" si="58"/>
        <v/>
      </c>
      <c r="H1231" s="13"/>
      <c r="I1231" s="29" t="str">
        <f t="shared" ca="1" si="59"/>
        <v/>
      </c>
    </row>
    <row r="1232" spans="1:9" x14ac:dyDescent="0.35">
      <c r="A1232" s="21"/>
      <c r="B1232" s="13"/>
      <c r="C1232" s="14"/>
      <c r="D1232" s="14"/>
      <c r="E1232" s="13"/>
      <c r="F1232" s="7" t="str">
        <f t="shared" ca="1" si="57"/>
        <v/>
      </c>
      <c r="G1232" s="27" t="str">
        <f t="shared" ca="1" si="58"/>
        <v/>
      </c>
      <c r="H1232" s="13"/>
      <c r="I1232" s="29" t="str">
        <f t="shared" ca="1" si="59"/>
        <v/>
      </c>
    </row>
    <row r="1233" spans="1:9" x14ac:dyDescent="0.35">
      <c r="A1233" s="21"/>
      <c r="B1233" s="13"/>
      <c r="C1233" s="14"/>
      <c r="D1233" s="14"/>
      <c r="E1233" s="13"/>
      <c r="F1233" s="7" t="str">
        <f t="shared" ca="1" si="57"/>
        <v/>
      </c>
      <c r="G1233" s="27" t="str">
        <f t="shared" ca="1" si="58"/>
        <v/>
      </c>
      <c r="H1233" s="13"/>
      <c r="I1233" s="29" t="str">
        <f t="shared" ca="1" si="59"/>
        <v/>
      </c>
    </row>
    <row r="1234" spans="1:9" x14ac:dyDescent="0.35">
      <c r="A1234" s="21"/>
      <c r="B1234" s="13"/>
      <c r="C1234" s="14"/>
      <c r="D1234" s="14"/>
      <c r="E1234" s="13"/>
      <c r="F1234" s="7" t="str">
        <f t="shared" ca="1" si="57"/>
        <v/>
      </c>
      <c r="G1234" s="27" t="str">
        <f t="shared" ca="1" si="58"/>
        <v/>
      </c>
      <c r="H1234" s="13"/>
      <c r="I1234" s="29" t="str">
        <f t="shared" ca="1" si="59"/>
        <v/>
      </c>
    </row>
    <row r="1235" spans="1:9" x14ac:dyDescent="0.35">
      <c r="A1235" s="21"/>
      <c r="B1235" s="13"/>
      <c r="C1235" s="14"/>
      <c r="D1235" s="14"/>
      <c r="E1235" s="13"/>
      <c r="F1235" s="7" t="str">
        <f t="shared" ca="1" si="57"/>
        <v/>
      </c>
      <c r="G1235" s="27" t="str">
        <f t="shared" ca="1" si="58"/>
        <v/>
      </c>
      <c r="H1235" s="13"/>
      <c r="I1235" s="29" t="str">
        <f t="shared" ca="1" si="59"/>
        <v/>
      </c>
    </row>
    <row r="1236" spans="1:9" x14ac:dyDescent="0.35">
      <c r="A1236" s="21"/>
      <c r="B1236" s="13"/>
      <c r="C1236" s="14"/>
      <c r="D1236" s="14"/>
      <c r="E1236" s="13"/>
      <c r="F1236" s="7" t="str">
        <f t="shared" ca="1" si="57"/>
        <v/>
      </c>
      <c r="G1236" s="27" t="str">
        <f t="shared" ca="1" si="58"/>
        <v/>
      </c>
      <c r="H1236" s="13"/>
      <c r="I1236" s="29" t="str">
        <f t="shared" ca="1" si="59"/>
        <v/>
      </c>
    </row>
    <row r="1237" spans="1:9" x14ac:dyDescent="0.35">
      <c r="A1237" s="21"/>
      <c r="B1237" s="13"/>
      <c r="C1237" s="14"/>
      <c r="D1237" s="14"/>
      <c r="E1237" s="13"/>
      <c r="F1237" s="7" t="str">
        <f t="shared" ca="1" si="57"/>
        <v/>
      </c>
      <c r="G1237" s="27" t="str">
        <f t="shared" ca="1" si="58"/>
        <v/>
      </c>
      <c r="H1237" s="13"/>
      <c r="I1237" s="29" t="str">
        <f t="shared" ca="1" si="59"/>
        <v/>
      </c>
    </row>
    <row r="1238" spans="1:9" x14ac:dyDescent="0.35">
      <c r="A1238" s="21"/>
      <c r="B1238" s="13"/>
      <c r="C1238" s="14"/>
      <c r="D1238" s="14"/>
      <c r="E1238" s="13"/>
      <c r="F1238" s="7" t="str">
        <f t="shared" ca="1" si="57"/>
        <v/>
      </c>
      <c r="G1238" s="27" t="str">
        <f t="shared" ca="1" si="58"/>
        <v/>
      </c>
      <c r="H1238" s="13"/>
      <c r="I1238" s="29" t="str">
        <f t="shared" ca="1" si="59"/>
        <v/>
      </c>
    </row>
    <row r="1239" spans="1:9" x14ac:dyDescent="0.35">
      <c r="A1239" s="21"/>
      <c r="B1239" s="13"/>
      <c r="C1239" s="14"/>
      <c r="D1239" s="14"/>
      <c r="E1239" s="13"/>
      <c r="F1239" s="7" t="str">
        <f t="shared" ca="1" si="57"/>
        <v/>
      </c>
      <c r="G1239" s="27" t="str">
        <f t="shared" ca="1" si="58"/>
        <v/>
      </c>
      <c r="H1239" s="13"/>
      <c r="I1239" s="29" t="str">
        <f t="shared" ca="1" si="59"/>
        <v/>
      </c>
    </row>
    <row r="1240" spans="1:9" x14ac:dyDescent="0.35">
      <c r="A1240" s="21"/>
      <c r="B1240" s="13"/>
      <c r="C1240" s="14"/>
      <c r="D1240" s="14"/>
      <c r="E1240" s="13"/>
      <c r="F1240" s="7" t="str">
        <f t="shared" ca="1" si="57"/>
        <v/>
      </c>
      <c r="G1240" s="27" t="str">
        <f t="shared" ca="1" si="58"/>
        <v/>
      </c>
      <c r="H1240" s="13"/>
      <c r="I1240" s="29" t="str">
        <f t="shared" ca="1" si="59"/>
        <v/>
      </c>
    </row>
    <row r="1241" spans="1:9" x14ac:dyDescent="0.35">
      <c r="A1241" s="21"/>
      <c r="B1241" s="13"/>
      <c r="C1241" s="14"/>
      <c r="D1241" s="14"/>
      <c r="E1241" s="13"/>
      <c r="F1241" s="7" t="str">
        <f t="shared" ca="1" si="57"/>
        <v/>
      </c>
      <c r="G1241" s="27" t="str">
        <f t="shared" ca="1" si="58"/>
        <v/>
      </c>
      <c r="H1241" s="13"/>
      <c r="I1241" s="29" t="str">
        <f t="shared" ca="1" si="59"/>
        <v/>
      </c>
    </row>
    <row r="1242" spans="1:9" x14ac:dyDescent="0.35">
      <c r="A1242" s="21"/>
      <c r="B1242" s="13"/>
      <c r="C1242" s="14"/>
      <c r="D1242" s="14"/>
      <c r="E1242" s="13"/>
      <c r="F1242" s="7" t="str">
        <f t="shared" ca="1" si="57"/>
        <v/>
      </c>
      <c r="G1242" s="27" t="str">
        <f t="shared" ca="1" si="58"/>
        <v/>
      </c>
      <c r="H1242" s="13"/>
      <c r="I1242" s="29" t="str">
        <f t="shared" ca="1" si="59"/>
        <v/>
      </c>
    </row>
    <row r="1243" spans="1:9" x14ac:dyDescent="0.35">
      <c r="A1243" s="21"/>
      <c r="B1243" s="13"/>
      <c r="C1243" s="14"/>
      <c r="D1243" s="14"/>
      <c r="E1243" s="13"/>
      <c r="F1243" s="7" t="str">
        <f t="shared" ca="1" si="57"/>
        <v/>
      </c>
      <c r="G1243" s="27" t="str">
        <f t="shared" ca="1" si="58"/>
        <v/>
      </c>
      <c r="H1243" s="13"/>
      <c r="I1243" s="29" t="str">
        <f t="shared" ca="1" si="59"/>
        <v/>
      </c>
    </row>
    <row r="1244" spans="1:9" x14ac:dyDescent="0.35">
      <c r="A1244" s="21"/>
      <c r="B1244" s="13"/>
      <c r="C1244" s="14"/>
      <c r="D1244" s="14"/>
      <c r="E1244" s="13"/>
      <c r="F1244" s="7" t="str">
        <f t="shared" ca="1" si="57"/>
        <v/>
      </c>
      <c r="G1244" s="27" t="str">
        <f t="shared" ca="1" si="58"/>
        <v/>
      </c>
      <c r="H1244" s="13"/>
      <c r="I1244" s="29" t="str">
        <f t="shared" ca="1" si="59"/>
        <v/>
      </c>
    </row>
    <row r="1245" spans="1:9" x14ac:dyDescent="0.35">
      <c r="A1245" s="21"/>
      <c r="B1245" s="13"/>
      <c r="C1245" s="14"/>
      <c r="D1245" s="14"/>
      <c r="E1245" s="13"/>
      <c r="F1245" s="7" t="str">
        <f t="shared" ca="1" si="57"/>
        <v/>
      </c>
      <c r="G1245" s="27" t="str">
        <f t="shared" ca="1" si="58"/>
        <v/>
      </c>
      <c r="H1245" s="13"/>
      <c r="I1245" s="29" t="str">
        <f t="shared" ca="1" si="59"/>
        <v/>
      </c>
    </row>
    <row r="1246" spans="1:9" x14ac:dyDescent="0.35">
      <c r="A1246" s="21"/>
      <c r="B1246" s="13"/>
      <c r="C1246" s="14"/>
      <c r="D1246" s="14"/>
      <c r="E1246" s="13"/>
      <c r="F1246" s="7" t="str">
        <f t="shared" ca="1" si="57"/>
        <v/>
      </c>
      <c r="G1246" s="27" t="str">
        <f t="shared" ca="1" si="58"/>
        <v/>
      </c>
      <c r="H1246" s="13"/>
      <c r="I1246" s="29" t="str">
        <f t="shared" ca="1" si="59"/>
        <v/>
      </c>
    </row>
    <row r="1247" spans="1:9" x14ac:dyDescent="0.35">
      <c r="A1247" s="21"/>
      <c r="B1247" s="13"/>
      <c r="C1247" s="14"/>
      <c r="D1247" s="14"/>
      <c r="E1247" s="13"/>
      <c r="F1247" s="7" t="str">
        <f t="shared" ca="1" si="57"/>
        <v/>
      </c>
      <c r="G1247" s="27" t="str">
        <f t="shared" ca="1" si="58"/>
        <v/>
      </c>
      <c r="H1247" s="13"/>
      <c r="I1247" s="29" t="str">
        <f t="shared" ca="1" si="59"/>
        <v/>
      </c>
    </row>
    <row r="1248" spans="1:9" x14ac:dyDescent="0.35">
      <c r="A1248" s="21"/>
      <c r="B1248" s="13"/>
      <c r="C1248" s="14"/>
      <c r="D1248" s="14"/>
      <c r="E1248" s="13"/>
      <c r="F1248" s="7" t="str">
        <f t="shared" ca="1" si="57"/>
        <v/>
      </c>
      <c r="G1248" s="27" t="str">
        <f t="shared" ca="1" si="58"/>
        <v/>
      </c>
      <c r="H1248" s="13"/>
      <c r="I1248" s="29" t="str">
        <f t="shared" ca="1" si="59"/>
        <v/>
      </c>
    </row>
    <row r="1249" spans="1:9" x14ac:dyDescent="0.35">
      <c r="A1249" s="21"/>
      <c r="B1249" s="13"/>
      <c r="C1249" s="14"/>
      <c r="D1249" s="14"/>
      <c r="E1249" s="13"/>
      <c r="F1249" s="7" t="str">
        <f t="shared" ca="1" si="57"/>
        <v/>
      </c>
      <c r="G1249" s="27" t="str">
        <f t="shared" ca="1" si="58"/>
        <v/>
      </c>
      <c r="H1249" s="13"/>
      <c r="I1249" s="29" t="str">
        <f t="shared" ca="1" si="59"/>
        <v/>
      </c>
    </row>
    <row r="1250" spans="1:9" x14ac:dyDescent="0.35">
      <c r="A1250" s="21"/>
      <c r="B1250" s="13"/>
      <c r="C1250" s="14"/>
      <c r="D1250" s="14"/>
      <c r="E1250" s="13"/>
      <c r="F1250" s="7" t="str">
        <f t="shared" ca="1" si="57"/>
        <v/>
      </c>
      <c r="G1250" s="27" t="str">
        <f t="shared" ca="1" si="58"/>
        <v/>
      </c>
      <c r="H1250" s="13"/>
      <c r="I1250" s="29" t="str">
        <f t="shared" ca="1" si="59"/>
        <v/>
      </c>
    </row>
    <row r="1251" spans="1:9" x14ac:dyDescent="0.35">
      <c r="A1251" s="21"/>
      <c r="B1251" s="13"/>
      <c r="C1251" s="14"/>
      <c r="D1251" s="14"/>
      <c r="E1251" s="13"/>
      <c r="F1251" s="7" t="str">
        <f t="shared" ca="1" si="57"/>
        <v/>
      </c>
      <c r="G1251" s="27" t="str">
        <f t="shared" ca="1" si="58"/>
        <v/>
      </c>
      <c r="H1251" s="13"/>
      <c r="I1251" s="29" t="str">
        <f t="shared" ca="1" si="59"/>
        <v/>
      </c>
    </row>
    <row r="1252" spans="1:9" x14ac:dyDescent="0.35">
      <c r="A1252" s="21"/>
      <c r="B1252" s="13"/>
      <c r="C1252" s="14"/>
      <c r="D1252" s="14"/>
      <c r="E1252" s="13"/>
      <c r="F1252" s="7" t="str">
        <f t="shared" ca="1" si="57"/>
        <v/>
      </c>
      <c r="G1252" s="27" t="str">
        <f t="shared" ca="1" si="58"/>
        <v/>
      </c>
      <c r="H1252" s="13"/>
      <c r="I1252" s="29" t="str">
        <f t="shared" ca="1" si="59"/>
        <v/>
      </c>
    </row>
    <row r="1253" spans="1:9" x14ac:dyDescent="0.35">
      <c r="A1253" s="21"/>
      <c r="B1253" s="13"/>
      <c r="C1253" s="14"/>
      <c r="D1253" s="14"/>
      <c r="E1253" s="13"/>
      <c r="F1253" s="7" t="str">
        <f t="shared" ca="1" si="57"/>
        <v/>
      </c>
      <c r="G1253" s="27" t="str">
        <f t="shared" ca="1" si="58"/>
        <v/>
      </c>
      <c r="H1253" s="13"/>
      <c r="I1253" s="29" t="str">
        <f t="shared" ca="1" si="59"/>
        <v/>
      </c>
    </row>
    <row r="1254" spans="1:9" x14ac:dyDescent="0.35">
      <c r="A1254" s="21"/>
      <c r="B1254" s="13"/>
      <c r="C1254" s="14"/>
      <c r="D1254" s="14"/>
      <c r="E1254" s="13"/>
      <c r="F1254" s="7" t="str">
        <f t="shared" ca="1" si="57"/>
        <v/>
      </c>
      <c r="G1254" s="27" t="str">
        <f t="shared" ca="1" si="58"/>
        <v/>
      </c>
      <c r="H1254" s="13"/>
      <c r="I1254" s="29" t="str">
        <f t="shared" ca="1" si="59"/>
        <v/>
      </c>
    </row>
    <row r="1255" spans="1:9" x14ac:dyDescent="0.35">
      <c r="A1255" s="21"/>
      <c r="B1255" s="13"/>
      <c r="C1255" s="14"/>
      <c r="D1255" s="14"/>
      <c r="E1255" s="13"/>
      <c r="F1255" s="7" t="str">
        <f t="shared" ca="1" si="57"/>
        <v/>
      </c>
      <c r="G1255" s="27" t="str">
        <f t="shared" ca="1" si="58"/>
        <v/>
      </c>
      <c r="H1255" s="13"/>
      <c r="I1255" s="29" t="str">
        <f t="shared" ca="1" si="59"/>
        <v/>
      </c>
    </row>
    <row r="1256" spans="1:9" x14ac:dyDescent="0.35">
      <c r="A1256" s="21"/>
      <c r="B1256" s="13"/>
      <c r="C1256" s="14"/>
      <c r="D1256" s="14"/>
      <c r="E1256" s="13"/>
      <c r="F1256" s="7" t="str">
        <f t="shared" ca="1" si="57"/>
        <v/>
      </c>
      <c r="G1256" s="27" t="str">
        <f t="shared" ca="1" si="58"/>
        <v/>
      </c>
      <c r="H1256" s="13"/>
      <c r="I1256" s="29" t="str">
        <f t="shared" ca="1" si="59"/>
        <v/>
      </c>
    </row>
    <row r="1257" spans="1:9" x14ac:dyDescent="0.35">
      <c r="A1257" s="21"/>
      <c r="B1257" s="13"/>
      <c r="C1257" s="14"/>
      <c r="D1257" s="14"/>
      <c r="E1257" s="13"/>
      <c r="F1257" s="7" t="str">
        <f t="shared" ca="1" si="57"/>
        <v/>
      </c>
      <c r="G1257" s="27" t="str">
        <f t="shared" ca="1" si="58"/>
        <v/>
      </c>
      <c r="H1257" s="13"/>
      <c r="I1257" s="29" t="str">
        <f t="shared" ca="1" si="59"/>
        <v/>
      </c>
    </row>
    <row r="1258" spans="1:9" x14ac:dyDescent="0.35">
      <c r="A1258" s="21"/>
      <c r="B1258" s="13"/>
      <c r="C1258" s="14"/>
      <c r="D1258" s="14"/>
      <c r="E1258" s="13"/>
      <c r="F1258" s="7" t="str">
        <f t="shared" ca="1" si="57"/>
        <v/>
      </c>
      <c r="G1258" s="27" t="str">
        <f t="shared" ca="1" si="58"/>
        <v/>
      </c>
      <c r="H1258" s="13"/>
      <c r="I1258" s="29" t="str">
        <f t="shared" ca="1" si="59"/>
        <v/>
      </c>
    </row>
    <row r="1259" spans="1:9" x14ac:dyDescent="0.35">
      <c r="A1259" s="21"/>
      <c r="B1259" s="13"/>
      <c r="C1259" s="14"/>
      <c r="D1259" s="14"/>
      <c r="E1259" s="13"/>
      <c r="F1259" s="7" t="str">
        <f t="shared" ca="1" si="57"/>
        <v/>
      </c>
      <c r="G1259" s="27" t="str">
        <f t="shared" ca="1" si="58"/>
        <v/>
      </c>
      <c r="H1259" s="13"/>
      <c r="I1259" s="29" t="str">
        <f t="shared" ca="1" si="59"/>
        <v/>
      </c>
    </row>
    <row r="1260" spans="1:9" x14ac:dyDescent="0.35">
      <c r="A1260" s="21"/>
      <c r="B1260" s="13"/>
      <c r="C1260" s="14"/>
      <c r="D1260" s="14"/>
      <c r="E1260" s="13"/>
      <c r="F1260" s="7" t="str">
        <f t="shared" ca="1" si="57"/>
        <v/>
      </c>
      <c r="G1260" s="27" t="str">
        <f t="shared" ca="1" si="58"/>
        <v/>
      </c>
      <c r="H1260" s="13"/>
      <c r="I1260" s="29" t="str">
        <f t="shared" ca="1" si="59"/>
        <v/>
      </c>
    </row>
    <row r="1261" spans="1:9" x14ac:dyDescent="0.35">
      <c r="A1261" s="21"/>
      <c r="B1261" s="13"/>
      <c r="C1261" s="14"/>
      <c r="D1261" s="14"/>
      <c r="E1261" s="13"/>
      <c r="F1261" s="7" t="str">
        <f t="shared" ca="1" si="57"/>
        <v/>
      </c>
      <c r="G1261" s="27" t="str">
        <f t="shared" ca="1" si="58"/>
        <v/>
      </c>
      <c r="H1261" s="13"/>
      <c r="I1261" s="29" t="str">
        <f t="shared" ca="1" si="59"/>
        <v/>
      </c>
    </row>
    <row r="1262" spans="1:9" x14ac:dyDescent="0.35">
      <c r="A1262" s="21"/>
      <c r="B1262" s="13"/>
      <c r="C1262" s="14"/>
      <c r="D1262" s="14"/>
      <c r="E1262" s="13"/>
      <c r="F1262" s="7" t="str">
        <f t="shared" ca="1" si="57"/>
        <v/>
      </c>
      <c r="G1262" s="27" t="str">
        <f t="shared" ca="1" si="58"/>
        <v/>
      </c>
      <c r="H1262" s="13"/>
      <c r="I1262" s="29" t="str">
        <f t="shared" ca="1" si="59"/>
        <v/>
      </c>
    </row>
    <row r="1263" spans="1:9" x14ac:dyDescent="0.35">
      <c r="A1263" s="21"/>
      <c r="B1263" s="13"/>
      <c r="C1263" s="14"/>
      <c r="D1263" s="14"/>
      <c r="E1263" s="13"/>
      <c r="F1263" s="7" t="str">
        <f t="shared" ca="1" si="57"/>
        <v/>
      </c>
      <c r="G1263" s="27" t="str">
        <f t="shared" ca="1" si="58"/>
        <v/>
      </c>
      <c r="H1263" s="13"/>
      <c r="I1263" s="29" t="str">
        <f t="shared" ca="1" si="59"/>
        <v/>
      </c>
    </row>
    <row r="1264" spans="1:9" x14ac:dyDescent="0.35">
      <c r="A1264" s="21"/>
      <c r="B1264" s="13"/>
      <c r="C1264" s="14"/>
      <c r="D1264" s="14"/>
      <c r="E1264" s="13"/>
      <c r="F1264" s="7" t="str">
        <f t="shared" ca="1" si="57"/>
        <v/>
      </c>
      <c r="G1264" s="27" t="str">
        <f t="shared" ca="1" si="58"/>
        <v/>
      </c>
      <c r="H1264" s="13"/>
      <c r="I1264" s="29" t="str">
        <f t="shared" ca="1" si="59"/>
        <v/>
      </c>
    </row>
    <row r="1265" spans="1:9" x14ac:dyDescent="0.35">
      <c r="A1265" s="21"/>
      <c r="B1265" s="13"/>
      <c r="C1265" s="14"/>
      <c r="D1265" s="14"/>
      <c r="E1265" s="13"/>
      <c r="F1265" s="7" t="str">
        <f t="shared" ca="1" si="57"/>
        <v/>
      </c>
      <c r="G1265" s="27" t="str">
        <f t="shared" ca="1" si="58"/>
        <v/>
      </c>
      <c r="H1265" s="13"/>
      <c r="I1265" s="29" t="str">
        <f t="shared" ca="1" si="59"/>
        <v/>
      </c>
    </row>
    <row r="1266" spans="1:9" x14ac:dyDescent="0.35">
      <c r="A1266" s="21"/>
      <c r="B1266" s="13"/>
      <c r="C1266" s="14"/>
      <c r="D1266" s="14"/>
      <c r="E1266" s="13"/>
      <c r="F1266" s="7" t="str">
        <f t="shared" ca="1" si="57"/>
        <v/>
      </c>
      <c r="G1266" s="27" t="str">
        <f t="shared" ca="1" si="58"/>
        <v/>
      </c>
      <c r="H1266" s="13"/>
      <c r="I1266" s="29" t="str">
        <f t="shared" ca="1" si="59"/>
        <v/>
      </c>
    </row>
    <row r="1267" spans="1:9" x14ac:dyDescent="0.35">
      <c r="A1267" s="21"/>
      <c r="B1267" s="13"/>
      <c r="C1267" s="14"/>
      <c r="D1267" s="14"/>
      <c r="E1267" s="13"/>
      <c r="F1267" s="7" t="str">
        <f t="shared" ca="1" si="57"/>
        <v/>
      </c>
      <c r="G1267" s="27" t="str">
        <f t="shared" ca="1" si="58"/>
        <v/>
      </c>
      <c r="H1267" s="13"/>
      <c r="I1267" s="29" t="str">
        <f t="shared" ca="1" si="59"/>
        <v/>
      </c>
    </row>
    <row r="1268" spans="1:9" x14ac:dyDescent="0.35">
      <c r="A1268" s="21"/>
      <c r="B1268" s="13"/>
      <c r="C1268" s="14"/>
      <c r="D1268" s="14"/>
      <c r="E1268" s="13"/>
      <c r="F1268" s="7" t="str">
        <f t="shared" ca="1" si="57"/>
        <v/>
      </c>
      <c r="G1268" s="27" t="str">
        <f t="shared" ca="1" si="58"/>
        <v/>
      </c>
      <c r="H1268" s="13"/>
      <c r="I1268" s="29" t="str">
        <f t="shared" ca="1" si="59"/>
        <v/>
      </c>
    </row>
    <row r="1269" spans="1:9" x14ac:dyDescent="0.35">
      <c r="A1269" s="21"/>
      <c r="B1269" s="13"/>
      <c r="C1269" s="14"/>
      <c r="D1269" s="14"/>
      <c r="E1269" s="13"/>
      <c r="F1269" s="7" t="str">
        <f t="shared" ca="1" si="57"/>
        <v/>
      </c>
      <c r="G1269" s="27" t="str">
        <f t="shared" ca="1" si="58"/>
        <v/>
      </c>
      <c r="H1269" s="13"/>
      <c r="I1269" s="29" t="str">
        <f t="shared" ca="1" si="59"/>
        <v/>
      </c>
    </row>
    <row r="1270" spans="1:9" x14ac:dyDescent="0.35">
      <c r="A1270" s="21"/>
      <c r="B1270" s="13"/>
      <c r="C1270" s="14"/>
      <c r="D1270" s="14"/>
      <c r="E1270" s="13"/>
      <c r="F1270" s="7" t="str">
        <f t="shared" ca="1" si="57"/>
        <v/>
      </c>
      <c r="G1270" s="27" t="str">
        <f t="shared" ca="1" si="58"/>
        <v/>
      </c>
      <c r="H1270" s="13"/>
      <c r="I1270" s="29" t="str">
        <f t="shared" ca="1" si="59"/>
        <v/>
      </c>
    </row>
    <row r="1271" spans="1:9" x14ac:dyDescent="0.35">
      <c r="A1271" s="21"/>
      <c r="B1271" s="13"/>
      <c r="C1271" s="14"/>
      <c r="D1271" s="14"/>
      <c r="E1271" s="13"/>
      <c r="F1271" s="7" t="str">
        <f t="shared" ca="1" si="57"/>
        <v/>
      </c>
      <c r="G1271" s="27" t="str">
        <f t="shared" ca="1" si="58"/>
        <v/>
      </c>
      <c r="H1271" s="13"/>
      <c r="I1271" s="29" t="str">
        <f t="shared" ca="1" si="59"/>
        <v/>
      </c>
    </row>
    <row r="1272" spans="1:9" x14ac:dyDescent="0.35">
      <c r="A1272" s="21"/>
      <c r="B1272" s="13"/>
      <c r="C1272" s="14"/>
      <c r="D1272" s="14"/>
      <c r="E1272" s="13"/>
      <c r="F1272" s="7" t="str">
        <f t="shared" ca="1" si="57"/>
        <v/>
      </c>
      <c r="G1272" s="27" t="str">
        <f t="shared" ca="1" si="58"/>
        <v/>
      </c>
      <c r="H1272" s="13"/>
      <c r="I1272" s="29" t="str">
        <f t="shared" ca="1" si="59"/>
        <v/>
      </c>
    </row>
    <row r="1273" spans="1:9" x14ac:dyDescent="0.35">
      <c r="A1273" s="21"/>
      <c r="B1273" s="13"/>
      <c r="C1273" s="14"/>
      <c r="D1273" s="14"/>
      <c r="E1273" s="13"/>
      <c r="F1273" s="7" t="str">
        <f t="shared" ca="1" si="57"/>
        <v/>
      </c>
      <c r="G1273" s="27" t="str">
        <f t="shared" ca="1" si="58"/>
        <v/>
      </c>
      <c r="H1273" s="13"/>
      <c r="I1273" s="29" t="str">
        <f t="shared" ca="1" si="59"/>
        <v/>
      </c>
    </row>
    <row r="1274" spans="1:9" x14ac:dyDescent="0.35">
      <c r="A1274" s="21"/>
      <c r="B1274" s="13"/>
      <c r="C1274" s="14"/>
      <c r="D1274" s="14"/>
      <c r="E1274" s="13"/>
      <c r="F1274" s="7" t="str">
        <f t="shared" ca="1" si="57"/>
        <v/>
      </c>
      <c r="G1274" s="27" t="str">
        <f t="shared" ca="1" si="58"/>
        <v/>
      </c>
      <c r="H1274" s="13"/>
      <c r="I1274" s="29" t="str">
        <f t="shared" ca="1" si="59"/>
        <v/>
      </c>
    </row>
    <row r="1275" spans="1:9" x14ac:dyDescent="0.35">
      <c r="A1275" s="21"/>
      <c r="B1275" s="13"/>
      <c r="C1275" s="14"/>
      <c r="D1275" s="14"/>
      <c r="E1275" s="13"/>
      <c r="F1275" s="7" t="str">
        <f t="shared" ca="1" si="57"/>
        <v/>
      </c>
      <c r="G1275" s="27" t="str">
        <f t="shared" ca="1" si="58"/>
        <v/>
      </c>
      <c r="H1275" s="13"/>
      <c r="I1275" s="29" t="str">
        <f t="shared" ca="1" si="59"/>
        <v/>
      </c>
    </row>
    <row r="1276" spans="1:9" x14ac:dyDescent="0.35">
      <c r="A1276" s="21"/>
      <c r="B1276" s="13"/>
      <c r="C1276" s="14"/>
      <c r="D1276" s="14"/>
      <c r="E1276" s="13"/>
      <c r="F1276" s="7" t="str">
        <f t="shared" ca="1" si="57"/>
        <v/>
      </c>
      <c r="G1276" s="27" t="str">
        <f t="shared" ca="1" si="58"/>
        <v/>
      </c>
      <c r="H1276" s="13"/>
      <c r="I1276" s="29" t="str">
        <f t="shared" ca="1" si="59"/>
        <v/>
      </c>
    </row>
    <row r="1277" spans="1:9" x14ac:dyDescent="0.35">
      <c r="A1277" s="21"/>
      <c r="B1277" s="13"/>
      <c r="C1277" s="14"/>
      <c r="D1277" s="14"/>
      <c r="E1277" s="13"/>
      <c r="F1277" s="7" t="str">
        <f t="shared" ca="1" si="57"/>
        <v/>
      </c>
      <c r="G1277" s="27" t="str">
        <f t="shared" ca="1" si="58"/>
        <v/>
      </c>
      <c r="H1277" s="13"/>
      <c r="I1277" s="29" t="str">
        <f t="shared" ca="1" si="59"/>
        <v/>
      </c>
    </row>
    <row r="1278" spans="1:9" x14ac:dyDescent="0.35">
      <c r="A1278" s="21"/>
      <c r="B1278" s="13"/>
      <c r="C1278" s="14"/>
      <c r="D1278" s="14"/>
      <c r="E1278" s="13"/>
      <c r="F1278" s="7" t="str">
        <f t="shared" ca="1" si="57"/>
        <v/>
      </c>
      <c r="G1278" s="27" t="str">
        <f t="shared" ca="1" si="58"/>
        <v/>
      </c>
      <c r="H1278" s="13"/>
      <c r="I1278" s="29" t="str">
        <f t="shared" ca="1" si="59"/>
        <v/>
      </c>
    </row>
    <row r="1279" spans="1:9" x14ac:dyDescent="0.35">
      <c r="A1279" s="21"/>
      <c r="B1279" s="13"/>
      <c r="C1279" s="14"/>
      <c r="D1279" s="14"/>
      <c r="E1279" s="13"/>
      <c r="F1279" s="7" t="str">
        <f t="shared" ca="1" si="57"/>
        <v/>
      </c>
      <c r="G1279" s="27" t="str">
        <f t="shared" ca="1" si="58"/>
        <v/>
      </c>
      <c r="H1279" s="13"/>
      <c r="I1279" s="29" t="str">
        <f t="shared" ca="1" si="59"/>
        <v/>
      </c>
    </row>
    <row r="1280" spans="1:9" x14ac:dyDescent="0.35">
      <c r="A1280" s="21"/>
      <c r="B1280" s="13"/>
      <c r="C1280" s="14"/>
      <c r="D1280" s="14"/>
      <c r="E1280" s="13"/>
      <c r="F1280" s="7" t="str">
        <f t="shared" ca="1" si="57"/>
        <v/>
      </c>
      <c r="G1280" s="27" t="str">
        <f t="shared" ca="1" si="58"/>
        <v/>
      </c>
      <c r="H1280" s="13"/>
      <c r="I1280" s="29" t="str">
        <f t="shared" ca="1" si="59"/>
        <v/>
      </c>
    </row>
    <row r="1281" spans="1:9" x14ac:dyDescent="0.35">
      <c r="A1281" s="21"/>
      <c r="B1281" s="13"/>
      <c r="C1281" s="14"/>
      <c r="D1281" s="14"/>
      <c r="E1281" s="13"/>
      <c r="F1281" s="7" t="str">
        <f t="shared" ca="1" si="57"/>
        <v/>
      </c>
      <c r="G1281" s="27" t="str">
        <f t="shared" ca="1" si="58"/>
        <v/>
      </c>
      <c r="H1281" s="13"/>
      <c r="I1281" s="29" t="str">
        <f t="shared" ca="1" si="59"/>
        <v/>
      </c>
    </row>
    <row r="1282" spans="1:9" x14ac:dyDescent="0.35">
      <c r="A1282" s="21"/>
      <c r="B1282" s="13"/>
      <c r="C1282" s="14"/>
      <c r="D1282" s="14"/>
      <c r="E1282" s="13"/>
      <c r="F1282" s="7" t="str">
        <f t="shared" ca="1" si="57"/>
        <v/>
      </c>
      <c r="G1282" s="27" t="str">
        <f t="shared" ca="1" si="58"/>
        <v/>
      </c>
      <c r="H1282" s="13"/>
      <c r="I1282" s="29" t="str">
        <f t="shared" ca="1" si="59"/>
        <v/>
      </c>
    </row>
    <row r="1283" spans="1:9" x14ac:dyDescent="0.35">
      <c r="A1283" s="21"/>
      <c r="B1283" s="13"/>
      <c r="C1283" s="14"/>
      <c r="D1283" s="14"/>
      <c r="E1283" s="13"/>
      <c r="F1283" s="7" t="str">
        <f t="shared" ca="1" si="57"/>
        <v/>
      </c>
      <c r="G1283" s="27" t="str">
        <f t="shared" ca="1" si="58"/>
        <v/>
      </c>
      <c r="H1283" s="13"/>
      <c r="I1283" s="29" t="str">
        <f t="shared" ca="1" si="59"/>
        <v/>
      </c>
    </row>
    <row r="1284" spans="1:9" x14ac:dyDescent="0.35">
      <c r="A1284" s="21"/>
      <c r="B1284" s="13"/>
      <c r="C1284" s="14"/>
      <c r="D1284" s="14"/>
      <c r="E1284" s="13"/>
      <c r="F1284" s="7" t="str">
        <f t="shared" ca="1" si="57"/>
        <v/>
      </c>
      <c r="G1284" s="27" t="str">
        <f t="shared" ca="1" si="58"/>
        <v/>
      </c>
      <c r="H1284" s="13"/>
      <c r="I1284" s="29" t="str">
        <f t="shared" ca="1" si="59"/>
        <v/>
      </c>
    </row>
    <row r="1285" spans="1:9" x14ac:dyDescent="0.35">
      <c r="A1285" s="21"/>
      <c r="B1285" s="13"/>
      <c r="C1285" s="14"/>
      <c r="D1285" s="14"/>
      <c r="E1285" s="13"/>
      <c r="F1285" s="7" t="str">
        <f t="shared" ref="F1285:F1348" ca="1" si="60">IF($B1285="","",IF($D1285&lt;&gt;"","Fait",IF($C1285="","Non planifié",IF(N($C1285)&lt;TODAY(),"En retard","À venir"))))</f>
        <v/>
      </c>
      <c r="G1285" s="27" t="str">
        <f t="shared" ref="G1285:G1348" ca="1" si="61">IF($B1285="","",IF(AND($C1285&lt;&gt;"",$D1285&lt;&gt;""),$D1285-$C1285,IF($F1285="En retard",TODAY()-$C1285,"")))</f>
        <v/>
      </c>
      <c r="H1285" s="13"/>
      <c r="I1285" s="29" t="str">
        <f t="shared" ref="I1285:I1348" ca="1" si="62">IF($F1285="En retard",1,"")</f>
        <v/>
      </c>
    </row>
    <row r="1286" spans="1:9" x14ac:dyDescent="0.35">
      <c r="A1286" s="21"/>
      <c r="B1286" s="13"/>
      <c r="C1286" s="14"/>
      <c r="D1286" s="14"/>
      <c r="E1286" s="13"/>
      <c r="F1286" s="7" t="str">
        <f t="shared" ca="1" si="60"/>
        <v/>
      </c>
      <c r="G1286" s="27" t="str">
        <f t="shared" ca="1" si="61"/>
        <v/>
      </c>
      <c r="H1286" s="13"/>
      <c r="I1286" s="29" t="str">
        <f t="shared" ca="1" si="62"/>
        <v/>
      </c>
    </row>
    <row r="1287" spans="1:9" x14ac:dyDescent="0.35">
      <c r="A1287" s="21"/>
      <c r="B1287" s="13"/>
      <c r="C1287" s="14"/>
      <c r="D1287" s="14"/>
      <c r="E1287" s="13"/>
      <c r="F1287" s="7" t="str">
        <f t="shared" ca="1" si="60"/>
        <v/>
      </c>
      <c r="G1287" s="27" t="str">
        <f t="shared" ca="1" si="61"/>
        <v/>
      </c>
      <c r="H1287" s="13"/>
      <c r="I1287" s="29" t="str">
        <f t="shared" ca="1" si="62"/>
        <v/>
      </c>
    </row>
    <row r="1288" spans="1:9" x14ac:dyDescent="0.35">
      <c r="A1288" s="21"/>
      <c r="B1288" s="13"/>
      <c r="C1288" s="14"/>
      <c r="D1288" s="14"/>
      <c r="E1288" s="13"/>
      <c r="F1288" s="7" t="str">
        <f t="shared" ca="1" si="60"/>
        <v/>
      </c>
      <c r="G1288" s="27" t="str">
        <f t="shared" ca="1" si="61"/>
        <v/>
      </c>
      <c r="H1288" s="13"/>
      <c r="I1288" s="29" t="str">
        <f t="shared" ca="1" si="62"/>
        <v/>
      </c>
    </row>
    <row r="1289" spans="1:9" x14ac:dyDescent="0.35">
      <c r="A1289" s="21"/>
      <c r="B1289" s="13"/>
      <c r="C1289" s="14"/>
      <c r="D1289" s="14"/>
      <c r="E1289" s="13"/>
      <c r="F1289" s="7" t="str">
        <f t="shared" ca="1" si="60"/>
        <v/>
      </c>
      <c r="G1289" s="27" t="str">
        <f t="shared" ca="1" si="61"/>
        <v/>
      </c>
      <c r="H1289" s="13"/>
      <c r="I1289" s="29" t="str">
        <f t="shared" ca="1" si="62"/>
        <v/>
      </c>
    </row>
    <row r="1290" spans="1:9" x14ac:dyDescent="0.35">
      <c r="A1290" s="21"/>
      <c r="B1290" s="13"/>
      <c r="C1290" s="14"/>
      <c r="D1290" s="14"/>
      <c r="E1290" s="13"/>
      <c r="F1290" s="7" t="str">
        <f t="shared" ca="1" si="60"/>
        <v/>
      </c>
      <c r="G1290" s="27" t="str">
        <f t="shared" ca="1" si="61"/>
        <v/>
      </c>
      <c r="H1290" s="13"/>
      <c r="I1290" s="29" t="str">
        <f t="shared" ca="1" si="62"/>
        <v/>
      </c>
    </row>
    <row r="1291" spans="1:9" x14ac:dyDescent="0.35">
      <c r="A1291" s="21"/>
      <c r="B1291" s="13"/>
      <c r="C1291" s="14"/>
      <c r="D1291" s="14"/>
      <c r="E1291" s="13"/>
      <c r="F1291" s="7" t="str">
        <f t="shared" ca="1" si="60"/>
        <v/>
      </c>
      <c r="G1291" s="27" t="str">
        <f t="shared" ca="1" si="61"/>
        <v/>
      </c>
      <c r="H1291" s="13"/>
      <c r="I1291" s="29" t="str">
        <f t="shared" ca="1" si="62"/>
        <v/>
      </c>
    </row>
    <row r="1292" spans="1:9" x14ac:dyDescent="0.35">
      <c r="A1292" s="21"/>
      <c r="B1292" s="13"/>
      <c r="C1292" s="14"/>
      <c r="D1292" s="14"/>
      <c r="E1292" s="13"/>
      <c r="F1292" s="7" t="str">
        <f t="shared" ca="1" si="60"/>
        <v/>
      </c>
      <c r="G1292" s="27" t="str">
        <f t="shared" ca="1" si="61"/>
        <v/>
      </c>
      <c r="H1292" s="13"/>
      <c r="I1292" s="29" t="str">
        <f t="shared" ca="1" si="62"/>
        <v/>
      </c>
    </row>
    <row r="1293" spans="1:9" x14ac:dyDescent="0.35">
      <c r="A1293" s="21"/>
      <c r="B1293" s="13"/>
      <c r="C1293" s="14"/>
      <c r="D1293" s="14"/>
      <c r="E1293" s="13"/>
      <c r="F1293" s="7" t="str">
        <f t="shared" ca="1" si="60"/>
        <v/>
      </c>
      <c r="G1293" s="27" t="str">
        <f t="shared" ca="1" si="61"/>
        <v/>
      </c>
      <c r="H1293" s="13"/>
      <c r="I1293" s="29" t="str">
        <f t="shared" ca="1" si="62"/>
        <v/>
      </c>
    </row>
    <row r="1294" spans="1:9" x14ac:dyDescent="0.35">
      <c r="A1294" s="21"/>
      <c r="B1294" s="13"/>
      <c r="C1294" s="14"/>
      <c r="D1294" s="14"/>
      <c r="E1294" s="13"/>
      <c r="F1294" s="7" t="str">
        <f t="shared" ca="1" si="60"/>
        <v/>
      </c>
      <c r="G1294" s="27" t="str">
        <f t="shared" ca="1" si="61"/>
        <v/>
      </c>
      <c r="H1294" s="13"/>
      <c r="I1294" s="29" t="str">
        <f t="shared" ca="1" si="62"/>
        <v/>
      </c>
    </row>
    <row r="1295" spans="1:9" x14ac:dyDescent="0.35">
      <c r="A1295" s="21"/>
      <c r="B1295" s="13"/>
      <c r="C1295" s="14"/>
      <c r="D1295" s="14"/>
      <c r="E1295" s="13"/>
      <c r="F1295" s="7" t="str">
        <f t="shared" ca="1" si="60"/>
        <v/>
      </c>
      <c r="G1295" s="27" t="str">
        <f t="shared" ca="1" si="61"/>
        <v/>
      </c>
      <c r="H1295" s="13"/>
      <c r="I1295" s="29" t="str">
        <f t="shared" ca="1" si="62"/>
        <v/>
      </c>
    </row>
    <row r="1296" spans="1:9" x14ac:dyDescent="0.35">
      <c r="A1296" s="21"/>
      <c r="B1296" s="13"/>
      <c r="C1296" s="14"/>
      <c r="D1296" s="14"/>
      <c r="E1296" s="13"/>
      <c r="F1296" s="7" t="str">
        <f t="shared" ca="1" si="60"/>
        <v/>
      </c>
      <c r="G1296" s="27" t="str">
        <f t="shared" ca="1" si="61"/>
        <v/>
      </c>
      <c r="H1296" s="13"/>
      <c r="I1296" s="29" t="str">
        <f t="shared" ca="1" si="62"/>
        <v/>
      </c>
    </row>
    <row r="1297" spans="1:9" x14ac:dyDescent="0.35">
      <c r="A1297" s="21"/>
      <c r="B1297" s="13"/>
      <c r="C1297" s="14"/>
      <c r="D1297" s="14"/>
      <c r="E1297" s="13"/>
      <c r="F1297" s="7" t="str">
        <f t="shared" ca="1" si="60"/>
        <v/>
      </c>
      <c r="G1297" s="27" t="str">
        <f t="shared" ca="1" si="61"/>
        <v/>
      </c>
      <c r="H1297" s="13"/>
      <c r="I1297" s="29" t="str">
        <f t="shared" ca="1" si="62"/>
        <v/>
      </c>
    </row>
    <row r="1298" spans="1:9" x14ac:dyDescent="0.35">
      <c r="A1298" s="21"/>
      <c r="B1298" s="13"/>
      <c r="C1298" s="14"/>
      <c r="D1298" s="14"/>
      <c r="E1298" s="13"/>
      <c r="F1298" s="7" t="str">
        <f t="shared" ca="1" si="60"/>
        <v/>
      </c>
      <c r="G1298" s="27" t="str">
        <f t="shared" ca="1" si="61"/>
        <v/>
      </c>
      <c r="H1298" s="13"/>
      <c r="I1298" s="29" t="str">
        <f t="shared" ca="1" si="62"/>
        <v/>
      </c>
    </row>
    <row r="1299" spans="1:9" x14ac:dyDescent="0.35">
      <c r="A1299" s="21"/>
      <c r="B1299" s="13"/>
      <c r="C1299" s="14"/>
      <c r="D1299" s="14"/>
      <c r="E1299" s="13"/>
      <c r="F1299" s="7" t="str">
        <f t="shared" ca="1" si="60"/>
        <v/>
      </c>
      <c r="G1299" s="27" t="str">
        <f t="shared" ca="1" si="61"/>
        <v/>
      </c>
      <c r="H1299" s="13"/>
      <c r="I1299" s="29" t="str">
        <f t="shared" ca="1" si="62"/>
        <v/>
      </c>
    </row>
    <row r="1300" spans="1:9" x14ac:dyDescent="0.35">
      <c r="A1300" s="21"/>
      <c r="B1300" s="13"/>
      <c r="C1300" s="14"/>
      <c r="D1300" s="14"/>
      <c r="E1300" s="13"/>
      <c r="F1300" s="7" t="str">
        <f t="shared" ca="1" si="60"/>
        <v/>
      </c>
      <c r="G1300" s="27" t="str">
        <f t="shared" ca="1" si="61"/>
        <v/>
      </c>
      <c r="H1300" s="13"/>
      <c r="I1300" s="29" t="str">
        <f t="shared" ca="1" si="62"/>
        <v/>
      </c>
    </row>
    <row r="1301" spans="1:9" x14ac:dyDescent="0.35">
      <c r="A1301" s="21"/>
      <c r="B1301" s="13"/>
      <c r="C1301" s="14"/>
      <c r="D1301" s="14"/>
      <c r="E1301" s="13"/>
      <c r="F1301" s="7" t="str">
        <f t="shared" ca="1" si="60"/>
        <v/>
      </c>
      <c r="G1301" s="27" t="str">
        <f t="shared" ca="1" si="61"/>
        <v/>
      </c>
      <c r="H1301" s="13"/>
      <c r="I1301" s="29" t="str">
        <f t="shared" ca="1" si="62"/>
        <v/>
      </c>
    </row>
    <row r="1302" spans="1:9" x14ac:dyDescent="0.35">
      <c r="A1302" s="21"/>
      <c r="B1302" s="13"/>
      <c r="C1302" s="14"/>
      <c r="D1302" s="14"/>
      <c r="E1302" s="13"/>
      <c r="F1302" s="7" t="str">
        <f t="shared" ca="1" si="60"/>
        <v/>
      </c>
      <c r="G1302" s="27" t="str">
        <f t="shared" ca="1" si="61"/>
        <v/>
      </c>
      <c r="H1302" s="13"/>
      <c r="I1302" s="29" t="str">
        <f t="shared" ca="1" si="62"/>
        <v/>
      </c>
    </row>
    <row r="1303" spans="1:9" x14ac:dyDescent="0.35">
      <c r="A1303" s="21"/>
      <c r="B1303" s="13"/>
      <c r="C1303" s="14"/>
      <c r="D1303" s="14"/>
      <c r="E1303" s="13"/>
      <c r="F1303" s="7" t="str">
        <f t="shared" ca="1" si="60"/>
        <v/>
      </c>
      <c r="G1303" s="27" t="str">
        <f t="shared" ca="1" si="61"/>
        <v/>
      </c>
      <c r="H1303" s="13"/>
      <c r="I1303" s="29" t="str">
        <f t="shared" ca="1" si="62"/>
        <v/>
      </c>
    </row>
    <row r="1304" spans="1:9" x14ac:dyDescent="0.35">
      <c r="A1304" s="21"/>
      <c r="B1304" s="13"/>
      <c r="C1304" s="14"/>
      <c r="D1304" s="14"/>
      <c r="E1304" s="13"/>
      <c r="F1304" s="7" t="str">
        <f t="shared" ca="1" si="60"/>
        <v/>
      </c>
      <c r="G1304" s="27" t="str">
        <f t="shared" ca="1" si="61"/>
        <v/>
      </c>
      <c r="H1304" s="13"/>
      <c r="I1304" s="29" t="str">
        <f t="shared" ca="1" si="62"/>
        <v/>
      </c>
    </row>
    <row r="1305" spans="1:9" x14ac:dyDescent="0.35">
      <c r="A1305" s="21"/>
      <c r="B1305" s="13"/>
      <c r="C1305" s="14"/>
      <c r="D1305" s="14"/>
      <c r="E1305" s="13"/>
      <c r="F1305" s="7" t="str">
        <f t="shared" ca="1" si="60"/>
        <v/>
      </c>
      <c r="G1305" s="27" t="str">
        <f t="shared" ca="1" si="61"/>
        <v/>
      </c>
      <c r="H1305" s="13"/>
      <c r="I1305" s="29" t="str">
        <f t="shared" ca="1" si="62"/>
        <v/>
      </c>
    </row>
    <row r="1306" spans="1:9" x14ac:dyDescent="0.35">
      <c r="A1306" s="21"/>
      <c r="B1306" s="13"/>
      <c r="C1306" s="14"/>
      <c r="D1306" s="14"/>
      <c r="E1306" s="13"/>
      <c r="F1306" s="7" t="str">
        <f t="shared" ca="1" si="60"/>
        <v/>
      </c>
      <c r="G1306" s="27" t="str">
        <f t="shared" ca="1" si="61"/>
        <v/>
      </c>
      <c r="H1306" s="13"/>
      <c r="I1306" s="29" t="str">
        <f t="shared" ca="1" si="62"/>
        <v/>
      </c>
    </row>
    <row r="1307" spans="1:9" x14ac:dyDescent="0.35">
      <c r="A1307" s="21"/>
      <c r="B1307" s="13"/>
      <c r="C1307" s="14"/>
      <c r="D1307" s="14"/>
      <c r="E1307" s="13"/>
      <c r="F1307" s="7" t="str">
        <f t="shared" ca="1" si="60"/>
        <v/>
      </c>
      <c r="G1307" s="27" t="str">
        <f t="shared" ca="1" si="61"/>
        <v/>
      </c>
      <c r="H1307" s="13"/>
      <c r="I1307" s="29" t="str">
        <f t="shared" ca="1" si="62"/>
        <v/>
      </c>
    </row>
    <row r="1308" spans="1:9" x14ac:dyDescent="0.35">
      <c r="A1308" s="21"/>
      <c r="B1308" s="13"/>
      <c r="C1308" s="14"/>
      <c r="D1308" s="14"/>
      <c r="E1308" s="13"/>
      <c r="F1308" s="7" t="str">
        <f t="shared" ca="1" si="60"/>
        <v/>
      </c>
      <c r="G1308" s="27" t="str">
        <f t="shared" ca="1" si="61"/>
        <v/>
      </c>
      <c r="H1308" s="13"/>
      <c r="I1308" s="29" t="str">
        <f t="shared" ca="1" si="62"/>
        <v/>
      </c>
    </row>
    <row r="1309" spans="1:9" x14ac:dyDescent="0.35">
      <c r="A1309" s="21"/>
      <c r="B1309" s="13"/>
      <c r="C1309" s="14"/>
      <c r="D1309" s="14"/>
      <c r="E1309" s="13"/>
      <c r="F1309" s="7" t="str">
        <f t="shared" ca="1" si="60"/>
        <v/>
      </c>
      <c r="G1309" s="27" t="str">
        <f t="shared" ca="1" si="61"/>
        <v/>
      </c>
      <c r="H1309" s="13"/>
      <c r="I1309" s="29" t="str">
        <f t="shared" ca="1" si="62"/>
        <v/>
      </c>
    </row>
    <row r="1310" spans="1:9" x14ac:dyDescent="0.35">
      <c r="A1310" s="21"/>
      <c r="B1310" s="13"/>
      <c r="C1310" s="14"/>
      <c r="D1310" s="14"/>
      <c r="E1310" s="13"/>
      <c r="F1310" s="7" t="str">
        <f t="shared" ca="1" si="60"/>
        <v/>
      </c>
      <c r="G1310" s="27" t="str">
        <f t="shared" ca="1" si="61"/>
        <v/>
      </c>
      <c r="H1310" s="13"/>
      <c r="I1310" s="29" t="str">
        <f t="shared" ca="1" si="62"/>
        <v/>
      </c>
    </row>
    <row r="1311" spans="1:9" x14ac:dyDescent="0.35">
      <c r="A1311" s="21"/>
      <c r="B1311" s="13"/>
      <c r="C1311" s="14"/>
      <c r="D1311" s="14"/>
      <c r="E1311" s="13"/>
      <c r="F1311" s="7" t="str">
        <f t="shared" ca="1" si="60"/>
        <v/>
      </c>
      <c r="G1311" s="27" t="str">
        <f t="shared" ca="1" si="61"/>
        <v/>
      </c>
      <c r="H1311" s="13"/>
      <c r="I1311" s="29" t="str">
        <f t="shared" ca="1" si="62"/>
        <v/>
      </c>
    </row>
    <row r="1312" spans="1:9" x14ac:dyDescent="0.35">
      <c r="A1312" s="21"/>
      <c r="B1312" s="13"/>
      <c r="C1312" s="14"/>
      <c r="D1312" s="14"/>
      <c r="E1312" s="13"/>
      <c r="F1312" s="7" t="str">
        <f t="shared" ca="1" si="60"/>
        <v/>
      </c>
      <c r="G1312" s="27" t="str">
        <f t="shared" ca="1" si="61"/>
        <v/>
      </c>
      <c r="H1312" s="13"/>
      <c r="I1312" s="29" t="str">
        <f t="shared" ca="1" si="62"/>
        <v/>
      </c>
    </row>
    <row r="1313" spans="1:9" x14ac:dyDescent="0.35">
      <c r="A1313" s="21"/>
      <c r="B1313" s="13"/>
      <c r="C1313" s="14"/>
      <c r="D1313" s="14"/>
      <c r="E1313" s="13"/>
      <c r="F1313" s="7" t="str">
        <f t="shared" ca="1" si="60"/>
        <v/>
      </c>
      <c r="G1313" s="27" t="str">
        <f t="shared" ca="1" si="61"/>
        <v/>
      </c>
      <c r="H1313" s="13"/>
      <c r="I1313" s="29" t="str">
        <f t="shared" ca="1" si="62"/>
        <v/>
      </c>
    </row>
    <row r="1314" spans="1:9" x14ac:dyDescent="0.35">
      <c r="A1314" s="21"/>
      <c r="B1314" s="13"/>
      <c r="C1314" s="14"/>
      <c r="D1314" s="14"/>
      <c r="E1314" s="13"/>
      <c r="F1314" s="7" t="str">
        <f t="shared" ca="1" si="60"/>
        <v/>
      </c>
      <c r="G1314" s="27" t="str">
        <f t="shared" ca="1" si="61"/>
        <v/>
      </c>
      <c r="H1314" s="13"/>
      <c r="I1314" s="29" t="str">
        <f t="shared" ca="1" si="62"/>
        <v/>
      </c>
    </row>
    <row r="1315" spans="1:9" x14ac:dyDescent="0.35">
      <c r="A1315" s="21"/>
      <c r="B1315" s="13"/>
      <c r="C1315" s="14"/>
      <c r="D1315" s="14"/>
      <c r="E1315" s="13"/>
      <c r="F1315" s="7" t="str">
        <f t="shared" ca="1" si="60"/>
        <v/>
      </c>
      <c r="G1315" s="27" t="str">
        <f t="shared" ca="1" si="61"/>
        <v/>
      </c>
      <c r="H1315" s="13"/>
      <c r="I1315" s="29" t="str">
        <f t="shared" ca="1" si="62"/>
        <v/>
      </c>
    </row>
    <row r="1316" spans="1:9" x14ac:dyDescent="0.35">
      <c r="A1316" s="21"/>
      <c r="B1316" s="13"/>
      <c r="C1316" s="14"/>
      <c r="D1316" s="14"/>
      <c r="E1316" s="13"/>
      <c r="F1316" s="7" t="str">
        <f t="shared" ca="1" si="60"/>
        <v/>
      </c>
      <c r="G1316" s="27" t="str">
        <f t="shared" ca="1" si="61"/>
        <v/>
      </c>
      <c r="H1316" s="13"/>
      <c r="I1316" s="29" t="str">
        <f t="shared" ca="1" si="62"/>
        <v/>
      </c>
    </row>
    <row r="1317" spans="1:9" x14ac:dyDescent="0.35">
      <c r="A1317" s="21"/>
      <c r="B1317" s="13"/>
      <c r="C1317" s="14"/>
      <c r="D1317" s="14"/>
      <c r="E1317" s="13"/>
      <c r="F1317" s="7" t="str">
        <f t="shared" ca="1" si="60"/>
        <v/>
      </c>
      <c r="G1317" s="27" t="str">
        <f t="shared" ca="1" si="61"/>
        <v/>
      </c>
      <c r="H1317" s="13"/>
      <c r="I1317" s="29" t="str">
        <f t="shared" ca="1" si="62"/>
        <v/>
      </c>
    </row>
    <row r="1318" spans="1:9" x14ac:dyDescent="0.35">
      <c r="A1318" s="21"/>
      <c r="B1318" s="13"/>
      <c r="C1318" s="14"/>
      <c r="D1318" s="14"/>
      <c r="E1318" s="13"/>
      <c r="F1318" s="7" t="str">
        <f t="shared" ca="1" si="60"/>
        <v/>
      </c>
      <c r="G1318" s="27" t="str">
        <f t="shared" ca="1" si="61"/>
        <v/>
      </c>
      <c r="H1318" s="13"/>
      <c r="I1318" s="29" t="str">
        <f t="shared" ca="1" si="62"/>
        <v/>
      </c>
    </row>
    <row r="1319" spans="1:9" x14ac:dyDescent="0.35">
      <c r="A1319" s="21"/>
      <c r="B1319" s="13"/>
      <c r="C1319" s="14"/>
      <c r="D1319" s="14"/>
      <c r="E1319" s="13"/>
      <c r="F1319" s="7" t="str">
        <f t="shared" ca="1" si="60"/>
        <v/>
      </c>
      <c r="G1319" s="27" t="str">
        <f t="shared" ca="1" si="61"/>
        <v/>
      </c>
      <c r="H1319" s="13"/>
      <c r="I1319" s="29" t="str">
        <f t="shared" ca="1" si="62"/>
        <v/>
      </c>
    </row>
    <row r="1320" spans="1:9" x14ac:dyDescent="0.35">
      <c r="A1320" s="21"/>
      <c r="B1320" s="13"/>
      <c r="C1320" s="14"/>
      <c r="D1320" s="14"/>
      <c r="E1320" s="13"/>
      <c r="F1320" s="7" t="str">
        <f t="shared" ca="1" si="60"/>
        <v/>
      </c>
      <c r="G1320" s="27" t="str">
        <f t="shared" ca="1" si="61"/>
        <v/>
      </c>
      <c r="H1320" s="13"/>
      <c r="I1320" s="29" t="str">
        <f t="shared" ca="1" si="62"/>
        <v/>
      </c>
    </row>
    <row r="1321" spans="1:9" x14ac:dyDescent="0.35">
      <c r="A1321" s="21"/>
      <c r="B1321" s="13"/>
      <c r="C1321" s="14"/>
      <c r="D1321" s="14"/>
      <c r="E1321" s="13"/>
      <c r="F1321" s="7" t="str">
        <f t="shared" ca="1" si="60"/>
        <v/>
      </c>
      <c r="G1321" s="27" t="str">
        <f t="shared" ca="1" si="61"/>
        <v/>
      </c>
      <c r="H1321" s="13"/>
      <c r="I1321" s="29" t="str">
        <f t="shared" ca="1" si="62"/>
        <v/>
      </c>
    </row>
    <row r="1322" spans="1:9" x14ac:dyDescent="0.35">
      <c r="A1322" s="21"/>
      <c r="B1322" s="13"/>
      <c r="C1322" s="14"/>
      <c r="D1322" s="14"/>
      <c r="E1322" s="13"/>
      <c r="F1322" s="7" t="str">
        <f t="shared" ca="1" si="60"/>
        <v/>
      </c>
      <c r="G1322" s="27" t="str">
        <f t="shared" ca="1" si="61"/>
        <v/>
      </c>
      <c r="H1322" s="13"/>
      <c r="I1322" s="29" t="str">
        <f t="shared" ca="1" si="62"/>
        <v/>
      </c>
    </row>
    <row r="1323" spans="1:9" x14ac:dyDescent="0.35">
      <c r="A1323" s="21"/>
      <c r="B1323" s="13"/>
      <c r="C1323" s="14"/>
      <c r="D1323" s="14"/>
      <c r="E1323" s="13"/>
      <c r="F1323" s="7" t="str">
        <f t="shared" ca="1" si="60"/>
        <v/>
      </c>
      <c r="G1323" s="27" t="str">
        <f t="shared" ca="1" si="61"/>
        <v/>
      </c>
      <c r="H1323" s="13"/>
      <c r="I1323" s="29" t="str">
        <f t="shared" ca="1" si="62"/>
        <v/>
      </c>
    </row>
    <row r="1324" spans="1:9" x14ac:dyDescent="0.35">
      <c r="A1324" s="21"/>
      <c r="B1324" s="13"/>
      <c r="C1324" s="14"/>
      <c r="D1324" s="14"/>
      <c r="E1324" s="13"/>
      <c r="F1324" s="7" t="str">
        <f t="shared" ca="1" si="60"/>
        <v/>
      </c>
      <c r="G1324" s="27" t="str">
        <f t="shared" ca="1" si="61"/>
        <v/>
      </c>
      <c r="H1324" s="13"/>
      <c r="I1324" s="29" t="str">
        <f t="shared" ca="1" si="62"/>
        <v/>
      </c>
    </row>
    <row r="1325" spans="1:9" x14ac:dyDescent="0.35">
      <c r="A1325" s="21"/>
      <c r="B1325" s="13"/>
      <c r="C1325" s="14"/>
      <c r="D1325" s="14"/>
      <c r="E1325" s="13"/>
      <c r="F1325" s="7" t="str">
        <f t="shared" ca="1" si="60"/>
        <v/>
      </c>
      <c r="G1325" s="27" t="str">
        <f t="shared" ca="1" si="61"/>
        <v/>
      </c>
      <c r="H1325" s="13"/>
      <c r="I1325" s="29" t="str">
        <f t="shared" ca="1" si="62"/>
        <v/>
      </c>
    </row>
    <row r="1326" spans="1:9" x14ac:dyDescent="0.35">
      <c r="A1326" s="21"/>
      <c r="B1326" s="13"/>
      <c r="C1326" s="14"/>
      <c r="D1326" s="14"/>
      <c r="E1326" s="13"/>
      <c r="F1326" s="7" t="str">
        <f t="shared" ca="1" si="60"/>
        <v/>
      </c>
      <c r="G1326" s="27" t="str">
        <f t="shared" ca="1" si="61"/>
        <v/>
      </c>
      <c r="H1326" s="13"/>
      <c r="I1326" s="29" t="str">
        <f t="shared" ca="1" si="62"/>
        <v/>
      </c>
    </row>
    <row r="1327" spans="1:9" x14ac:dyDescent="0.35">
      <c r="A1327" s="21"/>
      <c r="B1327" s="13"/>
      <c r="C1327" s="14"/>
      <c r="D1327" s="14"/>
      <c r="E1327" s="13"/>
      <c r="F1327" s="7" t="str">
        <f t="shared" ca="1" si="60"/>
        <v/>
      </c>
      <c r="G1327" s="27" t="str">
        <f t="shared" ca="1" si="61"/>
        <v/>
      </c>
      <c r="H1327" s="13"/>
      <c r="I1327" s="29" t="str">
        <f t="shared" ca="1" si="62"/>
        <v/>
      </c>
    </row>
    <row r="1328" spans="1:9" x14ac:dyDescent="0.35">
      <c r="A1328" s="21"/>
      <c r="B1328" s="13"/>
      <c r="C1328" s="14"/>
      <c r="D1328" s="14"/>
      <c r="E1328" s="13"/>
      <c r="F1328" s="7" t="str">
        <f t="shared" ca="1" si="60"/>
        <v/>
      </c>
      <c r="G1328" s="27" t="str">
        <f t="shared" ca="1" si="61"/>
        <v/>
      </c>
      <c r="H1328" s="13"/>
      <c r="I1328" s="29" t="str">
        <f t="shared" ca="1" si="62"/>
        <v/>
      </c>
    </row>
    <row r="1329" spans="1:9" x14ac:dyDescent="0.35">
      <c r="A1329" s="21"/>
      <c r="B1329" s="13"/>
      <c r="C1329" s="14"/>
      <c r="D1329" s="14"/>
      <c r="E1329" s="13"/>
      <c r="F1329" s="7" t="str">
        <f t="shared" ca="1" si="60"/>
        <v/>
      </c>
      <c r="G1329" s="27" t="str">
        <f t="shared" ca="1" si="61"/>
        <v/>
      </c>
      <c r="H1329" s="13"/>
      <c r="I1329" s="29" t="str">
        <f t="shared" ca="1" si="62"/>
        <v/>
      </c>
    </row>
    <row r="1330" spans="1:9" x14ac:dyDescent="0.35">
      <c r="A1330" s="21"/>
      <c r="B1330" s="13"/>
      <c r="C1330" s="14"/>
      <c r="D1330" s="14"/>
      <c r="E1330" s="13"/>
      <c r="F1330" s="7" t="str">
        <f t="shared" ca="1" si="60"/>
        <v/>
      </c>
      <c r="G1330" s="27" t="str">
        <f t="shared" ca="1" si="61"/>
        <v/>
      </c>
      <c r="H1330" s="13"/>
      <c r="I1330" s="29" t="str">
        <f t="shared" ca="1" si="62"/>
        <v/>
      </c>
    </row>
    <row r="1331" spans="1:9" x14ac:dyDescent="0.35">
      <c r="A1331" s="21"/>
      <c r="B1331" s="13"/>
      <c r="C1331" s="14"/>
      <c r="D1331" s="14"/>
      <c r="E1331" s="13"/>
      <c r="F1331" s="7" t="str">
        <f t="shared" ca="1" si="60"/>
        <v/>
      </c>
      <c r="G1331" s="27" t="str">
        <f t="shared" ca="1" si="61"/>
        <v/>
      </c>
      <c r="H1331" s="13"/>
      <c r="I1331" s="29" t="str">
        <f t="shared" ca="1" si="62"/>
        <v/>
      </c>
    </row>
    <row r="1332" spans="1:9" x14ac:dyDescent="0.35">
      <c r="A1332" s="21"/>
      <c r="B1332" s="13"/>
      <c r="C1332" s="14"/>
      <c r="D1332" s="14"/>
      <c r="E1332" s="13"/>
      <c r="F1332" s="7" t="str">
        <f t="shared" ca="1" si="60"/>
        <v/>
      </c>
      <c r="G1332" s="27" t="str">
        <f t="shared" ca="1" si="61"/>
        <v/>
      </c>
      <c r="H1332" s="13"/>
      <c r="I1332" s="29" t="str">
        <f t="shared" ca="1" si="62"/>
        <v/>
      </c>
    </row>
    <row r="1333" spans="1:9" x14ac:dyDescent="0.35">
      <c r="A1333" s="21"/>
      <c r="B1333" s="13"/>
      <c r="C1333" s="14"/>
      <c r="D1333" s="14"/>
      <c r="E1333" s="13"/>
      <c r="F1333" s="7" t="str">
        <f t="shared" ca="1" si="60"/>
        <v/>
      </c>
      <c r="G1333" s="27" t="str">
        <f t="shared" ca="1" si="61"/>
        <v/>
      </c>
      <c r="H1333" s="13"/>
      <c r="I1333" s="29" t="str">
        <f t="shared" ca="1" si="62"/>
        <v/>
      </c>
    </row>
    <row r="1334" spans="1:9" x14ac:dyDescent="0.35">
      <c r="A1334" s="21"/>
      <c r="B1334" s="13"/>
      <c r="C1334" s="14"/>
      <c r="D1334" s="14"/>
      <c r="E1334" s="13"/>
      <c r="F1334" s="7" t="str">
        <f t="shared" ca="1" si="60"/>
        <v/>
      </c>
      <c r="G1334" s="27" t="str">
        <f t="shared" ca="1" si="61"/>
        <v/>
      </c>
      <c r="H1334" s="13"/>
      <c r="I1334" s="29" t="str">
        <f t="shared" ca="1" si="62"/>
        <v/>
      </c>
    </row>
    <row r="1335" spans="1:9" x14ac:dyDescent="0.35">
      <c r="A1335" s="21"/>
      <c r="B1335" s="13"/>
      <c r="C1335" s="14"/>
      <c r="D1335" s="14"/>
      <c r="E1335" s="13"/>
      <c r="F1335" s="7" t="str">
        <f t="shared" ca="1" si="60"/>
        <v/>
      </c>
      <c r="G1335" s="27" t="str">
        <f t="shared" ca="1" si="61"/>
        <v/>
      </c>
      <c r="H1335" s="13"/>
      <c r="I1335" s="29" t="str">
        <f t="shared" ca="1" si="62"/>
        <v/>
      </c>
    </row>
    <row r="1336" spans="1:9" x14ac:dyDescent="0.35">
      <c r="A1336" s="21"/>
      <c r="B1336" s="13"/>
      <c r="C1336" s="14"/>
      <c r="D1336" s="14"/>
      <c r="E1336" s="13"/>
      <c r="F1336" s="7" t="str">
        <f t="shared" ca="1" si="60"/>
        <v/>
      </c>
      <c r="G1336" s="27" t="str">
        <f t="shared" ca="1" si="61"/>
        <v/>
      </c>
      <c r="H1336" s="13"/>
      <c r="I1336" s="29" t="str">
        <f t="shared" ca="1" si="62"/>
        <v/>
      </c>
    </row>
    <row r="1337" spans="1:9" x14ac:dyDescent="0.35">
      <c r="A1337" s="21"/>
      <c r="B1337" s="13"/>
      <c r="C1337" s="14"/>
      <c r="D1337" s="14"/>
      <c r="E1337" s="13"/>
      <c r="F1337" s="7" t="str">
        <f t="shared" ca="1" si="60"/>
        <v/>
      </c>
      <c r="G1337" s="27" t="str">
        <f t="shared" ca="1" si="61"/>
        <v/>
      </c>
      <c r="H1337" s="13"/>
      <c r="I1337" s="29" t="str">
        <f t="shared" ca="1" si="62"/>
        <v/>
      </c>
    </row>
    <row r="1338" spans="1:9" x14ac:dyDescent="0.35">
      <c r="A1338" s="21"/>
      <c r="B1338" s="13"/>
      <c r="C1338" s="14"/>
      <c r="D1338" s="14"/>
      <c r="E1338" s="13"/>
      <c r="F1338" s="7" t="str">
        <f t="shared" ca="1" si="60"/>
        <v/>
      </c>
      <c r="G1338" s="27" t="str">
        <f t="shared" ca="1" si="61"/>
        <v/>
      </c>
      <c r="H1338" s="13"/>
      <c r="I1338" s="29" t="str">
        <f t="shared" ca="1" si="62"/>
        <v/>
      </c>
    </row>
    <row r="1339" spans="1:9" x14ac:dyDescent="0.35">
      <c r="A1339" s="21"/>
      <c r="B1339" s="13"/>
      <c r="C1339" s="14"/>
      <c r="D1339" s="14"/>
      <c r="E1339" s="13"/>
      <c r="F1339" s="7" t="str">
        <f t="shared" ca="1" si="60"/>
        <v/>
      </c>
      <c r="G1339" s="27" t="str">
        <f t="shared" ca="1" si="61"/>
        <v/>
      </c>
      <c r="H1339" s="13"/>
      <c r="I1339" s="29" t="str">
        <f t="shared" ca="1" si="62"/>
        <v/>
      </c>
    </row>
    <row r="1340" spans="1:9" x14ac:dyDescent="0.35">
      <c r="A1340" s="21"/>
      <c r="B1340" s="13"/>
      <c r="C1340" s="14"/>
      <c r="D1340" s="14"/>
      <c r="E1340" s="13"/>
      <c r="F1340" s="7" t="str">
        <f t="shared" ca="1" si="60"/>
        <v/>
      </c>
      <c r="G1340" s="27" t="str">
        <f t="shared" ca="1" si="61"/>
        <v/>
      </c>
      <c r="H1340" s="13"/>
      <c r="I1340" s="29" t="str">
        <f t="shared" ca="1" si="62"/>
        <v/>
      </c>
    </row>
    <row r="1341" spans="1:9" x14ac:dyDescent="0.35">
      <c r="A1341" s="21"/>
      <c r="B1341" s="13"/>
      <c r="C1341" s="14"/>
      <c r="D1341" s="14"/>
      <c r="E1341" s="13"/>
      <c r="F1341" s="7" t="str">
        <f t="shared" ca="1" si="60"/>
        <v/>
      </c>
      <c r="G1341" s="27" t="str">
        <f t="shared" ca="1" si="61"/>
        <v/>
      </c>
      <c r="H1341" s="13"/>
      <c r="I1341" s="29" t="str">
        <f t="shared" ca="1" si="62"/>
        <v/>
      </c>
    </row>
    <row r="1342" spans="1:9" x14ac:dyDescent="0.35">
      <c r="A1342" s="21"/>
      <c r="B1342" s="13"/>
      <c r="C1342" s="14"/>
      <c r="D1342" s="14"/>
      <c r="E1342" s="13"/>
      <c r="F1342" s="7" t="str">
        <f t="shared" ca="1" si="60"/>
        <v/>
      </c>
      <c r="G1342" s="27" t="str">
        <f t="shared" ca="1" si="61"/>
        <v/>
      </c>
      <c r="H1342" s="13"/>
      <c r="I1342" s="29" t="str">
        <f t="shared" ca="1" si="62"/>
        <v/>
      </c>
    </row>
    <row r="1343" spans="1:9" x14ac:dyDescent="0.35">
      <c r="A1343" s="21"/>
      <c r="B1343" s="13"/>
      <c r="C1343" s="14"/>
      <c r="D1343" s="14"/>
      <c r="E1343" s="13"/>
      <c r="F1343" s="7" t="str">
        <f t="shared" ca="1" si="60"/>
        <v/>
      </c>
      <c r="G1343" s="27" t="str">
        <f t="shared" ca="1" si="61"/>
        <v/>
      </c>
      <c r="H1343" s="13"/>
      <c r="I1343" s="29" t="str">
        <f t="shared" ca="1" si="62"/>
        <v/>
      </c>
    </row>
    <row r="1344" spans="1:9" x14ac:dyDescent="0.35">
      <c r="A1344" s="21"/>
      <c r="B1344" s="13"/>
      <c r="C1344" s="14"/>
      <c r="D1344" s="14"/>
      <c r="E1344" s="13"/>
      <c r="F1344" s="7" t="str">
        <f t="shared" ca="1" si="60"/>
        <v/>
      </c>
      <c r="G1344" s="27" t="str">
        <f t="shared" ca="1" si="61"/>
        <v/>
      </c>
      <c r="H1344" s="13"/>
      <c r="I1344" s="29" t="str">
        <f t="shared" ca="1" si="62"/>
        <v/>
      </c>
    </row>
    <row r="1345" spans="1:9" x14ac:dyDescent="0.35">
      <c r="A1345" s="21"/>
      <c r="B1345" s="13"/>
      <c r="C1345" s="14"/>
      <c r="D1345" s="14"/>
      <c r="E1345" s="13"/>
      <c r="F1345" s="7" t="str">
        <f t="shared" ca="1" si="60"/>
        <v/>
      </c>
      <c r="G1345" s="27" t="str">
        <f t="shared" ca="1" si="61"/>
        <v/>
      </c>
      <c r="H1345" s="13"/>
      <c r="I1345" s="29" t="str">
        <f t="shared" ca="1" si="62"/>
        <v/>
      </c>
    </row>
    <row r="1346" spans="1:9" x14ac:dyDescent="0.35">
      <c r="A1346" s="21"/>
      <c r="B1346" s="13"/>
      <c r="C1346" s="14"/>
      <c r="D1346" s="14"/>
      <c r="E1346" s="13"/>
      <c r="F1346" s="7" t="str">
        <f t="shared" ca="1" si="60"/>
        <v/>
      </c>
      <c r="G1346" s="27" t="str">
        <f t="shared" ca="1" si="61"/>
        <v/>
      </c>
      <c r="H1346" s="13"/>
      <c r="I1346" s="29" t="str">
        <f t="shared" ca="1" si="62"/>
        <v/>
      </c>
    </row>
    <row r="1347" spans="1:9" x14ac:dyDescent="0.35">
      <c r="A1347" s="21"/>
      <c r="B1347" s="13"/>
      <c r="C1347" s="14"/>
      <c r="D1347" s="14"/>
      <c r="E1347" s="13"/>
      <c r="F1347" s="7" t="str">
        <f t="shared" ca="1" si="60"/>
        <v/>
      </c>
      <c r="G1347" s="27" t="str">
        <f t="shared" ca="1" si="61"/>
        <v/>
      </c>
      <c r="H1347" s="13"/>
      <c r="I1347" s="29" t="str">
        <f t="shared" ca="1" si="62"/>
        <v/>
      </c>
    </row>
    <row r="1348" spans="1:9" x14ac:dyDescent="0.35">
      <c r="A1348" s="21"/>
      <c r="B1348" s="13"/>
      <c r="C1348" s="14"/>
      <c r="D1348" s="14"/>
      <c r="E1348" s="13"/>
      <c r="F1348" s="7" t="str">
        <f t="shared" ca="1" si="60"/>
        <v/>
      </c>
      <c r="G1348" s="27" t="str">
        <f t="shared" ca="1" si="61"/>
        <v/>
      </c>
      <c r="H1348" s="13"/>
      <c r="I1348" s="29" t="str">
        <f t="shared" ca="1" si="62"/>
        <v/>
      </c>
    </row>
    <row r="1349" spans="1:9" x14ac:dyDescent="0.35">
      <c r="A1349" s="21"/>
      <c r="B1349" s="13"/>
      <c r="C1349" s="14"/>
      <c r="D1349" s="14"/>
      <c r="E1349" s="13"/>
      <c r="F1349" s="7" t="str">
        <f t="shared" ref="F1349:F1412" ca="1" si="63">IF($B1349="","",IF($D1349&lt;&gt;"","Fait",IF($C1349="","Non planifié",IF(N($C1349)&lt;TODAY(),"En retard","À venir"))))</f>
        <v/>
      </c>
      <c r="G1349" s="27" t="str">
        <f t="shared" ref="G1349:G1412" ca="1" si="64">IF($B1349="","",IF(AND($C1349&lt;&gt;"",$D1349&lt;&gt;""),$D1349-$C1349,IF($F1349="En retard",TODAY()-$C1349,"")))</f>
        <v/>
      </c>
      <c r="H1349" s="13"/>
      <c r="I1349" s="29" t="str">
        <f t="shared" ref="I1349:I1412" ca="1" si="65">IF($F1349="En retard",1,"")</f>
        <v/>
      </c>
    </row>
    <row r="1350" spans="1:9" x14ac:dyDescent="0.35">
      <c r="A1350" s="21"/>
      <c r="B1350" s="13"/>
      <c r="C1350" s="14"/>
      <c r="D1350" s="14"/>
      <c r="E1350" s="13"/>
      <c r="F1350" s="7" t="str">
        <f t="shared" ca="1" si="63"/>
        <v/>
      </c>
      <c r="G1350" s="27" t="str">
        <f t="shared" ca="1" si="64"/>
        <v/>
      </c>
      <c r="H1350" s="13"/>
      <c r="I1350" s="29" t="str">
        <f t="shared" ca="1" si="65"/>
        <v/>
      </c>
    </row>
    <row r="1351" spans="1:9" x14ac:dyDescent="0.35">
      <c r="A1351" s="21"/>
      <c r="B1351" s="13"/>
      <c r="C1351" s="14"/>
      <c r="D1351" s="14"/>
      <c r="E1351" s="13"/>
      <c r="F1351" s="7" t="str">
        <f t="shared" ca="1" si="63"/>
        <v/>
      </c>
      <c r="G1351" s="27" t="str">
        <f t="shared" ca="1" si="64"/>
        <v/>
      </c>
      <c r="H1351" s="13"/>
      <c r="I1351" s="29" t="str">
        <f t="shared" ca="1" si="65"/>
        <v/>
      </c>
    </row>
    <row r="1352" spans="1:9" x14ac:dyDescent="0.35">
      <c r="A1352" s="21"/>
      <c r="B1352" s="13"/>
      <c r="C1352" s="14"/>
      <c r="D1352" s="14"/>
      <c r="E1352" s="13"/>
      <c r="F1352" s="7" t="str">
        <f t="shared" ca="1" si="63"/>
        <v/>
      </c>
      <c r="G1352" s="27" t="str">
        <f t="shared" ca="1" si="64"/>
        <v/>
      </c>
      <c r="H1352" s="13"/>
      <c r="I1352" s="29" t="str">
        <f t="shared" ca="1" si="65"/>
        <v/>
      </c>
    </row>
    <row r="1353" spans="1:9" x14ac:dyDescent="0.35">
      <c r="A1353" s="21"/>
      <c r="B1353" s="13"/>
      <c r="C1353" s="14"/>
      <c r="D1353" s="14"/>
      <c r="E1353" s="13"/>
      <c r="F1353" s="7" t="str">
        <f t="shared" ca="1" si="63"/>
        <v/>
      </c>
      <c r="G1353" s="27" t="str">
        <f t="shared" ca="1" si="64"/>
        <v/>
      </c>
      <c r="H1353" s="13"/>
      <c r="I1353" s="29" t="str">
        <f t="shared" ca="1" si="65"/>
        <v/>
      </c>
    </row>
    <row r="1354" spans="1:9" x14ac:dyDescent="0.35">
      <c r="A1354" s="21"/>
      <c r="B1354" s="13"/>
      <c r="C1354" s="14"/>
      <c r="D1354" s="14"/>
      <c r="E1354" s="13"/>
      <c r="F1354" s="7" t="str">
        <f t="shared" ca="1" si="63"/>
        <v/>
      </c>
      <c r="G1354" s="27" t="str">
        <f t="shared" ca="1" si="64"/>
        <v/>
      </c>
      <c r="H1354" s="13"/>
      <c r="I1354" s="29" t="str">
        <f t="shared" ca="1" si="65"/>
        <v/>
      </c>
    </row>
    <row r="1355" spans="1:9" x14ac:dyDescent="0.35">
      <c r="A1355" s="21"/>
      <c r="B1355" s="13"/>
      <c r="C1355" s="14"/>
      <c r="D1355" s="14"/>
      <c r="E1355" s="13"/>
      <c r="F1355" s="7" t="str">
        <f t="shared" ca="1" si="63"/>
        <v/>
      </c>
      <c r="G1355" s="27" t="str">
        <f t="shared" ca="1" si="64"/>
        <v/>
      </c>
      <c r="H1355" s="13"/>
      <c r="I1355" s="29" t="str">
        <f t="shared" ca="1" si="65"/>
        <v/>
      </c>
    </row>
    <row r="1356" spans="1:9" x14ac:dyDescent="0.35">
      <c r="A1356" s="21"/>
      <c r="B1356" s="13"/>
      <c r="C1356" s="14"/>
      <c r="D1356" s="14"/>
      <c r="E1356" s="13"/>
      <c r="F1356" s="7" t="str">
        <f t="shared" ca="1" si="63"/>
        <v/>
      </c>
      <c r="G1356" s="27" t="str">
        <f t="shared" ca="1" si="64"/>
        <v/>
      </c>
      <c r="H1356" s="13"/>
      <c r="I1356" s="29" t="str">
        <f t="shared" ca="1" si="65"/>
        <v/>
      </c>
    </row>
    <row r="1357" spans="1:9" x14ac:dyDescent="0.35">
      <c r="A1357" s="21"/>
      <c r="B1357" s="13"/>
      <c r="C1357" s="14"/>
      <c r="D1357" s="14"/>
      <c r="E1357" s="13"/>
      <c r="F1357" s="7" t="str">
        <f t="shared" ca="1" si="63"/>
        <v/>
      </c>
      <c r="G1357" s="27" t="str">
        <f t="shared" ca="1" si="64"/>
        <v/>
      </c>
      <c r="H1357" s="13"/>
      <c r="I1357" s="29" t="str">
        <f t="shared" ca="1" si="65"/>
        <v/>
      </c>
    </row>
    <row r="1358" spans="1:9" x14ac:dyDescent="0.35">
      <c r="A1358" s="21"/>
      <c r="B1358" s="13"/>
      <c r="C1358" s="14"/>
      <c r="D1358" s="14"/>
      <c r="E1358" s="13"/>
      <c r="F1358" s="7" t="str">
        <f t="shared" ca="1" si="63"/>
        <v/>
      </c>
      <c r="G1358" s="27" t="str">
        <f t="shared" ca="1" si="64"/>
        <v/>
      </c>
      <c r="H1358" s="13"/>
      <c r="I1358" s="29" t="str">
        <f t="shared" ca="1" si="65"/>
        <v/>
      </c>
    </row>
    <row r="1359" spans="1:9" x14ac:dyDescent="0.35">
      <c r="A1359" s="21"/>
      <c r="B1359" s="13"/>
      <c r="C1359" s="14"/>
      <c r="D1359" s="14"/>
      <c r="E1359" s="13"/>
      <c r="F1359" s="7" t="str">
        <f t="shared" ca="1" si="63"/>
        <v/>
      </c>
      <c r="G1359" s="27" t="str">
        <f t="shared" ca="1" si="64"/>
        <v/>
      </c>
      <c r="H1359" s="13"/>
      <c r="I1359" s="29" t="str">
        <f t="shared" ca="1" si="65"/>
        <v/>
      </c>
    </row>
    <row r="1360" spans="1:9" x14ac:dyDescent="0.35">
      <c r="A1360" s="21"/>
      <c r="B1360" s="13"/>
      <c r="C1360" s="14"/>
      <c r="D1360" s="14"/>
      <c r="E1360" s="13"/>
      <c r="F1360" s="7" t="str">
        <f t="shared" ca="1" si="63"/>
        <v/>
      </c>
      <c r="G1360" s="27" t="str">
        <f t="shared" ca="1" si="64"/>
        <v/>
      </c>
      <c r="H1360" s="13"/>
      <c r="I1360" s="29" t="str">
        <f t="shared" ca="1" si="65"/>
        <v/>
      </c>
    </row>
    <row r="1361" spans="1:9" x14ac:dyDescent="0.35">
      <c r="A1361" s="21"/>
      <c r="B1361" s="13"/>
      <c r="C1361" s="14"/>
      <c r="D1361" s="14"/>
      <c r="E1361" s="13"/>
      <c r="F1361" s="7" t="str">
        <f t="shared" ca="1" si="63"/>
        <v/>
      </c>
      <c r="G1361" s="27" t="str">
        <f t="shared" ca="1" si="64"/>
        <v/>
      </c>
      <c r="H1361" s="13"/>
      <c r="I1361" s="29" t="str">
        <f t="shared" ca="1" si="65"/>
        <v/>
      </c>
    </row>
    <row r="1362" spans="1:9" x14ac:dyDescent="0.35">
      <c r="A1362" s="21"/>
      <c r="B1362" s="13"/>
      <c r="C1362" s="14"/>
      <c r="D1362" s="14"/>
      <c r="E1362" s="13"/>
      <c r="F1362" s="7" t="str">
        <f t="shared" ca="1" si="63"/>
        <v/>
      </c>
      <c r="G1362" s="27" t="str">
        <f t="shared" ca="1" si="64"/>
        <v/>
      </c>
      <c r="H1362" s="13"/>
      <c r="I1362" s="29" t="str">
        <f t="shared" ca="1" si="65"/>
        <v/>
      </c>
    </row>
    <row r="1363" spans="1:9" x14ac:dyDescent="0.35">
      <c r="A1363" s="21"/>
      <c r="B1363" s="13"/>
      <c r="C1363" s="14"/>
      <c r="D1363" s="14"/>
      <c r="E1363" s="13"/>
      <c r="F1363" s="7" t="str">
        <f t="shared" ca="1" si="63"/>
        <v/>
      </c>
      <c r="G1363" s="27" t="str">
        <f t="shared" ca="1" si="64"/>
        <v/>
      </c>
      <c r="H1363" s="13"/>
      <c r="I1363" s="29" t="str">
        <f t="shared" ca="1" si="65"/>
        <v/>
      </c>
    </row>
    <row r="1364" spans="1:9" x14ac:dyDescent="0.35">
      <c r="A1364" s="21"/>
      <c r="B1364" s="13"/>
      <c r="C1364" s="14"/>
      <c r="D1364" s="14"/>
      <c r="E1364" s="13"/>
      <c r="F1364" s="7" t="str">
        <f t="shared" ca="1" si="63"/>
        <v/>
      </c>
      <c r="G1364" s="27" t="str">
        <f t="shared" ca="1" si="64"/>
        <v/>
      </c>
      <c r="H1364" s="13"/>
      <c r="I1364" s="29" t="str">
        <f t="shared" ca="1" si="65"/>
        <v/>
      </c>
    </row>
    <row r="1365" spans="1:9" x14ac:dyDescent="0.35">
      <c r="A1365" s="21"/>
      <c r="B1365" s="13"/>
      <c r="C1365" s="14"/>
      <c r="D1365" s="14"/>
      <c r="E1365" s="13"/>
      <c r="F1365" s="7" t="str">
        <f t="shared" ca="1" si="63"/>
        <v/>
      </c>
      <c r="G1365" s="27" t="str">
        <f t="shared" ca="1" si="64"/>
        <v/>
      </c>
      <c r="H1365" s="13"/>
      <c r="I1365" s="29" t="str">
        <f t="shared" ca="1" si="65"/>
        <v/>
      </c>
    </row>
    <row r="1366" spans="1:9" x14ac:dyDescent="0.35">
      <c r="A1366" s="21"/>
      <c r="B1366" s="13"/>
      <c r="C1366" s="14"/>
      <c r="D1366" s="14"/>
      <c r="E1366" s="13"/>
      <c r="F1366" s="7" t="str">
        <f t="shared" ca="1" si="63"/>
        <v/>
      </c>
      <c r="G1366" s="27" t="str">
        <f t="shared" ca="1" si="64"/>
        <v/>
      </c>
      <c r="H1366" s="13"/>
      <c r="I1366" s="29" t="str">
        <f t="shared" ca="1" si="65"/>
        <v/>
      </c>
    </row>
    <row r="1367" spans="1:9" x14ac:dyDescent="0.35">
      <c r="A1367" s="21"/>
      <c r="B1367" s="13"/>
      <c r="C1367" s="14"/>
      <c r="D1367" s="14"/>
      <c r="E1367" s="13"/>
      <c r="F1367" s="7" t="str">
        <f t="shared" ca="1" si="63"/>
        <v/>
      </c>
      <c r="G1367" s="27" t="str">
        <f t="shared" ca="1" si="64"/>
        <v/>
      </c>
      <c r="H1367" s="13"/>
      <c r="I1367" s="29" t="str">
        <f t="shared" ca="1" si="65"/>
        <v/>
      </c>
    </row>
    <row r="1368" spans="1:9" x14ac:dyDescent="0.35">
      <c r="A1368" s="21"/>
      <c r="B1368" s="13"/>
      <c r="C1368" s="14"/>
      <c r="D1368" s="14"/>
      <c r="E1368" s="13"/>
      <c r="F1368" s="7" t="str">
        <f t="shared" ca="1" si="63"/>
        <v/>
      </c>
      <c r="G1368" s="27" t="str">
        <f t="shared" ca="1" si="64"/>
        <v/>
      </c>
      <c r="H1368" s="13"/>
      <c r="I1368" s="29" t="str">
        <f t="shared" ca="1" si="65"/>
        <v/>
      </c>
    </row>
    <row r="1369" spans="1:9" x14ac:dyDescent="0.35">
      <c r="A1369" s="21"/>
      <c r="B1369" s="13"/>
      <c r="C1369" s="14"/>
      <c r="D1369" s="14"/>
      <c r="E1369" s="13"/>
      <c r="F1369" s="7" t="str">
        <f t="shared" ca="1" si="63"/>
        <v/>
      </c>
      <c r="G1369" s="27" t="str">
        <f t="shared" ca="1" si="64"/>
        <v/>
      </c>
      <c r="H1369" s="13"/>
      <c r="I1369" s="29" t="str">
        <f t="shared" ca="1" si="65"/>
        <v/>
      </c>
    </row>
    <row r="1370" spans="1:9" x14ac:dyDescent="0.35">
      <c r="A1370" s="21"/>
      <c r="B1370" s="13"/>
      <c r="C1370" s="14"/>
      <c r="D1370" s="14"/>
      <c r="E1370" s="13"/>
      <c r="F1370" s="7" t="str">
        <f t="shared" ca="1" si="63"/>
        <v/>
      </c>
      <c r="G1370" s="27" t="str">
        <f t="shared" ca="1" si="64"/>
        <v/>
      </c>
      <c r="H1370" s="13"/>
      <c r="I1370" s="29" t="str">
        <f t="shared" ca="1" si="65"/>
        <v/>
      </c>
    </row>
    <row r="1371" spans="1:9" x14ac:dyDescent="0.35">
      <c r="A1371" s="21"/>
      <c r="B1371" s="13"/>
      <c r="C1371" s="14"/>
      <c r="D1371" s="14"/>
      <c r="E1371" s="13"/>
      <c r="F1371" s="7" t="str">
        <f t="shared" ca="1" si="63"/>
        <v/>
      </c>
      <c r="G1371" s="27" t="str">
        <f t="shared" ca="1" si="64"/>
        <v/>
      </c>
      <c r="H1371" s="13"/>
      <c r="I1371" s="29" t="str">
        <f t="shared" ca="1" si="65"/>
        <v/>
      </c>
    </row>
    <row r="1372" spans="1:9" x14ac:dyDescent="0.35">
      <c r="A1372" s="21"/>
      <c r="B1372" s="13"/>
      <c r="C1372" s="14"/>
      <c r="D1372" s="14"/>
      <c r="E1372" s="13"/>
      <c r="F1372" s="7" t="str">
        <f t="shared" ca="1" si="63"/>
        <v/>
      </c>
      <c r="G1372" s="27" t="str">
        <f t="shared" ca="1" si="64"/>
        <v/>
      </c>
      <c r="H1372" s="13"/>
      <c r="I1372" s="29" t="str">
        <f t="shared" ca="1" si="65"/>
        <v/>
      </c>
    </row>
    <row r="1373" spans="1:9" x14ac:dyDescent="0.35">
      <c r="A1373" s="21"/>
      <c r="B1373" s="13"/>
      <c r="C1373" s="14"/>
      <c r="D1373" s="14"/>
      <c r="E1373" s="13"/>
      <c r="F1373" s="7" t="str">
        <f t="shared" ca="1" si="63"/>
        <v/>
      </c>
      <c r="G1373" s="27" t="str">
        <f t="shared" ca="1" si="64"/>
        <v/>
      </c>
      <c r="H1373" s="13"/>
      <c r="I1373" s="29" t="str">
        <f t="shared" ca="1" si="65"/>
        <v/>
      </c>
    </row>
    <row r="1374" spans="1:9" x14ac:dyDescent="0.35">
      <c r="A1374" s="21"/>
      <c r="B1374" s="13"/>
      <c r="C1374" s="14"/>
      <c r="D1374" s="14"/>
      <c r="E1374" s="13"/>
      <c r="F1374" s="7" t="str">
        <f t="shared" ca="1" si="63"/>
        <v/>
      </c>
      <c r="G1374" s="27" t="str">
        <f t="shared" ca="1" si="64"/>
        <v/>
      </c>
      <c r="H1374" s="13"/>
      <c r="I1374" s="29" t="str">
        <f t="shared" ca="1" si="65"/>
        <v/>
      </c>
    </row>
    <row r="1375" spans="1:9" x14ac:dyDescent="0.35">
      <c r="A1375" s="21"/>
      <c r="B1375" s="13"/>
      <c r="C1375" s="14"/>
      <c r="D1375" s="14"/>
      <c r="E1375" s="13"/>
      <c r="F1375" s="7" t="str">
        <f t="shared" ca="1" si="63"/>
        <v/>
      </c>
      <c r="G1375" s="27" t="str">
        <f t="shared" ca="1" si="64"/>
        <v/>
      </c>
      <c r="H1375" s="13"/>
      <c r="I1375" s="29" t="str">
        <f t="shared" ca="1" si="65"/>
        <v/>
      </c>
    </row>
    <row r="1376" spans="1:9" x14ac:dyDescent="0.35">
      <c r="A1376" s="21"/>
      <c r="B1376" s="13"/>
      <c r="C1376" s="14"/>
      <c r="D1376" s="14"/>
      <c r="E1376" s="13"/>
      <c r="F1376" s="7" t="str">
        <f t="shared" ca="1" si="63"/>
        <v/>
      </c>
      <c r="G1376" s="27" t="str">
        <f t="shared" ca="1" si="64"/>
        <v/>
      </c>
      <c r="H1376" s="13"/>
      <c r="I1376" s="29" t="str">
        <f t="shared" ca="1" si="65"/>
        <v/>
      </c>
    </row>
    <row r="1377" spans="1:9" x14ac:dyDescent="0.35">
      <c r="A1377" s="21"/>
      <c r="B1377" s="13"/>
      <c r="C1377" s="14"/>
      <c r="D1377" s="14"/>
      <c r="E1377" s="13"/>
      <c r="F1377" s="7" t="str">
        <f t="shared" ca="1" si="63"/>
        <v/>
      </c>
      <c r="G1377" s="27" t="str">
        <f t="shared" ca="1" si="64"/>
        <v/>
      </c>
      <c r="H1377" s="13"/>
      <c r="I1377" s="29" t="str">
        <f t="shared" ca="1" si="65"/>
        <v/>
      </c>
    </row>
    <row r="1378" spans="1:9" x14ac:dyDescent="0.35">
      <c r="A1378" s="21"/>
      <c r="B1378" s="13"/>
      <c r="C1378" s="14"/>
      <c r="D1378" s="14"/>
      <c r="E1378" s="13"/>
      <c r="F1378" s="7" t="str">
        <f t="shared" ca="1" si="63"/>
        <v/>
      </c>
      <c r="G1378" s="27" t="str">
        <f t="shared" ca="1" si="64"/>
        <v/>
      </c>
      <c r="H1378" s="13"/>
      <c r="I1378" s="29" t="str">
        <f t="shared" ca="1" si="65"/>
        <v/>
      </c>
    </row>
    <row r="1379" spans="1:9" x14ac:dyDescent="0.35">
      <c r="A1379" s="21"/>
      <c r="B1379" s="13"/>
      <c r="C1379" s="14"/>
      <c r="D1379" s="14"/>
      <c r="E1379" s="13"/>
      <c r="F1379" s="7" t="str">
        <f t="shared" ca="1" si="63"/>
        <v/>
      </c>
      <c r="G1379" s="27" t="str">
        <f t="shared" ca="1" si="64"/>
        <v/>
      </c>
      <c r="H1379" s="13"/>
      <c r="I1379" s="29" t="str">
        <f t="shared" ca="1" si="65"/>
        <v/>
      </c>
    </row>
    <row r="1380" spans="1:9" x14ac:dyDescent="0.35">
      <c r="A1380" s="21"/>
      <c r="B1380" s="13"/>
      <c r="C1380" s="14"/>
      <c r="D1380" s="14"/>
      <c r="E1380" s="13"/>
      <c r="F1380" s="7" t="str">
        <f t="shared" ca="1" si="63"/>
        <v/>
      </c>
      <c r="G1380" s="27" t="str">
        <f t="shared" ca="1" si="64"/>
        <v/>
      </c>
      <c r="H1380" s="13"/>
      <c r="I1380" s="29" t="str">
        <f t="shared" ca="1" si="65"/>
        <v/>
      </c>
    </row>
    <row r="1381" spans="1:9" x14ac:dyDescent="0.35">
      <c r="A1381" s="21"/>
      <c r="B1381" s="13"/>
      <c r="C1381" s="14"/>
      <c r="D1381" s="14"/>
      <c r="E1381" s="13"/>
      <c r="F1381" s="7" t="str">
        <f t="shared" ca="1" si="63"/>
        <v/>
      </c>
      <c r="G1381" s="27" t="str">
        <f t="shared" ca="1" si="64"/>
        <v/>
      </c>
      <c r="H1381" s="13"/>
      <c r="I1381" s="29" t="str">
        <f t="shared" ca="1" si="65"/>
        <v/>
      </c>
    </row>
    <row r="1382" spans="1:9" x14ac:dyDescent="0.35">
      <c r="A1382" s="21"/>
      <c r="B1382" s="13"/>
      <c r="C1382" s="14"/>
      <c r="D1382" s="14"/>
      <c r="E1382" s="13"/>
      <c r="F1382" s="7" t="str">
        <f t="shared" ca="1" si="63"/>
        <v/>
      </c>
      <c r="G1382" s="27" t="str">
        <f t="shared" ca="1" si="64"/>
        <v/>
      </c>
      <c r="H1382" s="13"/>
      <c r="I1382" s="29" t="str">
        <f t="shared" ca="1" si="65"/>
        <v/>
      </c>
    </row>
    <row r="1383" spans="1:9" x14ac:dyDescent="0.35">
      <c r="A1383" s="21"/>
      <c r="B1383" s="13"/>
      <c r="C1383" s="14"/>
      <c r="D1383" s="14"/>
      <c r="E1383" s="13"/>
      <c r="F1383" s="7" t="str">
        <f t="shared" ca="1" si="63"/>
        <v/>
      </c>
      <c r="G1383" s="27" t="str">
        <f t="shared" ca="1" si="64"/>
        <v/>
      </c>
      <c r="H1383" s="13"/>
      <c r="I1383" s="29" t="str">
        <f t="shared" ca="1" si="65"/>
        <v/>
      </c>
    </row>
    <row r="1384" spans="1:9" x14ac:dyDescent="0.35">
      <c r="A1384" s="21"/>
      <c r="B1384" s="13"/>
      <c r="C1384" s="14"/>
      <c r="D1384" s="14"/>
      <c r="E1384" s="13"/>
      <c r="F1384" s="7" t="str">
        <f t="shared" ca="1" si="63"/>
        <v/>
      </c>
      <c r="G1384" s="27" t="str">
        <f t="shared" ca="1" si="64"/>
        <v/>
      </c>
      <c r="H1384" s="13"/>
      <c r="I1384" s="29" t="str">
        <f t="shared" ca="1" si="65"/>
        <v/>
      </c>
    </row>
    <row r="1385" spans="1:9" x14ac:dyDescent="0.35">
      <c r="A1385" s="21"/>
      <c r="B1385" s="13"/>
      <c r="C1385" s="14"/>
      <c r="D1385" s="14"/>
      <c r="E1385" s="13"/>
      <c r="F1385" s="7" t="str">
        <f t="shared" ca="1" si="63"/>
        <v/>
      </c>
      <c r="G1385" s="27" t="str">
        <f t="shared" ca="1" si="64"/>
        <v/>
      </c>
      <c r="H1385" s="13"/>
      <c r="I1385" s="29" t="str">
        <f t="shared" ca="1" si="65"/>
        <v/>
      </c>
    </row>
    <row r="1386" spans="1:9" x14ac:dyDescent="0.35">
      <c r="A1386" s="21"/>
      <c r="B1386" s="13"/>
      <c r="C1386" s="14"/>
      <c r="D1386" s="14"/>
      <c r="E1386" s="13"/>
      <c r="F1386" s="7" t="str">
        <f t="shared" ca="1" si="63"/>
        <v/>
      </c>
      <c r="G1386" s="27" t="str">
        <f t="shared" ca="1" si="64"/>
        <v/>
      </c>
      <c r="H1386" s="13"/>
      <c r="I1386" s="29" t="str">
        <f t="shared" ca="1" si="65"/>
        <v/>
      </c>
    </row>
    <row r="1387" spans="1:9" x14ac:dyDescent="0.35">
      <c r="A1387" s="21"/>
      <c r="B1387" s="13"/>
      <c r="C1387" s="14"/>
      <c r="D1387" s="14"/>
      <c r="E1387" s="13"/>
      <c r="F1387" s="7" t="str">
        <f t="shared" ca="1" si="63"/>
        <v/>
      </c>
      <c r="G1387" s="27" t="str">
        <f t="shared" ca="1" si="64"/>
        <v/>
      </c>
      <c r="H1387" s="13"/>
      <c r="I1387" s="29" t="str">
        <f t="shared" ca="1" si="65"/>
        <v/>
      </c>
    </row>
    <row r="1388" spans="1:9" x14ac:dyDescent="0.35">
      <c r="A1388" s="21"/>
      <c r="B1388" s="13"/>
      <c r="C1388" s="14"/>
      <c r="D1388" s="14"/>
      <c r="E1388" s="13"/>
      <c r="F1388" s="7" t="str">
        <f t="shared" ca="1" si="63"/>
        <v/>
      </c>
      <c r="G1388" s="27" t="str">
        <f t="shared" ca="1" si="64"/>
        <v/>
      </c>
      <c r="H1388" s="13"/>
      <c r="I1388" s="29" t="str">
        <f t="shared" ca="1" si="65"/>
        <v/>
      </c>
    </row>
    <row r="1389" spans="1:9" x14ac:dyDescent="0.35">
      <c r="A1389" s="21"/>
      <c r="B1389" s="13"/>
      <c r="C1389" s="14"/>
      <c r="D1389" s="14"/>
      <c r="E1389" s="13"/>
      <c r="F1389" s="7" t="str">
        <f t="shared" ca="1" si="63"/>
        <v/>
      </c>
      <c r="G1389" s="27" t="str">
        <f t="shared" ca="1" si="64"/>
        <v/>
      </c>
      <c r="H1389" s="13"/>
      <c r="I1389" s="29" t="str">
        <f t="shared" ca="1" si="65"/>
        <v/>
      </c>
    </row>
    <row r="1390" spans="1:9" x14ac:dyDescent="0.35">
      <c r="A1390" s="21"/>
      <c r="B1390" s="13"/>
      <c r="C1390" s="14"/>
      <c r="D1390" s="14"/>
      <c r="E1390" s="13"/>
      <c r="F1390" s="7" t="str">
        <f t="shared" ca="1" si="63"/>
        <v/>
      </c>
      <c r="G1390" s="27" t="str">
        <f t="shared" ca="1" si="64"/>
        <v/>
      </c>
      <c r="H1390" s="13"/>
      <c r="I1390" s="29" t="str">
        <f t="shared" ca="1" si="65"/>
        <v/>
      </c>
    </row>
    <row r="1391" spans="1:9" x14ac:dyDescent="0.35">
      <c r="A1391" s="21"/>
      <c r="B1391" s="13"/>
      <c r="C1391" s="14"/>
      <c r="D1391" s="14"/>
      <c r="E1391" s="13"/>
      <c r="F1391" s="7" t="str">
        <f t="shared" ca="1" si="63"/>
        <v/>
      </c>
      <c r="G1391" s="27" t="str">
        <f t="shared" ca="1" si="64"/>
        <v/>
      </c>
      <c r="H1391" s="13"/>
      <c r="I1391" s="29" t="str">
        <f t="shared" ca="1" si="65"/>
        <v/>
      </c>
    </row>
    <row r="1392" spans="1:9" x14ac:dyDescent="0.35">
      <c r="A1392" s="21"/>
      <c r="B1392" s="13"/>
      <c r="C1392" s="14"/>
      <c r="D1392" s="14"/>
      <c r="E1392" s="13"/>
      <c r="F1392" s="7" t="str">
        <f t="shared" ca="1" si="63"/>
        <v/>
      </c>
      <c r="G1392" s="27" t="str">
        <f t="shared" ca="1" si="64"/>
        <v/>
      </c>
      <c r="H1392" s="13"/>
      <c r="I1392" s="29" t="str">
        <f t="shared" ca="1" si="65"/>
        <v/>
      </c>
    </row>
    <row r="1393" spans="1:9" x14ac:dyDescent="0.35">
      <c r="A1393" s="21"/>
      <c r="B1393" s="13"/>
      <c r="C1393" s="14"/>
      <c r="D1393" s="14"/>
      <c r="E1393" s="13"/>
      <c r="F1393" s="7" t="str">
        <f t="shared" ca="1" si="63"/>
        <v/>
      </c>
      <c r="G1393" s="27" t="str">
        <f t="shared" ca="1" si="64"/>
        <v/>
      </c>
      <c r="H1393" s="13"/>
      <c r="I1393" s="29" t="str">
        <f t="shared" ca="1" si="65"/>
        <v/>
      </c>
    </row>
    <row r="1394" spans="1:9" x14ac:dyDescent="0.35">
      <c r="A1394" s="21"/>
      <c r="B1394" s="13"/>
      <c r="C1394" s="14"/>
      <c r="D1394" s="14"/>
      <c r="E1394" s="13"/>
      <c r="F1394" s="7" t="str">
        <f t="shared" ca="1" si="63"/>
        <v/>
      </c>
      <c r="G1394" s="27" t="str">
        <f t="shared" ca="1" si="64"/>
        <v/>
      </c>
      <c r="H1394" s="13"/>
      <c r="I1394" s="29" t="str">
        <f t="shared" ca="1" si="65"/>
        <v/>
      </c>
    </row>
    <row r="1395" spans="1:9" x14ac:dyDescent="0.35">
      <c r="A1395" s="21"/>
      <c r="B1395" s="13"/>
      <c r="C1395" s="14"/>
      <c r="D1395" s="14"/>
      <c r="E1395" s="13"/>
      <c r="F1395" s="7" t="str">
        <f t="shared" ca="1" si="63"/>
        <v/>
      </c>
      <c r="G1395" s="27" t="str">
        <f t="shared" ca="1" si="64"/>
        <v/>
      </c>
      <c r="H1395" s="13"/>
      <c r="I1395" s="29" t="str">
        <f t="shared" ca="1" si="65"/>
        <v/>
      </c>
    </row>
    <row r="1396" spans="1:9" x14ac:dyDescent="0.35">
      <c r="A1396" s="21"/>
      <c r="B1396" s="13"/>
      <c r="C1396" s="14"/>
      <c r="D1396" s="14"/>
      <c r="E1396" s="13"/>
      <c r="F1396" s="7" t="str">
        <f t="shared" ca="1" si="63"/>
        <v/>
      </c>
      <c r="G1396" s="27" t="str">
        <f t="shared" ca="1" si="64"/>
        <v/>
      </c>
      <c r="H1396" s="13"/>
      <c r="I1396" s="29" t="str">
        <f t="shared" ca="1" si="65"/>
        <v/>
      </c>
    </row>
    <row r="1397" spans="1:9" x14ac:dyDescent="0.35">
      <c r="A1397" s="21"/>
      <c r="B1397" s="13"/>
      <c r="C1397" s="14"/>
      <c r="D1397" s="14"/>
      <c r="E1397" s="13"/>
      <c r="F1397" s="7" t="str">
        <f t="shared" ca="1" si="63"/>
        <v/>
      </c>
      <c r="G1397" s="27" t="str">
        <f t="shared" ca="1" si="64"/>
        <v/>
      </c>
      <c r="H1397" s="13"/>
      <c r="I1397" s="29" t="str">
        <f t="shared" ca="1" si="65"/>
        <v/>
      </c>
    </row>
    <row r="1398" spans="1:9" x14ac:dyDescent="0.35">
      <c r="A1398" s="21"/>
      <c r="B1398" s="13"/>
      <c r="C1398" s="14"/>
      <c r="D1398" s="14"/>
      <c r="E1398" s="13"/>
      <c r="F1398" s="7" t="str">
        <f t="shared" ca="1" si="63"/>
        <v/>
      </c>
      <c r="G1398" s="27" t="str">
        <f t="shared" ca="1" si="64"/>
        <v/>
      </c>
      <c r="H1398" s="13"/>
      <c r="I1398" s="29" t="str">
        <f t="shared" ca="1" si="65"/>
        <v/>
      </c>
    </row>
    <row r="1399" spans="1:9" x14ac:dyDescent="0.35">
      <c r="A1399" s="21"/>
      <c r="B1399" s="13"/>
      <c r="C1399" s="14"/>
      <c r="D1399" s="14"/>
      <c r="E1399" s="13"/>
      <c r="F1399" s="7" t="str">
        <f t="shared" ca="1" si="63"/>
        <v/>
      </c>
      <c r="G1399" s="27" t="str">
        <f t="shared" ca="1" si="64"/>
        <v/>
      </c>
      <c r="H1399" s="13"/>
      <c r="I1399" s="29" t="str">
        <f t="shared" ca="1" si="65"/>
        <v/>
      </c>
    </row>
    <row r="1400" spans="1:9" x14ac:dyDescent="0.35">
      <c r="A1400" s="21"/>
      <c r="B1400" s="13"/>
      <c r="C1400" s="14"/>
      <c r="D1400" s="14"/>
      <c r="E1400" s="13"/>
      <c r="F1400" s="7" t="str">
        <f t="shared" ca="1" si="63"/>
        <v/>
      </c>
      <c r="G1400" s="27" t="str">
        <f t="shared" ca="1" si="64"/>
        <v/>
      </c>
      <c r="H1400" s="13"/>
      <c r="I1400" s="29" t="str">
        <f t="shared" ca="1" si="65"/>
        <v/>
      </c>
    </row>
    <row r="1401" spans="1:9" x14ac:dyDescent="0.35">
      <c r="A1401" s="21"/>
      <c r="B1401" s="13"/>
      <c r="C1401" s="14"/>
      <c r="D1401" s="14"/>
      <c r="E1401" s="13"/>
      <c r="F1401" s="7" t="str">
        <f t="shared" ca="1" si="63"/>
        <v/>
      </c>
      <c r="G1401" s="27" t="str">
        <f t="shared" ca="1" si="64"/>
        <v/>
      </c>
      <c r="H1401" s="13"/>
      <c r="I1401" s="29" t="str">
        <f t="shared" ca="1" si="65"/>
        <v/>
      </c>
    </row>
    <row r="1402" spans="1:9" x14ac:dyDescent="0.35">
      <c r="A1402" s="21"/>
      <c r="B1402" s="13"/>
      <c r="C1402" s="14"/>
      <c r="D1402" s="14"/>
      <c r="E1402" s="13"/>
      <c r="F1402" s="7" t="str">
        <f t="shared" ca="1" si="63"/>
        <v/>
      </c>
      <c r="G1402" s="27" t="str">
        <f t="shared" ca="1" si="64"/>
        <v/>
      </c>
      <c r="H1402" s="13"/>
      <c r="I1402" s="29" t="str">
        <f t="shared" ca="1" si="65"/>
        <v/>
      </c>
    </row>
    <row r="1403" spans="1:9" x14ac:dyDescent="0.35">
      <c r="A1403" s="21"/>
      <c r="B1403" s="13"/>
      <c r="C1403" s="14"/>
      <c r="D1403" s="14"/>
      <c r="E1403" s="13"/>
      <c r="F1403" s="7" t="str">
        <f t="shared" ca="1" si="63"/>
        <v/>
      </c>
      <c r="G1403" s="27" t="str">
        <f t="shared" ca="1" si="64"/>
        <v/>
      </c>
      <c r="H1403" s="13"/>
      <c r="I1403" s="29" t="str">
        <f t="shared" ca="1" si="65"/>
        <v/>
      </c>
    </row>
    <row r="1404" spans="1:9" x14ac:dyDescent="0.35">
      <c r="A1404" s="21"/>
      <c r="B1404" s="13"/>
      <c r="C1404" s="14"/>
      <c r="D1404" s="14"/>
      <c r="E1404" s="13"/>
      <c r="F1404" s="7" t="str">
        <f t="shared" ca="1" si="63"/>
        <v/>
      </c>
      <c r="G1404" s="27" t="str">
        <f t="shared" ca="1" si="64"/>
        <v/>
      </c>
      <c r="H1404" s="13"/>
      <c r="I1404" s="29" t="str">
        <f t="shared" ca="1" si="65"/>
        <v/>
      </c>
    </row>
    <row r="1405" spans="1:9" x14ac:dyDescent="0.35">
      <c r="A1405" s="21"/>
      <c r="B1405" s="13"/>
      <c r="C1405" s="14"/>
      <c r="D1405" s="14"/>
      <c r="E1405" s="13"/>
      <c r="F1405" s="7" t="str">
        <f t="shared" ca="1" si="63"/>
        <v/>
      </c>
      <c r="G1405" s="27" t="str">
        <f t="shared" ca="1" si="64"/>
        <v/>
      </c>
      <c r="H1405" s="13"/>
      <c r="I1405" s="29" t="str">
        <f t="shared" ca="1" si="65"/>
        <v/>
      </c>
    </row>
    <row r="1406" spans="1:9" x14ac:dyDescent="0.35">
      <c r="A1406" s="21"/>
      <c r="B1406" s="13"/>
      <c r="C1406" s="14"/>
      <c r="D1406" s="14"/>
      <c r="E1406" s="13"/>
      <c r="F1406" s="7" t="str">
        <f t="shared" ca="1" si="63"/>
        <v/>
      </c>
      <c r="G1406" s="27" t="str">
        <f t="shared" ca="1" si="64"/>
        <v/>
      </c>
      <c r="H1406" s="13"/>
      <c r="I1406" s="29" t="str">
        <f t="shared" ca="1" si="65"/>
        <v/>
      </c>
    </row>
    <row r="1407" spans="1:9" x14ac:dyDescent="0.35">
      <c r="A1407" s="21"/>
      <c r="B1407" s="13"/>
      <c r="C1407" s="14"/>
      <c r="D1407" s="14"/>
      <c r="E1407" s="13"/>
      <c r="F1407" s="7" t="str">
        <f t="shared" ca="1" si="63"/>
        <v/>
      </c>
      <c r="G1407" s="27" t="str">
        <f t="shared" ca="1" si="64"/>
        <v/>
      </c>
      <c r="H1407" s="13"/>
      <c r="I1407" s="29" t="str">
        <f t="shared" ca="1" si="65"/>
        <v/>
      </c>
    </row>
    <row r="1408" spans="1:9" x14ac:dyDescent="0.35">
      <c r="A1408" s="21"/>
      <c r="B1408" s="13"/>
      <c r="C1408" s="14"/>
      <c r="D1408" s="14"/>
      <c r="E1408" s="13"/>
      <c r="F1408" s="7" t="str">
        <f t="shared" ca="1" si="63"/>
        <v/>
      </c>
      <c r="G1408" s="27" t="str">
        <f t="shared" ca="1" si="64"/>
        <v/>
      </c>
      <c r="H1408" s="13"/>
      <c r="I1408" s="29" t="str">
        <f t="shared" ca="1" si="65"/>
        <v/>
      </c>
    </row>
    <row r="1409" spans="1:9" x14ac:dyDescent="0.35">
      <c r="A1409" s="21"/>
      <c r="B1409" s="13"/>
      <c r="C1409" s="14"/>
      <c r="D1409" s="14"/>
      <c r="E1409" s="13"/>
      <c r="F1409" s="7" t="str">
        <f t="shared" ca="1" si="63"/>
        <v/>
      </c>
      <c r="G1409" s="27" t="str">
        <f t="shared" ca="1" si="64"/>
        <v/>
      </c>
      <c r="H1409" s="13"/>
      <c r="I1409" s="29" t="str">
        <f t="shared" ca="1" si="65"/>
        <v/>
      </c>
    </row>
    <row r="1410" spans="1:9" x14ac:dyDescent="0.35">
      <c r="A1410" s="21"/>
      <c r="B1410" s="13"/>
      <c r="C1410" s="14"/>
      <c r="D1410" s="14"/>
      <c r="E1410" s="13"/>
      <c r="F1410" s="7" t="str">
        <f t="shared" ca="1" si="63"/>
        <v/>
      </c>
      <c r="G1410" s="27" t="str">
        <f t="shared" ca="1" si="64"/>
        <v/>
      </c>
      <c r="H1410" s="13"/>
      <c r="I1410" s="29" t="str">
        <f t="shared" ca="1" si="65"/>
        <v/>
      </c>
    </row>
    <row r="1411" spans="1:9" x14ac:dyDescent="0.35">
      <c r="A1411" s="21"/>
      <c r="B1411" s="13"/>
      <c r="C1411" s="14"/>
      <c r="D1411" s="14"/>
      <c r="E1411" s="13"/>
      <c r="F1411" s="7" t="str">
        <f t="shared" ca="1" si="63"/>
        <v/>
      </c>
      <c r="G1411" s="27" t="str">
        <f t="shared" ca="1" si="64"/>
        <v/>
      </c>
      <c r="H1411" s="13"/>
      <c r="I1411" s="29" t="str">
        <f t="shared" ca="1" si="65"/>
        <v/>
      </c>
    </row>
    <row r="1412" spans="1:9" x14ac:dyDescent="0.35">
      <c r="A1412" s="21"/>
      <c r="B1412" s="13"/>
      <c r="C1412" s="14"/>
      <c r="D1412" s="14"/>
      <c r="E1412" s="13"/>
      <c r="F1412" s="7" t="str">
        <f t="shared" ca="1" si="63"/>
        <v/>
      </c>
      <c r="G1412" s="27" t="str">
        <f t="shared" ca="1" si="64"/>
        <v/>
      </c>
      <c r="H1412" s="13"/>
      <c r="I1412" s="29" t="str">
        <f t="shared" ca="1" si="65"/>
        <v/>
      </c>
    </row>
    <row r="1413" spans="1:9" x14ac:dyDescent="0.35">
      <c r="A1413" s="21"/>
      <c r="B1413" s="13"/>
      <c r="C1413" s="14"/>
      <c r="D1413" s="14"/>
      <c r="E1413" s="13"/>
      <c r="F1413" s="7" t="str">
        <f t="shared" ref="F1413:F1476" ca="1" si="66">IF($B1413="","",IF($D1413&lt;&gt;"","Fait",IF($C1413="","Non planifié",IF(N($C1413)&lt;TODAY(),"En retard","À venir"))))</f>
        <v/>
      </c>
      <c r="G1413" s="27" t="str">
        <f t="shared" ref="G1413:G1476" ca="1" si="67">IF($B1413="","",IF(AND($C1413&lt;&gt;"",$D1413&lt;&gt;""),$D1413-$C1413,IF($F1413="En retard",TODAY()-$C1413,"")))</f>
        <v/>
      </c>
      <c r="H1413" s="13"/>
      <c r="I1413" s="29" t="str">
        <f t="shared" ref="I1413:I1476" ca="1" si="68">IF($F1413="En retard",1,"")</f>
        <v/>
      </c>
    </row>
    <row r="1414" spans="1:9" x14ac:dyDescent="0.35">
      <c r="A1414" s="21"/>
      <c r="B1414" s="13"/>
      <c r="C1414" s="14"/>
      <c r="D1414" s="14"/>
      <c r="E1414" s="13"/>
      <c r="F1414" s="7" t="str">
        <f t="shared" ca="1" si="66"/>
        <v/>
      </c>
      <c r="G1414" s="27" t="str">
        <f t="shared" ca="1" si="67"/>
        <v/>
      </c>
      <c r="H1414" s="13"/>
      <c r="I1414" s="29" t="str">
        <f t="shared" ca="1" si="68"/>
        <v/>
      </c>
    </row>
    <row r="1415" spans="1:9" x14ac:dyDescent="0.35">
      <c r="A1415" s="21"/>
      <c r="B1415" s="13"/>
      <c r="C1415" s="14"/>
      <c r="D1415" s="14"/>
      <c r="E1415" s="13"/>
      <c r="F1415" s="7" t="str">
        <f t="shared" ca="1" si="66"/>
        <v/>
      </c>
      <c r="G1415" s="27" t="str">
        <f t="shared" ca="1" si="67"/>
        <v/>
      </c>
      <c r="H1415" s="13"/>
      <c r="I1415" s="29" t="str">
        <f t="shared" ca="1" si="68"/>
        <v/>
      </c>
    </row>
    <row r="1416" spans="1:9" x14ac:dyDescent="0.35">
      <c r="A1416" s="21"/>
      <c r="B1416" s="13"/>
      <c r="C1416" s="14"/>
      <c r="D1416" s="14"/>
      <c r="E1416" s="13"/>
      <c r="F1416" s="7" t="str">
        <f t="shared" ca="1" si="66"/>
        <v/>
      </c>
      <c r="G1416" s="27" t="str">
        <f t="shared" ca="1" si="67"/>
        <v/>
      </c>
      <c r="H1416" s="13"/>
      <c r="I1416" s="29" t="str">
        <f t="shared" ca="1" si="68"/>
        <v/>
      </c>
    </row>
    <row r="1417" spans="1:9" x14ac:dyDescent="0.35">
      <c r="A1417" s="21"/>
      <c r="B1417" s="13"/>
      <c r="C1417" s="14"/>
      <c r="D1417" s="14"/>
      <c r="E1417" s="13"/>
      <c r="F1417" s="7" t="str">
        <f t="shared" ca="1" si="66"/>
        <v/>
      </c>
      <c r="G1417" s="27" t="str">
        <f t="shared" ca="1" si="67"/>
        <v/>
      </c>
      <c r="H1417" s="13"/>
      <c r="I1417" s="29" t="str">
        <f t="shared" ca="1" si="68"/>
        <v/>
      </c>
    </row>
    <row r="1418" spans="1:9" x14ac:dyDescent="0.35">
      <c r="A1418" s="21"/>
      <c r="B1418" s="13"/>
      <c r="C1418" s="14"/>
      <c r="D1418" s="14"/>
      <c r="E1418" s="13"/>
      <c r="F1418" s="7" t="str">
        <f t="shared" ca="1" si="66"/>
        <v/>
      </c>
      <c r="G1418" s="27" t="str">
        <f t="shared" ca="1" si="67"/>
        <v/>
      </c>
      <c r="H1418" s="13"/>
      <c r="I1418" s="29" t="str">
        <f t="shared" ca="1" si="68"/>
        <v/>
      </c>
    </row>
    <row r="1419" spans="1:9" x14ac:dyDescent="0.35">
      <c r="A1419" s="21"/>
      <c r="B1419" s="13"/>
      <c r="C1419" s="14"/>
      <c r="D1419" s="14"/>
      <c r="E1419" s="13"/>
      <c r="F1419" s="7" t="str">
        <f t="shared" ca="1" si="66"/>
        <v/>
      </c>
      <c r="G1419" s="27" t="str">
        <f t="shared" ca="1" si="67"/>
        <v/>
      </c>
      <c r="H1419" s="13"/>
      <c r="I1419" s="29" t="str">
        <f t="shared" ca="1" si="68"/>
        <v/>
      </c>
    </row>
    <row r="1420" spans="1:9" x14ac:dyDescent="0.35">
      <c r="A1420" s="21"/>
      <c r="B1420" s="13"/>
      <c r="C1420" s="14"/>
      <c r="D1420" s="14"/>
      <c r="E1420" s="13"/>
      <c r="F1420" s="7" t="str">
        <f t="shared" ca="1" si="66"/>
        <v/>
      </c>
      <c r="G1420" s="27" t="str">
        <f t="shared" ca="1" si="67"/>
        <v/>
      </c>
      <c r="H1420" s="13"/>
      <c r="I1420" s="29" t="str">
        <f t="shared" ca="1" si="68"/>
        <v/>
      </c>
    </row>
    <row r="1421" spans="1:9" x14ac:dyDescent="0.35">
      <c r="A1421" s="21"/>
      <c r="B1421" s="13"/>
      <c r="C1421" s="14"/>
      <c r="D1421" s="14"/>
      <c r="E1421" s="13"/>
      <c r="F1421" s="7" t="str">
        <f t="shared" ca="1" si="66"/>
        <v/>
      </c>
      <c r="G1421" s="27" t="str">
        <f t="shared" ca="1" si="67"/>
        <v/>
      </c>
      <c r="H1421" s="13"/>
      <c r="I1421" s="29" t="str">
        <f t="shared" ca="1" si="68"/>
        <v/>
      </c>
    </row>
    <row r="1422" spans="1:9" x14ac:dyDescent="0.35">
      <c r="A1422" s="21"/>
      <c r="B1422" s="13"/>
      <c r="C1422" s="14"/>
      <c r="D1422" s="14"/>
      <c r="E1422" s="13"/>
      <c r="F1422" s="7" t="str">
        <f t="shared" ca="1" si="66"/>
        <v/>
      </c>
      <c r="G1422" s="27" t="str">
        <f t="shared" ca="1" si="67"/>
        <v/>
      </c>
      <c r="H1422" s="13"/>
      <c r="I1422" s="29" t="str">
        <f t="shared" ca="1" si="68"/>
        <v/>
      </c>
    </row>
    <row r="1423" spans="1:9" x14ac:dyDescent="0.35">
      <c r="A1423" s="21"/>
      <c r="B1423" s="13"/>
      <c r="C1423" s="14"/>
      <c r="D1423" s="14"/>
      <c r="E1423" s="13"/>
      <c r="F1423" s="7" t="str">
        <f t="shared" ca="1" si="66"/>
        <v/>
      </c>
      <c r="G1423" s="27" t="str">
        <f t="shared" ca="1" si="67"/>
        <v/>
      </c>
      <c r="H1423" s="13"/>
      <c r="I1423" s="29" t="str">
        <f t="shared" ca="1" si="68"/>
        <v/>
      </c>
    </row>
    <row r="1424" spans="1:9" x14ac:dyDescent="0.35">
      <c r="A1424" s="21"/>
      <c r="B1424" s="13"/>
      <c r="C1424" s="14"/>
      <c r="D1424" s="14"/>
      <c r="E1424" s="13"/>
      <c r="F1424" s="7" t="str">
        <f t="shared" ca="1" si="66"/>
        <v/>
      </c>
      <c r="G1424" s="27" t="str">
        <f t="shared" ca="1" si="67"/>
        <v/>
      </c>
      <c r="H1424" s="13"/>
      <c r="I1424" s="29" t="str">
        <f t="shared" ca="1" si="68"/>
        <v/>
      </c>
    </row>
    <row r="1425" spans="1:9" x14ac:dyDescent="0.35">
      <c r="A1425" s="21"/>
      <c r="B1425" s="13"/>
      <c r="C1425" s="14"/>
      <c r="D1425" s="14"/>
      <c r="E1425" s="13"/>
      <c r="F1425" s="7" t="str">
        <f t="shared" ca="1" si="66"/>
        <v/>
      </c>
      <c r="G1425" s="27" t="str">
        <f t="shared" ca="1" si="67"/>
        <v/>
      </c>
      <c r="H1425" s="13"/>
      <c r="I1425" s="29" t="str">
        <f t="shared" ca="1" si="68"/>
        <v/>
      </c>
    </row>
    <row r="1426" spans="1:9" x14ac:dyDescent="0.35">
      <c r="A1426" s="21"/>
      <c r="B1426" s="13"/>
      <c r="C1426" s="14"/>
      <c r="D1426" s="14"/>
      <c r="E1426" s="13"/>
      <c r="F1426" s="7" t="str">
        <f t="shared" ca="1" si="66"/>
        <v/>
      </c>
      <c r="G1426" s="27" t="str">
        <f t="shared" ca="1" si="67"/>
        <v/>
      </c>
      <c r="H1426" s="13"/>
      <c r="I1426" s="29" t="str">
        <f t="shared" ca="1" si="68"/>
        <v/>
      </c>
    </row>
    <row r="1427" spans="1:9" x14ac:dyDescent="0.35">
      <c r="A1427" s="21"/>
      <c r="B1427" s="13"/>
      <c r="C1427" s="14"/>
      <c r="D1427" s="14"/>
      <c r="E1427" s="13"/>
      <c r="F1427" s="7" t="str">
        <f t="shared" ca="1" si="66"/>
        <v/>
      </c>
      <c r="G1427" s="27" t="str">
        <f t="shared" ca="1" si="67"/>
        <v/>
      </c>
      <c r="H1427" s="13"/>
      <c r="I1427" s="29" t="str">
        <f t="shared" ca="1" si="68"/>
        <v/>
      </c>
    </row>
    <row r="1428" spans="1:9" x14ac:dyDescent="0.35">
      <c r="A1428" s="21"/>
      <c r="B1428" s="13"/>
      <c r="C1428" s="14"/>
      <c r="D1428" s="14"/>
      <c r="E1428" s="13"/>
      <c r="F1428" s="7" t="str">
        <f t="shared" ca="1" si="66"/>
        <v/>
      </c>
      <c r="G1428" s="27" t="str">
        <f t="shared" ca="1" si="67"/>
        <v/>
      </c>
      <c r="H1428" s="13"/>
      <c r="I1428" s="29" t="str">
        <f t="shared" ca="1" si="68"/>
        <v/>
      </c>
    </row>
    <row r="1429" spans="1:9" x14ac:dyDescent="0.35">
      <c r="A1429" s="21"/>
      <c r="B1429" s="13"/>
      <c r="C1429" s="14"/>
      <c r="D1429" s="14"/>
      <c r="E1429" s="13"/>
      <c r="F1429" s="7" t="str">
        <f t="shared" ca="1" si="66"/>
        <v/>
      </c>
      <c r="G1429" s="27" t="str">
        <f t="shared" ca="1" si="67"/>
        <v/>
      </c>
      <c r="H1429" s="13"/>
      <c r="I1429" s="29" t="str">
        <f t="shared" ca="1" si="68"/>
        <v/>
      </c>
    </row>
    <row r="1430" spans="1:9" x14ac:dyDescent="0.35">
      <c r="A1430" s="21"/>
      <c r="B1430" s="13"/>
      <c r="C1430" s="14"/>
      <c r="D1430" s="14"/>
      <c r="E1430" s="13"/>
      <c r="F1430" s="7" t="str">
        <f t="shared" ca="1" si="66"/>
        <v/>
      </c>
      <c r="G1430" s="27" t="str">
        <f t="shared" ca="1" si="67"/>
        <v/>
      </c>
      <c r="H1430" s="13"/>
      <c r="I1430" s="29" t="str">
        <f t="shared" ca="1" si="68"/>
        <v/>
      </c>
    </row>
    <row r="1431" spans="1:9" x14ac:dyDescent="0.35">
      <c r="A1431" s="21"/>
      <c r="B1431" s="13"/>
      <c r="C1431" s="14"/>
      <c r="D1431" s="14"/>
      <c r="E1431" s="13"/>
      <c r="F1431" s="7" t="str">
        <f t="shared" ca="1" si="66"/>
        <v/>
      </c>
      <c r="G1431" s="27" t="str">
        <f t="shared" ca="1" si="67"/>
        <v/>
      </c>
      <c r="H1431" s="13"/>
      <c r="I1431" s="29" t="str">
        <f t="shared" ca="1" si="68"/>
        <v/>
      </c>
    </row>
    <row r="1432" spans="1:9" x14ac:dyDescent="0.35">
      <c r="A1432" s="21"/>
      <c r="B1432" s="13"/>
      <c r="C1432" s="14"/>
      <c r="D1432" s="14"/>
      <c r="E1432" s="13"/>
      <c r="F1432" s="7" t="str">
        <f t="shared" ca="1" si="66"/>
        <v/>
      </c>
      <c r="G1432" s="27" t="str">
        <f t="shared" ca="1" si="67"/>
        <v/>
      </c>
      <c r="H1432" s="13"/>
      <c r="I1432" s="29" t="str">
        <f t="shared" ca="1" si="68"/>
        <v/>
      </c>
    </row>
    <row r="1433" spans="1:9" x14ac:dyDescent="0.35">
      <c r="A1433" s="21"/>
      <c r="B1433" s="13"/>
      <c r="C1433" s="14"/>
      <c r="D1433" s="14"/>
      <c r="E1433" s="13"/>
      <c r="F1433" s="7" t="str">
        <f t="shared" ca="1" si="66"/>
        <v/>
      </c>
      <c r="G1433" s="27" t="str">
        <f t="shared" ca="1" si="67"/>
        <v/>
      </c>
      <c r="H1433" s="13"/>
      <c r="I1433" s="29" t="str">
        <f t="shared" ca="1" si="68"/>
        <v/>
      </c>
    </row>
    <row r="1434" spans="1:9" x14ac:dyDescent="0.35">
      <c r="A1434" s="21"/>
      <c r="B1434" s="13"/>
      <c r="C1434" s="14"/>
      <c r="D1434" s="14"/>
      <c r="E1434" s="13"/>
      <c r="F1434" s="7" t="str">
        <f t="shared" ca="1" si="66"/>
        <v/>
      </c>
      <c r="G1434" s="27" t="str">
        <f t="shared" ca="1" si="67"/>
        <v/>
      </c>
      <c r="H1434" s="13"/>
      <c r="I1434" s="29" t="str">
        <f t="shared" ca="1" si="68"/>
        <v/>
      </c>
    </row>
    <row r="1435" spans="1:9" x14ac:dyDescent="0.35">
      <c r="A1435" s="21"/>
      <c r="B1435" s="13"/>
      <c r="C1435" s="14"/>
      <c r="D1435" s="14"/>
      <c r="E1435" s="13"/>
      <c r="F1435" s="7" t="str">
        <f t="shared" ca="1" si="66"/>
        <v/>
      </c>
      <c r="G1435" s="27" t="str">
        <f t="shared" ca="1" si="67"/>
        <v/>
      </c>
      <c r="H1435" s="13"/>
      <c r="I1435" s="29" t="str">
        <f t="shared" ca="1" si="68"/>
        <v/>
      </c>
    </row>
    <row r="1436" spans="1:9" x14ac:dyDescent="0.35">
      <c r="A1436" s="21"/>
      <c r="B1436" s="13"/>
      <c r="C1436" s="14"/>
      <c r="D1436" s="14"/>
      <c r="E1436" s="13"/>
      <c r="F1436" s="7" t="str">
        <f t="shared" ca="1" si="66"/>
        <v/>
      </c>
      <c r="G1436" s="27" t="str">
        <f t="shared" ca="1" si="67"/>
        <v/>
      </c>
      <c r="H1436" s="13"/>
      <c r="I1436" s="29" t="str">
        <f t="shared" ca="1" si="68"/>
        <v/>
      </c>
    </row>
    <row r="1437" spans="1:9" x14ac:dyDescent="0.35">
      <c r="A1437" s="21"/>
      <c r="B1437" s="13"/>
      <c r="C1437" s="14"/>
      <c r="D1437" s="14"/>
      <c r="E1437" s="13"/>
      <c r="F1437" s="7" t="str">
        <f t="shared" ca="1" si="66"/>
        <v/>
      </c>
      <c r="G1437" s="27" t="str">
        <f t="shared" ca="1" si="67"/>
        <v/>
      </c>
      <c r="H1437" s="13"/>
      <c r="I1437" s="29" t="str">
        <f t="shared" ca="1" si="68"/>
        <v/>
      </c>
    </row>
    <row r="1438" spans="1:9" x14ac:dyDescent="0.35">
      <c r="A1438" s="21"/>
      <c r="B1438" s="13"/>
      <c r="C1438" s="14"/>
      <c r="D1438" s="14"/>
      <c r="E1438" s="13"/>
      <c r="F1438" s="7" t="str">
        <f t="shared" ca="1" si="66"/>
        <v/>
      </c>
      <c r="G1438" s="27" t="str">
        <f t="shared" ca="1" si="67"/>
        <v/>
      </c>
      <c r="H1438" s="13"/>
      <c r="I1438" s="29" t="str">
        <f t="shared" ca="1" si="68"/>
        <v/>
      </c>
    </row>
    <row r="1439" spans="1:9" x14ac:dyDescent="0.35">
      <c r="A1439" s="21"/>
      <c r="B1439" s="13"/>
      <c r="C1439" s="14"/>
      <c r="D1439" s="14"/>
      <c r="E1439" s="13"/>
      <c r="F1439" s="7" t="str">
        <f t="shared" ca="1" si="66"/>
        <v/>
      </c>
      <c r="G1439" s="27" t="str">
        <f t="shared" ca="1" si="67"/>
        <v/>
      </c>
      <c r="H1439" s="13"/>
      <c r="I1439" s="29" t="str">
        <f t="shared" ca="1" si="68"/>
        <v/>
      </c>
    </row>
    <row r="1440" spans="1:9" x14ac:dyDescent="0.35">
      <c r="A1440" s="21"/>
      <c r="B1440" s="13"/>
      <c r="C1440" s="14"/>
      <c r="D1440" s="14"/>
      <c r="E1440" s="13"/>
      <c r="F1440" s="7" t="str">
        <f t="shared" ca="1" si="66"/>
        <v/>
      </c>
      <c r="G1440" s="27" t="str">
        <f t="shared" ca="1" si="67"/>
        <v/>
      </c>
      <c r="H1440" s="13"/>
      <c r="I1440" s="29" t="str">
        <f t="shared" ca="1" si="68"/>
        <v/>
      </c>
    </row>
    <row r="1441" spans="1:9" x14ac:dyDescent="0.35">
      <c r="A1441" s="21"/>
      <c r="B1441" s="13"/>
      <c r="C1441" s="14"/>
      <c r="D1441" s="14"/>
      <c r="E1441" s="13"/>
      <c r="F1441" s="7" t="str">
        <f t="shared" ca="1" si="66"/>
        <v/>
      </c>
      <c r="G1441" s="27" t="str">
        <f t="shared" ca="1" si="67"/>
        <v/>
      </c>
      <c r="H1441" s="13"/>
      <c r="I1441" s="29" t="str">
        <f t="shared" ca="1" si="68"/>
        <v/>
      </c>
    </row>
    <row r="1442" spans="1:9" x14ac:dyDescent="0.35">
      <c r="A1442" s="21"/>
      <c r="B1442" s="13"/>
      <c r="C1442" s="14"/>
      <c r="D1442" s="14"/>
      <c r="E1442" s="13"/>
      <c r="F1442" s="7" t="str">
        <f t="shared" ca="1" si="66"/>
        <v/>
      </c>
      <c r="G1442" s="27" t="str">
        <f t="shared" ca="1" si="67"/>
        <v/>
      </c>
      <c r="H1442" s="13"/>
      <c r="I1442" s="29" t="str">
        <f t="shared" ca="1" si="68"/>
        <v/>
      </c>
    </row>
    <row r="1443" spans="1:9" x14ac:dyDescent="0.35">
      <c r="A1443" s="21"/>
      <c r="B1443" s="13"/>
      <c r="C1443" s="14"/>
      <c r="D1443" s="14"/>
      <c r="E1443" s="13"/>
      <c r="F1443" s="7" t="str">
        <f t="shared" ca="1" si="66"/>
        <v/>
      </c>
      <c r="G1443" s="27" t="str">
        <f t="shared" ca="1" si="67"/>
        <v/>
      </c>
      <c r="H1443" s="13"/>
      <c r="I1443" s="29" t="str">
        <f t="shared" ca="1" si="68"/>
        <v/>
      </c>
    </row>
    <row r="1444" spans="1:9" x14ac:dyDescent="0.35">
      <c r="A1444" s="21"/>
      <c r="B1444" s="13"/>
      <c r="C1444" s="14"/>
      <c r="D1444" s="14"/>
      <c r="E1444" s="13"/>
      <c r="F1444" s="7" t="str">
        <f t="shared" ca="1" si="66"/>
        <v/>
      </c>
      <c r="G1444" s="27" t="str">
        <f t="shared" ca="1" si="67"/>
        <v/>
      </c>
      <c r="H1444" s="13"/>
      <c r="I1444" s="29" t="str">
        <f t="shared" ca="1" si="68"/>
        <v/>
      </c>
    </row>
    <row r="1445" spans="1:9" x14ac:dyDescent="0.35">
      <c r="A1445" s="21"/>
      <c r="B1445" s="13"/>
      <c r="C1445" s="14"/>
      <c r="D1445" s="14"/>
      <c r="E1445" s="13"/>
      <c r="F1445" s="7" t="str">
        <f t="shared" ca="1" si="66"/>
        <v/>
      </c>
      <c r="G1445" s="27" t="str">
        <f t="shared" ca="1" si="67"/>
        <v/>
      </c>
      <c r="H1445" s="13"/>
      <c r="I1445" s="29" t="str">
        <f t="shared" ca="1" si="68"/>
        <v/>
      </c>
    </row>
    <row r="1446" spans="1:9" x14ac:dyDescent="0.35">
      <c r="A1446" s="21"/>
      <c r="B1446" s="13"/>
      <c r="C1446" s="14"/>
      <c r="D1446" s="14"/>
      <c r="E1446" s="13"/>
      <c r="F1446" s="7" t="str">
        <f t="shared" ca="1" si="66"/>
        <v/>
      </c>
      <c r="G1446" s="27" t="str">
        <f t="shared" ca="1" si="67"/>
        <v/>
      </c>
      <c r="H1446" s="13"/>
      <c r="I1446" s="29" t="str">
        <f t="shared" ca="1" si="68"/>
        <v/>
      </c>
    </row>
    <row r="1447" spans="1:9" x14ac:dyDescent="0.35">
      <c r="A1447" s="21"/>
      <c r="B1447" s="13"/>
      <c r="C1447" s="14"/>
      <c r="D1447" s="14"/>
      <c r="E1447" s="13"/>
      <c r="F1447" s="7" t="str">
        <f t="shared" ca="1" si="66"/>
        <v/>
      </c>
      <c r="G1447" s="27" t="str">
        <f t="shared" ca="1" si="67"/>
        <v/>
      </c>
      <c r="H1447" s="13"/>
      <c r="I1447" s="29" t="str">
        <f t="shared" ca="1" si="68"/>
        <v/>
      </c>
    </row>
    <row r="1448" spans="1:9" x14ac:dyDescent="0.35">
      <c r="A1448" s="21"/>
      <c r="B1448" s="13"/>
      <c r="C1448" s="14"/>
      <c r="D1448" s="14"/>
      <c r="E1448" s="13"/>
      <c r="F1448" s="7" t="str">
        <f t="shared" ca="1" si="66"/>
        <v/>
      </c>
      <c r="G1448" s="27" t="str">
        <f t="shared" ca="1" si="67"/>
        <v/>
      </c>
      <c r="H1448" s="13"/>
      <c r="I1448" s="29" t="str">
        <f t="shared" ca="1" si="68"/>
        <v/>
      </c>
    </row>
    <row r="1449" spans="1:9" x14ac:dyDescent="0.35">
      <c r="A1449" s="21"/>
      <c r="B1449" s="13"/>
      <c r="C1449" s="14"/>
      <c r="D1449" s="14"/>
      <c r="E1449" s="13"/>
      <c r="F1449" s="7" t="str">
        <f t="shared" ca="1" si="66"/>
        <v/>
      </c>
      <c r="G1449" s="27" t="str">
        <f t="shared" ca="1" si="67"/>
        <v/>
      </c>
      <c r="H1449" s="13"/>
      <c r="I1449" s="29" t="str">
        <f t="shared" ca="1" si="68"/>
        <v/>
      </c>
    </row>
    <row r="1450" spans="1:9" x14ac:dyDescent="0.35">
      <c r="A1450" s="21"/>
      <c r="B1450" s="13"/>
      <c r="C1450" s="14"/>
      <c r="D1450" s="14"/>
      <c r="E1450" s="13"/>
      <c r="F1450" s="7" t="str">
        <f t="shared" ca="1" si="66"/>
        <v/>
      </c>
      <c r="G1450" s="27" t="str">
        <f t="shared" ca="1" si="67"/>
        <v/>
      </c>
      <c r="H1450" s="13"/>
      <c r="I1450" s="29" t="str">
        <f t="shared" ca="1" si="68"/>
        <v/>
      </c>
    </row>
    <row r="1451" spans="1:9" x14ac:dyDescent="0.35">
      <c r="A1451" s="21"/>
      <c r="B1451" s="13"/>
      <c r="C1451" s="14"/>
      <c r="D1451" s="14"/>
      <c r="E1451" s="13"/>
      <c r="F1451" s="7" t="str">
        <f t="shared" ca="1" si="66"/>
        <v/>
      </c>
      <c r="G1451" s="27" t="str">
        <f t="shared" ca="1" si="67"/>
        <v/>
      </c>
      <c r="H1451" s="13"/>
      <c r="I1451" s="29" t="str">
        <f t="shared" ca="1" si="68"/>
        <v/>
      </c>
    </row>
    <row r="1452" spans="1:9" x14ac:dyDescent="0.35">
      <c r="A1452" s="21"/>
      <c r="B1452" s="13"/>
      <c r="C1452" s="14"/>
      <c r="D1452" s="14"/>
      <c r="E1452" s="13"/>
      <c r="F1452" s="7" t="str">
        <f t="shared" ca="1" si="66"/>
        <v/>
      </c>
      <c r="G1452" s="27" t="str">
        <f t="shared" ca="1" si="67"/>
        <v/>
      </c>
      <c r="H1452" s="13"/>
      <c r="I1452" s="29" t="str">
        <f t="shared" ca="1" si="68"/>
        <v/>
      </c>
    </row>
    <row r="1453" spans="1:9" x14ac:dyDescent="0.35">
      <c r="A1453" s="21"/>
      <c r="B1453" s="13"/>
      <c r="C1453" s="14"/>
      <c r="D1453" s="14"/>
      <c r="E1453" s="13"/>
      <c r="F1453" s="7" t="str">
        <f t="shared" ca="1" si="66"/>
        <v/>
      </c>
      <c r="G1453" s="27" t="str">
        <f t="shared" ca="1" si="67"/>
        <v/>
      </c>
      <c r="H1453" s="13"/>
      <c r="I1453" s="29" t="str">
        <f t="shared" ca="1" si="68"/>
        <v/>
      </c>
    </row>
    <row r="1454" spans="1:9" x14ac:dyDescent="0.35">
      <c r="A1454" s="21"/>
      <c r="B1454" s="13"/>
      <c r="C1454" s="14"/>
      <c r="D1454" s="14"/>
      <c r="E1454" s="13"/>
      <c r="F1454" s="7" t="str">
        <f t="shared" ca="1" si="66"/>
        <v/>
      </c>
      <c r="G1454" s="27" t="str">
        <f t="shared" ca="1" si="67"/>
        <v/>
      </c>
      <c r="H1454" s="13"/>
      <c r="I1454" s="29" t="str">
        <f t="shared" ca="1" si="68"/>
        <v/>
      </c>
    </row>
    <row r="1455" spans="1:9" x14ac:dyDescent="0.35">
      <c r="A1455" s="21"/>
      <c r="B1455" s="13"/>
      <c r="C1455" s="14"/>
      <c r="D1455" s="14"/>
      <c r="E1455" s="13"/>
      <c r="F1455" s="7" t="str">
        <f t="shared" ca="1" si="66"/>
        <v/>
      </c>
      <c r="G1455" s="27" t="str">
        <f t="shared" ca="1" si="67"/>
        <v/>
      </c>
      <c r="H1455" s="13"/>
      <c r="I1455" s="29" t="str">
        <f t="shared" ca="1" si="68"/>
        <v/>
      </c>
    </row>
    <row r="1456" spans="1:9" x14ac:dyDescent="0.35">
      <c r="A1456" s="21"/>
      <c r="B1456" s="13"/>
      <c r="C1456" s="14"/>
      <c r="D1456" s="14"/>
      <c r="E1456" s="13"/>
      <c r="F1456" s="7" t="str">
        <f t="shared" ca="1" si="66"/>
        <v/>
      </c>
      <c r="G1456" s="27" t="str">
        <f t="shared" ca="1" si="67"/>
        <v/>
      </c>
      <c r="H1456" s="13"/>
      <c r="I1456" s="29" t="str">
        <f t="shared" ca="1" si="68"/>
        <v/>
      </c>
    </row>
    <row r="1457" spans="1:9" x14ac:dyDescent="0.35">
      <c r="A1457" s="21"/>
      <c r="B1457" s="13"/>
      <c r="C1457" s="14"/>
      <c r="D1457" s="14"/>
      <c r="E1457" s="13"/>
      <c r="F1457" s="7" t="str">
        <f t="shared" ca="1" si="66"/>
        <v/>
      </c>
      <c r="G1457" s="27" t="str">
        <f t="shared" ca="1" si="67"/>
        <v/>
      </c>
      <c r="H1457" s="13"/>
      <c r="I1457" s="29" t="str">
        <f t="shared" ca="1" si="68"/>
        <v/>
      </c>
    </row>
    <row r="1458" spans="1:9" x14ac:dyDescent="0.35">
      <c r="A1458" s="21"/>
      <c r="B1458" s="13"/>
      <c r="C1458" s="14"/>
      <c r="D1458" s="14"/>
      <c r="E1458" s="13"/>
      <c r="F1458" s="7" t="str">
        <f t="shared" ca="1" si="66"/>
        <v/>
      </c>
      <c r="G1458" s="27" t="str">
        <f t="shared" ca="1" si="67"/>
        <v/>
      </c>
      <c r="H1458" s="13"/>
      <c r="I1458" s="29" t="str">
        <f t="shared" ca="1" si="68"/>
        <v/>
      </c>
    </row>
    <row r="1459" spans="1:9" x14ac:dyDescent="0.35">
      <c r="A1459" s="21"/>
      <c r="B1459" s="13"/>
      <c r="C1459" s="14"/>
      <c r="D1459" s="14"/>
      <c r="E1459" s="13"/>
      <c r="F1459" s="7" t="str">
        <f t="shared" ca="1" si="66"/>
        <v/>
      </c>
      <c r="G1459" s="27" t="str">
        <f t="shared" ca="1" si="67"/>
        <v/>
      </c>
      <c r="H1459" s="13"/>
      <c r="I1459" s="29" t="str">
        <f t="shared" ca="1" si="68"/>
        <v/>
      </c>
    </row>
    <row r="1460" spans="1:9" x14ac:dyDescent="0.35">
      <c r="A1460" s="21"/>
      <c r="B1460" s="13"/>
      <c r="C1460" s="14"/>
      <c r="D1460" s="14"/>
      <c r="E1460" s="13"/>
      <c r="F1460" s="7" t="str">
        <f t="shared" ca="1" si="66"/>
        <v/>
      </c>
      <c r="G1460" s="27" t="str">
        <f t="shared" ca="1" si="67"/>
        <v/>
      </c>
      <c r="H1460" s="13"/>
      <c r="I1460" s="29" t="str">
        <f t="shared" ca="1" si="68"/>
        <v/>
      </c>
    </row>
    <row r="1461" spans="1:9" x14ac:dyDescent="0.35">
      <c r="A1461" s="21"/>
      <c r="B1461" s="13"/>
      <c r="C1461" s="14"/>
      <c r="D1461" s="14"/>
      <c r="E1461" s="13"/>
      <c r="F1461" s="7" t="str">
        <f t="shared" ca="1" si="66"/>
        <v/>
      </c>
      <c r="G1461" s="27" t="str">
        <f t="shared" ca="1" si="67"/>
        <v/>
      </c>
      <c r="H1461" s="13"/>
      <c r="I1461" s="29" t="str">
        <f t="shared" ca="1" si="68"/>
        <v/>
      </c>
    </row>
    <row r="1462" spans="1:9" x14ac:dyDescent="0.35">
      <c r="A1462" s="21"/>
      <c r="B1462" s="13"/>
      <c r="C1462" s="14"/>
      <c r="D1462" s="14"/>
      <c r="E1462" s="13"/>
      <c r="F1462" s="7" t="str">
        <f t="shared" ca="1" si="66"/>
        <v/>
      </c>
      <c r="G1462" s="27" t="str">
        <f t="shared" ca="1" si="67"/>
        <v/>
      </c>
      <c r="H1462" s="13"/>
      <c r="I1462" s="29" t="str">
        <f t="shared" ca="1" si="68"/>
        <v/>
      </c>
    </row>
    <row r="1463" spans="1:9" x14ac:dyDescent="0.35">
      <c r="A1463" s="21"/>
      <c r="B1463" s="13"/>
      <c r="C1463" s="14"/>
      <c r="D1463" s="14"/>
      <c r="E1463" s="13"/>
      <c r="F1463" s="7" t="str">
        <f t="shared" ca="1" si="66"/>
        <v/>
      </c>
      <c r="G1463" s="27" t="str">
        <f t="shared" ca="1" si="67"/>
        <v/>
      </c>
      <c r="H1463" s="13"/>
      <c r="I1463" s="29" t="str">
        <f t="shared" ca="1" si="68"/>
        <v/>
      </c>
    </row>
    <row r="1464" spans="1:9" x14ac:dyDescent="0.35">
      <c r="A1464" s="21"/>
      <c r="B1464" s="13"/>
      <c r="C1464" s="14"/>
      <c r="D1464" s="14"/>
      <c r="E1464" s="13"/>
      <c r="F1464" s="7" t="str">
        <f t="shared" ca="1" si="66"/>
        <v/>
      </c>
      <c r="G1464" s="27" t="str">
        <f t="shared" ca="1" si="67"/>
        <v/>
      </c>
      <c r="H1464" s="13"/>
      <c r="I1464" s="29" t="str">
        <f t="shared" ca="1" si="68"/>
        <v/>
      </c>
    </row>
    <row r="1465" spans="1:9" x14ac:dyDescent="0.35">
      <c r="A1465" s="21"/>
      <c r="B1465" s="13"/>
      <c r="C1465" s="14"/>
      <c r="D1465" s="14"/>
      <c r="E1465" s="13"/>
      <c r="F1465" s="7" t="str">
        <f t="shared" ca="1" si="66"/>
        <v/>
      </c>
      <c r="G1465" s="27" t="str">
        <f t="shared" ca="1" si="67"/>
        <v/>
      </c>
      <c r="H1465" s="13"/>
      <c r="I1465" s="29" t="str">
        <f t="shared" ca="1" si="68"/>
        <v/>
      </c>
    </row>
    <row r="1466" spans="1:9" x14ac:dyDescent="0.35">
      <c r="A1466" s="21"/>
      <c r="B1466" s="13"/>
      <c r="C1466" s="14"/>
      <c r="D1466" s="14"/>
      <c r="E1466" s="13"/>
      <c r="F1466" s="7" t="str">
        <f t="shared" ca="1" si="66"/>
        <v/>
      </c>
      <c r="G1466" s="27" t="str">
        <f t="shared" ca="1" si="67"/>
        <v/>
      </c>
      <c r="H1466" s="13"/>
      <c r="I1466" s="29" t="str">
        <f t="shared" ca="1" si="68"/>
        <v/>
      </c>
    </row>
    <row r="1467" spans="1:9" x14ac:dyDescent="0.35">
      <c r="A1467" s="21"/>
      <c r="B1467" s="13"/>
      <c r="C1467" s="14"/>
      <c r="D1467" s="14"/>
      <c r="E1467" s="13"/>
      <c r="F1467" s="7" t="str">
        <f t="shared" ca="1" si="66"/>
        <v/>
      </c>
      <c r="G1467" s="27" t="str">
        <f t="shared" ca="1" si="67"/>
        <v/>
      </c>
      <c r="H1467" s="13"/>
      <c r="I1467" s="29" t="str">
        <f t="shared" ca="1" si="68"/>
        <v/>
      </c>
    </row>
    <row r="1468" spans="1:9" x14ac:dyDescent="0.35">
      <c r="A1468" s="21"/>
      <c r="B1468" s="13"/>
      <c r="C1468" s="14"/>
      <c r="D1468" s="14"/>
      <c r="E1468" s="13"/>
      <c r="F1468" s="7" t="str">
        <f t="shared" ca="1" si="66"/>
        <v/>
      </c>
      <c r="G1468" s="27" t="str">
        <f t="shared" ca="1" si="67"/>
        <v/>
      </c>
      <c r="H1468" s="13"/>
      <c r="I1468" s="29" t="str">
        <f t="shared" ca="1" si="68"/>
        <v/>
      </c>
    </row>
    <row r="1469" spans="1:9" x14ac:dyDescent="0.35">
      <c r="A1469" s="21"/>
      <c r="B1469" s="13"/>
      <c r="C1469" s="14"/>
      <c r="D1469" s="14"/>
      <c r="E1469" s="13"/>
      <c r="F1469" s="7" t="str">
        <f t="shared" ca="1" si="66"/>
        <v/>
      </c>
      <c r="G1469" s="27" t="str">
        <f t="shared" ca="1" si="67"/>
        <v/>
      </c>
      <c r="H1469" s="13"/>
      <c r="I1469" s="29" t="str">
        <f t="shared" ca="1" si="68"/>
        <v/>
      </c>
    </row>
    <row r="1470" spans="1:9" x14ac:dyDescent="0.35">
      <c r="A1470" s="21"/>
      <c r="B1470" s="13"/>
      <c r="C1470" s="14"/>
      <c r="D1470" s="14"/>
      <c r="E1470" s="13"/>
      <c r="F1470" s="7" t="str">
        <f t="shared" ca="1" si="66"/>
        <v/>
      </c>
      <c r="G1470" s="27" t="str">
        <f t="shared" ca="1" si="67"/>
        <v/>
      </c>
      <c r="H1470" s="13"/>
      <c r="I1470" s="29" t="str">
        <f t="shared" ca="1" si="68"/>
        <v/>
      </c>
    </row>
    <row r="1471" spans="1:9" x14ac:dyDescent="0.35">
      <c r="A1471" s="21"/>
      <c r="B1471" s="13"/>
      <c r="C1471" s="14"/>
      <c r="D1471" s="14"/>
      <c r="E1471" s="13"/>
      <c r="F1471" s="7" t="str">
        <f t="shared" ca="1" si="66"/>
        <v/>
      </c>
      <c r="G1471" s="27" t="str">
        <f t="shared" ca="1" si="67"/>
        <v/>
      </c>
      <c r="H1471" s="13"/>
      <c r="I1471" s="29" t="str">
        <f t="shared" ca="1" si="68"/>
        <v/>
      </c>
    </row>
    <row r="1472" spans="1:9" x14ac:dyDescent="0.35">
      <c r="A1472" s="21"/>
      <c r="B1472" s="13"/>
      <c r="C1472" s="14"/>
      <c r="D1472" s="14"/>
      <c r="E1472" s="13"/>
      <c r="F1472" s="7" t="str">
        <f t="shared" ca="1" si="66"/>
        <v/>
      </c>
      <c r="G1472" s="27" t="str">
        <f t="shared" ca="1" si="67"/>
        <v/>
      </c>
      <c r="H1472" s="13"/>
      <c r="I1472" s="29" t="str">
        <f t="shared" ca="1" si="68"/>
        <v/>
      </c>
    </row>
    <row r="1473" spans="1:9" x14ac:dyDescent="0.35">
      <c r="A1473" s="21"/>
      <c r="B1473" s="13"/>
      <c r="C1473" s="14"/>
      <c r="D1473" s="14"/>
      <c r="E1473" s="13"/>
      <c r="F1473" s="7" t="str">
        <f t="shared" ca="1" si="66"/>
        <v/>
      </c>
      <c r="G1473" s="27" t="str">
        <f t="shared" ca="1" si="67"/>
        <v/>
      </c>
      <c r="H1473" s="13"/>
      <c r="I1473" s="29" t="str">
        <f t="shared" ca="1" si="68"/>
        <v/>
      </c>
    </row>
    <row r="1474" spans="1:9" x14ac:dyDescent="0.35">
      <c r="A1474" s="21"/>
      <c r="B1474" s="13"/>
      <c r="C1474" s="14"/>
      <c r="D1474" s="14"/>
      <c r="E1474" s="13"/>
      <c r="F1474" s="7" t="str">
        <f t="shared" ca="1" si="66"/>
        <v/>
      </c>
      <c r="G1474" s="27" t="str">
        <f t="shared" ca="1" si="67"/>
        <v/>
      </c>
      <c r="H1474" s="13"/>
      <c r="I1474" s="29" t="str">
        <f t="shared" ca="1" si="68"/>
        <v/>
      </c>
    </row>
    <row r="1475" spans="1:9" x14ac:dyDescent="0.35">
      <c r="A1475" s="21"/>
      <c r="B1475" s="13"/>
      <c r="C1475" s="14"/>
      <c r="D1475" s="14"/>
      <c r="E1475" s="13"/>
      <c r="F1475" s="7" t="str">
        <f t="shared" ca="1" si="66"/>
        <v/>
      </c>
      <c r="G1475" s="27" t="str">
        <f t="shared" ca="1" si="67"/>
        <v/>
      </c>
      <c r="H1475" s="13"/>
      <c r="I1475" s="29" t="str">
        <f t="shared" ca="1" si="68"/>
        <v/>
      </c>
    </row>
    <row r="1476" spans="1:9" x14ac:dyDescent="0.35">
      <c r="A1476" s="21"/>
      <c r="B1476" s="13"/>
      <c r="C1476" s="14"/>
      <c r="D1476" s="14"/>
      <c r="E1476" s="13"/>
      <c r="F1476" s="7" t="str">
        <f t="shared" ca="1" si="66"/>
        <v/>
      </c>
      <c r="G1476" s="27" t="str">
        <f t="shared" ca="1" si="67"/>
        <v/>
      </c>
      <c r="H1476" s="13"/>
      <c r="I1476" s="29" t="str">
        <f t="shared" ca="1" si="68"/>
        <v/>
      </c>
    </row>
    <row r="1477" spans="1:9" x14ac:dyDescent="0.35">
      <c r="A1477" s="21"/>
      <c r="B1477" s="13"/>
      <c r="C1477" s="14"/>
      <c r="D1477" s="14"/>
      <c r="E1477" s="13"/>
      <c r="F1477" s="7" t="str">
        <f t="shared" ref="F1477:F1504" ca="1" si="69">IF($B1477="","",IF($D1477&lt;&gt;"","Fait",IF($C1477="","Non planifié",IF(N($C1477)&lt;TODAY(),"En retard","À venir"))))</f>
        <v/>
      </c>
      <c r="G1477" s="27" t="str">
        <f t="shared" ref="G1477:G1504" ca="1" si="70">IF($B1477="","",IF(AND($C1477&lt;&gt;"",$D1477&lt;&gt;""),$D1477-$C1477,IF($F1477="En retard",TODAY()-$C1477,"")))</f>
        <v/>
      </c>
      <c r="H1477" s="13"/>
      <c r="I1477" s="29" t="str">
        <f t="shared" ref="I1477:I1504" ca="1" si="71">IF($F1477="En retard",1,"")</f>
        <v/>
      </c>
    </row>
    <row r="1478" spans="1:9" x14ac:dyDescent="0.35">
      <c r="A1478" s="21"/>
      <c r="B1478" s="13"/>
      <c r="C1478" s="14"/>
      <c r="D1478" s="14"/>
      <c r="E1478" s="13"/>
      <c r="F1478" s="7" t="str">
        <f t="shared" ca="1" si="69"/>
        <v/>
      </c>
      <c r="G1478" s="27" t="str">
        <f t="shared" ca="1" si="70"/>
        <v/>
      </c>
      <c r="H1478" s="13"/>
      <c r="I1478" s="29" t="str">
        <f t="shared" ca="1" si="71"/>
        <v/>
      </c>
    </row>
    <row r="1479" spans="1:9" x14ac:dyDescent="0.35">
      <c r="A1479" s="21"/>
      <c r="B1479" s="13"/>
      <c r="C1479" s="14"/>
      <c r="D1479" s="14"/>
      <c r="E1479" s="13"/>
      <c r="F1479" s="7" t="str">
        <f t="shared" ca="1" si="69"/>
        <v/>
      </c>
      <c r="G1479" s="27" t="str">
        <f t="shared" ca="1" si="70"/>
        <v/>
      </c>
      <c r="H1479" s="13"/>
      <c r="I1479" s="29" t="str">
        <f t="shared" ca="1" si="71"/>
        <v/>
      </c>
    </row>
    <row r="1480" spans="1:9" x14ac:dyDescent="0.35">
      <c r="A1480" s="21"/>
      <c r="B1480" s="13"/>
      <c r="C1480" s="14"/>
      <c r="D1480" s="14"/>
      <c r="E1480" s="13"/>
      <c r="F1480" s="7" t="str">
        <f t="shared" ca="1" si="69"/>
        <v/>
      </c>
      <c r="G1480" s="27" t="str">
        <f t="shared" ca="1" si="70"/>
        <v/>
      </c>
      <c r="H1480" s="13"/>
      <c r="I1480" s="29" t="str">
        <f t="shared" ca="1" si="71"/>
        <v/>
      </c>
    </row>
    <row r="1481" spans="1:9" x14ac:dyDescent="0.35">
      <c r="A1481" s="21"/>
      <c r="B1481" s="13"/>
      <c r="C1481" s="14"/>
      <c r="D1481" s="14"/>
      <c r="E1481" s="13"/>
      <c r="F1481" s="7" t="str">
        <f t="shared" ca="1" si="69"/>
        <v/>
      </c>
      <c r="G1481" s="27" t="str">
        <f t="shared" ca="1" si="70"/>
        <v/>
      </c>
      <c r="H1481" s="13"/>
      <c r="I1481" s="29" t="str">
        <f t="shared" ca="1" si="71"/>
        <v/>
      </c>
    </row>
    <row r="1482" spans="1:9" x14ac:dyDescent="0.35">
      <c r="A1482" s="21"/>
      <c r="B1482" s="13"/>
      <c r="C1482" s="14"/>
      <c r="D1482" s="14"/>
      <c r="E1482" s="13"/>
      <c r="F1482" s="7" t="str">
        <f t="shared" ca="1" si="69"/>
        <v/>
      </c>
      <c r="G1482" s="27" t="str">
        <f t="shared" ca="1" si="70"/>
        <v/>
      </c>
      <c r="H1482" s="13"/>
      <c r="I1482" s="29" t="str">
        <f t="shared" ca="1" si="71"/>
        <v/>
      </c>
    </row>
    <row r="1483" spans="1:9" x14ac:dyDescent="0.35">
      <c r="A1483" s="21"/>
      <c r="B1483" s="13"/>
      <c r="C1483" s="14"/>
      <c r="D1483" s="14"/>
      <c r="E1483" s="13"/>
      <c r="F1483" s="7" t="str">
        <f t="shared" ca="1" si="69"/>
        <v/>
      </c>
      <c r="G1483" s="27" t="str">
        <f t="shared" ca="1" si="70"/>
        <v/>
      </c>
      <c r="H1483" s="13"/>
      <c r="I1483" s="29" t="str">
        <f t="shared" ca="1" si="71"/>
        <v/>
      </c>
    </row>
    <row r="1484" spans="1:9" x14ac:dyDescent="0.35">
      <c r="A1484" s="21"/>
      <c r="B1484" s="13"/>
      <c r="C1484" s="14"/>
      <c r="D1484" s="14"/>
      <c r="E1484" s="13"/>
      <c r="F1484" s="7" t="str">
        <f t="shared" ca="1" si="69"/>
        <v/>
      </c>
      <c r="G1484" s="27" t="str">
        <f t="shared" ca="1" si="70"/>
        <v/>
      </c>
      <c r="H1484" s="13"/>
      <c r="I1484" s="29" t="str">
        <f t="shared" ca="1" si="71"/>
        <v/>
      </c>
    </row>
    <row r="1485" spans="1:9" x14ac:dyDescent="0.35">
      <c r="A1485" s="21"/>
      <c r="B1485" s="13"/>
      <c r="C1485" s="14"/>
      <c r="D1485" s="14"/>
      <c r="E1485" s="13"/>
      <c r="F1485" s="7" t="str">
        <f t="shared" ca="1" si="69"/>
        <v/>
      </c>
      <c r="G1485" s="27" t="str">
        <f t="shared" ca="1" si="70"/>
        <v/>
      </c>
      <c r="H1485" s="13"/>
      <c r="I1485" s="29" t="str">
        <f t="shared" ca="1" si="71"/>
        <v/>
      </c>
    </row>
    <row r="1486" spans="1:9" x14ac:dyDescent="0.35">
      <c r="A1486" s="21"/>
      <c r="B1486" s="13"/>
      <c r="C1486" s="14"/>
      <c r="D1486" s="14"/>
      <c r="E1486" s="13"/>
      <c r="F1486" s="7" t="str">
        <f t="shared" ca="1" si="69"/>
        <v/>
      </c>
      <c r="G1486" s="27" t="str">
        <f t="shared" ca="1" si="70"/>
        <v/>
      </c>
      <c r="H1486" s="13"/>
      <c r="I1486" s="29" t="str">
        <f t="shared" ca="1" si="71"/>
        <v/>
      </c>
    </row>
    <row r="1487" spans="1:9" x14ac:dyDescent="0.35">
      <c r="A1487" s="21"/>
      <c r="B1487" s="13"/>
      <c r="C1487" s="14"/>
      <c r="D1487" s="14"/>
      <c r="E1487" s="13"/>
      <c r="F1487" s="7" t="str">
        <f t="shared" ca="1" si="69"/>
        <v/>
      </c>
      <c r="G1487" s="27" t="str">
        <f t="shared" ca="1" si="70"/>
        <v/>
      </c>
      <c r="H1487" s="13"/>
      <c r="I1487" s="29" t="str">
        <f t="shared" ca="1" si="71"/>
        <v/>
      </c>
    </row>
    <row r="1488" spans="1:9" x14ac:dyDescent="0.35">
      <c r="A1488" s="21"/>
      <c r="B1488" s="13"/>
      <c r="C1488" s="14"/>
      <c r="D1488" s="14"/>
      <c r="E1488" s="13"/>
      <c r="F1488" s="7" t="str">
        <f t="shared" ca="1" si="69"/>
        <v/>
      </c>
      <c r="G1488" s="27" t="str">
        <f t="shared" ca="1" si="70"/>
        <v/>
      </c>
      <c r="H1488" s="13"/>
      <c r="I1488" s="29" t="str">
        <f t="shared" ca="1" si="71"/>
        <v/>
      </c>
    </row>
    <row r="1489" spans="1:9" x14ac:dyDescent="0.35">
      <c r="A1489" s="21"/>
      <c r="B1489" s="13"/>
      <c r="C1489" s="14"/>
      <c r="D1489" s="14"/>
      <c r="E1489" s="13"/>
      <c r="F1489" s="7" t="str">
        <f t="shared" ca="1" si="69"/>
        <v/>
      </c>
      <c r="G1489" s="27" t="str">
        <f t="shared" ca="1" si="70"/>
        <v/>
      </c>
      <c r="H1489" s="13"/>
      <c r="I1489" s="29" t="str">
        <f t="shared" ca="1" si="71"/>
        <v/>
      </c>
    </row>
    <row r="1490" spans="1:9" x14ac:dyDescent="0.35">
      <c r="A1490" s="21"/>
      <c r="B1490" s="13"/>
      <c r="C1490" s="14"/>
      <c r="D1490" s="14"/>
      <c r="E1490" s="13"/>
      <c r="F1490" s="7" t="str">
        <f t="shared" ca="1" si="69"/>
        <v/>
      </c>
      <c r="G1490" s="27" t="str">
        <f t="shared" ca="1" si="70"/>
        <v/>
      </c>
      <c r="H1490" s="13"/>
      <c r="I1490" s="29" t="str">
        <f t="shared" ca="1" si="71"/>
        <v/>
      </c>
    </row>
    <row r="1491" spans="1:9" x14ac:dyDescent="0.35">
      <c r="A1491" s="21"/>
      <c r="B1491" s="13"/>
      <c r="C1491" s="14"/>
      <c r="D1491" s="14"/>
      <c r="E1491" s="13"/>
      <c r="F1491" s="7" t="str">
        <f t="shared" ca="1" si="69"/>
        <v/>
      </c>
      <c r="G1491" s="27" t="str">
        <f t="shared" ca="1" si="70"/>
        <v/>
      </c>
      <c r="H1491" s="13"/>
      <c r="I1491" s="29" t="str">
        <f t="shared" ca="1" si="71"/>
        <v/>
      </c>
    </row>
    <row r="1492" spans="1:9" x14ac:dyDescent="0.35">
      <c r="A1492" s="21"/>
      <c r="B1492" s="13"/>
      <c r="C1492" s="14"/>
      <c r="D1492" s="14"/>
      <c r="E1492" s="13"/>
      <c r="F1492" s="7" t="str">
        <f t="shared" ca="1" si="69"/>
        <v/>
      </c>
      <c r="G1492" s="27" t="str">
        <f t="shared" ca="1" si="70"/>
        <v/>
      </c>
      <c r="H1492" s="13"/>
      <c r="I1492" s="29" t="str">
        <f t="shared" ca="1" si="71"/>
        <v/>
      </c>
    </row>
    <row r="1493" spans="1:9" x14ac:dyDescent="0.35">
      <c r="A1493" s="21"/>
      <c r="B1493" s="13"/>
      <c r="C1493" s="14"/>
      <c r="D1493" s="14"/>
      <c r="E1493" s="13"/>
      <c r="F1493" s="7" t="str">
        <f t="shared" ca="1" si="69"/>
        <v/>
      </c>
      <c r="G1493" s="27" t="str">
        <f t="shared" ca="1" si="70"/>
        <v/>
      </c>
      <c r="H1493" s="13"/>
      <c r="I1493" s="29" t="str">
        <f t="shared" ca="1" si="71"/>
        <v/>
      </c>
    </row>
    <row r="1494" spans="1:9" x14ac:dyDescent="0.35">
      <c r="A1494" s="21"/>
      <c r="B1494" s="13"/>
      <c r="C1494" s="14"/>
      <c r="D1494" s="14"/>
      <c r="E1494" s="13"/>
      <c r="F1494" s="7" t="str">
        <f t="shared" ca="1" si="69"/>
        <v/>
      </c>
      <c r="G1494" s="27" t="str">
        <f t="shared" ca="1" si="70"/>
        <v/>
      </c>
      <c r="H1494" s="13"/>
      <c r="I1494" s="29" t="str">
        <f t="shared" ca="1" si="71"/>
        <v/>
      </c>
    </row>
    <row r="1495" spans="1:9" x14ac:dyDescent="0.35">
      <c r="A1495" s="21"/>
      <c r="B1495" s="13"/>
      <c r="C1495" s="14"/>
      <c r="D1495" s="14"/>
      <c r="E1495" s="13"/>
      <c r="F1495" s="7" t="str">
        <f t="shared" ca="1" si="69"/>
        <v/>
      </c>
      <c r="G1495" s="27" t="str">
        <f t="shared" ca="1" si="70"/>
        <v/>
      </c>
      <c r="H1495" s="13"/>
      <c r="I1495" s="29" t="str">
        <f t="shared" ca="1" si="71"/>
        <v/>
      </c>
    </row>
    <row r="1496" spans="1:9" x14ac:dyDescent="0.35">
      <c r="A1496" s="21"/>
      <c r="B1496" s="13"/>
      <c r="C1496" s="14"/>
      <c r="D1496" s="14"/>
      <c r="E1496" s="13"/>
      <c r="F1496" s="7" t="str">
        <f t="shared" ca="1" si="69"/>
        <v/>
      </c>
      <c r="G1496" s="27" t="str">
        <f t="shared" ca="1" si="70"/>
        <v/>
      </c>
      <c r="H1496" s="13"/>
      <c r="I1496" s="29" t="str">
        <f t="shared" ca="1" si="71"/>
        <v/>
      </c>
    </row>
    <row r="1497" spans="1:9" x14ac:dyDescent="0.35">
      <c r="A1497" s="21"/>
      <c r="B1497" s="13"/>
      <c r="C1497" s="14"/>
      <c r="D1497" s="14"/>
      <c r="E1497" s="13"/>
      <c r="F1497" s="7" t="str">
        <f t="shared" ca="1" si="69"/>
        <v/>
      </c>
      <c r="G1497" s="27" t="str">
        <f t="shared" ca="1" si="70"/>
        <v/>
      </c>
      <c r="H1497" s="13"/>
      <c r="I1497" s="29" t="str">
        <f t="shared" ca="1" si="71"/>
        <v/>
      </c>
    </row>
    <row r="1498" spans="1:9" x14ac:dyDescent="0.35">
      <c r="A1498" s="21"/>
      <c r="B1498" s="13"/>
      <c r="C1498" s="14"/>
      <c r="D1498" s="14"/>
      <c r="E1498" s="13"/>
      <c r="F1498" s="7" t="str">
        <f t="shared" ca="1" si="69"/>
        <v/>
      </c>
      <c r="G1498" s="27" t="str">
        <f t="shared" ca="1" si="70"/>
        <v/>
      </c>
      <c r="H1498" s="13"/>
      <c r="I1498" s="29" t="str">
        <f t="shared" ca="1" si="71"/>
        <v/>
      </c>
    </row>
    <row r="1499" spans="1:9" x14ac:dyDescent="0.35">
      <c r="A1499" s="21"/>
      <c r="B1499" s="13"/>
      <c r="C1499" s="14"/>
      <c r="D1499" s="14"/>
      <c r="E1499" s="13"/>
      <c r="F1499" s="7" t="str">
        <f t="shared" ca="1" si="69"/>
        <v/>
      </c>
      <c r="G1499" s="27" t="str">
        <f t="shared" ca="1" si="70"/>
        <v/>
      </c>
      <c r="H1499" s="13"/>
      <c r="I1499" s="29" t="str">
        <f t="shared" ca="1" si="71"/>
        <v/>
      </c>
    </row>
    <row r="1500" spans="1:9" x14ac:dyDescent="0.35">
      <c r="A1500" s="21"/>
      <c r="B1500" s="13"/>
      <c r="C1500" s="14"/>
      <c r="D1500" s="14"/>
      <c r="E1500" s="13"/>
      <c r="F1500" s="7" t="str">
        <f t="shared" ca="1" si="69"/>
        <v/>
      </c>
      <c r="G1500" s="27" t="str">
        <f t="shared" ca="1" si="70"/>
        <v/>
      </c>
      <c r="H1500" s="13"/>
      <c r="I1500" s="29" t="str">
        <f t="shared" ca="1" si="71"/>
        <v/>
      </c>
    </row>
    <row r="1501" spans="1:9" x14ac:dyDescent="0.35">
      <c r="A1501" s="21"/>
      <c r="B1501" s="13"/>
      <c r="C1501" s="14"/>
      <c r="D1501" s="14"/>
      <c r="E1501" s="13"/>
      <c r="F1501" s="7" t="str">
        <f t="shared" ca="1" si="69"/>
        <v/>
      </c>
      <c r="G1501" s="27" t="str">
        <f t="shared" ca="1" si="70"/>
        <v/>
      </c>
      <c r="H1501" s="13"/>
      <c r="I1501" s="29" t="str">
        <f t="shared" ca="1" si="71"/>
        <v/>
      </c>
    </row>
    <row r="1502" spans="1:9" x14ac:dyDescent="0.35">
      <c r="A1502" s="21"/>
      <c r="B1502" s="13"/>
      <c r="C1502" s="14"/>
      <c r="D1502" s="14"/>
      <c r="E1502" s="13"/>
      <c r="F1502" s="7" t="str">
        <f t="shared" ca="1" si="69"/>
        <v/>
      </c>
      <c r="G1502" s="27" t="str">
        <f t="shared" ca="1" si="70"/>
        <v/>
      </c>
      <c r="H1502" s="13"/>
      <c r="I1502" s="29" t="str">
        <f t="shared" ca="1" si="71"/>
        <v/>
      </c>
    </row>
    <row r="1503" spans="1:9" x14ac:dyDescent="0.35">
      <c r="A1503" s="21"/>
      <c r="B1503" s="13"/>
      <c r="C1503" s="14"/>
      <c r="D1503" s="14"/>
      <c r="E1503" s="13"/>
      <c r="F1503" s="7" t="str">
        <f t="shared" ca="1" si="69"/>
        <v/>
      </c>
      <c r="G1503" s="27" t="str">
        <f t="shared" ca="1" si="70"/>
        <v/>
      </c>
      <c r="H1503" s="13"/>
      <c r="I1503" s="29" t="str">
        <f t="shared" ca="1" si="71"/>
        <v/>
      </c>
    </row>
    <row r="1504" spans="1:9" x14ac:dyDescent="0.35">
      <c r="A1504" s="21"/>
      <c r="B1504" s="13"/>
      <c r="C1504" s="14"/>
      <c r="D1504" s="14"/>
      <c r="E1504" s="13"/>
      <c r="F1504" s="7" t="str">
        <f t="shared" ca="1" si="69"/>
        <v/>
      </c>
      <c r="G1504" s="27" t="str">
        <f t="shared" ca="1" si="70"/>
        <v/>
      </c>
      <c r="H1504" s="13"/>
      <c r="I1504" s="29" t="str">
        <f t="shared" ca="1" si="71"/>
        <v/>
      </c>
    </row>
  </sheetData>
  <mergeCells count="1">
    <mergeCell ref="A2:I2"/>
  </mergeCells>
  <conditionalFormatting sqref="F5:F1504">
    <cfRule type="cellIs" dxfId="6" priority="1" operator="equal">
      <formula>"Fait"</formula>
    </cfRule>
    <cfRule type="cellIs" dxfId="5" priority="2" operator="equal">
      <formula>"En retard"</formula>
    </cfRule>
    <cfRule type="cellIs" dxfId="4" priority="3" operator="equal">
      <formula>"À venir"</formula>
    </cfRule>
    <cfRule type="cellIs" dxfId="3" priority="4" operator="equal">
      <formula>"Non planifié"</formula>
    </cfRule>
  </conditionalFormatting>
  <dataValidations count="4">
    <dataValidation type="list" allowBlank="1" showErrorMessage="1" errorTitle="BL inconnu" error="Ce BL introuvable. Ajoutez-le d'abord dans la feuille Connaissements." sqref="A5:A1504" xr:uid="{00000000-0002-0000-0700-000000000000}">
      <formula1>L_BL</formula1>
    </dataValidation>
    <dataValidation type="list" errorStyle="warning" allowBlank="1" showErrorMessage="1" errorTitle="Étape absente de la liste" error="Cette étape n'est pas dans la feuille Listes. Cliquez sur Oui pour la garder." sqref="B5:B1504" xr:uid="{00000000-0002-0000-0700-000001000000}">
      <formula1>L_Etapes</formula1>
    </dataValidation>
    <dataValidation type="date" operator="greaterThan" allowBlank="1" showErrorMessage="1" errorTitle="Date non valide" error="Saisissez une date, par exemple 10/10/2026." sqref="C5:D1504" xr:uid="{00000000-0002-0000-0700-000002000000}">
      <formula1>36526</formula1>
    </dataValidation>
    <dataValidation type="list" errorStyle="warning" allowBlank="1" showErrorMessage="1" errorTitle="Responsable absent de la liste" error="Ce nom n'est pas dans la feuille Listes. Cliquez sur Oui pour le garder." sqref="E5:E1504" xr:uid="{00000000-0002-0000-0700-000004000000}">
      <formula1>L_Responsables</formula1>
    </dataValidation>
  </dataValidations>
  <pageMargins left="0.75" right="0.75" top="1" bottom="1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75623"/>
    <pageSetUpPr fitToPage="1"/>
  </sheetPr>
  <dimension ref="A1:N602"/>
  <sheetViews>
    <sheetView workbookViewId="0">
      <pane xSplit="1" ySplit="2" topLeftCell="B3" activePane="bottomRight" state="frozen"/>
      <selection pane="topRight"/>
      <selection pane="bottomLeft"/>
      <selection pane="bottomRight" activeCell="I11" sqref="I11"/>
    </sheetView>
  </sheetViews>
  <sheetFormatPr baseColWidth="10" defaultColWidth="8.7265625" defaultRowHeight="14.5" x14ac:dyDescent="0.35"/>
  <cols>
    <col min="1" max="2" width="14" style="55" customWidth="1"/>
    <col min="3" max="3" width="16" customWidth="1"/>
    <col min="4" max="4" width="22" customWidth="1"/>
    <col min="5" max="5" width="26" customWidth="1"/>
    <col min="6" max="6" width="22" customWidth="1"/>
    <col min="7" max="9" width="15" customWidth="1"/>
    <col min="10" max="11" width="13" customWidth="1"/>
    <col min="12" max="12" width="14" customWidth="1"/>
    <col min="13" max="13" width="26" customWidth="1"/>
    <col min="14" max="14" width="18" customWidth="1"/>
  </cols>
  <sheetData>
    <row r="1" spans="1:14" ht="62" customHeight="1" x14ac:dyDescent="0.35">
      <c r="A1" s="49" t="s">
        <v>127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36" customHeight="1" x14ac:dyDescent="0.35">
      <c r="A2" s="12" t="s">
        <v>53</v>
      </c>
      <c r="B2" s="12" t="s">
        <v>39</v>
      </c>
      <c r="C2" s="12" t="s">
        <v>38</v>
      </c>
      <c r="D2" s="12" t="s">
        <v>82</v>
      </c>
      <c r="E2" s="12" t="s">
        <v>128</v>
      </c>
      <c r="F2" s="12" t="s">
        <v>129</v>
      </c>
      <c r="G2" s="12" t="s">
        <v>130</v>
      </c>
      <c r="H2" s="12" t="s">
        <v>131</v>
      </c>
      <c r="I2" s="20" t="s">
        <v>132</v>
      </c>
      <c r="J2" s="12" t="s">
        <v>133</v>
      </c>
      <c r="K2" s="12" t="s">
        <v>134</v>
      </c>
      <c r="L2" s="12" t="s">
        <v>135</v>
      </c>
      <c r="M2" s="12" t="s">
        <v>78</v>
      </c>
      <c r="N2" s="20" t="s">
        <v>136</v>
      </c>
    </row>
    <row r="3" spans="1:14" x14ac:dyDescent="0.35">
      <c r="A3" s="81"/>
      <c r="B3" s="81"/>
      <c r="C3" s="21"/>
      <c r="D3" s="13"/>
      <c r="E3" s="13"/>
      <c r="F3" s="13"/>
      <c r="G3" s="22"/>
      <c r="H3" s="22"/>
      <c r="I3" s="28" t="str">
        <f t="shared" ref="I3:I66" si="0">IF($G3="","",$G3-N($H3))</f>
        <v/>
      </c>
      <c r="J3" s="14"/>
      <c r="K3" s="14"/>
      <c r="L3" s="21"/>
      <c r="M3" s="13"/>
      <c r="N3" s="7"/>
    </row>
    <row r="4" spans="1:14" x14ac:dyDescent="0.35">
      <c r="A4" s="81"/>
      <c r="B4" s="81"/>
      <c r="C4" s="21"/>
      <c r="D4" s="13"/>
      <c r="E4" s="13"/>
      <c r="F4" s="13"/>
      <c r="G4" s="22"/>
      <c r="H4" s="22"/>
      <c r="I4" s="28" t="str">
        <f t="shared" si="0"/>
        <v/>
      </c>
      <c r="J4" s="14"/>
      <c r="K4" s="14"/>
      <c r="L4" s="21"/>
      <c r="M4" s="13"/>
      <c r="N4" s="7" t="str">
        <f t="shared" ref="N3:N66" si="1">IF($G4="","",IF(N($H4)&gt;=$G4,"Payé",IF(N($H4)&gt;0,"Partiellement payé","Non payé")))</f>
        <v/>
      </c>
    </row>
    <row r="5" spans="1:14" x14ac:dyDescent="0.35">
      <c r="A5" s="81"/>
      <c r="B5" s="81"/>
      <c r="C5" s="21"/>
      <c r="D5" s="13"/>
      <c r="E5" s="13"/>
      <c r="F5" s="13"/>
      <c r="G5" s="22"/>
      <c r="H5" s="22"/>
      <c r="I5" s="28" t="str">
        <f t="shared" si="0"/>
        <v/>
      </c>
      <c r="J5" s="14"/>
      <c r="K5" s="14"/>
      <c r="L5" s="21"/>
      <c r="M5" s="13"/>
      <c r="N5" s="7" t="str">
        <f t="shared" si="1"/>
        <v/>
      </c>
    </row>
    <row r="6" spans="1:14" x14ac:dyDescent="0.35">
      <c r="A6" s="81"/>
      <c r="B6" s="81"/>
      <c r="C6" s="21"/>
      <c r="D6" s="13"/>
      <c r="E6" s="13"/>
      <c r="F6" s="13"/>
      <c r="G6" s="22"/>
      <c r="H6" s="22"/>
      <c r="I6" s="28" t="str">
        <f t="shared" si="0"/>
        <v/>
      </c>
      <c r="J6" s="14"/>
      <c r="K6" s="14"/>
      <c r="L6" s="21"/>
      <c r="M6" s="13"/>
      <c r="N6" s="7" t="str">
        <f t="shared" si="1"/>
        <v/>
      </c>
    </row>
    <row r="7" spans="1:14" x14ac:dyDescent="0.35">
      <c r="A7" s="81"/>
      <c r="B7" s="81"/>
      <c r="C7" s="21"/>
      <c r="D7" s="13"/>
      <c r="E7" s="13"/>
      <c r="F7" s="13"/>
      <c r="G7" s="22"/>
      <c r="H7" s="22"/>
      <c r="I7" s="28" t="str">
        <f t="shared" si="0"/>
        <v/>
      </c>
      <c r="J7" s="14"/>
      <c r="K7" s="14"/>
      <c r="L7" s="21"/>
      <c r="M7" s="13"/>
      <c r="N7" s="7" t="str">
        <f t="shared" si="1"/>
        <v/>
      </c>
    </row>
    <row r="8" spans="1:14" x14ac:dyDescent="0.35">
      <c r="A8" s="81"/>
      <c r="B8" s="81"/>
      <c r="C8" s="21"/>
      <c r="D8" s="13"/>
      <c r="E8" s="13"/>
      <c r="F8" s="13"/>
      <c r="G8" s="22"/>
      <c r="H8" s="22"/>
      <c r="I8" s="28" t="str">
        <f t="shared" si="0"/>
        <v/>
      </c>
      <c r="J8" s="14"/>
      <c r="K8" s="14"/>
      <c r="L8" s="21"/>
      <c r="M8" s="13"/>
      <c r="N8" s="7" t="str">
        <f t="shared" si="1"/>
        <v/>
      </c>
    </row>
    <row r="9" spans="1:14" x14ac:dyDescent="0.35">
      <c r="A9" s="81"/>
      <c r="B9" s="81"/>
      <c r="C9" s="21"/>
      <c r="D9" s="13"/>
      <c r="E9" s="13"/>
      <c r="F9" s="13"/>
      <c r="G9" s="22"/>
      <c r="H9" s="22"/>
      <c r="I9" s="28" t="str">
        <f t="shared" si="0"/>
        <v/>
      </c>
      <c r="J9" s="14"/>
      <c r="K9" s="14"/>
      <c r="L9" s="21"/>
      <c r="M9" s="13"/>
      <c r="N9" s="7" t="str">
        <f t="shared" si="1"/>
        <v/>
      </c>
    </row>
    <row r="10" spans="1:14" x14ac:dyDescent="0.35">
      <c r="A10" s="81"/>
      <c r="B10" s="81"/>
      <c r="C10" s="21"/>
      <c r="D10" s="13"/>
      <c r="E10" s="13"/>
      <c r="F10" s="13"/>
      <c r="G10" s="22"/>
      <c r="H10" s="22"/>
      <c r="I10" s="28" t="str">
        <f t="shared" si="0"/>
        <v/>
      </c>
      <c r="J10" s="14"/>
      <c r="K10" s="14"/>
      <c r="L10" s="21"/>
      <c r="M10" s="13"/>
      <c r="N10" s="7" t="str">
        <f t="shared" si="1"/>
        <v/>
      </c>
    </row>
    <row r="11" spans="1:14" x14ac:dyDescent="0.35">
      <c r="A11" s="81"/>
      <c r="B11" s="81"/>
      <c r="C11" s="21"/>
      <c r="D11" s="13"/>
      <c r="E11" s="13"/>
      <c r="F11" s="13"/>
      <c r="G11" s="22"/>
      <c r="H11" s="22"/>
      <c r="I11" s="28" t="str">
        <f t="shared" si="0"/>
        <v/>
      </c>
      <c r="J11" s="14"/>
      <c r="K11" s="14"/>
      <c r="L11" s="21"/>
      <c r="M11" s="13"/>
      <c r="N11" s="7" t="str">
        <f t="shared" si="1"/>
        <v/>
      </c>
    </row>
    <row r="12" spans="1:14" x14ac:dyDescent="0.35">
      <c r="A12" s="81"/>
      <c r="B12" s="81"/>
      <c r="C12" s="21"/>
      <c r="D12" s="13"/>
      <c r="E12" s="13"/>
      <c r="F12" s="13"/>
      <c r="G12" s="22"/>
      <c r="H12" s="22"/>
      <c r="I12" s="28" t="str">
        <f t="shared" si="0"/>
        <v/>
      </c>
      <c r="J12" s="14"/>
      <c r="K12" s="14"/>
      <c r="L12" s="21"/>
      <c r="M12" s="13"/>
      <c r="N12" s="7" t="str">
        <f t="shared" si="1"/>
        <v/>
      </c>
    </row>
    <row r="13" spans="1:14" x14ac:dyDescent="0.35">
      <c r="A13" s="81"/>
      <c r="B13" s="81"/>
      <c r="C13" s="21"/>
      <c r="D13" s="13"/>
      <c r="E13" s="13"/>
      <c r="F13" s="13"/>
      <c r="G13" s="22"/>
      <c r="H13" s="22"/>
      <c r="I13" s="28" t="str">
        <f t="shared" si="0"/>
        <v/>
      </c>
      <c r="J13" s="14"/>
      <c r="K13" s="14"/>
      <c r="L13" s="21"/>
      <c r="M13" s="13"/>
      <c r="N13" s="7" t="str">
        <f t="shared" si="1"/>
        <v/>
      </c>
    </row>
    <row r="14" spans="1:14" x14ac:dyDescent="0.35">
      <c r="A14" s="81"/>
      <c r="B14" s="81"/>
      <c r="C14" s="21"/>
      <c r="D14" s="13"/>
      <c r="E14" s="13"/>
      <c r="F14" s="13"/>
      <c r="G14" s="22"/>
      <c r="H14" s="22"/>
      <c r="I14" s="28" t="str">
        <f t="shared" si="0"/>
        <v/>
      </c>
      <c r="J14" s="14"/>
      <c r="K14" s="14"/>
      <c r="L14" s="21"/>
      <c r="M14" s="13"/>
      <c r="N14" s="7" t="str">
        <f t="shared" si="1"/>
        <v/>
      </c>
    </row>
    <row r="15" spans="1:14" x14ac:dyDescent="0.35">
      <c r="A15" s="81"/>
      <c r="B15" s="81"/>
      <c r="C15" s="21"/>
      <c r="D15" s="13"/>
      <c r="E15" s="13"/>
      <c r="F15" s="13"/>
      <c r="G15" s="22"/>
      <c r="H15" s="22"/>
      <c r="I15" s="28" t="str">
        <f t="shared" si="0"/>
        <v/>
      </c>
      <c r="J15" s="14"/>
      <c r="K15" s="14"/>
      <c r="L15" s="21"/>
      <c r="M15" s="13"/>
      <c r="N15" s="7" t="str">
        <f t="shared" si="1"/>
        <v/>
      </c>
    </row>
    <row r="16" spans="1:14" x14ac:dyDescent="0.35">
      <c r="A16" s="81"/>
      <c r="B16" s="81"/>
      <c r="C16" s="21"/>
      <c r="D16" s="13"/>
      <c r="E16" s="13"/>
      <c r="F16" s="13"/>
      <c r="G16" s="22"/>
      <c r="H16" s="22"/>
      <c r="I16" s="28" t="str">
        <f t="shared" si="0"/>
        <v/>
      </c>
      <c r="J16" s="14"/>
      <c r="K16" s="14"/>
      <c r="L16" s="21"/>
      <c r="M16" s="13"/>
      <c r="N16" s="7" t="str">
        <f t="shared" si="1"/>
        <v/>
      </c>
    </row>
    <row r="17" spans="1:14" x14ac:dyDescent="0.35">
      <c r="A17" s="81"/>
      <c r="B17" s="81"/>
      <c r="C17" s="21"/>
      <c r="D17" s="13"/>
      <c r="E17" s="13"/>
      <c r="F17" s="13"/>
      <c r="G17" s="22"/>
      <c r="H17" s="22"/>
      <c r="I17" s="28" t="str">
        <f t="shared" si="0"/>
        <v/>
      </c>
      <c r="J17" s="14"/>
      <c r="K17" s="14"/>
      <c r="L17" s="21"/>
      <c r="M17" s="13"/>
      <c r="N17" s="7" t="str">
        <f t="shared" si="1"/>
        <v/>
      </c>
    </row>
    <row r="18" spans="1:14" x14ac:dyDescent="0.35">
      <c r="A18" s="81"/>
      <c r="B18" s="81"/>
      <c r="C18" s="21"/>
      <c r="D18" s="13"/>
      <c r="E18" s="13"/>
      <c r="F18" s="13"/>
      <c r="G18" s="22"/>
      <c r="H18" s="22"/>
      <c r="I18" s="28" t="str">
        <f t="shared" si="0"/>
        <v/>
      </c>
      <c r="J18" s="14"/>
      <c r="K18" s="14"/>
      <c r="L18" s="21"/>
      <c r="M18" s="13"/>
      <c r="N18" s="7" t="str">
        <f t="shared" si="1"/>
        <v/>
      </c>
    </row>
    <row r="19" spans="1:14" x14ac:dyDescent="0.35">
      <c r="A19" s="81"/>
      <c r="B19" s="81"/>
      <c r="C19" s="21"/>
      <c r="D19" s="13"/>
      <c r="E19" s="13"/>
      <c r="F19" s="13"/>
      <c r="G19" s="22"/>
      <c r="H19" s="22"/>
      <c r="I19" s="28" t="str">
        <f t="shared" si="0"/>
        <v/>
      </c>
      <c r="J19" s="14"/>
      <c r="K19" s="14"/>
      <c r="L19" s="21"/>
      <c r="M19" s="13"/>
      <c r="N19" s="7" t="str">
        <f t="shared" si="1"/>
        <v/>
      </c>
    </row>
    <row r="20" spans="1:14" x14ac:dyDescent="0.35">
      <c r="A20" s="81"/>
      <c r="B20" s="81"/>
      <c r="C20" s="21"/>
      <c r="D20" s="13"/>
      <c r="E20" s="13"/>
      <c r="F20" s="13"/>
      <c r="G20" s="22"/>
      <c r="H20" s="22"/>
      <c r="I20" s="28" t="str">
        <f t="shared" si="0"/>
        <v/>
      </c>
      <c r="J20" s="14"/>
      <c r="K20" s="14"/>
      <c r="L20" s="21"/>
      <c r="M20" s="13"/>
      <c r="N20" s="7" t="str">
        <f t="shared" si="1"/>
        <v/>
      </c>
    </row>
    <row r="21" spans="1:14" x14ac:dyDescent="0.35">
      <c r="A21" s="81"/>
      <c r="B21" s="81"/>
      <c r="C21" s="21"/>
      <c r="D21" s="13"/>
      <c r="E21" s="13"/>
      <c r="F21" s="13"/>
      <c r="G21" s="22"/>
      <c r="H21" s="22"/>
      <c r="I21" s="28" t="str">
        <f t="shared" si="0"/>
        <v/>
      </c>
      <c r="J21" s="14"/>
      <c r="K21" s="14"/>
      <c r="L21" s="21"/>
      <c r="M21" s="13"/>
      <c r="N21" s="7" t="str">
        <f t="shared" si="1"/>
        <v/>
      </c>
    </row>
    <row r="22" spans="1:14" x14ac:dyDescent="0.35">
      <c r="A22" s="81"/>
      <c r="B22" s="81"/>
      <c r="C22" s="21"/>
      <c r="D22" s="13"/>
      <c r="E22" s="13"/>
      <c r="F22" s="13"/>
      <c r="G22" s="22"/>
      <c r="H22" s="22"/>
      <c r="I22" s="28" t="str">
        <f t="shared" si="0"/>
        <v/>
      </c>
      <c r="J22" s="14"/>
      <c r="K22" s="14"/>
      <c r="L22" s="21"/>
      <c r="M22" s="13"/>
      <c r="N22" s="7" t="str">
        <f t="shared" si="1"/>
        <v/>
      </c>
    </row>
    <row r="23" spans="1:14" x14ac:dyDescent="0.35">
      <c r="A23" s="81"/>
      <c r="B23" s="81"/>
      <c r="C23" s="21"/>
      <c r="D23" s="13"/>
      <c r="E23" s="13"/>
      <c r="F23" s="13"/>
      <c r="G23" s="22"/>
      <c r="H23" s="22"/>
      <c r="I23" s="28" t="str">
        <f t="shared" si="0"/>
        <v/>
      </c>
      <c r="J23" s="14"/>
      <c r="K23" s="14"/>
      <c r="L23" s="21"/>
      <c r="M23" s="13"/>
      <c r="N23" s="7" t="str">
        <f t="shared" si="1"/>
        <v/>
      </c>
    </row>
    <row r="24" spans="1:14" x14ac:dyDescent="0.35">
      <c r="A24" s="81"/>
      <c r="B24" s="81"/>
      <c r="C24" s="21"/>
      <c r="D24" s="13"/>
      <c r="E24" s="13"/>
      <c r="F24" s="13"/>
      <c r="G24" s="22"/>
      <c r="H24" s="22"/>
      <c r="I24" s="28" t="str">
        <f t="shared" si="0"/>
        <v/>
      </c>
      <c r="J24" s="14"/>
      <c r="K24" s="14"/>
      <c r="L24" s="21"/>
      <c r="M24" s="13"/>
      <c r="N24" s="7" t="str">
        <f t="shared" si="1"/>
        <v/>
      </c>
    </row>
    <row r="25" spans="1:14" x14ac:dyDescent="0.35">
      <c r="A25" s="81"/>
      <c r="B25" s="81"/>
      <c r="C25" s="21"/>
      <c r="D25" s="13"/>
      <c r="E25" s="13"/>
      <c r="F25" s="13"/>
      <c r="G25" s="22"/>
      <c r="H25" s="22"/>
      <c r="I25" s="28" t="str">
        <f t="shared" si="0"/>
        <v/>
      </c>
      <c r="J25" s="14"/>
      <c r="K25" s="14"/>
      <c r="L25" s="21"/>
      <c r="M25" s="13"/>
      <c r="N25" s="7" t="str">
        <f t="shared" si="1"/>
        <v/>
      </c>
    </row>
    <row r="26" spans="1:14" x14ac:dyDescent="0.35">
      <c r="A26" s="81"/>
      <c r="B26" s="81"/>
      <c r="C26" s="21"/>
      <c r="D26" s="13"/>
      <c r="E26" s="13"/>
      <c r="F26" s="13"/>
      <c r="G26" s="22"/>
      <c r="H26" s="22"/>
      <c r="I26" s="28" t="str">
        <f t="shared" si="0"/>
        <v/>
      </c>
      <c r="J26" s="14"/>
      <c r="K26" s="14"/>
      <c r="L26" s="21"/>
      <c r="M26" s="13"/>
      <c r="N26" s="7" t="str">
        <f t="shared" si="1"/>
        <v/>
      </c>
    </row>
    <row r="27" spans="1:14" x14ac:dyDescent="0.35">
      <c r="A27" s="81"/>
      <c r="B27" s="81"/>
      <c r="C27" s="21"/>
      <c r="D27" s="13"/>
      <c r="E27" s="13"/>
      <c r="F27" s="13"/>
      <c r="G27" s="22"/>
      <c r="H27" s="22"/>
      <c r="I27" s="28" t="str">
        <f t="shared" si="0"/>
        <v/>
      </c>
      <c r="J27" s="14"/>
      <c r="K27" s="14"/>
      <c r="L27" s="21"/>
      <c r="M27" s="13"/>
      <c r="N27" s="7" t="str">
        <f t="shared" si="1"/>
        <v/>
      </c>
    </row>
    <row r="28" spans="1:14" x14ac:dyDescent="0.35">
      <c r="A28" s="81"/>
      <c r="B28" s="81"/>
      <c r="C28" s="21"/>
      <c r="D28" s="13"/>
      <c r="E28" s="13"/>
      <c r="F28" s="13"/>
      <c r="G28" s="22"/>
      <c r="H28" s="22"/>
      <c r="I28" s="28" t="str">
        <f t="shared" si="0"/>
        <v/>
      </c>
      <c r="J28" s="14"/>
      <c r="K28" s="14"/>
      <c r="L28" s="21"/>
      <c r="M28" s="13"/>
      <c r="N28" s="7" t="str">
        <f t="shared" si="1"/>
        <v/>
      </c>
    </row>
    <row r="29" spans="1:14" x14ac:dyDescent="0.35">
      <c r="A29" s="81"/>
      <c r="B29" s="81"/>
      <c r="C29" s="21"/>
      <c r="D29" s="13"/>
      <c r="E29" s="13"/>
      <c r="F29" s="13"/>
      <c r="G29" s="22"/>
      <c r="H29" s="22"/>
      <c r="I29" s="28" t="str">
        <f t="shared" si="0"/>
        <v/>
      </c>
      <c r="J29" s="14"/>
      <c r="K29" s="14"/>
      <c r="L29" s="21"/>
      <c r="M29" s="13"/>
      <c r="N29" s="7" t="str">
        <f t="shared" si="1"/>
        <v/>
      </c>
    </row>
    <row r="30" spans="1:14" x14ac:dyDescent="0.35">
      <c r="A30" s="81"/>
      <c r="B30" s="81"/>
      <c r="C30" s="21"/>
      <c r="D30" s="13"/>
      <c r="E30" s="13"/>
      <c r="F30" s="13"/>
      <c r="G30" s="22"/>
      <c r="H30" s="22"/>
      <c r="I30" s="28" t="str">
        <f t="shared" si="0"/>
        <v/>
      </c>
      <c r="J30" s="14"/>
      <c r="K30" s="14"/>
      <c r="L30" s="21"/>
      <c r="M30" s="13"/>
      <c r="N30" s="7" t="str">
        <f t="shared" si="1"/>
        <v/>
      </c>
    </row>
    <row r="31" spans="1:14" x14ac:dyDescent="0.35">
      <c r="A31" s="81"/>
      <c r="B31" s="81"/>
      <c r="C31" s="21"/>
      <c r="D31" s="13"/>
      <c r="E31" s="13"/>
      <c r="F31" s="13"/>
      <c r="G31" s="22"/>
      <c r="H31" s="22"/>
      <c r="I31" s="28" t="str">
        <f t="shared" si="0"/>
        <v/>
      </c>
      <c r="J31" s="14"/>
      <c r="K31" s="14"/>
      <c r="L31" s="21"/>
      <c r="M31" s="13"/>
      <c r="N31" s="7" t="str">
        <f t="shared" si="1"/>
        <v/>
      </c>
    </row>
    <row r="32" spans="1:14" x14ac:dyDescent="0.35">
      <c r="A32" s="81"/>
      <c r="B32" s="81"/>
      <c r="C32" s="21"/>
      <c r="D32" s="13"/>
      <c r="E32" s="13"/>
      <c r="F32" s="13"/>
      <c r="G32" s="22"/>
      <c r="H32" s="22"/>
      <c r="I32" s="28" t="str">
        <f t="shared" si="0"/>
        <v/>
      </c>
      <c r="J32" s="14"/>
      <c r="K32" s="14"/>
      <c r="L32" s="21"/>
      <c r="M32" s="13"/>
      <c r="N32" s="7" t="str">
        <f t="shared" si="1"/>
        <v/>
      </c>
    </row>
    <row r="33" spans="1:14" x14ac:dyDescent="0.35">
      <c r="A33" s="81"/>
      <c r="B33" s="81"/>
      <c r="C33" s="21"/>
      <c r="D33" s="13"/>
      <c r="E33" s="13"/>
      <c r="F33" s="13"/>
      <c r="G33" s="22"/>
      <c r="H33" s="22"/>
      <c r="I33" s="28" t="str">
        <f t="shared" si="0"/>
        <v/>
      </c>
      <c r="J33" s="14"/>
      <c r="K33" s="14"/>
      <c r="L33" s="21"/>
      <c r="M33" s="13"/>
      <c r="N33" s="7" t="str">
        <f t="shared" si="1"/>
        <v/>
      </c>
    </row>
    <row r="34" spans="1:14" x14ac:dyDescent="0.35">
      <c r="A34" s="81"/>
      <c r="B34" s="81"/>
      <c r="C34" s="21"/>
      <c r="D34" s="13"/>
      <c r="E34" s="13"/>
      <c r="F34" s="13"/>
      <c r="G34" s="22"/>
      <c r="H34" s="22"/>
      <c r="I34" s="28" t="str">
        <f t="shared" si="0"/>
        <v/>
      </c>
      <c r="J34" s="14"/>
      <c r="K34" s="14"/>
      <c r="L34" s="21"/>
      <c r="M34" s="13"/>
      <c r="N34" s="7" t="str">
        <f t="shared" si="1"/>
        <v/>
      </c>
    </row>
    <row r="35" spans="1:14" x14ac:dyDescent="0.35">
      <c r="A35" s="81"/>
      <c r="B35" s="81"/>
      <c r="C35" s="21"/>
      <c r="D35" s="13"/>
      <c r="E35" s="13"/>
      <c r="F35" s="13"/>
      <c r="G35" s="22"/>
      <c r="H35" s="22"/>
      <c r="I35" s="28" t="str">
        <f t="shared" si="0"/>
        <v/>
      </c>
      <c r="J35" s="14"/>
      <c r="K35" s="14"/>
      <c r="L35" s="21"/>
      <c r="M35" s="13"/>
      <c r="N35" s="7" t="str">
        <f t="shared" si="1"/>
        <v/>
      </c>
    </row>
    <row r="36" spans="1:14" x14ac:dyDescent="0.35">
      <c r="A36" s="81"/>
      <c r="B36" s="81"/>
      <c r="C36" s="21"/>
      <c r="D36" s="13"/>
      <c r="E36" s="13"/>
      <c r="F36" s="13"/>
      <c r="G36" s="22"/>
      <c r="H36" s="22"/>
      <c r="I36" s="28" t="str">
        <f t="shared" si="0"/>
        <v/>
      </c>
      <c r="J36" s="14"/>
      <c r="K36" s="14"/>
      <c r="L36" s="21"/>
      <c r="M36" s="13"/>
      <c r="N36" s="7" t="str">
        <f t="shared" si="1"/>
        <v/>
      </c>
    </row>
    <row r="37" spans="1:14" x14ac:dyDescent="0.35">
      <c r="A37" s="81"/>
      <c r="B37" s="81"/>
      <c r="C37" s="21"/>
      <c r="D37" s="13"/>
      <c r="E37" s="13"/>
      <c r="F37" s="13"/>
      <c r="G37" s="22"/>
      <c r="H37" s="22"/>
      <c r="I37" s="28" t="str">
        <f t="shared" si="0"/>
        <v/>
      </c>
      <c r="J37" s="14"/>
      <c r="K37" s="14"/>
      <c r="L37" s="21"/>
      <c r="M37" s="13"/>
      <c r="N37" s="7" t="str">
        <f t="shared" si="1"/>
        <v/>
      </c>
    </row>
    <row r="38" spans="1:14" x14ac:dyDescent="0.35">
      <c r="A38" s="81"/>
      <c r="B38" s="81"/>
      <c r="C38" s="21"/>
      <c r="D38" s="13"/>
      <c r="E38" s="13"/>
      <c r="F38" s="13"/>
      <c r="G38" s="22"/>
      <c r="H38" s="22"/>
      <c r="I38" s="28" t="str">
        <f t="shared" si="0"/>
        <v/>
      </c>
      <c r="J38" s="14"/>
      <c r="K38" s="14"/>
      <c r="L38" s="21"/>
      <c r="M38" s="13"/>
      <c r="N38" s="7" t="str">
        <f t="shared" si="1"/>
        <v/>
      </c>
    </row>
    <row r="39" spans="1:14" x14ac:dyDescent="0.35">
      <c r="A39" s="81"/>
      <c r="B39" s="81"/>
      <c r="C39" s="21"/>
      <c r="D39" s="13"/>
      <c r="E39" s="13"/>
      <c r="F39" s="13"/>
      <c r="G39" s="22"/>
      <c r="H39" s="22"/>
      <c r="I39" s="28" t="str">
        <f t="shared" si="0"/>
        <v/>
      </c>
      <c r="J39" s="14"/>
      <c r="K39" s="14"/>
      <c r="L39" s="21"/>
      <c r="M39" s="13"/>
      <c r="N39" s="7" t="str">
        <f t="shared" si="1"/>
        <v/>
      </c>
    </row>
    <row r="40" spans="1:14" x14ac:dyDescent="0.35">
      <c r="A40" s="81"/>
      <c r="B40" s="81"/>
      <c r="C40" s="21"/>
      <c r="D40" s="13"/>
      <c r="E40" s="13"/>
      <c r="F40" s="13"/>
      <c r="G40" s="22"/>
      <c r="H40" s="22"/>
      <c r="I40" s="28" t="str">
        <f t="shared" si="0"/>
        <v/>
      </c>
      <c r="J40" s="14"/>
      <c r="K40" s="14"/>
      <c r="L40" s="21"/>
      <c r="M40" s="13"/>
      <c r="N40" s="7" t="str">
        <f t="shared" si="1"/>
        <v/>
      </c>
    </row>
    <row r="41" spans="1:14" x14ac:dyDescent="0.35">
      <c r="A41" s="81"/>
      <c r="B41" s="81"/>
      <c r="C41" s="21"/>
      <c r="D41" s="13"/>
      <c r="E41" s="13"/>
      <c r="F41" s="13"/>
      <c r="G41" s="22"/>
      <c r="H41" s="22"/>
      <c r="I41" s="28" t="str">
        <f t="shared" si="0"/>
        <v/>
      </c>
      <c r="J41" s="14"/>
      <c r="K41" s="14"/>
      <c r="L41" s="21"/>
      <c r="M41" s="13"/>
      <c r="N41" s="7" t="str">
        <f t="shared" si="1"/>
        <v/>
      </c>
    </row>
    <row r="42" spans="1:14" x14ac:dyDescent="0.35">
      <c r="A42" s="81"/>
      <c r="B42" s="81"/>
      <c r="C42" s="21"/>
      <c r="D42" s="13"/>
      <c r="E42" s="13"/>
      <c r="F42" s="13"/>
      <c r="G42" s="22"/>
      <c r="H42" s="22"/>
      <c r="I42" s="28" t="str">
        <f t="shared" si="0"/>
        <v/>
      </c>
      <c r="J42" s="14"/>
      <c r="K42" s="14"/>
      <c r="L42" s="21"/>
      <c r="M42" s="13"/>
      <c r="N42" s="7" t="str">
        <f t="shared" si="1"/>
        <v/>
      </c>
    </row>
    <row r="43" spans="1:14" x14ac:dyDescent="0.35">
      <c r="A43" s="81"/>
      <c r="B43" s="81"/>
      <c r="C43" s="21"/>
      <c r="D43" s="13"/>
      <c r="E43" s="13"/>
      <c r="F43" s="13"/>
      <c r="G43" s="22"/>
      <c r="H43" s="22"/>
      <c r="I43" s="28" t="str">
        <f t="shared" si="0"/>
        <v/>
      </c>
      <c r="J43" s="14"/>
      <c r="K43" s="14"/>
      <c r="L43" s="21"/>
      <c r="M43" s="13"/>
      <c r="N43" s="7" t="str">
        <f t="shared" si="1"/>
        <v/>
      </c>
    </row>
    <row r="44" spans="1:14" x14ac:dyDescent="0.35">
      <c r="A44" s="81"/>
      <c r="B44" s="81"/>
      <c r="C44" s="21"/>
      <c r="D44" s="13"/>
      <c r="E44" s="13"/>
      <c r="F44" s="13"/>
      <c r="G44" s="22"/>
      <c r="H44" s="22"/>
      <c r="I44" s="28" t="str">
        <f t="shared" si="0"/>
        <v/>
      </c>
      <c r="J44" s="14"/>
      <c r="K44" s="14"/>
      <c r="L44" s="21"/>
      <c r="M44" s="13"/>
      <c r="N44" s="7" t="str">
        <f t="shared" si="1"/>
        <v/>
      </c>
    </row>
    <row r="45" spans="1:14" x14ac:dyDescent="0.35">
      <c r="A45" s="81"/>
      <c r="B45" s="81"/>
      <c r="C45" s="21"/>
      <c r="D45" s="13"/>
      <c r="E45" s="13"/>
      <c r="F45" s="13"/>
      <c r="G45" s="22"/>
      <c r="H45" s="22"/>
      <c r="I45" s="28" t="str">
        <f t="shared" si="0"/>
        <v/>
      </c>
      <c r="J45" s="14"/>
      <c r="K45" s="14"/>
      <c r="L45" s="21"/>
      <c r="M45" s="13"/>
      <c r="N45" s="7" t="str">
        <f t="shared" si="1"/>
        <v/>
      </c>
    </row>
    <row r="46" spans="1:14" x14ac:dyDescent="0.35">
      <c r="A46" s="81"/>
      <c r="B46" s="81"/>
      <c r="C46" s="21"/>
      <c r="D46" s="13"/>
      <c r="E46" s="13"/>
      <c r="F46" s="13"/>
      <c r="G46" s="22"/>
      <c r="H46" s="22"/>
      <c r="I46" s="28" t="str">
        <f t="shared" si="0"/>
        <v/>
      </c>
      <c r="J46" s="14"/>
      <c r="K46" s="14"/>
      <c r="L46" s="21"/>
      <c r="M46" s="13"/>
      <c r="N46" s="7" t="str">
        <f t="shared" si="1"/>
        <v/>
      </c>
    </row>
    <row r="47" spans="1:14" x14ac:dyDescent="0.35">
      <c r="A47" s="81"/>
      <c r="B47" s="81"/>
      <c r="C47" s="21"/>
      <c r="D47" s="13"/>
      <c r="E47" s="13"/>
      <c r="F47" s="13"/>
      <c r="G47" s="22"/>
      <c r="H47" s="22"/>
      <c r="I47" s="28" t="str">
        <f t="shared" si="0"/>
        <v/>
      </c>
      <c r="J47" s="14"/>
      <c r="K47" s="14"/>
      <c r="L47" s="21"/>
      <c r="M47" s="13"/>
      <c r="N47" s="7" t="str">
        <f t="shared" si="1"/>
        <v/>
      </c>
    </row>
    <row r="48" spans="1:14" x14ac:dyDescent="0.35">
      <c r="A48" s="81"/>
      <c r="B48" s="81"/>
      <c r="C48" s="21"/>
      <c r="D48" s="13"/>
      <c r="E48" s="13"/>
      <c r="F48" s="13"/>
      <c r="G48" s="22"/>
      <c r="H48" s="22"/>
      <c r="I48" s="28" t="str">
        <f t="shared" si="0"/>
        <v/>
      </c>
      <c r="J48" s="14"/>
      <c r="K48" s="14"/>
      <c r="L48" s="21"/>
      <c r="M48" s="13"/>
      <c r="N48" s="7" t="str">
        <f t="shared" si="1"/>
        <v/>
      </c>
    </row>
    <row r="49" spans="1:14" x14ac:dyDescent="0.35">
      <c r="A49" s="81"/>
      <c r="B49" s="81"/>
      <c r="C49" s="21"/>
      <c r="D49" s="13"/>
      <c r="E49" s="13"/>
      <c r="F49" s="13"/>
      <c r="G49" s="22"/>
      <c r="H49" s="22"/>
      <c r="I49" s="28" t="str">
        <f t="shared" si="0"/>
        <v/>
      </c>
      <c r="J49" s="14"/>
      <c r="K49" s="14"/>
      <c r="L49" s="21"/>
      <c r="M49" s="13"/>
      <c r="N49" s="7" t="str">
        <f t="shared" si="1"/>
        <v/>
      </c>
    </row>
    <row r="50" spans="1:14" x14ac:dyDescent="0.35">
      <c r="A50" s="81"/>
      <c r="B50" s="81"/>
      <c r="C50" s="21"/>
      <c r="D50" s="13"/>
      <c r="E50" s="13"/>
      <c r="F50" s="13"/>
      <c r="G50" s="22"/>
      <c r="H50" s="22"/>
      <c r="I50" s="28" t="str">
        <f t="shared" si="0"/>
        <v/>
      </c>
      <c r="J50" s="14"/>
      <c r="K50" s="14"/>
      <c r="L50" s="21"/>
      <c r="M50" s="13"/>
      <c r="N50" s="7" t="str">
        <f t="shared" si="1"/>
        <v/>
      </c>
    </row>
    <row r="51" spans="1:14" x14ac:dyDescent="0.35">
      <c r="A51" s="81"/>
      <c r="B51" s="81"/>
      <c r="C51" s="21"/>
      <c r="D51" s="13"/>
      <c r="E51" s="13"/>
      <c r="F51" s="13"/>
      <c r="G51" s="22"/>
      <c r="H51" s="22"/>
      <c r="I51" s="28" t="str">
        <f t="shared" si="0"/>
        <v/>
      </c>
      <c r="J51" s="14"/>
      <c r="K51" s="14"/>
      <c r="L51" s="21"/>
      <c r="M51" s="13"/>
      <c r="N51" s="7" t="str">
        <f t="shared" si="1"/>
        <v/>
      </c>
    </row>
    <row r="52" spans="1:14" x14ac:dyDescent="0.35">
      <c r="A52" s="81"/>
      <c r="B52" s="81"/>
      <c r="C52" s="21"/>
      <c r="D52" s="13"/>
      <c r="E52" s="13"/>
      <c r="F52" s="13"/>
      <c r="G52" s="22"/>
      <c r="H52" s="22"/>
      <c r="I52" s="28" t="str">
        <f t="shared" si="0"/>
        <v/>
      </c>
      <c r="J52" s="14"/>
      <c r="K52" s="14"/>
      <c r="L52" s="21"/>
      <c r="M52" s="13"/>
      <c r="N52" s="7" t="str">
        <f t="shared" si="1"/>
        <v/>
      </c>
    </row>
    <row r="53" spans="1:14" x14ac:dyDescent="0.35">
      <c r="A53" s="81"/>
      <c r="B53" s="81"/>
      <c r="C53" s="21"/>
      <c r="D53" s="13"/>
      <c r="E53" s="13"/>
      <c r="F53" s="13"/>
      <c r="G53" s="22"/>
      <c r="H53" s="22"/>
      <c r="I53" s="28" t="str">
        <f t="shared" si="0"/>
        <v/>
      </c>
      <c r="J53" s="14"/>
      <c r="K53" s="14"/>
      <c r="L53" s="21"/>
      <c r="M53" s="13"/>
      <c r="N53" s="7" t="str">
        <f t="shared" si="1"/>
        <v/>
      </c>
    </row>
    <row r="54" spans="1:14" x14ac:dyDescent="0.35">
      <c r="A54" s="81"/>
      <c r="B54" s="81"/>
      <c r="C54" s="21"/>
      <c r="D54" s="13"/>
      <c r="E54" s="13"/>
      <c r="F54" s="13"/>
      <c r="G54" s="22"/>
      <c r="H54" s="22"/>
      <c r="I54" s="28" t="str">
        <f t="shared" si="0"/>
        <v/>
      </c>
      <c r="J54" s="14"/>
      <c r="K54" s="14"/>
      <c r="L54" s="21"/>
      <c r="M54" s="13"/>
      <c r="N54" s="7" t="str">
        <f t="shared" si="1"/>
        <v/>
      </c>
    </row>
    <row r="55" spans="1:14" x14ac:dyDescent="0.35">
      <c r="A55" s="81"/>
      <c r="B55" s="81"/>
      <c r="C55" s="21"/>
      <c r="D55" s="13"/>
      <c r="E55" s="13"/>
      <c r="F55" s="13"/>
      <c r="G55" s="22"/>
      <c r="H55" s="22"/>
      <c r="I55" s="28" t="str">
        <f t="shared" si="0"/>
        <v/>
      </c>
      <c r="J55" s="14"/>
      <c r="K55" s="14"/>
      <c r="L55" s="21"/>
      <c r="M55" s="13"/>
      <c r="N55" s="7" t="str">
        <f t="shared" si="1"/>
        <v/>
      </c>
    </row>
    <row r="56" spans="1:14" x14ac:dyDescent="0.35">
      <c r="A56" s="81"/>
      <c r="B56" s="81"/>
      <c r="C56" s="21"/>
      <c r="D56" s="13"/>
      <c r="E56" s="13"/>
      <c r="F56" s="13"/>
      <c r="G56" s="22"/>
      <c r="H56" s="22"/>
      <c r="I56" s="28" t="str">
        <f t="shared" si="0"/>
        <v/>
      </c>
      <c r="J56" s="14"/>
      <c r="K56" s="14"/>
      <c r="L56" s="21"/>
      <c r="M56" s="13"/>
      <c r="N56" s="7" t="str">
        <f t="shared" si="1"/>
        <v/>
      </c>
    </row>
    <row r="57" spans="1:14" x14ac:dyDescent="0.35">
      <c r="A57" s="81"/>
      <c r="B57" s="81"/>
      <c r="C57" s="21"/>
      <c r="D57" s="13"/>
      <c r="E57" s="13"/>
      <c r="F57" s="13"/>
      <c r="G57" s="22"/>
      <c r="H57" s="22"/>
      <c r="I57" s="28" t="str">
        <f t="shared" si="0"/>
        <v/>
      </c>
      <c r="J57" s="14"/>
      <c r="K57" s="14"/>
      <c r="L57" s="21"/>
      <c r="M57" s="13"/>
      <c r="N57" s="7" t="str">
        <f t="shared" si="1"/>
        <v/>
      </c>
    </row>
    <row r="58" spans="1:14" x14ac:dyDescent="0.35">
      <c r="A58" s="81"/>
      <c r="B58" s="81"/>
      <c r="C58" s="21"/>
      <c r="D58" s="13"/>
      <c r="E58" s="13"/>
      <c r="F58" s="13"/>
      <c r="G58" s="22"/>
      <c r="H58" s="22"/>
      <c r="I58" s="28" t="str">
        <f t="shared" si="0"/>
        <v/>
      </c>
      <c r="J58" s="14"/>
      <c r="K58" s="14"/>
      <c r="L58" s="21"/>
      <c r="M58" s="13"/>
      <c r="N58" s="7" t="str">
        <f t="shared" si="1"/>
        <v/>
      </c>
    </row>
    <row r="59" spans="1:14" x14ac:dyDescent="0.35">
      <c r="A59" s="81"/>
      <c r="B59" s="81"/>
      <c r="C59" s="21"/>
      <c r="D59" s="13"/>
      <c r="E59" s="13"/>
      <c r="F59" s="13"/>
      <c r="G59" s="22"/>
      <c r="H59" s="22"/>
      <c r="I59" s="28" t="str">
        <f t="shared" si="0"/>
        <v/>
      </c>
      <c r="J59" s="14"/>
      <c r="K59" s="14"/>
      <c r="L59" s="21"/>
      <c r="M59" s="13"/>
      <c r="N59" s="7" t="str">
        <f t="shared" si="1"/>
        <v/>
      </c>
    </row>
    <row r="60" spans="1:14" x14ac:dyDescent="0.35">
      <c r="A60" s="81"/>
      <c r="B60" s="81"/>
      <c r="C60" s="21"/>
      <c r="D60" s="13"/>
      <c r="E60" s="13"/>
      <c r="F60" s="13"/>
      <c r="G60" s="22"/>
      <c r="H60" s="22"/>
      <c r="I60" s="28" t="str">
        <f t="shared" si="0"/>
        <v/>
      </c>
      <c r="J60" s="14"/>
      <c r="K60" s="14"/>
      <c r="L60" s="21"/>
      <c r="M60" s="13"/>
      <c r="N60" s="7" t="str">
        <f t="shared" si="1"/>
        <v/>
      </c>
    </row>
    <row r="61" spans="1:14" x14ac:dyDescent="0.35">
      <c r="A61" s="81"/>
      <c r="B61" s="81"/>
      <c r="C61" s="21"/>
      <c r="D61" s="13"/>
      <c r="E61" s="13"/>
      <c r="F61" s="13"/>
      <c r="G61" s="22"/>
      <c r="H61" s="22"/>
      <c r="I61" s="28" t="str">
        <f t="shared" si="0"/>
        <v/>
      </c>
      <c r="J61" s="14"/>
      <c r="K61" s="14"/>
      <c r="L61" s="21"/>
      <c r="M61" s="13"/>
      <c r="N61" s="7" t="str">
        <f t="shared" si="1"/>
        <v/>
      </c>
    </row>
    <row r="62" spans="1:14" x14ac:dyDescent="0.35">
      <c r="A62" s="81"/>
      <c r="B62" s="81"/>
      <c r="C62" s="21"/>
      <c r="D62" s="13"/>
      <c r="E62" s="13"/>
      <c r="F62" s="13"/>
      <c r="G62" s="22"/>
      <c r="H62" s="22"/>
      <c r="I62" s="28" t="str">
        <f t="shared" si="0"/>
        <v/>
      </c>
      <c r="J62" s="14"/>
      <c r="K62" s="14"/>
      <c r="L62" s="21"/>
      <c r="M62" s="13"/>
      <c r="N62" s="7" t="str">
        <f t="shared" si="1"/>
        <v/>
      </c>
    </row>
    <row r="63" spans="1:14" x14ac:dyDescent="0.35">
      <c r="A63" s="81"/>
      <c r="B63" s="81"/>
      <c r="C63" s="21"/>
      <c r="D63" s="13"/>
      <c r="E63" s="13"/>
      <c r="F63" s="13"/>
      <c r="G63" s="22"/>
      <c r="H63" s="22"/>
      <c r="I63" s="28" t="str">
        <f t="shared" si="0"/>
        <v/>
      </c>
      <c r="J63" s="14"/>
      <c r="K63" s="14"/>
      <c r="L63" s="21"/>
      <c r="M63" s="13"/>
      <c r="N63" s="7" t="str">
        <f t="shared" si="1"/>
        <v/>
      </c>
    </row>
    <row r="64" spans="1:14" x14ac:dyDescent="0.35">
      <c r="A64" s="81"/>
      <c r="B64" s="81"/>
      <c r="C64" s="21"/>
      <c r="D64" s="13"/>
      <c r="E64" s="13"/>
      <c r="F64" s="13"/>
      <c r="G64" s="22"/>
      <c r="H64" s="22"/>
      <c r="I64" s="28" t="str">
        <f t="shared" si="0"/>
        <v/>
      </c>
      <c r="J64" s="14"/>
      <c r="K64" s="14"/>
      <c r="L64" s="21"/>
      <c r="M64" s="13"/>
      <c r="N64" s="7" t="str">
        <f t="shared" si="1"/>
        <v/>
      </c>
    </row>
    <row r="65" spans="1:14" x14ac:dyDescent="0.35">
      <c r="A65" s="81"/>
      <c r="B65" s="81"/>
      <c r="C65" s="21"/>
      <c r="D65" s="13"/>
      <c r="E65" s="13"/>
      <c r="F65" s="13"/>
      <c r="G65" s="22"/>
      <c r="H65" s="22"/>
      <c r="I65" s="28" t="str">
        <f t="shared" si="0"/>
        <v/>
      </c>
      <c r="J65" s="14"/>
      <c r="K65" s="14"/>
      <c r="L65" s="21"/>
      <c r="M65" s="13"/>
      <c r="N65" s="7" t="str">
        <f t="shared" si="1"/>
        <v/>
      </c>
    </row>
    <row r="66" spans="1:14" x14ac:dyDescent="0.35">
      <c r="A66" s="81"/>
      <c r="B66" s="81"/>
      <c r="C66" s="21"/>
      <c r="D66" s="13"/>
      <c r="E66" s="13"/>
      <c r="F66" s="13"/>
      <c r="G66" s="22"/>
      <c r="H66" s="22"/>
      <c r="I66" s="28" t="str">
        <f t="shared" si="0"/>
        <v/>
      </c>
      <c r="J66" s="14"/>
      <c r="K66" s="14"/>
      <c r="L66" s="21"/>
      <c r="M66" s="13"/>
      <c r="N66" s="7" t="str">
        <f t="shared" si="1"/>
        <v/>
      </c>
    </row>
    <row r="67" spans="1:14" x14ac:dyDescent="0.35">
      <c r="A67" s="81"/>
      <c r="B67" s="81"/>
      <c r="C67" s="21"/>
      <c r="D67" s="13"/>
      <c r="E67" s="13"/>
      <c r="F67" s="13"/>
      <c r="G67" s="22"/>
      <c r="H67" s="22"/>
      <c r="I67" s="28" t="str">
        <f t="shared" ref="I67:I130" si="2">IF($G67="","",$G67-N($H67))</f>
        <v/>
      </c>
      <c r="J67" s="14"/>
      <c r="K67" s="14"/>
      <c r="L67" s="21"/>
      <c r="M67" s="13"/>
      <c r="N67" s="7" t="str">
        <f t="shared" ref="N67:N130" si="3">IF($G67="","",IF(N($H67)&gt;=$G67,"Payé",IF(N($H67)&gt;0,"Partiellement payé","Non payé")))</f>
        <v/>
      </c>
    </row>
    <row r="68" spans="1:14" x14ac:dyDescent="0.35">
      <c r="A68" s="81"/>
      <c r="B68" s="81"/>
      <c r="C68" s="21"/>
      <c r="D68" s="13"/>
      <c r="E68" s="13"/>
      <c r="F68" s="13"/>
      <c r="G68" s="22"/>
      <c r="H68" s="22"/>
      <c r="I68" s="28" t="str">
        <f t="shared" si="2"/>
        <v/>
      </c>
      <c r="J68" s="14"/>
      <c r="K68" s="14"/>
      <c r="L68" s="21"/>
      <c r="M68" s="13"/>
      <c r="N68" s="7" t="str">
        <f t="shared" si="3"/>
        <v/>
      </c>
    </row>
    <row r="69" spans="1:14" x14ac:dyDescent="0.35">
      <c r="A69" s="81"/>
      <c r="B69" s="81"/>
      <c r="C69" s="21"/>
      <c r="D69" s="13"/>
      <c r="E69" s="13"/>
      <c r="F69" s="13"/>
      <c r="G69" s="22"/>
      <c r="H69" s="22"/>
      <c r="I69" s="28" t="str">
        <f t="shared" si="2"/>
        <v/>
      </c>
      <c r="J69" s="14"/>
      <c r="K69" s="14"/>
      <c r="L69" s="21"/>
      <c r="M69" s="13"/>
      <c r="N69" s="7" t="str">
        <f t="shared" si="3"/>
        <v/>
      </c>
    </row>
    <row r="70" spans="1:14" x14ac:dyDescent="0.35">
      <c r="A70" s="81"/>
      <c r="B70" s="81"/>
      <c r="C70" s="21"/>
      <c r="D70" s="13"/>
      <c r="E70" s="13"/>
      <c r="F70" s="13"/>
      <c r="G70" s="22"/>
      <c r="H70" s="22"/>
      <c r="I70" s="28" t="str">
        <f t="shared" si="2"/>
        <v/>
      </c>
      <c r="J70" s="14"/>
      <c r="K70" s="14"/>
      <c r="L70" s="21"/>
      <c r="M70" s="13"/>
      <c r="N70" s="7" t="str">
        <f t="shared" si="3"/>
        <v/>
      </c>
    </row>
    <row r="71" spans="1:14" x14ac:dyDescent="0.35">
      <c r="A71" s="81"/>
      <c r="B71" s="81"/>
      <c r="C71" s="21"/>
      <c r="D71" s="13"/>
      <c r="E71" s="13"/>
      <c r="F71" s="13"/>
      <c r="G71" s="22"/>
      <c r="H71" s="22"/>
      <c r="I71" s="28" t="str">
        <f t="shared" si="2"/>
        <v/>
      </c>
      <c r="J71" s="14"/>
      <c r="K71" s="14"/>
      <c r="L71" s="21"/>
      <c r="M71" s="13"/>
      <c r="N71" s="7" t="str">
        <f t="shared" si="3"/>
        <v/>
      </c>
    </row>
    <row r="72" spans="1:14" x14ac:dyDescent="0.35">
      <c r="A72" s="81"/>
      <c r="B72" s="81"/>
      <c r="C72" s="21"/>
      <c r="D72" s="13"/>
      <c r="E72" s="13"/>
      <c r="F72" s="13"/>
      <c r="G72" s="22"/>
      <c r="H72" s="22"/>
      <c r="I72" s="28" t="str">
        <f t="shared" si="2"/>
        <v/>
      </c>
      <c r="J72" s="14"/>
      <c r="K72" s="14"/>
      <c r="L72" s="21"/>
      <c r="M72" s="13"/>
      <c r="N72" s="7" t="str">
        <f t="shared" si="3"/>
        <v/>
      </c>
    </row>
    <row r="73" spans="1:14" x14ac:dyDescent="0.35">
      <c r="A73" s="81"/>
      <c r="B73" s="81"/>
      <c r="C73" s="21"/>
      <c r="D73" s="13"/>
      <c r="E73" s="13"/>
      <c r="F73" s="13"/>
      <c r="G73" s="22"/>
      <c r="H73" s="22"/>
      <c r="I73" s="28" t="str">
        <f t="shared" si="2"/>
        <v/>
      </c>
      <c r="J73" s="14"/>
      <c r="K73" s="14"/>
      <c r="L73" s="21"/>
      <c r="M73" s="13"/>
      <c r="N73" s="7" t="str">
        <f t="shared" si="3"/>
        <v/>
      </c>
    </row>
    <row r="74" spans="1:14" x14ac:dyDescent="0.35">
      <c r="A74" s="81"/>
      <c r="B74" s="81"/>
      <c r="C74" s="21"/>
      <c r="D74" s="13"/>
      <c r="E74" s="13"/>
      <c r="F74" s="13"/>
      <c r="G74" s="22"/>
      <c r="H74" s="22"/>
      <c r="I74" s="28" t="str">
        <f t="shared" si="2"/>
        <v/>
      </c>
      <c r="J74" s="14"/>
      <c r="K74" s="14"/>
      <c r="L74" s="21"/>
      <c r="M74" s="13"/>
      <c r="N74" s="7" t="str">
        <f t="shared" si="3"/>
        <v/>
      </c>
    </row>
    <row r="75" spans="1:14" x14ac:dyDescent="0.35">
      <c r="A75" s="81"/>
      <c r="B75" s="81"/>
      <c r="C75" s="21"/>
      <c r="D75" s="13"/>
      <c r="E75" s="13"/>
      <c r="F75" s="13"/>
      <c r="G75" s="22"/>
      <c r="H75" s="22"/>
      <c r="I75" s="28" t="str">
        <f t="shared" si="2"/>
        <v/>
      </c>
      <c r="J75" s="14"/>
      <c r="K75" s="14"/>
      <c r="L75" s="21"/>
      <c r="M75" s="13"/>
      <c r="N75" s="7" t="str">
        <f t="shared" si="3"/>
        <v/>
      </c>
    </row>
    <row r="76" spans="1:14" x14ac:dyDescent="0.35">
      <c r="A76" s="81"/>
      <c r="B76" s="81"/>
      <c r="C76" s="21"/>
      <c r="D76" s="13"/>
      <c r="E76" s="13"/>
      <c r="F76" s="13"/>
      <c r="G76" s="22"/>
      <c r="H76" s="22"/>
      <c r="I76" s="28" t="str">
        <f t="shared" si="2"/>
        <v/>
      </c>
      <c r="J76" s="14"/>
      <c r="K76" s="14"/>
      <c r="L76" s="21"/>
      <c r="M76" s="13"/>
      <c r="N76" s="7" t="str">
        <f t="shared" si="3"/>
        <v/>
      </c>
    </row>
    <row r="77" spans="1:14" x14ac:dyDescent="0.35">
      <c r="A77" s="81"/>
      <c r="B77" s="81"/>
      <c r="C77" s="21"/>
      <c r="D77" s="13"/>
      <c r="E77" s="13"/>
      <c r="F77" s="13"/>
      <c r="G77" s="22"/>
      <c r="H77" s="22"/>
      <c r="I77" s="28" t="str">
        <f t="shared" si="2"/>
        <v/>
      </c>
      <c r="J77" s="14"/>
      <c r="K77" s="14"/>
      <c r="L77" s="21"/>
      <c r="M77" s="13"/>
      <c r="N77" s="7" t="str">
        <f t="shared" si="3"/>
        <v/>
      </c>
    </row>
    <row r="78" spans="1:14" x14ac:dyDescent="0.35">
      <c r="A78" s="81"/>
      <c r="B78" s="81"/>
      <c r="C78" s="21"/>
      <c r="D78" s="13"/>
      <c r="E78" s="13"/>
      <c r="F78" s="13"/>
      <c r="G78" s="22"/>
      <c r="H78" s="22"/>
      <c r="I78" s="28" t="str">
        <f t="shared" si="2"/>
        <v/>
      </c>
      <c r="J78" s="14"/>
      <c r="K78" s="14"/>
      <c r="L78" s="21"/>
      <c r="M78" s="13"/>
      <c r="N78" s="7" t="str">
        <f t="shared" si="3"/>
        <v/>
      </c>
    </row>
    <row r="79" spans="1:14" x14ac:dyDescent="0.35">
      <c r="A79" s="81"/>
      <c r="B79" s="81"/>
      <c r="C79" s="21"/>
      <c r="D79" s="13"/>
      <c r="E79" s="13"/>
      <c r="F79" s="13"/>
      <c r="G79" s="22"/>
      <c r="H79" s="22"/>
      <c r="I79" s="28" t="str">
        <f t="shared" si="2"/>
        <v/>
      </c>
      <c r="J79" s="14"/>
      <c r="K79" s="14"/>
      <c r="L79" s="21"/>
      <c r="M79" s="13"/>
      <c r="N79" s="7" t="str">
        <f t="shared" si="3"/>
        <v/>
      </c>
    </row>
    <row r="80" spans="1:14" x14ac:dyDescent="0.35">
      <c r="A80" s="81"/>
      <c r="B80" s="81"/>
      <c r="C80" s="21"/>
      <c r="D80" s="13"/>
      <c r="E80" s="13"/>
      <c r="F80" s="13"/>
      <c r="G80" s="22"/>
      <c r="H80" s="22"/>
      <c r="I80" s="28" t="str">
        <f t="shared" si="2"/>
        <v/>
      </c>
      <c r="J80" s="14"/>
      <c r="K80" s="14"/>
      <c r="L80" s="21"/>
      <c r="M80" s="13"/>
      <c r="N80" s="7" t="str">
        <f t="shared" si="3"/>
        <v/>
      </c>
    </row>
    <row r="81" spans="1:14" x14ac:dyDescent="0.35">
      <c r="A81" s="81"/>
      <c r="B81" s="81"/>
      <c r="C81" s="21"/>
      <c r="D81" s="13"/>
      <c r="E81" s="13"/>
      <c r="F81" s="13"/>
      <c r="G81" s="22"/>
      <c r="H81" s="22"/>
      <c r="I81" s="28" t="str">
        <f t="shared" si="2"/>
        <v/>
      </c>
      <c r="J81" s="14"/>
      <c r="K81" s="14"/>
      <c r="L81" s="21"/>
      <c r="M81" s="13"/>
      <c r="N81" s="7" t="str">
        <f t="shared" si="3"/>
        <v/>
      </c>
    </row>
    <row r="82" spans="1:14" x14ac:dyDescent="0.35">
      <c r="A82" s="81"/>
      <c r="B82" s="81"/>
      <c r="C82" s="21"/>
      <c r="D82" s="13"/>
      <c r="E82" s="13"/>
      <c r="F82" s="13"/>
      <c r="G82" s="22"/>
      <c r="H82" s="22"/>
      <c r="I82" s="28" t="str">
        <f t="shared" si="2"/>
        <v/>
      </c>
      <c r="J82" s="14"/>
      <c r="K82" s="14"/>
      <c r="L82" s="21"/>
      <c r="M82" s="13"/>
      <c r="N82" s="7" t="str">
        <f t="shared" si="3"/>
        <v/>
      </c>
    </row>
    <row r="83" spans="1:14" x14ac:dyDescent="0.35">
      <c r="A83" s="81"/>
      <c r="B83" s="81"/>
      <c r="C83" s="21"/>
      <c r="D83" s="13"/>
      <c r="E83" s="13"/>
      <c r="F83" s="13"/>
      <c r="G83" s="22"/>
      <c r="H83" s="22"/>
      <c r="I83" s="28" t="str">
        <f t="shared" si="2"/>
        <v/>
      </c>
      <c r="J83" s="14"/>
      <c r="K83" s="14"/>
      <c r="L83" s="21"/>
      <c r="M83" s="13"/>
      <c r="N83" s="7" t="str">
        <f t="shared" si="3"/>
        <v/>
      </c>
    </row>
    <row r="84" spans="1:14" x14ac:dyDescent="0.35">
      <c r="A84" s="81"/>
      <c r="B84" s="81"/>
      <c r="C84" s="21"/>
      <c r="D84" s="13"/>
      <c r="E84" s="13"/>
      <c r="F84" s="13"/>
      <c r="G84" s="22"/>
      <c r="H84" s="22"/>
      <c r="I84" s="28" t="str">
        <f t="shared" si="2"/>
        <v/>
      </c>
      <c r="J84" s="14"/>
      <c r="K84" s="14"/>
      <c r="L84" s="21"/>
      <c r="M84" s="13"/>
      <c r="N84" s="7" t="str">
        <f t="shared" si="3"/>
        <v/>
      </c>
    </row>
    <row r="85" spans="1:14" x14ac:dyDescent="0.35">
      <c r="A85" s="81"/>
      <c r="B85" s="81"/>
      <c r="C85" s="21"/>
      <c r="D85" s="13"/>
      <c r="E85" s="13"/>
      <c r="F85" s="13"/>
      <c r="G85" s="22"/>
      <c r="H85" s="22"/>
      <c r="I85" s="28" t="str">
        <f t="shared" si="2"/>
        <v/>
      </c>
      <c r="J85" s="14"/>
      <c r="K85" s="14"/>
      <c r="L85" s="21"/>
      <c r="M85" s="13"/>
      <c r="N85" s="7" t="str">
        <f t="shared" si="3"/>
        <v/>
      </c>
    </row>
    <row r="86" spans="1:14" x14ac:dyDescent="0.35">
      <c r="A86" s="81"/>
      <c r="B86" s="81"/>
      <c r="C86" s="21"/>
      <c r="D86" s="13"/>
      <c r="E86" s="13"/>
      <c r="F86" s="13"/>
      <c r="G86" s="22"/>
      <c r="H86" s="22"/>
      <c r="I86" s="28" t="str">
        <f t="shared" si="2"/>
        <v/>
      </c>
      <c r="J86" s="14"/>
      <c r="K86" s="14"/>
      <c r="L86" s="21"/>
      <c r="M86" s="13"/>
      <c r="N86" s="7" t="str">
        <f t="shared" si="3"/>
        <v/>
      </c>
    </row>
    <row r="87" spans="1:14" x14ac:dyDescent="0.35">
      <c r="A87" s="81"/>
      <c r="B87" s="81"/>
      <c r="C87" s="21"/>
      <c r="D87" s="13"/>
      <c r="E87" s="13"/>
      <c r="F87" s="13"/>
      <c r="G87" s="22"/>
      <c r="H87" s="22"/>
      <c r="I87" s="28" t="str">
        <f t="shared" si="2"/>
        <v/>
      </c>
      <c r="J87" s="14"/>
      <c r="K87" s="14"/>
      <c r="L87" s="21"/>
      <c r="M87" s="13"/>
      <c r="N87" s="7" t="str">
        <f t="shared" si="3"/>
        <v/>
      </c>
    </row>
    <row r="88" spans="1:14" x14ac:dyDescent="0.35">
      <c r="A88" s="81"/>
      <c r="B88" s="81"/>
      <c r="C88" s="21"/>
      <c r="D88" s="13"/>
      <c r="E88" s="13"/>
      <c r="F88" s="13"/>
      <c r="G88" s="22"/>
      <c r="H88" s="22"/>
      <c r="I88" s="28" t="str">
        <f t="shared" si="2"/>
        <v/>
      </c>
      <c r="J88" s="14"/>
      <c r="K88" s="14"/>
      <c r="L88" s="21"/>
      <c r="M88" s="13"/>
      <c r="N88" s="7" t="str">
        <f t="shared" si="3"/>
        <v/>
      </c>
    </row>
    <row r="89" spans="1:14" x14ac:dyDescent="0.35">
      <c r="A89" s="81"/>
      <c r="B89" s="81"/>
      <c r="C89" s="21"/>
      <c r="D89" s="13"/>
      <c r="E89" s="13"/>
      <c r="F89" s="13"/>
      <c r="G89" s="22"/>
      <c r="H89" s="22"/>
      <c r="I89" s="28" t="str">
        <f t="shared" si="2"/>
        <v/>
      </c>
      <c r="J89" s="14"/>
      <c r="K89" s="14"/>
      <c r="L89" s="21"/>
      <c r="M89" s="13"/>
      <c r="N89" s="7" t="str">
        <f t="shared" si="3"/>
        <v/>
      </c>
    </row>
    <row r="90" spans="1:14" x14ac:dyDescent="0.35">
      <c r="A90" s="81"/>
      <c r="B90" s="81"/>
      <c r="C90" s="21"/>
      <c r="D90" s="13"/>
      <c r="E90" s="13"/>
      <c r="F90" s="13"/>
      <c r="G90" s="22"/>
      <c r="H90" s="22"/>
      <c r="I90" s="28" t="str">
        <f t="shared" si="2"/>
        <v/>
      </c>
      <c r="J90" s="14"/>
      <c r="K90" s="14"/>
      <c r="L90" s="21"/>
      <c r="M90" s="13"/>
      <c r="N90" s="7" t="str">
        <f t="shared" si="3"/>
        <v/>
      </c>
    </row>
    <row r="91" spans="1:14" x14ac:dyDescent="0.35">
      <c r="A91" s="81"/>
      <c r="B91" s="81"/>
      <c r="C91" s="21"/>
      <c r="D91" s="13"/>
      <c r="E91" s="13"/>
      <c r="F91" s="13"/>
      <c r="G91" s="22"/>
      <c r="H91" s="22"/>
      <c r="I91" s="28" t="str">
        <f t="shared" si="2"/>
        <v/>
      </c>
      <c r="J91" s="14"/>
      <c r="K91" s="14"/>
      <c r="L91" s="21"/>
      <c r="M91" s="13"/>
      <c r="N91" s="7" t="str">
        <f t="shared" si="3"/>
        <v/>
      </c>
    </row>
    <row r="92" spans="1:14" x14ac:dyDescent="0.35">
      <c r="A92" s="81"/>
      <c r="B92" s="81"/>
      <c r="C92" s="21"/>
      <c r="D92" s="13"/>
      <c r="E92" s="13"/>
      <c r="F92" s="13"/>
      <c r="G92" s="22"/>
      <c r="H92" s="22"/>
      <c r="I92" s="28" t="str">
        <f t="shared" si="2"/>
        <v/>
      </c>
      <c r="J92" s="14"/>
      <c r="K92" s="14"/>
      <c r="L92" s="21"/>
      <c r="M92" s="13"/>
      <c r="N92" s="7" t="str">
        <f t="shared" si="3"/>
        <v/>
      </c>
    </row>
    <row r="93" spans="1:14" x14ac:dyDescent="0.35">
      <c r="A93" s="81"/>
      <c r="B93" s="81"/>
      <c r="C93" s="21"/>
      <c r="D93" s="13"/>
      <c r="E93" s="13"/>
      <c r="F93" s="13"/>
      <c r="G93" s="22"/>
      <c r="H93" s="22"/>
      <c r="I93" s="28" t="str">
        <f t="shared" si="2"/>
        <v/>
      </c>
      <c r="J93" s="14"/>
      <c r="K93" s="14"/>
      <c r="L93" s="21"/>
      <c r="M93" s="13"/>
      <c r="N93" s="7" t="str">
        <f t="shared" si="3"/>
        <v/>
      </c>
    </row>
    <row r="94" spans="1:14" x14ac:dyDescent="0.35">
      <c r="A94" s="81"/>
      <c r="B94" s="81"/>
      <c r="C94" s="21"/>
      <c r="D94" s="13"/>
      <c r="E94" s="13"/>
      <c r="F94" s="13"/>
      <c r="G94" s="22"/>
      <c r="H94" s="22"/>
      <c r="I94" s="28" t="str">
        <f t="shared" si="2"/>
        <v/>
      </c>
      <c r="J94" s="14"/>
      <c r="K94" s="14"/>
      <c r="L94" s="21"/>
      <c r="M94" s="13"/>
      <c r="N94" s="7" t="str">
        <f t="shared" si="3"/>
        <v/>
      </c>
    </row>
    <row r="95" spans="1:14" x14ac:dyDescent="0.35">
      <c r="A95" s="81"/>
      <c r="B95" s="81"/>
      <c r="C95" s="21"/>
      <c r="D95" s="13"/>
      <c r="E95" s="13"/>
      <c r="F95" s="13"/>
      <c r="G95" s="22"/>
      <c r="H95" s="22"/>
      <c r="I95" s="28" t="str">
        <f t="shared" si="2"/>
        <v/>
      </c>
      <c r="J95" s="14"/>
      <c r="K95" s="14"/>
      <c r="L95" s="21"/>
      <c r="M95" s="13"/>
      <c r="N95" s="7" t="str">
        <f t="shared" si="3"/>
        <v/>
      </c>
    </row>
    <row r="96" spans="1:14" x14ac:dyDescent="0.35">
      <c r="A96" s="81"/>
      <c r="B96" s="81"/>
      <c r="C96" s="21"/>
      <c r="D96" s="13"/>
      <c r="E96" s="13"/>
      <c r="F96" s="13"/>
      <c r="G96" s="22"/>
      <c r="H96" s="22"/>
      <c r="I96" s="28" t="str">
        <f t="shared" si="2"/>
        <v/>
      </c>
      <c r="J96" s="14"/>
      <c r="K96" s="14"/>
      <c r="L96" s="21"/>
      <c r="M96" s="13"/>
      <c r="N96" s="7" t="str">
        <f t="shared" si="3"/>
        <v/>
      </c>
    </row>
    <row r="97" spans="1:14" x14ac:dyDescent="0.35">
      <c r="A97" s="81"/>
      <c r="B97" s="81"/>
      <c r="C97" s="21"/>
      <c r="D97" s="13"/>
      <c r="E97" s="13"/>
      <c r="F97" s="13"/>
      <c r="G97" s="22"/>
      <c r="H97" s="22"/>
      <c r="I97" s="28" t="str">
        <f t="shared" si="2"/>
        <v/>
      </c>
      <c r="J97" s="14"/>
      <c r="K97" s="14"/>
      <c r="L97" s="21"/>
      <c r="M97" s="13"/>
      <c r="N97" s="7" t="str">
        <f t="shared" si="3"/>
        <v/>
      </c>
    </row>
    <row r="98" spans="1:14" x14ac:dyDescent="0.35">
      <c r="A98" s="81"/>
      <c r="B98" s="81"/>
      <c r="C98" s="21"/>
      <c r="D98" s="13"/>
      <c r="E98" s="13"/>
      <c r="F98" s="13"/>
      <c r="G98" s="22"/>
      <c r="H98" s="22"/>
      <c r="I98" s="28" t="str">
        <f t="shared" si="2"/>
        <v/>
      </c>
      <c r="J98" s="14"/>
      <c r="K98" s="14"/>
      <c r="L98" s="21"/>
      <c r="M98" s="13"/>
      <c r="N98" s="7" t="str">
        <f t="shared" si="3"/>
        <v/>
      </c>
    </row>
    <row r="99" spans="1:14" x14ac:dyDescent="0.35">
      <c r="A99" s="81"/>
      <c r="B99" s="81"/>
      <c r="C99" s="21"/>
      <c r="D99" s="13"/>
      <c r="E99" s="13"/>
      <c r="F99" s="13"/>
      <c r="G99" s="22"/>
      <c r="H99" s="22"/>
      <c r="I99" s="28" t="str">
        <f t="shared" si="2"/>
        <v/>
      </c>
      <c r="J99" s="14"/>
      <c r="K99" s="14"/>
      <c r="L99" s="21"/>
      <c r="M99" s="13"/>
      <c r="N99" s="7" t="str">
        <f t="shared" si="3"/>
        <v/>
      </c>
    </row>
    <row r="100" spans="1:14" x14ac:dyDescent="0.35">
      <c r="A100" s="81"/>
      <c r="B100" s="81"/>
      <c r="C100" s="21"/>
      <c r="D100" s="13"/>
      <c r="E100" s="13"/>
      <c r="F100" s="13"/>
      <c r="G100" s="22"/>
      <c r="H100" s="22"/>
      <c r="I100" s="28" t="str">
        <f t="shared" si="2"/>
        <v/>
      </c>
      <c r="J100" s="14"/>
      <c r="K100" s="14"/>
      <c r="L100" s="21"/>
      <c r="M100" s="13"/>
      <c r="N100" s="7" t="str">
        <f t="shared" si="3"/>
        <v/>
      </c>
    </row>
    <row r="101" spans="1:14" x14ac:dyDescent="0.35">
      <c r="A101" s="81"/>
      <c r="B101" s="81"/>
      <c r="C101" s="21"/>
      <c r="D101" s="13"/>
      <c r="E101" s="13"/>
      <c r="F101" s="13"/>
      <c r="G101" s="22"/>
      <c r="H101" s="22"/>
      <c r="I101" s="28" t="str">
        <f t="shared" si="2"/>
        <v/>
      </c>
      <c r="J101" s="14"/>
      <c r="K101" s="14"/>
      <c r="L101" s="21"/>
      <c r="M101" s="13"/>
      <c r="N101" s="7" t="str">
        <f t="shared" si="3"/>
        <v/>
      </c>
    </row>
    <row r="102" spans="1:14" x14ac:dyDescent="0.35">
      <c r="A102" s="81"/>
      <c r="B102" s="81"/>
      <c r="C102" s="21"/>
      <c r="D102" s="13"/>
      <c r="E102" s="13"/>
      <c r="F102" s="13"/>
      <c r="G102" s="22"/>
      <c r="H102" s="22"/>
      <c r="I102" s="28" t="str">
        <f t="shared" si="2"/>
        <v/>
      </c>
      <c r="J102" s="14"/>
      <c r="K102" s="14"/>
      <c r="L102" s="21"/>
      <c r="M102" s="13"/>
      <c r="N102" s="7" t="str">
        <f t="shared" si="3"/>
        <v/>
      </c>
    </row>
    <row r="103" spans="1:14" x14ac:dyDescent="0.35">
      <c r="A103" s="81"/>
      <c r="B103" s="81"/>
      <c r="C103" s="21"/>
      <c r="D103" s="13"/>
      <c r="E103" s="13"/>
      <c r="F103" s="13"/>
      <c r="G103" s="22"/>
      <c r="H103" s="22"/>
      <c r="I103" s="28" t="str">
        <f t="shared" si="2"/>
        <v/>
      </c>
      <c r="J103" s="14"/>
      <c r="K103" s="14"/>
      <c r="L103" s="21"/>
      <c r="M103" s="13"/>
      <c r="N103" s="7" t="str">
        <f t="shared" si="3"/>
        <v/>
      </c>
    </row>
    <row r="104" spans="1:14" x14ac:dyDescent="0.35">
      <c r="A104" s="81"/>
      <c r="B104" s="81"/>
      <c r="C104" s="21"/>
      <c r="D104" s="13"/>
      <c r="E104" s="13"/>
      <c r="F104" s="13"/>
      <c r="G104" s="22"/>
      <c r="H104" s="22"/>
      <c r="I104" s="28" t="str">
        <f t="shared" si="2"/>
        <v/>
      </c>
      <c r="J104" s="14"/>
      <c r="K104" s="14"/>
      <c r="L104" s="21"/>
      <c r="M104" s="13"/>
      <c r="N104" s="7" t="str">
        <f t="shared" si="3"/>
        <v/>
      </c>
    </row>
    <row r="105" spans="1:14" x14ac:dyDescent="0.35">
      <c r="A105" s="81"/>
      <c r="B105" s="81"/>
      <c r="C105" s="21"/>
      <c r="D105" s="13"/>
      <c r="E105" s="13"/>
      <c r="F105" s="13"/>
      <c r="G105" s="22"/>
      <c r="H105" s="22"/>
      <c r="I105" s="28" t="str">
        <f t="shared" si="2"/>
        <v/>
      </c>
      <c r="J105" s="14"/>
      <c r="K105" s="14"/>
      <c r="L105" s="21"/>
      <c r="M105" s="13"/>
      <c r="N105" s="7" t="str">
        <f t="shared" si="3"/>
        <v/>
      </c>
    </row>
    <row r="106" spans="1:14" x14ac:dyDescent="0.35">
      <c r="A106" s="81"/>
      <c r="B106" s="81"/>
      <c r="C106" s="21"/>
      <c r="D106" s="13"/>
      <c r="E106" s="13"/>
      <c r="F106" s="13"/>
      <c r="G106" s="22"/>
      <c r="H106" s="22"/>
      <c r="I106" s="28" t="str">
        <f t="shared" si="2"/>
        <v/>
      </c>
      <c r="J106" s="14"/>
      <c r="K106" s="14"/>
      <c r="L106" s="21"/>
      <c r="M106" s="13"/>
      <c r="N106" s="7" t="str">
        <f t="shared" si="3"/>
        <v/>
      </c>
    </row>
    <row r="107" spans="1:14" x14ac:dyDescent="0.35">
      <c r="A107" s="81"/>
      <c r="B107" s="81"/>
      <c r="C107" s="21"/>
      <c r="D107" s="13"/>
      <c r="E107" s="13"/>
      <c r="F107" s="13"/>
      <c r="G107" s="22"/>
      <c r="H107" s="22"/>
      <c r="I107" s="28" t="str">
        <f t="shared" si="2"/>
        <v/>
      </c>
      <c r="J107" s="14"/>
      <c r="K107" s="14"/>
      <c r="L107" s="21"/>
      <c r="M107" s="13"/>
      <c r="N107" s="7" t="str">
        <f t="shared" si="3"/>
        <v/>
      </c>
    </row>
    <row r="108" spans="1:14" x14ac:dyDescent="0.35">
      <c r="A108" s="81"/>
      <c r="B108" s="81"/>
      <c r="C108" s="21"/>
      <c r="D108" s="13"/>
      <c r="E108" s="13"/>
      <c r="F108" s="13"/>
      <c r="G108" s="22"/>
      <c r="H108" s="22"/>
      <c r="I108" s="28" t="str">
        <f t="shared" si="2"/>
        <v/>
      </c>
      <c r="J108" s="14"/>
      <c r="K108" s="14"/>
      <c r="L108" s="21"/>
      <c r="M108" s="13"/>
      <c r="N108" s="7" t="str">
        <f t="shared" si="3"/>
        <v/>
      </c>
    </row>
    <row r="109" spans="1:14" x14ac:dyDescent="0.35">
      <c r="A109" s="81"/>
      <c r="B109" s="81"/>
      <c r="C109" s="21"/>
      <c r="D109" s="13"/>
      <c r="E109" s="13"/>
      <c r="F109" s="13"/>
      <c r="G109" s="22"/>
      <c r="H109" s="22"/>
      <c r="I109" s="28" t="str">
        <f t="shared" si="2"/>
        <v/>
      </c>
      <c r="J109" s="14"/>
      <c r="K109" s="14"/>
      <c r="L109" s="21"/>
      <c r="M109" s="13"/>
      <c r="N109" s="7" t="str">
        <f t="shared" si="3"/>
        <v/>
      </c>
    </row>
    <row r="110" spans="1:14" x14ac:dyDescent="0.35">
      <c r="A110" s="81"/>
      <c r="B110" s="81"/>
      <c r="C110" s="21"/>
      <c r="D110" s="13"/>
      <c r="E110" s="13"/>
      <c r="F110" s="13"/>
      <c r="G110" s="22"/>
      <c r="H110" s="22"/>
      <c r="I110" s="28" t="str">
        <f t="shared" si="2"/>
        <v/>
      </c>
      <c r="J110" s="14"/>
      <c r="K110" s="14"/>
      <c r="L110" s="21"/>
      <c r="M110" s="13"/>
      <c r="N110" s="7" t="str">
        <f t="shared" si="3"/>
        <v/>
      </c>
    </row>
    <row r="111" spans="1:14" x14ac:dyDescent="0.35">
      <c r="A111" s="81"/>
      <c r="B111" s="81"/>
      <c r="C111" s="21"/>
      <c r="D111" s="13"/>
      <c r="E111" s="13"/>
      <c r="F111" s="13"/>
      <c r="G111" s="22"/>
      <c r="H111" s="22"/>
      <c r="I111" s="28" t="str">
        <f t="shared" si="2"/>
        <v/>
      </c>
      <c r="J111" s="14"/>
      <c r="K111" s="14"/>
      <c r="L111" s="21"/>
      <c r="M111" s="13"/>
      <c r="N111" s="7" t="str">
        <f t="shared" si="3"/>
        <v/>
      </c>
    </row>
    <row r="112" spans="1:14" x14ac:dyDescent="0.35">
      <c r="A112" s="81"/>
      <c r="B112" s="81"/>
      <c r="C112" s="21"/>
      <c r="D112" s="13"/>
      <c r="E112" s="13"/>
      <c r="F112" s="13"/>
      <c r="G112" s="22"/>
      <c r="H112" s="22"/>
      <c r="I112" s="28" t="str">
        <f t="shared" si="2"/>
        <v/>
      </c>
      <c r="J112" s="14"/>
      <c r="K112" s="14"/>
      <c r="L112" s="21"/>
      <c r="M112" s="13"/>
      <c r="N112" s="7" t="str">
        <f t="shared" si="3"/>
        <v/>
      </c>
    </row>
    <row r="113" spans="1:14" x14ac:dyDescent="0.35">
      <c r="A113" s="81"/>
      <c r="B113" s="81"/>
      <c r="C113" s="21"/>
      <c r="D113" s="13"/>
      <c r="E113" s="13"/>
      <c r="F113" s="13"/>
      <c r="G113" s="22"/>
      <c r="H113" s="22"/>
      <c r="I113" s="28" t="str">
        <f t="shared" si="2"/>
        <v/>
      </c>
      <c r="J113" s="14"/>
      <c r="K113" s="14"/>
      <c r="L113" s="21"/>
      <c r="M113" s="13"/>
      <c r="N113" s="7" t="str">
        <f t="shared" si="3"/>
        <v/>
      </c>
    </row>
    <row r="114" spans="1:14" x14ac:dyDescent="0.35">
      <c r="A114" s="81"/>
      <c r="B114" s="81"/>
      <c r="C114" s="21"/>
      <c r="D114" s="13"/>
      <c r="E114" s="13"/>
      <c r="F114" s="13"/>
      <c r="G114" s="22"/>
      <c r="H114" s="22"/>
      <c r="I114" s="28" t="str">
        <f t="shared" si="2"/>
        <v/>
      </c>
      <c r="J114" s="14"/>
      <c r="K114" s="14"/>
      <c r="L114" s="21"/>
      <c r="M114" s="13"/>
      <c r="N114" s="7" t="str">
        <f t="shared" si="3"/>
        <v/>
      </c>
    </row>
    <row r="115" spans="1:14" x14ac:dyDescent="0.35">
      <c r="A115" s="81"/>
      <c r="B115" s="81"/>
      <c r="C115" s="21"/>
      <c r="D115" s="13"/>
      <c r="E115" s="13"/>
      <c r="F115" s="13"/>
      <c r="G115" s="22"/>
      <c r="H115" s="22"/>
      <c r="I115" s="28" t="str">
        <f t="shared" si="2"/>
        <v/>
      </c>
      <c r="J115" s="14"/>
      <c r="K115" s="14"/>
      <c r="L115" s="21"/>
      <c r="M115" s="13"/>
      <c r="N115" s="7" t="str">
        <f t="shared" si="3"/>
        <v/>
      </c>
    </row>
    <row r="116" spans="1:14" x14ac:dyDescent="0.35">
      <c r="A116" s="81"/>
      <c r="B116" s="81"/>
      <c r="C116" s="21"/>
      <c r="D116" s="13"/>
      <c r="E116" s="13"/>
      <c r="F116" s="13"/>
      <c r="G116" s="22"/>
      <c r="H116" s="22"/>
      <c r="I116" s="28" t="str">
        <f t="shared" si="2"/>
        <v/>
      </c>
      <c r="J116" s="14"/>
      <c r="K116" s="14"/>
      <c r="L116" s="21"/>
      <c r="M116" s="13"/>
      <c r="N116" s="7" t="str">
        <f t="shared" si="3"/>
        <v/>
      </c>
    </row>
    <row r="117" spans="1:14" x14ac:dyDescent="0.35">
      <c r="A117" s="81"/>
      <c r="B117" s="81"/>
      <c r="C117" s="21"/>
      <c r="D117" s="13"/>
      <c r="E117" s="13"/>
      <c r="F117" s="13"/>
      <c r="G117" s="22"/>
      <c r="H117" s="22"/>
      <c r="I117" s="28" t="str">
        <f t="shared" si="2"/>
        <v/>
      </c>
      <c r="J117" s="14"/>
      <c r="K117" s="14"/>
      <c r="L117" s="21"/>
      <c r="M117" s="13"/>
      <c r="N117" s="7" t="str">
        <f t="shared" si="3"/>
        <v/>
      </c>
    </row>
    <row r="118" spans="1:14" x14ac:dyDescent="0.35">
      <c r="A118" s="81"/>
      <c r="B118" s="81"/>
      <c r="C118" s="21"/>
      <c r="D118" s="13"/>
      <c r="E118" s="13"/>
      <c r="F118" s="13"/>
      <c r="G118" s="22"/>
      <c r="H118" s="22"/>
      <c r="I118" s="28" t="str">
        <f t="shared" si="2"/>
        <v/>
      </c>
      <c r="J118" s="14"/>
      <c r="K118" s="14"/>
      <c r="L118" s="21"/>
      <c r="M118" s="13"/>
      <c r="N118" s="7" t="str">
        <f t="shared" si="3"/>
        <v/>
      </c>
    </row>
    <row r="119" spans="1:14" x14ac:dyDescent="0.35">
      <c r="A119" s="81"/>
      <c r="B119" s="81"/>
      <c r="C119" s="21"/>
      <c r="D119" s="13"/>
      <c r="E119" s="13"/>
      <c r="F119" s="13"/>
      <c r="G119" s="22"/>
      <c r="H119" s="22"/>
      <c r="I119" s="28" t="str">
        <f t="shared" si="2"/>
        <v/>
      </c>
      <c r="J119" s="14"/>
      <c r="K119" s="14"/>
      <c r="L119" s="21"/>
      <c r="M119" s="13"/>
      <c r="N119" s="7" t="str">
        <f t="shared" si="3"/>
        <v/>
      </c>
    </row>
    <row r="120" spans="1:14" x14ac:dyDescent="0.35">
      <c r="A120" s="81"/>
      <c r="B120" s="81"/>
      <c r="C120" s="21"/>
      <c r="D120" s="13"/>
      <c r="E120" s="13"/>
      <c r="F120" s="13"/>
      <c r="G120" s="22"/>
      <c r="H120" s="22"/>
      <c r="I120" s="28" t="str">
        <f t="shared" si="2"/>
        <v/>
      </c>
      <c r="J120" s="14"/>
      <c r="K120" s="14"/>
      <c r="L120" s="21"/>
      <c r="M120" s="13"/>
      <c r="N120" s="7" t="str">
        <f t="shared" si="3"/>
        <v/>
      </c>
    </row>
    <row r="121" spans="1:14" x14ac:dyDescent="0.35">
      <c r="A121" s="81"/>
      <c r="B121" s="81"/>
      <c r="C121" s="21"/>
      <c r="D121" s="13"/>
      <c r="E121" s="13"/>
      <c r="F121" s="13"/>
      <c r="G121" s="22"/>
      <c r="H121" s="22"/>
      <c r="I121" s="28" t="str">
        <f t="shared" si="2"/>
        <v/>
      </c>
      <c r="J121" s="14"/>
      <c r="K121" s="14"/>
      <c r="L121" s="21"/>
      <c r="M121" s="13"/>
      <c r="N121" s="7" t="str">
        <f t="shared" si="3"/>
        <v/>
      </c>
    </row>
    <row r="122" spans="1:14" x14ac:dyDescent="0.35">
      <c r="A122" s="81"/>
      <c r="B122" s="81"/>
      <c r="C122" s="21"/>
      <c r="D122" s="13"/>
      <c r="E122" s="13"/>
      <c r="F122" s="13"/>
      <c r="G122" s="22"/>
      <c r="H122" s="22"/>
      <c r="I122" s="28" t="str">
        <f t="shared" si="2"/>
        <v/>
      </c>
      <c r="J122" s="14"/>
      <c r="K122" s="14"/>
      <c r="L122" s="21"/>
      <c r="M122" s="13"/>
      <c r="N122" s="7" t="str">
        <f t="shared" si="3"/>
        <v/>
      </c>
    </row>
    <row r="123" spans="1:14" x14ac:dyDescent="0.35">
      <c r="A123" s="81"/>
      <c r="B123" s="81"/>
      <c r="C123" s="21"/>
      <c r="D123" s="13"/>
      <c r="E123" s="13"/>
      <c r="F123" s="13"/>
      <c r="G123" s="22"/>
      <c r="H123" s="22"/>
      <c r="I123" s="28" t="str">
        <f t="shared" si="2"/>
        <v/>
      </c>
      <c r="J123" s="14"/>
      <c r="K123" s="14"/>
      <c r="L123" s="21"/>
      <c r="M123" s="13"/>
      <c r="N123" s="7" t="str">
        <f t="shared" si="3"/>
        <v/>
      </c>
    </row>
    <row r="124" spans="1:14" x14ac:dyDescent="0.35">
      <c r="A124" s="81"/>
      <c r="B124" s="81"/>
      <c r="C124" s="21"/>
      <c r="D124" s="13"/>
      <c r="E124" s="13"/>
      <c r="F124" s="13"/>
      <c r="G124" s="22"/>
      <c r="H124" s="22"/>
      <c r="I124" s="28" t="str">
        <f t="shared" si="2"/>
        <v/>
      </c>
      <c r="J124" s="14"/>
      <c r="K124" s="14"/>
      <c r="L124" s="21"/>
      <c r="M124" s="13"/>
      <c r="N124" s="7" t="str">
        <f t="shared" si="3"/>
        <v/>
      </c>
    </row>
    <row r="125" spans="1:14" x14ac:dyDescent="0.35">
      <c r="A125" s="81"/>
      <c r="B125" s="81"/>
      <c r="C125" s="21"/>
      <c r="D125" s="13"/>
      <c r="E125" s="13"/>
      <c r="F125" s="13"/>
      <c r="G125" s="22"/>
      <c r="H125" s="22"/>
      <c r="I125" s="28" t="str">
        <f t="shared" si="2"/>
        <v/>
      </c>
      <c r="J125" s="14"/>
      <c r="K125" s="14"/>
      <c r="L125" s="21"/>
      <c r="M125" s="13"/>
      <c r="N125" s="7" t="str">
        <f t="shared" si="3"/>
        <v/>
      </c>
    </row>
    <row r="126" spans="1:14" x14ac:dyDescent="0.35">
      <c r="A126" s="81"/>
      <c r="B126" s="81"/>
      <c r="C126" s="21"/>
      <c r="D126" s="13"/>
      <c r="E126" s="13"/>
      <c r="F126" s="13"/>
      <c r="G126" s="22"/>
      <c r="H126" s="22"/>
      <c r="I126" s="28" t="str">
        <f t="shared" si="2"/>
        <v/>
      </c>
      <c r="J126" s="14"/>
      <c r="K126" s="14"/>
      <c r="L126" s="21"/>
      <c r="M126" s="13"/>
      <c r="N126" s="7" t="str">
        <f t="shared" si="3"/>
        <v/>
      </c>
    </row>
    <row r="127" spans="1:14" x14ac:dyDescent="0.35">
      <c r="A127" s="81"/>
      <c r="B127" s="81"/>
      <c r="C127" s="21"/>
      <c r="D127" s="13"/>
      <c r="E127" s="13"/>
      <c r="F127" s="13"/>
      <c r="G127" s="22"/>
      <c r="H127" s="22"/>
      <c r="I127" s="28" t="str">
        <f t="shared" si="2"/>
        <v/>
      </c>
      <c r="J127" s="14"/>
      <c r="K127" s="14"/>
      <c r="L127" s="21"/>
      <c r="M127" s="13"/>
      <c r="N127" s="7" t="str">
        <f t="shared" si="3"/>
        <v/>
      </c>
    </row>
    <row r="128" spans="1:14" x14ac:dyDescent="0.35">
      <c r="A128" s="81"/>
      <c r="B128" s="81"/>
      <c r="C128" s="21"/>
      <c r="D128" s="13"/>
      <c r="E128" s="13"/>
      <c r="F128" s="13"/>
      <c r="G128" s="22"/>
      <c r="H128" s="22"/>
      <c r="I128" s="28" t="str">
        <f t="shared" si="2"/>
        <v/>
      </c>
      <c r="J128" s="14"/>
      <c r="K128" s="14"/>
      <c r="L128" s="21"/>
      <c r="M128" s="13"/>
      <c r="N128" s="7" t="str">
        <f t="shared" si="3"/>
        <v/>
      </c>
    </row>
    <row r="129" spans="1:14" x14ac:dyDescent="0.35">
      <c r="A129" s="81"/>
      <c r="B129" s="81"/>
      <c r="C129" s="21"/>
      <c r="D129" s="13"/>
      <c r="E129" s="13"/>
      <c r="F129" s="13"/>
      <c r="G129" s="22"/>
      <c r="H129" s="22"/>
      <c r="I129" s="28" t="str">
        <f t="shared" si="2"/>
        <v/>
      </c>
      <c r="J129" s="14"/>
      <c r="K129" s="14"/>
      <c r="L129" s="21"/>
      <c r="M129" s="13"/>
      <c r="N129" s="7" t="str">
        <f t="shared" si="3"/>
        <v/>
      </c>
    </row>
    <row r="130" spans="1:14" x14ac:dyDescent="0.35">
      <c r="A130" s="81"/>
      <c r="B130" s="81"/>
      <c r="C130" s="21"/>
      <c r="D130" s="13"/>
      <c r="E130" s="13"/>
      <c r="F130" s="13"/>
      <c r="G130" s="22"/>
      <c r="H130" s="22"/>
      <c r="I130" s="28" t="str">
        <f t="shared" si="2"/>
        <v/>
      </c>
      <c r="J130" s="14"/>
      <c r="K130" s="14"/>
      <c r="L130" s="21"/>
      <c r="M130" s="13"/>
      <c r="N130" s="7" t="str">
        <f t="shared" si="3"/>
        <v/>
      </c>
    </row>
    <row r="131" spans="1:14" x14ac:dyDescent="0.35">
      <c r="A131" s="81"/>
      <c r="B131" s="81"/>
      <c r="C131" s="21"/>
      <c r="D131" s="13"/>
      <c r="E131" s="13"/>
      <c r="F131" s="13"/>
      <c r="G131" s="22"/>
      <c r="H131" s="22"/>
      <c r="I131" s="28" t="str">
        <f t="shared" ref="I131:I194" si="4">IF($G131="","",$G131-N($H131))</f>
        <v/>
      </c>
      <c r="J131" s="14"/>
      <c r="K131" s="14"/>
      <c r="L131" s="21"/>
      <c r="M131" s="13"/>
      <c r="N131" s="7" t="str">
        <f t="shared" ref="N131:N194" si="5">IF($G131="","",IF(N($H131)&gt;=$G131,"Payé",IF(N($H131)&gt;0,"Partiellement payé","Non payé")))</f>
        <v/>
      </c>
    </row>
    <row r="132" spans="1:14" x14ac:dyDescent="0.35">
      <c r="A132" s="81"/>
      <c r="B132" s="81"/>
      <c r="C132" s="21"/>
      <c r="D132" s="13"/>
      <c r="E132" s="13"/>
      <c r="F132" s="13"/>
      <c r="G132" s="22"/>
      <c r="H132" s="22"/>
      <c r="I132" s="28" t="str">
        <f t="shared" si="4"/>
        <v/>
      </c>
      <c r="J132" s="14"/>
      <c r="K132" s="14"/>
      <c r="L132" s="21"/>
      <c r="M132" s="13"/>
      <c r="N132" s="7" t="str">
        <f t="shared" si="5"/>
        <v/>
      </c>
    </row>
    <row r="133" spans="1:14" x14ac:dyDescent="0.35">
      <c r="A133" s="81"/>
      <c r="B133" s="81"/>
      <c r="C133" s="21"/>
      <c r="D133" s="13"/>
      <c r="E133" s="13"/>
      <c r="F133" s="13"/>
      <c r="G133" s="22"/>
      <c r="H133" s="22"/>
      <c r="I133" s="28" t="str">
        <f t="shared" si="4"/>
        <v/>
      </c>
      <c r="J133" s="14"/>
      <c r="K133" s="14"/>
      <c r="L133" s="21"/>
      <c r="M133" s="13"/>
      <c r="N133" s="7" t="str">
        <f t="shared" si="5"/>
        <v/>
      </c>
    </row>
    <row r="134" spans="1:14" x14ac:dyDescent="0.35">
      <c r="A134" s="81"/>
      <c r="B134" s="81"/>
      <c r="C134" s="21"/>
      <c r="D134" s="13"/>
      <c r="E134" s="13"/>
      <c r="F134" s="13"/>
      <c r="G134" s="22"/>
      <c r="H134" s="22"/>
      <c r="I134" s="28" t="str">
        <f t="shared" si="4"/>
        <v/>
      </c>
      <c r="J134" s="14"/>
      <c r="K134" s="14"/>
      <c r="L134" s="21"/>
      <c r="M134" s="13"/>
      <c r="N134" s="7" t="str">
        <f t="shared" si="5"/>
        <v/>
      </c>
    </row>
    <row r="135" spans="1:14" x14ac:dyDescent="0.35">
      <c r="A135" s="81"/>
      <c r="B135" s="81"/>
      <c r="C135" s="21"/>
      <c r="D135" s="13"/>
      <c r="E135" s="13"/>
      <c r="F135" s="13"/>
      <c r="G135" s="22"/>
      <c r="H135" s="22"/>
      <c r="I135" s="28" t="str">
        <f t="shared" si="4"/>
        <v/>
      </c>
      <c r="J135" s="14"/>
      <c r="K135" s="14"/>
      <c r="L135" s="21"/>
      <c r="M135" s="13"/>
      <c r="N135" s="7" t="str">
        <f t="shared" si="5"/>
        <v/>
      </c>
    </row>
    <row r="136" spans="1:14" x14ac:dyDescent="0.35">
      <c r="A136" s="81"/>
      <c r="B136" s="81"/>
      <c r="C136" s="21"/>
      <c r="D136" s="13"/>
      <c r="E136" s="13"/>
      <c r="F136" s="13"/>
      <c r="G136" s="22"/>
      <c r="H136" s="22"/>
      <c r="I136" s="28" t="str">
        <f t="shared" si="4"/>
        <v/>
      </c>
      <c r="J136" s="14"/>
      <c r="K136" s="14"/>
      <c r="L136" s="21"/>
      <c r="M136" s="13"/>
      <c r="N136" s="7" t="str">
        <f t="shared" si="5"/>
        <v/>
      </c>
    </row>
    <row r="137" spans="1:14" x14ac:dyDescent="0.35">
      <c r="A137" s="81"/>
      <c r="B137" s="81"/>
      <c r="C137" s="21"/>
      <c r="D137" s="13"/>
      <c r="E137" s="13"/>
      <c r="F137" s="13"/>
      <c r="G137" s="22"/>
      <c r="H137" s="22"/>
      <c r="I137" s="28" t="str">
        <f t="shared" si="4"/>
        <v/>
      </c>
      <c r="J137" s="14"/>
      <c r="K137" s="14"/>
      <c r="L137" s="21"/>
      <c r="M137" s="13"/>
      <c r="N137" s="7" t="str">
        <f t="shared" si="5"/>
        <v/>
      </c>
    </row>
    <row r="138" spans="1:14" x14ac:dyDescent="0.35">
      <c r="A138" s="81"/>
      <c r="B138" s="81"/>
      <c r="C138" s="21"/>
      <c r="D138" s="13"/>
      <c r="E138" s="13"/>
      <c r="F138" s="13"/>
      <c r="G138" s="22"/>
      <c r="H138" s="22"/>
      <c r="I138" s="28" t="str">
        <f t="shared" si="4"/>
        <v/>
      </c>
      <c r="J138" s="14"/>
      <c r="K138" s="14"/>
      <c r="L138" s="21"/>
      <c r="M138" s="13"/>
      <c r="N138" s="7" t="str">
        <f t="shared" si="5"/>
        <v/>
      </c>
    </row>
    <row r="139" spans="1:14" x14ac:dyDescent="0.35">
      <c r="A139" s="81"/>
      <c r="B139" s="81"/>
      <c r="C139" s="21"/>
      <c r="D139" s="13"/>
      <c r="E139" s="13"/>
      <c r="F139" s="13"/>
      <c r="G139" s="22"/>
      <c r="H139" s="22"/>
      <c r="I139" s="28" t="str">
        <f t="shared" si="4"/>
        <v/>
      </c>
      <c r="J139" s="14"/>
      <c r="K139" s="14"/>
      <c r="L139" s="21"/>
      <c r="M139" s="13"/>
      <c r="N139" s="7" t="str">
        <f t="shared" si="5"/>
        <v/>
      </c>
    </row>
    <row r="140" spans="1:14" x14ac:dyDescent="0.35">
      <c r="A140" s="81"/>
      <c r="B140" s="81"/>
      <c r="C140" s="21"/>
      <c r="D140" s="13"/>
      <c r="E140" s="13"/>
      <c r="F140" s="13"/>
      <c r="G140" s="22"/>
      <c r="H140" s="22"/>
      <c r="I140" s="28" t="str">
        <f t="shared" si="4"/>
        <v/>
      </c>
      <c r="J140" s="14"/>
      <c r="K140" s="14"/>
      <c r="L140" s="21"/>
      <c r="M140" s="13"/>
      <c r="N140" s="7" t="str">
        <f t="shared" si="5"/>
        <v/>
      </c>
    </row>
    <row r="141" spans="1:14" x14ac:dyDescent="0.35">
      <c r="A141" s="81"/>
      <c r="B141" s="81"/>
      <c r="C141" s="21"/>
      <c r="D141" s="13"/>
      <c r="E141" s="13"/>
      <c r="F141" s="13"/>
      <c r="G141" s="22"/>
      <c r="H141" s="22"/>
      <c r="I141" s="28" t="str">
        <f t="shared" si="4"/>
        <v/>
      </c>
      <c r="J141" s="14"/>
      <c r="K141" s="14"/>
      <c r="L141" s="21"/>
      <c r="M141" s="13"/>
      <c r="N141" s="7" t="str">
        <f t="shared" si="5"/>
        <v/>
      </c>
    </row>
    <row r="142" spans="1:14" x14ac:dyDescent="0.35">
      <c r="A142" s="81"/>
      <c r="B142" s="81"/>
      <c r="C142" s="21"/>
      <c r="D142" s="13"/>
      <c r="E142" s="13"/>
      <c r="F142" s="13"/>
      <c r="G142" s="22"/>
      <c r="H142" s="22"/>
      <c r="I142" s="28" t="str">
        <f t="shared" si="4"/>
        <v/>
      </c>
      <c r="J142" s="14"/>
      <c r="K142" s="14"/>
      <c r="L142" s="21"/>
      <c r="M142" s="13"/>
      <c r="N142" s="7" t="str">
        <f t="shared" si="5"/>
        <v/>
      </c>
    </row>
    <row r="143" spans="1:14" x14ac:dyDescent="0.35">
      <c r="A143" s="81"/>
      <c r="B143" s="81"/>
      <c r="C143" s="21"/>
      <c r="D143" s="13"/>
      <c r="E143" s="13"/>
      <c r="F143" s="13"/>
      <c r="G143" s="22"/>
      <c r="H143" s="22"/>
      <c r="I143" s="28" t="str">
        <f t="shared" si="4"/>
        <v/>
      </c>
      <c r="J143" s="14"/>
      <c r="K143" s="14"/>
      <c r="L143" s="21"/>
      <c r="M143" s="13"/>
      <c r="N143" s="7" t="str">
        <f t="shared" si="5"/>
        <v/>
      </c>
    </row>
    <row r="144" spans="1:14" x14ac:dyDescent="0.35">
      <c r="A144" s="81"/>
      <c r="B144" s="81"/>
      <c r="C144" s="21"/>
      <c r="D144" s="13"/>
      <c r="E144" s="13"/>
      <c r="F144" s="13"/>
      <c r="G144" s="22"/>
      <c r="H144" s="22"/>
      <c r="I144" s="28" t="str">
        <f t="shared" si="4"/>
        <v/>
      </c>
      <c r="J144" s="14"/>
      <c r="K144" s="14"/>
      <c r="L144" s="21"/>
      <c r="M144" s="13"/>
      <c r="N144" s="7" t="str">
        <f t="shared" si="5"/>
        <v/>
      </c>
    </row>
    <row r="145" spans="1:14" x14ac:dyDescent="0.35">
      <c r="A145" s="81"/>
      <c r="B145" s="81"/>
      <c r="C145" s="21"/>
      <c r="D145" s="13"/>
      <c r="E145" s="13"/>
      <c r="F145" s="13"/>
      <c r="G145" s="22"/>
      <c r="H145" s="22"/>
      <c r="I145" s="28" t="str">
        <f t="shared" si="4"/>
        <v/>
      </c>
      <c r="J145" s="14"/>
      <c r="K145" s="14"/>
      <c r="L145" s="21"/>
      <c r="M145" s="13"/>
      <c r="N145" s="7" t="str">
        <f t="shared" si="5"/>
        <v/>
      </c>
    </row>
    <row r="146" spans="1:14" x14ac:dyDescent="0.35">
      <c r="A146" s="81"/>
      <c r="B146" s="81"/>
      <c r="C146" s="21"/>
      <c r="D146" s="13"/>
      <c r="E146" s="13"/>
      <c r="F146" s="13"/>
      <c r="G146" s="22"/>
      <c r="H146" s="22"/>
      <c r="I146" s="28" t="str">
        <f t="shared" si="4"/>
        <v/>
      </c>
      <c r="J146" s="14"/>
      <c r="K146" s="14"/>
      <c r="L146" s="21"/>
      <c r="M146" s="13"/>
      <c r="N146" s="7" t="str">
        <f t="shared" si="5"/>
        <v/>
      </c>
    </row>
    <row r="147" spans="1:14" x14ac:dyDescent="0.35">
      <c r="A147" s="81"/>
      <c r="B147" s="81"/>
      <c r="C147" s="21"/>
      <c r="D147" s="13"/>
      <c r="E147" s="13"/>
      <c r="F147" s="13"/>
      <c r="G147" s="22"/>
      <c r="H147" s="22"/>
      <c r="I147" s="28" t="str">
        <f t="shared" si="4"/>
        <v/>
      </c>
      <c r="J147" s="14"/>
      <c r="K147" s="14"/>
      <c r="L147" s="21"/>
      <c r="M147" s="13"/>
      <c r="N147" s="7" t="str">
        <f t="shared" si="5"/>
        <v/>
      </c>
    </row>
    <row r="148" spans="1:14" x14ac:dyDescent="0.35">
      <c r="A148" s="81"/>
      <c r="B148" s="81"/>
      <c r="C148" s="21"/>
      <c r="D148" s="13"/>
      <c r="E148" s="13"/>
      <c r="F148" s="13"/>
      <c r="G148" s="22"/>
      <c r="H148" s="22"/>
      <c r="I148" s="28" t="str">
        <f t="shared" si="4"/>
        <v/>
      </c>
      <c r="J148" s="14"/>
      <c r="K148" s="14"/>
      <c r="L148" s="21"/>
      <c r="M148" s="13"/>
      <c r="N148" s="7" t="str">
        <f t="shared" si="5"/>
        <v/>
      </c>
    </row>
    <row r="149" spans="1:14" x14ac:dyDescent="0.35">
      <c r="A149" s="81"/>
      <c r="B149" s="81"/>
      <c r="C149" s="21"/>
      <c r="D149" s="13"/>
      <c r="E149" s="13"/>
      <c r="F149" s="13"/>
      <c r="G149" s="22"/>
      <c r="H149" s="22"/>
      <c r="I149" s="28" t="str">
        <f t="shared" si="4"/>
        <v/>
      </c>
      <c r="J149" s="14"/>
      <c r="K149" s="14"/>
      <c r="L149" s="21"/>
      <c r="M149" s="13"/>
      <c r="N149" s="7" t="str">
        <f t="shared" si="5"/>
        <v/>
      </c>
    </row>
    <row r="150" spans="1:14" x14ac:dyDescent="0.35">
      <c r="A150" s="81"/>
      <c r="B150" s="81"/>
      <c r="C150" s="21"/>
      <c r="D150" s="13"/>
      <c r="E150" s="13"/>
      <c r="F150" s="13"/>
      <c r="G150" s="22"/>
      <c r="H150" s="22"/>
      <c r="I150" s="28" t="str">
        <f t="shared" si="4"/>
        <v/>
      </c>
      <c r="J150" s="14"/>
      <c r="K150" s="14"/>
      <c r="L150" s="21"/>
      <c r="M150" s="13"/>
      <c r="N150" s="7" t="str">
        <f t="shared" si="5"/>
        <v/>
      </c>
    </row>
    <row r="151" spans="1:14" x14ac:dyDescent="0.35">
      <c r="A151" s="81"/>
      <c r="B151" s="81"/>
      <c r="C151" s="21"/>
      <c r="D151" s="13"/>
      <c r="E151" s="13"/>
      <c r="F151" s="13"/>
      <c r="G151" s="22"/>
      <c r="H151" s="22"/>
      <c r="I151" s="28" t="str">
        <f t="shared" si="4"/>
        <v/>
      </c>
      <c r="J151" s="14"/>
      <c r="K151" s="14"/>
      <c r="L151" s="21"/>
      <c r="M151" s="13"/>
      <c r="N151" s="7" t="str">
        <f t="shared" si="5"/>
        <v/>
      </c>
    </row>
    <row r="152" spans="1:14" x14ac:dyDescent="0.35">
      <c r="A152" s="81"/>
      <c r="B152" s="81"/>
      <c r="C152" s="21"/>
      <c r="D152" s="13"/>
      <c r="E152" s="13"/>
      <c r="F152" s="13"/>
      <c r="G152" s="22"/>
      <c r="H152" s="22"/>
      <c r="I152" s="28" t="str">
        <f t="shared" si="4"/>
        <v/>
      </c>
      <c r="J152" s="14"/>
      <c r="K152" s="14"/>
      <c r="L152" s="21"/>
      <c r="M152" s="13"/>
      <c r="N152" s="7" t="str">
        <f t="shared" si="5"/>
        <v/>
      </c>
    </row>
    <row r="153" spans="1:14" x14ac:dyDescent="0.35">
      <c r="A153" s="81"/>
      <c r="B153" s="81"/>
      <c r="C153" s="21"/>
      <c r="D153" s="13"/>
      <c r="E153" s="13"/>
      <c r="F153" s="13"/>
      <c r="G153" s="22"/>
      <c r="H153" s="22"/>
      <c r="I153" s="28" t="str">
        <f t="shared" si="4"/>
        <v/>
      </c>
      <c r="J153" s="14"/>
      <c r="K153" s="14"/>
      <c r="L153" s="21"/>
      <c r="M153" s="13"/>
      <c r="N153" s="7" t="str">
        <f t="shared" si="5"/>
        <v/>
      </c>
    </row>
    <row r="154" spans="1:14" x14ac:dyDescent="0.35">
      <c r="A154" s="81"/>
      <c r="B154" s="81"/>
      <c r="C154" s="21"/>
      <c r="D154" s="13"/>
      <c r="E154" s="13"/>
      <c r="F154" s="13"/>
      <c r="G154" s="22"/>
      <c r="H154" s="22"/>
      <c r="I154" s="28" t="str">
        <f t="shared" si="4"/>
        <v/>
      </c>
      <c r="J154" s="14"/>
      <c r="K154" s="14"/>
      <c r="L154" s="21"/>
      <c r="M154" s="13"/>
      <c r="N154" s="7" t="str">
        <f t="shared" si="5"/>
        <v/>
      </c>
    </row>
    <row r="155" spans="1:14" x14ac:dyDescent="0.35">
      <c r="A155" s="81"/>
      <c r="B155" s="81"/>
      <c r="C155" s="21"/>
      <c r="D155" s="13"/>
      <c r="E155" s="13"/>
      <c r="F155" s="13"/>
      <c r="G155" s="22"/>
      <c r="H155" s="22"/>
      <c r="I155" s="28" t="str">
        <f t="shared" si="4"/>
        <v/>
      </c>
      <c r="J155" s="14"/>
      <c r="K155" s="14"/>
      <c r="L155" s="21"/>
      <c r="M155" s="13"/>
      <c r="N155" s="7" t="str">
        <f t="shared" si="5"/>
        <v/>
      </c>
    </row>
    <row r="156" spans="1:14" x14ac:dyDescent="0.35">
      <c r="A156" s="81"/>
      <c r="B156" s="81"/>
      <c r="C156" s="21"/>
      <c r="D156" s="13"/>
      <c r="E156" s="13"/>
      <c r="F156" s="13"/>
      <c r="G156" s="22"/>
      <c r="H156" s="22"/>
      <c r="I156" s="28" t="str">
        <f t="shared" si="4"/>
        <v/>
      </c>
      <c r="J156" s="14"/>
      <c r="K156" s="14"/>
      <c r="L156" s="21"/>
      <c r="M156" s="13"/>
      <c r="N156" s="7" t="str">
        <f t="shared" si="5"/>
        <v/>
      </c>
    </row>
    <row r="157" spans="1:14" x14ac:dyDescent="0.35">
      <c r="A157" s="81"/>
      <c r="B157" s="81"/>
      <c r="C157" s="21"/>
      <c r="D157" s="13"/>
      <c r="E157" s="13"/>
      <c r="F157" s="13"/>
      <c r="G157" s="22"/>
      <c r="H157" s="22"/>
      <c r="I157" s="28" t="str">
        <f t="shared" si="4"/>
        <v/>
      </c>
      <c r="J157" s="14"/>
      <c r="K157" s="14"/>
      <c r="L157" s="21"/>
      <c r="M157" s="13"/>
      <c r="N157" s="7" t="str">
        <f t="shared" si="5"/>
        <v/>
      </c>
    </row>
    <row r="158" spans="1:14" x14ac:dyDescent="0.35">
      <c r="A158" s="81"/>
      <c r="B158" s="81"/>
      <c r="C158" s="21"/>
      <c r="D158" s="13"/>
      <c r="E158" s="13"/>
      <c r="F158" s="13"/>
      <c r="G158" s="22"/>
      <c r="H158" s="22"/>
      <c r="I158" s="28" t="str">
        <f t="shared" si="4"/>
        <v/>
      </c>
      <c r="J158" s="14"/>
      <c r="K158" s="14"/>
      <c r="L158" s="21"/>
      <c r="M158" s="13"/>
      <c r="N158" s="7" t="str">
        <f t="shared" si="5"/>
        <v/>
      </c>
    </row>
    <row r="159" spans="1:14" x14ac:dyDescent="0.35">
      <c r="A159" s="81"/>
      <c r="B159" s="81"/>
      <c r="C159" s="21"/>
      <c r="D159" s="13"/>
      <c r="E159" s="13"/>
      <c r="F159" s="13"/>
      <c r="G159" s="22"/>
      <c r="H159" s="22"/>
      <c r="I159" s="28" t="str">
        <f t="shared" si="4"/>
        <v/>
      </c>
      <c r="J159" s="14"/>
      <c r="K159" s="14"/>
      <c r="L159" s="21"/>
      <c r="M159" s="13"/>
      <c r="N159" s="7" t="str">
        <f t="shared" si="5"/>
        <v/>
      </c>
    </row>
    <row r="160" spans="1:14" x14ac:dyDescent="0.35">
      <c r="A160" s="81"/>
      <c r="B160" s="81"/>
      <c r="C160" s="21"/>
      <c r="D160" s="13"/>
      <c r="E160" s="13"/>
      <c r="F160" s="13"/>
      <c r="G160" s="22"/>
      <c r="H160" s="22"/>
      <c r="I160" s="28" t="str">
        <f t="shared" si="4"/>
        <v/>
      </c>
      <c r="J160" s="14"/>
      <c r="K160" s="14"/>
      <c r="L160" s="21"/>
      <c r="M160" s="13"/>
      <c r="N160" s="7" t="str">
        <f t="shared" si="5"/>
        <v/>
      </c>
    </row>
    <row r="161" spans="1:14" x14ac:dyDescent="0.35">
      <c r="A161" s="81"/>
      <c r="B161" s="81"/>
      <c r="C161" s="21"/>
      <c r="D161" s="13"/>
      <c r="E161" s="13"/>
      <c r="F161" s="13"/>
      <c r="G161" s="22"/>
      <c r="H161" s="22"/>
      <c r="I161" s="28" t="str">
        <f t="shared" si="4"/>
        <v/>
      </c>
      <c r="J161" s="14"/>
      <c r="K161" s="14"/>
      <c r="L161" s="21"/>
      <c r="M161" s="13"/>
      <c r="N161" s="7" t="str">
        <f t="shared" si="5"/>
        <v/>
      </c>
    </row>
    <row r="162" spans="1:14" x14ac:dyDescent="0.35">
      <c r="A162" s="81"/>
      <c r="B162" s="81"/>
      <c r="C162" s="21"/>
      <c r="D162" s="13"/>
      <c r="E162" s="13"/>
      <c r="F162" s="13"/>
      <c r="G162" s="22"/>
      <c r="H162" s="22"/>
      <c r="I162" s="28" t="str">
        <f t="shared" si="4"/>
        <v/>
      </c>
      <c r="J162" s="14"/>
      <c r="K162" s="14"/>
      <c r="L162" s="21"/>
      <c r="M162" s="13"/>
      <c r="N162" s="7" t="str">
        <f t="shared" si="5"/>
        <v/>
      </c>
    </row>
    <row r="163" spans="1:14" x14ac:dyDescent="0.35">
      <c r="A163" s="81"/>
      <c r="B163" s="81"/>
      <c r="C163" s="21"/>
      <c r="D163" s="13"/>
      <c r="E163" s="13"/>
      <c r="F163" s="13"/>
      <c r="G163" s="22"/>
      <c r="H163" s="22"/>
      <c r="I163" s="28" t="str">
        <f t="shared" si="4"/>
        <v/>
      </c>
      <c r="J163" s="14"/>
      <c r="K163" s="14"/>
      <c r="L163" s="21"/>
      <c r="M163" s="13"/>
      <c r="N163" s="7" t="str">
        <f t="shared" si="5"/>
        <v/>
      </c>
    </row>
    <row r="164" spans="1:14" x14ac:dyDescent="0.35">
      <c r="A164" s="81"/>
      <c r="B164" s="81"/>
      <c r="C164" s="21"/>
      <c r="D164" s="13"/>
      <c r="E164" s="13"/>
      <c r="F164" s="13"/>
      <c r="G164" s="22"/>
      <c r="H164" s="22"/>
      <c r="I164" s="28" t="str">
        <f t="shared" si="4"/>
        <v/>
      </c>
      <c r="J164" s="14"/>
      <c r="K164" s="14"/>
      <c r="L164" s="21"/>
      <c r="M164" s="13"/>
      <c r="N164" s="7" t="str">
        <f t="shared" si="5"/>
        <v/>
      </c>
    </row>
    <row r="165" spans="1:14" x14ac:dyDescent="0.35">
      <c r="A165" s="81"/>
      <c r="B165" s="81"/>
      <c r="C165" s="21"/>
      <c r="D165" s="13"/>
      <c r="E165" s="13"/>
      <c r="F165" s="13"/>
      <c r="G165" s="22"/>
      <c r="H165" s="22"/>
      <c r="I165" s="28" t="str">
        <f t="shared" si="4"/>
        <v/>
      </c>
      <c r="J165" s="14"/>
      <c r="K165" s="14"/>
      <c r="L165" s="21"/>
      <c r="M165" s="13"/>
      <c r="N165" s="7" t="str">
        <f t="shared" si="5"/>
        <v/>
      </c>
    </row>
    <row r="166" spans="1:14" x14ac:dyDescent="0.35">
      <c r="A166" s="81"/>
      <c r="B166" s="81"/>
      <c r="C166" s="21"/>
      <c r="D166" s="13"/>
      <c r="E166" s="13"/>
      <c r="F166" s="13"/>
      <c r="G166" s="22"/>
      <c r="H166" s="22"/>
      <c r="I166" s="28" t="str">
        <f t="shared" si="4"/>
        <v/>
      </c>
      <c r="J166" s="14"/>
      <c r="K166" s="14"/>
      <c r="L166" s="21"/>
      <c r="M166" s="13"/>
      <c r="N166" s="7" t="str">
        <f t="shared" si="5"/>
        <v/>
      </c>
    </row>
    <row r="167" spans="1:14" x14ac:dyDescent="0.35">
      <c r="A167" s="81"/>
      <c r="B167" s="81"/>
      <c r="C167" s="21"/>
      <c r="D167" s="13"/>
      <c r="E167" s="13"/>
      <c r="F167" s="13"/>
      <c r="G167" s="22"/>
      <c r="H167" s="22"/>
      <c r="I167" s="28" t="str">
        <f t="shared" si="4"/>
        <v/>
      </c>
      <c r="J167" s="14"/>
      <c r="K167" s="14"/>
      <c r="L167" s="21"/>
      <c r="M167" s="13"/>
      <c r="N167" s="7" t="str">
        <f t="shared" si="5"/>
        <v/>
      </c>
    </row>
    <row r="168" spans="1:14" x14ac:dyDescent="0.35">
      <c r="A168" s="81"/>
      <c r="B168" s="81"/>
      <c r="C168" s="21"/>
      <c r="D168" s="13"/>
      <c r="E168" s="13"/>
      <c r="F168" s="13"/>
      <c r="G168" s="22"/>
      <c r="H168" s="22"/>
      <c r="I168" s="28" t="str">
        <f t="shared" si="4"/>
        <v/>
      </c>
      <c r="J168" s="14"/>
      <c r="K168" s="14"/>
      <c r="L168" s="21"/>
      <c r="M168" s="13"/>
      <c r="N168" s="7" t="str">
        <f t="shared" si="5"/>
        <v/>
      </c>
    </row>
    <row r="169" spans="1:14" x14ac:dyDescent="0.35">
      <c r="A169" s="81"/>
      <c r="B169" s="81"/>
      <c r="C169" s="21"/>
      <c r="D169" s="13"/>
      <c r="E169" s="13"/>
      <c r="F169" s="13"/>
      <c r="G169" s="22"/>
      <c r="H169" s="22"/>
      <c r="I169" s="28" t="str">
        <f t="shared" si="4"/>
        <v/>
      </c>
      <c r="J169" s="14"/>
      <c r="K169" s="14"/>
      <c r="L169" s="21"/>
      <c r="M169" s="13"/>
      <c r="N169" s="7" t="str">
        <f t="shared" si="5"/>
        <v/>
      </c>
    </row>
    <row r="170" spans="1:14" x14ac:dyDescent="0.35">
      <c r="A170" s="81"/>
      <c r="B170" s="81"/>
      <c r="C170" s="21"/>
      <c r="D170" s="13"/>
      <c r="E170" s="13"/>
      <c r="F170" s="13"/>
      <c r="G170" s="22"/>
      <c r="H170" s="22"/>
      <c r="I170" s="28" t="str">
        <f t="shared" si="4"/>
        <v/>
      </c>
      <c r="J170" s="14"/>
      <c r="K170" s="14"/>
      <c r="L170" s="21"/>
      <c r="M170" s="13"/>
      <c r="N170" s="7" t="str">
        <f t="shared" si="5"/>
        <v/>
      </c>
    </row>
    <row r="171" spans="1:14" x14ac:dyDescent="0.35">
      <c r="A171" s="81"/>
      <c r="B171" s="81"/>
      <c r="C171" s="21"/>
      <c r="D171" s="13"/>
      <c r="E171" s="13"/>
      <c r="F171" s="13"/>
      <c r="G171" s="22"/>
      <c r="H171" s="22"/>
      <c r="I171" s="28" t="str">
        <f t="shared" si="4"/>
        <v/>
      </c>
      <c r="J171" s="14"/>
      <c r="K171" s="14"/>
      <c r="L171" s="21"/>
      <c r="M171" s="13"/>
      <c r="N171" s="7" t="str">
        <f t="shared" si="5"/>
        <v/>
      </c>
    </row>
    <row r="172" spans="1:14" x14ac:dyDescent="0.35">
      <c r="A172" s="81"/>
      <c r="B172" s="81"/>
      <c r="C172" s="21"/>
      <c r="D172" s="13"/>
      <c r="E172" s="13"/>
      <c r="F172" s="13"/>
      <c r="G172" s="22"/>
      <c r="H172" s="22"/>
      <c r="I172" s="28" t="str">
        <f t="shared" si="4"/>
        <v/>
      </c>
      <c r="J172" s="14"/>
      <c r="K172" s="14"/>
      <c r="L172" s="21"/>
      <c r="M172" s="13"/>
      <c r="N172" s="7" t="str">
        <f t="shared" si="5"/>
        <v/>
      </c>
    </row>
    <row r="173" spans="1:14" x14ac:dyDescent="0.35">
      <c r="A173" s="81"/>
      <c r="B173" s="81"/>
      <c r="C173" s="21"/>
      <c r="D173" s="13"/>
      <c r="E173" s="13"/>
      <c r="F173" s="13"/>
      <c r="G173" s="22"/>
      <c r="H173" s="22"/>
      <c r="I173" s="28" t="str">
        <f t="shared" si="4"/>
        <v/>
      </c>
      <c r="J173" s="14"/>
      <c r="K173" s="14"/>
      <c r="L173" s="21"/>
      <c r="M173" s="13"/>
      <c r="N173" s="7" t="str">
        <f t="shared" si="5"/>
        <v/>
      </c>
    </row>
    <row r="174" spans="1:14" x14ac:dyDescent="0.35">
      <c r="A174" s="81"/>
      <c r="B174" s="81"/>
      <c r="C174" s="21"/>
      <c r="D174" s="13"/>
      <c r="E174" s="13"/>
      <c r="F174" s="13"/>
      <c r="G174" s="22"/>
      <c r="H174" s="22"/>
      <c r="I174" s="28" t="str">
        <f t="shared" si="4"/>
        <v/>
      </c>
      <c r="J174" s="14"/>
      <c r="K174" s="14"/>
      <c r="L174" s="21"/>
      <c r="M174" s="13"/>
      <c r="N174" s="7" t="str">
        <f t="shared" si="5"/>
        <v/>
      </c>
    </row>
    <row r="175" spans="1:14" x14ac:dyDescent="0.35">
      <c r="A175" s="81"/>
      <c r="B175" s="81"/>
      <c r="C175" s="21"/>
      <c r="D175" s="13"/>
      <c r="E175" s="13"/>
      <c r="F175" s="13"/>
      <c r="G175" s="22"/>
      <c r="H175" s="22"/>
      <c r="I175" s="28" t="str">
        <f t="shared" si="4"/>
        <v/>
      </c>
      <c r="J175" s="14"/>
      <c r="K175" s="14"/>
      <c r="L175" s="21"/>
      <c r="M175" s="13"/>
      <c r="N175" s="7" t="str">
        <f t="shared" si="5"/>
        <v/>
      </c>
    </row>
    <row r="176" spans="1:14" x14ac:dyDescent="0.35">
      <c r="A176" s="81"/>
      <c r="B176" s="81"/>
      <c r="C176" s="21"/>
      <c r="D176" s="13"/>
      <c r="E176" s="13"/>
      <c r="F176" s="13"/>
      <c r="G176" s="22"/>
      <c r="H176" s="22"/>
      <c r="I176" s="28" t="str">
        <f t="shared" si="4"/>
        <v/>
      </c>
      <c r="J176" s="14"/>
      <c r="K176" s="14"/>
      <c r="L176" s="21"/>
      <c r="M176" s="13"/>
      <c r="N176" s="7" t="str">
        <f t="shared" si="5"/>
        <v/>
      </c>
    </row>
    <row r="177" spans="1:14" x14ac:dyDescent="0.35">
      <c r="A177" s="81"/>
      <c r="B177" s="81"/>
      <c r="C177" s="21"/>
      <c r="D177" s="13"/>
      <c r="E177" s="13"/>
      <c r="F177" s="13"/>
      <c r="G177" s="22"/>
      <c r="H177" s="22"/>
      <c r="I177" s="28" t="str">
        <f t="shared" si="4"/>
        <v/>
      </c>
      <c r="J177" s="14"/>
      <c r="K177" s="14"/>
      <c r="L177" s="21"/>
      <c r="M177" s="13"/>
      <c r="N177" s="7" t="str">
        <f t="shared" si="5"/>
        <v/>
      </c>
    </row>
    <row r="178" spans="1:14" x14ac:dyDescent="0.35">
      <c r="A178" s="81"/>
      <c r="B178" s="81"/>
      <c r="C178" s="21"/>
      <c r="D178" s="13"/>
      <c r="E178" s="13"/>
      <c r="F178" s="13"/>
      <c r="G178" s="22"/>
      <c r="H178" s="22"/>
      <c r="I178" s="28" t="str">
        <f t="shared" si="4"/>
        <v/>
      </c>
      <c r="J178" s="14"/>
      <c r="K178" s="14"/>
      <c r="L178" s="21"/>
      <c r="M178" s="13"/>
      <c r="N178" s="7" t="str">
        <f t="shared" si="5"/>
        <v/>
      </c>
    </row>
    <row r="179" spans="1:14" x14ac:dyDescent="0.35">
      <c r="A179" s="81"/>
      <c r="B179" s="81"/>
      <c r="C179" s="21"/>
      <c r="D179" s="13"/>
      <c r="E179" s="13"/>
      <c r="F179" s="13"/>
      <c r="G179" s="22"/>
      <c r="H179" s="22"/>
      <c r="I179" s="28" t="str">
        <f t="shared" si="4"/>
        <v/>
      </c>
      <c r="J179" s="14"/>
      <c r="K179" s="14"/>
      <c r="L179" s="21"/>
      <c r="M179" s="13"/>
      <c r="N179" s="7" t="str">
        <f t="shared" si="5"/>
        <v/>
      </c>
    </row>
    <row r="180" spans="1:14" x14ac:dyDescent="0.35">
      <c r="A180" s="81"/>
      <c r="B180" s="81"/>
      <c r="C180" s="21"/>
      <c r="D180" s="13"/>
      <c r="E180" s="13"/>
      <c r="F180" s="13"/>
      <c r="G180" s="22"/>
      <c r="H180" s="22"/>
      <c r="I180" s="28" t="str">
        <f t="shared" si="4"/>
        <v/>
      </c>
      <c r="J180" s="14"/>
      <c r="K180" s="14"/>
      <c r="L180" s="21"/>
      <c r="M180" s="13"/>
      <c r="N180" s="7" t="str">
        <f t="shared" si="5"/>
        <v/>
      </c>
    </row>
    <row r="181" spans="1:14" x14ac:dyDescent="0.35">
      <c r="A181" s="81"/>
      <c r="B181" s="81"/>
      <c r="C181" s="21"/>
      <c r="D181" s="13"/>
      <c r="E181" s="13"/>
      <c r="F181" s="13"/>
      <c r="G181" s="22"/>
      <c r="H181" s="22"/>
      <c r="I181" s="28" t="str">
        <f t="shared" si="4"/>
        <v/>
      </c>
      <c r="J181" s="14"/>
      <c r="K181" s="14"/>
      <c r="L181" s="21"/>
      <c r="M181" s="13"/>
      <c r="N181" s="7" t="str">
        <f t="shared" si="5"/>
        <v/>
      </c>
    </row>
    <row r="182" spans="1:14" x14ac:dyDescent="0.35">
      <c r="A182" s="81"/>
      <c r="B182" s="81"/>
      <c r="C182" s="21"/>
      <c r="D182" s="13"/>
      <c r="E182" s="13"/>
      <c r="F182" s="13"/>
      <c r="G182" s="22"/>
      <c r="H182" s="22"/>
      <c r="I182" s="28" t="str">
        <f t="shared" si="4"/>
        <v/>
      </c>
      <c r="J182" s="14"/>
      <c r="K182" s="14"/>
      <c r="L182" s="21"/>
      <c r="M182" s="13"/>
      <c r="N182" s="7" t="str">
        <f t="shared" si="5"/>
        <v/>
      </c>
    </row>
    <row r="183" spans="1:14" x14ac:dyDescent="0.35">
      <c r="A183" s="81"/>
      <c r="B183" s="81"/>
      <c r="C183" s="21"/>
      <c r="D183" s="13"/>
      <c r="E183" s="13"/>
      <c r="F183" s="13"/>
      <c r="G183" s="22"/>
      <c r="H183" s="22"/>
      <c r="I183" s="28" t="str">
        <f t="shared" si="4"/>
        <v/>
      </c>
      <c r="J183" s="14"/>
      <c r="K183" s="14"/>
      <c r="L183" s="21"/>
      <c r="M183" s="13"/>
      <c r="N183" s="7" t="str">
        <f t="shared" si="5"/>
        <v/>
      </c>
    </row>
    <row r="184" spans="1:14" x14ac:dyDescent="0.35">
      <c r="A184" s="81"/>
      <c r="B184" s="81"/>
      <c r="C184" s="21"/>
      <c r="D184" s="13"/>
      <c r="E184" s="13"/>
      <c r="F184" s="13"/>
      <c r="G184" s="22"/>
      <c r="H184" s="22"/>
      <c r="I184" s="28" t="str">
        <f t="shared" si="4"/>
        <v/>
      </c>
      <c r="J184" s="14"/>
      <c r="K184" s="14"/>
      <c r="L184" s="21"/>
      <c r="M184" s="13"/>
      <c r="N184" s="7" t="str">
        <f t="shared" si="5"/>
        <v/>
      </c>
    </row>
    <row r="185" spans="1:14" x14ac:dyDescent="0.35">
      <c r="A185" s="81"/>
      <c r="B185" s="81"/>
      <c r="C185" s="21"/>
      <c r="D185" s="13"/>
      <c r="E185" s="13"/>
      <c r="F185" s="13"/>
      <c r="G185" s="22"/>
      <c r="H185" s="22"/>
      <c r="I185" s="28" t="str">
        <f t="shared" si="4"/>
        <v/>
      </c>
      <c r="J185" s="14"/>
      <c r="K185" s="14"/>
      <c r="L185" s="21"/>
      <c r="M185" s="13"/>
      <c r="N185" s="7" t="str">
        <f t="shared" si="5"/>
        <v/>
      </c>
    </row>
    <row r="186" spans="1:14" x14ac:dyDescent="0.35">
      <c r="A186" s="81"/>
      <c r="B186" s="81"/>
      <c r="C186" s="21"/>
      <c r="D186" s="13"/>
      <c r="E186" s="13"/>
      <c r="F186" s="13"/>
      <c r="G186" s="22"/>
      <c r="H186" s="22"/>
      <c r="I186" s="28" t="str">
        <f t="shared" si="4"/>
        <v/>
      </c>
      <c r="J186" s="14"/>
      <c r="K186" s="14"/>
      <c r="L186" s="21"/>
      <c r="M186" s="13"/>
      <c r="N186" s="7" t="str">
        <f t="shared" si="5"/>
        <v/>
      </c>
    </row>
    <row r="187" spans="1:14" x14ac:dyDescent="0.35">
      <c r="A187" s="81"/>
      <c r="B187" s="81"/>
      <c r="C187" s="21"/>
      <c r="D187" s="13"/>
      <c r="E187" s="13"/>
      <c r="F187" s="13"/>
      <c r="G187" s="22"/>
      <c r="H187" s="22"/>
      <c r="I187" s="28" t="str">
        <f t="shared" si="4"/>
        <v/>
      </c>
      <c r="J187" s="14"/>
      <c r="K187" s="14"/>
      <c r="L187" s="21"/>
      <c r="M187" s="13"/>
      <c r="N187" s="7" t="str">
        <f t="shared" si="5"/>
        <v/>
      </c>
    </row>
    <row r="188" spans="1:14" x14ac:dyDescent="0.35">
      <c r="A188" s="81"/>
      <c r="B188" s="81"/>
      <c r="C188" s="21"/>
      <c r="D188" s="13"/>
      <c r="E188" s="13"/>
      <c r="F188" s="13"/>
      <c r="G188" s="22"/>
      <c r="H188" s="22"/>
      <c r="I188" s="28" t="str">
        <f t="shared" si="4"/>
        <v/>
      </c>
      <c r="J188" s="14"/>
      <c r="K188" s="14"/>
      <c r="L188" s="21"/>
      <c r="M188" s="13"/>
      <c r="N188" s="7" t="str">
        <f t="shared" si="5"/>
        <v/>
      </c>
    </row>
    <row r="189" spans="1:14" x14ac:dyDescent="0.35">
      <c r="A189" s="81"/>
      <c r="B189" s="81"/>
      <c r="C189" s="21"/>
      <c r="D189" s="13"/>
      <c r="E189" s="13"/>
      <c r="F189" s="13"/>
      <c r="G189" s="22"/>
      <c r="H189" s="22"/>
      <c r="I189" s="28" t="str">
        <f t="shared" si="4"/>
        <v/>
      </c>
      <c r="J189" s="14"/>
      <c r="K189" s="14"/>
      <c r="L189" s="21"/>
      <c r="M189" s="13"/>
      <c r="N189" s="7" t="str">
        <f t="shared" si="5"/>
        <v/>
      </c>
    </row>
    <row r="190" spans="1:14" x14ac:dyDescent="0.35">
      <c r="A190" s="81"/>
      <c r="B190" s="81"/>
      <c r="C190" s="21"/>
      <c r="D190" s="13"/>
      <c r="E190" s="13"/>
      <c r="F190" s="13"/>
      <c r="G190" s="22"/>
      <c r="H190" s="22"/>
      <c r="I190" s="28" t="str">
        <f t="shared" si="4"/>
        <v/>
      </c>
      <c r="J190" s="14"/>
      <c r="K190" s="14"/>
      <c r="L190" s="21"/>
      <c r="M190" s="13"/>
      <c r="N190" s="7" t="str">
        <f t="shared" si="5"/>
        <v/>
      </c>
    </row>
    <row r="191" spans="1:14" x14ac:dyDescent="0.35">
      <c r="A191" s="81"/>
      <c r="B191" s="81"/>
      <c r="C191" s="21"/>
      <c r="D191" s="13"/>
      <c r="E191" s="13"/>
      <c r="F191" s="13"/>
      <c r="G191" s="22"/>
      <c r="H191" s="22"/>
      <c r="I191" s="28" t="str">
        <f t="shared" si="4"/>
        <v/>
      </c>
      <c r="J191" s="14"/>
      <c r="K191" s="14"/>
      <c r="L191" s="21"/>
      <c r="M191" s="13"/>
      <c r="N191" s="7" t="str">
        <f t="shared" si="5"/>
        <v/>
      </c>
    </row>
    <row r="192" spans="1:14" x14ac:dyDescent="0.35">
      <c r="A192" s="81"/>
      <c r="B192" s="81"/>
      <c r="C192" s="21"/>
      <c r="D192" s="13"/>
      <c r="E192" s="13"/>
      <c r="F192" s="13"/>
      <c r="G192" s="22"/>
      <c r="H192" s="22"/>
      <c r="I192" s="28" t="str">
        <f t="shared" si="4"/>
        <v/>
      </c>
      <c r="J192" s="14"/>
      <c r="K192" s="14"/>
      <c r="L192" s="21"/>
      <c r="M192" s="13"/>
      <c r="N192" s="7" t="str">
        <f t="shared" si="5"/>
        <v/>
      </c>
    </row>
    <row r="193" spans="1:14" x14ac:dyDescent="0.35">
      <c r="A193" s="81"/>
      <c r="B193" s="81"/>
      <c r="C193" s="21"/>
      <c r="D193" s="13"/>
      <c r="E193" s="13"/>
      <c r="F193" s="13"/>
      <c r="G193" s="22"/>
      <c r="H193" s="22"/>
      <c r="I193" s="28" t="str">
        <f t="shared" si="4"/>
        <v/>
      </c>
      <c r="J193" s="14"/>
      <c r="K193" s="14"/>
      <c r="L193" s="21"/>
      <c r="M193" s="13"/>
      <c r="N193" s="7" t="str">
        <f t="shared" si="5"/>
        <v/>
      </c>
    </row>
    <row r="194" spans="1:14" x14ac:dyDescent="0.35">
      <c r="A194" s="81"/>
      <c r="B194" s="81"/>
      <c r="C194" s="21"/>
      <c r="D194" s="13"/>
      <c r="E194" s="13"/>
      <c r="F194" s="13"/>
      <c r="G194" s="22"/>
      <c r="H194" s="22"/>
      <c r="I194" s="28" t="str">
        <f t="shared" si="4"/>
        <v/>
      </c>
      <c r="J194" s="14"/>
      <c r="K194" s="14"/>
      <c r="L194" s="21"/>
      <c r="M194" s="13"/>
      <c r="N194" s="7" t="str">
        <f t="shared" si="5"/>
        <v/>
      </c>
    </row>
    <row r="195" spans="1:14" x14ac:dyDescent="0.35">
      <c r="A195" s="81"/>
      <c r="B195" s="81"/>
      <c r="C195" s="21"/>
      <c r="D195" s="13"/>
      <c r="E195" s="13"/>
      <c r="F195" s="13"/>
      <c r="G195" s="22"/>
      <c r="H195" s="22"/>
      <c r="I195" s="28" t="str">
        <f t="shared" ref="I195:I258" si="6">IF($G195="","",$G195-N($H195))</f>
        <v/>
      </c>
      <c r="J195" s="14"/>
      <c r="K195" s="14"/>
      <c r="L195" s="21"/>
      <c r="M195" s="13"/>
      <c r="N195" s="7" t="str">
        <f t="shared" ref="N195:N258" si="7">IF($G195="","",IF(N($H195)&gt;=$G195,"Payé",IF(N($H195)&gt;0,"Partiellement payé","Non payé")))</f>
        <v/>
      </c>
    </row>
    <row r="196" spans="1:14" x14ac:dyDescent="0.35">
      <c r="A196" s="81"/>
      <c r="B196" s="81"/>
      <c r="C196" s="21"/>
      <c r="D196" s="13"/>
      <c r="E196" s="13"/>
      <c r="F196" s="13"/>
      <c r="G196" s="22"/>
      <c r="H196" s="22"/>
      <c r="I196" s="28" t="str">
        <f t="shared" si="6"/>
        <v/>
      </c>
      <c r="J196" s="14"/>
      <c r="K196" s="14"/>
      <c r="L196" s="21"/>
      <c r="M196" s="13"/>
      <c r="N196" s="7" t="str">
        <f t="shared" si="7"/>
        <v/>
      </c>
    </row>
    <row r="197" spans="1:14" x14ac:dyDescent="0.35">
      <c r="A197" s="81"/>
      <c r="B197" s="81"/>
      <c r="C197" s="21"/>
      <c r="D197" s="13"/>
      <c r="E197" s="13"/>
      <c r="F197" s="13"/>
      <c r="G197" s="22"/>
      <c r="H197" s="22"/>
      <c r="I197" s="28" t="str">
        <f t="shared" si="6"/>
        <v/>
      </c>
      <c r="J197" s="14"/>
      <c r="K197" s="14"/>
      <c r="L197" s="21"/>
      <c r="M197" s="13"/>
      <c r="N197" s="7" t="str">
        <f t="shared" si="7"/>
        <v/>
      </c>
    </row>
    <row r="198" spans="1:14" x14ac:dyDescent="0.35">
      <c r="A198" s="81"/>
      <c r="B198" s="81"/>
      <c r="C198" s="21"/>
      <c r="D198" s="13"/>
      <c r="E198" s="13"/>
      <c r="F198" s="13"/>
      <c r="G198" s="22"/>
      <c r="H198" s="22"/>
      <c r="I198" s="28" t="str">
        <f t="shared" si="6"/>
        <v/>
      </c>
      <c r="J198" s="14"/>
      <c r="K198" s="14"/>
      <c r="L198" s="21"/>
      <c r="M198" s="13"/>
      <c r="N198" s="7" t="str">
        <f t="shared" si="7"/>
        <v/>
      </c>
    </row>
    <row r="199" spans="1:14" x14ac:dyDescent="0.35">
      <c r="A199" s="81"/>
      <c r="B199" s="81"/>
      <c r="C199" s="21"/>
      <c r="D199" s="13"/>
      <c r="E199" s="13"/>
      <c r="F199" s="13"/>
      <c r="G199" s="22"/>
      <c r="H199" s="22"/>
      <c r="I199" s="28" t="str">
        <f t="shared" si="6"/>
        <v/>
      </c>
      <c r="J199" s="14"/>
      <c r="K199" s="14"/>
      <c r="L199" s="21"/>
      <c r="M199" s="13"/>
      <c r="N199" s="7" t="str">
        <f t="shared" si="7"/>
        <v/>
      </c>
    </row>
    <row r="200" spans="1:14" x14ac:dyDescent="0.35">
      <c r="A200" s="81"/>
      <c r="B200" s="81"/>
      <c r="C200" s="21"/>
      <c r="D200" s="13"/>
      <c r="E200" s="13"/>
      <c r="F200" s="13"/>
      <c r="G200" s="22"/>
      <c r="H200" s="22"/>
      <c r="I200" s="28" t="str">
        <f t="shared" si="6"/>
        <v/>
      </c>
      <c r="J200" s="14"/>
      <c r="K200" s="14"/>
      <c r="L200" s="21"/>
      <c r="M200" s="13"/>
      <c r="N200" s="7" t="str">
        <f t="shared" si="7"/>
        <v/>
      </c>
    </row>
    <row r="201" spans="1:14" x14ac:dyDescent="0.35">
      <c r="A201" s="81"/>
      <c r="B201" s="81"/>
      <c r="C201" s="21"/>
      <c r="D201" s="13"/>
      <c r="E201" s="13"/>
      <c r="F201" s="13"/>
      <c r="G201" s="22"/>
      <c r="H201" s="22"/>
      <c r="I201" s="28" t="str">
        <f t="shared" si="6"/>
        <v/>
      </c>
      <c r="J201" s="14"/>
      <c r="K201" s="14"/>
      <c r="L201" s="21"/>
      <c r="M201" s="13"/>
      <c r="N201" s="7" t="str">
        <f t="shared" si="7"/>
        <v/>
      </c>
    </row>
    <row r="202" spans="1:14" x14ac:dyDescent="0.35">
      <c r="A202" s="81"/>
      <c r="B202" s="81"/>
      <c r="C202" s="21"/>
      <c r="D202" s="13"/>
      <c r="E202" s="13"/>
      <c r="F202" s="13"/>
      <c r="G202" s="22"/>
      <c r="H202" s="22"/>
      <c r="I202" s="28" t="str">
        <f t="shared" si="6"/>
        <v/>
      </c>
      <c r="J202" s="14"/>
      <c r="K202" s="14"/>
      <c r="L202" s="21"/>
      <c r="M202" s="13"/>
      <c r="N202" s="7" t="str">
        <f t="shared" si="7"/>
        <v/>
      </c>
    </row>
    <row r="203" spans="1:14" x14ac:dyDescent="0.35">
      <c r="A203" s="81"/>
      <c r="B203" s="81"/>
      <c r="C203" s="21"/>
      <c r="D203" s="13"/>
      <c r="E203" s="13"/>
      <c r="F203" s="13"/>
      <c r="G203" s="22"/>
      <c r="H203" s="22"/>
      <c r="I203" s="28" t="str">
        <f t="shared" si="6"/>
        <v/>
      </c>
      <c r="J203" s="14"/>
      <c r="K203" s="14"/>
      <c r="L203" s="21"/>
      <c r="M203" s="13"/>
      <c r="N203" s="7" t="str">
        <f t="shared" si="7"/>
        <v/>
      </c>
    </row>
    <row r="204" spans="1:14" x14ac:dyDescent="0.35">
      <c r="A204" s="81"/>
      <c r="B204" s="81"/>
      <c r="C204" s="21"/>
      <c r="D204" s="13"/>
      <c r="E204" s="13"/>
      <c r="F204" s="13"/>
      <c r="G204" s="22"/>
      <c r="H204" s="22"/>
      <c r="I204" s="28" t="str">
        <f t="shared" si="6"/>
        <v/>
      </c>
      <c r="J204" s="14"/>
      <c r="K204" s="14"/>
      <c r="L204" s="21"/>
      <c r="M204" s="13"/>
      <c r="N204" s="7" t="str">
        <f t="shared" si="7"/>
        <v/>
      </c>
    </row>
    <row r="205" spans="1:14" x14ac:dyDescent="0.35">
      <c r="A205" s="81"/>
      <c r="B205" s="81"/>
      <c r="C205" s="21"/>
      <c r="D205" s="13"/>
      <c r="E205" s="13"/>
      <c r="F205" s="13"/>
      <c r="G205" s="22"/>
      <c r="H205" s="22"/>
      <c r="I205" s="28" t="str">
        <f t="shared" si="6"/>
        <v/>
      </c>
      <c r="J205" s="14"/>
      <c r="K205" s="14"/>
      <c r="L205" s="21"/>
      <c r="M205" s="13"/>
      <c r="N205" s="7" t="str">
        <f t="shared" si="7"/>
        <v/>
      </c>
    </row>
    <row r="206" spans="1:14" x14ac:dyDescent="0.35">
      <c r="A206" s="81"/>
      <c r="B206" s="81"/>
      <c r="C206" s="21"/>
      <c r="D206" s="13"/>
      <c r="E206" s="13"/>
      <c r="F206" s="13"/>
      <c r="G206" s="22"/>
      <c r="H206" s="22"/>
      <c r="I206" s="28" t="str">
        <f t="shared" si="6"/>
        <v/>
      </c>
      <c r="J206" s="14"/>
      <c r="K206" s="14"/>
      <c r="L206" s="21"/>
      <c r="M206" s="13"/>
      <c r="N206" s="7" t="str">
        <f t="shared" si="7"/>
        <v/>
      </c>
    </row>
    <row r="207" spans="1:14" x14ac:dyDescent="0.35">
      <c r="A207" s="81"/>
      <c r="B207" s="81"/>
      <c r="C207" s="21"/>
      <c r="D207" s="13"/>
      <c r="E207" s="13"/>
      <c r="F207" s="13"/>
      <c r="G207" s="22"/>
      <c r="H207" s="22"/>
      <c r="I207" s="28" t="str">
        <f t="shared" si="6"/>
        <v/>
      </c>
      <c r="J207" s="14"/>
      <c r="K207" s="14"/>
      <c r="L207" s="21"/>
      <c r="M207" s="13"/>
      <c r="N207" s="7" t="str">
        <f t="shared" si="7"/>
        <v/>
      </c>
    </row>
    <row r="208" spans="1:14" x14ac:dyDescent="0.35">
      <c r="A208" s="81"/>
      <c r="B208" s="81"/>
      <c r="C208" s="21"/>
      <c r="D208" s="13"/>
      <c r="E208" s="13"/>
      <c r="F208" s="13"/>
      <c r="G208" s="22"/>
      <c r="H208" s="22"/>
      <c r="I208" s="28" t="str">
        <f t="shared" si="6"/>
        <v/>
      </c>
      <c r="J208" s="14"/>
      <c r="K208" s="14"/>
      <c r="L208" s="21"/>
      <c r="M208" s="13"/>
      <c r="N208" s="7" t="str">
        <f t="shared" si="7"/>
        <v/>
      </c>
    </row>
    <row r="209" spans="1:14" x14ac:dyDescent="0.35">
      <c r="A209" s="81"/>
      <c r="B209" s="81"/>
      <c r="C209" s="21"/>
      <c r="D209" s="13"/>
      <c r="E209" s="13"/>
      <c r="F209" s="13"/>
      <c r="G209" s="22"/>
      <c r="H209" s="22"/>
      <c r="I209" s="28" t="str">
        <f t="shared" si="6"/>
        <v/>
      </c>
      <c r="J209" s="14"/>
      <c r="K209" s="14"/>
      <c r="L209" s="21"/>
      <c r="M209" s="13"/>
      <c r="N209" s="7" t="str">
        <f t="shared" si="7"/>
        <v/>
      </c>
    </row>
    <row r="210" spans="1:14" x14ac:dyDescent="0.35">
      <c r="A210" s="81"/>
      <c r="B210" s="81"/>
      <c r="C210" s="21"/>
      <c r="D210" s="13"/>
      <c r="E210" s="13"/>
      <c r="F210" s="13"/>
      <c r="G210" s="22"/>
      <c r="H210" s="22"/>
      <c r="I210" s="28" t="str">
        <f t="shared" si="6"/>
        <v/>
      </c>
      <c r="J210" s="14"/>
      <c r="K210" s="14"/>
      <c r="L210" s="21"/>
      <c r="M210" s="13"/>
      <c r="N210" s="7" t="str">
        <f t="shared" si="7"/>
        <v/>
      </c>
    </row>
    <row r="211" spans="1:14" x14ac:dyDescent="0.35">
      <c r="A211" s="81"/>
      <c r="B211" s="81"/>
      <c r="C211" s="21"/>
      <c r="D211" s="13"/>
      <c r="E211" s="13"/>
      <c r="F211" s="13"/>
      <c r="G211" s="22"/>
      <c r="H211" s="22"/>
      <c r="I211" s="28" t="str">
        <f t="shared" si="6"/>
        <v/>
      </c>
      <c r="J211" s="14"/>
      <c r="K211" s="14"/>
      <c r="L211" s="21"/>
      <c r="M211" s="13"/>
      <c r="N211" s="7" t="str">
        <f t="shared" si="7"/>
        <v/>
      </c>
    </row>
    <row r="212" spans="1:14" x14ac:dyDescent="0.35">
      <c r="A212" s="81"/>
      <c r="B212" s="81"/>
      <c r="C212" s="21"/>
      <c r="D212" s="13"/>
      <c r="E212" s="13"/>
      <c r="F212" s="13"/>
      <c r="G212" s="22"/>
      <c r="H212" s="22"/>
      <c r="I212" s="28" t="str">
        <f t="shared" si="6"/>
        <v/>
      </c>
      <c r="J212" s="14"/>
      <c r="K212" s="14"/>
      <c r="L212" s="21"/>
      <c r="M212" s="13"/>
      <c r="N212" s="7" t="str">
        <f t="shared" si="7"/>
        <v/>
      </c>
    </row>
    <row r="213" spans="1:14" x14ac:dyDescent="0.35">
      <c r="A213" s="81"/>
      <c r="B213" s="81"/>
      <c r="C213" s="21"/>
      <c r="D213" s="13"/>
      <c r="E213" s="13"/>
      <c r="F213" s="13"/>
      <c r="G213" s="22"/>
      <c r="H213" s="22"/>
      <c r="I213" s="28" t="str">
        <f t="shared" si="6"/>
        <v/>
      </c>
      <c r="J213" s="14"/>
      <c r="K213" s="14"/>
      <c r="L213" s="21"/>
      <c r="M213" s="13"/>
      <c r="N213" s="7" t="str">
        <f t="shared" si="7"/>
        <v/>
      </c>
    </row>
    <row r="214" spans="1:14" x14ac:dyDescent="0.35">
      <c r="A214" s="81"/>
      <c r="B214" s="81"/>
      <c r="C214" s="21"/>
      <c r="D214" s="13"/>
      <c r="E214" s="13"/>
      <c r="F214" s="13"/>
      <c r="G214" s="22"/>
      <c r="H214" s="22"/>
      <c r="I214" s="28" t="str">
        <f t="shared" si="6"/>
        <v/>
      </c>
      <c r="J214" s="14"/>
      <c r="K214" s="14"/>
      <c r="L214" s="21"/>
      <c r="M214" s="13"/>
      <c r="N214" s="7" t="str">
        <f t="shared" si="7"/>
        <v/>
      </c>
    </row>
    <row r="215" spans="1:14" x14ac:dyDescent="0.35">
      <c r="A215" s="81"/>
      <c r="B215" s="81"/>
      <c r="C215" s="21"/>
      <c r="D215" s="13"/>
      <c r="E215" s="13"/>
      <c r="F215" s="13"/>
      <c r="G215" s="22"/>
      <c r="H215" s="22"/>
      <c r="I215" s="28" t="str">
        <f t="shared" si="6"/>
        <v/>
      </c>
      <c r="J215" s="14"/>
      <c r="K215" s="14"/>
      <c r="L215" s="21"/>
      <c r="M215" s="13"/>
      <c r="N215" s="7" t="str">
        <f t="shared" si="7"/>
        <v/>
      </c>
    </row>
    <row r="216" spans="1:14" x14ac:dyDescent="0.35">
      <c r="A216" s="81"/>
      <c r="B216" s="81"/>
      <c r="C216" s="21"/>
      <c r="D216" s="13"/>
      <c r="E216" s="13"/>
      <c r="F216" s="13"/>
      <c r="G216" s="22"/>
      <c r="H216" s="22"/>
      <c r="I216" s="28" t="str">
        <f t="shared" si="6"/>
        <v/>
      </c>
      <c r="J216" s="14"/>
      <c r="K216" s="14"/>
      <c r="L216" s="21"/>
      <c r="M216" s="13"/>
      <c r="N216" s="7" t="str">
        <f t="shared" si="7"/>
        <v/>
      </c>
    </row>
    <row r="217" spans="1:14" x14ac:dyDescent="0.35">
      <c r="A217" s="81"/>
      <c r="B217" s="81"/>
      <c r="C217" s="21"/>
      <c r="D217" s="13"/>
      <c r="E217" s="13"/>
      <c r="F217" s="13"/>
      <c r="G217" s="22"/>
      <c r="H217" s="22"/>
      <c r="I217" s="28" t="str">
        <f t="shared" si="6"/>
        <v/>
      </c>
      <c r="J217" s="14"/>
      <c r="K217" s="14"/>
      <c r="L217" s="21"/>
      <c r="M217" s="13"/>
      <c r="N217" s="7" t="str">
        <f t="shared" si="7"/>
        <v/>
      </c>
    </row>
    <row r="218" spans="1:14" x14ac:dyDescent="0.35">
      <c r="A218" s="81"/>
      <c r="B218" s="81"/>
      <c r="C218" s="21"/>
      <c r="D218" s="13"/>
      <c r="E218" s="13"/>
      <c r="F218" s="13"/>
      <c r="G218" s="22"/>
      <c r="H218" s="22"/>
      <c r="I218" s="28" t="str">
        <f t="shared" si="6"/>
        <v/>
      </c>
      <c r="J218" s="14"/>
      <c r="K218" s="14"/>
      <c r="L218" s="21"/>
      <c r="M218" s="13"/>
      <c r="N218" s="7" t="str">
        <f t="shared" si="7"/>
        <v/>
      </c>
    </row>
    <row r="219" spans="1:14" x14ac:dyDescent="0.35">
      <c r="A219" s="81"/>
      <c r="B219" s="81"/>
      <c r="C219" s="21"/>
      <c r="D219" s="13"/>
      <c r="E219" s="13"/>
      <c r="F219" s="13"/>
      <c r="G219" s="22"/>
      <c r="H219" s="22"/>
      <c r="I219" s="28" t="str">
        <f t="shared" si="6"/>
        <v/>
      </c>
      <c r="J219" s="14"/>
      <c r="K219" s="14"/>
      <c r="L219" s="21"/>
      <c r="M219" s="13"/>
      <c r="N219" s="7" t="str">
        <f t="shared" si="7"/>
        <v/>
      </c>
    </row>
    <row r="220" spans="1:14" x14ac:dyDescent="0.35">
      <c r="A220" s="81"/>
      <c r="B220" s="81"/>
      <c r="C220" s="21"/>
      <c r="D220" s="13"/>
      <c r="E220" s="13"/>
      <c r="F220" s="13"/>
      <c r="G220" s="22"/>
      <c r="H220" s="22"/>
      <c r="I220" s="28" t="str">
        <f t="shared" si="6"/>
        <v/>
      </c>
      <c r="J220" s="14"/>
      <c r="K220" s="14"/>
      <c r="L220" s="21"/>
      <c r="M220" s="13"/>
      <c r="N220" s="7" t="str">
        <f t="shared" si="7"/>
        <v/>
      </c>
    </row>
    <row r="221" spans="1:14" x14ac:dyDescent="0.35">
      <c r="A221" s="81"/>
      <c r="B221" s="81"/>
      <c r="C221" s="21"/>
      <c r="D221" s="13"/>
      <c r="E221" s="13"/>
      <c r="F221" s="13"/>
      <c r="G221" s="22"/>
      <c r="H221" s="22"/>
      <c r="I221" s="28" t="str">
        <f t="shared" si="6"/>
        <v/>
      </c>
      <c r="J221" s="14"/>
      <c r="K221" s="14"/>
      <c r="L221" s="21"/>
      <c r="M221" s="13"/>
      <c r="N221" s="7" t="str">
        <f t="shared" si="7"/>
        <v/>
      </c>
    </row>
    <row r="222" spans="1:14" x14ac:dyDescent="0.35">
      <c r="A222" s="81"/>
      <c r="B222" s="81"/>
      <c r="C222" s="21"/>
      <c r="D222" s="13"/>
      <c r="E222" s="13"/>
      <c r="F222" s="13"/>
      <c r="G222" s="22"/>
      <c r="H222" s="22"/>
      <c r="I222" s="28" t="str">
        <f t="shared" si="6"/>
        <v/>
      </c>
      <c r="J222" s="14"/>
      <c r="K222" s="14"/>
      <c r="L222" s="21"/>
      <c r="M222" s="13"/>
      <c r="N222" s="7" t="str">
        <f t="shared" si="7"/>
        <v/>
      </c>
    </row>
    <row r="223" spans="1:14" x14ac:dyDescent="0.35">
      <c r="A223" s="81"/>
      <c r="B223" s="81"/>
      <c r="C223" s="21"/>
      <c r="D223" s="13"/>
      <c r="E223" s="13"/>
      <c r="F223" s="13"/>
      <c r="G223" s="22"/>
      <c r="H223" s="22"/>
      <c r="I223" s="28" t="str">
        <f t="shared" si="6"/>
        <v/>
      </c>
      <c r="J223" s="14"/>
      <c r="K223" s="14"/>
      <c r="L223" s="21"/>
      <c r="M223" s="13"/>
      <c r="N223" s="7" t="str">
        <f t="shared" si="7"/>
        <v/>
      </c>
    </row>
    <row r="224" spans="1:14" x14ac:dyDescent="0.35">
      <c r="A224" s="81"/>
      <c r="B224" s="81"/>
      <c r="C224" s="21"/>
      <c r="D224" s="13"/>
      <c r="E224" s="13"/>
      <c r="F224" s="13"/>
      <c r="G224" s="22"/>
      <c r="H224" s="22"/>
      <c r="I224" s="28" t="str">
        <f t="shared" si="6"/>
        <v/>
      </c>
      <c r="J224" s="14"/>
      <c r="K224" s="14"/>
      <c r="L224" s="21"/>
      <c r="M224" s="13"/>
      <c r="N224" s="7" t="str">
        <f t="shared" si="7"/>
        <v/>
      </c>
    </row>
    <row r="225" spans="1:14" x14ac:dyDescent="0.35">
      <c r="A225" s="81"/>
      <c r="B225" s="81"/>
      <c r="C225" s="21"/>
      <c r="D225" s="13"/>
      <c r="E225" s="13"/>
      <c r="F225" s="13"/>
      <c r="G225" s="22"/>
      <c r="H225" s="22"/>
      <c r="I225" s="28" t="str">
        <f t="shared" si="6"/>
        <v/>
      </c>
      <c r="J225" s="14"/>
      <c r="K225" s="14"/>
      <c r="L225" s="21"/>
      <c r="M225" s="13"/>
      <c r="N225" s="7" t="str">
        <f t="shared" si="7"/>
        <v/>
      </c>
    </row>
    <row r="226" spans="1:14" x14ac:dyDescent="0.35">
      <c r="A226" s="81"/>
      <c r="B226" s="81"/>
      <c r="C226" s="21"/>
      <c r="D226" s="13"/>
      <c r="E226" s="13"/>
      <c r="F226" s="13"/>
      <c r="G226" s="22"/>
      <c r="H226" s="22"/>
      <c r="I226" s="28" t="str">
        <f t="shared" si="6"/>
        <v/>
      </c>
      <c r="J226" s="14"/>
      <c r="K226" s="14"/>
      <c r="L226" s="21"/>
      <c r="M226" s="13"/>
      <c r="N226" s="7" t="str">
        <f t="shared" si="7"/>
        <v/>
      </c>
    </row>
    <row r="227" spans="1:14" x14ac:dyDescent="0.35">
      <c r="A227" s="81"/>
      <c r="B227" s="81"/>
      <c r="C227" s="21"/>
      <c r="D227" s="13"/>
      <c r="E227" s="13"/>
      <c r="F227" s="13"/>
      <c r="G227" s="22"/>
      <c r="H227" s="22"/>
      <c r="I227" s="28" t="str">
        <f t="shared" si="6"/>
        <v/>
      </c>
      <c r="J227" s="14"/>
      <c r="K227" s="14"/>
      <c r="L227" s="21"/>
      <c r="M227" s="13"/>
      <c r="N227" s="7" t="str">
        <f t="shared" si="7"/>
        <v/>
      </c>
    </row>
    <row r="228" spans="1:14" x14ac:dyDescent="0.35">
      <c r="A228" s="81"/>
      <c r="B228" s="81"/>
      <c r="C228" s="21"/>
      <c r="D228" s="13"/>
      <c r="E228" s="13"/>
      <c r="F228" s="13"/>
      <c r="G228" s="22"/>
      <c r="H228" s="22"/>
      <c r="I228" s="28" t="str">
        <f t="shared" si="6"/>
        <v/>
      </c>
      <c r="J228" s="14"/>
      <c r="K228" s="14"/>
      <c r="L228" s="21"/>
      <c r="M228" s="13"/>
      <c r="N228" s="7" t="str">
        <f t="shared" si="7"/>
        <v/>
      </c>
    </row>
    <row r="229" spans="1:14" x14ac:dyDescent="0.35">
      <c r="A229" s="81"/>
      <c r="B229" s="81"/>
      <c r="C229" s="21"/>
      <c r="D229" s="13"/>
      <c r="E229" s="13"/>
      <c r="F229" s="13"/>
      <c r="G229" s="22"/>
      <c r="H229" s="22"/>
      <c r="I229" s="28" t="str">
        <f t="shared" si="6"/>
        <v/>
      </c>
      <c r="J229" s="14"/>
      <c r="K229" s="14"/>
      <c r="L229" s="21"/>
      <c r="M229" s="13"/>
      <c r="N229" s="7" t="str">
        <f t="shared" si="7"/>
        <v/>
      </c>
    </row>
    <row r="230" spans="1:14" x14ac:dyDescent="0.35">
      <c r="A230" s="81"/>
      <c r="B230" s="81"/>
      <c r="C230" s="21"/>
      <c r="D230" s="13"/>
      <c r="E230" s="13"/>
      <c r="F230" s="13"/>
      <c r="G230" s="22"/>
      <c r="H230" s="22"/>
      <c r="I230" s="28" t="str">
        <f t="shared" si="6"/>
        <v/>
      </c>
      <c r="J230" s="14"/>
      <c r="K230" s="14"/>
      <c r="L230" s="21"/>
      <c r="M230" s="13"/>
      <c r="N230" s="7" t="str">
        <f t="shared" si="7"/>
        <v/>
      </c>
    </row>
    <row r="231" spans="1:14" x14ac:dyDescent="0.35">
      <c r="A231" s="81"/>
      <c r="B231" s="81"/>
      <c r="C231" s="21"/>
      <c r="D231" s="13"/>
      <c r="E231" s="13"/>
      <c r="F231" s="13"/>
      <c r="G231" s="22"/>
      <c r="H231" s="22"/>
      <c r="I231" s="28" t="str">
        <f t="shared" si="6"/>
        <v/>
      </c>
      <c r="J231" s="14"/>
      <c r="K231" s="14"/>
      <c r="L231" s="21"/>
      <c r="M231" s="13"/>
      <c r="N231" s="7" t="str">
        <f t="shared" si="7"/>
        <v/>
      </c>
    </row>
    <row r="232" spans="1:14" x14ac:dyDescent="0.35">
      <c r="A232" s="81"/>
      <c r="B232" s="81"/>
      <c r="C232" s="21"/>
      <c r="D232" s="13"/>
      <c r="E232" s="13"/>
      <c r="F232" s="13"/>
      <c r="G232" s="22"/>
      <c r="H232" s="22"/>
      <c r="I232" s="28" t="str">
        <f t="shared" si="6"/>
        <v/>
      </c>
      <c r="J232" s="14"/>
      <c r="K232" s="14"/>
      <c r="L232" s="21"/>
      <c r="M232" s="13"/>
      <c r="N232" s="7" t="str">
        <f t="shared" si="7"/>
        <v/>
      </c>
    </row>
    <row r="233" spans="1:14" x14ac:dyDescent="0.35">
      <c r="A233" s="81"/>
      <c r="B233" s="81"/>
      <c r="C233" s="21"/>
      <c r="D233" s="13"/>
      <c r="E233" s="13"/>
      <c r="F233" s="13"/>
      <c r="G233" s="22"/>
      <c r="H233" s="22"/>
      <c r="I233" s="28" t="str">
        <f t="shared" si="6"/>
        <v/>
      </c>
      <c r="J233" s="14"/>
      <c r="K233" s="14"/>
      <c r="L233" s="21"/>
      <c r="M233" s="13"/>
      <c r="N233" s="7" t="str">
        <f t="shared" si="7"/>
        <v/>
      </c>
    </row>
    <row r="234" spans="1:14" x14ac:dyDescent="0.35">
      <c r="A234" s="81"/>
      <c r="B234" s="81"/>
      <c r="C234" s="21"/>
      <c r="D234" s="13"/>
      <c r="E234" s="13"/>
      <c r="F234" s="13"/>
      <c r="G234" s="22"/>
      <c r="H234" s="22"/>
      <c r="I234" s="28" t="str">
        <f t="shared" si="6"/>
        <v/>
      </c>
      <c r="J234" s="14"/>
      <c r="K234" s="14"/>
      <c r="L234" s="21"/>
      <c r="M234" s="13"/>
      <c r="N234" s="7" t="str">
        <f t="shared" si="7"/>
        <v/>
      </c>
    </row>
    <row r="235" spans="1:14" x14ac:dyDescent="0.35">
      <c r="A235" s="81"/>
      <c r="B235" s="81"/>
      <c r="C235" s="21"/>
      <c r="D235" s="13"/>
      <c r="E235" s="13"/>
      <c r="F235" s="13"/>
      <c r="G235" s="22"/>
      <c r="H235" s="22"/>
      <c r="I235" s="28" t="str">
        <f t="shared" si="6"/>
        <v/>
      </c>
      <c r="J235" s="14"/>
      <c r="K235" s="14"/>
      <c r="L235" s="21"/>
      <c r="M235" s="13"/>
      <c r="N235" s="7" t="str">
        <f t="shared" si="7"/>
        <v/>
      </c>
    </row>
    <row r="236" spans="1:14" x14ac:dyDescent="0.35">
      <c r="A236" s="81"/>
      <c r="B236" s="81"/>
      <c r="C236" s="21"/>
      <c r="D236" s="13"/>
      <c r="E236" s="13"/>
      <c r="F236" s="13"/>
      <c r="G236" s="22"/>
      <c r="H236" s="22"/>
      <c r="I236" s="28" t="str">
        <f t="shared" si="6"/>
        <v/>
      </c>
      <c r="J236" s="14"/>
      <c r="K236" s="14"/>
      <c r="L236" s="21"/>
      <c r="M236" s="13"/>
      <c r="N236" s="7" t="str">
        <f t="shared" si="7"/>
        <v/>
      </c>
    </row>
    <row r="237" spans="1:14" x14ac:dyDescent="0.35">
      <c r="A237" s="81"/>
      <c r="B237" s="81"/>
      <c r="C237" s="21"/>
      <c r="D237" s="13"/>
      <c r="E237" s="13"/>
      <c r="F237" s="13"/>
      <c r="G237" s="22"/>
      <c r="H237" s="22"/>
      <c r="I237" s="28" t="str">
        <f t="shared" si="6"/>
        <v/>
      </c>
      <c r="J237" s="14"/>
      <c r="K237" s="14"/>
      <c r="L237" s="21"/>
      <c r="M237" s="13"/>
      <c r="N237" s="7" t="str">
        <f t="shared" si="7"/>
        <v/>
      </c>
    </row>
    <row r="238" spans="1:14" x14ac:dyDescent="0.35">
      <c r="A238" s="81"/>
      <c r="B238" s="81"/>
      <c r="C238" s="21"/>
      <c r="D238" s="13"/>
      <c r="E238" s="13"/>
      <c r="F238" s="13"/>
      <c r="G238" s="22"/>
      <c r="H238" s="22"/>
      <c r="I238" s="28" t="str">
        <f t="shared" si="6"/>
        <v/>
      </c>
      <c r="J238" s="14"/>
      <c r="K238" s="14"/>
      <c r="L238" s="21"/>
      <c r="M238" s="13"/>
      <c r="N238" s="7" t="str">
        <f t="shared" si="7"/>
        <v/>
      </c>
    </row>
    <row r="239" spans="1:14" x14ac:dyDescent="0.35">
      <c r="A239" s="81"/>
      <c r="B239" s="81"/>
      <c r="C239" s="21"/>
      <c r="D239" s="13"/>
      <c r="E239" s="13"/>
      <c r="F239" s="13"/>
      <c r="G239" s="22"/>
      <c r="H239" s="22"/>
      <c r="I239" s="28" t="str">
        <f t="shared" si="6"/>
        <v/>
      </c>
      <c r="J239" s="14"/>
      <c r="K239" s="14"/>
      <c r="L239" s="21"/>
      <c r="M239" s="13"/>
      <c r="N239" s="7" t="str">
        <f t="shared" si="7"/>
        <v/>
      </c>
    </row>
    <row r="240" spans="1:14" x14ac:dyDescent="0.35">
      <c r="A240" s="81"/>
      <c r="B240" s="81"/>
      <c r="C240" s="21"/>
      <c r="D240" s="13"/>
      <c r="E240" s="13"/>
      <c r="F240" s="13"/>
      <c r="G240" s="22"/>
      <c r="H240" s="22"/>
      <c r="I240" s="28" t="str">
        <f t="shared" si="6"/>
        <v/>
      </c>
      <c r="J240" s="14"/>
      <c r="K240" s="14"/>
      <c r="L240" s="21"/>
      <c r="M240" s="13"/>
      <c r="N240" s="7" t="str">
        <f t="shared" si="7"/>
        <v/>
      </c>
    </row>
    <row r="241" spans="1:14" x14ac:dyDescent="0.35">
      <c r="A241" s="81"/>
      <c r="B241" s="81"/>
      <c r="C241" s="21"/>
      <c r="D241" s="13"/>
      <c r="E241" s="13"/>
      <c r="F241" s="13"/>
      <c r="G241" s="22"/>
      <c r="H241" s="22"/>
      <c r="I241" s="28" t="str">
        <f t="shared" si="6"/>
        <v/>
      </c>
      <c r="J241" s="14"/>
      <c r="K241" s="14"/>
      <c r="L241" s="21"/>
      <c r="M241" s="13"/>
      <c r="N241" s="7" t="str">
        <f t="shared" si="7"/>
        <v/>
      </c>
    </row>
    <row r="242" spans="1:14" x14ac:dyDescent="0.35">
      <c r="A242" s="81"/>
      <c r="B242" s="81"/>
      <c r="C242" s="21"/>
      <c r="D242" s="13"/>
      <c r="E242" s="13"/>
      <c r="F242" s="13"/>
      <c r="G242" s="22"/>
      <c r="H242" s="22"/>
      <c r="I242" s="28" t="str">
        <f t="shared" si="6"/>
        <v/>
      </c>
      <c r="J242" s="14"/>
      <c r="K242" s="14"/>
      <c r="L242" s="21"/>
      <c r="M242" s="13"/>
      <c r="N242" s="7" t="str">
        <f t="shared" si="7"/>
        <v/>
      </c>
    </row>
    <row r="243" spans="1:14" x14ac:dyDescent="0.35">
      <c r="A243" s="81"/>
      <c r="B243" s="81"/>
      <c r="C243" s="21"/>
      <c r="D243" s="13"/>
      <c r="E243" s="13"/>
      <c r="F243" s="13"/>
      <c r="G243" s="22"/>
      <c r="H243" s="22"/>
      <c r="I243" s="28" t="str">
        <f t="shared" si="6"/>
        <v/>
      </c>
      <c r="J243" s="14"/>
      <c r="K243" s="14"/>
      <c r="L243" s="21"/>
      <c r="M243" s="13"/>
      <c r="N243" s="7" t="str">
        <f t="shared" si="7"/>
        <v/>
      </c>
    </row>
    <row r="244" spans="1:14" x14ac:dyDescent="0.35">
      <c r="A244" s="81"/>
      <c r="B244" s="81"/>
      <c r="C244" s="21"/>
      <c r="D244" s="13"/>
      <c r="E244" s="13"/>
      <c r="F244" s="13"/>
      <c r="G244" s="22"/>
      <c r="H244" s="22"/>
      <c r="I244" s="28" t="str">
        <f t="shared" si="6"/>
        <v/>
      </c>
      <c r="J244" s="14"/>
      <c r="K244" s="14"/>
      <c r="L244" s="21"/>
      <c r="M244" s="13"/>
      <c r="N244" s="7" t="str">
        <f t="shared" si="7"/>
        <v/>
      </c>
    </row>
    <row r="245" spans="1:14" x14ac:dyDescent="0.35">
      <c r="A245" s="81"/>
      <c r="B245" s="81"/>
      <c r="C245" s="21"/>
      <c r="D245" s="13"/>
      <c r="E245" s="13"/>
      <c r="F245" s="13"/>
      <c r="G245" s="22"/>
      <c r="H245" s="22"/>
      <c r="I245" s="28" t="str">
        <f t="shared" si="6"/>
        <v/>
      </c>
      <c r="J245" s="14"/>
      <c r="K245" s="14"/>
      <c r="L245" s="21"/>
      <c r="M245" s="13"/>
      <c r="N245" s="7" t="str">
        <f t="shared" si="7"/>
        <v/>
      </c>
    </row>
    <row r="246" spans="1:14" x14ac:dyDescent="0.35">
      <c r="A246" s="81"/>
      <c r="B246" s="81"/>
      <c r="C246" s="21"/>
      <c r="D246" s="13"/>
      <c r="E246" s="13"/>
      <c r="F246" s="13"/>
      <c r="G246" s="22"/>
      <c r="H246" s="22"/>
      <c r="I246" s="28" t="str">
        <f t="shared" si="6"/>
        <v/>
      </c>
      <c r="J246" s="14"/>
      <c r="K246" s="14"/>
      <c r="L246" s="21"/>
      <c r="M246" s="13"/>
      <c r="N246" s="7" t="str">
        <f t="shared" si="7"/>
        <v/>
      </c>
    </row>
    <row r="247" spans="1:14" x14ac:dyDescent="0.35">
      <c r="A247" s="81"/>
      <c r="B247" s="81"/>
      <c r="C247" s="21"/>
      <c r="D247" s="13"/>
      <c r="E247" s="13"/>
      <c r="F247" s="13"/>
      <c r="G247" s="22"/>
      <c r="H247" s="22"/>
      <c r="I247" s="28" t="str">
        <f t="shared" si="6"/>
        <v/>
      </c>
      <c r="J247" s="14"/>
      <c r="K247" s="14"/>
      <c r="L247" s="21"/>
      <c r="M247" s="13"/>
      <c r="N247" s="7" t="str">
        <f t="shared" si="7"/>
        <v/>
      </c>
    </row>
    <row r="248" spans="1:14" x14ac:dyDescent="0.35">
      <c r="A248" s="81"/>
      <c r="B248" s="81"/>
      <c r="C248" s="21"/>
      <c r="D248" s="13"/>
      <c r="E248" s="13"/>
      <c r="F248" s="13"/>
      <c r="G248" s="22"/>
      <c r="H248" s="22"/>
      <c r="I248" s="28" t="str">
        <f t="shared" si="6"/>
        <v/>
      </c>
      <c r="J248" s="14"/>
      <c r="K248" s="14"/>
      <c r="L248" s="21"/>
      <c r="M248" s="13"/>
      <c r="N248" s="7" t="str">
        <f t="shared" si="7"/>
        <v/>
      </c>
    </row>
    <row r="249" spans="1:14" x14ac:dyDescent="0.35">
      <c r="A249" s="81"/>
      <c r="B249" s="81"/>
      <c r="C249" s="21"/>
      <c r="D249" s="13"/>
      <c r="E249" s="13"/>
      <c r="F249" s="13"/>
      <c r="G249" s="22"/>
      <c r="H249" s="22"/>
      <c r="I249" s="28" t="str">
        <f t="shared" si="6"/>
        <v/>
      </c>
      <c r="J249" s="14"/>
      <c r="K249" s="14"/>
      <c r="L249" s="21"/>
      <c r="M249" s="13"/>
      <c r="N249" s="7" t="str">
        <f t="shared" si="7"/>
        <v/>
      </c>
    </row>
    <row r="250" spans="1:14" x14ac:dyDescent="0.35">
      <c r="A250" s="81"/>
      <c r="B250" s="81"/>
      <c r="C250" s="21"/>
      <c r="D250" s="13"/>
      <c r="E250" s="13"/>
      <c r="F250" s="13"/>
      <c r="G250" s="22"/>
      <c r="H250" s="22"/>
      <c r="I250" s="28" t="str">
        <f t="shared" si="6"/>
        <v/>
      </c>
      <c r="J250" s="14"/>
      <c r="K250" s="14"/>
      <c r="L250" s="21"/>
      <c r="M250" s="13"/>
      <c r="N250" s="7" t="str">
        <f t="shared" si="7"/>
        <v/>
      </c>
    </row>
    <row r="251" spans="1:14" x14ac:dyDescent="0.35">
      <c r="A251" s="81"/>
      <c r="B251" s="81"/>
      <c r="C251" s="21"/>
      <c r="D251" s="13"/>
      <c r="E251" s="13"/>
      <c r="F251" s="13"/>
      <c r="G251" s="22"/>
      <c r="H251" s="22"/>
      <c r="I251" s="28" t="str">
        <f t="shared" si="6"/>
        <v/>
      </c>
      <c r="J251" s="14"/>
      <c r="K251" s="14"/>
      <c r="L251" s="21"/>
      <c r="M251" s="13"/>
      <c r="N251" s="7" t="str">
        <f t="shared" si="7"/>
        <v/>
      </c>
    </row>
    <row r="252" spans="1:14" x14ac:dyDescent="0.35">
      <c r="A252" s="81"/>
      <c r="B252" s="81"/>
      <c r="C252" s="21"/>
      <c r="D252" s="13"/>
      <c r="E252" s="13"/>
      <c r="F252" s="13"/>
      <c r="G252" s="22"/>
      <c r="H252" s="22"/>
      <c r="I252" s="28" t="str">
        <f t="shared" si="6"/>
        <v/>
      </c>
      <c r="J252" s="14"/>
      <c r="K252" s="14"/>
      <c r="L252" s="21"/>
      <c r="M252" s="13"/>
      <c r="N252" s="7" t="str">
        <f t="shared" si="7"/>
        <v/>
      </c>
    </row>
    <row r="253" spans="1:14" x14ac:dyDescent="0.35">
      <c r="A253" s="81"/>
      <c r="B253" s="81"/>
      <c r="C253" s="21"/>
      <c r="D253" s="13"/>
      <c r="E253" s="13"/>
      <c r="F253" s="13"/>
      <c r="G253" s="22"/>
      <c r="H253" s="22"/>
      <c r="I253" s="28" t="str">
        <f t="shared" si="6"/>
        <v/>
      </c>
      <c r="J253" s="14"/>
      <c r="K253" s="14"/>
      <c r="L253" s="21"/>
      <c r="M253" s="13"/>
      <c r="N253" s="7" t="str">
        <f t="shared" si="7"/>
        <v/>
      </c>
    </row>
    <row r="254" spans="1:14" x14ac:dyDescent="0.35">
      <c r="A254" s="81"/>
      <c r="B254" s="81"/>
      <c r="C254" s="21"/>
      <c r="D254" s="13"/>
      <c r="E254" s="13"/>
      <c r="F254" s="13"/>
      <c r="G254" s="22"/>
      <c r="H254" s="22"/>
      <c r="I254" s="28" t="str">
        <f t="shared" si="6"/>
        <v/>
      </c>
      <c r="J254" s="14"/>
      <c r="K254" s="14"/>
      <c r="L254" s="21"/>
      <c r="M254" s="13"/>
      <c r="N254" s="7" t="str">
        <f t="shared" si="7"/>
        <v/>
      </c>
    </row>
    <row r="255" spans="1:14" x14ac:dyDescent="0.35">
      <c r="A255" s="81"/>
      <c r="B255" s="81"/>
      <c r="C255" s="21"/>
      <c r="D255" s="13"/>
      <c r="E255" s="13"/>
      <c r="F255" s="13"/>
      <c r="G255" s="22"/>
      <c r="H255" s="22"/>
      <c r="I255" s="28" t="str">
        <f t="shared" si="6"/>
        <v/>
      </c>
      <c r="J255" s="14"/>
      <c r="K255" s="14"/>
      <c r="L255" s="21"/>
      <c r="M255" s="13"/>
      <c r="N255" s="7" t="str">
        <f t="shared" si="7"/>
        <v/>
      </c>
    </row>
    <row r="256" spans="1:14" x14ac:dyDescent="0.35">
      <c r="A256" s="81"/>
      <c r="B256" s="81"/>
      <c r="C256" s="21"/>
      <c r="D256" s="13"/>
      <c r="E256" s="13"/>
      <c r="F256" s="13"/>
      <c r="G256" s="22"/>
      <c r="H256" s="22"/>
      <c r="I256" s="28" t="str">
        <f t="shared" si="6"/>
        <v/>
      </c>
      <c r="J256" s="14"/>
      <c r="K256" s="14"/>
      <c r="L256" s="21"/>
      <c r="M256" s="13"/>
      <c r="N256" s="7" t="str">
        <f t="shared" si="7"/>
        <v/>
      </c>
    </row>
    <row r="257" spans="1:14" x14ac:dyDescent="0.35">
      <c r="A257" s="81"/>
      <c r="B257" s="81"/>
      <c r="C257" s="21"/>
      <c r="D257" s="13"/>
      <c r="E257" s="13"/>
      <c r="F257" s="13"/>
      <c r="G257" s="22"/>
      <c r="H257" s="22"/>
      <c r="I257" s="28" t="str">
        <f t="shared" si="6"/>
        <v/>
      </c>
      <c r="J257" s="14"/>
      <c r="K257" s="14"/>
      <c r="L257" s="21"/>
      <c r="M257" s="13"/>
      <c r="N257" s="7" t="str">
        <f t="shared" si="7"/>
        <v/>
      </c>
    </row>
    <row r="258" spans="1:14" x14ac:dyDescent="0.35">
      <c r="A258" s="81"/>
      <c r="B258" s="81"/>
      <c r="C258" s="21"/>
      <c r="D258" s="13"/>
      <c r="E258" s="13"/>
      <c r="F258" s="13"/>
      <c r="G258" s="22"/>
      <c r="H258" s="22"/>
      <c r="I258" s="28" t="str">
        <f t="shared" si="6"/>
        <v/>
      </c>
      <c r="J258" s="14"/>
      <c r="K258" s="14"/>
      <c r="L258" s="21"/>
      <c r="M258" s="13"/>
      <c r="N258" s="7" t="str">
        <f t="shared" si="7"/>
        <v/>
      </c>
    </row>
    <row r="259" spans="1:14" x14ac:dyDescent="0.35">
      <c r="A259" s="81"/>
      <c r="B259" s="81"/>
      <c r="C259" s="21"/>
      <c r="D259" s="13"/>
      <c r="E259" s="13"/>
      <c r="F259" s="13"/>
      <c r="G259" s="22"/>
      <c r="H259" s="22"/>
      <c r="I259" s="28" t="str">
        <f t="shared" ref="I259:I322" si="8">IF($G259="","",$G259-N($H259))</f>
        <v/>
      </c>
      <c r="J259" s="14"/>
      <c r="K259" s="14"/>
      <c r="L259" s="21"/>
      <c r="M259" s="13"/>
      <c r="N259" s="7" t="str">
        <f t="shared" ref="N259:N322" si="9">IF($G259="","",IF(N($H259)&gt;=$G259,"Payé",IF(N($H259)&gt;0,"Partiellement payé","Non payé")))</f>
        <v/>
      </c>
    </row>
    <row r="260" spans="1:14" x14ac:dyDescent="0.35">
      <c r="A260" s="81"/>
      <c r="B260" s="81"/>
      <c r="C260" s="21"/>
      <c r="D260" s="13"/>
      <c r="E260" s="13"/>
      <c r="F260" s="13"/>
      <c r="G260" s="22"/>
      <c r="H260" s="22"/>
      <c r="I260" s="28" t="str">
        <f t="shared" si="8"/>
        <v/>
      </c>
      <c r="J260" s="14"/>
      <c r="K260" s="14"/>
      <c r="L260" s="21"/>
      <c r="M260" s="13"/>
      <c r="N260" s="7" t="str">
        <f t="shared" si="9"/>
        <v/>
      </c>
    </row>
    <row r="261" spans="1:14" x14ac:dyDescent="0.35">
      <c r="A261" s="81"/>
      <c r="B261" s="81"/>
      <c r="C261" s="21"/>
      <c r="D261" s="13"/>
      <c r="E261" s="13"/>
      <c r="F261" s="13"/>
      <c r="G261" s="22"/>
      <c r="H261" s="22"/>
      <c r="I261" s="28" t="str">
        <f t="shared" si="8"/>
        <v/>
      </c>
      <c r="J261" s="14"/>
      <c r="K261" s="14"/>
      <c r="L261" s="21"/>
      <c r="M261" s="13"/>
      <c r="N261" s="7" t="str">
        <f t="shared" si="9"/>
        <v/>
      </c>
    </row>
    <row r="262" spans="1:14" x14ac:dyDescent="0.35">
      <c r="A262" s="81"/>
      <c r="B262" s="81"/>
      <c r="C262" s="21"/>
      <c r="D262" s="13"/>
      <c r="E262" s="13"/>
      <c r="F262" s="13"/>
      <c r="G262" s="22"/>
      <c r="H262" s="22"/>
      <c r="I262" s="28" t="str">
        <f t="shared" si="8"/>
        <v/>
      </c>
      <c r="J262" s="14"/>
      <c r="K262" s="14"/>
      <c r="L262" s="21"/>
      <c r="M262" s="13"/>
      <c r="N262" s="7" t="str">
        <f t="shared" si="9"/>
        <v/>
      </c>
    </row>
    <row r="263" spans="1:14" x14ac:dyDescent="0.35">
      <c r="A263" s="81"/>
      <c r="B263" s="81"/>
      <c r="C263" s="21"/>
      <c r="D263" s="13"/>
      <c r="E263" s="13"/>
      <c r="F263" s="13"/>
      <c r="G263" s="22"/>
      <c r="H263" s="22"/>
      <c r="I263" s="28" t="str">
        <f t="shared" si="8"/>
        <v/>
      </c>
      <c r="J263" s="14"/>
      <c r="K263" s="14"/>
      <c r="L263" s="21"/>
      <c r="M263" s="13"/>
      <c r="N263" s="7" t="str">
        <f t="shared" si="9"/>
        <v/>
      </c>
    </row>
    <row r="264" spans="1:14" x14ac:dyDescent="0.35">
      <c r="A264" s="81"/>
      <c r="B264" s="81"/>
      <c r="C264" s="21"/>
      <c r="D264" s="13"/>
      <c r="E264" s="13"/>
      <c r="F264" s="13"/>
      <c r="G264" s="22"/>
      <c r="H264" s="22"/>
      <c r="I264" s="28" t="str">
        <f t="shared" si="8"/>
        <v/>
      </c>
      <c r="J264" s="14"/>
      <c r="K264" s="14"/>
      <c r="L264" s="21"/>
      <c r="M264" s="13"/>
      <c r="N264" s="7" t="str">
        <f t="shared" si="9"/>
        <v/>
      </c>
    </row>
    <row r="265" spans="1:14" x14ac:dyDescent="0.35">
      <c r="A265" s="81"/>
      <c r="B265" s="81"/>
      <c r="C265" s="21"/>
      <c r="D265" s="13"/>
      <c r="E265" s="13"/>
      <c r="F265" s="13"/>
      <c r="G265" s="22"/>
      <c r="H265" s="22"/>
      <c r="I265" s="28" t="str">
        <f t="shared" si="8"/>
        <v/>
      </c>
      <c r="J265" s="14"/>
      <c r="K265" s="14"/>
      <c r="L265" s="21"/>
      <c r="M265" s="13"/>
      <c r="N265" s="7" t="str">
        <f t="shared" si="9"/>
        <v/>
      </c>
    </row>
    <row r="266" spans="1:14" x14ac:dyDescent="0.35">
      <c r="A266" s="81"/>
      <c r="B266" s="81"/>
      <c r="C266" s="21"/>
      <c r="D266" s="13"/>
      <c r="E266" s="13"/>
      <c r="F266" s="13"/>
      <c r="G266" s="22"/>
      <c r="H266" s="22"/>
      <c r="I266" s="28" t="str">
        <f t="shared" si="8"/>
        <v/>
      </c>
      <c r="J266" s="14"/>
      <c r="K266" s="14"/>
      <c r="L266" s="21"/>
      <c r="M266" s="13"/>
      <c r="N266" s="7" t="str">
        <f t="shared" si="9"/>
        <v/>
      </c>
    </row>
    <row r="267" spans="1:14" x14ac:dyDescent="0.35">
      <c r="A267" s="81"/>
      <c r="B267" s="81"/>
      <c r="C267" s="21"/>
      <c r="D267" s="13"/>
      <c r="E267" s="13"/>
      <c r="F267" s="13"/>
      <c r="G267" s="22"/>
      <c r="H267" s="22"/>
      <c r="I267" s="28" t="str">
        <f t="shared" si="8"/>
        <v/>
      </c>
      <c r="J267" s="14"/>
      <c r="K267" s="14"/>
      <c r="L267" s="21"/>
      <c r="M267" s="13"/>
      <c r="N267" s="7" t="str">
        <f t="shared" si="9"/>
        <v/>
      </c>
    </row>
    <row r="268" spans="1:14" x14ac:dyDescent="0.35">
      <c r="A268" s="81"/>
      <c r="B268" s="81"/>
      <c r="C268" s="21"/>
      <c r="D268" s="13"/>
      <c r="E268" s="13"/>
      <c r="F268" s="13"/>
      <c r="G268" s="22"/>
      <c r="H268" s="22"/>
      <c r="I268" s="28" t="str">
        <f t="shared" si="8"/>
        <v/>
      </c>
      <c r="J268" s="14"/>
      <c r="K268" s="14"/>
      <c r="L268" s="21"/>
      <c r="M268" s="13"/>
      <c r="N268" s="7" t="str">
        <f t="shared" si="9"/>
        <v/>
      </c>
    </row>
    <row r="269" spans="1:14" x14ac:dyDescent="0.35">
      <c r="A269" s="81"/>
      <c r="B269" s="81"/>
      <c r="C269" s="21"/>
      <c r="D269" s="13"/>
      <c r="E269" s="13"/>
      <c r="F269" s="13"/>
      <c r="G269" s="22"/>
      <c r="H269" s="22"/>
      <c r="I269" s="28" t="str">
        <f t="shared" si="8"/>
        <v/>
      </c>
      <c r="J269" s="14"/>
      <c r="K269" s="14"/>
      <c r="L269" s="21"/>
      <c r="M269" s="13"/>
      <c r="N269" s="7" t="str">
        <f t="shared" si="9"/>
        <v/>
      </c>
    </row>
    <row r="270" spans="1:14" x14ac:dyDescent="0.35">
      <c r="A270" s="81"/>
      <c r="B270" s="81"/>
      <c r="C270" s="21"/>
      <c r="D270" s="13"/>
      <c r="E270" s="13"/>
      <c r="F270" s="13"/>
      <c r="G270" s="22"/>
      <c r="H270" s="22"/>
      <c r="I270" s="28" t="str">
        <f t="shared" si="8"/>
        <v/>
      </c>
      <c r="J270" s="14"/>
      <c r="K270" s="14"/>
      <c r="L270" s="21"/>
      <c r="M270" s="13"/>
      <c r="N270" s="7" t="str">
        <f t="shared" si="9"/>
        <v/>
      </c>
    </row>
    <row r="271" spans="1:14" x14ac:dyDescent="0.35">
      <c r="A271" s="81"/>
      <c r="B271" s="81"/>
      <c r="C271" s="21"/>
      <c r="D271" s="13"/>
      <c r="E271" s="13"/>
      <c r="F271" s="13"/>
      <c r="G271" s="22"/>
      <c r="H271" s="22"/>
      <c r="I271" s="28" t="str">
        <f t="shared" si="8"/>
        <v/>
      </c>
      <c r="J271" s="14"/>
      <c r="K271" s="14"/>
      <c r="L271" s="21"/>
      <c r="M271" s="13"/>
      <c r="N271" s="7" t="str">
        <f t="shared" si="9"/>
        <v/>
      </c>
    </row>
    <row r="272" spans="1:14" x14ac:dyDescent="0.35">
      <c r="A272" s="81"/>
      <c r="B272" s="81"/>
      <c r="C272" s="21"/>
      <c r="D272" s="13"/>
      <c r="E272" s="13"/>
      <c r="F272" s="13"/>
      <c r="G272" s="22"/>
      <c r="H272" s="22"/>
      <c r="I272" s="28" t="str">
        <f t="shared" si="8"/>
        <v/>
      </c>
      <c r="J272" s="14"/>
      <c r="K272" s="14"/>
      <c r="L272" s="21"/>
      <c r="M272" s="13"/>
      <c r="N272" s="7" t="str">
        <f t="shared" si="9"/>
        <v/>
      </c>
    </row>
    <row r="273" spans="1:14" x14ac:dyDescent="0.35">
      <c r="A273" s="81"/>
      <c r="B273" s="81"/>
      <c r="C273" s="21"/>
      <c r="D273" s="13"/>
      <c r="E273" s="13"/>
      <c r="F273" s="13"/>
      <c r="G273" s="22"/>
      <c r="H273" s="22"/>
      <c r="I273" s="28" t="str">
        <f t="shared" si="8"/>
        <v/>
      </c>
      <c r="J273" s="14"/>
      <c r="K273" s="14"/>
      <c r="L273" s="21"/>
      <c r="M273" s="13"/>
      <c r="N273" s="7" t="str">
        <f t="shared" si="9"/>
        <v/>
      </c>
    </row>
    <row r="274" spans="1:14" x14ac:dyDescent="0.35">
      <c r="A274" s="81"/>
      <c r="B274" s="81"/>
      <c r="C274" s="21"/>
      <c r="D274" s="13"/>
      <c r="E274" s="13"/>
      <c r="F274" s="13"/>
      <c r="G274" s="22"/>
      <c r="H274" s="22"/>
      <c r="I274" s="28" t="str">
        <f t="shared" si="8"/>
        <v/>
      </c>
      <c r="J274" s="14"/>
      <c r="K274" s="14"/>
      <c r="L274" s="21"/>
      <c r="M274" s="13"/>
      <c r="N274" s="7" t="str">
        <f t="shared" si="9"/>
        <v/>
      </c>
    </row>
    <row r="275" spans="1:14" x14ac:dyDescent="0.35">
      <c r="A275" s="81"/>
      <c r="B275" s="81"/>
      <c r="C275" s="21"/>
      <c r="D275" s="13"/>
      <c r="E275" s="13"/>
      <c r="F275" s="13"/>
      <c r="G275" s="22"/>
      <c r="H275" s="22"/>
      <c r="I275" s="28" t="str">
        <f t="shared" si="8"/>
        <v/>
      </c>
      <c r="J275" s="14"/>
      <c r="K275" s="14"/>
      <c r="L275" s="21"/>
      <c r="M275" s="13"/>
      <c r="N275" s="7" t="str">
        <f t="shared" si="9"/>
        <v/>
      </c>
    </row>
    <row r="276" spans="1:14" x14ac:dyDescent="0.35">
      <c r="A276" s="81"/>
      <c r="B276" s="81"/>
      <c r="C276" s="21"/>
      <c r="D276" s="13"/>
      <c r="E276" s="13"/>
      <c r="F276" s="13"/>
      <c r="G276" s="22"/>
      <c r="H276" s="22"/>
      <c r="I276" s="28" t="str">
        <f t="shared" si="8"/>
        <v/>
      </c>
      <c r="J276" s="14"/>
      <c r="K276" s="14"/>
      <c r="L276" s="21"/>
      <c r="M276" s="13"/>
      <c r="N276" s="7" t="str">
        <f t="shared" si="9"/>
        <v/>
      </c>
    </row>
    <row r="277" spans="1:14" x14ac:dyDescent="0.35">
      <c r="A277" s="81"/>
      <c r="B277" s="81"/>
      <c r="C277" s="21"/>
      <c r="D277" s="13"/>
      <c r="E277" s="13"/>
      <c r="F277" s="13"/>
      <c r="G277" s="22"/>
      <c r="H277" s="22"/>
      <c r="I277" s="28" t="str">
        <f t="shared" si="8"/>
        <v/>
      </c>
      <c r="J277" s="14"/>
      <c r="K277" s="14"/>
      <c r="L277" s="21"/>
      <c r="M277" s="13"/>
      <c r="N277" s="7" t="str">
        <f t="shared" si="9"/>
        <v/>
      </c>
    </row>
    <row r="278" spans="1:14" x14ac:dyDescent="0.35">
      <c r="A278" s="81"/>
      <c r="B278" s="81"/>
      <c r="C278" s="21"/>
      <c r="D278" s="13"/>
      <c r="E278" s="13"/>
      <c r="F278" s="13"/>
      <c r="G278" s="22"/>
      <c r="H278" s="22"/>
      <c r="I278" s="28" t="str">
        <f t="shared" si="8"/>
        <v/>
      </c>
      <c r="J278" s="14"/>
      <c r="K278" s="14"/>
      <c r="L278" s="21"/>
      <c r="M278" s="13"/>
      <c r="N278" s="7" t="str">
        <f t="shared" si="9"/>
        <v/>
      </c>
    </row>
    <row r="279" spans="1:14" x14ac:dyDescent="0.35">
      <c r="A279" s="81"/>
      <c r="B279" s="81"/>
      <c r="C279" s="21"/>
      <c r="D279" s="13"/>
      <c r="E279" s="13"/>
      <c r="F279" s="13"/>
      <c r="G279" s="22"/>
      <c r="H279" s="22"/>
      <c r="I279" s="28" t="str">
        <f t="shared" si="8"/>
        <v/>
      </c>
      <c r="J279" s="14"/>
      <c r="K279" s="14"/>
      <c r="L279" s="21"/>
      <c r="M279" s="13"/>
      <c r="N279" s="7" t="str">
        <f t="shared" si="9"/>
        <v/>
      </c>
    </row>
    <row r="280" spans="1:14" x14ac:dyDescent="0.35">
      <c r="A280" s="81"/>
      <c r="B280" s="81"/>
      <c r="C280" s="21"/>
      <c r="D280" s="13"/>
      <c r="E280" s="13"/>
      <c r="F280" s="13"/>
      <c r="G280" s="22"/>
      <c r="H280" s="22"/>
      <c r="I280" s="28" t="str">
        <f t="shared" si="8"/>
        <v/>
      </c>
      <c r="J280" s="14"/>
      <c r="K280" s="14"/>
      <c r="L280" s="21"/>
      <c r="M280" s="13"/>
      <c r="N280" s="7" t="str">
        <f t="shared" si="9"/>
        <v/>
      </c>
    </row>
    <row r="281" spans="1:14" x14ac:dyDescent="0.35">
      <c r="A281" s="81"/>
      <c r="B281" s="81"/>
      <c r="C281" s="21"/>
      <c r="D281" s="13"/>
      <c r="E281" s="13"/>
      <c r="F281" s="13"/>
      <c r="G281" s="22"/>
      <c r="H281" s="22"/>
      <c r="I281" s="28" t="str">
        <f t="shared" si="8"/>
        <v/>
      </c>
      <c r="J281" s="14"/>
      <c r="K281" s="14"/>
      <c r="L281" s="21"/>
      <c r="M281" s="13"/>
      <c r="N281" s="7" t="str">
        <f t="shared" si="9"/>
        <v/>
      </c>
    </row>
    <row r="282" spans="1:14" x14ac:dyDescent="0.35">
      <c r="A282" s="81"/>
      <c r="B282" s="81"/>
      <c r="C282" s="21"/>
      <c r="D282" s="13"/>
      <c r="E282" s="13"/>
      <c r="F282" s="13"/>
      <c r="G282" s="22"/>
      <c r="H282" s="22"/>
      <c r="I282" s="28" t="str">
        <f t="shared" si="8"/>
        <v/>
      </c>
      <c r="J282" s="14"/>
      <c r="K282" s="14"/>
      <c r="L282" s="21"/>
      <c r="M282" s="13"/>
      <c r="N282" s="7" t="str">
        <f t="shared" si="9"/>
        <v/>
      </c>
    </row>
    <row r="283" spans="1:14" x14ac:dyDescent="0.35">
      <c r="A283" s="81"/>
      <c r="B283" s="81"/>
      <c r="C283" s="21"/>
      <c r="D283" s="13"/>
      <c r="E283" s="13"/>
      <c r="F283" s="13"/>
      <c r="G283" s="22"/>
      <c r="H283" s="22"/>
      <c r="I283" s="28" t="str">
        <f t="shared" si="8"/>
        <v/>
      </c>
      <c r="J283" s="14"/>
      <c r="K283" s="14"/>
      <c r="L283" s="21"/>
      <c r="M283" s="13"/>
      <c r="N283" s="7" t="str">
        <f t="shared" si="9"/>
        <v/>
      </c>
    </row>
    <row r="284" spans="1:14" x14ac:dyDescent="0.35">
      <c r="A284" s="81"/>
      <c r="B284" s="81"/>
      <c r="C284" s="21"/>
      <c r="D284" s="13"/>
      <c r="E284" s="13"/>
      <c r="F284" s="13"/>
      <c r="G284" s="22"/>
      <c r="H284" s="22"/>
      <c r="I284" s="28" t="str">
        <f t="shared" si="8"/>
        <v/>
      </c>
      <c r="J284" s="14"/>
      <c r="K284" s="14"/>
      <c r="L284" s="21"/>
      <c r="M284" s="13"/>
      <c r="N284" s="7" t="str">
        <f t="shared" si="9"/>
        <v/>
      </c>
    </row>
    <row r="285" spans="1:14" x14ac:dyDescent="0.35">
      <c r="A285" s="81"/>
      <c r="B285" s="81"/>
      <c r="C285" s="21"/>
      <c r="D285" s="13"/>
      <c r="E285" s="13"/>
      <c r="F285" s="13"/>
      <c r="G285" s="22"/>
      <c r="H285" s="22"/>
      <c r="I285" s="28" t="str">
        <f t="shared" si="8"/>
        <v/>
      </c>
      <c r="J285" s="14"/>
      <c r="K285" s="14"/>
      <c r="L285" s="21"/>
      <c r="M285" s="13"/>
      <c r="N285" s="7" t="str">
        <f t="shared" si="9"/>
        <v/>
      </c>
    </row>
    <row r="286" spans="1:14" x14ac:dyDescent="0.35">
      <c r="A286" s="81"/>
      <c r="B286" s="81"/>
      <c r="C286" s="21"/>
      <c r="D286" s="13"/>
      <c r="E286" s="13"/>
      <c r="F286" s="13"/>
      <c r="G286" s="22"/>
      <c r="H286" s="22"/>
      <c r="I286" s="28" t="str">
        <f t="shared" si="8"/>
        <v/>
      </c>
      <c r="J286" s="14"/>
      <c r="K286" s="14"/>
      <c r="L286" s="21"/>
      <c r="M286" s="13"/>
      <c r="N286" s="7" t="str">
        <f t="shared" si="9"/>
        <v/>
      </c>
    </row>
    <row r="287" spans="1:14" x14ac:dyDescent="0.35">
      <c r="A287" s="81"/>
      <c r="B287" s="81"/>
      <c r="C287" s="21"/>
      <c r="D287" s="13"/>
      <c r="E287" s="13"/>
      <c r="F287" s="13"/>
      <c r="G287" s="22"/>
      <c r="H287" s="22"/>
      <c r="I287" s="28" t="str">
        <f t="shared" si="8"/>
        <v/>
      </c>
      <c r="J287" s="14"/>
      <c r="K287" s="14"/>
      <c r="L287" s="21"/>
      <c r="M287" s="13"/>
      <c r="N287" s="7" t="str">
        <f t="shared" si="9"/>
        <v/>
      </c>
    </row>
    <row r="288" spans="1:14" x14ac:dyDescent="0.35">
      <c r="A288" s="81"/>
      <c r="B288" s="81"/>
      <c r="C288" s="21"/>
      <c r="D288" s="13"/>
      <c r="E288" s="13"/>
      <c r="F288" s="13"/>
      <c r="G288" s="22"/>
      <c r="H288" s="22"/>
      <c r="I288" s="28" t="str">
        <f t="shared" si="8"/>
        <v/>
      </c>
      <c r="J288" s="14"/>
      <c r="K288" s="14"/>
      <c r="L288" s="21"/>
      <c r="M288" s="13"/>
      <c r="N288" s="7" t="str">
        <f t="shared" si="9"/>
        <v/>
      </c>
    </row>
    <row r="289" spans="1:14" x14ac:dyDescent="0.35">
      <c r="A289" s="81"/>
      <c r="B289" s="81"/>
      <c r="C289" s="21"/>
      <c r="D289" s="13"/>
      <c r="E289" s="13"/>
      <c r="F289" s="13"/>
      <c r="G289" s="22"/>
      <c r="H289" s="22"/>
      <c r="I289" s="28" t="str">
        <f t="shared" si="8"/>
        <v/>
      </c>
      <c r="J289" s="14"/>
      <c r="K289" s="14"/>
      <c r="L289" s="21"/>
      <c r="M289" s="13"/>
      <c r="N289" s="7" t="str">
        <f t="shared" si="9"/>
        <v/>
      </c>
    </row>
    <row r="290" spans="1:14" x14ac:dyDescent="0.35">
      <c r="A290" s="81"/>
      <c r="B290" s="81"/>
      <c r="C290" s="21"/>
      <c r="D290" s="13"/>
      <c r="E290" s="13"/>
      <c r="F290" s="13"/>
      <c r="G290" s="22"/>
      <c r="H290" s="22"/>
      <c r="I290" s="28" t="str">
        <f t="shared" si="8"/>
        <v/>
      </c>
      <c r="J290" s="14"/>
      <c r="K290" s="14"/>
      <c r="L290" s="21"/>
      <c r="M290" s="13"/>
      <c r="N290" s="7" t="str">
        <f t="shared" si="9"/>
        <v/>
      </c>
    </row>
    <row r="291" spans="1:14" x14ac:dyDescent="0.35">
      <c r="A291" s="81"/>
      <c r="B291" s="81"/>
      <c r="C291" s="21"/>
      <c r="D291" s="13"/>
      <c r="E291" s="13"/>
      <c r="F291" s="13"/>
      <c r="G291" s="22"/>
      <c r="H291" s="22"/>
      <c r="I291" s="28" t="str">
        <f t="shared" si="8"/>
        <v/>
      </c>
      <c r="J291" s="14"/>
      <c r="K291" s="14"/>
      <c r="L291" s="21"/>
      <c r="M291" s="13"/>
      <c r="N291" s="7" t="str">
        <f t="shared" si="9"/>
        <v/>
      </c>
    </row>
    <row r="292" spans="1:14" x14ac:dyDescent="0.35">
      <c r="A292" s="81"/>
      <c r="B292" s="81"/>
      <c r="C292" s="21"/>
      <c r="D292" s="13"/>
      <c r="E292" s="13"/>
      <c r="F292" s="13"/>
      <c r="G292" s="22"/>
      <c r="H292" s="22"/>
      <c r="I292" s="28" t="str">
        <f t="shared" si="8"/>
        <v/>
      </c>
      <c r="J292" s="14"/>
      <c r="K292" s="14"/>
      <c r="L292" s="21"/>
      <c r="M292" s="13"/>
      <c r="N292" s="7" t="str">
        <f t="shared" si="9"/>
        <v/>
      </c>
    </row>
    <row r="293" spans="1:14" x14ac:dyDescent="0.35">
      <c r="A293" s="81"/>
      <c r="B293" s="81"/>
      <c r="C293" s="21"/>
      <c r="D293" s="13"/>
      <c r="E293" s="13"/>
      <c r="F293" s="13"/>
      <c r="G293" s="22"/>
      <c r="H293" s="22"/>
      <c r="I293" s="28" t="str">
        <f t="shared" si="8"/>
        <v/>
      </c>
      <c r="J293" s="14"/>
      <c r="K293" s="14"/>
      <c r="L293" s="21"/>
      <c r="M293" s="13"/>
      <c r="N293" s="7" t="str">
        <f t="shared" si="9"/>
        <v/>
      </c>
    </row>
    <row r="294" spans="1:14" x14ac:dyDescent="0.35">
      <c r="A294" s="81"/>
      <c r="B294" s="81"/>
      <c r="C294" s="21"/>
      <c r="D294" s="13"/>
      <c r="E294" s="13"/>
      <c r="F294" s="13"/>
      <c r="G294" s="22"/>
      <c r="H294" s="22"/>
      <c r="I294" s="28" t="str">
        <f t="shared" si="8"/>
        <v/>
      </c>
      <c r="J294" s="14"/>
      <c r="K294" s="14"/>
      <c r="L294" s="21"/>
      <c r="M294" s="13"/>
      <c r="N294" s="7" t="str">
        <f t="shared" si="9"/>
        <v/>
      </c>
    </row>
    <row r="295" spans="1:14" x14ac:dyDescent="0.35">
      <c r="A295" s="81"/>
      <c r="B295" s="81"/>
      <c r="C295" s="21"/>
      <c r="D295" s="13"/>
      <c r="E295" s="13"/>
      <c r="F295" s="13"/>
      <c r="G295" s="22"/>
      <c r="H295" s="22"/>
      <c r="I295" s="28" t="str">
        <f t="shared" si="8"/>
        <v/>
      </c>
      <c r="J295" s="14"/>
      <c r="K295" s="14"/>
      <c r="L295" s="21"/>
      <c r="M295" s="13"/>
      <c r="N295" s="7" t="str">
        <f t="shared" si="9"/>
        <v/>
      </c>
    </row>
    <row r="296" spans="1:14" x14ac:dyDescent="0.35">
      <c r="A296" s="81"/>
      <c r="B296" s="81"/>
      <c r="C296" s="21"/>
      <c r="D296" s="13"/>
      <c r="E296" s="13"/>
      <c r="F296" s="13"/>
      <c r="G296" s="22"/>
      <c r="H296" s="22"/>
      <c r="I296" s="28" t="str">
        <f t="shared" si="8"/>
        <v/>
      </c>
      <c r="J296" s="14"/>
      <c r="K296" s="14"/>
      <c r="L296" s="21"/>
      <c r="M296" s="13"/>
      <c r="N296" s="7" t="str">
        <f t="shared" si="9"/>
        <v/>
      </c>
    </row>
    <row r="297" spans="1:14" x14ac:dyDescent="0.35">
      <c r="A297" s="81"/>
      <c r="B297" s="81"/>
      <c r="C297" s="21"/>
      <c r="D297" s="13"/>
      <c r="E297" s="13"/>
      <c r="F297" s="13"/>
      <c r="G297" s="22"/>
      <c r="H297" s="22"/>
      <c r="I297" s="28" t="str">
        <f t="shared" si="8"/>
        <v/>
      </c>
      <c r="J297" s="14"/>
      <c r="K297" s="14"/>
      <c r="L297" s="21"/>
      <c r="M297" s="13"/>
      <c r="N297" s="7" t="str">
        <f t="shared" si="9"/>
        <v/>
      </c>
    </row>
    <row r="298" spans="1:14" x14ac:dyDescent="0.35">
      <c r="A298" s="81"/>
      <c r="B298" s="81"/>
      <c r="C298" s="21"/>
      <c r="D298" s="13"/>
      <c r="E298" s="13"/>
      <c r="F298" s="13"/>
      <c r="G298" s="22"/>
      <c r="H298" s="22"/>
      <c r="I298" s="28" t="str">
        <f t="shared" si="8"/>
        <v/>
      </c>
      <c r="J298" s="14"/>
      <c r="K298" s="14"/>
      <c r="L298" s="21"/>
      <c r="M298" s="13"/>
      <c r="N298" s="7" t="str">
        <f t="shared" si="9"/>
        <v/>
      </c>
    </row>
    <row r="299" spans="1:14" x14ac:dyDescent="0.35">
      <c r="A299" s="81"/>
      <c r="B299" s="81"/>
      <c r="C299" s="21"/>
      <c r="D299" s="13"/>
      <c r="E299" s="13"/>
      <c r="F299" s="13"/>
      <c r="G299" s="22"/>
      <c r="H299" s="22"/>
      <c r="I299" s="28" t="str">
        <f t="shared" si="8"/>
        <v/>
      </c>
      <c r="J299" s="14"/>
      <c r="K299" s="14"/>
      <c r="L299" s="21"/>
      <c r="M299" s="13"/>
      <c r="N299" s="7" t="str">
        <f t="shared" si="9"/>
        <v/>
      </c>
    </row>
    <row r="300" spans="1:14" x14ac:dyDescent="0.35">
      <c r="A300" s="81"/>
      <c r="B300" s="81"/>
      <c r="C300" s="21"/>
      <c r="D300" s="13"/>
      <c r="E300" s="13"/>
      <c r="F300" s="13"/>
      <c r="G300" s="22"/>
      <c r="H300" s="22"/>
      <c r="I300" s="28" t="str">
        <f t="shared" si="8"/>
        <v/>
      </c>
      <c r="J300" s="14"/>
      <c r="K300" s="14"/>
      <c r="L300" s="21"/>
      <c r="M300" s="13"/>
      <c r="N300" s="7" t="str">
        <f t="shared" si="9"/>
        <v/>
      </c>
    </row>
    <row r="301" spans="1:14" x14ac:dyDescent="0.35">
      <c r="A301" s="81"/>
      <c r="B301" s="81"/>
      <c r="C301" s="21"/>
      <c r="D301" s="13"/>
      <c r="E301" s="13"/>
      <c r="F301" s="13"/>
      <c r="G301" s="22"/>
      <c r="H301" s="22"/>
      <c r="I301" s="28" t="str">
        <f t="shared" si="8"/>
        <v/>
      </c>
      <c r="J301" s="14"/>
      <c r="K301" s="14"/>
      <c r="L301" s="21"/>
      <c r="M301" s="13"/>
      <c r="N301" s="7" t="str">
        <f t="shared" si="9"/>
        <v/>
      </c>
    </row>
    <row r="302" spans="1:14" x14ac:dyDescent="0.35">
      <c r="A302" s="81"/>
      <c r="B302" s="81"/>
      <c r="C302" s="21"/>
      <c r="D302" s="13"/>
      <c r="E302" s="13"/>
      <c r="F302" s="13"/>
      <c r="G302" s="22"/>
      <c r="H302" s="22"/>
      <c r="I302" s="28" t="str">
        <f t="shared" si="8"/>
        <v/>
      </c>
      <c r="J302" s="14"/>
      <c r="K302" s="14"/>
      <c r="L302" s="21"/>
      <c r="M302" s="13"/>
      <c r="N302" s="7" t="str">
        <f t="shared" si="9"/>
        <v/>
      </c>
    </row>
    <row r="303" spans="1:14" x14ac:dyDescent="0.35">
      <c r="A303" s="81"/>
      <c r="B303" s="81"/>
      <c r="C303" s="21"/>
      <c r="D303" s="13"/>
      <c r="E303" s="13"/>
      <c r="F303" s="13"/>
      <c r="G303" s="22"/>
      <c r="H303" s="22"/>
      <c r="I303" s="28" t="str">
        <f t="shared" si="8"/>
        <v/>
      </c>
      <c r="J303" s="14"/>
      <c r="K303" s="14"/>
      <c r="L303" s="21"/>
      <c r="M303" s="13"/>
      <c r="N303" s="7" t="str">
        <f t="shared" si="9"/>
        <v/>
      </c>
    </row>
    <row r="304" spans="1:14" x14ac:dyDescent="0.35">
      <c r="A304" s="81"/>
      <c r="B304" s="81"/>
      <c r="C304" s="21"/>
      <c r="D304" s="13"/>
      <c r="E304" s="13"/>
      <c r="F304" s="13"/>
      <c r="G304" s="22"/>
      <c r="H304" s="22"/>
      <c r="I304" s="28" t="str">
        <f t="shared" si="8"/>
        <v/>
      </c>
      <c r="J304" s="14"/>
      <c r="K304" s="14"/>
      <c r="L304" s="21"/>
      <c r="M304" s="13"/>
      <c r="N304" s="7" t="str">
        <f t="shared" si="9"/>
        <v/>
      </c>
    </row>
    <row r="305" spans="1:14" x14ac:dyDescent="0.35">
      <c r="A305" s="81"/>
      <c r="B305" s="81"/>
      <c r="C305" s="21"/>
      <c r="D305" s="13"/>
      <c r="E305" s="13"/>
      <c r="F305" s="13"/>
      <c r="G305" s="22"/>
      <c r="H305" s="22"/>
      <c r="I305" s="28" t="str">
        <f t="shared" si="8"/>
        <v/>
      </c>
      <c r="J305" s="14"/>
      <c r="K305" s="14"/>
      <c r="L305" s="21"/>
      <c r="M305" s="13"/>
      <c r="N305" s="7" t="str">
        <f t="shared" si="9"/>
        <v/>
      </c>
    </row>
    <row r="306" spans="1:14" x14ac:dyDescent="0.35">
      <c r="A306" s="81"/>
      <c r="B306" s="81"/>
      <c r="C306" s="21"/>
      <c r="D306" s="13"/>
      <c r="E306" s="13"/>
      <c r="F306" s="13"/>
      <c r="G306" s="22"/>
      <c r="H306" s="22"/>
      <c r="I306" s="28" t="str">
        <f t="shared" si="8"/>
        <v/>
      </c>
      <c r="J306" s="14"/>
      <c r="K306" s="14"/>
      <c r="L306" s="21"/>
      <c r="M306" s="13"/>
      <c r="N306" s="7" t="str">
        <f t="shared" si="9"/>
        <v/>
      </c>
    </row>
    <row r="307" spans="1:14" x14ac:dyDescent="0.35">
      <c r="A307" s="81"/>
      <c r="B307" s="81"/>
      <c r="C307" s="21"/>
      <c r="D307" s="13"/>
      <c r="E307" s="13"/>
      <c r="F307" s="13"/>
      <c r="G307" s="22"/>
      <c r="H307" s="22"/>
      <c r="I307" s="28" t="str">
        <f t="shared" si="8"/>
        <v/>
      </c>
      <c r="J307" s="14"/>
      <c r="K307" s="14"/>
      <c r="L307" s="21"/>
      <c r="M307" s="13"/>
      <c r="N307" s="7" t="str">
        <f t="shared" si="9"/>
        <v/>
      </c>
    </row>
    <row r="308" spans="1:14" x14ac:dyDescent="0.35">
      <c r="A308" s="81"/>
      <c r="B308" s="81"/>
      <c r="C308" s="21"/>
      <c r="D308" s="13"/>
      <c r="E308" s="13"/>
      <c r="F308" s="13"/>
      <c r="G308" s="22"/>
      <c r="H308" s="22"/>
      <c r="I308" s="28" t="str">
        <f t="shared" si="8"/>
        <v/>
      </c>
      <c r="J308" s="14"/>
      <c r="K308" s="14"/>
      <c r="L308" s="21"/>
      <c r="M308" s="13"/>
      <c r="N308" s="7" t="str">
        <f t="shared" si="9"/>
        <v/>
      </c>
    </row>
    <row r="309" spans="1:14" x14ac:dyDescent="0.35">
      <c r="A309" s="81"/>
      <c r="B309" s="81"/>
      <c r="C309" s="21"/>
      <c r="D309" s="13"/>
      <c r="E309" s="13"/>
      <c r="F309" s="13"/>
      <c r="G309" s="22"/>
      <c r="H309" s="22"/>
      <c r="I309" s="28" t="str">
        <f t="shared" si="8"/>
        <v/>
      </c>
      <c r="J309" s="14"/>
      <c r="K309" s="14"/>
      <c r="L309" s="21"/>
      <c r="M309" s="13"/>
      <c r="N309" s="7" t="str">
        <f t="shared" si="9"/>
        <v/>
      </c>
    </row>
    <row r="310" spans="1:14" x14ac:dyDescent="0.35">
      <c r="A310" s="81"/>
      <c r="B310" s="81"/>
      <c r="C310" s="21"/>
      <c r="D310" s="13"/>
      <c r="E310" s="13"/>
      <c r="F310" s="13"/>
      <c r="G310" s="22"/>
      <c r="H310" s="22"/>
      <c r="I310" s="28" t="str">
        <f t="shared" si="8"/>
        <v/>
      </c>
      <c r="J310" s="14"/>
      <c r="K310" s="14"/>
      <c r="L310" s="21"/>
      <c r="M310" s="13"/>
      <c r="N310" s="7" t="str">
        <f t="shared" si="9"/>
        <v/>
      </c>
    </row>
    <row r="311" spans="1:14" x14ac:dyDescent="0.35">
      <c r="A311" s="81"/>
      <c r="B311" s="81"/>
      <c r="C311" s="21"/>
      <c r="D311" s="13"/>
      <c r="E311" s="13"/>
      <c r="F311" s="13"/>
      <c r="G311" s="22"/>
      <c r="H311" s="22"/>
      <c r="I311" s="28" t="str">
        <f t="shared" si="8"/>
        <v/>
      </c>
      <c r="J311" s="14"/>
      <c r="K311" s="14"/>
      <c r="L311" s="21"/>
      <c r="M311" s="13"/>
      <c r="N311" s="7" t="str">
        <f t="shared" si="9"/>
        <v/>
      </c>
    </row>
    <row r="312" spans="1:14" x14ac:dyDescent="0.35">
      <c r="A312" s="81"/>
      <c r="B312" s="81"/>
      <c r="C312" s="21"/>
      <c r="D312" s="13"/>
      <c r="E312" s="13"/>
      <c r="F312" s="13"/>
      <c r="G312" s="22"/>
      <c r="H312" s="22"/>
      <c r="I312" s="28" t="str">
        <f t="shared" si="8"/>
        <v/>
      </c>
      <c r="J312" s="14"/>
      <c r="K312" s="14"/>
      <c r="L312" s="21"/>
      <c r="M312" s="13"/>
      <c r="N312" s="7" t="str">
        <f t="shared" si="9"/>
        <v/>
      </c>
    </row>
    <row r="313" spans="1:14" x14ac:dyDescent="0.35">
      <c r="A313" s="81"/>
      <c r="B313" s="81"/>
      <c r="C313" s="21"/>
      <c r="D313" s="13"/>
      <c r="E313" s="13"/>
      <c r="F313" s="13"/>
      <c r="G313" s="22"/>
      <c r="H313" s="22"/>
      <c r="I313" s="28" t="str">
        <f t="shared" si="8"/>
        <v/>
      </c>
      <c r="J313" s="14"/>
      <c r="K313" s="14"/>
      <c r="L313" s="21"/>
      <c r="M313" s="13"/>
      <c r="N313" s="7" t="str">
        <f t="shared" si="9"/>
        <v/>
      </c>
    </row>
    <row r="314" spans="1:14" x14ac:dyDescent="0.35">
      <c r="A314" s="81"/>
      <c r="B314" s="81"/>
      <c r="C314" s="21"/>
      <c r="D314" s="13"/>
      <c r="E314" s="13"/>
      <c r="F314" s="13"/>
      <c r="G314" s="22"/>
      <c r="H314" s="22"/>
      <c r="I314" s="28" t="str">
        <f t="shared" si="8"/>
        <v/>
      </c>
      <c r="J314" s="14"/>
      <c r="K314" s="14"/>
      <c r="L314" s="21"/>
      <c r="M314" s="13"/>
      <c r="N314" s="7" t="str">
        <f t="shared" si="9"/>
        <v/>
      </c>
    </row>
    <row r="315" spans="1:14" x14ac:dyDescent="0.35">
      <c r="A315" s="81"/>
      <c r="B315" s="81"/>
      <c r="C315" s="21"/>
      <c r="D315" s="13"/>
      <c r="E315" s="13"/>
      <c r="F315" s="13"/>
      <c r="G315" s="22"/>
      <c r="H315" s="22"/>
      <c r="I315" s="28" t="str">
        <f t="shared" si="8"/>
        <v/>
      </c>
      <c r="J315" s="14"/>
      <c r="K315" s="14"/>
      <c r="L315" s="21"/>
      <c r="M315" s="13"/>
      <c r="N315" s="7" t="str">
        <f t="shared" si="9"/>
        <v/>
      </c>
    </row>
    <row r="316" spans="1:14" x14ac:dyDescent="0.35">
      <c r="A316" s="81"/>
      <c r="B316" s="81"/>
      <c r="C316" s="21"/>
      <c r="D316" s="13"/>
      <c r="E316" s="13"/>
      <c r="F316" s="13"/>
      <c r="G316" s="22"/>
      <c r="H316" s="22"/>
      <c r="I316" s="28" t="str">
        <f t="shared" si="8"/>
        <v/>
      </c>
      <c r="J316" s="14"/>
      <c r="K316" s="14"/>
      <c r="L316" s="21"/>
      <c r="M316" s="13"/>
      <c r="N316" s="7" t="str">
        <f t="shared" si="9"/>
        <v/>
      </c>
    </row>
    <row r="317" spans="1:14" x14ac:dyDescent="0.35">
      <c r="A317" s="81"/>
      <c r="B317" s="81"/>
      <c r="C317" s="21"/>
      <c r="D317" s="13"/>
      <c r="E317" s="13"/>
      <c r="F317" s="13"/>
      <c r="G317" s="22"/>
      <c r="H317" s="22"/>
      <c r="I317" s="28" t="str">
        <f t="shared" si="8"/>
        <v/>
      </c>
      <c r="J317" s="14"/>
      <c r="K317" s="14"/>
      <c r="L317" s="21"/>
      <c r="M317" s="13"/>
      <c r="N317" s="7" t="str">
        <f t="shared" si="9"/>
        <v/>
      </c>
    </row>
    <row r="318" spans="1:14" x14ac:dyDescent="0.35">
      <c r="A318" s="81"/>
      <c r="B318" s="81"/>
      <c r="C318" s="21"/>
      <c r="D318" s="13"/>
      <c r="E318" s="13"/>
      <c r="F318" s="13"/>
      <c r="G318" s="22"/>
      <c r="H318" s="22"/>
      <c r="I318" s="28" t="str">
        <f t="shared" si="8"/>
        <v/>
      </c>
      <c r="J318" s="14"/>
      <c r="K318" s="14"/>
      <c r="L318" s="21"/>
      <c r="M318" s="13"/>
      <c r="N318" s="7" t="str">
        <f t="shared" si="9"/>
        <v/>
      </c>
    </row>
    <row r="319" spans="1:14" x14ac:dyDescent="0.35">
      <c r="A319" s="81"/>
      <c r="B319" s="81"/>
      <c r="C319" s="21"/>
      <c r="D319" s="13"/>
      <c r="E319" s="13"/>
      <c r="F319" s="13"/>
      <c r="G319" s="22"/>
      <c r="H319" s="22"/>
      <c r="I319" s="28" t="str">
        <f t="shared" si="8"/>
        <v/>
      </c>
      <c r="J319" s="14"/>
      <c r="K319" s="14"/>
      <c r="L319" s="21"/>
      <c r="M319" s="13"/>
      <c r="N319" s="7" t="str">
        <f t="shared" si="9"/>
        <v/>
      </c>
    </row>
    <row r="320" spans="1:14" x14ac:dyDescent="0.35">
      <c r="A320" s="81"/>
      <c r="B320" s="81"/>
      <c r="C320" s="21"/>
      <c r="D320" s="13"/>
      <c r="E320" s="13"/>
      <c r="F320" s="13"/>
      <c r="G320" s="22"/>
      <c r="H320" s="22"/>
      <c r="I320" s="28" t="str">
        <f t="shared" si="8"/>
        <v/>
      </c>
      <c r="J320" s="14"/>
      <c r="K320" s="14"/>
      <c r="L320" s="21"/>
      <c r="M320" s="13"/>
      <c r="N320" s="7" t="str">
        <f t="shared" si="9"/>
        <v/>
      </c>
    </row>
    <row r="321" spans="1:14" x14ac:dyDescent="0.35">
      <c r="A321" s="81"/>
      <c r="B321" s="81"/>
      <c r="C321" s="21"/>
      <c r="D321" s="13"/>
      <c r="E321" s="13"/>
      <c r="F321" s="13"/>
      <c r="G321" s="22"/>
      <c r="H321" s="22"/>
      <c r="I321" s="28" t="str">
        <f t="shared" si="8"/>
        <v/>
      </c>
      <c r="J321" s="14"/>
      <c r="K321" s="14"/>
      <c r="L321" s="21"/>
      <c r="M321" s="13"/>
      <c r="N321" s="7" t="str">
        <f t="shared" si="9"/>
        <v/>
      </c>
    </row>
    <row r="322" spans="1:14" x14ac:dyDescent="0.35">
      <c r="A322" s="81"/>
      <c r="B322" s="81"/>
      <c r="C322" s="21"/>
      <c r="D322" s="13"/>
      <c r="E322" s="13"/>
      <c r="F322" s="13"/>
      <c r="G322" s="22"/>
      <c r="H322" s="22"/>
      <c r="I322" s="28" t="str">
        <f t="shared" si="8"/>
        <v/>
      </c>
      <c r="J322" s="14"/>
      <c r="K322" s="14"/>
      <c r="L322" s="21"/>
      <c r="M322" s="13"/>
      <c r="N322" s="7" t="str">
        <f t="shared" si="9"/>
        <v/>
      </c>
    </row>
    <row r="323" spans="1:14" x14ac:dyDescent="0.35">
      <c r="A323" s="81"/>
      <c r="B323" s="81"/>
      <c r="C323" s="21"/>
      <c r="D323" s="13"/>
      <c r="E323" s="13"/>
      <c r="F323" s="13"/>
      <c r="G323" s="22"/>
      <c r="H323" s="22"/>
      <c r="I323" s="28" t="str">
        <f t="shared" ref="I323:I386" si="10">IF($G323="","",$G323-N($H323))</f>
        <v/>
      </c>
      <c r="J323" s="14"/>
      <c r="K323" s="14"/>
      <c r="L323" s="21"/>
      <c r="M323" s="13"/>
      <c r="N323" s="7" t="str">
        <f t="shared" ref="N323:N386" si="11">IF($G323="","",IF(N($H323)&gt;=$G323,"Payé",IF(N($H323)&gt;0,"Partiellement payé","Non payé")))</f>
        <v/>
      </c>
    </row>
    <row r="324" spans="1:14" x14ac:dyDescent="0.35">
      <c r="A324" s="81"/>
      <c r="B324" s="81"/>
      <c r="C324" s="21"/>
      <c r="D324" s="13"/>
      <c r="E324" s="13"/>
      <c r="F324" s="13"/>
      <c r="G324" s="22"/>
      <c r="H324" s="22"/>
      <c r="I324" s="28" t="str">
        <f t="shared" si="10"/>
        <v/>
      </c>
      <c r="J324" s="14"/>
      <c r="K324" s="14"/>
      <c r="L324" s="21"/>
      <c r="M324" s="13"/>
      <c r="N324" s="7" t="str">
        <f t="shared" si="11"/>
        <v/>
      </c>
    </row>
    <row r="325" spans="1:14" x14ac:dyDescent="0.35">
      <c r="A325" s="81"/>
      <c r="B325" s="81"/>
      <c r="C325" s="21"/>
      <c r="D325" s="13"/>
      <c r="E325" s="13"/>
      <c r="F325" s="13"/>
      <c r="G325" s="22"/>
      <c r="H325" s="22"/>
      <c r="I325" s="28" t="str">
        <f t="shared" si="10"/>
        <v/>
      </c>
      <c r="J325" s="14"/>
      <c r="K325" s="14"/>
      <c r="L325" s="21"/>
      <c r="M325" s="13"/>
      <c r="N325" s="7" t="str">
        <f t="shared" si="11"/>
        <v/>
      </c>
    </row>
    <row r="326" spans="1:14" x14ac:dyDescent="0.35">
      <c r="A326" s="81"/>
      <c r="B326" s="81"/>
      <c r="C326" s="21"/>
      <c r="D326" s="13"/>
      <c r="E326" s="13"/>
      <c r="F326" s="13"/>
      <c r="G326" s="22"/>
      <c r="H326" s="22"/>
      <c r="I326" s="28" t="str">
        <f t="shared" si="10"/>
        <v/>
      </c>
      <c r="J326" s="14"/>
      <c r="K326" s="14"/>
      <c r="L326" s="21"/>
      <c r="M326" s="13"/>
      <c r="N326" s="7" t="str">
        <f t="shared" si="11"/>
        <v/>
      </c>
    </row>
    <row r="327" spans="1:14" x14ac:dyDescent="0.35">
      <c r="A327" s="81"/>
      <c r="B327" s="81"/>
      <c r="C327" s="21"/>
      <c r="D327" s="13"/>
      <c r="E327" s="13"/>
      <c r="F327" s="13"/>
      <c r="G327" s="22"/>
      <c r="H327" s="22"/>
      <c r="I327" s="28" t="str">
        <f t="shared" si="10"/>
        <v/>
      </c>
      <c r="J327" s="14"/>
      <c r="K327" s="14"/>
      <c r="L327" s="21"/>
      <c r="M327" s="13"/>
      <c r="N327" s="7" t="str">
        <f t="shared" si="11"/>
        <v/>
      </c>
    </row>
    <row r="328" spans="1:14" x14ac:dyDescent="0.35">
      <c r="A328" s="81"/>
      <c r="B328" s="81"/>
      <c r="C328" s="21"/>
      <c r="D328" s="13"/>
      <c r="E328" s="13"/>
      <c r="F328" s="13"/>
      <c r="G328" s="22"/>
      <c r="H328" s="22"/>
      <c r="I328" s="28" t="str">
        <f t="shared" si="10"/>
        <v/>
      </c>
      <c r="J328" s="14"/>
      <c r="K328" s="14"/>
      <c r="L328" s="21"/>
      <c r="M328" s="13"/>
      <c r="N328" s="7" t="str">
        <f t="shared" si="11"/>
        <v/>
      </c>
    </row>
    <row r="329" spans="1:14" x14ac:dyDescent="0.35">
      <c r="A329" s="81"/>
      <c r="B329" s="81"/>
      <c r="C329" s="21"/>
      <c r="D329" s="13"/>
      <c r="E329" s="13"/>
      <c r="F329" s="13"/>
      <c r="G329" s="22"/>
      <c r="H329" s="22"/>
      <c r="I329" s="28" t="str">
        <f t="shared" si="10"/>
        <v/>
      </c>
      <c r="J329" s="14"/>
      <c r="K329" s="14"/>
      <c r="L329" s="21"/>
      <c r="M329" s="13"/>
      <c r="N329" s="7" t="str">
        <f t="shared" si="11"/>
        <v/>
      </c>
    </row>
    <row r="330" spans="1:14" x14ac:dyDescent="0.35">
      <c r="A330" s="81"/>
      <c r="B330" s="81"/>
      <c r="C330" s="21"/>
      <c r="D330" s="13"/>
      <c r="E330" s="13"/>
      <c r="F330" s="13"/>
      <c r="G330" s="22"/>
      <c r="H330" s="22"/>
      <c r="I330" s="28" t="str">
        <f t="shared" si="10"/>
        <v/>
      </c>
      <c r="J330" s="14"/>
      <c r="K330" s="14"/>
      <c r="L330" s="21"/>
      <c r="M330" s="13"/>
      <c r="N330" s="7" t="str">
        <f t="shared" si="11"/>
        <v/>
      </c>
    </row>
    <row r="331" spans="1:14" x14ac:dyDescent="0.35">
      <c r="A331" s="81"/>
      <c r="B331" s="81"/>
      <c r="C331" s="21"/>
      <c r="D331" s="13"/>
      <c r="E331" s="13"/>
      <c r="F331" s="13"/>
      <c r="G331" s="22"/>
      <c r="H331" s="22"/>
      <c r="I331" s="28" t="str">
        <f t="shared" si="10"/>
        <v/>
      </c>
      <c r="J331" s="14"/>
      <c r="K331" s="14"/>
      <c r="L331" s="21"/>
      <c r="M331" s="13"/>
      <c r="N331" s="7" t="str">
        <f t="shared" si="11"/>
        <v/>
      </c>
    </row>
    <row r="332" spans="1:14" x14ac:dyDescent="0.35">
      <c r="A332" s="81"/>
      <c r="B332" s="81"/>
      <c r="C332" s="21"/>
      <c r="D332" s="13"/>
      <c r="E332" s="13"/>
      <c r="F332" s="13"/>
      <c r="G332" s="22"/>
      <c r="H332" s="22"/>
      <c r="I332" s="28" t="str">
        <f t="shared" si="10"/>
        <v/>
      </c>
      <c r="J332" s="14"/>
      <c r="K332" s="14"/>
      <c r="L332" s="21"/>
      <c r="M332" s="13"/>
      <c r="N332" s="7" t="str">
        <f t="shared" si="11"/>
        <v/>
      </c>
    </row>
    <row r="333" spans="1:14" x14ac:dyDescent="0.35">
      <c r="A333" s="81"/>
      <c r="B333" s="81"/>
      <c r="C333" s="21"/>
      <c r="D333" s="13"/>
      <c r="E333" s="13"/>
      <c r="F333" s="13"/>
      <c r="G333" s="22"/>
      <c r="H333" s="22"/>
      <c r="I333" s="28" t="str">
        <f t="shared" si="10"/>
        <v/>
      </c>
      <c r="J333" s="14"/>
      <c r="K333" s="14"/>
      <c r="L333" s="21"/>
      <c r="M333" s="13"/>
      <c r="N333" s="7" t="str">
        <f t="shared" si="11"/>
        <v/>
      </c>
    </row>
    <row r="334" spans="1:14" x14ac:dyDescent="0.35">
      <c r="A334" s="81"/>
      <c r="B334" s="81"/>
      <c r="C334" s="21"/>
      <c r="D334" s="13"/>
      <c r="E334" s="13"/>
      <c r="F334" s="13"/>
      <c r="G334" s="22"/>
      <c r="H334" s="22"/>
      <c r="I334" s="28" t="str">
        <f t="shared" si="10"/>
        <v/>
      </c>
      <c r="J334" s="14"/>
      <c r="K334" s="14"/>
      <c r="L334" s="21"/>
      <c r="M334" s="13"/>
      <c r="N334" s="7" t="str">
        <f t="shared" si="11"/>
        <v/>
      </c>
    </row>
    <row r="335" spans="1:14" x14ac:dyDescent="0.35">
      <c r="A335" s="81"/>
      <c r="B335" s="81"/>
      <c r="C335" s="21"/>
      <c r="D335" s="13"/>
      <c r="E335" s="13"/>
      <c r="F335" s="13"/>
      <c r="G335" s="22"/>
      <c r="H335" s="22"/>
      <c r="I335" s="28" t="str">
        <f t="shared" si="10"/>
        <v/>
      </c>
      <c r="J335" s="14"/>
      <c r="K335" s="14"/>
      <c r="L335" s="21"/>
      <c r="M335" s="13"/>
      <c r="N335" s="7" t="str">
        <f t="shared" si="11"/>
        <v/>
      </c>
    </row>
    <row r="336" spans="1:14" x14ac:dyDescent="0.35">
      <c r="A336" s="81"/>
      <c r="B336" s="81"/>
      <c r="C336" s="21"/>
      <c r="D336" s="13"/>
      <c r="E336" s="13"/>
      <c r="F336" s="13"/>
      <c r="G336" s="22"/>
      <c r="H336" s="22"/>
      <c r="I336" s="28" t="str">
        <f t="shared" si="10"/>
        <v/>
      </c>
      <c r="J336" s="14"/>
      <c r="K336" s="14"/>
      <c r="L336" s="21"/>
      <c r="M336" s="13"/>
      <c r="N336" s="7" t="str">
        <f t="shared" si="11"/>
        <v/>
      </c>
    </row>
    <row r="337" spans="1:14" x14ac:dyDescent="0.35">
      <c r="A337" s="81"/>
      <c r="B337" s="81"/>
      <c r="C337" s="21"/>
      <c r="D337" s="13"/>
      <c r="E337" s="13"/>
      <c r="F337" s="13"/>
      <c r="G337" s="22"/>
      <c r="H337" s="22"/>
      <c r="I337" s="28" t="str">
        <f t="shared" si="10"/>
        <v/>
      </c>
      <c r="J337" s="14"/>
      <c r="K337" s="14"/>
      <c r="L337" s="21"/>
      <c r="M337" s="13"/>
      <c r="N337" s="7" t="str">
        <f t="shared" si="11"/>
        <v/>
      </c>
    </row>
    <row r="338" spans="1:14" x14ac:dyDescent="0.35">
      <c r="A338" s="81"/>
      <c r="B338" s="81"/>
      <c r="C338" s="21"/>
      <c r="D338" s="13"/>
      <c r="E338" s="13"/>
      <c r="F338" s="13"/>
      <c r="G338" s="22"/>
      <c r="H338" s="22"/>
      <c r="I338" s="28" t="str">
        <f t="shared" si="10"/>
        <v/>
      </c>
      <c r="J338" s="14"/>
      <c r="K338" s="14"/>
      <c r="L338" s="21"/>
      <c r="M338" s="13"/>
      <c r="N338" s="7" t="str">
        <f t="shared" si="11"/>
        <v/>
      </c>
    </row>
    <row r="339" spans="1:14" x14ac:dyDescent="0.35">
      <c r="A339" s="81"/>
      <c r="B339" s="81"/>
      <c r="C339" s="21"/>
      <c r="D339" s="13"/>
      <c r="E339" s="13"/>
      <c r="F339" s="13"/>
      <c r="G339" s="22"/>
      <c r="H339" s="22"/>
      <c r="I339" s="28" t="str">
        <f t="shared" si="10"/>
        <v/>
      </c>
      <c r="J339" s="14"/>
      <c r="K339" s="14"/>
      <c r="L339" s="21"/>
      <c r="M339" s="13"/>
      <c r="N339" s="7" t="str">
        <f t="shared" si="11"/>
        <v/>
      </c>
    </row>
    <row r="340" spans="1:14" x14ac:dyDescent="0.35">
      <c r="A340" s="81"/>
      <c r="B340" s="81"/>
      <c r="C340" s="21"/>
      <c r="D340" s="13"/>
      <c r="E340" s="13"/>
      <c r="F340" s="13"/>
      <c r="G340" s="22"/>
      <c r="H340" s="22"/>
      <c r="I340" s="28" t="str">
        <f t="shared" si="10"/>
        <v/>
      </c>
      <c r="J340" s="14"/>
      <c r="K340" s="14"/>
      <c r="L340" s="21"/>
      <c r="M340" s="13"/>
      <c r="N340" s="7" t="str">
        <f t="shared" si="11"/>
        <v/>
      </c>
    </row>
    <row r="341" spans="1:14" x14ac:dyDescent="0.35">
      <c r="A341" s="81"/>
      <c r="B341" s="81"/>
      <c r="C341" s="21"/>
      <c r="D341" s="13"/>
      <c r="E341" s="13"/>
      <c r="F341" s="13"/>
      <c r="G341" s="22"/>
      <c r="H341" s="22"/>
      <c r="I341" s="28" t="str">
        <f t="shared" si="10"/>
        <v/>
      </c>
      <c r="J341" s="14"/>
      <c r="K341" s="14"/>
      <c r="L341" s="21"/>
      <c r="M341" s="13"/>
      <c r="N341" s="7" t="str">
        <f t="shared" si="11"/>
        <v/>
      </c>
    </row>
    <row r="342" spans="1:14" x14ac:dyDescent="0.35">
      <c r="A342" s="81"/>
      <c r="B342" s="81"/>
      <c r="C342" s="21"/>
      <c r="D342" s="13"/>
      <c r="E342" s="13"/>
      <c r="F342" s="13"/>
      <c r="G342" s="22"/>
      <c r="H342" s="22"/>
      <c r="I342" s="28" t="str">
        <f t="shared" si="10"/>
        <v/>
      </c>
      <c r="J342" s="14"/>
      <c r="K342" s="14"/>
      <c r="L342" s="21"/>
      <c r="M342" s="13"/>
      <c r="N342" s="7" t="str">
        <f t="shared" si="11"/>
        <v/>
      </c>
    </row>
    <row r="343" spans="1:14" x14ac:dyDescent="0.35">
      <c r="A343" s="81"/>
      <c r="B343" s="81"/>
      <c r="C343" s="21"/>
      <c r="D343" s="13"/>
      <c r="E343" s="13"/>
      <c r="F343" s="13"/>
      <c r="G343" s="22"/>
      <c r="H343" s="22"/>
      <c r="I343" s="28" t="str">
        <f t="shared" si="10"/>
        <v/>
      </c>
      <c r="J343" s="14"/>
      <c r="K343" s="14"/>
      <c r="L343" s="21"/>
      <c r="M343" s="13"/>
      <c r="N343" s="7" t="str">
        <f t="shared" si="11"/>
        <v/>
      </c>
    </row>
    <row r="344" spans="1:14" x14ac:dyDescent="0.35">
      <c r="A344" s="81"/>
      <c r="B344" s="81"/>
      <c r="C344" s="21"/>
      <c r="D344" s="13"/>
      <c r="E344" s="13"/>
      <c r="F344" s="13"/>
      <c r="G344" s="22"/>
      <c r="H344" s="22"/>
      <c r="I344" s="28" t="str">
        <f t="shared" si="10"/>
        <v/>
      </c>
      <c r="J344" s="14"/>
      <c r="K344" s="14"/>
      <c r="L344" s="21"/>
      <c r="M344" s="13"/>
      <c r="N344" s="7" t="str">
        <f t="shared" si="11"/>
        <v/>
      </c>
    </row>
    <row r="345" spans="1:14" x14ac:dyDescent="0.35">
      <c r="A345" s="81"/>
      <c r="B345" s="81"/>
      <c r="C345" s="21"/>
      <c r="D345" s="13"/>
      <c r="E345" s="13"/>
      <c r="F345" s="13"/>
      <c r="G345" s="22"/>
      <c r="H345" s="22"/>
      <c r="I345" s="28" t="str">
        <f t="shared" si="10"/>
        <v/>
      </c>
      <c r="J345" s="14"/>
      <c r="K345" s="14"/>
      <c r="L345" s="21"/>
      <c r="M345" s="13"/>
      <c r="N345" s="7" t="str">
        <f t="shared" si="11"/>
        <v/>
      </c>
    </row>
    <row r="346" spans="1:14" x14ac:dyDescent="0.35">
      <c r="A346" s="81"/>
      <c r="B346" s="81"/>
      <c r="C346" s="21"/>
      <c r="D346" s="13"/>
      <c r="E346" s="13"/>
      <c r="F346" s="13"/>
      <c r="G346" s="22"/>
      <c r="H346" s="22"/>
      <c r="I346" s="28" t="str">
        <f t="shared" si="10"/>
        <v/>
      </c>
      <c r="J346" s="14"/>
      <c r="K346" s="14"/>
      <c r="L346" s="21"/>
      <c r="M346" s="13"/>
      <c r="N346" s="7" t="str">
        <f t="shared" si="11"/>
        <v/>
      </c>
    </row>
    <row r="347" spans="1:14" x14ac:dyDescent="0.35">
      <c r="A347" s="81"/>
      <c r="B347" s="81"/>
      <c r="C347" s="21"/>
      <c r="D347" s="13"/>
      <c r="E347" s="13"/>
      <c r="F347" s="13"/>
      <c r="G347" s="22"/>
      <c r="H347" s="22"/>
      <c r="I347" s="28" t="str">
        <f t="shared" si="10"/>
        <v/>
      </c>
      <c r="J347" s="14"/>
      <c r="K347" s="14"/>
      <c r="L347" s="21"/>
      <c r="M347" s="13"/>
      <c r="N347" s="7" t="str">
        <f t="shared" si="11"/>
        <v/>
      </c>
    </row>
    <row r="348" spans="1:14" x14ac:dyDescent="0.35">
      <c r="A348" s="81"/>
      <c r="B348" s="81"/>
      <c r="C348" s="21"/>
      <c r="D348" s="13"/>
      <c r="E348" s="13"/>
      <c r="F348" s="13"/>
      <c r="G348" s="22"/>
      <c r="H348" s="22"/>
      <c r="I348" s="28" t="str">
        <f t="shared" si="10"/>
        <v/>
      </c>
      <c r="J348" s="14"/>
      <c r="K348" s="14"/>
      <c r="L348" s="21"/>
      <c r="M348" s="13"/>
      <c r="N348" s="7" t="str">
        <f t="shared" si="11"/>
        <v/>
      </c>
    </row>
    <row r="349" spans="1:14" x14ac:dyDescent="0.35">
      <c r="A349" s="81"/>
      <c r="B349" s="81"/>
      <c r="C349" s="21"/>
      <c r="D349" s="13"/>
      <c r="E349" s="13"/>
      <c r="F349" s="13"/>
      <c r="G349" s="22"/>
      <c r="H349" s="22"/>
      <c r="I349" s="28" t="str">
        <f t="shared" si="10"/>
        <v/>
      </c>
      <c r="J349" s="14"/>
      <c r="K349" s="14"/>
      <c r="L349" s="21"/>
      <c r="M349" s="13"/>
      <c r="N349" s="7" t="str">
        <f t="shared" si="11"/>
        <v/>
      </c>
    </row>
    <row r="350" spans="1:14" x14ac:dyDescent="0.35">
      <c r="A350" s="81"/>
      <c r="B350" s="81"/>
      <c r="C350" s="21"/>
      <c r="D350" s="13"/>
      <c r="E350" s="13"/>
      <c r="F350" s="13"/>
      <c r="G350" s="22"/>
      <c r="H350" s="22"/>
      <c r="I350" s="28" t="str">
        <f t="shared" si="10"/>
        <v/>
      </c>
      <c r="J350" s="14"/>
      <c r="K350" s="14"/>
      <c r="L350" s="21"/>
      <c r="M350" s="13"/>
      <c r="N350" s="7" t="str">
        <f t="shared" si="11"/>
        <v/>
      </c>
    </row>
    <row r="351" spans="1:14" x14ac:dyDescent="0.35">
      <c r="A351" s="81"/>
      <c r="B351" s="81"/>
      <c r="C351" s="21"/>
      <c r="D351" s="13"/>
      <c r="E351" s="13"/>
      <c r="F351" s="13"/>
      <c r="G351" s="22"/>
      <c r="H351" s="22"/>
      <c r="I351" s="28" t="str">
        <f t="shared" si="10"/>
        <v/>
      </c>
      <c r="J351" s="14"/>
      <c r="K351" s="14"/>
      <c r="L351" s="21"/>
      <c r="M351" s="13"/>
      <c r="N351" s="7" t="str">
        <f t="shared" si="11"/>
        <v/>
      </c>
    </row>
    <row r="352" spans="1:14" x14ac:dyDescent="0.35">
      <c r="A352" s="81"/>
      <c r="B352" s="81"/>
      <c r="C352" s="21"/>
      <c r="D352" s="13"/>
      <c r="E352" s="13"/>
      <c r="F352" s="13"/>
      <c r="G352" s="22"/>
      <c r="H352" s="22"/>
      <c r="I352" s="28" t="str">
        <f t="shared" si="10"/>
        <v/>
      </c>
      <c r="J352" s="14"/>
      <c r="K352" s="14"/>
      <c r="L352" s="21"/>
      <c r="M352" s="13"/>
      <c r="N352" s="7" t="str">
        <f t="shared" si="11"/>
        <v/>
      </c>
    </row>
    <row r="353" spans="1:14" x14ac:dyDescent="0.35">
      <c r="A353" s="81"/>
      <c r="B353" s="81"/>
      <c r="C353" s="21"/>
      <c r="D353" s="13"/>
      <c r="E353" s="13"/>
      <c r="F353" s="13"/>
      <c r="G353" s="22"/>
      <c r="H353" s="22"/>
      <c r="I353" s="28" t="str">
        <f t="shared" si="10"/>
        <v/>
      </c>
      <c r="J353" s="14"/>
      <c r="K353" s="14"/>
      <c r="L353" s="21"/>
      <c r="M353" s="13"/>
      <c r="N353" s="7" t="str">
        <f t="shared" si="11"/>
        <v/>
      </c>
    </row>
    <row r="354" spans="1:14" x14ac:dyDescent="0.35">
      <c r="A354" s="81"/>
      <c r="B354" s="81"/>
      <c r="C354" s="21"/>
      <c r="D354" s="13"/>
      <c r="E354" s="13"/>
      <c r="F354" s="13"/>
      <c r="G354" s="22"/>
      <c r="H354" s="22"/>
      <c r="I354" s="28" t="str">
        <f t="shared" si="10"/>
        <v/>
      </c>
      <c r="J354" s="14"/>
      <c r="K354" s="14"/>
      <c r="L354" s="21"/>
      <c r="M354" s="13"/>
      <c r="N354" s="7" t="str">
        <f t="shared" si="11"/>
        <v/>
      </c>
    </row>
    <row r="355" spans="1:14" x14ac:dyDescent="0.35">
      <c r="A355" s="81"/>
      <c r="B355" s="81"/>
      <c r="C355" s="21"/>
      <c r="D355" s="13"/>
      <c r="E355" s="13"/>
      <c r="F355" s="13"/>
      <c r="G355" s="22"/>
      <c r="H355" s="22"/>
      <c r="I355" s="28" t="str">
        <f t="shared" si="10"/>
        <v/>
      </c>
      <c r="J355" s="14"/>
      <c r="K355" s="14"/>
      <c r="L355" s="21"/>
      <c r="M355" s="13"/>
      <c r="N355" s="7" t="str">
        <f t="shared" si="11"/>
        <v/>
      </c>
    </row>
    <row r="356" spans="1:14" x14ac:dyDescent="0.35">
      <c r="A356" s="81"/>
      <c r="B356" s="81"/>
      <c r="C356" s="21"/>
      <c r="D356" s="13"/>
      <c r="E356" s="13"/>
      <c r="F356" s="13"/>
      <c r="G356" s="22"/>
      <c r="H356" s="22"/>
      <c r="I356" s="28" t="str">
        <f t="shared" si="10"/>
        <v/>
      </c>
      <c r="J356" s="14"/>
      <c r="K356" s="14"/>
      <c r="L356" s="21"/>
      <c r="M356" s="13"/>
      <c r="N356" s="7" t="str">
        <f t="shared" si="11"/>
        <v/>
      </c>
    </row>
    <row r="357" spans="1:14" x14ac:dyDescent="0.35">
      <c r="A357" s="81"/>
      <c r="B357" s="81"/>
      <c r="C357" s="21"/>
      <c r="D357" s="13"/>
      <c r="E357" s="13"/>
      <c r="F357" s="13"/>
      <c r="G357" s="22"/>
      <c r="H357" s="22"/>
      <c r="I357" s="28" t="str">
        <f t="shared" si="10"/>
        <v/>
      </c>
      <c r="J357" s="14"/>
      <c r="K357" s="14"/>
      <c r="L357" s="21"/>
      <c r="M357" s="13"/>
      <c r="N357" s="7" t="str">
        <f t="shared" si="11"/>
        <v/>
      </c>
    </row>
    <row r="358" spans="1:14" x14ac:dyDescent="0.35">
      <c r="A358" s="81"/>
      <c r="B358" s="81"/>
      <c r="C358" s="21"/>
      <c r="D358" s="13"/>
      <c r="E358" s="13"/>
      <c r="F358" s="13"/>
      <c r="G358" s="22"/>
      <c r="H358" s="22"/>
      <c r="I358" s="28" t="str">
        <f t="shared" si="10"/>
        <v/>
      </c>
      <c r="J358" s="14"/>
      <c r="K358" s="14"/>
      <c r="L358" s="21"/>
      <c r="M358" s="13"/>
      <c r="N358" s="7" t="str">
        <f t="shared" si="11"/>
        <v/>
      </c>
    </row>
    <row r="359" spans="1:14" x14ac:dyDescent="0.35">
      <c r="A359" s="81"/>
      <c r="B359" s="81"/>
      <c r="C359" s="21"/>
      <c r="D359" s="13"/>
      <c r="E359" s="13"/>
      <c r="F359" s="13"/>
      <c r="G359" s="22"/>
      <c r="H359" s="22"/>
      <c r="I359" s="28" t="str">
        <f t="shared" si="10"/>
        <v/>
      </c>
      <c r="J359" s="14"/>
      <c r="K359" s="14"/>
      <c r="L359" s="21"/>
      <c r="M359" s="13"/>
      <c r="N359" s="7" t="str">
        <f t="shared" si="11"/>
        <v/>
      </c>
    </row>
    <row r="360" spans="1:14" x14ac:dyDescent="0.35">
      <c r="A360" s="81"/>
      <c r="B360" s="81"/>
      <c r="C360" s="21"/>
      <c r="D360" s="13"/>
      <c r="E360" s="13"/>
      <c r="F360" s="13"/>
      <c r="G360" s="22"/>
      <c r="H360" s="22"/>
      <c r="I360" s="28" t="str">
        <f t="shared" si="10"/>
        <v/>
      </c>
      <c r="J360" s="14"/>
      <c r="K360" s="14"/>
      <c r="L360" s="21"/>
      <c r="M360" s="13"/>
      <c r="N360" s="7" t="str">
        <f t="shared" si="11"/>
        <v/>
      </c>
    </row>
    <row r="361" spans="1:14" x14ac:dyDescent="0.35">
      <c r="A361" s="81"/>
      <c r="B361" s="81"/>
      <c r="C361" s="21"/>
      <c r="D361" s="13"/>
      <c r="E361" s="13"/>
      <c r="F361" s="13"/>
      <c r="G361" s="22"/>
      <c r="H361" s="22"/>
      <c r="I361" s="28" t="str">
        <f t="shared" si="10"/>
        <v/>
      </c>
      <c r="J361" s="14"/>
      <c r="K361" s="14"/>
      <c r="L361" s="21"/>
      <c r="M361" s="13"/>
      <c r="N361" s="7" t="str">
        <f t="shared" si="11"/>
        <v/>
      </c>
    </row>
    <row r="362" spans="1:14" x14ac:dyDescent="0.35">
      <c r="A362" s="81"/>
      <c r="B362" s="81"/>
      <c r="C362" s="21"/>
      <c r="D362" s="13"/>
      <c r="E362" s="13"/>
      <c r="F362" s="13"/>
      <c r="G362" s="22"/>
      <c r="H362" s="22"/>
      <c r="I362" s="28" t="str">
        <f t="shared" si="10"/>
        <v/>
      </c>
      <c r="J362" s="14"/>
      <c r="K362" s="14"/>
      <c r="L362" s="21"/>
      <c r="M362" s="13"/>
      <c r="N362" s="7" t="str">
        <f t="shared" si="11"/>
        <v/>
      </c>
    </row>
    <row r="363" spans="1:14" x14ac:dyDescent="0.35">
      <c r="A363" s="81"/>
      <c r="B363" s="81"/>
      <c r="C363" s="21"/>
      <c r="D363" s="13"/>
      <c r="E363" s="13"/>
      <c r="F363" s="13"/>
      <c r="G363" s="22"/>
      <c r="H363" s="22"/>
      <c r="I363" s="28" t="str">
        <f t="shared" si="10"/>
        <v/>
      </c>
      <c r="J363" s="14"/>
      <c r="K363" s="14"/>
      <c r="L363" s="21"/>
      <c r="M363" s="13"/>
      <c r="N363" s="7" t="str">
        <f t="shared" si="11"/>
        <v/>
      </c>
    </row>
    <row r="364" spans="1:14" x14ac:dyDescent="0.35">
      <c r="A364" s="81"/>
      <c r="B364" s="81"/>
      <c r="C364" s="21"/>
      <c r="D364" s="13"/>
      <c r="E364" s="13"/>
      <c r="F364" s="13"/>
      <c r="G364" s="22"/>
      <c r="H364" s="22"/>
      <c r="I364" s="28" t="str">
        <f t="shared" si="10"/>
        <v/>
      </c>
      <c r="J364" s="14"/>
      <c r="K364" s="14"/>
      <c r="L364" s="21"/>
      <c r="M364" s="13"/>
      <c r="N364" s="7" t="str">
        <f t="shared" si="11"/>
        <v/>
      </c>
    </row>
    <row r="365" spans="1:14" x14ac:dyDescent="0.35">
      <c r="A365" s="81"/>
      <c r="B365" s="81"/>
      <c r="C365" s="21"/>
      <c r="D365" s="13"/>
      <c r="E365" s="13"/>
      <c r="F365" s="13"/>
      <c r="G365" s="22"/>
      <c r="H365" s="22"/>
      <c r="I365" s="28" t="str">
        <f t="shared" si="10"/>
        <v/>
      </c>
      <c r="J365" s="14"/>
      <c r="K365" s="14"/>
      <c r="L365" s="21"/>
      <c r="M365" s="13"/>
      <c r="N365" s="7" t="str">
        <f t="shared" si="11"/>
        <v/>
      </c>
    </row>
    <row r="366" spans="1:14" x14ac:dyDescent="0.35">
      <c r="A366" s="81"/>
      <c r="B366" s="81"/>
      <c r="C366" s="21"/>
      <c r="D366" s="13"/>
      <c r="E366" s="13"/>
      <c r="F366" s="13"/>
      <c r="G366" s="22"/>
      <c r="H366" s="22"/>
      <c r="I366" s="28" t="str">
        <f t="shared" si="10"/>
        <v/>
      </c>
      <c r="J366" s="14"/>
      <c r="K366" s="14"/>
      <c r="L366" s="21"/>
      <c r="M366" s="13"/>
      <c r="N366" s="7" t="str">
        <f t="shared" si="11"/>
        <v/>
      </c>
    </row>
    <row r="367" spans="1:14" x14ac:dyDescent="0.35">
      <c r="A367" s="81"/>
      <c r="B367" s="81"/>
      <c r="C367" s="21"/>
      <c r="D367" s="13"/>
      <c r="E367" s="13"/>
      <c r="F367" s="13"/>
      <c r="G367" s="22"/>
      <c r="H367" s="22"/>
      <c r="I367" s="28" t="str">
        <f t="shared" si="10"/>
        <v/>
      </c>
      <c r="J367" s="14"/>
      <c r="K367" s="14"/>
      <c r="L367" s="21"/>
      <c r="M367" s="13"/>
      <c r="N367" s="7" t="str">
        <f t="shared" si="11"/>
        <v/>
      </c>
    </row>
    <row r="368" spans="1:14" x14ac:dyDescent="0.35">
      <c r="A368" s="81"/>
      <c r="B368" s="81"/>
      <c r="C368" s="21"/>
      <c r="D368" s="13"/>
      <c r="E368" s="13"/>
      <c r="F368" s="13"/>
      <c r="G368" s="22"/>
      <c r="H368" s="22"/>
      <c r="I368" s="28" t="str">
        <f t="shared" si="10"/>
        <v/>
      </c>
      <c r="J368" s="14"/>
      <c r="K368" s="14"/>
      <c r="L368" s="21"/>
      <c r="M368" s="13"/>
      <c r="N368" s="7" t="str">
        <f t="shared" si="11"/>
        <v/>
      </c>
    </row>
    <row r="369" spans="1:14" x14ac:dyDescent="0.35">
      <c r="A369" s="81"/>
      <c r="B369" s="81"/>
      <c r="C369" s="21"/>
      <c r="D369" s="13"/>
      <c r="E369" s="13"/>
      <c r="F369" s="13"/>
      <c r="G369" s="22"/>
      <c r="H369" s="22"/>
      <c r="I369" s="28" t="str">
        <f t="shared" si="10"/>
        <v/>
      </c>
      <c r="J369" s="14"/>
      <c r="K369" s="14"/>
      <c r="L369" s="21"/>
      <c r="M369" s="13"/>
      <c r="N369" s="7" t="str">
        <f t="shared" si="11"/>
        <v/>
      </c>
    </row>
    <row r="370" spans="1:14" x14ac:dyDescent="0.35">
      <c r="A370" s="81"/>
      <c r="B370" s="81"/>
      <c r="C370" s="21"/>
      <c r="D370" s="13"/>
      <c r="E370" s="13"/>
      <c r="F370" s="13"/>
      <c r="G370" s="22"/>
      <c r="H370" s="22"/>
      <c r="I370" s="28" t="str">
        <f t="shared" si="10"/>
        <v/>
      </c>
      <c r="J370" s="14"/>
      <c r="K370" s="14"/>
      <c r="L370" s="21"/>
      <c r="M370" s="13"/>
      <c r="N370" s="7" t="str">
        <f t="shared" si="11"/>
        <v/>
      </c>
    </row>
    <row r="371" spans="1:14" x14ac:dyDescent="0.35">
      <c r="A371" s="81"/>
      <c r="B371" s="81"/>
      <c r="C371" s="21"/>
      <c r="D371" s="13"/>
      <c r="E371" s="13"/>
      <c r="F371" s="13"/>
      <c r="G371" s="22"/>
      <c r="H371" s="22"/>
      <c r="I371" s="28" t="str">
        <f t="shared" si="10"/>
        <v/>
      </c>
      <c r="J371" s="14"/>
      <c r="K371" s="14"/>
      <c r="L371" s="21"/>
      <c r="M371" s="13"/>
      <c r="N371" s="7" t="str">
        <f t="shared" si="11"/>
        <v/>
      </c>
    </row>
    <row r="372" spans="1:14" x14ac:dyDescent="0.35">
      <c r="A372" s="81"/>
      <c r="B372" s="81"/>
      <c r="C372" s="21"/>
      <c r="D372" s="13"/>
      <c r="E372" s="13"/>
      <c r="F372" s="13"/>
      <c r="G372" s="22"/>
      <c r="H372" s="22"/>
      <c r="I372" s="28" t="str">
        <f t="shared" si="10"/>
        <v/>
      </c>
      <c r="J372" s="14"/>
      <c r="K372" s="14"/>
      <c r="L372" s="21"/>
      <c r="M372" s="13"/>
      <c r="N372" s="7" t="str">
        <f t="shared" si="11"/>
        <v/>
      </c>
    </row>
    <row r="373" spans="1:14" x14ac:dyDescent="0.35">
      <c r="A373" s="81"/>
      <c r="B373" s="81"/>
      <c r="C373" s="21"/>
      <c r="D373" s="13"/>
      <c r="E373" s="13"/>
      <c r="F373" s="13"/>
      <c r="G373" s="22"/>
      <c r="H373" s="22"/>
      <c r="I373" s="28" t="str">
        <f t="shared" si="10"/>
        <v/>
      </c>
      <c r="J373" s="14"/>
      <c r="K373" s="14"/>
      <c r="L373" s="21"/>
      <c r="M373" s="13"/>
      <c r="N373" s="7" t="str">
        <f t="shared" si="11"/>
        <v/>
      </c>
    </row>
    <row r="374" spans="1:14" x14ac:dyDescent="0.35">
      <c r="A374" s="81"/>
      <c r="B374" s="81"/>
      <c r="C374" s="21"/>
      <c r="D374" s="13"/>
      <c r="E374" s="13"/>
      <c r="F374" s="13"/>
      <c r="G374" s="22"/>
      <c r="H374" s="22"/>
      <c r="I374" s="28" t="str">
        <f t="shared" si="10"/>
        <v/>
      </c>
      <c r="J374" s="14"/>
      <c r="K374" s="14"/>
      <c r="L374" s="21"/>
      <c r="M374" s="13"/>
      <c r="N374" s="7" t="str">
        <f t="shared" si="11"/>
        <v/>
      </c>
    </row>
    <row r="375" spans="1:14" x14ac:dyDescent="0.35">
      <c r="A375" s="81"/>
      <c r="B375" s="81"/>
      <c r="C375" s="21"/>
      <c r="D375" s="13"/>
      <c r="E375" s="13"/>
      <c r="F375" s="13"/>
      <c r="G375" s="22"/>
      <c r="H375" s="22"/>
      <c r="I375" s="28" t="str">
        <f t="shared" si="10"/>
        <v/>
      </c>
      <c r="J375" s="14"/>
      <c r="K375" s="14"/>
      <c r="L375" s="21"/>
      <c r="M375" s="13"/>
      <c r="N375" s="7" t="str">
        <f t="shared" si="11"/>
        <v/>
      </c>
    </row>
    <row r="376" spans="1:14" x14ac:dyDescent="0.35">
      <c r="A376" s="81"/>
      <c r="B376" s="81"/>
      <c r="C376" s="21"/>
      <c r="D376" s="13"/>
      <c r="E376" s="13"/>
      <c r="F376" s="13"/>
      <c r="G376" s="22"/>
      <c r="H376" s="22"/>
      <c r="I376" s="28" t="str">
        <f t="shared" si="10"/>
        <v/>
      </c>
      <c r="J376" s="14"/>
      <c r="K376" s="14"/>
      <c r="L376" s="21"/>
      <c r="M376" s="13"/>
      <c r="N376" s="7" t="str">
        <f t="shared" si="11"/>
        <v/>
      </c>
    </row>
    <row r="377" spans="1:14" x14ac:dyDescent="0.35">
      <c r="A377" s="81"/>
      <c r="B377" s="81"/>
      <c r="C377" s="21"/>
      <c r="D377" s="13"/>
      <c r="E377" s="13"/>
      <c r="F377" s="13"/>
      <c r="G377" s="22"/>
      <c r="H377" s="22"/>
      <c r="I377" s="28" t="str">
        <f t="shared" si="10"/>
        <v/>
      </c>
      <c r="J377" s="14"/>
      <c r="K377" s="14"/>
      <c r="L377" s="21"/>
      <c r="M377" s="13"/>
      <c r="N377" s="7" t="str">
        <f t="shared" si="11"/>
        <v/>
      </c>
    </row>
    <row r="378" spans="1:14" x14ac:dyDescent="0.35">
      <c r="A378" s="81"/>
      <c r="B378" s="81"/>
      <c r="C378" s="21"/>
      <c r="D378" s="13"/>
      <c r="E378" s="13"/>
      <c r="F378" s="13"/>
      <c r="G378" s="22"/>
      <c r="H378" s="22"/>
      <c r="I378" s="28" t="str">
        <f t="shared" si="10"/>
        <v/>
      </c>
      <c r="J378" s="14"/>
      <c r="K378" s="14"/>
      <c r="L378" s="21"/>
      <c r="M378" s="13"/>
      <c r="N378" s="7" t="str">
        <f t="shared" si="11"/>
        <v/>
      </c>
    </row>
    <row r="379" spans="1:14" x14ac:dyDescent="0.35">
      <c r="A379" s="81"/>
      <c r="B379" s="81"/>
      <c r="C379" s="21"/>
      <c r="D379" s="13"/>
      <c r="E379" s="13"/>
      <c r="F379" s="13"/>
      <c r="G379" s="22"/>
      <c r="H379" s="22"/>
      <c r="I379" s="28" t="str">
        <f t="shared" si="10"/>
        <v/>
      </c>
      <c r="J379" s="14"/>
      <c r="K379" s="14"/>
      <c r="L379" s="21"/>
      <c r="M379" s="13"/>
      <c r="N379" s="7" t="str">
        <f t="shared" si="11"/>
        <v/>
      </c>
    </row>
    <row r="380" spans="1:14" x14ac:dyDescent="0.35">
      <c r="A380" s="81"/>
      <c r="B380" s="81"/>
      <c r="C380" s="21"/>
      <c r="D380" s="13"/>
      <c r="E380" s="13"/>
      <c r="F380" s="13"/>
      <c r="G380" s="22"/>
      <c r="H380" s="22"/>
      <c r="I380" s="28" t="str">
        <f t="shared" si="10"/>
        <v/>
      </c>
      <c r="J380" s="14"/>
      <c r="K380" s="14"/>
      <c r="L380" s="21"/>
      <c r="M380" s="13"/>
      <c r="N380" s="7" t="str">
        <f t="shared" si="11"/>
        <v/>
      </c>
    </row>
    <row r="381" spans="1:14" x14ac:dyDescent="0.35">
      <c r="A381" s="81"/>
      <c r="B381" s="81"/>
      <c r="C381" s="21"/>
      <c r="D381" s="13"/>
      <c r="E381" s="13"/>
      <c r="F381" s="13"/>
      <c r="G381" s="22"/>
      <c r="H381" s="22"/>
      <c r="I381" s="28" t="str">
        <f t="shared" si="10"/>
        <v/>
      </c>
      <c r="J381" s="14"/>
      <c r="K381" s="14"/>
      <c r="L381" s="21"/>
      <c r="M381" s="13"/>
      <c r="N381" s="7" t="str">
        <f t="shared" si="11"/>
        <v/>
      </c>
    </row>
    <row r="382" spans="1:14" x14ac:dyDescent="0.35">
      <c r="A382" s="81"/>
      <c r="B382" s="81"/>
      <c r="C382" s="21"/>
      <c r="D382" s="13"/>
      <c r="E382" s="13"/>
      <c r="F382" s="13"/>
      <c r="G382" s="22"/>
      <c r="H382" s="22"/>
      <c r="I382" s="28" t="str">
        <f t="shared" si="10"/>
        <v/>
      </c>
      <c r="J382" s="14"/>
      <c r="K382" s="14"/>
      <c r="L382" s="21"/>
      <c r="M382" s="13"/>
      <c r="N382" s="7" t="str">
        <f t="shared" si="11"/>
        <v/>
      </c>
    </row>
    <row r="383" spans="1:14" x14ac:dyDescent="0.35">
      <c r="A383" s="81"/>
      <c r="B383" s="81"/>
      <c r="C383" s="21"/>
      <c r="D383" s="13"/>
      <c r="E383" s="13"/>
      <c r="F383" s="13"/>
      <c r="G383" s="22"/>
      <c r="H383" s="22"/>
      <c r="I383" s="28" t="str">
        <f t="shared" si="10"/>
        <v/>
      </c>
      <c r="J383" s="14"/>
      <c r="K383" s="14"/>
      <c r="L383" s="21"/>
      <c r="M383" s="13"/>
      <c r="N383" s="7" t="str">
        <f t="shared" si="11"/>
        <v/>
      </c>
    </row>
    <row r="384" spans="1:14" x14ac:dyDescent="0.35">
      <c r="A384" s="81"/>
      <c r="B384" s="81"/>
      <c r="C384" s="21"/>
      <c r="D384" s="13"/>
      <c r="E384" s="13"/>
      <c r="F384" s="13"/>
      <c r="G384" s="22"/>
      <c r="H384" s="22"/>
      <c r="I384" s="28" t="str">
        <f t="shared" si="10"/>
        <v/>
      </c>
      <c r="J384" s="14"/>
      <c r="K384" s="14"/>
      <c r="L384" s="21"/>
      <c r="M384" s="13"/>
      <c r="N384" s="7" t="str">
        <f t="shared" si="11"/>
        <v/>
      </c>
    </row>
    <row r="385" spans="1:14" x14ac:dyDescent="0.35">
      <c r="A385" s="81"/>
      <c r="B385" s="81"/>
      <c r="C385" s="21"/>
      <c r="D385" s="13"/>
      <c r="E385" s="13"/>
      <c r="F385" s="13"/>
      <c r="G385" s="22"/>
      <c r="H385" s="22"/>
      <c r="I385" s="28" t="str">
        <f t="shared" si="10"/>
        <v/>
      </c>
      <c r="J385" s="14"/>
      <c r="K385" s="14"/>
      <c r="L385" s="21"/>
      <c r="M385" s="13"/>
      <c r="N385" s="7" t="str">
        <f t="shared" si="11"/>
        <v/>
      </c>
    </row>
    <row r="386" spans="1:14" x14ac:dyDescent="0.35">
      <c r="A386" s="81"/>
      <c r="B386" s="81"/>
      <c r="C386" s="21"/>
      <c r="D386" s="13"/>
      <c r="E386" s="13"/>
      <c r="F386" s="13"/>
      <c r="G386" s="22"/>
      <c r="H386" s="22"/>
      <c r="I386" s="28" t="str">
        <f t="shared" si="10"/>
        <v/>
      </c>
      <c r="J386" s="14"/>
      <c r="K386" s="14"/>
      <c r="L386" s="21"/>
      <c r="M386" s="13"/>
      <c r="N386" s="7" t="str">
        <f t="shared" si="11"/>
        <v/>
      </c>
    </row>
    <row r="387" spans="1:14" x14ac:dyDescent="0.35">
      <c r="A387" s="81"/>
      <c r="B387" s="81"/>
      <c r="C387" s="21"/>
      <c r="D387" s="13"/>
      <c r="E387" s="13"/>
      <c r="F387" s="13"/>
      <c r="G387" s="22"/>
      <c r="H387" s="22"/>
      <c r="I387" s="28" t="str">
        <f t="shared" ref="I387:I450" si="12">IF($G387="","",$G387-N($H387))</f>
        <v/>
      </c>
      <c r="J387" s="14"/>
      <c r="K387" s="14"/>
      <c r="L387" s="21"/>
      <c r="M387" s="13"/>
      <c r="N387" s="7" t="str">
        <f t="shared" ref="N387:N450" si="13">IF($G387="","",IF(N($H387)&gt;=$G387,"Payé",IF(N($H387)&gt;0,"Partiellement payé","Non payé")))</f>
        <v/>
      </c>
    </row>
    <row r="388" spans="1:14" x14ac:dyDescent="0.35">
      <c r="A388" s="81"/>
      <c r="B388" s="81"/>
      <c r="C388" s="21"/>
      <c r="D388" s="13"/>
      <c r="E388" s="13"/>
      <c r="F388" s="13"/>
      <c r="G388" s="22"/>
      <c r="H388" s="22"/>
      <c r="I388" s="28" t="str">
        <f t="shared" si="12"/>
        <v/>
      </c>
      <c r="J388" s="14"/>
      <c r="K388" s="14"/>
      <c r="L388" s="21"/>
      <c r="M388" s="13"/>
      <c r="N388" s="7" t="str">
        <f t="shared" si="13"/>
        <v/>
      </c>
    </row>
    <row r="389" spans="1:14" x14ac:dyDescent="0.35">
      <c r="A389" s="81"/>
      <c r="B389" s="81"/>
      <c r="C389" s="21"/>
      <c r="D389" s="13"/>
      <c r="E389" s="13"/>
      <c r="F389" s="13"/>
      <c r="G389" s="22"/>
      <c r="H389" s="22"/>
      <c r="I389" s="28" t="str">
        <f t="shared" si="12"/>
        <v/>
      </c>
      <c r="J389" s="14"/>
      <c r="K389" s="14"/>
      <c r="L389" s="21"/>
      <c r="M389" s="13"/>
      <c r="N389" s="7" t="str">
        <f t="shared" si="13"/>
        <v/>
      </c>
    </row>
    <row r="390" spans="1:14" x14ac:dyDescent="0.35">
      <c r="A390" s="81"/>
      <c r="B390" s="81"/>
      <c r="C390" s="21"/>
      <c r="D390" s="13"/>
      <c r="E390" s="13"/>
      <c r="F390" s="13"/>
      <c r="G390" s="22"/>
      <c r="H390" s="22"/>
      <c r="I390" s="28" t="str">
        <f t="shared" si="12"/>
        <v/>
      </c>
      <c r="J390" s="14"/>
      <c r="K390" s="14"/>
      <c r="L390" s="21"/>
      <c r="M390" s="13"/>
      <c r="N390" s="7" t="str">
        <f t="shared" si="13"/>
        <v/>
      </c>
    </row>
    <row r="391" spans="1:14" x14ac:dyDescent="0.35">
      <c r="A391" s="81"/>
      <c r="B391" s="81"/>
      <c r="C391" s="21"/>
      <c r="D391" s="13"/>
      <c r="E391" s="13"/>
      <c r="F391" s="13"/>
      <c r="G391" s="22"/>
      <c r="H391" s="22"/>
      <c r="I391" s="28" t="str">
        <f t="shared" si="12"/>
        <v/>
      </c>
      <c r="J391" s="14"/>
      <c r="K391" s="14"/>
      <c r="L391" s="21"/>
      <c r="M391" s="13"/>
      <c r="N391" s="7" t="str">
        <f t="shared" si="13"/>
        <v/>
      </c>
    </row>
    <row r="392" spans="1:14" x14ac:dyDescent="0.35">
      <c r="A392" s="81"/>
      <c r="B392" s="81"/>
      <c r="C392" s="21"/>
      <c r="D392" s="13"/>
      <c r="E392" s="13"/>
      <c r="F392" s="13"/>
      <c r="G392" s="22"/>
      <c r="H392" s="22"/>
      <c r="I392" s="28" t="str">
        <f t="shared" si="12"/>
        <v/>
      </c>
      <c r="J392" s="14"/>
      <c r="K392" s="14"/>
      <c r="L392" s="21"/>
      <c r="M392" s="13"/>
      <c r="N392" s="7" t="str">
        <f t="shared" si="13"/>
        <v/>
      </c>
    </row>
    <row r="393" spans="1:14" x14ac:dyDescent="0.35">
      <c r="A393" s="81"/>
      <c r="B393" s="81"/>
      <c r="C393" s="21"/>
      <c r="D393" s="13"/>
      <c r="E393" s="13"/>
      <c r="F393" s="13"/>
      <c r="G393" s="22"/>
      <c r="H393" s="22"/>
      <c r="I393" s="28" t="str">
        <f t="shared" si="12"/>
        <v/>
      </c>
      <c r="J393" s="14"/>
      <c r="K393" s="14"/>
      <c r="L393" s="21"/>
      <c r="M393" s="13"/>
      <c r="N393" s="7" t="str">
        <f t="shared" si="13"/>
        <v/>
      </c>
    </row>
    <row r="394" spans="1:14" x14ac:dyDescent="0.35">
      <c r="A394" s="81"/>
      <c r="B394" s="81"/>
      <c r="C394" s="21"/>
      <c r="D394" s="13"/>
      <c r="E394" s="13"/>
      <c r="F394" s="13"/>
      <c r="G394" s="22"/>
      <c r="H394" s="22"/>
      <c r="I394" s="28" t="str">
        <f t="shared" si="12"/>
        <v/>
      </c>
      <c r="J394" s="14"/>
      <c r="K394" s="14"/>
      <c r="L394" s="21"/>
      <c r="M394" s="13"/>
      <c r="N394" s="7" t="str">
        <f t="shared" si="13"/>
        <v/>
      </c>
    </row>
    <row r="395" spans="1:14" x14ac:dyDescent="0.35">
      <c r="A395" s="81"/>
      <c r="B395" s="81"/>
      <c r="C395" s="21"/>
      <c r="D395" s="13"/>
      <c r="E395" s="13"/>
      <c r="F395" s="13"/>
      <c r="G395" s="22"/>
      <c r="H395" s="22"/>
      <c r="I395" s="28" t="str">
        <f t="shared" si="12"/>
        <v/>
      </c>
      <c r="J395" s="14"/>
      <c r="K395" s="14"/>
      <c r="L395" s="21"/>
      <c r="M395" s="13"/>
      <c r="N395" s="7" t="str">
        <f t="shared" si="13"/>
        <v/>
      </c>
    </row>
    <row r="396" spans="1:14" x14ac:dyDescent="0.35">
      <c r="A396" s="81"/>
      <c r="B396" s="81"/>
      <c r="C396" s="21"/>
      <c r="D396" s="13"/>
      <c r="E396" s="13"/>
      <c r="F396" s="13"/>
      <c r="G396" s="22"/>
      <c r="H396" s="22"/>
      <c r="I396" s="28" t="str">
        <f t="shared" si="12"/>
        <v/>
      </c>
      <c r="J396" s="14"/>
      <c r="K396" s="14"/>
      <c r="L396" s="21"/>
      <c r="M396" s="13"/>
      <c r="N396" s="7" t="str">
        <f t="shared" si="13"/>
        <v/>
      </c>
    </row>
    <row r="397" spans="1:14" x14ac:dyDescent="0.35">
      <c r="A397" s="81"/>
      <c r="B397" s="81"/>
      <c r="C397" s="21"/>
      <c r="D397" s="13"/>
      <c r="E397" s="13"/>
      <c r="F397" s="13"/>
      <c r="G397" s="22"/>
      <c r="H397" s="22"/>
      <c r="I397" s="28" t="str">
        <f t="shared" si="12"/>
        <v/>
      </c>
      <c r="J397" s="14"/>
      <c r="K397" s="14"/>
      <c r="L397" s="21"/>
      <c r="M397" s="13"/>
      <c r="N397" s="7" t="str">
        <f t="shared" si="13"/>
        <v/>
      </c>
    </row>
    <row r="398" spans="1:14" x14ac:dyDescent="0.35">
      <c r="A398" s="81"/>
      <c r="B398" s="81"/>
      <c r="C398" s="21"/>
      <c r="D398" s="13"/>
      <c r="E398" s="13"/>
      <c r="F398" s="13"/>
      <c r="G398" s="22"/>
      <c r="H398" s="22"/>
      <c r="I398" s="28" t="str">
        <f t="shared" si="12"/>
        <v/>
      </c>
      <c r="J398" s="14"/>
      <c r="K398" s="14"/>
      <c r="L398" s="21"/>
      <c r="M398" s="13"/>
      <c r="N398" s="7" t="str">
        <f t="shared" si="13"/>
        <v/>
      </c>
    </row>
    <row r="399" spans="1:14" x14ac:dyDescent="0.35">
      <c r="A399" s="81"/>
      <c r="B399" s="81"/>
      <c r="C399" s="21"/>
      <c r="D399" s="13"/>
      <c r="E399" s="13"/>
      <c r="F399" s="13"/>
      <c r="G399" s="22"/>
      <c r="H399" s="22"/>
      <c r="I399" s="28" t="str">
        <f t="shared" si="12"/>
        <v/>
      </c>
      <c r="J399" s="14"/>
      <c r="K399" s="14"/>
      <c r="L399" s="21"/>
      <c r="M399" s="13"/>
      <c r="N399" s="7" t="str">
        <f t="shared" si="13"/>
        <v/>
      </c>
    </row>
    <row r="400" spans="1:14" x14ac:dyDescent="0.35">
      <c r="A400" s="81"/>
      <c r="B400" s="81"/>
      <c r="C400" s="21"/>
      <c r="D400" s="13"/>
      <c r="E400" s="13"/>
      <c r="F400" s="13"/>
      <c r="G400" s="22"/>
      <c r="H400" s="22"/>
      <c r="I400" s="28" t="str">
        <f t="shared" si="12"/>
        <v/>
      </c>
      <c r="J400" s="14"/>
      <c r="K400" s="14"/>
      <c r="L400" s="21"/>
      <c r="M400" s="13"/>
      <c r="N400" s="7" t="str">
        <f t="shared" si="13"/>
        <v/>
      </c>
    </row>
    <row r="401" spans="1:14" x14ac:dyDescent="0.35">
      <c r="A401" s="81"/>
      <c r="B401" s="81"/>
      <c r="C401" s="21"/>
      <c r="D401" s="13"/>
      <c r="E401" s="13"/>
      <c r="F401" s="13"/>
      <c r="G401" s="22"/>
      <c r="H401" s="22"/>
      <c r="I401" s="28" t="str">
        <f t="shared" si="12"/>
        <v/>
      </c>
      <c r="J401" s="14"/>
      <c r="K401" s="14"/>
      <c r="L401" s="21"/>
      <c r="M401" s="13"/>
      <c r="N401" s="7" t="str">
        <f t="shared" si="13"/>
        <v/>
      </c>
    </row>
    <row r="402" spans="1:14" x14ac:dyDescent="0.35">
      <c r="A402" s="81"/>
      <c r="B402" s="81"/>
      <c r="C402" s="21"/>
      <c r="D402" s="13"/>
      <c r="E402" s="13"/>
      <c r="F402" s="13"/>
      <c r="G402" s="22"/>
      <c r="H402" s="22"/>
      <c r="I402" s="28" t="str">
        <f t="shared" si="12"/>
        <v/>
      </c>
      <c r="J402" s="14"/>
      <c r="K402" s="14"/>
      <c r="L402" s="21"/>
      <c r="M402" s="13"/>
      <c r="N402" s="7" t="str">
        <f t="shared" si="13"/>
        <v/>
      </c>
    </row>
    <row r="403" spans="1:14" x14ac:dyDescent="0.35">
      <c r="A403" s="81"/>
      <c r="B403" s="81"/>
      <c r="C403" s="21"/>
      <c r="D403" s="13"/>
      <c r="E403" s="13"/>
      <c r="F403" s="13"/>
      <c r="G403" s="22"/>
      <c r="H403" s="22"/>
      <c r="I403" s="28" t="str">
        <f t="shared" si="12"/>
        <v/>
      </c>
      <c r="J403" s="14"/>
      <c r="K403" s="14"/>
      <c r="L403" s="21"/>
      <c r="M403" s="13"/>
      <c r="N403" s="7" t="str">
        <f t="shared" si="13"/>
        <v/>
      </c>
    </row>
    <row r="404" spans="1:14" x14ac:dyDescent="0.35">
      <c r="A404" s="81"/>
      <c r="B404" s="81"/>
      <c r="C404" s="21"/>
      <c r="D404" s="13"/>
      <c r="E404" s="13"/>
      <c r="F404" s="13"/>
      <c r="G404" s="22"/>
      <c r="H404" s="22"/>
      <c r="I404" s="28" t="str">
        <f t="shared" si="12"/>
        <v/>
      </c>
      <c r="J404" s="14"/>
      <c r="K404" s="14"/>
      <c r="L404" s="21"/>
      <c r="M404" s="13"/>
      <c r="N404" s="7" t="str">
        <f t="shared" si="13"/>
        <v/>
      </c>
    </row>
    <row r="405" spans="1:14" x14ac:dyDescent="0.35">
      <c r="A405" s="81"/>
      <c r="B405" s="81"/>
      <c r="C405" s="21"/>
      <c r="D405" s="13"/>
      <c r="E405" s="13"/>
      <c r="F405" s="13"/>
      <c r="G405" s="22"/>
      <c r="H405" s="22"/>
      <c r="I405" s="28" t="str">
        <f t="shared" si="12"/>
        <v/>
      </c>
      <c r="J405" s="14"/>
      <c r="K405" s="14"/>
      <c r="L405" s="21"/>
      <c r="M405" s="13"/>
      <c r="N405" s="7" t="str">
        <f t="shared" si="13"/>
        <v/>
      </c>
    </row>
    <row r="406" spans="1:14" x14ac:dyDescent="0.35">
      <c r="A406" s="81"/>
      <c r="B406" s="81"/>
      <c r="C406" s="21"/>
      <c r="D406" s="13"/>
      <c r="E406" s="13"/>
      <c r="F406" s="13"/>
      <c r="G406" s="22"/>
      <c r="H406" s="22"/>
      <c r="I406" s="28" t="str">
        <f t="shared" si="12"/>
        <v/>
      </c>
      <c r="J406" s="14"/>
      <c r="K406" s="14"/>
      <c r="L406" s="21"/>
      <c r="M406" s="13"/>
      <c r="N406" s="7" t="str">
        <f t="shared" si="13"/>
        <v/>
      </c>
    </row>
    <row r="407" spans="1:14" x14ac:dyDescent="0.35">
      <c r="A407" s="81"/>
      <c r="B407" s="81"/>
      <c r="C407" s="21"/>
      <c r="D407" s="13"/>
      <c r="E407" s="13"/>
      <c r="F407" s="13"/>
      <c r="G407" s="22"/>
      <c r="H407" s="22"/>
      <c r="I407" s="28" t="str">
        <f t="shared" si="12"/>
        <v/>
      </c>
      <c r="J407" s="14"/>
      <c r="K407" s="14"/>
      <c r="L407" s="21"/>
      <c r="M407" s="13"/>
      <c r="N407" s="7" t="str">
        <f t="shared" si="13"/>
        <v/>
      </c>
    </row>
    <row r="408" spans="1:14" x14ac:dyDescent="0.35">
      <c r="A408" s="81"/>
      <c r="B408" s="81"/>
      <c r="C408" s="21"/>
      <c r="D408" s="13"/>
      <c r="E408" s="13"/>
      <c r="F408" s="13"/>
      <c r="G408" s="22"/>
      <c r="H408" s="22"/>
      <c r="I408" s="28" t="str">
        <f t="shared" si="12"/>
        <v/>
      </c>
      <c r="J408" s="14"/>
      <c r="K408" s="14"/>
      <c r="L408" s="21"/>
      <c r="M408" s="13"/>
      <c r="N408" s="7" t="str">
        <f t="shared" si="13"/>
        <v/>
      </c>
    </row>
    <row r="409" spans="1:14" x14ac:dyDescent="0.35">
      <c r="A409" s="81"/>
      <c r="B409" s="81"/>
      <c r="C409" s="21"/>
      <c r="D409" s="13"/>
      <c r="E409" s="13"/>
      <c r="F409" s="13"/>
      <c r="G409" s="22"/>
      <c r="H409" s="22"/>
      <c r="I409" s="28" t="str">
        <f t="shared" si="12"/>
        <v/>
      </c>
      <c r="J409" s="14"/>
      <c r="K409" s="14"/>
      <c r="L409" s="21"/>
      <c r="M409" s="13"/>
      <c r="N409" s="7" t="str">
        <f t="shared" si="13"/>
        <v/>
      </c>
    </row>
    <row r="410" spans="1:14" x14ac:dyDescent="0.35">
      <c r="A410" s="81"/>
      <c r="B410" s="81"/>
      <c r="C410" s="21"/>
      <c r="D410" s="13"/>
      <c r="E410" s="13"/>
      <c r="F410" s="13"/>
      <c r="G410" s="22"/>
      <c r="H410" s="22"/>
      <c r="I410" s="28" t="str">
        <f t="shared" si="12"/>
        <v/>
      </c>
      <c r="J410" s="14"/>
      <c r="K410" s="14"/>
      <c r="L410" s="21"/>
      <c r="M410" s="13"/>
      <c r="N410" s="7" t="str">
        <f t="shared" si="13"/>
        <v/>
      </c>
    </row>
    <row r="411" spans="1:14" x14ac:dyDescent="0.35">
      <c r="A411" s="81"/>
      <c r="B411" s="81"/>
      <c r="C411" s="21"/>
      <c r="D411" s="13"/>
      <c r="E411" s="13"/>
      <c r="F411" s="13"/>
      <c r="G411" s="22"/>
      <c r="H411" s="22"/>
      <c r="I411" s="28" t="str">
        <f t="shared" si="12"/>
        <v/>
      </c>
      <c r="J411" s="14"/>
      <c r="K411" s="14"/>
      <c r="L411" s="21"/>
      <c r="M411" s="13"/>
      <c r="N411" s="7" t="str">
        <f t="shared" si="13"/>
        <v/>
      </c>
    </row>
    <row r="412" spans="1:14" x14ac:dyDescent="0.35">
      <c r="A412" s="81"/>
      <c r="B412" s="81"/>
      <c r="C412" s="21"/>
      <c r="D412" s="13"/>
      <c r="E412" s="13"/>
      <c r="F412" s="13"/>
      <c r="G412" s="22"/>
      <c r="H412" s="22"/>
      <c r="I412" s="28" t="str">
        <f t="shared" si="12"/>
        <v/>
      </c>
      <c r="J412" s="14"/>
      <c r="K412" s="14"/>
      <c r="L412" s="21"/>
      <c r="M412" s="13"/>
      <c r="N412" s="7" t="str">
        <f t="shared" si="13"/>
        <v/>
      </c>
    </row>
    <row r="413" spans="1:14" x14ac:dyDescent="0.35">
      <c r="A413" s="81"/>
      <c r="B413" s="81"/>
      <c r="C413" s="21"/>
      <c r="D413" s="13"/>
      <c r="E413" s="13"/>
      <c r="F413" s="13"/>
      <c r="G413" s="22"/>
      <c r="H413" s="22"/>
      <c r="I413" s="28" t="str">
        <f t="shared" si="12"/>
        <v/>
      </c>
      <c r="J413" s="14"/>
      <c r="K413" s="14"/>
      <c r="L413" s="21"/>
      <c r="M413" s="13"/>
      <c r="N413" s="7" t="str">
        <f t="shared" si="13"/>
        <v/>
      </c>
    </row>
    <row r="414" spans="1:14" x14ac:dyDescent="0.35">
      <c r="A414" s="81"/>
      <c r="B414" s="81"/>
      <c r="C414" s="21"/>
      <c r="D414" s="13"/>
      <c r="E414" s="13"/>
      <c r="F414" s="13"/>
      <c r="G414" s="22"/>
      <c r="H414" s="22"/>
      <c r="I414" s="28" t="str">
        <f t="shared" si="12"/>
        <v/>
      </c>
      <c r="J414" s="14"/>
      <c r="K414" s="14"/>
      <c r="L414" s="21"/>
      <c r="M414" s="13"/>
      <c r="N414" s="7" t="str">
        <f t="shared" si="13"/>
        <v/>
      </c>
    </row>
    <row r="415" spans="1:14" x14ac:dyDescent="0.35">
      <c r="A415" s="81"/>
      <c r="B415" s="81"/>
      <c r="C415" s="21"/>
      <c r="D415" s="13"/>
      <c r="E415" s="13"/>
      <c r="F415" s="13"/>
      <c r="G415" s="22"/>
      <c r="H415" s="22"/>
      <c r="I415" s="28" t="str">
        <f t="shared" si="12"/>
        <v/>
      </c>
      <c r="J415" s="14"/>
      <c r="K415" s="14"/>
      <c r="L415" s="21"/>
      <c r="M415" s="13"/>
      <c r="N415" s="7" t="str">
        <f t="shared" si="13"/>
        <v/>
      </c>
    </row>
    <row r="416" spans="1:14" x14ac:dyDescent="0.35">
      <c r="A416" s="81"/>
      <c r="B416" s="81"/>
      <c r="C416" s="21"/>
      <c r="D416" s="13"/>
      <c r="E416" s="13"/>
      <c r="F416" s="13"/>
      <c r="G416" s="22"/>
      <c r="H416" s="22"/>
      <c r="I416" s="28" t="str">
        <f t="shared" si="12"/>
        <v/>
      </c>
      <c r="J416" s="14"/>
      <c r="K416" s="14"/>
      <c r="L416" s="21"/>
      <c r="M416" s="13"/>
      <c r="N416" s="7" t="str">
        <f t="shared" si="13"/>
        <v/>
      </c>
    </row>
    <row r="417" spans="1:14" x14ac:dyDescent="0.35">
      <c r="A417" s="81"/>
      <c r="B417" s="81"/>
      <c r="C417" s="21"/>
      <c r="D417" s="13"/>
      <c r="E417" s="13"/>
      <c r="F417" s="13"/>
      <c r="G417" s="22"/>
      <c r="H417" s="22"/>
      <c r="I417" s="28" t="str">
        <f t="shared" si="12"/>
        <v/>
      </c>
      <c r="J417" s="14"/>
      <c r="K417" s="14"/>
      <c r="L417" s="21"/>
      <c r="M417" s="13"/>
      <c r="N417" s="7" t="str">
        <f t="shared" si="13"/>
        <v/>
      </c>
    </row>
    <row r="418" spans="1:14" x14ac:dyDescent="0.35">
      <c r="A418" s="81"/>
      <c r="B418" s="81"/>
      <c r="C418" s="21"/>
      <c r="D418" s="13"/>
      <c r="E418" s="13"/>
      <c r="F418" s="13"/>
      <c r="G418" s="22"/>
      <c r="H418" s="22"/>
      <c r="I418" s="28" t="str">
        <f t="shared" si="12"/>
        <v/>
      </c>
      <c r="J418" s="14"/>
      <c r="K418" s="14"/>
      <c r="L418" s="21"/>
      <c r="M418" s="13"/>
      <c r="N418" s="7" t="str">
        <f t="shared" si="13"/>
        <v/>
      </c>
    </row>
    <row r="419" spans="1:14" x14ac:dyDescent="0.35">
      <c r="A419" s="81"/>
      <c r="B419" s="81"/>
      <c r="C419" s="21"/>
      <c r="D419" s="13"/>
      <c r="E419" s="13"/>
      <c r="F419" s="13"/>
      <c r="G419" s="22"/>
      <c r="H419" s="22"/>
      <c r="I419" s="28" t="str">
        <f t="shared" si="12"/>
        <v/>
      </c>
      <c r="J419" s="14"/>
      <c r="K419" s="14"/>
      <c r="L419" s="21"/>
      <c r="M419" s="13"/>
      <c r="N419" s="7" t="str">
        <f t="shared" si="13"/>
        <v/>
      </c>
    </row>
    <row r="420" spans="1:14" x14ac:dyDescent="0.35">
      <c r="A420" s="81"/>
      <c r="B420" s="81"/>
      <c r="C420" s="21"/>
      <c r="D420" s="13"/>
      <c r="E420" s="13"/>
      <c r="F420" s="13"/>
      <c r="G420" s="22"/>
      <c r="H420" s="22"/>
      <c r="I420" s="28" t="str">
        <f t="shared" si="12"/>
        <v/>
      </c>
      <c r="J420" s="14"/>
      <c r="K420" s="14"/>
      <c r="L420" s="21"/>
      <c r="M420" s="13"/>
      <c r="N420" s="7" t="str">
        <f t="shared" si="13"/>
        <v/>
      </c>
    </row>
    <row r="421" spans="1:14" x14ac:dyDescent="0.35">
      <c r="A421" s="81"/>
      <c r="B421" s="81"/>
      <c r="C421" s="21"/>
      <c r="D421" s="13"/>
      <c r="E421" s="13"/>
      <c r="F421" s="13"/>
      <c r="G421" s="22"/>
      <c r="H421" s="22"/>
      <c r="I421" s="28" t="str">
        <f t="shared" si="12"/>
        <v/>
      </c>
      <c r="J421" s="14"/>
      <c r="K421" s="14"/>
      <c r="L421" s="21"/>
      <c r="M421" s="13"/>
      <c r="N421" s="7" t="str">
        <f t="shared" si="13"/>
        <v/>
      </c>
    </row>
    <row r="422" spans="1:14" x14ac:dyDescent="0.35">
      <c r="A422" s="81"/>
      <c r="B422" s="81"/>
      <c r="C422" s="21"/>
      <c r="D422" s="13"/>
      <c r="E422" s="13"/>
      <c r="F422" s="13"/>
      <c r="G422" s="22"/>
      <c r="H422" s="22"/>
      <c r="I422" s="28" t="str">
        <f t="shared" si="12"/>
        <v/>
      </c>
      <c r="J422" s="14"/>
      <c r="K422" s="14"/>
      <c r="L422" s="21"/>
      <c r="M422" s="13"/>
      <c r="N422" s="7" t="str">
        <f t="shared" si="13"/>
        <v/>
      </c>
    </row>
    <row r="423" spans="1:14" x14ac:dyDescent="0.35">
      <c r="A423" s="81"/>
      <c r="B423" s="81"/>
      <c r="C423" s="21"/>
      <c r="D423" s="13"/>
      <c r="E423" s="13"/>
      <c r="F423" s="13"/>
      <c r="G423" s="22"/>
      <c r="H423" s="22"/>
      <c r="I423" s="28" t="str">
        <f t="shared" si="12"/>
        <v/>
      </c>
      <c r="J423" s="14"/>
      <c r="K423" s="14"/>
      <c r="L423" s="21"/>
      <c r="M423" s="13"/>
      <c r="N423" s="7" t="str">
        <f t="shared" si="13"/>
        <v/>
      </c>
    </row>
    <row r="424" spans="1:14" x14ac:dyDescent="0.35">
      <c r="A424" s="81"/>
      <c r="B424" s="81"/>
      <c r="C424" s="21"/>
      <c r="D424" s="13"/>
      <c r="E424" s="13"/>
      <c r="F424" s="13"/>
      <c r="G424" s="22"/>
      <c r="H424" s="22"/>
      <c r="I424" s="28" t="str">
        <f t="shared" si="12"/>
        <v/>
      </c>
      <c r="J424" s="14"/>
      <c r="K424" s="14"/>
      <c r="L424" s="21"/>
      <c r="M424" s="13"/>
      <c r="N424" s="7" t="str">
        <f t="shared" si="13"/>
        <v/>
      </c>
    </row>
    <row r="425" spans="1:14" x14ac:dyDescent="0.35">
      <c r="A425" s="81"/>
      <c r="B425" s="81"/>
      <c r="C425" s="21"/>
      <c r="D425" s="13"/>
      <c r="E425" s="13"/>
      <c r="F425" s="13"/>
      <c r="G425" s="22"/>
      <c r="H425" s="22"/>
      <c r="I425" s="28" t="str">
        <f t="shared" si="12"/>
        <v/>
      </c>
      <c r="J425" s="14"/>
      <c r="K425" s="14"/>
      <c r="L425" s="21"/>
      <c r="M425" s="13"/>
      <c r="N425" s="7" t="str">
        <f t="shared" si="13"/>
        <v/>
      </c>
    </row>
    <row r="426" spans="1:14" x14ac:dyDescent="0.35">
      <c r="A426" s="81"/>
      <c r="B426" s="81"/>
      <c r="C426" s="21"/>
      <c r="D426" s="13"/>
      <c r="E426" s="13"/>
      <c r="F426" s="13"/>
      <c r="G426" s="22"/>
      <c r="H426" s="22"/>
      <c r="I426" s="28" t="str">
        <f t="shared" si="12"/>
        <v/>
      </c>
      <c r="J426" s="14"/>
      <c r="K426" s="14"/>
      <c r="L426" s="21"/>
      <c r="M426" s="13"/>
      <c r="N426" s="7" t="str">
        <f t="shared" si="13"/>
        <v/>
      </c>
    </row>
    <row r="427" spans="1:14" x14ac:dyDescent="0.35">
      <c r="A427" s="81"/>
      <c r="B427" s="81"/>
      <c r="C427" s="21"/>
      <c r="D427" s="13"/>
      <c r="E427" s="13"/>
      <c r="F427" s="13"/>
      <c r="G427" s="22"/>
      <c r="H427" s="22"/>
      <c r="I427" s="28" t="str">
        <f t="shared" si="12"/>
        <v/>
      </c>
      <c r="J427" s="14"/>
      <c r="K427" s="14"/>
      <c r="L427" s="21"/>
      <c r="M427" s="13"/>
      <c r="N427" s="7" t="str">
        <f t="shared" si="13"/>
        <v/>
      </c>
    </row>
    <row r="428" spans="1:14" x14ac:dyDescent="0.35">
      <c r="A428" s="81"/>
      <c r="B428" s="81"/>
      <c r="C428" s="21"/>
      <c r="D428" s="13"/>
      <c r="E428" s="13"/>
      <c r="F428" s="13"/>
      <c r="G428" s="22"/>
      <c r="H428" s="22"/>
      <c r="I428" s="28" t="str">
        <f t="shared" si="12"/>
        <v/>
      </c>
      <c r="J428" s="14"/>
      <c r="K428" s="14"/>
      <c r="L428" s="21"/>
      <c r="M428" s="13"/>
      <c r="N428" s="7" t="str">
        <f t="shared" si="13"/>
        <v/>
      </c>
    </row>
    <row r="429" spans="1:14" x14ac:dyDescent="0.35">
      <c r="A429" s="81"/>
      <c r="B429" s="81"/>
      <c r="C429" s="21"/>
      <c r="D429" s="13"/>
      <c r="E429" s="13"/>
      <c r="F429" s="13"/>
      <c r="G429" s="22"/>
      <c r="H429" s="22"/>
      <c r="I429" s="28" t="str">
        <f t="shared" si="12"/>
        <v/>
      </c>
      <c r="J429" s="14"/>
      <c r="K429" s="14"/>
      <c r="L429" s="21"/>
      <c r="M429" s="13"/>
      <c r="N429" s="7" t="str">
        <f t="shared" si="13"/>
        <v/>
      </c>
    </row>
    <row r="430" spans="1:14" x14ac:dyDescent="0.35">
      <c r="A430" s="81"/>
      <c r="B430" s="81"/>
      <c r="C430" s="21"/>
      <c r="D430" s="13"/>
      <c r="E430" s="13"/>
      <c r="F430" s="13"/>
      <c r="G430" s="22"/>
      <c r="H430" s="22"/>
      <c r="I430" s="28" t="str">
        <f t="shared" si="12"/>
        <v/>
      </c>
      <c r="J430" s="14"/>
      <c r="K430" s="14"/>
      <c r="L430" s="21"/>
      <c r="M430" s="13"/>
      <c r="N430" s="7" t="str">
        <f t="shared" si="13"/>
        <v/>
      </c>
    </row>
    <row r="431" spans="1:14" x14ac:dyDescent="0.35">
      <c r="A431" s="81"/>
      <c r="B431" s="81"/>
      <c r="C431" s="21"/>
      <c r="D431" s="13"/>
      <c r="E431" s="13"/>
      <c r="F431" s="13"/>
      <c r="G431" s="22"/>
      <c r="H431" s="22"/>
      <c r="I431" s="28" t="str">
        <f t="shared" si="12"/>
        <v/>
      </c>
      <c r="J431" s="14"/>
      <c r="K431" s="14"/>
      <c r="L431" s="21"/>
      <c r="M431" s="13"/>
      <c r="N431" s="7" t="str">
        <f t="shared" si="13"/>
        <v/>
      </c>
    </row>
    <row r="432" spans="1:14" x14ac:dyDescent="0.35">
      <c r="A432" s="81"/>
      <c r="B432" s="81"/>
      <c r="C432" s="21"/>
      <c r="D432" s="13"/>
      <c r="E432" s="13"/>
      <c r="F432" s="13"/>
      <c r="G432" s="22"/>
      <c r="H432" s="22"/>
      <c r="I432" s="28" t="str">
        <f t="shared" si="12"/>
        <v/>
      </c>
      <c r="J432" s="14"/>
      <c r="K432" s="14"/>
      <c r="L432" s="21"/>
      <c r="M432" s="13"/>
      <c r="N432" s="7" t="str">
        <f t="shared" si="13"/>
        <v/>
      </c>
    </row>
    <row r="433" spans="1:14" x14ac:dyDescent="0.35">
      <c r="A433" s="81"/>
      <c r="B433" s="81"/>
      <c r="C433" s="21"/>
      <c r="D433" s="13"/>
      <c r="E433" s="13"/>
      <c r="F433" s="13"/>
      <c r="G433" s="22"/>
      <c r="H433" s="22"/>
      <c r="I433" s="28" t="str">
        <f t="shared" si="12"/>
        <v/>
      </c>
      <c r="J433" s="14"/>
      <c r="K433" s="14"/>
      <c r="L433" s="21"/>
      <c r="M433" s="13"/>
      <c r="N433" s="7" t="str">
        <f t="shared" si="13"/>
        <v/>
      </c>
    </row>
    <row r="434" spans="1:14" x14ac:dyDescent="0.35">
      <c r="A434" s="81"/>
      <c r="B434" s="81"/>
      <c r="C434" s="21"/>
      <c r="D434" s="13"/>
      <c r="E434" s="13"/>
      <c r="F434" s="13"/>
      <c r="G434" s="22"/>
      <c r="H434" s="22"/>
      <c r="I434" s="28" t="str">
        <f t="shared" si="12"/>
        <v/>
      </c>
      <c r="J434" s="14"/>
      <c r="K434" s="14"/>
      <c r="L434" s="21"/>
      <c r="M434" s="13"/>
      <c r="N434" s="7" t="str">
        <f t="shared" si="13"/>
        <v/>
      </c>
    </row>
    <row r="435" spans="1:14" x14ac:dyDescent="0.35">
      <c r="A435" s="81"/>
      <c r="B435" s="81"/>
      <c r="C435" s="21"/>
      <c r="D435" s="13"/>
      <c r="E435" s="13"/>
      <c r="F435" s="13"/>
      <c r="G435" s="22"/>
      <c r="H435" s="22"/>
      <c r="I435" s="28" t="str">
        <f t="shared" si="12"/>
        <v/>
      </c>
      <c r="J435" s="14"/>
      <c r="K435" s="14"/>
      <c r="L435" s="21"/>
      <c r="M435" s="13"/>
      <c r="N435" s="7" t="str">
        <f t="shared" si="13"/>
        <v/>
      </c>
    </row>
    <row r="436" spans="1:14" x14ac:dyDescent="0.35">
      <c r="A436" s="81"/>
      <c r="B436" s="81"/>
      <c r="C436" s="21"/>
      <c r="D436" s="13"/>
      <c r="E436" s="13"/>
      <c r="F436" s="13"/>
      <c r="G436" s="22"/>
      <c r="H436" s="22"/>
      <c r="I436" s="28" t="str">
        <f t="shared" si="12"/>
        <v/>
      </c>
      <c r="J436" s="14"/>
      <c r="K436" s="14"/>
      <c r="L436" s="21"/>
      <c r="M436" s="13"/>
      <c r="N436" s="7" t="str">
        <f t="shared" si="13"/>
        <v/>
      </c>
    </row>
    <row r="437" spans="1:14" x14ac:dyDescent="0.35">
      <c r="A437" s="81"/>
      <c r="B437" s="81"/>
      <c r="C437" s="21"/>
      <c r="D437" s="13"/>
      <c r="E437" s="13"/>
      <c r="F437" s="13"/>
      <c r="G437" s="22"/>
      <c r="H437" s="22"/>
      <c r="I437" s="28" t="str">
        <f t="shared" si="12"/>
        <v/>
      </c>
      <c r="J437" s="14"/>
      <c r="K437" s="14"/>
      <c r="L437" s="21"/>
      <c r="M437" s="13"/>
      <c r="N437" s="7" t="str">
        <f t="shared" si="13"/>
        <v/>
      </c>
    </row>
    <row r="438" spans="1:14" x14ac:dyDescent="0.35">
      <c r="A438" s="81"/>
      <c r="B438" s="81"/>
      <c r="C438" s="21"/>
      <c r="D438" s="13"/>
      <c r="E438" s="13"/>
      <c r="F438" s="13"/>
      <c r="G438" s="22"/>
      <c r="H438" s="22"/>
      <c r="I438" s="28" t="str">
        <f t="shared" si="12"/>
        <v/>
      </c>
      <c r="J438" s="14"/>
      <c r="K438" s="14"/>
      <c r="L438" s="21"/>
      <c r="M438" s="13"/>
      <c r="N438" s="7" t="str">
        <f t="shared" si="13"/>
        <v/>
      </c>
    </row>
    <row r="439" spans="1:14" x14ac:dyDescent="0.35">
      <c r="A439" s="81"/>
      <c r="B439" s="81"/>
      <c r="C439" s="21"/>
      <c r="D439" s="13"/>
      <c r="E439" s="13"/>
      <c r="F439" s="13"/>
      <c r="G439" s="22"/>
      <c r="H439" s="22"/>
      <c r="I439" s="28" t="str">
        <f t="shared" si="12"/>
        <v/>
      </c>
      <c r="J439" s="14"/>
      <c r="K439" s="14"/>
      <c r="L439" s="21"/>
      <c r="M439" s="13"/>
      <c r="N439" s="7" t="str">
        <f t="shared" si="13"/>
        <v/>
      </c>
    </row>
    <row r="440" spans="1:14" x14ac:dyDescent="0.35">
      <c r="A440" s="81"/>
      <c r="B440" s="81"/>
      <c r="C440" s="21"/>
      <c r="D440" s="13"/>
      <c r="E440" s="13"/>
      <c r="F440" s="13"/>
      <c r="G440" s="22"/>
      <c r="H440" s="22"/>
      <c r="I440" s="28" t="str">
        <f t="shared" si="12"/>
        <v/>
      </c>
      <c r="J440" s="14"/>
      <c r="K440" s="14"/>
      <c r="L440" s="21"/>
      <c r="M440" s="13"/>
      <c r="N440" s="7" t="str">
        <f t="shared" si="13"/>
        <v/>
      </c>
    </row>
    <row r="441" spans="1:14" x14ac:dyDescent="0.35">
      <c r="A441" s="81"/>
      <c r="B441" s="81"/>
      <c r="C441" s="21"/>
      <c r="D441" s="13"/>
      <c r="E441" s="13"/>
      <c r="F441" s="13"/>
      <c r="G441" s="22"/>
      <c r="H441" s="22"/>
      <c r="I441" s="28" t="str">
        <f t="shared" si="12"/>
        <v/>
      </c>
      <c r="J441" s="14"/>
      <c r="K441" s="14"/>
      <c r="L441" s="21"/>
      <c r="M441" s="13"/>
      <c r="N441" s="7" t="str">
        <f t="shared" si="13"/>
        <v/>
      </c>
    </row>
    <row r="442" spans="1:14" x14ac:dyDescent="0.35">
      <c r="A442" s="81"/>
      <c r="B442" s="81"/>
      <c r="C442" s="21"/>
      <c r="D442" s="13"/>
      <c r="E442" s="13"/>
      <c r="F442" s="13"/>
      <c r="G442" s="22"/>
      <c r="H442" s="22"/>
      <c r="I442" s="28" t="str">
        <f t="shared" si="12"/>
        <v/>
      </c>
      <c r="J442" s="14"/>
      <c r="K442" s="14"/>
      <c r="L442" s="21"/>
      <c r="M442" s="13"/>
      <c r="N442" s="7" t="str">
        <f t="shared" si="13"/>
        <v/>
      </c>
    </row>
    <row r="443" spans="1:14" x14ac:dyDescent="0.35">
      <c r="A443" s="81"/>
      <c r="B443" s="81"/>
      <c r="C443" s="21"/>
      <c r="D443" s="13"/>
      <c r="E443" s="13"/>
      <c r="F443" s="13"/>
      <c r="G443" s="22"/>
      <c r="H443" s="22"/>
      <c r="I443" s="28" t="str">
        <f t="shared" si="12"/>
        <v/>
      </c>
      <c r="J443" s="14"/>
      <c r="K443" s="14"/>
      <c r="L443" s="21"/>
      <c r="M443" s="13"/>
      <c r="N443" s="7" t="str">
        <f t="shared" si="13"/>
        <v/>
      </c>
    </row>
    <row r="444" spans="1:14" x14ac:dyDescent="0.35">
      <c r="A444" s="81"/>
      <c r="B444" s="81"/>
      <c r="C444" s="21"/>
      <c r="D444" s="13"/>
      <c r="E444" s="13"/>
      <c r="F444" s="13"/>
      <c r="G444" s="22"/>
      <c r="H444" s="22"/>
      <c r="I444" s="28" t="str">
        <f t="shared" si="12"/>
        <v/>
      </c>
      <c r="J444" s="14"/>
      <c r="K444" s="14"/>
      <c r="L444" s="21"/>
      <c r="M444" s="13"/>
      <c r="N444" s="7" t="str">
        <f t="shared" si="13"/>
        <v/>
      </c>
    </row>
    <row r="445" spans="1:14" x14ac:dyDescent="0.35">
      <c r="A445" s="81"/>
      <c r="B445" s="81"/>
      <c r="C445" s="21"/>
      <c r="D445" s="13"/>
      <c r="E445" s="13"/>
      <c r="F445" s="13"/>
      <c r="G445" s="22"/>
      <c r="H445" s="22"/>
      <c r="I445" s="28" t="str">
        <f t="shared" si="12"/>
        <v/>
      </c>
      <c r="J445" s="14"/>
      <c r="K445" s="14"/>
      <c r="L445" s="21"/>
      <c r="M445" s="13"/>
      <c r="N445" s="7" t="str">
        <f t="shared" si="13"/>
        <v/>
      </c>
    </row>
    <row r="446" spans="1:14" x14ac:dyDescent="0.35">
      <c r="A446" s="81"/>
      <c r="B446" s="81"/>
      <c r="C446" s="21"/>
      <c r="D446" s="13"/>
      <c r="E446" s="13"/>
      <c r="F446" s="13"/>
      <c r="G446" s="22"/>
      <c r="H446" s="22"/>
      <c r="I446" s="28" t="str">
        <f t="shared" si="12"/>
        <v/>
      </c>
      <c r="J446" s="14"/>
      <c r="K446" s="14"/>
      <c r="L446" s="21"/>
      <c r="M446" s="13"/>
      <c r="N446" s="7" t="str">
        <f t="shared" si="13"/>
        <v/>
      </c>
    </row>
    <row r="447" spans="1:14" x14ac:dyDescent="0.35">
      <c r="A447" s="81"/>
      <c r="B447" s="81"/>
      <c r="C447" s="21"/>
      <c r="D447" s="13"/>
      <c r="E447" s="13"/>
      <c r="F447" s="13"/>
      <c r="G447" s="22"/>
      <c r="H447" s="22"/>
      <c r="I447" s="28" t="str">
        <f t="shared" si="12"/>
        <v/>
      </c>
      <c r="J447" s="14"/>
      <c r="K447" s="14"/>
      <c r="L447" s="21"/>
      <c r="M447" s="13"/>
      <c r="N447" s="7" t="str">
        <f t="shared" si="13"/>
        <v/>
      </c>
    </row>
    <row r="448" spans="1:14" x14ac:dyDescent="0.35">
      <c r="A448" s="81"/>
      <c r="B448" s="81"/>
      <c r="C448" s="21"/>
      <c r="D448" s="13"/>
      <c r="E448" s="13"/>
      <c r="F448" s="13"/>
      <c r="G448" s="22"/>
      <c r="H448" s="22"/>
      <c r="I448" s="28" t="str">
        <f t="shared" si="12"/>
        <v/>
      </c>
      <c r="J448" s="14"/>
      <c r="K448" s="14"/>
      <c r="L448" s="21"/>
      <c r="M448" s="13"/>
      <c r="N448" s="7" t="str">
        <f t="shared" si="13"/>
        <v/>
      </c>
    </row>
    <row r="449" spans="1:14" x14ac:dyDescent="0.35">
      <c r="A449" s="81"/>
      <c r="B449" s="81"/>
      <c r="C449" s="21"/>
      <c r="D449" s="13"/>
      <c r="E449" s="13"/>
      <c r="F449" s="13"/>
      <c r="G449" s="22"/>
      <c r="H449" s="22"/>
      <c r="I449" s="28" t="str">
        <f t="shared" si="12"/>
        <v/>
      </c>
      <c r="J449" s="14"/>
      <c r="K449" s="14"/>
      <c r="L449" s="21"/>
      <c r="M449" s="13"/>
      <c r="N449" s="7" t="str">
        <f t="shared" si="13"/>
        <v/>
      </c>
    </row>
    <row r="450" spans="1:14" x14ac:dyDescent="0.35">
      <c r="A450" s="81"/>
      <c r="B450" s="81"/>
      <c r="C450" s="21"/>
      <c r="D450" s="13"/>
      <c r="E450" s="13"/>
      <c r="F450" s="13"/>
      <c r="G450" s="22"/>
      <c r="H450" s="22"/>
      <c r="I450" s="28" t="str">
        <f t="shared" si="12"/>
        <v/>
      </c>
      <c r="J450" s="14"/>
      <c r="K450" s="14"/>
      <c r="L450" s="21"/>
      <c r="M450" s="13"/>
      <c r="N450" s="7" t="str">
        <f t="shared" si="13"/>
        <v/>
      </c>
    </row>
    <row r="451" spans="1:14" x14ac:dyDescent="0.35">
      <c r="A451" s="81"/>
      <c r="B451" s="81"/>
      <c r="C451" s="21"/>
      <c r="D451" s="13"/>
      <c r="E451" s="13"/>
      <c r="F451" s="13"/>
      <c r="G451" s="22"/>
      <c r="H451" s="22"/>
      <c r="I451" s="28" t="str">
        <f t="shared" ref="I451:I514" si="14">IF($G451="","",$G451-N($H451))</f>
        <v/>
      </c>
      <c r="J451" s="14"/>
      <c r="K451" s="14"/>
      <c r="L451" s="21"/>
      <c r="M451" s="13"/>
      <c r="N451" s="7" t="str">
        <f t="shared" ref="N451:N514" si="15">IF($G451="","",IF(N($H451)&gt;=$G451,"Payé",IF(N($H451)&gt;0,"Partiellement payé","Non payé")))</f>
        <v/>
      </c>
    </row>
    <row r="452" spans="1:14" x14ac:dyDescent="0.35">
      <c r="A452" s="81"/>
      <c r="B452" s="81"/>
      <c r="C452" s="21"/>
      <c r="D452" s="13"/>
      <c r="E452" s="13"/>
      <c r="F452" s="13"/>
      <c r="G452" s="22"/>
      <c r="H452" s="22"/>
      <c r="I452" s="28" t="str">
        <f t="shared" si="14"/>
        <v/>
      </c>
      <c r="J452" s="14"/>
      <c r="K452" s="14"/>
      <c r="L452" s="21"/>
      <c r="M452" s="13"/>
      <c r="N452" s="7" t="str">
        <f t="shared" si="15"/>
        <v/>
      </c>
    </row>
    <row r="453" spans="1:14" x14ac:dyDescent="0.35">
      <c r="A453" s="81"/>
      <c r="B453" s="81"/>
      <c r="C453" s="21"/>
      <c r="D453" s="13"/>
      <c r="E453" s="13"/>
      <c r="F453" s="13"/>
      <c r="G453" s="22"/>
      <c r="H453" s="22"/>
      <c r="I453" s="28" t="str">
        <f t="shared" si="14"/>
        <v/>
      </c>
      <c r="J453" s="14"/>
      <c r="K453" s="14"/>
      <c r="L453" s="21"/>
      <c r="M453" s="13"/>
      <c r="N453" s="7" t="str">
        <f t="shared" si="15"/>
        <v/>
      </c>
    </row>
    <row r="454" spans="1:14" x14ac:dyDescent="0.35">
      <c r="A454" s="81"/>
      <c r="B454" s="81"/>
      <c r="C454" s="21"/>
      <c r="D454" s="13"/>
      <c r="E454" s="13"/>
      <c r="F454" s="13"/>
      <c r="G454" s="22"/>
      <c r="H454" s="22"/>
      <c r="I454" s="28" t="str">
        <f t="shared" si="14"/>
        <v/>
      </c>
      <c r="J454" s="14"/>
      <c r="K454" s="14"/>
      <c r="L454" s="21"/>
      <c r="M454" s="13"/>
      <c r="N454" s="7" t="str">
        <f t="shared" si="15"/>
        <v/>
      </c>
    </row>
    <row r="455" spans="1:14" x14ac:dyDescent="0.35">
      <c r="A455" s="81"/>
      <c r="B455" s="81"/>
      <c r="C455" s="21"/>
      <c r="D455" s="13"/>
      <c r="E455" s="13"/>
      <c r="F455" s="13"/>
      <c r="G455" s="22"/>
      <c r="H455" s="22"/>
      <c r="I455" s="28" t="str">
        <f t="shared" si="14"/>
        <v/>
      </c>
      <c r="J455" s="14"/>
      <c r="K455" s="14"/>
      <c r="L455" s="21"/>
      <c r="M455" s="13"/>
      <c r="N455" s="7" t="str">
        <f t="shared" si="15"/>
        <v/>
      </c>
    </row>
    <row r="456" spans="1:14" x14ac:dyDescent="0.35">
      <c r="A456" s="81"/>
      <c r="B456" s="81"/>
      <c r="C456" s="21"/>
      <c r="D456" s="13"/>
      <c r="E456" s="13"/>
      <c r="F456" s="13"/>
      <c r="G456" s="22"/>
      <c r="H456" s="22"/>
      <c r="I456" s="28" t="str">
        <f t="shared" si="14"/>
        <v/>
      </c>
      <c r="J456" s="14"/>
      <c r="K456" s="14"/>
      <c r="L456" s="21"/>
      <c r="M456" s="13"/>
      <c r="N456" s="7" t="str">
        <f t="shared" si="15"/>
        <v/>
      </c>
    </row>
    <row r="457" spans="1:14" x14ac:dyDescent="0.35">
      <c r="A457" s="81"/>
      <c r="B457" s="81"/>
      <c r="C457" s="21"/>
      <c r="D457" s="13"/>
      <c r="E457" s="13"/>
      <c r="F457" s="13"/>
      <c r="G457" s="22"/>
      <c r="H457" s="22"/>
      <c r="I457" s="28" t="str">
        <f t="shared" si="14"/>
        <v/>
      </c>
      <c r="J457" s="14"/>
      <c r="K457" s="14"/>
      <c r="L457" s="21"/>
      <c r="M457" s="13"/>
      <c r="N457" s="7" t="str">
        <f t="shared" si="15"/>
        <v/>
      </c>
    </row>
    <row r="458" spans="1:14" x14ac:dyDescent="0.35">
      <c r="A458" s="81"/>
      <c r="B458" s="81"/>
      <c r="C458" s="21"/>
      <c r="D458" s="13"/>
      <c r="E458" s="13"/>
      <c r="F458" s="13"/>
      <c r="G458" s="22"/>
      <c r="H458" s="22"/>
      <c r="I458" s="28" t="str">
        <f t="shared" si="14"/>
        <v/>
      </c>
      <c r="J458" s="14"/>
      <c r="K458" s="14"/>
      <c r="L458" s="21"/>
      <c r="M458" s="13"/>
      <c r="N458" s="7" t="str">
        <f t="shared" si="15"/>
        <v/>
      </c>
    </row>
    <row r="459" spans="1:14" x14ac:dyDescent="0.35">
      <c r="A459" s="81"/>
      <c r="B459" s="81"/>
      <c r="C459" s="21"/>
      <c r="D459" s="13"/>
      <c r="E459" s="13"/>
      <c r="F459" s="13"/>
      <c r="G459" s="22"/>
      <c r="H459" s="22"/>
      <c r="I459" s="28" t="str">
        <f t="shared" si="14"/>
        <v/>
      </c>
      <c r="J459" s="14"/>
      <c r="K459" s="14"/>
      <c r="L459" s="21"/>
      <c r="M459" s="13"/>
      <c r="N459" s="7" t="str">
        <f t="shared" si="15"/>
        <v/>
      </c>
    </row>
    <row r="460" spans="1:14" x14ac:dyDescent="0.35">
      <c r="A460" s="81"/>
      <c r="B460" s="81"/>
      <c r="C460" s="21"/>
      <c r="D460" s="13"/>
      <c r="E460" s="13"/>
      <c r="F460" s="13"/>
      <c r="G460" s="22"/>
      <c r="H460" s="22"/>
      <c r="I460" s="28" t="str">
        <f t="shared" si="14"/>
        <v/>
      </c>
      <c r="J460" s="14"/>
      <c r="K460" s="14"/>
      <c r="L460" s="21"/>
      <c r="M460" s="13"/>
      <c r="N460" s="7" t="str">
        <f t="shared" si="15"/>
        <v/>
      </c>
    </row>
    <row r="461" spans="1:14" x14ac:dyDescent="0.35">
      <c r="A461" s="81"/>
      <c r="B461" s="81"/>
      <c r="C461" s="21"/>
      <c r="D461" s="13"/>
      <c r="E461" s="13"/>
      <c r="F461" s="13"/>
      <c r="G461" s="22"/>
      <c r="H461" s="22"/>
      <c r="I461" s="28" t="str">
        <f t="shared" si="14"/>
        <v/>
      </c>
      <c r="J461" s="14"/>
      <c r="K461" s="14"/>
      <c r="L461" s="21"/>
      <c r="M461" s="13"/>
      <c r="N461" s="7" t="str">
        <f t="shared" si="15"/>
        <v/>
      </c>
    </row>
    <row r="462" spans="1:14" x14ac:dyDescent="0.35">
      <c r="A462" s="81"/>
      <c r="B462" s="81"/>
      <c r="C462" s="21"/>
      <c r="D462" s="13"/>
      <c r="E462" s="13"/>
      <c r="F462" s="13"/>
      <c r="G462" s="22"/>
      <c r="H462" s="22"/>
      <c r="I462" s="28" t="str">
        <f t="shared" si="14"/>
        <v/>
      </c>
      <c r="J462" s="14"/>
      <c r="K462" s="14"/>
      <c r="L462" s="21"/>
      <c r="M462" s="13"/>
      <c r="N462" s="7" t="str">
        <f t="shared" si="15"/>
        <v/>
      </c>
    </row>
    <row r="463" spans="1:14" x14ac:dyDescent="0.35">
      <c r="A463" s="81"/>
      <c r="B463" s="81"/>
      <c r="C463" s="21"/>
      <c r="D463" s="13"/>
      <c r="E463" s="13"/>
      <c r="F463" s="13"/>
      <c r="G463" s="22"/>
      <c r="H463" s="22"/>
      <c r="I463" s="28" t="str">
        <f t="shared" si="14"/>
        <v/>
      </c>
      <c r="J463" s="14"/>
      <c r="K463" s="14"/>
      <c r="L463" s="21"/>
      <c r="M463" s="13"/>
      <c r="N463" s="7" t="str">
        <f t="shared" si="15"/>
        <v/>
      </c>
    </row>
    <row r="464" spans="1:14" x14ac:dyDescent="0.35">
      <c r="A464" s="81"/>
      <c r="B464" s="81"/>
      <c r="C464" s="21"/>
      <c r="D464" s="13"/>
      <c r="E464" s="13"/>
      <c r="F464" s="13"/>
      <c r="G464" s="22"/>
      <c r="H464" s="22"/>
      <c r="I464" s="28" t="str">
        <f t="shared" si="14"/>
        <v/>
      </c>
      <c r="J464" s="14"/>
      <c r="K464" s="14"/>
      <c r="L464" s="21"/>
      <c r="M464" s="13"/>
      <c r="N464" s="7" t="str">
        <f t="shared" si="15"/>
        <v/>
      </c>
    </row>
    <row r="465" spans="1:14" x14ac:dyDescent="0.35">
      <c r="A465" s="81"/>
      <c r="B465" s="81"/>
      <c r="C465" s="21"/>
      <c r="D465" s="13"/>
      <c r="E465" s="13"/>
      <c r="F465" s="13"/>
      <c r="G465" s="22"/>
      <c r="H465" s="22"/>
      <c r="I465" s="28" t="str">
        <f t="shared" si="14"/>
        <v/>
      </c>
      <c r="J465" s="14"/>
      <c r="K465" s="14"/>
      <c r="L465" s="21"/>
      <c r="M465" s="13"/>
      <c r="N465" s="7" t="str">
        <f t="shared" si="15"/>
        <v/>
      </c>
    </row>
    <row r="466" spans="1:14" x14ac:dyDescent="0.35">
      <c r="A466" s="81"/>
      <c r="B466" s="81"/>
      <c r="C466" s="21"/>
      <c r="D466" s="13"/>
      <c r="E466" s="13"/>
      <c r="F466" s="13"/>
      <c r="G466" s="22"/>
      <c r="H466" s="22"/>
      <c r="I466" s="28" t="str">
        <f t="shared" si="14"/>
        <v/>
      </c>
      <c r="J466" s="14"/>
      <c r="K466" s="14"/>
      <c r="L466" s="21"/>
      <c r="M466" s="13"/>
      <c r="N466" s="7" t="str">
        <f t="shared" si="15"/>
        <v/>
      </c>
    </row>
    <row r="467" spans="1:14" x14ac:dyDescent="0.35">
      <c r="A467" s="81"/>
      <c r="B467" s="81"/>
      <c r="C467" s="21"/>
      <c r="D467" s="13"/>
      <c r="E467" s="13"/>
      <c r="F467" s="13"/>
      <c r="G467" s="22"/>
      <c r="H467" s="22"/>
      <c r="I467" s="28" t="str">
        <f t="shared" si="14"/>
        <v/>
      </c>
      <c r="J467" s="14"/>
      <c r="K467" s="14"/>
      <c r="L467" s="21"/>
      <c r="M467" s="13"/>
      <c r="N467" s="7" t="str">
        <f t="shared" si="15"/>
        <v/>
      </c>
    </row>
    <row r="468" spans="1:14" x14ac:dyDescent="0.35">
      <c r="A468" s="81"/>
      <c r="B468" s="81"/>
      <c r="C468" s="21"/>
      <c r="D468" s="13"/>
      <c r="E468" s="13"/>
      <c r="F468" s="13"/>
      <c r="G468" s="22"/>
      <c r="H468" s="22"/>
      <c r="I468" s="28" t="str">
        <f t="shared" si="14"/>
        <v/>
      </c>
      <c r="J468" s="14"/>
      <c r="K468" s="14"/>
      <c r="L468" s="21"/>
      <c r="M468" s="13"/>
      <c r="N468" s="7" t="str">
        <f t="shared" si="15"/>
        <v/>
      </c>
    </row>
    <row r="469" spans="1:14" x14ac:dyDescent="0.35">
      <c r="A469" s="81"/>
      <c r="B469" s="81"/>
      <c r="C469" s="21"/>
      <c r="D469" s="13"/>
      <c r="E469" s="13"/>
      <c r="F469" s="13"/>
      <c r="G469" s="22"/>
      <c r="H469" s="22"/>
      <c r="I469" s="28" t="str">
        <f t="shared" si="14"/>
        <v/>
      </c>
      <c r="J469" s="14"/>
      <c r="K469" s="14"/>
      <c r="L469" s="21"/>
      <c r="M469" s="13"/>
      <c r="N469" s="7" t="str">
        <f t="shared" si="15"/>
        <v/>
      </c>
    </row>
    <row r="470" spans="1:14" x14ac:dyDescent="0.35">
      <c r="A470" s="81"/>
      <c r="B470" s="81"/>
      <c r="C470" s="21"/>
      <c r="D470" s="13"/>
      <c r="E470" s="13"/>
      <c r="F470" s="13"/>
      <c r="G470" s="22"/>
      <c r="H470" s="22"/>
      <c r="I470" s="28" t="str">
        <f t="shared" si="14"/>
        <v/>
      </c>
      <c r="J470" s="14"/>
      <c r="K470" s="14"/>
      <c r="L470" s="21"/>
      <c r="M470" s="13"/>
      <c r="N470" s="7" t="str">
        <f t="shared" si="15"/>
        <v/>
      </c>
    </row>
    <row r="471" spans="1:14" x14ac:dyDescent="0.35">
      <c r="A471" s="81"/>
      <c r="B471" s="81"/>
      <c r="C471" s="21"/>
      <c r="D471" s="13"/>
      <c r="E471" s="13"/>
      <c r="F471" s="13"/>
      <c r="G471" s="22"/>
      <c r="H471" s="22"/>
      <c r="I471" s="28" t="str">
        <f t="shared" si="14"/>
        <v/>
      </c>
      <c r="J471" s="14"/>
      <c r="K471" s="14"/>
      <c r="L471" s="21"/>
      <c r="M471" s="13"/>
      <c r="N471" s="7" t="str">
        <f t="shared" si="15"/>
        <v/>
      </c>
    </row>
    <row r="472" spans="1:14" x14ac:dyDescent="0.35">
      <c r="A472" s="81"/>
      <c r="B472" s="81"/>
      <c r="C472" s="21"/>
      <c r="D472" s="13"/>
      <c r="E472" s="13"/>
      <c r="F472" s="13"/>
      <c r="G472" s="22"/>
      <c r="H472" s="22"/>
      <c r="I472" s="28" t="str">
        <f t="shared" si="14"/>
        <v/>
      </c>
      <c r="J472" s="14"/>
      <c r="K472" s="14"/>
      <c r="L472" s="21"/>
      <c r="M472" s="13"/>
      <c r="N472" s="7" t="str">
        <f t="shared" si="15"/>
        <v/>
      </c>
    </row>
    <row r="473" spans="1:14" x14ac:dyDescent="0.35">
      <c r="A473" s="81"/>
      <c r="B473" s="81"/>
      <c r="C473" s="21"/>
      <c r="D473" s="13"/>
      <c r="E473" s="13"/>
      <c r="F473" s="13"/>
      <c r="G473" s="22"/>
      <c r="H473" s="22"/>
      <c r="I473" s="28" t="str">
        <f t="shared" si="14"/>
        <v/>
      </c>
      <c r="J473" s="14"/>
      <c r="K473" s="14"/>
      <c r="L473" s="21"/>
      <c r="M473" s="13"/>
      <c r="N473" s="7" t="str">
        <f t="shared" si="15"/>
        <v/>
      </c>
    </row>
    <row r="474" spans="1:14" x14ac:dyDescent="0.35">
      <c r="A474" s="81"/>
      <c r="B474" s="81"/>
      <c r="C474" s="21"/>
      <c r="D474" s="13"/>
      <c r="E474" s="13"/>
      <c r="F474" s="13"/>
      <c r="G474" s="22"/>
      <c r="H474" s="22"/>
      <c r="I474" s="28" t="str">
        <f t="shared" si="14"/>
        <v/>
      </c>
      <c r="J474" s="14"/>
      <c r="K474" s="14"/>
      <c r="L474" s="21"/>
      <c r="M474" s="13"/>
      <c r="N474" s="7" t="str">
        <f t="shared" si="15"/>
        <v/>
      </c>
    </row>
    <row r="475" spans="1:14" x14ac:dyDescent="0.35">
      <c r="A475" s="81"/>
      <c r="B475" s="81"/>
      <c r="C475" s="21"/>
      <c r="D475" s="13"/>
      <c r="E475" s="13"/>
      <c r="F475" s="13"/>
      <c r="G475" s="22"/>
      <c r="H475" s="22"/>
      <c r="I475" s="28" t="str">
        <f t="shared" si="14"/>
        <v/>
      </c>
      <c r="J475" s="14"/>
      <c r="K475" s="14"/>
      <c r="L475" s="21"/>
      <c r="M475" s="13"/>
      <c r="N475" s="7" t="str">
        <f t="shared" si="15"/>
        <v/>
      </c>
    </row>
    <row r="476" spans="1:14" x14ac:dyDescent="0.35">
      <c r="A476" s="81"/>
      <c r="B476" s="81"/>
      <c r="C476" s="21"/>
      <c r="D476" s="13"/>
      <c r="E476" s="13"/>
      <c r="F476" s="13"/>
      <c r="G476" s="22"/>
      <c r="H476" s="22"/>
      <c r="I476" s="28" t="str">
        <f t="shared" si="14"/>
        <v/>
      </c>
      <c r="J476" s="14"/>
      <c r="K476" s="14"/>
      <c r="L476" s="21"/>
      <c r="M476" s="13"/>
      <c r="N476" s="7" t="str">
        <f t="shared" si="15"/>
        <v/>
      </c>
    </row>
    <row r="477" spans="1:14" x14ac:dyDescent="0.35">
      <c r="A477" s="81"/>
      <c r="B477" s="81"/>
      <c r="C477" s="21"/>
      <c r="D477" s="13"/>
      <c r="E477" s="13"/>
      <c r="F477" s="13"/>
      <c r="G477" s="22"/>
      <c r="H477" s="22"/>
      <c r="I477" s="28" t="str">
        <f t="shared" si="14"/>
        <v/>
      </c>
      <c r="J477" s="14"/>
      <c r="K477" s="14"/>
      <c r="L477" s="21"/>
      <c r="M477" s="13"/>
      <c r="N477" s="7" t="str">
        <f t="shared" si="15"/>
        <v/>
      </c>
    </row>
    <row r="478" spans="1:14" x14ac:dyDescent="0.35">
      <c r="A478" s="81"/>
      <c r="B478" s="81"/>
      <c r="C478" s="21"/>
      <c r="D478" s="13"/>
      <c r="E478" s="13"/>
      <c r="F478" s="13"/>
      <c r="G478" s="22"/>
      <c r="H478" s="22"/>
      <c r="I478" s="28" t="str">
        <f t="shared" si="14"/>
        <v/>
      </c>
      <c r="J478" s="14"/>
      <c r="K478" s="14"/>
      <c r="L478" s="21"/>
      <c r="M478" s="13"/>
      <c r="N478" s="7" t="str">
        <f t="shared" si="15"/>
        <v/>
      </c>
    </row>
    <row r="479" spans="1:14" x14ac:dyDescent="0.35">
      <c r="A479" s="81"/>
      <c r="B479" s="81"/>
      <c r="C479" s="21"/>
      <c r="D479" s="13"/>
      <c r="E479" s="13"/>
      <c r="F479" s="13"/>
      <c r="G479" s="22"/>
      <c r="H479" s="22"/>
      <c r="I479" s="28" t="str">
        <f t="shared" si="14"/>
        <v/>
      </c>
      <c r="J479" s="14"/>
      <c r="K479" s="14"/>
      <c r="L479" s="21"/>
      <c r="M479" s="13"/>
      <c r="N479" s="7" t="str">
        <f t="shared" si="15"/>
        <v/>
      </c>
    </row>
    <row r="480" spans="1:14" x14ac:dyDescent="0.35">
      <c r="A480" s="81"/>
      <c r="B480" s="81"/>
      <c r="C480" s="21"/>
      <c r="D480" s="13"/>
      <c r="E480" s="13"/>
      <c r="F480" s="13"/>
      <c r="G480" s="22"/>
      <c r="H480" s="22"/>
      <c r="I480" s="28" t="str">
        <f t="shared" si="14"/>
        <v/>
      </c>
      <c r="J480" s="14"/>
      <c r="K480" s="14"/>
      <c r="L480" s="21"/>
      <c r="M480" s="13"/>
      <c r="N480" s="7" t="str">
        <f t="shared" si="15"/>
        <v/>
      </c>
    </row>
    <row r="481" spans="1:14" x14ac:dyDescent="0.35">
      <c r="A481" s="81"/>
      <c r="B481" s="81"/>
      <c r="C481" s="21"/>
      <c r="D481" s="13"/>
      <c r="E481" s="13"/>
      <c r="F481" s="13"/>
      <c r="G481" s="22"/>
      <c r="H481" s="22"/>
      <c r="I481" s="28" t="str">
        <f t="shared" si="14"/>
        <v/>
      </c>
      <c r="J481" s="14"/>
      <c r="K481" s="14"/>
      <c r="L481" s="21"/>
      <c r="M481" s="13"/>
      <c r="N481" s="7" t="str">
        <f t="shared" si="15"/>
        <v/>
      </c>
    </row>
    <row r="482" spans="1:14" x14ac:dyDescent="0.35">
      <c r="A482" s="81"/>
      <c r="B482" s="81"/>
      <c r="C482" s="21"/>
      <c r="D482" s="13"/>
      <c r="E482" s="13"/>
      <c r="F482" s="13"/>
      <c r="G482" s="22"/>
      <c r="H482" s="22"/>
      <c r="I482" s="28" t="str">
        <f t="shared" si="14"/>
        <v/>
      </c>
      <c r="J482" s="14"/>
      <c r="K482" s="14"/>
      <c r="L482" s="21"/>
      <c r="M482" s="13"/>
      <c r="N482" s="7" t="str">
        <f t="shared" si="15"/>
        <v/>
      </c>
    </row>
    <row r="483" spans="1:14" x14ac:dyDescent="0.35">
      <c r="A483" s="81"/>
      <c r="B483" s="81"/>
      <c r="C483" s="21"/>
      <c r="D483" s="13"/>
      <c r="E483" s="13"/>
      <c r="F483" s="13"/>
      <c r="G483" s="22"/>
      <c r="H483" s="22"/>
      <c r="I483" s="28" t="str">
        <f t="shared" si="14"/>
        <v/>
      </c>
      <c r="J483" s="14"/>
      <c r="K483" s="14"/>
      <c r="L483" s="21"/>
      <c r="M483" s="13"/>
      <c r="N483" s="7" t="str">
        <f t="shared" si="15"/>
        <v/>
      </c>
    </row>
    <row r="484" spans="1:14" x14ac:dyDescent="0.35">
      <c r="A484" s="81"/>
      <c r="B484" s="81"/>
      <c r="C484" s="21"/>
      <c r="D484" s="13"/>
      <c r="E484" s="13"/>
      <c r="F484" s="13"/>
      <c r="G484" s="22"/>
      <c r="H484" s="22"/>
      <c r="I484" s="28" t="str">
        <f t="shared" si="14"/>
        <v/>
      </c>
      <c r="J484" s="14"/>
      <c r="K484" s="14"/>
      <c r="L484" s="21"/>
      <c r="M484" s="13"/>
      <c r="N484" s="7" t="str">
        <f t="shared" si="15"/>
        <v/>
      </c>
    </row>
    <row r="485" spans="1:14" x14ac:dyDescent="0.35">
      <c r="A485" s="81"/>
      <c r="B485" s="81"/>
      <c r="C485" s="21"/>
      <c r="D485" s="13"/>
      <c r="E485" s="13"/>
      <c r="F485" s="13"/>
      <c r="G485" s="22"/>
      <c r="H485" s="22"/>
      <c r="I485" s="28" t="str">
        <f t="shared" si="14"/>
        <v/>
      </c>
      <c r="J485" s="14"/>
      <c r="K485" s="14"/>
      <c r="L485" s="21"/>
      <c r="M485" s="13"/>
      <c r="N485" s="7" t="str">
        <f t="shared" si="15"/>
        <v/>
      </c>
    </row>
    <row r="486" spans="1:14" x14ac:dyDescent="0.35">
      <c r="A486" s="81"/>
      <c r="B486" s="81"/>
      <c r="C486" s="21"/>
      <c r="D486" s="13"/>
      <c r="E486" s="13"/>
      <c r="F486" s="13"/>
      <c r="G486" s="22"/>
      <c r="H486" s="22"/>
      <c r="I486" s="28" t="str">
        <f t="shared" si="14"/>
        <v/>
      </c>
      <c r="J486" s="14"/>
      <c r="K486" s="14"/>
      <c r="L486" s="21"/>
      <c r="M486" s="13"/>
      <c r="N486" s="7" t="str">
        <f t="shared" si="15"/>
        <v/>
      </c>
    </row>
    <row r="487" spans="1:14" x14ac:dyDescent="0.35">
      <c r="A487" s="81"/>
      <c r="B487" s="81"/>
      <c r="C487" s="21"/>
      <c r="D487" s="13"/>
      <c r="E487" s="13"/>
      <c r="F487" s="13"/>
      <c r="G487" s="22"/>
      <c r="H487" s="22"/>
      <c r="I487" s="28" t="str">
        <f t="shared" si="14"/>
        <v/>
      </c>
      <c r="J487" s="14"/>
      <c r="K487" s="14"/>
      <c r="L487" s="21"/>
      <c r="M487" s="13"/>
      <c r="N487" s="7" t="str">
        <f t="shared" si="15"/>
        <v/>
      </c>
    </row>
    <row r="488" spans="1:14" x14ac:dyDescent="0.35">
      <c r="A488" s="81"/>
      <c r="B488" s="81"/>
      <c r="C488" s="21"/>
      <c r="D488" s="13"/>
      <c r="E488" s="13"/>
      <c r="F488" s="13"/>
      <c r="G488" s="22"/>
      <c r="H488" s="22"/>
      <c r="I488" s="28" t="str">
        <f t="shared" si="14"/>
        <v/>
      </c>
      <c r="J488" s="14"/>
      <c r="K488" s="14"/>
      <c r="L488" s="21"/>
      <c r="M488" s="13"/>
      <c r="N488" s="7" t="str">
        <f t="shared" si="15"/>
        <v/>
      </c>
    </row>
    <row r="489" spans="1:14" x14ac:dyDescent="0.35">
      <c r="A489" s="81"/>
      <c r="B489" s="81"/>
      <c r="C489" s="21"/>
      <c r="D489" s="13"/>
      <c r="E489" s="13"/>
      <c r="F489" s="13"/>
      <c r="G489" s="22"/>
      <c r="H489" s="22"/>
      <c r="I489" s="28" t="str">
        <f t="shared" si="14"/>
        <v/>
      </c>
      <c r="J489" s="14"/>
      <c r="K489" s="14"/>
      <c r="L489" s="21"/>
      <c r="M489" s="13"/>
      <c r="N489" s="7" t="str">
        <f t="shared" si="15"/>
        <v/>
      </c>
    </row>
    <row r="490" spans="1:14" x14ac:dyDescent="0.35">
      <c r="A490" s="81"/>
      <c r="B490" s="81"/>
      <c r="C490" s="21"/>
      <c r="D490" s="13"/>
      <c r="E490" s="13"/>
      <c r="F490" s="13"/>
      <c r="G490" s="22"/>
      <c r="H490" s="22"/>
      <c r="I490" s="28" t="str">
        <f t="shared" si="14"/>
        <v/>
      </c>
      <c r="J490" s="14"/>
      <c r="K490" s="14"/>
      <c r="L490" s="21"/>
      <c r="M490" s="13"/>
      <c r="N490" s="7" t="str">
        <f t="shared" si="15"/>
        <v/>
      </c>
    </row>
    <row r="491" spans="1:14" x14ac:dyDescent="0.35">
      <c r="A491" s="81"/>
      <c r="B491" s="81"/>
      <c r="C491" s="21"/>
      <c r="D491" s="13"/>
      <c r="E491" s="13"/>
      <c r="F491" s="13"/>
      <c r="G491" s="22"/>
      <c r="H491" s="22"/>
      <c r="I491" s="28" t="str">
        <f t="shared" si="14"/>
        <v/>
      </c>
      <c r="J491" s="14"/>
      <c r="K491" s="14"/>
      <c r="L491" s="21"/>
      <c r="M491" s="13"/>
      <c r="N491" s="7" t="str">
        <f t="shared" si="15"/>
        <v/>
      </c>
    </row>
    <row r="492" spans="1:14" x14ac:dyDescent="0.35">
      <c r="A492" s="81"/>
      <c r="B492" s="81"/>
      <c r="C492" s="21"/>
      <c r="D492" s="13"/>
      <c r="E492" s="13"/>
      <c r="F492" s="13"/>
      <c r="G492" s="22"/>
      <c r="H492" s="22"/>
      <c r="I492" s="28" t="str">
        <f t="shared" si="14"/>
        <v/>
      </c>
      <c r="J492" s="14"/>
      <c r="K492" s="14"/>
      <c r="L492" s="21"/>
      <c r="M492" s="13"/>
      <c r="N492" s="7" t="str">
        <f t="shared" si="15"/>
        <v/>
      </c>
    </row>
    <row r="493" spans="1:14" x14ac:dyDescent="0.35">
      <c r="A493" s="81"/>
      <c r="B493" s="81"/>
      <c r="C493" s="21"/>
      <c r="D493" s="13"/>
      <c r="E493" s="13"/>
      <c r="F493" s="13"/>
      <c r="G493" s="22"/>
      <c r="H493" s="22"/>
      <c r="I493" s="28" t="str">
        <f t="shared" si="14"/>
        <v/>
      </c>
      <c r="J493" s="14"/>
      <c r="K493" s="14"/>
      <c r="L493" s="21"/>
      <c r="M493" s="13"/>
      <c r="N493" s="7" t="str">
        <f t="shared" si="15"/>
        <v/>
      </c>
    </row>
    <row r="494" spans="1:14" x14ac:dyDescent="0.35">
      <c r="A494" s="81"/>
      <c r="B494" s="81"/>
      <c r="C494" s="21"/>
      <c r="D494" s="13"/>
      <c r="E494" s="13"/>
      <c r="F494" s="13"/>
      <c r="G494" s="22"/>
      <c r="H494" s="22"/>
      <c r="I494" s="28" t="str">
        <f t="shared" si="14"/>
        <v/>
      </c>
      <c r="J494" s="14"/>
      <c r="K494" s="14"/>
      <c r="L494" s="21"/>
      <c r="M494" s="13"/>
      <c r="N494" s="7" t="str">
        <f t="shared" si="15"/>
        <v/>
      </c>
    </row>
    <row r="495" spans="1:14" x14ac:dyDescent="0.35">
      <c r="A495" s="81"/>
      <c r="B495" s="81"/>
      <c r="C495" s="21"/>
      <c r="D495" s="13"/>
      <c r="E495" s="13"/>
      <c r="F495" s="13"/>
      <c r="G495" s="22"/>
      <c r="H495" s="22"/>
      <c r="I495" s="28" t="str">
        <f t="shared" si="14"/>
        <v/>
      </c>
      <c r="J495" s="14"/>
      <c r="K495" s="14"/>
      <c r="L495" s="21"/>
      <c r="M495" s="13"/>
      <c r="N495" s="7" t="str">
        <f t="shared" si="15"/>
        <v/>
      </c>
    </row>
    <row r="496" spans="1:14" x14ac:dyDescent="0.35">
      <c r="A496" s="81"/>
      <c r="B496" s="81"/>
      <c r="C496" s="21"/>
      <c r="D496" s="13"/>
      <c r="E496" s="13"/>
      <c r="F496" s="13"/>
      <c r="G496" s="22"/>
      <c r="H496" s="22"/>
      <c r="I496" s="28" t="str">
        <f t="shared" si="14"/>
        <v/>
      </c>
      <c r="J496" s="14"/>
      <c r="K496" s="14"/>
      <c r="L496" s="21"/>
      <c r="M496" s="13"/>
      <c r="N496" s="7" t="str">
        <f t="shared" si="15"/>
        <v/>
      </c>
    </row>
    <row r="497" spans="1:14" x14ac:dyDescent="0.35">
      <c r="A497" s="81"/>
      <c r="B497" s="81"/>
      <c r="C497" s="21"/>
      <c r="D497" s="13"/>
      <c r="E497" s="13"/>
      <c r="F497" s="13"/>
      <c r="G497" s="22"/>
      <c r="H497" s="22"/>
      <c r="I497" s="28" t="str">
        <f t="shared" si="14"/>
        <v/>
      </c>
      <c r="J497" s="14"/>
      <c r="K497" s="14"/>
      <c r="L497" s="21"/>
      <c r="M497" s="13"/>
      <c r="N497" s="7" t="str">
        <f t="shared" si="15"/>
        <v/>
      </c>
    </row>
    <row r="498" spans="1:14" x14ac:dyDescent="0.35">
      <c r="A498" s="81"/>
      <c r="B498" s="81"/>
      <c r="C498" s="21"/>
      <c r="D498" s="13"/>
      <c r="E498" s="13"/>
      <c r="F498" s="13"/>
      <c r="G498" s="22"/>
      <c r="H498" s="22"/>
      <c r="I498" s="28" t="str">
        <f t="shared" si="14"/>
        <v/>
      </c>
      <c r="J498" s="14"/>
      <c r="K498" s="14"/>
      <c r="L498" s="21"/>
      <c r="M498" s="13"/>
      <c r="N498" s="7" t="str">
        <f t="shared" si="15"/>
        <v/>
      </c>
    </row>
    <row r="499" spans="1:14" x14ac:dyDescent="0.35">
      <c r="A499" s="81"/>
      <c r="B499" s="81"/>
      <c r="C499" s="21"/>
      <c r="D499" s="13"/>
      <c r="E499" s="13"/>
      <c r="F499" s="13"/>
      <c r="G499" s="22"/>
      <c r="H499" s="22"/>
      <c r="I499" s="28" t="str">
        <f t="shared" si="14"/>
        <v/>
      </c>
      <c r="J499" s="14"/>
      <c r="K499" s="14"/>
      <c r="L499" s="21"/>
      <c r="M499" s="13"/>
      <c r="N499" s="7" t="str">
        <f t="shared" si="15"/>
        <v/>
      </c>
    </row>
    <row r="500" spans="1:14" x14ac:dyDescent="0.35">
      <c r="A500" s="81"/>
      <c r="B500" s="81"/>
      <c r="C500" s="21"/>
      <c r="D500" s="13"/>
      <c r="E500" s="13"/>
      <c r="F500" s="13"/>
      <c r="G500" s="22"/>
      <c r="H500" s="22"/>
      <c r="I500" s="28" t="str">
        <f t="shared" si="14"/>
        <v/>
      </c>
      <c r="J500" s="14"/>
      <c r="K500" s="14"/>
      <c r="L500" s="21"/>
      <c r="M500" s="13"/>
      <c r="N500" s="7" t="str">
        <f t="shared" si="15"/>
        <v/>
      </c>
    </row>
    <row r="501" spans="1:14" x14ac:dyDescent="0.35">
      <c r="A501" s="81"/>
      <c r="B501" s="81"/>
      <c r="C501" s="21"/>
      <c r="D501" s="13"/>
      <c r="E501" s="13"/>
      <c r="F501" s="13"/>
      <c r="G501" s="22"/>
      <c r="H501" s="22"/>
      <c r="I501" s="28" t="str">
        <f t="shared" si="14"/>
        <v/>
      </c>
      <c r="J501" s="14"/>
      <c r="K501" s="14"/>
      <c r="L501" s="21"/>
      <c r="M501" s="13"/>
      <c r="N501" s="7" t="str">
        <f t="shared" si="15"/>
        <v/>
      </c>
    </row>
    <row r="502" spans="1:14" x14ac:dyDescent="0.35">
      <c r="A502" s="81"/>
      <c r="B502" s="81"/>
      <c r="C502" s="21"/>
      <c r="D502" s="13"/>
      <c r="E502" s="13"/>
      <c r="F502" s="13"/>
      <c r="G502" s="22"/>
      <c r="H502" s="22"/>
      <c r="I502" s="28" t="str">
        <f t="shared" si="14"/>
        <v/>
      </c>
      <c r="J502" s="14"/>
      <c r="K502" s="14"/>
      <c r="L502" s="21"/>
      <c r="M502" s="13"/>
      <c r="N502" s="7" t="str">
        <f t="shared" si="15"/>
        <v/>
      </c>
    </row>
    <row r="503" spans="1:14" x14ac:dyDescent="0.35">
      <c r="A503" s="81"/>
      <c r="B503" s="81"/>
      <c r="C503" s="21"/>
      <c r="D503" s="13"/>
      <c r="E503" s="13"/>
      <c r="F503" s="13"/>
      <c r="G503" s="22"/>
      <c r="H503" s="22"/>
      <c r="I503" s="28" t="str">
        <f t="shared" si="14"/>
        <v/>
      </c>
      <c r="J503" s="14"/>
      <c r="K503" s="14"/>
      <c r="L503" s="21"/>
      <c r="M503" s="13"/>
      <c r="N503" s="7" t="str">
        <f t="shared" si="15"/>
        <v/>
      </c>
    </row>
    <row r="504" spans="1:14" x14ac:dyDescent="0.35">
      <c r="A504" s="81"/>
      <c r="B504" s="81"/>
      <c r="C504" s="21"/>
      <c r="D504" s="13"/>
      <c r="E504" s="13"/>
      <c r="F504" s="13"/>
      <c r="G504" s="22"/>
      <c r="H504" s="22"/>
      <c r="I504" s="28" t="str">
        <f t="shared" si="14"/>
        <v/>
      </c>
      <c r="J504" s="14"/>
      <c r="K504" s="14"/>
      <c r="L504" s="21"/>
      <c r="M504" s="13"/>
      <c r="N504" s="7" t="str">
        <f t="shared" si="15"/>
        <v/>
      </c>
    </row>
    <row r="505" spans="1:14" x14ac:dyDescent="0.35">
      <c r="A505" s="81"/>
      <c r="B505" s="81"/>
      <c r="C505" s="21"/>
      <c r="D505" s="13"/>
      <c r="E505" s="13"/>
      <c r="F505" s="13"/>
      <c r="G505" s="22"/>
      <c r="H505" s="22"/>
      <c r="I505" s="28" t="str">
        <f t="shared" si="14"/>
        <v/>
      </c>
      <c r="J505" s="14"/>
      <c r="K505" s="14"/>
      <c r="L505" s="21"/>
      <c r="M505" s="13"/>
      <c r="N505" s="7" t="str">
        <f t="shared" si="15"/>
        <v/>
      </c>
    </row>
    <row r="506" spans="1:14" x14ac:dyDescent="0.35">
      <c r="A506" s="81"/>
      <c r="B506" s="81"/>
      <c r="C506" s="21"/>
      <c r="D506" s="13"/>
      <c r="E506" s="13"/>
      <c r="F506" s="13"/>
      <c r="G506" s="22"/>
      <c r="H506" s="22"/>
      <c r="I506" s="28" t="str">
        <f t="shared" si="14"/>
        <v/>
      </c>
      <c r="J506" s="14"/>
      <c r="K506" s="14"/>
      <c r="L506" s="21"/>
      <c r="M506" s="13"/>
      <c r="N506" s="7" t="str">
        <f t="shared" si="15"/>
        <v/>
      </c>
    </row>
    <row r="507" spans="1:14" x14ac:dyDescent="0.35">
      <c r="A507" s="81"/>
      <c r="B507" s="81"/>
      <c r="C507" s="21"/>
      <c r="D507" s="13"/>
      <c r="E507" s="13"/>
      <c r="F507" s="13"/>
      <c r="G507" s="22"/>
      <c r="H507" s="22"/>
      <c r="I507" s="28" t="str">
        <f t="shared" si="14"/>
        <v/>
      </c>
      <c r="J507" s="14"/>
      <c r="K507" s="14"/>
      <c r="L507" s="21"/>
      <c r="M507" s="13"/>
      <c r="N507" s="7" t="str">
        <f t="shared" si="15"/>
        <v/>
      </c>
    </row>
    <row r="508" spans="1:14" x14ac:dyDescent="0.35">
      <c r="A508" s="81"/>
      <c r="B508" s="81"/>
      <c r="C508" s="21"/>
      <c r="D508" s="13"/>
      <c r="E508" s="13"/>
      <c r="F508" s="13"/>
      <c r="G508" s="22"/>
      <c r="H508" s="22"/>
      <c r="I508" s="28" t="str">
        <f t="shared" si="14"/>
        <v/>
      </c>
      <c r="J508" s="14"/>
      <c r="K508" s="14"/>
      <c r="L508" s="21"/>
      <c r="M508" s="13"/>
      <c r="N508" s="7" t="str">
        <f t="shared" si="15"/>
        <v/>
      </c>
    </row>
    <row r="509" spans="1:14" x14ac:dyDescent="0.35">
      <c r="A509" s="81"/>
      <c r="B509" s="81"/>
      <c r="C509" s="21"/>
      <c r="D509" s="13"/>
      <c r="E509" s="13"/>
      <c r="F509" s="13"/>
      <c r="G509" s="22"/>
      <c r="H509" s="22"/>
      <c r="I509" s="28" t="str">
        <f t="shared" si="14"/>
        <v/>
      </c>
      <c r="J509" s="14"/>
      <c r="K509" s="14"/>
      <c r="L509" s="21"/>
      <c r="M509" s="13"/>
      <c r="N509" s="7" t="str">
        <f t="shared" si="15"/>
        <v/>
      </c>
    </row>
    <row r="510" spans="1:14" x14ac:dyDescent="0.35">
      <c r="A510" s="81"/>
      <c r="B510" s="81"/>
      <c r="C510" s="21"/>
      <c r="D510" s="13"/>
      <c r="E510" s="13"/>
      <c r="F510" s="13"/>
      <c r="G510" s="22"/>
      <c r="H510" s="22"/>
      <c r="I510" s="28" t="str">
        <f t="shared" si="14"/>
        <v/>
      </c>
      <c r="J510" s="14"/>
      <c r="K510" s="14"/>
      <c r="L510" s="21"/>
      <c r="M510" s="13"/>
      <c r="N510" s="7" t="str">
        <f t="shared" si="15"/>
        <v/>
      </c>
    </row>
    <row r="511" spans="1:14" x14ac:dyDescent="0.35">
      <c r="A511" s="81"/>
      <c r="B511" s="81"/>
      <c r="C511" s="21"/>
      <c r="D511" s="13"/>
      <c r="E511" s="13"/>
      <c r="F511" s="13"/>
      <c r="G511" s="22"/>
      <c r="H511" s="22"/>
      <c r="I511" s="28" t="str">
        <f t="shared" si="14"/>
        <v/>
      </c>
      <c r="J511" s="14"/>
      <c r="K511" s="14"/>
      <c r="L511" s="21"/>
      <c r="M511" s="13"/>
      <c r="N511" s="7" t="str">
        <f t="shared" si="15"/>
        <v/>
      </c>
    </row>
    <row r="512" spans="1:14" x14ac:dyDescent="0.35">
      <c r="A512" s="81"/>
      <c r="B512" s="81"/>
      <c r="C512" s="21"/>
      <c r="D512" s="13"/>
      <c r="E512" s="13"/>
      <c r="F512" s="13"/>
      <c r="G512" s="22"/>
      <c r="H512" s="22"/>
      <c r="I512" s="28" t="str">
        <f t="shared" si="14"/>
        <v/>
      </c>
      <c r="J512" s="14"/>
      <c r="K512" s="14"/>
      <c r="L512" s="21"/>
      <c r="M512" s="13"/>
      <c r="N512" s="7" t="str">
        <f t="shared" si="15"/>
        <v/>
      </c>
    </row>
    <row r="513" spans="1:14" x14ac:dyDescent="0.35">
      <c r="A513" s="81"/>
      <c r="B513" s="81"/>
      <c r="C513" s="21"/>
      <c r="D513" s="13"/>
      <c r="E513" s="13"/>
      <c r="F513" s="13"/>
      <c r="G513" s="22"/>
      <c r="H513" s="22"/>
      <c r="I513" s="28" t="str">
        <f t="shared" si="14"/>
        <v/>
      </c>
      <c r="J513" s="14"/>
      <c r="K513" s="14"/>
      <c r="L513" s="21"/>
      <c r="M513" s="13"/>
      <c r="N513" s="7" t="str">
        <f t="shared" si="15"/>
        <v/>
      </c>
    </row>
    <row r="514" spans="1:14" x14ac:dyDescent="0.35">
      <c r="A514" s="81"/>
      <c r="B514" s="81"/>
      <c r="C514" s="21"/>
      <c r="D514" s="13"/>
      <c r="E514" s="13"/>
      <c r="F514" s="13"/>
      <c r="G514" s="22"/>
      <c r="H514" s="22"/>
      <c r="I514" s="28" t="str">
        <f t="shared" si="14"/>
        <v/>
      </c>
      <c r="J514" s="14"/>
      <c r="K514" s="14"/>
      <c r="L514" s="21"/>
      <c r="M514" s="13"/>
      <c r="N514" s="7" t="str">
        <f t="shared" si="15"/>
        <v/>
      </c>
    </row>
    <row r="515" spans="1:14" x14ac:dyDescent="0.35">
      <c r="A515" s="81"/>
      <c r="B515" s="81"/>
      <c r="C515" s="21"/>
      <c r="D515" s="13"/>
      <c r="E515" s="13"/>
      <c r="F515" s="13"/>
      <c r="G515" s="22"/>
      <c r="H515" s="22"/>
      <c r="I515" s="28" t="str">
        <f t="shared" ref="I515:I578" si="16">IF($G515="","",$G515-N($H515))</f>
        <v/>
      </c>
      <c r="J515" s="14"/>
      <c r="K515" s="14"/>
      <c r="L515" s="21"/>
      <c r="M515" s="13"/>
      <c r="N515" s="7" t="str">
        <f t="shared" ref="N515:N578" si="17">IF($G515="","",IF(N($H515)&gt;=$G515,"Payé",IF(N($H515)&gt;0,"Partiellement payé","Non payé")))</f>
        <v/>
      </c>
    </row>
    <row r="516" spans="1:14" x14ac:dyDescent="0.35">
      <c r="A516" s="81"/>
      <c r="B516" s="81"/>
      <c r="C516" s="21"/>
      <c r="D516" s="13"/>
      <c r="E516" s="13"/>
      <c r="F516" s="13"/>
      <c r="G516" s="22"/>
      <c r="H516" s="22"/>
      <c r="I516" s="28" t="str">
        <f t="shared" si="16"/>
        <v/>
      </c>
      <c r="J516" s="14"/>
      <c r="K516" s="14"/>
      <c r="L516" s="21"/>
      <c r="M516" s="13"/>
      <c r="N516" s="7" t="str">
        <f t="shared" si="17"/>
        <v/>
      </c>
    </row>
    <row r="517" spans="1:14" x14ac:dyDescent="0.35">
      <c r="A517" s="81"/>
      <c r="B517" s="81"/>
      <c r="C517" s="21"/>
      <c r="D517" s="13"/>
      <c r="E517" s="13"/>
      <c r="F517" s="13"/>
      <c r="G517" s="22"/>
      <c r="H517" s="22"/>
      <c r="I517" s="28" t="str">
        <f t="shared" si="16"/>
        <v/>
      </c>
      <c r="J517" s="14"/>
      <c r="K517" s="14"/>
      <c r="L517" s="21"/>
      <c r="M517" s="13"/>
      <c r="N517" s="7" t="str">
        <f t="shared" si="17"/>
        <v/>
      </c>
    </row>
    <row r="518" spans="1:14" x14ac:dyDescent="0.35">
      <c r="A518" s="81"/>
      <c r="B518" s="81"/>
      <c r="C518" s="21"/>
      <c r="D518" s="13"/>
      <c r="E518" s="13"/>
      <c r="F518" s="13"/>
      <c r="G518" s="22"/>
      <c r="H518" s="22"/>
      <c r="I518" s="28" t="str">
        <f t="shared" si="16"/>
        <v/>
      </c>
      <c r="J518" s="14"/>
      <c r="K518" s="14"/>
      <c r="L518" s="21"/>
      <c r="M518" s="13"/>
      <c r="N518" s="7" t="str">
        <f t="shared" si="17"/>
        <v/>
      </c>
    </row>
    <row r="519" spans="1:14" x14ac:dyDescent="0.35">
      <c r="A519" s="81"/>
      <c r="B519" s="81"/>
      <c r="C519" s="21"/>
      <c r="D519" s="13"/>
      <c r="E519" s="13"/>
      <c r="F519" s="13"/>
      <c r="G519" s="22"/>
      <c r="H519" s="22"/>
      <c r="I519" s="28" t="str">
        <f t="shared" si="16"/>
        <v/>
      </c>
      <c r="J519" s="14"/>
      <c r="K519" s="14"/>
      <c r="L519" s="21"/>
      <c r="M519" s="13"/>
      <c r="N519" s="7" t="str">
        <f t="shared" si="17"/>
        <v/>
      </c>
    </row>
    <row r="520" spans="1:14" x14ac:dyDescent="0.35">
      <c r="A520" s="81"/>
      <c r="B520" s="81"/>
      <c r="C520" s="21"/>
      <c r="D520" s="13"/>
      <c r="E520" s="13"/>
      <c r="F520" s="13"/>
      <c r="G520" s="22"/>
      <c r="H520" s="22"/>
      <c r="I520" s="28" t="str">
        <f t="shared" si="16"/>
        <v/>
      </c>
      <c r="J520" s="14"/>
      <c r="K520" s="14"/>
      <c r="L520" s="21"/>
      <c r="M520" s="13"/>
      <c r="N520" s="7" t="str">
        <f t="shared" si="17"/>
        <v/>
      </c>
    </row>
    <row r="521" spans="1:14" x14ac:dyDescent="0.35">
      <c r="A521" s="81"/>
      <c r="B521" s="81"/>
      <c r="C521" s="21"/>
      <c r="D521" s="13"/>
      <c r="E521" s="13"/>
      <c r="F521" s="13"/>
      <c r="G521" s="22"/>
      <c r="H521" s="22"/>
      <c r="I521" s="28" t="str">
        <f t="shared" si="16"/>
        <v/>
      </c>
      <c r="J521" s="14"/>
      <c r="K521" s="14"/>
      <c r="L521" s="21"/>
      <c r="M521" s="13"/>
      <c r="N521" s="7" t="str">
        <f t="shared" si="17"/>
        <v/>
      </c>
    </row>
    <row r="522" spans="1:14" x14ac:dyDescent="0.35">
      <c r="A522" s="81"/>
      <c r="B522" s="81"/>
      <c r="C522" s="21"/>
      <c r="D522" s="13"/>
      <c r="E522" s="13"/>
      <c r="F522" s="13"/>
      <c r="G522" s="22"/>
      <c r="H522" s="22"/>
      <c r="I522" s="28" t="str">
        <f t="shared" si="16"/>
        <v/>
      </c>
      <c r="J522" s="14"/>
      <c r="K522" s="14"/>
      <c r="L522" s="21"/>
      <c r="M522" s="13"/>
      <c r="N522" s="7" t="str">
        <f t="shared" si="17"/>
        <v/>
      </c>
    </row>
    <row r="523" spans="1:14" x14ac:dyDescent="0.35">
      <c r="A523" s="81"/>
      <c r="B523" s="81"/>
      <c r="C523" s="21"/>
      <c r="D523" s="13"/>
      <c r="E523" s="13"/>
      <c r="F523" s="13"/>
      <c r="G523" s="22"/>
      <c r="H523" s="22"/>
      <c r="I523" s="28" t="str">
        <f t="shared" si="16"/>
        <v/>
      </c>
      <c r="J523" s="14"/>
      <c r="K523" s="14"/>
      <c r="L523" s="21"/>
      <c r="M523" s="13"/>
      <c r="N523" s="7" t="str">
        <f t="shared" si="17"/>
        <v/>
      </c>
    </row>
    <row r="524" spans="1:14" x14ac:dyDescent="0.35">
      <c r="A524" s="81"/>
      <c r="B524" s="81"/>
      <c r="C524" s="21"/>
      <c r="D524" s="13"/>
      <c r="E524" s="13"/>
      <c r="F524" s="13"/>
      <c r="G524" s="22"/>
      <c r="H524" s="22"/>
      <c r="I524" s="28" t="str">
        <f t="shared" si="16"/>
        <v/>
      </c>
      <c r="J524" s="14"/>
      <c r="K524" s="14"/>
      <c r="L524" s="21"/>
      <c r="M524" s="13"/>
      <c r="N524" s="7" t="str">
        <f t="shared" si="17"/>
        <v/>
      </c>
    </row>
    <row r="525" spans="1:14" x14ac:dyDescent="0.35">
      <c r="A525" s="81"/>
      <c r="B525" s="81"/>
      <c r="C525" s="21"/>
      <c r="D525" s="13"/>
      <c r="E525" s="13"/>
      <c r="F525" s="13"/>
      <c r="G525" s="22"/>
      <c r="H525" s="22"/>
      <c r="I525" s="28" t="str">
        <f t="shared" si="16"/>
        <v/>
      </c>
      <c r="J525" s="14"/>
      <c r="K525" s="14"/>
      <c r="L525" s="21"/>
      <c r="M525" s="13"/>
      <c r="N525" s="7" t="str">
        <f t="shared" si="17"/>
        <v/>
      </c>
    </row>
    <row r="526" spans="1:14" x14ac:dyDescent="0.35">
      <c r="A526" s="81"/>
      <c r="B526" s="81"/>
      <c r="C526" s="21"/>
      <c r="D526" s="13"/>
      <c r="E526" s="13"/>
      <c r="F526" s="13"/>
      <c r="G526" s="22"/>
      <c r="H526" s="22"/>
      <c r="I526" s="28" t="str">
        <f t="shared" si="16"/>
        <v/>
      </c>
      <c r="J526" s="14"/>
      <c r="K526" s="14"/>
      <c r="L526" s="21"/>
      <c r="M526" s="13"/>
      <c r="N526" s="7" t="str">
        <f t="shared" si="17"/>
        <v/>
      </c>
    </row>
    <row r="527" spans="1:14" x14ac:dyDescent="0.35">
      <c r="A527" s="81"/>
      <c r="B527" s="81"/>
      <c r="C527" s="21"/>
      <c r="D527" s="13"/>
      <c r="E527" s="13"/>
      <c r="F527" s="13"/>
      <c r="G527" s="22"/>
      <c r="H527" s="22"/>
      <c r="I527" s="28" t="str">
        <f t="shared" si="16"/>
        <v/>
      </c>
      <c r="J527" s="14"/>
      <c r="K527" s="14"/>
      <c r="L527" s="21"/>
      <c r="M527" s="13"/>
      <c r="N527" s="7" t="str">
        <f t="shared" si="17"/>
        <v/>
      </c>
    </row>
    <row r="528" spans="1:14" x14ac:dyDescent="0.35">
      <c r="A528" s="81"/>
      <c r="B528" s="81"/>
      <c r="C528" s="21"/>
      <c r="D528" s="13"/>
      <c r="E528" s="13"/>
      <c r="F528" s="13"/>
      <c r="G528" s="22"/>
      <c r="H528" s="22"/>
      <c r="I528" s="28" t="str">
        <f t="shared" si="16"/>
        <v/>
      </c>
      <c r="J528" s="14"/>
      <c r="K528" s="14"/>
      <c r="L528" s="21"/>
      <c r="M528" s="13"/>
      <c r="N528" s="7" t="str">
        <f t="shared" si="17"/>
        <v/>
      </c>
    </row>
    <row r="529" spans="1:14" x14ac:dyDescent="0.35">
      <c r="A529" s="81"/>
      <c r="B529" s="81"/>
      <c r="C529" s="21"/>
      <c r="D529" s="13"/>
      <c r="E529" s="13"/>
      <c r="F529" s="13"/>
      <c r="G529" s="22"/>
      <c r="H529" s="22"/>
      <c r="I529" s="28" t="str">
        <f t="shared" si="16"/>
        <v/>
      </c>
      <c r="J529" s="14"/>
      <c r="K529" s="14"/>
      <c r="L529" s="21"/>
      <c r="M529" s="13"/>
      <c r="N529" s="7" t="str">
        <f t="shared" si="17"/>
        <v/>
      </c>
    </row>
    <row r="530" spans="1:14" x14ac:dyDescent="0.35">
      <c r="A530" s="81"/>
      <c r="B530" s="81"/>
      <c r="C530" s="21"/>
      <c r="D530" s="13"/>
      <c r="E530" s="13"/>
      <c r="F530" s="13"/>
      <c r="G530" s="22"/>
      <c r="H530" s="22"/>
      <c r="I530" s="28" t="str">
        <f t="shared" si="16"/>
        <v/>
      </c>
      <c r="J530" s="14"/>
      <c r="K530" s="14"/>
      <c r="L530" s="21"/>
      <c r="M530" s="13"/>
      <c r="N530" s="7" t="str">
        <f t="shared" si="17"/>
        <v/>
      </c>
    </row>
    <row r="531" spans="1:14" x14ac:dyDescent="0.35">
      <c r="A531" s="81"/>
      <c r="B531" s="81"/>
      <c r="C531" s="21"/>
      <c r="D531" s="13"/>
      <c r="E531" s="13"/>
      <c r="F531" s="13"/>
      <c r="G531" s="22"/>
      <c r="H531" s="22"/>
      <c r="I531" s="28" t="str">
        <f t="shared" si="16"/>
        <v/>
      </c>
      <c r="J531" s="14"/>
      <c r="K531" s="14"/>
      <c r="L531" s="21"/>
      <c r="M531" s="13"/>
      <c r="N531" s="7" t="str">
        <f t="shared" si="17"/>
        <v/>
      </c>
    </row>
    <row r="532" spans="1:14" x14ac:dyDescent="0.35">
      <c r="A532" s="81"/>
      <c r="B532" s="81"/>
      <c r="C532" s="21"/>
      <c r="D532" s="13"/>
      <c r="E532" s="13"/>
      <c r="F532" s="13"/>
      <c r="G532" s="22"/>
      <c r="H532" s="22"/>
      <c r="I532" s="28" t="str">
        <f t="shared" si="16"/>
        <v/>
      </c>
      <c r="J532" s="14"/>
      <c r="K532" s="14"/>
      <c r="L532" s="21"/>
      <c r="M532" s="13"/>
      <c r="N532" s="7" t="str">
        <f t="shared" si="17"/>
        <v/>
      </c>
    </row>
    <row r="533" spans="1:14" x14ac:dyDescent="0.35">
      <c r="A533" s="81"/>
      <c r="B533" s="81"/>
      <c r="C533" s="21"/>
      <c r="D533" s="13"/>
      <c r="E533" s="13"/>
      <c r="F533" s="13"/>
      <c r="G533" s="22"/>
      <c r="H533" s="22"/>
      <c r="I533" s="28" t="str">
        <f t="shared" si="16"/>
        <v/>
      </c>
      <c r="J533" s="14"/>
      <c r="K533" s="14"/>
      <c r="L533" s="21"/>
      <c r="M533" s="13"/>
      <c r="N533" s="7" t="str">
        <f t="shared" si="17"/>
        <v/>
      </c>
    </row>
    <row r="534" spans="1:14" x14ac:dyDescent="0.35">
      <c r="A534" s="81"/>
      <c r="B534" s="81"/>
      <c r="C534" s="21"/>
      <c r="D534" s="13"/>
      <c r="E534" s="13"/>
      <c r="F534" s="13"/>
      <c r="G534" s="22"/>
      <c r="H534" s="22"/>
      <c r="I534" s="28" t="str">
        <f t="shared" si="16"/>
        <v/>
      </c>
      <c r="J534" s="14"/>
      <c r="K534" s="14"/>
      <c r="L534" s="21"/>
      <c r="M534" s="13"/>
      <c r="N534" s="7" t="str">
        <f t="shared" si="17"/>
        <v/>
      </c>
    </row>
    <row r="535" spans="1:14" x14ac:dyDescent="0.35">
      <c r="A535" s="81"/>
      <c r="B535" s="81"/>
      <c r="C535" s="21"/>
      <c r="D535" s="13"/>
      <c r="E535" s="13"/>
      <c r="F535" s="13"/>
      <c r="G535" s="22"/>
      <c r="H535" s="22"/>
      <c r="I535" s="28" t="str">
        <f t="shared" si="16"/>
        <v/>
      </c>
      <c r="J535" s="14"/>
      <c r="K535" s="14"/>
      <c r="L535" s="21"/>
      <c r="M535" s="13"/>
      <c r="N535" s="7" t="str">
        <f t="shared" si="17"/>
        <v/>
      </c>
    </row>
    <row r="536" spans="1:14" x14ac:dyDescent="0.35">
      <c r="A536" s="81"/>
      <c r="B536" s="81"/>
      <c r="C536" s="21"/>
      <c r="D536" s="13"/>
      <c r="E536" s="13"/>
      <c r="F536" s="13"/>
      <c r="G536" s="22"/>
      <c r="H536" s="22"/>
      <c r="I536" s="28" t="str">
        <f t="shared" si="16"/>
        <v/>
      </c>
      <c r="J536" s="14"/>
      <c r="K536" s="14"/>
      <c r="L536" s="21"/>
      <c r="M536" s="13"/>
      <c r="N536" s="7" t="str">
        <f t="shared" si="17"/>
        <v/>
      </c>
    </row>
    <row r="537" spans="1:14" x14ac:dyDescent="0.35">
      <c r="A537" s="81"/>
      <c r="B537" s="81"/>
      <c r="C537" s="21"/>
      <c r="D537" s="13"/>
      <c r="E537" s="13"/>
      <c r="F537" s="13"/>
      <c r="G537" s="22"/>
      <c r="H537" s="22"/>
      <c r="I537" s="28" t="str">
        <f t="shared" si="16"/>
        <v/>
      </c>
      <c r="J537" s="14"/>
      <c r="K537" s="14"/>
      <c r="L537" s="21"/>
      <c r="M537" s="13"/>
      <c r="N537" s="7" t="str">
        <f t="shared" si="17"/>
        <v/>
      </c>
    </row>
    <row r="538" spans="1:14" x14ac:dyDescent="0.35">
      <c r="A538" s="81"/>
      <c r="B538" s="81"/>
      <c r="C538" s="21"/>
      <c r="D538" s="13"/>
      <c r="E538" s="13"/>
      <c r="F538" s="13"/>
      <c r="G538" s="22"/>
      <c r="H538" s="22"/>
      <c r="I538" s="28" t="str">
        <f t="shared" si="16"/>
        <v/>
      </c>
      <c r="J538" s="14"/>
      <c r="K538" s="14"/>
      <c r="L538" s="21"/>
      <c r="M538" s="13"/>
      <c r="N538" s="7" t="str">
        <f t="shared" si="17"/>
        <v/>
      </c>
    </row>
    <row r="539" spans="1:14" x14ac:dyDescent="0.35">
      <c r="A539" s="81"/>
      <c r="B539" s="81"/>
      <c r="C539" s="21"/>
      <c r="D539" s="13"/>
      <c r="E539" s="13"/>
      <c r="F539" s="13"/>
      <c r="G539" s="22"/>
      <c r="H539" s="22"/>
      <c r="I539" s="28" t="str">
        <f t="shared" si="16"/>
        <v/>
      </c>
      <c r="J539" s="14"/>
      <c r="K539" s="14"/>
      <c r="L539" s="21"/>
      <c r="M539" s="13"/>
      <c r="N539" s="7" t="str">
        <f t="shared" si="17"/>
        <v/>
      </c>
    </row>
    <row r="540" spans="1:14" x14ac:dyDescent="0.35">
      <c r="A540" s="81"/>
      <c r="B540" s="81"/>
      <c r="C540" s="21"/>
      <c r="D540" s="13"/>
      <c r="E540" s="13"/>
      <c r="F540" s="13"/>
      <c r="G540" s="22"/>
      <c r="H540" s="22"/>
      <c r="I540" s="28" t="str">
        <f t="shared" si="16"/>
        <v/>
      </c>
      <c r="J540" s="14"/>
      <c r="K540" s="14"/>
      <c r="L540" s="21"/>
      <c r="M540" s="13"/>
      <c r="N540" s="7" t="str">
        <f t="shared" si="17"/>
        <v/>
      </c>
    </row>
    <row r="541" spans="1:14" x14ac:dyDescent="0.35">
      <c r="A541" s="81"/>
      <c r="B541" s="81"/>
      <c r="C541" s="21"/>
      <c r="D541" s="13"/>
      <c r="E541" s="13"/>
      <c r="F541" s="13"/>
      <c r="G541" s="22"/>
      <c r="H541" s="22"/>
      <c r="I541" s="28" t="str">
        <f t="shared" si="16"/>
        <v/>
      </c>
      <c r="J541" s="14"/>
      <c r="K541" s="14"/>
      <c r="L541" s="21"/>
      <c r="M541" s="13"/>
      <c r="N541" s="7" t="str">
        <f t="shared" si="17"/>
        <v/>
      </c>
    </row>
    <row r="542" spans="1:14" x14ac:dyDescent="0.35">
      <c r="A542" s="81"/>
      <c r="B542" s="81"/>
      <c r="C542" s="21"/>
      <c r="D542" s="13"/>
      <c r="E542" s="13"/>
      <c r="F542" s="13"/>
      <c r="G542" s="22"/>
      <c r="H542" s="22"/>
      <c r="I542" s="28" t="str">
        <f t="shared" si="16"/>
        <v/>
      </c>
      <c r="J542" s="14"/>
      <c r="K542" s="14"/>
      <c r="L542" s="21"/>
      <c r="M542" s="13"/>
      <c r="N542" s="7" t="str">
        <f t="shared" si="17"/>
        <v/>
      </c>
    </row>
    <row r="543" spans="1:14" x14ac:dyDescent="0.35">
      <c r="A543" s="81"/>
      <c r="B543" s="81"/>
      <c r="C543" s="21"/>
      <c r="D543" s="13"/>
      <c r="E543" s="13"/>
      <c r="F543" s="13"/>
      <c r="G543" s="22"/>
      <c r="H543" s="22"/>
      <c r="I543" s="28" t="str">
        <f t="shared" si="16"/>
        <v/>
      </c>
      <c r="J543" s="14"/>
      <c r="K543" s="14"/>
      <c r="L543" s="21"/>
      <c r="M543" s="13"/>
      <c r="N543" s="7" t="str">
        <f t="shared" si="17"/>
        <v/>
      </c>
    </row>
    <row r="544" spans="1:14" x14ac:dyDescent="0.35">
      <c r="A544" s="81"/>
      <c r="B544" s="81"/>
      <c r="C544" s="21"/>
      <c r="D544" s="13"/>
      <c r="E544" s="13"/>
      <c r="F544" s="13"/>
      <c r="G544" s="22"/>
      <c r="H544" s="22"/>
      <c r="I544" s="28" t="str">
        <f t="shared" si="16"/>
        <v/>
      </c>
      <c r="J544" s="14"/>
      <c r="K544" s="14"/>
      <c r="L544" s="21"/>
      <c r="M544" s="13"/>
      <c r="N544" s="7" t="str">
        <f t="shared" si="17"/>
        <v/>
      </c>
    </row>
    <row r="545" spans="1:14" x14ac:dyDescent="0.35">
      <c r="A545" s="81"/>
      <c r="B545" s="81"/>
      <c r="C545" s="21"/>
      <c r="D545" s="13"/>
      <c r="E545" s="13"/>
      <c r="F545" s="13"/>
      <c r="G545" s="22"/>
      <c r="H545" s="22"/>
      <c r="I545" s="28" t="str">
        <f t="shared" si="16"/>
        <v/>
      </c>
      <c r="J545" s="14"/>
      <c r="K545" s="14"/>
      <c r="L545" s="21"/>
      <c r="M545" s="13"/>
      <c r="N545" s="7" t="str">
        <f t="shared" si="17"/>
        <v/>
      </c>
    </row>
    <row r="546" spans="1:14" x14ac:dyDescent="0.35">
      <c r="A546" s="81"/>
      <c r="B546" s="81"/>
      <c r="C546" s="21"/>
      <c r="D546" s="13"/>
      <c r="E546" s="13"/>
      <c r="F546" s="13"/>
      <c r="G546" s="22"/>
      <c r="H546" s="22"/>
      <c r="I546" s="28" t="str">
        <f t="shared" si="16"/>
        <v/>
      </c>
      <c r="J546" s="14"/>
      <c r="K546" s="14"/>
      <c r="L546" s="21"/>
      <c r="M546" s="13"/>
      <c r="N546" s="7" t="str">
        <f t="shared" si="17"/>
        <v/>
      </c>
    </row>
    <row r="547" spans="1:14" x14ac:dyDescent="0.35">
      <c r="A547" s="81"/>
      <c r="B547" s="81"/>
      <c r="C547" s="21"/>
      <c r="D547" s="13"/>
      <c r="E547" s="13"/>
      <c r="F547" s="13"/>
      <c r="G547" s="22"/>
      <c r="H547" s="22"/>
      <c r="I547" s="28" t="str">
        <f t="shared" si="16"/>
        <v/>
      </c>
      <c r="J547" s="14"/>
      <c r="K547" s="14"/>
      <c r="L547" s="21"/>
      <c r="M547" s="13"/>
      <c r="N547" s="7" t="str">
        <f t="shared" si="17"/>
        <v/>
      </c>
    </row>
    <row r="548" spans="1:14" x14ac:dyDescent="0.35">
      <c r="A548" s="81"/>
      <c r="B548" s="81"/>
      <c r="C548" s="21"/>
      <c r="D548" s="13"/>
      <c r="E548" s="13"/>
      <c r="F548" s="13"/>
      <c r="G548" s="22"/>
      <c r="H548" s="22"/>
      <c r="I548" s="28" t="str">
        <f t="shared" si="16"/>
        <v/>
      </c>
      <c r="J548" s="14"/>
      <c r="K548" s="14"/>
      <c r="L548" s="21"/>
      <c r="M548" s="13"/>
      <c r="N548" s="7" t="str">
        <f t="shared" si="17"/>
        <v/>
      </c>
    </row>
    <row r="549" spans="1:14" x14ac:dyDescent="0.35">
      <c r="A549" s="81"/>
      <c r="B549" s="81"/>
      <c r="C549" s="21"/>
      <c r="D549" s="13"/>
      <c r="E549" s="13"/>
      <c r="F549" s="13"/>
      <c r="G549" s="22"/>
      <c r="H549" s="22"/>
      <c r="I549" s="28" t="str">
        <f t="shared" si="16"/>
        <v/>
      </c>
      <c r="J549" s="14"/>
      <c r="K549" s="14"/>
      <c r="L549" s="21"/>
      <c r="M549" s="13"/>
      <c r="N549" s="7" t="str">
        <f t="shared" si="17"/>
        <v/>
      </c>
    </row>
    <row r="550" spans="1:14" x14ac:dyDescent="0.35">
      <c r="A550" s="81"/>
      <c r="B550" s="81"/>
      <c r="C550" s="21"/>
      <c r="D550" s="13"/>
      <c r="E550" s="13"/>
      <c r="F550" s="13"/>
      <c r="G550" s="22"/>
      <c r="H550" s="22"/>
      <c r="I550" s="28" t="str">
        <f t="shared" si="16"/>
        <v/>
      </c>
      <c r="J550" s="14"/>
      <c r="K550" s="14"/>
      <c r="L550" s="21"/>
      <c r="M550" s="13"/>
      <c r="N550" s="7" t="str">
        <f t="shared" si="17"/>
        <v/>
      </c>
    </row>
    <row r="551" spans="1:14" x14ac:dyDescent="0.35">
      <c r="A551" s="81"/>
      <c r="B551" s="81"/>
      <c r="C551" s="21"/>
      <c r="D551" s="13"/>
      <c r="E551" s="13"/>
      <c r="F551" s="13"/>
      <c r="G551" s="22"/>
      <c r="H551" s="22"/>
      <c r="I551" s="28" t="str">
        <f t="shared" si="16"/>
        <v/>
      </c>
      <c r="J551" s="14"/>
      <c r="K551" s="14"/>
      <c r="L551" s="21"/>
      <c r="M551" s="13"/>
      <c r="N551" s="7" t="str">
        <f t="shared" si="17"/>
        <v/>
      </c>
    </row>
    <row r="552" spans="1:14" x14ac:dyDescent="0.35">
      <c r="A552" s="81"/>
      <c r="B552" s="81"/>
      <c r="C552" s="21"/>
      <c r="D552" s="13"/>
      <c r="E552" s="13"/>
      <c r="F552" s="13"/>
      <c r="G552" s="22"/>
      <c r="H552" s="22"/>
      <c r="I552" s="28" t="str">
        <f t="shared" si="16"/>
        <v/>
      </c>
      <c r="J552" s="14"/>
      <c r="K552" s="14"/>
      <c r="L552" s="21"/>
      <c r="M552" s="13"/>
      <c r="N552" s="7" t="str">
        <f t="shared" si="17"/>
        <v/>
      </c>
    </row>
    <row r="553" spans="1:14" x14ac:dyDescent="0.35">
      <c r="A553" s="81"/>
      <c r="B553" s="81"/>
      <c r="C553" s="21"/>
      <c r="D553" s="13"/>
      <c r="E553" s="13"/>
      <c r="F553" s="13"/>
      <c r="G553" s="22"/>
      <c r="H553" s="22"/>
      <c r="I553" s="28" t="str">
        <f t="shared" si="16"/>
        <v/>
      </c>
      <c r="J553" s="14"/>
      <c r="K553" s="14"/>
      <c r="L553" s="21"/>
      <c r="M553" s="13"/>
      <c r="N553" s="7" t="str">
        <f t="shared" si="17"/>
        <v/>
      </c>
    </row>
    <row r="554" spans="1:14" x14ac:dyDescent="0.35">
      <c r="A554" s="81"/>
      <c r="B554" s="81"/>
      <c r="C554" s="21"/>
      <c r="D554" s="13"/>
      <c r="E554" s="13"/>
      <c r="F554" s="13"/>
      <c r="G554" s="22"/>
      <c r="H554" s="22"/>
      <c r="I554" s="28" t="str">
        <f t="shared" si="16"/>
        <v/>
      </c>
      <c r="J554" s="14"/>
      <c r="K554" s="14"/>
      <c r="L554" s="21"/>
      <c r="M554" s="13"/>
      <c r="N554" s="7" t="str">
        <f t="shared" si="17"/>
        <v/>
      </c>
    </row>
    <row r="555" spans="1:14" x14ac:dyDescent="0.35">
      <c r="A555" s="81"/>
      <c r="B555" s="81"/>
      <c r="C555" s="21"/>
      <c r="D555" s="13"/>
      <c r="E555" s="13"/>
      <c r="F555" s="13"/>
      <c r="G555" s="22"/>
      <c r="H555" s="22"/>
      <c r="I555" s="28" t="str">
        <f t="shared" si="16"/>
        <v/>
      </c>
      <c r="J555" s="14"/>
      <c r="K555" s="14"/>
      <c r="L555" s="21"/>
      <c r="M555" s="13"/>
      <c r="N555" s="7" t="str">
        <f t="shared" si="17"/>
        <v/>
      </c>
    </row>
    <row r="556" spans="1:14" x14ac:dyDescent="0.35">
      <c r="A556" s="81"/>
      <c r="B556" s="81"/>
      <c r="C556" s="21"/>
      <c r="D556" s="13"/>
      <c r="E556" s="13"/>
      <c r="F556" s="13"/>
      <c r="G556" s="22"/>
      <c r="H556" s="22"/>
      <c r="I556" s="28" t="str">
        <f t="shared" si="16"/>
        <v/>
      </c>
      <c r="J556" s="14"/>
      <c r="K556" s="14"/>
      <c r="L556" s="21"/>
      <c r="M556" s="13"/>
      <c r="N556" s="7" t="str">
        <f t="shared" si="17"/>
        <v/>
      </c>
    </row>
    <row r="557" spans="1:14" x14ac:dyDescent="0.35">
      <c r="A557" s="81"/>
      <c r="B557" s="81"/>
      <c r="C557" s="21"/>
      <c r="D557" s="13"/>
      <c r="E557" s="13"/>
      <c r="F557" s="13"/>
      <c r="G557" s="22"/>
      <c r="H557" s="22"/>
      <c r="I557" s="28" t="str">
        <f t="shared" si="16"/>
        <v/>
      </c>
      <c r="J557" s="14"/>
      <c r="K557" s="14"/>
      <c r="L557" s="21"/>
      <c r="M557" s="13"/>
      <c r="N557" s="7" t="str">
        <f t="shared" si="17"/>
        <v/>
      </c>
    </row>
    <row r="558" spans="1:14" x14ac:dyDescent="0.35">
      <c r="A558" s="81"/>
      <c r="B558" s="81"/>
      <c r="C558" s="21"/>
      <c r="D558" s="13"/>
      <c r="E558" s="13"/>
      <c r="F558" s="13"/>
      <c r="G558" s="22"/>
      <c r="H558" s="22"/>
      <c r="I558" s="28" t="str">
        <f t="shared" si="16"/>
        <v/>
      </c>
      <c r="J558" s="14"/>
      <c r="K558" s="14"/>
      <c r="L558" s="21"/>
      <c r="M558" s="13"/>
      <c r="N558" s="7" t="str">
        <f t="shared" si="17"/>
        <v/>
      </c>
    </row>
    <row r="559" spans="1:14" x14ac:dyDescent="0.35">
      <c r="A559" s="81"/>
      <c r="B559" s="81"/>
      <c r="C559" s="21"/>
      <c r="D559" s="13"/>
      <c r="E559" s="13"/>
      <c r="F559" s="13"/>
      <c r="G559" s="22"/>
      <c r="H559" s="22"/>
      <c r="I559" s="28" t="str">
        <f t="shared" si="16"/>
        <v/>
      </c>
      <c r="J559" s="14"/>
      <c r="K559" s="14"/>
      <c r="L559" s="21"/>
      <c r="M559" s="13"/>
      <c r="N559" s="7" t="str">
        <f t="shared" si="17"/>
        <v/>
      </c>
    </row>
    <row r="560" spans="1:14" x14ac:dyDescent="0.35">
      <c r="A560" s="81"/>
      <c r="B560" s="81"/>
      <c r="C560" s="21"/>
      <c r="D560" s="13"/>
      <c r="E560" s="13"/>
      <c r="F560" s="13"/>
      <c r="G560" s="22"/>
      <c r="H560" s="22"/>
      <c r="I560" s="28" t="str">
        <f t="shared" si="16"/>
        <v/>
      </c>
      <c r="J560" s="14"/>
      <c r="K560" s="14"/>
      <c r="L560" s="21"/>
      <c r="M560" s="13"/>
      <c r="N560" s="7" t="str">
        <f t="shared" si="17"/>
        <v/>
      </c>
    </row>
    <row r="561" spans="1:14" x14ac:dyDescent="0.35">
      <c r="A561" s="81"/>
      <c r="B561" s="81"/>
      <c r="C561" s="21"/>
      <c r="D561" s="13"/>
      <c r="E561" s="13"/>
      <c r="F561" s="13"/>
      <c r="G561" s="22"/>
      <c r="H561" s="22"/>
      <c r="I561" s="28" t="str">
        <f t="shared" si="16"/>
        <v/>
      </c>
      <c r="J561" s="14"/>
      <c r="K561" s="14"/>
      <c r="L561" s="21"/>
      <c r="M561" s="13"/>
      <c r="N561" s="7" t="str">
        <f t="shared" si="17"/>
        <v/>
      </c>
    </row>
    <row r="562" spans="1:14" x14ac:dyDescent="0.35">
      <c r="A562" s="81"/>
      <c r="B562" s="81"/>
      <c r="C562" s="21"/>
      <c r="D562" s="13"/>
      <c r="E562" s="13"/>
      <c r="F562" s="13"/>
      <c r="G562" s="22"/>
      <c r="H562" s="22"/>
      <c r="I562" s="28" t="str">
        <f t="shared" si="16"/>
        <v/>
      </c>
      <c r="J562" s="14"/>
      <c r="K562" s="14"/>
      <c r="L562" s="21"/>
      <c r="M562" s="13"/>
      <c r="N562" s="7" t="str">
        <f t="shared" si="17"/>
        <v/>
      </c>
    </row>
    <row r="563" spans="1:14" x14ac:dyDescent="0.35">
      <c r="A563" s="81"/>
      <c r="B563" s="81"/>
      <c r="C563" s="21"/>
      <c r="D563" s="13"/>
      <c r="E563" s="13"/>
      <c r="F563" s="13"/>
      <c r="G563" s="22"/>
      <c r="H563" s="22"/>
      <c r="I563" s="28" t="str">
        <f t="shared" si="16"/>
        <v/>
      </c>
      <c r="J563" s="14"/>
      <c r="K563" s="14"/>
      <c r="L563" s="21"/>
      <c r="M563" s="13"/>
      <c r="N563" s="7" t="str">
        <f t="shared" si="17"/>
        <v/>
      </c>
    </row>
    <row r="564" spans="1:14" x14ac:dyDescent="0.35">
      <c r="A564" s="81"/>
      <c r="B564" s="81"/>
      <c r="C564" s="21"/>
      <c r="D564" s="13"/>
      <c r="E564" s="13"/>
      <c r="F564" s="13"/>
      <c r="G564" s="22"/>
      <c r="H564" s="22"/>
      <c r="I564" s="28" t="str">
        <f t="shared" si="16"/>
        <v/>
      </c>
      <c r="J564" s="14"/>
      <c r="K564" s="14"/>
      <c r="L564" s="21"/>
      <c r="M564" s="13"/>
      <c r="N564" s="7" t="str">
        <f t="shared" si="17"/>
        <v/>
      </c>
    </row>
    <row r="565" spans="1:14" x14ac:dyDescent="0.35">
      <c r="A565" s="81"/>
      <c r="B565" s="81"/>
      <c r="C565" s="21"/>
      <c r="D565" s="13"/>
      <c r="E565" s="13"/>
      <c r="F565" s="13"/>
      <c r="G565" s="22"/>
      <c r="H565" s="22"/>
      <c r="I565" s="28" t="str">
        <f t="shared" si="16"/>
        <v/>
      </c>
      <c r="J565" s="14"/>
      <c r="K565" s="14"/>
      <c r="L565" s="21"/>
      <c r="M565" s="13"/>
      <c r="N565" s="7" t="str">
        <f t="shared" si="17"/>
        <v/>
      </c>
    </row>
    <row r="566" spans="1:14" x14ac:dyDescent="0.35">
      <c r="A566" s="81"/>
      <c r="B566" s="81"/>
      <c r="C566" s="21"/>
      <c r="D566" s="13"/>
      <c r="E566" s="13"/>
      <c r="F566" s="13"/>
      <c r="G566" s="22"/>
      <c r="H566" s="22"/>
      <c r="I566" s="28" t="str">
        <f t="shared" si="16"/>
        <v/>
      </c>
      <c r="J566" s="14"/>
      <c r="K566" s="14"/>
      <c r="L566" s="21"/>
      <c r="M566" s="13"/>
      <c r="N566" s="7" t="str">
        <f t="shared" si="17"/>
        <v/>
      </c>
    </row>
    <row r="567" spans="1:14" x14ac:dyDescent="0.35">
      <c r="A567" s="81"/>
      <c r="B567" s="81"/>
      <c r="C567" s="21"/>
      <c r="D567" s="13"/>
      <c r="E567" s="13"/>
      <c r="F567" s="13"/>
      <c r="G567" s="22"/>
      <c r="H567" s="22"/>
      <c r="I567" s="28" t="str">
        <f t="shared" si="16"/>
        <v/>
      </c>
      <c r="J567" s="14"/>
      <c r="K567" s="14"/>
      <c r="L567" s="21"/>
      <c r="M567" s="13"/>
      <c r="N567" s="7" t="str">
        <f t="shared" si="17"/>
        <v/>
      </c>
    </row>
    <row r="568" spans="1:14" x14ac:dyDescent="0.35">
      <c r="A568" s="81"/>
      <c r="B568" s="81"/>
      <c r="C568" s="21"/>
      <c r="D568" s="13"/>
      <c r="E568" s="13"/>
      <c r="F568" s="13"/>
      <c r="G568" s="22"/>
      <c r="H568" s="22"/>
      <c r="I568" s="28" t="str">
        <f t="shared" si="16"/>
        <v/>
      </c>
      <c r="J568" s="14"/>
      <c r="K568" s="14"/>
      <c r="L568" s="21"/>
      <c r="M568" s="13"/>
      <c r="N568" s="7" t="str">
        <f t="shared" si="17"/>
        <v/>
      </c>
    </row>
    <row r="569" spans="1:14" x14ac:dyDescent="0.35">
      <c r="A569" s="81"/>
      <c r="B569" s="81"/>
      <c r="C569" s="21"/>
      <c r="D569" s="13"/>
      <c r="E569" s="13"/>
      <c r="F569" s="13"/>
      <c r="G569" s="22"/>
      <c r="H569" s="22"/>
      <c r="I569" s="28" t="str">
        <f t="shared" si="16"/>
        <v/>
      </c>
      <c r="J569" s="14"/>
      <c r="K569" s="14"/>
      <c r="L569" s="21"/>
      <c r="M569" s="13"/>
      <c r="N569" s="7" t="str">
        <f t="shared" si="17"/>
        <v/>
      </c>
    </row>
    <row r="570" spans="1:14" x14ac:dyDescent="0.35">
      <c r="A570" s="81"/>
      <c r="B570" s="81"/>
      <c r="C570" s="21"/>
      <c r="D570" s="13"/>
      <c r="E570" s="13"/>
      <c r="F570" s="13"/>
      <c r="G570" s="22"/>
      <c r="H570" s="22"/>
      <c r="I570" s="28" t="str">
        <f t="shared" si="16"/>
        <v/>
      </c>
      <c r="J570" s="14"/>
      <c r="K570" s="14"/>
      <c r="L570" s="21"/>
      <c r="M570" s="13"/>
      <c r="N570" s="7" t="str">
        <f t="shared" si="17"/>
        <v/>
      </c>
    </row>
    <row r="571" spans="1:14" x14ac:dyDescent="0.35">
      <c r="A571" s="81"/>
      <c r="B571" s="81"/>
      <c r="C571" s="21"/>
      <c r="D571" s="13"/>
      <c r="E571" s="13"/>
      <c r="F571" s="13"/>
      <c r="G571" s="22"/>
      <c r="H571" s="22"/>
      <c r="I571" s="28" t="str">
        <f t="shared" si="16"/>
        <v/>
      </c>
      <c r="J571" s="14"/>
      <c r="K571" s="14"/>
      <c r="L571" s="21"/>
      <c r="M571" s="13"/>
      <c r="N571" s="7" t="str">
        <f t="shared" si="17"/>
        <v/>
      </c>
    </row>
    <row r="572" spans="1:14" x14ac:dyDescent="0.35">
      <c r="A572" s="81"/>
      <c r="B572" s="81"/>
      <c r="C572" s="21"/>
      <c r="D572" s="13"/>
      <c r="E572" s="13"/>
      <c r="F572" s="13"/>
      <c r="G572" s="22"/>
      <c r="H572" s="22"/>
      <c r="I572" s="28" t="str">
        <f t="shared" si="16"/>
        <v/>
      </c>
      <c r="J572" s="14"/>
      <c r="K572" s="14"/>
      <c r="L572" s="21"/>
      <c r="M572" s="13"/>
      <c r="N572" s="7" t="str">
        <f t="shared" si="17"/>
        <v/>
      </c>
    </row>
    <row r="573" spans="1:14" x14ac:dyDescent="0.35">
      <c r="A573" s="81"/>
      <c r="B573" s="81"/>
      <c r="C573" s="21"/>
      <c r="D573" s="13"/>
      <c r="E573" s="13"/>
      <c r="F573" s="13"/>
      <c r="G573" s="22"/>
      <c r="H573" s="22"/>
      <c r="I573" s="28" t="str">
        <f t="shared" si="16"/>
        <v/>
      </c>
      <c r="J573" s="14"/>
      <c r="K573" s="14"/>
      <c r="L573" s="21"/>
      <c r="M573" s="13"/>
      <c r="N573" s="7" t="str">
        <f t="shared" si="17"/>
        <v/>
      </c>
    </row>
    <row r="574" spans="1:14" x14ac:dyDescent="0.35">
      <c r="A574" s="81"/>
      <c r="B574" s="81"/>
      <c r="C574" s="21"/>
      <c r="D574" s="13"/>
      <c r="E574" s="13"/>
      <c r="F574" s="13"/>
      <c r="G574" s="22"/>
      <c r="H574" s="22"/>
      <c r="I574" s="28" t="str">
        <f t="shared" si="16"/>
        <v/>
      </c>
      <c r="J574" s="14"/>
      <c r="K574" s="14"/>
      <c r="L574" s="21"/>
      <c r="M574" s="13"/>
      <c r="N574" s="7" t="str">
        <f t="shared" si="17"/>
        <v/>
      </c>
    </row>
    <row r="575" spans="1:14" x14ac:dyDescent="0.35">
      <c r="A575" s="81"/>
      <c r="B575" s="81"/>
      <c r="C575" s="21"/>
      <c r="D575" s="13"/>
      <c r="E575" s="13"/>
      <c r="F575" s="13"/>
      <c r="G575" s="22"/>
      <c r="H575" s="22"/>
      <c r="I575" s="28" t="str">
        <f t="shared" si="16"/>
        <v/>
      </c>
      <c r="J575" s="14"/>
      <c r="K575" s="14"/>
      <c r="L575" s="21"/>
      <c r="M575" s="13"/>
      <c r="N575" s="7" t="str">
        <f t="shared" si="17"/>
        <v/>
      </c>
    </row>
    <row r="576" spans="1:14" x14ac:dyDescent="0.35">
      <c r="A576" s="81"/>
      <c r="B576" s="81"/>
      <c r="C576" s="21"/>
      <c r="D576" s="13"/>
      <c r="E576" s="13"/>
      <c r="F576" s="13"/>
      <c r="G576" s="22"/>
      <c r="H576" s="22"/>
      <c r="I576" s="28" t="str">
        <f t="shared" si="16"/>
        <v/>
      </c>
      <c r="J576" s="14"/>
      <c r="K576" s="14"/>
      <c r="L576" s="21"/>
      <c r="M576" s="13"/>
      <c r="N576" s="7" t="str">
        <f t="shared" si="17"/>
        <v/>
      </c>
    </row>
    <row r="577" spans="1:14" x14ac:dyDescent="0.35">
      <c r="A577" s="81"/>
      <c r="B577" s="81"/>
      <c r="C577" s="21"/>
      <c r="D577" s="13"/>
      <c r="E577" s="13"/>
      <c r="F577" s="13"/>
      <c r="G577" s="22"/>
      <c r="H577" s="22"/>
      <c r="I577" s="28" t="str">
        <f t="shared" si="16"/>
        <v/>
      </c>
      <c r="J577" s="14"/>
      <c r="K577" s="14"/>
      <c r="L577" s="21"/>
      <c r="M577" s="13"/>
      <c r="N577" s="7" t="str">
        <f t="shared" si="17"/>
        <v/>
      </c>
    </row>
    <row r="578" spans="1:14" x14ac:dyDescent="0.35">
      <c r="A578" s="81"/>
      <c r="B578" s="81"/>
      <c r="C578" s="21"/>
      <c r="D578" s="13"/>
      <c r="E578" s="13"/>
      <c r="F578" s="13"/>
      <c r="G578" s="22"/>
      <c r="H578" s="22"/>
      <c r="I578" s="28" t="str">
        <f t="shared" si="16"/>
        <v/>
      </c>
      <c r="J578" s="14"/>
      <c r="K578" s="14"/>
      <c r="L578" s="21"/>
      <c r="M578" s="13"/>
      <c r="N578" s="7" t="str">
        <f t="shared" si="17"/>
        <v/>
      </c>
    </row>
    <row r="579" spans="1:14" x14ac:dyDescent="0.35">
      <c r="A579" s="81"/>
      <c r="B579" s="81"/>
      <c r="C579" s="21"/>
      <c r="D579" s="13"/>
      <c r="E579" s="13"/>
      <c r="F579" s="13"/>
      <c r="G579" s="22"/>
      <c r="H579" s="22"/>
      <c r="I579" s="28" t="str">
        <f t="shared" ref="I579:I602" si="18">IF($G579="","",$G579-N($H579))</f>
        <v/>
      </c>
      <c r="J579" s="14"/>
      <c r="K579" s="14"/>
      <c r="L579" s="21"/>
      <c r="M579" s="13"/>
      <c r="N579" s="7" t="str">
        <f t="shared" ref="N579:N602" si="19">IF($G579="","",IF(N($H579)&gt;=$G579,"Payé",IF(N($H579)&gt;0,"Partiellement payé","Non payé")))</f>
        <v/>
      </c>
    </row>
    <row r="580" spans="1:14" x14ac:dyDescent="0.35">
      <c r="A580" s="81"/>
      <c r="B580" s="81"/>
      <c r="C580" s="21"/>
      <c r="D580" s="13"/>
      <c r="E580" s="13"/>
      <c r="F580" s="13"/>
      <c r="G580" s="22"/>
      <c r="H580" s="22"/>
      <c r="I580" s="28" t="str">
        <f t="shared" si="18"/>
        <v/>
      </c>
      <c r="J580" s="14"/>
      <c r="K580" s="14"/>
      <c r="L580" s="21"/>
      <c r="M580" s="13"/>
      <c r="N580" s="7" t="str">
        <f t="shared" si="19"/>
        <v/>
      </c>
    </row>
    <row r="581" spans="1:14" x14ac:dyDescent="0.35">
      <c r="A581" s="81"/>
      <c r="B581" s="81"/>
      <c r="C581" s="21"/>
      <c r="D581" s="13"/>
      <c r="E581" s="13"/>
      <c r="F581" s="13"/>
      <c r="G581" s="22"/>
      <c r="H581" s="22"/>
      <c r="I581" s="28" t="str">
        <f t="shared" si="18"/>
        <v/>
      </c>
      <c r="J581" s="14"/>
      <c r="K581" s="14"/>
      <c r="L581" s="21"/>
      <c r="M581" s="13"/>
      <c r="N581" s="7" t="str">
        <f t="shared" si="19"/>
        <v/>
      </c>
    </row>
    <row r="582" spans="1:14" x14ac:dyDescent="0.35">
      <c r="A582" s="81"/>
      <c r="B582" s="81"/>
      <c r="C582" s="21"/>
      <c r="D582" s="13"/>
      <c r="E582" s="13"/>
      <c r="F582" s="13"/>
      <c r="G582" s="22"/>
      <c r="H582" s="22"/>
      <c r="I582" s="28" t="str">
        <f t="shared" si="18"/>
        <v/>
      </c>
      <c r="J582" s="14"/>
      <c r="K582" s="14"/>
      <c r="L582" s="21"/>
      <c r="M582" s="13"/>
      <c r="N582" s="7" t="str">
        <f t="shared" si="19"/>
        <v/>
      </c>
    </row>
    <row r="583" spans="1:14" x14ac:dyDescent="0.35">
      <c r="A583" s="81"/>
      <c r="B583" s="81"/>
      <c r="C583" s="21"/>
      <c r="D583" s="13"/>
      <c r="E583" s="13"/>
      <c r="F583" s="13"/>
      <c r="G583" s="22"/>
      <c r="H583" s="22"/>
      <c r="I583" s="28" t="str">
        <f t="shared" si="18"/>
        <v/>
      </c>
      <c r="J583" s="14"/>
      <c r="K583" s="14"/>
      <c r="L583" s="21"/>
      <c r="M583" s="13"/>
      <c r="N583" s="7" t="str">
        <f t="shared" si="19"/>
        <v/>
      </c>
    </row>
    <row r="584" spans="1:14" x14ac:dyDescent="0.35">
      <c r="A584" s="81"/>
      <c r="B584" s="81"/>
      <c r="C584" s="21"/>
      <c r="D584" s="13"/>
      <c r="E584" s="13"/>
      <c r="F584" s="13"/>
      <c r="G584" s="22"/>
      <c r="H584" s="22"/>
      <c r="I584" s="28" t="str">
        <f t="shared" si="18"/>
        <v/>
      </c>
      <c r="J584" s="14"/>
      <c r="K584" s="14"/>
      <c r="L584" s="21"/>
      <c r="M584" s="13"/>
      <c r="N584" s="7" t="str">
        <f t="shared" si="19"/>
        <v/>
      </c>
    </row>
    <row r="585" spans="1:14" x14ac:dyDescent="0.35">
      <c r="A585" s="81"/>
      <c r="B585" s="81"/>
      <c r="C585" s="21"/>
      <c r="D585" s="13"/>
      <c r="E585" s="13"/>
      <c r="F585" s="13"/>
      <c r="G585" s="22"/>
      <c r="H585" s="22"/>
      <c r="I585" s="28" t="str">
        <f t="shared" si="18"/>
        <v/>
      </c>
      <c r="J585" s="14"/>
      <c r="K585" s="14"/>
      <c r="L585" s="21"/>
      <c r="M585" s="13"/>
      <c r="N585" s="7" t="str">
        <f t="shared" si="19"/>
        <v/>
      </c>
    </row>
    <row r="586" spans="1:14" x14ac:dyDescent="0.35">
      <c r="A586" s="81"/>
      <c r="B586" s="81"/>
      <c r="C586" s="21"/>
      <c r="D586" s="13"/>
      <c r="E586" s="13"/>
      <c r="F586" s="13"/>
      <c r="G586" s="22"/>
      <c r="H586" s="22"/>
      <c r="I586" s="28" t="str">
        <f t="shared" si="18"/>
        <v/>
      </c>
      <c r="J586" s="14"/>
      <c r="K586" s="14"/>
      <c r="L586" s="21"/>
      <c r="M586" s="13"/>
      <c r="N586" s="7" t="str">
        <f t="shared" si="19"/>
        <v/>
      </c>
    </row>
    <row r="587" spans="1:14" x14ac:dyDescent="0.35">
      <c r="A587" s="81"/>
      <c r="B587" s="81"/>
      <c r="C587" s="21"/>
      <c r="D587" s="13"/>
      <c r="E587" s="13"/>
      <c r="F587" s="13"/>
      <c r="G587" s="22"/>
      <c r="H587" s="22"/>
      <c r="I587" s="28" t="str">
        <f t="shared" si="18"/>
        <v/>
      </c>
      <c r="J587" s="14"/>
      <c r="K587" s="14"/>
      <c r="L587" s="21"/>
      <c r="M587" s="13"/>
      <c r="N587" s="7" t="str">
        <f t="shared" si="19"/>
        <v/>
      </c>
    </row>
    <row r="588" spans="1:14" x14ac:dyDescent="0.35">
      <c r="A588" s="81"/>
      <c r="B588" s="81"/>
      <c r="C588" s="21"/>
      <c r="D588" s="13"/>
      <c r="E588" s="13"/>
      <c r="F588" s="13"/>
      <c r="G588" s="22"/>
      <c r="H588" s="22"/>
      <c r="I588" s="28" t="str">
        <f t="shared" si="18"/>
        <v/>
      </c>
      <c r="J588" s="14"/>
      <c r="K588" s="14"/>
      <c r="L588" s="21"/>
      <c r="M588" s="13"/>
      <c r="N588" s="7" t="str">
        <f t="shared" si="19"/>
        <v/>
      </c>
    </row>
    <row r="589" spans="1:14" x14ac:dyDescent="0.35">
      <c r="A589" s="81"/>
      <c r="B589" s="81"/>
      <c r="C589" s="21"/>
      <c r="D589" s="13"/>
      <c r="E589" s="13"/>
      <c r="F589" s="13"/>
      <c r="G589" s="22"/>
      <c r="H589" s="22"/>
      <c r="I589" s="28" t="str">
        <f t="shared" si="18"/>
        <v/>
      </c>
      <c r="J589" s="14"/>
      <c r="K589" s="14"/>
      <c r="L589" s="21"/>
      <c r="M589" s="13"/>
      <c r="N589" s="7" t="str">
        <f t="shared" si="19"/>
        <v/>
      </c>
    </row>
    <row r="590" spans="1:14" x14ac:dyDescent="0.35">
      <c r="A590" s="81"/>
      <c r="B590" s="81"/>
      <c r="C590" s="21"/>
      <c r="D590" s="13"/>
      <c r="E590" s="13"/>
      <c r="F590" s="13"/>
      <c r="G590" s="22"/>
      <c r="H590" s="22"/>
      <c r="I590" s="28" t="str">
        <f t="shared" si="18"/>
        <v/>
      </c>
      <c r="J590" s="14"/>
      <c r="K590" s="14"/>
      <c r="L590" s="21"/>
      <c r="M590" s="13"/>
      <c r="N590" s="7" t="str">
        <f t="shared" si="19"/>
        <v/>
      </c>
    </row>
    <row r="591" spans="1:14" x14ac:dyDescent="0.35">
      <c r="A591" s="81"/>
      <c r="B591" s="81"/>
      <c r="C591" s="21"/>
      <c r="D591" s="13"/>
      <c r="E591" s="13"/>
      <c r="F591" s="13"/>
      <c r="G591" s="22"/>
      <c r="H591" s="22"/>
      <c r="I591" s="28" t="str">
        <f t="shared" si="18"/>
        <v/>
      </c>
      <c r="J591" s="14"/>
      <c r="K591" s="14"/>
      <c r="L591" s="21"/>
      <c r="M591" s="13"/>
      <c r="N591" s="7" t="str">
        <f t="shared" si="19"/>
        <v/>
      </c>
    </row>
    <row r="592" spans="1:14" x14ac:dyDescent="0.35">
      <c r="A592" s="81"/>
      <c r="B592" s="81"/>
      <c r="C592" s="21"/>
      <c r="D592" s="13"/>
      <c r="E592" s="13"/>
      <c r="F592" s="13"/>
      <c r="G592" s="22"/>
      <c r="H592" s="22"/>
      <c r="I592" s="28" t="str">
        <f t="shared" si="18"/>
        <v/>
      </c>
      <c r="J592" s="14"/>
      <c r="K592" s="14"/>
      <c r="L592" s="21"/>
      <c r="M592" s="13"/>
      <c r="N592" s="7" t="str">
        <f t="shared" si="19"/>
        <v/>
      </c>
    </row>
    <row r="593" spans="1:14" x14ac:dyDescent="0.35">
      <c r="A593" s="81"/>
      <c r="B593" s="81"/>
      <c r="C593" s="21"/>
      <c r="D593" s="13"/>
      <c r="E593" s="13"/>
      <c r="F593" s="13"/>
      <c r="G593" s="22"/>
      <c r="H593" s="22"/>
      <c r="I593" s="28" t="str">
        <f t="shared" si="18"/>
        <v/>
      </c>
      <c r="J593" s="14"/>
      <c r="K593" s="14"/>
      <c r="L593" s="21"/>
      <c r="M593" s="13"/>
      <c r="N593" s="7" t="str">
        <f t="shared" si="19"/>
        <v/>
      </c>
    </row>
    <row r="594" spans="1:14" x14ac:dyDescent="0.35">
      <c r="A594" s="81"/>
      <c r="B594" s="81"/>
      <c r="C594" s="21"/>
      <c r="D594" s="13"/>
      <c r="E594" s="13"/>
      <c r="F594" s="13"/>
      <c r="G594" s="22"/>
      <c r="H594" s="22"/>
      <c r="I594" s="28" t="str">
        <f t="shared" si="18"/>
        <v/>
      </c>
      <c r="J594" s="14"/>
      <c r="K594" s="14"/>
      <c r="L594" s="21"/>
      <c r="M594" s="13"/>
      <c r="N594" s="7" t="str">
        <f t="shared" si="19"/>
        <v/>
      </c>
    </row>
    <row r="595" spans="1:14" x14ac:dyDescent="0.35">
      <c r="A595" s="81"/>
      <c r="B595" s="81"/>
      <c r="C595" s="21"/>
      <c r="D595" s="13"/>
      <c r="E595" s="13"/>
      <c r="F595" s="13"/>
      <c r="G595" s="22"/>
      <c r="H595" s="22"/>
      <c r="I595" s="28" t="str">
        <f t="shared" si="18"/>
        <v/>
      </c>
      <c r="J595" s="14"/>
      <c r="K595" s="14"/>
      <c r="L595" s="21"/>
      <c r="M595" s="13"/>
      <c r="N595" s="7" t="str">
        <f t="shared" si="19"/>
        <v/>
      </c>
    </row>
    <row r="596" spans="1:14" x14ac:dyDescent="0.35">
      <c r="A596" s="81"/>
      <c r="B596" s="81"/>
      <c r="C596" s="21"/>
      <c r="D596" s="13"/>
      <c r="E596" s="13"/>
      <c r="F596" s="13"/>
      <c r="G596" s="22"/>
      <c r="H596" s="22"/>
      <c r="I596" s="28" t="str">
        <f t="shared" si="18"/>
        <v/>
      </c>
      <c r="J596" s="14"/>
      <c r="K596" s="14"/>
      <c r="L596" s="21"/>
      <c r="M596" s="13"/>
      <c r="N596" s="7" t="str">
        <f t="shared" si="19"/>
        <v/>
      </c>
    </row>
    <row r="597" spans="1:14" x14ac:dyDescent="0.35">
      <c r="A597" s="81"/>
      <c r="B597" s="81"/>
      <c r="C597" s="21"/>
      <c r="D597" s="13"/>
      <c r="E597" s="13"/>
      <c r="F597" s="13"/>
      <c r="G597" s="22"/>
      <c r="H597" s="22"/>
      <c r="I597" s="28" t="str">
        <f t="shared" si="18"/>
        <v/>
      </c>
      <c r="J597" s="14"/>
      <c r="K597" s="14"/>
      <c r="L597" s="21"/>
      <c r="M597" s="13"/>
      <c r="N597" s="7" t="str">
        <f t="shared" si="19"/>
        <v/>
      </c>
    </row>
    <row r="598" spans="1:14" x14ac:dyDescent="0.35">
      <c r="A598" s="81"/>
      <c r="B598" s="81"/>
      <c r="C598" s="21"/>
      <c r="D598" s="13"/>
      <c r="E598" s="13"/>
      <c r="F598" s="13"/>
      <c r="G598" s="22"/>
      <c r="H598" s="22"/>
      <c r="I598" s="28" t="str">
        <f t="shared" si="18"/>
        <v/>
      </c>
      <c r="J598" s="14"/>
      <c r="K598" s="14"/>
      <c r="L598" s="21"/>
      <c r="M598" s="13"/>
      <c r="N598" s="7" t="str">
        <f t="shared" si="19"/>
        <v/>
      </c>
    </row>
    <row r="599" spans="1:14" x14ac:dyDescent="0.35">
      <c r="A599" s="81"/>
      <c r="B599" s="81"/>
      <c r="C599" s="21"/>
      <c r="D599" s="13"/>
      <c r="E599" s="13"/>
      <c r="F599" s="13"/>
      <c r="G599" s="22"/>
      <c r="H599" s="22"/>
      <c r="I599" s="28" t="str">
        <f t="shared" si="18"/>
        <v/>
      </c>
      <c r="J599" s="14"/>
      <c r="K599" s="14"/>
      <c r="L599" s="21"/>
      <c r="M599" s="13"/>
      <c r="N599" s="7" t="str">
        <f t="shared" si="19"/>
        <v/>
      </c>
    </row>
    <row r="600" spans="1:14" x14ac:dyDescent="0.35">
      <c r="A600" s="81"/>
      <c r="B600" s="81"/>
      <c r="C600" s="21"/>
      <c r="D600" s="13"/>
      <c r="E600" s="13"/>
      <c r="F600" s="13"/>
      <c r="G600" s="22"/>
      <c r="H600" s="22"/>
      <c r="I600" s="28" t="str">
        <f t="shared" si="18"/>
        <v/>
      </c>
      <c r="J600" s="14"/>
      <c r="K600" s="14"/>
      <c r="L600" s="21"/>
      <c r="M600" s="13"/>
      <c r="N600" s="7" t="str">
        <f t="shared" si="19"/>
        <v/>
      </c>
    </row>
    <row r="601" spans="1:14" x14ac:dyDescent="0.35">
      <c r="A601" s="81"/>
      <c r="B601" s="81"/>
      <c r="C601" s="21"/>
      <c r="D601" s="13"/>
      <c r="E601" s="13"/>
      <c r="F601" s="13"/>
      <c r="G601" s="22"/>
      <c r="H601" s="22"/>
      <c r="I601" s="28" t="str">
        <f t="shared" si="18"/>
        <v/>
      </c>
      <c r="J601" s="14"/>
      <c r="K601" s="14"/>
      <c r="L601" s="21"/>
      <c r="M601" s="13"/>
      <c r="N601" s="7" t="str">
        <f t="shared" si="19"/>
        <v/>
      </c>
    </row>
    <row r="602" spans="1:14" x14ac:dyDescent="0.35">
      <c r="A602" s="81"/>
      <c r="B602" s="81"/>
      <c r="C602" s="21"/>
      <c r="D602" s="13"/>
      <c r="E602" s="13"/>
      <c r="F602" s="13"/>
      <c r="G602" s="22"/>
      <c r="H602" s="22"/>
      <c r="I602" s="28" t="str">
        <f t="shared" si="18"/>
        <v/>
      </c>
      <c r="J602" s="14"/>
      <c r="K602" s="14"/>
      <c r="L602" s="21"/>
      <c r="M602" s="13"/>
      <c r="N602" s="7" t="str">
        <f t="shared" si="19"/>
        <v/>
      </c>
    </row>
  </sheetData>
  <autoFilter ref="A2:N602" xr:uid="{00000000-0009-0000-0000-000008000000}"/>
  <mergeCells count="1">
    <mergeCell ref="A1:N1"/>
  </mergeCells>
  <conditionalFormatting sqref="N3:N602">
    <cfRule type="cellIs" dxfId="2" priority="1" operator="equal">
      <formula>"Payé"</formula>
    </cfRule>
    <cfRule type="cellIs" dxfId="1" priority="2" operator="equal">
      <formula>"Partiellement payé"</formula>
    </cfRule>
    <cfRule type="cellIs" dxfId="0" priority="3" operator="equal">
      <formula>"Non payé"</formula>
    </cfRule>
  </conditionalFormatting>
  <dataValidations count="7">
    <dataValidation type="list" allowBlank="1" showErrorMessage="1" errorTitle="Booking inconnu" error="Ce booking introuvable. Ajoutez-le d'abord dans la feuille Bookings." sqref="A3:A602" xr:uid="{00000000-0002-0000-0800-000000000000}">
      <formula1>L_Bookings</formula1>
    </dataValidation>
    <dataValidation type="list" allowBlank="1" showErrorMessage="1" errorTitle="BL inconnu" error="Ce BL introuvable. Ajoutez-le d'abord dans la feuille Connaissements." sqref="B3:B602" xr:uid="{00000000-0002-0000-0800-000001000000}">
      <formula1>L_BL</formula1>
    </dataValidation>
    <dataValidation type="list" allowBlank="1" showErrorMessage="1" errorTitle="Conteneur inconnu" error="Ce conteneur introuvable. Ajoutez-le d'abord dans la feuille Conteneurs." sqref="C3:C602" xr:uid="{00000000-0002-0000-0800-000002000000}">
      <formula1>L_Conteneurs</formula1>
    </dataValidation>
    <dataValidation type="list" errorStyle="warning" allowBlank="1" showErrorMessage="1" errorTitle="Transitaire absent de la liste" error="Ce transitaire n'est pas dans la feuille Listes. Cliquez sur Oui pour le garder." sqref="D3:D602" xr:uid="{00000000-0002-0000-0800-000003000000}">
      <formula1>L_Transitaires</formula1>
    </dataValidation>
    <dataValidation type="list" errorStyle="warning" allowBlank="1" showErrorMessage="1" errorTitle="Type absent de la liste" error="Ce type n'est pas dans la feuille Listes. Cliquez sur Oui pour le garder." sqref="F3:F602" xr:uid="{00000000-0002-0000-0800-000004000000}">
      <formula1>L_Types_Cout</formula1>
    </dataValidation>
    <dataValidation type="decimal" operator="greaterThanOrEqual" allowBlank="1" showErrorMessage="1" errorTitle="Valeur non valide" error="Saisissez un nombre positif, sans texte." sqref="G3:H602" xr:uid="{00000000-0002-0000-0800-000005000000}">
      <formula1>0</formula1>
    </dataValidation>
    <dataValidation type="date" operator="greaterThan" allowBlank="1" showErrorMessage="1" errorTitle="Date non valide" error="Saisissez une date, par exemple 10/10/2026." sqref="J3:K602" xr:uid="{00000000-0002-0000-0800-000007000000}">
      <formula1>36526</formula1>
    </dataValidation>
  </dataValidations>
  <pageMargins left="0.75" right="0.75" top="1" bottom="1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00"/>
  <sheetViews>
    <sheetView workbookViewId="0">
      <pane ySplit="1" topLeftCell="A2" activePane="bottomLeft" state="frozen"/>
      <selection pane="bottomLeft" activeCell="B2" sqref="B2:B3"/>
    </sheetView>
  </sheetViews>
  <sheetFormatPr baseColWidth="10" defaultColWidth="8.7265625" defaultRowHeight="14.5" x14ac:dyDescent="0.35"/>
  <cols>
    <col min="1" max="10" width="26" customWidth="1"/>
    <col min="11" max="11" width="3" customWidth="1"/>
    <col min="12" max="12" width="44" hidden="1" customWidth="1"/>
    <col min="13" max="13" width="12" customWidth="1"/>
  </cols>
  <sheetData>
    <row r="1" spans="1:13" ht="30" customHeight="1" x14ac:dyDescent="0.35">
      <c r="A1" s="12" t="s">
        <v>138</v>
      </c>
      <c r="B1" s="12" t="s">
        <v>196</v>
      </c>
      <c r="C1" s="12" t="s">
        <v>139</v>
      </c>
      <c r="D1" s="12" t="s">
        <v>140</v>
      </c>
      <c r="E1" s="12" t="s">
        <v>141</v>
      </c>
      <c r="F1" s="12" t="s">
        <v>142</v>
      </c>
      <c r="G1" s="12" t="s">
        <v>143</v>
      </c>
      <c r="H1" s="12" t="s">
        <v>144</v>
      </c>
      <c r="I1" s="12" t="s">
        <v>145</v>
      </c>
      <c r="J1" s="12" t="s">
        <v>146</v>
      </c>
      <c r="L1" s="12" t="s">
        <v>147</v>
      </c>
      <c r="M1" s="12" t="s">
        <v>148</v>
      </c>
    </row>
    <row r="2" spans="1:13" ht="26.5" x14ac:dyDescent="0.35">
      <c r="A2" s="13" t="s">
        <v>194</v>
      </c>
      <c r="B2" s="13" t="s">
        <v>197</v>
      </c>
      <c r="C2" s="13" t="s">
        <v>79</v>
      </c>
      <c r="D2" s="13" t="s">
        <v>177</v>
      </c>
      <c r="E2" s="13" t="s">
        <v>80</v>
      </c>
      <c r="F2" s="13" t="s">
        <v>190</v>
      </c>
      <c r="G2" s="13" t="s">
        <v>115</v>
      </c>
      <c r="H2" s="13" t="s">
        <v>149</v>
      </c>
      <c r="I2" s="13" t="s">
        <v>123</v>
      </c>
      <c r="J2" s="13" t="s">
        <v>150</v>
      </c>
      <c r="L2" s="31" t="s">
        <v>151</v>
      </c>
      <c r="M2" s="32">
        <v>3</v>
      </c>
    </row>
    <row r="3" spans="1:13" x14ac:dyDescent="0.35">
      <c r="A3" s="13"/>
      <c r="B3" s="13" t="s">
        <v>198</v>
      </c>
      <c r="C3" s="13" t="s">
        <v>180</v>
      </c>
      <c r="D3" s="13" t="s">
        <v>178</v>
      </c>
      <c r="E3" s="13" t="s">
        <v>152</v>
      </c>
      <c r="F3" s="13" t="s">
        <v>191</v>
      </c>
      <c r="G3" s="13" t="s">
        <v>153</v>
      </c>
      <c r="H3" s="13" t="s">
        <v>122</v>
      </c>
      <c r="I3" s="13"/>
      <c r="J3" s="13" t="s">
        <v>154</v>
      </c>
      <c r="L3" s="31" t="s">
        <v>155</v>
      </c>
      <c r="M3" s="32">
        <v>5</v>
      </c>
    </row>
    <row r="4" spans="1:13" x14ac:dyDescent="0.35">
      <c r="A4" s="13"/>
      <c r="B4" s="13"/>
      <c r="C4" s="13" t="s">
        <v>181</v>
      </c>
      <c r="D4" s="13" t="s">
        <v>179</v>
      </c>
      <c r="E4" s="13" t="s">
        <v>156</v>
      </c>
      <c r="F4" s="13" t="s">
        <v>107</v>
      </c>
      <c r="G4" s="13" t="s">
        <v>116</v>
      </c>
      <c r="H4" s="13" t="s">
        <v>157</v>
      </c>
      <c r="I4" s="13"/>
      <c r="J4" s="13" t="s">
        <v>137</v>
      </c>
    </row>
    <row r="5" spans="1:13" x14ac:dyDescent="0.35">
      <c r="A5" s="13"/>
      <c r="B5" s="13"/>
      <c r="C5" s="13" t="s">
        <v>193</v>
      </c>
      <c r="D5" s="13"/>
      <c r="E5" s="13" t="s">
        <v>158</v>
      </c>
      <c r="F5" s="13" t="s">
        <v>192</v>
      </c>
      <c r="G5" s="13" t="s">
        <v>159</v>
      </c>
      <c r="H5" s="13" t="s">
        <v>124</v>
      </c>
      <c r="I5" s="13"/>
      <c r="J5" s="13" t="s">
        <v>160</v>
      </c>
      <c r="L5" s="3" t="s">
        <v>161</v>
      </c>
    </row>
    <row r="6" spans="1:13" ht="44" customHeight="1" x14ac:dyDescent="0.35">
      <c r="A6" s="13"/>
      <c r="B6" s="13"/>
      <c r="C6" s="13"/>
      <c r="D6" s="13"/>
      <c r="E6" s="13" t="s">
        <v>162</v>
      </c>
      <c r="F6" s="13" t="s">
        <v>187</v>
      </c>
      <c r="G6" s="13" t="s">
        <v>163</v>
      </c>
      <c r="H6" s="13" t="s">
        <v>125</v>
      </c>
      <c r="I6" s="13"/>
      <c r="J6" s="13" t="s">
        <v>164</v>
      </c>
      <c r="L6" s="33" t="s">
        <v>165</v>
      </c>
    </row>
    <row r="7" spans="1:13" ht="44" customHeight="1" x14ac:dyDescent="0.35">
      <c r="A7" s="13"/>
      <c r="B7" s="13"/>
      <c r="C7" s="13"/>
      <c r="D7" s="13"/>
      <c r="E7" s="13" t="s">
        <v>166</v>
      </c>
      <c r="F7" s="13" t="s">
        <v>188</v>
      </c>
      <c r="G7" s="13" t="s">
        <v>167</v>
      </c>
      <c r="H7" s="13" t="s">
        <v>168</v>
      </c>
      <c r="I7" s="13"/>
      <c r="J7" s="13" t="s">
        <v>169</v>
      </c>
      <c r="L7" s="33" t="s">
        <v>170</v>
      </c>
    </row>
    <row r="8" spans="1:13" ht="44" customHeight="1" x14ac:dyDescent="0.35">
      <c r="A8" s="13"/>
      <c r="B8" s="13"/>
      <c r="C8" s="13"/>
      <c r="D8" s="13"/>
      <c r="E8" s="13" t="s">
        <v>171</v>
      </c>
      <c r="F8" s="13" t="s">
        <v>189</v>
      </c>
      <c r="G8" s="13" t="s">
        <v>172</v>
      </c>
      <c r="H8" s="13" t="s">
        <v>126</v>
      </c>
      <c r="I8" s="13"/>
      <c r="J8" s="13" t="s">
        <v>186</v>
      </c>
      <c r="L8" s="33" t="s">
        <v>173</v>
      </c>
    </row>
    <row r="9" spans="1:13" ht="44" customHeight="1" x14ac:dyDescent="0.35">
      <c r="A9" s="13"/>
      <c r="B9" s="13"/>
      <c r="C9" s="13"/>
      <c r="D9" s="13"/>
      <c r="E9" s="13"/>
      <c r="F9" s="13"/>
      <c r="G9" s="13" t="s">
        <v>174</v>
      </c>
      <c r="H9" s="13" t="s">
        <v>175</v>
      </c>
      <c r="I9" s="13"/>
      <c r="J9" s="13"/>
      <c r="L9" s="33" t="s">
        <v>176</v>
      </c>
    </row>
    <row r="10" spans="1:13" x14ac:dyDescent="0.35">
      <c r="A10" s="13"/>
      <c r="B10" s="13"/>
      <c r="C10" s="13"/>
      <c r="D10" s="13"/>
      <c r="E10" s="13"/>
      <c r="F10" s="13"/>
      <c r="G10" s="13" t="s">
        <v>182</v>
      </c>
      <c r="H10" s="13"/>
      <c r="I10" s="13"/>
      <c r="J10" s="13"/>
    </row>
    <row r="11" spans="1:13" x14ac:dyDescent="0.35">
      <c r="A11" s="13"/>
      <c r="B11" s="13"/>
      <c r="C11" s="13"/>
      <c r="D11" s="13"/>
      <c r="E11" s="13"/>
      <c r="F11" s="13"/>
      <c r="G11" s="13" t="s">
        <v>183</v>
      </c>
      <c r="H11" s="13"/>
      <c r="I11" s="13"/>
      <c r="J11" s="13"/>
    </row>
    <row r="12" spans="1:13" x14ac:dyDescent="0.35">
      <c r="A12" s="13"/>
      <c r="B12" s="13"/>
      <c r="C12" s="13"/>
      <c r="D12" s="13"/>
      <c r="E12" s="13"/>
      <c r="F12" s="13"/>
      <c r="G12" s="13" t="s">
        <v>184</v>
      </c>
      <c r="H12" s="13"/>
      <c r="I12" s="13"/>
      <c r="J12" s="13"/>
    </row>
    <row r="13" spans="1:13" x14ac:dyDescent="0.35">
      <c r="A13" s="13"/>
      <c r="B13" s="13"/>
      <c r="C13" s="13"/>
      <c r="D13" s="13"/>
      <c r="E13" s="13"/>
      <c r="F13" s="13"/>
      <c r="G13" s="13" t="s">
        <v>185</v>
      </c>
      <c r="H13" s="13"/>
      <c r="I13" s="13"/>
      <c r="J13" s="13"/>
    </row>
    <row r="14" spans="1:13" x14ac:dyDescent="0.35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3" x14ac:dyDescent="0.35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3" x14ac:dyDescent="0.35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35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35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35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3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35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35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3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35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35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35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35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35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35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35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35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35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3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3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3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35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35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3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35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35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35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35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35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35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35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35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35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35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35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35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35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35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35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35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35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35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35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35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35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35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35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35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35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35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35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35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35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35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35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35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35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35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35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35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10</vt:i4>
      </vt:variant>
      <vt:variant>
        <vt:lpstr>Plages nommées</vt:lpstr>
      </vt:variant>
      <vt:variant>
        <vt:i4>10</vt:i4>
      </vt:variant>
    </vt:vector>
  </HeadingPairs>
  <TitlesOfParts>
    <vt:vector size="20" baseType="lpstr">
      <vt:lpstr>Tableau_de_bord</vt:lpstr>
      <vt:lpstr>Suivi_par_BL</vt:lpstr>
      <vt:lpstr>Contrats</vt:lpstr>
      <vt:lpstr>Bookings</vt:lpstr>
      <vt:lpstr>Connaissements</vt:lpstr>
      <vt:lpstr>Conteneurs</vt:lpstr>
      <vt:lpstr>Documents</vt:lpstr>
      <vt:lpstr>Etapes</vt:lpstr>
      <vt:lpstr>Couts_Transitaire</vt:lpstr>
      <vt:lpstr>Listes</vt:lpstr>
      <vt:lpstr>Bookings!Impression_des_titres</vt:lpstr>
      <vt:lpstr>Connaissements!Impression_des_titres</vt:lpstr>
      <vt:lpstr>Conteneurs!Impression_des_titres</vt:lpstr>
      <vt:lpstr>Contrats!Impression_des_titres</vt:lpstr>
      <vt:lpstr>Couts_Transitaire!Impression_des_titres</vt:lpstr>
      <vt:lpstr>Documents!Impression_des_titres</vt:lpstr>
      <vt:lpstr>Etapes!Impression_des_titres</vt:lpstr>
      <vt:lpstr>LINERS</vt:lpstr>
      <vt:lpstr>P_AlerteDoc</vt:lpstr>
      <vt:lpstr>P_AlerteETD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Alliance BODJRENOU</cp:lastModifiedBy>
  <dcterms:created xsi:type="dcterms:W3CDTF">2026-10-10T18:15:51Z</dcterms:created>
  <dcterms:modified xsi:type="dcterms:W3CDTF">2026-10-12T14:58:19Z</dcterms:modified>
</cp:coreProperties>
</file>