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84ae468a7ae29cc/Desktop/DATA/"/>
    </mc:Choice>
  </mc:AlternateContent>
  <xr:revisionPtr revIDLastSave="2" documentId="13_ncr:1_{4C7ABEEF-AA84-48B6-9779-8A3DE34D0840}" xr6:coauthVersionLast="47" xr6:coauthVersionMax="47" xr10:uidLastSave="{9766B667-2025-4EF3-8985-1811B69FAE73}"/>
  <bookViews>
    <workbookView xWindow="-110" yWindow="-110" windowWidth="19420" windowHeight="11500" xr2:uid="{00000000-000D-0000-FFFF-FFFF00000000}"/>
  </bookViews>
  <sheets>
    <sheet name="Synthese" sheetId="1" r:id="rId1"/>
    <sheet name="Paiements" sheetId="2" r:id="rId2"/>
    <sheet name="Situation_Fournisseurs" sheetId="3" r:id="rId3"/>
    <sheet name="Dechargement" sheetId="4" r:id="rId4"/>
    <sheet name="Lis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" l="1"/>
  <c r="K5" i="4"/>
  <c r="C23" i="3"/>
  <c r="D23" i="3"/>
  <c r="E23" i="3"/>
  <c r="C24" i="3"/>
  <c r="D24" i="3"/>
  <c r="H24" i="3" s="1"/>
  <c r="E24" i="3"/>
  <c r="C25" i="3"/>
  <c r="D25" i="3"/>
  <c r="E25" i="3"/>
  <c r="H25" i="3"/>
  <c r="C26" i="3"/>
  <c r="D26" i="3"/>
  <c r="H26" i="3" s="1"/>
  <c r="E26" i="3"/>
  <c r="C27" i="3"/>
  <c r="D27" i="3"/>
  <c r="E27" i="3"/>
  <c r="C28" i="3"/>
  <c r="D28" i="3"/>
  <c r="E28" i="3"/>
  <c r="F28" i="3" s="1"/>
  <c r="G28" i="3"/>
  <c r="H28" i="3"/>
  <c r="C29" i="3"/>
  <c r="D29" i="3"/>
  <c r="E29" i="3"/>
  <c r="C30" i="3"/>
  <c r="D30" i="3"/>
  <c r="G30" i="3" s="1"/>
  <c r="E30" i="3"/>
  <c r="F30" i="3" s="1"/>
  <c r="H30" i="3"/>
  <c r="C31" i="3"/>
  <c r="D31" i="3"/>
  <c r="E31" i="3"/>
  <c r="C32" i="3"/>
  <c r="D32" i="3"/>
  <c r="E32" i="3"/>
  <c r="C33" i="3"/>
  <c r="D33" i="3"/>
  <c r="E33" i="3"/>
  <c r="C34" i="3"/>
  <c r="D34" i="3"/>
  <c r="E34" i="3"/>
  <c r="C35" i="3"/>
  <c r="D35" i="3"/>
  <c r="E35" i="3"/>
  <c r="C36" i="3"/>
  <c r="D36" i="3"/>
  <c r="H36" i="3" s="1"/>
  <c r="E36" i="3"/>
  <c r="C37" i="3"/>
  <c r="D37" i="3"/>
  <c r="E37" i="3"/>
  <c r="C38" i="3"/>
  <c r="D38" i="3"/>
  <c r="H38" i="3" s="1"/>
  <c r="E38" i="3"/>
  <c r="C39" i="3"/>
  <c r="D39" i="3"/>
  <c r="E39" i="3"/>
  <c r="C40" i="3"/>
  <c r="D40" i="3"/>
  <c r="E40" i="3"/>
  <c r="C41" i="3"/>
  <c r="D41" i="3"/>
  <c r="E41" i="3"/>
  <c r="C42" i="3"/>
  <c r="D42" i="3"/>
  <c r="E42" i="3"/>
  <c r="C43" i="3"/>
  <c r="D43" i="3"/>
  <c r="E43" i="3"/>
  <c r="C44" i="3"/>
  <c r="D44" i="3"/>
  <c r="H44" i="3" s="1"/>
  <c r="E44" i="3"/>
  <c r="C45" i="3"/>
  <c r="D45" i="3"/>
  <c r="G45" i="3" s="1"/>
  <c r="E45" i="3"/>
  <c r="C46" i="3"/>
  <c r="D46" i="3"/>
  <c r="E46" i="3"/>
  <c r="C47" i="3"/>
  <c r="D47" i="3"/>
  <c r="G47" i="3" s="1"/>
  <c r="E47" i="3"/>
  <c r="C48" i="3"/>
  <c r="D48" i="3"/>
  <c r="E48" i="3"/>
  <c r="C49" i="3"/>
  <c r="D49" i="3"/>
  <c r="G49" i="3" s="1"/>
  <c r="E49" i="3"/>
  <c r="C50" i="3"/>
  <c r="D50" i="3"/>
  <c r="E50" i="3"/>
  <c r="C51" i="3"/>
  <c r="D51" i="3"/>
  <c r="G51" i="3" s="1"/>
  <c r="E51" i="3"/>
  <c r="C52" i="3"/>
  <c r="D52" i="3"/>
  <c r="H52" i="3" s="1"/>
  <c r="E52" i="3"/>
  <c r="C53" i="3"/>
  <c r="D53" i="3"/>
  <c r="G53" i="3" s="1"/>
  <c r="E53" i="3"/>
  <c r="C54" i="3"/>
  <c r="D54" i="3"/>
  <c r="E54" i="3"/>
  <c r="C55" i="3"/>
  <c r="D55" i="3"/>
  <c r="G55" i="3" s="1"/>
  <c r="E55" i="3"/>
  <c r="C56" i="3"/>
  <c r="D56" i="3"/>
  <c r="H56" i="3" s="1"/>
  <c r="E56" i="3"/>
  <c r="C57" i="3"/>
  <c r="D57" i="3"/>
  <c r="G57" i="3" s="1"/>
  <c r="E57" i="3"/>
  <c r="C58" i="3"/>
  <c r="D58" i="3"/>
  <c r="G58" i="3" s="1"/>
  <c r="E58" i="3"/>
  <c r="F58" i="3" s="1"/>
  <c r="H58" i="3"/>
  <c r="C59" i="3"/>
  <c r="D59" i="3"/>
  <c r="G59" i="3" s="1"/>
  <c r="E59" i="3"/>
  <c r="C60" i="3"/>
  <c r="D60" i="3"/>
  <c r="G60" i="3" s="1"/>
  <c r="E60" i="3"/>
  <c r="H60" i="3"/>
  <c r="C61" i="3"/>
  <c r="D61" i="3"/>
  <c r="G61" i="3" s="1"/>
  <c r="E61" i="3"/>
  <c r="C62" i="3"/>
  <c r="D62" i="3"/>
  <c r="E62" i="3"/>
  <c r="C63" i="3"/>
  <c r="D63" i="3"/>
  <c r="G63" i="3" s="1"/>
  <c r="E63" i="3"/>
  <c r="C64" i="3"/>
  <c r="D64" i="3"/>
  <c r="H64" i="3" s="1"/>
  <c r="E64" i="3"/>
  <c r="F64" i="3"/>
  <c r="G64" i="3"/>
  <c r="C65" i="3"/>
  <c r="D65" i="3"/>
  <c r="G65" i="3" s="1"/>
  <c r="E65" i="3"/>
  <c r="C66" i="3"/>
  <c r="D66" i="3"/>
  <c r="E66" i="3"/>
  <c r="C67" i="3"/>
  <c r="D67" i="3"/>
  <c r="G67" i="3" s="1"/>
  <c r="E67" i="3"/>
  <c r="C68" i="3"/>
  <c r="D68" i="3"/>
  <c r="H68" i="3" s="1"/>
  <c r="E68" i="3"/>
  <c r="C69" i="3"/>
  <c r="D69" i="3"/>
  <c r="G69" i="3" s="1"/>
  <c r="E69" i="3"/>
  <c r="C70" i="3"/>
  <c r="D70" i="3"/>
  <c r="E70" i="3"/>
  <c r="C71" i="3"/>
  <c r="D71" i="3"/>
  <c r="G71" i="3" s="1"/>
  <c r="E71" i="3"/>
  <c r="C72" i="3"/>
  <c r="D72" i="3"/>
  <c r="E72" i="3"/>
  <c r="C73" i="3"/>
  <c r="D73" i="3"/>
  <c r="G73" i="3" s="1"/>
  <c r="E73" i="3"/>
  <c r="F73" i="3" s="1"/>
  <c r="C74" i="3"/>
  <c r="D74" i="3"/>
  <c r="H74" i="3" s="1"/>
  <c r="E74" i="3"/>
  <c r="C75" i="3"/>
  <c r="D75" i="3"/>
  <c r="G75" i="3" s="1"/>
  <c r="E75" i="3"/>
  <c r="C76" i="3"/>
  <c r="D76" i="3"/>
  <c r="G76" i="3" s="1"/>
  <c r="E76" i="3"/>
  <c r="C77" i="3"/>
  <c r="D77" i="3"/>
  <c r="G77" i="3" s="1"/>
  <c r="E77" i="3"/>
  <c r="C78" i="3"/>
  <c r="D78" i="3"/>
  <c r="H78" i="3" s="1"/>
  <c r="E78" i="3"/>
  <c r="G78" i="3"/>
  <c r="C79" i="3"/>
  <c r="D79" i="3"/>
  <c r="G79" i="3" s="1"/>
  <c r="E79" i="3"/>
  <c r="C80" i="3"/>
  <c r="D80" i="3"/>
  <c r="E80" i="3"/>
  <c r="C81" i="3"/>
  <c r="D81" i="3"/>
  <c r="E81" i="3"/>
  <c r="F81" i="3" l="1"/>
  <c r="F41" i="3"/>
  <c r="F37" i="3"/>
  <c r="F33" i="3"/>
  <c r="F23" i="3"/>
  <c r="F29" i="3"/>
  <c r="F62" i="3"/>
  <c r="F43" i="3"/>
  <c r="F25" i="3"/>
  <c r="F80" i="3"/>
  <c r="F72" i="3"/>
  <c r="F54" i="3"/>
  <c r="F50" i="3"/>
  <c r="F46" i="3"/>
  <c r="F42" i="3"/>
  <c r="F34" i="3"/>
  <c r="F27" i="3"/>
  <c r="F35" i="3"/>
  <c r="F74" i="3"/>
  <c r="F60" i="3"/>
  <c r="F39" i="3"/>
  <c r="F31" i="3"/>
  <c r="F70" i="3"/>
  <c r="F66" i="3"/>
  <c r="F48" i="3"/>
  <c r="F40" i="3"/>
  <c r="F32" i="3"/>
  <c r="H70" i="3"/>
  <c r="G70" i="3"/>
  <c r="F63" i="3"/>
  <c r="F76" i="3"/>
  <c r="G36" i="3"/>
  <c r="G44" i="3"/>
  <c r="H46" i="3"/>
  <c r="F53" i="3"/>
  <c r="G46" i="3"/>
  <c r="F36" i="3"/>
  <c r="F67" i="3"/>
  <c r="G26" i="3"/>
  <c r="F75" i="3"/>
  <c r="F59" i="3"/>
  <c r="G56" i="3"/>
  <c r="F26" i="3"/>
  <c r="G68" i="3"/>
  <c r="G38" i="3"/>
  <c r="F68" i="3"/>
  <c r="F52" i="3"/>
  <c r="F38" i="3"/>
  <c r="F78" i="3"/>
  <c r="G48" i="3"/>
  <c r="G24" i="3"/>
  <c r="H48" i="3"/>
  <c r="F51" i="3"/>
  <c r="H32" i="3"/>
  <c r="F24" i="3"/>
  <c r="G74" i="3"/>
  <c r="F65" i="3"/>
  <c r="H29" i="3"/>
  <c r="F56" i="3"/>
  <c r="F47" i="3"/>
  <c r="H23" i="3"/>
  <c r="F44" i="3"/>
  <c r="G52" i="3"/>
  <c r="F55" i="3"/>
  <c r="F69" i="3"/>
  <c r="H50" i="3"/>
  <c r="G62" i="3"/>
  <c r="G50" i="3"/>
  <c r="G40" i="3"/>
  <c r="G32" i="3"/>
  <c r="H27" i="3"/>
  <c r="G25" i="3"/>
  <c r="G23" i="3"/>
  <c r="H80" i="3"/>
  <c r="H72" i="3"/>
  <c r="G80" i="3"/>
  <c r="G72" i="3"/>
  <c r="H62" i="3"/>
  <c r="H40" i="3"/>
  <c r="F77" i="3"/>
  <c r="F57" i="3"/>
  <c r="F45" i="3"/>
  <c r="G27" i="3"/>
  <c r="H34" i="3"/>
  <c r="G42" i="3"/>
  <c r="G34" i="3"/>
  <c r="H42" i="3"/>
  <c r="H66" i="3"/>
  <c r="H54" i="3"/>
  <c r="F79" i="3"/>
  <c r="H76" i="3"/>
  <c r="F71" i="3"/>
  <c r="G66" i="3"/>
  <c r="G54" i="3"/>
  <c r="F61" i="3"/>
  <c r="F49" i="3"/>
  <c r="H81" i="3"/>
  <c r="H79" i="3"/>
  <c r="H77" i="3"/>
  <c r="H75" i="3"/>
  <c r="H73" i="3"/>
  <c r="H71" i="3"/>
  <c r="H69" i="3"/>
  <c r="H67" i="3"/>
  <c r="H65" i="3"/>
  <c r="H63" i="3"/>
  <c r="H61" i="3"/>
  <c r="H59" i="3"/>
  <c r="H57" i="3"/>
  <c r="H55" i="3"/>
  <c r="H53" i="3"/>
  <c r="H51" i="3"/>
  <c r="H49" i="3"/>
  <c r="H47" i="3"/>
  <c r="H45" i="3"/>
  <c r="H43" i="3"/>
  <c r="H41" i="3"/>
  <c r="H39" i="3"/>
  <c r="H37" i="3"/>
  <c r="H35" i="3"/>
  <c r="H33" i="3"/>
  <c r="H31" i="3"/>
  <c r="G81" i="3"/>
  <c r="G43" i="3"/>
  <c r="G41" i="3"/>
  <c r="G39" i="3"/>
  <c r="G37" i="3"/>
  <c r="G35" i="3"/>
  <c r="G33" i="3"/>
  <c r="G31" i="3"/>
  <c r="G29" i="3"/>
  <c r="K5" i="2" l="1"/>
  <c r="I6" i="2"/>
  <c r="K6" i="2" s="1"/>
  <c r="E4" i="1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E22" i="3"/>
  <c r="D22" i="3"/>
  <c r="G22" i="3" s="1"/>
  <c r="C22" i="3"/>
  <c r="E21" i="3"/>
  <c r="D21" i="3"/>
  <c r="H21" i="3" s="1"/>
  <c r="C21" i="3"/>
  <c r="E20" i="3"/>
  <c r="D20" i="3"/>
  <c r="C20" i="3"/>
  <c r="E19" i="3"/>
  <c r="D19" i="3"/>
  <c r="H19" i="3" s="1"/>
  <c r="C19" i="3"/>
  <c r="E18" i="3"/>
  <c r="D18" i="3"/>
  <c r="C18" i="3"/>
  <c r="E17" i="3"/>
  <c r="D17" i="3"/>
  <c r="H17" i="3" s="1"/>
  <c r="C17" i="3"/>
  <c r="E16" i="3"/>
  <c r="D16" i="3"/>
  <c r="H16" i="3" s="1"/>
  <c r="C16" i="3"/>
  <c r="E15" i="3"/>
  <c r="D15" i="3"/>
  <c r="H15" i="3" s="1"/>
  <c r="C15" i="3"/>
  <c r="E14" i="3"/>
  <c r="D14" i="3"/>
  <c r="C14" i="3"/>
  <c r="E13" i="3"/>
  <c r="D13" i="3"/>
  <c r="H13" i="3" s="1"/>
  <c r="C13" i="3"/>
  <c r="E12" i="3"/>
  <c r="D12" i="3"/>
  <c r="H12" i="3" s="1"/>
  <c r="C12" i="3"/>
  <c r="E11" i="3"/>
  <c r="D11" i="3"/>
  <c r="H11" i="3" s="1"/>
  <c r="C11" i="3"/>
  <c r="E10" i="3"/>
  <c r="D10" i="3"/>
  <c r="H10" i="3" s="1"/>
  <c r="C10" i="3"/>
  <c r="E9" i="3"/>
  <c r="D9" i="3"/>
  <c r="H9" i="3" s="1"/>
  <c r="C9" i="3"/>
  <c r="E8" i="3"/>
  <c r="D8" i="3"/>
  <c r="H8" i="3" s="1"/>
  <c r="C8" i="3"/>
  <c r="E7" i="3"/>
  <c r="D7" i="3"/>
  <c r="H7" i="3" s="1"/>
  <c r="C7" i="3"/>
  <c r="E6" i="3"/>
  <c r="D6" i="3"/>
  <c r="H6" i="3" s="1"/>
  <c r="C6" i="3"/>
  <c r="E5" i="3"/>
  <c r="F4" i="1" s="1"/>
  <c r="C5" i="3"/>
  <c r="J58" i="2"/>
  <c r="B5" i="1" s="1"/>
  <c r="K54" i="2"/>
  <c r="I54" i="2"/>
  <c r="O54" i="2" s="1"/>
  <c r="O53" i="2"/>
  <c r="I53" i="2"/>
  <c r="K53" i="2" s="1"/>
  <c r="I52" i="2"/>
  <c r="K52" i="2" s="1"/>
  <c r="I51" i="2"/>
  <c r="O51" i="2" s="1"/>
  <c r="I50" i="2"/>
  <c r="O50" i="2" s="1"/>
  <c r="O49" i="2"/>
  <c r="I49" i="2"/>
  <c r="K49" i="2" s="1"/>
  <c r="I48" i="2"/>
  <c r="O48" i="2" s="1"/>
  <c r="I47" i="2"/>
  <c r="K47" i="2" s="1"/>
  <c r="I46" i="2"/>
  <c r="O46" i="2" s="1"/>
  <c r="O45" i="2"/>
  <c r="I45" i="2"/>
  <c r="K45" i="2" s="1"/>
  <c r="I44" i="2"/>
  <c r="K44" i="2" s="1"/>
  <c r="I43" i="2"/>
  <c r="K43" i="2" s="1"/>
  <c r="I42" i="2"/>
  <c r="O42" i="2" s="1"/>
  <c r="O41" i="2"/>
  <c r="I41" i="2"/>
  <c r="K41" i="2" s="1"/>
  <c r="I40" i="2"/>
  <c r="K40" i="2" s="1"/>
  <c r="I39" i="2"/>
  <c r="K39" i="2" s="1"/>
  <c r="I38" i="2"/>
  <c r="O38" i="2" s="1"/>
  <c r="O37" i="2"/>
  <c r="I37" i="2"/>
  <c r="K37" i="2" s="1"/>
  <c r="I36" i="2"/>
  <c r="K36" i="2" s="1"/>
  <c r="I35" i="2"/>
  <c r="K35" i="2" s="1"/>
  <c r="I34" i="2"/>
  <c r="O34" i="2" s="1"/>
  <c r="O33" i="2"/>
  <c r="I33" i="2"/>
  <c r="K33" i="2" s="1"/>
  <c r="I32" i="2"/>
  <c r="K32" i="2" s="1"/>
  <c r="I31" i="2"/>
  <c r="K31" i="2" s="1"/>
  <c r="I30" i="2"/>
  <c r="O30" i="2" s="1"/>
  <c r="O29" i="2"/>
  <c r="I29" i="2"/>
  <c r="K29" i="2" s="1"/>
  <c r="I28" i="2"/>
  <c r="K28" i="2" s="1"/>
  <c r="I27" i="2"/>
  <c r="K27" i="2" s="1"/>
  <c r="I26" i="2"/>
  <c r="O26" i="2" s="1"/>
  <c r="O25" i="2"/>
  <c r="I25" i="2"/>
  <c r="K25" i="2" s="1"/>
  <c r="I24" i="2"/>
  <c r="K24" i="2" s="1"/>
  <c r="I23" i="2"/>
  <c r="K23" i="2" s="1"/>
  <c r="I22" i="2"/>
  <c r="O22" i="2" s="1"/>
  <c r="O21" i="2"/>
  <c r="I21" i="2"/>
  <c r="K21" i="2" s="1"/>
  <c r="I20" i="2"/>
  <c r="K20" i="2" s="1"/>
  <c r="I19" i="2"/>
  <c r="O19" i="2" s="1"/>
  <c r="I18" i="2"/>
  <c r="O18" i="2" s="1"/>
  <c r="O17" i="2"/>
  <c r="I17" i="2"/>
  <c r="K17" i="2" s="1"/>
  <c r="I16" i="2"/>
  <c r="O16" i="2" s="1"/>
  <c r="I15" i="2"/>
  <c r="K15" i="2" s="1"/>
  <c r="I14" i="2"/>
  <c r="O14" i="2" s="1"/>
  <c r="O13" i="2"/>
  <c r="I13" i="2"/>
  <c r="K13" i="2" s="1"/>
  <c r="I12" i="2"/>
  <c r="K12" i="2" s="1"/>
  <c r="I11" i="2"/>
  <c r="K11" i="2" s="1"/>
  <c r="I10" i="2"/>
  <c r="O10" i="2" s="1"/>
  <c r="O9" i="2"/>
  <c r="I9" i="2"/>
  <c r="K9" i="2" s="1"/>
  <c r="I8" i="2"/>
  <c r="O8" i="2" s="1"/>
  <c r="I7" i="2"/>
  <c r="K7" i="2" s="1"/>
  <c r="O6" i="2" l="1"/>
  <c r="F20" i="3"/>
  <c r="O5" i="2"/>
  <c r="F14" i="3"/>
  <c r="F18" i="3"/>
  <c r="D5" i="3"/>
  <c r="F12" i="3"/>
  <c r="G6" i="3"/>
  <c r="G12" i="3"/>
  <c r="H22" i="3"/>
  <c r="G20" i="3"/>
  <c r="H20" i="3"/>
  <c r="G14" i="3"/>
  <c r="H14" i="3"/>
  <c r="G18" i="3"/>
  <c r="H18" i="3"/>
  <c r="F8" i="3"/>
  <c r="F16" i="3"/>
  <c r="G8" i="3"/>
  <c r="G16" i="3"/>
  <c r="E82" i="3"/>
  <c r="F6" i="3"/>
  <c r="F22" i="3"/>
  <c r="F10" i="3"/>
  <c r="G10" i="3"/>
  <c r="K19" i="2"/>
  <c r="K51" i="2"/>
  <c r="O7" i="2"/>
  <c r="O23" i="2"/>
  <c r="O27" i="2"/>
  <c r="O39" i="2"/>
  <c r="O47" i="2"/>
  <c r="K8" i="2"/>
  <c r="K48" i="2"/>
  <c r="O12" i="2"/>
  <c r="O20" i="2"/>
  <c r="O28" i="2"/>
  <c r="O36" i="2"/>
  <c r="O44" i="2"/>
  <c r="O52" i="2"/>
  <c r="F7" i="3"/>
  <c r="F9" i="3"/>
  <c r="F11" i="3"/>
  <c r="F13" i="3"/>
  <c r="F15" i="3"/>
  <c r="F17" i="3"/>
  <c r="F19" i="3"/>
  <c r="F21" i="3"/>
  <c r="I58" i="2"/>
  <c r="B4" i="1" s="1"/>
  <c r="B7" i="1" s="1"/>
  <c r="O11" i="2"/>
  <c r="O31" i="2"/>
  <c r="O43" i="2"/>
  <c r="K16" i="2"/>
  <c r="O24" i="2"/>
  <c r="O32" i="2"/>
  <c r="O40" i="2"/>
  <c r="G7" i="3"/>
  <c r="G9" i="3"/>
  <c r="G11" i="3"/>
  <c r="G13" i="3"/>
  <c r="G15" i="3"/>
  <c r="G17" i="3"/>
  <c r="G19" i="3"/>
  <c r="G21" i="3"/>
  <c r="O35" i="2"/>
  <c r="O15" i="2"/>
  <c r="K58" i="2"/>
  <c r="B6" i="1" s="1"/>
  <c r="K10" i="2"/>
  <c r="K14" i="2"/>
  <c r="K18" i="2"/>
  <c r="K22" i="2"/>
  <c r="K26" i="2"/>
  <c r="K30" i="2"/>
  <c r="K34" i="2"/>
  <c r="K38" i="2"/>
  <c r="K42" i="2"/>
  <c r="K46" i="2"/>
  <c r="K50" i="2"/>
  <c r="H5" i="3" l="1"/>
  <c r="E8" i="1"/>
  <c r="F5" i="3"/>
  <c r="F8" i="1" s="1"/>
  <c r="D82" i="3"/>
  <c r="G5" i="3" l="1"/>
  <c r="G4" i="1" s="1"/>
  <c r="F82" i="3"/>
</calcChain>
</file>

<file path=xl/sharedStrings.xml><?xml version="1.0" encoding="utf-8"?>
<sst xmlns="http://schemas.openxmlformats.org/spreadsheetml/2006/main" count="260" uniqueCount="241">
  <si>
    <t>TABLEAU DE BORD — PAIEMENTS FOURNISSEURS</t>
  </si>
  <si>
    <t>INDICATEURS CLÉS</t>
  </si>
  <si>
    <t>Total à Payer</t>
  </si>
  <si>
    <t>Total Payé</t>
  </si>
  <si>
    <t>Reste à Payer</t>
  </si>
  <si>
    <t>% Global Payé</t>
  </si>
  <si>
    <t>COMMENT UTILISER CE FICHIER</t>
  </si>
  <si>
    <t>1. Onglet DECHARGEMENT : à chaque arrivée de camion, notez le poids, le ticket pont, le camion. Cochez Contrôle OK = OUI avant de payer.</t>
  </si>
  <si>
    <t>2. Onglet PAIEMENTS : saisissez la date, le fournisseur, le produit, le poids net, le prix. Le montant à payer se calcule. Indiquez le montant payé (case jaune).</t>
  </si>
  <si>
    <t>3. Le Restant et le Statut se mettent à jour tout seuls (Payé / Partiel / En attente).</t>
  </si>
  <si>
    <t>4. Onglet SITUATION_FOURNISSEURS : vue du compte de chaque fournisseur (total dû, payé, reste).</t>
  </si>
  <si>
    <t>5. Onglet LISTES : ajoutez de nouveaux fournisseurs ou produits pour les listes déroulantes.</t>
  </si>
  <si>
    <t>6. Onglet SYNTHESE : vue d'ensemble des totaux.</t>
  </si>
  <si>
    <t>NAP SARL — Suivi Paiements Fournisseurs — Fichier simple et professionnel</t>
  </si>
  <si>
    <t>SUIVI DES PAIEMENTS FOURNISSEURS — NAP SARL</t>
  </si>
  <si>
    <t>Une ligne = un paiement (ou une livraison à payer). Le Restant se calcule automatiquement. Statut se met à jour selon le restant.</t>
  </si>
  <si>
    <t>N°</t>
  </si>
  <si>
    <t>Date</t>
  </si>
  <si>
    <t>Fournisseur</t>
  </si>
  <si>
    <t>Produit</t>
  </si>
  <si>
    <t>N° Camion</t>
  </si>
  <si>
    <t>N° Ticket Pont</t>
  </si>
  <si>
    <t>Poids Net (kg)</t>
  </si>
  <si>
    <t>Prix Unitaire</t>
  </si>
  <si>
    <t>Montant à Payer</t>
  </si>
  <si>
    <t>Montant Payé</t>
  </si>
  <si>
    <t>Restant</t>
  </si>
  <si>
    <t>Mode Paiement</t>
  </si>
  <si>
    <t>N° Pièce / Chèque</t>
  </si>
  <si>
    <t>Compte Bancaire</t>
  </si>
  <si>
    <t>Statut</t>
  </si>
  <si>
    <t>Description / Observations</t>
  </si>
  <si>
    <t>LÉGENDE :  Texte bleu = saisie manuelle  |  Jaune = Montant Payé (à remplir)  |  Gris = calcul automatique  |  Vert = Payé / Solde 0  |  Rouge = Reste dû / En attente  |  Orange = Paiement partiel</t>
  </si>
  <si>
    <t>TOTAUX</t>
  </si>
  <si>
    <t>TOTAL →</t>
  </si>
  <si>
    <t>SITUATION PAR FOURNISSEUR — COMPTE FOURNISSEUR</t>
  </si>
  <si>
    <t>Cette feuille résume automatiquement la situation de chaque fournisseur à partir de l'onglet Paiements. Actualisez après chaque saisie (clic droit → Actualiser si besoin).</t>
  </si>
  <si>
    <t>Nb Opérations</t>
  </si>
  <si>
    <t>Statut Compte</t>
  </si>
  <si>
    <t>% Payé</t>
  </si>
  <si>
    <t>TCHANIGA SAMSON</t>
  </si>
  <si>
    <t>ISMAEL WASSIOU</t>
  </si>
  <si>
    <t>BADAROU SAID</t>
  </si>
  <si>
    <t>ALLASSANE MARWANE</t>
  </si>
  <si>
    <t>VLAVONOU PIERRE</t>
  </si>
  <si>
    <t>GBAGBE MATHIAS</t>
  </si>
  <si>
    <t>YENAFO Moise</t>
  </si>
  <si>
    <t>SEYNI Yacouba Hassane</t>
  </si>
  <si>
    <t>AMINOU Kiki</t>
  </si>
  <si>
    <t>MAKITA Fred Junior</t>
  </si>
  <si>
    <t>AHEGNI Hippolyte</t>
  </si>
  <si>
    <t>OSSENI Abou Sams-Dine</t>
  </si>
  <si>
    <t>AZOGA Armand</t>
  </si>
  <si>
    <t>BADJOGOUN Eveline Nestorine</t>
  </si>
  <si>
    <t>HAMA Inter</t>
  </si>
  <si>
    <t>SBTC</t>
  </si>
  <si>
    <t>IDRISSOU Aphissou</t>
  </si>
  <si>
    <t>ABDULSALAM Olakunleabdul Jelil</t>
  </si>
  <si>
    <t>TOTAL GÉNÉRAL</t>
  </si>
  <si>
    <t>Comment lire :  Soldé = tout est payé  |  Partiel = un acompte a été versé  |  Impayé = rien n'a encore été payé  |  Rouge sur Reste = somme encore due</t>
  </si>
  <si>
    <t>FEUILLE DE DÉCHARGEMENT — VÉRIFICATION AVANT PAIEMENT</t>
  </si>
  <si>
    <t>Remplir cette feuille à chaque arrivée de camion. Elle sert de preuve pour valider le paiement fournisseur.</t>
  </si>
  <si>
    <t>Date Déchargement</t>
  </si>
  <si>
    <t>Poids Brut (kg)</t>
  </si>
  <si>
    <t>Nbre Sacs</t>
  </si>
  <si>
    <t>Montant Calculé</t>
  </si>
  <si>
    <t>Contrôle OK ?</t>
  </si>
  <si>
    <t>Observations</t>
  </si>
  <si>
    <t>LÉGENDE :  Colonnes bleues = saisie  |  Colonne grise = calcul automatique  |  Vert = OK  |  Rouge = Problème  |  Orange = À vérifier</t>
  </si>
  <si>
    <t>LISTES DE RÉFÉRENCE</t>
  </si>
  <si>
    <t>Fournisseurs</t>
  </si>
  <si>
    <t>Produits</t>
  </si>
  <si>
    <t>Comptes Bancaires</t>
  </si>
  <si>
    <t>Modes Paiement</t>
  </si>
  <si>
    <t>Statuts</t>
  </si>
  <si>
    <t>Domaines</t>
  </si>
  <si>
    <t>Shea Nut (Noir de Karité)</t>
  </si>
  <si>
    <t>ECOBANK</t>
  </si>
  <si>
    <t>Chèque</t>
  </si>
  <si>
    <t>Payé</t>
  </si>
  <si>
    <t>ACHAT</t>
  </si>
  <si>
    <t>Cotton Seed (Graines de Coton)</t>
  </si>
  <si>
    <t>BIIC</t>
  </si>
  <si>
    <t>Virement</t>
  </si>
  <si>
    <t>Partiel</t>
  </si>
  <si>
    <t>LOGISTIQUE</t>
  </si>
  <si>
    <t>BGFI</t>
  </si>
  <si>
    <t>Espèces</t>
  </si>
  <si>
    <t>En attente</t>
  </si>
  <si>
    <t>PRODUCTION</t>
  </si>
  <si>
    <t>Atlantique Banque</t>
  </si>
  <si>
    <t>Prélèvement</t>
  </si>
  <si>
    <t>Annulé</t>
  </si>
  <si>
    <t>FRAIS BANCAIRES</t>
  </si>
  <si>
    <t>Caisse</t>
  </si>
  <si>
    <t>AUTRE</t>
  </si>
  <si>
    <t>Instructions : Ajoutez de nouveaux fournisseurs, produits, etc. dans les colonnes ci-dessus. Les listes déroulantes se mettront à jour.</t>
  </si>
  <si>
    <t>Soja Bean (Graines de Soja)</t>
  </si>
  <si>
    <t>FOURNISSEURS</t>
  </si>
  <si>
    <t>Surplus</t>
  </si>
  <si>
    <t xml:space="preserve">Code </t>
  </si>
  <si>
    <t>Poids Total déchargé</t>
  </si>
  <si>
    <t>Solde restant</t>
  </si>
  <si>
    <t>FRS0001</t>
  </si>
  <si>
    <t>FRS0002</t>
  </si>
  <si>
    <t>FRS0003</t>
  </si>
  <si>
    <t>FRS0004</t>
  </si>
  <si>
    <t>FRS0005</t>
  </si>
  <si>
    <t>FRS0006</t>
  </si>
  <si>
    <t>FRS0007</t>
  </si>
  <si>
    <t>FRS0008</t>
  </si>
  <si>
    <t>FRS0009</t>
  </si>
  <si>
    <t>FRS0010</t>
  </si>
  <si>
    <t>FRS0011</t>
  </si>
  <si>
    <t>FRS0012</t>
  </si>
  <si>
    <t>FRS0013</t>
  </si>
  <si>
    <t>FRS0014</t>
  </si>
  <si>
    <t>FRS0015</t>
  </si>
  <si>
    <t>FRS0016</t>
  </si>
  <si>
    <t>FRS0017</t>
  </si>
  <si>
    <t>FRS0018</t>
  </si>
  <si>
    <t>Montant Total à Payer</t>
  </si>
  <si>
    <t>Code Frs</t>
  </si>
  <si>
    <t>FRS00001</t>
  </si>
  <si>
    <t>FRS00002</t>
  </si>
  <si>
    <t>ISMAEL WASSIOU/ Mme ELISABETH</t>
  </si>
  <si>
    <t>FRS00003</t>
  </si>
  <si>
    <t>FRS00004</t>
  </si>
  <si>
    <t>FRS00005</t>
  </si>
  <si>
    <t>FRS00006</t>
  </si>
  <si>
    <t>FRS00007</t>
  </si>
  <si>
    <t>BRISSO BIO ALIDOU</t>
  </si>
  <si>
    <t>FRS00008</t>
  </si>
  <si>
    <t>HERVE KOBOLOU</t>
  </si>
  <si>
    <t>FRS00009</t>
  </si>
  <si>
    <t>GOUDO DOSSOU ROMAIN</t>
  </si>
  <si>
    <t>FRS00010</t>
  </si>
  <si>
    <t>COMLAN MAHOUSSE JOSPIN</t>
  </si>
  <si>
    <t>FRS00011</t>
  </si>
  <si>
    <t>CHIGBLO FERDINAND</t>
  </si>
  <si>
    <t>FRS00012</t>
  </si>
  <si>
    <t>ROLAND ADANHONDJI</t>
  </si>
  <si>
    <t>FRS00013</t>
  </si>
  <si>
    <t>MENSAH DANIEL JOEL</t>
  </si>
  <si>
    <t>FRS00014</t>
  </si>
  <si>
    <t>FIOGBE</t>
  </si>
  <si>
    <t>FRS00015</t>
  </si>
  <si>
    <t>FRS00016</t>
  </si>
  <si>
    <t>AHEGNI CASIMIR</t>
  </si>
  <si>
    <t>FRS00017</t>
  </si>
  <si>
    <t>AHOSSI GABIN</t>
  </si>
  <si>
    <t>FRS00018</t>
  </si>
  <si>
    <t>ODOUTAN OLANIRAN HAMED</t>
  </si>
  <si>
    <t>FRS00019</t>
  </si>
  <si>
    <t>GOUNOU ELISABETH</t>
  </si>
  <si>
    <t>FRS00020</t>
  </si>
  <si>
    <t>DOSSA MATHURIN</t>
  </si>
  <si>
    <t>FRS00021</t>
  </si>
  <si>
    <t>NOEL DOLEME</t>
  </si>
  <si>
    <t>FRS00022</t>
  </si>
  <si>
    <t>DAA-HINGBANON VIRGILE</t>
  </si>
  <si>
    <t>FRS00023</t>
  </si>
  <si>
    <t>FAGRO SOUROU GILDAS</t>
  </si>
  <si>
    <t>FRS00024</t>
  </si>
  <si>
    <t>MOISE YENAFO</t>
  </si>
  <si>
    <t>FRS00025</t>
  </si>
  <si>
    <t>ASSOGBA LEON</t>
  </si>
  <si>
    <t>FRS00026</t>
  </si>
  <si>
    <t>AZOGA ARMAND</t>
  </si>
  <si>
    <t>FRS00027</t>
  </si>
  <si>
    <t>EDKO BUSINESS/ KOGNANNOU EDMOND</t>
  </si>
  <si>
    <t>FRS00028</t>
  </si>
  <si>
    <t>TCHANIGA LEONARD</t>
  </si>
  <si>
    <t>FRS00029</t>
  </si>
  <si>
    <t>AMAH SEIDOU</t>
  </si>
  <si>
    <t>FRS00030</t>
  </si>
  <si>
    <t>ATACLE STEPHANE</t>
  </si>
  <si>
    <t>FRS00031</t>
  </si>
  <si>
    <t>PROSPERE</t>
  </si>
  <si>
    <t>FRS00032</t>
  </si>
  <si>
    <t>HASSANE SEYNI</t>
  </si>
  <si>
    <t>FRS00033</t>
  </si>
  <si>
    <t>GODONOU CHARLES</t>
  </si>
  <si>
    <t>FRS00034</t>
  </si>
  <si>
    <t>HOUNTON NICOLAS</t>
  </si>
  <si>
    <t>FRS00035</t>
  </si>
  <si>
    <t>PANKAJ KUMAR</t>
  </si>
  <si>
    <t>FRS00036</t>
  </si>
  <si>
    <t>ADANNON BLOND</t>
  </si>
  <si>
    <t>FRS00037</t>
  </si>
  <si>
    <t>SABI SARA MAMADOU</t>
  </si>
  <si>
    <t>FRS00038</t>
  </si>
  <si>
    <t>Mr LOUIS</t>
  </si>
  <si>
    <t>FRS00039</t>
  </si>
  <si>
    <t>Mr MOMO</t>
  </si>
  <si>
    <t>FRS00040</t>
  </si>
  <si>
    <t>HOUNDJREBO G.PAULETTE</t>
  </si>
  <si>
    <t>FRS00041</t>
  </si>
  <si>
    <t>AKPAKPO NOURIDINE</t>
  </si>
  <si>
    <t>FRS00042</t>
  </si>
  <si>
    <t>N’DOKPO IREMAN</t>
  </si>
  <si>
    <t>FRS00043</t>
  </si>
  <si>
    <t>MONTCHO NOBERT</t>
  </si>
  <si>
    <t>FRS00044</t>
  </si>
  <si>
    <t>WANGNANNON ABEL</t>
  </si>
  <si>
    <t>FRS00045</t>
  </si>
  <si>
    <t>HOUEDANOU JUSTIN</t>
  </si>
  <si>
    <t>FRS00046</t>
  </si>
  <si>
    <t>KOUMENOUGBO MARUIS</t>
  </si>
  <si>
    <t>FRS00047</t>
  </si>
  <si>
    <t>AGUETON MATHIAS</t>
  </si>
  <si>
    <t>FRS00048</t>
  </si>
  <si>
    <t>AMINOU KIKI</t>
  </si>
  <si>
    <t>FRS00049</t>
  </si>
  <si>
    <t>AHEGNI HIPPOLYTE</t>
  </si>
  <si>
    <t>FRS00050</t>
  </si>
  <si>
    <t>AGBESSADJI FERNAND</t>
  </si>
  <si>
    <t>FRS00051</t>
  </si>
  <si>
    <t>Mme ROSE</t>
  </si>
  <si>
    <t>FRS00052</t>
  </si>
  <si>
    <t>RAMDAN ADAM</t>
  </si>
  <si>
    <t>FRS00053</t>
  </si>
  <si>
    <t>FRED MAKITA</t>
  </si>
  <si>
    <t>FRS00054</t>
  </si>
  <si>
    <t>ASSOUNI WAHABOU</t>
  </si>
  <si>
    <t>FRS00055</t>
  </si>
  <si>
    <t>ABDOU AZIZ</t>
  </si>
  <si>
    <t>FRS00056</t>
  </si>
  <si>
    <t>FREEMAN</t>
  </si>
  <si>
    <t>FRS00057</t>
  </si>
  <si>
    <t>KPADONOU SOUROU</t>
  </si>
  <si>
    <t>FRS00058</t>
  </si>
  <si>
    <t>MM LEKKER</t>
  </si>
  <si>
    <t>FRS00059</t>
  </si>
  <si>
    <t>MR MOUSSA</t>
  </si>
  <si>
    <t>FRS00060</t>
  </si>
  <si>
    <t>MR TIDJANI</t>
  </si>
  <si>
    <t>FRS00061</t>
  </si>
  <si>
    <t>YAROU BAGUIRI</t>
  </si>
  <si>
    <t>FRS00062</t>
  </si>
  <si>
    <t>ALEXANDRE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</si>
</sst>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#,##0\ &quot;F CFA&quot;"/>
    <numFmt numFmtId="166" formatCode="_-* #,##0.00\ [$XOF]_-;\-* #,##0.00\ [$XOF]_-;_-* &quot;-&quot;??\ [$XOF]_-;_-@_-"/>
  </numFmts>
  <fonts count="14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9"/>
      <color rgb="FF666666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2"/>
      <color rgb="FF1F4E79"/>
      <name val="Arial"/>
      <family val="2"/>
    </font>
    <font>
      <b/>
      <sz val="12"/>
      <name val="Arial"/>
      <family val="2"/>
    </font>
    <font>
      <i/>
      <sz val="9"/>
      <color rgb="FF888888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D6EAF8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0" fillId="0" borderId="0" xfId="0" applyFont="1"/>
    <xf numFmtId="0" fontId="3" fillId="0" borderId="0" xfId="0" applyFont="1"/>
    <xf numFmtId="0" fontId="12" fillId="0" borderId="0" xfId="0" applyFont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4" fontId="5" fillId="0" borderId="1" xfId="0" applyNumberFormat="1" applyFont="1" applyBorder="1"/>
    <xf numFmtId="4" fontId="6" fillId="2" borderId="1" xfId="0" applyNumberFormat="1" applyFont="1" applyFill="1" applyBorder="1"/>
    <xf numFmtId="4" fontId="5" fillId="3" borderId="1" xfId="0" applyNumberFormat="1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right"/>
    </xf>
    <xf numFmtId="4" fontId="8" fillId="4" borderId="1" xfId="0" applyNumberFormat="1" applyFont="1" applyFill="1" applyBorder="1"/>
    <xf numFmtId="0" fontId="3" fillId="0" borderId="1" xfId="0" applyFont="1" applyBorder="1"/>
    <xf numFmtId="164" fontId="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/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65" fontId="2" fillId="7" borderId="1" xfId="0" applyNumberFormat="1" applyFont="1" applyFill="1" applyBorder="1" applyAlignment="1">
      <alignment horizontal="center" vertical="center" wrapText="1"/>
    </xf>
    <xf numFmtId="165" fontId="6" fillId="0" borderId="1" xfId="0" applyNumberFormat="1" applyFont="1" applyBorder="1"/>
    <xf numFmtId="165" fontId="8" fillId="4" borderId="1" xfId="0" applyNumberFormat="1" applyFont="1" applyFill="1" applyBorder="1"/>
    <xf numFmtId="165" fontId="0" fillId="0" borderId="0" xfId="0" applyNumberFormat="1"/>
    <xf numFmtId="165" fontId="6" fillId="2" borderId="1" xfId="0" applyNumberFormat="1" applyFont="1" applyFill="1" applyBorder="1"/>
    <xf numFmtId="0" fontId="0" fillId="9" borderId="0" xfId="0" applyFill="1"/>
    <xf numFmtId="0" fontId="0" fillId="0" borderId="2" xfId="0" applyBorder="1"/>
    <xf numFmtId="0" fontId="10" fillId="9" borderId="0" xfId="0" applyFont="1" applyFill="1"/>
    <xf numFmtId="0" fontId="8" fillId="4" borderId="2" xfId="0" applyFont="1" applyFill="1" applyBorder="1"/>
    <xf numFmtId="4" fontId="11" fillId="0" borderId="2" xfId="0" applyNumberFormat="1" applyFont="1" applyBorder="1"/>
    <xf numFmtId="4" fontId="11" fillId="6" borderId="2" xfId="0" applyNumberFormat="1" applyFont="1" applyFill="1" applyBorder="1"/>
    <xf numFmtId="4" fontId="11" fillId="5" borderId="2" xfId="0" applyNumberFormat="1" applyFont="1" applyFill="1" applyBorder="1"/>
    <xf numFmtId="164" fontId="11" fillId="0" borderId="2" xfId="0" applyNumberFormat="1" applyFont="1" applyBorder="1"/>
    <xf numFmtId="14" fontId="5" fillId="0" borderId="1" xfId="0" applyNumberFormat="1" applyFont="1" applyBorder="1"/>
    <xf numFmtId="14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0" fontId="5" fillId="0" borderId="4" xfId="0" applyFont="1" applyBorder="1"/>
    <xf numFmtId="0" fontId="2" fillId="8" borderId="5" xfId="0" applyFont="1" applyFill="1" applyBorder="1" applyAlignment="1">
      <alignment horizontal="center" vertical="center" wrapText="1"/>
    </xf>
    <xf numFmtId="14" fontId="2" fillId="8" borderId="6" xfId="0" applyNumberFormat="1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4" fontId="5" fillId="0" borderId="9" xfId="0" applyNumberFormat="1" applyFont="1" applyBorder="1"/>
    <xf numFmtId="0" fontId="5" fillId="0" borderId="9" xfId="0" applyFont="1" applyBorder="1"/>
    <xf numFmtId="4" fontId="5" fillId="0" borderId="9" xfId="0" applyNumberFormat="1" applyFont="1" applyBorder="1"/>
    <xf numFmtId="4" fontId="6" fillId="2" borderId="9" xfId="0" applyNumberFormat="1" applyFont="1" applyFill="1" applyBorder="1"/>
    <xf numFmtId="4" fontId="5" fillId="3" borderId="9" xfId="0" applyNumberFormat="1" applyFont="1" applyFill="1" applyBorder="1"/>
    <xf numFmtId="0" fontId="6" fillId="2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0" fillId="9" borderId="0" xfId="0" applyFill="1" applyAlignment="1">
      <alignment horizontal="center" vertical="center"/>
    </xf>
    <xf numFmtId="4" fontId="0" fillId="0" borderId="0" xfId="0" applyNumberFormat="1"/>
    <xf numFmtId="166" fontId="0" fillId="0" borderId="2" xfId="0" applyNumberFormat="1" applyBorder="1"/>
    <xf numFmtId="4" fontId="0" fillId="9" borderId="0" xfId="0" applyNumberFormat="1" applyFill="1" applyAlignment="1">
      <alignment horizontal="center" vertical="center"/>
    </xf>
    <xf numFmtId="0" fontId="4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  <xf numFmtId="0" fontId="7" fillId="0" borderId="0" xfId="0" applyFont="1"/>
    <xf numFmtId="0" fontId="3" fillId="0" borderId="0" xfId="0" applyFont="1" applyBorder="1"/>
  </cellXfs>
  <cellStyles count="1">
    <cellStyle name="Normal" xfId="0" builtinId="0"/>
  </cellStyles>
  <dxfs count="60"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5700"/>
      </font>
      <fill>
        <patternFill patternType="solid">
          <fgColor rgb="FFFCE4D6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5700"/>
      </font>
      <fill>
        <patternFill patternType="solid">
          <fgColor rgb="FFFCE4D6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5F5F5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4" formatCode="#,##0.00"/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5F5F5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4" formatCode="#,##0.0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4" formatCode="#,##0.0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9" formatCode="dd/mm/yyyy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1" defaultTableStyle="TableStyleMedium9" defaultPivotStyle="PivotStyleLight16">
    <tableStyle name="Invisible" pivot="0" table="0" count="0" xr9:uid="{55D2F29E-E8F6-41FC-948B-22D104FD7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5DB12-30C5-4E34-A084-A4291595A425}" name="Tableau1" displayName="Tableau1" ref="A4:P54" totalsRowShown="0" headerRowDxfId="33" dataDxfId="31" headerRowBorderDxfId="32" tableBorderDxfId="30" totalsRowBorderDxfId="29">
  <autoFilter ref="A4:P54" xr:uid="{9AF5DB12-30C5-4E34-A084-A4291595A425}"/>
  <tableColumns count="16">
    <tableColumn id="1" xr3:uid="{6D176B53-EEDE-4814-9C11-639AA58D7F0B}" name="N°" dataDxfId="28"/>
    <tableColumn id="2" xr3:uid="{53A60B8C-6050-4218-84A4-A8D93CDD00D9}" name="Date" dataDxfId="27"/>
    <tableColumn id="3" xr3:uid="{A6B7DF94-CC77-45C5-91EA-08E0942CA710}" name="Fournisseur" dataDxfId="26"/>
    <tableColumn id="4" xr3:uid="{02491C96-69CF-46CB-8A08-E14A8963F602}" name="Produit" dataDxfId="25"/>
    <tableColumn id="5" xr3:uid="{BDADA2B9-C671-4124-B6B1-0D782114095C}" name="N° Camion" dataDxfId="24"/>
    <tableColumn id="6" xr3:uid="{C96563C2-A94A-4A5F-921F-527F10AFB9B4}" name="N° Ticket Pont" dataDxfId="23"/>
    <tableColumn id="7" xr3:uid="{9E37DC88-6E4A-42C8-A097-E74EC371D7F8}" name="Poids Net (kg)" dataDxfId="22"/>
    <tableColumn id="8" xr3:uid="{1F2D85E8-D653-4735-A2C0-E844FD576264}" name="Prix Unitaire" dataDxfId="21"/>
    <tableColumn id="9" xr3:uid="{2DB8306E-0B62-4138-BDE3-CC97BB6E90AE}" name="Montant à Payer" dataDxfId="20">
      <calculatedColumnFormula>IF(OR(G5="",H5=""),"",G5*H5)</calculatedColumnFormula>
    </tableColumn>
    <tableColumn id="10" xr3:uid="{9532AF85-0838-4795-9F94-EE2B13DB8B0A}" name="Montant Payé" dataDxfId="19"/>
    <tableColumn id="11" xr3:uid="{57083FAD-6293-4D03-B4FF-DA373E927B92}" name="Restant" dataDxfId="18">
      <calculatedColumnFormula>IF(I5="","",I5-IF(J5="",0,J5))</calculatedColumnFormula>
    </tableColumn>
    <tableColumn id="12" xr3:uid="{8D93E009-7E9D-40FB-8E05-63FF8ED9CF9A}" name="Mode Paiement" dataDxfId="17"/>
    <tableColumn id="13" xr3:uid="{29BF8C0E-F0F0-44E4-BE54-F18889FC9184}" name="N° Pièce / Chèque" dataDxfId="16"/>
    <tableColumn id="14" xr3:uid="{462E274A-F147-469F-B68A-6BE55600067D}" name="Compte Bancaire" dataDxfId="15"/>
    <tableColumn id="15" xr3:uid="{308724FA-3082-4EFC-9053-C58D476333E8}" name="Statut" dataDxfId="14">
      <calculatedColumnFormula>IF(I5="","",IF(J5="", "En attente", IF(K5&lt;=0, "Payé", IF(J5&gt;0, "Partiel", "En attente"))))</calculatedColumnFormula>
    </tableColumn>
    <tableColumn id="16" xr3:uid="{902CF30C-1DF8-4BD0-B398-DD757C2D9EAD}" name="Description / Observations" dataDxfId="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929CB9-6043-48E5-9A93-1559C8462E1D}" name="Tableau2" displayName="Tableau2" ref="A2:B22" totalsRowShown="0">
  <autoFilter ref="A2:B22" xr:uid="{53929CB9-6043-48E5-9A93-1559C8462E1D}"/>
  <tableColumns count="2">
    <tableColumn id="1" xr3:uid="{9AA93731-D38C-450C-AC99-353D123E7AEF}" name="Code "/>
    <tableColumn id="2" xr3:uid="{DA184F0A-C5D2-4EC1-8398-79BF90E87BEC}" name="Fournisseurs" dataDxfId="5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91DEC5-3C32-4605-A20C-A8BCFC7AAF93}" name="Tableau3" displayName="Tableau3" ref="C2:C5" totalsRowShown="0" headerRowDxfId="58" dataDxfId="56" headerRowBorderDxfId="57" tableBorderDxfId="55">
  <autoFilter ref="C2:C5" xr:uid="{CB91DEC5-3C32-4605-A20C-A8BCFC7AAF93}"/>
  <tableColumns count="1">
    <tableColumn id="1" xr3:uid="{57276769-415F-4B8A-AC13-44BE3095018A}" name="Produits" dataDxfId="5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31ABF7-8DF7-42E4-ABC1-3E1F0A35A9FA}" name="Tableau4" displayName="Tableau4" ref="D2:D7" totalsRowShown="0" headerRowDxfId="53" dataDxfId="51" headerRowBorderDxfId="52" tableBorderDxfId="50">
  <autoFilter ref="D2:D7" xr:uid="{3231ABF7-8DF7-42E4-ABC1-3E1F0A35A9FA}"/>
  <tableColumns count="1">
    <tableColumn id="1" xr3:uid="{080C4FFA-7DC9-4BC1-B8AD-6C86EF2D9A4D}" name="Comptes Bancaires" dataDxfId="4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1159ED-06D1-40B4-8C61-A61DDED0DBB2}" name="Tableau5" displayName="Tableau5" ref="E2:E7" totalsRowShown="0" headerRowDxfId="48" dataDxfId="46" headerRowBorderDxfId="47" tableBorderDxfId="45">
  <autoFilter ref="E2:E7" xr:uid="{271159ED-06D1-40B4-8C61-A61DDED0DBB2}"/>
  <tableColumns count="1">
    <tableColumn id="1" xr3:uid="{4F803DCB-33B2-4903-A65C-765B2096D923}" name="Modes Paiement" dataDxfId="4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F94BD3-AE0E-4578-A422-285469E0CF7E}" name="Tableau6" displayName="Tableau6" ref="F2:F7" totalsRowShown="0" headerRowDxfId="43" dataDxfId="41" headerRowBorderDxfId="42" tableBorderDxfId="40">
  <autoFilter ref="F2:F7" xr:uid="{0DF94BD3-AE0E-4578-A422-285469E0CF7E}"/>
  <tableColumns count="1">
    <tableColumn id="1" xr3:uid="{604C5713-0DCE-4E77-BA72-067E64D1A2D5}" name="Statuts" dataDxfId="3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4C0B7B-045A-4204-B70D-8320F28D9D7D}" name="Tableau7" displayName="Tableau7" ref="G2:G7" totalsRowShown="0" headerRowDxfId="38" dataDxfId="36" headerRowBorderDxfId="37" tableBorderDxfId="35">
  <autoFilter ref="G2:G7" xr:uid="{714C0B7B-045A-4204-B70D-8320F28D9D7D}"/>
  <tableColumns count="1">
    <tableColumn id="1" xr3:uid="{7BBDE5CC-C5CB-4865-9D21-336715E6B091}" name="Domaines" dataDxfId="3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A2" workbookViewId="0">
      <selection activeCell="D7" sqref="D7"/>
    </sheetView>
  </sheetViews>
  <sheetFormatPr baseColWidth="10" defaultColWidth="8.7265625" defaultRowHeight="14.5" x14ac:dyDescent="0.35"/>
  <cols>
    <col min="1" max="1" width="22" customWidth="1"/>
    <col min="2" max="2" width="18" customWidth="1"/>
    <col min="3" max="3" width="8.81640625" customWidth="1"/>
    <col min="4" max="4" width="28" customWidth="1"/>
    <col min="5" max="5" width="21.54296875" customWidth="1"/>
    <col min="6" max="6" width="20.08984375" style="51" customWidth="1"/>
    <col min="7" max="7" width="17.453125" customWidth="1"/>
  </cols>
  <sheetData>
    <row r="1" spans="1:7" ht="28" customHeight="1" x14ac:dyDescent="0.4">
      <c r="A1" s="17" t="s">
        <v>0</v>
      </c>
    </row>
    <row r="3" spans="1:7" ht="15.5" x14ac:dyDescent="0.35">
      <c r="A3" s="28" t="s">
        <v>1</v>
      </c>
      <c r="B3" s="26"/>
      <c r="D3" s="50" t="s">
        <v>98</v>
      </c>
      <c r="E3" s="50" t="s">
        <v>101</v>
      </c>
      <c r="F3" s="53" t="s">
        <v>3</v>
      </c>
      <c r="G3" s="50" t="s">
        <v>38</v>
      </c>
    </row>
    <row r="4" spans="1:7" ht="15.5" x14ac:dyDescent="0.35">
      <c r="A4" s="29" t="s">
        <v>2</v>
      </c>
      <c r="B4" s="30">
        <f>Paiements!I58</f>
        <v>0</v>
      </c>
      <c r="D4" s="27"/>
      <c r="E4" s="27" t="str">
        <f>IF(D4="","",SUMIF(Dechargement!C:C,D4,Dechargement!H:H))</f>
        <v/>
      </c>
      <c r="F4" s="52" t="str">
        <f>IF(D4="","",_xlfn.XLOOKUP(D4,Situation_Fournisseurs!B:B,Situation_Fournisseurs!$E:$E,""))</f>
        <v/>
      </c>
      <c r="G4" s="27" t="str">
        <f>IF(D4="","",_xlfn.XLOOKUP(D4,Situation_Fournisseurs!B:B,Situation_Fournisseurs!G:G,""))</f>
        <v/>
      </c>
    </row>
    <row r="5" spans="1:7" ht="15.5" x14ac:dyDescent="0.35">
      <c r="A5" s="29" t="s">
        <v>3</v>
      </c>
      <c r="B5" s="31">
        <f>Paiements!J58</f>
        <v>0</v>
      </c>
    </row>
    <row r="6" spans="1:7" ht="15.5" x14ac:dyDescent="0.35">
      <c r="A6" s="29" t="s">
        <v>4</v>
      </c>
      <c r="B6" s="32">
        <f>Paiements!K58</f>
        <v>0</v>
      </c>
    </row>
    <row r="7" spans="1:7" ht="15.5" x14ac:dyDescent="0.35">
      <c r="A7" s="29" t="s">
        <v>5</v>
      </c>
      <c r="B7" s="33">
        <f>IF(B4=0,0,B5/B4)</f>
        <v>0</v>
      </c>
      <c r="E7" s="50" t="s">
        <v>121</v>
      </c>
      <c r="F7" s="53" t="s">
        <v>102</v>
      </c>
    </row>
    <row r="8" spans="1:7" x14ac:dyDescent="0.35">
      <c r="E8" s="52" t="str">
        <f>IF(D4="","",_xlfn.XLOOKUP(D4,Situation_Fournisseurs!B:B,Situation_Fournisseurs!$D:$D,""))</f>
        <v/>
      </c>
      <c r="F8" s="52" t="str">
        <f>IF(D4="","",_xlfn.XLOOKUP(D4,Situation_Fournisseurs!B:B,Situation_Fournisseurs!$F:$F,""))</f>
        <v/>
      </c>
    </row>
    <row r="10" spans="1:7" ht="15.5" hidden="1" x14ac:dyDescent="0.35">
      <c r="A10" s="1" t="s">
        <v>6</v>
      </c>
    </row>
    <row r="11" spans="1:7" hidden="1" x14ac:dyDescent="0.35">
      <c r="A11" s="57" t="s">
        <v>7</v>
      </c>
      <c r="B11" s="55"/>
    </row>
    <row r="12" spans="1:7" hidden="1" x14ac:dyDescent="0.35">
      <c r="A12" s="57" t="s">
        <v>8</v>
      </c>
      <c r="B12" s="55"/>
    </row>
    <row r="13" spans="1:7" hidden="1" x14ac:dyDescent="0.35">
      <c r="A13" s="57" t="s">
        <v>9</v>
      </c>
      <c r="B13" s="55"/>
    </row>
    <row r="14" spans="1:7" hidden="1" x14ac:dyDescent="0.35">
      <c r="A14" s="57" t="s">
        <v>10</v>
      </c>
      <c r="B14" s="55"/>
    </row>
    <row r="15" spans="1:7" hidden="1" x14ac:dyDescent="0.35">
      <c r="A15" s="57" t="s">
        <v>11</v>
      </c>
      <c r="B15" s="55"/>
    </row>
    <row r="16" spans="1:7" hidden="1" x14ac:dyDescent="0.35">
      <c r="A16" s="57" t="s">
        <v>12</v>
      </c>
      <c r="B16" s="55"/>
    </row>
    <row r="17" spans="1:1" hidden="1" x14ac:dyDescent="0.35"/>
    <row r="18" spans="1:1" hidden="1" x14ac:dyDescent="0.35">
      <c r="A18" s="3" t="s">
        <v>13</v>
      </c>
    </row>
  </sheetData>
  <mergeCells count="6">
    <mergeCell ref="A16:B16"/>
    <mergeCell ref="A11:B11"/>
    <mergeCell ref="A13:B13"/>
    <mergeCell ref="A14:B14"/>
    <mergeCell ref="A12:B12"/>
    <mergeCell ref="A15:B15"/>
  </mergeCells>
  <pageMargins left="0.25" right="0.25" top="0.75" bottom="0.75" header="0.3" footer="0.3"/>
  <pageSetup paperSize="5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EDA366-1C4B-4660-9F58-294CC63AE1FC}">
          <x14:formula1>
            <xm:f>Situation_Fournisseurs!$B$5:$B$81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8"/>
  <sheetViews>
    <sheetView workbookViewId="0">
      <selection activeCell="A2" sqref="A2:XFD2"/>
    </sheetView>
  </sheetViews>
  <sheetFormatPr baseColWidth="10" defaultColWidth="8.7265625" defaultRowHeight="14.5" x14ac:dyDescent="0.35"/>
  <cols>
    <col min="1" max="1" width="5.08984375" customWidth="1"/>
    <col min="2" max="2" width="12" style="35" customWidth="1"/>
    <col min="3" max="3" width="26" customWidth="1"/>
    <col min="4" max="4" width="24" customWidth="1"/>
    <col min="5" max="5" width="20.1796875" customWidth="1"/>
    <col min="6" max="6" width="16.26953125" customWidth="1"/>
    <col min="7" max="7" width="15.90625" customWidth="1"/>
    <col min="8" max="8" width="14.08984375" customWidth="1"/>
    <col min="9" max="9" width="17.7265625" customWidth="1"/>
    <col min="10" max="10" width="15.36328125" customWidth="1"/>
    <col min="11" max="11" width="16.453125" customWidth="1"/>
    <col min="12" max="12" width="17" customWidth="1"/>
    <col min="13" max="13" width="19.54296875" customWidth="1"/>
    <col min="14" max="14" width="18.81640625" customWidth="1"/>
    <col min="15" max="15" width="11" customWidth="1"/>
    <col min="16" max="16" width="75.36328125" customWidth="1"/>
  </cols>
  <sheetData>
    <row r="1" spans="1:16" ht="28" customHeight="1" x14ac:dyDescent="0.4">
      <c r="A1" s="56" t="s">
        <v>14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6" hidden="1" x14ac:dyDescent="0.35">
      <c r="A2" s="54" t="s">
        <v>15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4" spans="1:16" ht="40" customHeight="1" x14ac:dyDescent="0.35">
      <c r="A4" s="38" t="s">
        <v>16</v>
      </c>
      <c r="B4" s="39" t="s">
        <v>17</v>
      </c>
      <c r="C4" s="40" t="s">
        <v>18</v>
      </c>
      <c r="D4" s="40" t="s">
        <v>19</v>
      </c>
      <c r="E4" s="40" t="s">
        <v>20</v>
      </c>
      <c r="F4" s="40" t="s">
        <v>21</v>
      </c>
      <c r="G4" s="40" t="s">
        <v>22</v>
      </c>
      <c r="H4" s="40" t="s">
        <v>23</v>
      </c>
      <c r="I4" s="40" t="s">
        <v>24</v>
      </c>
      <c r="J4" s="40" t="s">
        <v>25</v>
      </c>
      <c r="K4" s="40" t="s">
        <v>26</v>
      </c>
      <c r="L4" s="40" t="s">
        <v>27</v>
      </c>
      <c r="M4" s="40" t="s">
        <v>28</v>
      </c>
      <c r="N4" s="40" t="s">
        <v>29</v>
      </c>
      <c r="O4" s="40" t="s">
        <v>30</v>
      </c>
      <c r="P4" s="41" t="s">
        <v>31</v>
      </c>
    </row>
    <row r="5" spans="1:16" x14ac:dyDescent="0.35">
      <c r="A5" s="36">
        <v>1</v>
      </c>
      <c r="B5" s="34"/>
      <c r="C5" s="5"/>
      <c r="D5" s="5"/>
      <c r="E5" s="5"/>
      <c r="F5" s="5"/>
      <c r="G5" s="6"/>
      <c r="H5" s="6"/>
      <c r="I5" s="7" t="str">
        <f t="shared" ref="I5:I36" si="0">IF(OR(G5="",H5=""),"",G5*H5)</f>
        <v/>
      </c>
      <c r="J5" s="8"/>
      <c r="K5" s="7" t="str">
        <f t="shared" ref="K5:K36" si="1">IF(I5="","",I5-IF(J5="",0,J5))</f>
        <v/>
      </c>
      <c r="L5" s="5"/>
      <c r="M5" s="5"/>
      <c r="N5" s="5"/>
      <c r="O5" s="9" t="str">
        <f t="shared" ref="O5:O36" si="2">IF(I5="","",IF(J5="", "En attente", IF(K5&lt;=0, "Payé", IF(J5&gt;0, "Partiel", "En attente"))))</f>
        <v/>
      </c>
      <c r="P5" s="37"/>
    </row>
    <row r="6" spans="1:16" x14ac:dyDescent="0.35">
      <c r="A6" s="36">
        <v>2</v>
      </c>
      <c r="B6" s="34"/>
      <c r="C6" s="5"/>
      <c r="D6" s="5"/>
      <c r="E6" s="5"/>
      <c r="F6" s="5"/>
      <c r="G6" s="6"/>
      <c r="H6" s="6"/>
      <c r="I6" s="7" t="str">
        <f t="shared" ref="I6" si="3">IF(OR(G6="",H6=""),"",G6*H6)</f>
        <v/>
      </c>
      <c r="J6" s="8"/>
      <c r="K6" s="7" t="str">
        <f t="shared" ref="K6" si="4">IF(I6="","",I6-IF(J6="",0,J6))</f>
        <v/>
      </c>
      <c r="L6" s="5"/>
      <c r="M6" s="5"/>
      <c r="N6" s="5"/>
      <c r="O6" s="9" t="str">
        <f t="shared" ref="O6" si="5">IF(I6="","",IF(J6="", "En attente", IF(K6&lt;=0, "Payé", IF(J6&gt;0, "Partiel", "En attente"))))</f>
        <v/>
      </c>
      <c r="P6" s="37"/>
    </row>
    <row r="7" spans="1:16" x14ac:dyDescent="0.35">
      <c r="A7" s="36">
        <v>3</v>
      </c>
      <c r="B7" s="34"/>
      <c r="C7" s="5"/>
      <c r="D7" s="5"/>
      <c r="E7" s="5"/>
      <c r="F7" s="5"/>
      <c r="G7" s="6"/>
      <c r="H7" s="6"/>
      <c r="I7" s="7" t="str">
        <f t="shared" si="0"/>
        <v/>
      </c>
      <c r="J7" s="8"/>
      <c r="K7" s="7" t="str">
        <f t="shared" si="1"/>
        <v/>
      </c>
      <c r="L7" s="5"/>
      <c r="M7" s="5"/>
      <c r="N7" s="5"/>
      <c r="O7" s="9" t="str">
        <f t="shared" si="2"/>
        <v/>
      </c>
      <c r="P7" s="37"/>
    </row>
    <row r="8" spans="1:16" x14ac:dyDescent="0.35">
      <c r="A8" s="36">
        <v>4</v>
      </c>
      <c r="B8" s="34"/>
      <c r="C8" s="5"/>
      <c r="D8" s="5"/>
      <c r="E8" s="5"/>
      <c r="F8" s="5"/>
      <c r="G8" s="6"/>
      <c r="H8" s="6"/>
      <c r="I8" s="7" t="str">
        <f t="shared" si="0"/>
        <v/>
      </c>
      <c r="J8" s="8"/>
      <c r="K8" s="7" t="str">
        <f t="shared" si="1"/>
        <v/>
      </c>
      <c r="L8" s="5"/>
      <c r="M8" s="5"/>
      <c r="N8" s="5"/>
      <c r="O8" s="9" t="str">
        <f t="shared" si="2"/>
        <v/>
      </c>
      <c r="P8" s="37"/>
    </row>
    <row r="9" spans="1:16" x14ac:dyDescent="0.35">
      <c r="A9" s="36">
        <v>5</v>
      </c>
      <c r="B9" s="34"/>
      <c r="C9" s="5"/>
      <c r="D9" s="5"/>
      <c r="E9" s="5"/>
      <c r="F9" s="5"/>
      <c r="G9" s="6"/>
      <c r="H9" s="6"/>
      <c r="I9" s="7" t="str">
        <f t="shared" si="0"/>
        <v/>
      </c>
      <c r="J9" s="8"/>
      <c r="K9" s="7" t="str">
        <f t="shared" si="1"/>
        <v/>
      </c>
      <c r="L9" s="5"/>
      <c r="M9" s="5"/>
      <c r="N9" s="5"/>
      <c r="O9" s="9" t="str">
        <f t="shared" si="2"/>
        <v/>
      </c>
      <c r="P9" s="37"/>
    </row>
    <row r="10" spans="1:16" x14ac:dyDescent="0.35">
      <c r="A10" s="36">
        <v>6</v>
      </c>
      <c r="B10" s="34"/>
      <c r="C10" s="5"/>
      <c r="D10" s="5"/>
      <c r="E10" s="5"/>
      <c r="F10" s="5"/>
      <c r="G10" s="6"/>
      <c r="H10" s="6"/>
      <c r="I10" s="7" t="str">
        <f t="shared" si="0"/>
        <v/>
      </c>
      <c r="J10" s="8"/>
      <c r="K10" s="7" t="str">
        <f t="shared" si="1"/>
        <v/>
      </c>
      <c r="L10" s="5"/>
      <c r="M10" s="5"/>
      <c r="N10" s="5"/>
      <c r="O10" s="9" t="str">
        <f t="shared" si="2"/>
        <v/>
      </c>
      <c r="P10" s="37"/>
    </row>
    <row r="11" spans="1:16" x14ac:dyDescent="0.35">
      <c r="A11" s="36">
        <v>7</v>
      </c>
      <c r="B11" s="34"/>
      <c r="C11" s="5"/>
      <c r="D11" s="5"/>
      <c r="E11" s="5"/>
      <c r="F11" s="5"/>
      <c r="G11" s="6"/>
      <c r="H11" s="6"/>
      <c r="I11" s="7" t="str">
        <f t="shared" si="0"/>
        <v/>
      </c>
      <c r="J11" s="8"/>
      <c r="K11" s="7" t="str">
        <f t="shared" si="1"/>
        <v/>
      </c>
      <c r="L11" s="5"/>
      <c r="M11" s="5"/>
      <c r="N11" s="5"/>
      <c r="O11" s="9" t="str">
        <f t="shared" si="2"/>
        <v/>
      </c>
      <c r="P11" s="37"/>
    </row>
    <row r="12" spans="1:16" x14ac:dyDescent="0.35">
      <c r="A12" s="36">
        <v>8</v>
      </c>
      <c r="B12" s="34"/>
      <c r="C12" s="5"/>
      <c r="D12" s="5"/>
      <c r="E12" s="5"/>
      <c r="F12" s="5"/>
      <c r="G12" s="6"/>
      <c r="H12" s="6"/>
      <c r="I12" s="7" t="str">
        <f t="shared" si="0"/>
        <v/>
      </c>
      <c r="J12" s="8"/>
      <c r="K12" s="7" t="str">
        <f t="shared" si="1"/>
        <v/>
      </c>
      <c r="L12" s="5"/>
      <c r="M12" s="5"/>
      <c r="N12" s="5"/>
      <c r="O12" s="9" t="str">
        <f t="shared" si="2"/>
        <v/>
      </c>
      <c r="P12" s="37"/>
    </row>
    <row r="13" spans="1:16" x14ac:dyDescent="0.35">
      <c r="A13" s="36">
        <v>9</v>
      </c>
      <c r="B13" s="34"/>
      <c r="C13" s="5"/>
      <c r="D13" s="5"/>
      <c r="E13" s="5"/>
      <c r="F13" s="5"/>
      <c r="G13" s="6"/>
      <c r="H13" s="6"/>
      <c r="I13" s="7" t="str">
        <f t="shared" si="0"/>
        <v/>
      </c>
      <c r="J13" s="8"/>
      <c r="K13" s="7" t="str">
        <f t="shared" si="1"/>
        <v/>
      </c>
      <c r="L13" s="5"/>
      <c r="M13" s="5"/>
      <c r="N13" s="5"/>
      <c r="O13" s="9" t="str">
        <f t="shared" si="2"/>
        <v/>
      </c>
      <c r="P13" s="37"/>
    </row>
    <row r="14" spans="1:16" x14ac:dyDescent="0.35">
      <c r="A14" s="36">
        <v>10</v>
      </c>
      <c r="B14" s="34"/>
      <c r="C14" s="5"/>
      <c r="D14" s="5"/>
      <c r="E14" s="5"/>
      <c r="F14" s="5"/>
      <c r="G14" s="6"/>
      <c r="H14" s="6"/>
      <c r="I14" s="7" t="str">
        <f t="shared" si="0"/>
        <v/>
      </c>
      <c r="J14" s="8"/>
      <c r="K14" s="7" t="str">
        <f t="shared" si="1"/>
        <v/>
      </c>
      <c r="L14" s="5"/>
      <c r="M14" s="5"/>
      <c r="N14" s="5"/>
      <c r="O14" s="9" t="str">
        <f t="shared" si="2"/>
        <v/>
      </c>
      <c r="P14" s="37"/>
    </row>
    <row r="15" spans="1:16" x14ac:dyDescent="0.35">
      <c r="A15" s="36">
        <v>11</v>
      </c>
      <c r="B15" s="34"/>
      <c r="C15" s="5"/>
      <c r="D15" s="5"/>
      <c r="E15" s="5"/>
      <c r="F15" s="5"/>
      <c r="G15" s="6"/>
      <c r="H15" s="6"/>
      <c r="I15" s="7" t="str">
        <f t="shared" si="0"/>
        <v/>
      </c>
      <c r="J15" s="8"/>
      <c r="K15" s="7" t="str">
        <f t="shared" si="1"/>
        <v/>
      </c>
      <c r="L15" s="5"/>
      <c r="M15" s="5"/>
      <c r="N15" s="5"/>
      <c r="O15" s="9" t="str">
        <f t="shared" si="2"/>
        <v/>
      </c>
      <c r="P15" s="37"/>
    </row>
    <row r="16" spans="1:16" x14ac:dyDescent="0.35">
      <c r="A16" s="36">
        <v>12</v>
      </c>
      <c r="B16" s="34"/>
      <c r="C16" s="5"/>
      <c r="D16" s="5"/>
      <c r="E16" s="5"/>
      <c r="F16" s="5"/>
      <c r="G16" s="6"/>
      <c r="H16" s="6"/>
      <c r="I16" s="7" t="str">
        <f t="shared" si="0"/>
        <v/>
      </c>
      <c r="J16" s="8"/>
      <c r="K16" s="7" t="str">
        <f t="shared" si="1"/>
        <v/>
      </c>
      <c r="L16" s="5"/>
      <c r="M16" s="5"/>
      <c r="N16" s="5"/>
      <c r="O16" s="9" t="str">
        <f t="shared" si="2"/>
        <v/>
      </c>
      <c r="P16" s="37"/>
    </row>
    <row r="17" spans="1:16" x14ac:dyDescent="0.35">
      <c r="A17" s="36">
        <v>13</v>
      </c>
      <c r="B17" s="34"/>
      <c r="C17" s="5"/>
      <c r="D17" s="5"/>
      <c r="E17" s="5"/>
      <c r="F17" s="5"/>
      <c r="G17" s="6"/>
      <c r="H17" s="6"/>
      <c r="I17" s="7" t="str">
        <f t="shared" si="0"/>
        <v/>
      </c>
      <c r="J17" s="8"/>
      <c r="K17" s="7" t="str">
        <f t="shared" si="1"/>
        <v/>
      </c>
      <c r="L17" s="5"/>
      <c r="M17" s="5"/>
      <c r="N17" s="5"/>
      <c r="O17" s="9" t="str">
        <f t="shared" si="2"/>
        <v/>
      </c>
      <c r="P17" s="37"/>
    </row>
    <row r="18" spans="1:16" x14ac:dyDescent="0.35">
      <c r="A18" s="36">
        <v>14</v>
      </c>
      <c r="B18" s="34"/>
      <c r="C18" s="5"/>
      <c r="D18" s="5"/>
      <c r="E18" s="5"/>
      <c r="F18" s="5"/>
      <c r="G18" s="6"/>
      <c r="H18" s="6"/>
      <c r="I18" s="7" t="str">
        <f t="shared" si="0"/>
        <v/>
      </c>
      <c r="J18" s="8"/>
      <c r="K18" s="7" t="str">
        <f t="shared" si="1"/>
        <v/>
      </c>
      <c r="L18" s="5"/>
      <c r="M18" s="5"/>
      <c r="N18" s="5"/>
      <c r="O18" s="9" t="str">
        <f t="shared" si="2"/>
        <v/>
      </c>
      <c r="P18" s="37"/>
    </row>
    <row r="19" spans="1:16" x14ac:dyDescent="0.35">
      <c r="A19" s="36">
        <v>15</v>
      </c>
      <c r="B19" s="34"/>
      <c r="C19" s="5"/>
      <c r="D19" s="5"/>
      <c r="E19" s="5"/>
      <c r="F19" s="5"/>
      <c r="G19" s="6"/>
      <c r="H19" s="6"/>
      <c r="I19" s="7" t="str">
        <f t="shared" si="0"/>
        <v/>
      </c>
      <c r="J19" s="8"/>
      <c r="K19" s="7" t="str">
        <f t="shared" si="1"/>
        <v/>
      </c>
      <c r="L19" s="5"/>
      <c r="M19" s="5"/>
      <c r="N19" s="5"/>
      <c r="O19" s="9" t="str">
        <f t="shared" si="2"/>
        <v/>
      </c>
      <c r="P19" s="37"/>
    </row>
    <row r="20" spans="1:16" x14ac:dyDescent="0.35">
      <c r="A20" s="36">
        <v>16</v>
      </c>
      <c r="B20" s="34"/>
      <c r="C20" s="5"/>
      <c r="D20" s="5"/>
      <c r="E20" s="5"/>
      <c r="F20" s="5"/>
      <c r="G20" s="6"/>
      <c r="H20" s="6"/>
      <c r="I20" s="7" t="str">
        <f t="shared" si="0"/>
        <v/>
      </c>
      <c r="J20" s="8"/>
      <c r="K20" s="7" t="str">
        <f t="shared" si="1"/>
        <v/>
      </c>
      <c r="L20" s="5"/>
      <c r="M20" s="5"/>
      <c r="N20" s="5"/>
      <c r="O20" s="9" t="str">
        <f t="shared" si="2"/>
        <v/>
      </c>
      <c r="P20" s="37"/>
    </row>
    <row r="21" spans="1:16" x14ac:dyDescent="0.35">
      <c r="A21" s="36">
        <v>17</v>
      </c>
      <c r="B21" s="34"/>
      <c r="C21" s="5"/>
      <c r="D21" s="5"/>
      <c r="E21" s="5"/>
      <c r="F21" s="5"/>
      <c r="G21" s="6"/>
      <c r="H21" s="6"/>
      <c r="I21" s="7" t="str">
        <f t="shared" si="0"/>
        <v/>
      </c>
      <c r="J21" s="8"/>
      <c r="K21" s="7" t="str">
        <f t="shared" si="1"/>
        <v/>
      </c>
      <c r="L21" s="5"/>
      <c r="M21" s="5"/>
      <c r="N21" s="5"/>
      <c r="O21" s="9" t="str">
        <f t="shared" si="2"/>
        <v/>
      </c>
      <c r="P21" s="37"/>
    </row>
    <row r="22" spans="1:16" x14ac:dyDescent="0.35">
      <c r="A22" s="36">
        <v>18</v>
      </c>
      <c r="B22" s="34"/>
      <c r="C22" s="5"/>
      <c r="D22" s="5"/>
      <c r="E22" s="5"/>
      <c r="F22" s="5"/>
      <c r="G22" s="6"/>
      <c r="H22" s="6"/>
      <c r="I22" s="7" t="str">
        <f t="shared" si="0"/>
        <v/>
      </c>
      <c r="J22" s="8"/>
      <c r="K22" s="7" t="str">
        <f t="shared" si="1"/>
        <v/>
      </c>
      <c r="L22" s="5"/>
      <c r="M22" s="5"/>
      <c r="N22" s="5"/>
      <c r="O22" s="9" t="str">
        <f t="shared" si="2"/>
        <v/>
      </c>
      <c r="P22" s="37"/>
    </row>
    <row r="23" spans="1:16" x14ac:dyDescent="0.35">
      <c r="A23" s="36">
        <v>19</v>
      </c>
      <c r="B23" s="34"/>
      <c r="C23" s="5"/>
      <c r="D23" s="5"/>
      <c r="E23" s="5"/>
      <c r="F23" s="5"/>
      <c r="G23" s="6"/>
      <c r="H23" s="6"/>
      <c r="I23" s="7" t="str">
        <f t="shared" si="0"/>
        <v/>
      </c>
      <c r="J23" s="8"/>
      <c r="K23" s="7" t="str">
        <f t="shared" si="1"/>
        <v/>
      </c>
      <c r="L23" s="5"/>
      <c r="M23" s="5"/>
      <c r="N23" s="5"/>
      <c r="O23" s="9" t="str">
        <f t="shared" si="2"/>
        <v/>
      </c>
      <c r="P23" s="37"/>
    </row>
    <row r="24" spans="1:16" x14ac:dyDescent="0.35">
      <c r="A24" s="36">
        <v>20</v>
      </c>
      <c r="B24" s="34"/>
      <c r="C24" s="5"/>
      <c r="D24" s="5"/>
      <c r="E24" s="5"/>
      <c r="F24" s="5"/>
      <c r="G24" s="6"/>
      <c r="H24" s="6"/>
      <c r="I24" s="7" t="str">
        <f t="shared" si="0"/>
        <v/>
      </c>
      <c r="J24" s="8"/>
      <c r="K24" s="7" t="str">
        <f t="shared" si="1"/>
        <v/>
      </c>
      <c r="L24" s="5"/>
      <c r="M24" s="5"/>
      <c r="N24" s="5"/>
      <c r="O24" s="9" t="str">
        <f t="shared" si="2"/>
        <v/>
      </c>
      <c r="P24" s="37"/>
    </row>
    <row r="25" spans="1:16" x14ac:dyDescent="0.35">
      <c r="A25" s="36">
        <v>21</v>
      </c>
      <c r="B25" s="34"/>
      <c r="C25" s="5"/>
      <c r="D25" s="5"/>
      <c r="E25" s="5"/>
      <c r="F25" s="5"/>
      <c r="G25" s="6"/>
      <c r="H25" s="6"/>
      <c r="I25" s="7" t="str">
        <f t="shared" si="0"/>
        <v/>
      </c>
      <c r="J25" s="8"/>
      <c r="K25" s="7" t="str">
        <f t="shared" si="1"/>
        <v/>
      </c>
      <c r="L25" s="5"/>
      <c r="M25" s="5"/>
      <c r="N25" s="5"/>
      <c r="O25" s="9" t="str">
        <f t="shared" si="2"/>
        <v/>
      </c>
      <c r="P25" s="37"/>
    </row>
    <row r="26" spans="1:16" x14ac:dyDescent="0.35">
      <c r="A26" s="36">
        <v>22</v>
      </c>
      <c r="B26" s="34"/>
      <c r="C26" s="5"/>
      <c r="D26" s="5"/>
      <c r="E26" s="5"/>
      <c r="F26" s="5"/>
      <c r="G26" s="6"/>
      <c r="H26" s="6"/>
      <c r="I26" s="7" t="str">
        <f t="shared" si="0"/>
        <v/>
      </c>
      <c r="J26" s="8"/>
      <c r="K26" s="7" t="str">
        <f t="shared" si="1"/>
        <v/>
      </c>
      <c r="L26" s="5"/>
      <c r="M26" s="5"/>
      <c r="N26" s="5"/>
      <c r="O26" s="9" t="str">
        <f t="shared" si="2"/>
        <v/>
      </c>
      <c r="P26" s="37"/>
    </row>
    <row r="27" spans="1:16" x14ac:dyDescent="0.35">
      <c r="A27" s="36">
        <v>23</v>
      </c>
      <c r="B27" s="34"/>
      <c r="C27" s="5"/>
      <c r="D27" s="5"/>
      <c r="E27" s="5"/>
      <c r="F27" s="5"/>
      <c r="G27" s="6"/>
      <c r="H27" s="6"/>
      <c r="I27" s="7" t="str">
        <f t="shared" si="0"/>
        <v/>
      </c>
      <c r="J27" s="8"/>
      <c r="K27" s="7" t="str">
        <f t="shared" si="1"/>
        <v/>
      </c>
      <c r="L27" s="5"/>
      <c r="M27" s="5"/>
      <c r="N27" s="5"/>
      <c r="O27" s="9" t="str">
        <f t="shared" si="2"/>
        <v/>
      </c>
      <c r="P27" s="37"/>
    </row>
    <row r="28" spans="1:16" x14ac:dyDescent="0.35">
      <c r="A28" s="36">
        <v>24</v>
      </c>
      <c r="B28" s="34"/>
      <c r="C28" s="5"/>
      <c r="D28" s="5"/>
      <c r="E28" s="5"/>
      <c r="F28" s="5"/>
      <c r="G28" s="6"/>
      <c r="H28" s="6"/>
      <c r="I28" s="7" t="str">
        <f t="shared" si="0"/>
        <v/>
      </c>
      <c r="J28" s="8"/>
      <c r="K28" s="7" t="str">
        <f t="shared" si="1"/>
        <v/>
      </c>
      <c r="L28" s="5"/>
      <c r="M28" s="5"/>
      <c r="N28" s="5"/>
      <c r="O28" s="9" t="str">
        <f t="shared" si="2"/>
        <v/>
      </c>
      <c r="P28" s="37"/>
    </row>
    <row r="29" spans="1:16" x14ac:dyDescent="0.35">
      <c r="A29" s="36">
        <v>25</v>
      </c>
      <c r="B29" s="34"/>
      <c r="C29" s="5"/>
      <c r="D29" s="5"/>
      <c r="E29" s="5"/>
      <c r="F29" s="5"/>
      <c r="G29" s="6"/>
      <c r="H29" s="6"/>
      <c r="I29" s="7" t="str">
        <f t="shared" si="0"/>
        <v/>
      </c>
      <c r="J29" s="8"/>
      <c r="K29" s="7" t="str">
        <f t="shared" si="1"/>
        <v/>
      </c>
      <c r="L29" s="5"/>
      <c r="M29" s="5"/>
      <c r="N29" s="5"/>
      <c r="O29" s="9" t="str">
        <f t="shared" si="2"/>
        <v/>
      </c>
      <c r="P29" s="37"/>
    </row>
    <row r="30" spans="1:16" x14ac:dyDescent="0.35">
      <c r="A30" s="36">
        <v>26</v>
      </c>
      <c r="B30" s="34"/>
      <c r="C30" s="5"/>
      <c r="D30" s="5"/>
      <c r="E30" s="5"/>
      <c r="F30" s="5"/>
      <c r="G30" s="6"/>
      <c r="H30" s="6"/>
      <c r="I30" s="7" t="str">
        <f t="shared" si="0"/>
        <v/>
      </c>
      <c r="J30" s="8"/>
      <c r="K30" s="7" t="str">
        <f t="shared" si="1"/>
        <v/>
      </c>
      <c r="L30" s="5"/>
      <c r="M30" s="5"/>
      <c r="N30" s="5"/>
      <c r="O30" s="9" t="str">
        <f t="shared" si="2"/>
        <v/>
      </c>
      <c r="P30" s="37"/>
    </row>
    <row r="31" spans="1:16" x14ac:dyDescent="0.35">
      <c r="A31" s="36">
        <v>27</v>
      </c>
      <c r="B31" s="34"/>
      <c r="C31" s="5"/>
      <c r="D31" s="5"/>
      <c r="E31" s="5"/>
      <c r="F31" s="5"/>
      <c r="G31" s="6"/>
      <c r="H31" s="6"/>
      <c r="I31" s="7" t="str">
        <f t="shared" si="0"/>
        <v/>
      </c>
      <c r="J31" s="8"/>
      <c r="K31" s="7" t="str">
        <f t="shared" si="1"/>
        <v/>
      </c>
      <c r="L31" s="5"/>
      <c r="M31" s="5"/>
      <c r="N31" s="5"/>
      <c r="O31" s="9" t="str">
        <f t="shared" si="2"/>
        <v/>
      </c>
      <c r="P31" s="37"/>
    </row>
    <row r="32" spans="1:16" x14ac:dyDescent="0.35">
      <c r="A32" s="36">
        <v>28</v>
      </c>
      <c r="B32" s="34"/>
      <c r="C32" s="5"/>
      <c r="D32" s="5"/>
      <c r="E32" s="5"/>
      <c r="F32" s="5"/>
      <c r="G32" s="6"/>
      <c r="H32" s="6"/>
      <c r="I32" s="7" t="str">
        <f t="shared" si="0"/>
        <v/>
      </c>
      <c r="J32" s="8"/>
      <c r="K32" s="7" t="str">
        <f t="shared" si="1"/>
        <v/>
      </c>
      <c r="L32" s="5"/>
      <c r="M32" s="5"/>
      <c r="N32" s="5"/>
      <c r="O32" s="9" t="str">
        <f t="shared" si="2"/>
        <v/>
      </c>
      <c r="P32" s="37"/>
    </row>
    <row r="33" spans="1:16" x14ac:dyDescent="0.35">
      <c r="A33" s="36">
        <v>29</v>
      </c>
      <c r="B33" s="34"/>
      <c r="C33" s="5"/>
      <c r="D33" s="5"/>
      <c r="E33" s="5"/>
      <c r="F33" s="5"/>
      <c r="G33" s="6"/>
      <c r="H33" s="6"/>
      <c r="I33" s="7" t="str">
        <f t="shared" si="0"/>
        <v/>
      </c>
      <c r="J33" s="8"/>
      <c r="K33" s="7" t="str">
        <f t="shared" si="1"/>
        <v/>
      </c>
      <c r="L33" s="5"/>
      <c r="M33" s="5"/>
      <c r="N33" s="5"/>
      <c r="O33" s="9" t="str">
        <f t="shared" si="2"/>
        <v/>
      </c>
      <c r="P33" s="37"/>
    </row>
    <row r="34" spans="1:16" x14ac:dyDescent="0.35">
      <c r="A34" s="36">
        <v>30</v>
      </c>
      <c r="B34" s="34"/>
      <c r="C34" s="5"/>
      <c r="D34" s="5"/>
      <c r="E34" s="5"/>
      <c r="F34" s="5"/>
      <c r="G34" s="6"/>
      <c r="H34" s="6"/>
      <c r="I34" s="7" t="str">
        <f t="shared" si="0"/>
        <v/>
      </c>
      <c r="J34" s="8"/>
      <c r="K34" s="7" t="str">
        <f t="shared" si="1"/>
        <v/>
      </c>
      <c r="L34" s="5"/>
      <c r="M34" s="5"/>
      <c r="N34" s="5"/>
      <c r="O34" s="9" t="str">
        <f t="shared" si="2"/>
        <v/>
      </c>
      <c r="P34" s="37"/>
    </row>
    <row r="35" spans="1:16" x14ac:dyDescent="0.35">
      <c r="A35" s="36">
        <v>31</v>
      </c>
      <c r="B35" s="34"/>
      <c r="C35" s="5"/>
      <c r="D35" s="5"/>
      <c r="E35" s="5"/>
      <c r="F35" s="5"/>
      <c r="G35" s="6"/>
      <c r="H35" s="6"/>
      <c r="I35" s="7" t="str">
        <f t="shared" si="0"/>
        <v/>
      </c>
      <c r="J35" s="8"/>
      <c r="K35" s="7" t="str">
        <f t="shared" si="1"/>
        <v/>
      </c>
      <c r="L35" s="5"/>
      <c r="M35" s="5"/>
      <c r="N35" s="5"/>
      <c r="O35" s="9" t="str">
        <f t="shared" si="2"/>
        <v/>
      </c>
      <c r="P35" s="37"/>
    </row>
    <row r="36" spans="1:16" x14ac:dyDescent="0.35">
      <c r="A36" s="36">
        <v>32</v>
      </c>
      <c r="B36" s="34"/>
      <c r="C36" s="5"/>
      <c r="D36" s="5"/>
      <c r="E36" s="5"/>
      <c r="F36" s="5"/>
      <c r="G36" s="6"/>
      <c r="H36" s="6"/>
      <c r="I36" s="7" t="str">
        <f t="shared" si="0"/>
        <v/>
      </c>
      <c r="J36" s="8"/>
      <c r="K36" s="7" t="str">
        <f t="shared" si="1"/>
        <v/>
      </c>
      <c r="L36" s="5"/>
      <c r="M36" s="5"/>
      <c r="N36" s="5"/>
      <c r="O36" s="9" t="str">
        <f t="shared" si="2"/>
        <v/>
      </c>
      <c r="P36" s="37"/>
    </row>
    <row r="37" spans="1:16" x14ac:dyDescent="0.35">
      <c r="A37" s="36">
        <v>33</v>
      </c>
      <c r="B37" s="34"/>
      <c r="C37" s="5"/>
      <c r="D37" s="5"/>
      <c r="E37" s="5"/>
      <c r="F37" s="5"/>
      <c r="G37" s="6"/>
      <c r="H37" s="6"/>
      <c r="I37" s="7" t="str">
        <f t="shared" ref="I37:I54" si="6">IF(OR(G37="",H37=""),"",G37*H37)</f>
        <v/>
      </c>
      <c r="J37" s="8"/>
      <c r="K37" s="7" t="str">
        <f t="shared" ref="K37:K54" si="7">IF(I37="","",I37-IF(J37="",0,J37))</f>
        <v/>
      </c>
      <c r="L37" s="5"/>
      <c r="M37" s="5"/>
      <c r="N37" s="5"/>
      <c r="O37" s="9" t="str">
        <f t="shared" ref="O37:O54" si="8">IF(I37="","",IF(J37="", "En attente", IF(K37&lt;=0, "Payé", IF(J37&gt;0, "Partiel", "En attente"))))</f>
        <v/>
      </c>
      <c r="P37" s="37"/>
    </row>
    <row r="38" spans="1:16" x14ac:dyDescent="0.35">
      <c r="A38" s="36">
        <v>34</v>
      </c>
      <c r="B38" s="34"/>
      <c r="C38" s="5"/>
      <c r="D38" s="5"/>
      <c r="E38" s="5"/>
      <c r="F38" s="5"/>
      <c r="G38" s="6"/>
      <c r="H38" s="6"/>
      <c r="I38" s="7" t="str">
        <f t="shared" si="6"/>
        <v/>
      </c>
      <c r="J38" s="8"/>
      <c r="K38" s="7" t="str">
        <f t="shared" si="7"/>
        <v/>
      </c>
      <c r="L38" s="5"/>
      <c r="M38" s="5"/>
      <c r="N38" s="5"/>
      <c r="O38" s="9" t="str">
        <f t="shared" si="8"/>
        <v/>
      </c>
      <c r="P38" s="37"/>
    </row>
    <row r="39" spans="1:16" x14ac:dyDescent="0.35">
      <c r="A39" s="36">
        <v>35</v>
      </c>
      <c r="B39" s="34"/>
      <c r="C39" s="5"/>
      <c r="D39" s="5"/>
      <c r="E39" s="5"/>
      <c r="F39" s="5"/>
      <c r="G39" s="6"/>
      <c r="H39" s="6"/>
      <c r="I39" s="7" t="str">
        <f t="shared" si="6"/>
        <v/>
      </c>
      <c r="J39" s="8"/>
      <c r="K39" s="7" t="str">
        <f t="shared" si="7"/>
        <v/>
      </c>
      <c r="L39" s="5"/>
      <c r="M39" s="5"/>
      <c r="N39" s="5"/>
      <c r="O39" s="9" t="str">
        <f t="shared" si="8"/>
        <v/>
      </c>
      <c r="P39" s="37"/>
    </row>
    <row r="40" spans="1:16" x14ac:dyDescent="0.35">
      <c r="A40" s="36">
        <v>36</v>
      </c>
      <c r="B40" s="34"/>
      <c r="C40" s="5"/>
      <c r="D40" s="5"/>
      <c r="E40" s="5"/>
      <c r="F40" s="5"/>
      <c r="G40" s="6"/>
      <c r="H40" s="6"/>
      <c r="I40" s="7" t="str">
        <f t="shared" si="6"/>
        <v/>
      </c>
      <c r="J40" s="8"/>
      <c r="K40" s="7" t="str">
        <f t="shared" si="7"/>
        <v/>
      </c>
      <c r="L40" s="5"/>
      <c r="M40" s="5"/>
      <c r="N40" s="5"/>
      <c r="O40" s="9" t="str">
        <f t="shared" si="8"/>
        <v/>
      </c>
      <c r="P40" s="37"/>
    </row>
    <row r="41" spans="1:16" x14ac:dyDescent="0.35">
      <c r="A41" s="36">
        <v>37</v>
      </c>
      <c r="B41" s="34"/>
      <c r="C41" s="5"/>
      <c r="D41" s="5"/>
      <c r="E41" s="5"/>
      <c r="F41" s="5"/>
      <c r="G41" s="6"/>
      <c r="H41" s="6"/>
      <c r="I41" s="7" t="str">
        <f t="shared" si="6"/>
        <v/>
      </c>
      <c r="J41" s="8"/>
      <c r="K41" s="7" t="str">
        <f t="shared" si="7"/>
        <v/>
      </c>
      <c r="L41" s="5"/>
      <c r="M41" s="5"/>
      <c r="N41" s="5"/>
      <c r="O41" s="9" t="str">
        <f t="shared" si="8"/>
        <v/>
      </c>
      <c r="P41" s="37"/>
    </row>
    <row r="42" spans="1:16" x14ac:dyDescent="0.35">
      <c r="A42" s="36">
        <v>38</v>
      </c>
      <c r="B42" s="34"/>
      <c r="C42" s="5"/>
      <c r="D42" s="5"/>
      <c r="E42" s="5"/>
      <c r="F42" s="5"/>
      <c r="G42" s="6"/>
      <c r="H42" s="6"/>
      <c r="I42" s="7" t="str">
        <f t="shared" si="6"/>
        <v/>
      </c>
      <c r="J42" s="8"/>
      <c r="K42" s="7" t="str">
        <f t="shared" si="7"/>
        <v/>
      </c>
      <c r="L42" s="5"/>
      <c r="M42" s="5"/>
      <c r="N42" s="5"/>
      <c r="O42" s="9" t="str">
        <f t="shared" si="8"/>
        <v/>
      </c>
      <c r="P42" s="37"/>
    </row>
    <row r="43" spans="1:16" x14ac:dyDescent="0.35">
      <c r="A43" s="36">
        <v>39</v>
      </c>
      <c r="B43" s="34"/>
      <c r="C43" s="5"/>
      <c r="D43" s="5"/>
      <c r="E43" s="5"/>
      <c r="F43" s="5"/>
      <c r="G43" s="6"/>
      <c r="H43" s="6"/>
      <c r="I43" s="7" t="str">
        <f t="shared" si="6"/>
        <v/>
      </c>
      <c r="J43" s="8"/>
      <c r="K43" s="7" t="str">
        <f t="shared" si="7"/>
        <v/>
      </c>
      <c r="L43" s="5"/>
      <c r="M43" s="5"/>
      <c r="N43" s="5"/>
      <c r="O43" s="9" t="str">
        <f t="shared" si="8"/>
        <v/>
      </c>
      <c r="P43" s="37"/>
    </row>
    <row r="44" spans="1:16" x14ac:dyDescent="0.35">
      <c r="A44" s="36">
        <v>40</v>
      </c>
      <c r="B44" s="34"/>
      <c r="C44" s="5"/>
      <c r="D44" s="5"/>
      <c r="E44" s="5"/>
      <c r="F44" s="5"/>
      <c r="G44" s="6"/>
      <c r="H44" s="6"/>
      <c r="I44" s="7" t="str">
        <f t="shared" si="6"/>
        <v/>
      </c>
      <c r="J44" s="8"/>
      <c r="K44" s="7" t="str">
        <f t="shared" si="7"/>
        <v/>
      </c>
      <c r="L44" s="5"/>
      <c r="M44" s="5"/>
      <c r="N44" s="5"/>
      <c r="O44" s="9" t="str">
        <f t="shared" si="8"/>
        <v/>
      </c>
      <c r="P44" s="37"/>
    </row>
    <row r="45" spans="1:16" x14ac:dyDescent="0.35">
      <c r="A45" s="36">
        <v>41</v>
      </c>
      <c r="B45" s="34"/>
      <c r="C45" s="5"/>
      <c r="D45" s="5"/>
      <c r="E45" s="5"/>
      <c r="F45" s="5"/>
      <c r="G45" s="6"/>
      <c r="H45" s="6"/>
      <c r="I45" s="7" t="str">
        <f t="shared" si="6"/>
        <v/>
      </c>
      <c r="J45" s="8"/>
      <c r="K45" s="7" t="str">
        <f t="shared" si="7"/>
        <v/>
      </c>
      <c r="L45" s="5"/>
      <c r="M45" s="5"/>
      <c r="N45" s="5"/>
      <c r="O45" s="9" t="str">
        <f t="shared" si="8"/>
        <v/>
      </c>
      <c r="P45" s="37"/>
    </row>
    <row r="46" spans="1:16" x14ac:dyDescent="0.35">
      <c r="A46" s="36">
        <v>42</v>
      </c>
      <c r="B46" s="34"/>
      <c r="C46" s="5"/>
      <c r="D46" s="5"/>
      <c r="E46" s="5"/>
      <c r="F46" s="5"/>
      <c r="G46" s="6"/>
      <c r="H46" s="6"/>
      <c r="I46" s="7" t="str">
        <f t="shared" si="6"/>
        <v/>
      </c>
      <c r="J46" s="8"/>
      <c r="K46" s="7" t="str">
        <f t="shared" si="7"/>
        <v/>
      </c>
      <c r="L46" s="5"/>
      <c r="M46" s="5"/>
      <c r="N46" s="5"/>
      <c r="O46" s="9" t="str">
        <f t="shared" si="8"/>
        <v/>
      </c>
      <c r="P46" s="37"/>
    </row>
    <row r="47" spans="1:16" x14ac:dyDescent="0.35">
      <c r="A47" s="36">
        <v>43</v>
      </c>
      <c r="B47" s="34"/>
      <c r="C47" s="5"/>
      <c r="D47" s="5"/>
      <c r="E47" s="5"/>
      <c r="F47" s="5"/>
      <c r="G47" s="6"/>
      <c r="H47" s="6"/>
      <c r="I47" s="7" t="str">
        <f t="shared" si="6"/>
        <v/>
      </c>
      <c r="J47" s="8"/>
      <c r="K47" s="7" t="str">
        <f t="shared" si="7"/>
        <v/>
      </c>
      <c r="L47" s="5"/>
      <c r="M47" s="5"/>
      <c r="N47" s="5"/>
      <c r="O47" s="9" t="str">
        <f t="shared" si="8"/>
        <v/>
      </c>
      <c r="P47" s="37"/>
    </row>
    <row r="48" spans="1:16" x14ac:dyDescent="0.35">
      <c r="A48" s="36">
        <v>44</v>
      </c>
      <c r="B48" s="34"/>
      <c r="C48" s="5"/>
      <c r="D48" s="5"/>
      <c r="E48" s="5"/>
      <c r="F48" s="5"/>
      <c r="G48" s="6"/>
      <c r="H48" s="6"/>
      <c r="I48" s="7" t="str">
        <f t="shared" si="6"/>
        <v/>
      </c>
      <c r="J48" s="8"/>
      <c r="K48" s="7" t="str">
        <f t="shared" si="7"/>
        <v/>
      </c>
      <c r="L48" s="5"/>
      <c r="M48" s="5"/>
      <c r="N48" s="5"/>
      <c r="O48" s="9" t="str">
        <f t="shared" si="8"/>
        <v/>
      </c>
      <c r="P48" s="37"/>
    </row>
    <row r="49" spans="1:16" x14ac:dyDescent="0.35">
      <c r="A49" s="36">
        <v>45</v>
      </c>
      <c r="B49" s="34"/>
      <c r="C49" s="5"/>
      <c r="D49" s="5"/>
      <c r="E49" s="5"/>
      <c r="F49" s="5"/>
      <c r="G49" s="6"/>
      <c r="H49" s="6"/>
      <c r="I49" s="7" t="str">
        <f t="shared" si="6"/>
        <v/>
      </c>
      <c r="J49" s="8"/>
      <c r="K49" s="7" t="str">
        <f t="shared" si="7"/>
        <v/>
      </c>
      <c r="L49" s="5"/>
      <c r="M49" s="5"/>
      <c r="N49" s="5"/>
      <c r="O49" s="9" t="str">
        <f t="shared" si="8"/>
        <v/>
      </c>
      <c r="P49" s="37"/>
    </row>
    <row r="50" spans="1:16" x14ac:dyDescent="0.35">
      <c r="A50" s="36">
        <v>46</v>
      </c>
      <c r="B50" s="34"/>
      <c r="C50" s="5"/>
      <c r="D50" s="5"/>
      <c r="E50" s="5"/>
      <c r="F50" s="5"/>
      <c r="G50" s="6"/>
      <c r="H50" s="6"/>
      <c r="I50" s="7" t="str">
        <f t="shared" si="6"/>
        <v/>
      </c>
      <c r="J50" s="8"/>
      <c r="K50" s="7" t="str">
        <f t="shared" si="7"/>
        <v/>
      </c>
      <c r="L50" s="5"/>
      <c r="M50" s="5"/>
      <c r="N50" s="5"/>
      <c r="O50" s="9" t="str">
        <f t="shared" si="8"/>
        <v/>
      </c>
      <c r="P50" s="37"/>
    </row>
    <row r="51" spans="1:16" x14ac:dyDescent="0.35">
      <c r="A51" s="36">
        <v>47</v>
      </c>
      <c r="B51" s="34"/>
      <c r="C51" s="5"/>
      <c r="D51" s="5"/>
      <c r="E51" s="5"/>
      <c r="F51" s="5"/>
      <c r="G51" s="6"/>
      <c r="H51" s="6"/>
      <c r="I51" s="7" t="str">
        <f t="shared" si="6"/>
        <v/>
      </c>
      <c r="J51" s="8"/>
      <c r="K51" s="7" t="str">
        <f t="shared" si="7"/>
        <v/>
      </c>
      <c r="L51" s="5"/>
      <c r="M51" s="5"/>
      <c r="N51" s="5"/>
      <c r="O51" s="9" t="str">
        <f t="shared" si="8"/>
        <v/>
      </c>
      <c r="P51" s="37"/>
    </row>
    <row r="52" spans="1:16" x14ac:dyDescent="0.35">
      <c r="A52" s="36">
        <v>48</v>
      </c>
      <c r="B52" s="34"/>
      <c r="C52" s="5"/>
      <c r="D52" s="5"/>
      <c r="E52" s="5"/>
      <c r="F52" s="5"/>
      <c r="G52" s="6"/>
      <c r="H52" s="6"/>
      <c r="I52" s="7" t="str">
        <f t="shared" si="6"/>
        <v/>
      </c>
      <c r="J52" s="8"/>
      <c r="K52" s="7" t="str">
        <f t="shared" si="7"/>
        <v/>
      </c>
      <c r="L52" s="5"/>
      <c r="M52" s="5"/>
      <c r="N52" s="5"/>
      <c r="O52" s="9" t="str">
        <f t="shared" si="8"/>
        <v/>
      </c>
      <c r="P52" s="37"/>
    </row>
    <row r="53" spans="1:16" x14ac:dyDescent="0.35">
      <c r="A53" s="36">
        <v>49</v>
      </c>
      <c r="B53" s="34"/>
      <c r="C53" s="5"/>
      <c r="D53" s="5"/>
      <c r="E53" s="5"/>
      <c r="F53" s="5"/>
      <c r="G53" s="6"/>
      <c r="H53" s="6"/>
      <c r="I53" s="7" t="str">
        <f t="shared" si="6"/>
        <v/>
      </c>
      <c r="J53" s="8"/>
      <c r="K53" s="7" t="str">
        <f t="shared" si="7"/>
        <v/>
      </c>
      <c r="L53" s="5"/>
      <c r="M53" s="5"/>
      <c r="N53" s="5"/>
      <c r="O53" s="9" t="str">
        <f t="shared" si="8"/>
        <v/>
      </c>
      <c r="P53" s="37"/>
    </row>
    <row r="54" spans="1:16" x14ac:dyDescent="0.35">
      <c r="A54" s="42">
        <v>50</v>
      </c>
      <c r="B54" s="43"/>
      <c r="C54" s="44"/>
      <c r="D54" s="44"/>
      <c r="E54" s="44"/>
      <c r="F54" s="44"/>
      <c r="G54" s="45"/>
      <c r="H54" s="45"/>
      <c r="I54" s="46" t="str">
        <f t="shared" si="6"/>
        <v/>
      </c>
      <c r="J54" s="47"/>
      <c r="K54" s="46" t="str">
        <f t="shared" si="7"/>
        <v/>
      </c>
      <c r="L54" s="44"/>
      <c r="M54" s="44"/>
      <c r="N54" s="44"/>
      <c r="O54" s="48" t="str">
        <f t="shared" si="8"/>
        <v/>
      </c>
      <c r="P54" s="49"/>
    </row>
    <row r="56" spans="1:16" x14ac:dyDescent="0.35">
      <c r="A56" s="58" t="s">
        <v>32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</row>
    <row r="58" spans="1:16" x14ac:dyDescent="0.35">
      <c r="A58" s="10" t="s">
        <v>33</v>
      </c>
      <c r="G58" s="11" t="s">
        <v>34</v>
      </c>
      <c r="I58" s="12">
        <f>SUMIF(I5:I54,"&gt;0")</f>
        <v>0</v>
      </c>
      <c r="J58" s="12">
        <f>SUMIF(J5:J54,"&gt;0")</f>
        <v>0</v>
      </c>
      <c r="K58" s="12">
        <f>SUMIF(K5:K54,"&gt;0")</f>
        <v>0</v>
      </c>
    </row>
  </sheetData>
  <mergeCells count="3">
    <mergeCell ref="A56:P56"/>
    <mergeCell ref="A2:N2"/>
    <mergeCell ref="A1:N1"/>
  </mergeCells>
  <conditionalFormatting sqref="K5:K100">
    <cfRule type="cellIs" dxfId="12" priority="4" operator="greaterThan">
      <formula>0</formula>
    </cfRule>
    <cfRule type="cellIs" dxfId="11" priority="5" operator="lessThanOrEqual">
      <formula>0</formula>
    </cfRule>
  </conditionalFormatting>
  <conditionalFormatting sqref="O5:O100">
    <cfRule type="cellIs" dxfId="10" priority="1" operator="equal">
      <formula>"Payé"</formula>
    </cfRule>
    <cfRule type="cellIs" dxfId="9" priority="2" operator="equal">
      <formula>"Partiel"</formula>
    </cfRule>
    <cfRule type="cellIs" dxfId="8" priority="3" operator="equal">
      <formula>"En attente"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Listes!$B$3:$B$52</xm:f>
          </x14:formula1>
          <xm:sqref>C5:C100</xm:sqref>
        </x14:dataValidation>
        <x14:dataValidation type="list" allowBlank="1" xr:uid="{00000000-0002-0000-0100-000001000000}">
          <x14:formula1>
            <xm:f>Listes!$C$3:$C$21</xm:f>
          </x14:formula1>
          <xm:sqref>D5:D100</xm:sqref>
        </x14:dataValidation>
        <x14:dataValidation type="list" allowBlank="1" xr:uid="{00000000-0002-0000-0100-000002000000}">
          <x14:formula1>
            <xm:f>Listes!$E$3:$E$10</xm:f>
          </x14:formula1>
          <xm:sqref>L5:L100</xm:sqref>
        </x14:dataValidation>
        <x14:dataValidation type="list" allowBlank="1" xr:uid="{00000000-0002-0000-0100-000003000000}">
          <x14:formula1>
            <xm:f>Listes!$D$3:$D$15</xm:f>
          </x14:formula1>
          <xm:sqref>N5:N100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4"/>
  <sheetViews>
    <sheetView workbookViewId="0">
      <selection activeCell="C15" sqref="C15"/>
    </sheetView>
  </sheetViews>
  <sheetFormatPr baseColWidth="10" defaultColWidth="20.453125" defaultRowHeight="14.5" x14ac:dyDescent="0.35"/>
  <cols>
    <col min="1" max="1" width="13" customWidth="1"/>
    <col min="2" max="2" width="37.08984375" customWidth="1"/>
    <col min="4" max="6" width="20.453125" style="24"/>
  </cols>
  <sheetData>
    <row r="1" spans="1:8" ht="28" customHeight="1" x14ac:dyDescent="0.4">
      <c r="B1" s="56" t="s">
        <v>35</v>
      </c>
      <c r="C1" s="55"/>
      <c r="D1" s="55"/>
      <c r="E1" s="55"/>
      <c r="F1" s="55"/>
      <c r="G1" s="55"/>
      <c r="H1" s="55"/>
    </row>
    <row r="2" spans="1:8" hidden="1" x14ac:dyDescent="0.35">
      <c r="B2" s="54" t="s">
        <v>36</v>
      </c>
      <c r="C2" s="55"/>
      <c r="D2" s="55"/>
      <c r="E2" s="55"/>
      <c r="F2" s="55"/>
      <c r="G2" s="55"/>
      <c r="H2" s="55"/>
    </row>
    <row r="4" spans="1:8" x14ac:dyDescent="0.35">
      <c r="A4" s="19" t="s">
        <v>122</v>
      </c>
      <c r="B4" s="19" t="s">
        <v>18</v>
      </c>
      <c r="C4" s="19" t="s">
        <v>37</v>
      </c>
      <c r="D4" s="21" t="s">
        <v>2</v>
      </c>
      <c r="E4" s="21" t="s">
        <v>3</v>
      </c>
      <c r="F4" s="21" t="s">
        <v>4</v>
      </c>
      <c r="G4" s="19" t="s">
        <v>38</v>
      </c>
      <c r="H4" s="19" t="s">
        <v>39</v>
      </c>
    </row>
    <row r="5" spans="1:8" x14ac:dyDescent="0.35">
      <c r="A5" t="s">
        <v>123</v>
      </c>
      <c r="B5" s="13" t="s">
        <v>40</v>
      </c>
      <c r="C5" s="4">
        <f>COUNTIF(Paiements!$C$5:$C$54,B5)</f>
        <v>0</v>
      </c>
      <c r="D5" s="22">
        <f>SUMIF(Paiements!$C$5:$C$54,B5,Paiements!$I$5:$I$54)</f>
        <v>0</v>
      </c>
      <c r="E5" s="22">
        <f>SUMIF(Paiements!$C$5:$C$54,B5,Paiements!$J$5:$J$54)</f>
        <v>0</v>
      </c>
      <c r="F5" s="25">
        <f t="shared" ref="F5:F22" si="0">D5-E5</f>
        <v>0</v>
      </c>
      <c r="G5" s="4" t="str">
        <f t="shared" ref="G5:G22" si="1">IF(D5=0,"—",IF(F5&lt;=0,"Soldé",IF(E5=0,"Impayé","Partiel")))</f>
        <v>—</v>
      </c>
      <c r="H5" s="14" t="str">
        <f t="shared" ref="H5:H22" si="2">IF(D5=0,"",E5/D5)</f>
        <v/>
      </c>
    </row>
    <row r="6" spans="1:8" x14ac:dyDescent="0.35">
      <c r="A6" t="s">
        <v>124</v>
      </c>
      <c r="B6" s="13" t="s">
        <v>125</v>
      </c>
      <c r="C6" s="4">
        <f>COUNTIF(Paiements!$C$5:$C$54,B6)</f>
        <v>0</v>
      </c>
      <c r="D6" s="22">
        <f>SUMIF(Paiements!$C$5:$C$54,B6,Paiements!$I$5:$I$54)</f>
        <v>0</v>
      </c>
      <c r="E6" s="22">
        <f>SUMIF(Paiements!$C$5:$C$54,B6,Paiements!$J$5:$J$54)</f>
        <v>0</v>
      </c>
      <c r="F6" s="25">
        <f t="shared" si="0"/>
        <v>0</v>
      </c>
      <c r="G6" s="4" t="str">
        <f t="shared" si="1"/>
        <v>—</v>
      </c>
      <c r="H6" s="14" t="str">
        <f t="shared" si="2"/>
        <v/>
      </c>
    </row>
    <row r="7" spans="1:8" x14ac:dyDescent="0.35">
      <c r="A7" t="s">
        <v>126</v>
      </c>
      <c r="B7" s="13" t="s">
        <v>42</v>
      </c>
      <c r="C7" s="4">
        <f>COUNTIF(Paiements!$C$5:$C$54,B7)</f>
        <v>0</v>
      </c>
      <c r="D7" s="22">
        <f>SUMIF(Paiements!$C$5:$C$54,B7,Paiements!$I$5:$I$54)</f>
        <v>0</v>
      </c>
      <c r="E7" s="22">
        <f>SUMIF(Paiements!$C$5:$C$54,B7,Paiements!$J$5:$J$54)</f>
        <v>0</v>
      </c>
      <c r="F7" s="25">
        <f t="shared" si="0"/>
        <v>0</v>
      </c>
      <c r="G7" s="4" t="str">
        <f t="shared" si="1"/>
        <v>—</v>
      </c>
      <c r="H7" s="14" t="str">
        <f t="shared" si="2"/>
        <v/>
      </c>
    </row>
    <row r="8" spans="1:8" x14ac:dyDescent="0.35">
      <c r="A8" t="s">
        <v>127</v>
      </c>
      <c r="B8" s="13" t="s">
        <v>41</v>
      </c>
      <c r="C8" s="4">
        <f>COUNTIF(Paiements!$C$5:$C$54,B8)</f>
        <v>0</v>
      </c>
      <c r="D8" s="22">
        <f>SUMIF(Paiements!$C$5:$C$54,B8,Paiements!$I$5:$I$54)</f>
        <v>0</v>
      </c>
      <c r="E8" s="22">
        <f>SUMIF(Paiements!$C$5:$C$54,B8,Paiements!$J$5:$J$54)</f>
        <v>0</v>
      </c>
      <c r="F8" s="25">
        <f t="shared" si="0"/>
        <v>0</v>
      </c>
      <c r="G8" s="4" t="str">
        <f t="shared" si="1"/>
        <v>—</v>
      </c>
      <c r="H8" s="14" t="str">
        <f t="shared" si="2"/>
        <v/>
      </c>
    </row>
    <row r="9" spans="1:8" x14ac:dyDescent="0.35">
      <c r="A9" t="s">
        <v>128</v>
      </c>
      <c r="B9" s="13" t="s">
        <v>43</v>
      </c>
      <c r="C9" s="4">
        <f>COUNTIF(Paiements!$C$5:$C$54,B9)</f>
        <v>0</v>
      </c>
      <c r="D9" s="22">
        <f>SUMIF(Paiements!$C$5:$C$54,B9,Paiements!$I$5:$I$54)</f>
        <v>0</v>
      </c>
      <c r="E9" s="22">
        <f>SUMIF(Paiements!$C$5:$C$54,B9,Paiements!$J$5:$J$54)</f>
        <v>0</v>
      </c>
      <c r="F9" s="25">
        <f t="shared" si="0"/>
        <v>0</v>
      </c>
      <c r="G9" s="4" t="str">
        <f t="shared" si="1"/>
        <v>—</v>
      </c>
      <c r="H9" s="14" t="str">
        <f t="shared" si="2"/>
        <v/>
      </c>
    </row>
    <row r="10" spans="1:8" x14ac:dyDescent="0.35">
      <c r="A10" t="s">
        <v>129</v>
      </c>
      <c r="B10" s="13" t="s">
        <v>44</v>
      </c>
      <c r="C10" s="4">
        <f>COUNTIF(Paiements!$C$5:$C$54,B10)</f>
        <v>0</v>
      </c>
      <c r="D10" s="22">
        <f>SUMIF(Paiements!$C$5:$C$54,B10,Paiements!$I$5:$I$54)</f>
        <v>0</v>
      </c>
      <c r="E10" s="22">
        <f>SUMIF(Paiements!$C$5:$C$54,B10,Paiements!$J$5:$J$54)</f>
        <v>0</v>
      </c>
      <c r="F10" s="25">
        <f t="shared" si="0"/>
        <v>0</v>
      </c>
      <c r="G10" s="4" t="str">
        <f t="shared" si="1"/>
        <v>—</v>
      </c>
      <c r="H10" s="14" t="str">
        <f t="shared" si="2"/>
        <v/>
      </c>
    </row>
    <row r="11" spans="1:8" x14ac:dyDescent="0.35">
      <c r="A11" t="s">
        <v>130</v>
      </c>
      <c r="B11" s="13" t="s">
        <v>131</v>
      </c>
      <c r="C11" s="4">
        <f>COUNTIF(Paiements!$C$5:$C$54,B11)</f>
        <v>0</v>
      </c>
      <c r="D11" s="22">
        <f>SUMIF(Paiements!$C$5:$C$54,B11,Paiements!$I$5:$I$54)</f>
        <v>0</v>
      </c>
      <c r="E11" s="22">
        <f>SUMIF(Paiements!$C$5:$C$54,B11,Paiements!$J$5:$J$54)</f>
        <v>0</v>
      </c>
      <c r="F11" s="25">
        <f t="shared" si="0"/>
        <v>0</v>
      </c>
      <c r="G11" s="4" t="str">
        <f t="shared" si="1"/>
        <v>—</v>
      </c>
      <c r="H11" s="14" t="str">
        <f t="shared" si="2"/>
        <v/>
      </c>
    </row>
    <row r="12" spans="1:8" x14ac:dyDescent="0.35">
      <c r="A12" t="s">
        <v>132</v>
      </c>
      <c r="B12" s="13" t="s">
        <v>133</v>
      </c>
      <c r="C12" s="4">
        <f>COUNTIF(Paiements!$C$5:$C$54,B12)</f>
        <v>0</v>
      </c>
      <c r="D12" s="22">
        <f>SUMIF(Paiements!$C$5:$C$54,B12,Paiements!$I$5:$I$54)</f>
        <v>0</v>
      </c>
      <c r="E12" s="22">
        <f>SUMIF(Paiements!$C$5:$C$54,B12,Paiements!$J$5:$J$54)</f>
        <v>0</v>
      </c>
      <c r="F12" s="25">
        <f t="shared" si="0"/>
        <v>0</v>
      </c>
      <c r="G12" s="4" t="str">
        <f t="shared" si="1"/>
        <v>—</v>
      </c>
      <c r="H12" s="14" t="str">
        <f t="shared" si="2"/>
        <v/>
      </c>
    </row>
    <row r="13" spans="1:8" x14ac:dyDescent="0.35">
      <c r="A13" t="s">
        <v>134</v>
      </c>
      <c r="B13" s="13" t="s">
        <v>135</v>
      </c>
      <c r="C13" s="4">
        <f>COUNTIF(Paiements!$C$5:$C$54,B13)</f>
        <v>0</v>
      </c>
      <c r="D13" s="22">
        <f>SUMIF(Paiements!$C$5:$C$54,B13,Paiements!$I$5:$I$54)</f>
        <v>0</v>
      </c>
      <c r="E13" s="22">
        <f>SUMIF(Paiements!$C$5:$C$54,B13,Paiements!$J$5:$J$54)</f>
        <v>0</v>
      </c>
      <c r="F13" s="25">
        <f t="shared" si="0"/>
        <v>0</v>
      </c>
      <c r="G13" s="4" t="str">
        <f t="shared" si="1"/>
        <v>—</v>
      </c>
      <c r="H13" s="14" t="str">
        <f t="shared" si="2"/>
        <v/>
      </c>
    </row>
    <row r="14" spans="1:8" x14ac:dyDescent="0.35">
      <c r="A14" t="s">
        <v>136</v>
      </c>
      <c r="B14" s="13" t="s">
        <v>137</v>
      </c>
      <c r="C14" s="4">
        <f>COUNTIF(Paiements!$C$5:$C$54,B14)</f>
        <v>0</v>
      </c>
      <c r="D14" s="22">
        <f>SUMIF(Paiements!$C$5:$C$54,B14,Paiements!$I$5:$I$54)</f>
        <v>0</v>
      </c>
      <c r="E14" s="22">
        <f>SUMIF(Paiements!$C$5:$C$54,B14,Paiements!$J$5:$J$54)</f>
        <v>0</v>
      </c>
      <c r="F14" s="25">
        <f t="shared" si="0"/>
        <v>0</v>
      </c>
      <c r="G14" s="4" t="str">
        <f t="shared" si="1"/>
        <v>—</v>
      </c>
      <c r="H14" s="14" t="str">
        <f t="shared" si="2"/>
        <v/>
      </c>
    </row>
    <row r="15" spans="1:8" x14ac:dyDescent="0.35">
      <c r="A15" t="s">
        <v>138</v>
      </c>
      <c r="B15" s="13" t="s">
        <v>139</v>
      </c>
      <c r="C15" s="4">
        <f>COUNTIF(Paiements!$C$5:$C$54,B15)</f>
        <v>0</v>
      </c>
      <c r="D15" s="22">
        <f>SUMIF(Paiements!$C$5:$C$54,B15,Paiements!$I$5:$I$54)</f>
        <v>0</v>
      </c>
      <c r="E15" s="22">
        <f>SUMIF(Paiements!$C$5:$C$54,B15,Paiements!$J$5:$J$54)</f>
        <v>0</v>
      </c>
      <c r="F15" s="25">
        <f t="shared" si="0"/>
        <v>0</v>
      </c>
      <c r="G15" s="4" t="str">
        <f t="shared" si="1"/>
        <v>—</v>
      </c>
      <c r="H15" s="14" t="str">
        <f t="shared" si="2"/>
        <v/>
      </c>
    </row>
    <row r="16" spans="1:8" x14ac:dyDescent="0.35">
      <c r="A16" t="s">
        <v>140</v>
      </c>
      <c r="B16" s="13" t="s">
        <v>141</v>
      </c>
      <c r="C16" s="4">
        <f>COUNTIF(Paiements!$C$5:$C$54,B16)</f>
        <v>0</v>
      </c>
      <c r="D16" s="22">
        <f>SUMIF(Paiements!$C$5:$C$54,B16,Paiements!$I$5:$I$54)</f>
        <v>0</v>
      </c>
      <c r="E16" s="22">
        <f>SUMIF(Paiements!$C$5:$C$54,B16,Paiements!$J$5:$J$54)</f>
        <v>0</v>
      </c>
      <c r="F16" s="25">
        <f t="shared" si="0"/>
        <v>0</v>
      </c>
      <c r="G16" s="4" t="str">
        <f t="shared" si="1"/>
        <v>—</v>
      </c>
      <c r="H16" s="14" t="str">
        <f t="shared" si="2"/>
        <v/>
      </c>
    </row>
    <row r="17" spans="1:8" x14ac:dyDescent="0.35">
      <c r="A17" t="s">
        <v>142</v>
      </c>
      <c r="B17" s="13" t="s">
        <v>143</v>
      </c>
      <c r="C17" s="4">
        <f>COUNTIF(Paiements!$C$5:$C$54,B17)</f>
        <v>0</v>
      </c>
      <c r="D17" s="22">
        <f>SUMIF(Paiements!$C$5:$C$54,B17,Paiements!$I$5:$I$54)</f>
        <v>0</v>
      </c>
      <c r="E17" s="22">
        <f>SUMIF(Paiements!$C$5:$C$54,B17,Paiements!$J$5:$J$54)</f>
        <v>0</v>
      </c>
      <c r="F17" s="25">
        <f t="shared" si="0"/>
        <v>0</v>
      </c>
      <c r="G17" s="4" t="str">
        <f t="shared" si="1"/>
        <v>—</v>
      </c>
      <c r="H17" s="14" t="str">
        <f t="shared" si="2"/>
        <v/>
      </c>
    </row>
    <row r="18" spans="1:8" x14ac:dyDescent="0.35">
      <c r="A18" t="s">
        <v>144</v>
      </c>
      <c r="B18" s="13" t="s">
        <v>145</v>
      </c>
      <c r="C18" s="4">
        <f>COUNTIF(Paiements!$C$5:$C$54,B18)</f>
        <v>0</v>
      </c>
      <c r="D18" s="22">
        <f>SUMIF(Paiements!$C$5:$C$54,B18,Paiements!$I$5:$I$54)</f>
        <v>0</v>
      </c>
      <c r="E18" s="22">
        <f>SUMIF(Paiements!$C$5:$C$54,B18,Paiements!$J$5:$J$54)</f>
        <v>0</v>
      </c>
      <c r="F18" s="25">
        <f t="shared" si="0"/>
        <v>0</v>
      </c>
      <c r="G18" s="4" t="str">
        <f t="shared" si="1"/>
        <v>—</v>
      </c>
      <c r="H18" s="14" t="str">
        <f t="shared" si="2"/>
        <v/>
      </c>
    </row>
    <row r="19" spans="1:8" x14ac:dyDescent="0.35">
      <c r="A19" t="s">
        <v>146</v>
      </c>
      <c r="B19" s="13" t="s">
        <v>45</v>
      </c>
      <c r="C19" s="4">
        <f>COUNTIF(Paiements!$C$5:$C$54,B19)</f>
        <v>0</v>
      </c>
      <c r="D19" s="22">
        <f>SUMIF(Paiements!$C$5:$C$54,B19,Paiements!$I$5:$I$54)</f>
        <v>0</v>
      </c>
      <c r="E19" s="22">
        <f>SUMIF(Paiements!$C$5:$C$54,B19,Paiements!$J$5:$J$54)</f>
        <v>0</v>
      </c>
      <c r="F19" s="25">
        <f t="shared" si="0"/>
        <v>0</v>
      </c>
      <c r="G19" s="4" t="str">
        <f t="shared" si="1"/>
        <v>—</v>
      </c>
      <c r="H19" s="14" t="str">
        <f t="shared" si="2"/>
        <v/>
      </c>
    </row>
    <row r="20" spans="1:8" x14ac:dyDescent="0.35">
      <c r="A20" t="s">
        <v>147</v>
      </c>
      <c r="B20" s="13" t="s">
        <v>148</v>
      </c>
      <c r="C20" s="4">
        <f>COUNTIF(Paiements!$C$5:$C$54,B20)</f>
        <v>0</v>
      </c>
      <c r="D20" s="22">
        <f>SUMIF(Paiements!$C$5:$C$54,B20,Paiements!$I$5:$I$54)</f>
        <v>0</v>
      </c>
      <c r="E20" s="22">
        <f>SUMIF(Paiements!$C$5:$C$54,B20,Paiements!$J$5:$J$54)</f>
        <v>0</v>
      </c>
      <c r="F20" s="25">
        <f t="shared" si="0"/>
        <v>0</v>
      </c>
      <c r="G20" s="4" t="str">
        <f t="shared" si="1"/>
        <v>—</v>
      </c>
      <c r="H20" s="14" t="str">
        <f t="shared" si="2"/>
        <v/>
      </c>
    </row>
    <row r="21" spans="1:8" x14ac:dyDescent="0.35">
      <c r="A21" t="s">
        <v>149</v>
      </c>
      <c r="B21" s="13" t="s">
        <v>150</v>
      </c>
      <c r="C21" s="4">
        <f>COUNTIF(Paiements!$C$5:$C$54,B21)</f>
        <v>0</v>
      </c>
      <c r="D21" s="22">
        <f>SUMIF(Paiements!$C$5:$C$54,B21,Paiements!$I$5:$I$54)</f>
        <v>0</v>
      </c>
      <c r="E21" s="22">
        <f>SUMIF(Paiements!$C$5:$C$54,B21,Paiements!$J$5:$J$54)</f>
        <v>0</v>
      </c>
      <c r="F21" s="25">
        <f t="shared" si="0"/>
        <v>0</v>
      </c>
      <c r="G21" s="4" t="str">
        <f t="shared" si="1"/>
        <v>—</v>
      </c>
      <c r="H21" s="14" t="str">
        <f t="shared" si="2"/>
        <v/>
      </c>
    </row>
    <row r="22" spans="1:8" x14ac:dyDescent="0.35">
      <c r="A22" t="s">
        <v>151</v>
      </c>
      <c r="B22" s="13" t="s">
        <v>152</v>
      </c>
      <c r="C22" s="4">
        <f>COUNTIF(Paiements!$C$5:$C$54,B22)</f>
        <v>0</v>
      </c>
      <c r="D22" s="22">
        <f>SUMIF(Paiements!$C$5:$C$54,B22,Paiements!$I$5:$I$54)</f>
        <v>0</v>
      </c>
      <c r="E22" s="22">
        <f>SUMIF(Paiements!$C$5:$C$54,B22,Paiements!$J$5:$J$54)</f>
        <v>0</v>
      </c>
      <c r="F22" s="25">
        <f t="shared" si="0"/>
        <v>0</v>
      </c>
      <c r="G22" s="4" t="str">
        <f t="shared" si="1"/>
        <v>—</v>
      </c>
      <c r="H22" s="14" t="str">
        <f t="shared" si="2"/>
        <v/>
      </c>
    </row>
    <row r="23" spans="1:8" x14ac:dyDescent="0.35">
      <c r="A23" t="s">
        <v>153</v>
      </c>
      <c r="B23" s="59" t="s">
        <v>154</v>
      </c>
      <c r="C23" s="4">
        <f>COUNTIF(Paiements!$C$5:$C$54,B23)</f>
        <v>0</v>
      </c>
      <c r="D23" s="22">
        <f>SUMIF(Paiements!$C$5:$C$54,B23,Paiements!$I$5:$I$54)</f>
        <v>0</v>
      </c>
      <c r="E23" s="22">
        <f>SUMIF(Paiements!$C$5:$C$54,B23,Paiements!$J$5:$J$54)</f>
        <v>0</v>
      </c>
      <c r="F23" s="25">
        <f t="shared" ref="F23:F81" si="3">D23-E23</f>
        <v>0</v>
      </c>
      <c r="G23" s="4" t="str">
        <f t="shared" ref="G23:G81" si="4">IF(D23=0,"—",IF(F23&lt;=0,"Soldé",IF(E23=0,"Impayé","Partiel")))</f>
        <v>—</v>
      </c>
      <c r="H23" s="14" t="str">
        <f t="shared" ref="H23:H81" si="5">IF(D23=0,"",E23/D23)</f>
        <v/>
      </c>
    </row>
    <row r="24" spans="1:8" x14ac:dyDescent="0.35">
      <c r="A24" t="s">
        <v>155</v>
      </c>
      <c r="B24" s="59" t="s">
        <v>156</v>
      </c>
      <c r="C24" s="4">
        <f>COUNTIF(Paiements!$C$5:$C$54,B24)</f>
        <v>0</v>
      </c>
      <c r="D24" s="22">
        <f>SUMIF(Paiements!$C$5:$C$54,B24,Paiements!$I$5:$I$54)</f>
        <v>0</v>
      </c>
      <c r="E24" s="22">
        <f>SUMIF(Paiements!$C$5:$C$54,B24,Paiements!$J$5:$J$54)</f>
        <v>0</v>
      </c>
      <c r="F24" s="25">
        <f t="shared" si="3"/>
        <v>0</v>
      </c>
      <c r="G24" s="4" t="str">
        <f t="shared" si="4"/>
        <v>—</v>
      </c>
      <c r="H24" s="14" t="str">
        <f t="shared" si="5"/>
        <v/>
      </c>
    </row>
    <row r="25" spans="1:8" x14ac:dyDescent="0.35">
      <c r="A25" t="s">
        <v>157</v>
      </c>
      <c r="B25" s="59" t="s">
        <v>158</v>
      </c>
      <c r="C25" s="4">
        <f>COUNTIF(Paiements!$C$5:$C$54,B25)</f>
        <v>0</v>
      </c>
      <c r="D25" s="22">
        <f>SUMIF(Paiements!$C$5:$C$54,B25,Paiements!$I$5:$I$54)</f>
        <v>0</v>
      </c>
      <c r="E25" s="22">
        <f>SUMIF(Paiements!$C$5:$C$54,B25,Paiements!$J$5:$J$54)</f>
        <v>0</v>
      </c>
      <c r="F25" s="25">
        <f t="shared" si="3"/>
        <v>0</v>
      </c>
      <c r="G25" s="4" t="str">
        <f t="shared" si="4"/>
        <v>—</v>
      </c>
      <c r="H25" s="14" t="str">
        <f t="shared" si="5"/>
        <v/>
      </c>
    </row>
    <row r="26" spans="1:8" x14ac:dyDescent="0.35">
      <c r="A26" t="s">
        <v>159</v>
      </c>
      <c r="B26" s="59" t="s">
        <v>160</v>
      </c>
      <c r="C26" s="4">
        <f>COUNTIF(Paiements!$C$5:$C$54,B26)</f>
        <v>0</v>
      </c>
      <c r="D26" s="22">
        <f>SUMIF(Paiements!$C$5:$C$54,B26,Paiements!$I$5:$I$54)</f>
        <v>0</v>
      </c>
      <c r="E26" s="22">
        <f>SUMIF(Paiements!$C$5:$C$54,B26,Paiements!$J$5:$J$54)</f>
        <v>0</v>
      </c>
      <c r="F26" s="25">
        <f t="shared" si="3"/>
        <v>0</v>
      </c>
      <c r="G26" s="4" t="str">
        <f t="shared" si="4"/>
        <v>—</v>
      </c>
      <c r="H26" s="14" t="str">
        <f t="shared" si="5"/>
        <v/>
      </c>
    </row>
    <row r="27" spans="1:8" x14ac:dyDescent="0.35">
      <c r="A27" t="s">
        <v>161</v>
      </c>
      <c r="B27" s="59" t="s">
        <v>162</v>
      </c>
      <c r="C27" s="4">
        <f>COUNTIF(Paiements!$C$5:$C$54,B27)</f>
        <v>0</v>
      </c>
      <c r="D27" s="22">
        <f>SUMIF(Paiements!$C$5:$C$54,B27,Paiements!$I$5:$I$54)</f>
        <v>0</v>
      </c>
      <c r="E27" s="22">
        <f>SUMIF(Paiements!$C$5:$C$54,B27,Paiements!$J$5:$J$54)</f>
        <v>0</v>
      </c>
      <c r="F27" s="25">
        <f t="shared" si="3"/>
        <v>0</v>
      </c>
      <c r="G27" s="4" t="str">
        <f t="shared" si="4"/>
        <v>—</v>
      </c>
      <c r="H27" s="14" t="str">
        <f t="shared" si="5"/>
        <v/>
      </c>
    </row>
    <row r="28" spans="1:8" x14ac:dyDescent="0.35">
      <c r="A28" t="s">
        <v>163</v>
      </c>
      <c r="B28" s="59" t="s">
        <v>164</v>
      </c>
      <c r="C28" s="4">
        <f>COUNTIF(Paiements!$C$5:$C$54,B28)</f>
        <v>0</v>
      </c>
      <c r="D28" s="22">
        <f>SUMIF(Paiements!$C$5:$C$54,B28,Paiements!$I$5:$I$54)</f>
        <v>0</v>
      </c>
      <c r="E28" s="22">
        <f>SUMIF(Paiements!$C$5:$C$54,B28,Paiements!$J$5:$J$54)</f>
        <v>0</v>
      </c>
      <c r="F28" s="25">
        <f t="shared" si="3"/>
        <v>0</v>
      </c>
      <c r="G28" s="4" t="str">
        <f t="shared" si="4"/>
        <v>—</v>
      </c>
      <c r="H28" s="14" t="str">
        <f t="shared" si="5"/>
        <v/>
      </c>
    </row>
    <row r="29" spans="1:8" x14ac:dyDescent="0.35">
      <c r="A29" t="s">
        <v>165</v>
      </c>
      <c r="B29" s="59" t="s">
        <v>166</v>
      </c>
      <c r="C29" s="4">
        <f>COUNTIF(Paiements!$C$5:$C$54,B29)</f>
        <v>0</v>
      </c>
      <c r="D29" s="22">
        <f>SUMIF(Paiements!$C$5:$C$54,B29,Paiements!$I$5:$I$54)</f>
        <v>0</v>
      </c>
      <c r="E29" s="22">
        <f>SUMIF(Paiements!$C$5:$C$54,B29,Paiements!$J$5:$J$54)</f>
        <v>0</v>
      </c>
      <c r="F29" s="25">
        <f t="shared" si="3"/>
        <v>0</v>
      </c>
      <c r="G29" s="4" t="str">
        <f t="shared" si="4"/>
        <v>—</v>
      </c>
      <c r="H29" s="14" t="str">
        <f t="shared" si="5"/>
        <v/>
      </c>
    </row>
    <row r="30" spans="1:8" x14ac:dyDescent="0.35">
      <c r="A30" t="s">
        <v>167</v>
      </c>
      <c r="B30" s="59" t="s">
        <v>168</v>
      </c>
      <c r="C30" s="4">
        <f>COUNTIF(Paiements!$C$5:$C$54,B30)</f>
        <v>0</v>
      </c>
      <c r="D30" s="22">
        <f>SUMIF(Paiements!$C$5:$C$54,B30,Paiements!$I$5:$I$54)</f>
        <v>0</v>
      </c>
      <c r="E30" s="22">
        <f>SUMIF(Paiements!$C$5:$C$54,B30,Paiements!$J$5:$J$54)</f>
        <v>0</v>
      </c>
      <c r="F30" s="25">
        <f t="shared" si="3"/>
        <v>0</v>
      </c>
      <c r="G30" s="4" t="str">
        <f t="shared" si="4"/>
        <v>—</v>
      </c>
      <c r="H30" s="14" t="str">
        <f t="shared" si="5"/>
        <v/>
      </c>
    </row>
    <row r="31" spans="1:8" x14ac:dyDescent="0.35">
      <c r="A31" t="s">
        <v>169</v>
      </c>
      <c r="B31" s="59" t="s">
        <v>170</v>
      </c>
      <c r="C31" s="4">
        <f>COUNTIF(Paiements!$C$5:$C$54,B31)</f>
        <v>0</v>
      </c>
      <c r="D31" s="22">
        <f>SUMIF(Paiements!$C$5:$C$54,B31,Paiements!$I$5:$I$54)</f>
        <v>0</v>
      </c>
      <c r="E31" s="22">
        <f>SUMIF(Paiements!$C$5:$C$54,B31,Paiements!$J$5:$J$54)</f>
        <v>0</v>
      </c>
      <c r="F31" s="25">
        <f t="shared" si="3"/>
        <v>0</v>
      </c>
      <c r="G31" s="4" t="str">
        <f t="shared" si="4"/>
        <v>—</v>
      </c>
      <c r="H31" s="14" t="str">
        <f t="shared" si="5"/>
        <v/>
      </c>
    </row>
    <row r="32" spans="1:8" x14ac:dyDescent="0.35">
      <c r="A32" t="s">
        <v>171</v>
      </c>
      <c r="B32" s="59" t="s">
        <v>172</v>
      </c>
      <c r="C32" s="4">
        <f>COUNTIF(Paiements!$C$5:$C$54,B32)</f>
        <v>0</v>
      </c>
      <c r="D32" s="22">
        <f>SUMIF(Paiements!$C$5:$C$54,B32,Paiements!$I$5:$I$54)</f>
        <v>0</v>
      </c>
      <c r="E32" s="22">
        <f>SUMIF(Paiements!$C$5:$C$54,B32,Paiements!$J$5:$J$54)</f>
        <v>0</v>
      </c>
      <c r="F32" s="25">
        <f t="shared" si="3"/>
        <v>0</v>
      </c>
      <c r="G32" s="4" t="str">
        <f t="shared" si="4"/>
        <v>—</v>
      </c>
      <c r="H32" s="14" t="str">
        <f t="shared" si="5"/>
        <v/>
      </c>
    </row>
    <row r="33" spans="1:8" x14ac:dyDescent="0.35">
      <c r="A33" t="s">
        <v>173</v>
      </c>
      <c r="B33" s="59" t="s">
        <v>174</v>
      </c>
      <c r="C33" s="4">
        <f>COUNTIF(Paiements!$C$5:$C$54,B33)</f>
        <v>0</v>
      </c>
      <c r="D33" s="22">
        <f>SUMIF(Paiements!$C$5:$C$54,B33,Paiements!$I$5:$I$54)</f>
        <v>0</v>
      </c>
      <c r="E33" s="22">
        <f>SUMIF(Paiements!$C$5:$C$54,B33,Paiements!$J$5:$J$54)</f>
        <v>0</v>
      </c>
      <c r="F33" s="25">
        <f t="shared" si="3"/>
        <v>0</v>
      </c>
      <c r="G33" s="4" t="str">
        <f t="shared" si="4"/>
        <v>—</v>
      </c>
      <c r="H33" s="14" t="str">
        <f t="shared" si="5"/>
        <v/>
      </c>
    </row>
    <row r="34" spans="1:8" x14ac:dyDescent="0.35">
      <c r="A34" t="s">
        <v>175</v>
      </c>
      <c r="B34" s="59" t="s">
        <v>176</v>
      </c>
      <c r="C34" s="4">
        <f>COUNTIF(Paiements!$C$5:$C$54,B34)</f>
        <v>0</v>
      </c>
      <c r="D34" s="22">
        <f>SUMIF(Paiements!$C$5:$C$54,B34,Paiements!$I$5:$I$54)</f>
        <v>0</v>
      </c>
      <c r="E34" s="22">
        <f>SUMIF(Paiements!$C$5:$C$54,B34,Paiements!$J$5:$J$54)</f>
        <v>0</v>
      </c>
      <c r="F34" s="25">
        <f t="shared" si="3"/>
        <v>0</v>
      </c>
      <c r="G34" s="4" t="str">
        <f t="shared" si="4"/>
        <v>—</v>
      </c>
      <c r="H34" s="14" t="str">
        <f t="shared" si="5"/>
        <v/>
      </c>
    </row>
    <row r="35" spans="1:8" x14ac:dyDescent="0.35">
      <c r="A35" t="s">
        <v>177</v>
      </c>
      <c r="B35" s="59" t="s">
        <v>178</v>
      </c>
      <c r="C35" s="4">
        <f>COUNTIF(Paiements!$C$5:$C$54,B35)</f>
        <v>0</v>
      </c>
      <c r="D35" s="22">
        <f>SUMIF(Paiements!$C$5:$C$54,B35,Paiements!$I$5:$I$54)</f>
        <v>0</v>
      </c>
      <c r="E35" s="22">
        <f>SUMIF(Paiements!$C$5:$C$54,B35,Paiements!$J$5:$J$54)</f>
        <v>0</v>
      </c>
      <c r="F35" s="25">
        <f t="shared" si="3"/>
        <v>0</v>
      </c>
      <c r="G35" s="4" t="str">
        <f t="shared" si="4"/>
        <v>—</v>
      </c>
      <c r="H35" s="14" t="str">
        <f t="shared" si="5"/>
        <v/>
      </c>
    </row>
    <row r="36" spans="1:8" x14ac:dyDescent="0.35">
      <c r="A36" t="s">
        <v>179</v>
      </c>
      <c r="B36" s="59" t="s">
        <v>180</v>
      </c>
      <c r="C36" s="4">
        <f>COUNTIF(Paiements!$C$5:$C$54,B36)</f>
        <v>0</v>
      </c>
      <c r="D36" s="22">
        <f>SUMIF(Paiements!$C$5:$C$54,B36,Paiements!$I$5:$I$54)</f>
        <v>0</v>
      </c>
      <c r="E36" s="22">
        <f>SUMIF(Paiements!$C$5:$C$54,B36,Paiements!$J$5:$J$54)</f>
        <v>0</v>
      </c>
      <c r="F36" s="25">
        <f t="shared" si="3"/>
        <v>0</v>
      </c>
      <c r="G36" s="4" t="str">
        <f t="shared" si="4"/>
        <v>—</v>
      </c>
      <c r="H36" s="14" t="str">
        <f t="shared" si="5"/>
        <v/>
      </c>
    </row>
    <row r="37" spans="1:8" x14ac:dyDescent="0.35">
      <c r="A37" t="s">
        <v>181</v>
      </c>
      <c r="B37" s="59" t="s">
        <v>182</v>
      </c>
      <c r="C37" s="4">
        <f>COUNTIF(Paiements!$C$5:$C$54,B37)</f>
        <v>0</v>
      </c>
      <c r="D37" s="22">
        <f>SUMIF(Paiements!$C$5:$C$54,B37,Paiements!$I$5:$I$54)</f>
        <v>0</v>
      </c>
      <c r="E37" s="22">
        <f>SUMIF(Paiements!$C$5:$C$54,B37,Paiements!$J$5:$J$54)</f>
        <v>0</v>
      </c>
      <c r="F37" s="25">
        <f t="shared" si="3"/>
        <v>0</v>
      </c>
      <c r="G37" s="4" t="str">
        <f t="shared" si="4"/>
        <v>—</v>
      </c>
      <c r="H37" s="14" t="str">
        <f t="shared" si="5"/>
        <v/>
      </c>
    </row>
    <row r="38" spans="1:8" x14ac:dyDescent="0.35">
      <c r="A38" t="s">
        <v>183</v>
      </c>
      <c r="B38" s="59" t="s">
        <v>184</v>
      </c>
      <c r="C38" s="4">
        <f>COUNTIF(Paiements!$C$5:$C$54,B38)</f>
        <v>0</v>
      </c>
      <c r="D38" s="22">
        <f>SUMIF(Paiements!$C$5:$C$54,B38,Paiements!$I$5:$I$54)</f>
        <v>0</v>
      </c>
      <c r="E38" s="22">
        <f>SUMIF(Paiements!$C$5:$C$54,B38,Paiements!$J$5:$J$54)</f>
        <v>0</v>
      </c>
      <c r="F38" s="25">
        <f t="shared" si="3"/>
        <v>0</v>
      </c>
      <c r="G38" s="4" t="str">
        <f t="shared" si="4"/>
        <v>—</v>
      </c>
      <c r="H38" s="14" t="str">
        <f t="shared" si="5"/>
        <v/>
      </c>
    </row>
    <row r="39" spans="1:8" x14ac:dyDescent="0.35">
      <c r="A39" t="s">
        <v>185</v>
      </c>
      <c r="B39" s="59" t="s">
        <v>186</v>
      </c>
      <c r="C39" s="4">
        <f>COUNTIF(Paiements!$C$5:$C$54,B39)</f>
        <v>0</v>
      </c>
      <c r="D39" s="22">
        <f>SUMIF(Paiements!$C$5:$C$54,B39,Paiements!$I$5:$I$54)</f>
        <v>0</v>
      </c>
      <c r="E39" s="22">
        <f>SUMIF(Paiements!$C$5:$C$54,B39,Paiements!$J$5:$J$54)</f>
        <v>0</v>
      </c>
      <c r="F39" s="25">
        <f t="shared" si="3"/>
        <v>0</v>
      </c>
      <c r="G39" s="4" t="str">
        <f t="shared" si="4"/>
        <v>—</v>
      </c>
      <c r="H39" s="14" t="str">
        <f t="shared" si="5"/>
        <v/>
      </c>
    </row>
    <row r="40" spans="1:8" x14ac:dyDescent="0.35">
      <c r="A40" t="s">
        <v>187</v>
      </c>
      <c r="B40" s="59" t="s">
        <v>188</v>
      </c>
      <c r="C40" s="4">
        <f>COUNTIF(Paiements!$C$5:$C$54,B40)</f>
        <v>0</v>
      </c>
      <c r="D40" s="22">
        <f>SUMIF(Paiements!$C$5:$C$54,B40,Paiements!$I$5:$I$54)</f>
        <v>0</v>
      </c>
      <c r="E40" s="22">
        <f>SUMIF(Paiements!$C$5:$C$54,B40,Paiements!$J$5:$J$54)</f>
        <v>0</v>
      </c>
      <c r="F40" s="25">
        <f t="shared" si="3"/>
        <v>0</v>
      </c>
      <c r="G40" s="4" t="str">
        <f t="shared" si="4"/>
        <v>—</v>
      </c>
      <c r="H40" s="14" t="str">
        <f t="shared" si="5"/>
        <v/>
      </c>
    </row>
    <row r="41" spans="1:8" x14ac:dyDescent="0.35">
      <c r="A41" t="s">
        <v>189</v>
      </c>
      <c r="B41" s="59" t="s">
        <v>190</v>
      </c>
      <c r="C41" s="4">
        <f>COUNTIF(Paiements!$C$5:$C$54,B41)</f>
        <v>0</v>
      </c>
      <c r="D41" s="22">
        <f>SUMIF(Paiements!$C$5:$C$54,B41,Paiements!$I$5:$I$54)</f>
        <v>0</v>
      </c>
      <c r="E41" s="22">
        <f>SUMIF(Paiements!$C$5:$C$54,B41,Paiements!$J$5:$J$54)</f>
        <v>0</v>
      </c>
      <c r="F41" s="25">
        <f t="shared" si="3"/>
        <v>0</v>
      </c>
      <c r="G41" s="4" t="str">
        <f t="shared" si="4"/>
        <v>—</v>
      </c>
      <c r="H41" s="14" t="str">
        <f t="shared" si="5"/>
        <v/>
      </c>
    </row>
    <row r="42" spans="1:8" x14ac:dyDescent="0.35">
      <c r="A42" t="s">
        <v>191</v>
      </c>
      <c r="B42" s="59" t="s">
        <v>192</v>
      </c>
      <c r="C42" s="4">
        <f>COUNTIF(Paiements!$C$5:$C$54,B42)</f>
        <v>0</v>
      </c>
      <c r="D42" s="22">
        <f>SUMIF(Paiements!$C$5:$C$54,B42,Paiements!$I$5:$I$54)</f>
        <v>0</v>
      </c>
      <c r="E42" s="22">
        <f>SUMIF(Paiements!$C$5:$C$54,B42,Paiements!$J$5:$J$54)</f>
        <v>0</v>
      </c>
      <c r="F42" s="25">
        <f t="shared" si="3"/>
        <v>0</v>
      </c>
      <c r="G42" s="4" t="str">
        <f t="shared" si="4"/>
        <v>—</v>
      </c>
      <c r="H42" s="14" t="str">
        <f t="shared" si="5"/>
        <v/>
      </c>
    </row>
    <row r="43" spans="1:8" x14ac:dyDescent="0.35">
      <c r="A43" t="s">
        <v>193</v>
      </c>
      <c r="B43" s="59" t="s">
        <v>194</v>
      </c>
      <c r="C43" s="4">
        <f>COUNTIF(Paiements!$C$5:$C$54,B43)</f>
        <v>0</v>
      </c>
      <c r="D43" s="22">
        <f>SUMIF(Paiements!$C$5:$C$54,B43,Paiements!$I$5:$I$54)</f>
        <v>0</v>
      </c>
      <c r="E43" s="22">
        <f>SUMIF(Paiements!$C$5:$C$54,B43,Paiements!$J$5:$J$54)</f>
        <v>0</v>
      </c>
      <c r="F43" s="25">
        <f t="shared" si="3"/>
        <v>0</v>
      </c>
      <c r="G43" s="4" t="str">
        <f t="shared" si="4"/>
        <v>—</v>
      </c>
      <c r="H43" s="14" t="str">
        <f t="shared" si="5"/>
        <v/>
      </c>
    </row>
    <row r="44" spans="1:8" x14ac:dyDescent="0.35">
      <c r="A44" t="s">
        <v>195</v>
      </c>
      <c r="B44" s="59" t="s">
        <v>196</v>
      </c>
      <c r="C44" s="4">
        <f>COUNTIF(Paiements!$C$5:$C$54,B44)</f>
        <v>0</v>
      </c>
      <c r="D44" s="22">
        <f>SUMIF(Paiements!$C$5:$C$54,B44,Paiements!$I$5:$I$54)</f>
        <v>0</v>
      </c>
      <c r="E44" s="22">
        <f>SUMIF(Paiements!$C$5:$C$54,B44,Paiements!$J$5:$J$54)</f>
        <v>0</v>
      </c>
      <c r="F44" s="25">
        <f t="shared" si="3"/>
        <v>0</v>
      </c>
      <c r="G44" s="4" t="str">
        <f t="shared" si="4"/>
        <v>—</v>
      </c>
      <c r="H44" s="14" t="str">
        <f t="shared" si="5"/>
        <v/>
      </c>
    </row>
    <row r="45" spans="1:8" x14ac:dyDescent="0.35">
      <c r="A45" t="s">
        <v>197</v>
      </c>
      <c r="B45" s="59" t="s">
        <v>198</v>
      </c>
      <c r="C45" s="4">
        <f>COUNTIF(Paiements!$C$5:$C$54,B45)</f>
        <v>0</v>
      </c>
      <c r="D45" s="22">
        <f>SUMIF(Paiements!$C$5:$C$54,B45,Paiements!$I$5:$I$54)</f>
        <v>0</v>
      </c>
      <c r="E45" s="22">
        <f>SUMIF(Paiements!$C$5:$C$54,B45,Paiements!$J$5:$J$54)</f>
        <v>0</v>
      </c>
      <c r="F45" s="25">
        <f t="shared" si="3"/>
        <v>0</v>
      </c>
      <c r="G45" s="4" t="str">
        <f t="shared" si="4"/>
        <v>—</v>
      </c>
      <c r="H45" s="14" t="str">
        <f t="shared" si="5"/>
        <v/>
      </c>
    </row>
    <row r="46" spans="1:8" x14ac:dyDescent="0.35">
      <c r="A46" t="s">
        <v>199</v>
      </c>
      <c r="B46" s="59" t="s">
        <v>200</v>
      </c>
      <c r="C46" s="4">
        <f>COUNTIF(Paiements!$C$5:$C$54,B46)</f>
        <v>0</v>
      </c>
      <c r="D46" s="22">
        <f>SUMIF(Paiements!$C$5:$C$54,B46,Paiements!$I$5:$I$54)</f>
        <v>0</v>
      </c>
      <c r="E46" s="22">
        <f>SUMIF(Paiements!$C$5:$C$54,B46,Paiements!$J$5:$J$54)</f>
        <v>0</v>
      </c>
      <c r="F46" s="25">
        <f t="shared" si="3"/>
        <v>0</v>
      </c>
      <c r="G46" s="4" t="str">
        <f t="shared" si="4"/>
        <v>—</v>
      </c>
      <c r="H46" s="14" t="str">
        <f t="shared" si="5"/>
        <v/>
      </c>
    </row>
    <row r="47" spans="1:8" x14ac:dyDescent="0.35">
      <c r="A47" t="s">
        <v>201</v>
      </c>
      <c r="B47" s="59" t="s">
        <v>202</v>
      </c>
      <c r="C47" s="4">
        <f>COUNTIF(Paiements!$C$5:$C$54,B47)</f>
        <v>0</v>
      </c>
      <c r="D47" s="22">
        <f>SUMIF(Paiements!$C$5:$C$54,B47,Paiements!$I$5:$I$54)</f>
        <v>0</v>
      </c>
      <c r="E47" s="22">
        <f>SUMIF(Paiements!$C$5:$C$54,B47,Paiements!$J$5:$J$54)</f>
        <v>0</v>
      </c>
      <c r="F47" s="25">
        <f t="shared" si="3"/>
        <v>0</v>
      </c>
      <c r="G47" s="4" t="str">
        <f t="shared" si="4"/>
        <v>—</v>
      </c>
      <c r="H47" s="14" t="str">
        <f t="shared" si="5"/>
        <v/>
      </c>
    </row>
    <row r="48" spans="1:8" x14ac:dyDescent="0.35">
      <c r="A48" t="s">
        <v>203</v>
      </c>
      <c r="B48" s="59" t="s">
        <v>204</v>
      </c>
      <c r="C48" s="4">
        <f>COUNTIF(Paiements!$C$5:$C$54,B48)</f>
        <v>0</v>
      </c>
      <c r="D48" s="22">
        <f>SUMIF(Paiements!$C$5:$C$54,B48,Paiements!$I$5:$I$54)</f>
        <v>0</v>
      </c>
      <c r="E48" s="22">
        <f>SUMIF(Paiements!$C$5:$C$54,B48,Paiements!$J$5:$J$54)</f>
        <v>0</v>
      </c>
      <c r="F48" s="25">
        <f t="shared" si="3"/>
        <v>0</v>
      </c>
      <c r="G48" s="4" t="str">
        <f t="shared" si="4"/>
        <v>—</v>
      </c>
      <c r="H48" s="14" t="str">
        <f t="shared" si="5"/>
        <v/>
      </c>
    </row>
    <row r="49" spans="1:8" x14ac:dyDescent="0.35">
      <c r="A49" t="s">
        <v>205</v>
      </c>
      <c r="B49" s="59" t="s">
        <v>206</v>
      </c>
      <c r="C49" s="4">
        <f>COUNTIF(Paiements!$C$5:$C$54,B49)</f>
        <v>0</v>
      </c>
      <c r="D49" s="22">
        <f>SUMIF(Paiements!$C$5:$C$54,B49,Paiements!$I$5:$I$54)</f>
        <v>0</v>
      </c>
      <c r="E49" s="22">
        <f>SUMIF(Paiements!$C$5:$C$54,B49,Paiements!$J$5:$J$54)</f>
        <v>0</v>
      </c>
      <c r="F49" s="25">
        <f t="shared" si="3"/>
        <v>0</v>
      </c>
      <c r="G49" s="4" t="str">
        <f t="shared" si="4"/>
        <v>—</v>
      </c>
      <c r="H49" s="14" t="str">
        <f t="shared" si="5"/>
        <v/>
      </c>
    </row>
    <row r="50" spans="1:8" x14ac:dyDescent="0.35">
      <c r="A50" t="s">
        <v>207</v>
      </c>
      <c r="B50" s="59" t="s">
        <v>208</v>
      </c>
      <c r="C50" s="4">
        <f>COUNTIF(Paiements!$C$5:$C$54,B50)</f>
        <v>0</v>
      </c>
      <c r="D50" s="22">
        <f>SUMIF(Paiements!$C$5:$C$54,B50,Paiements!$I$5:$I$54)</f>
        <v>0</v>
      </c>
      <c r="E50" s="22">
        <f>SUMIF(Paiements!$C$5:$C$54,B50,Paiements!$J$5:$J$54)</f>
        <v>0</v>
      </c>
      <c r="F50" s="25">
        <f t="shared" si="3"/>
        <v>0</v>
      </c>
      <c r="G50" s="4" t="str">
        <f t="shared" si="4"/>
        <v>—</v>
      </c>
      <c r="H50" s="14" t="str">
        <f t="shared" si="5"/>
        <v/>
      </c>
    </row>
    <row r="51" spans="1:8" x14ac:dyDescent="0.35">
      <c r="A51" t="s">
        <v>209</v>
      </c>
      <c r="B51" s="59" t="s">
        <v>210</v>
      </c>
      <c r="C51" s="4">
        <f>COUNTIF(Paiements!$C$5:$C$54,B51)</f>
        <v>0</v>
      </c>
      <c r="D51" s="22">
        <f>SUMIF(Paiements!$C$5:$C$54,B51,Paiements!$I$5:$I$54)</f>
        <v>0</v>
      </c>
      <c r="E51" s="22">
        <f>SUMIF(Paiements!$C$5:$C$54,B51,Paiements!$J$5:$J$54)</f>
        <v>0</v>
      </c>
      <c r="F51" s="25">
        <f t="shared" si="3"/>
        <v>0</v>
      </c>
      <c r="G51" s="4" t="str">
        <f t="shared" si="4"/>
        <v>—</v>
      </c>
      <c r="H51" s="14" t="str">
        <f t="shared" si="5"/>
        <v/>
      </c>
    </row>
    <row r="52" spans="1:8" x14ac:dyDescent="0.35">
      <c r="A52" t="s">
        <v>211</v>
      </c>
      <c r="B52" s="59" t="s">
        <v>212</v>
      </c>
      <c r="C52" s="4">
        <f>COUNTIF(Paiements!$C$5:$C$54,B52)</f>
        <v>0</v>
      </c>
      <c r="D52" s="22">
        <f>SUMIF(Paiements!$C$5:$C$54,B52,Paiements!$I$5:$I$54)</f>
        <v>0</v>
      </c>
      <c r="E52" s="22">
        <f>SUMIF(Paiements!$C$5:$C$54,B52,Paiements!$J$5:$J$54)</f>
        <v>0</v>
      </c>
      <c r="F52" s="25">
        <f t="shared" si="3"/>
        <v>0</v>
      </c>
      <c r="G52" s="4" t="str">
        <f t="shared" si="4"/>
        <v>—</v>
      </c>
      <c r="H52" s="14" t="str">
        <f t="shared" si="5"/>
        <v/>
      </c>
    </row>
    <row r="53" spans="1:8" x14ac:dyDescent="0.35">
      <c r="A53" t="s">
        <v>213</v>
      </c>
      <c r="B53" s="59" t="s">
        <v>214</v>
      </c>
      <c r="C53" s="4">
        <f>COUNTIF(Paiements!$C$5:$C$54,B53)</f>
        <v>0</v>
      </c>
      <c r="D53" s="22">
        <f>SUMIF(Paiements!$C$5:$C$54,B53,Paiements!$I$5:$I$54)</f>
        <v>0</v>
      </c>
      <c r="E53" s="22">
        <f>SUMIF(Paiements!$C$5:$C$54,B53,Paiements!$J$5:$J$54)</f>
        <v>0</v>
      </c>
      <c r="F53" s="25">
        <f t="shared" si="3"/>
        <v>0</v>
      </c>
      <c r="G53" s="4" t="str">
        <f t="shared" si="4"/>
        <v>—</v>
      </c>
      <c r="H53" s="14" t="str">
        <f t="shared" si="5"/>
        <v/>
      </c>
    </row>
    <row r="54" spans="1:8" x14ac:dyDescent="0.35">
      <c r="A54" t="s">
        <v>215</v>
      </c>
      <c r="B54" s="59" t="s">
        <v>216</v>
      </c>
      <c r="C54" s="4">
        <f>COUNTIF(Paiements!$C$5:$C$54,B54)</f>
        <v>0</v>
      </c>
      <c r="D54" s="22">
        <f>SUMIF(Paiements!$C$5:$C$54,B54,Paiements!$I$5:$I$54)</f>
        <v>0</v>
      </c>
      <c r="E54" s="22">
        <f>SUMIF(Paiements!$C$5:$C$54,B54,Paiements!$J$5:$J$54)</f>
        <v>0</v>
      </c>
      <c r="F54" s="25">
        <f t="shared" si="3"/>
        <v>0</v>
      </c>
      <c r="G54" s="4" t="str">
        <f t="shared" si="4"/>
        <v>—</v>
      </c>
      <c r="H54" s="14" t="str">
        <f t="shared" si="5"/>
        <v/>
      </c>
    </row>
    <row r="55" spans="1:8" x14ac:dyDescent="0.35">
      <c r="A55" t="s">
        <v>217</v>
      </c>
      <c r="B55" s="59" t="s">
        <v>218</v>
      </c>
      <c r="C55" s="4">
        <f>COUNTIF(Paiements!$C$5:$C$54,B55)</f>
        <v>0</v>
      </c>
      <c r="D55" s="22">
        <f>SUMIF(Paiements!$C$5:$C$54,B55,Paiements!$I$5:$I$54)</f>
        <v>0</v>
      </c>
      <c r="E55" s="22">
        <f>SUMIF(Paiements!$C$5:$C$54,B55,Paiements!$J$5:$J$54)</f>
        <v>0</v>
      </c>
      <c r="F55" s="25">
        <f t="shared" si="3"/>
        <v>0</v>
      </c>
      <c r="G55" s="4" t="str">
        <f t="shared" si="4"/>
        <v>—</v>
      </c>
      <c r="H55" s="14" t="str">
        <f t="shared" si="5"/>
        <v/>
      </c>
    </row>
    <row r="56" spans="1:8" x14ac:dyDescent="0.35">
      <c r="A56" t="s">
        <v>219</v>
      </c>
      <c r="B56" s="59" t="s">
        <v>220</v>
      </c>
      <c r="C56" s="4">
        <f>COUNTIF(Paiements!$C$5:$C$54,B56)</f>
        <v>0</v>
      </c>
      <c r="D56" s="22">
        <f>SUMIF(Paiements!$C$5:$C$54,B56,Paiements!$I$5:$I$54)</f>
        <v>0</v>
      </c>
      <c r="E56" s="22">
        <f>SUMIF(Paiements!$C$5:$C$54,B56,Paiements!$J$5:$J$54)</f>
        <v>0</v>
      </c>
      <c r="F56" s="25">
        <f t="shared" si="3"/>
        <v>0</v>
      </c>
      <c r="G56" s="4" t="str">
        <f t="shared" si="4"/>
        <v>—</v>
      </c>
      <c r="H56" s="14" t="str">
        <f t="shared" si="5"/>
        <v/>
      </c>
    </row>
    <row r="57" spans="1:8" x14ac:dyDescent="0.35">
      <c r="A57" t="s">
        <v>221</v>
      </c>
      <c r="B57" s="59" t="s">
        <v>222</v>
      </c>
      <c r="C57" s="4">
        <f>COUNTIF(Paiements!$C$5:$C$54,B57)</f>
        <v>0</v>
      </c>
      <c r="D57" s="22">
        <f>SUMIF(Paiements!$C$5:$C$54,B57,Paiements!$I$5:$I$54)</f>
        <v>0</v>
      </c>
      <c r="E57" s="22">
        <f>SUMIF(Paiements!$C$5:$C$54,B57,Paiements!$J$5:$J$54)</f>
        <v>0</v>
      </c>
      <c r="F57" s="25">
        <f t="shared" si="3"/>
        <v>0</v>
      </c>
      <c r="G57" s="4" t="str">
        <f t="shared" si="4"/>
        <v>—</v>
      </c>
      <c r="H57" s="14" t="str">
        <f t="shared" si="5"/>
        <v/>
      </c>
    </row>
    <row r="58" spans="1:8" x14ac:dyDescent="0.35">
      <c r="A58" t="s">
        <v>223</v>
      </c>
      <c r="B58" s="59" t="s">
        <v>224</v>
      </c>
      <c r="C58" s="4">
        <f>COUNTIF(Paiements!$C$5:$C$54,B58)</f>
        <v>0</v>
      </c>
      <c r="D58" s="22">
        <f>SUMIF(Paiements!$C$5:$C$54,B58,Paiements!$I$5:$I$54)</f>
        <v>0</v>
      </c>
      <c r="E58" s="22">
        <f>SUMIF(Paiements!$C$5:$C$54,B58,Paiements!$J$5:$J$54)</f>
        <v>0</v>
      </c>
      <c r="F58" s="25">
        <f t="shared" si="3"/>
        <v>0</v>
      </c>
      <c r="G58" s="4" t="str">
        <f t="shared" si="4"/>
        <v>—</v>
      </c>
      <c r="H58" s="14" t="str">
        <f t="shared" si="5"/>
        <v/>
      </c>
    </row>
    <row r="59" spans="1:8" x14ac:dyDescent="0.35">
      <c r="A59" t="s">
        <v>225</v>
      </c>
      <c r="B59" s="59" t="s">
        <v>226</v>
      </c>
      <c r="C59" s="4">
        <f>COUNTIF(Paiements!$C$5:$C$54,B59)</f>
        <v>0</v>
      </c>
      <c r="D59" s="22">
        <f>SUMIF(Paiements!$C$5:$C$54,B59,Paiements!$I$5:$I$54)</f>
        <v>0</v>
      </c>
      <c r="E59" s="22">
        <f>SUMIF(Paiements!$C$5:$C$54,B59,Paiements!$J$5:$J$54)</f>
        <v>0</v>
      </c>
      <c r="F59" s="25">
        <f t="shared" si="3"/>
        <v>0</v>
      </c>
      <c r="G59" s="4" t="str">
        <f t="shared" si="4"/>
        <v>—</v>
      </c>
      <c r="H59" s="14" t="str">
        <f t="shared" si="5"/>
        <v/>
      </c>
    </row>
    <row r="60" spans="1:8" x14ac:dyDescent="0.35">
      <c r="A60" t="s">
        <v>227</v>
      </c>
      <c r="B60" s="59" t="s">
        <v>228</v>
      </c>
      <c r="C60" s="4">
        <f>COUNTIF(Paiements!$C$5:$C$54,B60)</f>
        <v>0</v>
      </c>
      <c r="D60" s="22">
        <f>SUMIF(Paiements!$C$5:$C$54,B60,Paiements!$I$5:$I$54)</f>
        <v>0</v>
      </c>
      <c r="E60" s="22">
        <f>SUMIF(Paiements!$C$5:$C$54,B60,Paiements!$J$5:$J$54)</f>
        <v>0</v>
      </c>
      <c r="F60" s="25">
        <f t="shared" si="3"/>
        <v>0</v>
      </c>
      <c r="G60" s="4" t="str">
        <f t="shared" si="4"/>
        <v>—</v>
      </c>
      <c r="H60" s="14" t="str">
        <f t="shared" si="5"/>
        <v/>
      </c>
    </row>
    <row r="61" spans="1:8" x14ac:dyDescent="0.35">
      <c r="A61" t="s">
        <v>229</v>
      </c>
      <c r="B61" s="59" t="s">
        <v>230</v>
      </c>
      <c r="C61" s="4">
        <f>COUNTIF(Paiements!$C$5:$C$54,B61)</f>
        <v>0</v>
      </c>
      <c r="D61" s="22">
        <f>SUMIF(Paiements!$C$5:$C$54,B61,Paiements!$I$5:$I$54)</f>
        <v>0</v>
      </c>
      <c r="E61" s="22">
        <f>SUMIF(Paiements!$C$5:$C$54,B61,Paiements!$J$5:$J$54)</f>
        <v>0</v>
      </c>
      <c r="F61" s="25">
        <f t="shared" si="3"/>
        <v>0</v>
      </c>
      <c r="G61" s="4" t="str">
        <f t="shared" si="4"/>
        <v>—</v>
      </c>
      <c r="H61" s="14" t="str">
        <f t="shared" si="5"/>
        <v/>
      </c>
    </row>
    <row r="62" spans="1:8" x14ac:dyDescent="0.35">
      <c r="A62" t="s">
        <v>231</v>
      </c>
      <c r="B62" s="59" t="s">
        <v>232</v>
      </c>
      <c r="C62" s="4">
        <f>COUNTIF(Paiements!$C$5:$C$54,B62)</f>
        <v>0</v>
      </c>
      <c r="D62" s="22">
        <f>SUMIF(Paiements!$C$5:$C$54,B62,Paiements!$I$5:$I$54)</f>
        <v>0</v>
      </c>
      <c r="E62" s="22">
        <f>SUMIF(Paiements!$C$5:$C$54,B62,Paiements!$J$5:$J$54)</f>
        <v>0</v>
      </c>
      <c r="F62" s="25">
        <f t="shared" si="3"/>
        <v>0</v>
      </c>
      <c r="G62" s="4" t="str">
        <f t="shared" si="4"/>
        <v>—</v>
      </c>
      <c r="H62" s="14" t="str">
        <f t="shared" si="5"/>
        <v/>
      </c>
    </row>
    <row r="63" spans="1:8" x14ac:dyDescent="0.35">
      <c r="A63" t="s">
        <v>233</v>
      </c>
      <c r="B63" s="59" t="s">
        <v>234</v>
      </c>
      <c r="C63" s="4">
        <f>COUNTIF(Paiements!$C$5:$C$54,B63)</f>
        <v>0</v>
      </c>
      <c r="D63" s="22">
        <f>SUMIF(Paiements!$C$5:$C$54,B63,Paiements!$I$5:$I$54)</f>
        <v>0</v>
      </c>
      <c r="E63" s="22">
        <f>SUMIF(Paiements!$C$5:$C$54,B63,Paiements!$J$5:$J$54)</f>
        <v>0</v>
      </c>
      <c r="F63" s="25">
        <f t="shared" si="3"/>
        <v>0</v>
      </c>
      <c r="G63" s="4" t="str">
        <f t="shared" si="4"/>
        <v>—</v>
      </c>
      <c r="H63" s="14" t="str">
        <f t="shared" si="5"/>
        <v/>
      </c>
    </row>
    <row r="64" spans="1:8" x14ac:dyDescent="0.35">
      <c r="A64" t="s">
        <v>235</v>
      </c>
      <c r="B64" s="59" t="s">
        <v>236</v>
      </c>
      <c r="C64" s="4">
        <f>COUNTIF(Paiements!$C$5:$C$54,B64)</f>
        <v>0</v>
      </c>
      <c r="D64" s="22">
        <f>SUMIF(Paiements!$C$5:$C$54,B64,Paiements!$I$5:$I$54)</f>
        <v>0</v>
      </c>
      <c r="E64" s="22">
        <f>SUMIF(Paiements!$C$5:$C$54,B64,Paiements!$J$5:$J$54)</f>
        <v>0</v>
      </c>
      <c r="F64" s="25">
        <f t="shared" si="3"/>
        <v>0</v>
      </c>
      <c r="G64" s="4" t="str">
        <f t="shared" si="4"/>
        <v>—</v>
      </c>
      <c r="H64" s="14" t="str">
        <f t="shared" si="5"/>
        <v/>
      </c>
    </row>
    <row r="65" spans="1:8" x14ac:dyDescent="0.35">
      <c r="A65" t="s">
        <v>237</v>
      </c>
      <c r="B65" s="59" t="s">
        <v>238</v>
      </c>
      <c r="C65" s="4">
        <f>COUNTIF(Paiements!$C$5:$C$54,B65)</f>
        <v>0</v>
      </c>
      <c r="D65" s="22">
        <f>SUMIF(Paiements!$C$5:$C$54,B65,Paiements!$I$5:$I$54)</f>
        <v>0</v>
      </c>
      <c r="E65" s="22">
        <f>SUMIF(Paiements!$C$5:$C$54,B65,Paiements!$J$5:$J$54)</f>
        <v>0</v>
      </c>
      <c r="F65" s="25">
        <f t="shared" si="3"/>
        <v>0</v>
      </c>
      <c r="G65" s="4" t="str">
        <f t="shared" si="4"/>
        <v>—</v>
      </c>
      <c r="H65" s="14" t="str">
        <f t="shared" si="5"/>
        <v/>
      </c>
    </row>
    <row r="66" spans="1:8" x14ac:dyDescent="0.35">
      <c r="A66" t="s">
        <v>239</v>
      </c>
      <c r="B66" s="59" t="s">
        <v>240</v>
      </c>
      <c r="C66" s="4">
        <f>COUNTIF(Paiements!$C$5:$C$54,B66)</f>
        <v>0</v>
      </c>
      <c r="D66" s="22">
        <f>SUMIF(Paiements!$C$5:$C$54,B66,Paiements!$I$5:$I$54)</f>
        <v>0</v>
      </c>
      <c r="E66" s="22">
        <f>SUMIF(Paiements!$C$5:$C$54,B66,Paiements!$J$5:$J$54)</f>
        <v>0</v>
      </c>
      <c r="F66" s="25">
        <f t="shared" si="3"/>
        <v>0</v>
      </c>
      <c r="G66" s="4" t="str">
        <f t="shared" si="4"/>
        <v>—</v>
      </c>
      <c r="H66" s="14" t="str">
        <f t="shared" si="5"/>
        <v/>
      </c>
    </row>
    <row r="67" spans="1:8" x14ac:dyDescent="0.35">
      <c r="B67" s="59"/>
      <c r="C67" s="4">
        <f>COUNTIF(Paiements!$C$5:$C$54,B67)</f>
        <v>0</v>
      </c>
      <c r="D67" s="22">
        <f>SUMIF(Paiements!$C$5:$C$54,B67,Paiements!$I$5:$I$54)</f>
        <v>0</v>
      </c>
      <c r="E67" s="22">
        <f>SUMIF(Paiements!$C$5:$C$54,B67,Paiements!$J$5:$J$54)</f>
        <v>0</v>
      </c>
      <c r="F67" s="25">
        <f t="shared" si="3"/>
        <v>0</v>
      </c>
      <c r="G67" s="4" t="str">
        <f t="shared" si="4"/>
        <v>—</v>
      </c>
      <c r="H67" s="14" t="str">
        <f t="shared" si="5"/>
        <v/>
      </c>
    </row>
    <row r="68" spans="1:8" x14ac:dyDescent="0.35">
      <c r="B68" s="59"/>
      <c r="C68" s="4">
        <f>COUNTIF(Paiements!$C$5:$C$54,B68)</f>
        <v>0</v>
      </c>
      <c r="D68" s="22">
        <f>SUMIF(Paiements!$C$5:$C$54,B68,Paiements!$I$5:$I$54)</f>
        <v>0</v>
      </c>
      <c r="E68" s="22">
        <f>SUMIF(Paiements!$C$5:$C$54,B68,Paiements!$J$5:$J$54)</f>
        <v>0</v>
      </c>
      <c r="F68" s="25">
        <f t="shared" si="3"/>
        <v>0</v>
      </c>
      <c r="G68" s="4" t="str">
        <f t="shared" si="4"/>
        <v>—</v>
      </c>
      <c r="H68" s="14" t="str">
        <f t="shared" si="5"/>
        <v/>
      </c>
    </row>
    <row r="69" spans="1:8" x14ac:dyDescent="0.35">
      <c r="B69" s="59"/>
      <c r="C69" s="4">
        <f>COUNTIF(Paiements!$C$5:$C$54,B69)</f>
        <v>0</v>
      </c>
      <c r="D69" s="22">
        <f>SUMIF(Paiements!$C$5:$C$54,B69,Paiements!$I$5:$I$54)</f>
        <v>0</v>
      </c>
      <c r="E69" s="22">
        <f>SUMIF(Paiements!$C$5:$C$54,B69,Paiements!$J$5:$J$54)</f>
        <v>0</v>
      </c>
      <c r="F69" s="25">
        <f t="shared" si="3"/>
        <v>0</v>
      </c>
      <c r="G69" s="4" t="str">
        <f t="shared" si="4"/>
        <v>—</v>
      </c>
      <c r="H69" s="14" t="str">
        <f t="shared" si="5"/>
        <v/>
      </c>
    </row>
    <row r="70" spans="1:8" x14ac:dyDescent="0.35">
      <c r="B70" s="59"/>
      <c r="C70" s="4">
        <f>COUNTIF(Paiements!$C$5:$C$54,B70)</f>
        <v>0</v>
      </c>
      <c r="D70" s="22">
        <f>SUMIF(Paiements!$C$5:$C$54,B70,Paiements!$I$5:$I$54)</f>
        <v>0</v>
      </c>
      <c r="E70" s="22">
        <f>SUMIF(Paiements!$C$5:$C$54,B70,Paiements!$J$5:$J$54)</f>
        <v>0</v>
      </c>
      <c r="F70" s="25">
        <f t="shared" si="3"/>
        <v>0</v>
      </c>
      <c r="G70" s="4" t="str">
        <f t="shared" si="4"/>
        <v>—</v>
      </c>
      <c r="H70" s="14" t="str">
        <f t="shared" si="5"/>
        <v/>
      </c>
    </row>
    <row r="71" spans="1:8" x14ac:dyDescent="0.35">
      <c r="B71" s="59"/>
      <c r="C71" s="4">
        <f>COUNTIF(Paiements!$C$5:$C$54,B71)</f>
        <v>0</v>
      </c>
      <c r="D71" s="22">
        <f>SUMIF(Paiements!$C$5:$C$54,B71,Paiements!$I$5:$I$54)</f>
        <v>0</v>
      </c>
      <c r="E71" s="22">
        <f>SUMIF(Paiements!$C$5:$C$54,B71,Paiements!$J$5:$J$54)</f>
        <v>0</v>
      </c>
      <c r="F71" s="25">
        <f t="shared" si="3"/>
        <v>0</v>
      </c>
      <c r="G71" s="4" t="str">
        <f t="shared" si="4"/>
        <v>—</v>
      </c>
      <c r="H71" s="14" t="str">
        <f t="shared" si="5"/>
        <v/>
      </c>
    </row>
    <row r="72" spans="1:8" x14ac:dyDescent="0.35">
      <c r="B72" s="59"/>
      <c r="C72" s="4">
        <f>COUNTIF(Paiements!$C$5:$C$54,B72)</f>
        <v>0</v>
      </c>
      <c r="D72" s="22">
        <f>SUMIF(Paiements!$C$5:$C$54,B72,Paiements!$I$5:$I$54)</f>
        <v>0</v>
      </c>
      <c r="E72" s="22">
        <f>SUMIF(Paiements!$C$5:$C$54,B72,Paiements!$J$5:$J$54)</f>
        <v>0</v>
      </c>
      <c r="F72" s="25">
        <f t="shared" si="3"/>
        <v>0</v>
      </c>
      <c r="G72" s="4" t="str">
        <f t="shared" si="4"/>
        <v>—</v>
      </c>
      <c r="H72" s="14" t="str">
        <f t="shared" si="5"/>
        <v/>
      </c>
    </row>
    <row r="73" spans="1:8" x14ac:dyDescent="0.35">
      <c r="B73" s="59"/>
      <c r="C73" s="4">
        <f>COUNTIF(Paiements!$C$5:$C$54,B73)</f>
        <v>0</v>
      </c>
      <c r="D73" s="22">
        <f>SUMIF(Paiements!$C$5:$C$54,B73,Paiements!$I$5:$I$54)</f>
        <v>0</v>
      </c>
      <c r="E73" s="22">
        <f>SUMIF(Paiements!$C$5:$C$54,B73,Paiements!$J$5:$J$54)</f>
        <v>0</v>
      </c>
      <c r="F73" s="25">
        <f t="shared" si="3"/>
        <v>0</v>
      </c>
      <c r="G73" s="4" t="str">
        <f t="shared" si="4"/>
        <v>—</v>
      </c>
      <c r="H73" s="14" t="str">
        <f t="shared" si="5"/>
        <v/>
      </c>
    </row>
    <row r="74" spans="1:8" x14ac:dyDescent="0.35">
      <c r="B74" s="59"/>
      <c r="C74" s="4">
        <f>COUNTIF(Paiements!$C$5:$C$54,B74)</f>
        <v>0</v>
      </c>
      <c r="D74" s="22">
        <f>SUMIF(Paiements!$C$5:$C$54,B74,Paiements!$I$5:$I$54)</f>
        <v>0</v>
      </c>
      <c r="E74" s="22">
        <f>SUMIF(Paiements!$C$5:$C$54,B74,Paiements!$J$5:$J$54)</f>
        <v>0</v>
      </c>
      <c r="F74" s="25">
        <f t="shared" si="3"/>
        <v>0</v>
      </c>
      <c r="G74" s="4" t="str">
        <f t="shared" si="4"/>
        <v>—</v>
      </c>
      <c r="H74" s="14" t="str">
        <f t="shared" si="5"/>
        <v/>
      </c>
    </row>
    <row r="75" spans="1:8" x14ac:dyDescent="0.35">
      <c r="B75" s="59"/>
      <c r="C75" s="4">
        <f>COUNTIF(Paiements!$C$5:$C$54,B75)</f>
        <v>0</v>
      </c>
      <c r="D75" s="22">
        <f>SUMIF(Paiements!$C$5:$C$54,B75,Paiements!$I$5:$I$54)</f>
        <v>0</v>
      </c>
      <c r="E75" s="22">
        <f>SUMIF(Paiements!$C$5:$C$54,B75,Paiements!$J$5:$J$54)</f>
        <v>0</v>
      </c>
      <c r="F75" s="25">
        <f t="shared" si="3"/>
        <v>0</v>
      </c>
      <c r="G75" s="4" t="str">
        <f t="shared" si="4"/>
        <v>—</v>
      </c>
      <c r="H75" s="14" t="str">
        <f t="shared" si="5"/>
        <v/>
      </c>
    </row>
    <row r="76" spans="1:8" x14ac:dyDescent="0.35">
      <c r="B76" s="59"/>
      <c r="C76" s="4">
        <f>COUNTIF(Paiements!$C$5:$C$54,B76)</f>
        <v>0</v>
      </c>
      <c r="D76" s="22">
        <f>SUMIF(Paiements!$C$5:$C$54,B76,Paiements!$I$5:$I$54)</f>
        <v>0</v>
      </c>
      <c r="E76" s="22">
        <f>SUMIF(Paiements!$C$5:$C$54,B76,Paiements!$J$5:$J$54)</f>
        <v>0</v>
      </c>
      <c r="F76" s="25">
        <f t="shared" si="3"/>
        <v>0</v>
      </c>
      <c r="G76" s="4" t="str">
        <f t="shared" si="4"/>
        <v>—</v>
      </c>
      <c r="H76" s="14" t="str">
        <f t="shared" si="5"/>
        <v/>
      </c>
    </row>
    <row r="77" spans="1:8" x14ac:dyDescent="0.35">
      <c r="B77" s="59"/>
      <c r="C77" s="4">
        <f>COUNTIF(Paiements!$C$5:$C$54,B77)</f>
        <v>0</v>
      </c>
      <c r="D77" s="22">
        <f>SUMIF(Paiements!$C$5:$C$54,B77,Paiements!$I$5:$I$54)</f>
        <v>0</v>
      </c>
      <c r="E77" s="22">
        <f>SUMIF(Paiements!$C$5:$C$54,B77,Paiements!$J$5:$J$54)</f>
        <v>0</v>
      </c>
      <c r="F77" s="25">
        <f t="shared" si="3"/>
        <v>0</v>
      </c>
      <c r="G77" s="4" t="str">
        <f t="shared" si="4"/>
        <v>—</v>
      </c>
      <c r="H77" s="14" t="str">
        <f t="shared" si="5"/>
        <v/>
      </c>
    </row>
    <row r="78" spans="1:8" x14ac:dyDescent="0.35">
      <c r="B78" s="59"/>
      <c r="C78" s="4">
        <f>COUNTIF(Paiements!$C$5:$C$54,B78)</f>
        <v>0</v>
      </c>
      <c r="D78" s="22">
        <f>SUMIF(Paiements!$C$5:$C$54,B78,Paiements!$I$5:$I$54)</f>
        <v>0</v>
      </c>
      <c r="E78" s="22">
        <f>SUMIF(Paiements!$C$5:$C$54,B78,Paiements!$J$5:$J$54)</f>
        <v>0</v>
      </c>
      <c r="F78" s="25">
        <f t="shared" si="3"/>
        <v>0</v>
      </c>
      <c r="G78" s="4" t="str">
        <f t="shared" si="4"/>
        <v>—</v>
      </c>
      <c r="H78" s="14" t="str">
        <f t="shared" si="5"/>
        <v/>
      </c>
    </row>
    <row r="79" spans="1:8" x14ac:dyDescent="0.35">
      <c r="B79" s="59"/>
      <c r="C79" s="4">
        <f>COUNTIF(Paiements!$C$5:$C$54,B79)</f>
        <v>0</v>
      </c>
      <c r="D79" s="22">
        <f>SUMIF(Paiements!$C$5:$C$54,B79,Paiements!$I$5:$I$54)</f>
        <v>0</v>
      </c>
      <c r="E79" s="22">
        <f>SUMIF(Paiements!$C$5:$C$54,B79,Paiements!$J$5:$J$54)</f>
        <v>0</v>
      </c>
      <c r="F79" s="25">
        <f t="shared" si="3"/>
        <v>0</v>
      </c>
      <c r="G79" s="4" t="str">
        <f t="shared" si="4"/>
        <v>—</v>
      </c>
      <c r="H79" s="14" t="str">
        <f t="shared" si="5"/>
        <v/>
      </c>
    </row>
    <row r="80" spans="1:8" x14ac:dyDescent="0.35">
      <c r="B80" s="59"/>
      <c r="C80" s="4">
        <f>COUNTIF(Paiements!$C$5:$C$54,B80)</f>
        <v>0</v>
      </c>
      <c r="D80" s="22">
        <f>SUMIF(Paiements!$C$5:$C$54,B80,Paiements!$I$5:$I$54)</f>
        <v>0</v>
      </c>
      <c r="E80" s="22">
        <f>SUMIF(Paiements!$C$5:$C$54,B80,Paiements!$J$5:$J$54)</f>
        <v>0</v>
      </c>
      <c r="F80" s="25">
        <f t="shared" si="3"/>
        <v>0</v>
      </c>
      <c r="G80" s="4" t="str">
        <f t="shared" si="4"/>
        <v>—</v>
      </c>
      <c r="H80" s="14" t="str">
        <f t="shared" si="5"/>
        <v/>
      </c>
    </row>
    <row r="81" spans="2:8" x14ac:dyDescent="0.35">
      <c r="C81" s="4">
        <f>COUNTIF(Paiements!$C$5:$C$54,B81)</f>
        <v>0</v>
      </c>
      <c r="D81" s="22">
        <f>SUMIF(Paiements!$C$5:$C$54,B81,Paiements!$I$5:$I$54)</f>
        <v>0</v>
      </c>
      <c r="E81" s="22">
        <f>SUMIF(Paiements!$C$5:$C$54,B81,Paiements!$J$5:$J$54)</f>
        <v>0</v>
      </c>
      <c r="F81" s="25">
        <f t="shared" si="3"/>
        <v>0</v>
      </c>
      <c r="G81" s="4" t="str">
        <f t="shared" si="4"/>
        <v>—</v>
      </c>
      <c r="H81" s="14" t="str">
        <f t="shared" si="5"/>
        <v/>
      </c>
    </row>
    <row r="82" spans="2:8" x14ac:dyDescent="0.35">
      <c r="B82" s="10" t="s">
        <v>58</v>
      </c>
      <c r="D82" s="23">
        <f>SUM(D5:D22)</f>
        <v>0</v>
      </c>
      <c r="E82" s="23">
        <f>SUM(E5:E22)</f>
        <v>0</v>
      </c>
      <c r="F82" s="23">
        <f>SUM(F5:F22)</f>
        <v>0</v>
      </c>
    </row>
    <row r="84" spans="2:8" x14ac:dyDescent="0.35">
      <c r="B84" s="58" t="s">
        <v>59</v>
      </c>
      <c r="C84" s="55"/>
      <c r="D84" s="55"/>
      <c r="E84" s="55"/>
      <c r="F84" s="55"/>
      <c r="G84" s="55"/>
      <c r="H84" s="55"/>
    </row>
  </sheetData>
  <mergeCells count="3">
    <mergeCell ref="B84:H84"/>
    <mergeCell ref="B2:H2"/>
    <mergeCell ref="B1:H1"/>
  </mergeCells>
  <conditionalFormatting sqref="F5:F88">
    <cfRule type="cellIs" dxfId="7" priority="4" operator="greaterThan">
      <formula>0</formula>
    </cfRule>
    <cfRule type="cellIs" dxfId="6" priority="5" operator="lessThanOrEqual">
      <formula>0</formula>
    </cfRule>
  </conditionalFormatting>
  <conditionalFormatting sqref="G5:G88">
    <cfRule type="cellIs" dxfId="5" priority="1" operator="equal">
      <formula>"Soldé"</formula>
    </cfRule>
    <cfRule type="cellIs" dxfId="4" priority="2" operator="equal">
      <formula>"Partiel"</formula>
    </cfRule>
    <cfRule type="cellIs" dxfId="3" priority="3" operator="equal">
      <formula>"Impayé"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selection activeCell="B9" sqref="B9"/>
    </sheetView>
  </sheetViews>
  <sheetFormatPr baseColWidth="10" defaultColWidth="8.7265625" defaultRowHeight="14.5" x14ac:dyDescent="0.35"/>
  <cols>
    <col min="1" max="1" width="5" customWidth="1"/>
    <col min="2" max="2" width="16" customWidth="1"/>
    <col min="3" max="3" width="28" customWidth="1"/>
    <col min="4" max="4" width="26" customWidth="1"/>
    <col min="5" max="5" width="23.08984375" customWidth="1"/>
    <col min="6" max="7" width="20.6328125" customWidth="1"/>
    <col min="8" max="8" width="14" customWidth="1"/>
    <col min="9" max="9" width="16.81640625" customWidth="1"/>
    <col min="10" max="10" width="12" customWidth="1"/>
    <col min="11" max="11" width="14" customWidth="1"/>
    <col min="12" max="12" width="16.54296875" customWidth="1"/>
    <col min="13" max="13" width="25" customWidth="1"/>
  </cols>
  <sheetData>
    <row r="1" spans="1:13" ht="28" customHeight="1" x14ac:dyDescent="0.4">
      <c r="A1" s="56" t="s">
        <v>60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3" hidden="1" x14ac:dyDescent="0.35">
      <c r="A2" s="54" t="s">
        <v>61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4" spans="1:13" ht="35" customHeight="1" x14ac:dyDescent="0.35">
      <c r="A4" s="19" t="s">
        <v>16</v>
      </c>
      <c r="B4" s="19" t="s">
        <v>62</v>
      </c>
      <c r="C4" s="19" t="s">
        <v>18</v>
      </c>
      <c r="D4" s="19" t="s">
        <v>19</v>
      </c>
      <c r="E4" s="19" t="s">
        <v>20</v>
      </c>
      <c r="F4" s="19" t="s">
        <v>21</v>
      </c>
      <c r="G4" s="19" t="s">
        <v>63</v>
      </c>
      <c r="H4" s="19" t="s">
        <v>22</v>
      </c>
      <c r="I4" s="19" t="s">
        <v>64</v>
      </c>
      <c r="J4" s="19" t="s">
        <v>23</v>
      </c>
      <c r="K4" s="19" t="s">
        <v>65</v>
      </c>
      <c r="L4" s="19" t="s">
        <v>66</v>
      </c>
      <c r="M4" s="19" t="s">
        <v>67</v>
      </c>
    </row>
    <row r="5" spans="1:13" x14ac:dyDescent="0.35">
      <c r="A5" s="15">
        <v>1</v>
      </c>
      <c r="B5" s="34"/>
      <c r="C5" s="5"/>
      <c r="D5" s="5"/>
      <c r="E5" s="5"/>
      <c r="F5" s="5"/>
      <c r="G5" s="6"/>
      <c r="H5" s="6"/>
      <c r="I5" s="5"/>
      <c r="J5" s="6"/>
      <c r="K5" s="7" t="str">
        <f t="shared" ref="K5:K34" si="0">IF(OR(H5="",J5=""),"",H5*J5)</f>
        <v/>
      </c>
      <c r="L5" s="16"/>
      <c r="M5" s="5"/>
    </row>
    <row r="6" spans="1:13" x14ac:dyDescent="0.35">
      <c r="A6" s="15">
        <v>2</v>
      </c>
      <c r="B6" s="5"/>
      <c r="C6" s="5"/>
      <c r="D6" s="5"/>
      <c r="E6" s="5"/>
      <c r="F6" s="5"/>
      <c r="G6" s="6"/>
      <c r="H6" s="6"/>
      <c r="I6" s="5"/>
      <c r="J6" s="6"/>
      <c r="K6" s="7" t="str">
        <f t="shared" si="0"/>
        <v/>
      </c>
      <c r="L6" s="16"/>
      <c r="M6" s="5"/>
    </row>
    <row r="7" spans="1:13" x14ac:dyDescent="0.35">
      <c r="A7" s="15">
        <v>3</v>
      </c>
      <c r="B7" s="5"/>
      <c r="C7" s="5"/>
      <c r="D7" s="5"/>
      <c r="E7" s="5"/>
      <c r="F7" s="5"/>
      <c r="G7" s="6"/>
      <c r="H7" s="6"/>
      <c r="I7" s="5"/>
      <c r="J7" s="6"/>
      <c r="K7" s="7" t="str">
        <f t="shared" si="0"/>
        <v/>
      </c>
      <c r="L7" s="16"/>
      <c r="M7" s="5"/>
    </row>
    <row r="8" spans="1:13" x14ac:dyDescent="0.35">
      <c r="A8" s="15">
        <v>4</v>
      </c>
      <c r="B8" s="5"/>
      <c r="C8" s="5"/>
      <c r="D8" s="5"/>
      <c r="E8" s="5"/>
      <c r="F8" s="5"/>
      <c r="G8" s="6"/>
      <c r="H8" s="6"/>
      <c r="I8" s="5"/>
      <c r="J8" s="6"/>
      <c r="K8" s="7" t="str">
        <f t="shared" si="0"/>
        <v/>
      </c>
      <c r="L8" s="16"/>
      <c r="M8" s="5"/>
    </row>
    <row r="9" spans="1:13" x14ac:dyDescent="0.35">
      <c r="A9" s="15">
        <v>5</v>
      </c>
      <c r="B9" s="5"/>
      <c r="C9" s="5"/>
      <c r="D9" s="5"/>
      <c r="E9" s="5"/>
      <c r="F9" s="5"/>
      <c r="G9" s="6"/>
      <c r="H9" s="6"/>
      <c r="I9" s="5"/>
      <c r="J9" s="6"/>
      <c r="K9" s="7" t="str">
        <f t="shared" si="0"/>
        <v/>
      </c>
      <c r="L9" s="16"/>
      <c r="M9" s="5"/>
    </row>
    <row r="10" spans="1:13" x14ac:dyDescent="0.35">
      <c r="A10" s="15">
        <v>6</v>
      </c>
      <c r="B10" s="5"/>
      <c r="C10" s="5"/>
      <c r="D10" s="5"/>
      <c r="E10" s="5"/>
      <c r="F10" s="5"/>
      <c r="G10" s="6"/>
      <c r="H10" s="6"/>
      <c r="I10" s="5"/>
      <c r="J10" s="6"/>
      <c r="K10" s="7" t="str">
        <f t="shared" si="0"/>
        <v/>
      </c>
      <c r="L10" s="16"/>
      <c r="M10" s="5"/>
    </row>
    <row r="11" spans="1:13" x14ac:dyDescent="0.35">
      <c r="A11" s="15">
        <v>7</v>
      </c>
      <c r="B11" s="5"/>
      <c r="C11" s="5"/>
      <c r="D11" s="5"/>
      <c r="E11" s="5"/>
      <c r="F11" s="5"/>
      <c r="G11" s="6"/>
      <c r="H11" s="6"/>
      <c r="I11" s="5"/>
      <c r="J11" s="6"/>
      <c r="K11" s="7" t="str">
        <f t="shared" si="0"/>
        <v/>
      </c>
      <c r="L11" s="16"/>
      <c r="M11" s="5"/>
    </row>
    <row r="12" spans="1:13" x14ac:dyDescent="0.35">
      <c r="A12" s="15">
        <v>8</v>
      </c>
      <c r="B12" s="5"/>
      <c r="C12" s="5"/>
      <c r="D12" s="5"/>
      <c r="E12" s="5"/>
      <c r="F12" s="5"/>
      <c r="G12" s="6"/>
      <c r="H12" s="6"/>
      <c r="I12" s="5"/>
      <c r="J12" s="6"/>
      <c r="K12" s="7" t="str">
        <f t="shared" si="0"/>
        <v/>
      </c>
      <c r="L12" s="16"/>
      <c r="M12" s="5"/>
    </row>
    <row r="13" spans="1:13" x14ac:dyDescent="0.35">
      <c r="A13" s="15">
        <v>9</v>
      </c>
      <c r="B13" s="5"/>
      <c r="C13" s="5"/>
      <c r="D13" s="5"/>
      <c r="E13" s="5"/>
      <c r="F13" s="5"/>
      <c r="G13" s="6"/>
      <c r="H13" s="6"/>
      <c r="I13" s="5"/>
      <c r="J13" s="6"/>
      <c r="K13" s="7" t="str">
        <f t="shared" si="0"/>
        <v/>
      </c>
      <c r="L13" s="16"/>
      <c r="M13" s="5"/>
    </row>
    <row r="14" spans="1:13" x14ac:dyDescent="0.35">
      <c r="A14" s="15">
        <v>10</v>
      </c>
      <c r="B14" s="5"/>
      <c r="C14" s="5"/>
      <c r="D14" s="5"/>
      <c r="E14" s="5"/>
      <c r="F14" s="5"/>
      <c r="G14" s="6"/>
      <c r="H14" s="6"/>
      <c r="I14" s="5"/>
      <c r="J14" s="6"/>
      <c r="K14" s="7" t="str">
        <f t="shared" si="0"/>
        <v/>
      </c>
      <c r="L14" s="16"/>
      <c r="M14" s="5"/>
    </row>
    <row r="15" spans="1:13" x14ac:dyDescent="0.35">
      <c r="A15" s="15">
        <v>11</v>
      </c>
      <c r="B15" s="5"/>
      <c r="C15" s="5"/>
      <c r="D15" s="5"/>
      <c r="E15" s="5"/>
      <c r="F15" s="5"/>
      <c r="G15" s="6"/>
      <c r="H15" s="6"/>
      <c r="I15" s="5"/>
      <c r="J15" s="6"/>
      <c r="K15" s="7" t="str">
        <f t="shared" si="0"/>
        <v/>
      </c>
      <c r="L15" s="16"/>
      <c r="M15" s="5"/>
    </row>
    <row r="16" spans="1:13" x14ac:dyDescent="0.35">
      <c r="A16" s="15">
        <v>12</v>
      </c>
      <c r="B16" s="5"/>
      <c r="C16" s="5"/>
      <c r="D16" s="5"/>
      <c r="E16" s="5"/>
      <c r="F16" s="5"/>
      <c r="G16" s="6"/>
      <c r="H16" s="6"/>
      <c r="I16" s="5"/>
      <c r="J16" s="6"/>
      <c r="K16" s="7" t="str">
        <f t="shared" si="0"/>
        <v/>
      </c>
      <c r="L16" s="16"/>
      <c r="M16" s="5"/>
    </row>
    <row r="17" spans="1:13" x14ac:dyDescent="0.35">
      <c r="A17" s="15">
        <v>13</v>
      </c>
      <c r="B17" s="5"/>
      <c r="C17" s="5"/>
      <c r="D17" s="5"/>
      <c r="E17" s="5"/>
      <c r="F17" s="5"/>
      <c r="G17" s="6"/>
      <c r="H17" s="6"/>
      <c r="I17" s="5"/>
      <c r="J17" s="6"/>
      <c r="K17" s="7" t="str">
        <f t="shared" si="0"/>
        <v/>
      </c>
      <c r="L17" s="16"/>
      <c r="M17" s="5"/>
    </row>
    <row r="18" spans="1:13" x14ac:dyDescent="0.35">
      <c r="A18" s="15">
        <v>14</v>
      </c>
      <c r="B18" s="5"/>
      <c r="C18" s="5"/>
      <c r="D18" s="5"/>
      <c r="E18" s="5"/>
      <c r="F18" s="5"/>
      <c r="G18" s="6"/>
      <c r="H18" s="6"/>
      <c r="I18" s="5"/>
      <c r="J18" s="6"/>
      <c r="K18" s="7" t="str">
        <f t="shared" si="0"/>
        <v/>
      </c>
      <c r="L18" s="16"/>
      <c r="M18" s="5"/>
    </row>
    <row r="19" spans="1:13" x14ac:dyDescent="0.35">
      <c r="A19" s="15">
        <v>15</v>
      </c>
      <c r="B19" s="5"/>
      <c r="C19" s="5"/>
      <c r="D19" s="5"/>
      <c r="E19" s="5"/>
      <c r="F19" s="5"/>
      <c r="G19" s="6"/>
      <c r="H19" s="6"/>
      <c r="I19" s="5"/>
      <c r="J19" s="6"/>
      <c r="K19" s="7" t="str">
        <f t="shared" si="0"/>
        <v/>
      </c>
      <c r="L19" s="16"/>
      <c r="M19" s="5"/>
    </row>
    <row r="20" spans="1:13" x14ac:dyDescent="0.35">
      <c r="A20" s="15">
        <v>16</v>
      </c>
      <c r="B20" s="5"/>
      <c r="C20" s="5"/>
      <c r="D20" s="5"/>
      <c r="E20" s="5"/>
      <c r="F20" s="5"/>
      <c r="G20" s="6"/>
      <c r="H20" s="6"/>
      <c r="I20" s="5"/>
      <c r="J20" s="6"/>
      <c r="K20" s="7" t="str">
        <f t="shared" si="0"/>
        <v/>
      </c>
      <c r="L20" s="16"/>
      <c r="M20" s="5"/>
    </row>
    <row r="21" spans="1:13" x14ac:dyDescent="0.35">
      <c r="A21" s="15">
        <v>17</v>
      </c>
      <c r="B21" s="5"/>
      <c r="C21" s="5"/>
      <c r="D21" s="5"/>
      <c r="E21" s="5"/>
      <c r="F21" s="5"/>
      <c r="G21" s="6"/>
      <c r="H21" s="6"/>
      <c r="I21" s="5"/>
      <c r="J21" s="6"/>
      <c r="K21" s="7" t="str">
        <f t="shared" si="0"/>
        <v/>
      </c>
      <c r="L21" s="16"/>
      <c r="M21" s="5"/>
    </row>
    <row r="22" spans="1:13" x14ac:dyDescent="0.35">
      <c r="A22" s="15">
        <v>18</v>
      </c>
      <c r="B22" s="5"/>
      <c r="C22" s="5"/>
      <c r="D22" s="5"/>
      <c r="E22" s="5"/>
      <c r="F22" s="5"/>
      <c r="G22" s="6"/>
      <c r="H22" s="6"/>
      <c r="I22" s="5"/>
      <c r="J22" s="6"/>
      <c r="K22" s="7" t="str">
        <f t="shared" si="0"/>
        <v/>
      </c>
      <c r="L22" s="16"/>
      <c r="M22" s="5"/>
    </row>
    <row r="23" spans="1:13" x14ac:dyDescent="0.35">
      <c r="A23" s="15">
        <v>19</v>
      </c>
      <c r="B23" s="5"/>
      <c r="C23" s="5"/>
      <c r="D23" s="5"/>
      <c r="E23" s="5"/>
      <c r="F23" s="5"/>
      <c r="G23" s="6"/>
      <c r="H23" s="6"/>
      <c r="I23" s="5"/>
      <c r="J23" s="6"/>
      <c r="K23" s="7" t="str">
        <f t="shared" si="0"/>
        <v/>
      </c>
      <c r="L23" s="16"/>
      <c r="M23" s="5"/>
    </row>
    <row r="24" spans="1:13" x14ac:dyDescent="0.35">
      <c r="A24" s="15">
        <v>20</v>
      </c>
      <c r="B24" s="5"/>
      <c r="C24" s="5"/>
      <c r="D24" s="5"/>
      <c r="E24" s="5"/>
      <c r="F24" s="5"/>
      <c r="G24" s="6"/>
      <c r="H24" s="6"/>
      <c r="I24" s="5"/>
      <c r="J24" s="6"/>
      <c r="K24" s="7" t="str">
        <f t="shared" si="0"/>
        <v/>
      </c>
      <c r="L24" s="16"/>
      <c r="M24" s="5"/>
    </row>
    <row r="25" spans="1:13" x14ac:dyDescent="0.35">
      <c r="A25" s="15">
        <v>21</v>
      </c>
      <c r="B25" s="5"/>
      <c r="C25" s="5"/>
      <c r="D25" s="5"/>
      <c r="E25" s="5"/>
      <c r="F25" s="5"/>
      <c r="G25" s="6"/>
      <c r="H25" s="6"/>
      <c r="I25" s="5"/>
      <c r="J25" s="6"/>
      <c r="K25" s="7" t="str">
        <f t="shared" si="0"/>
        <v/>
      </c>
      <c r="L25" s="16"/>
      <c r="M25" s="5"/>
    </row>
    <row r="26" spans="1:13" x14ac:dyDescent="0.35">
      <c r="A26" s="15">
        <v>22</v>
      </c>
      <c r="B26" s="5"/>
      <c r="C26" s="5"/>
      <c r="D26" s="5"/>
      <c r="E26" s="5"/>
      <c r="F26" s="5"/>
      <c r="G26" s="6"/>
      <c r="H26" s="6"/>
      <c r="I26" s="5"/>
      <c r="J26" s="6"/>
      <c r="K26" s="7" t="str">
        <f t="shared" si="0"/>
        <v/>
      </c>
      <c r="L26" s="16"/>
      <c r="M26" s="5"/>
    </row>
    <row r="27" spans="1:13" x14ac:dyDescent="0.35">
      <c r="A27" s="15">
        <v>23</v>
      </c>
      <c r="B27" s="5"/>
      <c r="C27" s="5"/>
      <c r="D27" s="5"/>
      <c r="E27" s="5"/>
      <c r="F27" s="5"/>
      <c r="G27" s="6"/>
      <c r="H27" s="6"/>
      <c r="I27" s="5"/>
      <c r="J27" s="6"/>
      <c r="K27" s="7" t="str">
        <f t="shared" si="0"/>
        <v/>
      </c>
      <c r="L27" s="16"/>
      <c r="M27" s="5"/>
    </row>
    <row r="28" spans="1:13" x14ac:dyDescent="0.35">
      <c r="A28" s="15">
        <v>24</v>
      </c>
      <c r="B28" s="5"/>
      <c r="C28" s="5"/>
      <c r="D28" s="5"/>
      <c r="E28" s="5"/>
      <c r="F28" s="5"/>
      <c r="G28" s="6"/>
      <c r="H28" s="6"/>
      <c r="I28" s="5"/>
      <c r="J28" s="6"/>
      <c r="K28" s="7" t="str">
        <f t="shared" si="0"/>
        <v/>
      </c>
      <c r="L28" s="16"/>
      <c r="M28" s="5"/>
    </row>
    <row r="29" spans="1:13" x14ac:dyDescent="0.35">
      <c r="A29" s="15">
        <v>25</v>
      </c>
      <c r="B29" s="5"/>
      <c r="C29" s="5"/>
      <c r="D29" s="5"/>
      <c r="E29" s="5"/>
      <c r="F29" s="5"/>
      <c r="G29" s="6"/>
      <c r="H29" s="6"/>
      <c r="I29" s="5"/>
      <c r="J29" s="6"/>
      <c r="K29" s="7" t="str">
        <f t="shared" si="0"/>
        <v/>
      </c>
      <c r="L29" s="16"/>
      <c r="M29" s="5"/>
    </row>
    <row r="30" spans="1:13" x14ac:dyDescent="0.35">
      <c r="A30" s="15">
        <v>26</v>
      </c>
      <c r="B30" s="5"/>
      <c r="C30" s="5"/>
      <c r="D30" s="5"/>
      <c r="E30" s="5"/>
      <c r="F30" s="5"/>
      <c r="G30" s="6"/>
      <c r="H30" s="6"/>
      <c r="I30" s="5"/>
      <c r="J30" s="6"/>
      <c r="K30" s="7" t="str">
        <f t="shared" si="0"/>
        <v/>
      </c>
      <c r="L30" s="16"/>
      <c r="M30" s="5"/>
    </row>
    <row r="31" spans="1:13" x14ac:dyDescent="0.35">
      <c r="A31" s="15">
        <v>27</v>
      </c>
      <c r="B31" s="5"/>
      <c r="C31" s="5"/>
      <c r="D31" s="5"/>
      <c r="E31" s="5"/>
      <c r="F31" s="5"/>
      <c r="G31" s="6"/>
      <c r="H31" s="6"/>
      <c r="I31" s="5"/>
      <c r="J31" s="6"/>
      <c r="K31" s="7" t="str">
        <f t="shared" si="0"/>
        <v/>
      </c>
      <c r="L31" s="16"/>
      <c r="M31" s="5"/>
    </row>
    <row r="32" spans="1:13" x14ac:dyDescent="0.35">
      <c r="A32" s="15">
        <v>28</v>
      </c>
      <c r="B32" s="5"/>
      <c r="C32" s="5"/>
      <c r="D32" s="5"/>
      <c r="E32" s="5"/>
      <c r="F32" s="5"/>
      <c r="G32" s="6"/>
      <c r="H32" s="6"/>
      <c r="I32" s="5"/>
      <c r="J32" s="6"/>
      <c r="K32" s="7" t="str">
        <f t="shared" si="0"/>
        <v/>
      </c>
      <c r="L32" s="16"/>
      <c r="M32" s="5"/>
    </row>
    <row r="33" spans="1:13" x14ac:dyDescent="0.35">
      <c r="A33" s="15">
        <v>29</v>
      </c>
      <c r="B33" s="5"/>
      <c r="C33" s="5"/>
      <c r="D33" s="5"/>
      <c r="E33" s="5"/>
      <c r="F33" s="5"/>
      <c r="G33" s="6"/>
      <c r="H33" s="6"/>
      <c r="I33" s="5"/>
      <c r="J33" s="6"/>
      <c r="K33" s="7" t="str">
        <f t="shared" si="0"/>
        <v/>
      </c>
      <c r="L33" s="16"/>
      <c r="M33" s="5"/>
    </row>
    <row r="34" spans="1:13" x14ac:dyDescent="0.35">
      <c r="A34" s="15">
        <v>30</v>
      </c>
      <c r="B34" s="5"/>
      <c r="C34" s="5"/>
      <c r="D34" s="5"/>
      <c r="E34" s="5"/>
      <c r="F34" s="5"/>
      <c r="G34" s="6"/>
      <c r="H34" s="6"/>
      <c r="I34" s="5"/>
      <c r="J34" s="6"/>
      <c r="K34" s="7" t="str">
        <f t="shared" si="0"/>
        <v/>
      </c>
      <c r="L34" s="16"/>
      <c r="M34" s="5"/>
    </row>
    <row r="36" spans="1:13" x14ac:dyDescent="0.35">
      <c r="A36" s="58" t="s">
        <v>68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</row>
  </sheetData>
  <mergeCells count="3">
    <mergeCell ref="A36:L36"/>
    <mergeCell ref="A2:L2"/>
    <mergeCell ref="A1:L1"/>
  </mergeCells>
  <conditionalFormatting sqref="L5:L100">
    <cfRule type="cellIs" dxfId="2" priority="1" operator="equal">
      <formula>"OUI"</formula>
    </cfRule>
    <cfRule type="cellIs" dxfId="1" priority="2" operator="equal">
      <formula>"NON"</formula>
    </cfRule>
    <cfRule type="cellIs" dxfId="0" priority="3" operator="equal">
      <formula>"À VÉRIFIER"</formula>
    </cfRule>
  </conditionalFormatting>
  <dataValidations count="1">
    <dataValidation type="list" allowBlank="1" sqref="L5:L100" xr:uid="{00000000-0002-0000-0300-000002000000}">
      <formula1>"OUI,NON,À VÉRIFIER"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Listes!$B$3:$B$52</xm:f>
          </x14:formula1>
          <xm:sqref>C5:C100</xm:sqref>
        </x14:dataValidation>
        <x14:dataValidation type="list" allowBlank="1" xr:uid="{00000000-0002-0000-0300-000001000000}">
          <x14:formula1>
            <xm:f>Listes!$C$3:$C$21</xm:f>
          </x14:formula1>
          <xm:sqref>D5:D100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topLeftCell="A2" workbookViewId="0">
      <selection activeCell="B12" sqref="B12"/>
    </sheetView>
  </sheetViews>
  <sheetFormatPr baseColWidth="10" defaultColWidth="8.7265625" defaultRowHeight="14.5" x14ac:dyDescent="0.35"/>
  <cols>
    <col min="2" max="2" width="36.6328125" customWidth="1"/>
    <col min="3" max="7" width="28" customWidth="1"/>
  </cols>
  <sheetData>
    <row r="1" spans="1:7" ht="20" x14ac:dyDescent="0.4">
      <c r="B1" s="56" t="s">
        <v>69</v>
      </c>
      <c r="C1" s="55"/>
      <c r="D1" s="55"/>
      <c r="E1" s="55"/>
      <c r="F1" s="55"/>
      <c r="G1" s="55"/>
    </row>
    <row r="2" spans="1:7" x14ac:dyDescent="0.35">
      <c r="A2" s="20" t="s">
        <v>100</v>
      </c>
      <c r="B2" s="20" t="s">
        <v>70</v>
      </c>
      <c r="C2" s="40" t="s">
        <v>71</v>
      </c>
      <c r="D2" s="40" t="s">
        <v>72</v>
      </c>
      <c r="E2" s="40" t="s">
        <v>73</v>
      </c>
      <c r="F2" s="40" t="s">
        <v>74</v>
      </c>
      <c r="G2" s="40" t="s">
        <v>75</v>
      </c>
    </row>
    <row r="3" spans="1:7" x14ac:dyDescent="0.35">
      <c r="A3" t="s">
        <v>103</v>
      </c>
      <c r="B3" s="2" t="s">
        <v>40</v>
      </c>
      <c r="C3" s="2" t="s">
        <v>76</v>
      </c>
      <c r="D3" s="2" t="s">
        <v>77</v>
      </c>
      <c r="E3" s="2" t="s">
        <v>78</v>
      </c>
      <c r="F3" s="2" t="s">
        <v>79</v>
      </c>
      <c r="G3" s="2" t="s">
        <v>80</v>
      </c>
    </row>
    <row r="4" spans="1:7" x14ac:dyDescent="0.35">
      <c r="A4" t="s">
        <v>104</v>
      </c>
      <c r="B4" s="2" t="s">
        <v>41</v>
      </c>
      <c r="C4" s="2" t="s">
        <v>81</v>
      </c>
      <c r="D4" s="2" t="s">
        <v>82</v>
      </c>
      <c r="E4" s="2" t="s">
        <v>83</v>
      </c>
      <c r="F4" s="2" t="s">
        <v>84</v>
      </c>
      <c r="G4" s="2" t="s">
        <v>85</v>
      </c>
    </row>
    <row r="5" spans="1:7" x14ac:dyDescent="0.35">
      <c r="A5" t="s">
        <v>105</v>
      </c>
      <c r="B5" s="2" t="s">
        <v>42</v>
      </c>
      <c r="C5" s="2" t="s">
        <v>97</v>
      </c>
      <c r="D5" s="2" t="s">
        <v>86</v>
      </c>
      <c r="E5" s="2" t="s">
        <v>87</v>
      </c>
      <c r="F5" s="2" t="s">
        <v>88</v>
      </c>
      <c r="G5" s="2" t="s">
        <v>89</v>
      </c>
    </row>
    <row r="6" spans="1:7" x14ac:dyDescent="0.35">
      <c r="A6" t="s">
        <v>106</v>
      </c>
      <c r="B6" s="2" t="s">
        <v>43</v>
      </c>
      <c r="D6" s="2" t="s">
        <v>90</v>
      </c>
      <c r="E6" s="2" t="s">
        <v>91</v>
      </c>
      <c r="F6" s="2" t="s">
        <v>92</v>
      </c>
      <c r="G6" s="2" t="s">
        <v>93</v>
      </c>
    </row>
    <row r="7" spans="1:7" x14ac:dyDescent="0.35">
      <c r="A7" t="s">
        <v>107</v>
      </c>
      <c r="B7" s="2" t="s">
        <v>44</v>
      </c>
      <c r="D7" s="2" t="s">
        <v>94</v>
      </c>
      <c r="F7" s="2" t="s">
        <v>99</v>
      </c>
      <c r="G7" s="2" t="s">
        <v>95</v>
      </c>
    </row>
    <row r="8" spans="1:7" x14ac:dyDescent="0.35">
      <c r="A8" t="s">
        <v>108</v>
      </c>
      <c r="B8" s="2" t="s">
        <v>45</v>
      </c>
    </row>
    <row r="9" spans="1:7" x14ac:dyDescent="0.35">
      <c r="A9" t="s">
        <v>109</v>
      </c>
      <c r="B9" s="2" t="s">
        <v>46</v>
      </c>
    </row>
    <row r="10" spans="1:7" x14ac:dyDescent="0.35">
      <c r="A10" t="s">
        <v>110</v>
      </c>
      <c r="B10" s="2" t="s">
        <v>47</v>
      </c>
    </row>
    <row r="11" spans="1:7" x14ac:dyDescent="0.35">
      <c r="A11" t="s">
        <v>111</v>
      </c>
      <c r="B11" s="2" t="s">
        <v>48</v>
      </c>
    </row>
    <row r="12" spans="1:7" x14ac:dyDescent="0.35">
      <c r="A12" t="s">
        <v>112</v>
      </c>
      <c r="B12" s="2" t="s">
        <v>49</v>
      </c>
    </row>
    <row r="13" spans="1:7" x14ac:dyDescent="0.35">
      <c r="A13" t="s">
        <v>113</v>
      </c>
      <c r="B13" s="2" t="s">
        <v>50</v>
      </c>
    </row>
    <row r="14" spans="1:7" x14ac:dyDescent="0.35">
      <c r="A14" t="s">
        <v>114</v>
      </c>
      <c r="B14" s="2" t="s">
        <v>51</v>
      </c>
    </row>
    <row r="15" spans="1:7" x14ac:dyDescent="0.35">
      <c r="A15" t="s">
        <v>115</v>
      </c>
      <c r="B15" s="2" t="s">
        <v>52</v>
      </c>
    </row>
    <row r="16" spans="1:7" x14ac:dyDescent="0.35">
      <c r="A16" t="s">
        <v>116</v>
      </c>
      <c r="B16" s="2" t="s">
        <v>53</v>
      </c>
    </row>
    <row r="17" spans="1:7" x14ac:dyDescent="0.35">
      <c r="A17" t="s">
        <v>117</v>
      </c>
      <c r="B17" s="2" t="s">
        <v>54</v>
      </c>
    </row>
    <row r="18" spans="1:7" x14ac:dyDescent="0.35">
      <c r="A18" t="s">
        <v>118</v>
      </c>
      <c r="B18" s="2" t="s">
        <v>55</v>
      </c>
    </row>
    <row r="19" spans="1:7" x14ac:dyDescent="0.35">
      <c r="A19" t="s">
        <v>119</v>
      </c>
      <c r="B19" s="2" t="s">
        <v>56</v>
      </c>
    </row>
    <row r="20" spans="1:7" x14ac:dyDescent="0.35">
      <c r="B20" s="2"/>
    </row>
    <row r="21" spans="1:7" x14ac:dyDescent="0.35">
      <c r="A21" t="s">
        <v>120</v>
      </c>
      <c r="B21" s="2" t="s">
        <v>57</v>
      </c>
    </row>
    <row r="22" spans="1:7" x14ac:dyDescent="0.35">
      <c r="B22" s="2"/>
    </row>
    <row r="23" spans="1:7" hidden="1" x14ac:dyDescent="0.35">
      <c r="B23" s="54" t="s">
        <v>96</v>
      </c>
      <c r="C23" s="55"/>
      <c r="D23" s="55"/>
      <c r="E23" s="55"/>
      <c r="F23" s="55"/>
      <c r="G23" s="55"/>
    </row>
    <row r="24" spans="1:7" x14ac:dyDescent="0.35">
      <c r="B24" s="18"/>
    </row>
  </sheetData>
  <mergeCells count="2">
    <mergeCell ref="B23:G23"/>
    <mergeCell ref="B1:G1"/>
  </mergeCells>
  <phoneticPr fontId="13" type="noConversion"/>
  <pageMargins left="0.75" right="0.75" top="1" bottom="1" header="0.5" footer="0.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Synthese</vt:lpstr>
      <vt:lpstr>Paiements</vt:lpstr>
      <vt:lpstr>Situation_Fournisseurs</vt:lpstr>
      <vt:lpstr>Dechargement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Alliance BODJRENOU</cp:lastModifiedBy>
  <cp:lastPrinted>2026-10-11T23:45:35Z</cp:lastPrinted>
  <dcterms:created xsi:type="dcterms:W3CDTF">2026-10-11T21:14:15Z</dcterms:created>
  <dcterms:modified xsi:type="dcterms:W3CDTF">2026-10-12T15:51:34Z</dcterms:modified>
</cp:coreProperties>
</file>