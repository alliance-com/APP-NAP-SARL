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codeName="ThisWorkbook" autoCompressPictures="0"/>
  <xr:revisionPtr revIDLastSave="1" documentId="8_{DC4455F4-D584-48C5-8A01-9542A17E8FDA}" xr6:coauthVersionLast="47" xr6:coauthVersionMax="47" xr10:uidLastSave="{7FF223B6-A3EE-4957-B291-DE7BAD63E6FA}"/>
  <bookViews>
    <workbookView xWindow="-110" yWindow="-110" windowWidth="19420" windowHeight="11500" xr2:uid="{00000000-000D-0000-FFFF-FFFF00000000}"/>
  </bookViews>
  <sheets>
    <sheet name="Liste de tâches" sheetId="1" r:id="rId1"/>
  </sheets>
  <definedNames>
    <definedName name="_xlnm.Print_Titles" localSheetId="0">'Liste de tâches'!$2:$2</definedName>
    <definedName name="TitreColonne1">" 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F7" i="1" s="1"/>
  <c r="E6" i="1"/>
  <c r="F6" i="1" s="1"/>
  <c r="E5" i="1"/>
  <c r="E4" i="1"/>
  <c r="F4" i="1" s="1"/>
  <c r="E3" i="1"/>
  <c r="F3" i="1" s="1"/>
  <c r="H7" i="1" l="1"/>
  <c r="H6" i="1"/>
  <c r="H5" i="1"/>
  <c r="H4" i="1"/>
  <c r="H3" i="1"/>
  <c r="F5" i="1" l="1"/>
</calcChain>
</file>

<file path=xl/sharedStrings.xml><?xml version="1.0" encoding="utf-8"?>
<sst xmlns="http://schemas.openxmlformats.org/spreadsheetml/2006/main" count="24" uniqueCount="20">
  <si>
    <t>Liste de tâches</t>
  </si>
  <si>
    <t>TÂCHE</t>
  </si>
  <si>
    <t>Tâche prioritaire</t>
  </si>
  <si>
    <t>Tâche secondaire</t>
  </si>
  <si>
    <t>Autres tâches à effectuer</t>
  </si>
  <si>
    <t>Autres courses et tâches diverses</t>
  </si>
  <si>
    <t>Tâches à effectuer dans la semaine</t>
  </si>
  <si>
    <t xml:space="preserve">PRIORITÉ </t>
  </si>
  <si>
    <t>Normale</t>
  </si>
  <si>
    <t>Élevée</t>
  </si>
  <si>
    <t>Faible</t>
  </si>
  <si>
    <t xml:space="preserve">ÉTAT </t>
  </si>
  <si>
    <t>Non commencé</t>
  </si>
  <si>
    <t>En cours</t>
  </si>
  <si>
    <t>Terminé</t>
  </si>
  <si>
    <t xml:space="preserve">DATE DE DÉBUT </t>
  </si>
  <si>
    <t xml:space="preserve">ÉCHÉANCE </t>
  </si>
  <si>
    <t>% ACHÈVEMENT</t>
  </si>
  <si>
    <t>TERMINÉ 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</si>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</sst>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&quot;Terminé&quot;;&quot;&quot;;&quot;&quot;"/>
  </numFmts>
  <fonts count="20" x14ac:knownFonts="1">
    <font>
      <sz val="11"/>
      <color theme="1" tint="0.24994659260841701"/>
      <name val="Bookman Old Style"/>
      <family val="2"/>
      <scheme val="minor"/>
    </font>
    <font>
      <sz val="11"/>
      <color theme="1"/>
      <name val="Bookman Old Style"/>
      <family val="2"/>
      <scheme val="minor"/>
    </font>
    <font>
      <sz val="8"/>
      <name val="Bookman Old Style"/>
      <family val="2"/>
      <scheme val="minor"/>
    </font>
    <font>
      <sz val="11"/>
      <color theme="1" tint="0.24994659260841701"/>
      <name val="Bookman Old Style"/>
      <family val="2"/>
      <scheme val="minor"/>
    </font>
    <font>
      <sz val="11"/>
      <color theme="0"/>
      <name val="Bookman Old Style"/>
      <family val="2"/>
      <scheme val="minor"/>
    </font>
    <font>
      <sz val="11"/>
      <color theme="1" tint="0.24994659260841701"/>
      <name val="Franklin Gothic Medium"/>
      <family val="2"/>
      <scheme val="major"/>
    </font>
    <font>
      <sz val="11"/>
      <color theme="3"/>
      <name val="Franklin Gothic Medium"/>
      <family val="2"/>
      <scheme val="major"/>
    </font>
    <font>
      <b/>
      <sz val="38"/>
      <color theme="1" tint="0.24994659260841701"/>
      <name val="Bookman Old Style"/>
      <family val="1"/>
      <scheme val="minor"/>
    </font>
    <font>
      <b/>
      <sz val="11"/>
      <color theme="3"/>
      <name val="Bookman Old Style"/>
      <family val="2"/>
      <scheme val="minor"/>
    </font>
    <font>
      <sz val="11"/>
      <color rgb="FF006100"/>
      <name val="Bookman Old Style"/>
      <family val="2"/>
      <scheme val="minor"/>
    </font>
    <font>
      <sz val="11"/>
      <color rgb="FF9C0006"/>
      <name val="Bookman Old Style"/>
      <family val="2"/>
      <scheme val="minor"/>
    </font>
    <font>
      <sz val="11"/>
      <color rgb="FF9C5700"/>
      <name val="Bookman Old Style"/>
      <family val="2"/>
      <scheme val="minor"/>
    </font>
    <font>
      <sz val="11"/>
      <color rgb="FF3F3F76"/>
      <name val="Bookman Old Style"/>
      <family val="2"/>
      <scheme val="minor"/>
    </font>
    <font>
      <b/>
      <sz val="11"/>
      <color rgb="FF3F3F3F"/>
      <name val="Bookman Old Style"/>
      <family val="2"/>
      <scheme val="minor"/>
    </font>
    <font>
      <b/>
      <sz val="11"/>
      <color rgb="FFFA7D00"/>
      <name val="Bookman Old Style"/>
      <family val="2"/>
      <scheme val="minor"/>
    </font>
    <font>
      <sz val="11"/>
      <color rgb="FFFA7D00"/>
      <name val="Bookman Old Style"/>
      <family val="2"/>
      <scheme val="minor"/>
    </font>
    <font>
      <b/>
      <sz val="11"/>
      <color theme="0"/>
      <name val="Bookman Old Style"/>
      <family val="2"/>
      <scheme val="minor"/>
    </font>
    <font>
      <sz val="11"/>
      <color rgb="FFFF0000"/>
      <name val="Bookman Old Style"/>
      <family val="2"/>
      <scheme val="minor"/>
    </font>
    <font>
      <i/>
      <sz val="11"/>
      <color rgb="FF7F7F7F"/>
      <name val="Bookman Old Style"/>
      <family val="2"/>
      <scheme val="minor"/>
    </font>
    <font>
      <b/>
      <sz val="11"/>
      <color theme="1"/>
      <name val="Bookman Old Style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 wrapText="1"/>
    </xf>
    <xf numFmtId="9" fontId="1" fillId="0" borderId="0" applyFont="0" applyFill="0" applyBorder="0" applyProtection="0">
      <alignment horizontal="right" vertical="center" indent="1"/>
    </xf>
    <xf numFmtId="0" fontId="5" fillId="0" borderId="0" applyFill="0" applyBorder="0" applyProtection="0">
      <alignment horizontal="left"/>
    </xf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3" fillId="2" borderId="2" applyNumberFormat="0" applyFont="0" applyAlignment="0" applyProtection="0"/>
    <xf numFmtId="14" fontId="3" fillId="0" borderId="0" applyFill="0" applyBorder="0">
      <alignment horizontal="right" vertical="center"/>
    </xf>
    <xf numFmtId="166" fontId="4" fillId="0" borderId="0">
      <alignment horizontal="center" vertical="center"/>
    </xf>
    <xf numFmtId="0" fontId="7" fillId="0" borderId="1" applyNumberFormat="0" applyFill="0" applyProtection="0"/>
    <xf numFmtId="0" fontId="6" fillId="0" borderId="0" applyFill="0" applyProtection="0">
      <alignment horizontal="right" indent="2"/>
    </xf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0" applyNumberFormat="0" applyBorder="0" applyAlignment="0" applyProtection="0"/>
    <xf numFmtId="0" fontId="12" fillId="6" borderId="4" applyNumberFormat="0" applyAlignment="0" applyProtection="0"/>
    <xf numFmtId="0" fontId="13" fillId="7" borderId="5" applyNumberFormat="0" applyAlignment="0" applyProtection="0"/>
    <xf numFmtId="0" fontId="14" fillId="7" borderId="4" applyNumberFormat="0" applyAlignment="0" applyProtection="0"/>
    <xf numFmtId="0" fontId="15" fillId="0" borderId="6" applyNumberFormat="0" applyFill="0" applyAlignment="0" applyProtection="0"/>
    <xf numFmtId="0" fontId="16" fillId="8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8" applyNumberFormat="0" applyFill="0" applyAlignment="0" applyProtection="0"/>
    <xf numFmtId="0" fontId="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4" fontId="3" fillId="0" borderId="0" applyFill="0" applyBorder="0">
      <alignment horizontal="right" vertical="center"/>
    </xf>
  </cellStyleXfs>
  <cellXfs count="10">
    <xf numFmtId="0" fontId="0" fillId="0" borderId="0" xfId="0">
      <alignment vertical="center" wrapText="1"/>
    </xf>
    <xf numFmtId="0" fontId="7" fillId="0" borderId="1" xfId="10"/>
    <xf numFmtId="9" fontId="0" fillId="0" borderId="0" xfId="1" applyFont="1" applyBorder="1">
      <alignment horizontal="right" vertical="center" indent="1"/>
    </xf>
    <xf numFmtId="0" fontId="5" fillId="0" borderId="0" xfId="2" applyBorder="1">
      <alignment horizontal="left"/>
    </xf>
    <xf numFmtId="166" fontId="4" fillId="0" borderId="0" xfId="9">
      <alignment horizontal="center" vertical="center"/>
    </xf>
    <xf numFmtId="14" fontId="3" fillId="0" borderId="0" xfId="8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1" xfId="10" applyAlignment="1">
      <alignment horizontal="center" vertical="center"/>
    </xf>
    <xf numFmtId="0" fontId="6" fillId="0" borderId="0" xfId="11" applyAlignment="1">
      <alignment horizontal="center" vertical="center"/>
    </xf>
    <xf numFmtId="0" fontId="5" fillId="0" borderId="0" xfId="2" applyBorder="1" applyAlignment="1">
      <alignment horizontal="center" vertical="center"/>
    </xf>
  </cellXfs>
  <cellStyles count="50">
    <cellStyle name="20 % - Accent1" xfId="26" builtinId="30" customBuiltin="1"/>
    <cellStyle name="20 % - Accent2" xfId="30" builtinId="34" customBuiltin="1"/>
    <cellStyle name="20 % - Accent3" xfId="34" builtinId="38" customBuiltin="1"/>
    <cellStyle name="20 % - Accent4" xfId="38" builtinId="42" customBuiltin="1"/>
    <cellStyle name="20 % - Accent5" xfId="42" builtinId="46" customBuiltin="1"/>
    <cellStyle name="20 % - Accent6" xfId="46" builtinId="50" customBuiltin="1"/>
    <cellStyle name="40 % - Accent1" xfId="27" builtinId="31" customBuiltin="1"/>
    <cellStyle name="40 % - Accent2" xfId="31" builtinId="35" customBuiltin="1"/>
    <cellStyle name="40 % - Accent3" xfId="35" builtinId="39" customBuiltin="1"/>
    <cellStyle name="40 % - Accent4" xfId="39" builtinId="43" customBuiltin="1"/>
    <cellStyle name="40 % - Accent5" xfId="43" builtinId="47" customBuiltin="1"/>
    <cellStyle name="40 % - Accent6" xfId="47" builtinId="51" customBuiltin="1"/>
    <cellStyle name="60 % - Accent1" xfId="28" builtinId="32" customBuiltin="1"/>
    <cellStyle name="60 % - Accent2" xfId="32" builtinId="36" customBuiltin="1"/>
    <cellStyle name="60 % - Accent3" xfId="36" builtinId="40" customBuiltin="1"/>
    <cellStyle name="60 % - Accent4" xfId="40" builtinId="44" customBuiltin="1"/>
    <cellStyle name="60 % - Accent5" xfId="44" builtinId="48" customBuiltin="1"/>
    <cellStyle name="60 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Avertissement" xfId="22" builtinId="11" customBuiltin="1"/>
    <cellStyle name="Calcul" xfId="19" builtinId="22" customBuiltin="1"/>
    <cellStyle name="Cellule liée" xfId="20" builtinId="24" customBuiltin="1"/>
    <cellStyle name="Date" xfId="8" xr:uid="{00000000-0005-0000-0000-000004000000}"/>
    <cellStyle name="Date 2" xfId="49" xr:uid="{80DF0800-F486-450A-95BC-9E8FBFDD674D}"/>
    <cellStyle name="Entrée" xfId="17" builtinId="20" customBuiltin="1"/>
    <cellStyle name="Insatisfaisant" xfId="15" builtinId="27" customBuiltin="1"/>
    <cellStyle name="Milliers" xfId="3" builtinId="3" customBuiltin="1"/>
    <cellStyle name="Milliers [0]" xfId="4" builtinId="6" customBuiltin="1"/>
    <cellStyle name="Monétaire" xfId="5" builtinId="4" customBuiltin="1"/>
    <cellStyle name="Monétaire [0]" xfId="6" builtinId="7" customBuiltin="1"/>
    <cellStyle name="Neutre" xfId="16" builtinId="28" customBuiltin="1"/>
    <cellStyle name="Normal" xfId="0" builtinId="0" customBuiltin="1"/>
    <cellStyle name="Note" xfId="7" builtinId="10" customBuiltin="1"/>
    <cellStyle name="Pourcentage" xfId="1" builtinId="5" customBuiltin="1"/>
    <cellStyle name="Satisfaisant" xfId="14" builtinId="26" customBuiltin="1"/>
    <cellStyle name="Sortie" xfId="18" builtinId="21" customBuiltin="1"/>
    <cellStyle name="Terminé" xfId="9" xr:uid="{00000000-0005-0000-0000-000005000000}"/>
    <cellStyle name="Texte explicatif" xfId="23" builtinId="53" customBuiltin="1"/>
    <cellStyle name="Titre" xfId="10" builtinId="15" customBuiltin="1"/>
    <cellStyle name="Titre 1" xfId="2" builtinId="16" customBuiltin="1"/>
    <cellStyle name="Titre 2" xfId="11" builtinId="17" customBuiltin="1"/>
    <cellStyle name="Titre 3" xfId="12" builtinId="18" customBuiltin="1"/>
    <cellStyle name="Titre 4" xfId="13" builtinId="19" customBuiltin="1"/>
    <cellStyle name="Total" xfId="24" builtinId="25" customBuiltin="1"/>
    <cellStyle name="Vérification" xfId="21" builtinId="23" customBuiltin="1"/>
  </cellStyles>
  <dxfs count="16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numFmt numFmtId="166" formatCode="&quot;Terminé&quot;;&quot;&quot;;&quot;&quot;"/>
    </dxf>
    <dxf>
      <fill>
        <patternFill>
          <bgColor theme="0" tint="-4.9989318521683403E-2"/>
        </patternFill>
      </fill>
    </dxf>
    <dxf>
      <border>
        <bottom style="thin">
          <color theme="0" tint="-0.14993743705557422"/>
        </bottom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ck">
          <color theme="7" tint="0.39994506668294322"/>
        </top>
        <bottom style="thin">
          <color theme="6" tint="0.39997558519241921"/>
        </bottom>
      </border>
    </dxf>
  </dxfs>
  <tableStyles count="2" defaultPivotStyle="PivotStyleLight2">
    <tableStyle name="Tableau croisé dynamique Liste de tâches" table="0" count="11" xr9:uid="{00000000-0011-0000-FFFF-FFFF00000000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Column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  <tableStyle name="Liste de tâches" pivot="0" count="1" xr9:uid="{00000000-0011-0000-FFFF-FFFF01000000}">
      <tableStyleElement type="wholeTabl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ListeDesTâches" displayName="ListeDesTâches" ref="B2:I7" totalsRowShown="0">
  <autoFilter ref="B2:I7" xr:uid="{00000000-0009-0000-0100-000004000000}"/>
  <tableColumns count="8">
    <tableColumn id="1" xr3:uid="{00000000-0010-0000-0000-000001000000}" name="TÂCHE"/>
    <tableColumn id="3" xr3:uid="{00000000-0010-0000-0000-000003000000}" name="PRIORITÉ "/>
    <tableColumn id="4" xr3:uid="{00000000-0010-0000-0000-000004000000}" name="ÉTAT "/>
    <tableColumn id="6" xr3:uid="{00000000-0010-0000-0000-000006000000}" name="DATE DE DÉBUT " dataDxfId="0" dataCellStyle="Date"/>
    <tableColumn id="7" xr3:uid="{00000000-0010-0000-0000-000007000000}" name="ÉCHÉANCE " dataDxfId="1" dataCellStyle="Date"/>
    <tableColumn id="5" xr3:uid="{00000000-0010-0000-0000-000005000000}" name="% ACHÈVEMENT"/>
    <tableColumn id="9" xr3:uid="{00000000-0010-0000-0000-000009000000}" name="TERMINÉ ?" dataDxfId="2">
      <calculatedColumnFormula>--(ListeDesTâches[[#This Row],[% ACHÈVEMENT]]&gt;=1)</calculatedColumnFormula>
    </tableColumn>
    <tableColumn id="10" xr3:uid="{00000000-0010-0000-0000-00000A000000}" name="NOTES"/>
  </tableColumns>
  <tableStyleInfo name="Liste de tâches" showFirstColumn="0" showLastColumn="0" showRowStripes="0" showColumnStripes="0"/>
  <extLst>
    <ext xmlns:x14="http://schemas.microsoft.com/office/spreadsheetml/2009/9/main" uri="{504A1905-F514-4f6f-8877-14C23A59335A}">
      <x14:table altTextSummary="Gérez les tâches que vous avez à faire avec ce tableau constitué des éléments Liste des tâches, Priorité, Date de début, Date d’échéance, État et % achèvement"/>
    </ext>
  </extLst>
</table>
</file>

<file path=xl/theme/theme1.xml><?xml version="1.0" encoding="utf-8"?>
<a:theme xmlns:a="http://schemas.openxmlformats.org/drawingml/2006/main" name="Office Theme">
  <a:themeElements>
    <a:clrScheme name="To-Do List">
      <a:dk1>
        <a:sysClr val="windowText" lastClr="000000"/>
      </a:dk1>
      <a:lt1>
        <a:sysClr val="window" lastClr="FFFFFF"/>
      </a:lt1>
      <a:dk2>
        <a:srgbClr val="251C22"/>
      </a:dk2>
      <a:lt2>
        <a:srgbClr val="F0F8F6"/>
      </a:lt2>
      <a:accent1>
        <a:srgbClr val="947087"/>
      </a:accent1>
      <a:accent2>
        <a:srgbClr val="47A6B5"/>
      </a:accent2>
      <a:accent3>
        <a:srgbClr val="EAC235"/>
      </a:accent3>
      <a:accent4>
        <a:srgbClr val="6BC081"/>
      </a:accent4>
      <a:accent5>
        <a:srgbClr val="E9733D"/>
      </a:accent5>
      <a:accent6>
        <a:srgbClr val="FB933B"/>
      </a:accent6>
      <a:hlink>
        <a:srgbClr val="47A6B5"/>
      </a:hlink>
      <a:folHlink>
        <a:srgbClr val="947087"/>
      </a:folHlink>
    </a:clrScheme>
    <a:fontScheme name="To-Do List">
      <a:majorFont>
        <a:latin typeface="Franklin Gothic Medium"/>
        <a:ea typeface=""/>
        <a:cs typeface=""/>
      </a:majorFont>
      <a:minorFont>
        <a:latin typeface="Bookman Old Styl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I7"/>
  <sheetViews>
    <sheetView showGridLines="0" tabSelected="1" topLeftCell="C1" zoomScaleNormal="100" workbookViewId="0">
      <selection activeCell="D8" sqref="D8"/>
    </sheetView>
  </sheetViews>
  <sheetFormatPr baseColWidth="10" defaultColWidth="8.78515625" defaultRowHeight="30" customHeight="1" x14ac:dyDescent="0.3"/>
  <cols>
    <col min="1" max="1" width="2.78515625" customWidth="1"/>
    <col min="2" max="2" width="35.42578125" customWidth="1"/>
    <col min="3" max="4" width="16.78515625" customWidth="1"/>
    <col min="5" max="5" width="20.140625" style="6" customWidth="1"/>
    <col min="6" max="6" width="16.78515625" style="6" customWidth="1"/>
    <col min="7" max="7" width="16.78515625" customWidth="1"/>
    <col min="8" max="8" width="2.78515625" customWidth="1"/>
    <col min="9" max="9" width="29.640625" customWidth="1"/>
    <col min="10" max="10" width="2.78515625" customWidth="1"/>
  </cols>
  <sheetData>
    <row r="1" spans="2:9" ht="72.75" customHeight="1" thickBot="1" x14ac:dyDescent="1">
      <c r="B1" s="1" t="s">
        <v>0</v>
      </c>
      <c r="C1" s="1"/>
      <c r="D1" s="1"/>
      <c r="E1" s="7"/>
      <c r="F1" s="7"/>
      <c r="G1" s="1"/>
      <c r="H1" s="1"/>
      <c r="I1" s="1"/>
    </row>
    <row r="2" spans="2:9" ht="33" customHeight="1" thickTop="1" x14ac:dyDescent="0.4">
      <c r="B2" s="9" t="s">
        <v>1</v>
      </c>
      <c r="C2" s="9" t="s">
        <v>7</v>
      </c>
      <c r="D2" s="9" t="s">
        <v>11</v>
      </c>
      <c r="E2" s="8" t="s">
        <v>15</v>
      </c>
      <c r="F2" s="8" t="s">
        <v>16</v>
      </c>
      <c r="G2" s="9" t="s">
        <v>17</v>
      </c>
      <c r="H2" s="4" t="s">
        <v>18</v>
      </c>
      <c r="I2" s="3" t="s">
        <v>19</v>
      </c>
    </row>
    <row r="3" spans="2:9" ht="30" customHeight="1" x14ac:dyDescent="0.3">
      <c r="B3" t="s">
        <v>2</v>
      </c>
      <c r="C3" t="s">
        <v>8</v>
      </c>
      <c r="D3" t="s">
        <v>12</v>
      </c>
      <c r="E3" s="5">
        <f ca="1">TODAY()</f>
        <v>46301</v>
      </c>
      <c r="F3" s="5">
        <f ca="1">ListeDesTâches[[#This Row],[DATE DE DÉBUT ]]+7</f>
        <v>46308</v>
      </c>
      <c r="G3" s="2">
        <v>0</v>
      </c>
      <c r="H3" s="4">
        <f>--(ListeDesTâches[[#This Row],[% ACHÈVEMENT]]&gt;=1)</f>
        <v>0</v>
      </c>
    </row>
    <row r="4" spans="2:9" ht="30" customHeight="1" x14ac:dyDescent="0.3">
      <c r="B4" t="s">
        <v>3</v>
      </c>
      <c r="C4" t="s">
        <v>9</v>
      </c>
      <c r="D4" t="s">
        <v>13</v>
      </c>
      <c r="E4" s="5">
        <f ca="1">TODAY()-30</f>
        <v>46271</v>
      </c>
      <c r="F4" s="5">
        <f ca="1">ListeDesTâches[[#This Row],[DATE DE DÉBUT ]]+35</f>
        <v>46306</v>
      </c>
      <c r="G4" s="2">
        <v>0</v>
      </c>
      <c r="H4" s="4">
        <f>--(ListeDesTâches[[#This Row],[% ACHÈVEMENT]]&gt;=1)</f>
        <v>0</v>
      </c>
    </row>
    <row r="5" spans="2:9" ht="30" customHeight="1" x14ac:dyDescent="0.3">
      <c r="B5" t="s">
        <v>4</v>
      </c>
      <c r="C5" t="s">
        <v>10</v>
      </c>
      <c r="D5" t="s">
        <v>14</v>
      </c>
      <c r="E5" s="5">
        <f ca="1">TODAY()-23</f>
        <v>46278</v>
      </c>
      <c r="F5" s="5">
        <f ca="1">ListeDesTâches[[#This Row],[DATE DE DÉBUT ]]+10</f>
        <v>46288</v>
      </c>
      <c r="G5" s="2">
        <v>0</v>
      </c>
      <c r="H5" s="4">
        <f>--(ListeDesTâches[[#This Row],[% ACHÈVEMENT]]&gt;=1)</f>
        <v>0</v>
      </c>
    </row>
    <row r="6" spans="2:9" ht="30" customHeight="1" x14ac:dyDescent="0.3">
      <c r="B6" t="s">
        <v>5</v>
      </c>
      <c r="C6" t="s">
        <v>8</v>
      </c>
      <c r="D6" t="s">
        <v>13</v>
      </c>
      <c r="E6" s="5">
        <f ca="1">TODAY()-15</f>
        <v>46286</v>
      </c>
      <c r="F6" s="5">
        <f ca="1">ListeDesTâches[[#This Row],[DATE DE DÉBUT ]]+36</f>
        <v>46322</v>
      </c>
      <c r="G6" s="2">
        <v>0</v>
      </c>
      <c r="H6" s="4">
        <f>--(ListeDesTâches[[#This Row],[% ACHÈVEMENT]]&gt;=1)</f>
        <v>0</v>
      </c>
    </row>
    <row r="7" spans="2:9" ht="30" customHeight="1" x14ac:dyDescent="0.3">
      <c r="B7" t="s">
        <v>6</v>
      </c>
      <c r="C7" t="s">
        <v>9</v>
      </c>
      <c r="D7" t="s">
        <v>13</v>
      </c>
      <c r="E7" s="5">
        <f ca="1">TODAY()-5</f>
        <v>46296</v>
      </c>
      <c r="F7" s="5">
        <f ca="1">ListeDesTâches[[#This Row],[DATE DE DÉBUT ]]+14</f>
        <v>46310</v>
      </c>
      <c r="G7" s="2">
        <v>0</v>
      </c>
      <c r="H7" s="4">
        <f>--(ListeDesTâches[[#This Row],[% ACHÈVEMENT]]&gt;=1)</f>
        <v>0</v>
      </c>
    </row>
  </sheetData>
  <phoneticPr fontId="2" type="noConversion"/>
  <conditionalFormatting sqref="B3:I7">
    <cfRule type="expression" dxfId="3" priority="4">
      <formula>AND($G3=0,$G3&lt;&gt;"")</formula>
    </cfRule>
  </conditionalFormatting>
  <conditionalFormatting sqref="G3:G7">
    <cfRule type="dataBar" priority="9">
      <dataBar>
        <cfvo type="min"/>
        <cfvo type="max"/>
        <color theme="4" tint="0.39997558519241921"/>
      </dataBar>
      <extLst>
        <ext xmlns:x14="http://schemas.microsoft.com/office/spreadsheetml/2009/9/main" uri="{B025F937-C7B1-47D3-B67F-A62EFF666E3E}">
          <x14:id>{8C6A5CC8-56B3-4028-81B5-C3A4E862D9B7}</x14:id>
        </ext>
      </extLst>
    </cfRule>
  </conditionalFormatting>
  <dataValidations xWindow="46" yWindow="284" count="14">
    <dataValidation allowBlank="1" showInputMessage="1" showErrorMessage="1" prompt="Créez une liste de tâches avec suivi de l’avancement dans cette feuille de calcul" sqref="A1" xr:uid="{00000000-0002-0000-0000-000000000000}"/>
    <dataValidation allowBlank="1" showInputMessage="1" showErrorMessage="1" prompt="Le titre de la feuille de calcul figure dans cette cellule." sqref="B1" xr:uid="{00000000-0002-0000-0000-000001000000}"/>
    <dataValidation allowBlank="1" showInputMessage="1" showErrorMessage="1" prompt="Entrez la tâche dans cette colonne sous ce titre. Utilisez les filtres de titre pour trouver des entrées spécifiques" sqref="B2" xr:uid="{00000000-0002-0000-0000-000002000000}"/>
    <dataValidation allowBlank="1" showInputMessage="1" showErrorMessage="1" prompt="Sélectionnez la priorité dans cette colonne sous ce titre. Appuyez sur ALT+FLÈCHE BAS pour ouvrir la liste déroulante, puis sur ENTRÉE pour effectuer la sélection" sqref="C2" xr:uid="{00000000-0002-0000-0000-000003000000}"/>
    <dataValidation allowBlank="1" showInputMessage="1" showErrorMessage="1" prompt="Sélectionnez l’état dans cette colonne sous ce titre. Appuyez sur ALT+FLÈCHE BAS pour ouvrir la liste déroulante, puis sur ENTRÉE pour effectuer votre sélection" sqref="D2" xr:uid="{00000000-0002-0000-0000-000004000000}"/>
    <dataValidation allowBlank="1" showInputMessage="1" showErrorMessage="1" prompt="Entrez la date de début dans cette colonne sous ce titre" sqref="E2" xr:uid="{00000000-0002-0000-0000-000005000000}"/>
    <dataValidation allowBlank="1" showInputMessage="1" showErrorMessage="1" prompt="Entrez la date d’échéance dans cette colonne sous ce titre." sqref="F2" xr:uid="{00000000-0002-0000-0000-000006000000}"/>
    <dataValidation allowBlank="1" showInputMessage="1" showErrorMessage="1" prompt="Sélectionnez le pourcentage d’achèvement dans cette colonne. Appuyez sur ALT+FLÈCHE BAS pour ouvrir la liste déroulante, puis sur ENTRÉE pour effectuer votre sélection. Une barre d’état indique l’avancement de la tâche" sqref="G2" xr:uid="{00000000-0002-0000-0000-000007000000}"/>
    <dataValidation allowBlank="1" showInputMessage="1" showErrorMessage="1" prompt="L’indicateur d’achèvement de tâche figurant dans cette colonne sous ce titre est automatiquement mis à jour à mesure qu’une tâche est terminée" sqref="H2" xr:uid="{00000000-0002-0000-0000-000008000000}"/>
    <dataValidation allowBlank="1" showInputMessage="1" showErrorMessage="1" prompt="Entrez des notes dans cette colonne sous ce titre." sqref="I2" xr:uid="{00000000-0002-0000-0000-000009000000}"/>
    <dataValidation type="list" errorStyle="warning" allowBlank="1" showInputMessage="1" showErrorMessage="1" error="Sélectionnez une entrée dans la liste. Sélectionnez ANNULER, appuyez sur ALT+FLÈCHE BAS pour ouvrir la liste déroulante, puis sur ENTRÉE pour effectuer une sélection." sqref="C3:C7" xr:uid="{00000000-0002-0000-0000-00000A000000}">
      <formula1>"Faible, Normale, Élevée"</formula1>
    </dataValidation>
    <dataValidation type="list" errorStyle="warning" allowBlank="1" showInputMessage="1" showErrorMessage="1" error="Sélectionnez une entrée dans la liste. Sélectionnez ANNULER, appuyez sur ALT+FLÈCHE BAS pour ouvrir la liste déroulante, puis sur ENTRÉE pour effectuer une sélection." sqref="D3:D7" xr:uid="{00000000-0002-0000-0000-00000B000000}">
      <formula1>"Non commencé,En cours,Différé,Terminé"</formula1>
    </dataValidation>
    <dataValidation type="list" errorStyle="warning" allowBlank="1" showInputMessage="1" showErrorMessage="1" error="Sélectionnez une entrée dans la liste. Sélectionnez ANNULER, appuyez sur ALT+FLÈCHE BAS pour ouvrir la liste déroulante, puis sur ENTRÉE pour effectuer une sélection." sqref="G3:G7" xr:uid="{00000000-0002-0000-0000-00000C000000}">
      <formula1>"0%,25%,50%,75%,100%"</formula1>
    </dataValidation>
    <dataValidation type="custom" errorStyle="warning" allowBlank="1" showInputMessage="1" showErrorMessage="1" error="La date d’échéance doit être supérieure ou égale à la date de début. Sélectionnez OUI pour conserver la valeur, NON pour réessayer ou ANNULER pour effacer l’entrée" sqref="F3:F7" xr:uid="{00000000-0002-0000-0000-00000D000000}">
      <formula1>F3&gt;=E3</formula1>
    </dataValidation>
  </dataValidations>
  <printOptions horizontalCentered="1"/>
  <pageMargins left="0.4" right="0.4" top="0.5" bottom="0.5" header="0.3" footer="0.3"/>
  <pageSetup paperSize="9" scale="70" fitToHeight="0" orientation="landscape" horizontalDpi="200" verticalDpi="200" r:id="rId1"/>
  <headerFooter differentFirst="1">
    <oddHeader>&amp;L&amp;16To-Do List</oddHeader>
    <oddFooter>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C6A5CC8-56B3-4028-81B5-C3A4E862D9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G3:G7</xm:sqref>
        </x14:conditionalFormatting>
        <x14:conditionalFormatting xmlns:xm="http://schemas.microsoft.com/office/excel/2006/main">
          <x14:cfRule type="iconSet" priority="10" id="{94681881-FBDE-4982-9C8F-A86810684A25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" iconId="2"/>
            </x14:iconSet>
          </x14:cfRule>
          <xm:sqref>H3:H7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0C9377B5-33A9-4C3D-9A88-86A3E387B0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8CA8E1-44D4-4665-B868-FBF7A439CA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0D6D39-DBD9-4440-B62F-A6A353ABBEA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TM04014210</Templat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Liste de tâches</vt:lpstr>
      <vt:lpstr>'Liste de tâches'!Impression_des_titres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2022-11-06T06:00:25Z</dcterms:created>
  <dcterms:modified xsi:type="dcterms:W3CDTF">2026-10-06T08:29:03Z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