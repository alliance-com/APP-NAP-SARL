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84ae468a7ae29cc/Desktop/DATA/"/>
    </mc:Choice>
  </mc:AlternateContent>
  <xr:revisionPtr revIDLastSave="5" documentId="13_ncr:1_{ED02C181-827E-4B88-B9AB-C9C4EE23A35A}" xr6:coauthVersionLast="47" xr6:coauthVersionMax="47" xr10:uidLastSave="{BB1A0573-9997-4822-9A1D-6E2FB8918DC8}"/>
  <bookViews>
    <workbookView xWindow="-110" yWindow="-110" windowWidth="19420" windowHeight="11500" activeTab="4" xr2:uid="{00000000-000D-0000-FFFF-FFFF00000000}"/>
  </bookViews>
  <sheets>
    <sheet name="Controle_Paiement" sheetId="5" r:id="rId1"/>
    <sheet name="Paiements" sheetId="1" r:id="rId2"/>
    <sheet name="Synthese" sheetId="2" r:id="rId3"/>
    <sheet name="Fournisseurs" sheetId="3" r:id="rId4"/>
    <sheet name="Dechargements" sheetId="4" r:id="rId5"/>
    <sheet name="Listes" sheetId="6" r:id="rId6"/>
  </sheets>
  <definedNames>
    <definedName name="_xlnm._FilterDatabase" localSheetId="4" hidden="1">Dechargements!$A$4:$K$1002</definedName>
    <definedName name="_xlnm.Print_Titles" localSheetId="4">Dechargements!$4:$4</definedName>
    <definedName name="_xlnm.Print_Titles" localSheetId="1">Paiements!$4:$4</definedName>
    <definedName name="L_Beneficiaires">OFFSET(Listes!$A$2,0,0,MAX(1,COUNTA(Listes!$A$2:$A$100)),1)</definedName>
    <definedName name="L_Comptes">OFFSET(Listes!$E$2,0,0,MAX(1,COUNTA(Listes!$E$2:$E$100)),1)</definedName>
    <definedName name="L_Domaines">OFFSET(Listes!$C$2,0,0,MAX(1,COUNTA(Listes!$C$2:$C$100)),1)</definedName>
    <definedName name="L_Fournisseurs">OFFSET(Fournisseurs!#REF!,0,0,MAX(1,COUNTA(Fournisseurs!$B$6:$B$103)),1)</definedName>
    <definedName name="L_Modes">OFFSET(Listes!$D$2,0,0,MAX(1,COUNTA(Listes!$D$2:$D$100)),1)</definedName>
    <definedName name="L_Produits">OFFSET(Listes!$G$2,0,0,MAX(1,COUNTA(Listes!$G$2:$G$100)),1)</definedName>
    <definedName name="L_Statuts">OFFSET(Listes!$F$2,0,0,MAX(1,COUNTA(Listes!$F$2:$F$100)),1)</definedName>
    <definedName name="L_StatutsDech">OFFSET(Listes!$H$2,0,0,MAX(1,COUNTA(Listes!$H$2:$H$100)),1)</definedName>
    <definedName name="L_Types">OFFSET(Listes!$B$2,0,0,MAX(1,COUNTA(Listes!$B$2:$B$100)),1)</definedName>
    <definedName name="P_Max">Listes!$K$3</definedName>
    <definedName name="P_Min">Listes!$K$2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3" l="1"/>
  <c r="B14" i="5" l="1"/>
  <c r="B13" i="5"/>
  <c r="B9" i="5"/>
  <c r="B8" i="5"/>
  <c r="B11" i="5" s="1"/>
  <c r="G1002" i="4"/>
  <c r="I1002" i="4" s="1"/>
  <c r="G1001" i="4"/>
  <c r="J1001" i="4" s="1"/>
  <c r="L1001" i="4" s="1"/>
  <c r="J1000" i="4"/>
  <c r="L1000" i="4" s="1"/>
  <c r="G1000" i="4"/>
  <c r="I1000" i="4" s="1"/>
  <c r="I999" i="4"/>
  <c r="G999" i="4"/>
  <c r="J999" i="4" s="1"/>
  <c r="L999" i="4" s="1"/>
  <c r="G998" i="4"/>
  <c r="J998" i="4" s="1"/>
  <c r="L998" i="4" s="1"/>
  <c r="J997" i="4"/>
  <c r="L997" i="4" s="1"/>
  <c r="G997" i="4"/>
  <c r="I997" i="4" s="1"/>
  <c r="J996" i="4"/>
  <c r="L996" i="4" s="1"/>
  <c r="G996" i="4"/>
  <c r="I996" i="4" s="1"/>
  <c r="G995" i="4"/>
  <c r="J995" i="4" s="1"/>
  <c r="L995" i="4" s="1"/>
  <c r="G994" i="4"/>
  <c r="I994" i="4" s="1"/>
  <c r="I993" i="4"/>
  <c r="G993" i="4"/>
  <c r="J993" i="4" s="1"/>
  <c r="L993" i="4" s="1"/>
  <c r="G992" i="4"/>
  <c r="J992" i="4" s="1"/>
  <c r="L992" i="4" s="1"/>
  <c r="G991" i="4"/>
  <c r="I991" i="4" s="1"/>
  <c r="J990" i="4"/>
  <c r="L990" i="4" s="1"/>
  <c r="G990" i="4"/>
  <c r="I990" i="4" s="1"/>
  <c r="G989" i="4"/>
  <c r="J989" i="4" s="1"/>
  <c r="L989" i="4" s="1"/>
  <c r="J988" i="4"/>
  <c r="L988" i="4" s="1"/>
  <c r="G988" i="4"/>
  <c r="I988" i="4" s="1"/>
  <c r="G987" i="4"/>
  <c r="J987" i="4" s="1"/>
  <c r="L987" i="4" s="1"/>
  <c r="G986" i="4"/>
  <c r="J986" i="4" s="1"/>
  <c r="L986" i="4" s="1"/>
  <c r="G985" i="4"/>
  <c r="I985" i="4" s="1"/>
  <c r="G984" i="4"/>
  <c r="I984" i="4" s="1"/>
  <c r="G983" i="4"/>
  <c r="J983" i="4" s="1"/>
  <c r="L983" i="4" s="1"/>
  <c r="J982" i="4"/>
  <c r="L982" i="4" s="1"/>
  <c r="G982" i="4"/>
  <c r="I982" i="4" s="1"/>
  <c r="I981" i="4"/>
  <c r="G981" i="4"/>
  <c r="J981" i="4" s="1"/>
  <c r="L981" i="4" s="1"/>
  <c r="G980" i="4"/>
  <c r="J980" i="4" s="1"/>
  <c r="L980" i="4" s="1"/>
  <c r="G979" i="4"/>
  <c r="I979" i="4" s="1"/>
  <c r="G978" i="4"/>
  <c r="I978" i="4" s="1"/>
  <c r="G977" i="4"/>
  <c r="J977" i="4" s="1"/>
  <c r="L977" i="4" s="1"/>
  <c r="G976" i="4"/>
  <c r="I976" i="4" s="1"/>
  <c r="I975" i="4"/>
  <c r="G975" i="4"/>
  <c r="J975" i="4" s="1"/>
  <c r="L975" i="4" s="1"/>
  <c r="G974" i="4"/>
  <c r="J974" i="4" s="1"/>
  <c r="L974" i="4" s="1"/>
  <c r="G973" i="4"/>
  <c r="J973" i="4" s="1"/>
  <c r="L973" i="4" s="1"/>
  <c r="G972" i="4"/>
  <c r="J972" i="4" s="1"/>
  <c r="L972" i="4" s="1"/>
  <c r="G971" i="4"/>
  <c r="J971" i="4" s="1"/>
  <c r="L971" i="4" s="1"/>
  <c r="G970" i="4"/>
  <c r="J970" i="4" s="1"/>
  <c r="L970" i="4" s="1"/>
  <c r="G969" i="4"/>
  <c r="J969" i="4" s="1"/>
  <c r="L969" i="4" s="1"/>
  <c r="G968" i="4"/>
  <c r="J968" i="4" s="1"/>
  <c r="L968" i="4" s="1"/>
  <c r="J967" i="4"/>
  <c r="L967" i="4" s="1"/>
  <c r="I967" i="4"/>
  <c r="G967" i="4"/>
  <c r="G966" i="4"/>
  <c r="G965" i="4"/>
  <c r="J965" i="4" s="1"/>
  <c r="L965" i="4" s="1"/>
  <c r="G964" i="4"/>
  <c r="J964" i="4" s="1"/>
  <c r="L964" i="4" s="1"/>
  <c r="G963" i="4"/>
  <c r="I963" i="4" s="1"/>
  <c r="G962" i="4"/>
  <c r="J962" i="4" s="1"/>
  <c r="L962" i="4" s="1"/>
  <c r="J961" i="4"/>
  <c r="L961" i="4" s="1"/>
  <c r="I961" i="4"/>
  <c r="G961" i="4"/>
  <c r="G960" i="4"/>
  <c r="G959" i="4"/>
  <c r="J959" i="4" s="1"/>
  <c r="L959" i="4" s="1"/>
  <c r="J958" i="4"/>
  <c r="L958" i="4" s="1"/>
  <c r="I958" i="4"/>
  <c r="G958" i="4"/>
  <c r="J957" i="4"/>
  <c r="L957" i="4" s="1"/>
  <c r="G957" i="4"/>
  <c r="I957" i="4" s="1"/>
  <c r="G956" i="4"/>
  <c r="J956" i="4" s="1"/>
  <c r="L956" i="4" s="1"/>
  <c r="J955" i="4"/>
  <c r="L955" i="4" s="1"/>
  <c r="I955" i="4"/>
  <c r="G955" i="4"/>
  <c r="G954" i="4"/>
  <c r="G953" i="4"/>
  <c r="J953" i="4" s="1"/>
  <c r="L953" i="4" s="1"/>
  <c r="G952" i="4"/>
  <c r="J952" i="4" s="1"/>
  <c r="L952" i="4" s="1"/>
  <c r="G951" i="4"/>
  <c r="J951" i="4" s="1"/>
  <c r="L951" i="4" s="1"/>
  <c r="G950" i="4"/>
  <c r="J950" i="4" s="1"/>
  <c r="L950" i="4" s="1"/>
  <c r="J949" i="4"/>
  <c r="L949" i="4" s="1"/>
  <c r="I949" i="4"/>
  <c r="G949" i="4"/>
  <c r="J948" i="4"/>
  <c r="L948" i="4" s="1"/>
  <c r="I948" i="4"/>
  <c r="G948" i="4"/>
  <c r="G947" i="4"/>
  <c r="J947" i="4" s="1"/>
  <c r="L947" i="4" s="1"/>
  <c r="J946" i="4"/>
  <c r="L946" i="4" s="1"/>
  <c r="I946" i="4"/>
  <c r="G946" i="4"/>
  <c r="G945" i="4"/>
  <c r="J945" i="4" s="1"/>
  <c r="L945" i="4" s="1"/>
  <c r="G944" i="4"/>
  <c r="J944" i="4" s="1"/>
  <c r="L944" i="4" s="1"/>
  <c r="J943" i="4"/>
  <c r="L943" i="4" s="1"/>
  <c r="I943" i="4"/>
  <c r="G943" i="4"/>
  <c r="G942" i="4"/>
  <c r="J942" i="4" s="1"/>
  <c r="L942" i="4" s="1"/>
  <c r="G941" i="4"/>
  <c r="J941" i="4" s="1"/>
  <c r="L941" i="4" s="1"/>
  <c r="J940" i="4"/>
  <c r="L940" i="4" s="1"/>
  <c r="I940" i="4"/>
  <c r="G940" i="4"/>
  <c r="G939" i="4"/>
  <c r="J939" i="4" s="1"/>
  <c r="L939" i="4" s="1"/>
  <c r="G938" i="4"/>
  <c r="J938" i="4" s="1"/>
  <c r="L938" i="4" s="1"/>
  <c r="J937" i="4"/>
  <c r="L937" i="4" s="1"/>
  <c r="I937" i="4"/>
  <c r="G937" i="4"/>
  <c r="G936" i="4"/>
  <c r="J936" i="4" s="1"/>
  <c r="L936" i="4" s="1"/>
  <c r="G935" i="4"/>
  <c r="J935" i="4" s="1"/>
  <c r="L935" i="4" s="1"/>
  <c r="G934" i="4"/>
  <c r="J934" i="4" s="1"/>
  <c r="L934" i="4" s="1"/>
  <c r="G933" i="4"/>
  <c r="G932" i="4"/>
  <c r="J932" i="4" s="1"/>
  <c r="L932" i="4" s="1"/>
  <c r="J931" i="4"/>
  <c r="L931" i="4" s="1"/>
  <c r="I931" i="4"/>
  <c r="G931" i="4"/>
  <c r="G930" i="4"/>
  <c r="G929" i="4"/>
  <c r="J929" i="4" s="1"/>
  <c r="L929" i="4" s="1"/>
  <c r="I928" i="4"/>
  <c r="G928" i="4"/>
  <c r="J928" i="4" s="1"/>
  <c r="L928" i="4" s="1"/>
  <c r="G927" i="4"/>
  <c r="I927" i="4" s="1"/>
  <c r="G926" i="4"/>
  <c r="J926" i="4" s="1"/>
  <c r="L926" i="4" s="1"/>
  <c r="J925" i="4"/>
  <c r="L925" i="4" s="1"/>
  <c r="I925" i="4"/>
  <c r="G925" i="4"/>
  <c r="J924" i="4"/>
  <c r="L924" i="4" s="1"/>
  <c r="G924" i="4"/>
  <c r="I924" i="4" s="1"/>
  <c r="G923" i="4"/>
  <c r="J923" i="4" s="1"/>
  <c r="L923" i="4" s="1"/>
  <c r="I922" i="4"/>
  <c r="G922" i="4"/>
  <c r="J922" i="4" s="1"/>
  <c r="L922" i="4" s="1"/>
  <c r="G921" i="4"/>
  <c r="I921" i="4" s="1"/>
  <c r="G920" i="4"/>
  <c r="J919" i="4"/>
  <c r="L919" i="4" s="1"/>
  <c r="I919" i="4"/>
  <c r="G919" i="4"/>
  <c r="J918" i="4"/>
  <c r="L918" i="4" s="1"/>
  <c r="G918" i="4"/>
  <c r="I918" i="4" s="1"/>
  <c r="G917" i="4"/>
  <c r="I916" i="4"/>
  <c r="G916" i="4"/>
  <c r="J916" i="4" s="1"/>
  <c r="L916" i="4" s="1"/>
  <c r="G915" i="4"/>
  <c r="G914" i="4"/>
  <c r="G913" i="4"/>
  <c r="J913" i="4" s="1"/>
  <c r="L913" i="4" s="1"/>
  <c r="J912" i="4"/>
  <c r="L912" i="4" s="1"/>
  <c r="I912" i="4"/>
  <c r="G912" i="4"/>
  <c r="G911" i="4"/>
  <c r="I910" i="4"/>
  <c r="G910" i="4"/>
  <c r="J910" i="4" s="1"/>
  <c r="L910" i="4" s="1"/>
  <c r="G909" i="4"/>
  <c r="G908" i="4"/>
  <c r="G907" i="4"/>
  <c r="J907" i="4" s="1"/>
  <c r="L907" i="4" s="1"/>
  <c r="G906" i="4"/>
  <c r="G905" i="4"/>
  <c r="J904" i="4"/>
  <c r="L904" i="4" s="1"/>
  <c r="G904" i="4"/>
  <c r="I904" i="4" s="1"/>
  <c r="J903" i="4"/>
  <c r="L903" i="4" s="1"/>
  <c r="I903" i="4"/>
  <c r="G903" i="4"/>
  <c r="G902" i="4"/>
  <c r="G901" i="4"/>
  <c r="J901" i="4" s="1"/>
  <c r="L901" i="4" s="1"/>
  <c r="G900" i="4"/>
  <c r="I900" i="4" s="1"/>
  <c r="G899" i="4"/>
  <c r="J898" i="4"/>
  <c r="L898" i="4" s="1"/>
  <c r="G898" i="4"/>
  <c r="I898" i="4" s="1"/>
  <c r="G897" i="4"/>
  <c r="G896" i="4"/>
  <c r="J895" i="4"/>
  <c r="L895" i="4" s="1"/>
  <c r="I895" i="4"/>
  <c r="G895" i="4"/>
  <c r="J894" i="4"/>
  <c r="L894" i="4" s="1"/>
  <c r="I894" i="4"/>
  <c r="G894" i="4"/>
  <c r="G893" i="4"/>
  <c r="J892" i="4"/>
  <c r="L892" i="4" s="1"/>
  <c r="G892" i="4"/>
  <c r="I892" i="4" s="1"/>
  <c r="J891" i="4"/>
  <c r="L891" i="4" s="1"/>
  <c r="G891" i="4"/>
  <c r="I891" i="4" s="1"/>
  <c r="G890" i="4"/>
  <c r="G889" i="4"/>
  <c r="J889" i="4" s="1"/>
  <c r="L889" i="4" s="1"/>
  <c r="G888" i="4"/>
  <c r="G887" i="4"/>
  <c r="J886" i="4"/>
  <c r="L886" i="4" s="1"/>
  <c r="I886" i="4"/>
  <c r="G886" i="4"/>
  <c r="I885" i="4"/>
  <c r="G885" i="4"/>
  <c r="J885" i="4" s="1"/>
  <c r="L885" i="4" s="1"/>
  <c r="G884" i="4"/>
  <c r="G883" i="4"/>
  <c r="J883" i="4" s="1"/>
  <c r="L883" i="4" s="1"/>
  <c r="G882" i="4"/>
  <c r="I882" i="4" s="1"/>
  <c r="G881" i="4"/>
  <c r="J880" i="4"/>
  <c r="L880" i="4" s="1"/>
  <c r="I880" i="4"/>
  <c r="G880" i="4"/>
  <c r="G879" i="4"/>
  <c r="G878" i="4"/>
  <c r="G877" i="4"/>
  <c r="J877" i="4" s="1"/>
  <c r="L877" i="4" s="1"/>
  <c r="G876" i="4"/>
  <c r="J876" i="4" s="1"/>
  <c r="L876" i="4" s="1"/>
  <c r="G875" i="4"/>
  <c r="J874" i="4"/>
  <c r="L874" i="4" s="1"/>
  <c r="I874" i="4"/>
  <c r="G874" i="4"/>
  <c r="G873" i="4"/>
  <c r="G872" i="4"/>
  <c r="G871" i="4"/>
  <c r="J871" i="4" s="1"/>
  <c r="L871" i="4" s="1"/>
  <c r="G870" i="4"/>
  <c r="G869" i="4"/>
  <c r="J868" i="4"/>
  <c r="L868" i="4" s="1"/>
  <c r="I868" i="4"/>
  <c r="G868" i="4"/>
  <c r="J867" i="4"/>
  <c r="L867" i="4" s="1"/>
  <c r="G867" i="4"/>
  <c r="I867" i="4" s="1"/>
  <c r="G866" i="4"/>
  <c r="G865" i="4"/>
  <c r="J865" i="4" s="1"/>
  <c r="L865" i="4" s="1"/>
  <c r="G864" i="4"/>
  <c r="G863" i="4"/>
  <c r="J862" i="4"/>
  <c r="L862" i="4" s="1"/>
  <c r="I862" i="4"/>
  <c r="G862" i="4"/>
  <c r="G861" i="4"/>
  <c r="G860" i="4"/>
  <c r="I859" i="4"/>
  <c r="G859" i="4"/>
  <c r="J859" i="4" s="1"/>
  <c r="L859" i="4" s="1"/>
  <c r="J858" i="4"/>
  <c r="L858" i="4" s="1"/>
  <c r="I858" i="4"/>
  <c r="G858" i="4"/>
  <c r="G857" i="4"/>
  <c r="J856" i="4"/>
  <c r="L856" i="4" s="1"/>
  <c r="I856" i="4"/>
  <c r="G856" i="4"/>
  <c r="J855" i="4"/>
  <c r="L855" i="4" s="1"/>
  <c r="G855" i="4"/>
  <c r="I855" i="4" s="1"/>
  <c r="G854" i="4"/>
  <c r="J853" i="4"/>
  <c r="L853" i="4" s="1"/>
  <c r="I853" i="4"/>
  <c r="G853" i="4"/>
  <c r="G852" i="4"/>
  <c r="G851" i="4"/>
  <c r="J850" i="4"/>
  <c r="L850" i="4" s="1"/>
  <c r="I850" i="4"/>
  <c r="G850" i="4"/>
  <c r="J849" i="4"/>
  <c r="L849" i="4" s="1"/>
  <c r="I849" i="4"/>
  <c r="G849" i="4"/>
  <c r="G848" i="4"/>
  <c r="J847" i="4"/>
  <c r="L847" i="4" s="1"/>
  <c r="I847" i="4"/>
  <c r="G847" i="4"/>
  <c r="G846" i="4"/>
  <c r="I846" i="4" s="1"/>
  <c r="G845" i="4"/>
  <c r="J844" i="4"/>
  <c r="L844" i="4" s="1"/>
  <c r="I844" i="4"/>
  <c r="G844" i="4"/>
  <c r="G843" i="4"/>
  <c r="G842" i="4"/>
  <c r="G841" i="4"/>
  <c r="J841" i="4" s="1"/>
  <c r="L841" i="4" s="1"/>
  <c r="G840" i="4"/>
  <c r="J840" i="4" s="1"/>
  <c r="L840" i="4" s="1"/>
  <c r="G839" i="4"/>
  <c r="J838" i="4"/>
  <c r="L838" i="4" s="1"/>
  <c r="I838" i="4"/>
  <c r="G838" i="4"/>
  <c r="J837" i="4"/>
  <c r="L837" i="4" s="1"/>
  <c r="G837" i="4"/>
  <c r="I837" i="4" s="1"/>
  <c r="G836" i="4"/>
  <c r="I835" i="4"/>
  <c r="G835" i="4"/>
  <c r="J835" i="4" s="1"/>
  <c r="L835" i="4" s="1"/>
  <c r="G834" i="4"/>
  <c r="G833" i="4"/>
  <c r="G832" i="4"/>
  <c r="J832" i="4" s="1"/>
  <c r="L832" i="4" s="1"/>
  <c r="J831" i="4"/>
  <c r="L831" i="4" s="1"/>
  <c r="I831" i="4"/>
  <c r="G831" i="4"/>
  <c r="G830" i="4"/>
  <c r="I829" i="4"/>
  <c r="G829" i="4"/>
  <c r="J829" i="4" s="1"/>
  <c r="L829" i="4" s="1"/>
  <c r="G828" i="4"/>
  <c r="I828" i="4" s="1"/>
  <c r="G827" i="4"/>
  <c r="J826" i="4"/>
  <c r="L826" i="4" s="1"/>
  <c r="I826" i="4"/>
  <c r="G826" i="4"/>
  <c r="G825" i="4"/>
  <c r="G824" i="4"/>
  <c r="G823" i="4"/>
  <c r="J823" i="4" s="1"/>
  <c r="L823" i="4" s="1"/>
  <c r="G822" i="4"/>
  <c r="J822" i="4" s="1"/>
  <c r="L822" i="4" s="1"/>
  <c r="G821" i="4"/>
  <c r="J820" i="4"/>
  <c r="L820" i="4" s="1"/>
  <c r="I820" i="4"/>
  <c r="G820" i="4"/>
  <c r="G819" i="4"/>
  <c r="G818" i="4"/>
  <c r="G817" i="4"/>
  <c r="J817" i="4" s="1"/>
  <c r="L817" i="4" s="1"/>
  <c r="G816" i="4"/>
  <c r="G815" i="4"/>
  <c r="I814" i="4"/>
  <c r="G814" i="4"/>
  <c r="J814" i="4" s="1"/>
  <c r="L814" i="4" s="1"/>
  <c r="J813" i="4"/>
  <c r="L813" i="4" s="1"/>
  <c r="I813" i="4"/>
  <c r="G813" i="4"/>
  <c r="G812" i="4"/>
  <c r="J811" i="4"/>
  <c r="L811" i="4" s="1"/>
  <c r="G811" i="4"/>
  <c r="I811" i="4" s="1"/>
  <c r="J810" i="4"/>
  <c r="L810" i="4" s="1"/>
  <c r="G810" i="4"/>
  <c r="I810" i="4" s="1"/>
  <c r="G809" i="4"/>
  <c r="G808" i="4"/>
  <c r="J808" i="4" s="1"/>
  <c r="L808" i="4" s="1"/>
  <c r="G807" i="4"/>
  <c r="G806" i="4"/>
  <c r="G805" i="4"/>
  <c r="J804" i="4"/>
  <c r="L804" i="4" s="1"/>
  <c r="G804" i="4"/>
  <c r="I804" i="4" s="1"/>
  <c r="G803" i="4"/>
  <c r="G802" i="4"/>
  <c r="J802" i="4" s="1"/>
  <c r="L802" i="4" s="1"/>
  <c r="G801" i="4"/>
  <c r="G800" i="4"/>
  <c r="J799" i="4"/>
  <c r="L799" i="4" s="1"/>
  <c r="I799" i="4"/>
  <c r="G799" i="4"/>
  <c r="G798" i="4"/>
  <c r="G797" i="4"/>
  <c r="G796" i="4"/>
  <c r="J795" i="4"/>
  <c r="L795" i="4" s="1"/>
  <c r="I795" i="4"/>
  <c r="G795" i="4"/>
  <c r="G794" i="4"/>
  <c r="G793" i="4"/>
  <c r="J793" i="4" s="1"/>
  <c r="L793" i="4" s="1"/>
  <c r="J792" i="4"/>
  <c r="L792" i="4" s="1"/>
  <c r="G792" i="4"/>
  <c r="I792" i="4" s="1"/>
  <c r="G791" i="4"/>
  <c r="G790" i="4"/>
  <c r="J790" i="4" s="1"/>
  <c r="L790" i="4" s="1"/>
  <c r="G789" i="4"/>
  <c r="G788" i="4"/>
  <c r="I787" i="4"/>
  <c r="G787" i="4"/>
  <c r="J787" i="4" s="1"/>
  <c r="L787" i="4" s="1"/>
  <c r="J786" i="4"/>
  <c r="L786" i="4" s="1"/>
  <c r="I786" i="4"/>
  <c r="G786" i="4"/>
  <c r="G785" i="4"/>
  <c r="J784" i="4"/>
  <c r="L784" i="4" s="1"/>
  <c r="G784" i="4"/>
  <c r="I784" i="4" s="1"/>
  <c r="J783" i="4"/>
  <c r="L783" i="4" s="1"/>
  <c r="G783" i="4"/>
  <c r="I783" i="4" s="1"/>
  <c r="G782" i="4"/>
  <c r="I782" i="4" s="1"/>
  <c r="G781" i="4"/>
  <c r="J781" i="4" s="1"/>
  <c r="L781" i="4" s="1"/>
  <c r="G780" i="4"/>
  <c r="J780" i="4" s="1"/>
  <c r="L780" i="4" s="1"/>
  <c r="J779" i="4"/>
  <c r="L779" i="4" s="1"/>
  <c r="I779" i="4"/>
  <c r="G779" i="4"/>
  <c r="G778" i="4"/>
  <c r="J778" i="4" s="1"/>
  <c r="L778" i="4" s="1"/>
  <c r="G777" i="4"/>
  <c r="J777" i="4" s="1"/>
  <c r="L777" i="4" s="1"/>
  <c r="G776" i="4"/>
  <c r="J776" i="4" s="1"/>
  <c r="L776" i="4" s="1"/>
  <c r="G775" i="4"/>
  <c r="J775" i="4" s="1"/>
  <c r="L775" i="4" s="1"/>
  <c r="I774" i="4"/>
  <c r="G774" i="4"/>
  <c r="J774" i="4" s="1"/>
  <c r="L774" i="4" s="1"/>
  <c r="J773" i="4"/>
  <c r="L773" i="4" s="1"/>
  <c r="I773" i="4"/>
  <c r="G773" i="4"/>
  <c r="G772" i="4"/>
  <c r="J772" i="4" s="1"/>
  <c r="L772" i="4" s="1"/>
  <c r="I771" i="4"/>
  <c r="G771" i="4"/>
  <c r="J771" i="4" s="1"/>
  <c r="L771" i="4" s="1"/>
  <c r="G770" i="4"/>
  <c r="J770" i="4" s="1"/>
  <c r="L770" i="4" s="1"/>
  <c r="G769" i="4"/>
  <c r="J769" i="4" s="1"/>
  <c r="L769" i="4" s="1"/>
  <c r="G768" i="4"/>
  <c r="J768" i="4" s="1"/>
  <c r="L768" i="4" s="1"/>
  <c r="G767" i="4"/>
  <c r="J767" i="4" s="1"/>
  <c r="L767" i="4" s="1"/>
  <c r="G766" i="4"/>
  <c r="J766" i="4" s="1"/>
  <c r="L766" i="4" s="1"/>
  <c r="I765" i="4"/>
  <c r="G765" i="4"/>
  <c r="J765" i="4" s="1"/>
  <c r="L765" i="4" s="1"/>
  <c r="J764" i="4"/>
  <c r="L764" i="4" s="1"/>
  <c r="I764" i="4"/>
  <c r="G764" i="4"/>
  <c r="G763" i="4"/>
  <c r="J763" i="4" s="1"/>
  <c r="L763" i="4" s="1"/>
  <c r="I762" i="4"/>
  <c r="G762" i="4"/>
  <c r="J762" i="4" s="1"/>
  <c r="L762" i="4" s="1"/>
  <c r="G761" i="4"/>
  <c r="G760" i="4"/>
  <c r="J760" i="4" s="1"/>
  <c r="L760" i="4" s="1"/>
  <c r="G759" i="4"/>
  <c r="J759" i="4" s="1"/>
  <c r="L759" i="4" s="1"/>
  <c r="G758" i="4"/>
  <c r="J758" i="4" s="1"/>
  <c r="L758" i="4" s="1"/>
  <c r="G757" i="4"/>
  <c r="J757" i="4" s="1"/>
  <c r="L757" i="4" s="1"/>
  <c r="I756" i="4"/>
  <c r="G756" i="4"/>
  <c r="J756" i="4" s="1"/>
  <c r="L756" i="4" s="1"/>
  <c r="G755" i="4"/>
  <c r="J755" i="4" s="1"/>
  <c r="L755" i="4" s="1"/>
  <c r="G754" i="4"/>
  <c r="J754" i="4" s="1"/>
  <c r="L754" i="4" s="1"/>
  <c r="G753" i="4"/>
  <c r="J753" i="4" s="1"/>
  <c r="L753" i="4" s="1"/>
  <c r="G752" i="4"/>
  <c r="J752" i="4" s="1"/>
  <c r="L752" i="4" s="1"/>
  <c r="G751" i="4"/>
  <c r="J751" i="4" s="1"/>
  <c r="L751" i="4" s="1"/>
  <c r="I750" i="4"/>
  <c r="G750" i="4"/>
  <c r="J750" i="4" s="1"/>
  <c r="L750" i="4" s="1"/>
  <c r="G749" i="4"/>
  <c r="J749" i="4" s="1"/>
  <c r="L749" i="4" s="1"/>
  <c r="G748" i="4"/>
  <c r="J748" i="4" s="1"/>
  <c r="L748" i="4" s="1"/>
  <c r="G747" i="4"/>
  <c r="J747" i="4" s="1"/>
  <c r="L747" i="4" s="1"/>
  <c r="I746" i="4"/>
  <c r="G746" i="4"/>
  <c r="J746" i="4" s="1"/>
  <c r="L746" i="4" s="1"/>
  <c r="G745" i="4"/>
  <c r="J745" i="4" s="1"/>
  <c r="L745" i="4" s="1"/>
  <c r="I744" i="4"/>
  <c r="G744" i="4"/>
  <c r="J744" i="4" s="1"/>
  <c r="L744" i="4" s="1"/>
  <c r="I743" i="4"/>
  <c r="G743" i="4"/>
  <c r="J743" i="4" s="1"/>
  <c r="L743" i="4" s="1"/>
  <c r="G742" i="4"/>
  <c r="J742" i="4" s="1"/>
  <c r="L742" i="4" s="1"/>
  <c r="G741" i="4"/>
  <c r="J741" i="4" s="1"/>
  <c r="L741" i="4" s="1"/>
  <c r="G740" i="4"/>
  <c r="J740" i="4" s="1"/>
  <c r="L740" i="4" s="1"/>
  <c r="G739" i="4"/>
  <c r="J739" i="4" s="1"/>
  <c r="L739" i="4" s="1"/>
  <c r="I738" i="4"/>
  <c r="G738" i="4"/>
  <c r="J738" i="4" s="1"/>
  <c r="L738" i="4" s="1"/>
  <c r="J737" i="4"/>
  <c r="L737" i="4" s="1"/>
  <c r="I737" i="4"/>
  <c r="G737" i="4"/>
  <c r="G736" i="4"/>
  <c r="J736" i="4" s="1"/>
  <c r="L736" i="4" s="1"/>
  <c r="I735" i="4"/>
  <c r="G735" i="4"/>
  <c r="J735" i="4" s="1"/>
  <c r="L735" i="4" s="1"/>
  <c r="G734" i="4"/>
  <c r="G733" i="4"/>
  <c r="J733" i="4" s="1"/>
  <c r="L733" i="4" s="1"/>
  <c r="I732" i="4"/>
  <c r="G732" i="4"/>
  <c r="J732" i="4" s="1"/>
  <c r="L732" i="4" s="1"/>
  <c r="G731" i="4"/>
  <c r="G730" i="4"/>
  <c r="J730" i="4" s="1"/>
  <c r="L730" i="4" s="1"/>
  <c r="G729" i="4"/>
  <c r="J729" i="4" s="1"/>
  <c r="L729" i="4" s="1"/>
  <c r="J728" i="4"/>
  <c r="L728" i="4" s="1"/>
  <c r="I728" i="4"/>
  <c r="G728" i="4"/>
  <c r="G727" i="4"/>
  <c r="J727" i="4" s="1"/>
  <c r="L727" i="4" s="1"/>
  <c r="G726" i="4"/>
  <c r="J726" i="4" s="1"/>
  <c r="L726" i="4" s="1"/>
  <c r="J725" i="4"/>
  <c r="L725" i="4" s="1"/>
  <c r="G725" i="4"/>
  <c r="I725" i="4" s="1"/>
  <c r="G724" i="4"/>
  <c r="J724" i="4" s="1"/>
  <c r="L724" i="4" s="1"/>
  <c r="G723" i="4"/>
  <c r="J723" i="4" s="1"/>
  <c r="L723" i="4" s="1"/>
  <c r="G722" i="4"/>
  <c r="G721" i="4"/>
  <c r="J721" i="4" s="1"/>
  <c r="L721" i="4" s="1"/>
  <c r="I720" i="4"/>
  <c r="G720" i="4"/>
  <c r="J720" i="4" s="1"/>
  <c r="L720" i="4" s="1"/>
  <c r="G719" i="4"/>
  <c r="I719" i="4" s="1"/>
  <c r="G718" i="4"/>
  <c r="J718" i="4" s="1"/>
  <c r="L718" i="4" s="1"/>
  <c r="G717" i="4"/>
  <c r="J717" i="4" s="1"/>
  <c r="L717" i="4" s="1"/>
  <c r="G716" i="4"/>
  <c r="J716" i="4" s="1"/>
  <c r="L716" i="4" s="1"/>
  <c r="G715" i="4"/>
  <c r="J715" i="4" s="1"/>
  <c r="L715" i="4" s="1"/>
  <c r="I714" i="4"/>
  <c r="G714" i="4"/>
  <c r="J714" i="4" s="1"/>
  <c r="L714" i="4" s="1"/>
  <c r="G713" i="4"/>
  <c r="G712" i="4"/>
  <c r="J712" i="4" s="1"/>
  <c r="L712" i="4" s="1"/>
  <c r="G711" i="4"/>
  <c r="J711" i="4" s="1"/>
  <c r="L711" i="4" s="1"/>
  <c r="J710" i="4"/>
  <c r="L710" i="4" s="1"/>
  <c r="G710" i="4"/>
  <c r="I710" i="4" s="1"/>
  <c r="G709" i="4"/>
  <c r="J709" i="4" s="1"/>
  <c r="L709" i="4" s="1"/>
  <c r="G708" i="4"/>
  <c r="J708" i="4" s="1"/>
  <c r="L708" i="4" s="1"/>
  <c r="G707" i="4"/>
  <c r="G706" i="4"/>
  <c r="J706" i="4" s="1"/>
  <c r="L706" i="4" s="1"/>
  <c r="I705" i="4"/>
  <c r="G705" i="4"/>
  <c r="J705" i="4" s="1"/>
  <c r="L705" i="4" s="1"/>
  <c r="G704" i="4"/>
  <c r="G703" i="4"/>
  <c r="J703" i="4" s="1"/>
  <c r="L703" i="4" s="1"/>
  <c r="I702" i="4"/>
  <c r="G702" i="4"/>
  <c r="J702" i="4" s="1"/>
  <c r="L702" i="4" s="1"/>
  <c r="G701" i="4"/>
  <c r="G700" i="4"/>
  <c r="J700" i="4" s="1"/>
  <c r="L700" i="4" s="1"/>
  <c r="G699" i="4"/>
  <c r="I698" i="4"/>
  <c r="G698" i="4"/>
  <c r="J698" i="4" s="1"/>
  <c r="L698" i="4" s="1"/>
  <c r="G697" i="4"/>
  <c r="J697" i="4" s="1"/>
  <c r="L697" i="4" s="1"/>
  <c r="I696" i="4"/>
  <c r="G696" i="4"/>
  <c r="J696" i="4" s="1"/>
  <c r="L696" i="4" s="1"/>
  <c r="G695" i="4"/>
  <c r="G694" i="4"/>
  <c r="J694" i="4" s="1"/>
  <c r="L694" i="4" s="1"/>
  <c r="I693" i="4"/>
  <c r="G693" i="4"/>
  <c r="J693" i="4" s="1"/>
  <c r="L693" i="4" s="1"/>
  <c r="G692" i="4"/>
  <c r="J692" i="4" s="1"/>
  <c r="L692" i="4" s="1"/>
  <c r="G691" i="4"/>
  <c r="J691" i="4" s="1"/>
  <c r="L691" i="4" s="1"/>
  <c r="G690" i="4"/>
  <c r="J689" i="4"/>
  <c r="L689" i="4" s="1"/>
  <c r="I689" i="4"/>
  <c r="G689" i="4"/>
  <c r="G688" i="4"/>
  <c r="G687" i="4"/>
  <c r="G686" i="4"/>
  <c r="G685" i="4"/>
  <c r="G684" i="4"/>
  <c r="G683" i="4"/>
  <c r="I683" i="4" s="1"/>
  <c r="G682" i="4"/>
  <c r="G681" i="4"/>
  <c r="J680" i="4"/>
  <c r="L680" i="4" s="1"/>
  <c r="G680" i="4"/>
  <c r="I680" i="4" s="1"/>
  <c r="G679" i="4"/>
  <c r="G678" i="4"/>
  <c r="J678" i="4" s="1"/>
  <c r="L678" i="4" s="1"/>
  <c r="G677" i="4"/>
  <c r="G676" i="4"/>
  <c r="G675" i="4"/>
  <c r="J675" i="4" s="1"/>
  <c r="L675" i="4" s="1"/>
  <c r="G674" i="4"/>
  <c r="J674" i="4" s="1"/>
  <c r="L674" i="4" s="1"/>
  <c r="G673" i="4"/>
  <c r="G672" i="4"/>
  <c r="I671" i="4"/>
  <c r="G671" i="4"/>
  <c r="J671" i="4" s="1"/>
  <c r="L671" i="4" s="1"/>
  <c r="G670" i="4"/>
  <c r="I669" i="4"/>
  <c r="G669" i="4"/>
  <c r="J669" i="4" s="1"/>
  <c r="L669" i="4" s="1"/>
  <c r="G668" i="4"/>
  <c r="G667" i="4"/>
  <c r="G666" i="4"/>
  <c r="J666" i="4" s="1"/>
  <c r="L666" i="4" s="1"/>
  <c r="G665" i="4"/>
  <c r="J665" i="4" s="1"/>
  <c r="L665" i="4" s="1"/>
  <c r="G664" i="4"/>
  <c r="G663" i="4"/>
  <c r="I662" i="4"/>
  <c r="G662" i="4"/>
  <c r="J662" i="4" s="1"/>
  <c r="L662" i="4" s="1"/>
  <c r="G661" i="4"/>
  <c r="G660" i="4"/>
  <c r="G659" i="4"/>
  <c r="G658" i="4"/>
  <c r="I657" i="4"/>
  <c r="G657" i="4"/>
  <c r="J657" i="4" s="1"/>
  <c r="L657" i="4" s="1"/>
  <c r="J656" i="4"/>
  <c r="L656" i="4" s="1"/>
  <c r="I656" i="4"/>
  <c r="G656" i="4"/>
  <c r="G655" i="4"/>
  <c r="G654" i="4"/>
  <c r="G653" i="4"/>
  <c r="I653" i="4" s="1"/>
  <c r="G652" i="4"/>
  <c r="G651" i="4"/>
  <c r="J651" i="4" s="1"/>
  <c r="L651" i="4" s="1"/>
  <c r="J650" i="4"/>
  <c r="L650" i="4" s="1"/>
  <c r="G650" i="4"/>
  <c r="I650" i="4" s="1"/>
  <c r="G649" i="4"/>
  <c r="G648" i="4"/>
  <c r="J648" i="4" s="1"/>
  <c r="L648" i="4" s="1"/>
  <c r="G647" i="4"/>
  <c r="G646" i="4"/>
  <c r="I645" i="4"/>
  <c r="G645" i="4"/>
  <c r="J645" i="4" s="1"/>
  <c r="L645" i="4" s="1"/>
  <c r="J644" i="4"/>
  <c r="L644" i="4" s="1"/>
  <c r="G644" i="4"/>
  <c r="I644" i="4" s="1"/>
  <c r="G643" i="4"/>
  <c r="G642" i="4"/>
  <c r="J642" i="4" s="1"/>
  <c r="L642" i="4" s="1"/>
  <c r="G641" i="4"/>
  <c r="I641" i="4" s="1"/>
  <c r="G640" i="4"/>
  <c r="G639" i="4"/>
  <c r="J639" i="4" s="1"/>
  <c r="L639" i="4" s="1"/>
  <c r="G638" i="4"/>
  <c r="G637" i="4"/>
  <c r="I636" i="4"/>
  <c r="G636" i="4"/>
  <c r="J636" i="4" s="1"/>
  <c r="L636" i="4" s="1"/>
  <c r="G635" i="4"/>
  <c r="G634" i="4"/>
  <c r="G633" i="4"/>
  <c r="J633" i="4" s="1"/>
  <c r="L633" i="4" s="1"/>
  <c r="G632" i="4"/>
  <c r="J632" i="4" s="1"/>
  <c r="L632" i="4" s="1"/>
  <c r="G631" i="4"/>
  <c r="G630" i="4"/>
  <c r="I630" i="4" s="1"/>
  <c r="G629" i="4"/>
  <c r="G628" i="4"/>
  <c r="J627" i="4"/>
  <c r="L627" i="4" s="1"/>
  <c r="G627" i="4"/>
  <c r="I627" i="4" s="1"/>
  <c r="J626" i="4"/>
  <c r="L626" i="4" s="1"/>
  <c r="G626" i="4"/>
  <c r="I626" i="4" s="1"/>
  <c r="G625" i="4"/>
  <c r="G624" i="4"/>
  <c r="I624" i="4" s="1"/>
  <c r="G623" i="4"/>
  <c r="I623" i="4" s="1"/>
  <c r="G622" i="4"/>
  <c r="G621" i="4"/>
  <c r="G620" i="4"/>
  <c r="I620" i="4" s="1"/>
  <c r="G619" i="4"/>
  <c r="J618" i="4"/>
  <c r="L618" i="4" s="1"/>
  <c r="G618" i="4"/>
  <c r="I618" i="4" s="1"/>
  <c r="G617" i="4"/>
  <c r="G616" i="4"/>
  <c r="G615" i="4"/>
  <c r="I615" i="4" s="1"/>
  <c r="G614" i="4"/>
  <c r="I614" i="4" s="1"/>
  <c r="G613" i="4"/>
  <c r="G612" i="4"/>
  <c r="I612" i="4" s="1"/>
  <c r="J611" i="4"/>
  <c r="L611" i="4" s="1"/>
  <c r="G611" i="4"/>
  <c r="I611" i="4" s="1"/>
  <c r="G610" i="4"/>
  <c r="G609" i="4"/>
  <c r="G608" i="4"/>
  <c r="I608" i="4" s="1"/>
  <c r="G607" i="4"/>
  <c r="G606" i="4"/>
  <c r="I606" i="4" s="1"/>
  <c r="G605" i="4"/>
  <c r="G604" i="4"/>
  <c r="G603" i="4"/>
  <c r="I603" i="4" s="1"/>
  <c r="J602" i="4"/>
  <c r="L602" i="4" s="1"/>
  <c r="G602" i="4"/>
  <c r="I602" i="4" s="1"/>
  <c r="G601" i="4"/>
  <c r="G600" i="4"/>
  <c r="I600" i="4" s="1"/>
  <c r="J599" i="4"/>
  <c r="L599" i="4" s="1"/>
  <c r="G599" i="4"/>
  <c r="I599" i="4" s="1"/>
  <c r="G598" i="4"/>
  <c r="G597" i="4"/>
  <c r="G596" i="4"/>
  <c r="I596" i="4" s="1"/>
  <c r="G595" i="4"/>
  <c r="G594" i="4"/>
  <c r="I594" i="4" s="1"/>
  <c r="G593" i="4"/>
  <c r="G592" i="4"/>
  <c r="J591" i="4"/>
  <c r="L591" i="4" s="1"/>
  <c r="G591" i="4"/>
  <c r="I591" i="4" s="1"/>
  <c r="J590" i="4"/>
  <c r="L590" i="4" s="1"/>
  <c r="G590" i="4"/>
  <c r="I590" i="4" s="1"/>
  <c r="G589" i="4"/>
  <c r="G588" i="4"/>
  <c r="I588" i="4" s="1"/>
  <c r="G587" i="4"/>
  <c r="I587" i="4" s="1"/>
  <c r="G586" i="4"/>
  <c r="G585" i="4"/>
  <c r="G584" i="4"/>
  <c r="I584" i="4" s="1"/>
  <c r="G583" i="4"/>
  <c r="J582" i="4"/>
  <c r="L582" i="4" s="1"/>
  <c r="G582" i="4"/>
  <c r="I582" i="4" s="1"/>
  <c r="G581" i="4"/>
  <c r="G580" i="4"/>
  <c r="G579" i="4"/>
  <c r="I579" i="4" s="1"/>
  <c r="G578" i="4"/>
  <c r="I578" i="4" s="1"/>
  <c r="G577" i="4"/>
  <c r="G576" i="4"/>
  <c r="I576" i="4" s="1"/>
  <c r="J575" i="4"/>
  <c r="L575" i="4" s="1"/>
  <c r="G575" i="4"/>
  <c r="I575" i="4" s="1"/>
  <c r="G574" i="4"/>
  <c r="G573" i="4"/>
  <c r="G572" i="4"/>
  <c r="I572" i="4" s="1"/>
  <c r="G571" i="4"/>
  <c r="G570" i="4"/>
  <c r="I570" i="4" s="1"/>
  <c r="G569" i="4"/>
  <c r="G568" i="4"/>
  <c r="G567" i="4"/>
  <c r="I567" i="4" s="1"/>
  <c r="J566" i="4"/>
  <c r="L566" i="4" s="1"/>
  <c r="G566" i="4"/>
  <c r="I566" i="4" s="1"/>
  <c r="G565" i="4"/>
  <c r="G564" i="4"/>
  <c r="I564" i="4" s="1"/>
  <c r="J563" i="4"/>
  <c r="L563" i="4" s="1"/>
  <c r="G563" i="4"/>
  <c r="I563" i="4" s="1"/>
  <c r="G562" i="4"/>
  <c r="G561" i="4"/>
  <c r="G560" i="4"/>
  <c r="I560" i="4" s="1"/>
  <c r="G559" i="4"/>
  <c r="G558" i="4"/>
  <c r="I558" i="4" s="1"/>
  <c r="G557" i="4"/>
  <c r="G556" i="4"/>
  <c r="J555" i="4"/>
  <c r="L555" i="4" s="1"/>
  <c r="G555" i="4"/>
  <c r="I555" i="4" s="1"/>
  <c r="J554" i="4"/>
  <c r="L554" i="4" s="1"/>
  <c r="G554" i="4"/>
  <c r="I554" i="4" s="1"/>
  <c r="G553" i="4"/>
  <c r="G552" i="4"/>
  <c r="I552" i="4" s="1"/>
  <c r="G551" i="4"/>
  <c r="I551" i="4" s="1"/>
  <c r="G550" i="4"/>
  <c r="G549" i="4"/>
  <c r="G548" i="4"/>
  <c r="I548" i="4" s="1"/>
  <c r="G547" i="4"/>
  <c r="J546" i="4"/>
  <c r="L546" i="4" s="1"/>
  <c r="G546" i="4"/>
  <c r="I546" i="4" s="1"/>
  <c r="G545" i="4"/>
  <c r="G544" i="4"/>
  <c r="G543" i="4"/>
  <c r="I543" i="4" s="1"/>
  <c r="G542" i="4"/>
  <c r="I542" i="4" s="1"/>
  <c r="G541" i="4"/>
  <c r="G540" i="4"/>
  <c r="I540" i="4" s="1"/>
  <c r="J539" i="4"/>
  <c r="L539" i="4" s="1"/>
  <c r="G539" i="4"/>
  <c r="I539" i="4" s="1"/>
  <c r="G538" i="4"/>
  <c r="G537" i="4"/>
  <c r="G536" i="4"/>
  <c r="I536" i="4" s="1"/>
  <c r="G535" i="4"/>
  <c r="G534" i="4"/>
  <c r="I534" i="4" s="1"/>
  <c r="G533" i="4"/>
  <c r="G532" i="4"/>
  <c r="G531" i="4"/>
  <c r="I531" i="4" s="1"/>
  <c r="J530" i="4"/>
  <c r="L530" i="4" s="1"/>
  <c r="G530" i="4"/>
  <c r="I530" i="4" s="1"/>
  <c r="G529" i="4"/>
  <c r="G528" i="4"/>
  <c r="I528" i="4" s="1"/>
  <c r="J527" i="4"/>
  <c r="L527" i="4" s="1"/>
  <c r="G527" i="4"/>
  <c r="I527" i="4" s="1"/>
  <c r="G526" i="4"/>
  <c r="G525" i="4"/>
  <c r="G524" i="4"/>
  <c r="I524" i="4" s="1"/>
  <c r="G523" i="4"/>
  <c r="G522" i="4"/>
  <c r="I522" i="4" s="1"/>
  <c r="G521" i="4"/>
  <c r="G520" i="4"/>
  <c r="J519" i="4"/>
  <c r="L519" i="4" s="1"/>
  <c r="G519" i="4"/>
  <c r="I519" i="4" s="1"/>
  <c r="J518" i="4"/>
  <c r="L518" i="4" s="1"/>
  <c r="G518" i="4"/>
  <c r="I518" i="4" s="1"/>
  <c r="G517" i="4"/>
  <c r="G516" i="4"/>
  <c r="I516" i="4" s="1"/>
  <c r="G515" i="4"/>
  <c r="I515" i="4" s="1"/>
  <c r="G514" i="4"/>
  <c r="G513" i="4"/>
  <c r="G512" i="4"/>
  <c r="I512" i="4" s="1"/>
  <c r="G511" i="4"/>
  <c r="J510" i="4"/>
  <c r="L510" i="4" s="1"/>
  <c r="G510" i="4"/>
  <c r="I510" i="4" s="1"/>
  <c r="G509" i="4"/>
  <c r="G508" i="4"/>
  <c r="G507" i="4"/>
  <c r="I507" i="4" s="1"/>
  <c r="G506" i="4"/>
  <c r="I506" i="4" s="1"/>
  <c r="G505" i="4"/>
  <c r="G504" i="4"/>
  <c r="I504" i="4" s="1"/>
  <c r="J503" i="4"/>
  <c r="L503" i="4" s="1"/>
  <c r="G503" i="4"/>
  <c r="I503" i="4" s="1"/>
  <c r="G502" i="4"/>
  <c r="G501" i="4"/>
  <c r="G500" i="4"/>
  <c r="I500" i="4" s="1"/>
  <c r="G499" i="4"/>
  <c r="G498" i="4"/>
  <c r="I498" i="4" s="1"/>
  <c r="G497" i="4"/>
  <c r="G496" i="4"/>
  <c r="G495" i="4"/>
  <c r="I495" i="4" s="1"/>
  <c r="J494" i="4"/>
  <c r="L494" i="4" s="1"/>
  <c r="G494" i="4"/>
  <c r="I494" i="4" s="1"/>
  <c r="G493" i="4"/>
  <c r="G492" i="4"/>
  <c r="I492" i="4" s="1"/>
  <c r="J491" i="4"/>
  <c r="L491" i="4" s="1"/>
  <c r="G491" i="4"/>
  <c r="I491" i="4" s="1"/>
  <c r="G490" i="4"/>
  <c r="J490" i="4" s="1"/>
  <c r="L490" i="4" s="1"/>
  <c r="I489" i="4"/>
  <c r="G489" i="4"/>
  <c r="J489" i="4" s="1"/>
  <c r="L489" i="4" s="1"/>
  <c r="G488" i="4"/>
  <c r="J488" i="4" s="1"/>
  <c r="L488" i="4" s="1"/>
  <c r="J487" i="4"/>
  <c r="L487" i="4" s="1"/>
  <c r="G487" i="4"/>
  <c r="I487" i="4" s="1"/>
  <c r="I486" i="4"/>
  <c r="G486" i="4"/>
  <c r="J486" i="4" s="1"/>
  <c r="L486" i="4" s="1"/>
  <c r="G485" i="4"/>
  <c r="J485" i="4" s="1"/>
  <c r="L485" i="4" s="1"/>
  <c r="J484" i="4"/>
  <c r="L484" i="4" s="1"/>
  <c r="G484" i="4"/>
  <c r="I484" i="4" s="1"/>
  <c r="G483" i="4"/>
  <c r="J483" i="4" s="1"/>
  <c r="L483" i="4" s="1"/>
  <c r="G482" i="4"/>
  <c r="J482" i="4" s="1"/>
  <c r="L482" i="4" s="1"/>
  <c r="J481" i="4"/>
  <c r="L481" i="4" s="1"/>
  <c r="G481" i="4"/>
  <c r="I481" i="4" s="1"/>
  <c r="I480" i="4"/>
  <c r="G480" i="4"/>
  <c r="J480" i="4" s="1"/>
  <c r="L480" i="4" s="1"/>
  <c r="G479" i="4"/>
  <c r="J479" i="4" s="1"/>
  <c r="L479" i="4" s="1"/>
  <c r="G478" i="4"/>
  <c r="I478" i="4" s="1"/>
  <c r="G477" i="4"/>
  <c r="J477" i="4" s="1"/>
  <c r="L477" i="4" s="1"/>
  <c r="J476" i="4"/>
  <c r="L476" i="4" s="1"/>
  <c r="I476" i="4"/>
  <c r="G476" i="4"/>
  <c r="J475" i="4"/>
  <c r="L475" i="4" s="1"/>
  <c r="G475" i="4"/>
  <c r="I475" i="4" s="1"/>
  <c r="G474" i="4"/>
  <c r="J474" i="4" s="1"/>
  <c r="L474" i="4" s="1"/>
  <c r="G473" i="4"/>
  <c r="J473" i="4" s="1"/>
  <c r="L473" i="4" s="1"/>
  <c r="G472" i="4"/>
  <c r="I472" i="4" s="1"/>
  <c r="G471" i="4"/>
  <c r="J471" i="4" s="1"/>
  <c r="L471" i="4" s="1"/>
  <c r="G470" i="4"/>
  <c r="J469" i="4"/>
  <c r="L469" i="4" s="1"/>
  <c r="G469" i="4"/>
  <c r="I469" i="4" s="1"/>
  <c r="I468" i="4"/>
  <c r="G468" i="4"/>
  <c r="J468" i="4" s="1"/>
  <c r="L468" i="4" s="1"/>
  <c r="G467" i="4"/>
  <c r="J467" i="4" s="1"/>
  <c r="L467" i="4" s="1"/>
  <c r="G466" i="4"/>
  <c r="I466" i="4" s="1"/>
  <c r="I465" i="4"/>
  <c r="G465" i="4"/>
  <c r="J465" i="4" s="1"/>
  <c r="L465" i="4" s="1"/>
  <c r="G464" i="4"/>
  <c r="G463" i="4"/>
  <c r="I463" i="4" s="1"/>
  <c r="I462" i="4"/>
  <c r="G462" i="4"/>
  <c r="J462" i="4" s="1"/>
  <c r="L462" i="4" s="1"/>
  <c r="G461" i="4"/>
  <c r="J461" i="4" s="1"/>
  <c r="L461" i="4" s="1"/>
  <c r="J460" i="4"/>
  <c r="L460" i="4" s="1"/>
  <c r="G460" i="4"/>
  <c r="I460" i="4" s="1"/>
  <c r="G459" i="4"/>
  <c r="J459" i="4" s="1"/>
  <c r="L459" i="4" s="1"/>
  <c r="G458" i="4"/>
  <c r="J457" i="4"/>
  <c r="L457" i="4" s="1"/>
  <c r="G457" i="4"/>
  <c r="I457" i="4" s="1"/>
  <c r="I456" i="4"/>
  <c r="G456" i="4"/>
  <c r="J456" i="4" s="1"/>
  <c r="L456" i="4" s="1"/>
  <c r="G455" i="4"/>
  <c r="J455" i="4" s="1"/>
  <c r="L455" i="4" s="1"/>
  <c r="J454" i="4"/>
  <c r="L454" i="4" s="1"/>
  <c r="G454" i="4"/>
  <c r="I454" i="4" s="1"/>
  <c r="I453" i="4"/>
  <c r="G453" i="4"/>
  <c r="J453" i="4" s="1"/>
  <c r="L453" i="4" s="1"/>
  <c r="G452" i="4"/>
  <c r="G451" i="4"/>
  <c r="I451" i="4" s="1"/>
  <c r="I450" i="4"/>
  <c r="G450" i="4"/>
  <c r="J450" i="4" s="1"/>
  <c r="L450" i="4" s="1"/>
  <c r="G449" i="4"/>
  <c r="J449" i="4" s="1"/>
  <c r="L449" i="4" s="1"/>
  <c r="G448" i="4"/>
  <c r="G447" i="4"/>
  <c r="J447" i="4" s="1"/>
  <c r="L447" i="4" s="1"/>
  <c r="G446" i="4"/>
  <c r="G445" i="4"/>
  <c r="I445" i="4" s="1"/>
  <c r="I444" i="4"/>
  <c r="G444" i="4"/>
  <c r="J444" i="4" s="1"/>
  <c r="L444" i="4" s="1"/>
  <c r="G443" i="4"/>
  <c r="J443" i="4" s="1"/>
  <c r="L443" i="4" s="1"/>
  <c r="G442" i="4"/>
  <c r="G441" i="4"/>
  <c r="J441" i="4" s="1"/>
  <c r="L441" i="4" s="1"/>
  <c r="G440" i="4"/>
  <c r="G439" i="4"/>
  <c r="I439" i="4" s="1"/>
  <c r="G438" i="4"/>
  <c r="J438" i="4" s="1"/>
  <c r="L438" i="4" s="1"/>
  <c r="G437" i="4"/>
  <c r="J437" i="4" s="1"/>
  <c r="L437" i="4" s="1"/>
  <c r="G436" i="4"/>
  <c r="G435" i="4"/>
  <c r="J435" i="4" s="1"/>
  <c r="L435" i="4" s="1"/>
  <c r="G434" i="4"/>
  <c r="G433" i="4"/>
  <c r="I433" i="4" s="1"/>
  <c r="G432" i="4"/>
  <c r="J432" i="4" s="1"/>
  <c r="L432" i="4" s="1"/>
  <c r="G431" i="4"/>
  <c r="J431" i="4" s="1"/>
  <c r="L431" i="4" s="1"/>
  <c r="G430" i="4"/>
  <c r="I429" i="4"/>
  <c r="G429" i="4"/>
  <c r="J429" i="4" s="1"/>
  <c r="L429" i="4" s="1"/>
  <c r="G428" i="4"/>
  <c r="G427" i="4"/>
  <c r="I427" i="4" s="1"/>
  <c r="I426" i="4"/>
  <c r="G426" i="4"/>
  <c r="J426" i="4" s="1"/>
  <c r="L426" i="4" s="1"/>
  <c r="G425" i="4"/>
  <c r="J425" i="4" s="1"/>
  <c r="L425" i="4" s="1"/>
  <c r="G424" i="4"/>
  <c r="G423" i="4"/>
  <c r="J423" i="4" s="1"/>
  <c r="L423" i="4" s="1"/>
  <c r="G422" i="4"/>
  <c r="G421" i="4"/>
  <c r="I421" i="4" s="1"/>
  <c r="G420" i="4"/>
  <c r="J420" i="4" s="1"/>
  <c r="L420" i="4" s="1"/>
  <c r="G419" i="4"/>
  <c r="J419" i="4" s="1"/>
  <c r="L419" i="4" s="1"/>
  <c r="G418" i="4"/>
  <c r="I417" i="4"/>
  <c r="G417" i="4"/>
  <c r="J417" i="4" s="1"/>
  <c r="L417" i="4" s="1"/>
  <c r="G416" i="4"/>
  <c r="G415" i="4"/>
  <c r="I415" i="4" s="1"/>
  <c r="I414" i="4"/>
  <c r="G414" i="4"/>
  <c r="J414" i="4" s="1"/>
  <c r="L414" i="4" s="1"/>
  <c r="G413" i="4"/>
  <c r="J413" i="4" s="1"/>
  <c r="L413" i="4" s="1"/>
  <c r="G412" i="4"/>
  <c r="G411" i="4"/>
  <c r="J411" i="4" s="1"/>
  <c r="L411" i="4" s="1"/>
  <c r="G410" i="4"/>
  <c r="G409" i="4"/>
  <c r="I409" i="4" s="1"/>
  <c r="G408" i="4"/>
  <c r="J408" i="4" s="1"/>
  <c r="L408" i="4" s="1"/>
  <c r="G407" i="4"/>
  <c r="J407" i="4" s="1"/>
  <c r="L407" i="4" s="1"/>
  <c r="G406" i="4"/>
  <c r="I405" i="4"/>
  <c r="G405" i="4"/>
  <c r="J405" i="4" s="1"/>
  <c r="L405" i="4" s="1"/>
  <c r="G404" i="4"/>
  <c r="G403" i="4"/>
  <c r="I403" i="4" s="1"/>
  <c r="I402" i="4"/>
  <c r="G402" i="4"/>
  <c r="J402" i="4" s="1"/>
  <c r="L402" i="4" s="1"/>
  <c r="G401" i="4"/>
  <c r="J401" i="4" s="1"/>
  <c r="L401" i="4" s="1"/>
  <c r="G400" i="4"/>
  <c r="G399" i="4"/>
  <c r="J399" i="4" s="1"/>
  <c r="L399" i="4" s="1"/>
  <c r="G398" i="4"/>
  <c r="G397" i="4"/>
  <c r="I397" i="4" s="1"/>
  <c r="I396" i="4"/>
  <c r="G396" i="4"/>
  <c r="J396" i="4" s="1"/>
  <c r="L396" i="4" s="1"/>
  <c r="G395" i="4"/>
  <c r="J395" i="4" s="1"/>
  <c r="L395" i="4" s="1"/>
  <c r="G394" i="4"/>
  <c r="G393" i="4"/>
  <c r="J393" i="4" s="1"/>
  <c r="L393" i="4" s="1"/>
  <c r="G392" i="4"/>
  <c r="G391" i="4"/>
  <c r="I391" i="4" s="1"/>
  <c r="G390" i="4"/>
  <c r="J390" i="4" s="1"/>
  <c r="L390" i="4" s="1"/>
  <c r="G389" i="4"/>
  <c r="J389" i="4" s="1"/>
  <c r="L389" i="4" s="1"/>
  <c r="G388" i="4"/>
  <c r="G387" i="4"/>
  <c r="J387" i="4" s="1"/>
  <c r="L387" i="4" s="1"/>
  <c r="G386" i="4"/>
  <c r="G385" i="4"/>
  <c r="I385" i="4" s="1"/>
  <c r="G384" i="4"/>
  <c r="J384" i="4" s="1"/>
  <c r="L384" i="4" s="1"/>
  <c r="G383" i="4"/>
  <c r="J383" i="4" s="1"/>
  <c r="L383" i="4" s="1"/>
  <c r="G382" i="4"/>
  <c r="G381" i="4"/>
  <c r="J381" i="4" s="1"/>
  <c r="L381" i="4" s="1"/>
  <c r="G380" i="4"/>
  <c r="G379" i="4"/>
  <c r="I379" i="4" s="1"/>
  <c r="I378" i="4"/>
  <c r="G378" i="4"/>
  <c r="J378" i="4" s="1"/>
  <c r="L378" i="4" s="1"/>
  <c r="G377" i="4"/>
  <c r="J377" i="4" s="1"/>
  <c r="L377" i="4" s="1"/>
  <c r="G376" i="4"/>
  <c r="G375" i="4"/>
  <c r="J375" i="4" s="1"/>
  <c r="L375" i="4" s="1"/>
  <c r="G374" i="4"/>
  <c r="G373" i="4"/>
  <c r="I372" i="4"/>
  <c r="G372" i="4"/>
  <c r="J372" i="4" s="1"/>
  <c r="L372" i="4" s="1"/>
  <c r="G371" i="4"/>
  <c r="J371" i="4" s="1"/>
  <c r="L371" i="4" s="1"/>
  <c r="G370" i="4"/>
  <c r="G369" i="4"/>
  <c r="J369" i="4" s="1"/>
  <c r="L369" i="4" s="1"/>
  <c r="G368" i="4"/>
  <c r="G367" i="4"/>
  <c r="I367" i="4" s="1"/>
  <c r="I366" i="4"/>
  <c r="G366" i="4"/>
  <c r="J366" i="4" s="1"/>
  <c r="L366" i="4" s="1"/>
  <c r="G365" i="4"/>
  <c r="G364" i="4"/>
  <c r="G363" i="4"/>
  <c r="J363" i="4" s="1"/>
  <c r="L363" i="4" s="1"/>
  <c r="G362" i="4"/>
  <c r="J361" i="4"/>
  <c r="L361" i="4" s="1"/>
  <c r="I361" i="4"/>
  <c r="G361" i="4"/>
  <c r="G360" i="4"/>
  <c r="J360" i="4" s="1"/>
  <c r="L360" i="4" s="1"/>
  <c r="J359" i="4"/>
  <c r="L359" i="4" s="1"/>
  <c r="I359" i="4"/>
  <c r="G359" i="4"/>
  <c r="G358" i="4"/>
  <c r="G357" i="4"/>
  <c r="J356" i="4"/>
  <c r="L356" i="4" s="1"/>
  <c r="I356" i="4"/>
  <c r="G356" i="4"/>
  <c r="J355" i="4"/>
  <c r="L355" i="4" s="1"/>
  <c r="G355" i="4"/>
  <c r="I355" i="4" s="1"/>
  <c r="G354" i="4"/>
  <c r="J354" i="4" s="1"/>
  <c r="L354" i="4" s="1"/>
  <c r="G353" i="4"/>
  <c r="J353" i="4" s="1"/>
  <c r="L353" i="4" s="1"/>
  <c r="I352" i="4"/>
  <c r="G352" i="4"/>
  <c r="J352" i="4" s="1"/>
  <c r="L352" i="4" s="1"/>
  <c r="I351" i="4"/>
  <c r="G351" i="4"/>
  <c r="J351" i="4" s="1"/>
  <c r="L351" i="4" s="1"/>
  <c r="G350" i="4"/>
  <c r="I350" i="4" s="1"/>
  <c r="G349" i="4"/>
  <c r="G348" i="4"/>
  <c r="G347" i="4"/>
  <c r="J347" i="4" s="1"/>
  <c r="L347" i="4" s="1"/>
  <c r="J346" i="4"/>
  <c r="L346" i="4" s="1"/>
  <c r="I346" i="4"/>
  <c r="G346" i="4"/>
  <c r="G345" i="4"/>
  <c r="G344" i="4"/>
  <c r="J344" i="4" s="1"/>
  <c r="L344" i="4" s="1"/>
  <c r="J343" i="4"/>
  <c r="L343" i="4" s="1"/>
  <c r="I343" i="4"/>
  <c r="G343" i="4"/>
  <c r="G342" i="4"/>
  <c r="J341" i="4"/>
  <c r="L341" i="4" s="1"/>
  <c r="I341" i="4"/>
  <c r="G341" i="4"/>
  <c r="J340" i="4"/>
  <c r="L340" i="4" s="1"/>
  <c r="I340" i="4"/>
  <c r="G340" i="4"/>
  <c r="G339" i="4"/>
  <c r="J338" i="4"/>
  <c r="L338" i="4" s="1"/>
  <c r="G338" i="4"/>
  <c r="I338" i="4" s="1"/>
  <c r="G337" i="4"/>
  <c r="J337" i="4" s="1"/>
  <c r="L337" i="4" s="1"/>
  <c r="G336" i="4"/>
  <c r="J335" i="4"/>
  <c r="L335" i="4" s="1"/>
  <c r="I335" i="4"/>
  <c r="G335" i="4"/>
  <c r="G334" i="4"/>
  <c r="J334" i="4" s="1"/>
  <c r="L334" i="4" s="1"/>
  <c r="G333" i="4"/>
  <c r="G332" i="4"/>
  <c r="J332" i="4" s="1"/>
  <c r="L332" i="4" s="1"/>
  <c r="J331" i="4"/>
  <c r="L331" i="4" s="1"/>
  <c r="I331" i="4"/>
  <c r="G331" i="4"/>
  <c r="G330" i="4"/>
  <c r="G329" i="4"/>
  <c r="J329" i="4" s="1"/>
  <c r="L329" i="4" s="1"/>
  <c r="J328" i="4"/>
  <c r="L328" i="4" s="1"/>
  <c r="G328" i="4"/>
  <c r="I328" i="4" s="1"/>
  <c r="G327" i="4"/>
  <c r="J326" i="4"/>
  <c r="L326" i="4" s="1"/>
  <c r="I326" i="4"/>
  <c r="G326" i="4"/>
  <c r="J325" i="4"/>
  <c r="L325" i="4" s="1"/>
  <c r="I325" i="4"/>
  <c r="G325" i="4"/>
  <c r="G324" i="4"/>
  <c r="J323" i="4"/>
  <c r="L323" i="4" s="1"/>
  <c r="I323" i="4"/>
  <c r="G323" i="4"/>
  <c r="G322" i="4"/>
  <c r="J322" i="4" s="1"/>
  <c r="L322" i="4" s="1"/>
  <c r="G321" i="4"/>
  <c r="J320" i="4"/>
  <c r="L320" i="4" s="1"/>
  <c r="I320" i="4"/>
  <c r="G320" i="4"/>
  <c r="G319" i="4"/>
  <c r="J319" i="4" s="1"/>
  <c r="L319" i="4" s="1"/>
  <c r="G318" i="4"/>
  <c r="J317" i="4"/>
  <c r="L317" i="4" s="1"/>
  <c r="I317" i="4"/>
  <c r="G317" i="4"/>
  <c r="J316" i="4"/>
  <c r="L316" i="4" s="1"/>
  <c r="I316" i="4"/>
  <c r="G316" i="4"/>
  <c r="G315" i="4"/>
  <c r="J314" i="4"/>
  <c r="L314" i="4" s="1"/>
  <c r="I314" i="4"/>
  <c r="G314" i="4"/>
  <c r="J313" i="4"/>
  <c r="L313" i="4" s="1"/>
  <c r="I313" i="4"/>
  <c r="G313" i="4"/>
  <c r="G312" i="4"/>
  <c r="G311" i="4"/>
  <c r="J311" i="4" s="1"/>
  <c r="L311" i="4" s="1"/>
  <c r="J310" i="4"/>
  <c r="L310" i="4" s="1"/>
  <c r="I310" i="4"/>
  <c r="G310" i="4"/>
  <c r="G309" i="4"/>
  <c r="G308" i="4"/>
  <c r="J308" i="4" s="1"/>
  <c r="L308" i="4" s="1"/>
  <c r="J307" i="4"/>
  <c r="L307" i="4" s="1"/>
  <c r="I307" i="4"/>
  <c r="G307" i="4"/>
  <c r="G306" i="4"/>
  <c r="J305" i="4"/>
  <c r="L305" i="4" s="1"/>
  <c r="I305" i="4"/>
  <c r="G305" i="4"/>
  <c r="J304" i="4"/>
  <c r="L304" i="4" s="1"/>
  <c r="I304" i="4"/>
  <c r="G304" i="4"/>
  <c r="G303" i="4"/>
  <c r="J302" i="4"/>
  <c r="L302" i="4" s="1"/>
  <c r="G302" i="4"/>
  <c r="I302" i="4" s="1"/>
  <c r="G301" i="4"/>
  <c r="J301" i="4" s="1"/>
  <c r="L301" i="4" s="1"/>
  <c r="G300" i="4"/>
  <c r="J299" i="4"/>
  <c r="L299" i="4" s="1"/>
  <c r="I299" i="4"/>
  <c r="G299" i="4"/>
  <c r="G298" i="4"/>
  <c r="J298" i="4" s="1"/>
  <c r="L298" i="4" s="1"/>
  <c r="G297" i="4"/>
  <c r="G296" i="4"/>
  <c r="J296" i="4" s="1"/>
  <c r="L296" i="4" s="1"/>
  <c r="J295" i="4"/>
  <c r="L295" i="4" s="1"/>
  <c r="I295" i="4"/>
  <c r="G295" i="4"/>
  <c r="G294" i="4"/>
  <c r="G293" i="4"/>
  <c r="J293" i="4" s="1"/>
  <c r="L293" i="4" s="1"/>
  <c r="J292" i="4"/>
  <c r="L292" i="4" s="1"/>
  <c r="G292" i="4"/>
  <c r="I292" i="4" s="1"/>
  <c r="G291" i="4"/>
  <c r="J290" i="4"/>
  <c r="L290" i="4" s="1"/>
  <c r="I290" i="4"/>
  <c r="G290" i="4"/>
  <c r="J289" i="4"/>
  <c r="L289" i="4" s="1"/>
  <c r="I289" i="4"/>
  <c r="G289" i="4"/>
  <c r="G288" i="4"/>
  <c r="J287" i="4"/>
  <c r="L287" i="4" s="1"/>
  <c r="I287" i="4"/>
  <c r="G287" i="4"/>
  <c r="G286" i="4"/>
  <c r="J286" i="4" s="1"/>
  <c r="L286" i="4" s="1"/>
  <c r="G285" i="4"/>
  <c r="J285" i="4" s="1"/>
  <c r="L285" i="4" s="1"/>
  <c r="J284" i="4"/>
  <c r="L284" i="4" s="1"/>
  <c r="I284" i="4"/>
  <c r="G284" i="4"/>
  <c r="G283" i="4"/>
  <c r="J283" i="4" s="1"/>
  <c r="L283" i="4" s="1"/>
  <c r="I282" i="4"/>
  <c r="G282" i="4"/>
  <c r="J282" i="4" s="1"/>
  <c r="L282" i="4" s="1"/>
  <c r="G281" i="4"/>
  <c r="J281" i="4" s="1"/>
  <c r="L281" i="4" s="1"/>
  <c r="J280" i="4"/>
  <c r="L280" i="4" s="1"/>
  <c r="I280" i="4"/>
  <c r="G280" i="4"/>
  <c r="G279" i="4"/>
  <c r="J279" i="4" s="1"/>
  <c r="L279" i="4" s="1"/>
  <c r="G278" i="4"/>
  <c r="J278" i="4" s="1"/>
  <c r="L278" i="4" s="1"/>
  <c r="J277" i="4"/>
  <c r="L277" i="4" s="1"/>
  <c r="G277" i="4"/>
  <c r="I277" i="4" s="1"/>
  <c r="G276" i="4"/>
  <c r="J276" i="4" s="1"/>
  <c r="L276" i="4" s="1"/>
  <c r="J275" i="4"/>
  <c r="L275" i="4" s="1"/>
  <c r="I275" i="4"/>
  <c r="G275" i="4"/>
  <c r="J274" i="4"/>
  <c r="L274" i="4" s="1"/>
  <c r="G274" i="4"/>
  <c r="I274" i="4" s="1"/>
  <c r="G273" i="4"/>
  <c r="J273" i="4" s="1"/>
  <c r="L273" i="4" s="1"/>
  <c r="J272" i="4"/>
  <c r="L272" i="4" s="1"/>
  <c r="I272" i="4"/>
  <c r="G272" i="4"/>
  <c r="J271" i="4"/>
  <c r="L271" i="4" s="1"/>
  <c r="I271" i="4"/>
  <c r="G271" i="4"/>
  <c r="G270" i="4"/>
  <c r="J270" i="4" s="1"/>
  <c r="L270" i="4" s="1"/>
  <c r="J269" i="4"/>
  <c r="L269" i="4" s="1"/>
  <c r="G269" i="4"/>
  <c r="I269" i="4" s="1"/>
  <c r="J268" i="4"/>
  <c r="L268" i="4" s="1"/>
  <c r="I268" i="4"/>
  <c r="G268" i="4"/>
  <c r="G267" i="4"/>
  <c r="J267" i="4" s="1"/>
  <c r="L267" i="4" s="1"/>
  <c r="G266" i="4"/>
  <c r="J266" i="4" s="1"/>
  <c r="L266" i="4" s="1"/>
  <c r="J265" i="4"/>
  <c r="L265" i="4" s="1"/>
  <c r="I265" i="4"/>
  <c r="G265" i="4"/>
  <c r="G264" i="4"/>
  <c r="J264" i="4" s="1"/>
  <c r="L264" i="4" s="1"/>
  <c r="J263" i="4"/>
  <c r="L263" i="4" s="1"/>
  <c r="I263" i="4"/>
  <c r="G263" i="4"/>
  <c r="G262" i="4"/>
  <c r="J262" i="4" s="1"/>
  <c r="L262" i="4" s="1"/>
  <c r="I261" i="4"/>
  <c r="G261" i="4"/>
  <c r="J261" i="4" s="1"/>
  <c r="L261" i="4" s="1"/>
  <c r="J260" i="4"/>
  <c r="L260" i="4" s="1"/>
  <c r="I260" i="4"/>
  <c r="G260" i="4"/>
  <c r="G259" i="4"/>
  <c r="J259" i="4" s="1"/>
  <c r="L259" i="4" s="1"/>
  <c r="G258" i="4"/>
  <c r="J258" i="4" s="1"/>
  <c r="L258" i="4" s="1"/>
  <c r="G257" i="4"/>
  <c r="J257" i="4" s="1"/>
  <c r="L257" i="4" s="1"/>
  <c r="J256" i="4"/>
  <c r="L256" i="4" s="1"/>
  <c r="I256" i="4"/>
  <c r="G256" i="4"/>
  <c r="G255" i="4"/>
  <c r="G254" i="4"/>
  <c r="J254" i="4" s="1"/>
  <c r="L254" i="4" s="1"/>
  <c r="J253" i="4"/>
  <c r="L253" i="4" s="1"/>
  <c r="G253" i="4"/>
  <c r="I253" i="4" s="1"/>
  <c r="G252" i="4"/>
  <c r="J252" i="4" s="1"/>
  <c r="L252" i="4" s="1"/>
  <c r="J251" i="4"/>
  <c r="L251" i="4" s="1"/>
  <c r="I251" i="4"/>
  <c r="G251" i="4"/>
  <c r="J250" i="4"/>
  <c r="L250" i="4" s="1"/>
  <c r="I250" i="4"/>
  <c r="G250" i="4"/>
  <c r="G249" i="4"/>
  <c r="J249" i="4" s="1"/>
  <c r="L249" i="4" s="1"/>
  <c r="J248" i="4"/>
  <c r="L248" i="4" s="1"/>
  <c r="I248" i="4"/>
  <c r="G248" i="4"/>
  <c r="G247" i="4"/>
  <c r="J247" i="4" s="1"/>
  <c r="L247" i="4" s="1"/>
  <c r="I246" i="4"/>
  <c r="G246" i="4"/>
  <c r="J246" i="4" s="1"/>
  <c r="L246" i="4" s="1"/>
  <c r="J245" i="4"/>
  <c r="L245" i="4" s="1"/>
  <c r="I245" i="4"/>
  <c r="G245" i="4"/>
  <c r="G244" i="4"/>
  <c r="J244" i="4" s="1"/>
  <c r="L244" i="4" s="1"/>
  <c r="G243" i="4"/>
  <c r="J243" i="4" s="1"/>
  <c r="L243" i="4" s="1"/>
  <c r="G242" i="4"/>
  <c r="J242" i="4" s="1"/>
  <c r="L242" i="4" s="1"/>
  <c r="J241" i="4"/>
  <c r="L241" i="4" s="1"/>
  <c r="I241" i="4"/>
  <c r="G241" i="4"/>
  <c r="I240" i="4"/>
  <c r="G240" i="4"/>
  <c r="J240" i="4" s="1"/>
  <c r="L240" i="4" s="1"/>
  <c r="G239" i="4"/>
  <c r="J239" i="4" s="1"/>
  <c r="L239" i="4" s="1"/>
  <c r="J238" i="4"/>
  <c r="L238" i="4" s="1"/>
  <c r="I238" i="4"/>
  <c r="G238" i="4"/>
  <c r="G237" i="4"/>
  <c r="J237" i="4" s="1"/>
  <c r="L237" i="4" s="1"/>
  <c r="J236" i="4"/>
  <c r="L236" i="4" s="1"/>
  <c r="I236" i="4"/>
  <c r="G236" i="4"/>
  <c r="G235" i="4"/>
  <c r="J235" i="4" s="1"/>
  <c r="L235" i="4" s="1"/>
  <c r="G234" i="4"/>
  <c r="J234" i="4" s="1"/>
  <c r="L234" i="4" s="1"/>
  <c r="J233" i="4"/>
  <c r="L233" i="4" s="1"/>
  <c r="I233" i="4"/>
  <c r="G233" i="4"/>
  <c r="J232" i="4"/>
  <c r="L232" i="4" s="1"/>
  <c r="I232" i="4"/>
  <c r="G232" i="4"/>
  <c r="G231" i="4"/>
  <c r="J231" i="4" s="1"/>
  <c r="L231" i="4" s="1"/>
  <c r="J230" i="4"/>
  <c r="L230" i="4" s="1"/>
  <c r="G230" i="4"/>
  <c r="I230" i="4" s="1"/>
  <c r="J229" i="4"/>
  <c r="L229" i="4" s="1"/>
  <c r="I229" i="4"/>
  <c r="G229" i="4"/>
  <c r="I228" i="4"/>
  <c r="G228" i="4"/>
  <c r="J228" i="4" s="1"/>
  <c r="L228" i="4" s="1"/>
  <c r="J227" i="4"/>
  <c r="L227" i="4" s="1"/>
  <c r="I227" i="4"/>
  <c r="G227" i="4"/>
  <c r="J226" i="4"/>
  <c r="L226" i="4" s="1"/>
  <c r="I226" i="4"/>
  <c r="G226" i="4"/>
  <c r="G225" i="4"/>
  <c r="J225" i="4" s="1"/>
  <c r="L225" i="4" s="1"/>
  <c r="J224" i="4"/>
  <c r="L224" i="4" s="1"/>
  <c r="I224" i="4"/>
  <c r="G224" i="4"/>
  <c r="G223" i="4"/>
  <c r="J223" i="4" s="1"/>
  <c r="L223" i="4" s="1"/>
  <c r="I222" i="4"/>
  <c r="G222" i="4"/>
  <c r="J222" i="4" s="1"/>
  <c r="L222" i="4" s="1"/>
  <c r="J221" i="4"/>
  <c r="L221" i="4" s="1"/>
  <c r="I221" i="4"/>
  <c r="G221" i="4"/>
  <c r="G220" i="4"/>
  <c r="J220" i="4" s="1"/>
  <c r="L220" i="4" s="1"/>
  <c r="G219" i="4"/>
  <c r="G218" i="4"/>
  <c r="J218" i="4" s="1"/>
  <c r="L218" i="4" s="1"/>
  <c r="J217" i="4"/>
  <c r="L217" i="4" s="1"/>
  <c r="I217" i="4"/>
  <c r="G217" i="4"/>
  <c r="G216" i="4"/>
  <c r="J216" i="4" s="1"/>
  <c r="L216" i="4" s="1"/>
  <c r="G215" i="4"/>
  <c r="J215" i="4" s="1"/>
  <c r="L215" i="4" s="1"/>
  <c r="J214" i="4"/>
  <c r="L214" i="4" s="1"/>
  <c r="G214" i="4"/>
  <c r="I214" i="4" s="1"/>
  <c r="G213" i="4"/>
  <c r="J213" i="4" s="1"/>
  <c r="L213" i="4" s="1"/>
  <c r="J212" i="4"/>
  <c r="L212" i="4" s="1"/>
  <c r="I212" i="4"/>
  <c r="G212" i="4"/>
  <c r="J211" i="4"/>
  <c r="L211" i="4" s="1"/>
  <c r="I211" i="4"/>
  <c r="G211" i="4"/>
  <c r="G210" i="4"/>
  <c r="J210" i="4" s="1"/>
  <c r="L210" i="4" s="1"/>
  <c r="J209" i="4"/>
  <c r="L209" i="4" s="1"/>
  <c r="G209" i="4"/>
  <c r="I209" i="4" s="1"/>
  <c r="G208" i="4"/>
  <c r="J208" i="4" s="1"/>
  <c r="L208" i="4" s="1"/>
  <c r="G207" i="4"/>
  <c r="J207" i="4" s="1"/>
  <c r="L207" i="4" s="1"/>
  <c r="J206" i="4"/>
  <c r="L206" i="4" s="1"/>
  <c r="I206" i="4"/>
  <c r="G206" i="4"/>
  <c r="G205" i="4"/>
  <c r="J205" i="4" s="1"/>
  <c r="L205" i="4" s="1"/>
  <c r="G204" i="4"/>
  <c r="J204" i="4" s="1"/>
  <c r="L204" i="4" s="1"/>
  <c r="G203" i="4"/>
  <c r="J203" i="4" s="1"/>
  <c r="L203" i="4" s="1"/>
  <c r="J202" i="4"/>
  <c r="L202" i="4" s="1"/>
  <c r="I202" i="4"/>
  <c r="G202" i="4"/>
  <c r="G201" i="4"/>
  <c r="J201" i="4" s="1"/>
  <c r="L201" i="4" s="1"/>
  <c r="J200" i="4"/>
  <c r="L200" i="4" s="1"/>
  <c r="I200" i="4"/>
  <c r="G200" i="4"/>
  <c r="G199" i="4"/>
  <c r="J199" i="4" s="1"/>
  <c r="L199" i="4" s="1"/>
  <c r="G198" i="4"/>
  <c r="J198" i="4" s="1"/>
  <c r="L198" i="4" s="1"/>
  <c r="J197" i="4"/>
  <c r="L197" i="4" s="1"/>
  <c r="I197" i="4"/>
  <c r="G197" i="4"/>
  <c r="G196" i="4"/>
  <c r="J196" i="4" s="1"/>
  <c r="L196" i="4" s="1"/>
  <c r="G195" i="4"/>
  <c r="J195" i="4" s="1"/>
  <c r="L195" i="4" s="1"/>
  <c r="J194" i="4"/>
  <c r="L194" i="4" s="1"/>
  <c r="I194" i="4"/>
  <c r="G194" i="4"/>
  <c r="J193" i="4"/>
  <c r="L193" i="4" s="1"/>
  <c r="I193" i="4"/>
  <c r="G193" i="4"/>
  <c r="I192" i="4"/>
  <c r="G192" i="4"/>
  <c r="J192" i="4" s="1"/>
  <c r="L192" i="4" s="1"/>
  <c r="G191" i="4"/>
  <c r="J191" i="4" s="1"/>
  <c r="L191" i="4" s="1"/>
  <c r="J190" i="4"/>
  <c r="L190" i="4" s="1"/>
  <c r="G190" i="4"/>
  <c r="I190" i="4" s="1"/>
  <c r="G189" i="4"/>
  <c r="J189" i="4" s="1"/>
  <c r="L189" i="4" s="1"/>
  <c r="J188" i="4"/>
  <c r="L188" i="4" s="1"/>
  <c r="I188" i="4"/>
  <c r="G188" i="4"/>
  <c r="J187" i="4"/>
  <c r="L187" i="4" s="1"/>
  <c r="I187" i="4"/>
  <c r="G187" i="4"/>
  <c r="G186" i="4"/>
  <c r="J186" i="4" s="1"/>
  <c r="L186" i="4" s="1"/>
  <c r="J185" i="4"/>
  <c r="L185" i="4" s="1"/>
  <c r="I185" i="4"/>
  <c r="G185" i="4"/>
  <c r="G184" i="4"/>
  <c r="J184" i="4" s="1"/>
  <c r="L184" i="4" s="1"/>
  <c r="G183" i="4"/>
  <c r="J182" i="4"/>
  <c r="L182" i="4" s="1"/>
  <c r="I182" i="4"/>
  <c r="G182" i="4"/>
  <c r="G181" i="4"/>
  <c r="J181" i="4" s="1"/>
  <c r="L181" i="4" s="1"/>
  <c r="G180" i="4"/>
  <c r="J180" i="4" s="1"/>
  <c r="L180" i="4" s="1"/>
  <c r="J179" i="4"/>
  <c r="L179" i="4" s="1"/>
  <c r="I179" i="4"/>
  <c r="G179" i="4"/>
  <c r="J178" i="4"/>
  <c r="L178" i="4" s="1"/>
  <c r="I178" i="4"/>
  <c r="G178" i="4"/>
  <c r="G177" i="4"/>
  <c r="J177" i="4" s="1"/>
  <c r="L177" i="4" s="1"/>
  <c r="J176" i="4"/>
  <c r="L176" i="4" s="1"/>
  <c r="G176" i="4"/>
  <c r="I176" i="4" s="1"/>
  <c r="J175" i="4"/>
  <c r="L175" i="4" s="1"/>
  <c r="I175" i="4"/>
  <c r="G175" i="4"/>
  <c r="I174" i="4"/>
  <c r="G174" i="4"/>
  <c r="J174" i="4" s="1"/>
  <c r="L174" i="4" s="1"/>
  <c r="J173" i="4"/>
  <c r="L173" i="4" s="1"/>
  <c r="I173" i="4"/>
  <c r="G173" i="4"/>
  <c r="J172" i="4"/>
  <c r="L172" i="4" s="1"/>
  <c r="I172" i="4"/>
  <c r="G172" i="4"/>
  <c r="G171" i="4"/>
  <c r="J171" i="4" s="1"/>
  <c r="L171" i="4" s="1"/>
  <c r="J170" i="4"/>
  <c r="L170" i="4" s="1"/>
  <c r="I170" i="4"/>
  <c r="G170" i="4"/>
  <c r="J169" i="4"/>
  <c r="L169" i="4" s="1"/>
  <c r="I169" i="4"/>
  <c r="G169" i="4"/>
  <c r="J168" i="4"/>
  <c r="L168" i="4" s="1"/>
  <c r="I168" i="4"/>
  <c r="G168" i="4"/>
  <c r="G167" i="4"/>
  <c r="J167" i="4" s="1"/>
  <c r="L167" i="4" s="1"/>
  <c r="J166" i="4"/>
  <c r="L166" i="4" s="1"/>
  <c r="I166" i="4"/>
  <c r="G166" i="4"/>
  <c r="J165" i="4"/>
  <c r="L165" i="4" s="1"/>
  <c r="I165" i="4"/>
  <c r="G165" i="4"/>
  <c r="J164" i="4"/>
  <c r="L164" i="4" s="1"/>
  <c r="I164" i="4"/>
  <c r="G164" i="4"/>
  <c r="G163" i="4"/>
  <c r="J163" i="4" s="1"/>
  <c r="L163" i="4" s="1"/>
  <c r="J162" i="4"/>
  <c r="L162" i="4" s="1"/>
  <c r="I162" i="4"/>
  <c r="G162" i="4"/>
  <c r="J161" i="4"/>
  <c r="L161" i="4" s="1"/>
  <c r="I161" i="4"/>
  <c r="G161" i="4"/>
  <c r="J160" i="4"/>
  <c r="L160" i="4" s="1"/>
  <c r="I160" i="4"/>
  <c r="G160" i="4"/>
  <c r="G159" i="4"/>
  <c r="J159" i="4" s="1"/>
  <c r="L159" i="4" s="1"/>
  <c r="J158" i="4"/>
  <c r="L158" i="4" s="1"/>
  <c r="I158" i="4"/>
  <c r="G158" i="4"/>
  <c r="J157" i="4"/>
  <c r="L157" i="4" s="1"/>
  <c r="I157" i="4"/>
  <c r="G157" i="4"/>
  <c r="J156" i="4"/>
  <c r="L156" i="4" s="1"/>
  <c r="I156" i="4"/>
  <c r="G156" i="4"/>
  <c r="G155" i="4"/>
  <c r="J155" i="4" s="1"/>
  <c r="L155" i="4" s="1"/>
  <c r="J154" i="4"/>
  <c r="L154" i="4" s="1"/>
  <c r="I154" i="4"/>
  <c r="G154" i="4"/>
  <c r="J153" i="4"/>
  <c r="L153" i="4" s="1"/>
  <c r="I153" i="4"/>
  <c r="G153" i="4"/>
  <c r="J152" i="4"/>
  <c r="L152" i="4" s="1"/>
  <c r="I152" i="4"/>
  <c r="G152" i="4"/>
  <c r="G151" i="4"/>
  <c r="J151" i="4" s="1"/>
  <c r="L151" i="4" s="1"/>
  <c r="J150" i="4"/>
  <c r="L150" i="4" s="1"/>
  <c r="I150" i="4"/>
  <c r="G150" i="4"/>
  <c r="J149" i="4"/>
  <c r="L149" i="4" s="1"/>
  <c r="I149" i="4"/>
  <c r="G149" i="4"/>
  <c r="J148" i="4"/>
  <c r="L148" i="4" s="1"/>
  <c r="I148" i="4"/>
  <c r="G148" i="4"/>
  <c r="G147" i="4"/>
  <c r="J147" i="4" s="1"/>
  <c r="L147" i="4" s="1"/>
  <c r="J146" i="4"/>
  <c r="L146" i="4" s="1"/>
  <c r="I146" i="4"/>
  <c r="G146" i="4"/>
  <c r="J145" i="4"/>
  <c r="L145" i="4" s="1"/>
  <c r="I145" i="4"/>
  <c r="G145" i="4"/>
  <c r="J144" i="4"/>
  <c r="L144" i="4" s="1"/>
  <c r="I144" i="4"/>
  <c r="G144" i="4"/>
  <c r="G143" i="4"/>
  <c r="J143" i="4" s="1"/>
  <c r="L143" i="4" s="1"/>
  <c r="J142" i="4"/>
  <c r="L142" i="4" s="1"/>
  <c r="I142" i="4"/>
  <c r="G142" i="4"/>
  <c r="J141" i="4"/>
  <c r="L141" i="4" s="1"/>
  <c r="I141" i="4"/>
  <c r="G141" i="4"/>
  <c r="J140" i="4"/>
  <c r="L140" i="4" s="1"/>
  <c r="I140" i="4"/>
  <c r="G140" i="4"/>
  <c r="G139" i="4"/>
  <c r="J139" i="4" s="1"/>
  <c r="L139" i="4" s="1"/>
  <c r="J138" i="4"/>
  <c r="L138" i="4" s="1"/>
  <c r="I138" i="4"/>
  <c r="G138" i="4"/>
  <c r="J137" i="4"/>
  <c r="L137" i="4" s="1"/>
  <c r="I137" i="4"/>
  <c r="G137" i="4"/>
  <c r="J136" i="4"/>
  <c r="L136" i="4" s="1"/>
  <c r="I136" i="4"/>
  <c r="G136" i="4"/>
  <c r="G135" i="4"/>
  <c r="J135" i="4" s="1"/>
  <c r="L135" i="4" s="1"/>
  <c r="J134" i="4"/>
  <c r="L134" i="4" s="1"/>
  <c r="I134" i="4"/>
  <c r="G134" i="4"/>
  <c r="J133" i="4"/>
  <c r="L133" i="4" s="1"/>
  <c r="I133" i="4"/>
  <c r="G133" i="4"/>
  <c r="J132" i="4"/>
  <c r="L132" i="4" s="1"/>
  <c r="I132" i="4"/>
  <c r="G132" i="4"/>
  <c r="G131" i="4"/>
  <c r="J131" i="4" s="1"/>
  <c r="L131" i="4" s="1"/>
  <c r="J130" i="4"/>
  <c r="L130" i="4" s="1"/>
  <c r="I130" i="4"/>
  <c r="G130" i="4"/>
  <c r="J129" i="4"/>
  <c r="L129" i="4" s="1"/>
  <c r="I129" i="4"/>
  <c r="G129" i="4"/>
  <c r="J128" i="4"/>
  <c r="L128" i="4" s="1"/>
  <c r="I128" i="4"/>
  <c r="G128" i="4"/>
  <c r="G127" i="4"/>
  <c r="J127" i="4" s="1"/>
  <c r="L127" i="4" s="1"/>
  <c r="J126" i="4"/>
  <c r="L126" i="4" s="1"/>
  <c r="I126" i="4"/>
  <c r="G126" i="4"/>
  <c r="J125" i="4"/>
  <c r="L125" i="4" s="1"/>
  <c r="I125" i="4"/>
  <c r="G125" i="4"/>
  <c r="J124" i="4"/>
  <c r="L124" i="4" s="1"/>
  <c r="I124" i="4"/>
  <c r="G124" i="4"/>
  <c r="G123" i="4"/>
  <c r="J123" i="4" s="1"/>
  <c r="L123" i="4" s="1"/>
  <c r="J122" i="4"/>
  <c r="L122" i="4" s="1"/>
  <c r="I122" i="4"/>
  <c r="G122" i="4"/>
  <c r="J121" i="4"/>
  <c r="L121" i="4" s="1"/>
  <c r="I121" i="4"/>
  <c r="G121" i="4"/>
  <c r="J120" i="4"/>
  <c r="L120" i="4" s="1"/>
  <c r="I120" i="4"/>
  <c r="G120" i="4"/>
  <c r="G119" i="4"/>
  <c r="J119" i="4" s="1"/>
  <c r="L119" i="4" s="1"/>
  <c r="J118" i="4"/>
  <c r="L118" i="4" s="1"/>
  <c r="I118" i="4"/>
  <c r="G118" i="4"/>
  <c r="J117" i="4"/>
  <c r="L117" i="4" s="1"/>
  <c r="I117" i="4"/>
  <c r="G117" i="4"/>
  <c r="J116" i="4"/>
  <c r="L116" i="4" s="1"/>
  <c r="I116" i="4"/>
  <c r="G116" i="4"/>
  <c r="G115" i="4"/>
  <c r="J115" i="4" s="1"/>
  <c r="L115" i="4" s="1"/>
  <c r="J114" i="4"/>
  <c r="L114" i="4" s="1"/>
  <c r="I114" i="4"/>
  <c r="G114" i="4"/>
  <c r="J113" i="4"/>
  <c r="L113" i="4" s="1"/>
  <c r="I113" i="4"/>
  <c r="G113" i="4"/>
  <c r="J112" i="4"/>
  <c r="L112" i="4" s="1"/>
  <c r="I112" i="4"/>
  <c r="G112" i="4"/>
  <c r="G111" i="4"/>
  <c r="J111" i="4" s="1"/>
  <c r="L111" i="4" s="1"/>
  <c r="J110" i="4"/>
  <c r="L110" i="4" s="1"/>
  <c r="I110" i="4"/>
  <c r="G110" i="4"/>
  <c r="J109" i="4"/>
  <c r="L109" i="4" s="1"/>
  <c r="I109" i="4"/>
  <c r="G109" i="4"/>
  <c r="J108" i="4"/>
  <c r="L108" i="4" s="1"/>
  <c r="I108" i="4"/>
  <c r="G108" i="4"/>
  <c r="G107" i="4"/>
  <c r="J107" i="4" s="1"/>
  <c r="L107" i="4" s="1"/>
  <c r="J106" i="4"/>
  <c r="L106" i="4" s="1"/>
  <c r="I106" i="4"/>
  <c r="G106" i="4"/>
  <c r="J105" i="4"/>
  <c r="L105" i="4" s="1"/>
  <c r="I105" i="4"/>
  <c r="G105" i="4"/>
  <c r="J104" i="4"/>
  <c r="L104" i="4" s="1"/>
  <c r="I104" i="4"/>
  <c r="G104" i="4"/>
  <c r="G103" i="4"/>
  <c r="J103" i="4" s="1"/>
  <c r="L103" i="4" s="1"/>
  <c r="J102" i="4"/>
  <c r="L102" i="4" s="1"/>
  <c r="I102" i="4"/>
  <c r="G102" i="4"/>
  <c r="J101" i="4"/>
  <c r="L101" i="4" s="1"/>
  <c r="I101" i="4"/>
  <c r="G101" i="4"/>
  <c r="J100" i="4"/>
  <c r="L100" i="4" s="1"/>
  <c r="I100" i="4"/>
  <c r="G100" i="4"/>
  <c r="G99" i="4"/>
  <c r="J99" i="4" s="1"/>
  <c r="L99" i="4" s="1"/>
  <c r="J98" i="4"/>
  <c r="L98" i="4" s="1"/>
  <c r="I98" i="4"/>
  <c r="G98" i="4"/>
  <c r="J97" i="4"/>
  <c r="L97" i="4" s="1"/>
  <c r="I97" i="4"/>
  <c r="G97" i="4"/>
  <c r="J96" i="4"/>
  <c r="L96" i="4" s="1"/>
  <c r="I96" i="4"/>
  <c r="G96" i="4"/>
  <c r="G95" i="4"/>
  <c r="J95" i="4" s="1"/>
  <c r="L95" i="4" s="1"/>
  <c r="J94" i="4"/>
  <c r="L94" i="4" s="1"/>
  <c r="I94" i="4"/>
  <c r="G94" i="4"/>
  <c r="J93" i="4"/>
  <c r="L93" i="4" s="1"/>
  <c r="I93" i="4"/>
  <c r="G93" i="4"/>
  <c r="J92" i="4"/>
  <c r="L92" i="4" s="1"/>
  <c r="I92" i="4"/>
  <c r="G92" i="4"/>
  <c r="G91" i="4"/>
  <c r="J91" i="4" s="1"/>
  <c r="L91" i="4" s="1"/>
  <c r="I90" i="4"/>
  <c r="G90" i="4"/>
  <c r="J90" i="4" s="1"/>
  <c r="L90" i="4" s="1"/>
  <c r="G89" i="4"/>
  <c r="J89" i="4" s="1"/>
  <c r="L89" i="4" s="1"/>
  <c r="G88" i="4"/>
  <c r="J88" i="4" s="1"/>
  <c r="L88" i="4" s="1"/>
  <c r="J87" i="4"/>
  <c r="L87" i="4" s="1"/>
  <c r="I87" i="4"/>
  <c r="G87" i="4"/>
  <c r="G86" i="4"/>
  <c r="J86" i="4" s="1"/>
  <c r="L86" i="4" s="1"/>
  <c r="G85" i="4"/>
  <c r="J85" i="4" s="1"/>
  <c r="L85" i="4" s="1"/>
  <c r="J84" i="4"/>
  <c r="L84" i="4" s="1"/>
  <c r="I84" i="4"/>
  <c r="G84" i="4"/>
  <c r="J83" i="4"/>
  <c r="L83" i="4" s="1"/>
  <c r="I83" i="4"/>
  <c r="G83" i="4"/>
  <c r="G82" i="4"/>
  <c r="J82" i="4" s="1"/>
  <c r="L82" i="4" s="1"/>
  <c r="J81" i="4"/>
  <c r="L81" i="4" s="1"/>
  <c r="G81" i="4"/>
  <c r="I81" i="4" s="1"/>
  <c r="I80" i="4"/>
  <c r="G80" i="4"/>
  <c r="J80" i="4" s="1"/>
  <c r="L80" i="4" s="1"/>
  <c r="G79" i="4"/>
  <c r="J79" i="4" s="1"/>
  <c r="L79" i="4" s="1"/>
  <c r="G78" i="4"/>
  <c r="J78" i="4" s="1"/>
  <c r="L78" i="4" s="1"/>
  <c r="J77" i="4"/>
  <c r="L77" i="4" s="1"/>
  <c r="I77" i="4"/>
  <c r="G77" i="4"/>
  <c r="G76" i="4"/>
  <c r="J76" i="4" s="1"/>
  <c r="L76" i="4" s="1"/>
  <c r="G75" i="4"/>
  <c r="J75" i="4" s="1"/>
  <c r="L75" i="4" s="1"/>
  <c r="J74" i="4"/>
  <c r="L74" i="4" s="1"/>
  <c r="I74" i="4"/>
  <c r="G74" i="4"/>
  <c r="G73" i="4"/>
  <c r="J73" i="4" s="1"/>
  <c r="L73" i="4" s="1"/>
  <c r="J72" i="4"/>
  <c r="L72" i="4" s="1"/>
  <c r="G72" i="4"/>
  <c r="I72" i="4" s="1"/>
  <c r="G71" i="4"/>
  <c r="J71" i="4" s="1"/>
  <c r="L71" i="4" s="1"/>
  <c r="G70" i="4"/>
  <c r="J70" i="4" s="1"/>
  <c r="L70" i="4" s="1"/>
  <c r="G69" i="4"/>
  <c r="J69" i="4" s="1"/>
  <c r="L69" i="4" s="1"/>
  <c r="I68" i="4"/>
  <c r="G68" i="4"/>
  <c r="J68" i="4" s="1"/>
  <c r="L68" i="4" s="1"/>
  <c r="G67" i="4"/>
  <c r="J67" i="4" s="1"/>
  <c r="L67" i="4" s="1"/>
  <c r="J66" i="4"/>
  <c r="L66" i="4" s="1"/>
  <c r="I66" i="4"/>
  <c r="G66" i="4"/>
  <c r="G65" i="4"/>
  <c r="J65" i="4" s="1"/>
  <c r="L65" i="4" s="1"/>
  <c r="G64" i="4"/>
  <c r="J64" i="4" s="1"/>
  <c r="L64" i="4" s="1"/>
  <c r="G63" i="4"/>
  <c r="J63" i="4" s="1"/>
  <c r="L63" i="4" s="1"/>
  <c r="G62" i="4"/>
  <c r="J62" i="4" s="1"/>
  <c r="L62" i="4" s="1"/>
  <c r="G61" i="4"/>
  <c r="J61" i="4" s="1"/>
  <c r="L61" i="4" s="1"/>
  <c r="G60" i="4"/>
  <c r="J60" i="4" s="1"/>
  <c r="L60" i="4" s="1"/>
  <c r="I59" i="4"/>
  <c r="G59" i="4"/>
  <c r="J59" i="4" s="1"/>
  <c r="L59" i="4" s="1"/>
  <c r="G58" i="4"/>
  <c r="J58" i="4" s="1"/>
  <c r="L58" i="4" s="1"/>
  <c r="J57" i="4"/>
  <c r="L57" i="4" s="1"/>
  <c r="G57" i="4"/>
  <c r="I57" i="4" s="1"/>
  <c r="G56" i="4"/>
  <c r="J56" i="4" s="1"/>
  <c r="L56" i="4" s="1"/>
  <c r="G55" i="4"/>
  <c r="J55" i="4" s="1"/>
  <c r="L55" i="4" s="1"/>
  <c r="J54" i="4"/>
  <c r="L54" i="4" s="1"/>
  <c r="I54" i="4"/>
  <c r="G54" i="4"/>
  <c r="G53" i="4"/>
  <c r="J53" i="4" s="1"/>
  <c r="L53" i="4" s="1"/>
  <c r="G52" i="4"/>
  <c r="J52" i="4" s="1"/>
  <c r="L52" i="4" s="1"/>
  <c r="J51" i="4"/>
  <c r="L51" i="4" s="1"/>
  <c r="I51" i="4"/>
  <c r="G51" i="4"/>
  <c r="G50" i="4"/>
  <c r="J50" i="4" s="1"/>
  <c r="L50" i="4" s="1"/>
  <c r="G49" i="4"/>
  <c r="J49" i="4" s="1"/>
  <c r="L49" i="4" s="1"/>
  <c r="J48" i="4"/>
  <c r="L48" i="4" s="1"/>
  <c r="I48" i="4"/>
  <c r="G48" i="4"/>
  <c r="G47" i="4"/>
  <c r="J47" i="4" s="1"/>
  <c r="L47" i="4" s="1"/>
  <c r="G46" i="4"/>
  <c r="J46" i="4" s="1"/>
  <c r="L46" i="4" s="1"/>
  <c r="J45" i="4"/>
  <c r="L45" i="4" s="1"/>
  <c r="G45" i="4"/>
  <c r="I45" i="4" s="1"/>
  <c r="G44" i="4"/>
  <c r="J44" i="4" s="1"/>
  <c r="L44" i="4" s="1"/>
  <c r="G43" i="4"/>
  <c r="J43" i="4" s="1"/>
  <c r="L43" i="4" s="1"/>
  <c r="G42" i="4"/>
  <c r="J42" i="4" s="1"/>
  <c r="L42" i="4" s="1"/>
  <c r="I41" i="4"/>
  <c r="G41" i="4"/>
  <c r="J41" i="4" s="1"/>
  <c r="L41" i="4" s="1"/>
  <c r="G40" i="4"/>
  <c r="J40" i="4" s="1"/>
  <c r="L40" i="4" s="1"/>
  <c r="J39" i="4"/>
  <c r="L39" i="4" s="1"/>
  <c r="I39" i="4"/>
  <c r="G39" i="4"/>
  <c r="G38" i="4"/>
  <c r="J38" i="4" s="1"/>
  <c r="L38" i="4" s="1"/>
  <c r="G37" i="4"/>
  <c r="J37" i="4" s="1"/>
  <c r="L37" i="4" s="1"/>
  <c r="G36" i="4"/>
  <c r="J36" i="4" s="1"/>
  <c r="L36" i="4" s="1"/>
  <c r="G35" i="4"/>
  <c r="J35" i="4" s="1"/>
  <c r="L35" i="4" s="1"/>
  <c r="G34" i="4"/>
  <c r="J34" i="4" s="1"/>
  <c r="L34" i="4" s="1"/>
  <c r="G33" i="4"/>
  <c r="J33" i="4" s="1"/>
  <c r="L33" i="4" s="1"/>
  <c r="I32" i="4"/>
  <c r="G32" i="4"/>
  <c r="J32" i="4" s="1"/>
  <c r="L32" i="4" s="1"/>
  <c r="G31" i="4"/>
  <c r="J31" i="4" s="1"/>
  <c r="L31" i="4" s="1"/>
  <c r="J30" i="4"/>
  <c r="L30" i="4" s="1"/>
  <c r="G30" i="4"/>
  <c r="I30" i="4" s="1"/>
  <c r="G29" i="4"/>
  <c r="J29" i="4" s="1"/>
  <c r="L29" i="4" s="1"/>
  <c r="G28" i="4"/>
  <c r="J28" i="4" s="1"/>
  <c r="L28" i="4" s="1"/>
  <c r="J27" i="4"/>
  <c r="L27" i="4" s="1"/>
  <c r="I27" i="4"/>
  <c r="G27" i="4"/>
  <c r="G26" i="4"/>
  <c r="J26" i="4" s="1"/>
  <c r="L26" i="4" s="1"/>
  <c r="G25" i="4"/>
  <c r="J25" i="4" s="1"/>
  <c r="L25" i="4" s="1"/>
  <c r="J24" i="4"/>
  <c r="L24" i="4" s="1"/>
  <c r="I24" i="4"/>
  <c r="G24" i="4"/>
  <c r="G23" i="4"/>
  <c r="J23" i="4" s="1"/>
  <c r="L23" i="4" s="1"/>
  <c r="G22" i="4"/>
  <c r="J22" i="4" s="1"/>
  <c r="L22" i="4" s="1"/>
  <c r="J21" i="4"/>
  <c r="L21" i="4" s="1"/>
  <c r="I21" i="4"/>
  <c r="G21" i="4"/>
  <c r="G20" i="4"/>
  <c r="J20" i="4" s="1"/>
  <c r="L20" i="4" s="1"/>
  <c r="G19" i="4"/>
  <c r="J19" i="4" s="1"/>
  <c r="L19" i="4" s="1"/>
  <c r="J18" i="4"/>
  <c r="L18" i="4" s="1"/>
  <c r="G18" i="4"/>
  <c r="I18" i="4" s="1"/>
  <c r="G17" i="4"/>
  <c r="J17" i="4" s="1"/>
  <c r="L17" i="4" s="1"/>
  <c r="G16" i="4"/>
  <c r="J16" i="4" s="1"/>
  <c r="L16" i="4" s="1"/>
  <c r="G15" i="4"/>
  <c r="J15" i="4" s="1"/>
  <c r="L15" i="4" s="1"/>
  <c r="I14" i="4"/>
  <c r="G14" i="4"/>
  <c r="J14" i="4" s="1"/>
  <c r="L14" i="4" s="1"/>
  <c r="G13" i="4"/>
  <c r="J13" i="4" s="1"/>
  <c r="L13" i="4" s="1"/>
  <c r="J12" i="4"/>
  <c r="L12" i="4" s="1"/>
  <c r="I12" i="4"/>
  <c r="G12" i="4"/>
  <c r="G11" i="4"/>
  <c r="J11" i="4" s="1"/>
  <c r="L11" i="4" s="1"/>
  <c r="G10" i="4"/>
  <c r="J10" i="4" s="1"/>
  <c r="L10" i="4" s="1"/>
  <c r="G9" i="4"/>
  <c r="J9" i="4" s="1"/>
  <c r="L9" i="4" s="1"/>
  <c r="G8" i="4"/>
  <c r="J8" i="4" s="1"/>
  <c r="L8" i="4" s="1"/>
  <c r="G7" i="4"/>
  <c r="J7" i="4" s="1"/>
  <c r="L7" i="4" s="1"/>
  <c r="G6" i="4"/>
  <c r="J6" i="4" s="1"/>
  <c r="L6" i="4" s="1"/>
  <c r="I5" i="4"/>
  <c r="G5" i="4"/>
  <c r="J5" i="4" s="1"/>
  <c r="L5" i="4" s="1"/>
  <c r="M103" i="3"/>
  <c r="L103" i="3"/>
  <c r="K103" i="3"/>
  <c r="J103" i="3"/>
  <c r="I103" i="3"/>
  <c r="H103" i="3"/>
  <c r="G103" i="3"/>
  <c r="F103" i="3"/>
  <c r="E103" i="3"/>
  <c r="D103" i="3"/>
  <c r="M102" i="3"/>
  <c r="L102" i="3"/>
  <c r="K102" i="3"/>
  <c r="J102" i="3"/>
  <c r="I102" i="3"/>
  <c r="H102" i="3"/>
  <c r="G102" i="3"/>
  <c r="F102" i="3"/>
  <c r="E102" i="3"/>
  <c r="D102" i="3"/>
  <c r="M101" i="3"/>
  <c r="L101" i="3"/>
  <c r="K101" i="3"/>
  <c r="J101" i="3"/>
  <c r="I101" i="3"/>
  <c r="H101" i="3"/>
  <c r="G101" i="3"/>
  <c r="F101" i="3"/>
  <c r="E101" i="3"/>
  <c r="D101" i="3"/>
  <c r="M100" i="3"/>
  <c r="L100" i="3"/>
  <c r="K100" i="3"/>
  <c r="J100" i="3"/>
  <c r="I100" i="3"/>
  <c r="H100" i="3"/>
  <c r="G100" i="3"/>
  <c r="F100" i="3"/>
  <c r="E100" i="3"/>
  <c r="D100" i="3"/>
  <c r="M99" i="3"/>
  <c r="L99" i="3"/>
  <c r="K99" i="3"/>
  <c r="J99" i="3"/>
  <c r="I99" i="3"/>
  <c r="H99" i="3"/>
  <c r="G99" i="3"/>
  <c r="F99" i="3"/>
  <c r="E99" i="3"/>
  <c r="D99" i="3"/>
  <c r="M98" i="3"/>
  <c r="L98" i="3"/>
  <c r="K98" i="3"/>
  <c r="J98" i="3"/>
  <c r="I98" i="3"/>
  <c r="H98" i="3"/>
  <c r="G98" i="3"/>
  <c r="F98" i="3"/>
  <c r="E98" i="3"/>
  <c r="D98" i="3"/>
  <c r="M97" i="3"/>
  <c r="L97" i="3"/>
  <c r="K97" i="3"/>
  <c r="J97" i="3"/>
  <c r="I97" i="3"/>
  <c r="H97" i="3"/>
  <c r="G97" i="3"/>
  <c r="F97" i="3"/>
  <c r="E97" i="3"/>
  <c r="D97" i="3"/>
  <c r="M96" i="3"/>
  <c r="L96" i="3"/>
  <c r="K96" i="3"/>
  <c r="J96" i="3"/>
  <c r="I96" i="3"/>
  <c r="H96" i="3"/>
  <c r="G96" i="3"/>
  <c r="F96" i="3"/>
  <c r="E96" i="3"/>
  <c r="D96" i="3"/>
  <c r="M95" i="3"/>
  <c r="L95" i="3"/>
  <c r="K95" i="3"/>
  <c r="J95" i="3"/>
  <c r="I95" i="3"/>
  <c r="H95" i="3"/>
  <c r="G95" i="3"/>
  <c r="F95" i="3"/>
  <c r="E95" i="3"/>
  <c r="D95" i="3"/>
  <c r="M94" i="3"/>
  <c r="L94" i="3"/>
  <c r="K94" i="3"/>
  <c r="J94" i="3"/>
  <c r="I94" i="3"/>
  <c r="H94" i="3"/>
  <c r="G94" i="3"/>
  <c r="F94" i="3"/>
  <c r="E94" i="3"/>
  <c r="D94" i="3"/>
  <c r="M93" i="3"/>
  <c r="L93" i="3"/>
  <c r="K93" i="3"/>
  <c r="J93" i="3"/>
  <c r="I93" i="3"/>
  <c r="H93" i="3"/>
  <c r="G93" i="3"/>
  <c r="F93" i="3"/>
  <c r="E93" i="3"/>
  <c r="D93" i="3"/>
  <c r="M92" i="3"/>
  <c r="L92" i="3"/>
  <c r="K92" i="3"/>
  <c r="J92" i="3"/>
  <c r="I92" i="3"/>
  <c r="H92" i="3"/>
  <c r="G92" i="3"/>
  <c r="F92" i="3"/>
  <c r="E92" i="3"/>
  <c r="D92" i="3"/>
  <c r="M91" i="3"/>
  <c r="L91" i="3"/>
  <c r="K91" i="3"/>
  <c r="J91" i="3"/>
  <c r="I91" i="3"/>
  <c r="H91" i="3"/>
  <c r="G91" i="3"/>
  <c r="F91" i="3"/>
  <c r="E91" i="3"/>
  <c r="D91" i="3"/>
  <c r="M90" i="3"/>
  <c r="L90" i="3"/>
  <c r="K90" i="3"/>
  <c r="J90" i="3"/>
  <c r="I90" i="3"/>
  <c r="H90" i="3"/>
  <c r="G90" i="3"/>
  <c r="F90" i="3"/>
  <c r="E90" i="3"/>
  <c r="D90" i="3"/>
  <c r="M89" i="3"/>
  <c r="L89" i="3"/>
  <c r="K89" i="3"/>
  <c r="J89" i="3"/>
  <c r="I89" i="3"/>
  <c r="H89" i="3"/>
  <c r="G89" i="3"/>
  <c r="F89" i="3"/>
  <c r="E89" i="3"/>
  <c r="D89" i="3"/>
  <c r="M88" i="3"/>
  <c r="L88" i="3"/>
  <c r="K88" i="3"/>
  <c r="J88" i="3"/>
  <c r="I88" i="3"/>
  <c r="H88" i="3"/>
  <c r="G88" i="3"/>
  <c r="F88" i="3"/>
  <c r="E88" i="3"/>
  <c r="D88" i="3"/>
  <c r="M87" i="3"/>
  <c r="L87" i="3"/>
  <c r="K87" i="3"/>
  <c r="J87" i="3"/>
  <c r="I87" i="3"/>
  <c r="H87" i="3"/>
  <c r="G87" i="3"/>
  <c r="F87" i="3"/>
  <c r="E87" i="3"/>
  <c r="D87" i="3"/>
  <c r="M86" i="3"/>
  <c r="L86" i="3"/>
  <c r="K86" i="3"/>
  <c r="J86" i="3"/>
  <c r="I86" i="3"/>
  <c r="H86" i="3"/>
  <c r="G86" i="3"/>
  <c r="F86" i="3"/>
  <c r="E86" i="3"/>
  <c r="D86" i="3"/>
  <c r="M85" i="3"/>
  <c r="L85" i="3"/>
  <c r="K85" i="3"/>
  <c r="J85" i="3"/>
  <c r="I85" i="3"/>
  <c r="H85" i="3"/>
  <c r="G85" i="3"/>
  <c r="F85" i="3"/>
  <c r="E85" i="3"/>
  <c r="D85" i="3"/>
  <c r="M84" i="3"/>
  <c r="L84" i="3"/>
  <c r="K84" i="3"/>
  <c r="J84" i="3"/>
  <c r="I84" i="3"/>
  <c r="H84" i="3"/>
  <c r="G84" i="3"/>
  <c r="F84" i="3"/>
  <c r="E84" i="3"/>
  <c r="D84" i="3"/>
  <c r="M83" i="3"/>
  <c r="L83" i="3"/>
  <c r="K83" i="3"/>
  <c r="J83" i="3"/>
  <c r="I83" i="3"/>
  <c r="H83" i="3"/>
  <c r="G83" i="3"/>
  <c r="F83" i="3"/>
  <c r="E83" i="3"/>
  <c r="D83" i="3"/>
  <c r="M82" i="3"/>
  <c r="L82" i="3"/>
  <c r="K82" i="3"/>
  <c r="J82" i="3"/>
  <c r="I82" i="3"/>
  <c r="H82" i="3"/>
  <c r="G82" i="3"/>
  <c r="F82" i="3"/>
  <c r="E82" i="3"/>
  <c r="D82" i="3"/>
  <c r="M81" i="3"/>
  <c r="L81" i="3"/>
  <c r="K81" i="3"/>
  <c r="J81" i="3"/>
  <c r="I81" i="3"/>
  <c r="H81" i="3"/>
  <c r="G81" i="3"/>
  <c r="F81" i="3"/>
  <c r="E81" i="3"/>
  <c r="D81" i="3"/>
  <c r="M80" i="3"/>
  <c r="L80" i="3"/>
  <c r="K80" i="3"/>
  <c r="J80" i="3"/>
  <c r="I80" i="3"/>
  <c r="H80" i="3"/>
  <c r="G80" i="3"/>
  <c r="F80" i="3"/>
  <c r="E80" i="3"/>
  <c r="D80" i="3"/>
  <c r="M79" i="3"/>
  <c r="L79" i="3"/>
  <c r="K79" i="3"/>
  <c r="J79" i="3"/>
  <c r="I79" i="3"/>
  <c r="H79" i="3"/>
  <c r="G79" i="3"/>
  <c r="F79" i="3"/>
  <c r="E79" i="3"/>
  <c r="D79" i="3"/>
  <c r="M78" i="3"/>
  <c r="L78" i="3"/>
  <c r="K78" i="3"/>
  <c r="J78" i="3"/>
  <c r="I78" i="3"/>
  <c r="H78" i="3"/>
  <c r="G78" i="3"/>
  <c r="F78" i="3"/>
  <c r="E78" i="3"/>
  <c r="D78" i="3"/>
  <c r="M77" i="3"/>
  <c r="L77" i="3"/>
  <c r="K77" i="3"/>
  <c r="J77" i="3"/>
  <c r="I77" i="3"/>
  <c r="H77" i="3"/>
  <c r="G77" i="3"/>
  <c r="F77" i="3"/>
  <c r="E77" i="3"/>
  <c r="D77" i="3"/>
  <c r="M76" i="3"/>
  <c r="L76" i="3"/>
  <c r="K76" i="3"/>
  <c r="J76" i="3"/>
  <c r="I76" i="3"/>
  <c r="H76" i="3"/>
  <c r="G76" i="3"/>
  <c r="F76" i="3"/>
  <c r="E76" i="3"/>
  <c r="D76" i="3"/>
  <c r="M75" i="3"/>
  <c r="L75" i="3"/>
  <c r="K75" i="3"/>
  <c r="J75" i="3"/>
  <c r="I75" i="3"/>
  <c r="H75" i="3"/>
  <c r="G75" i="3"/>
  <c r="F75" i="3"/>
  <c r="E75" i="3"/>
  <c r="D75" i="3"/>
  <c r="M74" i="3"/>
  <c r="L74" i="3"/>
  <c r="K74" i="3"/>
  <c r="J74" i="3"/>
  <c r="I74" i="3"/>
  <c r="H74" i="3"/>
  <c r="G74" i="3"/>
  <c r="F74" i="3"/>
  <c r="E74" i="3"/>
  <c r="D74" i="3"/>
  <c r="M73" i="3"/>
  <c r="L73" i="3"/>
  <c r="K73" i="3"/>
  <c r="J73" i="3"/>
  <c r="I73" i="3"/>
  <c r="H73" i="3"/>
  <c r="G73" i="3"/>
  <c r="F73" i="3"/>
  <c r="E73" i="3"/>
  <c r="D73" i="3"/>
  <c r="M72" i="3"/>
  <c r="L72" i="3"/>
  <c r="K72" i="3"/>
  <c r="J72" i="3"/>
  <c r="I72" i="3"/>
  <c r="H72" i="3"/>
  <c r="G72" i="3"/>
  <c r="F72" i="3"/>
  <c r="E72" i="3"/>
  <c r="D72" i="3"/>
  <c r="M71" i="3"/>
  <c r="L71" i="3"/>
  <c r="K71" i="3"/>
  <c r="J71" i="3"/>
  <c r="I71" i="3"/>
  <c r="H71" i="3"/>
  <c r="G71" i="3"/>
  <c r="F71" i="3"/>
  <c r="E71" i="3"/>
  <c r="D71" i="3"/>
  <c r="M70" i="3"/>
  <c r="L70" i="3"/>
  <c r="K70" i="3"/>
  <c r="J70" i="3"/>
  <c r="I70" i="3"/>
  <c r="H70" i="3"/>
  <c r="G70" i="3"/>
  <c r="F70" i="3"/>
  <c r="E70" i="3"/>
  <c r="D70" i="3"/>
  <c r="M69" i="3"/>
  <c r="L69" i="3"/>
  <c r="K69" i="3"/>
  <c r="J69" i="3"/>
  <c r="I69" i="3"/>
  <c r="H69" i="3"/>
  <c r="G69" i="3"/>
  <c r="F69" i="3"/>
  <c r="E69" i="3"/>
  <c r="D69" i="3"/>
  <c r="M68" i="3"/>
  <c r="L68" i="3"/>
  <c r="K68" i="3"/>
  <c r="J68" i="3"/>
  <c r="I68" i="3"/>
  <c r="H68" i="3"/>
  <c r="G68" i="3"/>
  <c r="F68" i="3"/>
  <c r="E68" i="3"/>
  <c r="D68" i="3"/>
  <c r="I67" i="3"/>
  <c r="H67" i="3"/>
  <c r="F67" i="3"/>
  <c r="E67" i="3"/>
  <c r="D67" i="3"/>
  <c r="I66" i="3"/>
  <c r="H66" i="3"/>
  <c r="F66" i="3"/>
  <c r="E66" i="3"/>
  <c r="D66" i="3"/>
  <c r="I65" i="3"/>
  <c r="H65" i="3"/>
  <c r="F65" i="3"/>
  <c r="E65" i="3"/>
  <c r="D65" i="3"/>
  <c r="I64" i="3"/>
  <c r="H64" i="3"/>
  <c r="F64" i="3"/>
  <c r="E64" i="3"/>
  <c r="D64" i="3"/>
  <c r="I63" i="3"/>
  <c r="H63" i="3"/>
  <c r="F63" i="3"/>
  <c r="E63" i="3"/>
  <c r="D63" i="3"/>
  <c r="I62" i="3"/>
  <c r="H62" i="3"/>
  <c r="F62" i="3"/>
  <c r="G62" i="3" s="1"/>
  <c r="E62" i="3"/>
  <c r="D62" i="3"/>
  <c r="I61" i="3"/>
  <c r="H61" i="3"/>
  <c r="F61" i="3"/>
  <c r="E61" i="3"/>
  <c r="D61" i="3"/>
  <c r="I60" i="3"/>
  <c r="H60" i="3"/>
  <c r="F60" i="3"/>
  <c r="E60" i="3"/>
  <c r="D60" i="3"/>
  <c r="I59" i="3"/>
  <c r="H59" i="3"/>
  <c r="F59" i="3"/>
  <c r="E59" i="3"/>
  <c r="D59" i="3"/>
  <c r="I58" i="3"/>
  <c r="H58" i="3"/>
  <c r="F58" i="3"/>
  <c r="G58" i="3" s="1"/>
  <c r="E58" i="3"/>
  <c r="D58" i="3"/>
  <c r="I57" i="3"/>
  <c r="H57" i="3"/>
  <c r="F57" i="3"/>
  <c r="E57" i="3"/>
  <c r="D57" i="3"/>
  <c r="I56" i="3"/>
  <c r="H56" i="3"/>
  <c r="F56" i="3"/>
  <c r="G56" i="3" s="1"/>
  <c r="E56" i="3"/>
  <c r="D56" i="3"/>
  <c r="I55" i="3"/>
  <c r="H55" i="3"/>
  <c r="F55" i="3"/>
  <c r="E55" i="3"/>
  <c r="D55" i="3"/>
  <c r="I54" i="3"/>
  <c r="H54" i="3"/>
  <c r="F54" i="3"/>
  <c r="E54" i="3"/>
  <c r="D54" i="3"/>
  <c r="I53" i="3"/>
  <c r="H53" i="3"/>
  <c r="F53" i="3"/>
  <c r="E53" i="3"/>
  <c r="D53" i="3"/>
  <c r="I52" i="3"/>
  <c r="H52" i="3"/>
  <c r="G52" i="3"/>
  <c r="F52" i="3"/>
  <c r="E52" i="3"/>
  <c r="D52" i="3"/>
  <c r="I51" i="3"/>
  <c r="H51" i="3"/>
  <c r="J51" i="3" s="1"/>
  <c r="L51" i="3" s="1"/>
  <c r="G51" i="3"/>
  <c r="F51" i="3"/>
  <c r="E51" i="3"/>
  <c r="D51" i="3"/>
  <c r="I50" i="3"/>
  <c r="H50" i="3"/>
  <c r="F50" i="3"/>
  <c r="E50" i="3"/>
  <c r="D50" i="3"/>
  <c r="I49" i="3"/>
  <c r="H49" i="3"/>
  <c r="F49" i="3"/>
  <c r="E49" i="3"/>
  <c r="D49" i="3"/>
  <c r="I48" i="3"/>
  <c r="H48" i="3"/>
  <c r="F48" i="3"/>
  <c r="G48" i="3" s="1"/>
  <c r="E48" i="3"/>
  <c r="D48" i="3"/>
  <c r="I47" i="3"/>
  <c r="H47" i="3"/>
  <c r="F47" i="3"/>
  <c r="E47" i="3"/>
  <c r="D47" i="3"/>
  <c r="I46" i="3"/>
  <c r="H46" i="3"/>
  <c r="F46" i="3"/>
  <c r="G46" i="3" s="1"/>
  <c r="E46" i="3"/>
  <c r="D46" i="3"/>
  <c r="I45" i="3"/>
  <c r="H45" i="3"/>
  <c r="F45" i="3"/>
  <c r="G45" i="3" s="1"/>
  <c r="E45" i="3"/>
  <c r="D45" i="3"/>
  <c r="I44" i="3"/>
  <c r="H44" i="3"/>
  <c r="F44" i="3"/>
  <c r="E44" i="3"/>
  <c r="D44" i="3"/>
  <c r="I43" i="3"/>
  <c r="H43" i="3"/>
  <c r="F43" i="3"/>
  <c r="E43" i="3"/>
  <c r="D43" i="3"/>
  <c r="I42" i="3"/>
  <c r="H42" i="3"/>
  <c r="F42" i="3"/>
  <c r="G42" i="3" s="1"/>
  <c r="E42" i="3"/>
  <c r="D42" i="3"/>
  <c r="I41" i="3"/>
  <c r="H41" i="3"/>
  <c r="F41" i="3"/>
  <c r="E41" i="3"/>
  <c r="D41" i="3"/>
  <c r="I40" i="3"/>
  <c r="H40" i="3"/>
  <c r="F40" i="3"/>
  <c r="G40" i="3" s="1"/>
  <c r="E40" i="3"/>
  <c r="D40" i="3"/>
  <c r="I39" i="3"/>
  <c r="H39" i="3"/>
  <c r="F39" i="3"/>
  <c r="E39" i="3"/>
  <c r="D39" i="3"/>
  <c r="I38" i="3"/>
  <c r="H38" i="3"/>
  <c r="F38" i="3"/>
  <c r="E38" i="3"/>
  <c r="D38" i="3"/>
  <c r="I37" i="3"/>
  <c r="H37" i="3"/>
  <c r="F37" i="3"/>
  <c r="E37" i="3"/>
  <c r="D37" i="3"/>
  <c r="I36" i="3"/>
  <c r="H36" i="3"/>
  <c r="F36" i="3"/>
  <c r="G36" i="3" s="1"/>
  <c r="E36" i="3"/>
  <c r="D36" i="3"/>
  <c r="I35" i="3"/>
  <c r="H35" i="3"/>
  <c r="F35" i="3"/>
  <c r="E35" i="3"/>
  <c r="D35" i="3"/>
  <c r="I34" i="3"/>
  <c r="H34" i="3"/>
  <c r="F34" i="3"/>
  <c r="G34" i="3" s="1"/>
  <c r="E34" i="3"/>
  <c r="D34" i="3"/>
  <c r="I33" i="3"/>
  <c r="H33" i="3"/>
  <c r="F33" i="3"/>
  <c r="G33" i="3" s="1"/>
  <c r="E33" i="3"/>
  <c r="D33" i="3"/>
  <c r="I32" i="3"/>
  <c r="H32" i="3"/>
  <c r="F32" i="3"/>
  <c r="E32" i="3"/>
  <c r="D32" i="3"/>
  <c r="I31" i="3"/>
  <c r="H31" i="3"/>
  <c r="F31" i="3"/>
  <c r="E31" i="3"/>
  <c r="D31" i="3"/>
  <c r="I30" i="3"/>
  <c r="H30" i="3"/>
  <c r="F30" i="3"/>
  <c r="G30" i="3" s="1"/>
  <c r="E30" i="3"/>
  <c r="D30" i="3"/>
  <c r="I29" i="3"/>
  <c r="H29" i="3"/>
  <c r="F29" i="3"/>
  <c r="E29" i="3"/>
  <c r="D29" i="3"/>
  <c r="I28" i="3"/>
  <c r="H28" i="3"/>
  <c r="F28" i="3"/>
  <c r="G28" i="3" s="1"/>
  <c r="E28" i="3"/>
  <c r="D28" i="3"/>
  <c r="I27" i="3"/>
  <c r="H27" i="3"/>
  <c r="F27" i="3"/>
  <c r="G27" i="3" s="1"/>
  <c r="E27" i="3"/>
  <c r="D27" i="3"/>
  <c r="I26" i="3"/>
  <c r="H26" i="3"/>
  <c r="F26" i="3"/>
  <c r="E26" i="3"/>
  <c r="D26" i="3"/>
  <c r="I25" i="3"/>
  <c r="H25" i="3"/>
  <c r="F25" i="3"/>
  <c r="E25" i="3"/>
  <c r="D25" i="3"/>
  <c r="I24" i="3"/>
  <c r="H24" i="3"/>
  <c r="F24" i="3"/>
  <c r="G24" i="3" s="1"/>
  <c r="E24" i="3"/>
  <c r="D24" i="3"/>
  <c r="I23" i="3"/>
  <c r="H23" i="3"/>
  <c r="F23" i="3"/>
  <c r="E23" i="3"/>
  <c r="D23" i="3"/>
  <c r="I22" i="3"/>
  <c r="H22" i="3"/>
  <c r="F22" i="3"/>
  <c r="G22" i="3" s="1"/>
  <c r="E22" i="3"/>
  <c r="D22" i="3"/>
  <c r="I21" i="3"/>
  <c r="H21" i="3"/>
  <c r="F21" i="3"/>
  <c r="E21" i="3"/>
  <c r="D21" i="3"/>
  <c r="I20" i="3"/>
  <c r="H20" i="3"/>
  <c r="F20" i="3"/>
  <c r="E20" i="3"/>
  <c r="D20" i="3"/>
  <c r="I19" i="3"/>
  <c r="H19" i="3"/>
  <c r="F19" i="3"/>
  <c r="E19" i="3"/>
  <c r="D19" i="3"/>
  <c r="I18" i="3"/>
  <c r="H18" i="3"/>
  <c r="F18" i="3"/>
  <c r="G18" i="3" s="1"/>
  <c r="E18" i="3"/>
  <c r="D18" i="3"/>
  <c r="I17" i="3"/>
  <c r="H17" i="3"/>
  <c r="F17" i="3"/>
  <c r="E17" i="3"/>
  <c r="D17" i="3"/>
  <c r="I16" i="3"/>
  <c r="H16" i="3"/>
  <c r="F16" i="3"/>
  <c r="G16" i="3" s="1"/>
  <c r="E16" i="3"/>
  <c r="D16" i="3"/>
  <c r="I15" i="3"/>
  <c r="H15" i="3"/>
  <c r="F15" i="3"/>
  <c r="E15" i="3"/>
  <c r="D15" i="3"/>
  <c r="I14" i="3"/>
  <c r="H14" i="3"/>
  <c r="F14" i="3"/>
  <c r="E14" i="3"/>
  <c r="D14" i="3"/>
  <c r="I13" i="3"/>
  <c r="H13" i="3"/>
  <c r="F13" i="3"/>
  <c r="E13" i="3"/>
  <c r="D13" i="3"/>
  <c r="I12" i="3"/>
  <c r="H12" i="3"/>
  <c r="F12" i="3"/>
  <c r="G12" i="3" s="1"/>
  <c r="E12" i="3"/>
  <c r="D12" i="3"/>
  <c r="I11" i="3"/>
  <c r="H11" i="3"/>
  <c r="F11" i="3"/>
  <c r="E11" i="3"/>
  <c r="D11" i="3"/>
  <c r="I10" i="3"/>
  <c r="H10" i="3"/>
  <c r="F10" i="3"/>
  <c r="G10" i="3" s="1"/>
  <c r="E10" i="3"/>
  <c r="D10" i="3"/>
  <c r="I9" i="3"/>
  <c r="H9" i="3"/>
  <c r="F9" i="3"/>
  <c r="G9" i="3" s="1"/>
  <c r="E9" i="3"/>
  <c r="D9" i="3"/>
  <c r="I8" i="3"/>
  <c r="H8" i="3"/>
  <c r="F8" i="3"/>
  <c r="E8" i="3"/>
  <c r="D8" i="3"/>
  <c r="I7" i="3"/>
  <c r="H7" i="3"/>
  <c r="F7" i="3"/>
  <c r="E7" i="3"/>
  <c r="D7" i="3"/>
  <c r="I6" i="3"/>
  <c r="H6" i="3"/>
  <c r="F6" i="3"/>
  <c r="G6" i="3" s="1"/>
  <c r="E6" i="3"/>
  <c r="B3" i="3"/>
  <c r="G49" i="2"/>
  <c r="B49" i="2" s="1"/>
  <c r="C44" i="2"/>
  <c r="B44" i="2"/>
  <c r="A44" i="2"/>
  <c r="D44" i="2" s="1"/>
  <c r="D43" i="2"/>
  <c r="A43" i="2"/>
  <c r="C43" i="2" s="1"/>
  <c r="A42" i="2"/>
  <c r="D42" i="2" s="1"/>
  <c r="D41" i="2"/>
  <c r="A41" i="2"/>
  <c r="C41" i="2" s="1"/>
  <c r="D40" i="2"/>
  <c r="A40" i="2"/>
  <c r="C40" i="2" s="1"/>
  <c r="A39" i="2"/>
  <c r="D39" i="2" s="1"/>
  <c r="D34" i="2"/>
  <c r="C34" i="2"/>
  <c r="A34" i="2"/>
  <c r="B34" i="2" s="1"/>
  <c r="D33" i="2"/>
  <c r="A33" i="2"/>
  <c r="C33" i="2" s="1"/>
  <c r="B32" i="2"/>
  <c r="A32" i="2"/>
  <c r="D32" i="2" s="1"/>
  <c r="D31" i="2"/>
  <c r="C31" i="2"/>
  <c r="A31" i="2"/>
  <c r="D30" i="2"/>
  <c r="A30" i="2"/>
  <c r="C30" i="2" s="1"/>
  <c r="C29" i="2"/>
  <c r="A29" i="2"/>
  <c r="D29" i="2" s="1"/>
  <c r="D28" i="2"/>
  <c r="C28" i="2"/>
  <c r="A28" i="2"/>
  <c r="D27" i="2"/>
  <c r="A27" i="2"/>
  <c r="C27" i="2" s="1"/>
  <c r="D22" i="2"/>
  <c r="C22" i="2"/>
  <c r="B22" i="2"/>
  <c r="A22" i="2"/>
  <c r="D21" i="2"/>
  <c r="C21" i="2"/>
  <c r="B21" i="2"/>
  <c r="A21" i="2"/>
  <c r="A20" i="2"/>
  <c r="B20" i="2" s="1"/>
  <c r="D19" i="2"/>
  <c r="C19" i="2"/>
  <c r="B19" i="2"/>
  <c r="A19" i="2"/>
  <c r="D18" i="2"/>
  <c r="C18" i="2"/>
  <c r="A18" i="2"/>
  <c r="A17" i="2"/>
  <c r="D16" i="2"/>
  <c r="C16" i="2"/>
  <c r="A16" i="2"/>
  <c r="D15" i="2"/>
  <c r="C15" i="2"/>
  <c r="A15" i="2"/>
  <c r="B9" i="2"/>
  <c r="A74" i="2" s="1"/>
  <c r="B8" i="2"/>
  <c r="B7" i="2"/>
  <c r="B4" i="2"/>
  <c r="B3" i="2"/>
  <c r="M48" i="3" l="1"/>
  <c r="J39" i="3"/>
  <c r="L39" i="3" s="1"/>
  <c r="M30" i="3"/>
  <c r="G39" i="3"/>
  <c r="M39" i="3" s="1"/>
  <c r="I78" i="4"/>
  <c r="I203" i="4"/>
  <c r="I208" i="4"/>
  <c r="I237" i="4"/>
  <c r="I266" i="4"/>
  <c r="I301" i="4"/>
  <c r="I311" i="4"/>
  <c r="I337" i="4"/>
  <c r="I347" i="4"/>
  <c r="I354" i="4"/>
  <c r="I360" i="4"/>
  <c r="I408" i="4"/>
  <c r="I482" i="4"/>
  <c r="I665" i="4"/>
  <c r="I708" i="4"/>
  <c r="I723" i="4"/>
  <c r="I729" i="4"/>
  <c r="I752" i="4"/>
  <c r="I780" i="4"/>
  <c r="I793" i="4"/>
  <c r="I832" i="4"/>
  <c r="I876" i="4"/>
  <c r="I901" i="4"/>
  <c r="I907" i="4"/>
  <c r="I913" i="4"/>
  <c r="I939" i="4"/>
  <c r="J976" i="4"/>
  <c r="L976" i="4" s="1"/>
  <c r="I6" i="4"/>
  <c r="I33" i="4"/>
  <c r="I60" i="4"/>
  <c r="I89" i="4"/>
  <c r="I184" i="4"/>
  <c r="I199" i="4"/>
  <c r="I218" i="4"/>
  <c r="I223" i="4"/>
  <c r="I242" i="4"/>
  <c r="I247" i="4"/>
  <c r="I257" i="4"/>
  <c r="I262" i="4"/>
  <c r="I276" i="4"/>
  <c r="I281" i="4"/>
  <c r="I286" i="4"/>
  <c r="I296" i="4"/>
  <c r="I322" i="4"/>
  <c r="I332" i="4"/>
  <c r="I390" i="4"/>
  <c r="I438" i="4"/>
  <c r="J463" i="4"/>
  <c r="L463" i="4" s="1"/>
  <c r="I477" i="4"/>
  <c r="I488" i="4"/>
  <c r="J495" i="4"/>
  <c r="L495" i="4" s="1"/>
  <c r="J522" i="4"/>
  <c r="L522" i="4" s="1"/>
  <c r="J531" i="4"/>
  <c r="L531" i="4" s="1"/>
  <c r="J558" i="4"/>
  <c r="L558" i="4" s="1"/>
  <c r="J567" i="4"/>
  <c r="L567" i="4" s="1"/>
  <c r="J594" i="4"/>
  <c r="L594" i="4" s="1"/>
  <c r="J603" i="4"/>
  <c r="L603" i="4" s="1"/>
  <c r="J630" i="4"/>
  <c r="L630" i="4" s="1"/>
  <c r="J683" i="4"/>
  <c r="L683" i="4" s="1"/>
  <c r="I692" i="4"/>
  <c r="I716" i="4"/>
  <c r="I759" i="4"/>
  <c r="I808" i="4"/>
  <c r="I883" i="4"/>
  <c r="I889" i="4"/>
  <c r="I945" i="4"/>
  <c r="J963" i="4"/>
  <c r="L963" i="4" s="1"/>
  <c r="I970" i="4"/>
  <c r="J984" i="4"/>
  <c r="L984" i="4" s="1"/>
  <c r="J991" i="4"/>
  <c r="L991" i="4" s="1"/>
  <c r="I204" i="4"/>
  <c r="I420" i="4"/>
  <c r="J472" i="4"/>
  <c r="L472" i="4" s="1"/>
  <c r="J478" i="4"/>
  <c r="L478" i="4" s="1"/>
  <c r="J506" i="4"/>
  <c r="L506" i="4" s="1"/>
  <c r="J515" i="4"/>
  <c r="L515" i="4" s="1"/>
  <c r="J542" i="4"/>
  <c r="L542" i="4" s="1"/>
  <c r="J551" i="4"/>
  <c r="L551" i="4" s="1"/>
  <c r="J578" i="4"/>
  <c r="L578" i="4" s="1"/>
  <c r="J587" i="4"/>
  <c r="L587" i="4" s="1"/>
  <c r="J614" i="4"/>
  <c r="L614" i="4" s="1"/>
  <c r="J623" i="4"/>
  <c r="L623" i="4" s="1"/>
  <c r="J641" i="4"/>
  <c r="L641" i="4" s="1"/>
  <c r="I666" i="4"/>
  <c r="I675" i="4"/>
  <c r="I717" i="4"/>
  <c r="I753" i="4"/>
  <c r="I768" i="4"/>
  <c r="J782" i="4"/>
  <c r="L782" i="4" s="1"/>
  <c r="I802" i="4"/>
  <c r="I822" i="4"/>
  <c r="J828" i="4"/>
  <c r="L828" i="4" s="1"/>
  <c r="I840" i="4"/>
  <c r="I865" i="4"/>
  <c r="I871" i="4"/>
  <c r="I877" i="4"/>
  <c r="J921" i="4"/>
  <c r="L921" i="4" s="1"/>
  <c r="J927" i="4"/>
  <c r="L927" i="4" s="1"/>
  <c r="I934" i="4"/>
  <c r="I951" i="4"/>
  <c r="I964" i="4"/>
  <c r="J978" i="4"/>
  <c r="L978" i="4" s="1"/>
  <c r="J985" i="4"/>
  <c r="L985" i="4" s="1"/>
  <c r="I15" i="4"/>
  <c r="I42" i="4"/>
  <c r="I69" i="4"/>
  <c r="I75" i="4"/>
  <c r="I95" i="4"/>
  <c r="I99" i="4"/>
  <c r="I103" i="4"/>
  <c r="I107" i="4"/>
  <c r="I111" i="4"/>
  <c r="I115" i="4"/>
  <c r="I119" i="4"/>
  <c r="I123" i="4"/>
  <c r="I127" i="4"/>
  <c r="I131" i="4"/>
  <c r="I135" i="4"/>
  <c r="I139" i="4"/>
  <c r="I143" i="4"/>
  <c r="I147" i="4"/>
  <c r="I151" i="4"/>
  <c r="I155" i="4"/>
  <c r="I159" i="4"/>
  <c r="I163" i="4"/>
  <c r="I167" i="4"/>
  <c r="I171" i="4"/>
  <c r="I205" i="4"/>
  <c r="I220" i="4"/>
  <c r="I239" i="4"/>
  <c r="I244" i="4"/>
  <c r="I259" i="4"/>
  <c r="I273" i="4"/>
  <c r="I298" i="4"/>
  <c r="I308" i="4"/>
  <c r="I334" i="4"/>
  <c r="I344" i="4"/>
  <c r="J350" i="4"/>
  <c r="L350" i="4" s="1"/>
  <c r="I393" i="4"/>
  <c r="I441" i="4"/>
  <c r="I479" i="4"/>
  <c r="J498" i="4"/>
  <c r="L498" i="4" s="1"/>
  <c r="J507" i="4"/>
  <c r="L507" i="4" s="1"/>
  <c r="J534" i="4"/>
  <c r="L534" i="4" s="1"/>
  <c r="J543" i="4"/>
  <c r="L543" i="4" s="1"/>
  <c r="J570" i="4"/>
  <c r="L570" i="4" s="1"/>
  <c r="J579" i="4"/>
  <c r="L579" i="4" s="1"/>
  <c r="J606" i="4"/>
  <c r="L606" i="4" s="1"/>
  <c r="J615" i="4"/>
  <c r="L615" i="4" s="1"/>
  <c r="I633" i="4"/>
  <c r="I747" i="4"/>
  <c r="I952" i="4"/>
  <c r="J979" i="4"/>
  <c r="L979" i="4" s="1"/>
  <c r="I9" i="4"/>
  <c r="I36" i="4"/>
  <c r="I63" i="4"/>
  <c r="I86" i="4"/>
  <c r="I181" i="4"/>
  <c r="I191" i="4"/>
  <c r="I196" i="4"/>
  <c r="I210" i="4"/>
  <c r="I215" i="4"/>
  <c r="I235" i="4"/>
  <c r="I254" i="4"/>
  <c r="I278" i="4"/>
  <c r="I283" i="4"/>
  <c r="I293" i="4"/>
  <c r="I319" i="4"/>
  <c r="I329" i="4"/>
  <c r="I384" i="4"/>
  <c r="I432" i="4"/>
  <c r="J451" i="4"/>
  <c r="L451" i="4" s="1"/>
  <c r="J466" i="4"/>
  <c r="L466" i="4" s="1"/>
  <c r="I474" i="4"/>
  <c r="I485" i="4"/>
  <c r="I711" i="4"/>
  <c r="J719" i="4"/>
  <c r="L719" i="4" s="1"/>
  <c r="I726" i="4"/>
  <c r="I741" i="4"/>
  <c r="I755" i="4"/>
  <c r="I770" i="4"/>
  <c r="I777" i="4"/>
  <c r="I790" i="4"/>
  <c r="I817" i="4"/>
  <c r="I823" i="4"/>
  <c r="I841" i="4"/>
  <c r="I942" i="4"/>
  <c r="I973" i="4"/>
  <c r="I987" i="4"/>
  <c r="J994" i="4"/>
  <c r="L994" i="4" s="1"/>
  <c r="I23" i="4"/>
  <c r="I50" i="4"/>
  <c r="I201" i="4"/>
  <c r="I264" i="4"/>
  <c r="J1002" i="4"/>
  <c r="L1002" i="4" s="1"/>
  <c r="J23" i="3"/>
  <c r="L23" i="3" s="1"/>
  <c r="J41" i="3"/>
  <c r="L41" i="3" s="1"/>
  <c r="J57" i="3"/>
  <c r="L57" i="3" s="1"/>
  <c r="M36" i="3"/>
  <c r="J21" i="3"/>
  <c r="L21" i="3" s="1"/>
  <c r="J33" i="3"/>
  <c r="L33" i="3" s="1"/>
  <c r="J35" i="3"/>
  <c r="L35" i="3" s="1"/>
  <c r="J53" i="3"/>
  <c r="L53" i="3" s="1"/>
  <c r="J17" i="3"/>
  <c r="K17" i="3" s="1"/>
  <c r="M24" i="3"/>
  <c r="M42" i="3"/>
  <c r="J58" i="3"/>
  <c r="K58" i="3" s="1"/>
  <c r="J64" i="3"/>
  <c r="L64" i="3" s="1"/>
  <c r="M12" i="3"/>
  <c r="J15" i="3"/>
  <c r="L15" i="3" s="1"/>
  <c r="J27" i="3"/>
  <c r="L27" i="3" s="1"/>
  <c r="J29" i="3"/>
  <c r="L29" i="3" s="1"/>
  <c r="J45" i="3"/>
  <c r="L45" i="3" s="1"/>
  <c r="J47" i="3"/>
  <c r="L47" i="3" s="1"/>
  <c r="J11" i="3"/>
  <c r="L11" i="3" s="1"/>
  <c r="M18" i="3"/>
  <c r="J54" i="3"/>
  <c r="L54" i="3" s="1"/>
  <c r="G21" i="3"/>
  <c r="G11" i="3"/>
  <c r="M11" i="3" s="1"/>
  <c r="G17" i="3"/>
  <c r="M17" i="3" s="1"/>
  <c r="G23" i="3"/>
  <c r="G29" i="3"/>
  <c r="M29" i="3" s="1"/>
  <c r="G35" i="3"/>
  <c r="M35" i="3" s="1"/>
  <c r="G41" i="3"/>
  <c r="M41" i="3" s="1"/>
  <c r="G47" i="3"/>
  <c r="M47" i="3" s="1"/>
  <c r="J6" i="3"/>
  <c r="L6" i="3" s="1"/>
  <c r="M9" i="3"/>
  <c r="M14" i="3"/>
  <c r="J9" i="3"/>
  <c r="L9" i="3" s="1"/>
  <c r="M62" i="3"/>
  <c r="G64" i="3"/>
  <c r="M64" i="3" s="1"/>
  <c r="M23" i="3"/>
  <c r="J8" i="3"/>
  <c r="L8" i="3" s="1"/>
  <c r="J14" i="3"/>
  <c r="K14" i="3" s="1"/>
  <c r="J20" i="3"/>
  <c r="L20" i="3" s="1"/>
  <c r="J26" i="3"/>
  <c r="K26" i="3" s="1"/>
  <c r="J32" i="3"/>
  <c r="L32" i="3" s="1"/>
  <c r="J38" i="3"/>
  <c r="L38" i="3" s="1"/>
  <c r="J44" i="3"/>
  <c r="L44" i="3" s="1"/>
  <c r="J50" i="3"/>
  <c r="L50" i="3" s="1"/>
  <c r="M56" i="3"/>
  <c r="G8" i="3"/>
  <c r="M8" i="3" s="1"/>
  <c r="J10" i="3"/>
  <c r="K10" i="3" s="1"/>
  <c r="G14" i="3"/>
  <c r="J16" i="3"/>
  <c r="K16" i="3" s="1"/>
  <c r="G20" i="3"/>
  <c r="M20" i="3" s="1"/>
  <c r="J22" i="3"/>
  <c r="K22" i="3" s="1"/>
  <c r="G26" i="3"/>
  <c r="M26" i="3" s="1"/>
  <c r="J28" i="3"/>
  <c r="L28" i="3" s="1"/>
  <c r="G32" i="3"/>
  <c r="M32" i="3" s="1"/>
  <c r="J34" i="3"/>
  <c r="K34" i="3" s="1"/>
  <c r="G38" i="3"/>
  <c r="M38" i="3" s="1"/>
  <c r="J40" i="3"/>
  <c r="L40" i="3" s="1"/>
  <c r="G44" i="3"/>
  <c r="M44" i="3" s="1"/>
  <c r="J46" i="3"/>
  <c r="K46" i="3" s="1"/>
  <c r="G50" i="3"/>
  <c r="M50" i="3" s="1"/>
  <c r="J52" i="3"/>
  <c r="K52" i="3" s="1"/>
  <c r="J18" i="3"/>
  <c r="K18" i="3" s="1"/>
  <c r="J24" i="3"/>
  <c r="K24" i="3" s="1"/>
  <c r="J30" i="3"/>
  <c r="K30" i="3" s="1"/>
  <c r="J36" i="3"/>
  <c r="K36" i="3" s="1"/>
  <c r="J42" i="3"/>
  <c r="K42" i="3" s="1"/>
  <c r="J48" i="3"/>
  <c r="K48" i="3" s="1"/>
  <c r="G63" i="3"/>
  <c r="M63" i="3" s="1"/>
  <c r="G57" i="3"/>
  <c r="M57" i="3" s="1"/>
  <c r="M21" i="3"/>
  <c r="M27" i="3"/>
  <c r="M33" i="3"/>
  <c r="M45" i="3"/>
  <c r="M51" i="3"/>
  <c r="J63" i="3"/>
  <c r="L63" i="3" s="1"/>
  <c r="J12" i="3"/>
  <c r="L12" i="3" s="1"/>
  <c r="G15" i="3"/>
  <c r="M15" i="3" s="1"/>
  <c r="K6" i="3"/>
  <c r="G7" i="3"/>
  <c r="M7" i="3" s="1"/>
  <c r="M10" i="3"/>
  <c r="G13" i="3"/>
  <c r="M13" i="3" s="1"/>
  <c r="M16" i="3"/>
  <c r="G19" i="3"/>
  <c r="M19" i="3" s="1"/>
  <c r="M22" i="3"/>
  <c r="G25" i="3"/>
  <c r="M28" i="3"/>
  <c r="G31" i="3"/>
  <c r="M31" i="3" s="1"/>
  <c r="M34" i="3"/>
  <c r="G37" i="3"/>
  <c r="M37" i="3" s="1"/>
  <c r="K39" i="3"/>
  <c r="M40" i="3"/>
  <c r="G43" i="3"/>
  <c r="M43" i="3" s="1"/>
  <c r="M46" i="3"/>
  <c r="G49" i="3"/>
  <c r="M49" i="3" s="1"/>
  <c r="K51" i="3"/>
  <c r="M52" i="3"/>
  <c r="G55" i="3"/>
  <c r="M55" i="3" s="1"/>
  <c r="M58" i="3"/>
  <c r="G61" i="3"/>
  <c r="M61" i="3" s="1"/>
  <c r="G67" i="3"/>
  <c r="M67" i="3" s="1"/>
  <c r="J56" i="3"/>
  <c r="J62" i="3"/>
  <c r="G54" i="3"/>
  <c r="M54" i="3" s="1"/>
  <c r="G60" i="3"/>
  <c r="M60" i="3" s="1"/>
  <c r="G66" i="3"/>
  <c r="M66" i="3" s="1"/>
  <c r="J7" i="3"/>
  <c r="J13" i="3"/>
  <c r="J19" i="3"/>
  <c r="J25" i="3"/>
  <c r="J31" i="3"/>
  <c r="J37" i="3"/>
  <c r="J43" i="3"/>
  <c r="J49" i="3"/>
  <c r="J55" i="3"/>
  <c r="J61" i="3"/>
  <c r="J67" i="3"/>
  <c r="G53" i="3"/>
  <c r="M53" i="3" s="1"/>
  <c r="G59" i="3"/>
  <c r="M59" i="3" s="1"/>
  <c r="G65" i="3"/>
  <c r="M65" i="3" s="1"/>
  <c r="J60" i="3"/>
  <c r="J66" i="3"/>
  <c r="J59" i="3"/>
  <c r="J65" i="3"/>
  <c r="E49" i="2"/>
  <c r="A49" i="2"/>
  <c r="B18" i="2"/>
  <c r="F4" i="3"/>
  <c r="B10" i="5"/>
  <c r="B12" i="5" s="1"/>
  <c r="D35" i="2"/>
  <c r="B29" i="2"/>
  <c r="B28" i="2"/>
  <c r="B16" i="2"/>
  <c r="B6" i="2"/>
  <c r="B31" i="2"/>
  <c r="J362" i="4"/>
  <c r="L362" i="4" s="1"/>
  <c r="I362" i="4"/>
  <c r="I801" i="4"/>
  <c r="J801" i="4"/>
  <c r="L801" i="4" s="1"/>
  <c r="D4" i="3"/>
  <c r="J357" i="4"/>
  <c r="L357" i="4" s="1"/>
  <c r="I357" i="4"/>
  <c r="D45" i="2"/>
  <c r="E4" i="3"/>
  <c r="I8" i="4"/>
  <c r="I17" i="4"/>
  <c r="I26" i="4"/>
  <c r="I35" i="4"/>
  <c r="I44" i="4"/>
  <c r="I53" i="4"/>
  <c r="I62" i="4"/>
  <c r="I71" i="4"/>
  <c r="I189" i="4"/>
  <c r="J219" i="4"/>
  <c r="L219" i="4" s="1"/>
  <c r="I219" i="4"/>
  <c r="J342" i="4"/>
  <c r="L342" i="4" s="1"/>
  <c r="I342" i="4"/>
  <c r="J358" i="4"/>
  <c r="L358" i="4" s="1"/>
  <c r="I358" i="4"/>
  <c r="J731" i="4"/>
  <c r="L731" i="4" s="1"/>
  <c r="I731" i="4"/>
  <c r="I448" i="4"/>
  <c r="J448" i="4"/>
  <c r="L448" i="4" s="1"/>
  <c r="D20" i="2"/>
  <c r="C20" i="2"/>
  <c r="J291" i="4"/>
  <c r="L291" i="4" s="1"/>
  <c r="I291" i="4"/>
  <c r="I430" i="4"/>
  <c r="J430" i="4"/>
  <c r="L430" i="4" s="1"/>
  <c r="D49" i="2"/>
  <c r="C49" i="2"/>
  <c r="G50" i="2"/>
  <c r="B50" i="2" s="1"/>
  <c r="H4" i="3"/>
  <c r="I186" i="4"/>
  <c r="J330" i="4"/>
  <c r="L330" i="4" s="1"/>
  <c r="I330" i="4"/>
  <c r="J440" i="4"/>
  <c r="L440" i="4" s="1"/>
  <c r="I440" i="4"/>
  <c r="D17" i="2"/>
  <c r="C17" i="2"/>
  <c r="C32" i="2"/>
  <c r="C35" i="2" s="1"/>
  <c r="B17" i="2"/>
  <c r="B41" i="2"/>
  <c r="I4" i="3"/>
  <c r="J422" i="4"/>
  <c r="L422" i="4" s="1"/>
  <c r="I422" i="4"/>
  <c r="J183" i="4"/>
  <c r="L183" i="4" s="1"/>
  <c r="I183" i="4"/>
  <c r="I258" i="4"/>
  <c r="J318" i="4"/>
  <c r="L318" i="4" s="1"/>
  <c r="I318" i="4"/>
  <c r="I388" i="4"/>
  <c r="J388" i="4"/>
  <c r="L388" i="4" s="1"/>
  <c r="I406" i="4"/>
  <c r="J406" i="4"/>
  <c r="L406" i="4" s="1"/>
  <c r="I225" i="4"/>
  <c r="J255" i="4"/>
  <c r="L255" i="4" s="1"/>
  <c r="I255" i="4"/>
  <c r="I370" i="4"/>
  <c r="J370" i="4"/>
  <c r="L370" i="4" s="1"/>
  <c r="I11" i="4"/>
  <c r="I20" i="4"/>
  <c r="I29" i="4"/>
  <c r="I38" i="4"/>
  <c r="I47" i="4"/>
  <c r="I56" i="4"/>
  <c r="I65" i="4"/>
  <c r="J380" i="4"/>
  <c r="L380" i="4" s="1"/>
  <c r="I380" i="4"/>
  <c r="J306" i="4"/>
  <c r="L306" i="4" s="1"/>
  <c r="I306" i="4"/>
  <c r="J288" i="4"/>
  <c r="L288" i="4" s="1"/>
  <c r="I288" i="4"/>
  <c r="J303" i="4"/>
  <c r="L303" i="4" s="1"/>
  <c r="I303" i="4"/>
  <c r="J315" i="4"/>
  <c r="L315" i="4" s="1"/>
  <c r="I315" i="4"/>
  <c r="J327" i="4"/>
  <c r="L327" i="4" s="1"/>
  <c r="I327" i="4"/>
  <c r="J339" i="4"/>
  <c r="L339" i="4" s="1"/>
  <c r="I339" i="4"/>
  <c r="I364" i="4"/>
  <c r="J364" i="4"/>
  <c r="L364" i="4" s="1"/>
  <c r="J398" i="4"/>
  <c r="L398" i="4" s="1"/>
  <c r="I398" i="4"/>
  <c r="I424" i="4"/>
  <c r="J424" i="4"/>
  <c r="L424" i="4" s="1"/>
  <c r="I180" i="4"/>
  <c r="I216" i="4"/>
  <c r="I252" i="4"/>
  <c r="J365" i="4"/>
  <c r="L365" i="4" s="1"/>
  <c r="I365" i="4"/>
  <c r="I382" i="4"/>
  <c r="J382" i="4"/>
  <c r="L382" i="4" s="1"/>
  <c r="J416" i="4"/>
  <c r="L416" i="4" s="1"/>
  <c r="I416" i="4"/>
  <c r="I177" i="4"/>
  <c r="I213" i="4"/>
  <c r="I249" i="4"/>
  <c r="I285" i="4"/>
  <c r="I373" i="4"/>
  <c r="J373" i="4"/>
  <c r="L373" i="4" s="1"/>
  <c r="I400" i="4"/>
  <c r="J400" i="4"/>
  <c r="L400" i="4" s="1"/>
  <c r="I442" i="4"/>
  <c r="J442" i="4"/>
  <c r="L442" i="4" s="1"/>
  <c r="J300" i="4"/>
  <c r="L300" i="4" s="1"/>
  <c r="I300" i="4"/>
  <c r="J312" i="4"/>
  <c r="L312" i="4" s="1"/>
  <c r="I312" i="4"/>
  <c r="J324" i="4"/>
  <c r="L324" i="4" s="1"/>
  <c r="I324" i="4"/>
  <c r="J336" i="4"/>
  <c r="L336" i="4" s="1"/>
  <c r="I336" i="4"/>
  <c r="J348" i="4"/>
  <c r="L348" i="4" s="1"/>
  <c r="I348" i="4"/>
  <c r="J374" i="4"/>
  <c r="L374" i="4" s="1"/>
  <c r="I374" i="4"/>
  <c r="J392" i="4"/>
  <c r="L392" i="4" s="1"/>
  <c r="I392" i="4"/>
  <c r="J434" i="4"/>
  <c r="L434" i="4" s="1"/>
  <c r="I434" i="4"/>
  <c r="J658" i="4"/>
  <c r="L658" i="4" s="1"/>
  <c r="I658" i="4"/>
  <c r="J966" i="4"/>
  <c r="L966" i="4" s="1"/>
  <c r="I966" i="4"/>
  <c r="B39" i="2"/>
  <c r="B42" i="2"/>
  <c r="B27" i="2"/>
  <c r="B30" i="2"/>
  <c r="B33" i="2"/>
  <c r="C39" i="2"/>
  <c r="C42" i="2"/>
  <c r="I207" i="4"/>
  <c r="I243" i="4"/>
  <c r="I279" i="4"/>
  <c r="J349" i="4"/>
  <c r="L349" i="4" s="1"/>
  <c r="I349" i="4"/>
  <c r="I418" i="4"/>
  <c r="J418" i="4"/>
  <c r="L418" i="4" s="1"/>
  <c r="B15" i="2"/>
  <c r="I376" i="4"/>
  <c r="J376" i="4"/>
  <c r="L376" i="4" s="1"/>
  <c r="J410" i="4"/>
  <c r="L410" i="4" s="1"/>
  <c r="I410" i="4"/>
  <c r="I436" i="4"/>
  <c r="J436" i="4"/>
  <c r="L436" i="4" s="1"/>
  <c r="J452" i="4"/>
  <c r="L452" i="4" s="1"/>
  <c r="I452" i="4"/>
  <c r="J464" i="4"/>
  <c r="L464" i="4" s="1"/>
  <c r="I464" i="4"/>
  <c r="J297" i="4"/>
  <c r="L297" i="4" s="1"/>
  <c r="I297" i="4"/>
  <c r="J309" i="4"/>
  <c r="L309" i="4" s="1"/>
  <c r="I309" i="4"/>
  <c r="J321" i="4"/>
  <c r="L321" i="4" s="1"/>
  <c r="I321" i="4"/>
  <c r="J333" i="4"/>
  <c r="L333" i="4" s="1"/>
  <c r="I333" i="4"/>
  <c r="J345" i="4"/>
  <c r="L345" i="4" s="1"/>
  <c r="I345" i="4"/>
  <c r="J368" i="4"/>
  <c r="L368" i="4" s="1"/>
  <c r="I368" i="4"/>
  <c r="I394" i="4"/>
  <c r="J394" i="4"/>
  <c r="L394" i="4" s="1"/>
  <c r="J428" i="4"/>
  <c r="L428" i="4" s="1"/>
  <c r="I428" i="4"/>
  <c r="J458" i="4"/>
  <c r="L458" i="4" s="1"/>
  <c r="I458" i="4"/>
  <c r="J470" i="4"/>
  <c r="L470" i="4" s="1"/>
  <c r="I470" i="4"/>
  <c r="B43" i="2"/>
  <c r="I7" i="4"/>
  <c r="I10" i="4"/>
  <c r="I13" i="4"/>
  <c r="I16" i="4"/>
  <c r="I19" i="4"/>
  <c r="I22" i="4"/>
  <c r="I25" i="4"/>
  <c r="I28" i="4"/>
  <c r="I31" i="4"/>
  <c r="I34" i="4"/>
  <c r="I37" i="4"/>
  <c r="I40" i="4"/>
  <c r="I43" i="4"/>
  <c r="I46" i="4"/>
  <c r="I49" i="4"/>
  <c r="I52" i="4"/>
  <c r="I55" i="4"/>
  <c r="I58" i="4"/>
  <c r="I61" i="4"/>
  <c r="I64" i="4"/>
  <c r="I67" i="4"/>
  <c r="I70" i="4"/>
  <c r="I73" i="4"/>
  <c r="I76" i="4"/>
  <c r="I79" i="4"/>
  <c r="I82" i="4"/>
  <c r="I85" i="4"/>
  <c r="I88" i="4"/>
  <c r="I91" i="4"/>
  <c r="I198" i="4"/>
  <c r="I234" i="4"/>
  <c r="I270" i="4"/>
  <c r="J386" i="4"/>
  <c r="L386" i="4" s="1"/>
  <c r="I386" i="4"/>
  <c r="I412" i="4"/>
  <c r="J412" i="4"/>
  <c r="L412" i="4" s="1"/>
  <c r="J701" i="4"/>
  <c r="L701" i="4" s="1"/>
  <c r="I701" i="4"/>
  <c r="B40" i="2"/>
  <c r="I195" i="4"/>
  <c r="I231" i="4"/>
  <c r="I267" i="4"/>
  <c r="J294" i="4"/>
  <c r="L294" i="4" s="1"/>
  <c r="I294" i="4"/>
  <c r="J404" i="4"/>
  <c r="L404" i="4" s="1"/>
  <c r="I404" i="4"/>
  <c r="J446" i="4"/>
  <c r="L446" i="4" s="1"/>
  <c r="I446" i="4"/>
  <c r="J676" i="4"/>
  <c r="L676" i="4" s="1"/>
  <c r="I676" i="4"/>
  <c r="J684" i="4"/>
  <c r="L684" i="4" s="1"/>
  <c r="I684" i="4"/>
  <c r="J933" i="4"/>
  <c r="L933" i="4" s="1"/>
  <c r="I933" i="4"/>
  <c r="J677" i="4"/>
  <c r="L677" i="4" s="1"/>
  <c r="I677" i="4"/>
  <c r="J861" i="4"/>
  <c r="L861" i="4" s="1"/>
  <c r="I861" i="4"/>
  <c r="J879" i="4"/>
  <c r="L879" i="4" s="1"/>
  <c r="I879" i="4"/>
  <c r="I909" i="4"/>
  <c r="J909" i="4"/>
  <c r="L909" i="4" s="1"/>
  <c r="I632" i="4"/>
  <c r="J663" i="4"/>
  <c r="L663" i="4" s="1"/>
  <c r="I663" i="4"/>
  <c r="J707" i="4"/>
  <c r="L707" i="4" s="1"/>
  <c r="I707" i="4"/>
  <c r="J827" i="4"/>
  <c r="L827" i="4" s="1"/>
  <c r="I827" i="4"/>
  <c r="I377" i="4"/>
  <c r="J385" i="4"/>
  <c r="L385" i="4" s="1"/>
  <c r="I389" i="4"/>
  <c r="J397" i="4"/>
  <c r="L397" i="4" s="1"/>
  <c r="I401" i="4"/>
  <c r="J409" i="4"/>
  <c r="L409" i="4" s="1"/>
  <c r="I413" i="4"/>
  <c r="J421" i="4"/>
  <c r="L421" i="4" s="1"/>
  <c r="I425" i="4"/>
  <c r="J433" i="4"/>
  <c r="L433" i="4" s="1"/>
  <c r="I437" i="4"/>
  <c r="J445" i="4"/>
  <c r="L445" i="4" s="1"/>
  <c r="I449" i="4"/>
  <c r="I461" i="4"/>
  <c r="I473" i="4"/>
  <c r="J500" i="4"/>
  <c r="L500" i="4" s="1"/>
  <c r="J512" i="4"/>
  <c r="L512" i="4" s="1"/>
  <c r="J524" i="4"/>
  <c r="L524" i="4" s="1"/>
  <c r="J536" i="4"/>
  <c r="L536" i="4" s="1"/>
  <c r="J548" i="4"/>
  <c r="L548" i="4" s="1"/>
  <c r="J560" i="4"/>
  <c r="L560" i="4" s="1"/>
  <c r="J572" i="4"/>
  <c r="L572" i="4" s="1"/>
  <c r="J584" i="4"/>
  <c r="L584" i="4" s="1"/>
  <c r="J596" i="4"/>
  <c r="L596" i="4" s="1"/>
  <c r="J608" i="4"/>
  <c r="L608" i="4" s="1"/>
  <c r="J620" i="4"/>
  <c r="L620" i="4" s="1"/>
  <c r="J638" i="4"/>
  <c r="L638" i="4" s="1"/>
  <c r="I638" i="4"/>
  <c r="J664" i="4"/>
  <c r="L664" i="4" s="1"/>
  <c r="I664" i="4"/>
  <c r="I678" i="4"/>
  <c r="J699" i="4"/>
  <c r="L699" i="4" s="1"/>
  <c r="I699" i="4"/>
  <c r="J816" i="4"/>
  <c r="L816" i="4" s="1"/>
  <c r="I816" i="4"/>
  <c r="I369" i="4"/>
  <c r="I381" i="4"/>
  <c r="J501" i="4"/>
  <c r="L501" i="4" s="1"/>
  <c r="I501" i="4"/>
  <c r="J513" i="4"/>
  <c r="L513" i="4" s="1"/>
  <c r="I513" i="4"/>
  <c r="J525" i="4"/>
  <c r="L525" i="4" s="1"/>
  <c r="I525" i="4"/>
  <c r="J537" i="4"/>
  <c r="L537" i="4" s="1"/>
  <c r="I537" i="4"/>
  <c r="J549" i="4"/>
  <c r="L549" i="4" s="1"/>
  <c r="I549" i="4"/>
  <c r="J561" i="4"/>
  <c r="L561" i="4" s="1"/>
  <c r="I561" i="4"/>
  <c r="J573" i="4"/>
  <c r="L573" i="4" s="1"/>
  <c r="I573" i="4"/>
  <c r="J585" i="4"/>
  <c r="L585" i="4" s="1"/>
  <c r="I585" i="4"/>
  <c r="J597" i="4"/>
  <c r="L597" i="4" s="1"/>
  <c r="I597" i="4"/>
  <c r="J609" i="4"/>
  <c r="L609" i="4" s="1"/>
  <c r="I609" i="4"/>
  <c r="J621" i="4"/>
  <c r="L621" i="4" s="1"/>
  <c r="I621" i="4"/>
  <c r="J687" i="4"/>
  <c r="L687" i="4" s="1"/>
  <c r="I687" i="4"/>
  <c r="J734" i="4"/>
  <c r="L734" i="4" s="1"/>
  <c r="I734" i="4"/>
  <c r="J640" i="4"/>
  <c r="L640" i="4" s="1"/>
  <c r="I640" i="4"/>
  <c r="J852" i="4"/>
  <c r="L852" i="4" s="1"/>
  <c r="I852" i="4"/>
  <c r="I864" i="4"/>
  <c r="J864" i="4"/>
  <c r="L864" i="4" s="1"/>
  <c r="J672" i="4"/>
  <c r="L672" i="4" s="1"/>
  <c r="I672" i="4"/>
  <c r="J695" i="4"/>
  <c r="L695" i="4" s="1"/>
  <c r="I695" i="4"/>
  <c r="J761" i="4"/>
  <c r="L761" i="4" s="1"/>
  <c r="I761" i="4"/>
  <c r="J818" i="4"/>
  <c r="L818" i="4" s="1"/>
  <c r="I818" i="4"/>
  <c r="J497" i="4"/>
  <c r="L497" i="4" s="1"/>
  <c r="I497" i="4"/>
  <c r="J509" i="4"/>
  <c r="L509" i="4" s="1"/>
  <c r="I509" i="4"/>
  <c r="J521" i="4"/>
  <c r="L521" i="4" s="1"/>
  <c r="I521" i="4"/>
  <c r="J533" i="4"/>
  <c r="L533" i="4" s="1"/>
  <c r="I533" i="4"/>
  <c r="J545" i="4"/>
  <c r="L545" i="4" s="1"/>
  <c r="I545" i="4"/>
  <c r="J557" i="4"/>
  <c r="L557" i="4" s="1"/>
  <c r="I557" i="4"/>
  <c r="J569" i="4"/>
  <c r="L569" i="4" s="1"/>
  <c r="I569" i="4"/>
  <c r="J581" i="4"/>
  <c r="L581" i="4" s="1"/>
  <c r="I581" i="4"/>
  <c r="J593" i="4"/>
  <c r="L593" i="4" s="1"/>
  <c r="I593" i="4"/>
  <c r="J605" i="4"/>
  <c r="L605" i="4" s="1"/>
  <c r="I605" i="4"/>
  <c r="J617" i="4"/>
  <c r="L617" i="4" s="1"/>
  <c r="I617" i="4"/>
  <c r="J629" i="4"/>
  <c r="L629" i="4" s="1"/>
  <c r="I629" i="4"/>
  <c r="J635" i="4"/>
  <c r="L635" i="4" s="1"/>
  <c r="I635" i="4"/>
  <c r="J647" i="4"/>
  <c r="L647" i="4" s="1"/>
  <c r="I647" i="4"/>
  <c r="J654" i="4"/>
  <c r="L654" i="4" s="1"/>
  <c r="I654" i="4"/>
  <c r="I819" i="4"/>
  <c r="J819" i="4"/>
  <c r="L819" i="4" s="1"/>
  <c r="I353" i="4"/>
  <c r="J367" i="4"/>
  <c r="L367" i="4" s="1"/>
  <c r="I371" i="4"/>
  <c r="J379" i="4"/>
  <c r="L379" i="4" s="1"/>
  <c r="I383" i="4"/>
  <c r="J391" i="4"/>
  <c r="L391" i="4" s="1"/>
  <c r="I395" i="4"/>
  <c r="J403" i="4"/>
  <c r="L403" i="4" s="1"/>
  <c r="I407" i="4"/>
  <c r="J415" i="4"/>
  <c r="L415" i="4" s="1"/>
  <c r="I419" i="4"/>
  <c r="J427" i="4"/>
  <c r="L427" i="4" s="1"/>
  <c r="I431" i="4"/>
  <c r="J439" i="4"/>
  <c r="L439" i="4" s="1"/>
  <c r="I443" i="4"/>
  <c r="I455" i="4"/>
  <c r="I467" i="4"/>
  <c r="J660" i="4"/>
  <c r="L660" i="4" s="1"/>
  <c r="I660" i="4"/>
  <c r="J682" i="4"/>
  <c r="L682" i="4" s="1"/>
  <c r="I682" i="4"/>
  <c r="J807" i="4"/>
  <c r="L807" i="4" s="1"/>
  <c r="I807" i="4"/>
  <c r="I363" i="4"/>
  <c r="I375" i="4"/>
  <c r="I387" i="4"/>
  <c r="I399" i="4"/>
  <c r="I411" i="4"/>
  <c r="I423" i="4"/>
  <c r="I435" i="4"/>
  <c r="I447" i="4"/>
  <c r="I459" i="4"/>
  <c r="I471" i="4"/>
  <c r="I483" i="4"/>
  <c r="J492" i="4"/>
  <c r="L492" i="4" s="1"/>
  <c r="J504" i="4"/>
  <c r="L504" i="4" s="1"/>
  <c r="J516" i="4"/>
  <c r="L516" i="4" s="1"/>
  <c r="J528" i="4"/>
  <c r="L528" i="4" s="1"/>
  <c r="J540" i="4"/>
  <c r="L540" i="4" s="1"/>
  <c r="J552" i="4"/>
  <c r="L552" i="4" s="1"/>
  <c r="J564" i="4"/>
  <c r="L564" i="4" s="1"/>
  <c r="J576" i="4"/>
  <c r="L576" i="4" s="1"/>
  <c r="J588" i="4"/>
  <c r="L588" i="4" s="1"/>
  <c r="J600" i="4"/>
  <c r="L600" i="4" s="1"/>
  <c r="J612" i="4"/>
  <c r="L612" i="4" s="1"/>
  <c r="J624" i="4"/>
  <c r="L624" i="4" s="1"/>
  <c r="I642" i="4"/>
  <c r="J704" i="4"/>
  <c r="L704" i="4" s="1"/>
  <c r="I704" i="4"/>
  <c r="J800" i="4"/>
  <c r="L800" i="4" s="1"/>
  <c r="I800" i="4"/>
  <c r="J499" i="4"/>
  <c r="L499" i="4" s="1"/>
  <c r="I499" i="4"/>
  <c r="J511" i="4"/>
  <c r="L511" i="4" s="1"/>
  <c r="I511" i="4"/>
  <c r="J523" i="4"/>
  <c r="L523" i="4" s="1"/>
  <c r="I523" i="4"/>
  <c r="J535" i="4"/>
  <c r="L535" i="4" s="1"/>
  <c r="I535" i="4"/>
  <c r="J547" i="4"/>
  <c r="L547" i="4" s="1"/>
  <c r="I547" i="4"/>
  <c r="J559" i="4"/>
  <c r="L559" i="4" s="1"/>
  <c r="I559" i="4"/>
  <c r="J571" i="4"/>
  <c r="L571" i="4" s="1"/>
  <c r="I571" i="4"/>
  <c r="J583" i="4"/>
  <c r="L583" i="4" s="1"/>
  <c r="I583" i="4"/>
  <c r="J595" i="4"/>
  <c r="L595" i="4" s="1"/>
  <c r="I595" i="4"/>
  <c r="J607" i="4"/>
  <c r="L607" i="4" s="1"/>
  <c r="I607" i="4"/>
  <c r="J619" i="4"/>
  <c r="L619" i="4" s="1"/>
  <c r="I619" i="4"/>
  <c r="J631" i="4"/>
  <c r="L631" i="4" s="1"/>
  <c r="I631" i="4"/>
  <c r="J659" i="4"/>
  <c r="L659" i="4" s="1"/>
  <c r="I659" i="4"/>
  <c r="J681" i="4"/>
  <c r="L681" i="4" s="1"/>
  <c r="I681" i="4"/>
  <c r="J798" i="4"/>
  <c r="L798" i="4" s="1"/>
  <c r="I798" i="4"/>
  <c r="J897" i="4"/>
  <c r="L897" i="4" s="1"/>
  <c r="I897" i="4"/>
  <c r="J845" i="4"/>
  <c r="L845" i="4" s="1"/>
  <c r="I845" i="4"/>
  <c r="J805" i="4"/>
  <c r="L805" i="4" s="1"/>
  <c r="I805" i="4"/>
  <c r="J834" i="4"/>
  <c r="L834" i="4" s="1"/>
  <c r="I834" i="4"/>
  <c r="J496" i="4"/>
  <c r="L496" i="4" s="1"/>
  <c r="I496" i="4"/>
  <c r="J508" i="4"/>
  <c r="L508" i="4" s="1"/>
  <c r="I508" i="4"/>
  <c r="J520" i="4"/>
  <c r="L520" i="4" s="1"/>
  <c r="I520" i="4"/>
  <c r="J532" i="4"/>
  <c r="L532" i="4" s="1"/>
  <c r="I532" i="4"/>
  <c r="J544" i="4"/>
  <c r="L544" i="4" s="1"/>
  <c r="I544" i="4"/>
  <c r="J556" i="4"/>
  <c r="L556" i="4" s="1"/>
  <c r="I556" i="4"/>
  <c r="J568" i="4"/>
  <c r="L568" i="4" s="1"/>
  <c r="I568" i="4"/>
  <c r="J580" i="4"/>
  <c r="L580" i="4" s="1"/>
  <c r="I580" i="4"/>
  <c r="J592" i="4"/>
  <c r="L592" i="4" s="1"/>
  <c r="I592" i="4"/>
  <c r="J604" i="4"/>
  <c r="L604" i="4" s="1"/>
  <c r="I604" i="4"/>
  <c r="J616" i="4"/>
  <c r="L616" i="4" s="1"/>
  <c r="I616" i="4"/>
  <c r="J628" i="4"/>
  <c r="L628" i="4" s="1"/>
  <c r="I628" i="4"/>
  <c r="J646" i="4"/>
  <c r="L646" i="4" s="1"/>
  <c r="I646" i="4"/>
  <c r="J722" i="4"/>
  <c r="L722" i="4" s="1"/>
  <c r="I722" i="4"/>
  <c r="J846" i="4"/>
  <c r="L846" i="4" s="1"/>
  <c r="J863" i="4"/>
  <c r="L863" i="4" s="1"/>
  <c r="I863" i="4"/>
  <c r="J493" i="4"/>
  <c r="L493" i="4" s="1"/>
  <c r="I493" i="4"/>
  <c r="J505" i="4"/>
  <c r="L505" i="4" s="1"/>
  <c r="I505" i="4"/>
  <c r="J517" i="4"/>
  <c r="L517" i="4" s="1"/>
  <c r="I517" i="4"/>
  <c r="J529" i="4"/>
  <c r="L529" i="4" s="1"/>
  <c r="I529" i="4"/>
  <c r="J541" i="4"/>
  <c r="L541" i="4" s="1"/>
  <c r="I541" i="4"/>
  <c r="J553" i="4"/>
  <c r="L553" i="4" s="1"/>
  <c r="I553" i="4"/>
  <c r="J565" i="4"/>
  <c r="L565" i="4" s="1"/>
  <c r="I565" i="4"/>
  <c r="J577" i="4"/>
  <c r="L577" i="4" s="1"/>
  <c r="I577" i="4"/>
  <c r="J589" i="4"/>
  <c r="L589" i="4" s="1"/>
  <c r="I589" i="4"/>
  <c r="J601" i="4"/>
  <c r="L601" i="4" s="1"/>
  <c r="I601" i="4"/>
  <c r="J613" i="4"/>
  <c r="L613" i="4" s="1"/>
  <c r="I613" i="4"/>
  <c r="J625" i="4"/>
  <c r="L625" i="4" s="1"/>
  <c r="I625" i="4"/>
  <c r="J652" i="4"/>
  <c r="L652" i="4" s="1"/>
  <c r="I652" i="4"/>
  <c r="J667" i="4"/>
  <c r="L667" i="4" s="1"/>
  <c r="I667" i="4"/>
  <c r="J673" i="4"/>
  <c r="L673" i="4" s="1"/>
  <c r="I673" i="4"/>
  <c r="J906" i="4"/>
  <c r="L906" i="4" s="1"/>
  <c r="I906" i="4"/>
  <c r="I960" i="4"/>
  <c r="J960" i="4"/>
  <c r="L960" i="4" s="1"/>
  <c r="J668" i="4"/>
  <c r="L668" i="4" s="1"/>
  <c r="I668" i="4"/>
  <c r="J690" i="4"/>
  <c r="L690" i="4" s="1"/>
  <c r="I690" i="4"/>
  <c r="J713" i="4"/>
  <c r="L713" i="4" s="1"/>
  <c r="I713" i="4"/>
  <c r="I954" i="4"/>
  <c r="J954" i="4"/>
  <c r="L954" i="4" s="1"/>
  <c r="J634" i="4"/>
  <c r="L634" i="4" s="1"/>
  <c r="I634" i="4"/>
  <c r="I648" i="4"/>
  <c r="I674" i="4"/>
  <c r="J685" i="4"/>
  <c r="L685" i="4" s="1"/>
  <c r="I685" i="4"/>
  <c r="J789" i="4"/>
  <c r="L789" i="4" s="1"/>
  <c r="I789" i="4"/>
  <c r="J854" i="4"/>
  <c r="L854" i="4" s="1"/>
  <c r="I854" i="4"/>
  <c r="I490" i="4"/>
  <c r="J502" i="4"/>
  <c r="L502" i="4" s="1"/>
  <c r="I502" i="4"/>
  <c r="J514" i="4"/>
  <c r="L514" i="4" s="1"/>
  <c r="I514" i="4"/>
  <c r="J526" i="4"/>
  <c r="L526" i="4" s="1"/>
  <c r="I526" i="4"/>
  <c r="J538" i="4"/>
  <c r="L538" i="4" s="1"/>
  <c r="I538" i="4"/>
  <c r="J550" i="4"/>
  <c r="L550" i="4" s="1"/>
  <c r="I550" i="4"/>
  <c r="J562" i="4"/>
  <c r="L562" i="4" s="1"/>
  <c r="I562" i="4"/>
  <c r="J574" i="4"/>
  <c r="L574" i="4" s="1"/>
  <c r="I574" i="4"/>
  <c r="J586" i="4"/>
  <c r="L586" i="4" s="1"/>
  <c r="I586" i="4"/>
  <c r="J598" i="4"/>
  <c r="L598" i="4" s="1"/>
  <c r="I598" i="4"/>
  <c r="J610" i="4"/>
  <c r="L610" i="4" s="1"/>
  <c r="I610" i="4"/>
  <c r="J622" i="4"/>
  <c r="L622" i="4" s="1"/>
  <c r="I622" i="4"/>
  <c r="J653" i="4"/>
  <c r="L653" i="4" s="1"/>
  <c r="J686" i="4"/>
  <c r="L686" i="4" s="1"/>
  <c r="I686" i="4"/>
  <c r="J809" i="4"/>
  <c r="L809" i="4" s="1"/>
  <c r="I809" i="4"/>
  <c r="J872" i="4"/>
  <c r="L872" i="4" s="1"/>
  <c r="I872" i="4"/>
  <c r="J796" i="4"/>
  <c r="L796" i="4" s="1"/>
  <c r="I796" i="4"/>
  <c r="I873" i="4"/>
  <c r="J873" i="4"/>
  <c r="L873" i="4" s="1"/>
  <c r="J908" i="4"/>
  <c r="L908" i="4" s="1"/>
  <c r="I908" i="4"/>
  <c r="J881" i="4"/>
  <c r="L881" i="4" s="1"/>
  <c r="I881" i="4"/>
  <c r="J915" i="4"/>
  <c r="L915" i="4" s="1"/>
  <c r="I915" i="4"/>
  <c r="I969" i="4"/>
  <c r="J643" i="4"/>
  <c r="L643" i="4" s="1"/>
  <c r="I643" i="4"/>
  <c r="J655" i="4"/>
  <c r="L655" i="4" s="1"/>
  <c r="I655" i="4"/>
  <c r="I740" i="4"/>
  <c r="I749" i="4"/>
  <c r="I758" i="4"/>
  <c r="I767" i="4"/>
  <c r="I776" i="4"/>
  <c r="J791" i="4"/>
  <c r="L791" i="4" s="1"/>
  <c r="I791" i="4"/>
  <c r="J825" i="4"/>
  <c r="L825" i="4" s="1"/>
  <c r="I825" i="4"/>
  <c r="J836" i="4"/>
  <c r="L836" i="4" s="1"/>
  <c r="I836" i="4"/>
  <c r="J870" i="4"/>
  <c r="L870" i="4" s="1"/>
  <c r="I870" i="4"/>
  <c r="I639" i="4"/>
  <c r="I651" i="4"/>
  <c r="J882" i="4"/>
  <c r="L882" i="4" s="1"/>
  <c r="J899" i="4"/>
  <c r="L899" i="4" s="1"/>
  <c r="I899" i="4"/>
  <c r="J888" i="4"/>
  <c r="L888" i="4" s="1"/>
  <c r="I888" i="4"/>
  <c r="J843" i="4"/>
  <c r="L843" i="4" s="1"/>
  <c r="I843" i="4"/>
  <c r="J900" i="4"/>
  <c r="L900" i="4" s="1"/>
  <c r="J917" i="4"/>
  <c r="L917" i="4" s="1"/>
  <c r="I917" i="4"/>
  <c r="J930" i="4"/>
  <c r="L930" i="4" s="1"/>
  <c r="I930" i="4"/>
  <c r="J637" i="4"/>
  <c r="L637" i="4" s="1"/>
  <c r="I637" i="4"/>
  <c r="J649" i="4"/>
  <c r="L649" i="4" s="1"/>
  <c r="I649" i="4"/>
  <c r="J661" i="4"/>
  <c r="L661" i="4" s="1"/>
  <c r="I661" i="4"/>
  <c r="J670" i="4"/>
  <c r="L670" i="4" s="1"/>
  <c r="I670" i="4"/>
  <c r="J679" i="4"/>
  <c r="L679" i="4" s="1"/>
  <c r="I679" i="4"/>
  <c r="J688" i="4"/>
  <c r="L688" i="4" s="1"/>
  <c r="I688" i="4"/>
  <c r="J890" i="4"/>
  <c r="L890" i="4" s="1"/>
  <c r="I890" i="4"/>
  <c r="J788" i="4"/>
  <c r="L788" i="4" s="1"/>
  <c r="I788" i="4"/>
  <c r="J797" i="4"/>
  <c r="L797" i="4" s="1"/>
  <c r="I797" i="4"/>
  <c r="J806" i="4"/>
  <c r="L806" i="4" s="1"/>
  <c r="I806" i="4"/>
  <c r="J815" i="4"/>
  <c r="L815" i="4" s="1"/>
  <c r="I815" i="4"/>
  <c r="J824" i="4"/>
  <c r="L824" i="4" s="1"/>
  <c r="I824" i="4"/>
  <c r="J833" i="4"/>
  <c r="L833" i="4" s="1"/>
  <c r="I833" i="4"/>
  <c r="J842" i="4"/>
  <c r="L842" i="4" s="1"/>
  <c r="I842" i="4"/>
  <c r="J851" i="4"/>
  <c r="L851" i="4" s="1"/>
  <c r="I851" i="4"/>
  <c r="J860" i="4"/>
  <c r="L860" i="4" s="1"/>
  <c r="I860" i="4"/>
  <c r="J869" i="4"/>
  <c r="L869" i="4" s="1"/>
  <c r="I869" i="4"/>
  <c r="J878" i="4"/>
  <c r="L878" i="4" s="1"/>
  <c r="I878" i="4"/>
  <c r="J887" i="4"/>
  <c r="L887" i="4" s="1"/>
  <c r="I887" i="4"/>
  <c r="J896" i="4"/>
  <c r="L896" i="4" s="1"/>
  <c r="I896" i="4"/>
  <c r="J905" i="4"/>
  <c r="L905" i="4" s="1"/>
  <c r="I905" i="4"/>
  <c r="J914" i="4"/>
  <c r="L914" i="4" s="1"/>
  <c r="I914" i="4"/>
  <c r="I691" i="4"/>
  <c r="I694" i="4"/>
  <c r="I697" i="4"/>
  <c r="I700" i="4"/>
  <c r="I703" i="4"/>
  <c r="I706" i="4"/>
  <c r="I709" i="4"/>
  <c r="I712" i="4"/>
  <c r="I715" i="4"/>
  <c r="I718" i="4"/>
  <c r="I721" i="4"/>
  <c r="I724" i="4"/>
  <c r="I727" i="4"/>
  <c r="I730" i="4"/>
  <c r="I733" i="4"/>
  <c r="I736" i="4"/>
  <c r="I739" i="4"/>
  <c r="I742" i="4"/>
  <c r="I745" i="4"/>
  <c r="I748" i="4"/>
  <c r="I751" i="4"/>
  <c r="I754" i="4"/>
  <c r="I757" i="4"/>
  <c r="I760" i="4"/>
  <c r="I763" i="4"/>
  <c r="I766" i="4"/>
  <c r="I769" i="4"/>
  <c r="I772" i="4"/>
  <c r="I775" i="4"/>
  <c r="I778" i="4"/>
  <c r="I781" i="4"/>
  <c r="J920" i="4"/>
  <c r="L920" i="4" s="1"/>
  <c r="I920" i="4"/>
  <c r="J785" i="4"/>
  <c r="L785" i="4" s="1"/>
  <c r="I785" i="4"/>
  <c r="J794" i="4"/>
  <c r="L794" i="4" s="1"/>
  <c r="I794" i="4"/>
  <c r="J803" i="4"/>
  <c r="L803" i="4" s="1"/>
  <c r="I803" i="4"/>
  <c r="J812" i="4"/>
  <c r="L812" i="4" s="1"/>
  <c r="I812" i="4"/>
  <c r="J821" i="4"/>
  <c r="L821" i="4" s="1"/>
  <c r="I821" i="4"/>
  <c r="J830" i="4"/>
  <c r="L830" i="4" s="1"/>
  <c r="I830" i="4"/>
  <c r="J839" i="4"/>
  <c r="L839" i="4" s="1"/>
  <c r="I839" i="4"/>
  <c r="J848" i="4"/>
  <c r="L848" i="4" s="1"/>
  <c r="I848" i="4"/>
  <c r="J857" i="4"/>
  <c r="L857" i="4" s="1"/>
  <c r="I857" i="4"/>
  <c r="J866" i="4"/>
  <c r="L866" i="4" s="1"/>
  <c r="I866" i="4"/>
  <c r="J875" i="4"/>
  <c r="L875" i="4" s="1"/>
  <c r="I875" i="4"/>
  <c r="J884" i="4"/>
  <c r="L884" i="4" s="1"/>
  <c r="I884" i="4"/>
  <c r="J893" i="4"/>
  <c r="L893" i="4" s="1"/>
  <c r="I893" i="4"/>
  <c r="J902" i="4"/>
  <c r="L902" i="4" s="1"/>
  <c r="I902" i="4"/>
  <c r="J911" i="4"/>
  <c r="L911" i="4" s="1"/>
  <c r="I911" i="4"/>
  <c r="I936" i="4"/>
  <c r="I972" i="4"/>
  <c r="I923" i="4"/>
  <c r="I926" i="4"/>
  <c r="I929" i="4"/>
  <c r="I932" i="4"/>
  <c r="I935" i="4"/>
  <c r="I938" i="4"/>
  <c r="I941" i="4"/>
  <c r="I944" i="4"/>
  <c r="I947" i="4"/>
  <c r="I950" i="4"/>
  <c r="I953" i="4"/>
  <c r="I956" i="4"/>
  <c r="I959" i="4"/>
  <c r="I962" i="4"/>
  <c r="I965" i="4"/>
  <c r="I968" i="4"/>
  <c r="I971" i="4"/>
  <c r="I974" i="4"/>
  <c r="I977" i="4"/>
  <c r="I980" i="4"/>
  <c r="I983" i="4"/>
  <c r="I986" i="4"/>
  <c r="I989" i="4"/>
  <c r="I992" i="4"/>
  <c r="I995" i="4"/>
  <c r="I998" i="4"/>
  <c r="I1001" i="4"/>
  <c r="K23" i="3" l="1"/>
  <c r="L17" i="3"/>
  <c r="K11" i="3"/>
  <c r="K64" i="3"/>
  <c r="K15" i="3"/>
  <c r="K41" i="3"/>
  <c r="K33" i="3"/>
  <c r="K57" i="3"/>
  <c r="L14" i="3"/>
  <c r="K44" i="3"/>
  <c r="L26" i="3"/>
  <c r="K9" i="3"/>
  <c r="L24" i="3"/>
  <c r="K53" i="3"/>
  <c r="L46" i="3"/>
  <c r="K40" i="3"/>
  <c r="K27" i="3"/>
  <c r="L10" i="3"/>
  <c r="K45" i="3"/>
  <c r="K21" i="3"/>
  <c r="L18" i="3"/>
  <c r="K28" i="3"/>
  <c r="K20" i="3"/>
  <c r="L42" i="3"/>
  <c r="L22" i="3"/>
  <c r="L58" i="3"/>
  <c r="K35" i="3"/>
  <c r="L36" i="3"/>
  <c r="L30" i="3"/>
  <c r="K12" i="3"/>
  <c r="K50" i="3"/>
  <c r="K32" i="3"/>
  <c r="K47" i="3"/>
  <c r="L34" i="3"/>
  <c r="M6" i="3"/>
  <c r="K29" i="3"/>
  <c r="L48" i="3"/>
  <c r="K54" i="3"/>
  <c r="G4" i="3"/>
  <c r="K63" i="3"/>
  <c r="K8" i="3"/>
  <c r="L52" i="3"/>
  <c r="L16" i="3"/>
  <c r="K38" i="3"/>
  <c r="L55" i="3"/>
  <c r="K55" i="3"/>
  <c r="L62" i="3"/>
  <c r="K62" i="3"/>
  <c r="L67" i="3"/>
  <c r="K67" i="3"/>
  <c r="L49" i="3"/>
  <c r="K49" i="3"/>
  <c r="L56" i="3"/>
  <c r="K56" i="3"/>
  <c r="M25" i="3"/>
  <c r="L43" i="3"/>
  <c r="K43" i="3"/>
  <c r="L65" i="3"/>
  <c r="K65" i="3"/>
  <c r="L37" i="3"/>
  <c r="K37" i="3"/>
  <c r="L59" i="3"/>
  <c r="K59" i="3"/>
  <c r="L31" i="3"/>
  <c r="K31" i="3"/>
  <c r="L66" i="3"/>
  <c r="K66" i="3"/>
  <c r="L25" i="3"/>
  <c r="K25" i="3"/>
  <c r="L60" i="3"/>
  <c r="K60" i="3"/>
  <c r="L19" i="3"/>
  <c r="K19" i="3"/>
  <c r="L13" i="3"/>
  <c r="K13" i="3"/>
  <c r="L61" i="3"/>
  <c r="K61" i="3"/>
  <c r="L7" i="3"/>
  <c r="K7" i="3"/>
  <c r="C23" i="2"/>
  <c r="C45" i="2"/>
  <c r="B15" i="5"/>
  <c r="A20" i="5" s="1"/>
  <c r="B16" i="5"/>
  <c r="D23" i="2"/>
  <c r="H24" i="5"/>
  <c r="A24" i="5" s="1"/>
  <c r="B45" i="2"/>
  <c r="B23" i="2"/>
  <c r="B35" i="2"/>
  <c r="E50" i="2"/>
  <c r="D50" i="2"/>
  <c r="G51" i="2"/>
  <c r="C50" i="2"/>
  <c r="A50" i="2"/>
  <c r="J4" i="3"/>
  <c r="B17" i="5" l="1"/>
  <c r="L4" i="3"/>
  <c r="B11" i="2" s="1"/>
  <c r="K4" i="3"/>
  <c r="B10" i="2" s="1"/>
  <c r="C24" i="5"/>
  <c r="D24" i="5"/>
  <c r="H25" i="5"/>
  <c r="E25" i="5" s="1"/>
  <c r="B24" i="5"/>
  <c r="E24" i="5"/>
  <c r="F24" i="5"/>
  <c r="D51" i="2"/>
  <c r="C51" i="2"/>
  <c r="B51" i="2"/>
  <c r="A51" i="2"/>
  <c r="G52" i="2"/>
  <c r="E51" i="2"/>
  <c r="H26" i="5" l="1"/>
  <c r="A26" i="5" s="1"/>
  <c r="D25" i="5"/>
  <c r="C25" i="5"/>
  <c r="F25" i="5"/>
  <c r="B25" i="5"/>
  <c r="A25" i="5"/>
  <c r="E52" i="2"/>
  <c r="D52" i="2"/>
  <c r="A52" i="2"/>
  <c r="G53" i="2"/>
  <c r="C52" i="2"/>
  <c r="B52" i="2"/>
  <c r="B26" i="5" l="1"/>
  <c r="H27" i="5"/>
  <c r="D26" i="5"/>
  <c r="C26" i="5"/>
  <c r="F26" i="5"/>
  <c r="E26" i="5"/>
  <c r="D53" i="2"/>
  <c r="C53" i="2"/>
  <c r="B53" i="2"/>
  <c r="A53" i="2"/>
  <c r="G54" i="2"/>
  <c r="E53" i="2"/>
  <c r="C27" i="5" l="1"/>
  <c r="H28" i="5"/>
  <c r="B27" i="5"/>
  <c r="A27" i="5"/>
  <c r="F27" i="5"/>
  <c r="D27" i="5"/>
  <c r="E27" i="5"/>
  <c r="E54" i="2"/>
  <c r="D54" i="2"/>
  <c r="G55" i="2"/>
  <c r="C54" i="2"/>
  <c r="A54" i="2"/>
  <c r="B54" i="2"/>
  <c r="C28" i="5" l="1"/>
  <c r="B28" i="5"/>
  <c r="A28" i="5"/>
  <c r="F28" i="5"/>
  <c r="E28" i="5"/>
  <c r="D28" i="5"/>
  <c r="H29" i="5"/>
  <c r="D55" i="2"/>
  <c r="C55" i="2"/>
  <c r="B55" i="2"/>
  <c r="A55" i="2"/>
  <c r="G56" i="2"/>
  <c r="E55" i="2"/>
  <c r="B29" i="5" l="1"/>
  <c r="F29" i="5"/>
  <c r="D29" i="5"/>
  <c r="C29" i="5"/>
  <c r="A29" i="5"/>
  <c r="E29" i="5"/>
  <c r="H30" i="5"/>
  <c r="E56" i="2"/>
  <c r="D56" i="2"/>
  <c r="C56" i="2"/>
  <c r="G57" i="2"/>
  <c r="B56" i="2"/>
  <c r="A56" i="2"/>
  <c r="H31" i="5" l="1"/>
  <c r="A30" i="5"/>
  <c r="F30" i="5"/>
  <c r="E30" i="5"/>
  <c r="D30" i="5"/>
  <c r="C30" i="5"/>
  <c r="B30" i="5"/>
  <c r="D57" i="2"/>
  <c r="C57" i="2"/>
  <c r="B57" i="2"/>
  <c r="A57" i="2"/>
  <c r="G58" i="2"/>
  <c r="E57" i="2"/>
  <c r="F31" i="5" l="1"/>
  <c r="D31" i="5"/>
  <c r="C31" i="5"/>
  <c r="H32" i="5"/>
  <c r="E31" i="5"/>
  <c r="B31" i="5"/>
  <c r="A31" i="5"/>
  <c r="E58" i="2"/>
  <c r="D58" i="2"/>
  <c r="C58" i="2"/>
  <c r="G59" i="2"/>
  <c r="B58" i="2"/>
  <c r="A58" i="2"/>
  <c r="B32" i="5" l="1"/>
  <c r="D32" i="5"/>
  <c r="A32" i="5"/>
  <c r="E32" i="5"/>
  <c r="C32" i="5"/>
  <c r="H33" i="5"/>
  <c r="F32" i="5"/>
  <c r="D59" i="2"/>
  <c r="C59" i="2"/>
  <c r="B59" i="2"/>
  <c r="A59" i="2"/>
  <c r="G60" i="2"/>
  <c r="E59" i="2"/>
  <c r="F33" i="5" l="1"/>
  <c r="E33" i="5"/>
  <c r="D33" i="5"/>
  <c r="H34" i="5"/>
  <c r="B33" i="5"/>
  <c r="C33" i="5"/>
  <c r="A33" i="5"/>
  <c r="E60" i="2"/>
  <c r="D60" i="2"/>
  <c r="C60" i="2"/>
  <c r="G61" i="2"/>
  <c r="B60" i="2"/>
  <c r="A60" i="2"/>
  <c r="A34" i="5" l="1"/>
  <c r="F34" i="5"/>
  <c r="D34" i="5"/>
  <c r="C34" i="5"/>
  <c r="E34" i="5"/>
  <c r="H35" i="5"/>
  <c r="B34" i="5"/>
  <c r="D61" i="2"/>
  <c r="C61" i="2"/>
  <c r="B61" i="2"/>
  <c r="A61" i="2"/>
  <c r="G62" i="2"/>
  <c r="E61" i="2"/>
  <c r="F35" i="5" l="1"/>
  <c r="E35" i="5"/>
  <c r="H36" i="5"/>
  <c r="A35" i="5"/>
  <c r="C35" i="5"/>
  <c r="D35" i="5"/>
  <c r="B35" i="5"/>
  <c r="E62" i="2"/>
  <c r="D62" i="2"/>
  <c r="C62" i="2"/>
  <c r="B62" i="2"/>
  <c r="A62" i="2"/>
  <c r="G63" i="2"/>
  <c r="F36" i="5" l="1"/>
  <c r="A36" i="5"/>
  <c r="E36" i="5"/>
  <c r="D36" i="5"/>
  <c r="C36" i="5"/>
  <c r="H37" i="5"/>
  <c r="B36" i="5"/>
  <c r="D63" i="2"/>
  <c r="C63" i="2"/>
  <c r="B63" i="2"/>
  <c r="A63" i="2"/>
  <c r="G64" i="2"/>
  <c r="E63" i="2"/>
  <c r="H38" i="5" l="1"/>
  <c r="A37" i="5"/>
  <c r="F37" i="5"/>
  <c r="D37" i="5"/>
  <c r="C37" i="5"/>
  <c r="B37" i="5"/>
  <c r="E37" i="5"/>
  <c r="E64" i="2"/>
  <c r="D64" i="2"/>
  <c r="C64" i="2"/>
  <c r="G65" i="2"/>
  <c r="B64" i="2"/>
  <c r="A64" i="2"/>
  <c r="F38" i="5" l="1"/>
  <c r="E38" i="5"/>
  <c r="D38" i="5"/>
  <c r="A38" i="5"/>
  <c r="C38" i="5"/>
  <c r="H39" i="5"/>
  <c r="B38" i="5"/>
  <c r="D65" i="2"/>
  <c r="C65" i="2"/>
  <c r="B65" i="2"/>
  <c r="A65" i="2"/>
  <c r="G66" i="2"/>
  <c r="E65" i="2"/>
  <c r="C39" i="5" l="1"/>
  <c r="F39" i="5"/>
  <c r="E39" i="5"/>
  <c r="D39" i="5"/>
  <c r="H40" i="5"/>
  <c r="B39" i="5"/>
  <c r="A39" i="5"/>
  <c r="E66" i="2"/>
  <c r="D66" i="2"/>
  <c r="C66" i="2"/>
  <c r="B66" i="2"/>
  <c r="A66" i="2"/>
  <c r="G67" i="2"/>
  <c r="E40" i="5" l="1"/>
  <c r="H41" i="5"/>
  <c r="B40" i="5"/>
  <c r="A40" i="5"/>
  <c r="D40" i="5"/>
  <c r="F40" i="5"/>
  <c r="C40" i="5"/>
  <c r="D67" i="2"/>
  <c r="C67" i="2"/>
  <c r="B67" i="2"/>
  <c r="A67" i="2"/>
  <c r="G68" i="2"/>
  <c r="E67" i="2"/>
  <c r="D41" i="5" l="1"/>
  <c r="C41" i="5"/>
  <c r="H42" i="5"/>
  <c r="B41" i="5"/>
  <c r="A41" i="5"/>
  <c r="F41" i="5"/>
  <c r="E41" i="5"/>
  <c r="E68" i="2"/>
  <c r="D68" i="2"/>
  <c r="C68" i="2"/>
  <c r="B68" i="2"/>
  <c r="G69" i="2"/>
  <c r="A68" i="2"/>
  <c r="E42" i="5" l="1"/>
  <c r="D42" i="5"/>
  <c r="F42" i="5"/>
  <c r="C42" i="5"/>
  <c r="H43" i="5"/>
  <c r="A44" i="5" s="1"/>
  <c r="B42" i="5"/>
  <c r="A42" i="5"/>
  <c r="D69" i="2"/>
  <c r="C69" i="2"/>
  <c r="B69" i="2"/>
  <c r="A69" i="2"/>
  <c r="G70" i="2"/>
  <c r="E69" i="2"/>
  <c r="F43" i="5" l="1"/>
  <c r="D43" i="5"/>
  <c r="C43" i="5"/>
  <c r="B43" i="5"/>
  <c r="A43" i="5"/>
  <c r="E43" i="5"/>
  <c r="E70" i="2"/>
  <c r="D70" i="2"/>
  <c r="C70" i="2"/>
  <c r="G71" i="2"/>
  <c r="B70" i="2"/>
  <c r="A70" i="2"/>
  <c r="D71" i="2" l="1"/>
  <c r="C71" i="2"/>
  <c r="B71" i="2"/>
  <c r="A71" i="2"/>
  <c r="G72" i="2"/>
  <c r="E71" i="2"/>
  <c r="E72" i="2" l="1"/>
  <c r="D72" i="2"/>
  <c r="C72" i="2"/>
  <c r="G73" i="2"/>
  <c r="B72" i="2"/>
  <c r="A72" i="2"/>
  <c r="D73" i="2" l="1"/>
  <c r="C73" i="2"/>
  <c r="B73" i="2"/>
  <c r="A73" i="2"/>
  <c r="E73" i="2"/>
</calcChain>
</file>

<file path=xl/sharedStrings.xml><?xml version="1.0" encoding="utf-8"?>
<sst xmlns="http://schemas.openxmlformats.org/spreadsheetml/2006/main" count="331" uniqueCount="249">
  <si>
    <t>Suivi des paiements</t>
  </si>
  <si>
    <t>Une ligne = un paiement. Remplissez les cellules sous l'en-tête bleu (à partir de la ligne 5). Les colonnes Beneficiaire, Type_Beneficiaire, Domaine, Mode_Paiement, Compte_Bancaire et Statut proposent une liste déroulante (à modifier dans la feuille Listes). Pour payer un fournisseur, écrivez son nom exactement comme dans la feuille Fournisseurs : le compte du fournisseur se met à jour tout seul. Avant de valider un paiement fournisseur, consultez la feuille Controle_Paiement. Seuls les paiements « Payé » comptent dans les totaux ; « En attente » = reste à payer ; « Annulé » est ignoré. Montants en FCFA. La ligne 5 est un exemple : remplacez-la ou supprimez-la.</t>
  </si>
  <si>
    <t>Date_Paiement</t>
  </si>
  <si>
    <t>N_Piece</t>
  </si>
  <si>
    <t>Motif</t>
  </si>
  <si>
    <t>Domaine</t>
  </si>
  <si>
    <t>Montant</t>
  </si>
  <si>
    <t>Mode_Paiement</t>
  </si>
  <si>
    <t>Compte_Bancaire</t>
  </si>
  <si>
    <t>Statut</t>
  </si>
  <si>
    <t>Observations</t>
  </si>
  <si>
    <t>Fournisseur</t>
  </si>
  <si>
    <t>ACHAT</t>
  </si>
  <si>
    <t>Chèque</t>
  </si>
  <si>
    <t>ECOBANK</t>
  </si>
  <si>
    <t>Payé</t>
  </si>
  <si>
    <t>Synthèse des paiements</t>
  </si>
  <si>
    <t>Tout se calcule automatiquement à partir des autres feuilles. Seules les 2 cellules jaunes se modifient.</t>
  </si>
  <si>
    <t>Année</t>
  </si>
  <si>
    <t>Par défaut : mois en cours. Tapez une autre année / un autre mois pour changer la période.</t>
  </si>
  <si>
    <t>Mois (1 à 12)</t>
  </si>
  <si>
    <t>Total payé – mois choisi</t>
  </si>
  <si>
    <t>Total payé – toutes périodes</t>
  </si>
  <si>
    <t>Reste à payer (statut « En attente »)</t>
  </si>
  <si>
    <t>Nombre de paiements en attente</t>
  </si>
  <si>
    <t>Dû aux fournisseurs (livraisons non payées)</t>
  </si>
  <si>
    <t>Avances versées aux fournisseurs (à couvrir)</t>
  </si>
  <si>
    <t>Total par domaine</t>
  </si>
  <si>
    <t>Payé (mois choisi)</t>
  </si>
  <si>
    <t>Payé (total)</t>
  </si>
  <si>
    <t>En attente</t>
  </si>
  <si>
    <t>TOTAL</t>
  </si>
  <si>
    <t>Total par compte bancaire</t>
  </si>
  <si>
    <t>Compte bancaire</t>
  </si>
  <si>
    <t>Total par mode de paiement</t>
  </si>
  <si>
    <t>Mode de paiement</t>
  </si>
  <si>
    <t>Paiements en attente (reste à payer)</t>
  </si>
  <si>
    <t>Date</t>
  </si>
  <si>
    <t>Bénéficiaire</t>
  </si>
  <si>
    <t>Ligne</t>
  </si>
  <si>
    <t>Compte des fournisseurs</t>
  </si>
  <si>
    <t>Écrivez chaque fournisseur dans les colonnes A et B seulement (cellules jaunes). Tout le reste se calcule à partir des feuilles Dechargements et Paiements. Livré = camions au statut « Fait ». Solde = livré − payé : positif = on lui doit de l'argent ; négatif = on lui a avancé de l'argent (avance pas encore couverte par des livraisons déchargées). Seuls les paiements « Payé » sont comptés ; « En attente » est affiché à part. Montants en FCFA. La ligne 6 est un exemple à remplacer.</t>
  </si>
  <si>
    <t>Telephone</t>
  </si>
  <si>
    <t>Camions_Decharges</t>
  </si>
  <si>
    <t>Poids_Decharge_Kg</t>
  </si>
  <si>
    <t>Montant_Livre</t>
  </si>
  <si>
    <t>Livraisons_Non_Terminees</t>
  </si>
  <si>
    <t>Total_Paye</t>
  </si>
  <si>
    <t>Paiements_En_Attente</t>
  </si>
  <si>
    <t>Solde_Livre_moins_Paye</t>
  </si>
  <si>
    <t>Reste_A_Payer (on lui doit)</t>
  </si>
  <si>
    <t>Avance_Restante (avancé)</t>
  </si>
  <si>
    <t>Situation</t>
  </si>
  <si>
    <t>Déchargements (réception des camions)</t>
  </si>
  <si>
    <t>Une ligne = un camion déchargé. Saisissez la date, le N° du camion, le fournisseur, le produit, le poids pesé (kg) et le prix du kg (en général de 300 à 345 FCFA, réglable dans Listes). Le montant se calcule tout seul : poids × prix. Mettez le statut « Fait » seulement quand le camion est entièrement déchargé : seuls les camions « Fait » peuvent être payés. Colonnes grises = automatiques, ne pas écrire dedans. Les paiements sont imputés du camion le plus ancien au plus récent : gardez la liste dans l'ordre chronologique. Montants en FCFA. La ligne 5 est un exemple à supprimer.</t>
  </si>
  <si>
    <t>Date_Dechargement</t>
  </si>
  <si>
    <t>N_Camion</t>
  </si>
  <si>
    <t>Produit</t>
  </si>
  <si>
    <t>Poids_Kg</t>
  </si>
  <si>
    <t>Prix_Kg</t>
  </si>
  <si>
    <t>Montant_Total</t>
  </si>
  <si>
    <t>Statut_Dechargement</t>
  </si>
  <si>
    <t>Reste_A_Payer</t>
  </si>
  <si>
    <t>Situation_Paiement</t>
  </si>
  <si>
    <t>aide</t>
  </si>
  <si>
    <t>Shea Nut</t>
  </si>
  <si>
    <t>Fait</t>
  </si>
  <si>
    <t>Contrôle avant paiement d'un fournisseur</t>
  </si>
  <si>
    <t>À faire AVANT de valider un paiement fournisseur : choisissez le fournisseur et saisissez le montant que vous comptez payer (2 cellules jaunes). La feuille vérifie si les camions sont déchargés et dit si le paiement est couvert par les livraisons ou s'il s'agira d'une avance. Cette feuille ne modifie rien : le paiement s'enregistre ensuite dans Paiements.</t>
  </si>
  <si>
    <t>Montant à payer (FCFA)</t>
  </si>
  <si>
    <t>Ce que montrent les déchargements</t>
  </si>
  <si>
    <t>Camions déchargés (statut « Fait »)</t>
  </si>
  <si>
    <t>Poids déchargé (kg)</t>
  </si>
  <si>
    <t>Montant livré (camions déchargés)</t>
  </si>
  <si>
    <t>Camions pas encore déchargés (en cours / non fait)</t>
  </si>
  <si>
    <t>Montant de ces camions (non payable tant que non déchargé)</t>
  </si>
  <si>
    <t>Déjà payé</t>
  </si>
  <si>
    <t>Paiements déjà enregistrés « En attente »</t>
  </si>
  <si>
    <t>Reste à payer sur les livraisons déchargées (après paiements en attente)</t>
  </si>
  <si>
    <t>Avance déjà versée (pas encore couverte par des livraisons)</t>
  </si>
  <si>
    <t>Dépassement du paiement prévu (si positif = ce sera une avance)</t>
  </si>
  <si>
    <t>Décision</t>
  </si>
  <si>
    <t>Camions de ce fournisseur pas encore payés (à vérifier)</t>
  </si>
  <si>
    <t>N° camion</t>
  </si>
  <si>
    <t>Poids (kg)</t>
  </si>
  <si>
    <t>Déchargement</t>
  </si>
  <si>
    <t>Situation paiement</t>
  </si>
  <si>
    <t>Beneficiaires</t>
  </si>
  <si>
    <t>Types_Beneficiaire</t>
  </si>
  <si>
    <t>Domaines</t>
  </si>
  <si>
    <t>Modes_Paiement</t>
  </si>
  <si>
    <t>Comptes_Bancaires</t>
  </si>
  <si>
    <t>Statuts</t>
  </si>
  <si>
    <t>Produits</t>
  </si>
  <si>
    <t>Statuts_Dechargement</t>
  </si>
  <si>
    <t>Paramètres</t>
  </si>
  <si>
    <t>Valeur</t>
  </si>
  <si>
    <t>Prix minimum du kg (FCFA)</t>
  </si>
  <si>
    <t>Transitaire</t>
  </si>
  <si>
    <t>LOGISTIQUE</t>
  </si>
  <si>
    <t>Virement</t>
  </si>
  <si>
    <t>BIIC</t>
  </si>
  <si>
    <t>En cours</t>
  </si>
  <si>
    <t>Prix maximum du kg (FCFA)</t>
  </si>
  <si>
    <t>Salarié</t>
  </si>
  <si>
    <t>PRODUCTION</t>
  </si>
  <si>
    <t>Espèces</t>
  </si>
  <si>
    <t>BGFI</t>
  </si>
  <si>
    <t>Annulé</t>
  </si>
  <si>
    <t>Source : fourchette donnée par l'utilisateur (le prix du kg varie de 300 à 345 FCFA). Modifiable ici.</t>
  </si>
  <si>
    <t>Autre</t>
  </si>
  <si>
    <t>BANQUE</t>
  </si>
  <si>
    <t>Prélèvement</t>
  </si>
  <si>
    <t>Atlantique</t>
  </si>
  <si>
    <t>Caisse</t>
  </si>
  <si>
    <t>Comment utiliser cette feuille</t>
  </si>
  <si>
    <t>Ajoutez un nouvel élément en bas de la colonne concernée : il apparaît aussitôt dans les listes déroulantes. Ne laissez pas de ligne vide au milieu d'une colonne.</t>
  </si>
  <si>
    <t>Ne renommez pas les statuts « Payé », « En attente », « Annulé », « Fait » et « En cours » : les calculs les utilisent.</t>
  </si>
  <si>
    <t>La liste des fournisseurs ne se trouve pas ici : elle se saisit dans la feuille Fournisseurs.</t>
  </si>
  <si>
    <t>CODE FRS</t>
  </si>
  <si>
    <t>TCHANIGA SAMSON</t>
  </si>
  <si>
    <t>ISMAEL WASSIOU/ Mme ELISABETH</t>
  </si>
  <si>
    <t>BADAROU SAID</t>
  </si>
  <si>
    <t>ISMAEL WASSIOU</t>
  </si>
  <si>
    <t>ALLASSANE MARWANE</t>
  </si>
  <si>
    <t>VLAVONOU PIERRE</t>
  </si>
  <si>
    <t>BRISSO BIO ALIDOU</t>
  </si>
  <si>
    <t>HERVE KOBOLOU</t>
  </si>
  <si>
    <t>GOUDO DOSSOU ROMAIN</t>
  </si>
  <si>
    <t>COMLAN MAHOUSSE JOSPIN</t>
  </si>
  <si>
    <t>CHIGBLO FERDINAND</t>
  </si>
  <si>
    <t>ROLAND ADANHONDJI</t>
  </si>
  <si>
    <t>MENSAH DANIEL JOEL</t>
  </si>
  <si>
    <t>FIOGBE</t>
  </si>
  <si>
    <t>GBAGBE MATHIAS</t>
  </si>
  <si>
    <t>AHEGNI CASIMIR</t>
  </si>
  <si>
    <t>AHOSSI GABIN</t>
  </si>
  <si>
    <t>ODOUTAN OLANIRAN HAMED</t>
  </si>
  <si>
    <t>GOUNOU ELISABETH</t>
  </si>
  <si>
    <t>DOSSA MATHURIN</t>
  </si>
  <si>
    <t>NOEL DOLEME</t>
  </si>
  <si>
    <t>DAA-HINGBANON VIRGILE</t>
  </si>
  <si>
    <t>FAGRO SOUROU GILDAS</t>
  </si>
  <si>
    <t>MOISE YENAFO</t>
  </si>
  <si>
    <t>ASSOGBA LEON</t>
  </si>
  <si>
    <t>AZOGA ARMAND</t>
  </si>
  <si>
    <t>EDKO BUSINESS/ KOGNANNOU EDMOND</t>
  </si>
  <si>
    <t>TCHANIGA LEONARD</t>
  </si>
  <si>
    <t>AMAH SEIDOU</t>
  </si>
  <si>
    <t>ATACLE STEPHANE</t>
  </si>
  <si>
    <t>PROSPERE</t>
  </si>
  <si>
    <t>HASSANE SEYNI</t>
  </si>
  <si>
    <t>GODONOU CHARLES</t>
  </si>
  <si>
    <t>HOUNTON NICOLAS</t>
  </si>
  <si>
    <t>PANKAJ KUMAR</t>
  </si>
  <si>
    <t>ADANNON BLOND</t>
  </si>
  <si>
    <t>SABI SARA MAMADOU</t>
  </si>
  <si>
    <t>Mr LOUIS</t>
  </si>
  <si>
    <t>Mr MOMO</t>
  </si>
  <si>
    <t>HOUNDJREBO G.PAULETTE</t>
  </si>
  <si>
    <t>AKPAKPO NOURIDINE</t>
  </si>
  <si>
    <t>N’DOKPO IREMAN</t>
  </si>
  <si>
    <t>MONTCHO NOBERT</t>
  </si>
  <si>
    <t>WANGNANNON ABEL</t>
  </si>
  <si>
    <t>HOUEDANOU JUSTIN</t>
  </si>
  <si>
    <t>KOUMENOUGBO MARUIS</t>
  </si>
  <si>
    <t>AGUETON MATHIAS</t>
  </si>
  <si>
    <t>AMINOU KIKI</t>
  </si>
  <si>
    <t>AHEGNI HIPPOLYTE</t>
  </si>
  <si>
    <t>AGBESSADJI FERNAND</t>
  </si>
  <si>
    <t>Mme ROSE</t>
  </si>
  <si>
    <t>RAMDAN ADAM</t>
  </si>
  <si>
    <t>FRED MAKITA</t>
  </si>
  <si>
    <t>ASSOUNI WAHABOU</t>
  </si>
  <si>
    <t>ABDOU AZIZ</t>
  </si>
  <si>
    <t>FREEMAN</t>
  </si>
  <si>
    <t>KPADONOU SOUROU</t>
  </si>
  <si>
    <t>MM LEKKER</t>
  </si>
  <si>
    <t>MR MOUSSA</t>
  </si>
  <si>
    <t>MR TIDJANI</t>
  </si>
  <si>
    <t>YAROU BAGUIRI</t>
  </si>
  <si>
    <t>ALEXANDRE</t>
  </si>
  <si>
    <t>FRS00001</t>
  </si>
  <si>
    <t>FRS00002</t>
  </si>
  <si>
    <t>FRS00003</t>
  </si>
  <si>
    <t>FRS00004</t>
  </si>
  <si>
    <t>FRS00005</t>
  </si>
  <si>
    <t>FRS00006</t>
  </si>
  <si>
    <t>FRS00007</t>
  </si>
  <si>
    <t>FRS00008</t>
  </si>
  <si>
    <t>FRS00009</t>
  </si>
  <si>
    <t>FRS00010</t>
  </si>
  <si>
    <t>FRS00011</t>
  </si>
  <si>
    <t>FRS00012</t>
  </si>
  <si>
    <t>FRS00013</t>
  </si>
  <si>
    <t>FRS00014</t>
  </si>
  <si>
    <t>FRS00015</t>
  </si>
  <si>
    <t>FRS00016</t>
  </si>
  <si>
    <t>FRS00017</t>
  </si>
  <si>
    <t>FRS00018</t>
  </si>
  <si>
    <t>FRS00019</t>
  </si>
  <si>
    <t>FRS00020</t>
  </si>
  <si>
    <t>FRS00021</t>
  </si>
  <si>
    <t>FRS00022</t>
  </si>
  <si>
    <t>FRS00023</t>
  </si>
  <si>
    <t>FRS00024</t>
  </si>
  <si>
    <t>FRS00025</t>
  </si>
  <si>
    <t>FRS00026</t>
  </si>
  <si>
    <t>FRS00027</t>
  </si>
  <si>
    <t>FRS00028</t>
  </si>
  <si>
    <t>FRS00029</t>
  </si>
  <si>
    <t>FRS00030</t>
  </si>
  <si>
    <t>FRS00031</t>
  </si>
  <si>
    <t>FRS00032</t>
  </si>
  <si>
    <t>FRS00033</t>
  </si>
  <si>
    <t>FRS00034</t>
  </si>
  <si>
    <t>FRS00035</t>
  </si>
  <si>
    <t>FRS00036</t>
  </si>
  <si>
    <t>FRS00037</t>
  </si>
  <si>
    <t>FRS00038</t>
  </si>
  <si>
    <t>FRS00039</t>
  </si>
  <si>
    <t>FRS00040</t>
  </si>
  <si>
    <t>FRS00041</t>
  </si>
  <si>
    <t>FRS00042</t>
  </si>
  <si>
    <t>FRS00043</t>
  </si>
  <si>
    <t>FRS00044</t>
  </si>
  <si>
    <t>FRS00045</t>
  </si>
  <si>
    <t>FRS00046</t>
  </si>
  <si>
    <t>FRS00047</t>
  </si>
  <si>
    <t>FRS00048</t>
  </si>
  <si>
    <t>FRS00049</t>
  </si>
  <si>
    <t>FRS00050</t>
  </si>
  <si>
    <t>FRS00051</t>
  </si>
  <si>
    <t>FRS00052</t>
  </si>
  <si>
    <t>FRS00053</t>
  </si>
  <si>
    <t>FRS00054</t>
  </si>
  <si>
    <t>FRS00055</t>
  </si>
  <si>
    <t>FRS00056</t>
  </si>
  <si>
    <t>FRS00057</t>
  </si>
  <si>
    <t>FRS00058</t>
  </si>
  <si>
    <t>FRS00059</t>
  </si>
  <si>
    <t>FRS00060</t>
  </si>
  <si>
    <t>FRS00061</t>
  </si>
  <si>
    <t>FRS00062</t>
  </si>
  <si>
    <t>Beneficiaire/Fournisseur</t>
  </si>
  <si>
    <t>Type_Beneficiaire/Percepteurs</t>
  </si>
  <si>
    <t>Type d'Opération</t>
  </si>
  <si>
    <t>Description</t>
  </si>
  <si>
    <t>Adresse/Téléphone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</si>
</sst>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quot;-&quot;"/>
  </numFmts>
  <fonts count="16" x14ac:knownFonts="1">
    <font>
      <sz val="11"/>
      <color theme="1"/>
      <name val="Calibri"/>
      <family val="2"/>
      <scheme val="minor"/>
    </font>
    <font>
      <b/>
      <sz val="10"/>
      <color rgb="FFFFFFFF"/>
      <name val="Arial"/>
      <family val="2"/>
    </font>
    <font>
      <sz val="10"/>
      <name val="Arial"/>
      <family val="2"/>
    </font>
    <font>
      <b/>
      <sz val="10"/>
      <name val="Arial"/>
      <family val="2"/>
    </font>
    <font>
      <b/>
      <sz val="10"/>
      <color rgb="FF0000FF"/>
      <name val="Arial"/>
      <family val="2"/>
    </font>
    <font>
      <i/>
      <sz val="9"/>
      <color rgb="FF7F7F7F"/>
      <name val="Arial"/>
      <family val="2"/>
    </font>
    <font>
      <b/>
      <sz val="16"/>
      <color rgb="FF1F4E78"/>
      <name val="Arial"/>
      <family val="2"/>
    </font>
    <font>
      <i/>
      <sz val="10"/>
      <color rgb="FF404040"/>
      <name val="Arial"/>
      <family val="2"/>
    </font>
    <font>
      <b/>
      <sz val="16"/>
      <color rgb="FF375623"/>
      <name val="Arial"/>
      <family val="2"/>
    </font>
    <font>
      <sz val="8"/>
      <color rgb="FF7F7F7F"/>
      <name val="Arial"/>
      <family val="2"/>
    </font>
    <font>
      <b/>
      <sz val="10"/>
      <color rgb="FFC00000"/>
      <name val="Arial"/>
      <family val="2"/>
    </font>
    <font>
      <b/>
      <sz val="12"/>
      <color rgb="FF375623"/>
      <name val="Arial"/>
      <family val="2"/>
    </font>
    <font>
      <b/>
      <sz val="12"/>
      <name val="Arial"/>
      <family val="2"/>
    </font>
    <font>
      <i/>
      <sz val="10"/>
      <color rgb="FFC00000"/>
      <name val="Arial"/>
      <family val="2"/>
    </font>
    <font>
      <b/>
      <sz val="12"/>
      <color rgb="FF1F4E78"/>
      <name val="Arial"/>
      <family val="2"/>
    </font>
    <font>
      <sz val="8"/>
      <name val="Calibri"/>
      <family val="2"/>
      <scheme val="minor"/>
    </font>
  </fonts>
  <fills count="9">
    <fill>
      <patternFill patternType="none"/>
    </fill>
    <fill>
      <patternFill patternType="gray125"/>
    </fill>
    <fill>
      <patternFill patternType="solid">
        <fgColor rgb="FF1F4E78"/>
      </patternFill>
    </fill>
    <fill>
      <patternFill patternType="solid">
        <fgColor rgb="FFFFF2CC"/>
      </patternFill>
    </fill>
    <fill>
      <patternFill patternType="solid">
        <fgColor rgb="FF375623"/>
      </patternFill>
    </fill>
    <fill>
      <patternFill patternType="solid">
        <fgColor rgb="FF7F7F7F"/>
      </patternFill>
    </fill>
    <fill>
      <patternFill patternType="solid">
        <fgColor rgb="FFF2F2F2"/>
      </patternFill>
    </fill>
    <fill>
      <patternFill patternType="solid">
        <fgColor rgb="FFFFFF00"/>
        <bgColor indexed="64"/>
      </patternFill>
    </fill>
    <fill>
      <patternFill patternType="solid">
        <fgColor rgb="FF00B0F0"/>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0">
    <xf numFmtId="0" fontId="0" fillId="0" borderId="0" xfId="0"/>
    <xf numFmtId="0" fontId="6" fillId="0" borderId="0" xfId="0" applyFont="1"/>
    <xf numFmtId="0" fontId="1" fillId="2" borderId="1" xfId="0" applyFont="1" applyFill="1" applyBorder="1" applyAlignment="1">
      <alignment horizontal="center" vertical="center" wrapText="1"/>
    </xf>
    <xf numFmtId="14" fontId="2" fillId="0" borderId="0" xfId="0" applyNumberFormat="1" applyFont="1" applyAlignment="1">
      <alignment horizontal="center"/>
    </xf>
    <xf numFmtId="49" fontId="2" fillId="0" borderId="0" xfId="0" applyNumberFormat="1" applyFont="1"/>
    <xf numFmtId="0" fontId="2" fillId="0" borderId="0" xfId="0" applyFont="1"/>
    <xf numFmtId="3" fontId="2" fillId="0" borderId="0" xfId="0" applyNumberFormat="1" applyFont="1"/>
    <xf numFmtId="0" fontId="7" fillId="0" borderId="0" xfId="0" applyFont="1"/>
    <xf numFmtId="0" fontId="3" fillId="0" borderId="0" xfId="0" applyFont="1"/>
    <xf numFmtId="0" fontId="4" fillId="3" borderId="1" xfId="0" applyFont="1" applyFill="1" applyBorder="1" applyAlignment="1">
      <alignment horizontal="center"/>
    </xf>
    <xf numFmtId="0" fontId="5" fillId="0" borderId="0" xfId="0" applyFont="1"/>
    <xf numFmtId="0" fontId="3" fillId="6" borderId="1" xfId="0" applyFont="1" applyFill="1" applyBorder="1"/>
    <xf numFmtId="3" fontId="14" fillId="0" borderId="1" xfId="0" applyNumberFormat="1" applyFont="1" applyBorder="1"/>
    <xf numFmtId="0" fontId="14" fillId="0" borderId="0" xfId="0" applyFont="1"/>
    <xf numFmtId="0" fontId="2" fillId="0" borderId="1" xfId="0" applyFont="1" applyBorder="1"/>
    <xf numFmtId="164" fontId="2" fillId="0" borderId="1" xfId="0" applyNumberFormat="1" applyFont="1" applyBorder="1"/>
    <xf numFmtId="164" fontId="3" fillId="6" borderId="1" xfId="0" applyNumberFormat="1" applyFont="1" applyFill="1" applyBorder="1"/>
    <xf numFmtId="0" fontId="9" fillId="0" borderId="0" xfId="0" applyFont="1"/>
    <xf numFmtId="14" fontId="2" fillId="0" borderId="1" xfId="0" applyNumberFormat="1" applyFont="1" applyBorder="1" applyAlignment="1">
      <alignment horizontal="center"/>
    </xf>
    <xf numFmtId="3" fontId="2" fillId="0" borderId="1" xfId="0" applyNumberFormat="1" applyFont="1" applyBorder="1"/>
    <xf numFmtId="0" fontId="13" fillId="0" borderId="0" xfId="0" applyFont="1"/>
    <xf numFmtId="0" fontId="8" fillId="0" borderId="0" xfId="0" applyFont="1"/>
    <xf numFmtId="0" fontId="10" fillId="0" borderId="0" xfId="0" applyFont="1"/>
    <xf numFmtId="0" fontId="1" fillId="5" borderId="1" xfId="0" applyFont="1" applyFill="1" applyBorder="1" applyAlignment="1">
      <alignment horizontal="center" vertical="center" wrapText="1"/>
    </xf>
    <xf numFmtId="0" fontId="2" fillId="3" borderId="1" xfId="0" applyFont="1" applyFill="1" applyBorder="1"/>
    <xf numFmtId="0" fontId="2" fillId="0" borderId="1" xfId="0" applyFont="1" applyBorder="1" applyAlignment="1">
      <alignment horizontal="center"/>
    </xf>
    <xf numFmtId="0" fontId="1" fillId="4" borderId="1" xfId="0" applyFont="1" applyFill="1" applyBorder="1" applyAlignment="1">
      <alignment horizontal="center" vertical="center" wrapText="1"/>
    </xf>
    <xf numFmtId="49" fontId="2" fillId="0" borderId="1" xfId="0" applyNumberFormat="1" applyFont="1" applyBorder="1"/>
    <xf numFmtId="3" fontId="2" fillId="6" borderId="1" xfId="0" applyNumberFormat="1" applyFont="1" applyFill="1" applyBorder="1"/>
    <xf numFmtId="164" fontId="2" fillId="6" borderId="1" xfId="0" applyNumberFormat="1" applyFont="1" applyFill="1" applyBorder="1"/>
    <xf numFmtId="0" fontId="2" fillId="6" borderId="1" xfId="0" applyFont="1" applyFill="1" applyBorder="1"/>
    <xf numFmtId="0" fontId="4" fillId="3" borderId="1" xfId="0" applyFont="1" applyFill="1" applyBorder="1"/>
    <xf numFmtId="3" fontId="4" fillId="3" borderId="1" xfId="0" applyNumberFormat="1" applyFont="1" applyFill="1" applyBorder="1"/>
    <xf numFmtId="0" fontId="11" fillId="0" borderId="0" xfId="0" applyFont="1"/>
    <xf numFmtId="3" fontId="3" fillId="0" borderId="1" xfId="0" applyNumberFormat="1" applyFont="1" applyBorder="1"/>
    <xf numFmtId="164" fontId="3" fillId="0" borderId="1" xfId="0" applyNumberFormat="1" applyFont="1" applyBorder="1"/>
    <xf numFmtId="0" fontId="3" fillId="0" borderId="1" xfId="0" applyFont="1" applyBorder="1"/>
    <xf numFmtId="0" fontId="5" fillId="0" borderId="0" xfId="0" applyFont="1" applyAlignment="1">
      <alignment vertical="top" wrapText="1"/>
    </xf>
    <xf numFmtId="0" fontId="2" fillId="0" borderId="0" xfId="0" applyFont="1" applyAlignment="1">
      <alignment vertical="top" wrapText="1"/>
    </xf>
    <xf numFmtId="0" fontId="7" fillId="3" borderId="0" xfId="0" applyFont="1" applyFill="1" applyAlignment="1">
      <alignment vertical="top" wrapText="1"/>
    </xf>
    <xf numFmtId="0" fontId="11" fillId="7" borderId="0" xfId="0" applyFont="1" applyFill="1"/>
    <xf numFmtId="0" fontId="12" fillId="0" borderId="2" xfId="0" applyFont="1" applyBorder="1" applyAlignment="1">
      <alignment vertical="center" wrapText="1"/>
    </xf>
    <xf numFmtId="0" fontId="0" fillId="0" borderId="3" xfId="0" applyBorder="1"/>
    <xf numFmtId="0" fontId="0" fillId="0" borderId="4" xfId="0" applyBorder="1"/>
    <xf numFmtId="0" fontId="7" fillId="3" borderId="0" xfId="0" applyFont="1" applyFill="1" applyAlignment="1">
      <alignment vertical="top" wrapText="1"/>
    </xf>
    <xf numFmtId="0" fontId="0" fillId="0" borderId="0" xfId="0"/>
    <xf numFmtId="0" fontId="0" fillId="0" borderId="0" xfId="0" applyAlignment="1"/>
    <xf numFmtId="0" fontId="3" fillId="8" borderId="1" xfId="0" applyFont="1" applyFill="1" applyBorder="1"/>
    <xf numFmtId="164" fontId="3" fillId="8" borderId="1" xfId="0" applyNumberFormat="1" applyFont="1" applyFill="1" applyBorder="1"/>
    <xf numFmtId="0" fontId="2" fillId="0" borderId="1" xfId="0" applyFont="1" applyBorder="1" applyAlignment="1">
      <alignment horizontal="left" vertical="center"/>
    </xf>
  </cellXfs>
  <cellStyles count="1">
    <cellStyle name="Normal" xfId="0" builtinId="0"/>
  </cellStyles>
  <dxfs count="23">
    <dxf>
      <font>
        <color rgb="FF7F7F7F"/>
        <name val="Arial"/>
      </font>
      <fill>
        <patternFill patternType="solid">
          <bgColor rgb="FFF2F2F2"/>
        </patternFill>
      </fill>
    </dxf>
    <dxf>
      <font>
        <color rgb="FF9C0006"/>
        <name val="Arial"/>
      </font>
      <fill>
        <patternFill patternType="solid">
          <bgColor rgb="FFF8CBAD"/>
        </patternFill>
      </fill>
    </dxf>
    <dxf>
      <font>
        <color rgb="FF833C0B"/>
        <name val="Arial"/>
      </font>
      <fill>
        <patternFill patternType="solid">
          <bgColor rgb="FFFCE4D6"/>
        </patternFill>
      </fill>
    </dxf>
    <dxf>
      <font>
        <color rgb="FF9C5700"/>
        <name val="Arial"/>
      </font>
      <fill>
        <patternFill patternType="solid">
          <bgColor rgb="FFFFEB9C"/>
        </patternFill>
      </fill>
    </dxf>
    <dxf>
      <font>
        <color rgb="FF006100"/>
        <name val="Arial"/>
      </font>
      <fill>
        <patternFill patternType="solid">
          <bgColor rgb="FFC6EFCE"/>
        </patternFill>
      </fill>
    </dxf>
    <dxf>
      <font>
        <color rgb="FF7F7F7F"/>
        <name val="Arial"/>
      </font>
      <fill>
        <patternFill patternType="solid">
          <bgColor rgb="FFF2F2F2"/>
        </patternFill>
      </fill>
    </dxf>
    <dxf>
      <font>
        <color rgb="FF9C5700"/>
        <name val="Arial"/>
      </font>
      <fill>
        <patternFill patternType="solid">
          <bgColor rgb="FFFFEB9C"/>
        </patternFill>
      </fill>
    </dxf>
    <dxf>
      <font>
        <color rgb="FF006100"/>
        <name val="Arial"/>
      </font>
      <fill>
        <patternFill patternType="solid">
          <bgColor rgb="FFC6EFCE"/>
        </patternFill>
      </fill>
    </dxf>
    <dxf>
      <font>
        <color rgb="FF006100"/>
        <name val="Arial"/>
      </font>
      <fill>
        <patternFill patternType="solid">
          <bgColor rgb="FFC6EFCE"/>
        </patternFill>
      </fill>
    </dxf>
    <dxf>
      <font>
        <color rgb="FF1F4E78"/>
        <name val="Arial"/>
      </font>
      <fill>
        <patternFill patternType="solid">
          <bgColor rgb="FFBDD7EE"/>
        </patternFill>
      </fill>
    </dxf>
    <dxf>
      <font>
        <color rgb="FF9C5700"/>
        <name val="Arial"/>
      </font>
      <fill>
        <patternFill patternType="solid">
          <bgColor rgb="FFFFEB9C"/>
        </patternFill>
      </fill>
    </dxf>
    <dxf>
      <font>
        <color rgb="FF7F7F7F"/>
        <name val="Arial"/>
      </font>
      <fill>
        <patternFill patternType="solid">
          <bgColor rgb="FFF2F2F2"/>
        </patternFill>
      </fill>
    </dxf>
    <dxf>
      <font>
        <color rgb="FF9C5700"/>
        <name val="Arial"/>
      </font>
      <fill>
        <patternFill patternType="solid">
          <bgColor rgb="FFFFEB9C"/>
        </patternFill>
      </fill>
    </dxf>
    <dxf>
      <font>
        <color rgb="FF006100"/>
        <name val="Arial"/>
      </font>
      <fill>
        <patternFill patternType="solid">
          <bgColor rgb="FFC6EFCE"/>
        </patternFill>
      </fill>
    </dxf>
    <dxf>
      <font>
        <color rgb="FF9C0006"/>
        <name val="Arial"/>
      </font>
      <fill>
        <patternFill patternType="solid">
          <bgColor rgb="FFF8CBAD"/>
        </patternFill>
      </fill>
    </dxf>
    <dxf>
      <font>
        <color rgb="FF833C0B"/>
        <name val="Arial"/>
      </font>
      <fill>
        <patternFill patternType="solid">
          <bgColor rgb="FFFCE4D6"/>
        </patternFill>
      </fill>
    </dxf>
    <dxf>
      <font>
        <color rgb="FF9C5700"/>
        <name val="Arial"/>
      </font>
      <fill>
        <patternFill patternType="solid">
          <bgColor rgb="FFFFEB9C"/>
        </patternFill>
      </fill>
    </dxf>
    <dxf>
      <font>
        <color rgb="FF9C5700"/>
        <name val="Arial"/>
      </font>
      <fill>
        <patternFill patternType="solid">
          <bgColor rgb="FFFFEB9C"/>
        </patternFill>
      </fill>
    </dxf>
    <dxf>
      <font>
        <color rgb="FF006100"/>
        <name val="Arial"/>
      </font>
      <fill>
        <patternFill patternType="solid">
          <bgColor rgb="FFC6EFCE"/>
        </patternFill>
      </fill>
    </dxf>
    <dxf>
      <font>
        <b/>
        <color rgb="FF9C5700"/>
        <name val="Arial"/>
      </font>
      <fill>
        <patternFill patternType="solid">
          <bgColor rgb="FFFFEB9C"/>
        </patternFill>
      </fill>
    </dxf>
    <dxf>
      <font>
        <b/>
        <color rgb="FF006100"/>
        <name val="Arial"/>
      </font>
      <fill>
        <patternFill patternType="solid">
          <bgColor rgb="FFC6EFCE"/>
        </patternFill>
      </fil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s>
  <tableStyles count="1" defaultTableStyle="TableStyleMedium9" defaultPivotStyle="PivotStyleLight16">
    <tableStyle name="Invisible" pivot="0" table="0" count="0" xr9:uid="{DD57D84A-528B-43B8-B243-22CC3F4EF3C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Paiements" displayName="Tbl_Paiements" ref="A4:M6">
  <autoFilter ref="A4:M6" xr:uid="{00000000-0009-0000-0100-000001000000}"/>
  <tableColumns count="13">
    <tableColumn id="1" xr3:uid="{00000000-0010-0000-0000-000001000000}" name="Date_Paiement"/>
    <tableColumn id="2" xr3:uid="{00000000-0010-0000-0000-000002000000}" name="N_Piece"/>
    <tableColumn id="3" xr3:uid="{00000000-0010-0000-0000-000003000000}" name="Beneficiaire/Fournisseur"/>
    <tableColumn id="4" xr3:uid="{00000000-0010-0000-0000-000004000000}" name="Type_Beneficiaire/Percepteurs"/>
    <tableColumn id="18" xr3:uid="{546B00C4-6C79-44D1-9B2A-F2A6C05E6599}" name="Adresse/Téléphone" dataDxfId="21"/>
    <tableColumn id="5" xr3:uid="{00000000-0010-0000-0000-000005000000}" name="Description"/>
    <tableColumn id="6" xr3:uid="{00000000-0010-0000-0000-000006000000}" name="Type d'Opération"/>
    <tableColumn id="17" xr3:uid="{26924896-B064-4817-8090-3FFF2F4D0AE0}" name="Domaine" dataDxfId="22"/>
    <tableColumn id="7" xr3:uid="{00000000-0010-0000-0000-000007000000}" name="Montant"/>
    <tableColumn id="8" xr3:uid="{00000000-0010-0000-0000-000008000000}" name="Mode_Paiement"/>
    <tableColumn id="9" xr3:uid="{00000000-0010-0000-0000-000009000000}" name="Compte_Bancaire"/>
    <tableColumn id="10" xr3:uid="{00000000-0010-0000-0000-00000A000000}" name="Statut"/>
    <tableColumn id="11" xr3:uid="{00000000-0010-0000-0000-00000B000000}" name="Observat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75623"/>
    <pageSetUpPr fitToPage="1"/>
  </sheetPr>
  <dimension ref="A1:H44"/>
  <sheetViews>
    <sheetView showGridLines="0" workbookViewId="0">
      <selection activeCell="B4" sqref="B4"/>
    </sheetView>
  </sheetViews>
  <sheetFormatPr baseColWidth="10" defaultColWidth="8.7265625" defaultRowHeight="14.5" x14ac:dyDescent="0.35"/>
  <cols>
    <col min="1" max="1" width="58" customWidth="1"/>
    <col min="2" max="2" width="22" customWidth="1"/>
    <col min="3" max="3" width="14" customWidth="1"/>
    <col min="4" max="5" width="16" customWidth="1"/>
    <col min="6" max="6" width="34" customWidth="1"/>
    <col min="8" max="8" width="13" hidden="1" customWidth="1"/>
  </cols>
  <sheetData>
    <row r="1" spans="1:6" ht="20" x14ac:dyDescent="0.4">
      <c r="A1" s="21" t="s">
        <v>67</v>
      </c>
    </row>
    <row r="2" spans="1:6" ht="50" hidden="1" customHeight="1" x14ac:dyDescent="0.35">
      <c r="A2" s="44" t="s">
        <v>68</v>
      </c>
      <c r="B2" s="45"/>
      <c r="C2" s="45"/>
      <c r="D2" s="45"/>
      <c r="E2" s="45"/>
      <c r="F2" s="45"/>
    </row>
    <row r="4" spans="1:6" x14ac:dyDescent="0.35">
      <c r="A4" s="8" t="s">
        <v>11</v>
      </c>
      <c r="B4" s="31"/>
    </row>
    <row r="5" spans="1:6" x14ac:dyDescent="0.35">
      <c r="A5" s="8" t="s">
        <v>69</v>
      </c>
      <c r="B5" s="32"/>
    </row>
    <row r="7" spans="1:6" ht="15.5" x14ac:dyDescent="0.35">
      <c r="A7" s="40" t="s">
        <v>70</v>
      </c>
    </row>
    <row r="8" spans="1:6" x14ac:dyDescent="0.35">
      <c r="A8" s="30" t="s">
        <v>71</v>
      </c>
      <c r="B8" s="34" t="str">
        <f>IF($B$4="","",COUNTIFS(Dechargements!$C$5:$C$1002,$B$4,Dechargements!$H$5:$H$1002,"Fait"))</f>
        <v/>
      </c>
    </row>
    <row r="9" spans="1:6" x14ac:dyDescent="0.35">
      <c r="A9" s="30" t="s">
        <v>72</v>
      </c>
      <c r="B9" s="34" t="str">
        <f>IF($B$4="","",SUMIFS(Dechargements!$E$5:$E$1002,Dechargements!$C$5:$C$1002,$B$4,Dechargements!$H$5:$H$1002,"Fait"))</f>
        <v/>
      </c>
    </row>
    <row r="10" spans="1:6" x14ac:dyDescent="0.35">
      <c r="A10" s="30" t="s">
        <v>73</v>
      </c>
      <c r="B10" s="34" t="str">
        <f>IF($B$4="","",SUMIFS(Dechargements!$G$5:$G$1002,Dechargements!$C$5:$C$1002,$B$4,Dechargements!$H$5:$H$1002,"Fait"))</f>
        <v/>
      </c>
    </row>
    <row r="11" spans="1:6" x14ac:dyDescent="0.35">
      <c r="A11" s="30" t="s">
        <v>74</v>
      </c>
      <c r="B11" s="34" t="str">
        <f>IF($B$4="","",COUNTIFS(Dechargements!$C$5:$C$1002,$B$4)-$B$8-COUNTIFS(Dechargements!$C$5:$C$1002,$B$4,Dechargements!$H$5:$H$1002,"Annulé"))</f>
        <v/>
      </c>
    </row>
    <row r="12" spans="1:6" x14ac:dyDescent="0.35">
      <c r="A12" s="30" t="s">
        <v>75</v>
      </c>
      <c r="B12" s="34" t="str">
        <f>IF($B$4="","",SUMIFS(Dechargements!$G$5:$G$1002,Dechargements!$C$5:$C$1002,$B$4)-$B$10-SUMIFS(Dechargements!$G$5:$G$1002,Dechargements!$C$5:$C$1002,$B$4,Dechargements!$H$5:$H$1002,"Annulé"))</f>
        <v/>
      </c>
    </row>
    <row r="13" spans="1:6" x14ac:dyDescent="0.35">
      <c r="A13" s="30" t="s">
        <v>76</v>
      </c>
      <c r="B13" s="34" t="str">
        <f>IF($B$4="","",SUMIFS(Paiements!$I$5:$I$2000,Paiements!$C$5:$C$2000,$B$4,Paiements!$L$5:$L$2000,"Payé"))</f>
        <v/>
      </c>
    </row>
    <row r="14" spans="1:6" x14ac:dyDescent="0.35">
      <c r="A14" s="30" t="s">
        <v>77</v>
      </c>
      <c r="B14" s="34" t="str">
        <f>IF($B$4="","",SUMIFS(Paiements!$I$5:$I$2000,Paiements!$C$5:$C$2000,$B$4,Paiements!$L$5:$L$2000,"En attente"))</f>
        <v/>
      </c>
    </row>
    <row r="15" spans="1:6" x14ac:dyDescent="0.35">
      <c r="A15" s="30" t="s">
        <v>78</v>
      </c>
      <c r="B15" s="34" t="str">
        <f>IF($B$4="","",MAX(0,$B$10-$B$13-$B$14))</f>
        <v/>
      </c>
    </row>
    <row r="16" spans="1:6" x14ac:dyDescent="0.35">
      <c r="A16" s="30" t="s">
        <v>79</v>
      </c>
      <c r="B16" s="34" t="str">
        <f>IF($B$4="","",MAX(0,$B$13-$B$10))</f>
        <v/>
      </c>
    </row>
    <row r="17" spans="1:8" x14ac:dyDescent="0.35">
      <c r="A17" s="30" t="s">
        <v>80</v>
      </c>
      <c r="B17" s="35" t="str">
        <f>IF(OR($B$4="",$B$5=""),"",$B$5-$B$15)</f>
        <v/>
      </c>
    </row>
    <row r="19" spans="1:8" ht="16" thickBot="1" x14ac:dyDescent="0.4">
      <c r="A19" s="33" t="s">
        <v>81</v>
      </c>
    </row>
    <row r="20" spans="1:8" ht="48" customHeight="1" thickBot="1" x14ac:dyDescent="0.4">
      <c r="A20" s="41" t="str">
        <f>IF($B$4="","Choisissez un fournisseur (cellule jaune).",IF(OR($B$5="",$B$5&lt;=0),"Saisissez le montant à payer (cellule jaune).",IF($B$5&lt;=$B$15,"AUTORISÉ : camions déchargés, le montant est couvert par les livraisons non payées.","ATTENTION : ce paiement dépasse les livraisons déchargées non payées"&amp;IF($B$11&gt;0," ("&amp;$B$11&amp;" camion(s) pas encore déchargé(s))","")&amp;". Ce serait une AVANCE : validation du responsable nécessaire.")))</f>
        <v>Choisissez un fournisseur (cellule jaune).</v>
      </c>
      <c r="B20" s="42"/>
      <c r="C20" s="42"/>
      <c r="D20" s="42"/>
      <c r="E20" s="42"/>
      <c r="F20" s="43"/>
    </row>
    <row r="22" spans="1:8" ht="15.5" x14ac:dyDescent="0.35">
      <c r="A22" s="33" t="s">
        <v>82</v>
      </c>
    </row>
    <row r="23" spans="1:8" x14ac:dyDescent="0.35">
      <c r="A23" s="26" t="s">
        <v>37</v>
      </c>
      <c r="B23" s="26" t="s">
        <v>83</v>
      </c>
      <c r="C23" s="26" t="s">
        <v>84</v>
      </c>
      <c r="D23" s="26" t="s">
        <v>6</v>
      </c>
      <c r="E23" s="26" t="s">
        <v>85</v>
      </c>
      <c r="F23" s="26" t="s">
        <v>86</v>
      </c>
    </row>
    <row r="24" spans="1:8" x14ac:dyDescent="0.35">
      <c r="A24" s="18" t="str">
        <f>IF($H24="","",INDEX(Dechargements!$A$5:$A$1002,$H24))</f>
        <v/>
      </c>
      <c r="B24" s="14" t="str">
        <f>IF($H24="","",INDEX(Dechargements!$B$5:$B$1002,$H24))</f>
        <v/>
      </c>
      <c r="C24" s="19" t="str">
        <f>IF($H24="","",INDEX(Dechargements!$E$5:$E$1002,$H24))</f>
        <v/>
      </c>
      <c r="D24" s="19" t="str">
        <f>IF($H24="","",INDEX(Dechargements!$G$5:$G$1002,$H24))</f>
        <v/>
      </c>
      <c r="E24" s="14" t="str">
        <f>IF($H24="","",INDEX(Dechargements!$H$5:$H$1002,$H24))</f>
        <v/>
      </c>
      <c r="F24" s="14" t="str">
        <f>IF($H24="","",INDEX(Dechargements!$J$5:$J$1002,$H24))</f>
        <v/>
      </c>
      <c r="H24" s="17" t="str">
        <f>IF($B$4="","",IFERROR(MATCH(1,Dechargements!$L$5:$L$1002,0),""))</f>
        <v/>
      </c>
    </row>
    <row r="25" spans="1:8" x14ac:dyDescent="0.35">
      <c r="A25" s="18" t="str">
        <f>IF($H25="","",INDEX(Dechargements!$A$5:$A$1002,$H25))</f>
        <v/>
      </c>
      <c r="B25" s="14" t="str">
        <f>IF($H25="","",INDEX(Dechargements!$B$5:$B$1002,$H25))</f>
        <v/>
      </c>
      <c r="C25" s="19" t="str">
        <f>IF($H25="","",INDEX(Dechargements!$E$5:$E$1002,$H25))</f>
        <v/>
      </c>
      <c r="D25" s="19" t="str">
        <f>IF($H25="","",INDEX(Dechargements!$G$5:$G$1002,$H25))</f>
        <v/>
      </c>
      <c r="E25" s="14" t="str">
        <f>IF($H25="","",INDEX(Dechargements!$H$5:$H$1002,$H25))</f>
        <v/>
      </c>
      <c r="F25" s="14" t="str">
        <f>IF($H25="","",INDEX(Dechargements!$J$5:$J$1002,$H25))</f>
        <v/>
      </c>
      <c r="H25" s="17" t="str">
        <f>IF($H24="","",IFERROR($H24+MATCH(1,INDEX(Dechargements!$L$5:$L$1002,$H24+1):INDEX(Dechargements!$L$5:$L$1002,1000),0),""))</f>
        <v/>
      </c>
    </row>
    <row r="26" spans="1:8" x14ac:dyDescent="0.35">
      <c r="A26" s="18" t="str">
        <f>IF($H26="","",INDEX(Dechargements!$A$5:$A$1002,$H26))</f>
        <v/>
      </c>
      <c r="B26" s="14" t="str">
        <f>IF($H26="","",INDEX(Dechargements!$B$5:$B$1002,$H26))</f>
        <v/>
      </c>
      <c r="C26" s="19" t="str">
        <f>IF($H26="","",INDEX(Dechargements!$E$5:$E$1002,$H26))</f>
        <v/>
      </c>
      <c r="D26" s="19" t="str">
        <f>IF($H26="","",INDEX(Dechargements!$G$5:$G$1002,$H26))</f>
        <v/>
      </c>
      <c r="E26" s="14" t="str">
        <f>IF($H26="","",INDEX(Dechargements!$H$5:$H$1002,$H26))</f>
        <v/>
      </c>
      <c r="F26" s="14" t="str">
        <f>IF($H26="","",INDEX(Dechargements!$J$5:$J$1002,$H26))</f>
        <v/>
      </c>
      <c r="H26" s="17" t="str">
        <f>IF($H25="","",IFERROR($H25+MATCH(1,INDEX(Dechargements!$L$5:$L$1002,$H25+1):INDEX(Dechargements!$L$5:$L$1002,1000),0),""))</f>
        <v/>
      </c>
    </row>
    <row r="27" spans="1:8" x14ac:dyDescent="0.35">
      <c r="A27" s="18" t="str">
        <f>IF($H27="","",INDEX(Dechargements!$A$5:$A$1002,$H27))</f>
        <v/>
      </c>
      <c r="B27" s="14" t="str">
        <f>IF($H27="","",INDEX(Dechargements!$B$5:$B$1002,$H27))</f>
        <v/>
      </c>
      <c r="C27" s="19" t="str">
        <f>IF($H27="","",INDEX(Dechargements!$E$5:$E$1002,$H27))</f>
        <v/>
      </c>
      <c r="D27" s="19" t="str">
        <f>IF($H27="","",INDEX(Dechargements!$G$5:$G$1002,$H27))</f>
        <v/>
      </c>
      <c r="E27" s="14" t="str">
        <f>IF($H27="","",INDEX(Dechargements!$H$5:$H$1002,$H27))</f>
        <v/>
      </c>
      <c r="F27" s="14" t="str">
        <f>IF($H27="","",INDEX(Dechargements!$J$5:$J$1002,$H27))</f>
        <v/>
      </c>
      <c r="H27" s="17" t="str">
        <f>IF($H26="","",IFERROR($H26+MATCH(1,INDEX(Dechargements!$L$5:$L$1002,$H26+1):INDEX(Dechargements!$L$5:$L$1002,1000),0),""))</f>
        <v/>
      </c>
    </row>
    <row r="28" spans="1:8" x14ac:dyDescent="0.35">
      <c r="A28" s="18" t="str">
        <f>IF($H28="","",INDEX(Dechargements!$A$5:$A$1002,$H28))</f>
        <v/>
      </c>
      <c r="B28" s="14" t="str">
        <f>IF($H28="","",INDEX(Dechargements!$B$5:$B$1002,$H28))</f>
        <v/>
      </c>
      <c r="C28" s="19" t="str">
        <f>IF($H28="","",INDEX(Dechargements!$E$5:$E$1002,$H28))</f>
        <v/>
      </c>
      <c r="D28" s="19" t="str">
        <f>IF($H28="","",INDEX(Dechargements!$G$5:$G$1002,$H28))</f>
        <v/>
      </c>
      <c r="E28" s="14" t="str">
        <f>IF($H28="","",INDEX(Dechargements!$H$5:$H$1002,$H28))</f>
        <v/>
      </c>
      <c r="F28" s="14" t="str">
        <f>IF($H28="","",INDEX(Dechargements!$J$5:$J$1002,$H28))</f>
        <v/>
      </c>
      <c r="H28" s="17" t="str">
        <f>IF($H27="","",IFERROR($H27+MATCH(1,INDEX(Dechargements!$L$5:$L$1002,$H27+1):INDEX(Dechargements!$L$5:$L$1002,1000),0),""))</f>
        <v/>
      </c>
    </row>
    <row r="29" spans="1:8" x14ac:dyDescent="0.35">
      <c r="A29" s="18" t="str">
        <f>IF($H29="","",INDEX(Dechargements!$A$5:$A$1002,$H29))</f>
        <v/>
      </c>
      <c r="B29" s="14" t="str">
        <f>IF($H29="","",INDEX(Dechargements!$B$5:$B$1002,$H29))</f>
        <v/>
      </c>
      <c r="C29" s="19" t="str">
        <f>IF($H29="","",INDEX(Dechargements!$E$5:$E$1002,$H29))</f>
        <v/>
      </c>
      <c r="D29" s="19" t="str">
        <f>IF($H29="","",INDEX(Dechargements!$G$5:$G$1002,$H29))</f>
        <v/>
      </c>
      <c r="E29" s="14" t="str">
        <f>IF($H29="","",INDEX(Dechargements!$H$5:$H$1002,$H29))</f>
        <v/>
      </c>
      <c r="F29" s="14" t="str">
        <f>IF($H29="","",INDEX(Dechargements!$J$5:$J$1002,$H29))</f>
        <v/>
      </c>
      <c r="H29" s="17" t="str">
        <f>IF($H28="","",IFERROR($H28+MATCH(1,INDEX(Dechargements!$L$5:$L$1002,$H28+1):INDEX(Dechargements!$L$5:$L$1002,1000),0),""))</f>
        <v/>
      </c>
    </row>
    <row r="30" spans="1:8" x14ac:dyDescent="0.35">
      <c r="A30" s="18" t="str">
        <f>IF($H30="","",INDEX(Dechargements!$A$5:$A$1002,$H30))</f>
        <v/>
      </c>
      <c r="B30" s="14" t="str">
        <f>IF($H30="","",INDEX(Dechargements!$B$5:$B$1002,$H30))</f>
        <v/>
      </c>
      <c r="C30" s="19" t="str">
        <f>IF($H30="","",INDEX(Dechargements!$E$5:$E$1002,$H30))</f>
        <v/>
      </c>
      <c r="D30" s="19" t="str">
        <f>IF($H30="","",INDEX(Dechargements!$G$5:$G$1002,$H30))</f>
        <v/>
      </c>
      <c r="E30" s="14" t="str">
        <f>IF($H30="","",INDEX(Dechargements!$H$5:$H$1002,$H30))</f>
        <v/>
      </c>
      <c r="F30" s="14" t="str">
        <f>IF($H30="","",INDEX(Dechargements!$J$5:$J$1002,$H30))</f>
        <v/>
      </c>
      <c r="H30" s="17" t="str">
        <f>IF($H29="","",IFERROR($H29+MATCH(1,INDEX(Dechargements!$L$5:$L$1002,$H29+1):INDEX(Dechargements!$L$5:$L$1002,1000),0),""))</f>
        <v/>
      </c>
    </row>
    <row r="31" spans="1:8" x14ac:dyDescent="0.35">
      <c r="A31" s="18" t="str">
        <f>IF($H31="","",INDEX(Dechargements!$A$5:$A$1002,$H31))</f>
        <v/>
      </c>
      <c r="B31" s="14" t="str">
        <f>IF($H31="","",INDEX(Dechargements!$B$5:$B$1002,$H31))</f>
        <v/>
      </c>
      <c r="C31" s="19" t="str">
        <f>IF($H31="","",INDEX(Dechargements!$E$5:$E$1002,$H31))</f>
        <v/>
      </c>
      <c r="D31" s="19" t="str">
        <f>IF($H31="","",INDEX(Dechargements!$G$5:$G$1002,$H31))</f>
        <v/>
      </c>
      <c r="E31" s="14" t="str">
        <f>IF($H31="","",INDEX(Dechargements!$H$5:$H$1002,$H31))</f>
        <v/>
      </c>
      <c r="F31" s="14" t="str">
        <f>IF($H31="","",INDEX(Dechargements!$J$5:$J$1002,$H31))</f>
        <v/>
      </c>
      <c r="H31" s="17" t="str">
        <f>IF($H30="","",IFERROR($H30+MATCH(1,INDEX(Dechargements!$L$5:$L$1002,$H30+1):INDEX(Dechargements!$L$5:$L$1002,1000),0),""))</f>
        <v/>
      </c>
    </row>
    <row r="32" spans="1:8" x14ac:dyDescent="0.35">
      <c r="A32" s="18" t="str">
        <f>IF($H32="","",INDEX(Dechargements!$A$5:$A$1002,$H32))</f>
        <v/>
      </c>
      <c r="B32" s="14" t="str">
        <f>IF($H32="","",INDEX(Dechargements!$B$5:$B$1002,$H32))</f>
        <v/>
      </c>
      <c r="C32" s="19" t="str">
        <f>IF($H32="","",INDEX(Dechargements!$E$5:$E$1002,$H32))</f>
        <v/>
      </c>
      <c r="D32" s="19" t="str">
        <f>IF($H32="","",INDEX(Dechargements!$G$5:$G$1002,$H32))</f>
        <v/>
      </c>
      <c r="E32" s="14" t="str">
        <f>IF($H32="","",INDEX(Dechargements!$H$5:$H$1002,$H32))</f>
        <v/>
      </c>
      <c r="F32" s="14" t="str">
        <f>IF($H32="","",INDEX(Dechargements!$J$5:$J$1002,$H32))</f>
        <v/>
      </c>
      <c r="H32" s="17" t="str">
        <f>IF($H31="","",IFERROR($H31+MATCH(1,INDEX(Dechargements!$L$5:$L$1002,$H31+1):INDEX(Dechargements!$L$5:$L$1002,1000),0),""))</f>
        <v/>
      </c>
    </row>
    <row r="33" spans="1:8" x14ac:dyDescent="0.35">
      <c r="A33" s="18" t="str">
        <f>IF($H33="","",INDEX(Dechargements!$A$5:$A$1002,$H33))</f>
        <v/>
      </c>
      <c r="B33" s="14" t="str">
        <f>IF($H33="","",INDEX(Dechargements!$B$5:$B$1002,$H33))</f>
        <v/>
      </c>
      <c r="C33" s="19" t="str">
        <f>IF($H33="","",INDEX(Dechargements!$E$5:$E$1002,$H33))</f>
        <v/>
      </c>
      <c r="D33" s="19" t="str">
        <f>IF($H33="","",INDEX(Dechargements!$G$5:$G$1002,$H33))</f>
        <v/>
      </c>
      <c r="E33" s="14" t="str">
        <f>IF($H33="","",INDEX(Dechargements!$H$5:$H$1002,$H33))</f>
        <v/>
      </c>
      <c r="F33" s="14" t="str">
        <f>IF($H33="","",INDEX(Dechargements!$J$5:$J$1002,$H33))</f>
        <v/>
      </c>
      <c r="H33" s="17" t="str">
        <f>IF($H32="","",IFERROR($H32+MATCH(1,INDEX(Dechargements!$L$5:$L$1002,$H32+1):INDEX(Dechargements!$L$5:$L$1002,1000),0),""))</f>
        <v/>
      </c>
    </row>
    <row r="34" spans="1:8" x14ac:dyDescent="0.35">
      <c r="A34" s="18" t="str">
        <f>IF($H34="","",INDEX(Dechargements!$A$5:$A$1002,$H34))</f>
        <v/>
      </c>
      <c r="B34" s="14" t="str">
        <f>IF($H34="","",INDEX(Dechargements!$B$5:$B$1002,$H34))</f>
        <v/>
      </c>
      <c r="C34" s="19" t="str">
        <f>IF($H34="","",INDEX(Dechargements!$E$5:$E$1002,$H34))</f>
        <v/>
      </c>
      <c r="D34" s="19" t="str">
        <f>IF($H34="","",INDEX(Dechargements!$G$5:$G$1002,$H34))</f>
        <v/>
      </c>
      <c r="E34" s="14" t="str">
        <f>IF($H34="","",INDEX(Dechargements!$H$5:$H$1002,$H34))</f>
        <v/>
      </c>
      <c r="F34" s="14" t="str">
        <f>IF($H34="","",INDEX(Dechargements!$J$5:$J$1002,$H34))</f>
        <v/>
      </c>
      <c r="H34" s="17" t="str">
        <f>IF($H33="","",IFERROR($H33+MATCH(1,INDEX(Dechargements!$L$5:$L$1002,$H33+1):INDEX(Dechargements!$L$5:$L$1002,1000),0),""))</f>
        <v/>
      </c>
    </row>
    <row r="35" spans="1:8" x14ac:dyDescent="0.35">
      <c r="A35" s="18" t="str">
        <f>IF($H35="","",INDEX(Dechargements!$A$5:$A$1002,$H35))</f>
        <v/>
      </c>
      <c r="B35" s="14" t="str">
        <f>IF($H35="","",INDEX(Dechargements!$B$5:$B$1002,$H35))</f>
        <v/>
      </c>
      <c r="C35" s="19" t="str">
        <f>IF($H35="","",INDEX(Dechargements!$E$5:$E$1002,$H35))</f>
        <v/>
      </c>
      <c r="D35" s="19" t="str">
        <f>IF($H35="","",INDEX(Dechargements!$G$5:$G$1002,$H35))</f>
        <v/>
      </c>
      <c r="E35" s="14" t="str">
        <f>IF($H35="","",INDEX(Dechargements!$H$5:$H$1002,$H35))</f>
        <v/>
      </c>
      <c r="F35" s="14" t="str">
        <f>IF($H35="","",INDEX(Dechargements!$J$5:$J$1002,$H35))</f>
        <v/>
      </c>
      <c r="H35" s="17" t="str">
        <f>IF($H34="","",IFERROR($H34+MATCH(1,INDEX(Dechargements!$L$5:$L$1002,$H34+1):INDEX(Dechargements!$L$5:$L$1002,1000),0),""))</f>
        <v/>
      </c>
    </row>
    <row r="36" spans="1:8" x14ac:dyDescent="0.35">
      <c r="A36" s="18" t="str">
        <f>IF($H36="","",INDEX(Dechargements!$A$5:$A$1002,$H36))</f>
        <v/>
      </c>
      <c r="B36" s="14" t="str">
        <f>IF($H36="","",INDEX(Dechargements!$B$5:$B$1002,$H36))</f>
        <v/>
      </c>
      <c r="C36" s="19" t="str">
        <f>IF($H36="","",INDEX(Dechargements!$E$5:$E$1002,$H36))</f>
        <v/>
      </c>
      <c r="D36" s="19" t="str">
        <f>IF($H36="","",INDEX(Dechargements!$G$5:$G$1002,$H36))</f>
        <v/>
      </c>
      <c r="E36" s="14" t="str">
        <f>IF($H36="","",INDEX(Dechargements!$H$5:$H$1002,$H36))</f>
        <v/>
      </c>
      <c r="F36" s="14" t="str">
        <f>IF($H36="","",INDEX(Dechargements!$J$5:$J$1002,$H36))</f>
        <v/>
      </c>
      <c r="H36" s="17" t="str">
        <f>IF($H35="","",IFERROR($H35+MATCH(1,INDEX(Dechargements!$L$5:$L$1002,$H35+1):INDEX(Dechargements!$L$5:$L$1002,1000),0),""))</f>
        <v/>
      </c>
    </row>
    <row r="37" spans="1:8" x14ac:dyDescent="0.35">
      <c r="A37" s="18" t="str">
        <f>IF($H37="","",INDEX(Dechargements!$A$5:$A$1002,$H37))</f>
        <v/>
      </c>
      <c r="B37" s="14" t="str">
        <f>IF($H37="","",INDEX(Dechargements!$B$5:$B$1002,$H37))</f>
        <v/>
      </c>
      <c r="C37" s="19" t="str">
        <f>IF($H37="","",INDEX(Dechargements!$E$5:$E$1002,$H37))</f>
        <v/>
      </c>
      <c r="D37" s="19" t="str">
        <f>IF($H37="","",INDEX(Dechargements!$G$5:$G$1002,$H37))</f>
        <v/>
      </c>
      <c r="E37" s="14" t="str">
        <f>IF($H37="","",INDEX(Dechargements!$H$5:$H$1002,$H37))</f>
        <v/>
      </c>
      <c r="F37" s="14" t="str">
        <f>IF($H37="","",INDEX(Dechargements!$J$5:$J$1002,$H37))</f>
        <v/>
      </c>
      <c r="H37" s="17" t="str">
        <f>IF($H36="","",IFERROR($H36+MATCH(1,INDEX(Dechargements!$L$5:$L$1002,$H36+1):INDEX(Dechargements!$L$5:$L$1002,1000),0),""))</f>
        <v/>
      </c>
    </row>
    <row r="38" spans="1:8" x14ac:dyDescent="0.35">
      <c r="A38" s="18" t="str">
        <f>IF($H38="","",INDEX(Dechargements!$A$5:$A$1002,$H38))</f>
        <v/>
      </c>
      <c r="B38" s="14" t="str">
        <f>IF($H38="","",INDEX(Dechargements!$B$5:$B$1002,$H38))</f>
        <v/>
      </c>
      <c r="C38" s="19" t="str">
        <f>IF($H38="","",INDEX(Dechargements!$E$5:$E$1002,$H38))</f>
        <v/>
      </c>
      <c r="D38" s="19" t="str">
        <f>IF($H38="","",INDEX(Dechargements!$G$5:$G$1002,$H38))</f>
        <v/>
      </c>
      <c r="E38" s="14" t="str">
        <f>IF($H38="","",INDEX(Dechargements!$H$5:$H$1002,$H38))</f>
        <v/>
      </c>
      <c r="F38" s="14" t="str">
        <f>IF($H38="","",INDEX(Dechargements!$J$5:$J$1002,$H38))</f>
        <v/>
      </c>
      <c r="H38" s="17" t="str">
        <f>IF($H37="","",IFERROR($H37+MATCH(1,INDEX(Dechargements!$L$5:$L$1002,$H37+1):INDEX(Dechargements!$L$5:$L$1002,1000),0),""))</f>
        <v/>
      </c>
    </row>
    <row r="39" spans="1:8" x14ac:dyDescent="0.35">
      <c r="A39" s="18" t="str">
        <f>IF($H39="","",INDEX(Dechargements!$A$5:$A$1002,$H39))</f>
        <v/>
      </c>
      <c r="B39" s="14" t="str">
        <f>IF($H39="","",INDEX(Dechargements!$B$5:$B$1002,$H39))</f>
        <v/>
      </c>
      <c r="C39" s="19" t="str">
        <f>IF($H39="","",INDEX(Dechargements!$E$5:$E$1002,$H39))</f>
        <v/>
      </c>
      <c r="D39" s="19" t="str">
        <f>IF($H39="","",INDEX(Dechargements!$G$5:$G$1002,$H39))</f>
        <v/>
      </c>
      <c r="E39" s="14" t="str">
        <f>IF($H39="","",INDEX(Dechargements!$H$5:$H$1002,$H39))</f>
        <v/>
      </c>
      <c r="F39" s="14" t="str">
        <f>IF($H39="","",INDEX(Dechargements!$J$5:$J$1002,$H39))</f>
        <v/>
      </c>
      <c r="H39" s="17" t="str">
        <f>IF($H38="","",IFERROR($H38+MATCH(1,INDEX(Dechargements!$L$5:$L$1002,$H38+1):INDEX(Dechargements!$L$5:$L$1002,1000),0),""))</f>
        <v/>
      </c>
    </row>
    <row r="40" spans="1:8" x14ac:dyDescent="0.35">
      <c r="A40" s="18" t="str">
        <f>IF($H40="","",INDEX(Dechargements!$A$5:$A$1002,$H40))</f>
        <v/>
      </c>
      <c r="B40" s="14" t="str">
        <f>IF($H40="","",INDEX(Dechargements!$B$5:$B$1002,$H40))</f>
        <v/>
      </c>
      <c r="C40" s="19" t="str">
        <f>IF($H40="","",INDEX(Dechargements!$E$5:$E$1002,$H40))</f>
        <v/>
      </c>
      <c r="D40" s="19" t="str">
        <f>IF($H40="","",INDEX(Dechargements!$G$5:$G$1002,$H40))</f>
        <v/>
      </c>
      <c r="E40" s="14" t="str">
        <f>IF($H40="","",INDEX(Dechargements!$H$5:$H$1002,$H40))</f>
        <v/>
      </c>
      <c r="F40" s="14" t="str">
        <f>IF($H40="","",INDEX(Dechargements!$J$5:$J$1002,$H40))</f>
        <v/>
      </c>
      <c r="H40" s="17" t="str">
        <f>IF($H39="","",IFERROR($H39+MATCH(1,INDEX(Dechargements!$L$5:$L$1002,$H39+1):INDEX(Dechargements!$L$5:$L$1002,1000),0),""))</f>
        <v/>
      </c>
    </row>
    <row r="41" spans="1:8" x14ac:dyDescent="0.35">
      <c r="A41" s="18" t="str">
        <f>IF($H41="","",INDEX(Dechargements!$A$5:$A$1002,$H41))</f>
        <v/>
      </c>
      <c r="B41" s="14" t="str">
        <f>IF($H41="","",INDEX(Dechargements!$B$5:$B$1002,$H41))</f>
        <v/>
      </c>
      <c r="C41" s="19" t="str">
        <f>IF($H41="","",INDEX(Dechargements!$E$5:$E$1002,$H41))</f>
        <v/>
      </c>
      <c r="D41" s="19" t="str">
        <f>IF($H41="","",INDEX(Dechargements!$G$5:$G$1002,$H41))</f>
        <v/>
      </c>
      <c r="E41" s="14" t="str">
        <f>IF($H41="","",INDEX(Dechargements!$H$5:$H$1002,$H41))</f>
        <v/>
      </c>
      <c r="F41" s="14" t="str">
        <f>IF($H41="","",INDEX(Dechargements!$J$5:$J$1002,$H41))</f>
        <v/>
      </c>
      <c r="H41" s="17" t="str">
        <f>IF($H40="","",IFERROR($H40+MATCH(1,INDEX(Dechargements!$L$5:$L$1002,$H40+1):INDEX(Dechargements!$L$5:$L$1002,1000),0),""))</f>
        <v/>
      </c>
    </row>
    <row r="42" spans="1:8" x14ac:dyDescent="0.35">
      <c r="A42" s="18" t="str">
        <f>IF($H42="","",INDEX(Dechargements!$A$5:$A$1002,$H42))</f>
        <v/>
      </c>
      <c r="B42" s="14" t="str">
        <f>IF($H42="","",INDEX(Dechargements!$B$5:$B$1002,$H42))</f>
        <v/>
      </c>
      <c r="C42" s="19" t="str">
        <f>IF($H42="","",INDEX(Dechargements!$E$5:$E$1002,$H42))</f>
        <v/>
      </c>
      <c r="D42" s="19" t="str">
        <f>IF($H42="","",INDEX(Dechargements!$G$5:$G$1002,$H42))</f>
        <v/>
      </c>
      <c r="E42" s="14" t="str">
        <f>IF($H42="","",INDEX(Dechargements!$H$5:$H$1002,$H42))</f>
        <v/>
      </c>
      <c r="F42" s="14" t="str">
        <f>IF($H42="","",INDEX(Dechargements!$J$5:$J$1002,$H42))</f>
        <v/>
      </c>
      <c r="H42" s="17" t="str">
        <f>IF($H41="","",IFERROR($H41+MATCH(1,INDEX(Dechargements!$L$5:$L$1002,$H41+1):INDEX(Dechargements!$L$5:$L$1002,1000),0),""))</f>
        <v/>
      </c>
    </row>
    <row r="43" spans="1:8" x14ac:dyDescent="0.35">
      <c r="A43" s="18" t="str">
        <f>IF($H43="","",INDEX(Dechargements!$A$5:$A$1002,$H43))</f>
        <v/>
      </c>
      <c r="B43" s="14" t="str">
        <f>IF($H43="","",INDEX(Dechargements!$B$5:$B$1002,$H43))</f>
        <v/>
      </c>
      <c r="C43" s="19" t="str">
        <f>IF($H43="","",INDEX(Dechargements!$E$5:$E$1002,$H43))</f>
        <v/>
      </c>
      <c r="D43" s="19" t="str">
        <f>IF($H43="","",INDEX(Dechargements!$G$5:$G$1002,$H43))</f>
        <v/>
      </c>
      <c r="E43" s="14" t="str">
        <f>IF($H43="","",INDEX(Dechargements!$H$5:$H$1002,$H43))</f>
        <v/>
      </c>
      <c r="F43" s="14" t="str">
        <f>IF($H43="","",INDEX(Dechargements!$J$5:$J$1002,$H43))</f>
        <v/>
      </c>
      <c r="H43" s="17" t="str">
        <f>IF($H42="","",IFERROR($H42+MATCH(1,INDEX(Dechargements!$L$5:$L$1002,$H42+1):INDEX(Dechargements!$L$5:$L$1002,1000),0),""))</f>
        <v/>
      </c>
    </row>
    <row r="44" spans="1:8" x14ac:dyDescent="0.35">
      <c r="A44" s="20" t="str">
        <f>IF(COUNT($H$24:$H$43)&gt;=20,"Seuls les 20 premiers camions sont affichés : filtrez la feuille Dechargements pour voir les autres.","")</f>
        <v/>
      </c>
    </row>
  </sheetData>
  <mergeCells count="2">
    <mergeCell ref="A20:F20"/>
    <mergeCell ref="A2:F2"/>
  </mergeCells>
  <conditionalFormatting sqref="A20">
    <cfRule type="expression" dxfId="20" priority="1">
      <formula>LEFT($A$20,8)="AUTORISÉ"</formula>
    </cfRule>
    <cfRule type="expression" dxfId="19" priority="2">
      <formula>LEFT($A$20,9)="ATTENTION"</formula>
    </cfRule>
  </conditionalFormatting>
  <conditionalFormatting sqref="E24:E43">
    <cfRule type="cellIs" dxfId="18" priority="3" operator="equal">
      <formula>"Fait"</formula>
    </cfRule>
    <cfRule type="cellIs" dxfId="17" priority="4" operator="equal">
      <formula>"En cours"</formula>
    </cfRule>
  </conditionalFormatting>
  <conditionalFormatting sqref="F24:F43">
    <cfRule type="cellIs" dxfId="16" priority="5" operator="equal">
      <formula>"À payer"</formula>
    </cfRule>
    <cfRule type="cellIs" dxfId="15" priority="6" operator="equal">
      <formula>"Partiellement payé"</formula>
    </cfRule>
    <cfRule type="cellIs" dxfId="14" priority="7" operator="equal">
      <formula>"Non payable (déchargement non fait)"</formula>
    </cfRule>
  </conditionalFormatting>
  <dataValidations count="2">
    <dataValidation type="list" allowBlank="1" showErrorMessage="1" errorTitle="Fournisseur inconnu" error="Choisissez un fournisseur de la feuille Fournisseurs." sqref="B4" xr:uid="{00000000-0002-0000-0400-000000000000}">
      <formula1>L_Fournisseurs</formula1>
    </dataValidation>
    <dataValidation type="decimal" operator="greaterThan" allowBlank="1" showErrorMessage="1" errorTitle="Montant non valide" error="Saisissez un montant supérieur à 0." sqref="B5" xr:uid="{00000000-0002-0000-0400-000001000000}">
      <formula1>0</formula1>
    </dataValidation>
  </dataValidations>
  <pageMargins left="0.75" right="0.75" top="1" bottom="1" header="0.5" footer="0.5"/>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2000"/>
  <sheetViews>
    <sheetView workbookViewId="0">
      <pane ySplit="4" topLeftCell="A5" activePane="bottomLeft" state="frozen"/>
      <selection pane="bottomLeft" activeCell="G4" sqref="G4"/>
    </sheetView>
  </sheetViews>
  <sheetFormatPr baseColWidth="10" defaultColWidth="8.7265625" defaultRowHeight="14.5" x14ac:dyDescent="0.35"/>
  <cols>
    <col min="1" max="1" width="15" customWidth="1"/>
    <col min="2" max="2" width="14" customWidth="1"/>
    <col min="3" max="3" width="26" customWidth="1"/>
    <col min="4" max="4" width="26.453125" customWidth="1"/>
    <col min="5" max="5" width="18" customWidth="1"/>
    <col min="6" max="6" width="30" customWidth="1"/>
    <col min="7" max="7" width="22.26953125" customWidth="1"/>
    <col min="8" max="8" width="15" customWidth="1"/>
    <col min="9" max="10" width="16" customWidth="1"/>
    <col min="11" max="11" width="18" customWidth="1"/>
    <col min="12" max="12" width="13" customWidth="1"/>
    <col min="13" max="13" width="30" customWidth="1"/>
  </cols>
  <sheetData>
    <row r="1" spans="1:13" ht="20" x14ac:dyDescent="0.4">
      <c r="A1" s="1" t="s">
        <v>0</v>
      </c>
    </row>
    <row r="2" spans="1:13" ht="76" customHeight="1" x14ac:dyDescent="0.35">
      <c r="A2" s="44" t="s">
        <v>1</v>
      </c>
      <c r="B2" s="45"/>
      <c r="C2" s="45"/>
      <c r="D2" s="45"/>
      <c r="E2" s="45"/>
      <c r="F2" s="45"/>
      <c r="G2" s="45"/>
      <c r="H2" s="45"/>
      <c r="I2" s="45"/>
      <c r="J2" s="45"/>
      <c r="K2" s="45"/>
      <c r="L2" s="45"/>
      <c r="M2" s="45"/>
    </row>
    <row r="4" spans="1:13" ht="30" customHeight="1" x14ac:dyDescent="0.35">
      <c r="A4" s="2" t="s">
        <v>2</v>
      </c>
      <c r="B4" s="2" t="s">
        <v>3</v>
      </c>
      <c r="C4" s="2" t="s">
        <v>244</v>
      </c>
      <c r="D4" s="2" t="s">
        <v>245</v>
      </c>
      <c r="E4" s="2" t="s">
        <v>248</v>
      </c>
      <c r="F4" s="2" t="s">
        <v>247</v>
      </c>
      <c r="G4" s="2" t="s">
        <v>246</v>
      </c>
      <c r="H4" s="2" t="s">
        <v>5</v>
      </c>
      <c r="I4" s="2" t="s">
        <v>6</v>
      </c>
      <c r="J4" s="2" t="s">
        <v>7</v>
      </c>
      <c r="K4" s="2" t="s">
        <v>8</v>
      </c>
      <c r="L4" s="2" t="s">
        <v>9</v>
      </c>
      <c r="M4" s="2" t="s">
        <v>10</v>
      </c>
    </row>
    <row r="5" spans="1:13" x14ac:dyDescent="0.35">
      <c r="A5" s="3"/>
      <c r="B5" s="4"/>
      <c r="C5" s="5"/>
      <c r="D5" s="5"/>
      <c r="E5" s="5"/>
      <c r="F5" s="5"/>
      <c r="G5" s="5"/>
      <c r="H5" s="5"/>
      <c r="I5" s="6"/>
      <c r="J5" s="5"/>
      <c r="K5" s="5"/>
      <c r="L5" s="5"/>
      <c r="M5" s="5"/>
    </row>
    <row r="6" spans="1:13" x14ac:dyDescent="0.35">
      <c r="A6" s="3"/>
      <c r="B6" s="4"/>
      <c r="C6" s="5"/>
      <c r="D6" s="5"/>
      <c r="E6" s="5"/>
      <c r="F6" s="5"/>
      <c r="G6" s="5"/>
      <c r="H6" s="5"/>
      <c r="I6" s="6"/>
      <c r="J6" s="5"/>
      <c r="K6" s="5"/>
      <c r="L6" s="5"/>
      <c r="M6" s="5"/>
    </row>
    <row r="7" spans="1:13" x14ac:dyDescent="0.35">
      <c r="A7" s="3"/>
      <c r="B7" s="4"/>
      <c r="C7" s="5"/>
      <c r="D7" s="5"/>
      <c r="E7" s="5"/>
      <c r="F7" s="5"/>
      <c r="G7" s="5"/>
      <c r="H7" s="5"/>
      <c r="I7" s="6"/>
      <c r="J7" s="5"/>
      <c r="K7" s="5"/>
      <c r="L7" s="5"/>
      <c r="M7" s="5"/>
    </row>
    <row r="8" spans="1:13" x14ac:dyDescent="0.35">
      <c r="A8" s="3"/>
      <c r="B8" s="4"/>
      <c r="C8" s="5"/>
      <c r="D8" s="5"/>
      <c r="E8" s="5"/>
      <c r="F8" s="5"/>
      <c r="G8" s="5"/>
      <c r="H8" s="5"/>
      <c r="I8" s="6"/>
      <c r="J8" s="5"/>
      <c r="K8" s="5"/>
      <c r="L8" s="5"/>
      <c r="M8" s="5"/>
    </row>
    <row r="9" spans="1:13" x14ac:dyDescent="0.35">
      <c r="A9" s="3"/>
      <c r="B9" s="4"/>
      <c r="C9" s="5"/>
      <c r="D9" s="5"/>
      <c r="E9" s="5"/>
      <c r="F9" s="5"/>
      <c r="G9" s="5"/>
      <c r="H9" s="5"/>
      <c r="I9" s="6"/>
      <c r="J9" s="5"/>
      <c r="K9" s="5"/>
      <c r="L9" s="5"/>
      <c r="M9" s="5"/>
    </row>
    <row r="10" spans="1:13" x14ac:dyDescent="0.35">
      <c r="A10" s="3"/>
      <c r="B10" s="4"/>
      <c r="C10" s="5"/>
      <c r="D10" s="5"/>
      <c r="E10" s="5"/>
      <c r="F10" s="5"/>
      <c r="G10" s="5"/>
      <c r="H10" s="5"/>
      <c r="I10" s="6"/>
      <c r="J10" s="5"/>
      <c r="K10" s="5"/>
      <c r="L10" s="5"/>
      <c r="M10" s="5"/>
    </row>
    <row r="11" spans="1:13" x14ac:dyDescent="0.35">
      <c r="A11" s="3"/>
      <c r="B11" s="4"/>
      <c r="C11" s="5"/>
      <c r="D11" s="5"/>
      <c r="E11" s="5"/>
      <c r="F11" s="5"/>
      <c r="G11" s="5"/>
      <c r="H11" s="5"/>
      <c r="I11" s="6"/>
      <c r="J11" s="5"/>
      <c r="K11" s="5"/>
      <c r="L11" s="5"/>
      <c r="M11" s="5"/>
    </row>
    <row r="12" spans="1:13" x14ac:dyDescent="0.35">
      <c r="A12" s="3"/>
      <c r="B12" s="4"/>
      <c r="C12" s="5"/>
      <c r="D12" s="5"/>
      <c r="E12" s="5"/>
      <c r="F12" s="5"/>
      <c r="G12" s="5"/>
      <c r="H12" s="5"/>
      <c r="I12" s="6"/>
      <c r="J12" s="5"/>
      <c r="K12" s="5"/>
      <c r="L12" s="5"/>
      <c r="M12" s="5"/>
    </row>
    <row r="13" spans="1:13" x14ac:dyDescent="0.35">
      <c r="A13" s="3"/>
      <c r="B13" s="4"/>
      <c r="C13" s="5"/>
      <c r="D13" s="5"/>
      <c r="E13" s="5"/>
      <c r="F13" s="5"/>
      <c r="G13" s="5"/>
      <c r="H13" s="5"/>
      <c r="I13" s="6"/>
      <c r="J13" s="5"/>
      <c r="K13" s="5"/>
      <c r="L13" s="5"/>
      <c r="M13" s="5"/>
    </row>
    <row r="14" spans="1:13" x14ac:dyDescent="0.35">
      <c r="A14" s="3"/>
      <c r="B14" s="4"/>
      <c r="C14" s="5"/>
      <c r="D14" s="5"/>
      <c r="E14" s="5"/>
      <c r="F14" s="5"/>
      <c r="G14" s="5"/>
      <c r="H14" s="5"/>
      <c r="I14" s="6"/>
      <c r="J14" s="5"/>
      <c r="K14" s="5"/>
      <c r="L14" s="5"/>
      <c r="M14" s="5"/>
    </row>
    <row r="15" spans="1:13" x14ac:dyDescent="0.35">
      <c r="A15" s="3"/>
      <c r="B15" s="4"/>
      <c r="C15" s="5"/>
      <c r="D15" s="5"/>
      <c r="E15" s="5"/>
      <c r="F15" s="5"/>
      <c r="G15" s="5"/>
      <c r="H15" s="5"/>
      <c r="I15" s="6"/>
      <c r="J15" s="5"/>
      <c r="K15" s="5"/>
      <c r="L15" s="5"/>
      <c r="M15" s="5"/>
    </row>
    <row r="16" spans="1:13" x14ac:dyDescent="0.35">
      <c r="A16" s="3"/>
      <c r="B16" s="4"/>
      <c r="C16" s="5"/>
      <c r="D16" s="5"/>
      <c r="E16" s="5"/>
      <c r="F16" s="5"/>
      <c r="G16" s="5"/>
      <c r="H16" s="5"/>
      <c r="I16" s="6"/>
      <c r="J16" s="5"/>
      <c r="K16" s="5"/>
      <c r="L16" s="5"/>
      <c r="M16" s="5"/>
    </row>
    <row r="17" spans="1:13" x14ac:dyDescent="0.35">
      <c r="A17" s="3"/>
      <c r="B17" s="4"/>
      <c r="C17" s="5"/>
      <c r="D17" s="5"/>
      <c r="E17" s="5"/>
      <c r="F17" s="5"/>
      <c r="G17" s="5"/>
      <c r="H17" s="5"/>
      <c r="I17" s="6"/>
      <c r="J17" s="5"/>
      <c r="K17" s="5"/>
      <c r="L17" s="5"/>
      <c r="M17" s="5"/>
    </row>
    <row r="18" spans="1:13" x14ac:dyDescent="0.35">
      <c r="A18" s="3"/>
      <c r="B18" s="4"/>
      <c r="C18" s="5"/>
      <c r="D18" s="5"/>
      <c r="E18" s="5"/>
      <c r="F18" s="5"/>
      <c r="G18" s="5"/>
      <c r="H18" s="5"/>
      <c r="I18" s="6"/>
      <c r="J18" s="5"/>
      <c r="K18" s="5"/>
      <c r="L18" s="5"/>
      <c r="M18" s="5"/>
    </row>
    <row r="19" spans="1:13" x14ac:dyDescent="0.35">
      <c r="A19" s="3"/>
      <c r="B19" s="4"/>
      <c r="C19" s="5"/>
      <c r="D19" s="5"/>
      <c r="E19" s="5"/>
      <c r="F19" s="5"/>
      <c r="G19" s="5"/>
      <c r="H19" s="5"/>
      <c r="I19" s="6"/>
      <c r="J19" s="5"/>
      <c r="K19" s="5"/>
      <c r="L19" s="5"/>
      <c r="M19" s="5"/>
    </row>
    <row r="20" spans="1:13" x14ac:dyDescent="0.35">
      <c r="A20" s="3"/>
      <c r="B20" s="4"/>
      <c r="C20" s="5"/>
      <c r="D20" s="5"/>
      <c r="E20" s="5"/>
      <c r="F20" s="5"/>
      <c r="G20" s="5"/>
      <c r="H20" s="5"/>
      <c r="I20" s="6"/>
      <c r="J20" s="5"/>
      <c r="K20" s="5"/>
      <c r="L20" s="5"/>
      <c r="M20" s="5"/>
    </row>
    <row r="21" spans="1:13" x14ac:dyDescent="0.35">
      <c r="A21" s="3"/>
      <c r="B21" s="4"/>
      <c r="C21" s="5"/>
      <c r="D21" s="5"/>
      <c r="E21" s="5"/>
      <c r="F21" s="5"/>
      <c r="G21" s="5"/>
      <c r="H21" s="5"/>
      <c r="I21" s="6"/>
      <c r="J21" s="5"/>
      <c r="K21" s="5"/>
      <c r="L21" s="5"/>
      <c r="M21" s="5"/>
    </row>
    <row r="22" spans="1:13" x14ac:dyDescent="0.35">
      <c r="A22" s="3"/>
      <c r="B22" s="4"/>
      <c r="C22" s="5"/>
      <c r="D22" s="5"/>
      <c r="E22" s="5"/>
      <c r="F22" s="5"/>
      <c r="G22" s="5"/>
      <c r="H22" s="5"/>
      <c r="I22" s="6"/>
      <c r="J22" s="5"/>
      <c r="K22" s="5"/>
      <c r="L22" s="5"/>
      <c r="M22" s="5"/>
    </row>
    <row r="23" spans="1:13" x14ac:dyDescent="0.35">
      <c r="A23" s="3"/>
      <c r="B23" s="4"/>
      <c r="C23" s="5"/>
      <c r="D23" s="5"/>
      <c r="E23" s="5"/>
      <c r="F23" s="5"/>
      <c r="G23" s="5"/>
      <c r="H23" s="5"/>
      <c r="I23" s="6"/>
      <c r="J23" s="5"/>
      <c r="K23" s="5"/>
      <c r="L23" s="5"/>
      <c r="M23" s="5"/>
    </row>
    <row r="24" spans="1:13" x14ac:dyDescent="0.35">
      <c r="A24" s="3"/>
      <c r="B24" s="4"/>
      <c r="C24" s="5"/>
      <c r="D24" s="5"/>
      <c r="E24" s="5"/>
      <c r="F24" s="5"/>
      <c r="G24" s="5"/>
      <c r="H24" s="5"/>
      <c r="I24" s="6"/>
      <c r="J24" s="5"/>
      <c r="K24" s="5"/>
      <c r="L24" s="5"/>
      <c r="M24" s="5"/>
    </row>
    <row r="25" spans="1:13" x14ac:dyDescent="0.35">
      <c r="A25" s="3"/>
      <c r="B25" s="4"/>
      <c r="C25" s="5"/>
      <c r="D25" s="5"/>
      <c r="E25" s="5"/>
      <c r="F25" s="5"/>
      <c r="G25" s="5"/>
      <c r="H25" s="5"/>
      <c r="I25" s="6"/>
      <c r="J25" s="5"/>
      <c r="K25" s="5"/>
      <c r="L25" s="5"/>
      <c r="M25" s="5"/>
    </row>
    <row r="26" spans="1:13" x14ac:dyDescent="0.35">
      <c r="A26" s="3"/>
      <c r="B26" s="4"/>
      <c r="C26" s="5"/>
      <c r="D26" s="5"/>
      <c r="E26" s="5"/>
      <c r="F26" s="5"/>
      <c r="G26" s="5"/>
      <c r="H26" s="5"/>
      <c r="I26" s="6"/>
      <c r="J26" s="5"/>
      <c r="K26" s="5"/>
      <c r="L26" s="5"/>
      <c r="M26" s="5"/>
    </row>
    <row r="27" spans="1:13" x14ac:dyDescent="0.35">
      <c r="A27" s="3"/>
      <c r="B27" s="4"/>
      <c r="C27" s="5"/>
      <c r="D27" s="5"/>
      <c r="E27" s="5"/>
      <c r="F27" s="5"/>
      <c r="G27" s="5"/>
      <c r="H27" s="5"/>
      <c r="I27" s="6"/>
      <c r="J27" s="5"/>
      <c r="K27" s="5"/>
      <c r="L27" s="5"/>
      <c r="M27" s="5"/>
    </row>
    <row r="28" spans="1:13" x14ac:dyDescent="0.35">
      <c r="A28" s="3"/>
      <c r="B28" s="4"/>
      <c r="C28" s="5"/>
      <c r="D28" s="5"/>
      <c r="E28" s="5"/>
      <c r="F28" s="5"/>
      <c r="G28" s="5"/>
      <c r="H28" s="5"/>
      <c r="I28" s="6"/>
      <c r="J28" s="5"/>
      <c r="K28" s="5"/>
      <c r="L28" s="5"/>
      <c r="M28" s="5"/>
    </row>
    <row r="29" spans="1:13" x14ac:dyDescent="0.35">
      <c r="A29" s="3"/>
      <c r="B29" s="4"/>
      <c r="C29" s="5"/>
      <c r="D29" s="5"/>
      <c r="E29" s="5"/>
      <c r="F29" s="5"/>
      <c r="G29" s="5"/>
      <c r="H29" s="5"/>
      <c r="I29" s="6"/>
      <c r="J29" s="5"/>
      <c r="K29" s="5"/>
      <c r="L29" s="5"/>
      <c r="M29" s="5"/>
    </row>
    <row r="30" spans="1:13" x14ac:dyDescent="0.35">
      <c r="A30" s="3"/>
      <c r="B30" s="4"/>
      <c r="C30" s="5"/>
      <c r="D30" s="5"/>
      <c r="E30" s="5"/>
      <c r="F30" s="5"/>
      <c r="G30" s="5"/>
      <c r="H30" s="5"/>
      <c r="I30" s="6"/>
      <c r="J30" s="5"/>
      <c r="K30" s="5"/>
      <c r="L30" s="5"/>
      <c r="M30" s="5"/>
    </row>
    <row r="31" spans="1:13" x14ac:dyDescent="0.35">
      <c r="A31" s="3"/>
      <c r="B31" s="4"/>
      <c r="C31" s="5"/>
      <c r="D31" s="5"/>
      <c r="E31" s="5"/>
      <c r="F31" s="5"/>
      <c r="G31" s="5"/>
      <c r="H31" s="5"/>
      <c r="I31" s="6"/>
      <c r="J31" s="5"/>
      <c r="K31" s="5"/>
      <c r="L31" s="5"/>
      <c r="M31" s="5"/>
    </row>
    <row r="32" spans="1:13" x14ac:dyDescent="0.35">
      <c r="A32" s="3"/>
      <c r="B32" s="4"/>
      <c r="C32" s="5"/>
      <c r="D32" s="5"/>
      <c r="E32" s="5"/>
      <c r="F32" s="5"/>
      <c r="G32" s="5"/>
      <c r="H32" s="5"/>
      <c r="I32" s="6"/>
      <c r="J32" s="5"/>
      <c r="K32" s="5"/>
      <c r="L32" s="5"/>
      <c r="M32" s="5"/>
    </row>
    <row r="33" spans="1:13" x14ac:dyDescent="0.35">
      <c r="A33" s="3"/>
      <c r="B33" s="4"/>
      <c r="C33" s="5"/>
      <c r="D33" s="5"/>
      <c r="E33" s="5"/>
      <c r="F33" s="5"/>
      <c r="G33" s="5"/>
      <c r="H33" s="5"/>
      <c r="I33" s="6"/>
      <c r="J33" s="5"/>
      <c r="K33" s="5"/>
      <c r="L33" s="5"/>
      <c r="M33" s="5"/>
    </row>
    <row r="34" spans="1:13" x14ac:dyDescent="0.35">
      <c r="A34" s="3"/>
      <c r="B34" s="4"/>
      <c r="C34" s="5"/>
      <c r="D34" s="5"/>
      <c r="E34" s="5"/>
      <c r="F34" s="5"/>
      <c r="G34" s="5"/>
      <c r="H34" s="5"/>
      <c r="I34" s="6"/>
      <c r="J34" s="5"/>
      <c r="K34" s="5"/>
      <c r="L34" s="5"/>
      <c r="M34" s="5"/>
    </row>
    <row r="35" spans="1:13" x14ac:dyDescent="0.35">
      <c r="A35" s="3"/>
      <c r="B35" s="4"/>
      <c r="C35" s="5"/>
      <c r="D35" s="5"/>
      <c r="E35" s="5"/>
      <c r="F35" s="5"/>
      <c r="G35" s="5"/>
      <c r="H35" s="5"/>
      <c r="I35" s="6"/>
      <c r="J35" s="5"/>
      <c r="K35" s="5"/>
      <c r="L35" s="5"/>
      <c r="M35" s="5"/>
    </row>
    <row r="36" spans="1:13" x14ac:dyDescent="0.35">
      <c r="A36" s="3"/>
      <c r="B36" s="4"/>
      <c r="C36" s="5"/>
      <c r="D36" s="5"/>
      <c r="E36" s="5"/>
      <c r="F36" s="5"/>
      <c r="G36" s="5"/>
      <c r="H36" s="5"/>
      <c r="I36" s="6"/>
      <c r="J36" s="5"/>
      <c r="K36" s="5"/>
      <c r="L36" s="5"/>
      <c r="M36" s="5"/>
    </row>
    <row r="37" spans="1:13" x14ac:dyDescent="0.35">
      <c r="A37" s="3"/>
      <c r="B37" s="4"/>
      <c r="C37" s="5"/>
      <c r="D37" s="5"/>
      <c r="E37" s="5"/>
      <c r="F37" s="5"/>
      <c r="G37" s="5"/>
      <c r="H37" s="5"/>
      <c r="I37" s="6"/>
      <c r="J37" s="5"/>
      <c r="K37" s="5"/>
      <c r="L37" s="5"/>
      <c r="M37" s="5"/>
    </row>
    <row r="38" spans="1:13" x14ac:dyDescent="0.35">
      <c r="A38" s="3"/>
      <c r="B38" s="4"/>
      <c r="C38" s="5"/>
      <c r="D38" s="5"/>
      <c r="E38" s="5"/>
      <c r="F38" s="5"/>
      <c r="G38" s="5"/>
      <c r="H38" s="5"/>
      <c r="I38" s="6"/>
      <c r="J38" s="5"/>
      <c r="K38" s="5"/>
      <c r="L38" s="5"/>
      <c r="M38" s="5"/>
    </row>
    <row r="39" spans="1:13" x14ac:dyDescent="0.35">
      <c r="A39" s="3"/>
      <c r="B39" s="4"/>
      <c r="C39" s="5"/>
      <c r="D39" s="5"/>
      <c r="E39" s="5"/>
      <c r="F39" s="5"/>
      <c r="G39" s="5"/>
      <c r="H39" s="5"/>
      <c r="I39" s="6"/>
      <c r="J39" s="5"/>
      <c r="K39" s="5"/>
      <c r="L39" s="5"/>
      <c r="M39" s="5"/>
    </row>
    <row r="40" spans="1:13" x14ac:dyDescent="0.35">
      <c r="A40" s="3"/>
      <c r="B40" s="4"/>
      <c r="C40" s="5"/>
      <c r="D40" s="5"/>
      <c r="E40" s="5"/>
      <c r="F40" s="5"/>
      <c r="G40" s="5"/>
      <c r="H40" s="5"/>
      <c r="I40" s="6"/>
      <c r="J40" s="5"/>
      <c r="K40" s="5"/>
      <c r="L40" s="5"/>
      <c r="M40" s="5"/>
    </row>
    <row r="41" spans="1:13" x14ac:dyDescent="0.35">
      <c r="A41" s="3"/>
      <c r="B41" s="4"/>
      <c r="C41" s="5"/>
      <c r="D41" s="5"/>
      <c r="E41" s="5"/>
      <c r="F41" s="5"/>
      <c r="G41" s="5"/>
      <c r="H41" s="5"/>
      <c r="I41" s="6"/>
      <c r="J41" s="5"/>
      <c r="K41" s="5"/>
      <c r="L41" s="5"/>
      <c r="M41" s="5"/>
    </row>
    <row r="42" spans="1:13" x14ac:dyDescent="0.35">
      <c r="A42" s="3"/>
      <c r="B42" s="4"/>
      <c r="C42" s="5"/>
      <c r="D42" s="5"/>
      <c r="E42" s="5"/>
      <c r="F42" s="5"/>
      <c r="G42" s="5"/>
      <c r="H42" s="5"/>
      <c r="I42" s="6"/>
      <c r="J42" s="5"/>
      <c r="K42" s="5"/>
      <c r="L42" s="5"/>
      <c r="M42" s="5"/>
    </row>
    <row r="43" spans="1:13" x14ac:dyDescent="0.35">
      <c r="A43" s="3"/>
      <c r="B43" s="4"/>
      <c r="C43" s="5"/>
      <c r="D43" s="5"/>
      <c r="E43" s="5"/>
      <c r="F43" s="5"/>
      <c r="G43" s="5"/>
      <c r="H43" s="5"/>
      <c r="I43" s="6"/>
      <c r="J43" s="5"/>
      <c r="K43" s="5"/>
      <c r="L43" s="5"/>
      <c r="M43" s="5"/>
    </row>
    <row r="44" spans="1:13" x14ac:dyDescent="0.35">
      <c r="A44" s="3"/>
      <c r="B44" s="4"/>
      <c r="C44" s="5"/>
      <c r="D44" s="5"/>
      <c r="E44" s="5"/>
      <c r="F44" s="5"/>
      <c r="G44" s="5"/>
      <c r="H44" s="5"/>
      <c r="I44" s="6"/>
      <c r="J44" s="5"/>
      <c r="K44" s="5"/>
      <c r="L44" s="5"/>
      <c r="M44" s="5"/>
    </row>
    <row r="45" spans="1:13" x14ac:dyDescent="0.35">
      <c r="A45" s="3"/>
      <c r="B45" s="4"/>
      <c r="C45" s="5"/>
      <c r="D45" s="5"/>
      <c r="E45" s="5"/>
      <c r="F45" s="5"/>
      <c r="G45" s="5"/>
      <c r="H45" s="5"/>
      <c r="I45" s="6"/>
      <c r="J45" s="5"/>
      <c r="K45" s="5"/>
      <c r="L45" s="5"/>
      <c r="M45" s="5"/>
    </row>
    <row r="46" spans="1:13" x14ac:dyDescent="0.35">
      <c r="A46" s="3"/>
      <c r="B46" s="4"/>
      <c r="C46" s="5"/>
      <c r="D46" s="5"/>
      <c r="E46" s="5"/>
      <c r="F46" s="5"/>
      <c r="G46" s="5"/>
      <c r="H46" s="5"/>
      <c r="I46" s="6"/>
      <c r="J46" s="5"/>
      <c r="K46" s="5"/>
      <c r="L46" s="5"/>
      <c r="M46" s="5"/>
    </row>
    <row r="47" spans="1:13" x14ac:dyDescent="0.35">
      <c r="A47" s="3"/>
      <c r="B47" s="4"/>
      <c r="C47" s="5"/>
      <c r="D47" s="5"/>
      <c r="E47" s="5"/>
      <c r="F47" s="5"/>
      <c r="G47" s="5"/>
      <c r="H47" s="5"/>
      <c r="I47" s="6"/>
      <c r="J47" s="5"/>
      <c r="K47" s="5"/>
      <c r="L47" s="5"/>
      <c r="M47" s="5"/>
    </row>
    <row r="48" spans="1:13" x14ac:dyDescent="0.35">
      <c r="A48" s="3"/>
      <c r="B48" s="4"/>
      <c r="C48" s="5"/>
      <c r="D48" s="5"/>
      <c r="E48" s="5"/>
      <c r="F48" s="5"/>
      <c r="G48" s="5"/>
      <c r="H48" s="5"/>
      <c r="I48" s="6"/>
      <c r="J48" s="5"/>
      <c r="K48" s="5"/>
      <c r="L48" s="5"/>
      <c r="M48" s="5"/>
    </row>
    <row r="49" spans="1:13" x14ac:dyDescent="0.35">
      <c r="A49" s="3"/>
      <c r="B49" s="4"/>
      <c r="C49" s="5"/>
      <c r="D49" s="5"/>
      <c r="E49" s="5"/>
      <c r="F49" s="5"/>
      <c r="G49" s="5"/>
      <c r="H49" s="5"/>
      <c r="I49" s="6"/>
      <c r="J49" s="5"/>
      <c r="K49" s="5"/>
      <c r="L49" s="5"/>
      <c r="M49" s="5"/>
    </row>
    <row r="50" spans="1:13" x14ac:dyDescent="0.35">
      <c r="A50" s="3"/>
      <c r="B50" s="4"/>
      <c r="C50" s="5"/>
      <c r="D50" s="5"/>
      <c r="E50" s="5"/>
      <c r="F50" s="5"/>
      <c r="G50" s="5"/>
      <c r="H50" s="5"/>
      <c r="I50" s="6"/>
      <c r="J50" s="5"/>
      <c r="K50" s="5"/>
      <c r="L50" s="5"/>
      <c r="M50" s="5"/>
    </row>
    <row r="51" spans="1:13" x14ac:dyDescent="0.35">
      <c r="A51" s="3"/>
      <c r="B51" s="4"/>
      <c r="C51" s="5"/>
      <c r="D51" s="5"/>
      <c r="E51" s="5"/>
      <c r="F51" s="5"/>
      <c r="G51" s="5"/>
      <c r="H51" s="5"/>
      <c r="I51" s="6"/>
      <c r="J51" s="5"/>
      <c r="K51" s="5"/>
      <c r="L51" s="5"/>
      <c r="M51" s="5"/>
    </row>
    <row r="52" spans="1:13" x14ac:dyDescent="0.35">
      <c r="A52" s="3"/>
      <c r="B52" s="4"/>
      <c r="C52" s="5"/>
      <c r="D52" s="5"/>
      <c r="E52" s="5"/>
      <c r="F52" s="5"/>
      <c r="G52" s="5"/>
      <c r="H52" s="5"/>
      <c r="I52" s="6"/>
      <c r="J52" s="5"/>
      <c r="K52" s="5"/>
      <c r="L52" s="5"/>
      <c r="M52" s="5"/>
    </row>
    <row r="53" spans="1:13" x14ac:dyDescent="0.35">
      <c r="A53" s="3"/>
      <c r="B53" s="4"/>
      <c r="C53" s="5"/>
      <c r="D53" s="5"/>
      <c r="E53" s="5"/>
      <c r="F53" s="5"/>
      <c r="G53" s="5"/>
      <c r="H53" s="5"/>
      <c r="I53" s="6"/>
      <c r="J53" s="5"/>
      <c r="K53" s="5"/>
      <c r="L53" s="5"/>
      <c r="M53" s="5"/>
    </row>
    <row r="54" spans="1:13" x14ac:dyDescent="0.35">
      <c r="A54" s="3"/>
      <c r="B54" s="4"/>
      <c r="C54" s="5"/>
      <c r="D54" s="5"/>
      <c r="E54" s="5"/>
      <c r="F54" s="5"/>
      <c r="G54" s="5"/>
      <c r="H54" s="5"/>
      <c r="I54" s="6"/>
      <c r="J54" s="5"/>
      <c r="K54" s="5"/>
      <c r="L54" s="5"/>
      <c r="M54" s="5"/>
    </row>
    <row r="55" spans="1:13" x14ac:dyDescent="0.35">
      <c r="A55" s="3"/>
      <c r="B55" s="4"/>
      <c r="C55" s="5"/>
      <c r="D55" s="5"/>
      <c r="E55" s="5"/>
      <c r="F55" s="5"/>
      <c r="G55" s="5"/>
      <c r="H55" s="5"/>
      <c r="I55" s="6"/>
      <c r="J55" s="5"/>
      <c r="K55" s="5"/>
      <c r="L55" s="5"/>
      <c r="M55" s="5"/>
    </row>
    <row r="56" spans="1:13" x14ac:dyDescent="0.35">
      <c r="A56" s="3"/>
      <c r="B56" s="4"/>
      <c r="C56" s="5"/>
      <c r="D56" s="5"/>
      <c r="E56" s="5"/>
      <c r="F56" s="5"/>
      <c r="G56" s="5"/>
      <c r="H56" s="5"/>
      <c r="I56" s="6"/>
      <c r="J56" s="5"/>
      <c r="K56" s="5"/>
      <c r="L56" s="5"/>
      <c r="M56" s="5"/>
    </row>
    <row r="57" spans="1:13" x14ac:dyDescent="0.35">
      <c r="A57" s="3"/>
      <c r="B57" s="4"/>
      <c r="C57" s="5"/>
      <c r="D57" s="5"/>
      <c r="E57" s="5"/>
      <c r="F57" s="5"/>
      <c r="G57" s="5"/>
      <c r="H57" s="5"/>
      <c r="I57" s="6"/>
      <c r="J57" s="5"/>
      <c r="K57" s="5"/>
      <c r="L57" s="5"/>
      <c r="M57" s="5"/>
    </row>
    <row r="58" spans="1:13" x14ac:dyDescent="0.35">
      <c r="A58" s="3"/>
      <c r="B58" s="4"/>
      <c r="C58" s="5"/>
      <c r="D58" s="5"/>
      <c r="E58" s="5"/>
      <c r="F58" s="5"/>
      <c r="G58" s="5"/>
      <c r="H58" s="5"/>
      <c r="I58" s="6"/>
      <c r="J58" s="5"/>
      <c r="K58" s="5"/>
      <c r="L58" s="5"/>
      <c r="M58" s="5"/>
    </row>
    <row r="59" spans="1:13" x14ac:dyDescent="0.35">
      <c r="A59" s="3"/>
      <c r="B59" s="4"/>
      <c r="C59" s="5"/>
      <c r="D59" s="5"/>
      <c r="E59" s="5"/>
      <c r="F59" s="5"/>
      <c r="G59" s="5"/>
      <c r="H59" s="5"/>
      <c r="I59" s="6"/>
      <c r="J59" s="5"/>
      <c r="K59" s="5"/>
      <c r="L59" s="5"/>
      <c r="M59" s="5"/>
    </row>
    <row r="60" spans="1:13" x14ac:dyDescent="0.35">
      <c r="A60" s="3"/>
      <c r="B60" s="4"/>
      <c r="C60" s="5"/>
      <c r="D60" s="5"/>
      <c r="E60" s="5"/>
      <c r="F60" s="5"/>
      <c r="G60" s="5"/>
      <c r="H60" s="5"/>
      <c r="I60" s="6"/>
      <c r="J60" s="5"/>
      <c r="K60" s="5"/>
      <c r="L60" s="5"/>
      <c r="M60" s="5"/>
    </row>
    <row r="61" spans="1:13" x14ac:dyDescent="0.35">
      <c r="A61" s="3"/>
      <c r="B61" s="4"/>
      <c r="C61" s="5"/>
      <c r="D61" s="5"/>
      <c r="E61" s="5"/>
      <c r="F61" s="5"/>
      <c r="G61" s="5"/>
      <c r="H61" s="5"/>
      <c r="I61" s="6"/>
      <c r="J61" s="5"/>
      <c r="K61" s="5"/>
      <c r="L61" s="5"/>
      <c r="M61" s="5"/>
    </row>
    <row r="62" spans="1:13" x14ac:dyDescent="0.35">
      <c r="A62" s="3"/>
      <c r="B62" s="4"/>
      <c r="C62" s="5"/>
      <c r="D62" s="5"/>
      <c r="E62" s="5"/>
      <c r="F62" s="5"/>
      <c r="G62" s="5"/>
      <c r="H62" s="5"/>
      <c r="I62" s="6"/>
      <c r="J62" s="5"/>
      <c r="K62" s="5"/>
      <c r="L62" s="5"/>
      <c r="M62" s="5"/>
    </row>
    <row r="63" spans="1:13" x14ac:dyDescent="0.35">
      <c r="A63" s="3"/>
      <c r="B63" s="4"/>
      <c r="C63" s="5"/>
      <c r="D63" s="5"/>
      <c r="E63" s="5"/>
      <c r="F63" s="5"/>
      <c r="G63" s="5"/>
      <c r="H63" s="5"/>
      <c r="I63" s="6"/>
      <c r="J63" s="5"/>
      <c r="K63" s="5"/>
      <c r="L63" s="5"/>
      <c r="M63" s="5"/>
    </row>
    <row r="64" spans="1:13" x14ac:dyDescent="0.35">
      <c r="A64" s="3"/>
      <c r="B64" s="4"/>
      <c r="C64" s="5"/>
      <c r="D64" s="5"/>
      <c r="E64" s="5"/>
      <c r="F64" s="5"/>
      <c r="G64" s="5"/>
      <c r="H64" s="5"/>
      <c r="I64" s="6"/>
      <c r="J64" s="5"/>
      <c r="K64" s="5"/>
      <c r="L64" s="5"/>
      <c r="M64" s="5"/>
    </row>
    <row r="65" spans="1:13" x14ac:dyDescent="0.35">
      <c r="A65" s="3"/>
      <c r="B65" s="4"/>
      <c r="C65" s="5"/>
      <c r="D65" s="5"/>
      <c r="E65" s="5"/>
      <c r="F65" s="5"/>
      <c r="G65" s="5"/>
      <c r="H65" s="5"/>
      <c r="I65" s="6"/>
      <c r="J65" s="5"/>
      <c r="K65" s="5"/>
      <c r="L65" s="5"/>
      <c r="M65" s="5"/>
    </row>
    <row r="66" spans="1:13" x14ac:dyDescent="0.35">
      <c r="A66" s="3"/>
      <c r="B66" s="4"/>
      <c r="C66" s="5"/>
      <c r="D66" s="5"/>
      <c r="E66" s="5"/>
      <c r="F66" s="5"/>
      <c r="G66" s="5"/>
      <c r="H66" s="5"/>
      <c r="I66" s="6"/>
      <c r="J66" s="5"/>
      <c r="K66" s="5"/>
      <c r="L66" s="5"/>
      <c r="M66" s="5"/>
    </row>
    <row r="67" spans="1:13" x14ac:dyDescent="0.35">
      <c r="A67" s="3"/>
      <c r="B67" s="4"/>
      <c r="C67" s="5"/>
      <c r="D67" s="5"/>
      <c r="E67" s="5"/>
      <c r="F67" s="5"/>
      <c r="G67" s="5"/>
      <c r="H67" s="5"/>
      <c r="I67" s="6"/>
      <c r="J67" s="5"/>
      <c r="K67" s="5"/>
      <c r="L67" s="5"/>
      <c r="M67" s="5"/>
    </row>
    <row r="68" spans="1:13" x14ac:dyDescent="0.35">
      <c r="A68" s="3"/>
      <c r="B68" s="4"/>
      <c r="C68" s="5"/>
      <c r="D68" s="5"/>
      <c r="E68" s="5"/>
      <c r="F68" s="5"/>
      <c r="G68" s="5"/>
      <c r="H68" s="5"/>
      <c r="I68" s="6"/>
      <c r="J68" s="5"/>
      <c r="K68" s="5"/>
      <c r="L68" s="5"/>
      <c r="M68" s="5"/>
    </row>
    <row r="69" spans="1:13" x14ac:dyDescent="0.35">
      <c r="A69" s="3"/>
      <c r="B69" s="4"/>
      <c r="C69" s="5"/>
      <c r="D69" s="5"/>
      <c r="E69" s="5"/>
      <c r="F69" s="5"/>
      <c r="G69" s="5"/>
      <c r="H69" s="5"/>
      <c r="I69" s="6"/>
      <c r="J69" s="5"/>
      <c r="K69" s="5"/>
      <c r="L69" s="5"/>
      <c r="M69" s="5"/>
    </row>
    <row r="70" spans="1:13" x14ac:dyDescent="0.35">
      <c r="A70" s="3"/>
      <c r="B70" s="4"/>
      <c r="C70" s="5"/>
      <c r="D70" s="5"/>
      <c r="E70" s="5"/>
      <c r="F70" s="5"/>
      <c r="G70" s="5"/>
      <c r="H70" s="5"/>
      <c r="I70" s="6"/>
      <c r="J70" s="5"/>
      <c r="K70" s="5"/>
      <c r="L70" s="5"/>
      <c r="M70" s="5"/>
    </row>
    <row r="71" spans="1:13" x14ac:dyDescent="0.35">
      <c r="A71" s="3"/>
      <c r="B71" s="4"/>
      <c r="C71" s="5"/>
      <c r="D71" s="5"/>
      <c r="E71" s="5"/>
      <c r="F71" s="5"/>
      <c r="G71" s="5"/>
      <c r="H71" s="5"/>
      <c r="I71" s="6"/>
      <c r="J71" s="5"/>
      <c r="K71" s="5"/>
      <c r="L71" s="5"/>
      <c r="M71" s="5"/>
    </row>
    <row r="72" spans="1:13" x14ac:dyDescent="0.35">
      <c r="A72" s="3"/>
      <c r="B72" s="4"/>
      <c r="C72" s="5"/>
      <c r="D72" s="5"/>
      <c r="E72" s="5"/>
      <c r="F72" s="5"/>
      <c r="G72" s="5"/>
      <c r="H72" s="5"/>
      <c r="I72" s="6"/>
      <c r="J72" s="5"/>
      <c r="K72" s="5"/>
      <c r="L72" s="5"/>
      <c r="M72" s="5"/>
    </row>
    <row r="73" spans="1:13" x14ac:dyDescent="0.35">
      <c r="A73" s="3"/>
      <c r="B73" s="4"/>
      <c r="C73" s="5"/>
      <c r="D73" s="5"/>
      <c r="E73" s="5"/>
      <c r="F73" s="5"/>
      <c r="G73" s="5"/>
      <c r="H73" s="5"/>
      <c r="I73" s="6"/>
      <c r="J73" s="5"/>
      <c r="K73" s="5"/>
      <c r="L73" s="5"/>
      <c r="M73" s="5"/>
    </row>
    <row r="74" spans="1:13" x14ac:dyDescent="0.35">
      <c r="A74" s="3"/>
      <c r="B74" s="4"/>
      <c r="C74" s="5"/>
      <c r="D74" s="5"/>
      <c r="E74" s="5"/>
      <c r="F74" s="5"/>
      <c r="G74" s="5"/>
      <c r="H74" s="5"/>
      <c r="I74" s="6"/>
      <c r="J74" s="5"/>
      <c r="K74" s="5"/>
      <c r="L74" s="5"/>
      <c r="M74" s="5"/>
    </row>
    <row r="75" spans="1:13" x14ac:dyDescent="0.35">
      <c r="A75" s="3"/>
      <c r="B75" s="4"/>
      <c r="C75" s="5"/>
      <c r="D75" s="5"/>
      <c r="E75" s="5"/>
      <c r="F75" s="5"/>
      <c r="G75" s="5"/>
      <c r="H75" s="5"/>
      <c r="I75" s="6"/>
      <c r="J75" s="5"/>
      <c r="K75" s="5"/>
      <c r="L75" s="5"/>
      <c r="M75" s="5"/>
    </row>
    <row r="76" spans="1:13" x14ac:dyDescent="0.35">
      <c r="A76" s="3"/>
      <c r="B76" s="4"/>
      <c r="C76" s="5"/>
      <c r="D76" s="5"/>
      <c r="E76" s="5"/>
      <c r="F76" s="5"/>
      <c r="G76" s="5"/>
      <c r="H76" s="5"/>
      <c r="I76" s="6"/>
      <c r="J76" s="5"/>
      <c r="K76" s="5"/>
      <c r="L76" s="5"/>
      <c r="M76" s="5"/>
    </row>
    <row r="77" spans="1:13" x14ac:dyDescent="0.35">
      <c r="A77" s="3"/>
      <c r="B77" s="4"/>
      <c r="C77" s="5"/>
      <c r="D77" s="5"/>
      <c r="E77" s="5"/>
      <c r="F77" s="5"/>
      <c r="G77" s="5"/>
      <c r="H77" s="5"/>
      <c r="I77" s="6"/>
      <c r="J77" s="5"/>
      <c r="K77" s="5"/>
      <c r="L77" s="5"/>
      <c r="M77" s="5"/>
    </row>
    <row r="78" spans="1:13" x14ac:dyDescent="0.35">
      <c r="A78" s="3"/>
      <c r="B78" s="4"/>
      <c r="C78" s="5"/>
      <c r="D78" s="5"/>
      <c r="E78" s="5"/>
      <c r="F78" s="5"/>
      <c r="G78" s="5"/>
      <c r="H78" s="5"/>
      <c r="I78" s="6"/>
      <c r="J78" s="5"/>
      <c r="K78" s="5"/>
      <c r="L78" s="5"/>
      <c r="M78" s="5"/>
    </row>
    <row r="79" spans="1:13" x14ac:dyDescent="0.35">
      <c r="A79" s="3"/>
      <c r="B79" s="4"/>
      <c r="C79" s="5"/>
      <c r="D79" s="5"/>
      <c r="E79" s="5"/>
      <c r="F79" s="5"/>
      <c r="G79" s="5"/>
      <c r="H79" s="5"/>
      <c r="I79" s="6"/>
      <c r="J79" s="5"/>
      <c r="K79" s="5"/>
      <c r="L79" s="5"/>
      <c r="M79" s="5"/>
    </row>
    <row r="80" spans="1:13" x14ac:dyDescent="0.35">
      <c r="A80" s="3"/>
      <c r="B80" s="4"/>
      <c r="C80" s="5"/>
      <c r="D80" s="5"/>
      <c r="E80" s="5"/>
      <c r="F80" s="5"/>
      <c r="G80" s="5"/>
      <c r="H80" s="5"/>
      <c r="I80" s="6"/>
      <c r="J80" s="5"/>
      <c r="K80" s="5"/>
      <c r="L80" s="5"/>
      <c r="M80" s="5"/>
    </row>
    <row r="81" spans="1:13" x14ac:dyDescent="0.35">
      <c r="A81" s="3"/>
      <c r="B81" s="4"/>
      <c r="C81" s="5"/>
      <c r="D81" s="5"/>
      <c r="E81" s="5"/>
      <c r="F81" s="5"/>
      <c r="G81" s="5"/>
      <c r="H81" s="5"/>
      <c r="I81" s="6"/>
      <c r="J81" s="5"/>
      <c r="K81" s="5"/>
      <c r="L81" s="5"/>
      <c r="M81" s="5"/>
    </row>
    <row r="82" spans="1:13" x14ac:dyDescent="0.35">
      <c r="A82" s="3"/>
      <c r="B82" s="4"/>
      <c r="C82" s="5"/>
      <c r="D82" s="5"/>
      <c r="E82" s="5"/>
      <c r="F82" s="5"/>
      <c r="G82" s="5"/>
      <c r="H82" s="5"/>
      <c r="I82" s="6"/>
      <c r="J82" s="5"/>
      <c r="K82" s="5"/>
      <c r="L82" s="5"/>
      <c r="M82" s="5"/>
    </row>
    <row r="83" spans="1:13" x14ac:dyDescent="0.35">
      <c r="A83" s="3"/>
      <c r="B83" s="4"/>
      <c r="C83" s="5"/>
      <c r="D83" s="5"/>
      <c r="E83" s="5"/>
      <c r="F83" s="5"/>
      <c r="G83" s="5"/>
      <c r="H83" s="5"/>
      <c r="I83" s="6"/>
      <c r="J83" s="5"/>
      <c r="K83" s="5"/>
      <c r="L83" s="5"/>
      <c r="M83" s="5"/>
    </row>
    <row r="84" spans="1:13" x14ac:dyDescent="0.35">
      <c r="A84" s="3"/>
      <c r="B84" s="4"/>
      <c r="C84" s="5"/>
      <c r="D84" s="5"/>
      <c r="E84" s="5"/>
      <c r="F84" s="5"/>
      <c r="G84" s="5"/>
      <c r="H84" s="5"/>
      <c r="I84" s="6"/>
      <c r="J84" s="5"/>
      <c r="K84" s="5"/>
      <c r="L84" s="5"/>
      <c r="M84" s="5"/>
    </row>
    <row r="85" spans="1:13" x14ac:dyDescent="0.35">
      <c r="A85" s="3"/>
      <c r="B85" s="4"/>
      <c r="C85" s="5"/>
      <c r="D85" s="5"/>
      <c r="E85" s="5"/>
      <c r="F85" s="5"/>
      <c r="G85" s="5"/>
      <c r="H85" s="5"/>
      <c r="I85" s="6"/>
      <c r="J85" s="5"/>
      <c r="K85" s="5"/>
      <c r="L85" s="5"/>
      <c r="M85" s="5"/>
    </row>
    <row r="86" spans="1:13" x14ac:dyDescent="0.35">
      <c r="A86" s="3"/>
      <c r="B86" s="4"/>
      <c r="C86" s="5"/>
      <c r="D86" s="5"/>
      <c r="E86" s="5"/>
      <c r="F86" s="5"/>
      <c r="G86" s="5"/>
      <c r="H86" s="5"/>
      <c r="I86" s="6"/>
      <c r="J86" s="5"/>
      <c r="K86" s="5"/>
      <c r="L86" s="5"/>
      <c r="M86" s="5"/>
    </row>
    <row r="87" spans="1:13" x14ac:dyDescent="0.35">
      <c r="A87" s="3"/>
      <c r="B87" s="4"/>
      <c r="C87" s="5"/>
      <c r="D87" s="5"/>
      <c r="E87" s="5"/>
      <c r="F87" s="5"/>
      <c r="G87" s="5"/>
      <c r="H87" s="5"/>
      <c r="I87" s="6"/>
      <c r="J87" s="5"/>
      <c r="K87" s="5"/>
      <c r="L87" s="5"/>
      <c r="M87" s="5"/>
    </row>
    <row r="88" spans="1:13" x14ac:dyDescent="0.35">
      <c r="A88" s="3"/>
      <c r="B88" s="4"/>
      <c r="C88" s="5"/>
      <c r="D88" s="5"/>
      <c r="E88" s="5"/>
      <c r="F88" s="5"/>
      <c r="G88" s="5"/>
      <c r="H88" s="5"/>
      <c r="I88" s="6"/>
      <c r="J88" s="5"/>
      <c r="K88" s="5"/>
      <c r="L88" s="5"/>
      <c r="M88" s="5"/>
    </row>
    <row r="89" spans="1:13" x14ac:dyDescent="0.35">
      <c r="A89" s="3"/>
      <c r="B89" s="4"/>
      <c r="C89" s="5"/>
      <c r="D89" s="5"/>
      <c r="E89" s="5"/>
      <c r="F89" s="5"/>
      <c r="G89" s="5"/>
      <c r="H89" s="5"/>
      <c r="I89" s="6"/>
      <c r="J89" s="5"/>
      <c r="K89" s="5"/>
      <c r="L89" s="5"/>
      <c r="M89" s="5"/>
    </row>
    <row r="90" spans="1:13" x14ac:dyDescent="0.35">
      <c r="A90" s="3"/>
      <c r="B90" s="4"/>
      <c r="C90" s="5"/>
      <c r="D90" s="5"/>
      <c r="E90" s="5"/>
      <c r="F90" s="5"/>
      <c r="G90" s="5"/>
      <c r="H90" s="5"/>
      <c r="I90" s="6"/>
      <c r="J90" s="5"/>
      <c r="K90" s="5"/>
      <c r="L90" s="5"/>
      <c r="M90" s="5"/>
    </row>
    <row r="91" spans="1:13" x14ac:dyDescent="0.35">
      <c r="A91" s="3"/>
      <c r="B91" s="4"/>
      <c r="C91" s="5"/>
      <c r="D91" s="5"/>
      <c r="E91" s="5"/>
      <c r="F91" s="5"/>
      <c r="G91" s="5"/>
      <c r="H91" s="5"/>
      <c r="I91" s="6"/>
      <c r="J91" s="5"/>
      <c r="K91" s="5"/>
      <c r="L91" s="5"/>
      <c r="M91" s="5"/>
    </row>
    <row r="92" spans="1:13" x14ac:dyDescent="0.35">
      <c r="A92" s="3"/>
      <c r="B92" s="4"/>
      <c r="C92" s="5"/>
      <c r="D92" s="5"/>
      <c r="E92" s="5"/>
      <c r="F92" s="5"/>
      <c r="G92" s="5"/>
      <c r="H92" s="5"/>
      <c r="I92" s="6"/>
      <c r="J92" s="5"/>
      <c r="K92" s="5"/>
      <c r="L92" s="5"/>
      <c r="M92" s="5"/>
    </row>
    <row r="93" spans="1:13" x14ac:dyDescent="0.35">
      <c r="A93" s="3"/>
      <c r="B93" s="4"/>
      <c r="C93" s="5"/>
      <c r="D93" s="5"/>
      <c r="E93" s="5"/>
      <c r="F93" s="5"/>
      <c r="G93" s="5"/>
      <c r="H93" s="5"/>
      <c r="I93" s="6"/>
      <c r="J93" s="5"/>
      <c r="K93" s="5"/>
      <c r="L93" s="5"/>
      <c r="M93" s="5"/>
    </row>
    <row r="94" spans="1:13" x14ac:dyDescent="0.35">
      <c r="A94" s="3"/>
      <c r="B94" s="4"/>
      <c r="C94" s="5"/>
      <c r="D94" s="5"/>
      <c r="E94" s="5"/>
      <c r="F94" s="5"/>
      <c r="G94" s="5"/>
      <c r="H94" s="5"/>
      <c r="I94" s="6"/>
      <c r="J94" s="5"/>
      <c r="K94" s="5"/>
      <c r="L94" s="5"/>
      <c r="M94" s="5"/>
    </row>
    <row r="95" spans="1:13" x14ac:dyDescent="0.35">
      <c r="A95" s="3"/>
      <c r="B95" s="4"/>
      <c r="C95" s="5"/>
      <c r="D95" s="5"/>
      <c r="E95" s="5"/>
      <c r="F95" s="5"/>
      <c r="G95" s="5"/>
      <c r="H95" s="5"/>
      <c r="I95" s="6"/>
      <c r="J95" s="5"/>
      <c r="K95" s="5"/>
      <c r="L95" s="5"/>
      <c r="M95" s="5"/>
    </row>
    <row r="96" spans="1:13" x14ac:dyDescent="0.35">
      <c r="A96" s="3"/>
      <c r="B96" s="4"/>
      <c r="C96" s="5"/>
      <c r="D96" s="5"/>
      <c r="E96" s="5"/>
      <c r="F96" s="5"/>
      <c r="G96" s="5"/>
      <c r="H96" s="5"/>
      <c r="I96" s="6"/>
      <c r="J96" s="5"/>
      <c r="K96" s="5"/>
      <c r="L96" s="5"/>
      <c r="M96" s="5"/>
    </row>
    <row r="97" spans="1:13" x14ac:dyDescent="0.35">
      <c r="A97" s="3"/>
      <c r="B97" s="4"/>
      <c r="C97" s="5"/>
      <c r="D97" s="5"/>
      <c r="E97" s="5"/>
      <c r="F97" s="5"/>
      <c r="G97" s="5"/>
      <c r="H97" s="5"/>
      <c r="I97" s="6"/>
      <c r="J97" s="5"/>
      <c r="K97" s="5"/>
      <c r="L97" s="5"/>
      <c r="M97" s="5"/>
    </row>
    <row r="98" spans="1:13" x14ac:dyDescent="0.35">
      <c r="A98" s="3"/>
      <c r="B98" s="4"/>
      <c r="C98" s="5"/>
      <c r="D98" s="5"/>
      <c r="E98" s="5"/>
      <c r="F98" s="5"/>
      <c r="G98" s="5"/>
      <c r="H98" s="5"/>
      <c r="I98" s="6"/>
      <c r="J98" s="5"/>
      <c r="K98" s="5"/>
      <c r="L98" s="5"/>
      <c r="M98" s="5"/>
    </row>
    <row r="99" spans="1:13" x14ac:dyDescent="0.35">
      <c r="A99" s="3"/>
      <c r="B99" s="4"/>
      <c r="C99" s="5"/>
      <c r="D99" s="5"/>
      <c r="E99" s="5"/>
      <c r="F99" s="5"/>
      <c r="G99" s="5"/>
      <c r="H99" s="5"/>
      <c r="I99" s="6"/>
      <c r="J99" s="5"/>
      <c r="K99" s="5"/>
      <c r="L99" s="5"/>
      <c r="M99" s="5"/>
    </row>
    <row r="100" spans="1:13" x14ac:dyDescent="0.35">
      <c r="A100" s="3"/>
      <c r="B100" s="4"/>
      <c r="C100" s="5"/>
      <c r="D100" s="5"/>
      <c r="E100" s="5"/>
      <c r="F100" s="5"/>
      <c r="G100" s="5"/>
      <c r="H100" s="5"/>
      <c r="I100" s="6"/>
      <c r="J100" s="5"/>
      <c r="K100" s="5"/>
      <c r="L100" s="5"/>
      <c r="M100" s="5"/>
    </row>
    <row r="101" spans="1:13" x14ac:dyDescent="0.35">
      <c r="A101" s="3"/>
      <c r="B101" s="4"/>
      <c r="C101" s="5"/>
      <c r="D101" s="5"/>
      <c r="E101" s="5"/>
      <c r="F101" s="5"/>
      <c r="G101" s="5"/>
      <c r="H101" s="5"/>
      <c r="I101" s="6"/>
      <c r="J101" s="5"/>
      <c r="K101" s="5"/>
      <c r="L101" s="5"/>
      <c r="M101" s="5"/>
    </row>
    <row r="102" spans="1:13" x14ac:dyDescent="0.35">
      <c r="A102" s="3"/>
      <c r="B102" s="4"/>
      <c r="C102" s="5"/>
      <c r="D102" s="5"/>
      <c r="E102" s="5"/>
      <c r="F102" s="5"/>
      <c r="G102" s="5"/>
      <c r="H102" s="5"/>
      <c r="I102" s="6"/>
      <c r="J102" s="5"/>
      <c r="K102" s="5"/>
      <c r="L102" s="5"/>
      <c r="M102" s="5"/>
    </row>
    <row r="103" spans="1:13" x14ac:dyDescent="0.35">
      <c r="A103" s="3"/>
      <c r="B103" s="4"/>
      <c r="C103" s="5"/>
      <c r="D103" s="5"/>
      <c r="E103" s="5"/>
      <c r="F103" s="5"/>
      <c r="G103" s="5"/>
      <c r="H103" s="5"/>
      <c r="I103" s="6"/>
      <c r="J103" s="5"/>
      <c r="K103" s="5"/>
      <c r="L103" s="5"/>
      <c r="M103" s="5"/>
    </row>
    <row r="104" spans="1:13" x14ac:dyDescent="0.35">
      <c r="A104" s="3"/>
      <c r="B104" s="4"/>
      <c r="C104" s="5"/>
      <c r="D104" s="5"/>
      <c r="E104" s="5"/>
      <c r="F104" s="5"/>
      <c r="G104" s="5"/>
      <c r="H104" s="5"/>
      <c r="I104" s="6"/>
      <c r="J104" s="5"/>
      <c r="K104" s="5"/>
      <c r="L104" s="5"/>
      <c r="M104" s="5"/>
    </row>
    <row r="105" spans="1:13" x14ac:dyDescent="0.35">
      <c r="A105" s="3"/>
      <c r="B105" s="4"/>
      <c r="C105" s="5"/>
      <c r="D105" s="5"/>
      <c r="E105" s="5"/>
      <c r="F105" s="5"/>
      <c r="G105" s="5"/>
      <c r="H105" s="5"/>
      <c r="I105" s="6"/>
      <c r="J105" s="5"/>
      <c r="K105" s="5"/>
      <c r="L105" s="5"/>
      <c r="M105" s="5"/>
    </row>
    <row r="106" spans="1:13" x14ac:dyDescent="0.35">
      <c r="A106" s="3"/>
      <c r="B106" s="4"/>
      <c r="C106" s="5"/>
      <c r="D106" s="5"/>
      <c r="E106" s="5"/>
      <c r="F106" s="5"/>
      <c r="G106" s="5"/>
      <c r="H106" s="5"/>
      <c r="I106" s="6"/>
      <c r="J106" s="5"/>
      <c r="K106" s="5"/>
      <c r="L106" s="5"/>
      <c r="M106" s="5"/>
    </row>
    <row r="107" spans="1:13" x14ac:dyDescent="0.35">
      <c r="A107" s="3"/>
      <c r="B107" s="4"/>
      <c r="C107" s="5"/>
      <c r="D107" s="5"/>
      <c r="E107" s="5"/>
      <c r="F107" s="5"/>
      <c r="G107" s="5"/>
      <c r="H107" s="5"/>
      <c r="I107" s="6"/>
      <c r="J107" s="5"/>
      <c r="K107" s="5"/>
      <c r="L107" s="5"/>
      <c r="M107" s="5"/>
    </row>
    <row r="108" spans="1:13" x14ac:dyDescent="0.35">
      <c r="A108" s="3"/>
      <c r="B108" s="4"/>
      <c r="C108" s="5"/>
      <c r="D108" s="5"/>
      <c r="E108" s="5"/>
      <c r="F108" s="5"/>
      <c r="G108" s="5"/>
      <c r="H108" s="5"/>
      <c r="I108" s="6"/>
      <c r="J108" s="5"/>
      <c r="K108" s="5"/>
      <c r="L108" s="5"/>
      <c r="M108" s="5"/>
    </row>
    <row r="109" spans="1:13" x14ac:dyDescent="0.35">
      <c r="A109" s="3"/>
      <c r="B109" s="4"/>
      <c r="C109" s="5"/>
      <c r="D109" s="5"/>
      <c r="E109" s="5"/>
      <c r="F109" s="5"/>
      <c r="G109" s="5"/>
      <c r="H109" s="5"/>
      <c r="I109" s="6"/>
      <c r="J109" s="5"/>
      <c r="K109" s="5"/>
      <c r="L109" s="5"/>
      <c r="M109" s="5"/>
    </row>
    <row r="110" spans="1:13" x14ac:dyDescent="0.35">
      <c r="A110" s="3"/>
      <c r="B110" s="4"/>
      <c r="C110" s="5"/>
      <c r="D110" s="5"/>
      <c r="E110" s="5"/>
      <c r="F110" s="5"/>
      <c r="G110" s="5"/>
      <c r="H110" s="5"/>
      <c r="I110" s="6"/>
      <c r="J110" s="5"/>
      <c r="K110" s="5"/>
      <c r="L110" s="5"/>
      <c r="M110" s="5"/>
    </row>
    <row r="111" spans="1:13" x14ac:dyDescent="0.35">
      <c r="A111" s="3"/>
      <c r="B111" s="4"/>
      <c r="C111" s="5"/>
      <c r="D111" s="5"/>
      <c r="E111" s="5"/>
      <c r="F111" s="5"/>
      <c r="G111" s="5"/>
      <c r="H111" s="5"/>
      <c r="I111" s="6"/>
      <c r="J111" s="5"/>
      <c r="K111" s="5"/>
      <c r="L111" s="5"/>
      <c r="M111" s="5"/>
    </row>
    <row r="112" spans="1:13" x14ac:dyDescent="0.35">
      <c r="A112" s="3"/>
      <c r="B112" s="4"/>
      <c r="C112" s="5"/>
      <c r="D112" s="5"/>
      <c r="E112" s="5"/>
      <c r="F112" s="5"/>
      <c r="G112" s="5"/>
      <c r="H112" s="5"/>
      <c r="I112" s="6"/>
      <c r="J112" s="5"/>
      <c r="K112" s="5"/>
      <c r="L112" s="5"/>
      <c r="M112" s="5"/>
    </row>
    <row r="113" spans="1:13" x14ac:dyDescent="0.35">
      <c r="A113" s="3"/>
      <c r="B113" s="4"/>
      <c r="C113" s="5"/>
      <c r="D113" s="5"/>
      <c r="E113" s="5"/>
      <c r="F113" s="5"/>
      <c r="G113" s="5"/>
      <c r="H113" s="5"/>
      <c r="I113" s="6"/>
      <c r="J113" s="5"/>
      <c r="K113" s="5"/>
      <c r="L113" s="5"/>
      <c r="M113" s="5"/>
    </row>
    <row r="114" spans="1:13" x14ac:dyDescent="0.35">
      <c r="A114" s="3"/>
      <c r="B114" s="4"/>
      <c r="C114" s="5"/>
      <c r="D114" s="5"/>
      <c r="E114" s="5"/>
      <c r="F114" s="5"/>
      <c r="G114" s="5"/>
      <c r="H114" s="5"/>
      <c r="I114" s="6"/>
      <c r="J114" s="5"/>
      <c r="K114" s="5"/>
      <c r="L114" s="5"/>
      <c r="M114" s="5"/>
    </row>
    <row r="115" spans="1:13" x14ac:dyDescent="0.35">
      <c r="A115" s="3"/>
      <c r="B115" s="4"/>
      <c r="C115" s="5"/>
      <c r="D115" s="5"/>
      <c r="E115" s="5"/>
      <c r="F115" s="5"/>
      <c r="G115" s="5"/>
      <c r="H115" s="5"/>
      <c r="I115" s="6"/>
      <c r="J115" s="5"/>
      <c r="K115" s="5"/>
      <c r="L115" s="5"/>
      <c r="M115" s="5"/>
    </row>
    <row r="116" spans="1:13" x14ac:dyDescent="0.35">
      <c r="A116" s="3"/>
      <c r="B116" s="4"/>
      <c r="C116" s="5"/>
      <c r="D116" s="5"/>
      <c r="E116" s="5"/>
      <c r="F116" s="5"/>
      <c r="G116" s="5"/>
      <c r="H116" s="5"/>
      <c r="I116" s="6"/>
      <c r="J116" s="5"/>
      <c r="K116" s="5"/>
      <c r="L116" s="5"/>
      <c r="M116" s="5"/>
    </row>
    <row r="117" spans="1:13" x14ac:dyDescent="0.35">
      <c r="A117" s="3"/>
      <c r="B117" s="4"/>
      <c r="C117" s="5"/>
      <c r="D117" s="5"/>
      <c r="E117" s="5"/>
      <c r="F117" s="5"/>
      <c r="G117" s="5"/>
      <c r="H117" s="5"/>
      <c r="I117" s="6"/>
      <c r="J117" s="5"/>
      <c r="K117" s="5"/>
      <c r="L117" s="5"/>
      <c r="M117" s="5"/>
    </row>
    <row r="118" spans="1:13" x14ac:dyDescent="0.35">
      <c r="A118" s="3"/>
      <c r="B118" s="4"/>
      <c r="C118" s="5"/>
      <c r="D118" s="5"/>
      <c r="E118" s="5"/>
      <c r="F118" s="5"/>
      <c r="G118" s="5"/>
      <c r="H118" s="5"/>
      <c r="I118" s="6"/>
      <c r="J118" s="5"/>
      <c r="K118" s="5"/>
      <c r="L118" s="5"/>
      <c r="M118" s="5"/>
    </row>
    <row r="119" spans="1:13" x14ac:dyDescent="0.35">
      <c r="A119" s="3"/>
      <c r="B119" s="4"/>
      <c r="C119" s="5"/>
      <c r="D119" s="5"/>
      <c r="E119" s="5"/>
      <c r="F119" s="5"/>
      <c r="G119" s="5"/>
      <c r="H119" s="5"/>
      <c r="I119" s="6"/>
      <c r="J119" s="5"/>
      <c r="K119" s="5"/>
      <c r="L119" s="5"/>
      <c r="M119" s="5"/>
    </row>
    <row r="120" spans="1:13" x14ac:dyDescent="0.35">
      <c r="A120" s="3"/>
      <c r="B120" s="4"/>
      <c r="C120" s="5"/>
      <c r="D120" s="5"/>
      <c r="E120" s="5"/>
      <c r="F120" s="5"/>
      <c r="G120" s="5"/>
      <c r="H120" s="5"/>
      <c r="I120" s="6"/>
      <c r="J120" s="5"/>
      <c r="K120" s="5"/>
      <c r="L120" s="5"/>
      <c r="M120" s="5"/>
    </row>
    <row r="121" spans="1:13" x14ac:dyDescent="0.35">
      <c r="A121" s="3"/>
      <c r="B121" s="4"/>
      <c r="C121" s="5"/>
      <c r="D121" s="5"/>
      <c r="E121" s="5"/>
      <c r="F121" s="5"/>
      <c r="G121" s="5"/>
      <c r="H121" s="5"/>
      <c r="I121" s="6"/>
      <c r="J121" s="5"/>
      <c r="K121" s="5"/>
      <c r="L121" s="5"/>
      <c r="M121" s="5"/>
    </row>
    <row r="122" spans="1:13" x14ac:dyDescent="0.35">
      <c r="A122" s="3"/>
      <c r="B122" s="4"/>
      <c r="C122" s="5"/>
      <c r="D122" s="5"/>
      <c r="E122" s="5"/>
      <c r="F122" s="5"/>
      <c r="G122" s="5"/>
      <c r="H122" s="5"/>
      <c r="I122" s="6"/>
      <c r="J122" s="5"/>
      <c r="K122" s="5"/>
      <c r="L122" s="5"/>
      <c r="M122" s="5"/>
    </row>
    <row r="123" spans="1:13" x14ac:dyDescent="0.35">
      <c r="A123" s="3"/>
      <c r="B123" s="4"/>
      <c r="C123" s="5"/>
      <c r="D123" s="5"/>
      <c r="E123" s="5"/>
      <c r="F123" s="5"/>
      <c r="G123" s="5"/>
      <c r="H123" s="5"/>
      <c r="I123" s="6"/>
      <c r="J123" s="5"/>
      <c r="K123" s="5"/>
      <c r="L123" s="5"/>
      <c r="M123" s="5"/>
    </row>
    <row r="124" spans="1:13" x14ac:dyDescent="0.35">
      <c r="A124" s="3"/>
      <c r="B124" s="4"/>
      <c r="C124" s="5"/>
      <c r="D124" s="5"/>
      <c r="E124" s="5"/>
      <c r="F124" s="5"/>
      <c r="G124" s="5"/>
      <c r="H124" s="5"/>
      <c r="I124" s="6"/>
      <c r="J124" s="5"/>
      <c r="K124" s="5"/>
      <c r="L124" s="5"/>
      <c r="M124" s="5"/>
    </row>
    <row r="125" spans="1:13" x14ac:dyDescent="0.35">
      <c r="A125" s="3"/>
      <c r="B125" s="4"/>
      <c r="C125" s="5"/>
      <c r="D125" s="5"/>
      <c r="E125" s="5"/>
      <c r="F125" s="5"/>
      <c r="G125" s="5"/>
      <c r="H125" s="5"/>
      <c r="I125" s="6"/>
      <c r="J125" s="5"/>
      <c r="K125" s="5"/>
      <c r="L125" s="5"/>
      <c r="M125" s="5"/>
    </row>
    <row r="126" spans="1:13" x14ac:dyDescent="0.35">
      <c r="A126" s="3"/>
      <c r="B126" s="4"/>
      <c r="C126" s="5"/>
      <c r="D126" s="5"/>
      <c r="E126" s="5"/>
      <c r="F126" s="5"/>
      <c r="G126" s="5"/>
      <c r="H126" s="5"/>
      <c r="I126" s="6"/>
      <c r="J126" s="5"/>
      <c r="K126" s="5"/>
      <c r="L126" s="5"/>
      <c r="M126" s="5"/>
    </row>
    <row r="127" spans="1:13" x14ac:dyDescent="0.35">
      <c r="A127" s="3"/>
      <c r="B127" s="4"/>
      <c r="C127" s="5"/>
      <c r="D127" s="5"/>
      <c r="E127" s="5"/>
      <c r="F127" s="5"/>
      <c r="G127" s="5"/>
      <c r="H127" s="5"/>
      <c r="I127" s="6"/>
      <c r="J127" s="5"/>
      <c r="K127" s="5"/>
      <c r="L127" s="5"/>
      <c r="M127" s="5"/>
    </row>
    <row r="128" spans="1:13" x14ac:dyDescent="0.35">
      <c r="A128" s="3"/>
      <c r="B128" s="4"/>
      <c r="C128" s="5"/>
      <c r="D128" s="5"/>
      <c r="E128" s="5"/>
      <c r="F128" s="5"/>
      <c r="G128" s="5"/>
      <c r="H128" s="5"/>
      <c r="I128" s="6"/>
      <c r="J128" s="5"/>
      <c r="K128" s="5"/>
      <c r="L128" s="5"/>
      <c r="M128" s="5"/>
    </row>
    <row r="129" spans="1:13" x14ac:dyDescent="0.35">
      <c r="A129" s="3"/>
      <c r="B129" s="4"/>
      <c r="C129" s="5"/>
      <c r="D129" s="5"/>
      <c r="E129" s="5"/>
      <c r="F129" s="5"/>
      <c r="G129" s="5"/>
      <c r="H129" s="5"/>
      <c r="I129" s="6"/>
      <c r="J129" s="5"/>
      <c r="K129" s="5"/>
      <c r="L129" s="5"/>
      <c r="M129" s="5"/>
    </row>
    <row r="130" spans="1:13" x14ac:dyDescent="0.35">
      <c r="A130" s="3"/>
      <c r="B130" s="4"/>
      <c r="C130" s="5"/>
      <c r="D130" s="5"/>
      <c r="E130" s="5"/>
      <c r="F130" s="5"/>
      <c r="G130" s="5"/>
      <c r="H130" s="5"/>
      <c r="I130" s="6"/>
      <c r="J130" s="5"/>
      <c r="K130" s="5"/>
      <c r="L130" s="5"/>
      <c r="M130" s="5"/>
    </row>
    <row r="131" spans="1:13" x14ac:dyDescent="0.35">
      <c r="A131" s="3"/>
      <c r="B131" s="4"/>
      <c r="C131" s="5"/>
      <c r="D131" s="5"/>
      <c r="E131" s="5"/>
      <c r="F131" s="5"/>
      <c r="G131" s="5"/>
      <c r="H131" s="5"/>
      <c r="I131" s="6"/>
      <c r="J131" s="5"/>
      <c r="K131" s="5"/>
      <c r="L131" s="5"/>
      <c r="M131" s="5"/>
    </row>
    <row r="132" spans="1:13" x14ac:dyDescent="0.35">
      <c r="A132" s="3"/>
      <c r="B132" s="4"/>
      <c r="C132" s="5"/>
      <c r="D132" s="5"/>
      <c r="E132" s="5"/>
      <c r="F132" s="5"/>
      <c r="G132" s="5"/>
      <c r="H132" s="5"/>
      <c r="I132" s="6"/>
      <c r="J132" s="5"/>
      <c r="K132" s="5"/>
      <c r="L132" s="5"/>
      <c r="M132" s="5"/>
    </row>
    <row r="133" spans="1:13" x14ac:dyDescent="0.35">
      <c r="A133" s="3"/>
      <c r="B133" s="4"/>
      <c r="C133" s="5"/>
      <c r="D133" s="5"/>
      <c r="E133" s="5"/>
      <c r="F133" s="5"/>
      <c r="G133" s="5"/>
      <c r="H133" s="5"/>
      <c r="I133" s="6"/>
      <c r="J133" s="5"/>
      <c r="K133" s="5"/>
      <c r="L133" s="5"/>
      <c r="M133" s="5"/>
    </row>
    <row r="134" spans="1:13" x14ac:dyDescent="0.35">
      <c r="A134" s="3"/>
      <c r="B134" s="4"/>
      <c r="C134" s="5"/>
      <c r="D134" s="5"/>
      <c r="E134" s="5"/>
      <c r="F134" s="5"/>
      <c r="G134" s="5"/>
      <c r="H134" s="5"/>
      <c r="I134" s="6"/>
      <c r="J134" s="5"/>
      <c r="K134" s="5"/>
      <c r="L134" s="5"/>
      <c r="M134" s="5"/>
    </row>
    <row r="135" spans="1:13" x14ac:dyDescent="0.35">
      <c r="A135" s="3"/>
      <c r="B135" s="4"/>
      <c r="C135" s="5"/>
      <c r="D135" s="5"/>
      <c r="E135" s="5"/>
      <c r="F135" s="5"/>
      <c r="G135" s="5"/>
      <c r="H135" s="5"/>
      <c r="I135" s="6"/>
      <c r="J135" s="5"/>
      <c r="K135" s="5"/>
      <c r="L135" s="5"/>
      <c r="M135" s="5"/>
    </row>
    <row r="136" spans="1:13" x14ac:dyDescent="0.35">
      <c r="A136" s="3"/>
      <c r="B136" s="4"/>
      <c r="C136" s="5"/>
      <c r="D136" s="5"/>
      <c r="E136" s="5"/>
      <c r="F136" s="5"/>
      <c r="G136" s="5"/>
      <c r="H136" s="5"/>
      <c r="I136" s="6"/>
      <c r="J136" s="5"/>
      <c r="K136" s="5"/>
      <c r="L136" s="5"/>
      <c r="M136" s="5"/>
    </row>
    <row r="137" spans="1:13" x14ac:dyDescent="0.35">
      <c r="A137" s="3"/>
      <c r="B137" s="4"/>
      <c r="C137" s="5"/>
      <c r="D137" s="5"/>
      <c r="E137" s="5"/>
      <c r="F137" s="5"/>
      <c r="G137" s="5"/>
      <c r="H137" s="5"/>
      <c r="I137" s="6"/>
      <c r="J137" s="5"/>
      <c r="K137" s="5"/>
      <c r="L137" s="5"/>
      <c r="M137" s="5"/>
    </row>
    <row r="138" spans="1:13" x14ac:dyDescent="0.35">
      <c r="A138" s="3"/>
      <c r="B138" s="4"/>
      <c r="C138" s="5"/>
      <c r="D138" s="5"/>
      <c r="E138" s="5"/>
      <c r="F138" s="5"/>
      <c r="G138" s="5"/>
      <c r="H138" s="5"/>
      <c r="I138" s="6"/>
      <c r="J138" s="5"/>
      <c r="K138" s="5"/>
      <c r="L138" s="5"/>
      <c r="M138" s="5"/>
    </row>
    <row r="139" spans="1:13" x14ac:dyDescent="0.35">
      <c r="A139" s="3"/>
      <c r="B139" s="4"/>
      <c r="C139" s="5"/>
      <c r="D139" s="5"/>
      <c r="E139" s="5"/>
      <c r="F139" s="5"/>
      <c r="G139" s="5"/>
      <c r="H139" s="5"/>
      <c r="I139" s="6"/>
      <c r="J139" s="5"/>
      <c r="K139" s="5"/>
      <c r="L139" s="5"/>
      <c r="M139" s="5"/>
    </row>
    <row r="140" spans="1:13" x14ac:dyDescent="0.35">
      <c r="A140" s="3"/>
      <c r="B140" s="4"/>
      <c r="C140" s="5"/>
      <c r="D140" s="5"/>
      <c r="E140" s="5"/>
      <c r="F140" s="5"/>
      <c r="G140" s="5"/>
      <c r="H140" s="5"/>
      <c r="I140" s="6"/>
      <c r="J140" s="5"/>
      <c r="K140" s="5"/>
      <c r="L140" s="5"/>
      <c r="M140" s="5"/>
    </row>
    <row r="141" spans="1:13" x14ac:dyDescent="0.35">
      <c r="A141" s="3"/>
      <c r="B141" s="4"/>
      <c r="C141" s="5"/>
      <c r="D141" s="5"/>
      <c r="E141" s="5"/>
      <c r="F141" s="5"/>
      <c r="G141" s="5"/>
      <c r="H141" s="5"/>
      <c r="I141" s="6"/>
      <c r="J141" s="5"/>
      <c r="K141" s="5"/>
      <c r="L141" s="5"/>
      <c r="M141" s="5"/>
    </row>
    <row r="142" spans="1:13" x14ac:dyDescent="0.35">
      <c r="A142" s="3"/>
      <c r="B142" s="4"/>
      <c r="C142" s="5"/>
      <c r="D142" s="5"/>
      <c r="E142" s="5"/>
      <c r="F142" s="5"/>
      <c r="G142" s="5"/>
      <c r="H142" s="5"/>
      <c r="I142" s="6"/>
      <c r="J142" s="5"/>
      <c r="K142" s="5"/>
      <c r="L142" s="5"/>
      <c r="M142" s="5"/>
    </row>
    <row r="143" spans="1:13" x14ac:dyDescent="0.35">
      <c r="A143" s="3"/>
      <c r="B143" s="4"/>
      <c r="C143" s="5"/>
      <c r="D143" s="5"/>
      <c r="E143" s="5"/>
      <c r="F143" s="5"/>
      <c r="G143" s="5"/>
      <c r="H143" s="5"/>
      <c r="I143" s="6"/>
      <c r="J143" s="5"/>
      <c r="K143" s="5"/>
      <c r="L143" s="5"/>
      <c r="M143" s="5"/>
    </row>
    <row r="144" spans="1:13" x14ac:dyDescent="0.35">
      <c r="A144" s="3"/>
      <c r="B144" s="4"/>
      <c r="C144" s="5"/>
      <c r="D144" s="5"/>
      <c r="E144" s="5"/>
      <c r="F144" s="5"/>
      <c r="G144" s="5"/>
      <c r="H144" s="5"/>
      <c r="I144" s="6"/>
      <c r="J144" s="5"/>
      <c r="K144" s="5"/>
      <c r="L144" s="5"/>
      <c r="M144" s="5"/>
    </row>
    <row r="145" spans="1:13" x14ac:dyDescent="0.35">
      <c r="A145" s="3"/>
      <c r="B145" s="4"/>
      <c r="C145" s="5"/>
      <c r="D145" s="5"/>
      <c r="E145" s="5"/>
      <c r="F145" s="5"/>
      <c r="G145" s="5"/>
      <c r="H145" s="5"/>
      <c r="I145" s="6"/>
      <c r="J145" s="5"/>
      <c r="K145" s="5"/>
      <c r="L145" s="5"/>
      <c r="M145" s="5"/>
    </row>
    <row r="146" spans="1:13" x14ac:dyDescent="0.35">
      <c r="A146" s="3"/>
      <c r="B146" s="4"/>
      <c r="C146" s="5"/>
      <c r="D146" s="5"/>
      <c r="E146" s="5"/>
      <c r="F146" s="5"/>
      <c r="G146" s="5"/>
      <c r="H146" s="5"/>
      <c r="I146" s="6"/>
      <c r="J146" s="5"/>
      <c r="K146" s="5"/>
      <c r="L146" s="5"/>
      <c r="M146" s="5"/>
    </row>
    <row r="147" spans="1:13" x14ac:dyDescent="0.35">
      <c r="A147" s="3"/>
      <c r="B147" s="4"/>
      <c r="C147" s="5"/>
      <c r="D147" s="5"/>
      <c r="E147" s="5"/>
      <c r="F147" s="5"/>
      <c r="G147" s="5"/>
      <c r="H147" s="5"/>
      <c r="I147" s="6"/>
      <c r="J147" s="5"/>
      <c r="K147" s="5"/>
      <c r="L147" s="5"/>
      <c r="M147" s="5"/>
    </row>
    <row r="148" spans="1:13" x14ac:dyDescent="0.35">
      <c r="A148" s="3"/>
      <c r="B148" s="4"/>
      <c r="C148" s="5"/>
      <c r="D148" s="5"/>
      <c r="E148" s="5"/>
      <c r="F148" s="5"/>
      <c r="G148" s="5"/>
      <c r="H148" s="5"/>
      <c r="I148" s="6"/>
      <c r="J148" s="5"/>
      <c r="K148" s="5"/>
      <c r="L148" s="5"/>
      <c r="M148" s="5"/>
    </row>
    <row r="149" spans="1:13" x14ac:dyDescent="0.35">
      <c r="A149" s="3"/>
      <c r="B149" s="4"/>
      <c r="C149" s="5"/>
      <c r="D149" s="5"/>
      <c r="E149" s="5"/>
      <c r="F149" s="5"/>
      <c r="G149" s="5"/>
      <c r="H149" s="5"/>
      <c r="I149" s="6"/>
      <c r="J149" s="5"/>
      <c r="K149" s="5"/>
      <c r="L149" s="5"/>
      <c r="M149" s="5"/>
    </row>
    <row r="150" spans="1:13" x14ac:dyDescent="0.35">
      <c r="A150" s="3"/>
      <c r="B150" s="4"/>
      <c r="C150" s="5"/>
      <c r="D150" s="5"/>
      <c r="E150" s="5"/>
      <c r="F150" s="5"/>
      <c r="G150" s="5"/>
      <c r="H150" s="5"/>
      <c r="I150" s="6"/>
      <c r="J150" s="5"/>
      <c r="K150" s="5"/>
      <c r="L150" s="5"/>
      <c r="M150" s="5"/>
    </row>
    <row r="151" spans="1:13" x14ac:dyDescent="0.35">
      <c r="A151" s="3"/>
      <c r="B151" s="4"/>
      <c r="C151" s="5"/>
      <c r="D151" s="5"/>
      <c r="E151" s="5"/>
      <c r="F151" s="5"/>
      <c r="G151" s="5"/>
      <c r="H151" s="5"/>
      <c r="I151" s="6"/>
      <c r="J151" s="5"/>
      <c r="K151" s="5"/>
      <c r="L151" s="5"/>
      <c r="M151" s="5"/>
    </row>
    <row r="152" spans="1:13" x14ac:dyDescent="0.35">
      <c r="A152" s="3"/>
      <c r="B152" s="4"/>
      <c r="C152" s="5"/>
      <c r="D152" s="5"/>
      <c r="E152" s="5"/>
      <c r="F152" s="5"/>
      <c r="G152" s="5"/>
      <c r="H152" s="5"/>
      <c r="I152" s="6"/>
      <c r="J152" s="5"/>
      <c r="K152" s="5"/>
      <c r="L152" s="5"/>
      <c r="M152" s="5"/>
    </row>
    <row r="153" spans="1:13" x14ac:dyDescent="0.35">
      <c r="A153" s="3"/>
      <c r="B153" s="4"/>
      <c r="C153" s="5"/>
      <c r="D153" s="5"/>
      <c r="E153" s="5"/>
      <c r="F153" s="5"/>
      <c r="G153" s="5"/>
      <c r="H153" s="5"/>
      <c r="I153" s="6"/>
      <c r="J153" s="5"/>
      <c r="K153" s="5"/>
      <c r="L153" s="5"/>
      <c r="M153" s="5"/>
    </row>
    <row r="154" spans="1:13" x14ac:dyDescent="0.35">
      <c r="A154" s="3"/>
      <c r="B154" s="4"/>
      <c r="C154" s="5"/>
      <c r="D154" s="5"/>
      <c r="E154" s="5"/>
      <c r="F154" s="5"/>
      <c r="G154" s="5"/>
      <c r="H154" s="5"/>
      <c r="I154" s="6"/>
      <c r="J154" s="5"/>
      <c r="K154" s="5"/>
      <c r="L154" s="5"/>
      <c r="M154" s="5"/>
    </row>
    <row r="155" spans="1:13" x14ac:dyDescent="0.35">
      <c r="A155" s="3"/>
      <c r="B155" s="4"/>
      <c r="C155" s="5"/>
      <c r="D155" s="5"/>
      <c r="E155" s="5"/>
      <c r="F155" s="5"/>
      <c r="G155" s="5"/>
      <c r="H155" s="5"/>
      <c r="I155" s="6"/>
      <c r="J155" s="5"/>
      <c r="K155" s="5"/>
      <c r="L155" s="5"/>
      <c r="M155" s="5"/>
    </row>
    <row r="156" spans="1:13" x14ac:dyDescent="0.35">
      <c r="A156" s="3"/>
      <c r="B156" s="4"/>
      <c r="C156" s="5"/>
      <c r="D156" s="5"/>
      <c r="E156" s="5"/>
      <c r="F156" s="5"/>
      <c r="G156" s="5"/>
      <c r="H156" s="5"/>
      <c r="I156" s="6"/>
      <c r="J156" s="5"/>
      <c r="K156" s="5"/>
      <c r="L156" s="5"/>
      <c r="M156" s="5"/>
    </row>
    <row r="157" spans="1:13" x14ac:dyDescent="0.35">
      <c r="A157" s="3"/>
      <c r="B157" s="4"/>
      <c r="C157" s="5"/>
      <c r="D157" s="5"/>
      <c r="E157" s="5"/>
      <c r="F157" s="5"/>
      <c r="G157" s="5"/>
      <c r="H157" s="5"/>
      <c r="I157" s="6"/>
      <c r="J157" s="5"/>
      <c r="K157" s="5"/>
      <c r="L157" s="5"/>
      <c r="M157" s="5"/>
    </row>
    <row r="158" spans="1:13" x14ac:dyDescent="0.35">
      <c r="A158" s="3"/>
      <c r="B158" s="4"/>
      <c r="C158" s="5"/>
      <c r="D158" s="5"/>
      <c r="E158" s="5"/>
      <c r="F158" s="5"/>
      <c r="G158" s="5"/>
      <c r="H158" s="5"/>
      <c r="I158" s="6"/>
      <c r="J158" s="5"/>
      <c r="K158" s="5"/>
      <c r="L158" s="5"/>
      <c r="M158" s="5"/>
    </row>
    <row r="159" spans="1:13" x14ac:dyDescent="0.35">
      <c r="A159" s="3"/>
      <c r="B159" s="4"/>
      <c r="C159" s="5"/>
      <c r="D159" s="5"/>
      <c r="E159" s="5"/>
      <c r="F159" s="5"/>
      <c r="G159" s="5"/>
      <c r="H159" s="5"/>
      <c r="I159" s="6"/>
      <c r="J159" s="5"/>
      <c r="K159" s="5"/>
      <c r="L159" s="5"/>
      <c r="M159" s="5"/>
    </row>
    <row r="160" spans="1:13" x14ac:dyDescent="0.35">
      <c r="A160" s="3"/>
      <c r="B160" s="4"/>
      <c r="C160" s="5"/>
      <c r="D160" s="5"/>
      <c r="E160" s="5"/>
      <c r="F160" s="5"/>
      <c r="G160" s="5"/>
      <c r="H160" s="5"/>
      <c r="I160" s="6"/>
      <c r="J160" s="5"/>
      <c r="K160" s="5"/>
      <c r="L160" s="5"/>
      <c r="M160" s="5"/>
    </row>
    <row r="161" spans="1:13" x14ac:dyDescent="0.35">
      <c r="A161" s="3"/>
      <c r="B161" s="4"/>
      <c r="C161" s="5"/>
      <c r="D161" s="5"/>
      <c r="E161" s="5"/>
      <c r="F161" s="5"/>
      <c r="G161" s="5"/>
      <c r="H161" s="5"/>
      <c r="I161" s="6"/>
      <c r="J161" s="5"/>
      <c r="K161" s="5"/>
      <c r="L161" s="5"/>
      <c r="M161" s="5"/>
    </row>
    <row r="162" spans="1:13" x14ac:dyDescent="0.35">
      <c r="A162" s="3"/>
      <c r="B162" s="4"/>
      <c r="C162" s="5"/>
      <c r="D162" s="5"/>
      <c r="E162" s="5"/>
      <c r="F162" s="5"/>
      <c r="G162" s="5"/>
      <c r="H162" s="5"/>
      <c r="I162" s="6"/>
      <c r="J162" s="5"/>
      <c r="K162" s="5"/>
      <c r="L162" s="5"/>
      <c r="M162" s="5"/>
    </row>
    <row r="163" spans="1:13" x14ac:dyDescent="0.35">
      <c r="A163" s="3"/>
      <c r="B163" s="4"/>
      <c r="C163" s="5"/>
      <c r="D163" s="5"/>
      <c r="E163" s="5"/>
      <c r="F163" s="5"/>
      <c r="G163" s="5"/>
      <c r="H163" s="5"/>
      <c r="I163" s="6"/>
      <c r="J163" s="5"/>
      <c r="K163" s="5"/>
      <c r="L163" s="5"/>
      <c r="M163" s="5"/>
    </row>
    <row r="164" spans="1:13" x14ac:dyDescent="0.35">
      <c r="A164" s="3"/>
      <c r="B164" s="4"/>
      <c r="C164" s="5"/>
      <c r="D164" s="5"/>
      <c r="E164" s="5"/>
      <c r="F164" s="5"/>
      <c r="G164" s="5"/>
      <c r="H164" s="5"/>
      <c r="I164" s="6"/>
      <c r="J164" s="5"/>
      <c r="K164" s="5"/>
      <c r="L164" s="5"/>
      <c r="M164" s="5"/>
    </row>
    <row r="165" spans="1:13" x14ac:dyDescent="0.35">
      <c r="A165" s="3"/>
      <c r="B165" s="4"/>
      <c r="C165" s="5"/>
      <c r="D165" s="5"/>
      <c r="E165" s="5"/>
      <c r="F165" s="5"/>
      <c r="G165" s="5"/>
      <c r="H165" s="5"/>
      <c r="I165" s="6"/>
      <c r="J165" s="5"/>
      <c r="K165" s="5"/>
      <c r="L165" s="5"/>
      <c r="M165" s="5"/>
    </row>
    <row r="166" spans="1:13" x14ac:dyDescent="0.35">
      <c r="A166" s="3"/>
      <c r="B166" s="4"/>
      <c r="C166" s="5"/>
      <c r="D166" s="5"/>
      <c r="E166" s="5"/>
      <c r="F166" s="5"/>
      <c r="G166" s="5"/>
      <c r="H166" s="5"/>
      <c r="I166" s="6"/>
      <c r="J166" s="5"/>
      <c r="K166" s="5"/>
      <c r="L166" s="5"/>
      <c r="M166" s="5"/>
    </row>
    <row r="167" spans="1:13" x14ac:dyDescent="0.35">
      <c r="A167" s="3"/>
      <c r="B167" s="4"/>
      <c r="C167" s="5"/>
      <c r="D167" s="5"/>
      <c r="E167" s="5"/>
      <c r="F167" s="5"/>
      <c r="G167" s="5"/>
      <c r="H167" s="5"/>
      <c r="I167" s="6"/>
      <c r="J167" s="5"/>
      <c r="K167" s="5"/>
      <c r="L167" s="5"/>
      <c r="M167" s="5"/>
    </row>
    <row r="168" spans="1:13" x14ac:dyDescent="0.35">
      <c r="A168" s="3"/>
      <c r="B168" s="4"/>
      <c r="C168" s="5"/>
      <c r="D168" s="5"/>
      <c r="E168" s="5"/>
      <c r="F168" s="5"/>
      <c r="G168" s="5"/>
      <c r="H168" s="5"/>
      <c r="I168" s="6"/>
      <c r="J168" s="5"/>
      <c r="K168" s="5"/>
      <c r="L168" s="5"/>
      <c r="M168" s="5"/>
    </row>
    <row r="169" spans="1:13" x14ac:dyDescent="0.35">
      <c r="A169" s="3"/>
      <c r="B169" s="4"/>
      <c r="C169" s="5"/>
      <c r="D169" s="5"/>
      <c r="E169" s="5"/>
      <c r="F169" s="5"/>
      <c r="G169" s="5"/>
      <c r="H169" s="5"/>
      <c r="I169" s="6"/>
      <c r="J169" s="5"/>
      <c r="K169" s="5"/>
      <c r="L169" s="5"/>
      <c r="M169" s="5"/>
    </row>
    <row r="170" spans="1:13" x14ac:dyDescent="0.35">
      <c r="A170" s="3"/>
      <c r="B170" s="4"/>
      <c r="C170" s="5"/>
      <c r="D170" s="5"/>
      <c r="E170" s="5"/>
      <c r="F170" s="5"/>
      <c r="G170" s="5"/>
      <c r="H170" s="5"/>
      <c r="I170" s="6"/>
      <c r="J170" s="5"/>
      <c r="K170" s="5"/>
      <c r="L170" s="5"/>
      <c r="M170" s="5"/>
    </row>
    <row r="171" spans="1:13" x14ac:dyDescent="0.35">
      <c r="A171" s="3"/>
      <c r="B171" s="4"/>
      <c r="C171" s="5"/>
      <c r="D171" s="5"/>
      <c r="E171" s="5"/>
      <c r="F171" s="5"/>
      <c r="G171" s="5"/>
      <c r="H171" s="5"/>
      <c r="I171" s="6"/>
      <c r="J171" s="5"/>
      <c r="K171" s="5"/>
      <c r="L171" s="5"/>
      <c r="M171" s="5"/>
    </row>
    <row r="172" spans="1:13" x14ac:dyDescent="0.35">
      <c r="A172" s="3"/>
      <c r="B172" s="4"/>
      <c r="C172" s="5"/>
      <c r="D172" s="5"/>
      <c r="E172" s="5"/>
      <c r="F172" s="5"/>
      <c r="G172" s="5"/>
      <c r="H172" s="5"/>
      <c r="I172" s="6"/>
      <c r="J172" s="5"/>
      <c r="K172" s="5"/>
      <c r="L172" s="5"/>
      <c r="M172" s="5"/>
    </row>
    <row r="173" spans="1:13" x14ac:dyDescent="0.35">
      <c r="A173" s="3"/>
      <c r="B173" s="4"/>
      <c r="C173" s="5"/>
      <c r="D173" s="5"/>
      <c r="E173" s="5"/>
      <c r="F173" s="5"/>
      <c r="G173" s="5"/>
      <c r="H173" s="5"/>
      <c r="I173" s="6"/>
      <c r="J173" s="5"/>
      <c r="K173" s="5"/>
      <c r="L173" s="5"/>
      <c r="M173" s="5"/>
    </row>
    <row r="174" spans="1:13" x14ac:dyDescent="0.35">
      <c r="A174" s="3"/>
      <c r="B174" s="4"/>
      <c r="C174" s="5"/>
      <c r="D174" s="5"/>
      <c r="E174" s="5"/>
      <c r="F174" s="5"/>
      <c r="G174" s="5"/>
      <c r="H174" s="5"/>
      <c r="I174" s="6"/>
      <c r="J174" s="5"/>
      <c r="K174" s="5"/>
      <c r="L174" s="5"/>
      <c r="M174" s="5"/>
    </row>
    <row r="175" spans="1:13" x14ac:dyDescent="0.35">
      <c r="A175" s="3"/>
      <c r="B175" s="4"/>
      <c r="C175" s="5"/>
      <c r="D175" s="5"/>
      <c r="E175" s="5"/>
      <c r="F175" s="5"/>
      <c r="G175" s="5"/>
      <c r="H175" s="5"/>
      <c r="I175" s="6"/>
      <c r="J175" s="5"/>
      <c r="K175" s="5"/>
      <c r="L175" s="5"/>
      <c r="M175" s="5"/>
    </row>
    <row r="176" spans="1:13" x14ac:dyDescent="0.35">
      <c r="A176" s="3"/>
      <c r="B176" s="4"/>
      <c r="C176" s="5"/>
      <c r="D176" s="5"/>
      <c r="E176" s="5"/>
      <c r="F176" s="5"/>
      <c r="G176" s="5"/>
      <c r="H176" s="5"/>
      <c r="I176" s="6"/>
      <c r="J176" s="5"/>
      <c r="K176" s="5"/>
      <c r="L176" s="5"/>
      <c r="M176" s="5"/>
    </row>
    <row r="177" spans="1:13" x14ac:dyDescent="0.35">
      <c r="A177" s="3"/>
      <c r="B177" s="4"/>
      <c r="C177" s="5"/>
      <c r="D177" s="5"/>
      <c r="E177" s="5"/>
      <c r="F177" s="5"/>
      <c r="G177" s="5"/>
      <c r="H177" s="5"/>
      <c r="I177" s="6"/>
      <c r="J177" s="5"/>
      <c r="K177" s="5"/>
      <c r="L177" s="5"/>
      <c r="M177" s="5"/>
    </row>
    <row r="178" spans="1:13" x14ac:dyDescent="0.35">
      <c r="A178" s="3"/>
      <c r="B178" s="4"/>
      <c r="C178" s="5"/>
      <c r="D178" s="5"/>
      <c r="E178" s="5"/>
      <c r="F178" s="5"/>
      <c r="G178" s="5"/>
      <c r="H178" s="5"/>
      <c r="I178" s="6"/>
      <c r="J178" s="5"/>
      <c r="K178" s="5"/>
      <c r="L178" s="5"/>
      <c r="M178" s="5"/>
    </row>
    <row r="179" spans="1:13" x14ac:dyDescent="0.35">
      <c r="A179" s="3"/>
      <c r="B179" s="4"/>
      <c r="C179" s="5"/>
      <c r="D179" s="5"/>
      <c r="E179" s="5"/>
      <c r="F179" s="5"/>
      <c r="G179" s="5"/>
      <c r="H179" s="5"/>
      <c r="I179" s="6"/>
      <c r="J179" s="5"/>
      <c r="K179" s="5"/>
      <c r="L179" s="5"/>
      <c r="M179" s="5"/>
    </row>
    <row r="180" spans="1:13" x14ac:dyDescent="0.35">
      <c r="A180" s="3"/>
      <c r="B180" s="4"/>
      <c r="C180" s="5"/>
      <c r="D180" s="5"/>
      <c r="E180" s="5"/>
      <c r="F180" s="5"/>
      <c r="G180" s="5"/>
      <c r="H180" s="5"/>
      <c r="I180" s="6"/>
      <c r="J180" s="5"/>
      <c r="K180" s="5"/>
      <c r="L180" s="5"/>
      <c r="M180" s="5"/>
    </row>
    <row r="181" spans="1:13" x14ac:dyDescent="0.35">
      <c r="A181" s="3"/>
      <c r="B181" s="4"/>
      <c r="C181" s="5"/>
      <c r="D181" s="5"/>
      <c r="E181" s="5"/>
      <c r="F181" s="5"/>
      <c r="G181" s="5"/>
      <c r="H181" s="5"/>
      <c r="I181" s="6"/>
      <c r="J181" s="5"/>
      <c r="K181" s="5"/>
      <c r="L181" s="5"/>
      <c r="M181" s="5"/>
    </row>
    <row r="182" spans="1:13" x14ac:dyDescent="0.35">
      <c r="A182" s="3"/>
      <c r="B182" s="4"/>
      <c r="C182" s="5"/>
      <c r="D182" s="5"/>
      <c r="E182" s="5"/>
      <c r="F182" s="5"/>
      <c r="G182" s="5"/>
      <c r="H182" s="5"/>
      <c r="I182" s="6"/>
      <c r="J182" s="5"/>
      <c r="K182" s="5"/>
      <c r="L182" s="5"/>
      <c r="M182" s="5"/>
    </row>
    <row r="183" spans="1:13" x14ac:dyDescent="0.35">
      <c r="A183" s="3"/>
      <c r="B183" s="4"/>
      <c r="C183" s="5"/>
      <c r="D183" s="5"/>
      <c r="E183" s="5"/>
      <c r="F183" s="5"/>
      <c r="G183" s="5"/>
      <c r="H183" s="5"/>
      <c r="I183" s="6"/>
      <c r="J183" s="5"/>
      <c r="K183" s="5"/>
      <c r="L183" s="5"/>
      <c r="M183" s="5"/>
    </row>
    <row r="184" spans="1:13" x14ac:dyDescent="0.35">
      <c r="A184" s="3"/>
      <c r="B184" s="4"/>
      <c r="C184" s="5"/>
      <c r="D184" s="5"/>
      <c r="E184" s="5"/>
      <c r="F184" s="5"/>
      <c r="G184" s="5"/>
      <c r="H184" s="5"/>
      <c r="I184" s="6"/>
      <c r="J184" s="5"/>
      <c r="K184" s="5"/>
      <c r="L184" s="5"/>
      <c r="M184" s="5"/>
    </row>
    <row r="185" spans="1:13" x14ac:dyDescent="0.35">
      <c r="A185" s="3"/>
      <c r="B185" s="4"/>
      <c r="C185" s="5"/>
      <c r="D185" s="5"/>
      <c r="E185" s="5"/>
      <c r="F185" s="5"/>
      <c r="G185" s="5"/>
      <c r="H185" s="5"/>
      <c r="I185" s="6"/>
      <c r="J185" s="5"/>
      <c r="K185" s="5"/>
      <c r="L185" s="5"/>
      <c r="M185" s="5"/>
    </row>
    <row r="186" spans="1:13" x14ac:dyDescent="0.35">
      <c r="A186" s="3"/>
      <c r="B186" s="4"/>
      <c r="C186" s="5"/>
      <c r="D186" s="5"/>
      <c r="E186" s="5"/>
      <c r="F186" s="5"/>
      <c r="G186" s="5"/>
      <c r="H186" s="5"/>
      <c r="I186" s="6"/>
      <c r="J186" s="5"/>
      <c r="K186" s="5"/>
      <c r="L186" s="5"/>
      <c r="M186" s="5"/>
    </row>
    <row r="187" spans="1:13" x14ac:dyDescent="0.35">
      <c r="A187" s="3"/>
      <c r="B187" s="4"/>
      <c r="C187" s="5"/>
      <c r="D187" s="5"/>
      <c r="E187" s="5"/>
      <c r="F187" s="5"/>
      <c r="G187" s="5"/>
      <c r="H187" s="5"/>
      <c r="I187" s="6"/>
      <c r="J187" s="5"/>
      <c r="K187" s="5"/>
      <c r="L187" s="5"/>
      <c r="M187" s="5"/>
    </row>
    <row r="188" spans="1:13" x14ac:dyDescent="0.35">
      <c r="A188" s="3"/>
      <c r="B188" s="4"/>
      <c r="C188" s="5"/>
      <c r="D188" s="5"/>
      <c r="E188" s="5"/>
      <c r="F188" s="5"/>
      <c r="G188" s="5"/>
      <c r="H188" s="5"/>
      <c r="I188" s="6"/>
      <c r="J188" s="5"/>
      <c r="K188" s="5"/>
      <c r="L188" s="5"/>
      <c r="M188" s="5"/>
    </row>
    <row r="189" spans="1:13" x14ac:dyDescent="0.35">
      <c r="A189" s="3"/>
      <c r="B189" s="4"/>
      <c r="C189" s="5"/>
      <c r="D189" s="5"/>
      <c r="E189" s="5"/>
      <c r="F189" s="5"/>
      <c r="G189" s="5"/>
      <c r="H189" s="5"/>
      <c r="I189" s="6"/>
      <c r="J189" s="5"/>
      <c r="K189" s="5"/>
      <c r="L189" s="5"/>
      <c r="M189" s="5"/>
    </row>
    <row r="190" spans="1:13" x14ac:dyDescent="0.35">
      <c r="A190" s="3"/>
      <c r="B190" s="4"/>
      <c r="C190" s="5"/>
      <c r="D190" s="5"/>
      <c r="E190" s="5"/>
      <c r="F190" s="5"/>
      <c r="G190" s="5"/>
      <c r="H190" s="5"/>
      <c r="I190" s="6"/>
      <c r="J190" s="5"/>
      <c r="K190" s="5"/>
      <c r="L190" s="5"/>
      <c r="M190" s="5"/>
    </row>
    <row r="191" spans="1:13" x14ac:dyDescent="0.35">
      <c r="A191" s="3"/>
      <c r="B191" s="4"/>
      <c r="C191" s="5"/>
      <c r="D191" s="5"/>
      <c r="E191" s="5"/>
      <c r="F191" s="5"/>
      <c r="G191" s="5"/>
      <c r="H191" s="5"/>
      <c r="I191" s="6"/>
      <c r="J191" s="5"/>
      <c r="K191" s="5"/>
      <c r="L191" s="5"/>
      <c r="M191" s="5"/>
    </row>
    <row r="192" spans="1:13" x14ac:dyDescent="0.35">
      <c r="A192" s="3"/>
      <c r="B192" s="4"/>
      <c r="C192" s="5"/>
      <c r="D192" s="5"/>
      <c r="E192" s="5"/>
      <c r="F192" s="5"/>
      <c r="G192" s="5"/>
      <c r="H192" s="5"/>
      <c r="I192" s="6"/>
      <c r="J192" s="5"/>
      <c r="K192" s="5"/>
      <c r="L192" s="5"/>
      <c r="M192" s="5"/>
    </row>
    <row r="193" spans="1:13" x14ac:dyDescent="0.35">
      <c r="A193" s="3"/>
      <c r="B193" s="4"/>
      <c r="C193" s="5"/>
      <c r="D193" s="5"/>
      <c r="E193" s="5"/>
      <c r="F193" s="5"/>
      <c r="G193" s="5"/>
      <c r="H193" s="5"/>
      <c r="I193" s="6"/>
      <c r="J193" s="5"/>
      <c r="K193" s="5"/>
      <c r="L193" s="5"/>
      <c r="M193" s="5"/>
    </row>
    <row r="194" spans="1:13" x14ac:dyDescent="0.35">
      <c r="A194" s="3"/>
      <c r="B194" s="4"/>
      <c r="C194" s="5"/>
      <c r="D194" s="5"/>
      <c r="E194" s="5"/>
      <c r="F194" s="5"/>
      <c r="G194" s="5"/>
      <c r="H194" s="5"/>
      <c r="I194" s="6"/>
      <c r="J194" s="5"/>
      <c r="K194" s="5"/>
      <c r="L194" s="5"/>
      <c r="M194" s="5"/>
    </row>
    <row r="195" spans="1:13" x14ac:dyDescent="0.35">
      <c r="A195" s="3"/>
      <c r="B195" s="4"/>
      <c r="C195" s="5"/>
      <c r="D195" s="5"/>
      <c r="E195" s="5"/>
      <c r="F195" s="5"/>
      <c r="G195" s="5"/>
      <c r="H195" s="5"/>
      <c r="I195" s="6"/>
      <c r="J195" s="5"/>
      <c r="K195" s="5"/>
      <c r="L195" s="5"/>
      <c r="M195" s="5"/>
    </row>
    <row r="196" spans="1:13" x14ac:dyDescent="0.35">
      <c r="A196" s="3"/>
      <c r="B196" s="4"/>
      <c r="C196" s="5"/>
      <c r="D196" s="5"/>
      <c r="E196" s="5"/>
      <c r="F196" s="5"/>
      <c r="G196" s="5"/>
      <c r="H196" s="5"/>
      <c r="I196" s="6"/>
      <c r="J196" s="5"/>
      <c r="K196" s="5"/>
      <c r="L196" s="5"/>
      <c r="M196" s="5"/>
    </row>
    <row r="197" spans="1:13" x14ac:dyDescent="0.35">
      <c r="A197" s="3"/>
      <c r="B197" s="4"/>
      <c r="C197" s="5"/>
      <c r="D197" s="5"/>
      <c r="E197" s="5"/>
      <c r="F197" s="5"/>
      <c r="G197" s="5"/>
      <c r="H197" s="5"/>
      <c r="I197" s="6"/>
      <c r="J197" s="5"/>
      <c r="K197" s="5"/>
      <c r="L197" s="5"/>
      <c r="M197" s="5"/>
    </row>
    <row r="198" spans="1:13" x14ac:dyDescent="0.35">
      <c r="A198" s="3"/>
      <c r="B198" s="4"/>
      <c r="C198" s="5"/>
      <c r="D198" s="5"/>
      <c r="E198" s="5"/>
      <c r="F198" s="5"/>
      <c r="G198" s="5"/>
      <c r="H198" s="5"/>
      <c r="I198" s="6"/>
      <c r="J198" s="5"/>
      <c r="K198" s="5"/>
      <c r="L198" s="5"/>
      <c r="M198" s="5"/>
    </row>
    <row r="199" spans="1:13" x14ac:dyDescent="0.35">
      <c r="A199" s="3"/>
      <c r="B199" s="4"/>
      <c r="C199" s="5"/>
      <c r="D199" s="5"/>
      <c r="E199" s="5"/>
      <c r="F199" s="5"/>
      <c r="G199" s="5"/>
      <c r="H199" s="5"/>
      <c r="I199" s="6"/>
      <c r="J199" s="5"/>
      <c r="K199" s="5"/>
      <c r="L199" s="5"/>
      <c r="M199" s="5"/>
    </row>
    <row r="200" spans="1:13" x14ac:dyDescent="0.35">
      <c r="A200" s="3"/>
      <c r="B200" s="4"/>
      <c r="C200" s="5"/>
      <c r="D200" s="5"/>
      <c r="E200" s="5"/>
      <c r="F200" s="5"/>
      <c r="G200" s="5"/>
      <c r="H200" s="5"/>
      <c r="I200" s="6"/>
      <c r="J200" s="5"/>
      <c r="K200" s="5"/>
      <c r="L200" s="5"/>
      <c r="M200" s="5"/>
    </row>
    <row r="201" spans="1:13" x14ac:dyDescent="0.35">
      <c r="A201" s="3"/>
      <c r="B201" s="4"/>
      <c r="C201" s="5"/>
      <c r="D201" s="5"/>
      <c r="E201" s="5"/>
      <c r="F201" s="5"/>
      <c r="G201" s="5"/>
      <c r="H201" s="5"/>
      <c r="I201" s="6"/>
      <c r="J201" s="5"/>
      <c r="K201" s="5"/>
      <c r="L201" s="5"/>
      <c r="M201" s="5"/>
    </row>
    <row r="202" spans="1:13" x14ac:dyDescent="0.35">
      <c r="A202" s="3"/>
      <c r="B202" s="4"/>
      <c r="C202" s="5"/>
      <c r="D202" s="5"/>
      <c r="E202" s="5"/>
      <c r="F202" s="5"/>
      <c r="G202" s="5"/>
      <c r="H202" s="5"/>
      <c r="I202" s="6"/>
      <c r="J202" s="5"/>
      <c r="K202" s="5"/>
      <c r="L202" s="5"/>
      <c r="M202" s="5"/>
    </row>
    <row r="203" spans="1:13" x14ac:dyDescent="0.35">
      <c r="A203" s="3"/>
      <c r="B203" s="4"/>
      <c r="C203" s="5"/>
      <c r="D203" s="5"/>
      <c r="E203" s="5"/>
      <c r="F203" s="5"/>
      <c r="G203" s="5"/>
      <c r="H203" s="5"/>
      <c r="I203" s="6"/>
      <c r="J203" s="5"/>
      <c r="K203" s="5"/>
      <c r="L203" s="5"/>
      <c r="M203" s="5"/>
    </row>
    <row r="204" spans="1:13" x14ac:dyDescent="0.35">
      <c r="A204" s="3"/>
      <c r="B204" s="4"/>
      <c r="C204" s="5"/>
      <c r="D204" s="5"/>
      <c r="E204" s="5"/>
      <c r="F204" s="5"/>
      <c r="G204" s="5"/>
      <c r="H204" s="5"/>
      <c r="I204" s="6"/>
      <c r="J204" s="5"/>
      <c r="K204" s="5"/>
      <c r="L204" s="5"/>
      <c r="M204" s="5"/>
    </row>
    <row r="205" spans="1:13" x14ac:dyDescent="0.35">
      <c r="A205" s="3"/>
      <c r="B205" s="4"/>
      <c r="C205" s="5"/>
      <c r="D205" s="5"/>
      <c r="E205" s="5"/>
      <c r="F205" s="5"/>
      <c r="G205" s="5"/>
      <c r="H205" s="5"/>
      <c r="I205" s="6"/>
      <c r="J205" s="5"/>
      <c r="K205" s="5"/>
      <c r="L205" s="5"/>
      <c r="M205" s="5"/>
    </row>
    <row r="206" spans="1:13" x14ac:dyDescent="0.35">
      <c r="A206" s="3"/>
      <c r="B206" s="4"/>
      <c r="C206" s="5"/>
      <c r="D206" s="5"/>
      <c r="E206" s="5"/>
      <c r="F206" s="5"/>
      <c r="G206" s="5"/>
      <c r="H206" s="5"/>
      <c r="I206" s="6"/>
      <c r="J206" s="5"/>
      <c r="K206" s="5"/>
      <c r="L206" s="5"/>
      <c r="M206" s="5"/>
    </row>
    <row r="207" spans="1:13" x14ac:dyDescent="0.35">
      <c r="A207" s="3"/>
      <c r="B207" s="4"/>
      <c r="C207" s="5"/>
      <c r="D207" s="5"/>
      <c r="E207" s="5"/>
      <c r="F207" s="5"/>
      <c r="G207" s="5"/>
      <c r="H207" s="5"/>
      <c r="I207" s="6"/>
      <c r="J207" s="5"/>
      <c r="K207" s="5"/>
      <c r="L207" s="5"/>
      <c r="M207" s="5"/>
    </row>
    <row r="208" spans="1:13" x14ac:dyDescent="0.35">
      <c r="A208" s="3"/>
      <c r="B208" s="4"/>
      <c r="C208" s="5"/>
      <c r="D208" s="5"/>
      <c r="E208" s="5"/>
      <c r="F208" s="5"/>
      <c r="G208" s="5"/>
      <c r="H208" s="5"/>
      <c r="I208" s="6"/>
      <c r="J208" s="5"/>
      <c r="K208" s="5"/>
      <c r="L208" s="5"/>
      <c r="M208" s="5"/>
    </row>
    <row r="209" spans="1:13" x14ac:dyDescent="0.35">
      <c r="A209" s="3"/>
      <c r="B209" s="4"/>
      <c r="C209" s="5"/>
      <c r="D209" s="5"/>
      <c r="E209" s="5"/>
      <c r="F209" s="5"/>
      <c r="G209" s="5"/>
      <c r="H209" s="5"/>
      <c r="I209" s="6"/>
      <c r="J209" s="5"/>
      <c r="K209" s="5"/>
      <c r="L209" s="5"/>
      <c r="M209" s="5"/>
    </row>
    <row r="210" spans="1:13" x14ac:dyDescent="0.35">
      <c r="A210" s="3"/>
      <c r="B210" s="4"/>
      <c r="C210" s="5"/>
      <c r="D210" s="5"/>
      <c r="E210" s="5"/>
      <c r="F210" s="5"/>
      <c r="G210" s="5"/>
      <c r="H210" s="5"/>
      <c r="I210" s="6"/>
      <c r="J210" s="5"/>
      <c r="K210" s="5"/>
      <c r="L210" s="5"/>
      <c r="M210" s="5"/>
    </row>
    <row r="211" spans="1:13" x14ac:dyDescent="0.35">
      <c r="A211" s="3"/>
      <c r="B211" s="4"/>
      <c r="C211" s="5"/>
      <c r="D211" s="5"/>
      <c r="E211" s="5"/>
      <c r="F211" s="5"/>
      <c r="G211" s="5"/>
      <c r="H211" s="5"/>
      <c r="I211" s="6"/>
      <c r="J211" s="5"/>
      <c r="K211" s="5"/>
      <c r="L211" s="5"/>
      <c r="M211" s="5"/>
    </row>
    <row r="212" spans="1:13" x14ac:dyDescent="0.35">
      <c r="A212" s="3"/>
      <c r="B212" s="4"/>
      <c r="C212" s="5"/>
      <c r="D212" s="5"/>
      <c r="E212" s="5"/>
      <c r="F212" s="5"/>
      <c r="G212" s="5"/>
      <c r="H212" s="5"/>
      <c r="I212" s="6"/>
      <c r="J212" s="5"/>
      <c r="K212" s="5"/>
      <c r="L212" s="5"/>
      <c r="M212" s="5"/>
    </row>
    <row r="213" spans="1:13" x14ac:dyDescent="0.35">
      <c r="A213" s="3"/>
      <c r="B213" s="4"/>
      <c r="C213" s="5"/>
      <c r="D213" s="5"/>
      <c r="E213" s="5"/>
      <c r="F213" s="5"/>
      <c r="G213" s="5"/>
      <c r="H213" s="5"/>
      <c r="I213" s="6"/>
      <c r="J213" s="5"/>
      <c r="K213" s="5"/>
      <c r="L213" s="5"/>
      <c r="M213" s="5"/>
    </row>
    <row r="214" spans="1:13" x14ac:dyDescent="0.35">
      <c r="A214" s="3"/>
      <c r="B214" s="4"/>
      <c r="C214" s="5"/>
      <c r="D214" s="5"/>
      <c r="E214" s="5"/>
      <c r="F214" s="5"/>
      <c r="G214" s="5"/>
      <c r="H214" s="5"/>
      <c r="I214" s="6"/>
      <c r="J214" s="5"/>
      <c r="K214" s="5"/>
      <c r="L214" s="5"/>
      <c r="M214" s="5"/>
    </row>
    <row r="215" spans="1:13" x14ac:dyDescent="0.35">
      <c r="A215" s="3"/>
      <c r="B215" s="4"/>
      <c r="C215" s="5"/>
      <c r="D215" s="5"/>
      <c r="E215" s="5"/>
      <c r="F215" s="5"/>
      <c r="G215" s="5"/>
      <c r="H215" s="5"/>
      <c r="I215" s="6"/>
      <c r="J215" s="5"/>
      <c r="K215" s="5"/>
      <c r="L215" s="5"/>
      <c r="M215" s="5"/>
    </row>
    <row r="216" spans="1:13" x14ac:dyDescent="0.35">
      <c r="A216" s="3"/>
      <c r="B216" s="4"/>
      <c r="C216" s="5"/>
      <c r="D216" s="5"/>
      <c r="E216" s="5"/>
      <c r="F216" s="5"/>
      <c r="G216" s="5"/>
      <c r="H216" s="5"/>
      <c r="I216" s="6"/>
      <c r="J216" s="5"/>
      <c r="K216" s="5"/>
      <c r="L216" s="5"/>
      <c r="M216" s="5"/>
    </row>
    <row r="217" spans="1:13" x14ac:dyDescent="0.35">
      <c r="A217" s="3"/>
      <c r="B217" s="4"/>
      <c r="C217" s="5"/>
      <c r="D217" s="5"/>
      <c r="E217" s="5"/>
      <c r="F217" s="5"/>
      <c r="G217" s="5"/>
      <c r="H217" s="5"/>
      <c r="I217" s="6"/>
      <c r="J217" s="5"/>
      <c r="K217" s="5"/>
      <c r="L217" s="5"/>
      <c r="M217" s="5"/>
    </row>
    <row r="218" spans="1:13" x14ac:dyDescent="0.35">
      <c r="A218" s="3"/>
      <c r="B218" s="4"/>
      <c r="C218" s="5"/>
      <c r="D218" s="5"/>
      <c r="E218" s="5"/>
      <c r="F218" s="5"/>
      <c r="G218" s="5"/>
      <c r="H218" s="5"/>
      <c r="I218" s="6"/>
      <c r="J218" s="5"/>
      <c r="K218" s="5"/>
      <c r="L218" s="5"/>
      <c r="M218" s="5"/>
    </row>
    <row r="219" spans="1:13" x14ac:dyDescent="0.35">
      <c r="A219" s="3"/>
      <c r="B219" s="4"/>
      <c r="C219" s="5"/>
      <c r="D219" s="5"/>
      <c r="E219" s="5"/>
      <c r="F219" s="5"/>
      <c r="G219" s="5"/>
      <c r="H219" s="5"/>
      <c r="I219" s="6"/>
      <c r="J219" s="5"/>
      <c r="K219" s="5"/>
      <c r="L219" s="5"/>
      <c r="M219" s="5"/>
    </row>
    <row r="220" spans="1:13" x14ac:dyDescent="0.35">
      <c r="A220" s="3"/>
      <c r="B220" s="4"/>
      <c r="C220" s="5"/>
      <c r="D220" s="5"/>
      <c r="E220" s="5"/>
      <c r="F220" s="5"/>
      <c r="G220" s="5"/>
      <c r="H220" s="5"/>
      <c r="I220" s="6"/>
      <c r="J220" s="5"/>
      <c r="K220" s="5"/>
      <c r="L220" s="5"/>
      <c r="M220" s="5"/>
    </row>
    <row r="221" spans="1:13" x14ac:dyDescent="0.35">
      <c r="A221" s="3"/>
      <c r="B221" s="4"/>
      <c r="C221" s="5"/>
      <c r="D221" s="5"/>
      <c r="E221" s="5"/>
      <c r="F221" s="5"/>
      <c r="G221" s="5"/>
      <c r="H221" s="5"/>
      <c r="I221" s="6"/>
      <c r="J221" s="5"/>
      <c r="K221" s="5"/>
      <c r="L221" s="5"/>
      <c r="M221" s="5"/>
    </row>
    <row r="222" spans="1:13" x14ac:dyDescent="0.35">
      <c r="A222" s="3"/>
      <c r="B222" s="4"/>
      <c r="C222" s="5"/>
      <c r="D222" s="5"/>
      <c r="E222" s="5"/>
      <c r="F222" s="5"/>
      <c r="G222" s="5"/>
      <c r="H222" s="5"/>
      <c r="I222" s="6"/>
      <c r="J222" s="5"/>
      <c r="K222" s="5"/>
      <c r="L222" s="5"/>
      <c r="M222" s="5"/>
    </row>
    <row r="223" spans="1:13" x14ac:dyDescent="0.35">
      <c r="A223" s="3"/>
      <c r="B223" s="4"/>
      <c r="C223" s="5"/>
      <c r="D223" s="5"/>
      <c r="E223" s="5"/>
      <c r="F223" s="5"/>
      <c r="G223" s="5"/>
      <c r="H223" s="5"/>
      <c r="I223" s="6"/>
      <c r="J223" s="5"/>
      <c r="K223" s="5"/>
      <c r="L223" s="5"/>
      <c r="M223" s="5"/>
    </row>
    <row r="224" spans="1:13" x14ac:dyDescent="0.35">
      <c r="A224" s="3"/>
      <c r="B224" s="4"/>
      <c r="C224" s="5"/>
      <c r="D224" s="5"/>
      <c r="E224" s="5"/>
      <c r="F224" s="5"/>
      <c r="G224" s="5"/>
      <c r="H224" s="5"/>
      <c r="I224" s="6"/>
      <c r="J224" s="5"/>
      <c r="K224" s="5"/>
      <c r="L224" s="5"/>
      <c r="M224" s="5"/>
    </row>
    <row r="225" spans="1:13" x14ac:dyDescent="0.35">
      <c r="A225" s="3"/>
      <c r="B225" s="4"/>
      <c r="C225" s="5"/>
      <c r="D225" s="5"/>
      <c r="E225" s="5"/>
      <c r="F225" s="5"/>
      <c r="G225" s="5"/>
      <c r="H225" s="5"/>
      <c r="I225" s="6"/>
      <c r="J225" s="5"/>
      <c r="K225" s="5"/>
      <c r="L225" s="5"/>
      <c r="M225" s="5"/>
    </row>
    <row r="226" spans="1:13" x14ac:dyDescent="0.35">
      <c r="A226" s="3"/>
      <c r="B226" s="4"/>
      <c r="C226" s="5"/>
      <c r="D226" s="5"/>
      <c r="E226" s="5"/>
      <c r="F226" s="5"/>
      <c r="G226" s="5"/>
      <c r="H226" s="5"/>
      <c r="I226" s="6"/>
      <c r="J226" s="5"/>
      <c r="K226" s="5"/>
      <c r="L226" s="5"/>
      <c r="M226" s="5"/>
    </row>
    <row r="227" spans="1:13" x14ac:dyDescent="0.35">
      <c r="A227" s="3"/>
      <c r="B227" s="4"/>
      <c r="C227" s="5"/>
      <c r="D227" s="5"/>
      <c r="E227" s="5"/>
      <c r="F227" s="5"/>
      <c r="G227" s="5"/>
      <c r="H227" s="5"/>
      <c r="I227" s="6"/>
      <c r="J227" s="5"/>
      <c r="K227" s="5"/>
      <c r="L227" s="5"/>
      <c r="M227" s="5"/>
    </row>
    <row r="228" spans="1:13" x14ac:dyDescent="0.35">
      <c r="A228" s="3"/>
      <c r="B228" s="4"/>
      <c r="C228" s="5"/>
      <c r="D228" s="5"/>
      <c r="E228" s="5"/>
      <c r="F228" s="5"/>
      <c r="G228" s="5"/>
      <c r="H228" s="5"/>
      <c r="I228" s="6"/>
      <c r="J228" s="5"/>
      <c r="K228" s="5"/>
      <c r="L228" s="5"/>
      <c r="M228" s="5"/>
    </row>
    <row r="229" spans="1:13" x14ac:dyDescent="0.35">
      <c r="A229" s="3"/>
      <c r="B229" s="4"/>
      <c r="C229" s="5"/>
      <c r="D229" s="5"/>
      <c r="E229" s="5"/>
      <c r="F229" s="5"/>
      <c r="G229" s="5"/>
      <c r="H229" s="5"/>
      <c r="I229" s="6"/>
      <c r="J229" s="5"/>
      <c r="K229" s="5"/>
      <c r="L229" s="5"/>
      <c r="M229" s="5"/>
    </row>
    <row r="230" spans="1:13" x14ac:dyDescent="0.35">
      <c r="A230" s="3"/>
      <c r="B230" s="4"/>
      <c r="C230" s="5"/>
      <c r="D230" s="5"/>
      <c r="E230" s="5"/>
      <c r="F230" s="5"/>
      <c r="G230" s="5"/>
      <c r="H230" s="5"/>
      <c r="I230" s="6"/>
      <c r="J230" s="5"/>
      <c r="K230" s="5"/>
      <c r="L230" s="5"/>
      <c r="M230" s="5"/>
    </row>
    <row r="231" spans="1:13" x14ac:dyDescent="0.35">
      <c r="A231" s="3"/>
      <c r="B231" s="4"/>
      <c r="C231" s="5"/>
      <c r="D231" s="5"/>
      <c r="E231" s="5"/>
      <c r="F231" s="5"/>
      <c r="G231" s="5"/>
      <c r="H231" s="5"/>
      <c r="I231" s="6"/>
      <c r="J231" s="5"/>
      <c r="K231" s="5"/>
      <c r="L231" s="5"/>
      <c r="M231" s="5"/>
    </row>
    <row r="232" spans="1:13" x14ac:dyDescent="0.35">
      <c r="A232" s="3"/>
      <c r="B232" s="4"/>
      <c r="C232" s="5"/>
      <c r="D232" s="5"/>
      <c r="E232" s="5"/>
      <c r="F232" s="5"/>
      <c r="G232" s="5"/>
      <c r="H232" s="5"/>
      <c r="I232" s="6"/>
      <c r="J232" s="5"/>
      <c r="K232" s="5"/>
      <c r="L232" s="5"/>
      <c r="M232" s="5"/>
    </row>
    <row r="233" spans="1:13" x14ac:dyDescent="0.35">
      <c r="A233" s="3"/>
      <c r="B233" s="4"/>
      <c r="C233" s="5"/>
      <c r="D233" s="5"/>
      <c r="E233" s="5"/>
      <c r="F233" s="5"/>
      <c r="G233" s="5"/>
      <c r="H233" s="5"/>
      <c r="I233" s="6"/>
      <c r="J233" s="5"/>
      <c r="K233" s="5"/>
      <c r="L233" s="5"/>
      <c r="M233" s="5"/>
    </row>
    <row r="234" spans="1:13" x14ac:dyDescent="0.35">
      <c r="A234" s="3"/>
      <c r="B234" s="4"/>
      <c r="C234" s="5"/>
      <c r="D234" s="5"/>
      <c r="E234" s="5"/>
      <c r="F234" s="5"/>
      <c r="G234" s="5"/>
      <c r="H234" s="5"/>
      <c r="I234" s="6"/>
      <c r="J234" s="5"/>
      <c r="K234" s="5"/>
      <c r="L234" s="5"/>
      <c r="M234" s="5"/>
    </row>
    <row r="235" spans="1:13" x14ac:dyDescent="0.35">
      <c r="A235" s="3"/>
      <c r="B235" s="4"/>
      <c r="C235" s="5"/>
      <c r="D235" s="5"/>
      <c r="E235" s="5"/>
      <c r="F235" s="5"/>
      <c r="G235" s="5"/>
      <c r="H235" s="5"/>
      <c r="I235" s="6"/>
      <c r="J235" s="5"/>
      <c r="K235" s="5"/>
      <c r="L235" s="5"/>
      <c r="M235" s="5"/>
    </row>
    <row r="236" spans="1:13" x14ac:dyDescent="0.35">
      <c r="A236" s="3"/>
      <c r="B236" s="4"/>
      <c r="C236" s="5"/>
      <c r="D236" s="5"/>
      <c r="E236" s="5"/>
      <c r="F236" s="5"/>
      <c r="G236" s="5"/>
      <c r="H236" s="5"/>
      <c r="I236" s="6"/>
      <c r="J236" s="5"/>
      <c r="K236" s="5"/>
      <c r="L236" s="5"/>
      <c r="M236" s="5"/>
    </row>
    <row r="237" spans="1:13" x14ac:dyDescent="0.35">
      <c r="A237" s="3"/>
      <c r="B237" s="4"/>
      <c r="C237" s="5"/>
      <c r="D237" s="5"/>
      <c r="E237" s="5"/>
      <c r="F237" s="5"/>
      <c r="G237" s="5"/>
      <c r="H237" s="5"/>
      <c r="I237" s="6"/>
      <c r="J237" s="5"/>
      <c r="K237" s="5"/>
      <c r="L237" s="5"/>
      <c r="M237" s="5"/>
    </row>
    <row r="238" spans="1:13" x14ac:dyDescent="0.35">
      <c r="A238" s="3"/>
      <c r="B238" s="4"/>
      <c r="C238" s="5"/>
      <c r="D238" s="5"/>
      <c r="E238" s="5"/>
      <c r="F238" s="5"/>
      <c r="G238" s="5"/>
      <c r="H238" s="5"/>
      <c r="I238" s="6"/>
      <c r="J238" s="5"/>
      <c r="K238" s="5"/>
      <c r="L238" s="5"/>
      <c r="M238" s="5"/>
    </row>
    <row r="239" spans="1:13" x14ac:dyDescent="0.35">
      <c r="A239" s="3"/>
      <c r="B239" s="4"/>
      <c r="C239" s="5"/>
      <c r="D239" s="5"/>
      <c r="E239" s="5"/>
      <c r="F239" s="5"/>
      <c r="G239" s="5"/>
      <c r="H239" s="5"/>
      <c r="I239" s="6"/>
      <c r="J239" s="5"/>
      <c r="K239" s="5"/>
      <c r="L239" s="5"/>
      <c r="M239" s="5"/>
    </row>
    <row r="240" spans="1:13" x14ac:dyDescent="0.35">
      <c r="A240" s="3"/>
      <c r="B240" s="4"/>
      <c r="C240" s="5"/>
      <c r="D240" s="5"/>
      <c r="E240" s="5"/>
      <c r="F240" s="5"/>
      <c r="G240" s="5"/>
      <c r="H240" s="5"/>
      <c r="I240" s="6"/>
      <c r="J240" s="5"/>
      <c r="K240" s="5"/>
      <c r="L240" s="5"/>
      <c r="M240" s="5"/>
    </row>
    <row r="241" spans="1:13" x14ac:dyDescent="0.35">
      <c r="A241" s="3"/>
      <c r="B241" s="4"/>
      <c r="C241" s="5"/>
      <c r="D241" s="5"/>
      <c r="E241" s="5"/>
      <c r="F241" s="5"/>
      <c r="G241" s="5"/>
      <c r="H241" s="5"/>
      <c r="I241" s="6"/>
      <c r="J241" s="5"/>
      <c r="K241" s="5"/>
      <c r="L241" s="5"/>
      <c r="M241" s="5"/>
    </row>
    <row r="242" spans="1:13" x14ac:dyDescent="0.35">
      <c r="A242" s="3"/>
      <c r="B242" s="4"/>
      <c r="C242" s="5"/>
      <c r="D242" s="5"/>
      <c r="E242" s="5"/>
      <c r="F242" s="5"/>
      <c r="G242" s="5"/>
      <c r="H242" s="5"/>
      <c r="I242" s="6"/>
      <c r="J242" s="5"/>
      <c r="K242" s="5"/>
      <c r="L242" s="5"/>
      <c r="M242" s="5"/>
    </row>
    <row r="243" spans="1:13" x14ac:dyDescent="0.35">
      <c r="A243" s="3"/>
      <c r="B243" s="4"/>
      <c r="C243" s="5"/>
      <c r="D243" s="5"/>
      <c r="E243" s="5"/>
      <c r="F243" s="5"/>
      <c r="G243" s="5"/>
      <c r="H243" s="5"/>
      <c r="I243" s="6"/>
      <c r="J243" s="5"/>
      <c r="K243" s="5"/>
      <c r="L243" s="5"/>
      <c r="M243" s="5"/>
    </row>
    <row r="244" spans="1:13" x14ac:dyDescent="0.35">
      <c r="A244" s="3"/>
      <c r="B244" s="4"/>
      <c r="C244" s="5"/>
      <c r="D244" s="5"/>
      <c r="E244" s="5"/>
      <c r="F244" s="5"/>
      <c r="G244" s="5"/>
      <c r="H244" s="5"/>
      <c r="I244" s="6"/>
      <c r="J244" s="5"/>
      <c r="K244" s="5"/>
      <c r="L244" s="5"/>
      <c r="M244" s="5"/>
    </row>
    <row r="245" spans="1:13" x14ac:dyDescent="0.35">
      <c r="A245" s="3"/>
      <c r="B245" s="4"/>
      <c r="C245" s="5"/>
      <c r="D245" s="5"/>
      <c r="E245" s="5"/>
      <c r="F245" s="5"/>
      <c r="G245" s="5"/>
      <c r="H245" s="5"/>
      <c r="I245" s="6"/>
      <c r="J245" s="5"/>
      <c r="K245" s="5"/>
      <c r="L245" s="5"/>
      <c r="M245" s="5"/>
    </row>
    <row r="246" spans="1:13" x14ac:dyDescent="0.35">
      <c r="A246" s="3"/>
      <c r="B246" s="4"/>
      <c r="C246" s="5"/>
      <c r="D246" s="5"/>
      <c r="E246" s="5"/>
      <c r="F246" s="5"/>
      <c r="G246" s="5"/>
      <c r="H246" s="5"/>
      <c r="I246" s="6"/>
      <c r="J246" s="5"/>
      <c r="K246" s="5"/>
      <c r="L246" s="5"/>
      <c r="M246" s="5"/>
    </row>
    <row r="247" spans="1:13" x14ac:dyDescent="0.35">
      <c r="A247" s="3"/>
      <c r="B247" s="4"/>
      <c r="C247" s="5"/>
      <c r="D247" s="5"/>
      <c r="E247" s="5"/>
      <c r="F247" s="5"/>
      <c r="G247" s="5"/>
      <c r="H247" s="5"/>
      <c r="I247" s="6"/>
      <c r="J247" s="5"/>
      <c r="K247" s="5"/>
      <c r="L247" s="5"/>
      <c r="M247" s="5"/>
    </row>
    <row r="248" spans="1:13" x14ac:dyDescent="0.35">
      <c r="A248" s="3"/>
      <c r="B248" s="4"/>
      <c r="C248" s="5"/>
      <c r="D248" s="5"/>
      <c r="E248" s="5"/>
      <c r="F248" s="5"/>
      <c r="G248" s="5"/>
      <c r="H248" s="5"/>
      <c r="I248" s="6"/>
      <c r="J248" s="5"/>
      <c r="K248" s="5"/>
      <c r="L248" s="5"/>
      <c r="M248" s="5"/>
    </row>
    <row r="249" spans="1:13" x14ac:dyDescent="0.35">
      <c r="A249" s="3"/>
      <c r="B249" s="4"/>
      <c r="C249" s="5"/>
      <c r="D249" s="5"/>
      <c r="E249" s="5"/>
      <c r="F249" s="5"/>
      <c r="G249" s="5"/>
      <c r="H249" s="5"/>
      <c r="I249" s="6"/>
      <c r="J249" s="5"/>
      <c r="K249" s="5"/>
      <c r="L249" s="5"/>
      <c r="M249" s="5"/>
    </row>
    <row r="250" spans="1:13" x14ac:dyDescent="0.35">
      <c r="A250" s="3"/>
      <c r="B250" s="4"/>
      <c r="C250" s="5"/>
      <c r="D250" s="5"/>
      <c r="E250" s="5"/>
      <c r="F250" s="5"/>
      <c r="G250" s="5"/>
      <c r="H250" s="5"/>
      <c r="I250" s="6"/>
      <c r="J250" s="5"/>
      <c r="K250" s="5"/>
      <c r="L250" s="5"/>
      <c r="M250" s="5"/>
    </row>
    <row r="251" spans="1:13" x14ac:dyDescent="0.35">
      <c r="A251" s="3"/>
      <c r="B251" s="4"/>
      <c r="C251" s="5"/>
      <c r="D251" s="5"/>
      <c r="E251" s="5"/>
      <c r="F251" s="5"/>
      <c r="G251" s="5"/>
      <c r="H251" s="5"/>
      <c r="I251" s="6"/>
      <c r="J251" s="5"/>
      <c r="K251" s="5"/>
      <c r="L251" s="5"/>
      <c r="M251" s="5"/>
    </row>
    <row r="252" spans="1:13" x14ac:dyDescent="0.35">
      <c r="A252" s="3"/>
      <c r="B252" s="4"/>
      <c r="C252" s="5"/>
      <c r="D252" s="5"/>
      <c r="E252" s="5"/>
      <c r="F252" s="5"/>
      <c r="G252" s="5"/>
      <c r="H252" s="5"/>
      <c r="I252" s="6"/>
      <c r="J252" s="5"/>
      <c r="K252" s="5"/>
      <c r="L252" s="5"/>
      <c r="M252" s="5"/>
    </row>
    <row r="253" spans="1:13" x14ac:dyDescent="0.35">
      <c r="A253" s="3"/>
      <c r="B253" s="4"/>
      <c r="C253" s="5"/>
      <c r="D253" s="5"/>
      <c r="E253" s="5"/>
      <c r="F253" s="5"/>
      <c r="G253" s="5"/>
      <c r="H253" s="5"/>
      <c r="I253" s="6"/>
      <c r="J253" s="5"/>
      <c r="K253" s="5"/>
      <c r="L253" s="5"/>
      <c r="M253" s="5"/>
    </row>
    <row r="254" spans="1:13" x14ac:dyDescent="0.35">
      <c r="A254" s="3"/>
      <c r="B254" s="4"/>
      <c r="C254" s="5"/>
      <c r="D254" s="5"/>
      <c r="E254" s="5"/>
      <c r="F254" s="5"/>
      <c r="G254" s="5"/>
      <c r="H254" s="5"/>
      <c r="I254" s="6"/>
      <c r="J254" s="5"/>
      <c r="K254" s="5"/>
      <c r="L254" s="5"/>
      <c r="M254" s="5"/>
    </row>
    <row r="255" spans="1:13" x14ac:dyDescent="0.35">
      <c r="A255" s="3"/>
      <c r="B255" s="4"/>
      <c r="C255" s="5"/>
      <c r="D255" s="5"/>
      <c r="E255" s="5"/>
      <c r="F255" s="5"/>
      <c r="G255" s="5"/>
      <c r="H255" s="5"/>
      <c r="I255" s="6"/>
      <c r="J255" s="5"/>
      <c r="K255" s="5"/>
      <c r="L255" s="5"/>
      <c r="M255" s="5"/>
    </row>
    <row r="256" spans="1:13" x14ac:dyDescent="0.35">
      <c r="A256" s="3"/>
      <c r="B256" s="4"/>
      <c r="C256" s="5"/>
      <c r="D256" s="5"/>
      <c r="E256" s="5"/>
      <c r="F256" s="5"/>
      <c r="G256" s="5"/>
      <c r="H256" s="5"/>
      <c r="I256" s="6"/>
      <c r="J256" s="5"/>
      <c r="K256" s="5"/>
      <c r="L256" s="5"/>
      <c r="M256" s="5"/>
    </row>
    <row r="257" spans="1:13" x14ac:dyDescent="0.35">
      <c r="A257" s="3"/>
      <c r="B257" s="4"/>
      <c r="C257" s="5"/>
      <c r="D257" s="5"/>
      <c r="E257" s="5"/>
      <c r="F257" s="5"/>
      <c r="G257" s="5"/>
      <c r="H257" s="5"/>
      <c r="I257" s="6"/>
      <c r="J257" s="5"/>
      <c r="K257" s="5"/>
      <c r="L257" s="5"/>
      <c r="M257" s="5"/>
    </row>
    <row r="258" spans="1:13" x14ac:dyDescent="0.35">
      <c r="A258" s="3"/>
      <c r="B258" s="4"/>
      <c r="C258" s="5"/>
      <c r="D258" s="5"/>
      <c r="E258" s="5"/>
      <c r="F258" s="5"/>
      <c r="G258" s="5"/>
      <c r="H258" s="5"/>
      <c r="I258" s="6"/>
      <c r="J258" s="5"/>
      <c r="K258" s="5"/>
      <c r="L258" s="5"/>
      <c r="M258" s="5"/>
    </row>
    <row r="259" spans="1:13" x14ac:dyDescent="0.35">
      <c r="A259" s="3"/>
      <c r="B259" s="4"/>
      <c r="C259" s="5"/>
      <c r="D259" s="5"/>
      <c r="E259" s="5"/>
      <c r="F259" s="5"/>
      <c r="G259" s="5"/>
      <c r="H259" s="5"/>
      <c r="I259" s="6"/>
      <c r="J259" s="5"/>
      <c r="K259" s="5"/>
      <c r="L259" s="5"/>
      <c r="M259" s="5"/>
    </row>
    <row r="260" spans="1:13" x14ac:dyDescent="0.35">
      <c r="A260" s="3"/>
      <c r="B260" s="4"/>
      <c r="C260" s="5"/>
      <c r="D260" s="5"/>
      <c r="E260" s="5"/>
      <c r="F260" s="5"/>
      <c r="G260" s="5"/>
      <c r="H260" s="5"/>
      <c r="I260" s="6"/>
      <c r="J260" s="5"/>
      <c r="K260" s="5"/>
      <c r="L260" s="5"/>
      <c r="M260" s="5"/>
    </row>
    <row r="261" spans="1:13" x14ac:dyDescent="0.35">
      <c r="A261" s="3"/>
      <c r="B261" s="4"/>
      <c r="C261" s="5"/>
      <c r="D261" s="5"/>
      <c r="E261" s="5"/>
      <c r="F261" s="5"/>
      <c r="G261" s="5"/>
      <c r="H261" s="5"/>
      <c r="I261" s="6"/>
      <c r="J261" s="5"/>
      <c r="K261" s="5"/>
      <c r="L261" s="5"/>
      <c r="M261" s="5"/>
    </row>
    <row r="262" spans="1:13" x14ac:dyDescent="0.35">
      <c r="A262" s="3"/>
      <c r="B262" s="4"/>
      <c r="C262" s="5"/>
      <c r="D262" s="5"/>
      <c r="E262" s="5"/>
      <c r="F262" s="5"/>
      <c r="G262" s="5"/>
      <c r="H262" s="5"/>
      <c r="I262" s="6"/>
      <c r="J262" s="5"/>
      <c r="K262" s="5"/>
      <c r="L262" s="5"/>
      <c r="M262" s="5"/>
    </row>
    <row r="263" spans="1:13" x14ac:dyDescent="0.35">
      <c r="A263" s="3"/>
      <c r="B263" s="4"/>
      <c r="C263" s="5"/>
      <c r="D263" s="5"/>
      <c r="E263" s="5"/>
      <c r="F263" s="5"/>
      <c r="G263" s="5"/>
      <c r="H263" s="5"/>
      <c r="I263" s="6"/>
      <c r="J263" s="5"/>
      <c r="K263" s="5"/>
      <c r="L263" s="5"/>
      <c r="M263" s="5"/>
    </row>
    <row r="264" spans="1:13" x14ac:dyDescent="0.35">
      <c r="A264" s="3"/>
      <c r="B264" s="4"/>
      <c r="C264" s="5"/>
      <c r="D264" s="5"/>
      <c r="E264" s="5"/>
      <c r="F264" s="5"/>
      <c r="G264" s="5"/>
      <c r="H264" s="5"/>
      <c r="I264" s="6"/>
      <c r="J264" s="5"/>
      <c r="K264" s="5"/>
      <c r="L264" s="5"/>
      <c r="M264" s="5"/>
    </row>
    <row r="265" spans="1:13" x14ac:dyDescent="0.35">
      <c r="A265" s="3"/>
      <c r="B265" s="4"/>
      <c r="C265" s="5"/>
      <c r="D265" s="5"/>
      <c r="E265" s="5"/>
      <c r="F265" s="5"/>
      <c r="G265" s="5"/>
      <c r="H265" s="5"/>
      <c r="I265" s="6"/>
      <c r="J265" s="5"/>
      <c r="K265" s="5"/>
      <c r="L265" s="5"/>
      <c r="M265" s="5"/>
    </row>
    <row r="266" spans="1:13" x14ac:dyDescent="0.35">
      <c r="A266" s="3"/>
      <c r="B266" s="4"/>
      <c r="C266" s="5"/>
      <c r="D266" s="5"/>
      <c r="E266" s="5"/>
      <c r="F266" s="5"/>
      <c r="G266" s="5"/>
      <c r="H266" s="5"/>
      <c r="I266" s="6"/>
      <c r="J266" s="5"/>
      <c r="K266" s="5"/>
      <c r="L266" s="5"/>
      <c r="M266" s="5"/>
    </row>
    <row r="267" spans="1:13" x14ac:dyDescent="0.35">
      <c r="A267" s="3"/>
      <c r="B267" s="4"/>
      <c r="C267" s="5"/>
      <c r="D267" s="5"/>
      <c r="E267" s="5"/>
      <c r="F267" s="5"/>
      <c r="G267" s="5"/>
      <c r="H267" s="5"/>
      <c r="I267" s="6"/>
      <c r="J267" s="5"/>
      <c r="K267" s="5"/>
      <c r="L267" s="5"/>
      <c r="M267" s="5"/>
    </row>
    <row r="268" spans="1:13" x14ac:dyDescent="0.35">
      <c r="A268" s="3"/>
      <c r="B268" s="4"/>
      <c r="C268" s="5"/>
      <c r="D268" s="5"/>
      <c r="E268" s="5"/>
      <c r="F268" s="5"/>
      <c r="G268" s="5"/>
      <c r="H268" s="5"/>
      <c r="I268" s="6"/>
      <c r="J268" s="5"/>
      <c r="K268" s="5"/>
      <c r="L268" s="5"/>
      <c r="M268" s="5"/>
    </row>
    <row r="269" spans="1:13" x14ac:dyDescent="0.35">
      <c r="A269" s="3"/>
      <c r="B269" s="4"/>
      <c r="C269" s="5"/>
      <c r="D269" s="5"/>
      <c r="E269" s="5"/>
      <c r="F269" s="5"/>
      <c r="G269" s="5"/>
      <c r="H269" s="5"/>
      <c r="I269" s="6"/>
      <c r="J269" s="5"/>
      <c r="K269" s="5"/>
      <c r="L269" s="5"/>
      <c r="M269" s="5"/>
    </row>
    <row r="270" spans="1:13" x14ac:dyDescent="0.35">
      <c r="A270" s="3"/>
      <c r="B270" s="4"/>
      <c r="C270" s="5"/>
      <c r="D270" s="5"/>
      <c r="E270" s="5"/>
      <c r="F270" s="5"/>
      <c r="G270" s="5"/>
      <c r="H270" s="5"/>
      <c r="I270" s="6"/>
      <c r="J270" s="5"/>
      <c r="K270" s="5"/>
      <c r="L270" s="5"/>
      <c r="M270" s="5"/>
    </row>
    <row r="271" spans="1:13" x14ac:dyDescent="0.35">
      <c r="A271" s="3"/>
      <c r="B271" s="4"/>
      <c r="C271" s="5"/>
      <c r="D271" s="5"/>
      <c r="E271" s="5"/>
      <c r="F271" s="5"/>
      <c r="G271" s="5"/>
      <c r="H271" s="5"/>
      <c r="I271" s="6"/>
      <c r="J271" s="5"/>
      <c r="K271" s="5"/>
      <c r="L271" s="5"/>
      <c r="M271" s="5"/>
    </row>
    <row r="272" spans="1:13" x14ac:dyDescent="0.35">
      <c r="A272" s="3"/>
      <c r="B272" s="4"/>
      <c r="C272" s="5"/>
      <c r="D272" s="5"/>
      <c r="E272" s="5"/>
      <c r="F272" s="5"/>
      <c r="G272" s="5"/>
      <c r="H272" s="5"/>
      <c r="I272" s="6"/>
      <c r="J272" s="5"/>
      <c r="K272" s="5"/>
      <c r="L272" s="5"/>
      <c r="M272" s="5"/>
    </row>
    <row r="273" spans="1:13" x14ac:dyDescent="0.35">
      <c r="A273" s="3"/>
      <c r="B273" s="4"/>
      <c r="C273" s="5"/>
      <c r="D273" s="5"/>
      <c r="E273" s="5"/>
      <c r="F273" s="5"/>
      <c r="G273" s="5"/>
      <c r="H273" s="5"/>
      <c r="I273" s="6"/>
      <c r="J273" s="5"/>
      <c r="K273" s="5"/>
      <c r="L273" s="5"/>
      <c r="M273" s="5"/>
    </row>
    <row r="274" spans="1:13" x14ac:dyDescent="0.35">
      <c r="A274" s="3"/>
      <c r="B274" s="4"/>
      <c r="C274" s="5"/>
      <c r="D274" s="5"/>
      <c r="E274" s="5"/>
      <c r="F274" s="5"/>
      <c r="G274" s="5"/>
      <c r="H274" s="5"/>
      <c r="I274" s="6"/>
      <c r="J274" s="5"/>
      <c r="K274" s="5"/>
      <c r="L274" s="5"/>
      <c r="M274" s="5"/>
    </row>
    <row r="275" spans="1:13" x14ac:dyDescent="0.35">
      <c r="A275" s="3"/>
      <c r="B275" s="4"/>
      <c r="C275" s="5"/>
      <c r="D275" s="5"/>
      <c r="E275" s="5"/>
      <c r="F275" s="5"/>
      <c r="G275" s="5"/>
      <c r="H275" s="5"/>
      <c r="I275" s="6"/>
      <c r="J275" s="5"/>
      <c r="K275" s="5"/>
      <c r="L275" s="5"/>
      <c r="M275" s="5"/>
    </row>
    <row r="276" spans="1:13" x14ac:dyDescent="0.35">
      <c r="A276" s="3"/>
      <c r="B276" s="4"/>
      <c r="C276" s="5"/>
      <c r="D276" s="5"/>
      <c r="E276" s="5"/>
      <c r="F276" s="5"/>
      <c r="G276" s="5"/>
      <c r="H276" s="5"/>
      <c r="I276" s="6"/>
      <c r="J276" s="5"/>
      <c r="K276" s="5"/>
      <c r="L276" s="5"/>
      <c r="M276" s="5"/>
    </row>
    <row r="277" spans="1:13" x14ac:dyDescent="0.35">
      <c r="A277" s="3"/>
      <c r="B277" s="4"/>
      <c r="C277" s="5"/>
      <c r="D277" s="5"/>
      <c r="E277" s="5"/>
      <c r="F277" s="5"/>
      <c r="G277" s="5"/>
      <c r="H277" s="5"/>
      <c r="I277" s="6"/>
      <c r="J277" s="5"/>
      <c r="K277" s="5"/>
      <c r="L277" s="5"/>
      <c r="M277" s="5"/>
    </row>
    <row r="278" spans="1:13" x14ac:dyDescent="0.35">
      <c r="A278" s="3"/>
      <c r="B278" s="4"/>
      <c r="C278" s="5"/>
      <c r="D278" s="5"/>
      <c r="E278" s="5"/>
      <c r="F278" s="5"/>
      <c r="G278" s="5"/>
      <c r="H278" s="5"/>
      <c r="I278" s="6"/>
      <c r="J278" s="5"/>
      <c r="K278" s="5"/>
      <c r="L278" s="5"/>
      <c r="M278" s="5"/>
    </row>
    <row r="279" spans="1:13" x14ac:dyDescent="0.35">
      <c r="A279" s="3"/>
      <c r="B279" s="4"/>
      <c r="C279" s="5"/>
      <c r="D279" s="5"/>
      <c r="E279" s="5"/>
      <c r="F279" s="5"/>
      <c r="G279" s="5"/>
      <c r="H279" s="5"/>
      <c r="I279" s="6"/>
      <c r="J279" s="5"/>
      <c r="K279" s="5"/>
      <c r="L279" s="5"/>
      <c r="M279" s="5"/>
    </row>
    <row r="280" spans="1:13" x14ac:dyDescent="0.35">
      <c r="A280" s="3"/>
      <c r="B280" s="4"/>
      <c r="C280" s="5"/>
      <c r="D280" s="5"/>
      <c r="E280" s="5"/>
      <c r="F280" s="5"/>
      <c r="G280" s="5"/>
      <c r="H280" s="5"/>
      <c r="I280" s="6"/>
      <c r="J280" s="5"/>
      <c r="K280" s="5"/>
      <c r="L280" s="5"/>
      <c r="M280" s="5"/>
    </row>
    <row r="281" spans="1:13" x14ac:dyDescent="0.35">
      <c r="A281" s="3"/>
      <c r="B281" s="4"/>
      <c r="C281" s="5"/>
      <c r="D281" s="5"/>
      <c r="E281" s="5"/>
      <c r="F281" s="5"/>
      <c r="G281" s="5"/>
      <c r="H281" s="5"/>
      <c r="I281" s="6"/>
      <c r="J281" s="5"/>
      <c r="K281" s="5"/>
      <c r="L281" s="5"/>
      <c r="M281" s="5"/>
    </row>
    <row r="282" spans="1:13" x14ac:dyDescent="0.35">
      <c r="A282" s="3"/>
      <c r="B282" s="4"/>
      <c r="C282" s="5"/>
      <c r="D282" s="5"/>
      <c r="E282" s="5"/>
      <c r="F282" s="5"/>
      <c r="G282" s="5"/>
      <c r="H282" s="5"/>
      <c r="I282" s="6"/>
      <c r="J282" s="5"/>
      <c r="K282" s="5"/>
      <c r="L282" s="5"/>
      <c r="M282" s="5"/>
    </row>
    <row r="283" spans="1:13" x14ac:dyDescent="0.35">
      <c r="A283" s="3"/>
      <c r="B283" s="4"/>
      <c r="C283" s="5"/>
      <c r="D283" s="5"/>
      <c r="E283" s="5"/>
      <c r="F283" s="5"/>
      <c r="G283" s="5"/>
      <c r="H283" s="5"/>
      <c r="I283" s="6"/>
      <c r="J283" s="5"/>
      <c r="K283" s="5"/>
      <c r="L283" s="5"/>
      <c r="M283" s="5"/>
    </row>
    <row r="284" spans="1:13" x14ac:dyDescent="0.35">
      <c r="A284" s="3"/>
      <c r="B284" s="4"/>
      <c r="C284" s="5"/>
      <c r="D284" s="5"/>
      <c r="E284" s="5"/>
      <c r="F284" s="5"/>
      <c r="G284" s="5"/>
      <c r="H284" s="5"/>
      <c r="I284" s="6"/>
      <c r="J284" s="5"/>
      <c r="K284" s="5"/>
      <c r="L284" s="5"/>
      <c r="M284" s="5"/>
    </row>
    <row r="285" spans="1:13" x14ac:dyDescent="0.35">
      <c r="A285" s="3"/>
      <c r="B285" s="4"/>
      <c r="C285" s="5"/>
      <c r="D285" s="5"/>
      <c r="E285" s="5"/>
      <c r="F285" s="5"/>
      <c r="G285" s="5"/>
      <c r="H285" s="5"/>
      <c r="I285" s="6"/>
      <c r="J285" s="5"/>
      <c r="K285" s="5"/>
      <c r="L285" s="5"/>
      <c r="M285" s="5"/>
    </row>
    <row r="286" spans="1:13" x14ac:dyDescent="0.35">
      <c r="A286" s="3"/>
      <c r="B286" s="4"/>
      <c r="C286" s="5"/>
      <c r="D286" s="5"/>
      <c r="E286" s="5"/>
      <c r="F286" s="5"/>
      <c r="G286" s="5"/>
      <c r="H286" s="5"/>
      <c r="I286" s="6"/>
      <c r="J286" s="5"/>
      <c r="K286" s="5"/>
      <c r="L286" s="5"/>
      <c r="M286" s="5"/>
    </row>
    <row r="287" spans="1:13" x14ac:dyDescent="0.35">
      <c r="A287" s="3"/>
      <c r="B287" s="4"/>
      <c r="C287" s="5"/>
      <c r="D287" s="5"/>
      <c r="E287" s="5"/>
      <c r="F287" s="5"/>
      <c r="G287" s="5"/>
      <c r="H287" s="5"/>
      <c r="I287" s="6"/>
      <c r="J287" s="5"/>
      <c r="K287" s="5"/>
      <c r="L287" s="5"/>
      <c r="M287" s="5"/>
    </row>
    <row r="288" spans="1:13" x14ac:dyDescent="0.35">
      <c r="A288" s="3"/>
      <c r="B288" s="4"/>
      <c r="C288" s="5"/>
      <c r="D288" s="5"/>
      <c r="E288" s="5"/>
      <c r="F288" s="5"/>
      <c r="G288" s="5"/>
      <c r="H288" s="5"/>
      <c r="I288" s="6"/>
      <c r="J288" s="5"/>
      <c r="K288" s="5"/>
      <c r="L288" s="5"/>
      <c r="M288" s="5"/>
    </row>
    <row r="289" spans="1:13" x14ac:dyDescent="0.35">
      <c r="A289" s="3"/>
      <c r="B289" s="4"/>
      <c r="C289" s="5"/>
      <c r="D289" s="5"/>
      <c r="E289" s="5"/>
      <c r="F289" s="5"/>
      <c r="G289" s="5"/>
      <c r="H289" s="5"/>
      <c r="I289" s="6"/>
      <c r="J289" s="5"/>
      <c r="K289" s="5"/>
      <c r="L289" s="5"/>
      <c r="M289" s="5"/>
    </row>
    <row r="290" spans="1:13" x14ac:dyDescent="0.35">
      <c r="A290" s="3"/>
      <c r="B290" s="4"/>
      <c r="C290" s="5"/>
      <c r="D290" s="5"/>
      <c r="E290" s="5"/>
      <c r="F290" s="5"/>
      <c r="G290" s="5"/>
      <c r="H290" s="5"/>
      <c r="I290" s="6"/>
      <c r="J290" s="5"/>
      <c r="K290" s="5"/>
      <c r="L290" s="5"/>
      <c r="M290" s="5"/>
    </row>
    <row r="291" spans="1:13" x14ac:dyDescent="0.35">
      <c r="A291" s="3"/>
      <c r="B291" s="4"/>
      <c r="C291" s="5"/>
      <c r="D291" s="5"/>
      <c r="E291" s="5"/>
      <c r="F291" s="5"/>
      <c r="G291" s="5"/>
      <c r="H291" s="5"/>
      <c r="I291" s="6"/>
      <c r="J291" s="5"/>
      <c r="K291" s="5"/>
      <c r="L291" s="5"/>
      <c r="M291" s="5"/>
    </row>
    <row r="292" spans="1:13" x14ac:dyDescent="0.35">
      <c r="A292" s="3"/>
      <c r="B292" s="4"/>
      <c r="C292" s="5"/>
      <c r="D292" s="5"/>
      <c r="E292" s="5"/>
      <c r="F292" s="5"/>
      <c r="G292" s="5"/>
      <c r="H292" s="5"/>
      <c r="I292" s="6"/>
      <c r="J292" s="5"/>
      <c r="K292" s="5"/>
      <c r="L292" s="5"/>
      <c r="M292" s="5"/>
    </row>
    <row r="293" spans="1:13" x14ac:dyDescent="0.35">
      <c r="A293" s="3"/>
      <c r="B293" s="4"/>
      <c r="C293" s="5"/>
      <c r="D293" s="5"/>
      <c r="E293" s="5"/>
      <c r="F293" s="5"/>
      <c r="G293" s="5"/>
      <c r="H293" s="5"/>
      <c r="I293" s="6"/>
      <c r="J293" s="5"/>
      <c r="K293" s="5"/>
      <c r="L293" s="5"/>
      <c r="M293" s="5"/>
    </row>
    <row r="294" spans="1:13" x14ac:dyDescent="0.35">
      <c r="A294" s="3"/>
      <c r="B294" s="4"/>
      <c r="C294" s="5"/>
      <c r="D294" s="5"/>
      <c r="E294" s="5"/>
      <c r="F294" s="5"/>
      <c r="G294" s="5"/>
      <c r="H294" s="5"/>
      <c r="I294" s="6"/>
      <c r="J294" s="5"/>
      <c r="K294" s="5"/>
      <c r="L294" s="5"/>
      <c r="M294" s="5"/>
    </row>
    <row r="295" spans="1:13" x14ac:dyDescent="0.35">
      <c r="A295" s="3"/>
      <c r="B295" s="4"/>
      <c r="C295" s="5"/>
      <c r="D295" s="5"/>
      <c r="E295" s="5"/>
      <c r="F295" s="5"/>
      <c r="G295" s="5"/>
      <c r="H295" s="5"/>
      <c r="I295" s="6"/>
      <c r="J295" s="5"/>
      <c r="K295" s="5"/>
      <c r="L295" s="5"/>
      <c r="M295" s="5"/>
    </row>
    <row r="296" spans="1:13" x14ac:dyDescent="0.35">
      <c r="A296" s="3"/>
      <c r="B296" s="4"/>
      <c r="C296" s="5"/>
      <c r="D296" s="5"/>
      <c r="E296" s="5"/>
      <c r="F296" s="5"/>
      <c r="G296" s="5"/>
      <c r="H296" s="5"/>
      <c r="I296" s="6"/>
      <c r="J296" s="5"/>
      <c r="K296" s="5"/>
      <c r="L296" s="5"/>
      <c r="M296" s="5"/>
    </row>
    <row r="297" spans="1:13" x14ac:dyDescent="0.35">
      <c r="A297" s="3"/>
      <c r="B297" s="4"/>
      <c r="C297" s="5"/>
      <c r="D297" s="5"/>
      <c r="E297" s="5"/>
      <c r="F297" s="5"/>
      <c r="G297" s="5"/>
      <c r="H297" s="5"/>
      <c r="I297" s="6"/>
      <c r="J297" s="5"/>
      <c r="K297" s="5"/>
      <c r="L297" s="5"/>
      <c r="M297" s="5"/>
    </row>
    <row r="298" spans="1:13" x14ac:dyDescent="0.35">
      <c r="A298" s="3"/>
      <c r="B298" s="4"/>
      <c r="C298" s="5"/>
      <c r="D298" s="5"/>
      <c r="E298" s="5"/>
      <c r="F298" s="5"/>
      <c r="G298" s="5"/>
      <c r="H298" s="5"/>
      <c r="I298" s="6"/>
      <c r="J298" s="5"/>
      <c r="K298" s="5"/>
      <c r="L298" s="5"/>
      <c r="M298" s="5"/>
    </row>
    <row r="299" spans="1:13" x14ac:dyDescent="0.35">
      <c r="A299" s="3"/>
      <c r="B299" s="4"/>
      <c r="C299" s="5"/>
      <c r="D299" s="5"/>
      <c r="E299" s="5"/>
      <c r="F299" s="5"/>
      <c r="G299" s="5"/>
      <c r="H299" s="5"/>
      <c r="I299" s="6"/>
      <c r="J299" s="5"/>
      <c r="K299" s="5"/>
      <c r="L299" s="5"/>
      <c r="M299" s="5"/>
    </row>
    <row r="300" spans="1:13" x14ac:dyDescent="0.35">
      <c r="A300" s="3"/>
      <c r="B300" s="4"/>
      <c r="C300" s="5"/>
      <c r="D300" s="5"/>
      <c r="E300" s="5"/>
      <c r="F300" s="5"/>
      <c r="G300" s="5"/>
      <c r="H300" s="5"/>
      <c r="I300" s="6"/>
      <c r="J300" s="5"/>
      <c r="K300" s="5"/>
      <c r="L300" s="5"/>
      <c r="M300" s="5"/>
    </row>
    <row r="301" spans="1:13" x14ac:dyDescent="0.35">
      <c r="A301" s="3"/>
      <c r="B301" s="4"/>
      <c r="C301" s="5"/>
      <c r="D301" s="5"/>
      <c r="E301" s="5"/>
      <c r="F301" s="5"/>
      <c r="G301" s="5"/>
      <c r="H301" s="5"/>
      <c r="I301" s="6"/>
      <c r="J301" s="5"/>
      <c r="K301" s="5"/>
      <c r="L301" s="5"/>
      <c r="M301" s="5"/>
    </row>
    <row r="302" spans="1:13" x14ac:dyDescent="0.35">
      <c r="A302" s="3"/>
      <c r="B302" s="4"/>
      <c r="C302" s="5"/>
      <c r="D302" s="5"/>
      <c r="E302" s="5"/>
      <c r="F302" s="5"/>
      <c r="G302" s="5"/>
      <c r="H302" s="5"/>
      <c r="I302" s="6"/>
      <c r="J302" s="5"/>
      <c r="K302" s="5"/>
      <c r="L302" s="5"/>
      <c r="M302" s="5"/>
    </row>
    <row r="303" spans="1:13" x14ac:dyDescent="0.35">
      <c r="A303" s="3"/>
      <c r="B303" s="4"/>
      <c r="C303" s="5"/>
      <c r="D303" s="5"/>
      <c r="E303" s="5"/>
      <c r="F303" s="5"/>
      <c r="G303" s="5"/>
      <c r="H303" s="5"/>
      <c r="I303" s="6"/>
      <c r="J303" s="5"/>
      <c r="K303" s="5"/>
      <c r="L303" s="5"/>
      <c r="M303" s="5"/>
    </row>
    <row r="304" spans="1:13" x14ac:dyDescent="0.35">
      <c r="A304" s="3"/>
      <c r="B304" s="4"/>
      <c r="C304" s="5"/>
      <c r="D304" s="5"/>
      <c r="E304" s="5"/>
      <c r="F304" s="5"/>
      <c r="G304" s="5"/>
      <c r="H304" s="5"/>
      <c r="I304" s="6"/>
      <c r="J304" s="5"/>
      <c r="K304" s="5"/>
      <c r="L304" s="5"/>
      <c r="M304" s="5"/>
    </row>
    <row r="305" spans="1:13" x14ac:dyDescent="0.35">
      <c r="A305" s="3"/>
      <c r="B305" s="4"/>
      <c r="C305" s="5"/>
      <c r="D305" s="5"/>
      <c r="E305" s="5"/>
      <c r="F305" s="5"/>
      <c r="G305" s="5"/>
      <c r="H305" s="5"/>
      <c r="I305" s="6"/>
      <c r="J305" s="5"/>
      <c r="K305" s="5"/>
      <c r="L305" s="5"/>
      <c r="M305" s="5"/>
    </row>
    <row r="306" spans="1:13" x14ac:dyDescent="0.35">
      <c r="A306" s="3"/>
      <c r="B306" s="4"/>
      <c r="C306" s="5"/>
      <c r="D306" s="5"/>
      <c r="E306" s="5"/>
      <c r="F306" s="5"/>
      <c r="G306" s="5"/>
      <c r="H306" s="5"/>
      <c r="I306" s="6"/>
      <c r="J306" s="5"/>
      <c r="K306" s="5"/>
      <c r="L306" s="5"/>
      <c r="M306" s="5"/>
    </row>
    <row r="307" spans="1:13" x14ac:dyDescent="0.35">
      <c r="A307" s="3"/>
      <c r="B307" s="4"/>
      <c r="C307" s="5"/>
      <c r="D307" s="5"/>
      <c r="E307" s="5"/>
      <c r="F307" s="5"/>
      <c r="G307" s="5"/>
      <c r="H307" s="5"/>
      <c r="I307" s="6"/>
      <c r="J307" s="5"/>
      <c r="K307" s="5"/>
      <c r="L307" s="5"/>
      <c r="M307" s="5"/>
    </row>
    <row r="308" spans="1:13" x14ac:dyDescent="0.35">
      <c r="A308" s="3"/>
      <c r="B308" s="4"/>
      <c r="C308" s="5"/>
      <c r="D308" s="5"/>
      <c r="E308" s="5"/>
      <c r="F308" s="5"/>
      <c r="G308" s="5"/>
      <c r="H308" s="5"/>
      <c r="I308" s="6"/>
      <c r="J308" s="5"/>
      <c r="K308" s="5"/>
      <c r="L308" s="5"/>
      <c r="M308" s="5"/>
    </row>
    <row r="309" spans="1:13" x14ac:dyDescent="0.35">
      <c r="A309" s="3"/>
      <c r="B309" s="4"/>
      <c r="C309" s="5"/>
      <c r="D309" s="5"/>
      <c r="E309" s="5"/>
      <c r="F309" s="5"/>
      <c r="G309" s="5"/>
      <c r="H309" s="5"/>
      <c r="I309" s="6"/>
      <c r="J309" s="5"/>
      <c r="K309" s="5"/>
      <c r="L309" s="5"/>
      <c r="M309" s="5"/>
    </row>
    <row r="310" spans="1:13" x14ac:dyDescent="0.35">
      <c r="A310" s="3"/>
      <c r="B310" s="4"/>
      <c r="C310" s="5"/>
      <c r="D310" s="5"/>
      <c r="E310" s="5"/>
      <c r="F310" s="5"/>
      <c r="G310" s="5"/>
      <c r="H310" s="5"/>
      <c r="I310" s="6"/>
      <c r="J310" s="5"/>
      <c r="K310" s="5"/>
      <c r="L310" s="5"/>
      <c r="M310" s="5"/>
    </row>
    <row r="311" spans="1:13" x14ac:dyDescent="0.35">
      <c r="A311" s="3"/>
      <c r="B311" s="4"/>
      <c r="C311" s="5"/>
      <c r="D311" s="5"/>
      <c r="E311" s="5"/>
      <c r="F311" s="5"/>
      <c r="G311" s="5"/>
      <c r="H311" s="5"/>
      <c r="I311" s="6"/>
      <c r="J311" s="5"/>
      <c r="K311" s="5"/>
      <c r="L311" s="5"/>
      <c r="M311" s="5"/>
    </row>
    <row r="312" spans="1:13" x14ac:dyDescent="0.35">
      <c r="A312" s="3"/>
      <c r="B312" s="4"/>
      <c r="C312" s="5"/>
      <c r="D312" s="5"/>
      <c r="E312" s="5"/>
      <c r="F312" s="5"/>
      <c r="G312" s="5"/>
      <c r="H312" s="5"/>
      <c r="I312" s="6"/>
      <c r="J312" s="5"/>
      <c r="K312" s="5"/>
      <c r="L312" s="5"/>
      <c r="M312" s="5"/>
    </row>
    <row r="313" spans="1:13" x14ac:dyDescent="0.35">
      <c r="A313" s="3"/>
      <c r="B313" s="4"/>
      <c r="C313" s="5"/>
      <c r="D313" s="5"/>
      <c r="E313" s="5"/>
      <c r="F313" s="5"/>
      <c r="G313" s="5"/>
      <c r="H313" s="5"/>
      <c r="I313" s="6"/>
      <c r="J313" s="5"/>
      <c r="K313" s="5"/>
      <c r="L313" s="5"/>
      <c r="M313" s="5"/>
    </row>
    <row r="314" spans="1:13" x14ac:dyDescent="0.35">
      <c r="A314" s="3"/>
      <c r="B314" s="4"/>
      <c r="C314" s="5"/>
      <c r="D314" s="5"/>
      <c r="E314" s="5"/>
      <c r="F314" s="5"/>
      <c r="G314" s="5"/>
      <c r="H314" s="5"/>
      <c r="I314" s="6"/>
      <c r="J314" s="5"/>
      <c r="K314" s="5"/>
      <c r="L314" s="5"/>
      <c r="M314" s="5"/>
    </row>
    <row r="315" spans="1:13" x14ac:dyDescent="0.35">
      <c r="A315" s="3"/>
      <c r="B315" s="4"/>
      <c r="C315" s="5"/>
      <c r="D315" s="5"/>
      <c r="E315" s="5"/>
      <c r="F315" s="5"/>
      <c r="G315" s="5"/>
      <c r="H315" s="5"/>
      <c r="I315" s="6"/>
      <c r="J315" s="5"/>
      <c r="K315" s="5"/>
      <c r="L315" s="5"/>
      <c r="M315" s="5"/>
    </row>
    <row r="316" spans="1:13" x14ac:dyDescent="0.35">
      <c r="A316" s="3"/>
      <c r="B316" s="4"/>
      <c r="C316" s="5"/>
      <c r="D316" s="5"/>
      <c r="E316" s="5"/>
      <c r="F316" s="5"/>
      <c r="G316" s="5"/>
      <c r="H316" s="5"/>
      <c r="I316" s="6"/>
      <c r="J316" s="5"/>
      <c r="K316" s="5"/>
      <c r="L316" s="5"/>
      <c r="M316" s="5"/>
    </row>
    <row r="317" spans="1:13" x14ac:dyDescent="0.35">
      <c r="A317" s="3"/>
      <c r="B317" s="4"/>
      <c r="C317" s="5"/>
      <c r="D317" s="5"/>
      <c r="E317" s="5"/>
      <c r="F317" s="5"/>
      <c r="G317" s="5"/>
      <c r="H317" s="5"/>
      <c r="I317" s="6"/>
      <c r="J317" s="5"/>
      <c r="K317" s="5"/>
      <c r="L317" s="5"/>
      <c r="M317" s="5"/>
    </row>
    <row r="318" spans="1:13" x14ac:dyDescent="0.35">
      <c r="A318" s="3"/>
      <c r="B318" s="4"/>
      <c r="C318" s="5"/>
      <c r="D318" s="5"/>
      <c r="E318" s="5"/>
      <c r="F318" s="5"/>
      <c r="G318" s="5"/>
      <c r="H318" s="5"/>
      <c r="I318" s="6"/>
      <c r="J318" s="5"/>
      <c r="K318" s="5"/>
      <c r="L318" s="5"/>
      <c r="M318" s="5"/>
    </row>
    <row r="319" spans="1:13" x14ac:dyDescent="0.35">
      <c r="A319" s="3"/>
      <c r="B319" s="4"/>
      <c r="C319" s="5"/>
      <c r="D319" s="5"/>
      <c r="E319" s="5"/>
      <c r="F319" s="5"/>
      <c r="G319" s="5"/>
      <c r="H319" s="5"/>
      <c r="I319" s="6"/>
      <c r="J319" s="5"/>
      <c r="K319" s="5"/>
      <c r="L319" s="5"/>
      <c r="M319" s="5"/>
    </row>
    <row r="320" spans="1:13" x14ac:dyDescent="0.35">
      <c r="A320" s="3"/>
      <c r="B320" s="4"/>
      <c r="C320" s="5"/>
      <c r="D320" s="5"/>
      <c r="E320" s="5"/>
      <c r="F320" s="5"/>
      <c r="G320" s="5"/>
      <c r="H320" s="5"/>
      <c r="I320" s="6"/>
      <c r="J320" s="5"/>
      <c r="K320" s="5"/>
      <c r="L320" s="5"/>
      <c r="M320" s="5"/>
    </row>
    <row r="321" spans="1:13" x14ac:dyDescent="0.35">
      <c r="A321" s="3"/>
      <c r="B321" s="4"/>
      <c r="C321" s="5"/>
      <c r="D321" s="5"/>
      <c r="E321" s="5"/>
      <c r="F321" s="5"/>
      <c r="G321" s="5"/>
      <c r="H321" s="5"/>
      <c r="I321" s="6"/>
      <c r="J321" s="5"/>
      <c r="K321" s="5"/>
      <c r="L321" s="5"/>
      <c r="M321" s="5"/>
    </row>
    <row r="322" spans="1:13" x14ac:dyDescent="0.35">
      <c r="A322" s="3"/>
      <c r="B322" s="4"/>
      <c r="C322" s="5"/>
      <c r="D322" s="5"/>
      <c r="E322" s="5"/>
      <c r="F322" s="5"/>
      <c r="G322" s="5"/>
      <c r="H322" s="5"/>
      <c r="I322" s="6"/>
      <c r="J322" s="5"/>
      <c r="K322" s="5"/>
      <c r="L322" s="5"/>
      <c r="M322" s="5"/>
    </row>
    <row r="323" spans="1:13" x14ac:dyDescent="0.35">
      <c r="A323" s="3"/>
      <c r="B323" s="4"/>
      <c r="C323" s="5"/>
      <c r="D323" s="5"/>
      <c r="E323" s="5"/>
      <c r="F323" s="5"/>
      <c r="G323" s="5"/>
      <c r="H323" s="5"/>
      <c r="I323" s="6"/>
      <c r="J323" s="5"/>
      <c r="K323" s="5"/>
      <c r="L323" s="5"/>
      <c r="M323" s="5"/>
    </row>
    <row r="324" spans="1:13" x14ac:dyDescent="0.35">
      <c r="A324" s="3"/>
      <c r="B324" s="4"/>
      <c r="C324" s="5"/>
      <c r="D324" s="5"/>
      <c r="E324" s="5"/>
      <c r="F324" s="5"/>
      <c r="G324" s="5"/>
      <c r="H324" s="5"/>
      <c r="I324" s="6"/>
      <c r="J324" s="5"/>
      <c r="K324" s="5"/>
      <c r="L324" s="5"/>
      <c r="M324" s="5"/>
    </row>
    <row r="325" spans="1:13" x14ac:dyDescent="0.35">
      <c r="A325" s="3"/>
      <c r="B325" s="4"/>
      <c r="C325" s="5"/>
      <c r="D325" s="5"/>
      <c r="E325" s="5"/>
      <c r="F325" s="5"/>
      <c r="G325" s="5"/>
      <c r="H325" s="5"/>
      <c r="I325" s="6"/>
      <c r="J325" s="5"/>
      <c r="K325" s="5"/>
      <c r="L325" s="5"/>
      <c r="M325" s="5"/>
    </row>
    <row r="326" spans="1:13" x14ac:dyDescent="0.35">
      <c r="A326" s="3"/>
      <c r="B326" s="4"/>
      <c r="C326" s="5"/>
      <c r="D326" s="5"/>
      <c r="E326" s="5"/>
      <c r="F326" s="5"/>
      <c r="G326" s="5"/>
      <c r="H326" s="5"/>
      <c r="I326" s="6"/>
      <c r="J326" s="5"/>
      <c r="K326" s="5"/>
      <c r="L326" s="5"/>
      <c r="M326" s="5"/>
    </row>
    <row r="327" spans="1:13" x14ac:dyDescent="0.35">
      <c r="A327" s="3"/>
      <c r="B327" s="4"/>
      <c r="C327" s="5"/>
      <c r="D327" s="5"/>
      <c r="E327" s="5"/>
      <c r="F327" s="5"/>
      <c r="G327" s="5"/>
      <c r="H327" s="5"/>
      <c r="I327" s="6"/>
      <c r="J327" s="5"/>
      <c r="K327" s="5"/>
      <c r="L327" s="5"/>
      <c r="M327" s="5"/>
    </row>
    <row r="328" spans="1:13" x14ac:dyDescent="0.35">
      <c r="A328" s="3"/>
      <c r="B328" s="4"/>
      <c r="C328" s="5"/>
      <c r="D328" s="5"/>
      <c r="E328" s="5"/>
      <c r="F328" s="5"/>
      <c r="G328" s="5"/>
      <c r="H328" s="5"/>
      <c r="I328" s="6"/>
      <c r="J328" s="5"/>
      <c r="K328" s="5"/>
      <c r="L328" s="5"/>
      <c r="M328" s="5"/>
    </row>
    <row r="329" spans="1:13" x14ac:dyDescent="0.35">
      <c r="A329" s="3"/>
      <c r="B329" s="4"/>
      <c r="C329" s="5"/>
      <c r="D329" s="5"/>
      <c r="E329" s="5"/>
      <c r="F329" s="5"/>
      <c r="G329" s="5"/>
      <c r="H329" s="5"/>
      <c r="I329" s="6"/>
      <c r="J329" s="5"/>
      <c r="K329" s="5"/>
      <c r="L329" s="5"/>
      <c r="M329" s="5"/>
    </row>
    <row r="330" spans="1:13" x14ac:dyDescent="0.35">
      <c r="A330" s="3"/>
      <c r="B330" s="4"/>
      <c r="C330" s="5"/>
      <c r="D330" s="5"/>
      <c r="E330" s="5"/>
      <c r="F330" s="5"/>
      <c r="G330" s="5"/>
      <c r="H330" s="5"/>
      <c r="I330" s="6"/>
      <c r="J330" s="5"/>
      <c r="K330" s="5"/>
      <c r="L330" s="5"/>
      <c r="M330" s="5"/>
    </row>
    <row r="331" spans="1:13" x14ac:dyDescent="0.35">
      <c r="A331" s="3"/>
      <c r="B331" s="4"/>
      <c r="C331" s="5"/>
      <c r="D331" s="5"/>
      <c r="E331" s="5"/>
      <c r="F331" s="5"/>
      <c r="G331" s="5"/>
      <c r="H331" s="5"/>
      <c r="I331" s="6"/>
      <c r="J331" s="5"/>
      <c r="K331" s="5"/>
      <c r="L331" s="5"/>
      <c r="M331" s="5"/>
    </row>
    <row r="332" spans="1:13" x14ac:dyDescent="0.35">
      <c r="A332" s="3"/>
      <c r="B332" s="4"/>
      <c r="C332" s="5"/>
      <c r="D332" s="5"/>
      <c r="E332" s="5"/>
      <c r="F332" s="5"/>
      <c r="G332" s="5"/>
      <c r="H332" s="5"/>
      <c r="I332" s="6"/>
      <c r="J332" s="5"/>
      <c r="K332" s="5"/>
      <c r="L332" s="5"/>
      <c r="M332" s="5"/>
    </row>
    <row r="333" spans="1:13" x14ac:dyDescent="0.35">
      <c r="A333" s="3"/>
      <c r="B333" s="4"/>
      <c r="C333" s="5"/>
      <c r="D333" s="5"/>
      <c r="E333" s="5"/>
      <c r="F333" s="5"/>
      <c r="G333" s="5"/>
      <c r="H333" s="5"/>
      <c r="I333" s="6"/>
      <c r="J333" s="5"/>
      <c r="K333" s="5"/>
      <c r="L333" s="5"/>
      <c r="M333" s="5"/>
    </row>
    <row r="334" spans="1:13" x14ac:dyDescent="0.35">
      <c r="A334" s="3"/>
      <c r="B334" s="4"/>
      <c r="C334" s="5"/>
      <c r="D334" s="5"/>
      <c r="E334" s="5"/>
      <c r="F334" s="5"/>
      <c r="G334" s="5"/>
      <c r="H334" s="5"/>
      <c r="I334" s="6"/>
      <c r="J334" s="5"/>
      <c r="K334" s="5"/>
      <c r="L334" s="5"/>
      <c r="M334" s="5"/>
    </row>
    <row r="335" spans="1:13" x14ac:dyDescent="0.35">
      <c r="A335" s="3"/>
      <c r="B335" s="4"/>
      <c r="C335" s="5"/>
      <c r="D335" s="5"/>
      <c r="E335" s="5"/>
      <c r="F335" s="5"/>
      <c r="G335" s="5"/>
      <c r="H335" s="5"/>
      <c r="I335" s="6"/>
      <c r="J335" s="5"/>
      <c r="K335" s="5"/>
      <c r="L335" s="5"/>
      <c r="M335" s="5"/>
    </row>
    <row r="336" spans="1:13" x14ac:dyDescent="0.35">
      <c r="A336" s="3"/>
      <c r="B336" s="4"/>
      <c r="C336" s="5"/>
      <c r="D336" s="5"/>
      <c r="E336" s="5"/>
      <c r="F336" s="5"/>
      <c r="G336" s="5"/>
      <c r="H336" s="5"/>
      <c r="I336" s="6"/>
      <c r="J336" s="5"/>
      <c r="K336" s="5"/>
      <c r="L336" s="5"/>
      <c r="M336" s="5"/>
    </row>
    <row r="337" spans="1:13" x14ac:dyDescent="0.35">
      <c r="A337" s="3"/>
      <c r="B337" s="4"/>
      <c r="C337" s="5"/>
      <c r="D337" s="5"/>
      <c r="E337" s="5"/>
      <c r="F337" s="5"/>
      <c r="G337" s="5"/>
      <c r="H337" s="5"/>
      <c r="I337" s="6"/>
      <c r="J337" s="5"/>
      <c r="K337" s="5"/>
      <c r="L337" s="5"/>
      <c r="M337" s="5"/>
    </row>
    <row r="338" spans="1:13" x14ac:dyDescent="0.35">
      <c r="A338" s="3"/>
      <c r="B338" s="4"/>
      <c r="C338" s="5"/>
      <c r="D338" s="5"/>
      <c r="E338" s="5"/>
      <c r="F338" s="5"/>
      <c r="G338" s="5"/>
      <c r="H338" s="5"/>
      <c r="I338" s="6"/>
      <c r="J338" s="5"/>
      <c r="K338" s="5"/>
      <c r="L338" s="5"/>
      <c r="M338" s="5"/>
    </row>
    <row r="339" spans="1:13" x14ac:dyDescent="0.35">
      <c r="A339" s="3"/>
      <c r="B339" s="4"/>
      <c r="C339" s="5"/>
      <c r="D339" s="5"/>
      <c r="E339" s="5"/>
      <c r="F339" s="5"/>
      <c r="G339" s="5"/>
      <c r="H339" s="5"/>
      <c r="I339" s="6"/>
      <c r="J339" s="5"/>
      <c r="K339" s="5"/>
      <c r="L339" s="5"/>
      <c r="M339" s="5"/>
    </row>
    <row r="340" spans="1:13" x14ac:dyDescent="0.35">
      <c r="A340" s="3"/>
      <c r="B340" s="4"/>
      <c r="C340" s="5"/>
      <c r="D340" s="5"/>
      <c r="E340" s="5"/>
      <c r="F340" s="5"/>
      <c r="G340" s="5"/>
      <c r="H340" s="5"/>
      <c r="I340" s="6"/>
      <c r="J340" s="5"/>
      <c r="K340" s="5"/>
      <c r="L340" s="5"/>
      <c r="M340" s="5"/>
    </row>
    <row r="341" spans="1:13" x14ac:dyDescent="0.35">
      <c r="A341" s="3"/>
      <c r="B341" s="4"/>
      <c r="C341" s="5"/>
      <c r="D341" s="5"/>
      <c r="E341" s="5"/>
      <c r="F341" s="5"/>
      <c r="G341" s="5"/>
      <c r="H341" s="5"/>
      <c r="I341" s="6"/>
      <c r="J341" s="5"/>
      <c r="K341" s="5"/>
      <c r="L341" s="5"/>
      <c r="M341" s="5"/>
    </row>
    <row r="342" spans="1:13" x14ac:dyDescent="0.35">
      <c r="A342" s="3"/>
      <c r="B342" s="4"/>
      <c r="C342" s="5"/>
      <c r="D342" s="5"/>
      <c r="E342" s="5"/>
      <c r="F342" s="5"/>
      <c r="G342" s="5"/>
      <c r="H342" s="5"/>
      <c r="I342" s="6"/>
      <c r="J342" s="5"/>
      <c r="K342" s="5"/>
      <c r="L342" s="5"/>
      <c r="M342" s="5"/>
    </row>
    <row r="343" spans="1:13" x14ac:dyDescent="0.35">
      <c r="A343" s="3"/>
      <c r="B343" s="4"/>
      <c r="C343" s="5"/>
      <c r="D343" s="5"/>
      <c r="E343" s="5"/>
      <c r="F343" s="5"/>
      <c r="G343" s="5"/>
      <c r="H343" s="5"/>
      <c r="I343" s="6"/>
      <c r="J343" s="5"/>
      <c r="K343" s="5"/>
      <c r="L343" s="5"/>
      <c r="M343" s="5"/>
    </row>
    <row r="344" spans="1:13" x14ac:dyDescent="0.35">
      <c r="A344" s="3"/>
      <c r="B344" s="4"/>
      <c r="C344" s="5"/>
      <c r="D344" s="5"/>
      <c r="E344" s="5"/>
      <c r="F344" s="5"/>
      <c r="G344" s="5"/>
      <c r="H344" s="5"/>
      <c r="I344" s="6"/>
      <c r="J344" s="5"/>
      <c r="K344" s="5"/>
      <c r="L344" s="5"/>
      <c r="M344" s="5"/>
    </row>
    <row r="345" spans="1:13" x14ac:dyDescent="0.35">
      <c r="A345" s="3"/>
      <c r="B345" s="4"/>
      <c r="C345" s="5"/>
      <c r="D345" s="5"/>
      <c r="E345" s="5"/>
      <c r="F345" s="5"/>
      <c r="G345" s="5"/>
      <c r="H345" s="5"/>
      <c r="I345" s="6"/>
      <c r="J345" s="5"/>
      <c r="K345" s="5"/>
      <c r="L345" s="5"/>
      <c r="M345" s="5"/>
    </row>
    <row r="346" spans="1:13" x14ac:dyDescent="0.35">
      <c r="A346" s="3"/>
      <c r="B346" s="4"/>
      <c r="C346" s="5"/>
      <c r="D346" s="5"/>
      <c r="E346" s="5"/>
      <c r="F346" s="5"/>
      <c r="G346" s="5"/>
      <c r="H346" s="5"/>
      <c r="I346" s="6"/>
      <c r="J346" s="5"/>
      <c r="K346" s="5"/>
      <c r="L346" s="5"/>
      <c r="M346" s="5"/>
    </row>
    <row r="347" spans="1:13" x14ac:dyDescent="0.35">
      <c r="A347" s="3"/>
      <c r="B347" s="4"/>
      <c r="C347" s="5"/>
      <c r="D347" s="5"/>
      <c r="E347" s="5"/>
      <c r="F347" s="5"/>
      <c r="G347" s="5"/>
      <c r="H347" s="5"/>
      <c r="I347" s="6"/>
      <c r="J347" s="5"/>
      <c r="K347" s="5"/>
      <c r="L347" s="5"/>
      <c r="M347" s="5"/>
    </row>
    <row r="348" spans="1:13" x14ac:dyDescent="0.35">
      <c r="A348" s="3"/>
      <c r="B348" s="4"/>
      <c r="C348" s="5"/>
      <c r="D348" s="5"/>
      <c r="E348" s="5"/>
      <c r="F348" s="5"/>
      <c r="G348" s="5"/>
      <c r="H348" s="5"/>
      <c r="I348" s="6"/>
      <c r="J348" s="5"/>
      <c r="K348" s="5"/>
      <c r="L348" s="5"/>
      <c r="M348" s="5"/>
    </row>
    <row r="349" spans="1:13" x14ac:dyDescent="0.35">
      <c r="A349" s="3"/>
      <c r="B349" s="4"/>
      <c r="C349" s="5"/>
      <c r="D349" s="5"/>
      <c r="E349" s="5"/>
      <c r="F349" s="5"/>
      <c r="G349" s="5"/>
      <c r="H349" s="5"/>
      <c r="I349" s="6"/>
      <c r="J349" s="5"/>
      <c r="K349" s="5"/>
      <c r="L349" s="5"/>
      <c r="M349" s="5"/>
    </row>
    <row r="350" spans="1:13" x14ac:dyDescent="0.35">
      <c r="A350" s="3"/>
      <c r="B350" s="4"/>
      <c r="C350" s="5"/>
      <c r="D350" s="5"/>
      <c r="E350" s="5"/>
      <c r="F350" s="5"/>
      <c r="G350" s="5"/>
      <c r="H350" s="5"/>
      <c r="I350" s="6"/>
      <c r="J350" s="5"/>
      <c r="K350" s="5"/>
      <c r="L350" s="5"/>
      <c r="M350" s="5"/>
    </row>
    <row r="351" spans="1:13" x14ac:dyDescent="0.35">
      <c r="A351" s="3"/>
      <c r="B351" s="4"/>
      <c r="C351" s="5"/>
      <c r="D351" s="5"/>
      <c r="E351" s="5"/>
      <c r="F351" s="5"/>
      <c r="G351" s="5"/>
      <c r="H351" s="5"/>
      <c r="I351" s="6"/>
      <c r="J351" s="5"/>
      <c r="K351" s="5"/>
      <c r="L351" s="5"/>
      <c r="M351" s="5"/>
    </row>
    <row r="352" spans="1:13" x14ac:dyDescent="0.35">
      <c r="A352" s="3"/>
      <c r="B352" s="4"/>
      <c r="C352" s="5"/>
      <c r="D352" s="5"/>
      <c r="E352" s="5"/>
      <c r="F352" s="5"/>
      <c r="G352" s="5"/>
      <c r="H352" s="5"/>
      <c r="I352" s="6"/>
      <c r="J352" s="5"/>
      <c r="K352" s="5"/>
      <c r="L352" s="5"/>
      <c r="M352" s="5"/>
    </row>
    <row r="353" spans="1:13" x14ac:dyDescent="0.35">
      <c r="A353" s="3"/>
      <c r="B353" s="4"/>
      <c r="C353" s="5"/>
      <c r="D353" s="5"/>
      <c r="E353" s="5"/>
      <c r="F353" s="5"/>
      <c r="G353" s="5"/>
      <c r="H353" s="5"/>
      <c r="I353" s="6"/>
      <c r="J353" s="5"/>
      <c r="K353" s="5"/>
      <c r="L353" s="5"/>
      <c r="M353" s="5"/>
    </row>
    <row r="354" spans="1:13" x14ac:dyDescent="0.35">
      <c r="A354" s="3"/>
      <c r="B354" s="4"/>
      <c r="C354" s="5"/>
      <c r="D354" s="5"/>
      <c r="E354" s="5"/>
      <c r="F354" s="5"/>
      <c r="G354" s="5"/>
      <c r="H354" s="5"/>
      <c r="I354" s="6"/>
      <c r="J354" s="5"/>
      <c r="K354" s="5"/>
      <c r="L354" s="5"/>
      <c r="M354" s="5"/>
    </row>
    <row r="355" spans="1:13" x14ac:dyDescent="0.35">
      <c r="A355" s="3"/>
      <c r="B355" s="4"/>
      <c r="C355" s="5"/>
      <c r="D355" s="5"/>
      <c r="E355" s="5"/>
      <c r="F355" s="5"/>
      <c r="G355" s="5"/>
      <c r="H355" s="5"/>
      <c r="I355" s="6"/>
      <c r="J355" s="5"/>
      <c r="K355" s="5"/>
      <c r="L355" s="5"/>
      <c r="M355" s="5"/>
    </row>
    <row r="356" spans="1:13" x14ac:dyDescent="0.35">
      <c r="A356" s="3"/>
      <c r="B356" s="4"/>
      <c r="C356" s="5"/>
      <c r="D356" s="5"/>
      <c r="E356" s="5"/>
      <c r="F356" s="5"/>
      <c r="G356" s="5"/>
      <c r="H356" s="5"/>
      <c r="I356" s="6"/>
      <c r="J356" s="5"/>
      <c r="K356" s="5"/>
      <c r="L356" s="5"/>
      <c r="M356" s="5"/>
    </row>
    <row r="357" spans="1:13" x14ac:dyDescent="0.35">
      <c r="A357" s="3"/>
      <c r="B357" s="4"/>
      <c r="C357" s="5"/>
      <c r="D357" s="5"/>
      <c r="E357" s="5"/>
      <c r="F357" s="5"/>
      <c r="G357" s="5"/>
      <c r="H357" s="5"/>
      <c r="I357" s="6"/>
      <c r="J357" s="5"/>
      <c r="K357" s="5"/>
      <c r="L357" s="5"/>
      <c r="M357" s="5"/>
    </row>
    <row r="358" spans="1:13" x14ac:dyDescent="0.35">
      <c r="A358" s="3"/>
      <c r="B358" s="4"/>
      <c r="C358" s="5"/>
      <c r="D358" s="5"/>
      <c r="E358" s="5"/>
      <c r="F358" s="5"/>
      <c r="G358" s="5"/>
      <c r="H358" s="5"/>
      <c r="I358" s="6"/>
      <c r="J358" s="5"/>
      <c r="K358" s="5"/>
      <c r="L358" s="5"/>
      <c r="M358" s="5"/>
    </row>
    <row r="359" spans="1:13" x14ac:dyDescent="0.35">
      <c r="A359" s="3"/>
      <c r="B359" s="4"/>
      <c r="C359" s="5"/>
      <c r="D359" s="5"/>
      <c r="E359" s="5"/>
      <c r="F359" s="5"/>
      <c r="G359" s="5"/>
      <c r="H359" s="5"/>
      <c r="I359" s="6"/>
      <c r="J359" s="5"/>
      <c r="K359" s="5"/>
      <c r="L359" s="5"/>
      <c r="M359" s="5"/>
    </row>
    <row r="360" spans="1:13" x14ac:dyDescent="0.35">
      <c r="A360" s="3"/>
      <c r="B360" s="4"/>
      <c r="C360" s="5"/>
      <c r="D360" s="5"/>
      <c r="E360" s="5"/>
      <c r="F360" s="5"/>
      <c r="G360" s="5"/>
      <c r="H360" s="5"/>
      <c r="I360" s="6"/>
      <c r="J360" s="5"/>
      <c r="K360" s="5"/>
      <c r="L360" s="5"/>
      <c r="M360" s="5"/>
    </row>
    <row r="361" spans="1:13" x14ac:dyDescent="0.35">
      <c r="A361" s="3"/>
      <c r="B361" s="4"/>
      <c r="C361" s="5"/>
      <c r="D361" s="5"/>
      <c r="E361" s="5"/>
      <c r="F361" s="5"/>
      <c r="G361" s="5"/>
      <c r="H361" s="5"/>
      <c r="I361" s="6"/>
      <c r="J361" s="5"/>
      <c r="K361" s="5"/>
      <c r="L361" s="5"/>
      <c r="M361" s="5"/>
    </row>
    <row r="362" spans="1:13" x14ac:dyDescent="0.35">
      <c r="A362" s="3"/>
      <c r="B362" s="4"/>
      <c r="C362" s="5"/>
      <c r="D362" s="5"/>
      <c r="E362" s="5"/>
      <c r="F362" s="5"/>
      <c r="G362" s="5"/>
      <c r="H362" s="5"/>
      <c r="I362" s="6"/>
      <c r="J362" s="5"/>
      <c r="K362" s="5"/>
      <c r="L362" s="5"/>
      <c r="M362" s="5"/>
    </row>
    <row r="363" spans="1:13" x14ac:dyDescent="0.35">
      <c r="A363" s="3"/>
      <c r="B363" s="4"/>
      <c r="C363" s="5"/>
      <c r="D363" s="5"/>
      <c r="E363" s="5"/>
      <c r="F363" s="5"/>
      <c r="G363" s="5"/>
      <c r="H363" s="5"/>
      <c r="I363" s="6"/>
      <c r="J363" s="5"/>
      <c r="K363" s="5"/>
      <c r="L363" s="5"/>
      <c r="M363" s="5"/>
    </row>
    <row r="364" spans="1:13" x14ac:dyDescent="0.35">
      <c r="A364" s="3"/>
      <c r="B364" s="4"/>
      <c r="C364" s="5"/>
      <c r="D364" s="5"/>
      <c r="E364" s="5"/>
      <c r="F364" s="5"/>
      <c r="G364" s="5"/>
      <c r="H364" s="5"/>
      <c r="I364" s="6"/>
      <c r="J364" s="5"/>
      <c r="K364" s="5"/>
      <c r="L364" s="5"/>
      <c r="M364" s="5"/>
    </row>
    <row r="365" spans="1:13" x14ac:dyDescent="0.35">
      <c r="A365" s="3"/>
      <c r="B365" s="4"/>
      <c r="C365" s="5"/>
      <c r="D365" s="5"/>
      <c r="E365" s="5"/>
      <c r="F365" s="5"/>
      <c r="G365" s="5"/>
      <c r="H365" s="5"/>
      <c r="I365" s="6"/>
      <c r="J365" s="5"/>
      <c r="K365" s="5"/>
      <c r="L365" s="5"/>
      <c r="M365" s="5"/>
    </row>
    <row r="366" spans="1:13" x14ac:dyDescent="0.35">
      <c r="A366" s="3"/>
      <c r="B366" s="4"/>
      <c r="C366" s="5"/>
      <c r="D366" s="5"/>
      <c r="E366" s="5"/>
      <c r="F366" s="5"/>
      <c r="G366" s="5"/>
      <c r="H366" s="5"/>
      <c r="I366" s="6"/>
      <c r="J366" s="5"/>
      <c r="K366" s="5"/>
      <c r="L366" s="5"/>
      <c r="M366" s="5"/>
    </row>
    <row r="367" spans="1:13" x14ac:dyDescent="0.35">
      <c r="A367" s="3"/>
      <c r="B367" s="4"/>
      <c r="C367" s="5"/>
      <c r="D367" s="5"/>
      <c r="E367" s="5"/>
      <c r="F367" s="5"/>
      <c r="G367" s="5"/>
      <c r="H367" s="5"/>
      <c r="I367" s="6"/>
      <c r="J367" s="5"/>
      <c r="K367" s="5"/>
      <c r="L367" s="5"/>
      <c r="M367" s="5"/>
    </row>
    <row r="368" spans="1:13" x14ac:dyDescent="0.35">
      <c r="A368" s="3"/>
      <c r="B368" s="4"/>
      <c r="C368" s="5"/>
      <c r="D368" s="5"/>
      <c r="E368" s="5"/>
      <c r="F368" s="5"/>
      <c r="G368" s="5"/>
      <c r="H368" s="5"/>
      <c r="I368" s="6"/>
      <c r="J368" s="5"/>
      <c r="K368" s="5"/>
      <c r="L368" s="5"/>
      <c r="M368" s="5"/>
    </row>
    <row r="369" spans="1:13" x14ac:dyDescent="0.35">
      <c r="A369" s="3"/>
      <c r="B369" s="4"/>
      <c r="C369" s="5"/>
      <c r="D369" s="5"/>
      <c r="E369" s="5"/>
      <c r="F369" s="5"/>
      <c r="G369" s="5"/>
      <c r="H369" s="5"/>
      <c r="I369" s="6"/>
      <c r="J369" s="5"/>
      <c r="K369" s="5"/>
      <c r="L369" s="5"/>
      <c r="M369" s="5"/>
    </row>
    <row r="370" spans="1:13" x14ac:dyDescent="0.35">
      <c r="A370" s="3"/>
      <c r="B370" s="4"/>
      <c r="C370" s="5"/>
      <c r="D370" s="5"/>
      <c r="E370" s="5"/>
      <c r="F370" s="5"/>
      <c r="G370" s="5"/>
      <c r="H370" s="5"/>
      <c r="I370" s="6"/>
      <c r="J370" s="5"/>
      <c r="K370" s="5"/>
      <c r="L370" s="5"/>
      <c r="M370" s="5"/>
    </row>
    <row r="371" spans="1:13" x14ac:dyDescent="0.35">
      <c r="A371" s="3"/>
      <c r="B371" s="4"/>
      <c r="C371" s="5"/>
      <c r="D371" s="5"/>
      <c r="E371" s="5"/>
      <c r="F371" s="5"/>
      <c r="G371" s="5"/>
      <c r="H371" s="5"/>
      <c r="I371" s="6"/>
      <c r="J371" s="5"/>
      <c r="K371" s="5"/>
      <c r="L371" s="5"/>
      <c r="M371" s="5"/>
    </row>
    <row r="372" spans="1:13" x14ac:dyDescent="0.35">
      <c r="A372" s="3"/>
      <c r="B372" s="4"/>
      <c r="C372" s="5"/>
      <c r="D372" s="5"/>
      <c r="E372" s="5"/>
      <c r="F372" s="5"/>
      <c r="G372" s="5"/>
      <c r="H372" s="5"/>
      <c r="I372" s="6"/>
      <c r="J372" s="5"/>
      <c r="K372" s="5"/>
      <c r="L372" s="5"/>
      <c r="M372" s="5"/>
    </row>
    <row r="373" spans="1:13" x14ac:dyDescent="0.35">
      <c r="A373" s="3"/>
      <c r="B373" s="4"/>
      <c r="C373" s="5"/>
      <c r="D373" s="5"/>
      <c r="E373" s="5"/>
      <c r="F373" s="5"/>
      <c r="G373" s="5"/>
      <c r="H373" s="5"/>
      <c r="I373" s="6"/>
      <c r="J373" s="5"/>
      <c r="K373" s="5"/>
      <c r="L373" s="5"/>
      <c r="M373" s="5"/>
    </row>
    <row r="374" spans="1:13" x14ac:dyDescent="0.35">
      <c r="A374" s="3"/>
      <c r="B374" s="4"/>
      <c r="C374" s="5"/>
      <c r="D374" s="5"/>
      <c r="E374" s="5"/>
      <c r="F374" s="5"/>
      <c r="G374" s="5"/>
      <c r="H374" s="5"/>
      <c r="I374" s="6"/>
      <c r="J374" s="5"/>
      <c r="K374" s="5"/>
      <c r="L374" s="5"/>
      <c r="M374" s="5"/>
    </row>
    <row r="375" spans="1:13" x14ac:dyDescent="0.35">
      <c r="A375" s="3"/>
      <c r="B375" s="4"/>
      <c r="C375" s="5"/>
      <c r="D375" s="5"/>
      <c r="E375" s="5"/>
      <c r="F375" s="5"/>
      <c r="G375" s="5"/>
      <c r="H375" s="5"/>
      <c r="I375" s="6"/>
      <c r="J375" s="5"/>
      <c r="K375" s="5"/>
      <c r="L375" s="5"/>
      <c r="M375" s="5"/>
    </row>
    <row r="376" spans="1:13" x14ac:dyDescent="0.35">
      <c r="A376" s="3"/>
      <c r="B376" s="4"/>
      <c r="C376" s="5"/>
      <c r="D376" s="5"/>
      <c r="E376" s="5"/>
      <c r="F376" s="5"/>
      <c r="G376" s="5"/>
      <c r="H376" s="5"/>
      <c r="I376" s="6"/>
      <c r="J376" s="5"/>
      <c r="K376" s="5"/>
      <c r="L376" s="5"/>
      <c r="M376" s="5"/>
    </row>
    <row r="377" spans="1:13" x14ac:dyDescent="0.35">
      <c r="A377" s="3"/>
      <c r="B377" s="4"/>
      <c r="C377" s="5"/>
      <c r="D377" s="5"/>
      <c r="E377" s="5"/>
      <c r="F377" s="5"/>
      <c r="G377" s="5"/>
      <c r="H377" s="5"/>
      <c r="I377" s="6"/>
      <c r="J377" s="5"/>
      <c r="K377" s="5"/>
      <c r="L377" s="5"/>
      <c r="M377" s="5"/>
    </row>
    <row r="378" spans="1:13" x14ac:dyDescent="0.35">
      <c r="A378" s="3"/>
      <c r="B378" s="4"/>
      <c r="C378" s="5"/>
      <c r="D378" s="5"/>
      <c r="E378" s="5"/>
      <c r="F378" s="5"/>
      <c r="G378" s="5"/>
      <c r="H378" s="5"/>
      <c r="I378" s="6"/>
      <c r="J378" s="5"/>
      <c r="K378" s="5"/>
      <c r="L378" s="5"/>
      <c r="M378" s="5"/>
    </row>
    <row r="379" spans="1:13" x14ac:dyDescent="0.35">
      <c r="A379" s="3"/>
      <c r="B379" s="4"/>
      <c r="C379" s="5"/>
      <c r="D379" s="5"/>
      <c r="E379" s="5"/>
      <c r="F379" s="5"/>
      <c r="G379" s="5"/>
      <c r="H379" s="5"/>
      <c r="I379" s="6"/>
      <c r="J379" s="5"/>
      <c r="K379" s="5"/>
      <c r="L379" s="5"/>
      <c r="M379" s="5"/>
    </row>
    <row r="380" spans="1:13" x14ac:dyDescent="0.35">
      <c r="A380" s="3"/>
      <c r="B380" s="4"/>
      <c r="C380" s="5"/>
      <c r="D380" s="5"/>
      <c r="E380" s="5"/>
      <c r="F380" s="5"/>
      <c r="G380" s="5"/>
      <c r="H380" s="5"/>
      <c r="I380" s="6"/>
      <c r="J380" s="5"/>
      <c r="K380" s="5"/>
      <c r="L380" s="5"/>
      <c r="M380" s="5"/>
    </row>
    <row r="381" spans="1:13" x14ac:dyDescent="0.35">
      <c r="A381" s="3"/>
      <c r="B381" s="4"/>
      <c r="C381" s="5"/>
      <c r="D381" s="5"/>
      <c r="E381" s="5"/>
      <c r="F381" s="5"/>
      <c r="G381" s="5"/>
      <c r="H381" s="5"/>
      <c r="I381" s="6"/>
      <c r="J381" s="5"/>
      <c r="K381" s="5"/>
      <c r="L381" s="5"/>
      <c r="M381" s="5"/>
    </row>
    <row r="382" spans="1:13" x14ac:dyDescent="0.35">
      <c r="A382" s="3"/>
      <c r="B382" s="4"/>
      <c r="C382" s="5"/>
      <c r="D382" s="5"/>
      <c r="E382" s="5"/>
      <c r="F382" s="5"/>
      <c r="G382" s="5"/>
      <c r="H382" s="5"/>
      <c r="I382" s="6"/>
      <c r="J382" s="5"/>
      <c r="K382" s="5"/>
      <c r="L382" s="5"/>
      <c r="M382" s="5"/>
    </row>
    <row r="383" spans="1:13" x14ac:dyDescent="0.35">
      <c r="A383" s="3"/>
      <c r="B383" s="4"/>
      <c r="C383" s="5"/>
      <c r="D383" s="5"/>
      <c r="E383" s="5"/>
      <c r="F383" s="5"/>
      <c r="G383" s="5"/>
      <c r="H383" s="5"/>
      <c r="I383" s="6"/>
      <c r="J383" s="5"/>
      <c r="K383" s="5"/>
      <c r="L383" s="5"/>
      <c r="M383" s="5"/>
    </row>
    <row r="384" spans="1:13" x14ac:dyDescent="0.35">
      <c r="A384" s="3"/>
      <c r="B384" s="4"/>
      <c r="C384" s="5"/>
      <c r="D384" s="5"/>
      <c r="E384" s="5"/>
      <c r="F384" s="5"/>
      <c r="G384" s="5"/>
      <c r="H384" s="5"/>
      <c r="I384" s="6"/>
      <c r="J384" s="5"/>
      <c r="K384" s="5"/>
      <c r="L384" s="5"/>
      <c r="M384" s="5"/>
    </row>
    <row r="385" spans="1:13" x14ac:dyDescent="0.35">
      <c r="A385" s="3"/>
      <c r="B385" s="4"/>
      <c r="C385" s="5"/>
      <c r="D385" s="5"/>
      <c r="E385" s="5"/>
      <c r="F385" s="5"/>
      <c r="G385" s="5"/>
      <c r="H385" s="5"/>
      <c r="I385" s="6"/>
      <c r="J385" s="5"/>
      <c r="K385" s="5"/>
      <c r="L385" s="5"/>
      <c r="M385" s="5"/>
    </row>
    <row r="386" spans="1:13" x14ac:dyDescent="0.35">
      <c r="A386" s="3"/>
      <c r="B386" s="4"/>
      <c r="C386" s="5"/>
      <c r="D386" s="5"/>
      <c r="E386" s="5"/>
      <c r="F386" s="5"/>
      <c r="G386" s="5"/>
      <c r="H386" s="5"/>
      <c r="I386" s="6"/>
      <c r="J386" s="5"/>
      <c r="K386" s="5"/>
      <c r="L386" s="5"/>
      <c r="M386" s="5"/>
    </row>
    <row r="387" spans="1:13" x14ac:dyDescent="0.35">
      <c r="A387" s="3"/>
      <c r="B387" s="4"/>
      <c r="C387" s="5"/>
      <c r="D387" s="5"/>
      <c r="E387" s="5"/>
      <c r="F387" s="5"/>
      <c r="G387" s="5"/>
      <c r="H387" s="5"/>
      <c r="I387" s="6"/>
      <c r="J387" s="5"/>
      <c r="K387" s="5"/>
      <c r="L387" s="5"/>
      <c r="M387" s="5"/>
    </row>
    <row r="388" spans="1:13" x14ac:dyDescent="0.35">
      <c r="A388" s="3"/>
      <c r="B388" s="4"/>
      <c r="C388" s="5"/>
      <c r="D388" s="5"/>
      <c r="E388" s="5"/>
      <c r="F388" s="5"/>
      <c r="G388" s="5"/>
      <c r="H388" s="5"/>
      <c r="I388" s="6"/>
      <c r="J388" s="5"/>
      <c r="K388" s="5"/>
      <c r="L388" s="5"/>
      <c r="M388" s="5"/>
    </row>
    <row r="389" spans="1:13" x14ac:dyDescent="0.35">
      <c r="A389" s="3"/>
      <c r="B389" s="4"/>
      <c r="C389" s="5"/>
      <c r="D389" s="5"/>
      <c r="E389" s="5"/>
      <c r="F389" s="5"/>
      <c r="G389" s="5"/>
      <c r="H389" s="5"/>
      <c r="I389" s="6"/>
      <c r="J389" s="5"/>
      <c r="K389" s="5"/>
      <c r="L389" s="5"/>
      <c r="M389" s="5"/>
    </row>
    <row r="390" spans="1:13" x14ac:dyDescent="0.35">
      <c r="A390" s="3"/>
      <c r="B390" s="4"/>
      <c r="C390" s="5"/>
      <c r="D390" s="5"/>
      <c r="E390" s="5"/>
      <c r="F390" s="5"/>
      <c r="G390" s="5"/>
      <c r="H390" s="5"/>
      <c r="I390" s="6"/>
      <c r="J390" s="5"/>
      <c r="K390" s="5"/>
      <c r="L390" s="5"/>
      <c r="M390" s="5"/>
    </row>
    <row r="391" spans="1:13" x14ac:dyDescent="0.35">
      <c r="A391" s="3"/>
      <c r="B391" s="4"/>
      <c r="C391" s="5"/>
      <c r="D391" s="5"/>
      <c r="E391" s="5"/>
      <c r="F391" s="5"/>
      <c r="G391" s="5"/>
      <c r="H391" s="5"/>
      <c r="I391" s="6"/>
      <c r="J391" s="5"/>
      <c r="K391" s="5"/>
      <c r="L391" s="5"/>
      <c r="M391" s="5"/>
    </row>
    <row r="392" spans="1:13" x14ac:dyDescent="0.35">
      <c r="A392" s="3"/>
      <c r="B392" s="4"/>
      <c r="C392" s="5"/>
      <c r="D392" s="5"/>
      <c r="E392" s="5"/>
      <c r="F392" s="5"/>
      <c r="G392" s="5"/>
      <c r="H392" s="5"/>
      <c r="I392" s="6"/>
      <c r="J392" s="5"/>
      <c r="K392" s="5"/>
      <c r="L392" s="5"/>
      <c r="M392" s="5"/>
    </row>
    <row r="393" spans="1:13" x14ac:dyDescent="0.35">
      <c r="A393" s="3"/>
      <c r="B393" s="4"/>
      <c r="C393" s="5"/>
      <c r="D393" s="5"/>
      <c r="E393" s="5"/>
      <c r="F393" s="5"/>
      <c r="G393" s="5"/>
      <c r="H393" s="5"/>
      <c r="I393" s="6"/>
      <c r="J393" s="5"/>
      <c r="K393" s="5"/>
      <c r="L393" s="5"/>
      <c r="M393" s="5"/>
    </row>
    <row r="394" spans="1:13" x14ac:dyDescent="0.35">
      <c r="A394" s="3"/>
      <c r="B394" s="4"/>
      <c r="C394" s="5"/>
      <c r="D394" s="5"/>
      <c r="E394" s="5"/>
      <c r="F394" s="5"/>
      <c r="G394" s="5"/>
      <c r="H394" s="5"/>
      <c r="I394" s="6"/>
      <c r="J394" s="5"/>
      <c r="K394" s="5"/>
      <c r="L394" s="5"/>
      <c r="M394" s="5"/>
    </row>
    <row r="395" spans="1:13" x14ac:dyDescent="0.35">
      <c r="A395" s="3"/>
      <c r="B395" s="4"/>
      <c r="C395" s="5"/>
      <c r="D395" s="5"/>
      <c r="E395" s="5"/>
      <c r="F395" s="5"/>
      <c r="G395" s="5"/>
      <c r="H395" s="5"/>
      <c r="I395" s="6"/>
      <c r="J395" s="5"/>
      <c r="K395" s="5"/>
      <c r="L395" s="5"/>
      <c r="M395" s="5"/>
    </row>
    <row r="396" spans="1:13" x14ac:dyDescent="0.35">
      <c r="A396" s="3"/>
      <c r="B396" s="4"/>
      <c r="C396" s="5"/>
      <c r="D396" s="5"/>
      <c r="E396" s="5"/>
      <c r="F396" s="5"/>
      <c r="G396" s="5"/>
      <c r="H396" s="5"/>
      <c r="I396" s="6"/>
      <c r="J396" s="5"/>
      <c r="K396" s="5"/>
      <c r="L396" s="5"/>
      <c r="M396" s="5"/>
    </row>
    <row r="397" spans="1:13" x14ac:dyDescent="0.35">
      <c r="A397" s="3"/>
      <c r="B397" s="4"/>
      <c r="C397" s="5"/>
      <c r="D397" s="5"/>
      <c r="E397" s="5"/>
      <c r="F397" s="5"/>
      <c r="G397" s="5"/>
      <c r="H397" s="5"/>
      <c r="I397" s="6"/>
      <c r="J397" s="5"/>
      <c r="K397" s="5"/>
      <c r="L397" s="5"/>
      <c r="M397" s="5"/>
    </row>
    <row r="398" spans="1:13" x14ac:dyDescent="0.35">
      <c r="A398" s="3"/>
      <c r="B398" s="4"/>
      <c r="C398" s="5"/>
      <c r="D398" s="5"/>
      <c r="E398" s="5"/>
      <c r="F398" s="5"/>
      <c r="G398" s="5"/>
      <c r="H398" s="5"/>
      <c r="I398" s="6"/>
      <c r="J398" s="5"/>
      <c r="K398" s="5"/>
      <c r="L398" s="5"/>
      <c r="M398" s="5"/>
    </row>
    <row r="399" spans="1:13" x14ac:dyDescent="0.35">
      <c r="A399" s="3"/>
      <c r="B399" s="4"/>
      <c r="C399" s="5"/>
      <c r="D399" s="5"/>
      <c r="E399" s="5"/>
      <c r="F399" s="5"/>
      <c r="G399" s="5"/>
      <c r="H399" s="5"/>
      <c r="I399" s="6"/>
      <c r="J399" s="5"/>
      <c r="K399" s="5"/>
      <c r="L399" s="5"/>
      <c r="M399" s="5"/>
    </row>
    <row r="400" spans="1:13" x14ac:dyDescent="0.35">
      <c r="A400" s="3"/>
      <c r="B400" s="4"/>
      <c r="C400" s="5"/>
      <c r="D400" s="5"/>
      <c r="E400" s="5"/>
      <c r="F400" s="5"/>
      <c r="G400" s="5"/>
      <c r="H400" s="5"/>
      <c r="I400" s="6"/>
      <c r="J400" s="5"/>
      <c r="K400" s="5"/>
      <c r="L400" s="5"/>
      <c r="M400" s="5"/>
    </row>
    <row r="401" spans="1:13" x14ac:dyDescent="0.35">
      <c r="A401" s="3"/>
      <c r="B401" s="4"/>
      <c r="C401" s="5"/>
      <c r="D401" s="5"/>
      <c r="E401" s="5"/>
      <c r="F401" s="5"/>
      <c r="G401" s="5"/>
      <c r="H401" s="5"/>
      <c r="I401" s="6"/>
      <c r="J401" s="5"/>
      <c r="K401" s="5"/>
      <c r="L401" s="5"/>
      <c r="M401" s="5"/>
    </row>
    <row r="402" spans="1:13" x14ac:dyDescent="0.35">
      <c r="A402" s="3"/>
      <c r="B402" s="4"/>
      <c r="C402" s="5"/>
      <c r="D402" s="5"/>
      <c r="E402" s="5"/>
      <c r="F402" s="5"/>
      <c r="G402" s="5"/>
      <c r="H402" s="5"/>
      <c r="I402" s="6"/>
      <c r="J402" s="5"/>
      <c r="K402" s="5"/>
      <c r="L402" s="5"/>
      <c r="M402" s="5"/>
    </row>
    <row r="403" spans="1:13" x14ac:dyDescent="0.35">
      <c r="A403" s="3"/>
      <c r="B403" s="4"/>
      <c r="C403" s="5"/>
      <c r="D403" s="5"/>
      <c r="E403" s="5"/>
      <c r="F403" s="5"/>
      <c r="G403" s="5"/>
      <c r="H403" s="5"/>
      <c r="I403" s="6"/>
      <c r="J403" s="5"/>
      <c r="K403" s="5"/>
      <c r="L403" s="5"/>
      <c r="M403" s="5"/>
    </row>
    <row r="404" spans="1:13" x14ac:dyDescent="0.35">
      <c r="A404" s="3"/>
      <c r="B404" s="4"/>
      <c r="C404" s="5"/>
      <c r="D404" s="5"/>
      <c r="E404" s="5"/>
      <c r="F404" s="5"/>
      <c r="G404" s="5"/>
      <c r="H404" s="5"/>
      <c r="I404" s="6"/>
      <c r="J404" s="5"/>
      <c r="K404" s="5"/>
      <c r="L404" s="5"/>
      <c r="M404" s="5"/>
    </row>
    <row r="405" spans="1:13" x14ac:dyDescent="0.35">
      <c r="A405" s="3"/>
      <c r="B405" s="4"/>
      <c r="C405" s="5"/>
      <c r="D405" s="5"/>
      <c r="E405" s="5"/>
      <c r="F405" s="5"/>
      <c r="G405" s="5"/>
      <c r="H405" s="5"/>
      <c r="I405" s="6"/>
      <c r="J405" s="5"/>
      <c r="K405" s="5"/>
      <c r="L405" s="5"/>
      <c r="M405" s="5"/>
    </row>
    <row r="406" spans="1:13" x14ac:dyDescent="0.35">
      <c r="A406" s="3"/>
      <c r="B406" s="4"/>
      <c r="C406" s="5"/>
      <c r="D406" s="5"/>
      <c r="E406" s="5"/>
      <c r="F406" s="5"/>
      <c r="G406" s="5"/>
      <c r="H406" s="5"/>
      <c r="I406" s="6"/>
      <c r="J406" s="5"/>
      <c r="K406" s="5"/>
      <c r="L406" s="5"/>
      <c r="M406" s="5"/>
    </row>
    <row r="407" spans="1:13" x14ac:dyDescent="0.35">
      <c r="A407" s="3"/>
      <c r="B407" s="4"/>
      <c r="C407" s="5"/>
      <c r="D407" s="5"/>
      <c r="E407" s="5"/>
      <c r="F407" s="5"/>
      <c r="G407" s="5"/>
      <c r="H407" s="5"/>
      <c r="I407" s="6"/>
      <c r="J407" s="5"/>
      <c r="K407" s="5"/>
      <c r="L407" s="5"/>
      <c r="M407" s="5"/>
    </row>
    <row r="408" spans="1:13" x14ac:dyDescent="0.35">
      <c r="A408" s="3"/>
      <c r="B408" s="4"/>
      <c r="C408" s="5"/>
      <c r="D408" s="5"/>
      <c r="E408" s="5"/>
      <c r="F408" s="5"/>
      <c r="G408" s="5"/>
      <c r="H408" s="5"/>
      <c r="I408" s="6"/>
      <c r="J408" s="5"/>
      <c r="K408" s="5"/>
      <c r="L408" s="5"/>
      <c r="M408" s="5"/>
    </row>
    <row r="409" spans="1:13" x14ac:dyDescent="0.35">
      <c r="A409" s="3"/>
      <c r="B409" s="4"/>
      <c r="C409" s="5"/>
      <c r="D409" s="5"/>
      <c r="E409" s="5"/>
      <c r="F409" s="5"/>
      <c r="G409" s="5"/>
      <c r="H409" s="5"/>
      <c r="I409" s="6"/>
      <c r="J409" s="5"/>
      <c r="K409" s="5"/>
      <c r="L409" s="5"/>
      <c r="M409" s="5"/>
    </row>
    <row r="410" spans="1:13" x14ac:dyDescent="0.35">
      <c r="A410" s="3"/>
      <c r="B410" s="4"/>
      <c r="C410" s="5"/>
      <c r="D410" s="5"/>
      <c r="E410" s="5"/>
      <c r="F410" s="5"/>
      <c r="G410" s="5"/>
      <c r="H410" s="5"/>
      <c r="I410" s="6"/>
      <c r="J410" s="5"/>
      <c r="K410" s="5"/>
      <c r="L410" s="5"/>
      <c r="M410" s="5"/>
    </row>
    <row r="411" spans="1:13" x14ac:dyDescent="0.35">
      <c r="A411" s="3"/>
      <c r="B411" s="4"/>
      <c r="C411" s="5"/>
      <c r="D411" s="5"/>
      <c r="E411" s="5"/>
      <c r="F411" s="5"/>
      <c r="G411" s="5"/>
      <c r="H411" s="5"/>
      <c r="I411" s="6"/>
      <c r="J411" s="5"/>
      <c r="K411" s="5"/>
      <c r="L411" s="5"/>
      <c r="M411" s="5"/>
    </row>
    <row r="412" spans="1:13" x14ac:dyDescent="0.35">
      <c r="A412" s="3"/>
      <c r="B412" s="4"/>
      <c r="C412" s="5"/>
      <c r="D412" s="5"/>
      <c r="E412" s="5"/>
      <c r="F412" s="5"/>
      <c r="G412" s="5"/>
      <c r="H412" s="5"/>
      <c r="I412" s="6"/>
      <c r="J412" s="5"/>
      <c r="K412" s="5"/>
      <c r="L412" s="5"/>
      <c r="M412" s="5"/>
    </row>
    <row r="413" spans="1:13" x14ac:dyDescent="0.35">
      <c r="A413" s="3"/>
      <c r="B413" s="4"/>
      <c r="C413" s="5"/>
      <c r="D413" s="5"/>
      <c r="E413" s="5"/>
      <c r="F413" s="5"/>
      <c r="G413" s="5"/>
      <c r="H413" s="5"/>
      <c r="I413" s="6"/>
      <c r="J413" s="5"/>
      <c r="K413" s="5"/>
      <c r="L413" s="5"/>
      <c r="M413" s="5"/>
    </row>
    <row r="414" spans="1:13" x14ac:dyDescent="0.35">
      <c r="A414" s="3"/>
      <c r="B414" s="4"/>
      <c r="C414" s="5"/>
      <c r="D414" s="5"/>
      <c r="E414" s="5"/>
      <c r="F414" s="5"/>
      <c r="G414" s="5"/>
      <c r="H414" s="5"/>
      <c r="I414" s="6"/>
      <c r="J414" s="5"/>
      <c r="K414" s="5"/>
      <c r="L414" s="5"/>
      <c r="M414" s="5"/>
    </row>
    <row r="415" spans="1:13" x14ac:dyDescent="0.35">
      <c r="A415" s="3"/>
      <c r="B415" s="4"/>
      <c r="C415" s="5"/>
      <c r="D415" s="5"/>
      <c r="E415" s="5"/>
      <c r="F415" s="5"/>
      <c r="G415" s="5"/>
      <c r="H415" s="5"/>
      <c r="I415" s="6"/>
      <c r="J415" s="5"/>
      <c r="K415" s="5"/>
      <c r="L415" s="5"/>
      <c r="M415" s="5"/>
    </row>
    <row r="416" spans="1:13" x14ac:dyDescent="0.35">
      <c r="A416" s="3"/>
      <c r="B416" s="4"/>
      <c r="C416" s="5"/>
      <c r="D416" s="5"/>
      <c r="E416" s="5"/>
      <c r="F416" s="5"/>
      <c r="G416" s="5"/>
      <c r="H416" s="5"/>
      <c r="I416" s="6"/>
      <c r="J416" s="5"/>
      <c r="K416" s="5"/>
      <c r="L416" s="5"/>
      <c r="M416" s="5"/>
    </row>
    <row r="417" spans="1:13" x14ac:dyDescent="0.35">
      <c r="A417" s="3"/>
      <c r="B417" s="4"/>
      <c r="C417" s="5"/>
      <c r="D417" s="5"/>
      <c r="E417" s="5"/>
      <c r="F417" s="5"/>
      <c r="G417" s="5"/>
      <c r="H417" s="5"/>
      <c r="I417" s="6"/>
      <c r="J417" s="5"/>
      <c r="K417" s="5"/>
      <c r="L417" s="5"/>
      <c r="M417" s="5"/>
    </row>
    <row r="418" spans="1:13" x14ac:dyDescent="0.35">
      <c r="A418" s="3"/>
      <c r="B418" s="4"/>
      <c r="C418" s="5"/>
      <c r="D418" s="5"/>
      <c r="E418" s="5"/>
      <c r="F418" s="5"/>
      <c r="G418" s="5"/>
      <c r="H418" s="5"/>
      <c r="I418" s="6"/>
      <c r="J418" s="5"/>
      <c r="K418" s="5"/>
      <c r="L418" s="5"/>
      <c r="M418" s="5"/>
    </row>
    <row r="419" spans="1:13" x14ac:dyDescent="0.35">
      <c r="A419" s="3"/>
      <c r="B419" s="4"/>
      <c r="C419" s="5"/>
      <c r="D419" s="5"/>
      <c r="E419" s="5"/>
      <c r="F419" s="5"/>
      <c r="G419" s="5"/>
      <c r="H419" s="5"/>
      <c r="I419" s="6"/>
      <c r="J419" s="5"/>
      <c r="K419" s="5"/>
      <c r="L419" s="5"/>
      <c r="M419" s="5"/>
    </row>
    <row r="420" spans="1:13" x14ac:dyDescent="0.35">
      <c r="A420" s="3"/>
      <c r="B420" s="4"/>
      <c r="C420" s="5"/>
      <c r="D420" s="5"/>
      <c r="E420" s="5"/>
      <c r="F420" s="5"/>
      <c r="G420" s="5"/>
      <c r="H420" s="5"/>
      <c r="I420" s="6"/>
      <c r="J420" s="5"/>
      <c r="K420" s="5"/>
      <c r="L420" s="5"/>
      <c r="M420" s="5"/>
    </row>
    <row r="421" spans="1:13" x14ac:dyDescent="0.35">
      <c r="A421" s="3"/>
      <c r="B421" s="4"/>
      <c r="C421" s="5"/>
      <c r="D421" s="5"/>
      <c r="E421" s="5"/>
      <c r="F421" s="5"/>
      <c r="G421" s="5"/>
      <c r="H421" s="5"/>
      <c r="I421" s="6"/>
      <c r="J421" s="5"/>
      <c r="K421" s="5"/>
      <c r="L421" s="5"/>
      <c r="M421" s="5"/>
    </row>
    <row r="422" spans="1:13" x14ac:dyDescent="0.35">
      <c r="A422" s="3"/>
      <c r="B422" s="4"/>
      <c r="C422" s="5"/>
      <c r="D422" s="5"/>
      <c r="E422" s="5"/>
      <c r="F422" s="5"/>
      <c r="G422" s="5"/>
      <c r="H422" s="5"/>
      <c r="I422" s="6"/>
      <c r="J422" s="5"/>
      <c r="K422" s="5"/>
      <c r="L422" s="5"/>
      <c r="M422" s="5"/>
    </row>
    <row r="423" spans="1:13" x14ac:dyDescent="0.35">
      <c r="A423" s="3"/>
      <c r="B423" s="4"/>
      <c r="C423" s="5"/>
      <c r="D423" s="5"/>
      <c r="E423" s="5"/>
      <c r="F423" s="5"/>
      <c r="G423" s="5"/>
      <c r="H423" s="5"/>
      <c r="I423" s="6"/>
      <c r="J423" s="5"/>
      <c r="K423" s="5"/>
      <c r="L423" s="5"/>
      <c r="M423" s="5"/>
    </row>
    <row r="424" spans="1:13" x14ac:dyDescent="0.35">
      <c r="A424" s="3"/>
      <c r="B424" s="4"/>
      <c r="C424" s="5"/>
      <c r="D424" s="5"/>
      <c r="E424" s="5"/>
      <c r="F424" s="5"/>
      <c r="G424" s="5"/>
      <c r="H424" s="5"/>
      <c r="I424" s="6"/>
      <c r="J424" s="5"/>
      <c r="K424" s="5"/>
      <c r="L424" s="5"/>
      <c r="M424" s="5"/>
    </row>
    <row r="425" spans="1:13" x14ac:dyDescent="0.35">
      <c r="A425" s="3"/>
      <c r="B425" s="4"/>
      <c r="C425" s="5"/>
      <c r="D425" s="5"/>
      <c r="E425" s="5"/>
      <c r="F425" s="5"/>
      <c r="G425" s="5"/>
      <c r="H425" s="5"/>
      <c r="I425" s="6"/>
      <c r="J425" s="5"/>
      <c r="K425" s="5"/>
      <c r="L425" s="5"/>
      <c r="M425" s="5"/>
    </row>
    <row r="426" spans="1:13" x14ac:dyDescent="0.35">
      <c r="A426" s="3"/>
      <c r="B426" s="4"/>
      <c r="C426" s="5"/>
      <c r="D426" s="5"/>
      <c r="E426" s="5"/>
      <c r="F426" s="5"/>
      <c r="G426" s="5"/>
      <c r="H426" s="5"/>
      <c r="I426" s="6"/>
      <c r="J426" s="5"/>
      <c r="K426" s="5"/>
      <c r="L426" s="5"/>
      <c r="M426" s="5"/>
    </row>
    <row r="427" spans="1:13" x14ac:dyDescent="0.35">
      <c r="A427" s="3"/>
      <c r="B427" s="4"/>
      <c r="C427" s="5"/>
      <c r="D427" s="5"/>
      <c r="E427" s="5"/>
      <c r="F427" s="5"/>
      <c r="G427" s="5"/>
      <c r="H427" s="5"/>
      <c r="I427" s="6"/>
      <c r="J427" s="5"/>
      <c r="K427" s="5"/>
      <c r="L427" s="5"/>
      <c r="M427" s="5"/>
    </row>
    <row r="428" spans="1:13" x14ac:dyDescent="0.35">
      <c r="A428" s="3"/>
      <c r="B428" s="4"/>
      <c r="C428" s="5"/>
      <c r="D428" s="5"/>
      <c r="E428" s="5"/>
      <c r="F428" s="5"/>
      <c r="G428" s="5"/>
      <c r="H428" s="5"/>
      <c r="I428" s="6"/>
      <c r="J428" s="5"/>
      <c r="K428" s="5"/>
      <c r="L428" s="5"/>
      <c r="M428" s="5"/>
    </row>
    <row r="429" spans="1:13" x14ac:dyDescent="0.35">
      <c r="A429" s="3"/>
      <c r="B429" s="4"/>
      <c r="C429" s="5"/>
      <c r="D429" s="5"/>
      <c r="E429" s="5"/>
      <c r="F429" s="5"/>
      <c r="G429" s="5"/>
      <c r="H429" s="5"/>
      <c r="I429" s="6"/>
      <c r="J429" s="5"/>
      <c r="K429" s="5"/>
      <c r="L429" s="5"/>
      <c r="M429" s="5"/>
    </row>
    <row r="430" spans="1:13" x14ac:dyDescent="0.35">
      <c r="A430" s="3"/>
      <c r="B430" s="4"/>
      <c r="C430" s="5"/>
      <c r="D430" s="5"/>
      <c r="E430" s="5"/>
      <c r="F430" s="5"/>
      <c r="G430" s="5"/>
      <c r="H430" s="5"/>
      <c r="I430" s="6"/>
      <c r="J430" s="5"/>
      <c r="K430" s="5"/>
      <c r="L430" s="5"/>
      <c r="M430" s="5"/>
    </row>
    <row r="431" spans="1:13" x14ac:dyDescent="0.35">
      <c r="A431" s="3"/>
      <c r="B431" s="4"/>
      <c r="C431" s="5"/>
      <c r="D431" s="5"/>
      <c r="E431" s="5"/>
      <c r="F431" s="5"/>
      <c r="G431" s="5"/>
      <c r="H431" s="5"/>
      <c r="I431" s="6"/>
      <c r="J431" s="5"/>
      <c r="K431" s="5"/>
      <c r="L431" s="5"/>
      <c r="M431" s="5"/>
    </row>
    <row r="432" spans="1:13" x14ac:dyDescent="0.35">
      <c r="A432" s="3"/>
      <c r="B432" s="4"/>
      <c r="C432" s="5"/>
      <c r="D432" s="5"/>
      <c r="E432" s="5"/>
      <c r="F432" s="5"/>
      <c r="G432" s="5"/>
      <c r="H432" s="5"/>
      <c r="I432" s="6"/>
      <c r="J432" s="5"/>
      <c r="K432" s="5"/>
      <c r="L432" s="5"/>
      <c r="M432" s="5"/>
    </row>
    <row r="433" spans="1:13" x14ac:dyDescent="0.35">
      <c r="A433" s="3"/>
      <c r="B433" s="4"/>
      <c r="C433" s="5"/>
      <c r="D433" s="5"/>
      <c r="E433" s="5"/>
      <c r="F433" s="5"/>
      <c r="G433" s="5"/>
      <c r="H433" s="5"/>
      <c r="I433" s="6"/>
      <c r="J433" s="5"/>
      <c r="K433" s="5"/>
      <c r="L433" s="5"/>
      <c r="M433" s="5"/>
    </row>
    <row r="434" spans="1:13" x14ac:dyDescent="0.35">
      <c r="A434" s="3"/>
      <c r="B434" s="4"/>
      <c r="C434" s="5"/>
      <c r="D434" s="5"/>
      <c r="E434" s="5"/>
      <c r="F434" s="5"/>
      <c r="G434" s="5"/>
      <c r="H434" s="5"/>
      <c r="I434" s="6"/>
      <c r="J434" s="5"/>
      <c r="K434" s="5"/>
      <c r="L434" s="5"/>
      <c r="M434" s="5"/>
    </row>
    <row r="435" spans="1:13" x14ac:dyDescent="0.35">
      <c r="A435" s="3"/>
      <c r="B435" s="4"/>
      <c r="C435" s="5"/>
      <c r="D435" s="5"/>
      <c r="E435" s="5"/>
      <c r="F435" s="5"/>
      <c r="G435" s="5"/>
      <c r="H435" s="5"/>
      <c r="I435" s="6"/>
      <c r="J435" s="5"/>
      <c r="K435" s="5"/>
      <c r="L435" s="5"/>
      <c r="M435" s="5"/>
    </row>
    <row r="436" spans="1:13" x14ac:dyDescent="0.35">
      <c r="A436" s="3"/>
      <c r="B436" s="4"/>
      <c r="C436" s="5"/>
      <c r="D436" s="5"/>
      <c r="E436" s="5"/>
      <c r="F436" s="5"/>
      <c r="G436" s="5"/>
      <c r="H436" s="5"/>
      <c r="I436" s="6"/>
      <c r="J436" s="5"/>
      <c r="K436" s="5"/>
      <c r="L436" s="5"/>
      <c r="M436" s="5"/>
    </row>
    <row r="437" spans="1:13" x14ac:dyDescent="0.35">
      <c r="A437" s="3"/>
      <c r="B437" s="4"/>
      <c r="C437" s="5"/>
      <c r="D437" s="5"/>
      <c r="E437" s="5"/>
      <c r="F437" s="5"/>
      <c r="G437" s="5"/>
      <c r="H437" s="5"/>
      <c r="I437" s="6"/>
      <c r="J437" s="5"/>
      <c r="K437" s="5"/>
      <c r="L437" s="5"/>
      <c r="M437" s="5"/>
    </row>
    <row r="438" spans="1:13" x14ac:dyDescent="0.35">
      <c r="A438" s="3"/>
      <c r="B438" s="4"/>
      <c r="C438" s="5"/>
      <c r="D438" s="5"/>
      <c r="E438" s="5"/>
      <c r="F438" s="5"/>
      <c r="G438" s="5"/>
      <c r="H438" s="5"/>
      <c r="I438" s="6"/>
      <c r="J438" s="5"/>
      <c r="K438" s="5"/>
      <c r="L438" s="5"/>
      <c r="M438" s="5"/>
    </row>
    <row r="439" spans="1:13" x14ac:dyDescent="0.35">
      <c r="A439" s="3"/>
      <c r="B439" s="4"/>
      <c r="C439" s="5"/>
      <c r="D439" s="5"/>
      <c r="E439" s="5"/>
      <c r="F439" s="5"/>
      <c r="G439" s="5"/>
      <c r="H439" s="5"/>
      <c r="I439" s="6"/>
      <c r="J439" s="5"/>
      <c r="K439" s="5"/>
      <c r="L439" s="5"/>
      <c r="M439" s="5"/>
    </row>
    <row r="440" spans="1:13" x14ac:dyDescent="0.35">
      <c r="A440" s="3"/>
      <c r="B440" s="4"/>
      <c r="C440" s="5"/>
      <c r="D440" s="5"/>
      <c r="E440" s="5"/>
      <c r="F440" s="5"/>
      <c r="G440" s="5"/>
      <c r="H440" s="5"/>
      <c r="I440" s="6"/>
      <c r="J440" s="5"/>
      <c r="K440" s="5"/>
      <c r="L440" s="5"/>
      <c r="M440" s="5"/>
    </row>
    <row r="441" spans="1:13" x14ac:dyDescent="0.35">
      <c r="A441" s="3"/>
      <c r="B441" s="4"/>
      <c r="C441" s="5"/>
      <c r="D441" s="5"/>
      <c r="E441" s="5"/>
      <c r="F441" s="5"/>
      <c r="G441" s="5"/>
      <c r="H441" s="5"/>
      <c r="I441" s="6"/>
      <c r="J441" s="5"/>
      <c r="K441" s="5"/>
      <c r="L441" s="5"/>
      <c r="M441" s="5"/>
    </row>
    <row r="442" spans="1:13" x14ac:dyDescent="0.35">
      <c r="A442" s="3"/>
      <c r="B442" s="4"/>
      <c r="C442" s="5"/>
      <c r="D442" s="5"/>
      <c r="E442" s="5"/>
      <c r="F442" s="5"/>
      <c r="G442" s="5"/>
      <c r="H442" s="5"/>
      <c r="I442" s="6"/>
      <c r="J442" s="5"/>
      <c r="K442" s="5"/>
      <c r="L442" s="5"/>
      <c r="M442" s="5"/>
    </row>
    <row r="443" spans="1:13" x14ac:dyDescent="0.35">
      <c r="A443" s="3"/>
      <c r="B443" s="4"/>
      <c r="C443" s="5"/>
      <c r="D443" s="5"/>
      <c r="E443" s="5"/>
      <c r="F443" s="5"/>
      <c r="G443" s="5"/>
      <c r="H443" s="5"/>
      <c r="I443" s="6"/>
      <c r="J443" s="5"/>
      <c r="K443" s="5"/>
      <c r="L443" s="5"/>
      <c r="M443" s="5"/>
    </row>
    <row r="444" spans="1:13" x14ac:dyDescent="0.35">
      <c r="A444" s="3"/>
      <c r="B444" s="4"/>
      <c r="C444" s="5"/>
      <c r="D444" s="5"/>
      <c r="E444" s="5"/>
      <c r="F444" s="5"/>
      <c r="G444" s="5"/>
      <c r="H444" s="5"/>
      <c r="I444" s="6"/>
      <c r="J444" s="5"/>
      <c r="K444" s="5"/>
      <c r="L444" s="5"/>
      <c r="M444" s="5"/>
    </row>
    <row r="445" spans="1:13" x14ac:dyDescent="0.35">
      <c r="A445" s="3"/>
      <c r="B445" s="4"/>
      <c r="C445" s="5"/>
      <c r="D445" s="5"/>
      <c r="E445" s="5"/>
      <c r="F445" s="5"/>
      <c r="G445" s="5"/>
      <c r="H445" s="5"/>
      <c r="I445" s="6"/>
      <c r="J445" s="5"/>
      <c r="K445" s="5"/>
      <c r="L445" s="5"/>
      <c r="M445" s="5"/>
    </row>
    <row r="446" spans="1:13" x14ac:dyDescent="0.35">
      <c r="A446" s="3"/>
      <c r="B446" s="4"/>
      <c r="C446" s="5"/>
      <c r="D446" s="5"/>
      <c r="E446" s="5"/>
      <c r="F446" s="5"/>
      <c r="G446" s="5"/>
      <c r="H446" s="5"/>
      <c r="I446" s="6"/>
      <c r="J446" s="5"/>
      <c r="K446" s="5"/>
      <c r="L446" s="5"/>
      <c r="M446" s="5"/>
    </row>
    <row r="447" spans="1:13" x14ac:dyDescent="0.35">
      <c r="A447" s="3"/>
      <c r="B447" s="4"/>
      <c r="C447" s="5"/>
      <c r="D447" s="5"/>
      <c r="E447" s="5"/>
      <c r="F447" s="5"/>
      <c r="G447" s="5"/>
      <c r="H447" s="5"/>
      <c r="I447" s="6"/>
      <c r="J447" s="5"/>
      <c r="K447" s="5"/>
      <c r="L447" s="5"/>
      <c r="M447" s="5"/>
    </row>
    <row r="448" spans="1:13" x14ac:dyDescent="0.35">
      <c r="A448" s="3"/>
      <c r="B448" s="4"/>
      <c r="C448" s="5"/>
      <c r="D448" s="5"/>
      <c r="E448" s="5"/>
      <c r="F448" s="5"/>
      <c r="G448" s="5"/>
      <c r="H448" s="5"/>
      <c r="I448" s="6"/>
      <c r="J448" s="5"/>
      <c r="K448" s="5"/>
      <c r="L448" s="5"/>
      <c r="M448" s="5"/>
    </row>
    <row r="449" spans="1:13" x14ac:dyDescent="0.35">
      <c r="A449" s="3"/>
      <c r="B449" s="4"/>
      <c r="C449" s="5"/>
      <c r="D449" s="5"/>
      <c r="E449" s="5"/>
      <c r="F449" s="5"/>
      <c r="G449" s="5"/>
      <c r="H449" s="5"/>
      <c r="I449" s="6"/>
      <c r="J449" s="5"/>
      <c r="K449" s="5"/>
      <c r="L449" s="5"/>
      <c r="M449" s="5"/>
    </row>
    <row r="450" spans="1:13" x14ac:dyDescent="0.35">
      <c r="A450" s="3"/>
      <c r="B450" s="4"/>
      <c r="C450" s="5"/>
      <c r="D450" s="5"/>
      <c r="E450" s="5"/>
      <c r="F450" s="5"/>
      <c r="G450" s="5"/>
      <c r="H450" s="5"/>
      <c r="I450" s="6"/>
      <c r="J450" s="5"/>
      <c r="K450" s="5"/>
      <c r="L450" s="5"/>
      <c r="M450" s="5"/>
    </row>
    <row r="451" spans="1:13" x14ac:dyDescent="0.35">
      <c r="A451" s="3"/>
      <c r="B451" s="4"/>
      <c r="C451" s="5"/>
      <c r="D451" s="5"/>
      <c r="E451" s="5"/>
      <c r="F451" s="5"/>
      <c r="G451" s="5"/>
      <c r="H451" s="5"/>
      <c r="I451" s="6"/>
      <c r="J451" s="5"/>
      <c r="K451" s="5"/>
      <c r="L451" s="5"/>
      <c r="M451" s="5"/>
    </row>
    <row r="452" spans="1:13" x14ac:dyDescent="0.35">
      <c r="A452" s="3"/>
      <c r="B452" s="4"/>
      <c r="C452" s="5"/>
      <c r="D452" s="5"/>
      <c r="E452" s="5"/>
      <c r="F452" s="5"/>
      <c r="G452" s="5"/>
      <c r="H452" s="5"/>
      <c r="I452" s="6"/>
      <c r="J452" s="5"/>
      <c r="K452" s="5"/>
      <c r="L452" s="5"/>
      <c r="M452" s="5"/>
    </row>
    <row r="453" spans="1:13" x14ac:dyDescent="0.35">
      <c r="A453" s="3"/>
      <c r="B453" s="4"/>
      <c r="C453" s="5"/>
      <c r="D453" s="5"/>
      <c r="E453" s="5"/>
      <c r="F453" s="5"/>
      <c r="G453" s="5"/>
      <c r="H453" s="5"/>
      <c r="I453" s="6"/>
      <c r="J453" s="5"/>
      <c r="K453" s="5"/>
      <c r="L453" s="5"/>
      <c r="M453" s="5"/>
    </row>
    <row r="454" spans="1:13" x14ac:dyDescent="0.35">
      <c r="A454" s="3"/>
      <c r="B454" s="4"/>
      <c r="C454" s="5"/>
      <c r="D454" s="5"/>
      <c r="E454" s="5"/>
      <c r="F454" s="5"/>
      <c r="G454" s="5"/>
      <c r="H454" s="5"/>
      <c r="I454" s="6"/>
      <c r="J454" s="5"/>
      <c r="K454" s="5"/>
      <c r="L454" s="5"/>
      <c r="M454" s="5"/>
    </row>
    <row r="455" spans="1:13" x14ac:dyDescent="0.35">
      <c r="A455" s="3"/>
      <c r="B455" s="4"/>
      <c r="C455" s="5"/>
      <c r="D455" s="5"/>
      <c r="E455" s="5"/>
      <c r="F455" s="5"/>
      <c r="G455" s="5"/>
      <c r="H455" s="5"/>
      <c r="I455" s="6"/>
      <c r="J455" s="5"/>
      <c r="K455" s="5"/>
      <c r="L455" s="5"/>
      <c r="M455" s="5"/>
    </row>
    <row r="456" spans="1:13" x14ac:dyDescent="0.35">
      <c r="A456" s="3"/>
      <c r="B456" s="4"/>
      <c r="C456" s="5"/>
      <c r="D456" s="5"/>
      <c r="E456" s="5"/>
      <c r="F456" s="5"/>
      <c r="G456" s="5"/>
      <c r="H456" s="5"/>
      <c r="I456" s="6"/>
      <c r="J456" s="5"/>
      <c r="K456" s="5"/>
      <c r="L456" s="5"/>
      <c r="M456" s="5"/>
    </row>
    <row r="457" spans="1:13" x14ac:dyDescent="0.35">
      <c r="A457" s="3"/>
      <c r="B457" s="4"/>
      <c r="C457" s="5"/>
      <c r="D457" s="5"/>
      <c r="E457" s="5"/>
      <c r="F457" s="5"/>
      <c r="G457" s="5"/>
      <c r="H457" s="5"/>
      <c r="I457" s="6"/>
      <c r="J457" s="5"/>
      <c r="K457" s="5"/>
      <c r="L457" s="5"/>
      <c r="M457" s="5"/>
    </row>
    <row r="458" spans="1:13" x14ac:dyDescent="0.35">
      <c r="A458" s="3"/>
      <c r="B458" s="4"/>
      <c r="C458" s="5"/>
      <c r="D458" s="5"/>
      <c r="E458" s="5"/>
      <c r="F458" s="5"/>
      <c r="G458" s="5"/>
      <c r="H458" s="5"/>
      <c r="I458" s="6"/>
      <c r="J458" s="5"/>
      <c r="K458" s="5"/>
      <c r="L458" s="5"/>
      <c r="M458" s="5"/>
    </row>
    <row r="459" spans="1:13" x14ac:dyDescent="0.35">
      <c r="A459" s="3"/>
      <c r="B459" s="4"/>
      <c r="C459" s="5"/>
      <c r="D459" s="5"/>
      <c r="E459" s="5"/>
      <c r="F459" s="5"/>
      <c r="G459" s="5"/>
      <c r="H459" s="5"/>
      <c r="I459" s="6"/>
      <c r="J459" s="5"/>
      <c r="K459" s="5"/>
      <c r="L459" s="5"/>
      <c r="M459" s="5"/>
    </row>
    <row r="460" spans="1:13" x14ac:dyDescent="0.35">
      <c r="A460" s="3"/>
      <c r="B460" s="4"/>
      <c r="C460" s="5"/>
      <c r="D460" s="5"/>
      <c r="E460" s="5"/>
      <c r="F460" s="5"/>
      <c r="G460" s="5"/>
      <c r="H460" s="5"/>
      <c r="I460" s="6"/>
      <c r="J460" s="5"/>
      <c r="K460" s="5"/>
      <c r="L460" s="5"/>
      <c r="M460" s="5"/>
    </row>
    <row r="461" spans="1:13" x14ac:dyDescent="0.35">
      <c r="A461" s="3"/>
      <c r="B461" s="4"/>
      <c r="C461" s="5"/>
      <c r="D461" s="5"/>
      <c r="E461" s="5"/>
      <c r="F461" s="5"/>
      <c r="G461" s="5"/>
      <c r="H461" s="5"/>
      <c r="I461" s="6"/>
      <c r="J461" s="5"/>
      <c r="K461" s="5"/>
      <c r="L461" s="5"/>
      <c r="M461" s="5"/>
    </row>
    <row r="462" spans="1:13" x14ac:dyDescent="0.35">
      <c r="A462" s="3"/>
      <c r="B462" s="4"/>
      <c r="C462" s="5"/>
      <c r="D462" s="5"/>
      <c r="E462" s="5"/>
      <c r="F462" s="5"/>
      <c r="G462" s="5"/>
      <c r="H462" s="5"/>
      <c r="I462" s="6"/>
      <c r="J462" s="5"/>
      <c r="K462" s="5"/>
      <c r="L462" s="5"/>
      <c r="M462" s="5"/>
    </row>
    <row r="463" spans="1:13" x14ac:dyDescent="0.35">
      <c r="A463" s="3"/>
      <c r="B463" s="4"/>
      <c r="C463" s="5"/>
      <c r="D463" s="5"/>
      <c r="E463" s="5"/>
      <c r="F463" s="5"/>
      <c r="G463" s="5"/>
      <c r="H463" s="5"/>
      <c r="I463" s="6"/>
      <c r="J463" s="5"/>
      <c r="K463" s="5"/>
      <c r="L463" s="5"/>
      <c r="M463" s="5"/>
    </row>
    <row r="464" spans="1:13" x14ac:dyDescent="0.35">
      <c r="A464" s="3"/>
      <c r="B464" s="4"/>
      <c r="C464" s="5"/>
      <c r="D464" s="5"/>
      <c r="E464" s="5"/>
      <c r="F464" s="5"/>
      <c r="G464" s="5"/>
      <c r="H464" s="5"/>
      <c r="I464" s="6"/>
      <c r="J464" s="5"/>
      <c r="K464" s="5"/>
      <c r="L464" s="5"/>
      <c r="M464" s="5"/>
    </row>
    <row r="465" spans="1:13" x14ac:dyDescent="0.35">
      <c r="A465" s="3"/>
      <c r="B465" s="4"/>
      <c r="C465" s="5"/>
      <c r="D465" s="5"/>
      <c r="E465" s="5"/>
      <c r="F465" s="5"/>
      <c r="G465" s="5"/>
      <c r="H465" s="5"/>
      <c r="I465" s="6"/>
      <c r="J465" s="5"/>
      <c r="K465" s="5"/>
      <c r="L465" s="5"/>
      <c r="M465" s="5"/>
    </row>
    <row r="466" spans="1:13" x14ac:dyDescent="0.35">
      <c r="A466" s="3"/>
      <c r="B466" s="4"/>
      <c r="C466" s="5"/>
      <c r="D466" s="5"/>
      <c r="E466" s="5"/>
      <c r="F466" s="5"/>
      <c r="G466" s="5"/>
      <c r="H466" s="5"/>
      <c r="I466" s="6"/>
      <c r="J466" s="5"/>
      <c r="K466" s="5"/>
      <c r="L466" s="5"/>
      <c r="M466" s="5"/>
    </row>
    <row r="467" spans="1:13" x14ac:dyDescent="0.35">
      <c r="A467" s="3"/>
      <c r="B467" s="4"/>
      <c r="C467" s="5"/>
      <c r="D467" s="5"/>
      <c r="E467" s="5"/>
      <c r="F467" s="5"/>
      <c r="G467" s="5"/>
      <c r="H467" s="5"/>
      <c r="I467" s="6"/>
      <c r="J467" s="5"/>
      <c r="K467" s="5"/>
      <c r="L467" s="5"/>
      <c r="M467" s="5"/>
    </row>
    <row r="468" spans="1:13" x14ac:dyDescent="0.35">
      <c r="A468" s="3"/>
      <c r="B468" s="4"/>
      <c r="C468" s="5"/>
      <c r="D468" s="5"/>
      <c r="E468" s="5"/>
      <c r="F468" s="5"/>
      <c r="G468" s="5"/>
      <c r="H468" s="5"/>
      <c r="I468" s="6"/>
      <c r="J468" s="5"/>
      <c r="K468" s="5"/>
      <c r="L468" s="5"/>
      <c r="M468" s="5"/>
    </row>
    <row r="469" spans="1:13" x14ac:dyDescent="0.35">
      <c r="A469" s="3"/>
      <c r="B469" s="4"/>
      <c r="C469" s="5"/>
      <c r="D469" s="5"/>
      <c r="E469" s="5"/>
      <c r="F469" s="5"/>
      <c r="G469" s="5"/>
      <c r="H469" s="5"/>
      <c r="I469" s="6"/>
      <c r="J469" s="5"/>
      <c r="K469" s="5"/>
      <c r="L469" s="5"/>
      <c r="M469" s="5"/>
    </row>
    <row r="470" spans="1:13" x14ac:dyDescent="0.35">
      <c r="A470" s="3"/>
      <c r="B470" s="4"/>
      <c r="C470" s="5"/>
      <c r="D470" s="5"/>
      <c r="E470" s="5"/>
      <c r="F470" s="5"/>
      <c r="G470" s="5"/>
      <c r="H470" s="5"/>
      <c r="I470" s="6"/>
      <c r="J470" s="5"/>
      <c r="K470" s="5"/>
      <c r="L470" s="5"/>
      <c r="M470" s="5"/>
    </row>
    <row r="471" spans="1:13" x14ac:dyDescent="0.35">
      <c r="A471" s="3"/>
      <c r="B471" s="4"/>
      <c r="C471" s="5"/>
      <c r="D471" s="5"/>
      <c r="E471" s="5"/>
      <c r="F471" s="5"/>
      <c r="G471" s="5"/>
      <c r="H471" s="5"/>
      <c r="I471" s="6"/>
      <c r="J471" s="5"/>
      <c r="K471" s="5"/>
      <c r="L471" s="5"/>
      <c r="M471" s="5"/>
    </row>
    <row r="472" spans="1:13" x14ac:dyDescent="0.35">
      <c r="A472" s="3"/>
      <c r="B472" s="4"/>
      <c r="C472" s="5"/>
      <c r="D472" s="5"/>
      <c r="E472" s="5"/>
      <c r="F472" s="5"/>
      <c r="G472" s="5"/>
      <c r="H472" s="5"/>
      <c r="I472" s="6"/>
      <c r="J472" s="5"/>
      <c r="K472" s="5"/>
      <c r="L472" s="5"/>
      <c r="M472" s="5"/>
    </row>
    <row r="473" spans="1:13" x14ac:dyDescent="0.35">
      <c r="A473" s="3"/>
      <c r="B473" s="4"/>
      <c r="C473" s="5"/>
      <c r="D473" s="5"/>
      <c r="E473" s="5"/>
      <c r="F473" s="5"/>
      <c r="G473" s="5"/>
      <c r="H473" s="5"/>
      <c r="I473" s="6"/>
      <c r="J473" s="5"/>
      <c r="K473" s="5"/>
      <c r="L473" s="5"/>
      <c r="M473" s="5"/>
    </row>
    <row r="474" spans="1:13" x14ac:dyDescent="0.35">
      <c r="A474" s="3"/>
      <c r="B474" s="4"/>
      <c r="C474" s="5"/>
      <c r="D474" s="5"/>
      <c r="E474" s="5"/>
      <c r="F474" s="5"/>
      <c r="G474" s="5"/>
      <c r="H474" s="5"/>
      <c r="I474" s="6"/>
      <c r="J474" s="5"/>
      <c r="K474" s="5"/>
      <c r="L474" s="5"/>
      <c r="M474" s="5"/>
    </row>
    <row r="475" spans="1:13" x14ac:dyDescent="0.35">
      <c r="A475" s="3"/>
      <c r="B475" s="4"/>
      <c r="C475" s="5"/>
      <c r="D475" s="5"/>
      <c r="E475" s="5"/>
      <c r="F475" s="5"/>
      <c r="G475" s="5"/>
      <c r="H475" s="5"/>
      <c r="I475" s="6"/>
      <c r="J475" s="5"/>
      <c r="K475" s="5"/>
      <c r="L475" s="5"/>
      <c r="M475" s="5"/>
    </row>
    <row r="476" spans="1:13" x14ac:dyDescent="0.35">
      <c r="A476" s="3"/>
      <c r="B476" s="4"/>
      <c r="C476" s="5"/>
      <c r="D476" s="5"/>
      <c r="E476" s="5"/>
      <c r="F476" s="5"/>
      <c r="G476" s="5"/>
      <c r="H476" s="5"/>
      <c r="I476" s="6"/>
      <c r="J476" s="5"/>
      <c r="K476" s="5"/>
      <c r="L476" s="5"/>
      <c r="M476" s="5"/>
    </row>
    <row r="477" spans="1:13" x14ac:dyDescent="0.35">
      <c r="A477" s="3"/>
      <c r="B477" s="4"/>
      <c r="C477" s="5"/>
      <c r="D477" s="5"/>
      <c r="E477" s="5"/>
      <c r="F477" s="5"/>
      <c r="G477" s="5"/>
      <c r="H477" s="5"/>
      <c r="I477" s="6"/>
      <c r="J477" s="5"/>
      <c r="K477" s="5"/>
      <c r="L477" s="5"/>
      <c r="M477" s="5"/>
    </row>
    <row r="478" spans="1:13" x14ac:dyDescent="0.35">
      <c r="A478" s="3"/>
      <c r="B478" s="4"/>
      <c r="C478" s="5"/>
      <c r="D478" s="5"/>
      <c r="E478" s="5"/>
      <c r="F478" s="5"/>
      <c r="G478" s="5"/>
      <c r="H478" s="5"/>
      <c r="I478" s="6"/>
      <c r="J478" s="5"/>
      <c r="K478" s="5"/>
      <c r="L478" s="5"/>
      <c r="M478" s="5"/>
    </row>
    <row r="479" spans="1:13" x14ac:dyDescent="0.35">
      <c r="A479" s="3"/>
      <c r="B479" s="4"/>
      <c r="C479" s="5"/>
      <c r="D479" s="5"/>
      <c r="E479" s="5"/>
      <c r="F479" s="5"/>
      <c r="G479" s="5"/>
      <c r="H479" s="5"/>
      <c r="I479" s="6"/>
      <c r="J479" s="5"/>
      <c r="K479" s="5"/>
      <c r="L479" s="5"/>
      <c r="M479" s="5"/>
    </row>
    <row r="480" spans="1:13" x14ac:dyDescent="0.35">
      <c r="A480" s="3"/>
      <c r="B480" s="4"/>
      <c r="C480" s="5"/>
      <c r="D480" s="5"/>
      <c r="E480" s="5"/>
      <c r="F480" s="5"/>
      <c r="G480" s="5"/>
      <c r="H480" s="5"/>
      <c r="I480" s="6"/>
      <c r="J480" s="5"/>
      <c r="K480" s="5"/>
      <c r="L480" s="5"/>
      <c r="M480" s="5"/>
    </row>
    <row r="481" spans="1:13" x14ac:dyDescent="0.35">
      <c r="A481" s="3"/>
      <c r="B481" s="4"/>
      <c r="C481" s="5"/>
      <c r="D481" s="5"/>
      <c r="E481" s="5"/>
      <c r="F481" s="5"/>
      <c r="G481" s="5"/>
      <c r="H481" s="5"/>
      <c r="I481" s="6"/>
      <c r="J481" s="5"/>
      <c r="K481" s="5"/>
      <c r="L481" s="5"/>
      <c r="M481" s="5"/>
    </row>
    <row r="482" spans="1:13" x14ac:dyDescent="0.35">
      <c r="A482" s="3"/>
      <c r="B482" s="4"/>
      <c r="C482" s="5"/>
      <c r="D482" s="5"/>
      <c r="E482" s="5"/>
      <c r="F482" s="5"/>
      <c r="G482" s="5"/>
      <c r="H482" s="5"/>
      <c r="I482" s="6"/>
      <c r="J482" s="5"/>
      <c r="K482" s="5"/>
      <c r="L482" s="5"/>
      <c r="M482" s="5"/>
    </row>
    <row r="483" spans="1:13" x14ac:dyDescent="0.35">
      <c r="A483" s="3"/>
      <c r="B483" s="4"/>
      <c r="C483" s="5"/>
      <c r="D483" s="5"/>
      <c r="E483" s="5"/>
      <c r="F483" s="5"/>
      <c r="G483" s="5"/>
      <c r="H483" s="5"/>
      <c r="I483" s="6"/>
      <c r="J483" s="5"/>
      <c r="K483" s="5"/>
      <c r="L483" s="5"/>
      <c r="M483" s="5"/>
    </row>
    <row r="484" spans="1:13" x14ac:dyDescent="0.35">
      <c r="A484" s="3"/>
      <c r="B484" s="4"/>
      <c r="C484" s="5"/>
      <c r="D484" s="5"/>
      <c r="E484" s="5"/>
      <c r="F484" s="5"/>
      <c r="G484" s="5"/>
      <c r="H484" s="5"/>
      <c r="I484" s="6"/>
      <c r="J484" s="5"/>
      <c r="K484" s="5"/>
      <c r="L484" s="5"/>
      <c r="M484" s="5"/>
    </row>
    <row r="485" spans="1:13" x14ac:dyDescent="0.35">
      <c r="A485" s="3"/>
      <c r="B485" s="4"/>
      <c r="C485" s="5"/>
      <c r="D485" s="5"/>
      <c r="E485" s="5"/>
      <c r="F485" s="5"/>
      <c r="G485" s="5"/>
      <c r="H485" s="5"/>
      <c r="I485" s="6"/>
      <c r="J485" s="5"/>
      <c r="K485" s="5"/>
      <c r="L485" s="5"/>
      <c r="M485" s="5"/>
    </row>
    <row r="486" spans="1:13" x14ac:dyDescent="0.35">
      <c r="A486" s="3"/>
      <c r="B486" s="4"/>
      <c r="C486" s="5"/>
      <c r="D486" s="5"/>
      <c r="E486" s="5"/>
      <c r="F486" s="5"/>
      <c r="G486" s="5"/>
      <c r="H486" s="5"/>
      <c r="I486" s="6"/>
      <c r="J486" s="5"/>
      <c r="K486" s="5"/>
      <c r="L486" s="5"/>
      <c r="M486" s="5"/>
    </row>
    <row r="487" spans="1:13" x14ac:dyDescent="0.35">
      <c r="A487" s="3"/>
      <c r="B487" s="4"/>
      <c r="C487" s="5"/>
      <c r="D487" s="5"/>
      <c r="E487" s="5"/>
      <c r="F487" s="5"/>
      <c r="G487" s="5"/>
      <c r="H487" s="5"/>
      <c r="I487" s="6"/>
      <c r="J487" s="5"/>
      <c r="K487" s="5"/>
      <c r="L487" s="5"/>
      <c r="M487" s="5"/>
    </row>
    <row r="488" spans="1:13" x14ac:dyDescent="0.35">
      <c r="A488" s="3"/>
      <c r="B488" s="4"/>
      <c r="C488" s="5"/>
      <c r="D488" s="5"/>
      <c r="E488" s="5"/>
      <c r="F488" s="5"/>
      <c r="G488" s="5"/>
      <c r="H488" s="5"/>
      <c r="I488" s="6"/>
      <c r="J488" s="5"/>
      <c r="K488" s="5"/>
      <c r="L488" s="5"/>
      <c r="M488" s="5"/>
    </row>
    <row r="489" spans="1:13" x14ac:dyDescent="0.35">
      <c r="A489" s="3"/>
      <c r="B489" s="4"/>
      <c r="C489" s="5"/>
      <c r="D489" s="5"/>
      <c r="E489" s="5"/>
      <c r="F489" s="5"/>
      <c r="G489" s="5"/>
      <c r="H489" s="5"/>
      <c r="I489" s="6"/>
      <c r="J489" s="5"/>
      <c r="K489" s="5"/>
      <c r="L489" s="5"/>
      <c r="M489" s="5"/>
    </row>
    <row r="490" spans="1:13" x14ac:dyDescent="0.35">
      <c r="A490" s="3"/>
      <c r="B490" s="4"/>
      <c r="C490" s="5"/>
      <c r="D490" s="5"/>
      <c r="E490" s="5"/>
      <c r="F490" s="5"/>
      <c r="G490" s="5"/>
      <c r="H490" s="5"/>
      <c r="I490" s="6"/>
      <c r="J490" s="5"/>
      <c r="K490" s="5"/>
      <c r="L490" s="5"/>
      <c r="M490" s="5"/>
    </row>
    <row r="491" spans="1:13" x14ac:dyDescent="0.35">
      <c r="A491" s="3"/>
      <c r="B491" s="4"/>
      <c r="C491" s="5"/>
      <c r="D491" s="5"/>
      <c r="E491" s="5"/>
      <c r="F491" s="5"/>
      <c r="G491" s="5"/>
      <c r="H491" s="5"/>
      <c r="I491" s="6"/>
      <c r="J491" s="5"/>
      <c r="K491" s="5"/>
      <c r="L491" s="5"/>
      <c r="M491" s="5"/>
    </row>
    <row r="492" spans="1:13" x14ac:dyDescent="0.35">
      <c r="A492" s="3"/>
      <c r="B492" s="4"/>
      <c r="C492" s="5"/>
      <c r="D492" s="5"/>
      <c r="E492" s="5"/>
      <c r="F492" s="5"/>
      <c r="G492" s="5"/>
      <c r="H492" s="5"/>
      <c r="I492" s="6"/>
      <c r="J492" s="5"/>
      <c r="K492" s="5"/>
      <c r="L492" s="5"/>
      <c r="M492" s="5"/>
    </row>
    <row r="493" spans="1:13" x14ac:dyDescent="0.35">
      <c r="A493" s="3"/>
      <c r="B493" s="4"/>
      <c r="C493" s="5"/>
      <c r="D493" s="5"/>
      <c r="E493" s="5"/>
      <c r="F493" s="5"/>
      <c r="G493" s="5"/>
      <c r="H493" s="5"/>
      <c r="I493" s="6"/>
      <c r="J493" s="5"/>
      <c r="K493" s="5"/>
      <c r="L493" s="5"/>
      <c r="M493" s="5"/>
    </row>
    <row r="494" spans="1:13" x14ac:dyDescent="0.35">
      <c r="A494" s="3"/>
      <c r="B494" s="4"/>
      <c r="C494" s="5"/>
      <c r="D494" s="5"/>
      <c r="E494" s="5"/>
      <c r="F494" s="5"/>
      <c r="G494" s="5"/>
      <c r="H494" s="5"/>
      <c r="I494" s="6"/>
      <c r="J494" s="5"/>
      <c r="K494" s="5"/>
      <c r="L494" s="5"/>
      <c r="M494" s="5"/>
    </row>
    <row r="495" spans="1:13" x14ac:dyDescent="0.35">
      <c r="A495" s="3"/>
      <c r="B495" s="4"/>
      <c r="C495" s="5"/>
      <c r="D495" s="5"/>
      <c r="E495" s="5"/>
      <c r="F495" s="5"/>
      <c r="G495" s="5"/>
      <c r="H495" s="5"/>
      <c r="I495" s="6"/>
      <c r="J495" s="5"/>
      <c r="K495" s="5"/>
      <c r="L495" s="5"/>
      <c r="M495" s="5"/>
    </row>
    <row r="496" spans="1:13" x14ac:dyDescent="0.35">
      <c r="A496" s="3"/>
      <c r="B496" s="4"/>
      <c r="C496" s="5"/>
      <c r="D496" s="5"/>
      <c r="E496" s="5"/>
      <c r="F496" s="5"/>
      <c r="G496" s="5"/>
      <c r="H496" s="5"/>
      <c r="I496" s="6"/>
      <c r="J496" s="5"/>
      <c r="K496" s="5"/>
      <c r="L496" s="5"/>
      <c r="M496" s="5"/>
    </row>
    <row r="497" spans="1:13" x14ac:dyDescent="0.35">
      <c r="A497" s="3"/>
      <c r="B497" s="4"/>
      <c r="C497" s="5"/>
      <c r="D497" s="5"/>
      <c r="E497" s="5"/>
      <c r="F497" s="5"/>
      <c r="G497" s="5"/>
      <c r="H497" s="5"/>
      <c r="I497" s="6"/>
      <c r="J497" s="5"/>
      <c r="K497" s="5"/>
      <c r="L497" s="5"/>
      <c r="M497" s="5"/>
    </row>
    <row r="498" spans="1:13" x14ac:dyDescent="0.35">
      <c r="A498" s="3"/>
      <c r="B498" s="4"/>
      <c r="C498" s="5"/>
      <c r="D498" s="5"/>
      <c r="E498" s="5"/>
      <c r="F498" s="5"/>
      <c r="G498" s="5"/>
      <c r="H498" s="5"/>
      <c r="I498" s="6"/>
      <c r="J498" s="5"/>
      <c r="K498" s="5"/>
      <c r="L498" s="5"/>
      <c r="M498" s="5"/>
    </row>
    <row r="499" spans="1:13" x14ac:dyDescent="0.35">
      <c r="A499" s="3"/>
      <c r="B499" s="4"/>
      <c r="C499" s="5"/>
      <c r="D499" s="5"/>
      <c r="E499" s="5"/>
      <c r="F499" s="5"/>
      <c r="G499" s="5"/>
      <c r="H499" s="5"/>
      <c r="I499" s="6"/>
      <c r="J499" s="5"/>
      <c r="K499" s="5"/>
      <c r="L499" s="5"/>
      <c r="M499" s="5"/>
    </row>
    <row r="500" spans="1:13" x14ac:dyDescent="0.35">
      <c r="A500" s="3"/>
      <c r="B500" s="4"/>
      <c r="C500" s="5"/>
      <c r="D500" s="5"/>
      <c r="E500" s="5"/>
      <c r="F500" s="5"/>
      <c r="G500" s="5"/>
      <c r="H500" s="5"/>
      <c r="I500" s="6"/>
      <c r="J500" s="5"/>
      <c r="K500" s="5"/>
      <c r="L500" s="5"/>
      <c r="M500" s="5"/>
    </row>
    <row r="501" spans="1:13" x14ac:dyDescent="0.35">
      <c r="A501" s="3"/>
      <c r="B501" s="4"/>
      <c r="C501" s="5"/>
      <c r="D501" s="5"/>
      <c r="E501" s="5"/>
      <c r="F501" s="5"/>
      <c r="G501" s="5"/>
      <c r="H501" s="5"/>
      <c r="I501" s="6"/>
      <c r="J501" s="5"/>
      <c r="K501" s="5"/>
      <c r="L501" s="5"/>
      <c r="M501" s="5"/>
    </row>
    <row r="502" spans="1:13" x14ac:dyDescent="0.35">
      <c r="A502" s="3"/>
      <c r="B502" s="4"/>
      <c r="C502" s="5"/>
      <c r="D502" s="5"/>
      <c r="E502" s="5"/>
      <c r="F502" s="5"/>
      <c r="G502" s="5"/>
      <c r="H502" s="5"/>
      <c r="I502" s="6"/>
      <c r="J502" s="5"/>
      <c r="K502" s="5"/>
      <c r="L502" s="5"/>
      <c r="M502" s="5"/>
    </row>
    <row r="503" spans="1:13" x14ac:dyDescent="0.35">
      <c r="A503" s="3"/>
      <c r="B503" s="4"/>
      <c r="C503" s="5"/>
      <c r="D503" s="5"/>
      <c r="E503" s="5"/>
      <c r="F503" s="5"/>
      <c r="G503" s="5"/>
      <c r="H503" s="5"/>
      <c r="I503" s="6"/>
      <c r="J503" s="5"/>
      <c r="K503" s="5"/>
      <c r="L503" s="5"/>
      <c r="M503" s="5"/>
    </row>
    <row r="504" spans="1:13" x14ac:dyDescent="0.35">
      <c r="A504" s="3"/>
      <c r="B504" s="4"/>
      <c r="C504" s="5"/>
      <c r="D504" s="5"/>
      <c r="E504" s="5"/>
      <c r="F504" s="5"/>
      <c r="G504" s="5"/>
      <c r="H504" s="5"/>
      <c r="I504" s="6"/>
      <c r="J504" s="5"/>
      <c r="K504" s="5"/>
      <c r="L504" s="5"/>
      <c r="M504" s="5"/>
    </row>
    <row r="505" spans="1:13" x14ac:dyDescent="0.35">
      <c r="A505" s="3"/>
      <c r="B505" s="4"/>
      <c r="C505" s="5"/>
      <c r="D505" s="5"/>
      <c r="E505" s="5"/>
      <c r="F505" s="5"/>
      <c r="G505" s="5"/>
      <c r="H505" s="5"/>
      <c r="I505" s="6"/>
      <c r="J505" s="5"/>
      <c r="K505" s="5"/>
      <c r="L505" s="5"/>
      <c r="M505" s="5"/>
    </row>
    <row r="506" spans="1:13" x14ac:dyDescent="0.35">
      <c r="A506" s="3"/>
      <c r="B506" s="4"/>
      <c r="C506" s="5"/>
      <c r="D506" s="5"/>
      <c r="E506" s="5"/>
      <c r="F506" s="5"/>
      <c r="G506" s="5"/>
      <c r="H506" s="5"/>
      <c r="I506" s="6"/>
      <c r="J506" s="5"/>
      <c r="K506" s="5"/>
      <c r="L506" s="5"/>
      <c r="M506" s="5"/>
    </row>
    <row r="507" spans="1:13" x14ac:dyDescent="0.35">
      <c r="A507" s="3"/>
      <c r="B507" s="4"/>
      <c r="C507" s="5"/>
      <c r="D507" s="5"/>
      <c r="E507" s="5"/>
      <c r="F507" s="5"/>
      <c r="G507" s="5"/>
      <c r="H507" s="5"/>
      <c r="I507" s="6"/>
      <c r="J507" s="5"/>
      <c r="K507" s="5"/>
      <c r="L507" s="5"/>
      <c r="M507" s="5"/>
    </row>
    <row r="508" spans="1:13" x14ac:dyDescent="0.35">
      <c r="A508" s="3"/>
      <c r="B508" s="4"/>
      <c r="C508" s="5"/>
      <c r="D508" s="5"/>
      <c r="E508" s="5"/>
      <c r="F508" s="5"/>
      <c r="G508" s="5"/>
      <c r="H508" s="5"/>
      <c r="I508" s="6"/>
      <c r="J508" s="5"/>
      <c r="K508" s="5"/>
      <c r="L508" s="5"/>
      <c r="M508" s="5"/>
    </row>
    <row r="509" spans="1:13" x14ac:dyDescent="0.35">
      <c r="A509" s="3"/>
      <c r="B509" s="4"/>
      <c r="C509" s="5"/>
      <c r="D509" s="5"/>
      <c r="E509" s="5"/>
      <c r="F509" s="5"/>
      <c r="G509" s="5"/>
      <c r="H509" s="5"/>
      <c r="I509" s="6"/>
      <c r="J509" s="5"/>
      <c r="K509" s="5"/>
      <c r="L509" s="5"/>
      <c r="M509" s="5"/>
    </row>
    <row r="510" spans="1:13" x14ac:dyDescent="0.35">
      <c r="A510" s="3"/>
      <c r="B510" s="4"/>
      <c r="C510" s="5"/>
      <c r="D510" s="5"/>
      <c r="E510" s="5"/>
      <c r="F510" s="5"/>
      <c r="G510" s="5"/>
      <c r="H510" s="5"/>
      <c r="I510" s="6"/>
      <c r="J510" s="5"/>
      <c r="K510" s="5"/>
      <c r="L510" s="5"/>
      <c r="M510" s="5"/>
    </row>
    <row r="511" spans="1:13" x14ac:dyDescent="0.35">
      <c r="A511" s="3"/>
      <c r="B511" s="4"/>
      <c r="C511" s="5"/>
      <c r="D511" s="5"/>
      <c r="E511" s="5"/>
      <c r="F511" s="5"/>
      <c r="G511" s="5"/>
      <c r="H511" s="5"/>
      <c r="I511" s="6"/>
      <c r="J511" s="5"/>
      <c r="K511" s="5"/>
      <c r="L511" s="5"/>
      <c r="M511" s="5"/>
    </row>
    <row r="512" spans="1:13" x14ac:dyDescent="0.35">
      <c r="A512" s="3"/>
      <c r="B512" s="4"/>
      <c r="C512" s="5"/>
      <c r="D512" s="5"/>
      <c r="E512" s="5"/>
      <c r="F512" s="5"/>
      <c r="G512" s="5"/>
      <c r="H512" s="5"/>
      <c r="I512" s="6"/>
      <c r="J512" s="5"/>
      <c r="K512" s="5"/>
      <c r="L512" s="5"/>
      <c r="M512" s="5"/>
    </row>
    <row r="513" spans="1:13" x14ac:dyDescent="0.35">
      <c r="A513" s="3"/>
      <c r="B513" s="4"/>
      <c r="C513" s="5"/>
      <c r="D513" s="5"/>
      <c r="E513" s="5"/>
      <c r="F513" s="5"/>
      <c r="G513" s="5"/>
      <c r="H513" s="5"/>
      <c r="I513" s="6"/>
      <c r="J513" s="5"/>
      <c r="K513" s="5"/>
      <c r="L513" s="5"/>
      <c r="M513" s="5"/>
    </row>
    <row r="514" spans="1:13" x14ac:dyDescent="0.35">
      <c r="A514" s="3"/>
      <c r="B514" s="4"/>
      <c r="C514" s="5"/>
      <c r="D514" s="5"/>
      <c r="E514" s="5"/>
      <c r="F514" s="5"/>
      <c r="G514" s="5"/>
      <c r="H514" s="5"/>
      <c r="I514" s="6"/>
      <c r="J514" s="5"/>
      <c r="K514" s="5"/>
      <c r="L514" s="5"/>
      <c r="M514" s="5"/>
    </row>
    <row r="515" spans="1:13" x14ac:dyDescent="0.35">
      <c r="A515" s="3"/>
      <c r="B515" s="4"/>
      <c r="C515" s="5"/>
      <c r="D515" s="5"/>
      <c r="E515" s="5"/>
      <c r="F515" s="5"/>
      <c r="G515" s="5"/>
      <c r="H515" s="5"/>
      <c r="I515" s="6"/>
      <c r="J515" s="5"/>
      <c r="K515" s="5"/>
      <c r="L515" s="5"/>
      <c r="M515" s="5"/>
    </row>
    <row r="516" spans="1:13" x14ac:dyDescent="0.35">
      <c r="A516" s="3"/>
      <c r="B516" s="4"/>
      <c r="C516" s="5"/>
      <c r="D516" s="5"/>
      <c r="E516" s="5"/>
      <c r="F516" s="5"/>
      <c r="G516" s="5"/>
      <c r="H516" s="5"/>
      <c r="I516" s="6"/>
      <c r="J516" s="5"/>
      <c r="K516" s="5"/>
      <c r="L516" s="5"/>
      <c r="M516" s="5"/>
    </row>
    <row r="517" spans="1:13" x14ac:dyDescent="0.35">
      <c r="A517" s="3"/>
      <c r="B517" s="4"/>
      <c r="C517" s="5"/>
      <c r="D517" s="5"/>
      <c r="E517" s="5"/>
      <c r="F517" s="5"/>
      <c r="G517" s="5"/>
      <c r="H517" s="5"/>
      <c r="I517" s="6"/>
      <c r="J517" s="5"/>
      <c r="K517" s="5"/>
      <c r="L517" s="5"/>
      <c r="M517" s="5"/>
    </row>
    <row r="518" spans="1:13" x14ac:dyDescent="0.35">
      <c r="A518" s="3"/>
      <c r="B518" s="4"/>
      <c r="C518" s="5"/>
      <c r="D518" s="5"/>
      <c r="E518" s="5"/>
      <c r="F518" s="5"/>
      <c r="G518" s="5"/>
      <c r="H518" s="5"/>
      <c r="I518" s="6"/>
      <c r="J518" s="5"/>
      <c r="K518" s="5"/>
      <c r="L518" s="5"/>
      <c r="M518" s="5"/>
    </row>
    <row r="519" spans="1:13" x14ac:dyDescent="0.35">
      <c r="A519" s="3"/>
      <c r="B519" s="4"/>
      <c r="C519" s="5"/>
      <c r="D519" s="5"/>
      <c r="E519" s="5"/>
      <c r="F519" s="5"/>
      <c r="G519" s="5"/>
      <c r="H519" s="5"/>
      <c r="I519" s="6"/>
      <c r="J519" s="5"/>
      <c r="K519" s="5"/>
      <c r="L519" s="5"/>
      <c r="M519" s="5"/>
    </row>
    <row r="520" spans="1:13" x14ac:dyDescent="0.35">
      <c r="A520" s="3"/>
      <c r="B520" s="4"/>
      <c r="C520" s="5"/>
      <c r="D520" s="5"/>
      <c r="E520" s="5"/>
      <c r="F520" s="5"/>
      <c r="G520" s="5"/>
      <c r="H520" s="5"/>
      <c r="I520" s="6"/>
      <c r="J520" s="5"/>
      <c r="K520" s="5"/>
      <c r="L520" s="5"/>
      <c r="M520" s="5"/>
    </row>
    <row r="521" spans="1:13" x14ac:dyDescent="0.35">
      <c r="A521" s="3"/>
      <c r="B521" s="4"/>
      <c r="C521" s="5"/>
      <c r="D521" s="5"/>
      <c r="E521" s="5"/>
      <c r="F521" s="5"/>
      <c r="G521" s="5"/>
      <c r="H521" s="5"/>
      <c r="I521" s="6"/>
      <c r="J521" s="5"/>
      <c r="K521" s="5"/>
      <c r="L521" s="5"/>
      <c r="M521" s="5"/>
    </row>
    <row r="522" spans="1:13" x14ac:dyDescent="0.35">
      <c r="A522" s="3"/>
      <c r="B522" s="4"/>
      <c r="C522" s="5"/>
      <c r="D522" s="5"/>
      <c r="E522" s="5"/>
      <c r="F522" s="5"/>
      <c r="G522" s="5"/>
      <c r="H522" s="5"/>
      <c r="I522" s="6"/>
      <c r="J522" s="5"/>
      <c r="K522" s="5"/>
      <c r="L522" s="5"/>
      <c r="M522" s="5"/>
    </row>
    <row r="523" spans="1:13" x14ac:dyDescent="0.35">
      <c r="A523" s="3"/>
      <c r="B523" s="4"/>
      <c r="C523" s="5"/>
      <c r="D523" s="5"/>
      <c r="E523" s="5"/>
      <c r="F523" s="5"/>
      <c r="G523" s="5"/>
      <c r="H523" s="5"/>
      <c r="I523" s="6"/>
      <c r="J523" s="5"/>
      <c r="K523" s="5"/>
      <c r="L523" s="5"/>
      <c r="M523" s="5"/>
    </row>
    <row r="524" spans="1:13" x14ac:dyDescent="0.35">
      <c r="A524" s="3"/>
      <c r="B524" s="4"/>
      <c r="C524" s="5"/>
      <c r="D524" s="5"/>
      <c r="E524" s="5"/>
      <c r="F524" s="5"/>
      <c r="G524" s="5"/>
      <c r="H524" s="5"/>
      <c r="I524" s="6"/>
      <c r="J524" s="5"/>
      <c r="K524" s="5"/>
      <c r="L524" s="5"/>
      <c r="M524" s="5"/>
    </row>
    <row r="525" spans="1:13" x14ac:dyDescent="0.35">
      <c r="A525" s="3"/>
      <c r="B525" s="4"/>
      <c r="C525" s="5"/>
      <c r="D525" s="5"/>
      <c r="E525" s="5"/>
      <c r="F525" s="5"/>
      <c r="G525" s="5"/>
      <c r="H525" s="5"/>
      <c r="I525" s="6"/>
      <c r="J525" s="5"/>
      <c r="K525" s="5"/>
      <c r="L525" s="5"/>
      <c r="M525" s="5"/>
    </row>
    <row r="526" spans="1:13" x14ac:dyDescent="0.35">
      <c r="A526" s="3"/>
      <c r="B526" s="4"/>
      <c r="C526" s="5"/>
      <c r="D526" s="5"/>
      <c r="E526" s="5"/>
      <c r="F526" s="5"/>
      <c r="G526" s="5"/>
      <c r="H526" s="5"/>
      <c r="I526" s="6"/>
      <c r="J526" s="5"/>
      <c r="K526" s="5"/>
      <c r="L526" s="5"/>
      <c r="M526" s="5"/>
    </row>
    <row r="527" spans="1:13" x14ac:dyDescent="0.35">
      <c r="A527" s="3"/>
      <c r="B527" s="4"/>
      <c r="C527" s="5"/>
      <c r="D527" s="5"/>
      <c r="E527" s="5"/>
      <c r="F527" s="5"/>
      <c r="G527" s="5"/>
      <c r="H527" s="5"/>
      <c r="I527" s="6"/>
      <c r="J527" s="5"/>
      <c r="K527" s="5"/>
      <c r="L527" s="5"/>
      <c r="M527" s="5"/>
    </row>
    <row r="528" spans="1:13" x14ac:dyDescent="0.35">
      <c r="A528" s="3"/>
      <c r="B528" s="4"/>
      <c r="C528" s="5"/>
      <c r="D528" s="5"/>
      <c r="E528" s="5"/>
      <c r="F528" s="5"/>
      <c r="G528" s="5"/>
      <c r="H528" s="5"/>
      <c r="I528" s="6"/>
      <c r="J528" s="5"/>
      <c r="K528" s="5"/>
      <c r="L528" s="5"/>
      <c r="M528" s="5"/>
    </row>
    <row r="529" spans="1:13" x14ac:dyDescent="0.35">
      <c r="A529" s="3"/>
      <c r="B529" s="4"/>
      <c r="C529" s="5"/>
      <c r="D529" s="5"/>
      <c r="E529" s="5"/>
      <c r="F529" s="5"/>
      <c r="G529" s="5"/>
      <c r="H529" s="5"/>
      <c r="I529" s="6"/>
      <c r="J529" s="5"/>
      <c r="K529" s="5"/>
      <c r="L529" s="5"/>
      <c r="M529" s="5"/>
    </row>
    <row r="530" spans="1:13" x14ac:dyDescent="0.35">
      <c r="A530" s="3"/>
      <c r="B530" s="4"/>
      <c r="C530" s="5"/>
      <c r="D530" s="5"/>
      <c r="E530" s="5"/>
      <c r="F530" s="5"/>
      <c r="G530" s="5"/>
      <c r="H530" s="5"/>
      <c r="I530" s="6"/>
      <c r="J530" s="5"/>
      <c r="K530" s="5"/>
      <c r="L530" s="5"/>
      <c r="M530" s="5"/>
    </row>
    <row r="531" spans="1:13" x14ac:dyDescent="0.35">
      <c r="A531" s="3"/>
      <c r="B531" s="4"/>
      <c r="C531" s="5"/>
      <c r="D531" s="5"/>
      <c r="E531" s="5"/>
      <c r="F531" s="5"/>
      <c r="G531" s="5"/>
      <c r="H531" s="5"/>
      <c r="I531" s="6"/>
      <c r="J531" s="5"/>
      <c r="K531" s="5"/>
      <c r="L531" s="5"/>
      <c r="M531" s="5"/>
    </row>
    <row r="532" spans="1:13" x14ac:dyDescent="0.35">
      <c r="A532" s="3"/>
      <c r="B532" s="4"/>
      <c r="C532" s="5"/>
      <c r="D532" s="5"/>
      <c r="E532" s="5"/>
      <c r="F532" s="5"/>
      <c r="G532" s="5"/>
      <c r="H532" s="5"/>
      <c r="I532" s="6"/>
      <c r="J532" s="5"/>
      <c r="K532" s="5"/>
      <c r="L532" s="5"/>
      <c r="M532" s="5"/>
    </row>
    <row r="533" spans="1:13" x14ac:dyDescent="0.35">
      <c r="A533" s="3"/>
      <c r="B533" s="4"/>
      <c r="C533" s="5"/>
      <c r="D533" s="5"/>
      <c r="E533" s="5"/>
      <c r="F533" s="5"/>
      <c r="G533" s="5"/>
      <c r="H533" s="5"/>
      <c r="I533" s="6"/>
      <c r="J533" s="5"/>
      <c r="K533" s="5"/>
      <c r="L533" s="5"/>
      <c r="M533" s="5"/>
    </row>
    <row r="534" spans="1:13" x14ac:dyDescent="0.35">
      <c r="A534" s="3"/>
      <c r="B534" s="4"/>
      <c r="C534" s="5"/>
      <c r="D534" s="5"/>
      <c r="E534" s="5"/>
      <c r="F534" s="5"/>
      <c r="G534" s="5"/>
      <c r="H534" s="5"/>
      <c r="I534" s="6"/>
      <c r="J534" s="5"/>
      <c r="K534" s="5"/>
      <c r="L534" s="5"/>
      <c r="M534" s="5"/>
    </row>
    <row r="535" spans="1:13" x14ac:dyDescent="0.35">
      <c r="A535" s="3"/>
      <c r="B535" s="4"/>
      <c r="C535" s="5"/>
      <c r="D535" s="5"/>
      <c r="E535" s="5"/>
      <c r="F535" s="5"/>
      <c r="G535" s="5"/>
      <c r="H535" s="5"/>
      <c r="I535" s="6"/>
      <c r="J535" s="5"/>
      <c r="K535" s="5"/>
      <c r="L535" s="5"/>
      <c r="M535" s="5"/>
    </row>
    <row r="536" spans="1:13" x14ac:dyDescent="0.35">
      <c r="A536" s="3"/>
      <c r="B536" s="4"/>
      <c r="C536" s="5"/>
      <c r="D536" s="5"/>
      <c r="E536" s="5"/>
      <c r="F536" s="5"/>
      <c r="G536" s="5"/>
      <c r="H536" s="5"/>
      <c r="I536" s="6"/>
      <c r="J536" s="5"/>
      <c r="K536" s="5"/>
      <c r="L536" s="5"/>
      <c r="M536" s="5"/>
    </row>
    <row r="537" spans="1:13" x14ac:dyDescent="0.35">
      <c r="A537" s="3"/>
      <c r="B537" s="4"/>
      <c r="C537" s="5"/>
      <c r="D537" s="5"/>
      <c r="E537" s="5"/>
      <c r="F537" s="5"/>
      <c r="G537" s="5"/>
      <c r="H537" s="5"/>
      <c r="I537" s="6"/>
      <c r="J537" s="5"/>
      <c r="K537" s="5"/>
      <c r="L537" s="5"/>
      <c r="M537" s="5"/>
    </row>
    <row r="538" spans="1:13" x14ac:dyDescent="0.35">
      <c r="A538" s="3"/>
      <c r="B538" s="4"/>
      <c r="C538" s="5"/>
      <c r="D538" s="5"/>
      <c r="E538" s="5"/>
      <c r="F538" s="5"/>
      <c r="G538" s="5"/>
      <c r="H538" s="5"/>
      <c r="I538" s="6"/>
      <c r="J538" s="5"/>
      <c r="K538" s="5"/>
      <c r="L538" s="5"/>
      <c r="M538" s="5"/>
    </row>
    <row r="539" spans="1:13" x14ac:dyDescent="0.35">
      <c r="A539" s="3"/>
      <c r="B539" s="4"/>
      <c r="C539" s="5"/>
      <c r="D539" s="5"/>
      <c r="E539" s="5"/>
      <c r="F539" s="5"/>
      <c r="G539" s="5"/>
      <c r="H539" s="5"/>
      <c r="I539" s="6"/>
      <c r="J539" s="5"/>
      <c r="K539" s="5"/>
      <c r="L539" s="5"/>
      <c r="M539" s="5"/>
    </row>
    <row r="540" spans="1:13" x14ac:dyDescent="0.35">
      <c r="A540" s="3"/>
      <c r="B540" s="4"/>
      <c r="C540" s="5"/>
      <c r="D540" s="5"/>
      <c r="E540" s="5"/>
      <c r="F540" s="5"/>
      <c r="G540" s="5"/>
      <c r="H540" s="5"/>
      <c r="I540" s="6"/>
      <c r="J540" s="5"/>
      <c r="K540" s="5"/>
      <c r="L540" s="5"/>
      <c r="M540" s="5"/>
    </row>
    <row r="541" spans="1:13" x14ac:dyDescent="0.35">
      <c r="A541" s="3"/>
      <c r="B541" s="4"/>
      <c r="C541" s="5"/>
      <c r="D541" s="5"/>
      <c r="E541" s="5"/>
      <c r="F541" s="5"/>
      <c r="G541" s="5"/>
      <c r="H541" s="5"/>
      <c r="I541" s="6"/>
      <c r="J541" s="5"/>
      <c r="K541" s="5"/>
      <c r="L541" s="5"/>
      <c r="M541" s="5"/>
    </row>
    <row r="542" spans="1:13" x14ac:dyDescent="0.35">
      <c r="A542" s="3"/>
      <c r="B542" s="4"/>
      <c r="C542" s="5"/>
      <c r="D542" s="5"/>
      <c r="E542" s="5"/>
      <c r="F542" s="5"/>
      <c r="G542" s="5"/>
      <c r="H542" s="5"/>
      <c r="I542" s="6"/>
      <c r="J542" s="5"/>
      <c r="K542" s="5"/>
      <c r="L542" s="5"/>
      <c r="M542" s="5"/>
    </row>
    <row r="543" spans="1:13" x14ac:dyDescent="0.35">
      <c r="A543" s="3"/>
      <c r="B543" s="4"/>
      <c r="C543" s="5"/>
      <c r="D543" s="5"/>
      <c r="E543" s="5"/>
      <c r="F543" s="5"/>
      <c r="G543" s="5"/>
      <c r="H543" s="5"/>
      <c r="I543" s="6"/>
      <c r="J543" s="5"/>
      <c r="K543" s="5"/>
      <c r="L543" s="5"/>
      <c r="M543" s="5"/>
    </row>
    <row r="544" spans="1:13" x14ac:dyDescent="0.35">
      <c r="A544" s="3"/>
      <c r="B544" s="4"/>
      <c r="C544" s="5"/>
      <c r="D544" s="5"/>
      <c r="E544" s="5"/>
      <c r="F544" s="5"/>
      <c r="G544" s="5"/>
      <c r="H544" s="5"/>
      <c r="I544" s="6"/>
      <c r="J544" s="5"/>
      <c r="K544" s="5"/>
      <c r="L544" s="5"/>
      <c r="M544" s="5"/>
    </row>
    <row r="545" spans="1:13" x14ac:dyDescent="0.35">
      <c r="A545" s="3"/>
      <c r="B545" s="4"/>
      <c r="C545" s="5"/>
      <c r="D545" s="5"/>
      <c r="E545" s="5"/>
      <c r="F545" s="5"/>
      <c r="G545" s="5"/>
      <c r="H545" s="5"/>
      <c r="I545" s="6"/>
      <c r="J545" s="5"/>
      <c r="K545" s="5"/>
      <c r="L545" s="5"/>
      <c r="M545" s="5"/>
    </row>
    <row r="546" spans="1:13" x14ac:dyDescent="0.35">
      <c r="A546" s="3"/>
      <c r="B546" s="4"/>
      <c r="C546" s="5"/>
      <c r="D546" s="5"/>
      <c r="E546" s="5"/>
      <c r="F546" s="5"/>
      <c r="G546" s="5"/>
      <c r="H546" s="5"/>
      <c r="I546" s="6"/>
      <c r="J546" s="5"/>
      <c r="K546" s="5"/>
      <c r="L546" s="5"/>
      <c r="M546" s="5"/>
    </row>
    <row r="547" spans="1:13" x14ac:dyDescent="0.35">
      <c r="A547" s="3"/>
      <c r="B547" s="4"/>
      <c r="C547" s="5"/>
      <c r="D547" s="5"/>
      <c r="E547" s="5"/>
      <c r="F547" s="5"/>
      <c r="G547" s="5"/>
      <c r="H547" s="5"/>
      <c r="I547" s="6"/>
      <c r="J547" s="5"/>
      <c r="K547" s="5"/>
      <c r="L547" s="5"/>
      <c r="M547" s="5"/>
    </row>
    <row r="548" spans="1:13" x14ac:dyDescent="0.35">
      <c r="A548" s="3"/>
      <c r="B548" s="4"/>
      <c r="C548" s="5"/>
      <c r="D548" s="5"/>
      <c r="E548" s="5"/>
      <c r="F548" s="5"/>
      <c r="G548" s="5"/>
      <c r="H548" s="5"/>
      <c r="I548" s="6"/>
      <c r="J548" s="5"/>
      <c r="K548" s="5"/>
      <c r="L548" s="5"/>
      <c r="M548" s="5"/>
    </row>
    <row r="549" spans="1:13" x14ac:dyDescent="0.35">
      <c r="A549" s="3"/>
      <c r="B549" s="4"/>
      <c r="C549" s="5"/>
      <c r="D549" s="5"/>
      <c r="E549" s="5"/>
      <c r="F549" s="5"/>
      <c r="G549" s="5"/>
      <c r="H549" s="5"/>
      <c r="I549" s="6"/>
      <c r="J549" s="5"/>
      <c r="K549" s="5"/>
      <c r="L549" s="5"/>
      <c r="M549" s="5"/>
    </row>
    <row r="550" spans="1:13" x14ac:dyDescent="0.35">
      <c r="A550" s="3"/>
      <c r="B550" s="4"/>
      <c r="C550" s="5"/>
      <c r="D550" s="5"/>
      <c r="E550" s="5"/>
      <c r="F550" s="5"/>
      <c r="G550" s="5"/>
      <c r="H550" s="5"/>
      <c r="I550" s="6"/>
      <c r="J550" s="5"/>
      <c r="K550" s="5"/>
      <c r="L550" s="5"/>
      <c r="M550" s="5"/>
    </row>
    <row r="551" spans="1:13" x14ac:dyDescent="0.35">
      <c r="A551" s="3"/>
      <c r="B551" s="4"/>
      <c r="C551" s="5"/>
      <c r="D551" s="5"/>
      <c r="E551" s="5"/>
      <c r="F551" s="5"/>
      <c r="G551" s="5"/>
      <c r="H551" s="5"/>
      <c r="I551" s="6"/>
      <c r="J551" s="5"/>
      <c r="K551" s="5"/>
      <c r="L551" s="5"/>
      <c r="M551" s="5"/>
    </row>
    <row r="552" spans="1:13" x14ac:dyDescent="0.35">
      <c r="A552" s="3"/>
      <c r="B552" s="4"/>
      <c r="C552" s="5"/>
      <c r="D552" s="5"/>
      <c r="E552" s="5"/>
      <c r="F552" s="5"/>
      <c r="G552" s="5"/>
      <c r="H552" s="5"/>
      <c r="I552" s="6"/>
      <c r="J552" s="5"/>
      <c r="K552" s="5"/>
      <c r="L552" s="5"/>
      <c r="M552" s="5"/>
    </row>
    <row r="553" spans="1:13" x14ac:dyDescent="0.35">
      <c r="A553" s="3"/>
      <c r="B553" s="4"/>
      <c r="C553" s="5"/>
      <c r="D553" s="5"/>
      <c r="E553" s="5"/>
      <c r="F553" s="5"/>
      <c r="G553" s="5"/>
      <c r="H553" s="5"/>
      <c r="I553" s="6"/>
      <c r="J553" s="5"/>
      <c r="K553" s="5"/>
      <c r="L553" s="5"/>
      <c r="M553" s="5"/>
    </row>
    <row r="554" spans="1:13" x14ac:dyDescent="0.35">
      <c r="A554" s="3"/>
      <c r="B554" s="4"/>
      <c r="C554" s="5"/>
      <c r="D554" s="5"/>
      <c r="E554" s="5"/>
      <c r="F554" s="5"/>
      <c r="G554" s="5"/>
      <c r="H554" s="5"/>
      <c r="I554" s="6"/>
      <c r="J554" s="5"/>
      <c r="K554" s="5"/>
      <c r="L554" s="5"/>
      <c r="M554" s="5"/>
    </row>
    <row r="555" spans="1:13" x14ac:dyDescent="0.35">
      <c r="A555" s="3"/>
      <c r="B555" s="4"/>
      <c r="C555" s="5"/>
      <c r="D555" s="5"/>
      <c r="E555" s="5"/>
      <c r="F555" s="5"/>
      <c r="G555" s="5"/>
      <c r="H555" s="5"/>
      <c r="I555" s="6"/>
      <c r="J555" s="5"/>
      <c r="K555" s="5"/>
      <c r="L555" s="5"/>
      <c r="M555" s="5"/>
    </row>
    <row r="556" spans="1:13" x14ac:dyDescent="0.35">
      <c r="A556" s="3"/>
      <c r="B556" s="4"/>
      <c r="C556" s="5"/>
      <c r="D556" s="5"/>
      <c r="E556" s="5"/>
      <c r="F556" s="5"/>
      <c r="G556" s="5"/>
      <c r="H556" s="5"/>
      <c r="I556" s="6"/>
      <c r="J556" s="5"/>
      <c r="K556" s="5"/>
      <c r="L556" s="5"/>
      <c r="M556" s="5"/>
    </row>
    <row r="557" spans="1:13" x14ac:dyDescent="0.35">
      <c r="A557" s="3"/>
      <c r="B557" s="4"/>
      <c r="C557" s="5"/>
      <c r="D557" s="5"/>
      <c r="E557" s="5"/>
      <c r="F557" s="5"/>
      <c r="G557" s="5"/>
      <c r="H557" s="5"/>
      <c r="I557" s="6"/>
      <c r="J557" s="5"/>
      <c r="K557" s="5"/>
      <c r="L557" s="5"/>
      <c r="M557" s="5"/>
    </row>
    <row r="558" spans="1:13" x14ac:dyDescent="0.35">
      <c r="A558" s="3"/>
      <c r="B558" s="4"/>
      <c r="C558" s="5"/>
      <c r="D558" s="5"/>
      <c r="E558" s="5"/>
      <c r="F558" s="5"/>
      <c r="G558" s="5"/>
      <c r="H558" s="5"/>
      <c r="I558" s="6"/>
      <c r="J558" s="5"/>
      <c r="K558" s="5"/>
      <c r="L558" s="5"/>
      <c r="M558" s="5"/>
    </row>
    <row r="559" spans="1:13" x14ac:dyDescent="0.35">
      <c r="A559" s="3"/>
      <c r="B559" s="4"/>
      <c r="C559" s="5"/>
      <c r="D559" s="5"/>
      <c r="E559" s="5"/>
      <c r="F559" s="5"/>
      <c r="G559" s="5"/>
      <c r="H559" s="5"/>
      <c r="I559" s="6"/>
      <c r="J559" s="5"/>
      <c r="K559" s="5"/>
      <c r="L559" s="5"/>
      <c r="M559" s="5"/>
    </row>
    <row r="560" spans="1:13" x14ac:dyDescent="0.35">
      <c r="A560" s="3"/>
      <c r="B560" s="4"/>
      <c r="C560" s="5"/>
      <c r="D560" s="5"/>
      <c r="E560" s="5"/>
      <c r="F560" s="5"/>
      <c r="G560" s="5"/>
      <c r="H560" s="5"/>
      <c r="I560" s="6"/>
      <c r="J560" s="5"/>
      <c r="K560" s="5"/>
      <c r="L560" s="5"/>
      <c r="M560" s="5"/>
    </row>
    <row r="561" spans="1:13" x14ac:dyDescent="0.35">
      <c r="A561" s="3"/>
      <c r="B561" s="4"/>
      <c r="C561" s="5"/>
      <c r="D561" s="5"/>
      <c r="E561" s="5"/>
      <c r="F561" s="5"/>
      <c r="G561" s="5"/>
      <c r="H561" s="5"/>
      <c r="I561" s="6"/>
      <c r="J561" s="5"/>
      <c r="K561" s="5"/>
      <c r="L561" s="5"/>
      <c r="M561" s="5"/>
    </row>
    <row r="562" spans="1:13" x14ac:dyDescent="0.35">
      <c r="A562" s="3"/>
      <c r="B562" s="4"/>
      <c r="C562" s="5"/>
      <c r="D562" s="5"/>
      <c r="E562" s="5"/>
      <c r="F562" s="5"/>
      <c r="G562" s="5"/>
      <c r="H562" s="5"/>
      <c r="I562" s="6"/>
      <c r="J562" s="5"/>
      <c r="K562" s="5"/>
      <c r="L562" s="5"/>
      <c r="M562" s="5"/>
    </row>
    <row r="563" spans="1:13" x14ac:dyDescent="0.35">
      <c r="A563" s="3"/>
      <c r="B563" s="4"/>
      <c r="C563" s="5"/>
      <c r="D563" s="5"/>
      <c r="E563" s="5"/>
      <c r="F563" s="5"/>
      <c r="G563" s="5"/>
      <c r="H563" s="5"/>
      <c r="I563" s="6"/>
      <c r="J563" s="5"/>
      <c r="K563" s="5"/>
      <c r="L563" s="5"/>
      <c r="M563" s="5"/>
    </row>
    <row r="564" spans="1:13" x14ac:dyDescent="0.35">
      <c r="A564" s="3"/>
      <c r="B564" s="4"/>
      <c r="C564" s="5"/>
      <c r="D564" s="5"/>
      <c r="E564" s="5"/>
      <c r="F564" s="5"/>
      <c r="G564" s="5"/>
      <c r="H564" s="5"/>
      <c r="I564" s="6"/>
      <c r="J564" s="5"/>
      <c r="K564" s="5"/>
      <c r="L564" s="5"/>
      <c r="M564" s="5"/>
    </row>
    <row r="565" spans="1:13" x14ac:dyDescent="0.35">
      <c r="A565" s="3"/>
      <c r="B565" s="4"/>
      <c r="C565" s="5"/>
      <c r="D565" s="5"/>
      <c r="E565" s="5"/>
      <c r="F565" s="5"/>
      <c r="G565" s="5"/>
      <c r="H565" s="5"/>
      <c r="I565" s="6"/>
      <c r="J565" s="5"/>
      <c r="K565" s="5"/>
      <c r="L565" s="5"/>
      <c r="M565" s="5"/>
    </row>
    <row r="566" spans="1:13" x14ac:dyDescent="0.35">
      <c r="A566" s="3"/>
      <c r="B566" s="4"/>
      <c r="C566" s="5"/>
      <c r="D566" s="5"/>
      <c r="E566" s="5"/>
      <c r="F566" s="5"/>
      <c r="G566" s="5"/>
      <c r="H566" s="5"/>
      <c r="I566" s="6"/>
      <c r="J566" s="5"/>
      <c r="K566" s="5"/>
      <c r="L566" s="5"/>
      <c r="M566" s="5"/>
    </row>
    <row r="567" spans="1:13" x14ac:dyDescent="0.35">
      <c r="A567" s="3"/>
      <c r="B567" s="4"/>
      <c r="C567" s="5"/>
      <c r="D567" s="5"/>
      <c r="E567" s="5"/>
      <c r="F567" s="5"/>
      <c r="G567" s="5"/>
      <c r="H567" s="5"/>
      <c r="I567" s="6"/>
      <c r="J567" s="5"/>
      <c r="K567" s="5"/>
      <c r="L567" s="5"/>
      <c r="M567" s="5"/>
    </row>
    <row r="568" spans="1:13" x14ac:dyDescent="0.35">
      <c r="A568" s="3"/>
      <c r="B568" s="4"/>
      <c r="C568" s="5"/>
      <c r="D568" s="5"/>
      <c r="E568" s="5"/>
      <c r="F568" s="5"/>
      <c r="G568" s="5"/>
      <c r="H568" s="5"/>
      <c r="I568" s="6"/>
      <c r="J568" s="5"/>
      <c r="K568" s="5"/>
      <c r="L568" s="5"/>
      <c r="M568" s="5"/>
    </row>
    <row r="569" spans="1:13" x14ac:dyDescent="0.35">
      <c r="A569" s="3"/>
      <c r="B569" s="4"/>
      <c r="C569" s="5"/>
      <c r="D569" s="5"/>
      <c r="E569" s="5"/>
      <c r="F569" s="5"/>
      <c r="G569" s="5"/>
      <c r="H569" s="5"/>
      <c r="I569" s="6"/>
      <c r="J569" s="5"/>
      <c r="K569" s="5"/>
      <c r="L569" s="5"/>
      <c r="M569" s="5"/>
    </row>
    <row r="570" spans="1:13" x14ac:dyDescent="0.35">
      <c r="A570" s="3"/>
      <c r="B570" s="4"/>
      <c r="C570" s="5"/>
      <c r="D570" s="5"/>
      <c r="E570" s="5"/>
      <c r="F570" s="5"/>
      <c r="G570" s="5"/>
      <c r="H570" s="5"/>
      <c r="I570" s="6"/>
      <c r="J570" s="5"/>
      <c r="K570" s="5"/>
      <c r="L570" s="5"/>
      <c r="M570" s="5"/>
    </row>
    <row r="571" spans="1:13" x14ac:dyDescent="0.35">
      <c r="A571" s="3"/>
      <c r="B571" s="4"/>
      <c r="C571" s="5"/>
      <c r="D571" s="5"/>
      <c r="E571" s="5"/>
      <c r="F571" s="5"/>
      <c r="G571" s="5"/>
      <c r="H571" s="5"/>
      <c r="I571" s="6"/>
      <c r="J571" s="5"/>
      <c r="K571" s="5"/>
      <c r="L571" s="5"/>
      <c r="M571" s="5"/>
    </row>
    <row r="572" spans="1:13" x14ac:dyDescent="0.35">
      <c r="A572" s="3"/>
      <c r="B572" s="4"/>
      <c r="C572" s="5"/>
      <c r="D572" s="5"/>
      <c r="E572" s="5"/>
      <c r="F572" s="5"/>
      <c r="G572" s="5"/>
      <c r="H572" s="5"/>
      <c r="I572" s="6"/>
      <c r="J572" s="5"/>
      <c r="K572" s="5"/>
      <c r="L572" s="5"/>
      <c r="M572" s="5"/>
    </row>
    <row r="573" spans="1:13" x14ac:dyDescent="0.35">
      <c r="A573" s="3"/>
      <c r="B573" s="4"/>
      <c r="C573" s="5"/>
      <c r="D573" s="5"/>
      <c r="E573" s="5"/>
      <c r="F573" s="5"/>
      <c r="G573" s="5"/>
      <c r="H573" s="5"/>
      <c r="I573" s="6"/>
      <c r="J573" s="5"/>
      <c r="K573" s="5"/>
      <c r="L573" s="5"/>
      <c r="M573" s="5"/>
    </row>
    <row r="574" spans="1:13" x14ac:dyDescent="0.35">
      <c r="A574" s="3"/>
      <c r="B574" s="4"/>
      <c r="C574" s="5"/>
      <c r="D574" s="5"/>
      <c r="E574" s="5"/>
      <c r="F574" s="5"/>
      <c r="G574" s="5"/>
      <c r="H574" s="5"/>
      <c r="I574" s="6"/>
      <c r="J574" s="5"/>
      <c r="K574" s="5"/>
      <c r="L574" s="5"/>
      <c r="M574" s="5"/>
    </row>
    <row r="575" spans="1:13" x14ac:dyDescent="0.35">
      <c r="A575" s="3"/>
      <c r="B575" s="4"/>
      <c r="C575" s="5"/>
      <c r="D575" s="5"/>
      <c r="E575" s="5"/>
      <c r="F575" s="5"/>
      <c r="G575" s="5"/>
      <c r="H575" s="5"/>
      <c r="I575" s="6"/>
      <c r="J575" s="5"/>
      <c r="K575" s="5"/>
      <c r="L575" s="5"/>
      <c r="M575" s="5"/>
    </row>
    <row r="576" spans="1:13" x14ac:dyDescent="0.35">
      <c r="A576" s="3"/>
      <c r="B576" s="4"/>
      <c r="C576" s="5"/>
      <c r="D576" s="5"/>
      <c r="E576" s="5"/>
      <c r="F576" s="5"/>
      <c r="G576" s="5"/>
      <c r="H576" s="5"/>
      <c r="I576" s="6"/>
      <c r="J576" s="5"/>
      <c r="K576" s="5"/>
      <c r="L576" s="5"/>
      <c r="M576" s="5"/>
    </row>
    <row r="577" spans="1:13" x14ac:dyDescent="0.35">
      <c r="A577" s="3"/>
      <c r="B577" s="4"/>
      <c r="C577" s="5"/>
      <c r="D577" s="5"/>
      <c r="E577" s="5"/>
      <c r="F577" s="5"/>
      <c r="G577" s="5"/>
      <c r="H577" s="5"/>
      <c r="I577" s="6"/>
      <c r="J577" s="5"/>
      <c r="K577" s="5"/>
      <c r="L577" s="5"/>
      <c r="M577" s="5"/>
    </row>
    <row r="578" spans="1:13" x14ac:dyDescent="0.35">
      <c r="A578" s="3"/>
      <c r="B578" s="4"/>
      <c r="C578" s="5"/>
      <c r="D578" s="5"/>
      <c r="E578" s="5"/>
      <c r="F578" s="5"/>
      <c r="G578" s="5"/>
      <c r="H578" s="5"/>
      <c r="I578" s="6"/>
      <c r="J578" s="5"/>
      <c r="K578" s="5"/>
      <c r="L578" s="5"/>
      <c r="M578" s="5"/>
    </row>
    <row r="579" spans="1:13" x14ac:dyDescent="0.35">
      <c r="A579" s="3"/>
      <c r="B579" s="4"/>
      <c r="C579" s="5"/>
      <c r="D579" s="5"/>
      <c r="E579" s="5"/>
      <c r="F579" s="5"/>
      <c r="G579" s="5"/>
      <c r="H579" s="5"/>
      <c r="I579" s="6"/>
      <c r="J579" s="5"/>
      <c r="K579" s="5"/>
      <c r="L579" s="5"/>
      <c r="M579" s="5"/>
    </row>
    <row r="580" spans="1:13" x14ac:dyDescent="0.35">
      <c r="A580" s="3"/>
      <c r="B580" s="4"/>
      <c r="C580" s="5"/>
      <c r="D580" s="5"/>
      <c r="E580" s="5"/>
      <c r="F580" s="5"/>
      <c r="G580" s="5"/>
      <c r="H580" s="5"/>
      <c r="I580" s="6"/>
      <c r="J580" s="5"/>
      <c r="K580" s="5"/>
      <c r="L580" s="5"/>
      <c r="M580" s="5"/>
    </row>
    <row r="581" spans="1:13" x14ac:dyDescent="0.35">
      <c r="A581" s="3"/>
      <c r="B581" s="4"/>
      <c r="C581" s="5"/>
      <c r="D581" s="5"/>
      <c r="E581" s="5"/>
      <c r="F581" s="5"/>
      <c r="G581" s="5"/>
      <c r="H581" s="5"/>
      <c r="I581" s="6"/>
      <c r="J581" s="5"/>
      <c r="K581" s="5"/>
      <c r="L581" s="5"/>
      <c r="M581" s="5"/>
    </row>
    <row r="582" spans="1:13" x14ac:dyDescent="0.35">
      <c r="A582" s="3"/>
      <c r="B582" s="4"/>
      <c r="C582" s="5"/>
      <c r="D582" s="5"/>
      <c r="E582" s="5"/>
      <c r="F582" s="5"/>
      <c r="G582" s="5"/>
      <c r="H582" s="5"/>
      <c r="I582" s="6"/>
      <c r="J582" s="5"/>
      <c r="K582" s="5"/>
      <c r="L582" s="5"/>
      <c r="M582" s="5"/>
    </row>
    <row r="583" spans="1:13" x14ac:dyDescent="0.35">
      <c r="A583" s="3"/>
      <c r="B583" s="4"/>
      <c r="C583" s="5"/>
      <c r="D583" s="5"/>
      <c r="E583" s="5"/>
      <c r="F583" s="5"/>
      <c r="G583" s="5"/>
      <c r="H583" s="5"/>
      <c r="I583" s="6"/>
      <c r="J583" s="5"/>
      <c r="K583" s="5"/>
      <c r="L583" s="5"/>
      <c r="M583" s="5"/>
    </row>
    <row r="584" spans="1:13" x14ac:dyDescent="0.35">
      <c r="A584" s="3"/>
      <c r="B584" s="4"/>
      <c r="C584" s="5"/>
      <c r="D584" s="5"/>
      <c r="E584" s="5"/>
      <c r="F584" s="5"/>
      <c r="G584" s="5"/>
      <c r="H584" s="5"/>
      <c r="I584" s="6"/>
      <c r="J584" s="5"/>
      <c r="K584" s="5"/>
      <c r="L584" s="5"/>
      <c r="M584" s="5"/>
    </row>
    <row r="585" spans="1:13" x14ac:dyDescent="0.35">
      <c r="A585" s="3"/>
      <c r="B585" s="4"/>
      <c r="C585" s="5"/>
      <c r="D585" s="5"/>
      <c r="E585" s="5"/>
      <c r="F585" s="5"/>
      <c r="G585" s="5"/>
      <c r="H585" s="5"/>
      <c r="I585" s="6"/>
      <c r="J585" s="5"/>
      <c r="K585" s="5"/>
      <c r="L585" s="5"/>
      <c r="M585" s="5"/>
    </row>
    <row r="586" spans="1:13" x14ac:dyDescent="0.35">
      <c r="A586" s="3"/>
      <c r="B586" s="4"/>
      <c r="C586" s="5"/>
      <c r="D586" s="5"/>
      <c r="E586" s="5"/>
      <c r="F586" s="5"/>
      <c r="G586" s="5"/>
      <c r="H586" s="5"/>
      <c r="I586" s="6"/>
      <c r="J586" s="5"/>
      <c r="K586" s="5"/>
      <c r="L586" s="5"/>
      <c r="M586" s="5"/>
    </row>
    <row r="587" spans="1:13" x14ac:dyDescent="0.35">
      <c r="A587" s="3"/>
      <c r="B587" s="4"/>
      <c r="C587" s="5"/>
      <c r="D587" s="5"/>
      <c r="E587" s="5"/>
      <c r="F587" s="5"/>
      <c r="G587" s="5"/>
      <c r="H587" s="5"/>
      <c r="I587" s="6"/>
      <c r="J587" s="5"/>
      <c r="K587" s="5"/>
      <c r="L587" s="5"/>
      <c r="M587" s="5"/>
    </row>
    <row r="588" spans="1:13" x14ac:dyDescent="0.35">
      <c r="A588" s="3"/>
      <c r="B588" s="4"/>
      <c r="C588" s="5"/>
      <c r="D588" s="5"/>
      <c r="E588" s="5"/>
      <c r="F588" s="5"/>
      <c r="G588" s="5"/>
      <c r="H588" s="5"/>
      <c r="I588" s="6"/>
      <c r="J588" s="5"/>
      <c r="K588" s="5"/>
      <c r="L588" s="5"/>
      <c r="M588" s="5"/>
    </row>
    <row r="589" spans="1:13" x14ac:dyDescent="0.35">
      <c r="A589" s="3"/>
      <c r="B589" s="4"/>
      <c r="C589" s="5"/>
      <c r="D589" s="5"/>
      <c r="E589" s="5"/>
      <c r="F589" s="5"/>
      <c r="G589" s="5"/>
      <c r="H589" s="5"/>
      <c r="I589" s="6"/>
      <c r="J589" s="5"/>
      <c r="K589" s="5"/>
      <c r="L589" s="5"/>
      <c r="M589" s="5"/>
    </row>
    <row r="590" spans="1:13" x14ac:dyDescent="0.35">
      <c r="A590" s="3"/>
      <c r="B590" s="4"/>
      <c r="C590" s="5"/>
      <c r="D590" s="5"/>
      <c r="E590" s="5"/>
      <c r="F590" s="5"/>
      <c r="G590" s="5"/>
      <c r="H590" s="5"/>
      <c r="I590" s="6"/>
      <c r="J590" s="5"/>
      <c r="K590" s="5"/>
      <c r="L590" s="5"/>
      <c r="M590" s="5"/>
    </row>
    <row r="591" spans="1:13" x14ac:dyDescent="0.35">
      <c r="A591" s="3"/>
      <c r="B591" s="4"/>
      <c r="C591" s="5"/>
      <c r="D591" s="5"/>
      <c r="E591" s="5"/>
      <c r="F591" s="5"/>
      <c r="G591" s="5"/>
      <c r="H591" s="5"/>
      <c r="I591" s="6"/>
      <c r="J591" s="5"/>
      <c r="K591" s="5"/>
      <c r="L591" s="5"/>
      <c r="M591" s="5"/>
    </row>
    <row r="592" spans="1:13" x14ac:dyDescent="0.35">
      <c r="A592" s="3"/>
      <c r="B592" s="4"/>
      <c r="C592" s="5"/>
      <c r="D592" s="5"/>
      <c r="E592" s="5"/>
      <c r="F592" s="5"/>
      <c r="G592" s="5"/>
      <c r="H592" s="5"/>
      <c r="I592" s="6"/>
      <c r="J592" s="5"/>
      <c r="K592" s="5"/>
      <c r="L592" s="5"/>
      <c r="M592" s="5"/>
    </row>
    <row r="593" spans="1:13" x14ac:dyDescent="0.35">
      <c r="A593" s="3"/>
      <c r="B593" s="4"/>
      <c r="C593" s="5"/>
      <c r="D593" s="5"/>
      <c r="E593" s="5"/>
      <c r="F593" s="5"/>
      <c r="G593" s="5"/>
      <c r="H593" s="5"/>
      <c r="I593" s="6"/>
      <c r="J593" s="5"/>
      <c r="K593" s="5"/>
      <c r="L593" s="5"/>
      <c r="M593" s="5"/>
    </row>
    <row r="594" spans="1:13" x14ac:dyDescent="0.35">
      <c r="A594" s="3"/>
      <c r="B594" s="4"/>
      <c r="C594" s="5"/>
      <c r="D594" s="5"/>
      <c r="E594" s="5"/>
      <c r="F594" s="5"/>
      <c r="G594" s="5"/>
      <c r="H594" s="5"/>
      <c r="I594" s="6"/>
      <c r="J594" s="5"/>
      <c r="K594" s="5"/>
      <c r="L594" s="5"/>
      <c r="M594" s="5"/>
    </row>
    <row r="595" spans="1:13" x14ac:dyDescent="0.35">
      <c r="A595" s="3"/>
      <c r="B595" s="4"/>
      <c r="C595" s="5"/>
      <c r="D595" s="5"/>
      <c r="E595" s="5"/>
      <c r="F595" s="5"/>
      <c r="G595" s="5"/>
      <c r="H595" s="5"/>
      <c r="I595" s="6"/>
      <c r="J595" s="5"/>
      <c r="K595" s="5"/>
      <c r="L595" s="5"/>
      <c r="M595" s="5"/>
    </row>
    <row r="596" spans="1:13" x14ac:dyDescent="0.35">
      <c r="A596" s="3"/>
      <c r="B596" s="4"/>
      <c r="C596" s="5"/>
      <c r="D596" s="5"/>
      <c r="E596" s="5"/>
      <c r="F596" s="5"/>
      <c r="G596" s="5"/>
      <c r="H596" s="5"/>
      <c r="I596" s="6"/>
      <c r="J596" s="5"/>
      <c r="K596" s="5"/>
      <c r="L596" s="5"/>
      <c r="M596" s="5"/>
    </row>
    <row r="597" spans="1:13" x14ac:dyDescent="0.35">
      <c r="A597" s="3"/>
      <c r="B597" s="4"/>
      <c r="C597" s="5"/>
      <c r="D597" s="5"/>
      <c r="E597" s="5"/>
      <c r="F597" s="5"/>
      <c r="G597" s="5"/>
      <c r="H597" s="5"/>
      <c r="I597" s="6"/>
      <c r="J597" s="5"/>
      <c r="K597" s="5"/>
      <c r="L597" s="5"/>
      <c r="M597" s="5"/>
    </row>
    <row r="598" spans="1:13" x14ac:dyDescent="0.35">
      <c r="A598" s="3"/>
      <c r="B598" s="4"/>
      <c r="C598" s="5"/>
      <c r="D598" s="5"/>
      <c r="E598" s="5"/>
      <c r="F598" s="5"/>
      <c r="G598" s="5"/>
      <c r="H598" s="5"/>
      <c r="I598" s="6"/>
      <c r="J598" s="5"/>
      <c r="K598" s="5"/>
      <c r="L598" s="5"/>
      <c r="M598" s="5"/>
    </row>
    <row r="599" spans="1:13" x14ac:dyDescent="0.35">
      <c r="A599" s="3"/>
      <c r="B599" s="4"/>
      <c r="C599" s="5"/>
      <c r="D599" s="5"/>
      <c r="E599" s="5"/>
      <c r="F599" s="5"/>
      <c r="G599" s="5"/>
      <c r="H599" s="5"/>
      <c r="I599" s="6"/>
      <c r="J599" s="5"/>
      <c r="K599" s="5"/>
      <c r="L599" s="5"/>
      <c r="M599" s="5"/>
    </row>
    <row r="600" spans="1:13" x14ac:dyDescent="0.35">
      <c r="A600" s="3"/>
      <c r="B600" s="4"/>
      <c r="C600" s="5"/>
      <c r="D600" s="5"/>
      <c r="E600" s="5"/>
      <c r="F600" s="5"/>
      <c r="G600" s="5"/>
      <c r="H600" s="5"/>
      <c r="I600" s="6"/>
      <c r="J600" s="5"/>
      <c r="K600" s="5"/>
      <c r="L600" s="5"/>
      <c r="M600" s="5"/>
    </row>
    <row r="601" spans="1:13" x14ac:dyDescent="0.35">
      <c r="A601" s="3"/>
      <c r="B601" s="4"/>
      <c r="C601" s="5"/>
      <c r="D601" s="5"/>
      <c r="E601" s="5"/>
      <c r="F601" s="5"/>
      <c r="G601" s="5"/>
      <c r="H601" s="5"/>
      <c r="I601" s="6"/>
      <c r="J601" s="5"/>
      <c r="K601" s="5"/>
      <c r="L601" s="5"/>
      <c r="M601" s="5"/>
    </row>
    <row r="602" spans="1:13" x14ac:dyDescent="0.35">
      <c r="A602" s="3"/>
      <c r="B602" s="4"/>
      <c r="C602" s="5"/>
      <c r="D602" s="5"/>
      <c r="E602" s="5"/>
      <c r="F602" s="5"/>
      <c r="G602" s="5"/>
      <c r="H602" s="5"/>
      <c r="I602" s="6"/>
      <c r="J602" s="5"/>
      <c r="K602" s="5"/>
      <c r="L602" s="5"/>
      <c r="M602" s="5"/>
    </row>
    <row r="603" spans="1:13" x14ac:dyDescent="0.35">
      <c r="A603" s="3"/>
      <c r="B603" s="4"/>
      <c r="C603" s="5"/>
      <c r="D603" s="5"/>
      <c r="E603" s="5"/>
      <c r="F603" s="5"/>
      <c r="G603" s="5"/>
      <c r="H603" s="5"/>
      <c r="I603" s="6"/>
      <c r="J603" s="5"/>
      <c r="K603" s="5"/>
      <c r="L603" s="5"/>
      <c r="M603" s="5"/>
    </row>
    <row r="604" spans="1:13" x14ac:dyDescent="0.35">
      <c r="A604" s="3"/>
      <c r="B604" s="4"/>
      <c r="C604" s="5"/>
      <c r="D604" s="5"/>
      <c r="E604" s="5"/>
      <c r="F604" s="5"/>
      <c r="G604" s="5"/>
      <c r="H604" s="5"/>
      <c r="I604" s="6"/>
      <c r="J604" s="5"/>
      <c r="K604" s="5"/>
      <c r="L604" s="5"/>
      <c r="M604" s="5"/>
    </row>
    <row r="605" spans="1:13" x14ac:dyDescent="0.35">
      <c r="A605" s="3"/>
      <c r="B605" s="4"/>
      <c r="C605" s="5"/>
      <c r="D605" s="5"/>
      <c r="E605" s="5"/>
      <c r="F605" s="5"/>
      <c r="G605" s="5"/>
      <c r="H605" s="5"/>
      <c r="I605" s="6"/>
      <c r="J605" s="5"/>
      <c r="K605" s="5"/>
      <c r="L605" s="5"/>
      <c r="M605" s="5"/>
    </row>
    <row r="606" spans="1:13" x14ac:dyDescent="0.35">
      <c r="A606" s="3"/>
      <c r="B606" s="4"/>
      <c r="C606" s="5"/>
      <c r="D606" s="5"/>
      <c r="E606" s="5"/>
      <c r="F606" s="5"/>
      <c r="G606" s="5"/>
      <c r="H606" s="5"/>
      <c r="I606" s="6"/>
      <c r="J606" s="5"/>
      <c r="K606" s="5"/>
      <c r="L606" s="5"/>
      <c r="M606" s="5"/>
    </row>
    <row r="607" spans="1:13" x14ac:dyDescent="0.35">
      <c r="A607" s="3"/>
      <c r="B607" s="4"/>
      <c r="C607" s="5"/>
      <c r="D607" s="5"/>
      <c r="E607" s="5"/>
      <c r="F607" s="5"/>
      <c r="G607" s="5"/>
      <c r="H607" s="5"/>
      <c r="I607" s="6"/>
      <c r="J607" s="5"/>
      <c r="K607" s="5"/>
      <c r="L607" s="5"/>
      <c r="M607" s="5"/>
    </row>
    <row r="608" spans="1:13" x14ac:dyDescent="0.35">
      <c r="A608" s="3"/>
      <c r="B608" s="4"/>
      <c r="C608" s="5"/>
      <c r="D608" s="5"/>
      <c r="E608" s="5"/>
      <c r="F608" s="5"/>
      <c r="G608" s="5"/>
      <c r="H608" s="5"/>
      <c r="I608" s="6"/>
      <c r="J608" s="5"/>
      <c r="K608" s="5"/>
      <c r="L608" s="5"/>
      <c r="M608" s="5"/>
    </row>
    <row r="609" spans="1:13" x14ac:dyDescent="0.35">
      <c r="A609" s="3"/>
      <c r="B609" s="4"/>
      <c r="C609" s="5"/>
      <c r="D609" s="5"/>
      <c r="E609" s="5"/>
      <c r="F609" s="5"/>
      <c r="G609" s="5"/>
      <c r="H609" s="5"/>
      <c r="I609" s="6"/>
      <c r="J609" s="5"/>
      <c r="K609" s="5"/>
      <c r="L609" s="5"/>
      <c r="M609" s="5"/>
    </row>
    <row r="610" spans="1:13" x14ac:dyDescent="0.35">
      <c r="A610" s="3"/>
      <c r="B610" s="4"/>
      <c r="C610" s="5"/>
      <c r="D610" s="5"/>
      <c r="E610" s="5"/>
      <c r="F610" s="5"/>
      <c r="G610" s="5"/>
      <c r="H610" s="5"/>
      <c r="I610" s="6"/>
      <c r="J610" s="5"/>
      <c r="K610" s="5"/>
      <c r="L610" s="5"/>
      <c r="M610" s="5"/>
    </row>
    <row r="611" spans="1:13" x14ac:dyDescent="0.35">
      <c r="A611" s="3"/>
      <c r="B611" s="4"/>
      <c r="C611" s="5"/>
      <c r="D611" s="5"/>
      <c r="E611" s="5"/>
      <c r="F611" s="5"/>
      <c r="G611" s="5"/>
      <c r="H611" s="5"/>
      <c r="I611" s="6"/>
      <c r="J611" s="5"/>
      <c r="K611" s="5"/>
      <c r="L611" s="5"/>
      <c r="M611" s="5"/>
    </row>
    <row r="612" spans="1:13" x14ac:dyDescent="0.35">
      <c r="A612" s="3"/>
      <c r="B612" s="4"/>
      <c r="C612" s="5"/>
      <c r="D612" s="5"/>
      <c r="E612" s="5"/>
      <c r="F612" s="5"/>
      <c r="G612" s="5"/>
      <c r="H612" s="5"/>
      <c r="I612" s="6"/>
      <c r="J612" s="5"/>
      <c r="K612" s="5"/>
      <c r="L612" s="5"/>
      <c r="M612" s="5"/>
    </row>
    <row r="613" spans="1:13" x14ac:dyDescent="0.35">
      <c r="A613" s="3"/>
      <c r="B613" s="4"/>
      <c r="C613" s="5"/>
      <c r="D613" s="5"/>
      <c r="E613" s="5"/>
      <c r="F613" s="5"/>
      <c r="G613" s="5"/>
      <c r="H613" s="5"/>
      <c r="I613" s="6"/>
      <c r="J613" s="5"/>
      <c r="K613" s="5"/>
      <c r="L613" s="5"/>
      <c r="M613" s="5"/>
    </row>
    <row r="614" spans="1:13" x14ac:dyDescent="0.35">
      <c r="A614" s="3"/>
      <c r="B614" s="4"/>
      <c r="C614" s="5"/>
      <c r="D614" s="5"/>
      <c r="E614" s="5"/>
      <c r="F614" s="5"/>
      <c r="G614" s="5"/>
      <c r="H614" s="5"/>
      <c r="I614" s="6"/>
      <c r="J614" s="5"/>
      <c r="K614" s="5"/>
      <c r="L614" s="5"/>
      <c r="M614" s="5"/>
    </row>
    <row r="615" spans="1:13" x14ac:dyDescent="0.35">
      <c r="A615" s="3"/>
      <c r="B615" s="4"/>
      <c r="C615" s="5"/>
      <c r="D615" s="5"/>
      <c r="E615" s="5"/>
      <c r="F615" s="5"/>
      <c r="G615" s="5"/>
      <c r="H615" s="5"/>
      <c r="I615" s="6"/>
      <c r="J615" s="5"/>
      <c r="K615" s="5"/>
      <c r="L615" s="5"/>
      <c r="M615" s="5"/>
    </row>
    <row r="616" spans="1:13" x14ac:dyDescent="0.35">
      <c r="A616" s="3"/>
      <c r="B616" s="4"/>
      <c r="C616" s="5"/>
      <c r="D616" s="5"/>
      <c r="E616" s="5"/>
      <c r="F616" s="5"/>
      <c r="G616" s="5"/>
      <c r="H616" s="5"/>
      <c r="I616" s="6"/>
      <c r="J616" s="5"/>
      <c r="K616" s="5"/>
      <c r="L616" s="5"/>
      <c r="M616" s="5"/>
    </row>
    <row r="617" spans="1:13" x14ac:dyDescent="0.35">
      <c r="A617" s="3"/>
      <c r="B617" s="4"/>
      <c r="C617" s="5"/>
      <c r="D617" s="5"/>
      <c r="E617" s="5"/>
      <c r="F617" s="5"/>
      <c r="G617" s="5"/>
      <c r="H617" s="5"/>
      <c r="I617" s="6"/>
      <c r="J617" s="5"/>
      <c r="K617" s="5"/>
      <c r="L617" s="5"/>
      <c r="M617" s="5"/>
    </row>
    <row r="618" spans="1:13" x14ac:dyDescent="0.35">
      <c r="A618" s="3"/>
      <c r="B618" s="4"/>
      <c r="C618" s="5"/>
      <c r="D618" s="5"/>
      <c r="E618" s="5"/>
      <c r="F618" s="5"/>
      <c r="G618" s="5"/>
      <c r="H618" s="5"/>
      <c r="I618" s="6"/>
      <c r="J618" s="5"/>
      <c r="K618" s="5"/>
      <c r="L618" s="5"/>
      <c r="M618" s="5"/>
    </row>
    <row r="619" spans="1:13" x14ac:dyDescent="0.35">
      <c r="A619" s="3"/>
      <c r="B619" s="4"/>
      <c r="C619" s="5"/>
      <c r="D619" s="5"/>
      <c r="E619" s="5"/>
      <c r="F619" s="5"/>
      <c r="G619" s="5"/>
      <c r="H619" s="5"/>
      <c r="I619" s="6"/>
      <c r="J619" s="5"/>
      <c r="K619" s="5"/>
      <c r="L619" s="5"/>
      <c r="M619" s="5"/>
    </row>
    <row r="620" spans="1:13" x14ac:dyDescent="0.35">
      <c r="A620" s="3"/>
      <c r="B620" s="4"/>
      <c r="C620" s="5"/>
      <c r="D620" s="5"/>
      <c r="E620" s="5"/>
      <c r="F620" s="5"/>
      <c r="G620" s="5"/>
      <c r="H620" s="5"/>
      <c r="I620" s="6"/>
      <c r="J620" s="5"/>
      <c r="K620" s="5"/>
      <c r="L620" s="5"/>
      <c r="M620" s="5"/>
    </row>
    <row r="621" spans="1:13" x14ac:dyDescent="0.35">
      <c r="A621" s="3"/>
      <c r="B621" s="4"/>
      <c r="C621" s="5"/>
      <c r="D621" s="5"/>
      <c r="E621" s="5"/>
      <c r="F621" s="5"/>
      <c r="G621" s="5"/>
      <c r="H621" s="5"/>
      <c r="I621" s="6"/>
      <c r="J621" s="5"/>
      <c r="K621" s="5"/>
      <c r="L621" s="5"/>
      <c r="M621" s="5"/>
    </row>
    <row r="622" spans="1:13" x14ac:dyDescent="0.35">
      <c r="A622" s="3"/>
      <c r="B622" s="4"/>
      <c r="C622" s="5"/>
      <c r="D622" s="5"/>
      <c r="E622" s="5"/>
      <c r="F622" s="5"/>
      <c r="G622" s="5"/>
      <c r="H622" s="5"/>
      <c r="I622" s="6"/>
      <c r="J622" s="5"/>
      <c r="K622" s="5"/>
      <c r="L622" s="5"/>
      <c r="M622" s="5"/>
    </row>
    <row r="623" spans="1:13" x14ac:dyDescent="0.35">
      <c r="A623" s="3"/>
      <c r="B623" s="4"/>
      <c r="C623" s="5"/>
      <c r="D623" s="5"/>
      <c r="E623" s="5"/>
      <c r="F623" s="5"/>
      <c r="G623" s="5"/>
      <c r="H623" s="5"/>
      <c r="I623" s="6"/>
      <c r="J623" s="5"/>
      <c r="K623" s="5"/>
      <c r="L623" s="5"/>
      <c r="M623" s="5"/>
    </row>
    <row r="624" spans="1:13" x14ac:dyDescent="0.35">
      <c r="A624" s="3"/>
      <c r="B624" s="4"/>
      <c r="C624" s="5"/>
      <c r="D624" s="5"/>
      <c r="E624" s="5"/>
      <c r="F624" s="5"/>
      <c r="G624" s="5"/>
      <c r="H624" s="5"/>
      <c r="I624" s="6"/>
      <c r="J624" s="5"/>
      <c r="K624" s="5"/>
      <c r="L624" s="5"/>
      <c r="M624" s="5"/>
    </row>
    <row r="625" spans="1:13" x14ac:dyDescent="0.35">
      <c r="A625" s="3"/>
      <c r="B625" s="4"/>
      <c r="C625" s="5"/>
      <c r="D625" s="5"/>
      <c r="E625" s="5"/>
      <c r="F625" s="5"/>
      <c r="G625" s="5"/>
      <c r="H625" s="5"/>
      <c r="I625" s="6"/>
      <c r="J625" s="5"/>
      <c r="K625" s="5"/>
      <c r="L625" s="5"/>
      <c r="M625" s="5"/>
    </row>
    <row r="626" spans="1:13" x14ac:dyDescent="0.35">
      <c r="A626" s="3"/>
      <c r="B626" s="4"/>
      <c r="C626" s="5"/>
      <c r="D626" s="5"/>
      <c r="E626" s="5"/>
      <c r="F626" s="5"/>
      <c r="G626" s="5"/>
      <c r="H626" s="5"/>
      <c r="I626" s="6"/>
      <c r="J626" s="5"/>
      <c r="K626" s="5"/>
      <c r="L626" s="5"/>
      <c r="M626" s="5"/>
    </row>
    <row r="627" spans="1:13" x14ac:dyDescent="0.35">
      <c r="A627" s="3"/>
      <c r="B627" s="4"/>
      <c r="C627" s="5"/>
      <c r="D627" s="5"/>
      <c r="E627" s="5"/>
      <c r="F627" s="5"/>
      <c r="G627" s="5"/>
      <c r="H627" s="5"/>
      <c r="I627" s="6"/>
      <c r="J627" s="5"/>
      <c r="K627" s="5"/>
      <c r="L627" s="5"/>
      <c r="M627" s="5"/>
    </row>
    <row r="628" spans="1:13" x14ac:dyDescent="0.35">
      <c r="A628" s="3"/>
      <c r="B628" s="4"/>
      <c r="C628" s="5"/>
      <c r="D628" s="5"/>
      <c r="E628" s="5"/>
      <c r="F628" s="5"/>
      <c r="G628" s="5"/>
      <c r="H628" s="5"/>
      <c r="I628" s="6"/>
      <c r="J628" s="5"/>
      <c r="K628" s="5"/>
      <c r="L628" s="5"/>
      <c r="M628" s="5"/>
    </row>
    <row r="629" spans="1:13" x14ac:dyDescent="0.35">
      <c r="A629" s="3"/>
      <c r="B629" s="4"/>
      <c r="C629" s="5"/>
      <c r="D629" s="5"/>
      <c r="E629" s="5"/>
      <c r="F629" s="5"/>
      <c r="G629" s="5"/>
      <c r="H629" s="5"/>
      <c r="I629" s="6"/>
      <c r="J629" s="5"/>
      <c r="K629" s="5"/>
      <c r="L629" s="5"/>
      <c r="M629" s="5"/>
    </row>
    <row r="630" spans="1:13" x14ac:dyDescent="0.35">
      <c r="A630" s="3"/>
      <c r="B630" s="4"/>
      <c r="C630" s="5"/>
      <c r="D630" s="5"/>
      <c r="E630" s="5"/>
      <c r="F630" s="5"/>
      <c r="G630" s="5"/>
      <c r="H630" s="5"/>
      <c r="I630" s="6"/>
      <c r="J630" s="5"/>
      <c r="K630" s="5"/>
      <c r="L630" s="5"/>
      <c r="M630" s="5"/>
    </row>
    <row r="631" spans="1:13" x14ac:dyDescent="0.35">
      <c r="A631" s="3"/>
      <c r="B631" s="4"/>
      <c r="C631" s="5"/>
      <c r="D631" s="5"/>
      <c r="E631" s="5"/>
      <c r="F631" s="5"/>
      <c r="G631" s="5"/>
      <c r="H631" s="5"/>
      <c r="I631" s="6"/>
      <c r="J631" s="5"/>
      <c r="K631" s="5"/>
      <c r="L631" s="5"/>
      <c r="M631" s="5"/>
    </row>
    <row r="632" spans="1:13" x14ac:dyDescent="0.35">
      <c r="A632" s="3"/>
      <c r="B632" s="4"/>
      <c r="C632" s="5"/>
      <c r="D632" s="5"/>
      <c r="E632" s="5"/>
      <c r="F632" s="5"/>
      <c r="G632" s="5"/>
      <c r="H632" s="5"/>
      <c r="I632" s="6"/>
      <c r="J632" s="5"/>
      <c r="K632" s="5"/>
      <c r="L632" s="5"/>
      <c r="M632" s="5"/>
    </row>
    <row r="633" spans="1:13" x14ac:dyDescent="0.35">
      <c r="A633" s="3"/>
      <c r="B633" s="4"/>
      <c r="C633" s="5"/>
      <c r="D633" s="5"/>
      <c r="E633" s="5"/>
      <c r="F633" s="5"/>
      <c r="G633" s="5"/>
      <c r="H633" s="5"/>
      <c r="I633" s="6"/>
      <c r="J633" s="5"/>
      <c r="K633" s="5"/>
      <c r="L633" s="5"/>
      <c r="M633" s="5"/>
    </row>
    <row r="634" spans="1:13" x14ac:dyDescent="0.35">
      <c r="A634" s="3"/>
      <c r="B634" s="4"/>
      <c r="C634" s="5"/>
      <c r="D634" s="5"/>
      <c r="E634" s="5"/>
      <c r="F634" s="5"/>
      <c r="G634" s="5"/>
      <c r="H634" s="5"/>
      <c r="I634" s="6"/>
      <c r="J634" s="5"/>
      <c r="K634" s="5"/>
      <c r="L634" s="5"/>
      <c r="M634" s="5"/>
    </row>
    <row r="635" spans="1:13" x14ac:dyDescent="0.35">
      <c r="A635" s="3"/>
      <c r="B635" s="4"/>
      <c r="C635" s="5"/>
      <c r="D635" s="5"/>
      <c r="E635" s="5"/>
      <c r="F635" s="5"/>
      <c r="G635" s="5"/>
      <c r="H635" s="5"/>
      <c r="I635" s="6"/>
      <c r="J635" s="5"/>
      <c r="K635" s="5"/>
      <c r="L635" s="5"/>
      <c r="M635" s="5"/>
    </row>
    <row r="636" spans="1:13" x14ac:dyDescent="0.35">
      <c r="A636" s="3"/>
      <c r="B636" s="4"/>
      <c r="C636" s="5"/>
      <c r="D636" s="5"/>
      <c r="E636" s="5"/>
      <c r="F636" s="5"/>
      <c r="G636" s="5"/>
      <c r="H636" s="5"/>
      <c r="I636" s="6"/>
      <c r="J636" s="5"/>
      <c r="K636" s="5"/>
      <c r="L636" s="5"/>
      <c r="M636" s="5"/>
    </row>
    <row r="637" spans="1:13" x14ac:dyDescent="0.35">
      <c r="A637" s="3"/>
      <c r="B637" s="4"/>
      <c r="C637" s="5"/>
      <c r="D637" s="5"/>
      <c r="E637" s="5"/>
      <c r="F637" s="5"/>
      <c r="G637" s="5"/>
      <c r="H637" s="5"/>
      <c r="I637" s="6"/>
      <c r="J637" s="5"/>
      <c r="K637" s="5"/>
      <c r="L637" s="5"/>
      <c r="M637" s="5"/>
    </row>
    <row r="638" spans="1:13" x14ac:dyDescent="0.35">
      <c r="A638" s="3"/>
      <c r="B638" s="4"/>
      <c r="C638" s="5"/>
      <c r="D638" s="5"/>
      <c r="E638" s="5"/>
      <c r="F638" s="5"/>
      <c r="G638" s="5"/>
      <c r="H638" s="5"/>
      <c r="I638" s="6"/>
      <c r="J638" s="5"/>
      <c r="K638" s="5"/>
      <c r="L638" s="5"/>
      <c r="M638" s="5"/>
    </row>
    <row r="639" spans="1:13" x14ac:dyDescent="0.35">
      <c r="A639" s="3"/>
      <c r="B639" s="4"/>
      <c r="C639" s="5"/>
      <c r="D639" s="5"/>
      <c r="E639" s="5"/>
      <c r="F639" s="5"/>
      <c r="G639" s="5"/>
      <c r="H639" s="5"/>
      <c r="I639" s="6"/>
      <c r="J639" s="5"/>
      <c r="K639" s="5"/>
      <c r="L639" s="5"/>
      <c r="M639" s="5"/>
    </row>
    <row r="640" spans="1:13" x14ac:dyDescent="0.35">
      <c r="A640" s="3"/>
      <c r="B640" s="4"/>
      <c r="C640" s="5"/>
      <c r="D640" s="5"/>
      <c r="E640" s="5"/>
      <c r="F640" s="5"/>
      <c r="G640" s="5"/>
      <c r="H640" s="5"/>
      <c r="I640" s="6"/>
      <c r="J640" s="5"/>
      <c r="K640" s="5"/>
      <c r="L640" s="5"/>
      <c r="M640" s="5"/>
    </row>
    <row r="641" spans="1:13" x14ac:dyDescent="0.35">
      <c r="A641" s="3"/>
      <c r="B641" s="4"/>
      <c r="C641" s="5"/>
      <c r="D641" s="5"/>
      <c r="E641" s="5"/>
      <c r="F641" s="5"/>
      <c r="G641" s="5"/>
      <c r="H641" s="5"/>
      <c r="I641" s="6"/>
      <c r="J641" s="5"/>
      <c r="K641" s="5"/>
      <c r="L641" s="5"/>
      <c r="M641" s="5"/>
    </row>
    <row r="642" spans="1:13" x14ac:dyDescent="0.35">
      <c r="A642" s="3"/>
      <c r="B642" s="4"/>
      <c r="C642" s="5"/>
      <c r="D642" s="5"/>
      <c r="E642" s="5"/>
      <c r="F642" s="5"/>
      <c r="G642" s="5"/>
      <c r="H642" s="5"/>
      <c r="I642" s="6"/>
      <c r="J642" s="5"/>
      <c r="K642" s="5"/>
      <c r="L642" s="5"/>
      <c r="M642" s="5"/>
    </row>
    <row r="643" spans="1:13" x14ac:dyDescent="0.35">
      <c r="A643" s="3"/>
      <c r="B643" s="4"/>
      <c r="C643" s="5"/>
      <c r="D643" s="5"/>
      <c r="E643" s="5"/>
      <c r="F643" s="5"/>
      <c r="G643" s="5"/>
      <c r="H643" s="5"/>
      <c r="I643" s="6"/>
      <c r="J643" s="5"/>
      <c r="K643" s="5"/>
      <c r="L643" s="5"/>
      <c r="M643" s="5"/>
    </row>
    <row r="644" spans="1:13" x14ac:dyDescent="0.35">
      <c r="A644" s="3"/>
      <c r="B644" s="4"/>
      <c r="C644" s="5"/>
      <c r="D644" s="5"/>
      <c r="E644" s="5"/>
      <c r="F644" s="5"/>
      <c r="G644" s="5"/>
      <c r="H644" s="5"/>
      <c r="I644" s="6"/>
      <c r="J644" s="5"/>
      <c r="K644" s="5"/>
      <c r="L644" s="5"/>
      <c r="M644" s="5"/>
    </row>
    <row r="645" spans="1:13" x14ac:dyDescent="0.35">
      <c r="A645" s="3"/>
      <c r="B645" s="4"/>
      <c r="C645" s="5"/>
      <c r="D645" s="5"/>
      <c r="E645" s="5"/>
      <c r="F645" s="5"/>
      <c r="G645" s="5"/>
      <c r="H645" s="5"/>
      <c r="I645" s="6"/>
      <c r="J645" s="5"/>
      <c r="K645" s="5"/>
      <c r="L645" s="5"/>
      <c r="M645" s="5"/>
    </row>
    <row r="646" spans="1:13" x14ac:dyDescent="0.35">
      <c r="A646" s="3"/>
      <c r="B646" s="4"/>
      <c r="C646" s="5"/>
      <c r="D646" s="5"/>
      <c r="E646" s="5"/>
      <c r="F646" s="5"/>
      <c r="G646" s="5"/>
      <c r="H646" s="5"/>
      <c r="I646" s="6"/>
      <c r="J646" s="5"/>
      <c r="K646" s="5"/>
      <c r="L646" s="5"/>
      <c r="M646" s="5"/>
    </row>
    <row r="647" spans="1:13" x14ac:dyDescent="0.35">
      <c r="A647" s="3"/>
      <c r="B647" s="4"/>
      <c r="C647" s="5"/>
      <c r="D647" s="5"/>
      <c r="E647" s="5"/>
      <c r="F647" s="5"/>
      <c r="G647" s="5"/>
      <c r="H647" s="5"/>
      <c r="I647" s="6"/>
      <c r="J647" s="5"/>
      <c r="K647" s="5"/>
      <c r="L647" s="5"/>
      <c r="M647" s="5"/>
    </row>
    <row r="648" spans="1:13" x14ac:dyDescent="0.35">
      <c r="A648" s="3"/>
      <c r="B648" s="4"/>
      <c r="C648" s="5"/>
      <c r="D648" s="5"/>
      <c r="E648" s="5"/>
      <c r="F648" s="5"/>
      <c r="G648" s="5"/>
      <c r="H648" s="5"/>
      <c r="I648" s="6"/>
      <c r="J648" s="5"/>
      <c r="K648" s="5"/>
      <c r="L648" s="5"/>
      <c r="M648" s="5"/>
    </row>
    <row r="649" spans="1:13" x14ac:dyDescent="0.35">
      <c r="A649" s="3"/>
      <c r="B649" s="4"/>
      <c r="C649" s="5"/>
      <c r="D649" s="5"/>
      <c r="E649" s="5"/>
      <c r="F649" s="5"/>
      <c r="G649" s="5"/>
      <c r="H649" s="5"/>
      <c r="I649" s="6"/>
      <c r="J649" s="5"/>
      <c r="K649" s="5"/>
      <c r="L649" s="5"/>
      <c r="M649" s="5"/>
    </row>
    <row r="650" spans="1:13" x14ac:dyDescent="0.35">
      <c r="A650" s="3"/>
      <c r="B650" s="4"/>
      <c r="C650" s="5"/>
      <c r="D650" s="5"/>
      <c r="E650" s="5"/>
      <c r="F650" s="5"/>
      <c r="G650" s="5"/>
      <c r="H650" s="5"/>
      <c r="I650" s="6"/>
      <c r="J650" s="5"/>
      <c r="K650" s="5"/>
      <c r="L650" s="5"/>
      <c r="M650" s="5"/>
    </row>
    <row r="651" spans="1:13" x14ac:dyDescent="0.35">
      <c r="A651" s="3"/>
      <c r="B651" s="4"/>
      <c r="C651" s="5"/>
      <c r="D651" s="5"/>
      <c r="E651" s="5"/>
      <c r="F651" s="5"/>
      <c r="G651" s="5"/>
      <c r="H651" s="5"/>
      <c r="I651" s="6"/>
      <c r="J651" s="5"/>
      <c r="K651" s="5"/>
      <c r="L651" s="5"/>
      <c r="M651" s="5"/>
    </row>
    <row r="652" spans="1:13" x14ac:dyDescent="0.35">
      <c r="A652" s="3"/>
      <c r="B652" s="4"/>
      <c r="C652" s="5"/>
      <c r="D652" s="5"/>
      <c r="E652" s="5"/>
      <c r="F652" s="5"/>
      <c r="G652" s="5"/>
      <c r="H652" s="5"/>
      <c r="I652" s="6"/>
      <c r="J652" s="5"/>
      <c r="K652" s="5"/>
      <c r="L652" s="5"/>
      <c r="M652" s="5"/>
    </row>
    <row r="653" spans="1:13" x14ac:dyDescent="0.35">
      <c r="A653" s="3"/>
      <c r="B653" s="4"/>
      <c r="C653" s="5"/>
      <c r="D653" s="5"/>
      <c r="E653" s="5"/>
      <c r="F653" s="5"/>
      <c r="G653" s="5"/>
      <c r="H653" s="5"/>
      <c r="I653" s="6"/>
      <c r="J653" s="5"/>
      <c r="K653" s="5"/>
      <c r="L653" s="5"/>
      <c r="M653" s="5"/>
    </row>
    <row r="654" spans="1:13" x14ac:dyDescent="0.35">
      <c r="A654" s="3"/>
      <c r="B654" s="4"/>
      <c r="C654" s="5"/>
      <c r="D654" s="5"/>
      <c r="E654" s="5"/>
      <c r="F654" s="5"/>
      <c r="G654" s="5"/>
      <c r="H654" s="5"/>
      <c r="I654" s="6"/>
      <c r="J654" s="5"/>
      <c r="K654" s="5"/>
      <c r="L654" s="5"/>
      <c r="M654" s="5"/>
    </row>
    <row r="655" spans="1:13" x14ac:dyDescent="0.35">
      <c r="A655" s="3"/>
      <c r="B655" s="4"/>
      <c r="C655" s="5"/>
      <c r="D655" s="5"/>
      <c r="E655" s="5"/>
      <c r="F655" s="5"/>
      <c r="G655" s="5"/>
      <c r="H655" s="5"/>
      <c r="I655" s="6"/>
      <c r="J655" s="5"/>
      <c r="K655" s="5"/>
      <c r="L655" s="5"/>
      <c r="M655" s="5"/>
    </row>
    <row r="656" spans="1:13" x14ac:dyDescent="0.35">
      <c r="A656" s="3"/>
      <c r="B656" s="4"/>
      <c r="C656" s="5"/>
      <c r="D656" s="5"/>
      <c r="E656" s="5"/>
      <c r="F656" s="5"/>
      <c r="G656" s="5"/>
      <c r="H656" s="5"/>
      <c r="I656" s="6"/>
      <c r="J656" s="5"/>
      <c r="K656" s="5"/>
      <c r="L656" s="5"/>
      <c r="M656" s="5"/>
    </row>
    <row r="657" spans="1:13" x14ac:dyDescent="0.35">
      <c r="A657" s="3"/>
      <c r="B657" s="4"/>
      <c r="C657" s="5"/>
      <c r="D657" s="5"/>
      <c r="E657" s="5"/>
      <c r="F657" s="5"/>
      <c r="G657" s="5"/>
      <c r="H657" s="5"/>
      <c r="I657" s="6"/>
      <c r="J657" s="5"/>
      <c r="K657" s="5"/>
      <c r="L657" s="5"/>
      <c r="M657" s="5"/>
    </row>
    <row r="658" spans="1:13" x14ac:dyDescent="0.35">
      <c r="A658" s="3"/>
      <c r="B658" s="4"/>
      <c r="C658" s="5"/>
      <c r="D658" s="5"/>
      <c r="E658" s="5"/>
      <c r="F658" s="5"/>
      <c r="G658" s="5"/>
      <c r="H658" s="5"/>
      <c r="I658" s="6"/>
      <c r="J658" s="5"/>
      <c r="K658" s="5"/>
      <c r="L658" s="5"/>
      <c r="M658" s="5"/>
    </row>
    <row r="659" spans="1:13" x14ac:dyDescent="0.35">
      <c r="A659" s="3"/>
      <c r="B659" s="4"/>
      <c r="C659" s="5"/>
      <c r="D659" s="5"/>
      <c r="E659" s="5"/>
      <c r="F659" s="5"/>
      <c r="G659" s="5"/>
      <c r="H659" s="5"/>
      <c r="I659" s="6"/>
      <c r="J659" s="5"/>
      <c r="K659" s="5"/>
      <c r="L659" s="5"/>
      <c r="M659" s="5"/>
    </row>
    <row r="660" spans="1:13" x14ac:dyDescent="0.35">
      <c r="A660" s="3"/>
      <c r="B660" s="4"/>
      <c r="C660" s="5"/>
      <c r="D660" s="5"/>
      <c r="E660" s="5"/>
      <c r="F660" s="5"/>
      <c r="G660" s="5"/>
      <c r="H660" s="5"/>
      <c r="I660" s="6"/>
      <c r="J660" s="5"/>
      <c r="K660" s="5"/>
      <c r="L660" s="5"/>
      <c r="M660" s="5"/>
    </row>
    <row r="661" spans="1:13" x14ac:dyDescent="0.35">
      <c r="A661" s="3"/>
      <c r="B661" s="4"/>
      <c r="C661" s="5"/>
      <c r="D661" s="5"/>
      <c r="E661" s="5"/>
      <c r="F661" s="5"/>
      <c r="G661" s="5"/>
      <c r="H661" s="5"/>
      <c r="I661" s="6"/>
      <c r="J661" s="5"/>
      <c r="K661" s="5"/>
      <c r="L661" s="5"/>
      <c r="M661" s="5"/>
    </row>
    <row r="662" spans="1:13" x14ac:dyDescent="0.35">
      <c r="A662" s="3"/>
      <c r="B662" s="4"/>
      <c r="C662" s="5"/>
      <c r="D662" s="5"/>
      <c r="E662" s="5"/>
      <c r="F662" s="5"/>
      <c r="G662" s="5"/>
      <c r="H662" s="5"/>
      <c r="I662" s="6"/>
      <c r="J662" s="5"/>
      <c r="K662" s="5"/>
      <c r="L662" s="5"/>
      <c r="M662" s="5"/>
    </row>
    <row r="663" spans="1:13" x14ac:dyDescent="0.35">
      <c r="A663" s="3"/>
      <c r="B663" s="4"/>
      <c r="C663" s="5"/>
      <c r="D663" s="5"/>
      <c r="E663" s="5"/>
      <c r="F663" s="5"/>
      <c r="G663" s="5"/>
      <c r="H663" s="5"/>
      <c r="I663" s="6"/>
      <c r="J663" s="5"/>
      <c r="K663" s="5"/>
      <c r="L663" s="5"/>
      <c r="M663" s="5"/>
    </row>
    <row r="664" spans="1:13" x14ac:dyDescent="0.35">
      <c r="A664" s="3"/>
      <c r="B664" s="4"/>
      <c r="C664" s="5"/>
      <c r="D664" s="5"/>
      <c r="E664" s="5"/>
      <c r="F664" s="5"/>
      <c r="G664" s="5"/>
      <c r="H664" s="5"/>
      <c r="I664" s="6"/>
      <c r="J664" s="5"/>
      <c r="K664" s="5"/>
      <c r="L664" s="5"/>
      <c r="M664" s="5"/>
    </row>
    <row r="665" spans="1:13" x14ac:dyDescent="0.35">
      <c r="A665" s="3"/>
      <c r="B665" s="4"/>
      <c r="C665" s="5"/>
      <c r="D665" s="5"/>
      <c r="E665" s="5"/>
      <c r="F665" s="5"/>
      <c r="G665" s="5"/>
      <c r="H665" s="5"/>
      <c r="I665" s="6"/>
      <c r="J665" s="5"/>
      <c r="K665" s="5"/>
      <c r="L665" s="5"/>
      <c r="M665" s="5"/>
    </row>
    <row r="666" spans="1:13" x14ac:dyDescent="0.35">
      <c r="A666" s="3"/>
      <c r="B666" s="4"/>
      <c r="C666" s="5"/>
      <c r="D666" s="5"/>
      <c r="E666" s="5"/>
      <c r="F666" s="5"/>
      <c r="G666" s="5"/>
      <c r="H666" s="5"/>
      <c r="I666" s="6"/>
      <c r="J666" s="5"/>
      <c r="K666" s="5"/>
      <c r="L666" s="5"/>
      <c r="M666" s="5"/>
    </row>
    <row r="667" spans="1:13" x14ac:dyDescent="0.35">
      <c r="A667" s="3"/>
      <c r="B667" s="4"/>
      <c r="C667" s="5"/>
      <c r="D667" s="5"/>
      <c r="E667" s="5"/>
      <c r="F667" s="5"/>
      <c r="G667" s="5"/>
      <c r="H667" s="5"/>
      <c r="I667" s="6"/>
      <c r="J667" s="5"/>
      <c r="K667" s="5"/>
      <c r="L667" s="5"/>
      <c r="M667" s="5"/>
    </row>
    <row r="668" spans="1:13" x14ac:dyDescent="0.35">
      <c r="A668" s="3"/>
      <c r="B668" s="4"/>
      <c r="C668" s="5"/>
      <c r="D668" s="5"/>
      <c r="E668" s="5"/>
      <c r="F668" s="5"/>
      <c r="G668" s="5"/>
      <c r="H668" s="5"/>
      <c r="I668" s="6"/>
      <c r="J668" s="5"/>
      <c r="K668" s="5"/>
      <c r="L668" s="5"/>
      <c r="M668" s="5"/>
    </row>
    <row r="669" spans="1:13" x14ac:dyDescent="0.35">
      <c r="A669" s="3"/>
      <c r="B669" s="4"/>
      <c r="C669" s="5"/>
      <c r="D669" s="5"/>
      <c r="E669" s="5"/>
      <c r="F669" s="5"/>
      <c r="G669" s="5"/>
      <c r="H669" s="5"/>
      <c r="I669" s="6"/>
      <c r="J669" s="5"/>
      <c r="K669" s="5"/>
      <c r="L669" s="5"/>
      <c r="M669" s="5"/>
    </row>
    <row r="670" spans="1:13" x14ac:dyDescent="0.35">
      <c r="A670" s="3"/>
      <c r="B670" s="4"/>
      <c r="C670" s="5"/>
      <c r="D670" s="5"/>
      <c r="E670" s="5"/>
      <c r="F670" s="5"/>
      <c r="G670" s="5"/>
      <c r="H670" s="5"/>
      <c r="I670" s="6"/>
      <c r="J670" s="5"/>
      <c r="K670" s="5"/>
      <c r="L670" s="5"/>
      <c r="M670" s="5"/>
    </row>
    <row r="671" spans="1:13" x14ac:dyDescent="0.35">
      <c r="A671" s="3"/>
      <c r="B671" s="4"/>
      <c r="C671" s="5"/>
      <c r="D671" s="5"/>
      <c r="E671" s="5"/>
      <c r="F671" s="5"/>
      <c r="G671" s="5"/>
      <c r="H671" s="5"/>
      <c r="I671" s="6"/>
      <c r="J671" s="5"/>
      <c r="K671" s="5"/>
      <c r="L671" s="5"/>
      <c r="M671" s="5"/>
    </row>
    <row r="672" spans="1:13" x14ac:dyDescent="0.35">
      <c r="A672" s="3"/>
      <c r="B672" s="4"/>
      <c r="C672" s="5"/>
      <c r="D672" s="5"/>
      <c r="E672" s="5"/>
      <c r="F672" s="5"/>
      <c r="G672" s="5"/>
      <c r="H672" s="5"/>
      <c r="I672" s="6"/>
      <c r="J672" s="5"/>
      <c r="K672" s="5"/>
      <c r="L672" s="5"/>
      <c r="M672" s="5"/>
    </row>
    <row r="673" spans="1:13" x14ac:dyDescent="0.35">
      <c r="A673" s="3"/>
      <c r="B673" s="4"/>
      <c r="C673" s="5"/>
      <c r="D673" s="5"/>
      <c r="E673" s="5"/>
      <c r="F673" s="5"/>
      <c r="G673" s="5"/>
      <c r="H673" s="5"/>
      <c r="I673" s="6"/>
      <c r="J673" s="5"/>
      <c r="K673" s="5"/>
      <c r="L673" s="5"/>
      <c r="M673" s="5"/>
    </row>
    <row r="674" spans="1:13" x14ac:dyDescent="0.35">
      <c r="A674" s="3"/>
      <c r="B674" s="4"/>
      <c r="C674" s="5"/>
      <c r="D674" s="5"/>
      <c r="E674" s="5"/>
      <c r="F674" s="5"/>
      <c r="G674" s="5"/>
      <c r="H674" s="5"/>
      <c r="I674" s="6"/>
      <c r="J674" s="5"/>
      <c r="K674" s="5"/>
      <c r="L674" s="5"/>
      <c r="M674" s="5"/>
    </row>
    <row r="675" spans="1:13" x14ac:dyDescent="0.35">
      <c r="A675" s="3"/>
      <c r="B675" s="4"/>
      <c r="C675" s="5"/>
      <c r="D675" s="5"/>
      <c r="E675" s="5"/>
      <c r="F675" s="5"/>
      <c r="G675" s="5"/>
      <c r="H675" s="5"/>
      <c r="I675" s="6"/>
      <c r="J675" s="5"/>
      <c r="K675" s="5"/>
      <c r="L675" s="5"/>
      <c r="M675" s="5"/>
    </row>
    <row r="676" spans="1:13" x14ac:dyDescent="0.35">
      <c r="A676" s="3"/>
      <c r="B676" s="4"/>
      <c r="C676" s="5"/>
      <c r="D676" s="5"/>
      <c r="E676" s="5"/>
      <c r="F676" s="5"/>
      <c r="G676" s="5"/>
      <c r="H676" s="5"/>
      <c r="I676" s="6"/>
      <c r="J676" s="5"/>
      <c r="K676" s="5"/>
      <c r="L676" s="5"/>
      <c r="M676" s="5"/>
    </row>
    <row r="677" spans="1:13" x14ac:dyDescent="0.35">
      <c r="A677" s="3"/>
      <c r="B677" s="4"/>
      <c r="C677" s="5"/>
      <c r="D677" s="5"/>
      <c r="E677" s="5"/>
      <c r="F677" s="5"/>
      <c r="G677" s="5"/>
      <c r="H677" s="5"/>
      <c r="I677" s="6"/>
      <c r="J677" s="5"/>
      <c r="K677" s="5"/>
      <c r="L677" s="5"/>
      <c r="M677" s="5"/>
    </row>
    <row r="678" spans="1:13" x14ac:dyDescent="0.35">
      <c r="A678" s="3"/>
      <c r="B678" s="4"/>
      <c r="C678" s="5"/>
      <c r="D678" s="5"/>
      <c r="E678" s="5"/>
      <c r="F678" s="5"/>
      <c r="G678" s="5"/>
      <c r="H678" s="5"/>
      <c r="I678" s="6"/>
      <c r="J678" s="5"/>
      <c r="K678" s="5"/>
      <c r="L678" s="5"/>
      <c r="M678" s="5"/>
    </row>
    <row r="679" spans="1:13" x14ac:dyDescent="0.35">
      <c r="A679" s="3"/>
      <c r="B679" s="4"/>
      <c r="C679" s="5"/>
      <c r="D679" s="5"/>
      <c r="E679" s="5"/>
      <c r="F679" s="5"/>
      <c r="G679" s="5"/>
      <c r="H679" s="5"/>
      <c r="I679" s="6"/>
      <c r="J679" s="5"/>
      <c r="K679" s="5"/>
      <c r="L679" s="5"/>
      <c r="M679" s="5"/>
    </row>
    <row r="680" spans="1:13" x14ac:dyDescent="0.35">
      <c r="A680" s="3"/>
      <c r="B680" s="4"/>
      <c r="C680" s="5"/>
      <c r="D680" s="5"/>
      <c r="E680" s="5"/>
      <c r="F680" s="5"/>
      <c r="G680" s="5"/>
      <c r="H680" s="5"/>
      <c r="I680" s="6"/>
      <c r="J680" s="5"/>
      <c r="K680" s="5"/>
      <c r="L680" s="5"/>
      <c r="M680" s="5"/>
    </row>
    <row r="681" spans="1:13" x14ac:dyDescent="0.35">
      <c r="A681" s="3"/>
      <c r="B681" s="4"/>
      <c r="C681" s="5"/>
      <c r="D681" s="5"/>
      <c r="E681" s="5"/>
      <c r="F681" s="5"/>
      <c r="G681" s="5"/>
      <c r="H681" s="5"/>
      <c r="I681" s="6"/>
      <c r="J681" s="5"/>
      <c r="K681" s="5"/>
      <c r="L681" s="5"/>
      <c r="M681" s="5"/>
    </row>
    <row r="682" spans="1:13" x14ac:dyDescent="0.35">
      <c r="A682" s="3"/>
      <c r="B682" s="4"/>
      <c r="C682" s="5"/>
      <c r="D682" s="5"/>
      <c r="E682" s="5"/>
      <c r="F682" s="5"/>
      <c r="G682" s="5"/>
      <c r="H682" s="5"/>
      <c r="I682" s="6"/>
      <c r="J682" s="5"/>
      <c r="K682" s="5"/>
      <c r="L682" s="5"/>
      <c r="M682" s="5"/>
    </row>
    <row r="683" spans="1:13" x14ac:dyDescent="0.35">
      <c r="A683" s="3"/>
      <c r="B683" s="4"/>
      <c r="C683" s="5"/>
      <c r="D683" s="5"/>
      <c r="E683" s="5"/>
      <c r="F683" s="5"/>
      <c r="G683" s="5"/>
      <c r="H683" s="5"/>
      <c r="I683" s="6"/>
      <c r="J683" s="5"/>
      <c r="K683" s="5"/>
      <c r="L683" s="5"/>
      <c r="M683" s="5"/>
    </row>
    <row r="684" spans="1:13" x14ac:dyDescent="0.35">
      <c r="A684" s="3"/>
      <c r="B684" s="4"/>
      <c r="C684" s="5"/>
      <c r="D684" s="5"/>
      <c r="E684" s="5"/>
      <c r="F684" s="5"/>
      <c r="G684" s="5"/>
      <c r="H684" s="5"/>
      <c r="I684" s="6"/>
      <c r="J684" s="5"/>
      <c r="K684" s="5"/>
      <c r="L684" s="5"/>
      <c r="M684" s="5"/>
    </row>
    <row r="685" spans="1:13" x14ac:dyDescent="0.35">
      <c r="A685" s="3"/>
      <c r="B685" s="4"/>
      <c r="C685" s="5"/>
      <c r="D685" s="5"/>
      <c r="E685" s="5"/>
      <c r="F685" s="5"/>
      <c r="G685" s="5"/>
      <c r="H685" s="5"/>
      <c r="I685" s="6"/>
      <c r="J685" s="5"/>
      <c r="K685" s="5"/>
      <c r="L685" s="5"/>
      <c r="M685" s="5"/>
    </row>
    <row r="686" spans="1:13" x14ac:dyDescent="0.35">
      <c r="A686" s="3"/>
      <c r="B686" s="4"/>
      <c r="C686" s="5"/>
      <c r="D686" s="5"/>
      <c r="E686" s="5"/>
      <c r="F686" s="5"/>
      <c r="G686" s="5"/>
      <c r="H686" s="5"/>
      <c r="I686" s="6"/>
      <c r="J686" s="5"/>
      <c r="K686" s="5"/>
      <c r="L686" s="5"/>
      <c r="M686" s="5"/>
    </row>
    <row r="687" spans="1:13" x14ac:dyDescent="0.35">
      <c r="A687" s="3"/>
      <c r="B687" s="4"/>
      <c r="C687" s="5"/>
      <c r="D687" s="5"/>
      <c r="E687" s="5"/>
      <c r="F687" s="5"/>
      <c r="G687" s="5"/>
      <c r="H687" s="5"/>
      <c r="I687" s="6"/>
      <c r="J687" s="5"/>
      <c r="K687" s="5"/>
      <c r="L687" s="5"/>
      <c r="M687" s="5"/>
    </row>
    <row r="688" spans="1:13" x14ac:dyDescent="0.35">
      <c r="A688" s="3"/>
      <c r="B688" s="4"/>
      <c r="C688" s="5"/>
      <c r="D688" s="5"/>
      <c r="E688" s="5"/>
      <c r="F688" s="5"/>
      <c r="G688" s="5"/>
      <c r="H688" s="5"/>
      <c r="I688" s="6"/>
      <c r="J688" s="5"/>
      <c r="K688" s="5"/>
      <c r="L688" s="5"/>
      <c r="M688" s="5"/>
    </row>
    <row r="689" spans="1:13" x14ac:dyDescent="0.35">
      <c r="A689" s="3"/>
      <c r="B689" s="4"/>
      <c r="C689" s="5"/>
      <c r="D689" s="5"/>
      <c r="E689" s="5"/>
      <c r="F689" s="5"/>
      <c r="G689" s="5"/>
      <c r="H689" s="5"/>
      <c r="I689" s="6"/>
      <c r="J689" s="5"/>
      <c r="K689" s="5"/>
      <c r="L689" s="5"/>
      <c r="M689" s="5"/>
    </row>
    <row r="690" spans="1:13" x14ac:dyDescent="0.35">
      <c r="A690" s="3"/>
      <c r="B690" s="4"/>
      <c r="C690" s="5"/>
      <c r="D690" s="5"/>
      <c r="E690" s="5"/>
      <c r="F690" s="5"/>
      <c r="G690" s="5"/>
      <c r="H690" s="5"/>
      <c r="I690" s="6"/>
      <c r="J690" s="5"/>
      <c r="K690" s="5"/>
      <c r="L690" s="5"/>
      <c r="M690" s="5"/>
    </row>
    <row r="691" spans="1:13" x14ac:dyDescent="0.35">
      <c r="A691" s="3"/>
      <c r="B691" s="4"/>
      <c r="C691" s="5"/>
      <c r="D691" s="5"/>
      <c r="E691" s="5"/>
      <c r="F691" s="5"/>
      <c r="G691" s="5"/>
      <c r="H691" s="5"/>
      <c r="I691" s="6"/>
      <c r="J691" s="5"/>
      <c r="K691" s="5"/>
      <c r="L691" s="5"/>
      <c r="M691" s="5"/>
    </row>
    <row r="692" spans="1:13" x14ac:dyDescent="0.35">
      <c r="A692" s="3"/>
      <c r="B692" s="4"/>
      <c r="C692" s="5"/>
      <c r="D692" s="5"/>
      <c r="E692" s="5"/>
      <c r="F692" s="5"/>
      <c r="G692" s="5"/>
      <c r="H692" s="5"/>
      <c r="I692" s="6"/>
      <c r="J692" s="5"/>
      <c r="K692" s="5"/>
      <c r="L692" s="5"/>
      <c r="M692" s="5"/>
    </row>
    <row r="693" spans="1:13" x14ac:dyDescent="0.35">
      <c r="A693" s="3"/>
      <c r="B693" s="4"/>
      <c r="C693" s="5"/>
      <c r="D693" s="5"/>
      <c r="E693" s="5"/>
      <c r="F693" s="5"/>
      <c r="G693" s="5"/>
      <c r="H693" s="5"/>
      <c r="I693" s="6"/>
      <c r="J693" s="5"/>
      <c r="K693" s="5"/>
      <c r="L693" s="5"/>
      <c r="M693" s="5"/>
    </row>
    <row r="694" spans="1:13" x14ac:dyDescent="0.35">
      <c r="A694" s="3"/>
      <c r="B694" s="4"/>
      <c r="C694" s="5"/>
      <c r="D694" s="5"/>
      <c r="E694" s="5"/>
      <c r="F694" s="5"/>
      <c r="G694" s="5"/>
      <c r="H694" s="5"/>
      <c r="I694" s="6"/>
      <c r="J694" s="5"/>
      <c r="K694" s="5"/>
      <c r="L694" s="5"/>
      <c r="M694" s="5"/>
    </row>
    <row r="695" spans="1:13" x14ac:dyDescent="0.35">
      <c r="A695" s="3"/>
      <c r="B695" s="4"/>
      <c r="C695" s="5"/>
      <c r="D695" s="5"/>
      <c r="E695" s="5"/>
      <c r="F695" s="5"/>
      <c r="G695" s="5"/>
      <c r="H695" s="5"/>
      <c r="I695" s="6"/>
      <c r="J695" s="5"/>
      <c r="K695" s="5"/>
      <c r="L695" s="5"/>
      <c r="M695" s="5"/>
    </row>
    <row r="696" spans="1:13" x14ac:dyDescent="0.35">
      <c r="A696" s="3"/>
      <c r="B696" s="4"/>
      <c r="C696" s="5"/>
      <c r="D696" s="5"/>
      <c r="E696" s="5"/>
      <c r="F696" s="5"/>
      <c r="G696" s="5"/>
      <c r="H696" s="5"/>
      <c r="I696" s="6"/>
      <c r="J696" s="5"/>
      <c r="K696" s="5"/>
      <c r="L696" s="5"/>
      <c r="M696" s="5"/>
    </row>
    <row r="697" spans="1:13" x14ac:dyDescent="0.35">
      <c r="A697" s="3"/>
      <c r="B697" s="4"/>
      <c r="C697" s="5"/>
      <c r="D697" s="5"/>
      <c r="E697" s="5"/>
      <c r="F697" s="5"/>
      <c r="G697" s="5"/>
      <c r="H697" s="5"/>
      <c r="I697" s="6"/>
      <c r="J697" s="5"/>
      <c r="K697" s="5"/>
      <c r="L697" s="5"/>
      <c r="M697" s="5"/>
    </row>
    <row r="698" spans="1:13" x14ac:dyDescent="0.35">
      <c r="A698" s="3"/>
      <c r="B698" s="4"/>
      <c r="C698" s="5"/>
      <c r="D698" s="5"/>
      <c r="E698" s="5"/>
      <c r="F698" s="5"/>
      <c r="G698" s="5"/>
      <c r="H698" s="5"/>
      <c r="I698" s="6"/>
      <c r="J698" s="5"/>
      <c r="K698" s="5"/>
      <c r="L698" s="5"/>
      <c r="M698" s="5"/>
    </row>
    <row r="699" spans="1:13" x14ac:dyDescent="0.35">
      <c r="A699" s="3"/>
      <c r="B699" s="4"/>
      <c r="C699" s="5"/>
      <c r="D699" s="5"/>
      <c r="E699" s="5"/>
      <c r="F699" s="5"/>
      <c r="G699" s="5"/>
      <c r="H699" s="5"/>
      <c r="I699" s="6"/>
      <c r="J699" s="5"/>
      <c r="K699" s="5"/>
      <c r="L699" s="5"/>
      <c r="M699" s="5"/>
    </row>
    <row r="700" spans="1:13" x14ac:dyDescent="0.35">
      <c r="A700" s="3"/>
      <c r="B700" s="4"/>
      <c r="C700" s="5"/>
      <c r="D700" s="5"/>
      <c r="E700" s="5"/>
      <c r="F700" s="5"/>
      <c r="G700" s="5"/>
      <c r="H700" s="5"/>
      <c r="I700" s="6"/>
      <c r="J700" s="5"/>
      <c r="K700" s="5"/>
      <c r="L700" s="5"/>
      <c r="M700" s="5"/>
    </row>
    <row r="701" spans="1:13" x14ac:dyDescent="0.35">
      <c r="A701" s="3"/>
      <c r="B701" s="4"/>
      <c r="C701" s="5"/>
      <c r="D701" s="5"/>
      <c r="E701" s="5"/>
      <c r="F701" s="5"/>
      <c r="G701" s="5"/>
      <c r="H701" s="5"/>
      <c r="I701" s="6"/>
      <c r="J701" s="5"/>
      <c r="K701" s="5"/>
      <c r="L701" s="5"/>
      <c r="M701" s="5"/>
    </row>
    <row r="702" spans="1:13" x14ac:dyDescent="0.35">
      <c r="A702" s="3"/>
      <c r="B702" s="4"/>
      <c r="C702" s="5"/>
      <c r="D702" s="5"/>
      <c r="E702" s="5"/>
      <c r="F702" s="5"/>
      <c r="G702" s="5"/>
      <c r="H702" s="5"/>
      <c r="I702" s="6"/>
      <c r="J702" s="5"/>
      <c r="K702" s="5"/>
      <c r="L702" s="5"/>
      <c r="M702" s="5"/>
    </row>
    <row r="703" spans="1:13" x14ac:dyDescent="0.35">
      <c r="A703" s="3"/>
      <c r="B703" s="4"/>
      <c r="C703" s="5"/>
      <c r="D703" s="5"/>
      <c r="E703" s="5"/>
      <c r="F703" s="5"/>
      <c r="G703" s="5"/>
      <c r="H703" s="5"/>
      <c r="I703" s="6"/>
      <c r="J703" s="5"/>
      <c r="K703" s="5"/>
      <c r="L703" s="5"/>
      <c r="M703" s="5"/>
    </row>
    <row r="704" spans="1:13" x14ac:dyDescent="0.35">
      <c r="A704" s="3"/>
      <c r="B704" s="4"/>
      <c r="C704" s="5"/>
      <c r="D704" s="5"/>
      <c r="E704" s="5"/>
      <c r="F704" s="5"/>
      <c r="G704" s="5"/>
      <c r="H704" s="5"/>
      <c r="I704" s="6"/>
      <c r="J704" s="5"/>
      <c r="K704" s="5"/>
      <c r="L704" s="5"/>
      <c r="M704" s="5"/>
    </row>
    <row r="705" spans="1:13" x14ac:dyDescent="0.35">
      <c r="A705" s="3"/>
      <c r="B705" s="4"/>
      <c r="C705" s="5"/>
      <c r="D705" s="5"/>
      <c r="E705" s="5"/>
      <c r="F705" s="5"/>
      <c r="G705" s="5"/>
      <c r="H705" s="5"/>
      <c r="I705" s="6"/>
      <c r="J705" s="5"/>
      <c r="K705" s="5"/>
      <c r="L705" s="5"/>
      <c r="M705" s="5"/>
    </row>
    <row r="706" spans="1:13" x14ac:dyDescent="0.35">
      <c r="A706" s="3"/>
      <c r="B706" s="4"/>
      <c r="C706" s="5"/>
      <c r="D706" s="5"/>
      <c r="E706" s="5"/>
      <c r="F706" s="5"/>
      <c r="G706" s="5"/>
      <c r="H706" s="5"/>
      <c r="I706" s="6"/>
      <c r="J706" s="5"/>
      <c r="K706" s="5"/>
      <c r="L706" s="5"/>
      <c r="M706" s="5"/>
    </row>
    <row r="707" spans="1:13" x14ac:dyDescent="0.35">
      <c r="A707" s="3"/>
      <c r="B707" s="4"/>
      <c r="C707" s="5"/>
      <c r="D707" s="5"/>
      <c r="E707" s="5"/>
      <c r="F707" s="5"/>
      <c r="G707" s="5"/>
      <c r="H707" s="5"/>
      <c r="I707" s="6"/>
      <c r="J707" s="5"/>
      <c r="K707" s="5"/>
      <c r="L707" s="5"/>
      <c r="M707" s="5"/>
    </row>
    <row r="708" spans="1:13" x14ac:dyDescent="0.35">
      <c r="A708" s="3"/>
      <c r="B708" s="4"/>
      <c r="C708" s="5"/>
      <c r="D708" s="5"/>
      <c r="E708" s="5"/>
      <c r="F708" s="5"/>
      <c r="G708" s="5"/>
      <c r="H708" s="5"/>
      <c r="I708" s="6"/>
      <c r="J708" s="5"/>
      <c r="K708" s="5"/>
      <c r="L708" s="5"/>
      <c r="M708" s="5"/>
    </row>
    <row r="709" spans="1:13" x14ac:dyDescent="0.35">
      <c r="A709" s="3"/>
      <c r="B709" s="4"/>
      <c r="C709" s="5"/>
      <c r="D709" s="5"/>
      <c r="E709" s="5"/>
      <c r="F709" s="5"/>
      <c r="G709" s="5"/>
      <c r="H709" s="5"/>
      <c r="I709" s="6"/>
      <c r="J709" s="5"/>
      <c r="K709" s="5"/>
      <c r="L709" s="5"/>
      <c r="M709" s="5"/>
    </row>
    <row r="710" spans="1:13" x14ac:dyDescent="0.35">
      <c r="A710" s="3"/>
      <c r="B710" s="4"/>
      <c r="C710" s="5"/>
      <c r="D710" s="5"/>
      <c r="E710" s="5"/>
      <c r="F710" s="5"/>
      <c r="G710" s="5"/>
      <c r="H710" s="5"/>
      <c r="I710" s="6"/>
      <c r="J710" s="5"/>
      <c r="K710" s="5"/>
      <c r="L710" s="5"/>
      <c r="M710" s="5"/>
    </row>
    <row r="711" spans="1:13" x14ac:dyDescent="0.35">
      <c r="A711" s="3"/>
      <c r="B711" s="4"/>
      <c r="C711" s="5"/>
      <c r="D711" s="5"/>
      <c r="E711" s="5"/>
      <c r="F711" s="5"/>
      <c r="G711" s="5"/>
      <c r="H711" s="5"/>
      <c r="I711" s="6"/>
      <c r="J711" s="5"/>
      <c r="K711" s="5"/>
      <c r="L711" s="5"/>
      <c r="M711" s="5"/>
    </row>
    <row r="712" spans="1:13" x14ac:dyDescent="0.35">
      <c r="A712" s="3"/>
      <c r="B712" s="4"/>
      <c r="C712" s="5"/>
      <c r="D712" s="5"/>
      <c r="E712" s="5"/>
      <c r="F712" s="5"/>
      <c r="G712" s="5"/>
      <c r="H712" s="5"/>
      <c r="I712" s="6"/>
      <c r="J712" s="5"/>
      <c r="K712" s="5"/>
      <c r="L712" s="5"/>
      <c r="M712" s="5"/>
    </row>
    <row r="713" spans="1:13" x14ac:dyDescent="0.35">
      <c r="A713" s="3"/>
      <c r="B713" s="4"/>
      <c r="C713" s="5"/>
      <c r="D713" s="5"/>
      <c r="E713" s="5"/>
      <c r="F713" s="5"/>
      <c r="G713" s="5"/>
      <c r="H713" s="5"/>
      <c r="I713" s="6"/>
      <c r="J713" s="5"/>
      <c r="K713" s="5"/>
      <c r="L713" s="5"/>
      <c r="M713" s="5"/>
    </row>
    <row r="714" spans="1:13" x14ac:dyDescent="0.35">
      <c r="A714" s="3"/>
      <c r="B714" s="4"/>
      <c r="C714" s="5"/>
      <c r="D714" s="5"/>
      <c r="E714" s="5"/>
      <c r="F714" s="5"/>
      <c r="G714" s="5"/>
      <c r="H714" s="5"/>
      <c r="I714" s="6"/>
      <c r="J714" s="5"/>
      <c r="K714" s="5"/>
      <c r="L714" s="5"/>
      <c r="M714" s="5"/>
    </row>
    <row r="715" spans="1:13" x14ac:dyDescent="0.35">
      <c r="A715" s="3"/>
      <c r="B715" s="4"/>
      <c r="C715" s="5"/>
      <c r="D715" s="5"/>
      <c r="E715" s="5"/>
      <c r="F715" s="5"/>
      <c r="G715" s="5"/>
      <c r="H715" s="5"/>
      <c r="I715" s="6"/>
      <c r="J715" s="5"/>
      <c r="K715" s="5"/>
      <c r="L715" s="5"/>
      <c r="M715" s="5"/>
    </row>
    <row r="716" spans="1:13" x14ac:dyDescent="0.35">
      <c r="A716" s="3"/>
      <c r="B716" s="4"/>
      <c r="C716" s="5"/>
      <c r="D716" s="5"/>
      <c r="E716" s="5"/>
      <c r="F716" s="5"/>
      <c r="G716" s="5"/>
      <c r="H716" s="5"/>
      <c r="I716" s="6"/>
      <c r="J716" s="5"/>
      <c r="K716" s="5"/>
      <c r="L716" s="5"/>
      <c r="M716" s="5"/>
    </row>
    <row r="717" spans="1:13" x14ac:dyDescent="0.35">
      <c r="A717" s="3"/>
      <c r="B717" s="4"/>
      <c r="C717" s="5"/>
      <c r="D717" s="5"/>
      <c r="E717" s="5"/>
      <c r="F717" s="5"/>
      <c r="G717" s="5"/>
      <c r="H717" s="5"/>
      <c r="I717" s="6"/>
      <c r="J717" s="5"/>
      <c r="K717" s="5"/>
      <c r="L717" s="5"/>
      <c r="M717" s="5"/>
    </row>
    <row r="718" spans="1:13" x14ac:dyDescent="0.35">
      <c r="A718" s="3"/>
      <c r="B718" s="4"/>
      <c r="C718" s="5"/>
      <c r="D718" s="5"/>
      <c r="E718" s="5"/>
      <c r="F718" s="5"/>
      <c r="G718" s="5"/>
      <c r="H718" s="5"/>
      <c r="I718" s="6"/>
      <c r="J718" s="5"/>
      <c r="K718" s="5"/>
      <c r="L718" s="5"/>
      <c r="M718" s="5"/>
    </row>
    <row r="719" spans="1:13" x14ac:dyDescent="0.35">
      <c r="A719" s="3"/>
      <c r="B719" s="4"/>
      <c r="C719" s="5"/>
      <c r="D719" s="5"/>
      <c r="E719" s="5"/>
      <c r="F719" s="5"/>
      <c r="G719" s="5"/>
      <c r="H719" s="5"/>
      <c r="I719" s="6"/>
      <c r="J719" s="5"/>
      <c r="K719" s="5"/>
      <c r="L719" s="5"/>
      <c r="M719" s="5"/>
    </row>
    <row r="720" spans="1:13" x14ac:dyDescent="0.35">
      <c r="A720" s="3"/>
      <c r="B720" s="4"/>
      <c r="C720" s="5"/>
      <c r="D720" s="5"/>
      <c r="E720" s="5"/>
      <c r="F720" s="5"/>
      <c r="G720" s="5"/>
      <c r="H720" s="5"/>
      <c r="I720" s="6"/>
      <c r="J720" s="5"/>
      <c r="K720" s="5"/>
      <c r="L720" s="5"/>
      <c r="M720" s="5"/>
    </row>
    <row r="721" spans="1:13" x14ac:dyDescent="0.35">
      <c r="A721" s="3"/>
      <c r="B721" s="4"/>
      <c r="C721" s="5"/>
      <c r="D721" s="5"/>
      <c r="E721" s="5"/>
      <c r="F721" s="5"/>
      <c r="G721" s="5"/>
      <c r="H721" s="5"/>
      <c r="I721" s="6"/>
      <c r="J721" s="5"/>
      <c r="K721" s="5"/>
      <c r="L721" s="5"/>
      <c r="M721" s="5"/>
    </row>
    <row r="722" spans="1:13" x14ac:dyDescent="0.35">
      <c r="A722" s="3"/>
      <c r="B722" s="4"/>
      <c r="C722" s="5"/>
      <c r="D722" s="5"/>
      <c r="E722" s="5"/>
      <c r="F722" s="5"/>
      <c r="G722" s="5"/>
      <c r="H722" s="5"/>
      <c r="I722" s="6"/>
      <c r="J722" s="5"/>
      <c r="K722" s="5"/>
      <c r="L722" s="5"/>
      <c r="M722" s="5"/>
    </row>
    <row r="723" spans="1:13" x14ac:dyDescent="0.35">
      <c r="A723" s="3"/>
      <c r="B723" s="4"/>
      <c r="C723" s="5"/>
      <c r="D723" s="5"/>
      <c r="E723" s="5"/>
      <c r="F723" s="5"/>
      <c r="G723" s="5"/>
      <c r="H723" s="5"/>
      <c r="I723" s="6"/>
      <c r="J723" s="5"/>
      <c r="K723" s="5"/>
      <c r="L723" s="5"/>
      <c r="M723" s="5"/>
    </row>
    <row r="724" spans="1:13" x14ac:dyDescent="0.35">
      <c r="A724" s="3"/>
      <c r="B724" s="4"/>
      <c r="C724" s="5"/>
      <c r="D724" s="5"/>
      <c r="E724" s="5"/>
      <c r="F724" s="5"/>
      <c r="G724" s="5"/>
      <c r="H724" s="5"/>
      <c r="I724" s="6"/>
      <c r="J724" s="5"/>
      <c r="K724" s="5"/>
      <c r="L724" s="5"/>
      <c r="M724" s="5"/>
    </row>
    <row r="725" spans="1:13" x14ac:dyDescent="0.35">
      <c r="A725" s="3"/>
      <c r="B725" s="4"/>
      <c r="C725" s="5"/>
      <c r="D725" s="5"/>
      <c r="E725" s="5"/>
      <c r="F725" s="5"/>
      <c r="G725" s="5"/>
      <c r="H725" s="5"/>
      <c r="I725" s="6"/>
      <c r="J725" s="5"/>
      <c r="K725" s="5"/>
      <c r="L725" s="5"/>
      <c r="M725" s="5"/>
    </row>
    <row r="726" spans="1:13" x14ac:dyDescent="0.35">
      <c r="A726" s="3"/>
      <c r="B726" s="4"/>
      <c r="C726" s="5"/>
      <c r="D726" s="5"/>
      <c r="E726" s="5"/>
      <c r="F726" s="5"/>
      <c r="G726" s="5"/>
      <c r="H726" s="5"/>
      <c r="I726" s="6"/>
      <c r="J726" s="5"/>
      <c r="K726" s="5"/>
      <c r="L726" s="5"/>
      <c r="M726" s="5"/>
    </row>
    <row r="727" spans="1:13" x14ac:dyDescent="0.35">
      <c r="A727" s="3"/>
      <c r="B727" s="4"/>
      <c r="C727" s="5"/>
      <c r="D727" s="5"/>
      <c r="E727" s="5"/>
      <c r="F727" s="5"/>
      <c r="G727" s="5"/>
      <c r="H727" s="5"/>
      <c r="I727" s="6"/>
      <c r="J727" s="5"/>
      <c r="K727" s="5"/>
      <c r="L727" s="5"/>
      <c r="M727" s="5"/>
    </row>
    <row r="728" spans="1:13" x14ac:dyDescent="0.35">
      <c r="A728" s="3"/>
      <c r="B728" s="4"/>
      <c r="C728" s="5"/>
      <c r="D728" s="5"/>
      <c r="E728" s="5"/>
      <c r="F728" s="5"/>
      <c r="G728" s="5"/>
      <c r="H728" s="5"/>
      <c r="I728" s="6"/>
      <c r="J728" s="5"/>
      <c r="K728" s="5"/>
      <c r="L728" s="5"/>
      <c r="M728" s="5"/>
    </row>
    <row r="729" spans="1:13" x14ac:dyDescent="0.35">
      <c r="A729" s="3"/>
      <c r="B729" s="4"/>
      <c r="C729" s="5"/>
      <c r="D729" s="5"/>
      <c r="E729" s="5"/>
      <c r="F729" s="5"/>
      <c r="G729" s="5"/>
      <c r="H729" s="5"/>
      <c r="I729" s="6"/>
      <c r="J729" s="5"/>
      <c r="K729" s="5"/>
      <c r="L729" s="5"/>
      <c r="M729" s="5"/>
    </row>
    <row r="730" spans="1:13" x14ac:dyDescent="0.35">
      <c r="A730" s="3"/>
      <c r="B730" s="4"/>
      <c r="C730" s="5"/>
      <c r="D730" s="5"/>
      <c r="E730" s="5"/>
      <c r="F730" s="5"/>
      <c r="G730" s="5"/>
      <c r="H730" s="5"/>
      <c r="I730" s="6"/>
      <c r="J730" s="5"/>
      <c r="K730" s="5"/>
      <c r="L730" s="5"/>
      <c r="M730" s="5"/>
    </row>
    <row r="731" spans="1:13" x14ac:dyDescent="0.35">
      <c r="A731" s="3"/>
      <c r="B731" s="4"/>
      <c r="C731" s="5"/>
      <c r="D731" s="5"/>
      <c r="E731" s="5"/>
      <c r="F731" s="5"/>
      <c r="G731" s="5"/>
      <c r="H731" s="5"/>
      <c r="I731" s="6"/>
      <c r="J731" s="5"/>
      <c r="K731" s="5"/>
      <c r="L731" s="5"/>
      <c r="M731" s="5"/>
    </row>
    <row r="732" spans="1:13" x14ac:dyDescent="0.35">
      <c r="A732" s="3"/>
      <c r="B732" s="4"/>
      <c r="C732" s="5"/>
      <c r="D732" s="5"/>
      <c r="E732" s="5"/>
      <c r="F732" s="5"/>
      <c r="G732" s="5"/>
      <c r="H732" s="5"/>
      <c r="I732" s="6"/>
      <c r="J732" s="5"/>
      <c r="K732" s="5"/>
      <c r="L732" s="5"/>
      <c r="M732" s="5"/>
    </row>
    <row r="733" spans="1:13" x14ac:dyDescent="0.35">
      <c r="A733" s="3"/>
      <c r="B733" s="4"/>
      <c r="C733" s="5"/>
      <c r="D733" s="5"/>
      <c r="E733" s="5"/>
      <c r="F733" s="5"/>
      <c r="G733" s="5"/>
      <c r="H733" s="5"/>
      <c r="I733" s="6"/>
      <c r="J733" s="5"/>
      <c r="K733" s="5"/>
      <c r="L733" s="5"/>
      <c r="M733" s="5"/>
    </row>
    <row r="734" spans="1:13" x14ac:dyDescent="0.35">
      <c r="A734" s="3"/>
      <c r="B734" s="4"/>
      <c r="C734" s="5"/>
      <c r="D734" s="5"/>
      <c r="E734" s="5"/>
      <c r="F734" s="5"/>
      <c r="G734" s="5"/>
      <c r="H734" s="5"/>
      <c r="I734" s="6"/>
      <c r="J734" s="5"/>
      <c r="K734" s="5"/>
      <c r="L734" s="5"/>
      <c r="M734" s="5"/>
    </row>
    <row r="735" spans="1:13" x14ac:dyDescent="0.35">
      <c r="A735" s="3"/>
      <c r="B735" s="4"/>
      <c r="C735" s="5"/>
      <c r="D735" s="5"/>
      <c r="E735" s="5"/>
      <c r="F735" s="5"/>
      <c r="G735" s="5"/>
      <c r="H735" s="5"/>
      <c r="I735" s="6"/>
      <c r="J735" s="5"/>
      <c r="K735" s="5"/>
      <c r="L735" s="5"/>
      <c r="M735" s="5"/>
    </row>
    <row r="736" spans="1:13" x14ac:dyDescent="0.35">
      <c r="A736" s="3"/>
      <c r="B736" s="4"/>
      <c r="C736" s="5"/>
      <c r="D736" s="5"/>
      <c r="E736" s="5"/>
      <c r="F736" s="5"/>
      <c r="G736" s="5"/>
      <c r="H736" s="5"/>
      <c r="I736" s="6"/>
      <c r="J736" s="5"/>
      <c r="K736" s="5"/>
      <c r="L736" s="5"/>
      <c r="M736" s="5"/>
    </row>
    <row r="737" spans="1:13" x14ac:dyDescent="0.35">
      <c r="A737" s="3"/>
      <c r="B737" s="4"/>
      <c r="C737" s="5"/>
      <c r="D737" s="5"/>
      <c r="E737" s="5"/>
      <c r="F737" s="5"/>
      <c r="G737" s="5"/>
      <c r="H737" s="5"/>
      <c r="I737" s="6"/>
      <c r="J737" s="5"/>
      <c r="K737" s="5"/>
      <c r="L737" s="5"/>
      <c r="M737" s="5"/>
    </row>
    <row r="738" spans="1:13" x14ac:dyDescent="0.35">
      <c r="A738" s="3"/>
      <c r="B738" s="4"/>
      <c r="C738" s="5"/>
      <c r="D738" s="5"/>
      <c r="E738" s="5"/>
      <c r="F738" s="5"/>
      <c r="G738" s="5"/>
      <c r="H738" s="5"/>
      <c r="I738" s="6"/>
      <c r="J738" s="5"/>
      <c r="K738" s="5"/>
      <c r="L738" s="5"/>
      <c r="M738" s="5"/>
    </row>
    <row r="739" spans="1:13" x14ac:dyDescent="0.35">
      <c r="A739" s="3"/>
      <c r="B739" s="4"/>
      <c r="C739" s="5"/>
      <c r="D739" s="5"/>
      <c r="E739" s="5"/>
      <c r="F739" s="5"/>
      <c r="G739" s="5"/>
      <c r="H739" s="5"/>
      <c r="I739" s="6"/>
      <c r="J739" s="5"/>
      <c r="K739" s="5"/>
      <c r="L739" s="5"/>
      <c r="M739" s="5"/>
    </row>
    <row r="740" spans="1:13" x14ac:dyDescent="0.35">
      <c r="A740" s="3"/>
      <c r="B740" s="4"/>
      <c r="C740" s="5"/>
      <c r="D740" s="5"/>
      <c r="E740" s="5"/>
      <c r="F740" s="5"/>
      <c r="G740" s="5"/>
      <c r="H740" s="5"/>
      <c r="I740" s="6"/>
      <c r="J740" s="5"/>
      <c r="K740" s="5"/>
      <c r="L740" s="5"/>
      <c r="M740" s="5"/>
    </row>
    <row r="741" spans="1:13" x14ac:dyDescent="0.35">
      <c r="A741" s="3"/>
      <c r="B741" s="4"/>
      <c r="C741" s="5"/>
      <c r="D741" s="5"/>
      <c r="E741" s="5"/>
      <c r="F741" s="5"/>
      <c r="G741" s="5"/>
      <c r="H741" s="5"/>
      <c r="I741" s="6"/>
      <c r="J741" s="5"/>
      <c r="K741" s="5"/>
      <c r="L741" s="5"/>
      <c r="M741" s="5"/>
    </row>
    <row r="742" spans="1:13" x14ac:dyDescent="0.35">
      <c r="A742" s="3"/>
      <c r="B742" s="4"/>
      <c r="C742" s="5"/>
      <c r="D742" s="5"/>
      <c r="E742" s="5"/>
      <c r="F742" s="5"/>
      <c r="G742" s="5"/>
      <c r="H742" s="5"/>
      <c r="I742" s="6"/>
      <c r="J742" s="5"/>
      <c r="K742" s="5"/>
      <c r="L742" s="5"/>
      <c r="M742" s="5"/>
    </row>
    <row r="743" spans="1:13" x14ac:dyDescent="0.35">
      <c r="A743" s="3"/>
      <c r="B743" s="4"/>
      <c r="C743" s="5"/>
      <c r="D743" s="5"/>
      <c r="E743" s="5"/>
      <c r="F743" s="5"/>
      <c r="G743" s="5"/>
      <c r="H743" s="5"/>
      <c r="I743" s="6"/>
      <c r="J743" s="5"/>
      <c r="K743" s="5"/>
      <c r="L743" s="5"/>
      <c r="M743" s="5"/>
    </row>
    <row r="744" spans="1:13" x14ac:dyDescent="0.35">
      <c r="A744" s="3"/>
      <c r="B744" s="4"/>
      <c r="C744" s="5"/>
      <c r="D744" s="5"/>
      <c r="E744" s="5"/>
      <c r="F744" s="5"/>
      <c r="G744" s="5"/>
      <c r="H744" s="5"/>
      <c r="I744" s="6"/>
      <c r="J744" s="5"/>
      <c r="K744" s="5"/>
      <c r="L744" s="5"/>
      <c r="M744" s="5"/>
    </row>
    <row r="745" spans="1:13" x14ac:dyDescent="0.35">
      <c r="A745" s="3"/>
      <c r="B745" s="4"/>
      <c r="C745" s="5"/>
      <c r="D745" s="5"/>
      <c r="E745" s="5"/>
      <c r="F745" s="5"/>
      <c r="G745" s="5"/>
      <c r="H745" s="5"/>
      <c r="I745" s="6"/>
      <c r="J745" s="5"/>
      <c r="K745" s="5"/>
      <c r="L745" s="5"/>
      <c r="M745" s="5"/>
    </row>
    <row r="746" spans="1:13" x14ac:dyDescent="0.35">
      <c r="A746" s="3"/>
      <c r="B746" s="4"/>
      <c r="C746" s="5"/>
      <c r="D746" s="5"/>
      <c r="E746" s="5"/>
      <c r="F746" s="5"/>
      <c r="G746" s="5"/>
      <c r="H746" s="5"/>
      <c r="I746" s="6"/>
      <c r="J746" s="5"/>
      <c r="K746" s="5"/>
      <c r="L746" s="5"/>
      <c r="M746" s="5"/>
    </row>
    <row r="747" spans="1:13" x14ac:dyDescent="0.35">
      <c r="A747" s="3"/>
      <c r="B747" s="4"/>
      <c r="C747" s="5"/>
      <c r="D747" s="5"/>
      <c r="E747" s="5"/>
      <c r="F747" s="5"/>
      <c r="G747" s="5"/>
      <c r="H747" s="5"/>
      <c r="I747" s="6"/>
      <c r="J747" s="5"/>
      <c r="K747" s="5"/>
      <c r="L747" s="5"/>
      <c r="M747" s="5"/>
    </row>
    <row r="748" spans="1:13" x14ac:dyDescent="0.35">
      <c r="A748" s="3"/>
      <c r="B748" s="4"/>
      <c r="C748" s="5"/>
      <c r="D748" s="5"/>
      <c r="E748" s="5"/>
      <c r="F748" s="5"/>
      <c r="G748" s="5"/>
      <c r="H748" s="5"/>
      <c r="I748" s="6"/>
      <c r="J748" s="5"/>
      <c r="K748" s="5"/>
      <c r="L748" s="5"/>
      <c r="M748" s="5"/>
    </row>
    <row r="749" spans="1:13" x14ac:dyDescent="0.35">
      <c r="A749" s="3"/>
      <c r="B749" s="4"/>
      <c r="C749" s="5"/>
      <c r="D749" s="5"/>
      <c r="E749" s="5"/>
      <c r="F749" s="5"/>
      <c r="G749" s="5"/>
      <c r="H749" s="5"/>
      <c r="I749" s="6"/>
      <c r="J749" s="5"/>
      <c r="K749" s="5"/>
      <c r="L749" s="5"/>
      <c r="M749" s="5"/>
    </row>
    <row r="750" spans="1:13" x14ac:dyDescent="0.35">
      <c r="A750" s="3"/>
      <c r="B750" s="4"/>
      <c r="C750" s="5"/>
      <c r="D750" s="5"/>
      <c r="E750" s="5"/>
      <c r="F750" s="5"/>
      <c r="G750" s="5"/>
      <c r="H750" s="5"/>
      <c r="I750" s="6"/>
      <c r="J750" s="5"/>
      <c r="K750" s="5"/>
      <c r="L750" s="5"/>
      <c r="M750" s="5"/>
    </row>
    <row r="751" spans="1:13" x14ac:dyDescent="0.35">
      <c r="A751" s="3"/>
      <c r="B751" s="4"/>
      <c r="C751" s="5"/>
      <c r="D751" s="5"/>
      <c r="E751" s="5"/>
      <c r="F751" s="5"/>
      <c r="G751" s="5"/>
      <c r="H751" s="5"/>
      <c r="I751" s="6"/>
      <c r="J751" s="5"/>
      <c r="K751" s="5"/>
      <c r="L751" s="5"/>
      <c r="M751" s="5"/>
    </row>
    <row r="752" spans="1:13" x14ac:dyDescent="0.35">
      <c r="A752" s="3"/>
      <c r="B752" s="4"/>
      <c r="C752" s="5"/>
      <c r="D752" s="5"/>
      <c r="E752" s="5"/>
      <c r="F752" s="5"/>
      <c r="G752" s="5"/>
      <c r="H752" s="5"/>
      <c r="I752" s="6"/>
      <c r="J752" s="5"/>
      <c r="K752" s="5"/>
      <c r="L752" s="5"/>
      <c r="M752" s="5"/>
    </row>
    <row r="753" spans="1:13" x14ac:dyDescent="0.35">
      <c r="A753" s="3"/>
      <c r="B753" s="4"/>
      <c r="C753" s="5"/>
      <c r="D753" s="5"/>
      <c r="E753" s="5"/>
      <c r="F753" s="5"/>
      <c r="G753" s="5"/>
      <c r="H753" s="5"/>
      <c r="I753" s="6"/>
      <c r="J753" s="5"/>
      <c r="K753" s="5"/>
      <c r="L753" s="5"/>
      <c r="M753" s="5"/>
    </row>
    <row r="754" spans="1:13" x14ac:dyDescent="0.35">
      <c r="A754" s="3"/>
      <c r="B754" s="4"/>
      <c r="C754" s="5"/>
      <c r="D754" s="5"/>
      <c r="E754" s="5"/>
      <c r="F754" s="5"/>
      <c r="G754" s="5"/>
      <c r="H754" s="5"/>
      <c r="I754" s="6"/>
      <c r="J754" s="5"/>
      <c r="K754" s="5"/>
      <c r="L754" s="5"/>
      <c r="M754" s="5"/>
    </row>
    <row r="755" spans="1:13" x14ac:dyDescent="0.35">
      <c r="A755" s="3"/>
      <c r="B755" s="4"/>
      <c r="C755" s="5"/>
      <c r="D755" s="5"/>
      <c r="E755" s="5"/>
      <c r="F755" s="5"/>
      <c r="G755" s="5"/>
      <c r="H755" s="5"/>
      <c r="I755" s="6"/>
      <c r="J755" s="5"/>
      <c r="K755" s="5"/>
      <c r="L755" s="5"/>
      <c r="M755" s="5"/>
    </row>
    <row r="756" spans="1:13" x14ac:dyDescent="0.35">
      <c r="A756" s="3"/>
      <c r="B756" s="4"/>
      <c r="C756" s="5"/>
      <c r="D756" s="5"/>
      <c r="E756" s="5"/>
      <c r="F756" s="5"/>
      <c r="G756" s="5"/>
      <c r="H756" s="5"/>
      <c r="I756" s="6"/>
      <c r="J756" s="5"/>
      <c r="K756" s="5"/>
      <c r="L756" s="5"/>
      <c r="M756" s="5"/>
    </row>
    <row r="757" spans="1:13" x14ac:dyDescent="0.35">
      <c r="A757" s="3"/>
      <c r="B757" s="4"/>
      <c r="C757" s="5"/>
      <c r="D757" s="5"/>
      <c r="E757" s="5"/>
      <c r="F757" s="5"/>
      <c r="G757" s="5"/>
      <c r="H757" s="5"/>
      <c r="I757" s="6"/>
      <c r="J757" s="5"/>
      <c r="K757" s="5"/>
      <c r="L757" s="5"/>
      <c r="M757" s="5"/>
    </row>
    <row r="758" spans="1:13" x14ac:dyDescent="0.35">
      <c r="A758" s="3"/>
      <c r="B758" s="4"/>
      <c r="C758" s="5"/>
      <c r="D758" s="5"/>
      <c r="E758" s="5"/>
      <c r="F758" s="5"/>
      <c r="G758" s="5"/>
      <c r="H758" s="5"/>
      <c r="I758" s="6"/>
      <c r="J758" s="5"/>
      <c r="K758" s="5"/>
      <c r="L758" s="5"/>
      <c r="M758" s="5"/>
    </row>
    <row r="759" spans="1:13" x14ac:dyDescent="0.35">
      <c r="A759" s="3"/>
      <c r="B759" s="4"/>
      <c r="C759" s="5"/>
      <c r="D759" s="5"/>
      <c r="E759" s="5"/>
      <c r="F759" s="5"/>
      <c r="G759" s="5"/>
      <c r="H759" s="5"/>
      <c r="I759" s="6"/>
      <c r="J759" s="5"/>
      <c r="K759" s="5"/>
      <c r="L759" s="5"/>
      <c r="M759" s="5"/>
    </row>
    <row r="760" spans="1:13" x14ac:dyDescent="0.35">
      <c r="A760" s="3"/>
      <c r="B760" s="4"/>
      <c r="C760" s="5"/>
      <c r="D760" s="5"/>
      <c r="E760" s="5"/>
      <c r="F760" s="5"/>
      <c r="G760" s="5"/>
      <c r="H760" s="5"/>
      <c r="I760" s="6"/>
      <c r="J760" s="5"/>
      <c r="K760" s="5"/>
      <c r="L760" s="5"/>
      <c r="M760" s="5"/>
    </row>
    <row r="761" spans="1:13" x14ac:dyDescent="0.35">
      <c r="A761" s="3"/>
      <c r="B761" s="4"/>
      <c r="C761" s="5"/>
      <c r="D761" s="5"/>
      <c r="E761" s="5"/>
      <c r="F761" s="5"/>
      <c r="G761" s="5"/>
      <c r="H761" s="5"/>
      <c r="I761" s="6"/>
      <c r="J761" s="5"/>
      <c r="K761" s="5"/>
      <c r="L761" s="5"/>
      <c r="M761" s="5"/>
    </row>
    <row r="762" spans="1:13" x14ac:dyDescent="0.35">
      <c r="A762" s="3"/>
      <c r="B762" s="4"/>
      <c r="C762" s="5"/>
      <c r="D762" s="5"/>
      <c r="E762" s="5"/>
      <c r="F762" s="5"/>
      <c r="G762" s="5"/>
      <c r="H762" s="5"/>
      <c r="I762" s="6"/>
      <c r="J762" s="5"/>
      <c r="K762" s="5"/>
      <c r="L762" s="5"/>
      <c r="M762" s="5"/>
    </row>
    <row r="763" spans="1:13" x14ac:dyDescent="0.35">
      <c r="A763" s="3"/>
      <c r="B763" s="4"/>
      <c r="C763" s="5"/>
      <c r="D763" s="5"/>
      <c r="E763" s="5"/>
      <c r="F763" s="5"/>
      <c r="G763" s="5"/>
      <c r="H763" s="5"/>
      <c r="I763" s="6"/>
      <c r="J763" s="5"/>
      <c r="K763" s="5"/>
      <c r="L763" s="5"/>
      <c r="M763" s="5"/>
    </row>
    <row r="764" spans="1:13" x14ac:dyDescent="0.35">
      <c r="A764" s="3"/>
      <c r="B764" s="4"/>
      <c r="C764" s="5"/>
      <c r="D764" s="5"/>
      <c r="E764" s="5"/>
      <c r="F764" s="5"/>
      <c r="G764" s="5"/>
      <c r="H764" s="5"/>
      <c r="I764" s="6"/>
      <c r="J764" s="5"/>
      <c r="K764" s="5"/>
      <c r="L764" s="5"/>
      <c r="M764" s="5"/>
    </row>
    <row r="765" spans="1:13" x14ac:dyDescent="0.35">
      <c r="A765" s="3"/>
      <c r="B765" s="4"/>
      <c r="C765" s="5"/>
      <c r="D765" s="5"/>
      <c r="E765" s="5"/>
      <c r="F765" s="5"/>
      <c r="G765" s="5"/>
      <c r="H765" s="5"/>
      <c r="I765" s="6"/>
      <c r="J765" s="5"/>
      <c r="K765" s="5"/>
      <c r="L765" s="5"/>
      <c r="M765" s="5"/>
    </row>
    <row r="766" spans="1:13" x14ac:dyDescent="0.35">
      <c r="A766" s="3"/>
      <c r="B766" s="4"/>
      <c r="C766" s="5"/>
      <c r="D766" s="5"/>
      <c r="E766" s="5"/>
      <c r="F766" s="5"/>
      <c r="G766" s="5"/>
      <c r="H766" s="5"/>
      <c r="I766" s="6"/>
      <c r="J766" s="5"/>
      <c r="K766" s="5"/>
      <c r="L766" s="5"/>
      <c r="M766" s="5"/>
    </row>
    <row r="767" spans="1:13" x14ac:dyDescent="0.35">
      <c r="A767" s="3"/>
      <c r="B767" s="4"/>
      <c r="C767" s="5"/>
      <c r="D767" s="5"/>
      <c r="E767" s="5"/>
      <c r="F767" s="5"/>
      <c r="G767" s="5"/>
      <c r="H767" s="5"/>
      <c r="I767" s="6"/>
      <c r="J767" s="5"/>
      <c r="K767" s="5"/>
      <c r="L767" s="5"/>
      <c r="M767" s="5"/>
    </row>
    <row r="768" spans="1:13" x14ac:dyDescent="0.35">
      <c r="A768" s="3"/>
      <c r="B768" s="4"/>
      <c r="C768" s="5"/>
      <c r="D768" s="5"/>
      <c r="E768" s="5"/>
      <c r="F768" s="5"/>
      <c r="G768" s="5"/>
      <c r="H768" s="5"/>
      <c r="I768" s="6"/>
      <c r="J768" s="5"/>
      <c r="K768" s="5"/>
      <c r="L768" s="5"/>
      <c r="M768" s="5"/>
    </row>
    <row r="769" spans="1:13" x14ac:dyDescent="0.35">
      <c r="A769" s="3"/>
      <c r="B769" s="4"/>
      <c r="C769" s="5"/>
      <c r="D769" s="5"/>
      <c r="E769" s="5"/>
      <c r="F769" s="5"/>
      <c r="G769" s="5"/>
      <c r="H769" s="5"/>
      <c r="I769" s="6"/>
      <c r="J769" s="5"/>
      <c r="K769" s="5"/>
      <c r="L769" s="5"/>
      <c r="M769" s="5"/>
    </row>
    <row r="770" spans="1:13" x14ac:dyDescent="0.35">
      <c r="A770" s="3"/>
      <c r="B770" s="4"/>
      <c r="C770" s="5"/>
      <c r="D770" s="5"/>
      <c r="E770" s="5"/>
      <c r="F770" s="5"/>
      <c r="G770" s="5"/>
      <c r="H770" s="5"/>
      <c r="I770" s="6"/>
      <c r="J770" s="5"/>
      <c r="K770" s="5"/>
      <c r="L770" s="5"/>
      <c r="M770" s="5"/>
    </row>
    <row r="771" spans="1:13" x14ac:dyDescent="0.35">
      <c r="A771" s="3"/>
      <c r="B771" s="4"/>
      <c r="C771" s="5"/>
      <c r="D771" s="5"/>
      <c r="E771" s="5"/>
      <c r="F771" s="5"/>
      <c r="G771" s="5"/>
      <c r="H771" s="5"/>
      <c r="I771" s="6"/>
      <c r="J771" s="5"/>
      <c r="K771" s="5"/>
      <c r="L771" s="5"/>
      <c r="M771" s="5"/>
    </row>
    <row r="772" spans="1:13" x14ac:dyDescent="0.35">
      <c r="A772" s="3"/>
      <c r="B772" s="4"/>
      <c r="C772" s="5"/>
      <c r="D772" s="5"/>
      <c r="E772" s="5"/>
      <c r="F772" s="5"/>
      <c r="G772" s="5"/>
      <c r="H772" s="5"/>
      <c r="I772" s="6"/>
      <c r="J772" s="5"/>
      <c r="K772" s="5"/>
      <c r="L772" s="5"/>
      <c r="M772" s="5"/>
    </row>
    <row r="773" spans="1:13" x14ac:dyDescent="0.35">
      <c r="A773" s="3"/>
      <c r="B773" s="4"/>
      <c r="C773" s="5"/>
      <c r="D773" s="5"/>
      <c r="E773" s="5"/>
      <c r="F773" s="5"/>
      <c r="G773" s="5"/>
      <c r="H773" s="5"/>
      <c r="I773" s="6"/>
      <c r="J773" s="5"/>
      <c r="K773" s="5"/>
      <c r="L773" s="5"/>
      <c r="M773" s="5"/>
    </row>
    <row r="774" spans="1:13" x14ac:dyDescent="0.35">
      <c r="A774" s="3"/>
      <c r="B774" s="4"/>
      <c r="C774" s="5"/>
      <c r="D774" s="5"/>
      <c r="E774" s="5"/>
      <c r="F774" s="5"/>
      <c r="G774" s="5"/>
      <c r="H774" s="5"/>
      <c r="I774" s="6"/>
      <c r="J774" s="5"/>
      <c r="K774" s="5"/>
      <c r="L774" s="5"/>
      <c r="M774" s="5"/>
    </row>
    <row r="775" spans="1:13" x14ac:dyDescent="0.35">
      <c r="A775" s="3"/>
      <c r="B775" s="4"/>
      <c r="C775" s="5"/>
      <c r="D775" s="5"/>
      <c r="E775" s="5"/>
      <c r="F775" s="5"/>
      <c r="G775" s="5"/>
      <c r="H775" s="5"/>
      <c r="I775" s="6"/>
      <c r="J775" s="5"/>
      <c r="K775" s="5"/>
      <c r="L775" s="5"/>
      <c r="M775" s="5"/>
    </row>
    <row r="776" spans="1:13" x14ac:dyDescent="0.35">
      <c r="A776" s="3"/>
      <c r="B776" s="4"/>
      <c r="C776" s="5"/>
      <c r="D776" s="5"/>
      <c r="E776" s="5"/>
      <c r="F776" s="5"/>
      <c r="G776" s="5"/>
      <c r="H776" s="5"/>
      <c r="I776" s="6"/>
      <c r="J776" s="5"/>
      <c r="K776" s="5"/>
      <c r="L776" s="5"/>
      <c r="M776" s="5"/>
    </row>
    <row r="777" spans="1:13" x14ac:dyDescent="0.35">
      <c r="A777" s="3"/>
      <c r="B777" s="4"/>
      <c r="C777" s="5"/>
      <c r="D777" s="5"/>
      <c r="E777" s="5"/>
      <c r="F777" s="5"/>
      <c r="G777" s="5"/>
      <c r="H777" s="5"/>
      <c r="I777" s="6"/>
      <c r="J777" s="5"/>
      <c r="K777" s="5"/>
      <c r="L777" s="5"/>
      <c r="M777" s="5"/>
    </row>
    <row r="778" spans="1:13" x14ac:dyDescent="0.35">
      <c r="A778" s="3"/>
      <c r="B778" s="4"/>
      <c r="C778" s="5"/>
      <c r="D778" s="5"/>
      <c r="E778" s="5"/>
      <c r="F778" s="5"/>
      <c r="G778" s="5"/>
      <c r="H778" s="5"/>
      <c r="I778" s="6"/>
      <c r="J778" s="5"/>
      <c r="K778" s="5"/>
      <c r="L778" s="5"/>
      <c r="M778" s="5"/>
    </row>
    <row r="779" spans="1:13" x14ac:dyDescent="0.35">
      <c r="A779" s="3"/>
      <c r="B779" s="4"/>
      <c r="C779" s="5"/>
      <c r="D779" s="5"/>
      <c r="E779" s="5"/>
      <c r="F779" s="5"/>
      <c r="G779" s="5"/>
      <c r="H779" s="5"/>
      <c r="I779" s="6"/>
      <c r="J779" s="5"/>
      <c r="K779" s="5"/>
      <c r="L779" s="5"/>
      <c r="M779" s="5"/>
    </row>
    <row r="780" spans="1:13" x14ac:dyDescent="0.35">
      <c r="A780" s="3"/>
      <c r="B780" s="4"/>
      <c r="C780" s="5"/>
      <c r="D780" s="5"/>
      <c r="E780" s="5"/>
      <c r="F780" s="5"/>
      <c r="G780" s="5"/>
      <c r="H780" s="5"/>
      <c r="I780" s="6"/>
      <c r="J780" s="5"/>
      <c r="K780" s="5"/>
      <c r="L780" s="5"/>
      <c r="M780" s="5"/>
    </row>
    <row r="781" spans="1:13" x14ac:dyDescent="0.35">
      <c r="A781" s="3"/>
      <c r="B781" s="4"/>
      <c r="C781" s="5"/>
      <c r="D781" s="5"/>
      <c r="E781" s="5"/>
      <c r="F781" s="5"/>
      <c r="G781" s="5"/>
      <c r="H781" s="5"/>
      <c r="I781" s="6"/>
      <c r="J781" s="5"/>
      <c r="K781" s="5"/>
      <c r="L781" s="5"/>
      <c r="M781" s="5"/>
    </row>
    <row r="782" spans="1:13" x14ac:dyDescent="0.35">
      <c r="A782" s="3"/>
      <c r="B782" s="4"/>
      <c r="C782" s="5"/>
      <c r="D782" s="5"/>
      <c r="E782" s="5"/>
      <c r="F782" s="5"/>
      <c r="G782" s="5"/>
      <c r="H782" s="5"/>
      <c r="I782" s="6"/>
      <c r="J782" s="5"/>
      <c r="K782" s="5"/>
      <c r="L782" s="5"/>
      <c r="M782" s="5"/>
    </row>
    <row r="783" spans="1:13" x14ac:dyDescent="0.35">
      <c r="A783" s="3"/>
      <c r="B783" s="4"/>
      <c r="C783" s="5"/>
      <c r="D783" s="5"/>
      <c r="E783" s="5"/>
      <c r="F783" s="5"/>
      <c r="G783" s="5"/>
      <c r="H783" s="5"/>
      <c r="I783" s="6"/>
      <c r="J783" s="5"/>
      <c r="K783" s="5"/>
      <c r="L783" s="5"/>
      <c r="M783" s="5"/>
    </row>
    <row r="784" spans="1:13" x14ac:dyDescent="0.35">
      <c r="A784" s="3"/>
      <c r="B784" s="4"/>
      <c r="C784" s="5"/>
      <c r="D784" s="5"/>
      <c r="E784" s="5"/>
      <c r="F784" s="5"/>
      <c r="G784" s="5"/>
      <c r="H784" s="5"/>
      <c r="I784" s="6"/>
      <c r="J784" s="5"/>
      <c r="K784" s="5"/>
      <c r="L784" s="5"/>
      <c r="M784" s="5"/>
    </row>
    <row r="785" spans="1:13" x14ac:dyDescent="0.35">
      <c r="A785" s="3"/>
      <c r="B785" s="4"/>
      <c r="C785" s="5"/>
      <c r="D785" s="5"/>
      <c r="E785" s="5"/>
      <c r="F785" s="5"/>
      <c r="G785" s="5"/>
      <c r="H785" s="5"/>
      <c r="I785" s="6"/>
      <c r="J785" s="5"/>
      <c r="K785" s="5"/>
      <c r="L785" s="5"/>
      <c r="M785" s="5"/>
    </row>
    <row r="786" spans="1:13" x14ac:dyDescent="0.35">
      <c r="A786" s="3"/>
      <c r="B786" s="4"/>
      <c r="C786" s="5"/>
      <c r="D786" s="5"/>
      <c r="E786" s="5"/>
      <c r="F786" s="5"/>
      <c r="G786" s="5"/>
      <c r="H786" s="5"/>
      <c r="I786" s="6"/>
      <c r="J786" s="5"/>
      <c r="K786" s="5"/>
      <c r="L786" s="5"/>
      <c r="M786" s="5"/>
    </row>
    <row r="787" spans="1:13" x14ac:dyDescent="0.35">
      <c r="A787" s="3"/>
      <c r="B787" s="4"/>
      <c r="C787" s="5"/>
      <c r="D787" s="5"/>
      <c r="E787" s="5"/>
      <c r="F787" s="5"/>
      <c r="G787" s="5"/>
      <c r="H787" s="5"/>
      <c r="I787" s="6"/>
      <c r="J787" s="5"/>
      <c r="K787" s="5"/>
      <c r="L787" s="5"/>
      <c r="M787" s="5"/>
    </row>
    <row r="788" spans="1:13" x14ac:dyDescent="0.35">
      <c r="A788" s="3"/>
      <c r="B788" s="4"/>
      <c r="C788" s="5"/>
      <c r="D788" s="5"/>
      <c r="E788" s="5"/>
      <c r="F788" s="5"/>
      <c r="G788" s="5"/>
      <c r="H788" s="5"/>
      <c r="I788" s="6"/>
      <c r="J788" s="5"/>
      <c r="K788" s="5"/>
      <c r="L788" s="5"/>
      <c r="M788" s="5"/>
    </row>
    <row r="789" spans="1:13" x14ac:dyDescent="0.35">
      <c r="A789" s="3"/>
      <c r="B789" s="4"/>
      <c r="C789" s="5"/>
      <c r="D789" s="5"/>
      <c r="E789" s="5"/>
      <c r="F789" s="5"/>
      <c r="G789" s="5"/>
      <c r="H789" s="5"/>
      <c r="I789" s="6"/>
      <c r="J789" s="5"/>
      <c r="K789" s="5"/>
      <c r="L789" s="5"/>
      <c r="M789" s="5"/>
    </row>
    <row r="790" spans="1:13" x14ac:dyDescent="0.35">
      <c r="A790" s="3"/>
      <c r="B790" s="4"/>
      <c r="C790" s="5"/>
      <c r="D790" s="5"/>
      <c r="E790" s="5"/>
      <c r="F790" s="5"/>
      <c r="G790" s="5"/>
      <c r="H790" s="5"/>
      <c r="I790" s="6"/>
      <c r="J790" s="5"/>
      <c r="K790" s="5"/>
      <c r="L790" s="5"/>
      <c r="M790" s="5"/>
    </row>
    <row r="791" spans="1:13" x14ac:dyDescent="0.35">
      <c r="A791" s="3"/>
      <c r="B791" s="4"/>
      <c r="C791" s="5"/>
      <c r="D791" s="5"/>
      <c r="E791" s="5"/>
      <c r="F791" s="5"/>
      <c r="G791" s="5"/>
      <c r="H791" s="5"/>
      <c r="I791" s="6"/>
      <c r="J791" s="5"/>
      <c r="K791" s="5"/>
      <c r="L791" s="5"/>
      <c r="M791" s="5"/>
    </row>
    <row r="792" spans="1:13" x14ac:dyDescent="0.35">
      <c r="A792" s="3"/>
      <c r="B792" s="4"/>
      <c r="C792" s="5"/>
      <c r="D792" s="5"/>
      <c r="E792" s="5"/>
      <c r="F792" s="5"/>
      <c r="G792" s="5"/>
      <c r="H792" s="5"/>
      <c r="I792" s="6"/>
      <c r="J792" s="5"/>
      <c r="K792" s="5"/>
      <c r="L792" s="5"/>
      <c r="M792" s="5"/>
    </row>
    <row r="793" spans="1:13" x14ac:dyDescent="0.35">
      <c r="A793" s="3"/>
      <c r="B793" s="4"/>
      <c r="C793" s="5"/>
      <c r="D793" s="5"/>
      <c r="E793" s="5"/>
      <c r="F793" s="5"/>
      <c r="G793" s="5"/>
      <c r="H793" s="5"/>
      <c r="I793" s="6"/>
      <c r="J793" s="5"/>
      <c r="K793" s="5"/>
      <c r="L793" s="5"/>
      <c r="M793" s="5"/>
    </row>
    <row r="794" spans="1:13" x14ac:dyDescent="0.35">
      <c r="A794" s="3"/>
      <c r="B794" s="4"/>
      <c r="C794" s="5"/>
      <c r="D794" s="5"/>
      <c r="E794" s="5"/>
      <c r="F794" s="5"/>
      <c r="G794" s="5"/>
      <c r="H794" s="5"/>
      <c r="I794" s="6"/>
      <c r="J794" s="5"/>
      <c r="K794" s="5"/>
      <c r="L794" s="5"/>
      <c r="M794" s="5"/>
    </row>
    <row r="795" spans="1:13" x14ac:dyDescent="0.35">
      <c r="A795" s="3"/>
      <c r="B795" s="4"/>
      <c r="C795" s="5"/>
      <c r="D795" s="5"/>
      <c r="E795" s="5"/>
      <c r="F795" s="5"/>
      <c r="G795" s="5"/>
      <c r="H795" s="5"/>
      <c r="I795" s="6"/>
      <c r="J795" s="5"/>
      <c r="K795" s="5"/>
      <c r="L795" s="5"/>
      <c r="M795" s="5"/>
    </row>
    <row r="796" spans="1:13" x14ac:dyDescent="0.35">
      <c r="A796" s="3"/>
      <c r="B796" s="4"/>
      <c r="C796" s="5"/>
      <c r="D796" s="5"/>
      <c r="E796" s="5"/>
      <c r="F796" s="5"/>
      <c r="G796" s="5"/>
      <c r="H796" s="5"/>
      <c r="I796" s="6"/>
      <c r="J796" s="5"/>
      <c r="K796" s="5"/>
      <c r="L796" s="5"/>
      <c r="M796" s="5"/>
    </row>
    <row r="797" spans="1:13" x14ac:dyDescent="0.35">
      <c r="A797" s="3"/>
      <c r="B797" s="4"/>
      <c r="C797" s="5"/>
      <c r="D797" s="5"/>
      <c r="E797" s="5"/>
      <c r="F797" s="5"/>
      <c r="G797" s="5"/>
      <c r="H797" s="5"/>
      <c r="I797" s="6"/>
      <c r="J797" s="5"/>
      <c r="K797" s="5"/>
      <c r="L797" s="5"/>
      <c r="M797" s="5"/>
    </row>
    <row r="798" spans="1:13" x14ac:dyDescent="0.35">
      <c r="A798" s="3"/>
      <c r="B798" s="4"/>
      <c r="C798" s="5"/>
      <c r="D798" s="5"/>
      <c r="E798" s="5"/>
      <c r="F798" s="5"/>
      <c r="G798" s="5"/>
      <c r="H798" s="5"/>
      <c r="I798" s="6"/>
      <c r="J798" s="5"/>
      <c r="K798" s="5"/>
      <c r="L798" s="5"/>
      <c r="M798" s="5"/>
    </row>
    <row r="799" spans="1:13" x14ac:dyDescent="0.35">
      <c r="A799" s="3"/>
      <c r="B799" s="4"/>
      <c r="C799" s="5"/>
      <c r="D799" s="5"/>
      <c r="E799" s="5"/>
      <c r="F799" s="5"/>
      <c r="G799" s="5"/>
      <c r="H799" s="5"/>
      <c r="I799" s="6"/>
      <c r="J799" s="5"/>
      <c r="K799" s="5"/>
      <c r="L799" s="5"/>
      <c r="M799" s="5"/>
    </row>
    <row r="800" spans="1:13" x14ac:dyDescent="0.35">
      <c r="A800" s="3"/>
      <c r="B800" s="4"/>
      <c r="C800" s="5"/>
      <c r="D800" s="5"/>
      <c r="E800" s="5"/>
      <c r="F800" s="5"/>
      <c r="G800" s="5"/>
      <c r="H800" s="5"/>
      <c r="I800" s="6"/>
      <c r="J800" s="5"/>
      <c r="K800" s="5"/>
      <c r="L800" s="5"/>
      <c r="M800" s="5"/>
    </row>
    <row r="801" spans="1:13" x14ac:dyDescent="0.35">
      <c r="A801" s="3"/>
      <c r="B801" s="4"/>
      <c r="C801" s="5"/>
      <c r="D801" s="5"/>
      <c r="E801" s="5"/>
      <c r="F801" s="5"/>
      <c r="G801" s="5"/>
      <c r="H801" s="5"/>
      <c r="I801" s="6"/>
      <c r="J801" s="5"/>
      <c r="K801" s="5"/>
      <c r="L801" s="5"/>
      <c r="M801" s="5"/>
    </row>
    <row r="802" spans="1:13" x14ac:dyDescent="0.35">
      <c r="A802" s="3"/>
      <c r="B802" s="4"/>
      <c r="C802" s="5"/>
      <c r="D802" s="5"/>
      <c r="E802" s="5"/>
      <c r="F802" s="5"/>
      <c r="G802" s="5"/>
      <c r="H802" s="5"/>
      <c r="I802" s="6"/>
      <c r="J802" s="5"/>
      <c r="K802" s="5"/>
      <c r="L802" s="5"/>
      <c r="M802" s="5"/>
    </row>
    <row r="803" spans="1:13" x14ac:dyDescent="0.35">
      <c r="A803" s="3"/>
      <c r="B803" s="4"/>
      <c r="C803" s="5"/>
      <c r="D803" s="5"/>
      <c r="E803" s="5"/>
      <c r="F803" s="5"/>
      <c r="G803" s="5"/>
      <c r="H803" s="5"/>
      <c r="I803" s="6"/>
      <c r="J803" s="5"/>
      <c r="K803" s="5"/>
      <c r="L803" s="5"/>
      <c r="M803" s="5"/>
    </row>
    <row r="804" spans="1:13" x14ac:dyDescent="0.35">
      <c r="A804" s="3"/>
      <c r="B804" s="4"/>
      <c r="C804" s="5"/>
      <c r="D804" s="5"/>
      <c r="E804" s="5"/>
      <c r="F804" s="5"/>
      <c r="G804" s="5"/>
      <c r="H804" s="5"/>
      <c r="I804" s="6"/>
      <c r="J804" s="5"/>
      <c r="K804" s="5"/>
      <c r="L804" s="5"/>
      <c r="M804" s="5"/>
    </row>
    <row r="805" spans="1:13" x14ac:dyDescent="0.35">
      <c r="A805" s="3"/>
      <c r="B805" s="4"/>
      <c r="C805" s="5"/>
      <c r="D805" s="5"/>
      <c r="E805" s="5"/>
      <c r="F805" s="5"/>
      <c r="G805" s="5"/>
      <c r="H805" s="5"/>
      <c r="I805" s="6"/>
      <c r="J805" s="5"/>
      <c r="K805" s="5"/>
      <c r="L805" s="5"/>
      <c r="M805" s="5"/>
    </row>
    <row r="806" spans="1:13" x14ac:dyDescent="0.35">
      <c r="A806" s="3"/>
      <c r="B806" s="4"/>
      <c r="C806" s="5"/>
      <c r="D806" s="5"/>
      <c r="E806" s="5"/>
      <c r="F806" s="5"/>
      <c r="G806" s="5"/>
      <c r="H806" s="5"/>
      <c r="I806" s="6"/>
      <c r="J806" s="5"/>
      <c r="K806" s="5"/>
      <c r="L806" s="5"/>
      <c r="M806" s="5"/>
    </row>
    <row r="807" spans="1:13" x14ac:dyDescent="0.35">
      <c r="A807" s="3"/>
      <c r="B807" s="4"/>
      <c r="C807" s="5"/>
      <c r="D807" s="5"/>
      <c r="E807" s="5"/>
      <c r="F807" s="5"/>
      <c r="G807" s="5"/>
      <c r="H807" s="5"/>
      <c r="I807" s="6"/>
      <c r="J807" s="5"/>
      <c r="K807" s="5"/>
      <c r="L807" s="5"/>
      <c r="M807" s="5"/>
    </row>
    <row r="808" spans="1:13" x14ac:dyDescent="0.35">
      <c r="A808" s="3"/>
      <c r="B808" s="4"/>
      <c r="C808" s="5"/>
      <c r="D808" s="5"/>
      <c r="E808" s="5"/>
      <c r="F808" s="5"/>
      <c r="G808" s="5"/>
      <c r="H808" s="5"/>
      <c r="I808" s="6"/>
      <c r="J808" s="5"/>
      <c r="K808" s="5"/>
      <c r="L808" s="5"/>
      <c r="M808" s="5"/>
    </row>
    <row r="809" spans="1:13" x14ac:dyDescent="0.35">
      <c r="A809" s="3"/>
      <c r="B809" s="4"/>
      <c r="C809" s="5"/>
      <c r="D809" s="5"/>
      <c r="E809" s="5"/>
      <c r="F809" s="5"/>
      <c r="G809" s="5"/>
      <c r="H809" s="5"/>
      <c r="I809" s="6"/>
      <c r="J809" s="5"/>
      <c r="K809" s="5"/>
      <c r="L809" s="5"/>
      <c r="M809" s="5"/>
    </row>
    <row r="810" spans="1:13" x14ac:dyDescent="0.35">
      <c r="A810" s="3"/>
      <c r="B810" s="4"/>
      <c r="C810" s="5"/>
      <c r="D810" s="5"/>
      <c r="E810" s="5"/>
      <c r="F810" s="5"/>
      <c r="G810" s="5"/>
      <c r="H810" s="5"/>
      <c r="I810" s="6"/>
      <c r="J810" s="5"/>
      <c r="K810" s="5"/>
      <c r="L810" s="5"/>
      <c r="M810" s="5"/>
    </row>
    <row r="811" spans="1:13" x14ac:dyDescent="0.35">
      <c r="A811" s="3"/>
      <c r="B811" s="4"/>
      <c r="C811" s="5"/>
      <c r="D811" s="5"/>
      <c r="E811" s="5"/>
      <c r="F811" s="5"/>
      <c r="G811" s="5"/>
      <c r="H811" s="5"/>
      <c r="I811" s="6"/>
      <c r="J811" s="5"/>
      <c r="K811" s="5"/>
      <c r="L811" s="5"/>
      <c r="M811" s="5"/>
    </row>
    <row r="812" spans="1:13" x14ac:dyDescent="0.35">
      <c r="A812" s="3"/>
      <c r="B812" s="4"/>
      <c r="C812" s="5"/>
      <c r="D812" s="5"/>
      <c r="E812" s="5"/>
      <c r="F812" s="5"/>
      <c r="G812" s="5"/>
      <c r="H812" s="5"/>
      <c r="I812" s="6"/>
      <c r="J812" s="5"/>
      <c r="K812" s="5"/>
      <c r="L812" s="5"/>
      <c r="M812" s="5"/>
    </row>
    <row r="813" spans="1:13" x14ac:dyDescent="0.35">
      <c r="A813" s="3"/>
      <c r="B813" s="4"/>
      <c r="C813" s="5"/>
      <c r="D813" s="5"/>
      <c r="E813" s="5"/>
      <c r="F813" s="5"/>
      <c r="G813" s="5"/>
      <c r="H813" s="5"/>
      <c r="I813" s="6"/>
      <c r="J813" s="5"/>
      <c r="K813" s="5"/>
      <c r="L813" s="5"/>
      <c r="M813" s="5"/>
    </row>
    <row r="814" spans="1:13" x14ac:dyDescent="0.35">
      <c r="A814" s="3"/>
      <c r="B814" s="4"/>
      <c r="C814" s="5"/>
      <c r="D814" s="5"/>
      <c r="E814" s="5"/>
      <c r="F814" s="5"/>
      <c r="G814" s="5"/>
      <c r="H814" s="5"/>
      <c r="I814" s="6"/>
      <c r="J814" s="5"/>
      <c r="K814" s="5"/>
      <c r="L814" s="5"/>
      <c r="M814" s="5"/>
    </row>
    <row r="815" spans="1:13" x14ac:dyDescent="0.35">
      <c r="A815" s="3"/>
      <c r="B815" s="4"/>
      <c r="C815" s="5"/>
      <c r="D815" s="5"/>
      <c r="E815" s="5"/>
      <c r="F815" s="5"/>
      <c r="G815" s="5"/>
      <c r="H815" s="5"/>
      <c r="I815" s="6"/>
      <c r="J815" s="5"/>
      <c r="K815" s="5"/>
      <c r="L815" s="5"/>
      <c r="M815" s="5"/>
    </row>
    <row r="816" spans="1:13" x14ac:dyDescent="0.35">
      <c r="A816" s="3"/>
      <c r="B816" s="4"/>
      <c r="C816" s="5"/>
      <c r="D816" s="5"/>
      <c r="E816" s="5"/>
      <c r="F816" s="5"/>
      <c r="G816" s="5"/>
      <c r="H816" s="5"/>
      <c r="I816" s="6"/>
      <c r="J816" s="5"/>
      <c r="K816" s="5"/>
      <c r="L816" s="5"/>
      <c r="M816" s="5"/>
    </row>
    <row r="817" spans="1:13" x14ac:dyDescent="0.35">
      <c r="A817" s="3"/>
      <c r="B817" s="4"/>
      <c r="C817" s="5"/>
      <c r="D817" s="5"/>
      <c r="E817" s="5"/>
      <c r="F817" s="5"/>
      <c r="G817" s="5"/>
      <c r="H817" s="5"/>
      <c r="I817" s="6"/>
      <c r="J817" s="5"/>
      <c r="K817" s="5"/>
      <c r="L817" s="5"/>
      <c r="M817" s="5"/>
    </row>
    <row r="818" spans="1:13" x14ac:dyDescent="0.35">
      <c r="A818" s="3"/>
      <c r="B818" s="4"/>
      <c r="C818" s="5"/>
      <c r="D818" s="5"/>
      <c r="E818" s="5"/>
      <c r="F818" s="5"/>
      <c r="G818" s="5"/>
      <c r="H818" s="5"/>
      <c r="I818" s="6"/>
      <c r="J818" s="5"/>
      <c r="K818" s="5"/>
      <c r="L818" s="5"/>
      <c r="M818" s="5"/>
    </row>
    <row r="819" spans="1:13" x14ac:dyDescent="0.35">
      <c r="A819" s="3"/>
      <c r="B819" s="4"/>
      <c r="C819" s="5"/>
      <c r="D819" s="5"/>
      <c r="E819" s="5"/>
      <c r="F819" s="5"/>
      <c r="G819" s="5"/>
      <c r="H819" s="5"/>
      <c r="I819" s="6"/>
      <c r="J819" s="5"/>
      <c r="K819" s="5"/>
      <c r="L819" s="5"/>
      <c r="M819" s="5"/>
    </row>
    <row r="820" spans="1:13" x14ac:dyDescent="0.35">
      <c r="A820" s="3"/>
      <c r="B820" s="4"/>
      <c r="C820" s="5"/>
      <c r="D820" s="5"/>
      <c r="E820" s="5"/>
      <c r="F820" s="5"/>
      <c r="G820" s="5"/>
      <c r="H820" s="5"/>
      <c r="I820" s="6"/>
      <c r="J820" s="5"/>
      <c r="K820" s="5"/>
      <c r="L820" s="5"/>
      <c r="M820" s="5"/>
    </row>
    <row r="821" spans="1:13" x14ac:dyDescent="0.35">
      <c r="A821" s="3"/>
      <c r="B821" s="4"/>
      <c r="C821" s="5"/>
      <c r="D821" s="5"/>
      <c r="E821" s="5"/>
      <c r="F821" s="5"/>
      <c r="G821" s="5"/>
      <c r="H821" s="5"/>
      <c r="I821" s="6"/>
      <c r="J821" s="5"/>
      <c r="K821" s="5"/>
      <c r="L821" s="5"/>
      <c r="M821" s="5"/>
    </row>
    <row r="822" spans="1:13" x14ac:dyDescent="0.35">
      <c r="A822" s="3"/>
      <c r="B822" s="4"/>
      <c r="C822" s="5"/>
      <c r="D822" s="5"/>
      <c r="E822" s="5"/>
      <c r="F822" s="5"/>
      <c r="G822" s="5"/>
      <c r="H822" s="5"/>
      <c r="I822" s="6"/>
      <c r="J822" s="5"/>
      <c r="K822" s="5"/>
      <c r="L822" s="5"/>
      <c r="M822" s="5"/>
    </row>
    <row r="823" spans="1:13" x14ac:dyDescent="0.35">
      <c r="A823" s="3"/>
      <c r="B823" s="4"/>
      <c r="C823" s="5"/>
      <c r="D823" s="5"/>
      <c r="E823" s="5"/>
      <c r="F823" s="5"/>
      <c r="G823" s="5"/>
      <c r="H823" s="5"/>
      <c r="I823" s="6"/>
      <c r="J823" s="5"/>
      <c r="K823" s="5"/>
      <c r="L823" s="5"/>
      <c r="M823" s="5"/>
    </row>
    <row r="824" spans="1:13" x14ac:dyDescent="0.35">
      <c r="A824" s="3"/>
      <c r="B824" s="4"/>
      <c r="C824" s="5"/>
      <c r="D824" s="5"/>
      <c r="E824" s="5"/>
      <c r="F824" s="5"/>
      <c r="G824" s="5"/>
      <c r="H824" s="5"/>
      <c r="I824" s="6"/>
      <c r="J824" s="5"/>
      <c r="K824" s="5"/>
      <c r="L824" s="5"/>
      <c r="M824" s="5"/>
    </row>
    <row r="825" spans="1:13" x14ac:dyDescent="0.35">
      <c r="A825" s="3"/>
      <c r="B825" s="4"/>
      <c r="C825" s="5"/>
      <c r="D825" s="5"/>
      <c r="E825" s="5"/>
      <c r="F825" s="5"/>
      <c r="G825" s="5"/>
      <c r="H825" s="5"/>
      <c r="I825" s="6"/>
      <c r="J825" s="5"/>
      <c r="K825" s="5"/>
      <c r="L825" s="5"/>
      <c r="M825" s="5"/>
    </row>
    <row r="826" spans="1:13" x14ac:dyDescent="0.35">
      <c r="A826" s="3"/>
      <c r="B826" s="4"/>
      <c r="C826" s="5"/>
      <c r="D826" s="5"/>
      <c r="E826" s="5"/>
      <c r="F826" s="5"/>
      <c r="G826" s="5"/>
      <c r="H826" s="5"/>
      <c r="I826" s="6"/>
      <c r="J826" s="5"/>
      <c r="K826" s="5"/>
      <c r="L826" s="5"/>
      <c r="M826" s="5"/>
    </row>
    <row r="827" spans="1:13" x14ac:dyDescent="0.35">
      <c r="A827" s="3"/>
      <c r="B827" s="4"/>
      <c r="C827" s="5"/>
      <c r="D827" s="5"/>
      <c r="E827" s="5"/>
      <c r="F827" s="5"/>
      <c r="G827" s="5"/>
      <c r="H827" s="5"/>
      <c r="I827" s="6"/>
      <c r="J827" s="5"/>
      <c r="K827" s="5"/>
      <c r="L827" s="5"/>
      <c r="M827" s="5"/>
    </row>
    <row r="828" spans="1:13" x14ac:dyDescent="0.35">
      <c r="A828" s="3"/>
      <c r="B828" s="4"/>
      <c r="C828" s="5"/>
      <c r="D828" s="5"/>
      <c r="E828" s="5"/>
      <c r="F828" s="5"/>
      <c r="G828" s="5"/>
      <c r="H828" s="5"/>
      <c r="I828" s="6"/>
      <c r="J828" s="5"/>
      <c r="K828" s="5"/>
      <c r="L828" s="5"/>
      <c r="M828" s="5"/>
    </row>
    <row r="829" spans="1:13" x14ac:dyDescent="0.35">
      <c r="A829" s="3"/>
      <c r="B829" s="4"/>
      <c r="C829" s="5"/>
      <c r="D829" s="5"/>
      <c r="E829" s="5"/>
      <c r="F829" s="5"/>
      <c r="G829" s="5"/>
      <c r="H829" s="5"/>
      <c r="I829" s="6"/>
      <c r="J829" s="5"/>
      <c r="K829" s="5"/>
      <c r="L829" s="5"/>
      <c r="M829" s="5"/>
    </row>
    <row r="830" spans="1:13" x14ac:dyDescent="0.35">
      <c r="A830" s="3"/>
      <c r="B830" s="4"/>
      <c r="C830" s="5"/>
      <c r="D830" s="5"/>
      <c r="E830" s="5"/>
      <c r="F830" s="5"/>
      <c r="G830" s="5"/>
      <c r="H830" s="5"/>
      <c r="I830" s="6"/>
      <c r="J830" s="5"/>
      <c r="K830" s="5"/>
      <c r="L830" s="5"/>
      <c r="M830" s="5"/>
    </row>
    <row r="831" spans="1:13" x14ac:dyDescent="0.35">
      <c r="A831" s="3"/>
      <c r="B831" s="4"/>
      <c r="C831" s="5"/>
      <c r="D831" s="5"/>
      <c r="E831" s="5"/>
      <c r="F831" s="5"/>
      <c r="G831" s="5"/>
      <c r="H831" s="5"/>
      <c r="I831" s="6"/>
      <c r="J831" s="5"/>
      <c r="K831" s="5"/>
      <c r="L831" s="5"/>
      <c r="M831" s="5"/>
    </row>
    <row r="832" spans="1:13" x14ac:dyDescent="0.35">
      <c r="A832" s="3"/>
      <c r="B832" s="4"/>
      <c r="C832" s="5"/>
      <c r="D832" s="5"/>
      <c r="E832" s="5"/>
      <c r="F832" s="5"/>
      <c r="G832" s="5"/>
      <c r="H832" s="5"/>
      <c r="I832" s="6"/>
      <c r="J832" s="5"/>
      <c r="K832" s="5"/>
      <c r="L832" s="5"/>
      <c r="M832" s="5"/>
    </row>
    <row r="833" spans="1:13" x14ac:dyDescent="0.35">
      <c r="A833" s="3"/>
      <c r="B833" s="4"/>
      <c r="C833" s="5"/>
      <c r="D833" s="5"/>
      <c r="E833" s="5"/>
      <c r="F833" s="5"/>
      <c r="G833" s="5"/>
      <c r="H833" s="5"/>
      <c r="I833" s="6"/>
      <c r="J833" s="5"/>
      <c r="K833" s="5"/>
      <c r="L833" s="5"/>
      <c r="M833" s="5"/>
    </row>
    <row r="834" spans="1:13" x14ac:dyDescent="0.35">
      <c r="A834" s="3"/>
      <c r="B834" s="4"/>
      <c r="C834" s="5"/>
      <c r="D834" s="5"/>
      <c r="E834" s="5"/>
      <c r="F834" s="5"/>
      <c r="G834" s="5"/>
      <c r="H834" s="5"/>
      <c r="I834" s="6"/>
      <c r="J834" s="5"/>
      <c r="K834" s="5"/>
      <c r="L834" s="5"/>
      <c r="M834" s="5"/>
    </row>
    <row r="835" spans="1:13" x14ac:dyDescent="0.35">
      <c r="A835" s="3"/>
      <c r="B835" s="4"/>
      <c r="C835" s="5"/>
      <c r="D835" s="5"/>
      <c r="E835" s="5"/>
      <c r="F835" s="5"/>
      <c r="G835" s="5"/>
      <c r="H835" s="5"/>
      <c r="I835" s="6"/>
      <c r="J835" s="5"/>
      <c r="K835" s="5"/>
      <c r="L835" s="5"/>
      <c r="M835" s="5"/>
    </row>
    <row r="836" spans="1:13" x14ac:dyDescent="0.35">
      <c r="A836" s="3"/>
      <c r="B836" s="4"/>
      <c r="C836" s="5"/>
      <c r="D836" s="5"/>
      <c r="E836" s="5"/>
      <c r="F836" s="5"/>
      <c r="G836" s="5"/>
      <c r="H836" s="5"/>
      <c r="I836" s="6"/>
      <c r="J836" s="5"/>
      <c r="K836" s="5"/>
      <c r="L836" s="5"/>
      <c r="M836" s="5"/>
    </row>
    <row r="837" spans="1:13" x14ac:dyDescent="0.35">
      <c r="A837" s="3"/>
      <c r="B837" s="4"/>
      <c r="C837" s="5"/>
      <c r="D837" s="5"/>
      <c r="E837" s="5"/>
      <c r="F837" s="5"/>
      <c r="G837" s="5"/>
      <c r="H837" s="5"/>
      <c r="I837" s="6"/>
      <c r="J837" s="5"/>
      <c r="K837" s="5"/>
      <c r="L837" s="5"/>
      <c r="M837" s="5"/>
    </row>
    <row r="838" spans="1:13" x14ac:dyDescent="0.35">
      <c r="A838" s="3"/>
      <c r="B838" s="4"/>
      <c r="C838" s="5"/>
      <c r="D838" s="5"/>
      <c r="E838" s="5"/>
      <c r="F838" s="5"/>
      <c r="G838" s="5"/>
      <c r="H838" s="5"/>
      <c r="I838" s="6"/>
      <c r="J838" s="5"/>
      <c r="K838" s="5"/>
      <c r="L838" s="5"/>
      <c r="M838" s="5"/>
    </row>
    <row r="839" spans="1:13" x14ac:dyDescent="0.35">
      <c r="A839" s="3"/>
      <c r="B839" s="4"/>
      <c r="C839" s="5"/>
      <c r="D839" s="5"/>
      <c r="E839" s="5"/>
      <c r="F839" s="5"/>
      <c r="G839" s="5"/>
      <c r="H839" s="5"/>
      <c r="I839" s="6"/>
      <c r="J839" s="5"/>
      <c r="K839" s="5"/>
      <c r="L839" s="5"/>
      <c r="M839" s="5"/>
    </row>
    <row r="840" spans="1:13" x14ac:dyDescent="0.35">
      <c r="A840" s="3"/>
      <c r="B840" s="4"/>
      <c r="C840" s="5"/>
      <c r="D840" s="5"/>
      <c r="E840" s="5"/>
      <c r="F840" s="5"/>
      <c r="G840" s="5"/>
      <c r="H840" s="5"/>
      <c r="I840" s="6"/>
      <c r="J840" s="5"/>
      <c r="K840" s="5"/>
      <c r="L840" s="5"/>
      <c r="M840" s="5"/>
    </row>
    <row r="841" spans="1:13" x14ac:dyDescent="0.35">
      <c r="A841" s="3"/>
      <c r="B841" s="4"/>
      <c r="C841" s="5"/>
      <c r="D841" s="5"/>
      <c r="E841" s="5"/>
      <c r="F841" s="5"/>
      <c r="G841" s="5"/>
      <c r="H841" s="5"/>
      <c r="I841" s="6"/>
      <c r="J841" s="5"/>
      <c r="K841" s="5"/>
      <c r="L841" s="5"/>
      <c r="M841" s="5"/>
    </row>
    <row r="842" spans="1:13" x14ac:dyDescent="0.35">
      <c r="A842" s="3"/>
      <c r="B842" s="4"/>
      <c r="C842" s="5"/>
      <c r="D842" s="5"/>
      <c r="E842" s="5"/>
      <c r="F842" s="5"/>
      <c r="G842" s="5"/>
      <c r="H842" s="5"/>
      <c r="I842" s="6"/>
      <c r="J842" s="5"/>
      <c r="K842" s="5"/>
      <c r="L842" s="5"/>
      <c r="M842" s="5"/>
    </row>
    <row r="843" spans="1:13" x14ac:dyDescent="0.35">
      <c r="A843" s="3"/>
      <c r="B843" s="4"/>
      <c r="C843" s="5"/>
      <c r="D843" s="5"/>
      <c r="E843" s="5"/>
      <c r="F843" s="5"/>
      <c r="G843" s="5"/>
      <c r="H843" s="5"/>
      <c r="I843" s="6"/>
      <c r="J843" s="5"/>
      <c r="K843" s="5"/>
      <c r="L843" s="5"/>
      <c r="M843" s="5"/>
    </row>
    <row r="844" spans="1:13" x14ac:dyDescent="0.35">
      <c r="A844" s="3"/>
      <c r="B844" s="4"/>
      <c r="C844" s="5"/>
      <c r="D844" s="5"/>
      <c r="E844" s="5"/>
      <c r="F844" s="5"/>
      <c r="G844" s="5"/>
      <c r="H844" s="5"/>
      <c r="I844" s="6"/>
      <c r="J844" s="5"/>
      <c r="K844" s="5"/>
      <c r="L844" s="5"/>
      <c r="M844" s="5"/>
    </row>
    <row r="845" spans="1:13" x14ac:dyDescent="0.35">
      <c r="A845" s="3"/>
      <c r="B845" s="4"/>
      <c r="C845" s="5"/>
      <c r="D845" s="5"/>
      <c r="E845" s="5"/>
      <c r="F845" s="5"/>
      <c r="G845" s="5"/>
      <c r="H845" s="5"/>
      <c r="I845" s="6"/>
      <c r="J845" s="5"/>
      <c r="K845" s="5"/>
      <c r="L845" s="5"/>
      <c r="M845" s="5"/>
    </row>
    <row r="846" spans="1:13" x14ac:dyDescent="0.35">
      <c r="A846" s="3"/>
      <c r="B846" s="4"/>
      <c r="C846" s="5"/>
      <c r="D846" s="5"/>
      <c r="E846" s="5"/>
      <c r="F846" s="5"/>
      <c r="G846" s="5"/>
      <c r="H846" s="5"/>
      <c r="I846" s="6"/>
      <c r="J846" s="5"/>
      <c r="K846" s="5"/>
      <c r="L846" s="5"/>
      <c r="M846" s="5"/>
    </row>
    <row r="847" spans="1:13" x14ac:dyDescent="0.35">
      <c r="A847" s="3"/>
      <c r="B847" s="4"/>
      <c r="C847" s="5"/>
      <c r="D847" s="5"/>
      <c r="E847" s="5"/>
      <c r="F847" s="5"/>
      <c r="G847" s="5"/>
      <c r="H847" s="5"/>
      <c r="I847" s="6"/>
      <c r="J847" s="5"/>
      <c r="K847" s="5"/>
      <c r="L847" s="5"/>
      <c r="M847" s="5"/>
    </row>
    <row r="848" spans="1:13" x14ac:dyDescent="0.35">
      <c r="A848" s="3"/>
      <c r="B848" s="4"/>
      <c r="C848" s="5"/>
      <c r="D848" s="5"/>
      <c r="E848" s="5"/>
      <c r="F848" s="5"/>
      <c r="G848" s="5"/>
      <c r="H848" s="5"/>
      <c r="I848" s="6"/>
      <c r="J848" s="5"/>
      <c r="K848" s="5"/>
      <c r="L848" s="5"/>
      <c r="M848" s="5"/>
    </row>
    <row r="849" spans="1:13" x14ac:dyDescent="0.35">
      <c r="A849" s="3"/>
      <c r="B849" s="4"/>
      <c r="C849" s="5"/>
      <c r="D849" s="5"/>
      <c r="E849" s="5"/>
      <c r="F849" s="5"/>
      <c r="G849" s="5"/>
      <c r="H849" s="5"/>
      <c r="I849" s="6"/>
      <c r="J849" s="5"/>
      <c r="K849" s="5"/>
      <c r="L849" s="5"/>
      <c r="M849" s="5"/>
    </row>
    <row r="850" spans="1:13" x14ac:dyDescent="0.35">
      <c r="A850" s="3"/>
      <c r="B850" s="4"/>
      <c r="C850" s="5"/>
      <c r="D850" s="5"/>
      <c r="E850" s="5"/>
      <c r="F850" s="5"/>
      <c r="G850" s="5"/>
      <c r="H850" s="5"/>
      <c r="I850" s="6"/>
      <c r="J850" s="5"/>
      <c r="K850" s="5"/>
      <c r="L850" s="5"/>
      <c r="M850" s="5"/>
    </row>
    <row r="851" spans="1:13" x14ac:dyDescent="0.35">
      <c r="A851" s="3"/>
      <c r="B851" s="4"/>
      <c r="C851" s="5"/>
      <c r="D851" s="5"/>
      <c r="E851" s="5"/>
      <c r="F851" s="5"/>
      <c r="G851" s="5"/>
      <c r="H851" s="5"/>
      <c r="I851" s="6"/>
      <c r="J851" s="5"/>
      <c r="K851" s="5"/>
      <c r="L851" s="5"/>
      <c r="M851" s="5"/>
    </row>
    <row r="852" spans="1:13" x14ac:dyDescent="0.35">
      <c r="A852" s="3"/>
      <c r="B852" s="4"/>
      <c r="C852" s="5"/>
      <c r="D852" s="5"/>
      <c r="E852" s="5"/>
      <c r="F852" s="5"/>
      <c r="G852" s="5"/>
      <c r="H852" s="5"/>
      <c r="I852" s="6"/>
      <c r="J852" s="5"/>
      <c r="K852" s="5"/>
      <c r="L852" s="5"/>
      <c r="M852" s="5"/>
    </row>
    <row r="853" spans="1:13" x14ac:dyDescent="0.35">
      <c r="A853" s="3"/>
      <c r="B853" s="4"/>
      <c r="C853" s="5"/>
      <c r="D853" s="5"/>
      <c r="E853" s="5"/>
      <c r="F853" s="5"/>
      <c r="G853" s="5"/>
      <c r="H853" s="5"/>
      <c r="I853" s="6"/>
      <c r="J853" s="5"/>
      <c r="K853" s="5"/>
      <c r="L853" s="5"/>
      <c r="M853" s="5"/>
    </row>
    <row r="854" spans="1:13" x14ac:dyDescent="0.35">
      <c r="A854" s="3"/>
      <c r="B854" s="4"/>
      <c r="C854" s="5"/>
      <c r="D854" s="5"/>
      <c r="E854" s="5"/>
      <c r="F854" s="5"/>
      <c r="G854" s="5"/>
      <c r="H854" s="5"/>
      <c r="I854" s="6"/>
      <c r="J854" s="5"/>
      <c r="K854" s="5"/>
      <c r="L854" s="5"/>
      <c r="M854" s="5"/>
    </row>
    <row r="855" spans="1:13" x14ac:dyDescent="0.35">
      <c r="A855" s="3"/>
      <c r="B855" s="4"/>
      <c r="C855" s="5"/>
      <c r="D855" s="5"/>
      <c r="E855" s="5"/>
      <c r="F855" s="5"/>
      <c r="G855" s="5"/>
      <c r="H855" s="5"/>
      <c r="I855" s="6"/>
      <c r="J855" s="5"/>
      <c r="K855" s="5"/>
      <c r="L855" s="5"/>
      <c r="M855" s="5"/>
    </row>
    <row r="856" spans="1:13" x14ac:dyDescent="0.35">
      <c r="A856" s="3"/>
      <c r="B856" s="4"/>
      <c r="C856" s="5"/>
      <c r="D856" s="5"/>
      <c r="E856" s="5"/>
      <c r="F856" s="5"/>
      <c r="G856" s="5"/>
      <c r="H856" s="5"/>
      <c r="I856" s="6"/>
      <c r="J856" s="5"/>
      <c r="K856" s="5"/>
      <c r="L856" s="5"/>
      <c r="M856" s="5"/>
    </row>
    <row r="857" spans="1:13" x14ac:dyDescent="0.35">
      <c r="A857" s="3"/>
      <c r="B857" s="4"/>
      <c r="C857" s="5"/>
      <c r="D857" s="5"/>
      <c r="E857" s="5"/>
      <c r="F857" s="5"/>
      <c r="G857" s="5"/>
      <c r="H857" s="5"/>
      <c r="I857" s="6"/>
      <c r="J857" s="5"/>
      <c r="K857" s="5"/>
      <c r="L857" s="5"/>
      <c r="M857" s="5"/>
    </row>
    <row r="858" spans="1:13" x14ac:dyDescent="0.35">
      <c r="A858" s="3"/>
      <c r="B858" s="4"/>
      <c r="C858" s="5"/>
      <c r="D858" s="5"/>
      <c r="E858" s="5"/>
      <c r="F858" s="5"/>
      <c r="G858" s="5"/>
      <c r="H858" s="5"/>
      <c r="I858" s="6"/>
      <c r="J858" s="5"/>
      <c r="K858" s="5"/>
      <c r="L858" s="5"/>
      <c r="M858" s="5"/>
    </row>
    <row r="859" spans="1:13" x14ac:dyDescent="0.35">
      <c r="A859" s="3"/>
      <c r="B859" s="4"/>
      <c r="C859" s="5"/>
      <c r="D859" s="5"/>
      <c r="E859" s="5"/>
      <c r="F859" s="5"/>
      <c r="G859" s="5"/>
      <c r="H859" s="5"/>
      <c r="I859" s="6"/>
      <c r="J859" s="5"/>
      <c r="K859" s="5"/>
      <c r="L859" s="5"/>
      <c r="M859" s="5"/>
    </row>
    <row r="860" spans="1:13" x14ac:dyDescent="0.35">
      <c r="A860" s="3"/>
      <c r="B860" s="4"/>
      <c r="C860" s="5"/>
      <c r="D860" s="5"/>
      <c r="E860" s="5"/>
      <c r="F860" s="5"/>
      <c r="G860" s="5"/>
      <c r="H860" s="5"/>
      <c r="I860" s="6"/>
      <c r="J860" s="5"/>
      <c r="K860" s="5"/>
      <c r="L860" s="5"/>
      <c r="M860" s="5"/>
    </row>
    <row r="861" spans="1:13" x14ac:dyDescent="0.35">
      <c r="A861" s="3"/>
      <c r="B861" s="4"/>
      <c r="C861" s="5"/>
      <c r="D861" s="5"/>
      <c r="E861" s="5"/>
      <c r="F861" s="5"/>
      <c r="G861" s="5"/>
      <c r="H861" s="5"/>
      <c r="I861" s="6"/>
      <c r="J861" s="5"/>
      <c r="K861" s="5"/>
      <c r="L861" s="5"/>
      <c r="M861" s="5"/>
    </row>
    <row r="862" spans="1:13" x14ac:dyDescent="0.35">
      <c r="A862" s="3"/>
      <c r="B862" s="4"/>
      <c r="C862" s="5"/>
      <c r="D862" s="5"/>
      <c r="E862" s="5"/>
      <c r="F862" s="5"/>
      <c r="G862" s="5"/>
      <c r="H862" s="5"/>
      <c r="I862" s="6"/>
      <c r="J862" s="5"/>
      <c r="K862" s="5"/>
      <c r="L862" s="5"/>
      <c r="M862" s="5"/>
    </row>
    <row r="863" spans="1:13" x14ac:dyDescent="0.35">
      <c r="A863" s="3"/>
      <c r="B863" s="4"/>
      <c r="C863" s="5"/>
      <c r="D863" s="5"/>
      <c r="E863" s="5"/>
      <c r="F863" s="5"/>
      <c r="G863" s="5"/>
      <c r="H863" s="5"/>
      <c r="I863" s="6"/>
      <c r="J863" s="5"/>
      <c r="K863" s="5"/>
      <c r="L863" s="5"/>
      <c r="M863" s="5"/>
    </row>
    <row r="864" spans="1:13" x14ac:dyDescent="0.35">
      <c r="A864" s="3"/>
      <c r="B864" s="4"/>
      <c r="C864" s="5"/>
      <c r="D864" s="5"/>
      <c r="E864" s="5"/>
      <c r="F864" s="5"/>
      <c r="G864" s="5"/>
      <c r="H864" s="5"/>
      <c r="I864" s="6"/>
      <c r="J864" s="5"/>
      <c r="K864" s="5"/>
      <c r="L864" s="5"/>
      <c r="M864" s="5"/>
    </row>
    <row r="865" spans="1:13" x14ac:dyDescent="0.35">
      <c r="A865" s="3"/>
      <c r="B865" s="4"/>
      <c r="C865" s="5"/>
      <c r="D865" s="5"/>
      <c r="E865" s="5"/>
      <c r="F865" s="5"/>
      <c r="G865" s="5"/>
      <c r="H865" s="5"/>
      <c r="I865" s="6"/>
      <c r="J865" s="5"/>
      <c r="K865" s="5"/>
      <c r="L865" s="5"/>
      <c r="M865" s="5"/>
    </row>
    <row r="866" spans="1:13" x14ac:dyDescent="0.35">
      <c r="A866" s="3"/>
      <c r="B866" s="4"/>
      <c r="C866" s="5"/>
      <c r="D866" s="5"/>
      <c r="E866" s="5"/>
      <c r="F866" s="5"/>
      <c r="G866" s="5"/>
      <c r="H866" s="5"/>
      <c r="I866" s="6"/>
      <c r="J866" s="5"/>
      <c r="K866" s="5"/>
      <c r="L866" s="5"/>
      <c r="M866" s="5"/>
    </row>
    <row r="867" spans="1:13" x14ac:dyDescent="0.35">
      <c r="A867" s="3"/>
      <c r="B867" s="4"/>
      <c r="C867" s="5"/>
      <c r="D867" s="5"/>
      <c r="E867" s="5"/>
      <c r="F867" s="5"/>
      <c r="G867" s="5"/>
      <c r="H867" s="5"/>
      <c r="I867" s="6"/>
      <c r="J867" s="5"/>
      <c r="K867" s="5"/>
      <c r="L867" s="5"/>
      <c r="M867" s="5"/>
    </row>
    <row r="868" spans="1:13" x14ac:dyDescent="0.35">
      <c r="A868" s="3"/>
      <c r="B868" s="4"/>
      <c r="C868" s="5"/>
      <c r="D868" s="5"/>
      <c r="E868" s="5"/>
      <c r="F868" s="5"/>
      <c r="G868" s="5"/>
      <c r="H868" s="5"/>
      <c r="I868" s="6"/>
      <c r="J868" s="5"/>
      <c r="K868" s="5"/>
      <c r="L868" s="5"/>
      <c r="M868" s="5"/>
    </row>
    <row r="869" spans="1:13" x14ac:dyDescent="0.35">
      <c r="A869" s="3"/>
      <c r="B869" s="4"/>
      <c r="C869" s="5"/>
      <c r="D869" s="5"/>
      <c r="E869" s="5"/>
      <c r="F869" s="5"/>
      <c r="G869" s="5"/>
      <c r="H869" s="5"/>
      <c r="I869" s="6"/>
      <c r="J869" s="5"/>
      <c r="K869" s="5"/>
      <c r="L869" s="5"/>
      <c r="M869" s="5"/>
    </row>
    <row r="870" spans="1:13" x14ac:dyDescent="0.35">
      <c r="A870" s="3"/>
      <c r="B870" s="4"/>
      <c r="C870" s="5"/>
      <c r="D870" s="5"/>
      <c r="E870" s="5"/>
      <c r="F870" s="5"/>
      <c r="G870" s="5"/>
      <c r="H870" s="5"/>
      <c r="I870" s="6"/>
      <c r="J870" s="5"/>
      <c r="K870" s="5"/>
      <c r="L870" s="5"/>
      <c r="M870" s="5"/>
    </row>
    <row r="871" spans="1:13" x14ac:dyDescent="0.35">
      <c r="A871" s="3"/>
      <c r="B871" s="4"/>
      <c r="C871" s="5"/>
      <c r="D871" s="5"/>
      <c r="E871" s="5"/>
      <c r="F871" s="5"/>
      <c r="G871" s="5"/>
      <c r="H871" s="5"/>
      <c r="I871" s="6"/>
      <c r="J871" s="5"/>
      <c r="K871" s="5"/>
      <c r="L871" s="5"/>
      <c r="M871" s="5"/>
    </row>
    <row r="872" spans="1:13" x14ac:dyDescent="0.35">
      <c r="A872" s="3"/>
      <c r="B872" s="4"/>
      <c r="C872" s="5"/>
      <c r="D872" s="5"/>
      <c r="E872" s="5"/>
      <c r="F872" s="5"/>
      <c r="G872" s="5"/>
      <c r="H872" s="5"/>
      <c r="I872" s="6"/>
      <c r="J872" s="5"/>
      <c r="K872" s="5"/>
      <c r="L872" s="5"/>
      <c r="M872" s="5"/>
    </row>
    <row r="873" spans="1:13" x14ac:dyDescent="0.35">
      <c r="A873" s="3"/>
      <c r="B873" s="4"/>
      <c r="C873" s="5"/>
      <c r="D873" s="5"/>
      <c r="E873" s="5"/>
      <c r="F873" s="5"/>
      <c r="G873" s="5"/>
      <c r="H873" s="5"/>
      <c r="I873" s="6"/>
      <c r="J873" s="5"/>
      <c r="K873" s="5"/>
      <c r="L873" s="5"/>
      <c r="M873" s="5"/>
    </row>
    <row r="874" spans="1:13" x14ac:dyDescent="0.35">
      <c r="A874" s="3"/>
      <c r="B874" s="4"/>
      <c r="C874" s="5"/>
      <c r="D874" s="5"/>
      <c r="E874" s="5"/>
      <c r="F874" s="5"/>
      <c r="G874" s="5"/>
      <c r="H874" s="5"/>
      <c r="I874" s="6"/>
      <c r="J874" s="5"/>
      <c r="K874" s="5"/>
      <c r="L874" s="5"/>
      <c r="M874" s="5"/>
    </row>
    <row r="875" spans="1:13" x14ac:dyDescent="0.35">
      <c r="A875" s="3"/>
      <c r="B875" s="4"/>
      <c r="C875" s="5"/>
      <c r="D875" s="5"/>
      <c r="E875" s="5"/>
      <c r="F875" s="5"/>
      <c r="G875" s="5"/>
      <c r="H875" s="5"/>
      <c r="I875" s="6"/>
      <c r="J875" s="5"/>
      <c r="K875" s="5"/>
      <c r="L875" s="5"/>
      <c r="M875" s="5"/>
    </row>
    <row r="876" spans="1:13" x14ac:dyDescent="0.35">
      <c r="A876" s="3"/>
      <c r="B876" s="4"/>
      <c r="C876" s="5"/>
      <c r="D876" s="5"/>
      <c r="E876" s="5"/>
      <c r="F876" s="5"/>
      <c r="G876" s="5"/>
      <c r="H876" s="5"/>
      <c r="I876" s="6"/>
      <c r="J876" s="5"/>
      <c r="K876" s="5"/>
      <c r="L876" s="5"/>
      <c r="M876" s="5"/>
    </row>
    <row r="877" spans="1:13" x14ac:dyDescent="0.35">
      <c r="A877" s="3"/>
      <c r="B877" s="4"/>
      <c r="C877" s="5"/>
      <c r="D877" s="5"/>
      <c r="E877" s="5"/>
      <c r="F877" s="5"/>
      <c r="G877" s="5"/>
      <c r="H877" s="5"/>
      <c r="I877" s="6"/>
      <c r="J877" s="5"/>
      <c r="K877" s="5"/>
      <c r="L877" s="5"/>
      <c r="M877" s="5"/>
    </row>
    <row r="878" spans="1:13" x14ac:dyDescent="0.35">
      <c r="A878" s="3"/>
      <c r="B878" s="4"/>
      <c r="C878" s="5"/>
      <c r="D878" s="5"/>
      <c r="E878" s="5"/>
      <c r="F878" s="5"/>
      <c r="G878" s="5"/>
      <c r="H878" s="5"/>
      <c r="I878" s="6"/>
      <c r="J878" s="5"/>
      <c r="K878" s="5"/>
      <c r="L878" s="5"/>
      <c r="M878" s="5"/>
    </row>
    <row r="879" spans="1:13" x14ac:dyDescent="0.35">
      <c r="A879" s="3"/>
      <c r="B879" s="4"/>
      <c r="C879" s="5"/>
      <c r="D879" s="5"/>
      <c r="E879" s="5"/>
      <c r="F879" s="5"/>
      <c r="G879" s="5"/>
      <c r="H879" s="5"/>
      <c r="I879" s="6"/>
      <c r="J879" s="5"/>
      <c r="K879" s="5"/>
      <c r="L879" s="5"/>
      <c r="M879" s="5"/>
    </row>
    <row r="880" spans="1:13" x14ac:dyDescent="0.35">
      <c r="A880" s="3"/>
      <c r="B880" s="4"/>
      <c r="C880" s="5"/>
      <c r="D880" s="5"/>
      <c r="E880" s="5"/>
      <c r="F880" s="5"/>
      <c r="G880" s="5"/>
      <c r="H880" s="5"/>
      <c r="I880" s="6"/>
      <c r="J880" s="5"/>
      <c r="K880" s="5"/>
      <c r="L880" s="5"/>
      <c r="M880" s="5"/>
    </row>
    <row r="881" spans="1:13" x14ac:dyDescent="0.35">
      <c r="A881" s="3"/>
      <c r="B881" s="4"/>
      <c r="C881" s="5"/>
      <c r="D881" s="5"/>
      <c r="E881" s="5"/>
      <c r="F881" s="5"/>
      <c r="G881" s="5"/>
      <c r="H881" s="5"/>
      <c r="I881" s="6"/>
      <c r="J881" s="5"/>
      <c r="K881" s="5"/>
      <c r="L881" s="5"/>
      <c r="M881" s="5"/>
    </row>
    <row r="882" spans="1:13" x14ac:dyDescent="0.35">
      <c r="A882" s="3"/>
      <c r="B882" s="4"/>
      <c r="C882" s="5"/>
      <c r="D882" s="5"/>
      <c r="E882" s="5"/>
      <c r="F882" s="5"/>
      <c r="G882" s="5"/>
      <c r="H882" s="5"/>
      <c r="I882" s="6"/>
      <c r="J882" s="5"/>
      <c r="K882" s="5"/>
      <c r="L882" s="5"/>
      <c r="M882" s="5"/>
    </row>
    <row r="883" spans="1:13" x14ac:dyDescent="0.35">
      <c r="A883" s="3"/>
      <c r="B883" s="4"/>
      <c r="C883" s="5"/>
      <c r="D883" s="5"/>
      <c r="E883" s="5"/>
      <c r="F883" s="5"/>
      <c r="G883" s="5"/>
      <c r="H883" s="5"/>
      <c r="I883" s="6"/>
      <c r="J883" s="5"/>
      <c r="K883" s="5"/>
      <c r="L883" s="5"/>
      <c r="M883" s="5"/>
    </row>
    <row r="884" spans="1:13" x14ac:dyDescent="0.35">
      <c r="A884" s="3"/>
      <c r="B884" s="4"/>
      <c r="C884" s="5"/>
      <c r="D884" s="5"/>
      <c r="E884" s="5"/>
      <c r="F884" s="5"/>
      <c r="G884" s="5"/>
      <c r="H884" s="5"/>
      <c r="I884" s="6"/>
      <c r="J884" s="5"/>
      <c r="K884" s="5"/>
      <c r="L884" s="5"/>
      <c r="M884" s="5"/>
    </row>
    <row r="885" spans="1:13" x14ac:dyDescent="0.35">
      <c r="A885" s="3"/>
      <c r="B885" s="4"/>
      <c r="C885" s="5"/>
      <c r="D885" s="5"/>
      <c r="E885" s="5"/>
      <c r="F885" s="5"/>
      <c r="G885" s="5"/>
      <c r="H885" s="5"/>
      <c r="I885" s="6"/>
      <c r="J885" s="5"/>
      <c r="K885" s="5"/>
      <c r="L885" s="5"/>
      <c r="M885" s="5"/>
    </row>
    <row r="886" spans="1:13" x14ac:dyDescent="0.35">
      <c r="A886" s="3"/>
      <c r="B886" s="4"/>
      <c r="C886" s="5"/>
      <c r="D886" s="5"/>
      <c r="E886" s="5"/>
      <c r="F886" s="5"/>
      <c r="G886" s="5"/>
      <c r="H886" s="5"/>
      <c r="I886" s="6"/>
      <c r="J886" s="5"/>
      <c r="K886" s="5"/>
      <c r="L886" s="5"/>
      <c r="M886" s="5"/>
    </row>
    <row r="887" spans="1:13" x14ac:dyDescent="0.35">
      <c r="A887" s="3"/>
      <c r="B887" s="4"/>
      <c r="C887" s="5"/>
      <c r="D887" s="5"/>
      <c r="E887" s="5"/>
      <c r="F887" s="5"/>
      <c r="G887" s="5"/>
      <c r="H887" s="5"/>
      <c r="I887" s="6"/>
      <c r="J887" s="5"/>
      <c r="K887" s="5"/>
      <c r="L887" s="5"/>
      <c r="M887" s="5"/>
    </row>
    <row r="888" spans="1:13" x14ac:dyDescent="0.35">
      <c r="A888" s="3"/>
      <c r="B888" s="4"/>
      <c r="C888" s="5"/>
      <c r="D888" s="5"/>
      <c r="E888" s="5"/>
      <c r="F888" s="5"/>
      <c r="G888" s="5"/>
      <c r="H888" s="5"/>
      <c r="I888" s="6"/>
      <c r="J888" s="5"/>
      <c r="K888" s="5"/>
      <c r="L888" s="5"/>
      <c r="M888" s="5"/>
    </row>
    <row r="889" spans="1:13" x14ac:dyDescent="0.35">
      <c r="A889" s="3"/>
      <c r="B889" s="4"/>
      <c r="C889" s="5"/>
      <c r="D889" s="5"/>
      <c r="E889" s="5"/>
      <c r="F889" s="5"/>
      <c r="G889" s="5"/>
      <c r="H889" s="5"/>
      <c r="I889" s="6"/>
      <c r="J889" s="5"/>
      <c r="K889" s="5"/>
      <c r="L889" s="5"/>
      <c r="M889" s="5"/>
    </row>
    <row r="890" spans="1:13" x14ac:dyDescent="0.35">
      <c r="A890" s="3"/>
      <c r="B890" s="4"/>
      <c r="C890" s="5"/>
      <c r="D890" s="5"/>
      <c r="E890" s="5"/>
      <c r="F890" s="5"/>
      <c r="G890" s="5"/>
      <c r="H890" s="5"/>
      <c r="I890" s="6"/>
      <c r="J890" s="5"/>
      <c r="K890" s="5"/>
      <c r="L890" s="5"/>
      <c r="M890" s="5"/>
    </row>
    <row r="891" spans="1:13" x14ac:dyDescent="0.35">
      <c r="A891" s="3"/>
      <c r="B891" s="4"/>
      <c r="C891" s="5"/>
      <c r="D891" s="5"/>
      <c r="E891" s="5"/>
      <c r="F891" s="5"/>
      <c r="G891" s="5"/>
      <c r="H891" s="5"/>
      <c r="I891" s="6"/>
      <c r="J891" s="5"/>
      <c r="K891" s="5"/>
      <c r="L891" s="5"/>
      <c r="M891" s="5"/>
    </row>
    <row r="892" spans="1:13" x14ac:dyDescent="0.35">
      <c r="A892" s="3"/>
      <c r="B892" s="4"/>
      <c r="C892" s="5"/>
      <c r="D892" s="5"/>
      <c r="E892" s="5"/>
      <c r="F892" s="5"/>
      <c r="G892" s="5"/>
      <c r="H892" s="5"/>
      <c r="I892" s="6"/>
      <c r="J892" s="5"/>
      <c r="K892" s="5"/>
      <c r="L892" s="5"/>
      <c r="M892" s="5"/>
    </row>
    <row r="893" spans="1:13" x14ac:dyDescent="0.35">
      <c r="A893" s="3"/>
      <c r="B893" s="4"/>
      <c r="C893" s="5"/>
      <c r="D893" s="5"/>
      <c r="E893" s="5"/>
      <c r="F893" s="5"/>
      <c r="G893" s="5"/>
      <c r="H893" s="5"/>
      <c r="I893" s="6"/>
      <c r="J893" s="5"/>
      <c r="K893" s="5"/>
      <c r="L893" s="5"/>
      <c r="M893" s="5"/>
    </row>
    <row r="894" spans="1:13" x14ac:dyDescent="0.35">
      <c r="A894" s="3"/>
      <c r="B894" s="4"/>
      <c r="C894" s="5"/>
      <c r="D894" s="5"/>
      <c r="E894" s="5"/>
      <c r="F894" s="5"/>
      <c r="G894" s="5"/>
      <c r="H894" s="5"/>
      <c r="I894" s="6"/>
      <c r="J894" s="5"/>
      <c r="K894" s="5"/>
      <c r="L894" s="5"/>
      <c r="M894" s="5"/>
    </row>
    <row r="895" spans="1:13" x14ac:dyDescent="0.35">
      <c r="A895" s="3"/>
      <c r="B895" s="4"/>
      <c r="C895" s="5"/>
      <c r="D895" s="5"/>
      <c r="E895" s="5"/>
      <c r="F895" s="5"/>
      <c r="G895" s="5"/>
      <c r="H895" s="5"/>
      <c r="I895" s="6"/>
      <c r="J895" s="5"/>
      <c r="K895" s="5"/>
      <c r="L895" s="5"/>
      <c r="M895" s="5"/>
    </row>
    <row r="896" spans="1:13" x14ac:dyDescent="0.35">
      <c r="A896" s="3"/>
      <c r="B896" s="4"/>
      <c r="C896" s="5"/>
      <c r="D896" s="5"/>
      <c r="E896" s="5"/>
      <c r="F896" s="5"/>
      <c r="G896" s="5"/>
      <c r="H896" s="5"/>
      <c r="I896" s="6"/>
      <c r="J896" s="5"/>
      <c r="K896" s="5"/>
      <c r="L896" s="5"/>
      <c r="M896" s="5"/>
    </row>
    <row r="897" spans="1:13" x14ac:dyDescent="0.35">
      <c r="A897" s="3"/>
      <c r="B897" s="4"/>
      <c r="C897" s="5"/>
      <c r="D897" s="5"/>
      <c r="E897" s="5"/>
      <c r="F897" s="5"/>
      <c r="G897" s="5"/>
      <c r="H897" s="5"/>
      <c r="I897" s="6"/>
      <c r="J897" s="5"/>
      <c r="K897" s="5"/>
      <c r="L897" s="5"/>
      <c r="M897" s="5"/>
    </row>
    <row r="898" spans="1:13" x14ac:dyDescent="0.35">
      <c r="A898" s="3"/>
      <c r="B898" s="4"/>
      <c r="C898" s="5"/>
      <c r="D898" s="5"/>
      <c r="E898" s="5"/>
      <c r="F898" s="5"/>
      <c r="G898" s="5"/>
      <c r="H898" s="5"/>
      <c r="I898" s="6"/>
      <c r="J898" s="5"/>
      <c r="K898" s="5"/>
      <c r="L898" s="5"/>
      <c r="M898" s="5"/>
    </row>
    <row r="899" spans="1:13" x14ac:dyDescent="0.35">
      <c r="A899" s="3"/>
      <c r="B899" s="4"/>
      <c r="C899" s="5"/>
      <c r="D899" s="5"/>
      <c r="E899" s="5"/>
      <c r="F899" s="5"/>
      <c r="G899" s="5"/>
      <c r="H899" s="5"/>
      <c r="I899" s="6"/>
      <c r="J899" s="5"/>
      <c r="K899" s="5"/>
      <c r="L899" s="5"/>
      <c r="M899" s="5"/>
    </row>
    <row r="900" spans="1:13" x14ac:dyDescent="0.35">
      <c r="A900" s="3"/>
      <c r="B900" s="4"/>
      <c r="C900" s="5"/>
      <c r="D900" s="5"/>
      <c r="E900" s="5"/>
      <c r="F900" s="5"/>
      <c r="G900" s="5"/>
      <c r="H900" s="5"/>
      <c r="I900" s="6"/>
      <c r="J900" s="5"/>
      <c r="K900" s="5"/>
      <c r="L900" s="5"/>
      <c r="M900" s="5"/>
    </row>
    <row r="901" spans="1:13" x14ac:dyDescent="0.35">
      <c r="A901" s="3"/>
      <c r="B901" s="4"/>
      <c r="C901" s="5"/>
      <c r="D901" s="5"/>
      <c r="E901" s="5"/>
      <c r="F901" s="5"/>
      <c r="G901" s="5"/>
      <c r="H901" s="5"/>
      <c r="I901" s="6"/>
      <c r="J901" s="5"/>
      <c r="K901" s="5"/>
      <c r="L901" s="5"/>
      <c r="M901" s="5"/>
    </row>
    <row r="902" spans="1:13" x14ac:dyDescent="0.35">
      <c r="A902" s="3"/>
      <c r="B902" s="4"/>
      <c r="C902" s="5"/>
      <c r="D902" s="5"/>
      <c r="E902" s="5"/>
      <c r="F902" s="5"/>
      <c r="G902" s="5"/>
      <c r="H902" s="5"/>
      <c r="I902" s="6"/>
      <c r="J902" s="5"/>
      <c r="K902" s="5"/>
      <c r="L902" s="5"/>
      <c r="M902" s="5"/>
    </row>
    <row r="903" spans="1:13" x14ac:dyDescent="0.35">
      <c r="A903" s="3"/>
      <c r="B903" s="4"/>
      <c r="C903" s="5"/>
      <c r="D903" s="5"/>
      <c r="E903" s="5"/>
      <c r="F903" s="5"/>
      <c r="G903" s="5"/>
      <c r="H903" s="5"/>
      <c r="I903" s="6"/>
      <c r="J903" s="5"/>
      <c r="K903" s="5"/>
      <c r="L903" s="5"/>
      <c r="M903" s="5"/>
    </row>
    <row r="904" spans="1:13" x14ac:dyDescent="0.35">
      <c r="A904" s="3"/>
      <c r="B904" s="4"/>
      <c r="C904" s="5"/>
      <c r="D904" s="5"/>
      <c r="E904" s="5"/>
      <c r="F904" s="5"/>
      <c r="G904" s="5"/>
      <c r="H904" s="5"/>
      <c r="I904" s="6"/>
      <c r="J904" s="5"/>
      <c r="K904" s="5"/>
      <c r="L904" s="5"/>
      <c r="M904" s="5"/>
    </row>
    <row r="905" spans="1:13" x14ac:dyDescent="0.35">
      <c r="A905" s="3"/>
      <c r="B905" s="4"/>
      <c r="C905" s="5"/>
      <c r="D905" s="5"/>
      <c r="E905" s="5"/>
      <c r="F905" s="5"/>
      <c r="G905" s="5"/>
      <c r="H905" s="5"/>
      <c r="I905" s="6"/>
      <c r="J905" s="5"/>
      <c r="K905" s="5"/>
      <c r="L905" s="5"/>
      <c r="M905" s="5"/>
    </row>
    <row r="906" spans="1:13" x14ac:dyDescent="0.35">
      <c r="A906" s="3"/>
      <c r="B906" s="4"/>
      <c r="C906" s="5"/>
      <c r="D906" s="5"/>
      <c r="E906" s="5"/>
      <c r="F906" s="5"/>
      <c r="G906" s="5"/>
      <c r="H906" s="5"/>
      <c r="I906" s="6"/>
      <c r="J906" s="5"/>
      <c r="K906" s="5"/>
      <c r="L906" s="5"/>
      <c r="M906" s="5"/>
    </row>
    <row r="907" spans="1:13" x14ac:dyDescent="0.35">
      <c r="A907" s="3"/>
      <c r="B907" s="4"/>
      <c r="C907" s="5"/>
      <c r="D907" s="5"/>
      <c r="E907" s="5"/>
      <c r="F907" s="5"/>
      <c r="G907" s="5"/>
      <c r="H907" s="5"/>
      <c r="I907" s="6"/>
      <c r="J907" s="5"/>
      <c r="K907" s="5"/>
      <c r="L907" s="5"/>
      <c r="M907" s="5"/>
    </row>
    <row r="908" spans="1:13" x14ac:dyDescent="0.35">
      <c r="A908" s="3"/>
      <c r="B908" s="4"/>
      <c r="C908" s="5"/>
      <c r="D908" s="5"/>
      <c r="E908" s="5"/>
      <c r="F908" s="5"/>
      <c r="G908" s="5"/>
      <c r="H908" s="5"/>
      <c r="I908" s="6"/>
      <c r="J908" s="5"/>
      <c r="K908" s="5"/>
      <c r="L908" s="5"/>
      <c r="M908" s="5"/>
    </row>
    <row r="909" spans="1:13" x14ac:dyDescent="0.35">
      <c r="A909" s="3"/>
      <c r="B909" s="4"/>
      <c r="C909" s="5"/>
      <c r="D909" s="5"/>
      <c r="E909" s="5"/>
      <c r="F909" s="5"/>
      <c r="G909" s="5"/>
      <c r="H909" s="5"/>
      <c r="I909" s="6"/>
      <c r="J909" s="5"/>
      <c r="K909" s="5"/>
      <c r="L909" s="5"/>
      <c r="M909" s="5"/>
    </row>
    <row r="910" spans="1:13" x14ac:dyDescent="0.35">
      <c r="A910" s="3"/>
      <c r="B910" s="4"/>
      <c r="C910" s="5"/>
      <c r="D910" s="5"/>
      <c r="E910" s="5"/>
      <c r="F910" s="5"/>
      <c r="G910" s="5"/>
      <c r="H910" s="5"/>
      <c r="I910" s="6"/>
      <c r="J910" s="5"/>
      <c r="K910" s="5"/>
      <c r="L910" s="5"/>
      <c r="M910" s="5"/>
    </row>
    <row r="911" spans="1:13" x14ac:dyDescent="0.35">
      <c r="A911" s="3"/>
      <c r="B911" s="4"/>
      <c r="C911" s="5"/>
      <c r="D911" s="5"/>
      <c r="E911" s="5"/>
      <c r="F911" s="5"/>
      <c r="G911" s="5"/>
      <c r="H911" s="5"/>
      <c r="I911" s="6"/>
      <c r="J911" s="5"/>
      <c r="K911" s="5"/>
      <c r="L911" s="5"/>
      <c r="M911" s="5"/>
    </row>
    <row r="912" spans="1:13" x14ac:dyDescent="0.35">
      <c r="A912" s="3"/>
      <c r="B912" s="4"/>
      <c r="C912" s="5"/>
      <c r="D912" s="5"/>
      <c r="E912" s="5"/>
      <c r="F912" s="5"/>
      <c r="G912" s="5"/>
      <c r="H912" s="5"/>
      <c r="I912" s="6"/>
      <c r="J912" s="5"/>
      <c r="K912" s="5"/>
      <c r="L912" s="5"/>
      <c r="M912" s="5"/>
    </row>
    <row r="913" spans="1:13" x14ac:dyDescent="0.35">
      <c r="A913" s="3"/>
      <c r="B913" s="4"/>
      <c r="C913" s="5"/>
      <c r="D913" s="5"/>
      <c r="E913" s="5"/>
      <c r="F913" s="5"/>
      <c r="G913" s="5"/>
      <c r="H913" s="5"/>
      <c r="I913" s="6"/>
      <c r="J913" s="5"/>
      <c r="K913" s="5"/>
      <c r="L913" s="5"/>
      <c r="M913" s="5"/>
    </row>
    <row r="914" spans="1:13" x14ac:dyDescent="0.35">
      <c r="A914" s="3"/>
      <c r="B914" s="4"/>
      <c r="C914" s="5"/>
      <c r="D914" s="5"/>
      <c r="E914" s="5"/>
      <c r="F914" s="5"/>
      <c r="G914" s="5"/>
      <c r="H914" s="5"/>
      <c r="I914" s="6"/>
      <c r="J914" s="5"/>
      <c r="K914" s="5"/>
      <c r="L914" s="5"/>
      <c r="M914" s="5"/>
    </row>
    <row r="915" spans="1:13" x14ac:dyDescent="0.35">
      <c r="A915" s="3"/>
      <c r="B915" s="4"/>
      <c r="C915" s="5"/>
      <c r="D915" s="5"/>
      <c r="E915" s="5"/>
      <c r="F915" s="5"/>
      <c r="G915" s="5"/>
      <c r="H915" s="5"/>
      <c r="I915" s="6"/>
      <c r="J915" s="5"/>
      <c r="K915" s="5"/>
      <c r="L915" s="5"/>
      <c r="M915" s="5"/>
    </row>
    <row r="916" spans="1:13" x14ac:dyDescent="0.35">
      <c r="A916" s="3"/>
      <c r="B916" s="4"/>
      <c r="C916" s="5"/>
      <c r="D916" s="5"/>
      <c r="E916" s="5"/>
      <c r="F916" s="5"/>
      <c r="G916" s="5"/>
      <c r="H916" s="5"/>
      <c r="I916" s="6"/>
      <c r="J916" s="5"/>
      <c r="K916" s="5"/>
      <c r="L916" s="5"/>
      <c r="M916" s="5"/>
    </row>
    <row r="917" spans="1:13" x14ac:dyDescent="0.35">
      <c r="A917" s="3"/>
      <c r="B917" s="4"/>
      <c r="C917" s="5"/>
      <c r="D917" s="5"/>
      <c r="E917" s="5"/>
      <c r="F917" s="5"/>
      <c r="G917" s="5"/>
      <c r="H917" s="5"/>
      <c r="I917" s="6"/>
      <c r="J917" s="5"/>
      <c r="K917" s="5"/>
      <c r="L917" s="5"/>
      <c r="M917" s="5"/>
    </row>
    <row r="918" spans="1:13" x14ac:dyDescent="0.35">
      <c r="A918" s="3"/>
      <c r="B918" s="4"/>
      <c r="C918" s="5"/>
      <c r="D918" s="5"/>
      <c r="E918" s="5"/>
      <c r="F918" s="5"/>
      <c r="G918" s="5"/>
      <c r="H918" s="5"/>
      <c r="I918" s="6"/>
      <c r="J918" s="5"/>
      <c r="K918" s="5"/>
      <c r="L918" s="5"/>
      <c r="M918" s="5"/>
    </row>
    <row r="919" spans="1:13" x14ac:dyDescent="0.35">
      <c r="A919" s="3"/>
      <c r="B919" s="4"/>
      <c r="C919" s="5"/>
      <c r="D919" s="5"/>
      <c r="E919" s="5"/>
      <c r="F919" s="5"/>
      <c r="G919" s="5"/>
      <c r="H919" s="5"/>
      <c r="I919" s="6"/>
      <c r="J919" s="5"/>
      <c r="K919" s="5"/>
      <c r="L919" s="5"/>
      <c r="M919" s="5"/>
    </row>
    <row r="920" spans="1:13" x14ac:dyDescent="0.35">
      <c r="A920" s="3"/>
      <c r="B920" s="4"/>
      <c r="C920" s="5"/>
      <c r="D920" s="5"/>
      <c r="E920" s="5"/>
      <c r="F920" s="5"/>
      <c r="G920" s="5"/>
      <c r="H920" s="5"/>
      <c r="I920" s="6"/>
      <c r="J920" s="5"/>
      <c r="K920" s="5"/>
      <c r="L920" s="5"/>
      <c r="M920" s="5"/>
    </row>
    <row r="921" spans="1:13" x14ac:dyDescent="0.35">
      <c r="A921" s="3"/>
      <c r="B921" s="4"/>
      <c r="C921" s="5"/>
      <c r="D921" s="5"/>
      <c r="E921" s="5"/>
      <c r="F921" s="5"/>
      <c r="G921" s="5"/>
      <c r="H921" s="5"/>
      <c r="I921" s="6"/>
      <c r="J921" s="5"/>
      <c r="K921" s="5"/>
      <c r="L921" s="5"/>
      <c r="M921" s="5"/>
    </row>
    <row r="922" spans="1:13" x14ac:dyDescent="0.35">
      <c r="A922" s="3"/>
      <c r="B922" s="4"/>
      <c r="C922" s="5"/>
      <c r="D922" s="5"/>
      <c r="E922" s="5"/>
      <c r="F922" s="5"/>
      <c r="G922" s="5"/>
      <c r="H922" s="5"/>
      <c r="I922" s="6"/>
      <c r="J922" s="5"/>
      <c r="K922" s="5"/>
      <c r="L922" s="5"/>
      <c r="M922" s="5"/>
    </row>
    <row r="923" spans="1:13" x14ac:dyDescent="0.35">
      <c r="A923" s="3"/>
      <c r="B923" s="4"/>
      <c r="C923" s="5"/>
      <c r="D923" s="5"/>
      <c r="E923" s="5"/>
      <c r="F923" s="5"/>
      <c r="G923" s="5"/>
      <c r="H923" s="5"/>
      <c r="I923" s="6"/>
      <c r="J923" s="5"/>
      <c r="K923" s="5"/>
      <c r="L923" s="5"/>
      <c r="M923" s="5"/>
    </row>
    <row r="924" spans="1:13" x14ac:dyDescent="0.35">
      <c r="A924" s="3"/>
      <c r="B924" s="4"/>
      <c r="C924" s="5"/>
      <c r="D924" s="5"/>
      <c r="E924" s="5"/>
      <c r="F924" s="5"/>
      <c r="G924" s="5"/>
      <c r="H924" s="5"/>
      <c r="I924" s="6"/>
      <c r="J924" s="5"/>
      <c r="K924" s="5"/>
      <c r="L924" s="5"/>
      <c r="M924" s="5"/>
    </row>
    <row r="925" spans="1:13" x14ac:dyDescent="0.35">
      <c r="A925" s="3"/>
      <c r="B925" s="4"/>
      <c r="C925" s="5"/>
      <c r="D925" s="5"/>
      <c r="E925" s="5"/>
      <c r="F925" s="5"/>
      <c r="G925" s="5"/>
      <c r="H925" s="5"/>
      <c r="I925" s="6"/>
      <c r="J925" s="5"/>
      <c r="K925" s="5"/>
      <c r="L925" s="5"/>
      <c r="M925" s="5"/>
    </row>
    <row r="926" spans="1:13" x14ac:dyDescent="0.35">
      <c r="A926" s="3"/>
      <c r="B926" s="4"/>
      <c r="C926" s="5"/>
      <c r="D926" s="5"/>
      <c r="E926" s="5"/>
      <c r="F926" s="5"/>
      <c r="G926" s="5"/>
      <c r="H926" s="5"/>
      <c r="I926" s="6"/>
      <c r="J926" s="5"/>
      <c r="K926" s="5"/>
      <c r="L926" s="5"/>
      <c r="M926" s="5"/>
    </row>
    <row r="927" spans="1:13" x14ac:dyDescent="0.35">
      <c r="A927" s="3"/>
      <c r="B927" s="4"/>
      <c r="C927" s="5"/>
      <c r="D927" s="5"/>
      <c r="E927" s="5"/>
      <c r="F927" s="5"/>
      <c r="G927" s="5"/>
      <c r="H927" s="5"/>
      <c r="I927" s="6"/>
      <c r="J927" s="5"/>
      <c r="K927" s="5"/>
      <c r="L927" s="5"/>
      <c r="M927" s="5"/>
    </row>
    <row r="928" spans="1:13" x14ac:dyDescent="0.35">
      <c r="A928" s="3"/>
      <c r="B928" s="4"/>
      <c r="C928" s="5"/>
      <c r="D928" s="5"/>
      <c r="E928" s="5"/>
      <c r="F928" s="5"/>
      <c r="G928" s="5"/>
      <c r="H928" s="5"/>
      <c r="I928" s="6"/>
      <c r="J928" s="5"/>
      <c r="K928" s="5"/>
      <c r="L928" s="5"/>
      <c r="M928" s="5"/>
    </row>
    <row r="929" spans="1:13" x14ac:dyDescent="0.35">
      <c r="A929" s="3"/>
      <c r="B929" s="4"/>
      <c r="C929" s="5"/>
      <c r="D929" s="5"/>
      <c r="E929" s="5"/>
      <c r="F929" s="5"/>
      <c r="G929" s="5"/>
      <c r="H929" s="5"/>
      <c r="I929" s="6"/>
      <c r="J929" s="5"/>
      <c r="K929" s="5"/>
      <c r="L929" s="5"/>
      <c r="M929" s="5"/>
    </row>
    <row r="930" spans="1:13" x14ac:dyDescent="0.35">
      <c r="A930" s="3"/>
      <c r="B930" s="4"/>
      <c r="C930" s="5"/>
      <c r="D930" s="5"/>
      <c r="E930" s="5"/>
      <c r="F930" s="5"/>
      <c r="G930" s="5"/>
      <c r="H930" s="5"/>
      <c r="I930" s="6"/>
      <c r="J930" s="5"/>
      <c r="K930" s="5"/>
      <c r="L930" s="5"/>
      <c r="M930" s="5"/>
    </row>
    <row r="931" spans="1:13" x14ac:dyDescent="0.35">
      <c r="A931" s="3"/>
      <c r="B931" s="4"/>
      <c r="C931" s="5"/>
      <c r="D931" s="5"/>
      <c r="E931" s="5"/>
      <c r="F931" s="5"/>
      <c r="G931" s="5"/>
      <c r="H931" s="5"/>
      <c r="I931" s="6"/>
      <c r="J931" s="5"/>
      <c r="K931" s="5"/>
      <c r="L931" s="5"/>
      <c r="M931" s="5"/>
    </row>
    <row r="932" spans="1:13" x14ac:dyDescent="0.35">
      <c r="A932" s="3"/>
      <c r="B932" s="4"/>
      <c r="C932" s="5"/>
      <c r="D932" s="5"/>
      <c r="E932" s="5"/>
      <c r="F932" s="5"/>
      <c r="G932" s="5"/>
      <c r="H932" s="5"/>
      <c r="I932" s="6"/>
      <c r="J932" s="5"/>
      <c r="K932" s="5"/>
      <c r="L932" s="5"/>
      <c r="M932" s="5"/>
    </row>
    <row r="933" spans="1:13" x14ac:dyDescent="0.35">
      <c r="A933" s="3"/>
      <c r="B933" s="4"/>
      <c r="C933" s="5"/>
      <c r="D933" s="5"/>
      <c r="E933" s="5"/>
      <c r="F933" s="5"/>
      <c r="G933" s="5"/>
      <c r="H933" s="5"/>
      <c r="I933" s="6"/>
      <c r="J933" s="5"/>
      <c r="K933" s="5"/>
      <c r="L933" s="5"/>
      <c r="M933" s="5"/>
    </row>
    <row r="934" spans="1:13" x14ac:dyDescent="0.35">
      <c r="A934" s="3"/>
      <c r="B934" s="4"/>
      <c r="C934" s="5"/>
      <c r="D934" s="5"/>
      <c r="E934" s="5"/>
      <c r="F934" s="5"/>
      <c r="G934" s="5"/>
      <c r="H934" s="5"/>
      <c r="I934" s="6"/>
      <c r="J934" s="5"/>
      <c r="K934" s="5"/>
      <c r="L934" s="5"/>
      <c r="M934" s="5"/>
    </row>
    <row r="935" spans="1:13" x14ac:dyDescent="0.35">
      <c r="A935" s="3"/>
      <c r="B935" s="4"/>
      <c r="C935" s="5"/>
      <c r="D935" s="5"/>
      <c r="E935" s="5"/>
      <c r="F935" s="5"/>
      <c r="G935" s="5"/>
      <c r="H935" s="5"/>
      <c r="I935" s="6"/>
      <c r="J935" s="5"/>
      <c r="K935" s="5"/>
      <c r="L935" s="5"/>
      <c r="M935" s="5"/>
    </row>
    <row r="936" spans="1:13" x14ac:dyDescent="0.35">
      <c r="A936" s="3"/>
      <c r="B936" s="4"/>
      <c r="C936" s="5"/>
      <c r="D936" s="5"/>
      <c r="E936" s="5"/>
      <c r="F936" s="5"/>
      <c r="G936" s="5"/>
      <c r="H936" s="5"/>
      <c r="I936" s="6"/>
      <c r="J936" s="5"/>
      <c r="K936" s="5"/>
      <c r="L936" s="5"/>
      <c r="M936" s="5"/>
    </row>
    <row r="937" spans="1:13" x14ac:dyDescent="0.35">
      <c r="A937" s="3"/>
      <c r="B937" s="4"/>
      <c r="C937" s="5"/>
      <c r="D937" s="5"/>
      <c r="E937" s="5"/>
      <c r="F937" s="5"/>
      <c r="G937" s="5"/>
      <c r="H937" s="5"/>
      <c r="I937" s="6"/>
      <c r="J937" s="5"/>
      <c r="K937" s="5"/>
      <c r="L937" s="5"/>
      <c r="M937" s="5"/>
    </row>
    <row r="938" spans="1:13" x14ac:dyDescent="0.35">
      <c r="A938" s="3"/>
      <c r="B938" s="4"/>
      <c r="C938" s="5"/>
      <c r="D938" s="5"/>
      <c r="E938" s="5"/>
      <c r="F938" s="5"/>
      <c r="G938" s="5"/>
      <c r="H938" s="5"/>
      <c r="I938" s="6"/>
      <c r="J938" s="5"/>
      <c r="K938" s="5"/>
      <c r="L938" s="5"/>
      <c r="M938" s="5"/>
    </row>
    <row r="939" spans="1:13" x14ac:dyDescent="0.35">
      <c r="A939" s="3"/>
      <c r="B939" s="4"/>
      <c r="C939" s="5"/>
      <c r="D939" s="5"/>
      <c r="E939" s="5"/>
      <c r="F939" s="5"/>
      <c r="G939" s="5"/>
      <c r="H939" s="5"/>
      <c r="I939" s="6"/>
      <c r="J939" s="5"/>
      <c r="K939" s="5"/>
      <c r="L939" s="5"/>
      <c r="M939" s="5"/>
    </row>
    <row r="940" spans="1:13" x14ac:dyDescent="0.35">
      <c r="A940" s="3"/>
      <c r="B940" s="4"/>
      <c r="C940" s="5"/>
      <c r="D940" s="5"/>
      <c r="E940" s="5"/>
      <c r="F940" s="5"/>
      <c r="G940" s="5"/>
      <c r="H940" s="5"/>
      <c r="I940" s="6"/>
      <c r="J940" s="5"/>
      <c r="K940" s="5"/>
      <c r="L940" s="5"/>
      <c r="M940" s="5"/>
    </row>
    <row r="941" spans="1:13" x14ac:dyDescent="0.35">
      <c r="A941" s="3"/>
      <c r="B941" s="4"/>
      <c r="C941" s="5"/>
      <c r="D941" s="5"/>
      <c r="E941" s="5"/>
      <c r="F941" s="5"/>
      <c r="G941" s="5"/>
      <c r="H941" s="5"/>
      <c r="I941" s="6"/>
      <c r="J941" s="5"/>
      <c r="K941" s="5"/>
      <c r="L941" s="5"/>
      <c r="M941" s="5"/>
    </row>
    <row r="942" spans="1:13" x14ac:dyDescent="0.35">
      <c r="A942" s="3"/>
      <c r="B942" s="4"/>
      <c r="C942" s="5"/>
      <c r="D942" s="5"/>
      <c r="E942" s="5"/>
      <c r="F942" s="5"/>
      <c r="G942" s="5"/>
      <c r="H942" s="5"/>
      <c r="I942" s="6"/>
      <c r="J942" s="5"/>
      <c r="K942" s="5"/>
      <c r="L942" s="5"/>
      <c r="M942" s="5"/>
    </row>
    <row r="943" spans="1:13" x14ac:dyDescent="0.35">
      <c r="A943" s="3"/>
      <c r="B943" s="4"/>
      <c r="C943" s="5"/>
      <c r="D943" s="5"/>
      <c r="E943" s="5"/>
      <c r="F943" s="5"/>
      <c r="G943" s="5"/>
      <c r="H943" s="5"/>
      <c r="I943" s="6"/>
      <c r="J943" s="5"/>
      <c r="K943" s="5"/>
      <c r="L943" s="5"/>
      <c r="M943" s="5"/>
    </row>
    <row r="944" spans="1:13" x14ac:dyDescent="0.35">
      <c r="A944" s="3"/>
      <c r="B944" s="4"/>
      <c r="C944" s="5"/>
      <c r="D944" s="5"/>
      <c r="E944" s="5"/>
      <c r="F944" s="5"/>
      <c r="G944" s="5"/>
      <c r="H944" s="5"/>
      <c r="I944" s="6"/>
      <c r="J944" s="5"/>
      <c r="K944" s="5"/>
      <c r="L944" s="5"/>
      <c r="M944" s="5"/>
    </row>
    <row r="945" spans="1:13" x14ac:dyDescent="0.35">
      <c r="A945" s="3"/>
      <c r="B945" s="4"/>
      <c r="C945" s="5"/>
      <c r="D945" s="5"/>
      <c r="E945" s="5"/>
      <c r="F945" s="5"/>
      <c r="G945" s="5"/>
      <c r="H945" s="5"/>
      <c r="I945" s="6"/>
      <c r="J945" s="5"/>
      <c r="K945" s="5"/>
      <c r="L945" s="5"/>
      <c r="M945" s="5"/>
    </row>
    <row r="946" spans="1:13" x14ac:dyDescent="0.35">
      <c r="A946" s="3"/>
      <c r="B946" s="4"/>
      <c r="C946" s="5"/>
      <c r="D946" s="5"/>
      <c r="E946" s="5"/>
      <c r="F946" s="5"/>
      <c r="G946" s="5"/>
      <c r="H946" s="5"/>
      <c r="I946" s="6"/>
      <c r="J946" s="5"/>
      <c r="K946" s="5"/>
      <c r="L946" s="5"/>
      <c r="M946" s="5"/>
    </row>
    <row r="947" spans="1:13" x14ac:dyDescent="0.35">
      <c r="A947" s="3"/>
      <c r="B947" s="4"/>
      <c r="C947" s="5"/>
      <c r="D947" s="5"/>
      <c r="E947" s="5"/>
      <c r="F947" s="5"/>
      <c r="G947" s="5"/>
      <c r="H947" s="5"/>
      <c r="I947" s="6"/>
      <c r="J947" s="5"/>
      <c r="K947" s="5"/>
      <c r="L947" s="5"/>
      <c r="M947" s="5"/>
    </row>
    <row r="948" spans="1:13" x14ac:dyDescent="0.35">
      <c r="A948" s="3"/>
      <c r="B948" s="4"/>
      <c r="C948" s="5"/>
      <c r="D948" s="5"/>
      <c r="E948" s="5"/>
      <c r="F948" s="5"/>
      <c r="G948" s="5"/>
      <c r="H948" s="5"/>
      <c r="I948" s="6"/>
      <c r="J948" s="5"/>
      <c r="K948" s="5"/>
      <c r="L948" s="5"/>
      <c r="M948" s="5"/>
    </row>
    <row r="949" spans="1:13" x14ac:dyDescent="0.35">
      <c r="A949" s="3"/>
      <c r="B949" s="4"/>
      <c r="C949" s="5"/>
      <c r="D949" s="5"/>
      <c r="E949" s="5"/>
      <c r="F949" s="5"/>
      <c r="G949" s="5"/>
      <c r="H949" s="5"/>
      <c r="I949" s="6"/>
      <c r="J949" s="5"/>
      <c r="K949" s="5"/>
      <c r="L949" s="5"/>
      <c r="M949" s="5"/>
    </row>
    <row r="950" spans="1:13" x14ac:dyDescent="0.35">
      <c r="A950" s="3"/>
      <c r="B950" s="4"/>
      <c r="C950" s="5"/>
      <c r="D950" s="5"/>
      <c r="E950" s="5"/>
      <c r="F950" s="5"/>
      <c r="G950" s="5"/>
      <c r="H950" s="5"/>
      <c r="I950" s="6"/>
      <c r="J950" s="5"/>
      <c r="K950" s="5"/>
      <c r="L950" s="5"/>
      <c r="M950" s="5"/>
    </row>
    <row r="951" spans="1:13" x14ac:dyDescent="0.35">
      <c r="A951" s="3"/>
      <c r="B951" s="4"/>
      <c r="C951" s="5"/>
      <c r="D951" s="5"/>
      <c r="E951" s="5"/>
      <c r="F951" s="5"/>
      <c r="G951" s="5"/>
      <c r="H951" s="5"/>
      <c r="I951" s="6"/>
      <c r="J951" s="5"/>
      <c r="K951" s="5"/>
      <c r="L951" s="5"/>
      <c r="M951" s="5"/>
    </row>
    <row r="952" spans="1:13" x14ac:dyDescent="0.35">
      <c r="A952" s="3"/>
      <c r="B952" s="4"/>
      <c r="C952" s="5"/>
      <c r="D952" s="5"/>
      <c r="E952" s="5"/>
      <c r="F952" s="5"/>
      <c r="G952" s="5"/>
      <c r="H952" s="5"/>
      <c r="I952" s="6"/>
      <c r="J952" s="5"/>
      <c r="K952" s="5"/>
      <c r="L952" s="5"/>
      <c r="M952" s="5"/>
    </row>
    <row r="953" spans="1:13" x14ac:dyDescent="0.35">
      <c r="A953" s="3"/>
      <c r="B953" s="4"/>
      <c r="C953" s="5"/>
      <c r="D953" s="5"/>
      <c r="E953" s="5"/>
      <c r="F953" s="5"/>
      <c r="G953" s="5"/>
      <c r="H953" s="5"/>
      <c r="I953" s="6"/>
      <c r="J953" s="5"/>
      <c r="K953" s="5"/>
      <c r="L953" s="5"/>
      <c r="M953" s="5"/>
    </row>
    <row r="954" spans="1:13" x14ac:dyDescent="0.35">
      <c r="A954" s="3"/>
      <c r="B954" s="4"/>
      <c r="C954" s="5"/>
      <c r="D954" s="5"/>
      <c r="E954" s="5"/>
      <c r="F954" s="5"/>
      <c r="G954" s="5"/>
      <c r="H954" s="5"/>
      <c r="I954" s="6"/>
      <c r="J954" s="5"/>
      <c r="K954" s="5"/>
      <c r="L954" s="5"/>
      <c r="M954" s="5"/>
    </row>
    <row r="955" spans="1:13" x14ac:dyDescent="0.35">
      <c r="A955" s="3"/>
      <c r="B955" s="4"/>
      <c r="C955" s="5"/>
      <c r="D955" s="5"/>
      <c r="E955" s="5"/>
      <c r="F955" s="5"/>
      <c r="G955" s="5"/>
      <c r="H955" s="5"/>
      <c r="I955" s="6"/>
      <c r="J955" s="5"/>
      <c r="K955" s="5"/>
      <c r="L955" s="5"/>
      <c r="M955" s="5"/>
    </row>
    <row r="956" spans="1:13" x14ac:dyDescent="0.35">
      <c r="A956" s="3"/>
      <c r="B956" s="4"/>
      <c r="C956" s="5"/>
      <c r="D956" s="5"/>
      <c r="E956" s="5"/>
      <c r="F956" s="5"/>
      <c r="G956" s="5"/>
      <c r="H956" s="5"/>
      <c r="I956" s="6"/>
      <c r="J956" s="5"/>
      <c r="K956" s="5"/>
      <c r="L956" s="5"/>
      <c r="M956" s="5"/>
    </row>
    <row r="957" spans="1:13" x14ac:dyDescent="0.35">
      <c r="A957" s="3"/>
      <c r="B957" s="4"/>
      <c r="C957" s="5"/>
      <c r="D957" s="5"/>
      <c r="E957" s="5"/>
      <c r="F957" s="5"/>
      <c r="G957" s="5"/>
      <c r="H957" s="5"/>
      <c r="I957" s="6"/>
      <c r="J957" s="5"/>
      <c r="K957" s="5"/>
      <c r="L957" s="5"/>
      <c r="M957" s="5"/>
    </row>
    <row r="958" spans="1:13" x14ac:dyDescent="0.35">
      <c r="A958" s="3"/>
      <c r="B958" s="4"/>
      <c r="C958" s="5"/>
      <c r="D958" s="5"/>
      <c r="E958" s="5"/>
      <c r="F958" s="5"/>
      <c r="G958" s="5"/>
      <c r="H958" s="5"/>
      <c r="I958" s="6"/>
      <c r="J958" s="5"/>
      <c r="K958" s="5"/>
      <c r="L958" s="5"/>
      <c r="M958" s="5"/>
    </row>
    <row r="959" spans="1:13" x14ac:dyDescent="0.35">
      <c r="A959" s="3"/>
      <c r="B959" s="4"/>
      <c r="C959" s="5"/>
      <c r="D959" s="5"/>
      <c r="E959" s="5"/>
      <c r="F959" s="5"/>
      <c r="G959" s="5"/>
      <c r="H959" s="5"/>
      <c r="I959" s="6"/>
      <c r="J959" s="5"/>
      <c r="K959" s="5"/>
      <c r="L959" s="5"/>
      <c r="M959" s="5"/>
    </row>
    <row r="960" spans="1:13" x14ac:dyDescent="0.35">
      <c r="A960" s="3"/>
      <c r="B960" s="4"/>
      <c r="C960" s="5"/>
      <c r="D960" s="5"/>
      <c r="E960" s="5"/>
      <c r="F960" s="5"/>
      <c r="G960" s="5"/>
      <c r="H960" s="5"/>
      <c r="I960" s="6"/>
      <c r="J960" s="5"/>
      <c r="K960" s="5"/>
      <c r="L960" s="5"/>
      <c r="M960" s="5"/>
    </row>
    <row r="961" spans="1:13" x14ac:dyDescent="0.35">
      <c r="A961" s="3"/>
      <c r="B961" s="4"/>
      <c r="C961" s="5"/>
      <c r="D961" s="5"/>
      <c r="E961" s="5"/>
      <c r="F961" s="5"/>
      <c r="G961" s="5"/>
      <c r="H961" s="5"/>
      <c r="I961" s="6"/>
      <c r="J961" s="5"/>
      <c r="K961" s="5"/>
      <c r="L961" s="5"/>
      <c r="M961" s="5"/>
    </row>
    <row r="962" spans="1:13" x14ac:dyDescent="0.35">
      <c r="A962" s="3"/>
      <c r="B962" s="4"/>
      <c r="C962" s="5"/>
      <c r="D962" s="5"/>
      <c r="E962" s="5"/>
      <c r="F962" s="5"/>
      <c r="G962" s="5"/>
      <c r="H962" s="5"/>
      <c r="I962" s="6"/>
      <c r="J962" s="5"/>
      <c r="K962" s="5"/>
      <c r="L962" s="5"/>
      <c r="M962" s="5"/>
    </row>
    <row r="963" spans="1:13" x14ac:dyDescent="0.35">
      <c r="A963" s="3"/>
      <c r="B963" s="4"/>
      <c r="C963" s="5"/>
      <c r="D963" s="5"/>
      <c r="E963" s="5"/>
      <c r="F963" s="5"/>
      <c r="G963" s="5"/>
      <c r="H963" s="5"/>
      <c r="I963" s="6"/>
      <c r="J963" s="5"/>
      <c r="K963" s="5"/>
      <c r="L963" s="5"/>
      <c r="M963" s="5"/>
    </row>
    <row r="964" spans="1:13" x14ac:dyDescent="0.35">
      <c r="A964" s="3"/>
      <c r="B964" s="4"/>
      <c r="C964" s="5"/>
      <c r="D964" s="5"/>
      <c r="E964" s="5"/>
      <c r="F964" s="5"/>
      <c r="G964" s="5"/>
      <c r="H964" s="5"/>
      <c r="I964" s="6"/>
      <c r="J964" s="5"/>
      <c r="K964" s="5"/>
      <c r="L964" s="5"/>
      <c r="M964" s="5"/>
    </row>
    <row r="965" spans="1:13" x14ac:dyDescent="0.35">
      <c r="A965" s="3"/>
      <c r="B965" s="4"/>
      <c r="C965" s="5"/>
      <c r="D965" s="5"/>
      <c r="E965" s="5"/>
      <c r="F965" s="5"/>
      <c r="G965" s="5"/>
      <c r="H965" s="5"/>
      <c r="I965" s="6"/>
      <c r="J965" s="5"/>
      <c r="K965" s="5"/>
      <c r="L965" s="5"/>
      <c r="M965" s="5"/>
    </row>
    <row r="966" spans="1:13" x14ac:dyDescent="0.35">
      <c r="A966" s="3"/>
      <c r="B966" s="4"/>
      <c r="C966" s="5"/>
      <c r="D966" s="5"/>
      <c r="E966" s="5"/>
      <c r="F966" s="5"/>
      <c r="G966" s="5"/>
      <c r="H966" s="5"/>
      <c r="I966" s="6"/>
      <c r="J966" s="5"/>
      <c r="K966" s="5"/>
      <c r="L966" s="5"/>
      <c r="M966" s="5"/>
    </row>
    <row r="967" spans="1:13" x14ac:dyDescent="0.35">
      <c r="A967" s="3"/>
      <c r="B967" s="4"/>
      <c r="C967" s="5"/>
      <c r="D967" s="5"/>
      <c r="E967" s="5"/>
      <c r="F967" s="5"/>
      <c r="G967" s="5"/>
      <c r="H967" s="5"/>
      <c r="I967" s="6"/>
      <c r="J967" s="5"/>
      <c r="K967" s="5"/>
      <c r="L967" s="5"/>
      <c r="M967" s="5"/>
    </row>
    <row r="968" spans="1:13" x14ac:dyDescent="0.35">
      <c r="A968" s="3"/>
      <c r="B968" s="4"/>
      <c r="C968" s="5"/>
      <c r="D968" s="5"/>
      <c r="E968" s="5"/>
      <c r="F968" s="5"/>
      <c r="G968" s="5"/>
      <c r="H968" s="5"/>
      <c r="I968" s="6"/>
      <c r="J968" s="5"/>
      <c r="K968" s="5"/>
      <c r="L968" s="5"/>
      <c r="M968" s="5"/>
    </row>
    <row r="969" spans="1:13" x14ac:dyDescent="0.35">
      <c r="A969" s="3"/>
      <c r="B969" s="4"/>
      <c r="C969" s="5"/>
      <c r="D969" s="5"/>
      <c r="E969" s="5"/>
      <c r="F969" s="5"/>
      <c r="G969" s="5"/>
      <c r="H969" s="5"/>
      <c r="I969" s="6"/>
      <c r="J969" s="5"/>
      <c r="K969" s="5"/>
      <c r="L969" s="5"/>
      <c r="M969" s="5"/>
    </row>
    <row r="970" spans="1:13" x14ac:dyDescent="0.35">
      <c r="A970" s="3"/>
      <c r="B970" s="4"/>
      <c r="C970" s="5"/>
      <c r="D970" s="5"/>
      <c r="E970" s="5"/>
      <c r="F970" s="5"/>
      <c r="G970" s="5"/>
      <c r="H970" s="5"/>
      <c r="I970" s="6"/>
      <c r="J970" s="5"/>
      <c r="K970" s="5"/>
      <c r="L970" s="5"/>
      <c r="M970" s="5"/>
    </row>
    <row r="971" spans="1:13" x14ac:dyDescent="0.35">
      <c r="A971" s="3"/>
      <c r="B971" s="4"/>
      <c r="C971" s="5"/>
      <c r="D971" s="5"/>
      <c r="E971" s="5"/>
      <c r="F971" s="5"/>
      <c r="G971" s="5"/>
      <c r="H971" s="5"/>
      <c r="I971" s="6"/>
      <c r="J971" s="5"/>
      <c r="K971" s="5"/>
      <c r="L971" s="5"/>
      <c r="M971" s="5"/>
    </row>
    <row r="972" spans="1:13" x14ac:dyDescent="0.35">
      <c r="A972" s="3"/>
      <c r="B972" s="4"/>
      <c r="C972" s="5"/>
      <c r="D972" s="5"/>
      <c r="E972" s="5"/>
      <c r="F972" s="5"/>
      <c r="G972" s="5"/>
      <c r="H972" s="5"/>
      <c r="I972" s="6"/>
      <c r="J972" s="5"/>
      <c r="K972" s="5"/>
      <c r="L972" s="5"/>
      <c r="M972" s="5"/>
    </row>
    <row r="973" spans="1:13" x14ac:dyDescent="0.35">
      <c r="A973" s="3"/>
      <c r="B973" s="4"/>
      <c r="C973" s="5"/>
      <c r="D973" s="5"/>
      <c r="E973" s="5"/>
      <c r="F973" s="5"/>
      <c r="G973" s="5"/>
      <c r="H973" s="5"/>
      <c r="I973" s="6"/>
      <c r="J973" s="5"/>
      <c r="K973" s="5"/>
      <c r="L973" s="5"/>
      <c r="M973" s="5"/>
    </row>
    <row r="974" spans="1:13" x14ac:dyDescent="0.35">
      <c r="A974" s="3"/>
      <c r="B974" s="4"/>
      <c r="C974" s="5"/>
      <c r="D974" s="5"/>
      <c r="E974" s="5"/>
      <c r="F974" s="5"/>
      <c r="G974" s="5"/>
      <c r="H974" s="5"/>
      <c r="I974" s="6"/>
      <c r="J974" s="5"/>
      <c r="K974" s="5"/>
      <c r="L974" s="5"/>
      <c r="M974" s="5"/>
    </row>
    <row r="975" spans="1:13" x14ac:dyDescent="0.35">
      <c r="A975" s="3"/>
      <c r="B975" s="4"/>
      <c r="C975" s="5"/>
      <c r="D975" s="5"/>
      <c r="E975" s="5"/>
      <c r="F975" s="5"/>
      <c r="G975" s="5"/>
      <c r="H975" s="5"/>
      <c r="I975" s="6"/>
      <c r="J975" s="5"/>
      <c r="K975" s="5"/>
      <c r="L975" s="5"/>
      <c r="M975" s="5"/>
    </row>
    <row r="976" spans="1:13" x14ac:dyDescent="0.35">
      <c r="A976" s="3"/>
      <c r="B976" s="4"/>
      <c r="C976" s="5"/>
      <c r="D976" s="5"/>
      <c r="E976" s="5"/>
      <c r="F976" s="5"/>
      <c r="G976" s="5"/>
      <c r="H976" s="5"/>
      <c r="I976" s="6"/>
      <c r="J976" s="5"/>
      <c r="K976" s="5"/>
      <c r="L976" s="5"/>
      <c r="M976" s="5"/>
    </row>
    <row r="977" spans="1:13" x14ac:dyDescent="0.35">
      <c r="A977" s="3"/>
      <c r="B977" s="4"/>
      <c r="C977" s="5"/>
      <c r="D977" s="5"/>
      <c r="E977" s="5"/>
      <c r="F977" s="5"/>
      <c r="G977" s="5"/>
      <c r="H977" s="5"/>
      <c r="I977" s="6"/>
      <c r="J977" s="5"/>
      <c r="K977" s="5"/>
      <c r="L977" s="5"/>
      <c r="M977" s="5"/>
    </row>
    <row r="978" spans="1:13" x14ac:dyDescent="0.35">
      <c r="A978" s="3"/>
      <c r="B978" s="4"/>
      <c r="C978" s="5"/>
      <c r="D978" s="5"/>
      <c r="E978" s="5"/>
      <c r="F978" s="5"/>
      <c r="G978" s="5"/>
      <c r="H978" s="5"/>
      <c r="I978" s="6"/>
      <c r="J978" s="5"/>
      <c r="K978" s="5"/>
      <c r="L978" s="5"/>
      <c r="M978" s="5"/>
    </row>
    <row r="979" spans="1:13" x14ac:dyDescent="0.35">
      <c r="A979" s="3"/>
      <c r="B979" s="4"/>
      <c r="C979" s="5"/>
      <c r="D979" s="5"/>
      <c r="E979" s="5"/>
      <c r="F979" s="5"/>
      <c r="G979" s="5"/>
      <c r="H979" s="5"/>
      <c r="I979" s="6"/>
      <c r="J979" s="5"/>
      <c r="K979" s="5"/>
      <c r="L979" s="5"/>
      <c r="M979" s="5"/>
    </row>
    <row r="980" spans="1:13" x14ac:dyDescent="0.35">
      <c r="A980" s="3"/>
      <c r="B980" s="4"/>
      <c r="C980" s="5"/>
      <c r="D980" s="5"/>
      <c r="E980" s="5"/>
      <c r="F980" s="5"/>
      <c r="G980" s="5"/>
      <c r="H980" s="5"/>
      <c r="I980" s="6"/>
      <c r="J980" s="5"/>
      <c r="K980" s="5"/>
      <c r="L980" s="5"/>
      <c r="M980" s="5"/>
    </row>
    <row r="981" spans="1:13" x14ac:dyDescent="0.35">
      <c r="A981" s="3"/>
      <c r="B981" s="4"/>
      <c r="C981" s="5"/>
      <c r="D981" s="5"/>
      <c r="E981" s="5"/>
      <c r="F981" s="5"/>
      <c r="G981" s="5"/>
      <c r="H981" s="5"/>
      <c r="I981" s="6"/>
      <c r="J981" s="5"/>
      <c r="K981" s="5"/>
      <c r="L981" s="5"/>
      <c r="M981" s="5"/>
    </row>
    <row r="982" spans="1:13" x14ac:dyDescent="0.35">
      <c r="A982" s="3"/>
      <c r="B982" s="4"/>
      <c r="C982" s="5"/>
      <c r="D982" s="5"/>
      <c r="E982" s="5"/>
      <c r="F982" s="5"/>
      <c r="G982" s="5"/>
      <c r="H982" s="5"/>
      <c r="I982" s="6"/>
      <c r="J982" s="5"/>
      <c r="K982" s="5"/>
      <c r="L982" s="5"/>
      <c r="M982" s="5"/>
    </row>
    <row r="983" spans="1:13" x14ac:dyDescent="0.35">
      <c r="A983" s="3"/>
      <c r="B983" s="4"/>
      <c r="C983" s="5"/>
      <c r="D983" s="5"/>
      <c r="E983" s="5"/>
      <c r="F983" s="5"/>
      <c r="G983" s="5"/>
      <c r="H983" s="5"/>
      <c r="I983" s="6"/>
      <c r="J983" s="5"/>
      <c r="K983" s="5"/>
      <c r="L983" s="5"/>
      <c r="M983" s="5"/>
    </row>
    <row r="984" spans="1:13" x14ac:dyDescent="0.35">
      <c r="A984" s="3"/>
      <c r="B984" s="4"/>
      <c r="C984" s="5"/>
      <c r="D984" s="5"/>
      <c r="E984" s="5"/>
      <c r="F984" s="5"/>
      <c r="G984" s="5"/>
      <c r="H984" s="5"/>
      <c r="I984" s="6"/>
      <c r="J984" s="5"/>
      <c r="K984" s="5"/>
      <c r="L984" s="5"/>
      <c r="M984" s="5"/>
    </row>
    <row r="985" spans="1:13" x14ac:dyDescent="0.35">
      <c r="A985" s="3"/>
      <c r="B985" s="4"/>
      <c r="C985" s="5"/>
      <c r="D985" s="5"/>
      <c r="E985" s="5"/>
      <c r="F985" s="5"/>
      <c r="G985" s="5"/>
      <c r="H985" s="5"/>
      <c r="I985" s="6"/>
      <c r="J985" s="5"/>
      <c r="K985" s="5"/>
      <c r="L985" s="5"/>
      <c r="M985" s="5"/>
    </row>
    <row r="986" spans="1:13" x14ac:dyDescent="0.35">
      <c r="A986" s="3"/>
      <c r="B986" s="4"/>
      <c r="C986" s="5"/>
      <c r="D986" s="5"/>
      <c r="E986" s="5"/>
      <c r="F986" s="5"/>
      <c r="G986" s="5"/>
      <c r="H986" s="5"/>
      <c r="I986" s="6"/>
      <c r="J986" s="5"/>
      <c r="K986" s="5"/>
      <c r="L986" s="5"/>
      <c r="M986" s="5"/>
    </row>
    <row r="987" spans="1:13" x14ac:dyDescent="0.35">
      <c r="A987" s="3"/>
      <c r="B987" s="4"/>
      <c r="C987" s="5"/>
      <c r="D987" s="5"/>
      <c r="E987" s="5"/>
      <c r="F987" s="5"/>
      <c r="G987" s="5"/>
      <c r="H987" s="5"/>
      <c r="I987" s="6"/>
      <c r="J987" s="5"/>
      <c r="K987" s="5"/>
      <c r="L987" s="5"/>
      <c r="M987" s="5"/>
    </row>
    <row r="988" spans="1:13" x14ac:dyDescent="0.35">
      <c r="A988" s="3"/>
      <c r="B988" s="4"/>
      <c r="C988" s="5"/>
      <c r="D988" s="5"/>
      <c r="E988" s="5"/>
      <c r="F988" s="5"/>
      <c r="G988" s="5"/>
      <c r="H988" s="5"/>
      <c r="I988" s="6"/>
      <c r="J988" s="5"/>
      <c r="K988" s="5"/>
      <c r="L988" s="5"/>
      <c r="M988" s="5"/>
    </row>
    <row r="989" spans="1:13" x14ac:dyDescent="0.35">
      <c r="A989" s="3"/>
      <c r="B989" s="4"/>
      <c r="C989" s="5"/>
      <c r="D989" s="5"/>
      <c r="E989" s="5"/>
      <c r="F989" s="5"/>
      <c r="G989" s="5"/>
      <c r="H989" s="5"/>
      <c r="I989" s="6"/>
      <c r="J989" s="5"/>
      <c r="K989" s="5"/>
      <c r="L989" s="5"/>
      <c r="M989" s="5"/>
    </row>
    <row r="990" spans="1:13" x14ac:dyDescent="0.35">
      <c r="A990" s="3"/>
      <c r="B990" s="4"/>
      <c r="C990" s="5"/>
      <c r="D990" s="5"/>
      <c r="E990" s="5"/>
      <c r="F990" s="5"/>
      <c r="G990" s="5"/>
      <c r="H990" s="5"/>
      <c r="I990" s="6"/>
      <c r="J990" s="5"/>
      <c r="K990" s="5"/>
      <c r="L990" s="5"/>
      <c r="M990" s="5"/>
    </row>
    <row r="991" spans="1:13" x14ac:dyDescent="0.35">
      <c r="A991" s="3"/>
      <c r="B991" s="4"/>
      <c r="C991" s="5"/>
      <c r="D991" s="5"/>
      <c r="E991" s="5"/>
      <c r="F991" s="5"/>
      <c r="G991" s="5"/>
      <c r="H991" s="5"/>
      <c r="I991" s="6"/>
      <c r="J991" s="5"/>
      <c r="K991" s="5"/>
      <c r="L991" s="5"/>
      <c r="M991" s="5"/>
    </row>
    <row r="992" spans="1:13" x14ac:dyDescent="0.35">
      <c r="A992" s="3"/>
      <c r="B992" s="4"/>
      <c r="C992" s="5"/>
      <c r="D992" s="5"/>
      <c r="E992" s="5"/>
      <c r="F992" s="5"/>
      <c r="G992" s="5"/>
      <c r="H992" s="5"/>
      <c r="I992" s="6"/>
      <c r="J992" s="5"/>
      <c r="K992" s="5"/>
      <c r="L992" s="5"/>
      <c r="M992" s="5"/>
    </row>
    <row r="993" spans="1:13" x14ac:dyDescent="0.35">
      <c r="A993" s="3"/>
      <c r="B993" s="4"/>
      <c r="C993" s="5"/>
      <c r="D993" s="5"/>
      <c r="E993" s="5"/>
      <c r="F993" s="5"/>
      <c r="G993" s="5"/>
      <c r="H993" s="5"/>
      <c r="I993" s="6"/>
      <c r="J993" s="5"/>
      <c r="K993" s="5"/>
      <c r="L993" s="5"/>
      <c r="M993" s="5"/>
    </row>
    <row r="994" spans="1:13" x14ac:dyDescent="0.35">
      <c r="A994" s="3"/>
      <c r="B994" s="4"/>
      <c r="C994" s="5"/>
      <c r="D994" s="5"/>
      <c r="E994" s="5"/>
      <c r="F994" s="5"/>
      <c r="G994" s="5"/>
      <c r="H994" s="5"/>
      <c r="I994" s="6"/>
      <c r="J994" s="5"/>
      <c r="K994" s="5"/>
      <c r="L994" s="5"/>
      <c r="M994" s="5"/>
    </row>
    <row r="995" spans="1:13" x14ac:dyDescent="0.35">
      <c r="A995" s="3"/>
      <c r="B995" s="4"/>
      <c r="C995" s="5"/>
      <c r="D995" s="5"/>
      <c r="E995" s="5"/>
      <c r="F995" s="5"/>
      <c r="G995" s="5"/>
      <c r="H995" s="5"/>
      <c r="I995" s="6"/>
      <c r="J995" s="5"/>
      <c r="K995" s="5"/>
      <c r="L995" s="5"/>
      <c r="M995" s="5"/>
    </row>
    <row r="996" spans="1:13" x14ac:dyDescent="0.35">
      <c r="A996" s="3"/>
      <c r="B996" s="4"/>
      <c r="C996" s="5"/>
      <c r="D996" s="5"/>
      <c r="E996" s="5"/>
      <c r="F996" s="5"/>
      <c r="G996" s="5"/>
      <c r="H996" s="5"/>
      <c r="I996" s="6"/>
      <c r="J996" s="5"/>
      <c r="K996" s="5"/>
      <c r="L996" s="5"/>
      <c r="M996" s="5"/>
    </row>
    <row r="997" spans="1:13" x14ac:dyDescent="0.35">
      <c r="A997" s="3"/>
      <c r="B997" s="4"/>
      <c r="C997" s="5"/>
      <c r="D997" s="5"/>
      <c r="E997" s="5"/>
      <c r="F997" s="5"/>
      <c r="G997" s="5"/>
      <c r="H997" s="5"/>
      <c r="I997" s="6"/>
      <c r="J997" s="5"/>
      <c r="K997" s="5"/>
      <c r="L997" s="5"/>
      <c r="M997" s="5"/>
    </row>
    <row r="998" spans="1:13" x14ac:dyDescent="0.35">
      <c r="A998" s="3"/>
      <c r="B998" s="4"/>
      <c r="C998" s="5"/>
      <c r="D998" s="5"/>
      <c r="E998" s="5"/>
      <c r="F998" s="5"/>
      <c r="G998" s="5"/>
      <c r="H998" s="5"/>
      <c r="I998" s="6"/>
      <c r="J998" s="5"/>
      <c r="K998" s="5"/>
      <c r="L998" s="5"/>
      <c r="M998" s="5"/>
    </row>
    <row r="999" spans="1:13" x14ac:dyDescent="0.35">
      <c r="A999" s="3"/>
      <c r="B999" s="4"/>
      <c r="C999" s="5"/>
      <c r="D999" s="5"/>
      <c r="E999" s="5"/>
      <c r="F999" s="5"/>
      <c r="G999" s="5"/>
      <c r="H999" s="5"/>
      <c r="I999" s="6"/>
      <c r="J999" s="5"/>
      <c r="K999" s="5"/>
      <c r="L999" s="5"/>
      <c r="M999" s="5"/>
    </row>
    <row r="1000" spans="1:13" x14ac:dyDescent="0.35">
      <c r="A1000" s="3"/>
      <c r="B1000" s="4"/>
      <c r="C1000" s="5"/>
      <c r="D1000" s="5"/>
      <c r="E1000" s="5"/>
      <c r="F1000" s="5"/>
      <c r="G1000" s="5"/>
      <c r="H1000" s="5"/>
      <c r="I1000" s="6"/>
      <c r="J1000" s="5"/>
      <c r="K1000" s="5"/>
      <c r="L1000" s="5"/>
      <c r="M1000" s="5"/>
    </row>
    <row r="1001" spans="1:13" x14ac:dyDescent="0.35">
      <c r="A1001" s="3"/>
      <c r="B1001" s="4"/>
      <c r="C1001" s="5"/>
      <c r="D1001" s="5"/>
      <c r="E1001" s="5"/>
      <c r="F1001" s="5"/>
      <c r="G1001" s="5"/>
      <c r="H1001" s="5"/>
      <c r="I1001" s="6"/>
      <c r="J1001" s="5"/>
      <c r="K1001" s="5"/>
      <c r="L1001" s="5"/>
      <c r="M1001" s="5"/>
    </row>
    <row r="1002" spans="1:13" x14ac:dyDescent="0.35">
      <c r="A1002" s="3"/>
      <c r="B1002" s="4"/>
      <c r="C1002" s="5"/>
      <c r="D1002" s="5"/>
      <c r="E1002" s="5"/>
      <c r="F1002" s="5"/>
      <c r="G1002" s="5"/>
      <c r="H1002" s="5"/>
      <c r="I1002" s="6"/>
      <c r="J1002" s="5"/>
      <c r="K1002" s="5"/>
      <c r="L1002" s="5"/>
      <c r="M1002" s="5"/>
    </row>
    <row r="1003" spans="1:13" x14ac:dyDescent="0.35">
      <c r="A1003" s="3"/>
      <c r="B1003" s="4"/>
      <c r="C1003" s="5"/>
      <c r="D1003" s="5"/>
      <c r="E1003" s="5"/>
      <c r="F1003" s="5"/>
      <c r="G1003" s="5"/>
      <c r="H1003" s="5"/>
      <c r="I1003" s="6"/>
      <c r="J1003" s="5"/>
      <c r="K1003" s="5"/>
      <c r="L1003" s="5"/>
      <c r="M1003" s="5"/>
    </row>
    <row r="1004" spans="1:13" x14ac:dyDescent="0.35">
      <c r="A1004" s="3"/>
      <c r="B1004" s="4"/>
      <c r="C1004" s="5"/>
      <c r="D1004" s="5"/>
      <c r="E1004" s="5"/>
      <c r="F1004" s="5"/>
      <c r="G1004" s="5"/>
      <c r="H1004" s="5"/>
      <c r="I1004" s="6"/>
      <c r="J1004" s="5"/>
      <c r="K1004" s="5"/>
      <c r="L1004" s="5"/>
      <c r="M1004" s="5"/>
    </row>
    <row r="1005" spans="1:13" x14ac:dyDescent="0.35">
      <c r="A1005" s="3"/>
      <c r="B1005" s="4"/>
      <c r="C1005" s="5"/>
      <c r="D1005" s="5"/>
      <c r="E1005" s="5"/>
      <c r="F1005" s="5"/>
      <c r="G1005" s="5"/>
      <c r="H1005" s="5"/>
      <c r="I1005" s="6"/>
      <c r="J1005" s="5"/>
      <c r="K1005" s="5"/>
      <c r="L1005" s="5"/>
      <c r="M1005" s="5"/>
    </row>
    <row r="1006" spans="1:13" x14ac:dyDescent="0.35">
      <c r="A1006" s="3"/>
      <c r="B1006" s="4"/>
      <c r="C1006" s="5"/>
      <c r="D1006" s="5"/>
      <c r="E1006" s="5"/>
      <c r="F1006" s="5"/>
      <c r="G1006" s="5"/>
      <c r="H1006" s="5"/>
      <c r="I1006" s="6"/>
      <c r="J1006" s="5"/>
      <c r="K1006" s="5"/>
      <c r="L1006" s="5"/>
      <c r="M1006" s="5"/>
    </row>
    <row r="1007" spans="1:13" x14ac:dyDescent="0.35">
      <c r="A1007" s="3"/>
      <c r="B1007" s="4"/>
      <c r="C1007" s="5"/>
      <c r="D1007" s="5"/>
      <c r="E1007" s="5"/>
      <c r="F1007" s="5"/>
      <c r="G1007" s="5"/>
      <c r="H1007" s="5"/>
      <c r="I1007" s="6"/>
      <c r="J1007" s="5"/>
      <c r="K1007" s="5"/>
      <c r="L1007" s="5"/>
      <c r="M1007" s="5"/>
    </row>
    <row r="1008" spans="1:13" x14ac:dyDescent="0.35">
      <c r="A1008" s="3"/>
      <c r="B1008" s="4"/>
      <c r="C1008" s="5"/>
      <c r="D1008" s="5"/>
      <c r="E1008" s="5"/>
      <c r="F1008" s="5"/>
      <c r="G1008" s="5"/>
      <c r="H1008" s="5"/>
      <c r="I1008" s="6"/>
      <c r="J1008" s="5"/>
      <c r="K1008" s="5"/>
      <c r="L1008" s="5"/>
      <c r="M1008" s="5"/>
    </row>
    <row r="1009" spans="1:13" x14ac:dyDescent="0.35">
      <c r="A1009" s="3"/>
      <c r="B1009" s="4"/>
      <c r="C1009" s="5"/>
      <c r="D1009" s="5"/>
      <c r="E1009" s="5"/>
      <c r="F1009" s="5"/>
      <c r="G1009" s="5"/>
      <c r="H1009" s="5"/>
      <c r="I1009" s="6"/>
      <c r="J1009" s="5"/>
      <c r="K1009" s="5"/>
      <c r="L1009" s="5"/>
      <c r="M1009" s="5"/>
    </row>
    <row r="1010" spans="1:13" x14ac:dyDescent="0.35">
      <c r="A1010" s="3"/>
      <c r="B1010" s="4"/>
      <c r="C1010" s="5"/>
      <c r="D1010" s="5"/>
      <c r="E1010" s="5"/>
      <c r="F1010" s="5"/>
      <c r="G1010" s="5"/>
      <c r="H1010" s="5"/>
      <c r="I1010" s="6"/>
      <c r="J1010" s="5"/>
      <c r="K1010" s="5"/>
      <c r="L1010" s="5"/>
      <c r="M1010" s="5"/>
    </row>
    <row r="1011" spans="1:13" x14ac:dyDescent="0.35">
      <c r="A1011" s="3"/>
      <c r="B1011" s="4"/>
      <c r="C1011" s="5"/>
      <c r="D1011" s="5"/>
      <c r="E1011" s="5"/>
      <c r="F1011" s="5"/>
      <c r="G1011" s="5"/>
      <c r="H1011" s="5"/>
      <c r="I1011" s="6"/>
      <c r="J1011" s="5"/>
      <c r="K1011" s="5"/>
      <c r="L1011" s="5"/>
      <c r="M1011" s="5"/>
    </row>
    <row r="1012" spans="1:13" x14ac:dyDescent="0.35">
      <c r="A1012" s="3"/>
      <c r="B1012" s="4"/>
      <c r="C1012" s="5"/>
      <c r="D1012" s="5"/>
      <c r="E1012" s="5"/>
      <c r="F1012" s="5"/>
      <c r="G1012" s="5"/>
      <c r="H1012" s="5"/>
      <c r="I1012" s="6"/>
      <c r="J1012" s="5"/>
      <c r="K1012" s="5"/>
      <c r="L1012" s="5"/>
      <c r="M1012" s="5"/>
    </row>
    <row r="1013" spans="1:13" x14ac:dyDescent="0.35">
      <c r="A1013" s="3"/>
      <c r="B1013" s="4"/>
      <c r="C1013" s="5"/>
      <c r="D1013" s="5"/>
      <c r="E1013" s="5"/>
      <c r="F1013" s="5"/>
      <c r="G1013" s="5"/>
      <c r="H1013" s="5"/>
      <c r="I1013" s="6"/>
      <c r="J1013" s="5"/>
      <c r="K1013" s="5"/>
      <c r="L1013" s="5"/>
      <c r="M1013" s="5"/>
    </row>
    <row r="1014" spans="1:13" x14ac:dyDescent="0.35">
      <c r="A1014" s="3"/>
      <c r="B1014" s="4"/>
      <c r="C1014" s="5"/>
      <c r="D1014" s="5"/>
      <c r="E1014" s="5"/>
      <c r="F1014" s="5"/>
      <c r="G1014" s="5"/>
      <c r="H1014" s="5"/>
      <c r="I1014" s="6"/>
      <c r="J1014" s="5"/>
      <c r="K1014" s="5"/>
      <c r="L1014" s="5"/>
      <c r="M1014" s="5"/>
    </row>
    <row r="1015" spans="1:13" x14ac:dyDescent="0.35">
      <c r="A1015" s="3"/>
      <c r="B1015" s="4"/>
      <c r="C1015" s="5"/>
      <c r="D1015" s="5"/>
      <c r="E1015" s="5"/>
      <c r="F1015" s="5"/>
      <c r="G1015" s="5"/>
      <c r="H1015" s="5"/>
      <c r="I1015" s="6"/>
      <c r="J1015" s="5"/>
      <c r="K1015" s="5"/>
      <c r="L1015" s="5"/>
      <c r="M1015" s="5"/>
    </row>
    <row r="1016" spans="1:13" x14ac:dyDescent="0.35">
      <c r="A1016" s="3"/>
      <c r="B1016" s="4"/>
      <c r="C1016" s="5"/>
      <c r="D1016" s="5"/>
      <c r="E1016" s="5"/>
      <c r="F1016" s="5"/>
      <c r="G1016" s="5"/>
      <c r="H1016" s="5"/>
      <c r="I1016" s="6"/>
      <c r="J1016" s="5"/>
      <c r="K1016" s="5"/>
      <c r="L1016" s="5"/>
      <c r="M1016" s="5"/>
    </row>
    <row r="1017" spans="1:13" x14ac:dyDescent="0.35">
      <c r="A1017" s="3"/>
      <c r="B1017" s="4"/>
      <c r="C1017" s="5"/>
      <c r="D1017" s="5"/>
      <c r="E1017" s="5"/>
      <c r="F1017" s="5"/>
      <c r="G1017" s="5"/>
      <c r="H1017" s="5"/>
      <c r="I1017" s="6"/>
      <c r="J1017" s="5"/>
      <c r="K1017" s="5"/>
      <c r="L1017" s="5"/>
      <c r="M1017" s="5"/>
    </row>
    <row r="1018" spans="1:13" x14ac:dyDescent="0.35">
      <c r="A1018" s="3"/>
      <c r="B1018" s="4"/>
      <c r="C1018" s="5"/>
      <c r="D1018" s="5"/>
      <c r="E1018" s="5"/>
      <c r="F1018" s="5"/>
      <c r="G1018" s="5"/>
      <c r="H1018" s="5"/>
      <c r="I1018" s="6"/>
      <c r="J1018" s="5"/>
      <c r="K1018" s="5"/>
      <c r="L1018" s="5"/>
      <c r="M1018" s="5"/>
    </row>
    <row r="1019" spans="1:13" x14ac:dyDescent="0.35">
      <c r="A1019" s="3"/>
      <c r="B1019" s="4"/>
      <c r="C1019" s="5"/>
      <c r="D1019" s="5"/>
      <c r="E1019" s="5"/>
      <c r="F1019" s="5"/>
      <c r="G1019" s="5"/>
      <c r="H1019" s="5"/>
      <c r="I1019" s="6"/>
      <c r="J1019" s="5"/>
      <c r="K1019" s="5"/>
      <c r="L1019" s="5"/>
      <c r="M1019" s="5"/>
    </row>
    <row r="1020" spans="1:13" x14ac:dyDescent="0.35">
      <c r="A1020" s="3"/>
      <c r="B1020" s="4"/>
      <c r="C1020" s="5"/>
      <c r="D1020" s="5"/>
      <c r="E1020" s="5"/>
      <c r="F1020" s="5"/>
      <c r="G1020" s="5"/>
      <c r="H1020" s="5"/>
      <c r="I1020" s="6"/>
      <c r="J1020" s="5"/>
      <c r="K1020" s="5"/>
      <c r="L1020" s="5"/>
      <c r="M1020" s="5"/>
    </row>
    <row r="1021" spans="1:13" x14ac:dyDescent="0.35">
      <c r="A1021" s="3"/>
      <c r="B1021" s="4"/>
      <c r="C1021" s="5"/>
      <c r="D1021" s="5"/>
      <c r="E1021" s="5"/>
      <c r="F1021" s="5"/>
      <c r="G1021" s="5"/>
      <c r="H1021" s="5"/>
      <c r="I1021" s="6"/>
      <c r="J1021" s="5"/>
      <c r="K1021" s="5"/>
      <c r="L1021" s="5"/>
      <c r="M1021" s="5"/>
    </row>
    <row r="1022" spans="1:13" x14ac:dyDescent="0.35">
      <c r="A1022" s="3"/>
      <c r="B1022" s="4"/>
      <c r="C1022" s="5"/>
      <c r="D1022" s="5"/>
      <c r="E1022" s="5"/>
      <c r="F1022" s="5"/>
      <c r="G1022" s="5"/>
      <c r="H1022" s="5"/>
      <c r="I1022" s="6"/>
      <c r="J1022" s="5"/>
      <c r="K1022" s="5"/>
      <c r="L1022" s="5"/>
      <c r="M1022" s="5"/>
    </row>
    <row r="1023" spans="1:13" x14ac:dyDescent="0.35">
      <c r="A1023" s="3"/>
      <c r="B1023" s="4"/>
      <c r="C1023" s="5"/>
      <c r="D1023" s="5"/>
      <c r="E1023" s="5"/>
      <c r="F1023" s="5"/>
      <c r="G1023" s="5"/>
      <c r="H1023" s="5"/>
      <c r="I1023" s="6"/>
      <c r="J1023" s="5"/>
      <c r="K1023" s="5"/>
      <c r="L1023" s="5"/>
      <c r="M1023" s="5"/>
    </row>
    <row r="1024" spans="1:13" x14ac:dyDescent="0.35">
      <c r="A1024" s="3"/>
      <c r="B1024" s="4"/>
      <c r="C1024" s="5"/>
      <c r="D1024" s="5"/>
      <c r="E1024" s="5"/>
      <c r="F1024" s="5"/>
      <c r="G1024" s="5"/>
      <c r="H1024" s="5"/>
      <c r="I1024" s="6"/>
      <c r="J1024" s="5"/>
      <c r="K1024" s="5"/>
      <c r="L1024" s="5"/>
      <c r="M1024" s="5"/>
    </row>
    <row r="1025" spans="1:13" x14ac:dyDescent="0.35">
      <c r="A1025" s="3"/>
      <c r="B1025" s="4"/>
      <c r="C1025" s="5"/>
      <c r="D1025" s="5"/>
      <c r="E1025" s="5"/>
      <c r="F1025" s="5"/>
      <c r="G1025" s="5"/>
      <c r="H1025" s="5"/>
      <c r="I1025" s="6"/>
      <c r="J1025" s="5"/>
      <c r="K1025" s="5"/>
      <c r="L1025" s="5"/>
      <c r="M1025" s="5"/>
    </row>
    <row r="1026" spans="1:13" x14ac:dyDescent="0.35">
      <c r="A1026" s="3"/>
      <c r="B1026" s="4"/>
      <c r="C1026" s="5"/>
      <c r="D1026" s="5"/>
      <c r="E1026" s="5"/>
      <c r="F1026" s="5"/>
      <c r="G1026" s="5"/>
      <c r="H1026" s="5"/>
      <c r="I1026" s="6"/>
      <c r="J1026" s="5"/>
      <c r="K1026" s="5"/>
      <c r="L1026" s="5"/>
      <c r="M1026" s="5"/>
    </row>
    <row r="1027" spans="1:13" x14ac:dyDescent="0.35">
      <c r="A1027" s="3"/>
      <c r="B1027" s="4"/>
      <c r="C1027" s="5"/>
      <c r="D1027" s="5"/>
      <c r="E1027" s="5"/>
      <c r="F1027" s="5"/>
      <c r="G1027" s="5"/>
      <c r="H1027" s="5"/>
      <c r="I1027" s="6"/>
      <c r="J1027" s="5"/>
      <c r="K1027" s="5"/>
      <c r="L1027" s="5"/>
      <c r="M1027" s="5"/>
    </row>
    <row r="1028" spans="1:13" x14ac:dyDescent="0.35">
      <c r="A1028" s="3"/>
      <c r="B1028" s="4"/>
      <c r="C1028" s="5"/>
      <c r="D1028" s="5"/>
      <c r="E1028" s="5"/>
      <c r="F1028" s="5"/>
      <c r="G1028" s="5"/>
      <c r="H1028" s="5"/>
      <c r="I1028" s="6"/>
      <c r="J1028" s="5"/>
      <c r="K1028" s="5"/>
      <c r="L1028" s="5"/>
      <c r="M1028" s="5"/>
    </row>
    <row r="1029" spans="1:13" x14ac:dyDescent="0.35">
      <c r="A1029" s="3"/>
      <c r="B1029" s="4"/>
      <c r="C1029" s="5"/>
      <c r="D1029" s="5"/>
      <c r="E1029" s="5"/>
      <c r="F1029" s="5"/>
      <c r="G1029" s="5"/>
      <c r="H1029" s="5"/>
      <c r="I1029" s="6"/>
      <c r="J1029" s="5"/>
      <c r="K1029" s="5"/>
      <c r="L1029" s="5"/>
      <c r="M1029" s="5"/>
    </row>
    <row r="1030" spans="1:13" x14ac:dyDescent="0.35">
      <c r="A1030" s="3"/>
      <c r="B1030" s="4"/>
      <c r="C1030" s="5"/>
      <c r="D1030" s="5"/>
      <c r="E1030" s="5"/>
      <c r="F1030" s="5"/>
      <c r="G1030" s="5"/>
      <c r="H1030" s="5"/>
      <c r="I1030" s="6"/>
      <c r="J1030" s="5"/>
      <c r="K1030" s="5"/>
      <c r="L1030" s="5"/>
      <c r="M1030" s="5"/>
    </row>
    <row r="1031" spans="1:13" x14ac:dyDescent="0.35">
      <c r="A1031" s="3"/>
      <c r="B1031" s="4"/>
      <c r="C1031" s="5"/>
      <c r="D1031" s="5"/>
      <c r="E1031" s="5"/>
      <c r="F1031" s="5"/>
      <c r="G1031" s="5"/>
      <c r="H1031" s="5"/>
      <c r="I1031" s="6"/>
      <c r="J1031" s="5"/>
      <c r="K1031" s="5"/>
      <c r="L1031" s="5"/>
      <c r="M1031" s="5"/>
    </row>
    <row r="1032" spans="1:13" x14ac:dyDescent="0.35">
      <c r="A1032" s="3"/>
      <c r="B1032" s="4"/>
      <c r="C1032" s="5"/>
      <c r="D1032" s="5"/>
      <c r="E1032" s="5"/>
      <c r="F1032" s="5"/>
      <c r="G1032" s="5"/>
      <c r="H1032" s="5"/>
      <c r="I1032" s="6"/>
      <c r="J1032" s="5"/>
      <c r="K1032" s="5"/>
      <c r="L1032" s="5"/>
      <c r="M1032" s="5"/>
    </row>
    <row r="1033" spans="1:13" x14ac:dyDescent="0.35">
      <c r="A1033" s="3"/>
      <c r="B1033" s="4"/>
      <c r="C1033" s="5"/>
      <c r="D1033" s="5"/>
      <c r="E1033" s="5"/>
      <c r="F1033" s="5"/>
      <c r="G1033" s="5"/>
      <c r="H1033" s="5"/>
      <c r="I1033" s="6"/>
      <c r="J1033" s="5"/>
      <c r="K1033" s="5"/>
      <c r="L1033" s="5"/>
      <c r="M1033" s="5"/>
    </row>
    <row r="1034" spans="1:13" x14ac:dyDescent="0.35">
      <c r="A1034" s="3"/>
      <c r="B1034" s="4"/>
      <c r="C1034" s="5"/>
      <c r="D1034" s="5"/>
      <c r="E1034" s="5"/>
      <c r="F1034" s="5"/>
      <c r="G1034" s="5"/>
      <c r="H1034" s="5"/>
      <c r="I1034" s="6"/>
      <c r="J1034" s="5"/>
      <c r="K1034" s="5"/>
      <c r="L1034" s="5"/>
      <c r="M1034" s="5"/>
    </row>
    <row r="1035" spans="1:13" x14ac:dyDescent="0.35">
      <c r="A1035" s="3"/>
      <c r="B1035" s="4"/>
      <c r="C1035" s="5"/>
      <c r="D1035" s="5"/>
      <c r="E1035" s="5"/>
      <c r="F1035" s="5"/>
      <c r="G1035" s="5"/>
      <c r="H1035" s="5"/>
      <c r="I1035" s="6"/>
      <c r="J1035" s="5"/>
      <c r="K1035" s="5"/>
      <c r="L1035" s="5"/>
      <c r="M1035" s="5"/>
    </row>
    <row r="1036" spans="1:13" x14ac:dyDescent="0.35">
      <c r="A1036" s="3"/>
      <c r="B1036" s="4"/>
      <c r="C1036" s="5"/>
      <c r="D1036" s="5"/>
      <c r="E1036" s="5"/>
      <c r="F1036" s="5"/>
      <c r="G1036" s="5"/>
      <c r="H1036" s="5"/>
      <c r="I1036" s="6"/>
      <c r="J1036" s="5"/>
      <c r="K1036" s="5"/>
      <c r="L1036" s="5"/>
      <c r="M1036" s="5"/>
    </row>
    <row r="1037" spans="1:13" x14ac:dyDescent="0.35">
      <c r="A1037" s="3"/>
      <c r="B1037" s="4"/>
      <c r="C1037" s="5"/>
      <c r="D1037" s="5"/>
      <c r="E1037" s="5"/>
      <c r="F1037" s="5"/>
      <c r="G1037" s="5"/>
      <c r="H1037" s="5"/>
      <c r="I1037" s="6"/>
      <c r="J1037" s="5"/>
      <c r="K1037" s="5"/>
      <c r="L1037" s="5"/>
      <c r="M1037" s="5"/>
    </row>
    <row r="1038" spans="1:13" x14ac:dyDescent="0.35">
      <c r="A1038" s="3"/>
      <c r="B1038" s="4"/>
      <c r="C1038" s="5"/>
      <c r="D1038" s="5"/>
      <c r="E1038" s="5"/>
      <c r="F1038" s="5"/>
      <c r="G1038" s="5"/>
      <c r="H1038" s="5"/>
      <c r="I1038" s="6"/>
      <c r="J1038" s="5"/>
      <c r="K1038" s="5"/>
      <c r="L1038" s="5"/>
      <c r="M1038" s="5"/>
    </row>
    <row r="1039" spans="1:13" x14ac:dyDescent="0.35">
      <c r="A1039" s="3"/>
      <c r="B1039" s="4"/>
      <c r="C1039" s="5"/>
      <c r="D1039" s="5"/>
      <c r="E1039" s="5"/>
      <c r="F1039" s="5"/>
      <c r="G1039" s="5"/>
      <c r="H1039" s="5"/>
      <c r="I1039" s="6"/>
      <c r="J1039" s="5"/>
      <c r="K1039" s="5"/>
      <c r="L1039" s="5"/>
      <c r="M1039" s="5"/>
    </row>
    <row r="1040" spans="1:13" x14ac:dyDescent="0.35">
      <c r="A1040" s="3"/>
      <c r="B1040" s="4"/>
      <c r="C1040" s="5"/>
      <c r="D1040" s="5"/>
      <c r="E1040" s="5"/>
      <c r="F1040" s="5"/>
      <c r="G1040" s="5"/>
      <c r="H1040" s="5"/>
      <c r="I1040" s="6"/>
      <c r="J1040" s="5"/>
      <c r="K1040" s="5"/>
      <c r="L1040" s="5"/>
      <c r="M1040" s="5"/>
    </row>
    <row r="1041" spans="1:13" x14ac:dyDescent="0.35">
      <c r="A1041" s="3"/>
      <c r="B1041" s="4"/>
      <c r="C1041" s="5"/>
      <c r="D1041" s="5"/>
      <c r="E1041" s="5"/>
      <c r="F1041" s="5"/>
      <c r="G1041" s="5"/>
      <c r="H1041" s="5"/>
      <c r="I1041" s="6"/>
      <c r="J1041" s="5"/>
      <c r="K1041" s="5"/>
      <c r="L1041" s="5"/>
      <c r="M1041" s="5"/>
    </row>
    <row r="1042" spans="1:13" x14ac:dyDescent="0.35">
      <c r="A1042" s="3"/>
      <c r="B1042" s="4"/>
      <c r="C1042" s="5"/>
      <c r="D1042" s="5"/>
      <c r="E1042" s="5"/>
      <c r="F1042" s="5"/>
      <c r="G1042" s="5"/>
      <c r="H1042" s="5"/>
      <c r="I1042" s="6"/>
      <c r="J1042" s="5"/>
      <c r="K1042" s="5"/>
      <c r="L1042" s="5"/>
      <c r="M1042" s="5"/>
    </row>
    <row r="1043" spans="1:13" x14ac:dyDescent="0.35">
      <c r="A1043" s="3"/>
      <c r="B1043" s="4"/>
      <c r="C1043" s="5"/>
      <c r="D1043" s="5"/>
      <c r="E1043" s="5"/>
      <c r="F1043" s="5"/>
      <c r="G1043" s="5"/>
      <c r="H1043" s="5"/>
      <c r="I1043" s="6"/>
      <c r="J1043" s="5"/>
      <c r="K1043" s="5"/>
      <c r="L1043" s="5"/>
      <c r="M1043" s="5"/>
    </row>
    <row r="1044" spans="1:13" x14ac:dyDescent="0.35">
      <c r="A1044" s="3"/>
      <c r="B1044" s="4"/>
      <c r="C1044" s="5"/>
      <c r="D1044" s="5"/>
      <c r="E1044" s="5"/>
      <c r="F1044" s="5"/>
      <c r="G1044" s="5"/>
      <c r="H1044" s="5"/>
      <c r="I1044" s="6"/>
      <c r="J1044" s="5"/>
      <c r="K1044" s="5"/>
      <c r="L1044" s="5"/>
      <c r="M1044" s="5"/>
    </row>
    <row r="1045" spans="1:13" x14ac:dyDescent="0.35">
      <c r="A1045" s="3"/>
      <c r="B1045" s="4"/>
      <c r="C1045" s="5"/>
      <c r="D1045" s="5"/>
      <c r="E1045" s="5"/>
      <c r="F1045" s="5"/>
      <c r="G1045" s="5"/>
      <c r="H1045" s="5"/>
      <c r="I1045" s="6"/>
      <c r="J1045" s="5"/>
      <c r="K1045" s="5"/>
      <c r="L1045" s="5"/>
      <c r="M1045" s="5"/>
    </row>
    <row r="1046" spans="1:13" x14ac:dyDescent="0.35">
      <c r="A1046" s="3"/>
      <c r="B1046" s="4"/>
      <c r="C1046" s="5"/>
      <c r="D1046" s="5"/>
      <c r="E1046" s="5"/>
      <c r="F1046" s="5"/>
      <c r="G1046" s="5"/>
      <c r="H1046" s="5"/>
      <c r="I1046" s="6"/>
      <c r="J1046" s="5"/>
      <c r="K1046" s="5"/>
      <c r="L1046" s="5"/>
      <c r="M1046" s="5"/>
    </row>
    <row r="1047" spans="1:13" x14ac:dyDescent="0.35">
      <c r="A1047" s="3"/>
      <c r="B1047" s="4"/>
      <c r="C1047" s="5"/>
      <c r="D1047" s="5"/>
      <c r="E1047" s="5"/>
      <c r="F1047" s="5"/>
      <c r="G1047" s="5"/>
      <c r="H1047" s="5"/>
      <c r="I1047" s="6"/>
      <c r="J1047" s="5"/>
      <c r="K1047" s="5"/>
      <c r="L1047" s="5"/>
      <c r="M1047" s="5"/>
    </row>
    <row r="1048" spans="1:13" x14ac:dyDescent="0.35">
      <c r="A1048" s="3"/>
      <c r="B1048" s="4"/>
      <c r="C1048" s="5"/>
      <c r="D1048" s="5"/>
      <c r="E1048" s="5"/>
      <c r="F1048" s="5"/>
      <c r="G1048" s="5"/>
      <c r="H1048" s="5"/>
      <c r="I1048" s="6"/>
      <c r="J1048" s="5"/>
      <c r="K1048" s="5"/>
      <c r="L1048" s="5"/>
      <c r="M1048" s="5"/>
    </row>
    <row r="1049" spans="1:13" x14ac:dyDescent="0.35">
      <c r="A1049" s="3"/>
      <c r="B1049" s="4"/>
      <c r="C1049" s="5"/>
      <c r="D1049" s="5"/>
      <c r="E1049" s="5"/>
      <c r="F1049" s="5"/>
      <c r="G1049" s="5"/>
      <c r="H1049" s="5"/>
      <c r="I1049" s="6"/>
      <c r="J1049" s="5"/>
      <c r="K1049" s="5"/>
      <c r="L1049" s="5"/>
      <c r="M1049" s="5"/>
    </row>
    <row r="1050" spans="1:13" x14ac:dyDescent="0.35">
      <c r="A1050" s="3"/>
      <c r="B1050" s="4"/>
      <c r="C1050" s="5"/>
      <c r="D1050" s="5"/>
      <c r="E1050" s="5"/>
      <c r="F1050" s="5"/>
      <c r="G1050" s="5"/>
      <c r="H1050" s="5"/>
      <c r="I1050" s="6"/>
      <c r="J1050" s="5"/>
      <c r="K1050" s="5"/>
      <c r="L1050" s="5"/>
      <c r="M1050" s="5"/>
    </row>
    <row r="1051" spans="1:13" x14ac:dyDescent="0.35">
      <c r="A1051" s="3"/>
      <c r="B1051" s="4"/>
      <c r="C1051" s="5"/>
      <c r="D1051" s="5"/>
      <c r="E1051" s="5"/>
      <c r="F1051" s="5"/>
      <c r="G1051" s="5"/>
      <c r="H1051" s="5"/>
      <c r="I1051" s="6"/>
      <c r="J1051" s="5"/>
      <c r="K1051" s="5"/>
      <c r="L1051" s="5"/>
      <c r="M1051" s="5"/>
    </row>
    <row r="1052" spans="1:13" x14ac:dyDescent="0.35">
      <c r="A1052" s="3"/>
      <c r="B1052" s="4"/>
      <c r="C1052" s="5"/>
      <c r="D1052" s="5"/>
      <c r="E1052" s="5"/>
      <c r="F1052" s="5"/>
      <c r="G1052" s="5"/>
      <c r="H1052" s="5"/>
      <c r="I1052" s="6"/>
      <c r="J1052" s="5"/>
      <c r="K1052" s="5"/>
      <c r="L1052" s="5"/>
      <c r="M1052" s="5"/>
    </row>
    <row r="1053" spans="1:13" x14ac:dyDescent="0.35">
      <c r="A1053" s="3"/>
      <c r="B1053" s="4"/>
      <c r="C1053" s="5"/>
      <c r="D1053" s="5"/>
      <c r="E1053" s="5"/>
      <c r="F1053" s="5"/>
      <c r="G1053" s="5"/>
      <c r="H1053" s="5"/>
      <c r="I1053" s="6"/>
      <c r="J1053" s="5"/>
      <c r="K1053" s="5"/>
      <c r="L1053" s="5"/>
      <c r="M1053" s="5"/>
    </row>
    <row r="1054" spans="1:13" x14ac:dyDescent="0.35">
      <c r="A1054" s="3"/>
      <c r="B1054" s="4"/>
      <c r="C1054" s="5"/>
      <c r="D1054" s="5"/>
      <c r="E1054" s="5"/>
      <c r="F1054" s="5"/>
      <c r="G1054" s="5"/>
      <c r="H1054" s="5"/>
      <c r="I1054" s="6"/>
      <c r="J1054" s="5"/>
      <c r="K1054" s="5"/>
      <c r="L1054" s="5"/>
      <c r="M1054" s="5"/>
    </row>
    <row r="1055" spans="1:13" x14ac:dyDescent="0.35">
      <c r="A1055" s="3"/>
      <c r="B1055" s="4"/>
      <c r="C1055" s="5"/>
      <c r="D1055" s="5"/>
      <c r="E1055" s="5"/>
      <c r="F1055" s="5"/>
      <c r="G1055" s="5"/>
      <c r="H1055" s="5"/>
      <c r="I1055" s="6"/>
      <c r="J1055" s="5"/>
      <c r="K1055" s="5"/>
      <c r="L1055" s="5"/>
      <c r="M1055" s="5"/>
    </row>
    <row r="1056" spans="1:13" x14ac:dyDescent="0.35">
      <c r="A1056" s="3"/>
      <c r="B1056" s="4"/>
      <c r="C1056" s="5"/>
      <c r="D1056" s="5"/>
      <c r="E1056" s="5"/>
      <c r="F1056" s="5"/>
      <c r="G1056" s="5"/>
      <c r="H1056" s="5"/>
      <c r="I1056" s="6"/>
      <c r="J1056" s="5"/>
      <c r="K1056" s="5"/>
      <c r="L1056" s="5"/>
      <c r="M1056" s="5"/>
    </row>
    <row r="1057" spans="1:13" x14ac:dyDescent="0.35">
      <c r="A1057" s="3"/>
      <c r="B1057" s="4"/>
      <c r="C1057" s="5"/>
      <c r="D1057" s="5"/>
      <c r="E1057" s="5"/>
      <c r="F1057" s="5"/>
      <c r="G1057" s="5"/>
      <c r="H1057" s="5"/>
      <c r="I1057" s="6"/>
      <c r="J1057" s="5"/>
      <c r="K1057" s="5"/>
      <c r="L1057" s="5"/>
      <c r="M1057" s="5"/>
    </row>
    <row r="1058" spans="1:13" x14ac:dyDescent="0.35">
      <c r="A1058" s="3"/>
      <c r="B1058" s="4"/>
      <c r="C1058" s="5"/>
      <c r="D1058" s="5"/>
      <c r="E1058" s="5"/>
      <c r="F1058" s="5"/>
      <c r="G1058" s="5"/>
      <c r="H1058" s="5"/>
      <c r="I1058" s="6"/>
      <c r="J1058" s="5"/>
      <c r="K1058" s="5"/>
      <c r="L1058" s="5"/>
      <c r="M1058" s="5"/>
    </row>
    <row r="1059" spans="1:13" x14ac:dyDescent="0.35">
      <c r="A1059" s="3"/>
      <c r="B1059" s="4"/>
      <c r="C1059" s="5"/>
      <c r="D1059" s="5"/>
      <c r="E1059" s="5"/>
      <c r="F1059" s="5"/>
      <c r="G1059" s="5"/>
      <c r="H1059" s="5"/>
      <c r="I1059" s="6"/>
      <c r="J1059" s="5"/>
      <c r="K1059" s="5"/>
      <c r="L1059" s="5"/>
      <c r="M1059" s="5"/>
    </row>
    <row r="1060" spans="1:13" x14ac:dyDescent="0.35">
      <c r="A1060" s="3"/>
      <c r="B1060" s="4"/>
      <c r="C1060" s="5"/>
      <c r="D1060" s="5"/>
      <c r="E1060" s="5"/>
      <c r="F1060" s="5"/>
      <c r="G1060" s="5"/>
      <c r="H1060" s="5"/>
      <c r="I1060" s="6"/>
      <c r="J1060" s="5"/>
      <c r="K1060" s="5"/>
      <c r="L1060" s="5"/>
      <c r="M1060" s="5"/>
    </row>
    <row r="1061" spans="1:13" x14ac:dyDescent="0.35">
      <c r="A1061" s="3"/>
      <c r="B1061" s="4"/>
      <c r="C1061" s="5"/>
      <c r="D1061" s="5"/>
      <c r="E1061" s="5"/>
      <c r="F1061" s="5"/>
      <c r="G1061" s="5"/>
      <c r="H1061" s="5"/>
      <c r="I1061" s="6"/>
      <c r="J1061" s="5"/>
      <c r="K1061" s="5"/>
      <c r="L1061" s="5"/>
      <c r="M1061" s="5"/>
    </row>
    <row r="1062" spans="1:13" x14ac:dyDescent="0.35">
      <c r="A1062" s="3"/>
      <c r="B1062" s="4"/>
      <c r="C1062" s="5"/>
      <c r="D1062" s="5"/>
      <c r="E1062" s="5"/>
      <c r="F1062" s="5"/>
      <c r="G1062" s="5"/>
      <c r="H1062" s="5"/>
      <c r="I1062" s="6"/>
      <c r="J1062" s="5"/>
      <c r="K1062" s="5"/>
      <c r="L1062" s="5"/>
      <c r="M1062" s="5"/>
    </row>
    <row r="1063" spans="1:13" x14ac:dyDescent="0.35">
      <c r="A1063" s="3"/>
      <c r="B1063" s="4"/>
      <c r="C1063" s="5"/>
      <c r="D1063" s="5"/>
      <c r="E1063" s="5"/>
      <c r="F1063" s="5"/>
      <c r="G1063" s="5"/>
      <c r="H1063" s="5"/>
      <c r="I1063" s="6"/>
      <c r="J1063" s="5"/>
      <c r="K1063" s="5"/>
      <c r="L1063" s="5"/>
      <c r="M1063" s="5"/>
    </row>
    <row r="1064" spans="1:13" x14ac:dyDescent="0.35">
      <c r="A1064" s="3"/>
      <c r="B1064" s="4"/>
      <c r="C1064" s="5"/>
      <c r="D1064" s="5"/>
      <c r="E1064" s="5"/>
      <c r="F1064" s="5"/>
      <c r="G1064" s="5"/>
      <c r="H1064" s="5"/>
      <c r="I1064" s="6"/>
      <c r="J1064" s="5"/>
      <c r="K1064" s="5"/>
      <c r="L1064" s="5"/>
      <c r="M1064" s="5"/>
    </row>
    <row r="1065" spans="1:13" x14ac:dyDescent="0.35">
      <c r="A1065" s="3"/>
      <c r="B1065" s="4"/>
      <c r="C1065" s="5"/>
      <c r="D1065" s="5"/>
      <c r="E1065" s="5"/>
      <c r="F1065" s="5"/>
      <c r="G1065" s="5"/>
      <c r="H1065" s="5"/>
      <c r="I1065" s="6"/>
      <c r="J1065" s="5"/>
      <c r="K1065" s="5"/>
      <c r="L1065" s="5"/>
      <c r="M1065" s="5"/>
    </row>
    <row r="1066" spans="1:13" x14ac:dyDescent="0.35">
      <c r="A1066" s="3"/>
      <c r="B1066" s="4"/>
      <c r="C1066" s="5"/>
      <c r="D1066" s="5"/>
      <c r="E1066" s="5"/>
      <c r="F1066" s="5"/>
      <c r="G1066" s="5"/>
      <c r="H1066" s="5"/>
      <c r="I1066" s="6"/>
      <c r="J1066" s="5"/>
      <c r="K1066" s="5"/>
      <c r="L1066" s="5"/>
      <c r="M1066" s="5"/>
    </row>
    <row r="1067" spans="1:13" x14ac:dyDescent="0.35">
      <c r="A1067" s="3"/>
      <c r="B1067" s="4"/>
      <c r="C1067" s="5"/>
      <c r="D1067" s="5"/>
      <c r="E1067" s="5"/>
      <c r="F1067" s="5"/>
      <c r="G1067" s="5"/>
      <c r="H1067" s="5"/>
      <c r="I1067" s="6"/>
      <c r="J1067" s="5"/>
      <c r="K1067" s="5"/>
      <c r="L1067" s="5"/>
      <c r="M1067" s="5"/>
    </row>
    <row r="1068" spans="1:13" x14ac:dyDescent="0.35">
      <c r="A1068" s="3"/>
      <c r="B1068" s="4"/>
      <c r="C1068" s="5"/>
      <c r="D1068" s="5"/>
      <c r="E1068" s="5"/>
      <c r="F1068" s="5"/>
      <c r="G1068" s="5"/>
      <c r="H1068" s="5"/>
      <c r="I1068" s="6"/>
      <c r="J1068" s="5"/>
      <c r="K1068" s="5"/>
      <c r="L1068" s="5"/>
      <c r="M1068" s="5"/>
    </row>
    <row r="1069" spans="1:13" x14ac:dyDescent="0.35">
      <c r="A1069" s="3"/>
      <c r="B1069" s="4"/>
      <c r="C1069" s="5"/>
      <c r="D1069" s="5"/>
      <c r="E1069" s="5"/>
      <c r="F1069" s="5"/>
      <c r="G1069" s="5"/>
      <c r="H1069" s="5"/>
      <c r="I1069" s="6"/>
      <c r="J1069" s="5"/>
      <c r="K1069" s="5"/>
      <c r="L1069" s="5"/>
      <c r="M1069" s="5"/>
    </row>
    <row r="1070" spans="1:13" x14ac:dyDescent="0.35">
      <c r="A1070" s="3"/>
      <c r="B1070" s="4"/>
      <c r="C1070" s="5"/>
      <c r="D1070" s="5"/>
      <c r="E1070" s="5"/>
      <c r="F1070" s="5"/>
      <c r="G1070" s="5"/>
      <c r="H1070" s="5"/>
      <c r="I1070" s="6"/>
      <c r="J1070" s="5"/>
      <c r="K1070" s="5"/>
      <c r="L1070" s="5"/>
      <c r="M1070" s="5"/>
    </row>
    <row r="1071" spans="1:13" x14ac:dyDescent="0.35">
      <c r="A1071" s="3"/>
      <c r="B1071" s="4"/>
      <c r="C1071" s="5"/>
      <c r="D1071" s="5"/>
      <c r="E1071" s="5"/>
      <c r="F1071" s="5"/>
      <c r="G1071" s="5"/>
      <c r="H1071" s="5"/>
      <c r="I1071" s="6"/>
      <c r="J1071" s="5"/>
      <c r="K1071" s="5"/>
      <c r="L1071" s="5"/>
      <c r="M1071" s="5"/>
    </row>
    <row r="1072" spans="1:13" x14ac:dyDescent="0.35">
      <c r="A1072" s="3"/>
      <c r="B1072" s="4"/>
      <c r="C1072" s="5"/>
      <c r="D1072" s="5"/>
      <c r="E1072" s="5"/>
      <c r="F1072" s="5"/>
      <c r="G1072" s="5"/>
      <c r="H1072" s="5"/>
      <c r="I1072" s="6"/>
      <c r="J1072" s="5"/>
      <c r="K1072" s="5"/>
      <c r="L1072" s="5"/>
      <c r="M1072" s="5"/>
    </row>
    <row r="1073" spans="1:13" x14ac:dyDescent="0.35">
      <c r="A1073" s="3"/>
      <c r="B1073" s="4"/>
      <c r="C1073" s="5"/>
      <c r="D1073" s="5"/>
      <c r="E1073" s="5"/>
      <c r="F1073" s="5"/>
      <c r="G1073" s="5"/>
      <c r="H1073" s="5"/>
      <c r="I1073" s="6"/>
      <c r="J1073" s="5"/>
      <c r="K1073" s="5"/>
      <c r="L1073" s="5"/>
      <c r="M1073" s="5"/>
    </row>
    <row r="1074" spans="1:13" x14ac:dyDescent="0.35">
      <c r="A1074" s="3"/>
      <c r="B1074" s="4"/>
      <c r="C1074" s="5"/>
      <c r="D1074" s="5"/>
      <c r="E1074" s="5"/>
      <c r="F1074" s="5"/>
      <c r="G1074" s="5"/>
      <c r="H1074" s="5"/>
      <c r="I1074" s="6"/>
      <c r="J1074" s="5"/>
      <c r="K1074" s="5"/>
      <c r="L1074" s="5"/>
      <c r="M1074" s="5"/>
    </row>
    <row r="1075" spans="1:13" x14ac:dyDescent="0.35">
      <c r="A1075" s="3"/>
      <c r="B1075" s="4"/>
      <c r="C1075" s="5"/>
      <c r="D1075" s="5"/>
      <c r="E1075" s="5"/>
      <c r="F1075" s="5"/>
      <c r="G1075" s="5"/>
      <c r="H1075" s="5"/>
      <c r="I1075" s="6"/>
      <c r="J1075" s="5"/>
      <c r="K1075" s="5"/>
      <c r="L1075" s="5"/>
      <c r="M1075" s="5"/>
    </row>
    <row r="1076" spans="1:13" x14ac:dyDescent="0.35">
      <c r="A1076" s="3"/>
      <c r="B1076" s="4"/>
      <c r="C1076" s="5"/>
      <c r="D1076" s="5"/>
      <c r="E1076" s="5"/>
      <c r="F1076" s="5"/>
      <c r="G1076" s="5"/>
      <c r="H1076" s="5"/>
      <c r="I1076" s="6"/>
      <c r="J1076" s="5"/>
      <c r="K1076" s="5"/>
      <c r="L1076" s="5"/>
      <c r="M1076" s="5"/>
    </row>
    <row r="1077" spans="1:13" x14ac:dyDescent="0.35">
      <c r="A1077" s="3"/>
      <c r="B1077" s="4"/>
      <c r="C1077" s="5"/>
      <c r="D1077" s="5"/>
      <c r="E1077" s="5"/>
      <c r="F1077" s="5"/>
      <c r="G1077" s="5"/>
      <c r="H1077" s="5"/>
      <c r="I1077" s="6"/>
      <c r="J1077" s="5"/>
      <c r="K1077" s="5"/>
      <c r="L1077" s="5"/>
      <c r="M1077" s="5"/>
    </row>
    <row r="1078" spans="1:13" x14ac:dyDescent="0.35">
      <c r="A1078" s="3"/>
      <c r="B1078" s="4"/>
      <c r="C1078" s="5"/>
      <c r="D1078" s="5"/>
      <c r="E1078" s="5"/>
      <c r="F1078" s="5"/>
      <c r="G1078" s="5"/>
      <c r="H1078" s="5"/>
      <c r="I1078" s="6"/>
      <c r="J1078" s="5"/>
      <c r="K1078" s="5"/>
      <c r="L1078" s="5"/>
      <c r="M1078" s="5"/>
    </row>
    <row r="1079" spans="1:13" x14ac:dyDescent="0.35">
      <c r="A1079" s="3"/>
      <c r="B1079" s="4"/>
      <c r="C1079" s="5"/>
      <c r="D1079" s="5"/>
      <c r="E1079" s="5"/>
      <c r="F1079" s="5"/>
      <c r="G1079" s="5"/>
      <c r="H1079" s="5"/>
      <c r="I1079" s="6"/>
      <c r="J1079" s="5"/>
      <c r="K1079" s="5"/>
      <c r="L1079" s="5"/>
      <c r="M1079" s="5"/>
    </row>
    <row r="1080" spans="1:13" x14ac:dyDescent="0.35">
      <c r="A1080" s="3"/>
      <c r="B1080" s="4"/>
      <c r="C1080" s="5"/>
      <c r="D1080" s="5"/>
      <c r="E1080" s="5"/>
      <c r="F1080" s="5"/>
      <c r="G1080" s="5"/>
      <c r="H1080" s="5"/>
      <c r="I1080" s="6"/>
      <c r="J1080" s="5"/>
      <c r="K1080" s="5"/>
      <c r="L1080" s="5"/>
      <c r="M1080" s="5"/>
    </row>
    <row r="1081" spans="1:13" x14ac:dyDescent="0.35">
      <c r="A1081" s="3"/>
      <c r="B1081" s="4"/>
      <c r="C1081" s="5"/>
      <c r="D1081" s="5"/>
      <c r="E1081" s="5"/>
      <c r="F1081" s="5"/>
      <c r="G1081" s="5"/>
      <c r="H1081" s="5"/>
      <c r="I1081" s="6"/>
      <c r="J1081" s="5"/>
      <c r="K1081" s="5"/>
      <c r="L1081" s="5"/>
      <c r="M1081" s="5"/>
    </row>
    <row r="1082" spans="1:13" x14ac:dyDescent="0.35">
      <c r="A1082" s="3"/>
      <c r="B1082" s="4"/>
      <c r="C1082" s="5"/>
      <c r="D1082" s="5"/>
      <c r="E1082" s="5"/>
      <c r="F1082" s="5"/>
      <c r="G1082" s="5"/>
      <c r="H1082" s="5"/>
      <c r="I1082" s="6"/>
      <c r="J1082" s="5"/>
      <c r="K1082" s="5"/>
      <c r="L1082" s="5"/>
      <c r="M1082" s="5"/>
    </row>
    <row r="1083" spans="1:13" x14ac:dyDescent="0.35">
      <c r="A1083" s="3"/>
      <c r="B1083" s="4"/>
      <c r="C1083" s="5"/>
      <c r="D1083" s="5"/>
      <c r="E1083" s="5"/>
      <c r="F1083" s="5"/>
      <c r="G1083" s="5"/>
      <c r="H1083" s="5"/>
      <c r="I1083" s="6"/>
      <c r="J1083" s="5"/>
      <c r="K1083" s="5"/>
      <c r="L1083" s="5"/>
      <c r="M1083" s="5"/>
    </row>
    <row r="1084" spans="1:13" x14ac:dyDescent="0.35">
      <c r="A1084" s="3"/>
      <c r="B1084" s="4"/>
      <c r="C1084" s="5"/>
      <c r="D1084" s="5"/>
      <c r="E1084" s="5"/>
      <c r="F1084" s="5"/>
      <c r="G1084" s="5"/>
      <c r="H1084" s="5"/>
      <c r="I1084" s="6"/>
      <c r="J1084" s="5"/>
      <c r="K1084" s="5"/>
      <c r="L1084" s="5"/>
      <c r="M1084" s="5"/>
    </row>
    <row r="1085" spans="1:13" x14ac:dyDescent="0.35">
      <c r="A1085" s="3"/>
      <c r="B1085" s="4"/>
      <c r="C1085" s="5"/>
      <c r="D1085" s="5"/>
      <c r="E1085" s="5"/>
      <c r="F1085" s="5"/>
      <c r="G1085" s="5"/>
      <c r="H1085" s="5"/>
      <c r="I1085" s="6"/>
      <c r="J1085" s="5"/>
      <c r="K1085" s="5"/>
      <c r="L1085" s="5"/>
      <c r="M1085" s="5"/>
    </row>
    <row r="1086" spans="1:13" x14ac:dyDescent="0.35">
      <c r="A1086" s="3"/>
      <c r="B1086" s="4"/>
      <c r="C1086" s="5"/>
      <c r="D1086" s="5"/>
      <c r="E1086" s="5"/>
      <c r="F1086" s="5"/>
      <c r="G1086" s="5"/>
      <c r="H1086" s="5"/>
      <c r="I1086" s="6"/>
      <c r="J1086" s="5"/>
      <c r="K1086" s="5"/>
      <c r="L1086" s="5"/>
      <c r="M1086" s="5"/>
    </row>
    <row r="1087" spans="1:13" x14ac:dyDescent="0.35">
      <c r="A1087" s="3"/>
      <c r="B1087" s="4"/>
      <c r="C1087" s="5"/>
      <c r="D1087" s="5"/>
      <c r="E1087" s="5"/>
      <c r="F1087" s="5"/>
      <c r="G1087" s="5"/>
      <c r="H1087" s="5"/>
      <c r="I1087" s="6"/>
      <c r="J1087" s="5"/>
      <c r="K1087" s="5"/>
      <c r="L1087" s="5"/>
      <c r="M1087" s="5"/>
    </row>
    <row r="1088" spans="1:13" x14ac:dyDescent="0.35">
      <c r="A1088" s="3"/>
      <c r="B1088" s="4"/>
      <c r="C1088" s="5"/>
      <c r="D1088" s="5"/>
      <c r="E1088" s="5"/>
      <c r="F1088" s="5"/>
      <c r="G1088" s="5"/>
      <c r="H1088" s="5"/>
      <c r="I1088" s="6"/>
      <c r="J1088" s="5"/>
      <c r="K1088" s="5"/>
      <c r="L1088" s="5"/>
      <c r="M1088" s="5"/>
    </row>
    <row r="1089" spans="1:13" x14ac:dyDescent="0.35">
      <c r="A1089" s="3"/>
      <c r="B1089" s="4"/>
      <c r="C1089" s="5"/>
      <c r="D1089" s="5"/>
      <c r="E1089" s="5"/>
      <c r="F1089" s="5"/>
      <c r="G1089" s="5"/>
      <c r="H1089" s="5"/>
      <c r="I1089" s="6"/>
      <c r="J1089" s="5"/>
      <c r="K1089" s="5"/>
      <c r="L1089" s="5"/>
      <c r="M1089" s="5"/>
    </row>
    <row r="1090" spans="1:13" x14ac:dyDescent="0.35">
      <c r="A1090" s="3"/>
      <c r="B1090" s="4"/>
      <c r="C1090" s="5"/>
      <c r="D1090" s="5"/>
      <c r="E1090" s="5"/>
      <c r="F1090" s="5"/>
      <c r="G1090" s="5"/>
      <c r="H1090" s="5"/>
      <c r="I1090" s="6"/>
      <c r="J1090" s="5"/>
      <c r="K1090" s="5"/>
      <c r="L1090" s="5"/>
      <c r="M1090" s="5"/>
    </row>
    <row r="1091" spans="1:13" x14ac:dyDescent="0.35">
      <c r="A1091" s="3"/>
      <c r="B1091" s="4"/>
      <c r="C1091" s="5"/>
      <c r="D1091" s="5"/>
      <c r="E1091" s="5"/>
      <c r="F1091" s="5"/>
      <c r="G1091" s="5"/>
      <c r="H1091" s="5"/>
      <c r="I1091" s="6"/>
      <c r="J1091" s="5"/>
      <c r="K1091" s="5"/>
      <c r="L1091" s="5"/>
      <c r="M1091" s="5"/>
    </row>
    <row r="1092" spans="1:13" x14ac:dyDescent="0.35">
      <c r="A1092" s="3"/>
      <c r="B1092" s="4"/>
      <c r="C1092" s="5"/>
      <c r="D1092" s="5"/>
      <c r="E1092" s="5"/>
      <c r="F1092" s="5"/>
      <c r="G1092" s="5"/>
      <c r="H1092" s="5"/>
      <c r="I1092" s="6"/>
      <c r="J1092" s="5"/>
      <c r="K1092" s="5"/>
      <c r="L1092" s="5"/>
      <c r="M1092" s="5"/>
    </row>
    <row r="1093" spans="1:13" x14ac:dyDescent="0.35">
      <c r="A1093" s="3"/>
      <c r="B1093" s="4"/>
      <c r="C1093" s="5"/>
      <c r="D1093" s="5"/>
      <c r="E1093" s="5"/>
      <c r="F1093" s="5"/>
      <c r="G1093" s="5"/>
      <c r="H1093" s="5"/>
      <c r="I1093" s="6"/>
      <c r="J1093" s="5"/>
      <c r="K1093" s="5"/>
      <c r="L1093" s="5"/>
      <c r="M1093" s="5"/>
    </row>
    <row r="1094" spans="1:13" x14ac:dyDescent="0.35">
      <c r="A1094" s="3"/>
      <c r="B1094" s="4"/>
      <c r="C1094" s="5"/>
      <c r="D1094" s="5"/>
      <c r="E1094" s="5"/>
      <c r="F1094" s="5"/>
      <c r="G1094" s="5"/>
      <c r="H1094" s="5"/>
      <c r="I1094" s="6"/>
      <c r="J1094" s="5"/>
      <c r="K1094" s="5"/>
      <c r="L1094" s="5"/>
      <c r="M1094" s="5"/>
    </row>
    <row r="1095" spans="1:13" x14ac:dyDescent="0.35">
      <c r="A1095" s="3"/>
      <c r="B1095" s="4"/>
      <c r="C1095" s="5"/>
      <c r="D1095" s="5"/>
      <c r="E1095" s="5"/>
      <c r="F1095" s="5"/>
      <c r="G1095" s="5"/>
      <c r="H1095" s="5"/>
      <c r="I1095" s="6"/>
      <c r="J1095" s="5"/>
      <c r="K1095" s="5"/>
      <c r="L1095" s="5"/>
      <c r="M1095" s="5"/>
    </row>
    <row r="1096" spans="1:13" x14ac:dyDescent="0.35">
      <c r="A1096" s="3"/>
      <c r="B1096" s="4"/>
      <c r="C1096" s="5"/>
      <c r="D1096" s="5"/>
      <c r="E1096" s="5"/>
      <c r="F1096" s="5"/>
      <c r="G1096" s="5"/>
      <c r="H1096" s="5"/>
      <c r="I1096" s="6"/>
      <c r="J1096" s="5"/>
      <c r="K1096" s="5"/>
      <c r="L1096" s="5"/>
      <c r="M1096" s="5"/>
    </row>
    <row r="1097" spans="1:13" x14ac:dyDescent="0.35">
      <c r="A1097" s="3"/>
      <c r="B1097" s="4"/>
      <c r="C1097" s="5"/>
      <c r="D1097" s="5"/>
      <c r="E1097" s="5"/>
      <c r="F1097" s="5"/>
      <c r="G1097" s="5"/>
      <c r="H1097" s="5"/>
      <c r="I1097" s="6"/>
      <c r="J1097" s="5"/>
      <c r="K1097" s="5"/>
      <c r="L1097" s="5"/>
      <c r="M1097" s="5"/>
    </row>
    <row r="1098" spans="1:13" x14ac:dyDescent="0.35">
      <c r="A1098" s="3"/>
      <c r="B1098" s="4"/>
      <c r="C1098" s="5"/>
      <c r="D1098" s="5"/>
      <c r="E1098" s="5"/>
      <c r="F1098" s="5"/>
      <c r="G1098" s="5"/>
      <c r="H1098" s="5"/>
      <c r="I1098" s="6"/>
      <c r="J1098" s="5"/>
      <c r="K1098" s="5"/>
      <c r="L1098" s="5"/>
      <c r="M1098" s="5"/>
    </row>
    <row r="1099" spans="1:13" x14ac:dyDescent="0.35">
      <c r="A1099" s="3"/>
      <c r="B1099" s="4"/>
      <c r="C1099" s="5"/>
      <c r="D1099" s="5"/>
      <c r="E1099" s="5"/>
      <c r="F1099" s="5"/>
      <c r="G1099" s="5"/>
      <c r="H1099" s="5"/>
      <c r="I1099" s="6"/>
      <c r="J1099" s="5"/>
      <c r="K1099" s="5"/>
      <c r="L1099" s="5"/>
      <c r="M1099" s="5"/>
    </row>
    <row r="1100" spans="1:13" x14ac:dyDescent="0.35">
      <c r="A1100" s="3"/>
      <c r="B1100" s="4"/>
      <c r="C1100" s="5"/>
      <c r="D1100" s="5"/>
      <c r="E1100" s="5"/>
      <c r="F1100" s="5"/>
      <c r="G1100" s="5"/>
      <c r="H1100" s="5"/>
      <c r="I1100" s="6"/>
      <c r="J1100" s="5"/>
      <c r="K1100" s="5"/>
      <c r="L1100" s="5"/>
      <c r="M1100" s="5"/>
    </row>
    <row r="1101" spans="1:13" x14ac:dyDescent="0.35">
      <c r="A1101" s="3"/>
      <c r="B1101" s="4"/>
      <c r="C1101" s="5"/>
      <c r="D1101" s="5"/>
      <c r="E1101" s="5"/>
      <c r="F1101" s="5"/>
      <c r="G1101" s="5"/>
      <c r="H1101" s="5"/>
      <c r="I1101" s="6"/>
      <c r="J1101" s="5"/>
      <c r="K1101" s="5"/>
      <c r="L1101" s="5"/>
      <c r="M1101" s="5"/>
    </row>
    <row r="1102" spans="1:13" x14ac:dyDescent="0.35">
      <c r="A1102" s="3"/>
      <c r="B1102" s="4"/>
      <c r="C1102" s="5"/>
      <c r="D1102" s="5"/>
      <c r="E1102" s="5"/>
      <c r="F1102" s="5"/>
      <c r="G1102" s="5"/>
      <c r="H1102" s="5"/>
      <c r="I1102" s="6"/>
      <c r="J1102" s="5"/>
      <c r="K1102" s="5"/>
      <c r="L1102" s="5"/>
      <c r="M1102" s="5"/>
    </row>
    <row r="1103" spans="1:13" x14ac:dyDescent="0.35">
      <c r="A1103" s="3"/>
      <c r="B1103" s="4"/>
      <c r="C1103" s="5"/>
      <c r="D1103" s="5"/>
      <c r="E1103" s="5"/>
      <c r="F1103" s="5"/>
      <c r="G1103" s="5"/>
      <c r="H1103" s="5"/>
      <c r="I1103" s="6"/>
      <c r="J1103" s="5"/>
      <c r="K1103" s="5"/>
      <c r="L1103" s="5"/>
      <c r="M1103" s="5"/>
    </row>
    <row r="1104" spans="1:13" x14ac:dyDescent="0.35">
      <c r="A1104" s="3"/>
      <c r="B1104" s="4"/>
      <c r="C1104" s="5"/>
      <c r="D1104" s="5"/>
      <c r="E1104" s="5"/>
      <c r="F1104" s="5"/>
      <c r="G1104" s="5"/>
      <c r="H1104" s="5"/>
      <c r="I1104" s="6"/>
      <c r="J1104" s="5"/>
      <c r="K1104" s="5"/>
      <c r="L1104" s="5"/>
      <c r="M1104" s="5"/>
    </row>
    <row r="1105" spans="1:13" x14ac:dyDescent="0.35">
      <c r="A1105" s="3"/>
      <c r="B1105" s="4"/>
      <c r="C1105" s="5"/>
      <c r="D1105" s="5"/>
      <c r="E1105" s="5"/>
      <c r="F1105" s="5"/>
      <c r="G1105" s="5"/>
      <c r="H1105" s="5"/>
      <c r="I1105" s="6"/>
      <c r="J1105" s="5"/>
      <c r="K1105" s="5"/>
      <c r="L1105" s="5"/>
      <c r="M1105" s="5"/>
    </row>
    <row r="1106" spans="1:13" x14ac:dyDescent="0.35">
      <c r="A1106" s="3"/>
      <c r="B1106" s="4"/>
      <c r="C1106" s="5"/>
      <c r="D1106" s="5"/>
      <c r="E1106" s="5"/>
      <c r="F1106" s="5"/>
      <c r="G1106" s="5"/>
      <c r="H1106" s="5"/>
      <c r="I1106" s="6"/>
      <c r="J1106" s="5"/>
      <c r="K1106" s="5"/>
      <c r="L1106" s="5"/>
      <c r="M1106" s="5"/>
    </row>
    <row r="1107" spans="1:13" x14ac:dyDescent="0.35">
      <c r="A1107" s="3"/>
      <c r="B1107" s="4"/>
      <c r="C1107" s="5"/>
      <c r="D1107" s="5"/>
      <c r="E1107" s="5"/>
      <c r="F1107" s="5"/>
      <c r="G1107" s="5"/>
      <c r="H1107" s="5"/>
      <c r="I1107" s="6"/>
      <c r="J1107" s="5"/>
      <c r="K1107" s="5"/>
      <c r="L1107" s="5"/>
      <c r="M1107" s="5"/>
    </row>
    <row r="1108" spans="1:13" x14ac:dyDescent="0.35">
      <c r="A1108" s="3"/>
      <c r="B1108" s="4"/>
      <c r="C1108" s="5"/>
      <c r="D1108" s="5"/>
      <c r="E1108" s="5"/>
      <c r="F1108" s="5"/>
      <c r="G1108" s="5"/>
      <c r="H1108" s="5"/>
      <c r="I1108" s="6"/>
      <c r="J1108" s="5"/>
      <c r="K1108" s="5"/>
      <c r="L1108" s="5"/>
      <c r="M1108" s="5"/>
    </row>
    <row r="1109" spans="1:13" x14ac:dyDescent="0.35">
      <c r="A1109" s="3"/>
      <c r="B1109" s="4"/>
      <c r="C1109" s="5"/>
      <c r="D1109" s="5"/>
      <c r="E1109" s="5"/>
      <c r="F1109" s="5"/>
      <c r="G1109" s="5"/>
      <c r="H1109" s="5"/>
      <c r="I1109" s="6"/>
      <c r="J1109" s="5"/>
      <c r="K1109" s="5"/>
      <c r="L1109" s="5"/>
      <c r="M1109" s="5"/>
    </row>
    <row r="1110" spans="1:13" x14ac:dyDescent="0.35">
      <c r="A1110" s="3"/>
      <c r="B1110" s="4"/>
      <c r="C1110" s="5"/>
      <c r="D1110" s="5"/>
      <c r="E1110" s="5"/>
      <c r="F1110" s="5"/>
      <c r="G1110" s="5"/>
      <c r="H1110" s="5"/>
      <c r="I1110" s="6"/>
      <c r="J1110" s="5"/>
      <c r="K1110" s="5"/>
      <c r="L1110" s="5"/>
      <c r="M1110" s="5"/>
    </row>
    <row r="1111" spans="1:13" x14ac:dyDescent="0.35">
      <c r="A1111" s="3"/>
      <c r="B1111" s="4"/>
      <c r="C1111" s="5"/>
      <c r="D1111" s="5"/>
      <c r="E1111" s="5"/>
      <c r="F1111" s="5"/>
      <c r="G1111" s="5"/>
      <c r="H1111" s="5"/>
      <c r="I1111" s="6"/>
      <c r="J1111" s="5"/>
      <c r="K1111" s="5"/>
      <c r="L1111" s="5"/>
      <c r="M1111" s="5"/>
    </row>
    <row r="1112" spans="1:13" x14ac:dyDescent="0.35">
      <c r="A1112" s="3"/>
      <c r="B1112" s="4"/>
      <c r="C1112" s="5"/>
      <c r="D1112" s="5"/>
      <c r="E1112" s="5"/>
      <c r="F1112" s="5"/>
      <c r="G1112" s="5"/>
      <c r="H1112" s="5"/>
      <c r="I1112" s="6"/>
      <c r="J1112" s="5"/>
      <c r="K1112" s="5"/>
      <c r="L1112" s="5"/>
      <c r="M1112" s="5"/>
    </row>
    <row r="1113" spans="1:13" x14ac:dyDescent="0.35">
      <c r="A1113" s="3"/>
      <c r="B1113" s="4"/>
      <c r="C1113" s="5"/>
      <c r="D1113" s="5"/>
      <c r="E1113" s="5"/>
      <c r="F1113" s="5"/>
      <c r="G1113" s="5"/>
      <c r="H1113" s="5"/>
      <c r="I1113" s="6"/>
      <c r="J1113" s="5"/>
      <c r="K1113" s="5"/>
      <c r="L1113" s="5"/>
      <c r="M1113" s="5"/>
    </row>
    <row r="1114" spans="1:13" x14ac:dyDescent="0.35">
      <c r="A1114" s="3"/>
      <c r="B1114" s="4"/>
      <c r="C1114" s="5"/>
      <c r="D1114" s="5"/>
      <c r="E1114" s="5"/>
      <c r="F1114" s="5"/>
      <c r="G1114" s="5"/>
      <c r="H1114" s="5"/>
      <c r="I1114" s="6"/>
      <c r="J1114" s="5"/>
      <c r="K1114" s="5"/>
      <c r="L1114" s="5"/>
      <c r="M1114" s="5"/>
    </row>
    <row r="1115" spans="1:13" x14ac:dyDescent="0.35">
      <c r="A1115" s="3"/>
      <c r="B1115" s="4"/>
      <c r="C1115" s="5"/>
      <c r="D1115" s="5"/>
      <c r="E1115" s="5"/>
      <c r="F1115" s="5"/>
      <c r="G1115" s="5"/>
      <c r="H1115" s="5"/>
      <c r="I1115" s="6"/>
      <c r="J1115" s="5"/>
      <c r="K1115" s="5"/>
      <c r="L1115" s="5"/>
      <c r="M1115" s="5"/>
    </row>
    <row r="1116" spans="1:13" x14ac:dyDescent="0.35">
      <c r="A1116" s="3"/>
      <c r="B1116" s="4"/>
      <c r="C1116" s="5"/>
      <c r="D1116" s="5"/>
      <c r="E1116" s="5"/>
      <c r="F1116" s="5"/>
      <c r="G1116" s="5"/>
      <c r="H1116" s="5"/>
      <c r="I1116" s="6"/>
      <c r="J1116" s="5"/>
      <c r="K1116" s="5"/>
      <c r="L1116" s="5"/>
      <c r="M1116" s="5"/>
    </row>
    <row r="1117" spans="1:13" x14ac:dyDescent="0.35">
      <c r="A1117" s="3"/>
      <c r="B1117" s="4"/>
      <c r="C1117" s="5"/>
      <c r="D1117" s="5"/>
      <c r="E1117" s="5"/>
      <c r="F1117" s="5"/>
      <c r="G1117" s="5"/>
      <c r="H1117" s="5"/>
      <c r="I1117" s="6"/>
      <c r="J1117" s="5"/>
      <c r="K1117" s="5"/>
      <c r="L1117" s="5"/>
      <c r="M1117" s="5"/>
    </row>
    <row r="1118" spans="1:13" x14ac:dyDescent="0.35">
      <c r="A1118" s="3"/>
      <c r="B1118" s="4"/>
      <c r="C1118" s="5"/>
      <c r="D1118" s="5"/>
      <c r="E1118" s="5"/>
      <c r="F1118" s="5"/>
      <c r="G1118" s="5"/>
      <c r="H1118" s="5"/>
      <c r="I1118" s="6"/>
      <c r="J1118" s="5"/>
      <c r="K1118" s="5"/>
      <c r="L1118" s="5"/>
      <c r="M1118" s="5"/>
    </row>
    <row r="1119" spans="1:13" x14ac:dyDescent="0.35">
      <c r="A1119" s="3"/>
      <c r="B1119" s="4"/>
      <c r="C1119" s="5"/>
      <c r="D1119" s="5"/>
      <c r="E1119" s="5"/>
      <c r="F1119" s="5"/>
      <c r="G1119" s="5"/>
      <c r="H1119" s="5"/>
      <c r="I1119" s="6"/>
      <c r="J1119" s="5"/>
      <c r="K1119" s="5"/>
      <c r="L1119" s="5"/>
      <c r="M1119" s="5"/>
    </row>
    <row r="1120" spans="1:13" x14ac:dyDescent="0.35">
      <c r="A1120" s="3"/>
      <c r="B1120" s="4"/>
      <c r="C1120" s="5"/>
      <c r="D1120" s="5"/>
      <c r="E1120" s="5"/>
      <c r="F1120" s="5"/>
      <c r="G1120" s="5"/>
      <c r="H1120" s="5"/>
      <c r="I1120" s="6"/>
      <c r="J1120" s="5"/>
      <c r="K1120" s="5"/>
      <c r="L1120" s="5"/>
      <c r="M1120" s="5"/>
    </row>
    <row r="1121" spans="1:13" x14ac:dyDescent="0.35">
      <c r="A1121" s="3"/>
      <c r="B1121" s="4"/>
      <c r="C1121" s="5"/>
      <c r="D1121" s="5"/>
      <c r="E1121" s="5"/>
      <c r="F1121" s="5"/>
      <c r="G1121" s="5"/>
      <c r="H1121" s="5"/>
      <c r="I1121" s="6"/>
      <c r="J1121" s="5"/>
      <c r="K1121" s="5"/>
      <c r="L1121" s="5"/>
      <c r="M1121" s="5"/>
    </row>
    <row r="1122" spans="1:13" x14ac:dyDescent="0.35">
      <c r="A1122" s="3"/>
      <c r="B1122" s="4"/>
      <c r="C1122" s="5"/>
      <c r="D1122" s="5"/>
      <c r="E1122" s="5"/>
      <c r="F1122" s="5"/>
      <c r="G1122" s="5"/>
      <c r="H1122" s="5"/>
      <c r="I1122" s="6"/>
      <c r="J1122" s="5"/>
      <c r="K1122" s="5"/>
      <c r="L1122" s="5"/>
      <c r="M1122" s="5"/>
    </row>
    <row r="1123" spans="1:13" x14ac:dyDescent="0.35">
      <c r="A1123" s="3"/>
      <c r="B1123" s="4"/>
      <c r="C1123" s="5"/>
      <c r="D1123" s="5"/>
      <c r="E1123" s="5"/>
      <c r="F1123" s="5"/>
      <c r="G1123" s="5"/>
      <c r="H1123" s="5"/>
      <c r="I1123" s="6"/>
      <c r="J1123" s="5"/>
      <c r="K1123" s="5"/>
      <c r="L1123" s="5"/>
      <c r="M1123" s="5"/>
    </row>
    <row r="1124" spans="1:13" x14ac:dyDescent="0.35">
      <c r="A1124" s="3"/>
      <c r="B1124" s="4"/>
      <c r="C1124" s="5"/>
      <c r="D1124" s="5"/>
      <c r="E1124" s="5"/>
      <c r="F1124" s="5"/>
      <c r="G1124" s="5"/>
      <c r="H1124" s="5"/>
      <c r="I1124" s="6"/>
      <c r="J1124" s="5"/>
      <c r="K1124" s="5"/>
      <c r="L1124" s="5"/>
      <c r="M1124" s="5"/>
    </row>
    <row r="1125" spans="1:13" x14ac:dyDescent="0.35">
      <c r="A1125" s="3"/>
      <c r="B1125" s="4"/>
      <c r="C1125" s="5"/>
      <c r="D1125" s="5"/>
      <c r="E1125" s="5"/>
      <c r="F1125" s="5"/>
      <c r="G1125" s="5"/>
      <c r="H1125" s="5"/>
      <c r="I1125" s="6"/>
      <c r="J1125" s="5"/>
      <c r="K1125" s="5"/>
      <c r="L1125" s="5"/>
      <c r="M1125" s="5"/>
    </row>
    <row r="1126" spans="1:13" x14ac:dyDescent="0.35">
      <c r="A1126" s="3"/>
      <c r="B1126" s="4"/>
      <c r="C1126" s="5"/>
      <c r="D1126" s="5"/>
      <c r="E1126" s="5"/>
      <c r="F1126" s="5"/>
      <c r="G1126" s="5"/>
      <c r="H1126" s="5"/>
      <c r="I1126" s="6"/>
      <c r="J1126" s="5"/>
      <c r="K1126" s="5"/>
      <c r="L1126" s="5"/>
      <c r="M1126" s="5"/>
    </row>
    <row r="1127" spans="1:13" x14ac:dyDescent="0.35">
      <c r="A1127" s="3"/>
      <c r="B1127" s="4"/>
      <c r="C1127" s="5"/>
      <c r="D1127" s="5"/>
      <c r="E1127" s="5"/>
      <c r="F1127" s="5"/>
      <c r="G1127" s="5"/>
      <c r="H1127" s="5"/>
      <c r="I1127" s="6"/>
      <c r="J1127" s="5"/>
      <c r="K1127" s="5"/>
      <c r="L1127" s="5"/>
      <c r="M1127" s="5"/>
    </row>
    <row r="1128" spans="1:13" x14ac:dyDescent="0.35">
      <c r="A1128" s="3"/>
      <c r="B1128" s="4"/>
      <c r="C1128" s="5"/>
      <c r="D1128" s="5"/>
      <c r="E1128" s="5"/>
      <c r="F1128" s="5"/>
      <c r="G1128" s="5"/>
      <c r="H1128" s="5"/>
      <c r="I1128" s="6"/>
      <c r="J1128" s="5"/>
      <c r="K1128" s="5"/>
      <c r="L1128" s="5"/>
      <c r="M1128" s="5"/>
    </row>
    <row r="1129" spans="1:13" x14ac:dyDescent="0.35">
      <c r="A1129" s="3"/>
      <c r="B1129" s="4"/>
      <c r="C1129" s="5"/>
      <c r="D1129" s="5"/>
      <c r="E1129" s="5"/>
      <c r="F1129" s="5"/>
      <c r="G1129" s="5"/>
      <c r="H1129" s="5"/>
      <c r="I1129" s="6"/>
      <c r="J1129" s="5"/>
      <c r="K1129" s="5"/>
      <c r="L1129" s="5"/>
      <c r="M1129" s="5"/>
    </row>
    <row r="1130" spans="1:13" x14ac:dyDescent="0.35">
      <c r="A1130" s="3"/>
      <c r="B1130" s="4"/>
      <c r="C1130" s="5"/>
      <c r="D1130" s="5"/>
      <c r="E1130" s="5"/>
      <c r="F1130" s="5"/>
      <c r="G1130" s="5"/>
      <c r="H1130" s="5"/>
      <c r="I1130" s="6"/>
      <c r="J1130" s="5"/>
      <c r="K1130" s="5"/>
      <c r="L1130" s="5"/>
      <c r="M1130" s="5"/>
    </row>
    <row r="1131" spans="1:13" x14ac:dyDescent="0.35">
      <c r="A1131" s="3"/>
      <c r="B1131" s="4"/>
      <c r="C1131" s="5"/>
      <c r="D1131" s="5"/>
      <c r="E1131" s="5"/>
      <c r="F1131" s="5"/>
      <c r="G1131" s="5"/>
      <c r="H1131" s="5"/>
      <c r="I1131" s="6"/>
      <c r="J1131" s="5"/>
      <c r="K1131" s="5"/>
      <c r="L1131" s="5"/>
      <c r="M1131" s="5"/>
    </row>
    <row r="1132" spans="1:13" x14ac:dyDescent="0.35">
      <c r="A1132" s="3"/>
      <c r="B1132" s="4"/>
      <c r="C1132" s="5"/>
      <c r="D1132" s="5"/>
      <c r="E1132" s="5"/>
      <c r="F1132" s="5"/>
      <c r="G1132" s="5"/>
      <c r="H1132" s="5"/>
      <c r="I1132" s="6"/>
      <c r="J1132" s="5"/>
      <c r="K1132" s="5"/>
      <c r="L1132" s="5"/>
      <c r="M1132" s="5"/>
    </row>
    <row r="1133" spans="1:13" x14ac:dyDescent="0.35">
      <c r="A1133" s="3"/>
      <c r="B1133" s="4"/>
      <c r="C1133" s="5"/>
      <c r="D1133" s="5"/>
      <c r="E1133" s="5"/>
      <c r="F1133" s="5"/>
      <c r="G1133" s="5"/>
      <c r="H1133" s="5"/>
      <c r="I1133" s="6"/>
      <c r="J1133" s="5"/>
      <c r="K1133" s="5"/>
      <c r="L1133" s="5"/>
      <c r="M1133" s="5"/>
    </row>
    <row r="1134" spans="1:13" x14ac:dyDescent="0.35">
      <c r="A1134" s="3"/>
      <c r="B1134" s="4"/>
      <c r="C1134" s="5"/>
      <c r="D1134" s="5"/>
      <c r="E1134" s="5"/>
      <c r="F1134" s="5"/>
      <c r="G1134" s="5"/>
      <c r="H1134" s="5"/>
      <c r="I1134" s="6"/>
      <c r="J1134" s="5"/>
      <c r="K1134" s="5"/>
      <c r="L1134" s="5"/>
      <c r="M1134" s="5"/>
    </row>
    <row r="1135" spans="1:13" x14ac:dyDescent="0.35">
      <c r="A1135" s="3"/>
      <c r="B1135" s="4"/>
      <c r="C1135" s="5"/>
      <c r="D1135" s="5"/>
      <c r="E1135" s="5"/>
      <c r="F1135" s="5"/>
      <c r="G1135" s="5"/>
      <c r="H1135" s="5"/>
      <c r="I1135" s="6"/>
      <c r="J1135" s="5"/>
      <c r="K1135" s="5"/>
      <c r="L1135" s="5"/>
      <c r="M1135" s="5"/>
    </row>
    <row r="1136" spans="1:13" x14ac:dyDescent="0.35">
      <c r="A1136" s="3"/>
      <c r="B1136" s="4"/>
      <c r="C1136" s="5"/>
      <c r="D1136" s="5"/>
      <c r="E1136" s="5"/>
      <c r="F1136" s="5"/>
      <c r="G1136" s="5"/>
      <c r="H1136" s="5"/>
      <c r="I1136" s="6"/>
      <c r="J1136" s="5"/>
      <c r="K1136" s="5"/>
      <c r="L1136" s="5"/>
      <c r="M1136" s="5"/>
    </row>
    <row r="1137" spans="1:13" x14ac:dyDescent="0.35">
      <c r="A1137" s="3"/>
      <c r="B1137" s="4"/>
      <c r="C1137" s="5"/>
      <c r="D1137" s="5"/>
      <c r="E1137" s="5"/>
      <c r="F1137" s="5"/>
      <c r="G1137" s="5"/>
      <c r="H1137" s="5"/>
      <c r="I1137" s="6"/>
      <c r="J1137" s="5"/>
      <c r="K1137" s="5"/>
      <c r="L1137" s="5"/>
      <c r="M1137" s="5"/>
    </row>
    <row r="1138" spans="1:13" x14ac:dyDescent="0.35">
      <c r="A1138" s="3"/>
      <c r="B1138" s="4"/>
      <c r="C1138" s="5"/>
      <c r="D1138" s="5"/>
      <c r="E1138" s="5"/>
      <c r="F1138" s="5"/>
      <c r="G1138" s="5"/>
      <c r="H1138" s="5"/>
      <c r="I1138" s="6"/>
      <c r="J1138" s="5"/>
      <c r="K1138" s="5"/>
      <c r="L1138" s="5"/>
      <c r="M1138" s="5"/>
    </row>
    <row r="1139" spans="1:13" x14ac:dyDescent="0.35">
      <c r="A1139" s="3"/>
      <c r="B1139" s="4"/>
      <c r="C1139" s="5"/>
      <c r="D1139" s="5"/>
      <c r="E1139" s="5"/>
      <c r="F1139" s="5"/>
      <c r="G1139" s="5"/>
      <c r="H1139" s="5"/>
      <c r="I1139" s="6"/>
      <c r="J1139" s="5"/>
      <c r="K1139" s="5"/>
      <c r="L1139" s="5"/>
      <c r="M1139" s="5"/>
    </row>
    <row r="1140" spans="1:13" x14ac:dyDescent="0.35">
      <c r="A1140" s="3"/>
      <c r="B1140" s="4"/>
      <c r="C1140" s="5"/>
      <c r="D1140" s="5"/>
      <c r="E1140" s="5"/>
      <c r="F1140" s="5"/>
      <c r="G1140" s="5"/>
      <c r="H1140" s="5"/>
      <c r="I1140" s="6"/>
      <c r="J1140" s="5"/>
      <c r="K1140" s="5"/>
      <c r="L1140" s="5"/>
      <c r="M1140" s="5"/>
    </row>
    <row r="1141" spans="1:13" x14ac:dyDescent="0.35">
      <c r="A1141" s="3"/>
      <c r="B1141" s="4"/>
      <c r="C1141" s="5"/>
      <c r="D1141" s="5"/>
      <c r="E1141" s="5"/>
      <c r="F1141" s="5"/>
      <c r="G1141" s="5"/>
      <c r="H1141" s="5"/>
      <c r="I1141" s="6"/>
      <c r="J1141" s="5"/>
      <c r="K1141" s="5"/>
      <c r="L1141" s="5"/>
      <c r="M1141" s="5"/>
    </row>
    <row r="1142" spans="1:13" x14ac:dyDescent="0.35">
      <c r="A1142" s="3"/>
      <c r="B1142" s="4"/>
      <c r="C1142" s="5"/>
      <c r="D1142" s="5"/>
      <c r="E1142" s="5"/>
      <c r="F1142" s="5"/>
      <c r="G1142" s="5"/>
      <c r="H1142" s="5"/>
      <c r="I1142" s="6"/>
      <c r="J1142" s="5"/>
      <c r="K1142" s="5"/>
      <c r="L1142" s="5"/>
      <c r="M1142" s="5"/>
    </row>
    <row r="1143" spans="1:13" x14ac:dyDescent="0.35">
      <c r="A1143" s="3"/>
      <c r="B1143" s="4"/>
      <c r="C1143" s="5"/>
      <c r="D1143" s="5"/>
      <c r="E1143" s="5"/>
      <c r="F1143" s="5"/>
      <c r="G1143" s="5"/>
      <c r="H1143" s="5"/>
      <c r="I1143" s="6"/>
      <c r="J1143" s="5"/>
      <c r="K1143" s="5"/>
      <c r="L1143" s="5"/>
      <c r="M1143" s="5"/>
    </row>
    <row r="1144" spans="1:13" x14ac:dyDescent="0.35">
      <c r="A1144" s="3"/>
      <c r="B1144" s="4"/>
      <c r="C1144" s="5"/>
      <c r="D1144" s="5"/>
      <c r="E1144" s="5"/>
      <c r="F1144" s="5"/>
      <c r="G1144" s="5"/>
      <c r="H1144" s="5"/>
      <c r="I1144" s="6"/>
      <c r="J1144" s="5"/>
      <c r="K1144" s="5"/>
      <c r="L1144" s="5"/>
      <c r="M1144" s="5"/>
    </row>
    <row r="1145" spans="1:13" x14ac:dyDescent="0.35">
      <c r="A1145" s="3"/>
      <c r="B1145" s="4"/>
      <c r="C1145" s="5"/>
      <c r="D1145" s="5"/>
      <c r="E1145" s="5"/>
      <c r="F1145" s="5"/>
      <c r="G1145" s="5"/>
      <c r="H1145" s="5"/>
      <c r="I1145" s="6"/>
      <c r="J1145" s="5"/>
      <c r="K1145" s="5"/>
      <c r="L1145" s="5"/>
      <c r="M1145" s="5"/>
    </row>
    <row r="1146" spans="1:13" x14ac:dyDescent="0.35">
      <c r="A1146" s="3"/>
      <c r="B1146" s="4"/>
      <c r="C1146" s="5"/>
      <c r="D1146" s="5"/>
      <c r="E1146" s="5"/>
      <c r="F1146" s="5"/>
      <c r="G1146" s="5"/>
      <c r="H1146" s="5"/>
      <c r="I1146" s="6"/>
      <c r="J1146" s="5"/>
      <c r="K1146" s="5"/>
      <c r="L1146" s="5"/>
      <c r="M1146" s="5"/>
    </row>
    <row r="1147" spans="1:13" x14ac:dyDescent="0.35">
      <c r="A1147" s="3"/>
      <c r="B1147" s="4"/>
      <c r="C1147" s="5"/>
      <c r="D1147" s="5"/>
      <c r="E1147" s="5"/>
      <c r="F1147" s="5"/>
      <c r="G1147" s="5"/>
      <c r="H1147" s="5"/>
      <c r="I1147" s="6"/>
      <c r="J1147" s="5"/>
      <c r="K1147" s="5"/>
      <c r="L1147" s="5"/>
      <c r="M1147" s="5"/>
    </row>
    <row r="1148" spans="1:13" x14ac:dyDescent="0.35">
      <c r="A1148" s="3"/>
      <c r="B1148" s="4"/>
      <c r="C1148" s="5"/>
      <c r="D1148" s="5"/>
      <c r="E1148" s="5"/>
      <c r="F1148" s="5"/>
      <c r="G1148" s="5"/>
      <c r="H1148" s="5"/>
      <c r="I1148" s="6"/>
      <c r="J1148" s="5"/>
      <c r="K1148" s="5"/>
      <c r="L1148" s="5"/>
      <c r="M1148" s="5"/>
    </row>
    <row r="1149" spans="1:13" x14ac:dyDescent="0.35">
      <c r="A1149" s="3"/>
      <c r="B1149" s="4"/>
      <c r="C1149" s="5"/>
      <c r="D1149" s="5"/>
      <c r="E1149" s="5"/>
      <c r="F1149" s="5"/>
      <c r="G1149" s="5"/>
      <c r="H1149" s="5"/>
      <c r="I1149" s="6"/>
      <c r="J1149" s="5"/>
      <c r="K1149" s="5"/>
      <c r="L1149" s="5"/>
      <c r="M1149" s="5"/>
    </row>
    <row r="1150" spans="1:13" x14ac:dyDescent="0.35">
      <c r="A1150" s="3"/>
      <c r="B1150" s="4"/>
      <c r="C1150" s="5"/>
      <c r="D1150" s="5"/>
      <c r="E1150" s="5"/>
      <c r="F1150" s="5"/>
      <c r="G1150" s="5"/>
      <c r="H1150" s="5"/>
      <c r="I1150" s="6"/>
      <c r="J1150" s="5"/>
      <c r="K1150" s="5"/>
      <c r="L1150" s="5"/>
      <c r="M1150" s="5"/>
    </row>
    <row r="1151" spans="1:13" x14ac:dyDescent="0.35">
      <c r="A1151" s="3"/>
      <c r="B1151" s="4"/>
      <c r="C1151" s="5"/>
      <c r="D1151" s="5"/>
      <c r="E1151" s="5"/>
      <c r="F1151" s="5"/>
      <c r="G1151" s="5"/>
      <c r="H1151" s="5"/>
      <c r="I1151" s="6"/>
      <c r="J1151" s="5"/>
      <c r="K1151" s="5"/>
      <c r="L1151" s="5"/>
      <c r="M1151" s="5"/>
    </row>
    <row r="1152" spans="1:13" x14ac:dyDescent="0.35">
      <c r="A1152" s="3"/>
      <c r="B1152" s="4"/>
      <c r="C1152" s="5"/>
      <c r="D1152" s="5"/>
      <c r="E1152" s="5"/>
      <c r="F1152" s="5"/>
      <c r="G1152" s="5"/>
      <c r="H1152" s="5"/>
      <c r="I1152" s="6"/>
      <c r="J1152" s="5"/>
      <c r="K1152" s="5"/>
      <c r="L1152" s="5"/>
      <c r="M1152" s="5"/>
    </row>
    <row r="1153" spans="1:13" x14ac:dyDescent="0.35">
      <c r="A1153" s="3"/>
      <c r="B1153" s="4"/>
      <c r="C1153" s="5"/>
      <c r="D1153" s="5"/>
      <c r="E1153" s="5"/>
      <c r="F1153" s="5"/>
      <c r="G1153" s="5"/>
      <c r="H1153" s="5"/>
      <c r="I1153" s="6"/>
      <c r="J1153" s="5"/>
      <c r="K1153" s="5"/>
      <c r="L1153" s="5"/>
      <c r="M1153" s="5"/>
    </row>
    <row r="1154" spans="1:13" x14ac:dyDescent="0.35">
      <c r="A1154" s="3"/>
      <c r="B1154" s="4"/>
      <c r="C1154" s="5"/>
      <c r="D1154" s="5"/>
      <c r="E1154" s="5"/>
      <c r="F1154" s="5"/>
      <c r="G1154" s="5"/>
      <c r="H1154" s="5"/>
      <c r="I1154" s="6"/>
      <c r="J1154" s="5"/>
      <c r="K1154" s="5"/>
      <c r="L1154" s="5"/>
      <c r="M1154" s="5"/>
    </row>
    <row r="1155" spans="1:13" x14ac:dyDescent="0.35">
      <c r="A1155" s="3"/>
      <c r="B1155" s="4"/>
      <c r="C1155" s="5"/>
      <c r="D1155" s="5"/>
      <c r="E1155" s="5"/>
      <c r="F1155" s="5"/>
      <c r="G1155" s="5"/>
      <c r="H1155" s="5"/>
      <c r="I1155" s="6"/>
      <c r="J1155" s="5"/>
      <c r="K1155" s="5"/>
      <c r="L1155" s="5"/>
      <c r="M1155" s="5"/>
    </row>
    <row r="1156" spans="1:13" x14ac:dyDescent="0.35">
      <c r="A1156" s="3"/>
      <c r="B1156" s="4"/>
      <c r="C1156" s="5"/>
      <c r="D1156" s="5"/>
      <c r="E1156" s="5"/>
      <c r="F1156" s="5"/>
      <c r="G1156" s="5"/>
      <c r="H1156" s="5"/>
      <c r="I1156" s="6"/>
      <c r="J1156" s="5"/>
      <c r="K1156" s="5"/>
      <c r="L1156" s="5"/>
      <c r="M1156" s="5"/>
    </row>
    <row r="1157" spans="1:13" x14ac:dyDescent="0.35">
      <c r="A1157" s="3"/>
      <c r="B1157" s="4"/>
      <c r="C1157" s="5"/>
      <c r="D1157" s="5"/>
      <c r="E1157" s="5"/>
      <c r="F1157" s="5"/>
      <c r="G1157" s="5"/>
      <c r="H1157" s="5"/>
      <c r="I1157" s="6"/>
      <c r="J1157" s="5"/>
      <c r="K1157" s="5"/>
      <c r="L1157" s="5"/>
      <c r="M1157" s="5"/>
    </row>
    <row r="1158" spans="1:13" x14ac:dyDescent="0.35">
      <c r="A1158" s="3"/>
      <c r="B1158" s="4"/>
      <c r="C1158" s="5"/>
      <c r="D1158" s="5"/>
      <c r="E1158" s="5"/>
      <c r="F1158" s="5"/>
      <c r="G1158" s="5"/>
      <c r="H1158" s="5"/>
      <c r="I1158" s="6"/>
      <c r="J1158" s="5"/>
      <c r="K1158" s="5"/>
      <c r="L1158" s="5"/>
      <c r="M1158" s="5"/>
    </row>
    <row r="1159" spans="1:13" x14ac:dyDescent="0.35">
      <c r="A1159" s="3"/>
      <c r="B1159" s="4"/>
      <c r="C1159" s="5"/>
      <c r="D1159" s="5"/>
      <c r="E1159" s="5"/>
      <c r="F1159" s="5"/>
      <c r="G1159" s="5"/>
      <c r="H1159" s="5"/>
      <c r="I1159" s="6"/>
      <c r="J1159" s="5"/>
      <c r="K1159" s="5"/>
      <c r="L1159" s="5"/>
      <c r="M1159" s="5"/>
    </row>
    <row r="1160" spans="1:13" x14ac:dyDescent="0.35">
      <c r="A1160" s="3"/>
      <c r="B1160" s="4"/>
      <c r="C1160" s="5"/>
      <c r="D1160" s="5"/>
      <c r="E1160" s="5"/>
      <c r="F1160" s="5"/>
      <c r="G1160" s="5"/>
      <c r="H1160" s="5"/>
      <c r="I1160" s="6"/>
      <c r="J1160" s="5"/>
      <c r="K1160" s="5"/>
      <c r="L1160" s="5"/>
      <c r="M1160" s="5"/>
    </row>
    <row r="1161" spans="1:13" x14ac:dyDescent="0.35">
      <c r="A1161" s="3"/>
      <c r="B1161" s="4"/>
      <c r="C1161" s="5"/>
      <c r="D1161" s="5"/>
      <c r="E1161" s="5"/>
      <c r="F1161" s="5"/>
      <c r="G1161" s="5"/>
      <c r="H1161" s="5"/>
      <c r="I1161" s="6"/>
      <c r="J1161" s="5"/>
      <c r="K1161" s="5"/>
      <c r="L1161" s="5"/>
      <c r="M1161" s="5"/>
    </row>
    <row r="1162" spans="1:13" x14ac:dyDescent="0.35">
      <c r="A1162" s="3"/>
      <c r="B1162" s="4"/>
      <c r="C1162" s="5"/>
      <c r="D1162" s="5"/>
      <c r="E1162" s="5"/>
      <c r="F1162" s="5"/>
      <c r="G1162" s="5"/>
      <c r="H1162" s="5"/>
      <c r="I1162" s="6"/>
      <c r="J1162" s="5"/>
      <c r="K1162" s="5"/>
      <c r="L1162" s="5"/>
      <c r="M1162" s="5"/>
    </row>
    <row r="1163" spans="1:13" x14ac:dyDescent="0.35">
      <c r="A1163" s="3"/>
      <c r="B1163" s="4"/>
      <c r="C1163" s="5"/>
      <c r="D1163" s="5"/>
      <c r="E1163" s="5"/>
      <c r="F1163" s="5"/>
      <c r="G1163" s="5"/>
      <c r="H1163" s="5"/>
      <c r="I1163" s="6"/>
      <c r="J1163" s="5"/>
      <c r="K1163" s="5"/>
      <c r="L1163" s="5"/>
      <c r="M1163" s="5"/>
    </row>
    <row r="1164" spans="1:13" x14ac:dyDescent="0.35">
      <c r="A1164" s="3"/>
      <c r="B1164" s="4"/>
      <c r="C1164" s="5"/>
      <c r="D1164" s="5"/>
      <c r="E1164" s="5"/>
      <c r="F1164" s="5"/>
      <c r="G1164" s="5"/>
      <c r="H1164" s="5"/>
      <c r="I1164" s="6"/>
      <c r="J1164" s="5"/>
      <c r="K1164" s="5"/>
      <c r="L1164" s="5"/>
      <c r="M1164" s="5"/>
    </row>
    <row r="1165" spans="1:13" x14ac:dyDescent="0.35">
      <c r="A1165" s="3"/>
      <c r="B1165" s="4"/>
      <c r="C1165" s="5"/>
      <c r="D1165" s="5"/>
      <c r="E1165" s="5"/>
      <c r="F1165" s="5"/>
      <c r="G1165" s="5"/>
      <c r="H1165" s="5"/>
      <c r="I1165" s="6"/>
      <c r="J1165" s="5"/>
      <c r="K1165" s="5"/>
      <c r="L1165" s="5"/>
      <c r="M1165" s="5"/>
    </row>
    <row r="1166" spans="1:13" x14ac:dyDescent="0.35">
      <c r="A1166" s="3"/>
      <c r="B1166" s="4"/>
      <c r="C1166" s="5"/>
      <c r="D1166" s="5"/>
      <c r="E1166" s="5"/>
      <c r="F1166" s="5"/>
      <c r="G1166" s="5"/>
      <c r="H1166" s="5"/>
      <c r="I1166" s="6"/>
      <c r="J1166" s="5"/>
      <c r="K1166" s="5"/>
      <c r="L1166" s="5"/>
      <c r="M1166" s="5"/>
    </row>
    <row r="1167" spans="1:13" x14ac:dyDescent="0.35">
      <c r="A1167" s="3"/>
      <c r="B1167" s="4"/>
      <c r="C1167" s="5"/>
      <c r="D1167" s="5"/>
      <c r="E1167" s="5"/>
      <c r="F1167" s="5"/>
      <c r="G1167" s="5"/>
      <c r="H1167" s="5"/>
      <c r="I1167" s="6"/>
      <c r="J1167" s="5"/>
      <c r="K1167" s="5"/>
      <c r="L1167" s="5"/>
      <c r="M1167" s="5"/>
    </row>
    <row r="1168" spans="1:13" x14ac:dyDescent="0.35">
      <c r="A1168" s="3"/>
      <c r="B1168" s="4"/>
      <c r="C1168" s="5"/>
      <c r="D1168" s="5"/>
      <c r="E1168" s="5"/>
      <c r="F1168" s="5"/>
      <c r="G1168" s="5"/>
      <c r="H1168" s="5"/>
      <c r="I1168" s="6"/>
      <c r="J1168" s="5"/>
      <c r="K1168" s="5"/>
      <c r="L1168" s="5"/>
      <c r="M1168" s="5"/>
    </row>
    <row r="1169" spans="1:13" x14ac:dyDescent="0.35">
      <c r="A1169" s="3"/>
      <c r="B1169" s="4"/>
      <c r="C1169" s="5"/>
      <c r="D1169" s="5"/>
      <c r="E1169" s="5"/>
      <c r="F1169" s="5"/>
      <c r="G1169" s="5"/>
      <c r="H1169" s="5"/>
      <c r="I1169" s="6"/>
      <c r="J1169" s="5"/>
      <c r="K1169" s="5"/>
      <c r="L1169" s="5"/>
      <c r="M1169" s="5"/>
    </row>
    <row r="1170" spans="1:13" x14ac:dyDescent="0.35">
      <c r="A1170" s="3"/>
      <c r="B1170" s="4"/>
      <c r="C1170" s="5"/>
      <c r="D1170" s="5"/>
      <c r="E1170" s="5"/>
      <c r="F1170" s="5"/>
      <c r="G1170" s="5"/>
      <c r="H1170" s="5"/>
      <c r="I1170" s="6"/>
      <c r="J1170" s="5"/>
      <c r="K1170" s="5"/>
      <c r="L1170" s="5"/>
      <c r="M1170" s="5"/>
    </row>
    <row r="1171" spans="1:13" x14ac:dyDescent="0.35">
      <c r="A1171" s="3"/>
      <c r="B1171" s="4"/>
      <c r="C1171" s="5"/>
      <c r="D1171" s="5"/>
      <c r="E1171" s="5"/>
      <c r="F1171" s="5"/>
      <c r="G1171" s="5"/>
      <c r="H1171" s="5"/>
      <c r="I1171" s="6"/>
      <c r="J1171" s="5"/>
      <c r="K1171" s="5"/>
      <c r="L1171" s="5"/>
      <c r="M1171" s="5"/>
    </row>
    <row r="1172" spans="1:13" x14ac:dyDescent="0.35">
      <c r="A1172" s="3"/>
      <c r="B1172" s="4"/>
      <c r="C1172" s="5"/>
      <c r="D1172" s="5"/>
      <c r="E1172" s="5"/>
      <c r="F1172" s="5"/>
      <c r="G1172" s="5"/>
      <c r="H1172" s="5"/>
      <c r="I1172" s="6"/>
      <c r="J1172" s="5"/>
      <c r="K1172" s="5"/>
      <c r="L1172" s="5"/>
      <c r="M1172" s="5"/>
    </row>
    <row r="1173" spans="1:13" x14ac:dyDescent="0.35">
      <c r="A1173" s="3"/>
      <c r="B1173" s="4"/>
      <c r="C1173" s="5"/>
      <c r="D1173" s="5"/>
      <c r="E1173" s="5"/>
      <c r="F1173" s="5"/>
      <c r="G1173" s="5"/>
      <c r="H1173" s="5"/>
      <c r="I1173" s="6"/>
      <c r="J1173" s="5"/>
      <c r="K1173" s="5"/>
      <c r="L1173" s="5"/>
      <c r="M1173" s="5"/>
    </row>
    <row r="1174" spans="1:13" x14ac:dyDescent="0.35">
      <c r="A1174" s="3"/>
      <c r="B1174" s="4"/>
      <c r="C1174" s="5"/>
      <c r="D1174" s="5"/>
      <c r="E1174" s="5"/>
      <c r="F1174" s="5"/>
      <c r="G1174" s="5"/>
      <c r="H1174" s="5"/>
      <c r="I1174" s="6"/>
      <c r="J1174" s="5"/>
      <c r="K1174" s="5"/>
      <c r="L1174" s="5"/>
      <c r="M1174" s="5"/>
    </row>
    <row r="1175" spans="1:13" x14ac:dyDescent="0.35">
      <c r="A1175" s="3"/>
      <c r="B1175" s="4"/>
      <c r="C1175" s="5"/>
      <c r="D1175" s="5"/>
      <c r="E1175" s="5"/>
      <c r="F1175" s="5"/>
      <c r="G1175" s="5"/>
      <c r="H1175" s="5"/>
      <c r="I1175" s="6"/>
      <c r="J1175" s="5"/>
      <c r="K1175" s="5"/>
      <c r="L1175" s="5"/>
      <c r="M1175" s="5"/>
    </row>
    <row r="1176" spans="1:13" x14ac:dyDescent="0.35">
      <c r="A1176" s="3"/>
      <c r="B1176" s="4"/>
      <c r="C1176" s="5"/>
      <c r="D1176" s="5"/>
      <c r="E1176" s="5"/>
      <c r="F1176" s="5"/>
      <c r="G1176" s="5"/>
      <c r="H1176" s="5"/>
      <c r="I1176" s="6"/>
      <c r="J1176" s="5"/>
      <c r="K1176" s="5"/>
      <c r="L1176" s="5"/>
      <c r="M1176" s="5"/>
    </row>
    <row r="1177" spans="1:13" x14ac:dyDescent="0.35">
      <c r="A1177" s="3"/>
      <c r="B1177" s="4"/>
      <c r="C1177" s="5"/>
      <c r="D1177" s="5"/>
      <c r="E1177" s="5"/>
      <c r="F1177" s="5"/>
      <c r="G1177" s="5"/>
      <c r="H1177" s="5"/>
      <c r="I1177" s="6"/>
      <c r="J1177" s="5"/>
      <c r="K1177" s="5"/>
      <c r="L1177" s="5"/>
      <c r="M1177" s="5"/>
    </row>
    <row r="1178" spans="1:13" x14ac:dyDescent="0.35">
      <c r="A1178" s="3"/>
      <c r="B1178" s="4"/>
      <c r="C1178" s="5"/>
      <c r="D1178" s="5"/>
      <c r="E1178" s="5"/>
      <c r="F1178" s="5"/>
      <c r="G1178" s="5"/>
      <c r="H1178" s="5"/>
      <c r="I1178" s="6"/>
      <c r="J1178" s="5"/>
      <c r="K1178" s="5"/>
      <c r="L1178" s="5"/>
      <c r="M1178" s="5"/>
    </row>
    <row r="1179" spans="1:13" x14ac:dyDescent="0.35">
      <c r="A1179" s="3"/>
      <c r="B1179" s="4"/>
      <c r="C1179" s="5"/>
      <c r="D1179" s="5"/>
      <c r="E1179" s="5"/>
      <c r="F1179" s="5"/>
      <c r="G1179" s="5"/>
      <c r="H1179" s="5"/>
      <c r="I1179" s="6"/>
      <c r="J1179" s="5"/>
      <c r="K1179" s="5"/>
      <c r="L1179" s="5"/>
      <c r="M1179" s="5"/>
    </row>
    <row r="1180" spans="1:13" x14ac:dyDescent="0.35">
      <c r="A1180" s="3"/>
      <c r="B1180" s="4"/>
      <c r="C1180" s="5"/>
      <c r="D1180" s="5"/>
      <c r="E1180" s="5"/>
      <c r="F1180" s="5"/>
      <c r="G1180" s="5"/>
      <c r="H1180" s="5"/>
      <c r="I1180" s="6"/>
      <c r="J1180" s="5"/>
      <c r="K1180" s="5"/>
      <c r="L1180" s="5"/>
      <c r="M1180" s="5"/>
    </row>
    <row r="1181" spans="1:13" x14ac:dyDescent="0.35">
      <c r="A1181" s="3"/>
      <c r="B1181" s="4"/>
      <c r="C1181" s="5"/>
      <c r="D1181" s="5"/>
      <c r="E1181" s="5"/>
      <c r="F1181" s="5"/>
      <c r="G1181" s="5"/>
      <c r="H1181" s="5"/>
      <c r="I1181" s="6"/>
      <c r="J1181" s="5"/>
      <c r="K1181" s="5"/>
      <c r="L1181" s="5"/>
      <c r="M1181" s="5"/>
    </row>
    <row r="1182" spans="1:13" x14ac:dyDescent="0.35">
      <c r="A1182" s="3"/>
      <c r="B1182" s="4"/>
      <c r="C1182" s="5"/>
      <c r="D1182" s="5"/>
      <c r="E1182" s="5"/>
      <c r="F1182" s="5"/>
      <c r="G1182" s="5"/>
      <c r="H1182" s="5"/>
      <c r="I1182" s="6"/>
      <c r="J1182" s="5"/>
      <c r="K1182" s="5"/>
      <c r="L1182" s="5"/>
      <c r="M1182" s="5"/>
    </row>
    <row r="1183" spans="1:13" x14ac:dyDescent="0.35">
      <c r="A1183" s="3"/>
      <c r="B1183" s="4"/>
      <c r="C1183" s="5"/>
      <c r="D1183" s="5"/>
      <c r="E1183" s="5"/>
      <c r="F1183" s="5"/>
      <c r="G1183" s="5"/>
      <c r="H1183" s="5"/>
      <c r="I1183" s="6"/>
      <c r="J1183" s="5"/>
      <c r="K1183" s="5"/>
      <c r="L1183" s="5"/>
      <c r="M1183" s="5"/>
    </row>
    <row r="1184" spans="1:13" x14ac:dyDescent="0.35">
      <c r="A1184" s="3"/>
      <c r="B1184" s="4"/>
      <c r="C1184" s="5"/>
      <c r="D1184" s="5"/>
      <c r="E1184" s="5"/>
      <c r="F1184" s="5"/>
      <c r="G1184" s="5"/>
      <c r="H1184" s="5"/>
      <c r="I1184" s="6"/>
      <c r="J1184" s="5"/>
      <c r="K1184" s="5"/>
      <c r="L1184" s="5"/>
      <c r="M1184" s="5"/>
    </row>
    <row r="1185" spans="1:13" x14ac:dyDescent="0.35">
      <c r="A1185" s="3"/>
      <c r="B1185" s="4"/>
      <c r="C1185" s="5"/>
      <c r="D1185" s="5"/>
      <c r="E1185" s="5"/>
      <c r="F1185" s="5"/>
      <c r="G1185" s="5"/>
      <c r="H1185" s="5"/>
      <c r="I1185" s="6"/>
      <c r="J1185" s="5"/>
      <c r="K1185" s="5"/>
      <c r="L1185" s="5"/>
      <c r="M1185" s="5"/>
    </row>
    <row r="1186" spans="1:13" x14ac:dyDescent="0.35">
      <c r="A1186" s="3"/>
      <c r="B1186" s="4"/>
      <c r="C1186" s="5"/>
      <c r="D1186" s="5"/>
      <c r="E1186" s="5"/>
      <c r="F1186" s="5"/>
      <c r="G1186" s="5"/>
      <c r="H1186" s="5"/>
      <c r="I1186" s="6"/>
      <c r="J1186" s="5"/>
      <c r="K1186" s="5"/>
      <c r="L1186" s="5"/>
      <c r="M1186" s="5"/>
    </row>
    <row r="1187" spans="1:13" x14ac:dyDescent="0.35">
      <c r="A1187" s="3"/>
      <c r="B1187" s="4"/>
      <c r="C1187" s="5"/>
      <c r="D1187" s="5"/>
      <c r="E1187" s="5"/>
      <c r="F1187" s="5"/>
      <c r="G1187" s="5"/>
      <c r="H1187" s="5"/>
      <c r="I1187" s="6"/>
      <c r="J1187" s="5"/>
      <c r="K1187" s="5"/>
      <c r="L1187" s="5"/>
      <c r="M1187" s="5"/>
    </row>
    <row r="1188" spans="1:13" x14ac:dyDescent="0.35">
      <c r="A1188" s="3"/>
      <c r="B1188" s="4"/>
      <c r="C1188" s="5"/>
      <c r="D1188" s="5"/>
      <c r="E1188" s="5"/>
      <c r="F1188" s="5"/>
      <c r="G1188" s="5"/>
      <c r="H1188" s="5"/>
      <c r="I1188" s="6"/>
      <c r="J1188" s="5"/>
      <c r="K1188" s="5"/>
      <c r="L1188" s="5"/>
      <c r="M1188" s="5"/>
    </row>
    <row r="1189" spans="1:13" x14ac:dyDescent="0.35">
      <c r="A1189" s="3"/>
      <c r="B1189" s="4"/>
      <c r="C1189" s="5"/>
      <c r="D1189" s="5"/>
      <c r="E1189" s="5"/>
      <c r="F1189" s="5"/>
      <c r="G1189" s="5"/>
      <c r="H1189" s="5"/>
      <c r="I1189" s="6"/>
      <c r="J1189" s="5"/>
      <c r="K1189" s="5"/>
      <c r="L1189" s="5"/>
      <c r="M1189" s="5"/>
    </row>
    <row r="1190" spans="1:13" x14ac:dyDescent="0.35">
      <c r="A1190" s="3"/>
      <c r="B1190" s="4"/>
      <c r="C1190" s="5"/>
      <c r="D1190" s="5"/>
      <c r="E1190" s="5"/>
      <c r="F1190" s="5"/>
      <c r="G1190" s="5"/>
      <c r="H1190" s="5"/>
      <c r="I1190" s="6"/>
      <c r="J1190" s="5"/>
      <c r="K1190" s="5"/>
      <c r="L1190" s="5"/>
      <c r="M1190" s="5"/>
    </row>
    <row r="1191" spans="1:13" x14ac:dyDescent="0.35">
      <c r="A1191" s="3"/>
      <c r="B1191" s="4"/>
      <c r="C1191" s="5"/>
      <c r="D1191" s="5"/>
      <c r="E1191" s="5"/>
      <c r="F1191" s="5"/>
      <c r="G1191" s="5"/>
      <c r="H1191" s="5"/>
      <c r="I1191" s="6"/>
      <c r="J1191" s="5"/>
      <c r="K1191" s="5"/>
      <c r="L1191" s="5"/>
      <c r="M1191" s="5"/>
    </row>
    <row r="1192" spans="1:13" x14ac:dyDescent="0.35">
      <c r="A1192" s="3"/>
      <c r="B1192" s="4"/>
      <c r="C1192" s="5"/>
      <c r="D1192" s="5"/>
      <c r="E1192" s="5"/>
      <c r="F1192" s="5"/>
      <c r="G1192" s="5"/>
      <c r="H1192" s="5"/>
      <c r="I1192" s="6"/>
      <c r="J1192" s="5"/>
      <c r="K1192" s="5"/>
      <c r="L1192" s="5"/>
      <c r="M1192" s="5"/>
    </row>
    <row r="1193" spans="1:13" x14ac:dyDescent="0.35">
      <c r="A1193" s="3"/>
      <c r="B1193" s="4"/>
      <c r="C1193" s="5"/>
      <c r="D1193" s="5"/>
      <c r="E1193" s="5"/>
      <c r="F1193" s="5"/>
      <c r="G1193" s="5"/>
      <c r="H1193" s="5"/>
      <c r="I1193" s="6"/>
      <c r="J1193" s="5"/>
      <c r="K1193" s="5"/>
      <c r="L1193" s="5"/>
      <c r="M1193" s="5"/>
    </row>
    <row r="1194" spans="1:13" x14ac:dyDescent="0.35">
      <c r="A1194" s="3"/>
      <c r="B1194" s="4"/>
      <c r="C1194" s="5"/>
      <c r="D1194" s="5"/>
      <c r="E1194" s="5"/>
      <c r="F1194" s="5"/>
      <c r="G1194" s="5"/>
      <c r="H1194" s="5"/>
      <c r="I1194" s="6"/>
      <c r="J1194" s="5"/>
      <c r="K1194" s="5"/>
      <c r="L1194" s="5"/>
      <c r="M1194" s="5"/>
    </row>
    <row r="1195" spans="1:13" x14ac:dyDescent="0.35">
      <c r="A1195" s="3"/>
      <c r="B1195" s="4"/>
      <c r="C1195" s="5"/>
      <c r="D1195" s="5"/>
      <c r="E1195" s="5"/>
      <c r="F1195" s="5"/>
      <c r="G1195" s="5"/>
      <c r="H1195" s="5"/>
      <c r="I1195" s="6"/>
      <c r="J1195" s="5"/>
      <c r="K1195" s="5"/>
      <c r="L1195" s="5"/>
      <c r="M1195" s="5"/>
    </row>
    <row r="1196" spans="1:13" x14ac:dyDescent="0.35">
      <c r="A1196" s="3"/>
      <c r="B1196" s="4"/>
      <c r="C1196" s="5"/>
      <c r="D1196" s="5"/>
      <c r="E1196" s="5"/>
      <c r="F1196" s="5"/>
      <c r="G1196" s="5"/>
      <c r="H1196" s="5"/>
      <c r="I1196" s="6"/>
      <c r="J1196" s="5"/>
      <c r="K1196" s="5"/>
      <c r="L1196" s="5"/>
      <c r="M1196" s="5"/>
    </row>
    <row r="1197" spans="1:13" x14ac:dyDescent="0.35">
      <c r="A1197" s="3"/>
      <c r="B1197" s="4"/>
      <c r="C1197" s="5"/>
      <c r="D1197" s="5"/>
      <c r="E1197" s="5"/>
      <c r="F1197" s="5"/>
      <c r="G1197" s="5"/>
      <c r="H1197" s="5"/>
      <c r="I1197" s="6"/>
      <c r="J1197" s="5"/>
      <c r="K1197" s="5"/>
      <c r="L1197" s="5"/>
      <c r="M1197" s="5"/>
    </row>
    <row r="1198" spans="1:13" x14ac:dyDescent="0.35">
      <c r="A1198" s="3"/>
      <c r="B1198" s="4"/>
      <c r="C1198" s="5"/>
      <c r="D1198" s="5"/>
      <c r="E1198" s="5"/>
      <c r="F1198" s="5"/>
      <c r="G1198" s="5"/>
      <c r="H1198" s="5"/>
      <c r="I1198" s="6"/>
      <c r="J1198" s="5"/>
      <c r="K1198" s="5"/>
      <c r="L1198" s="5"/>
      <c r="M1198" s="5"/>
    </row>
    <row r="1199" spans="1:13" x14ac:dyDescent="0.35">
      <c r="A1199" s="3"/>
      <c r="B1199" s="4"/>
      <c r="C1199" s="5"/>
      <c r="D1199" s="5"/>
      <c r="E1199" s="5"/>
      <c r="F1199" s="5"/>
      <c r="G1199" s="5"/>
      <c r="H1199" s="5"/>
      <c r="I1199" s="6"/>
      <c r="J1199" s="5"/>
      <c r="K1199" s="5"/>
      <c r="L1199" s="5"/>
      <c r="M1199" s="5"/>
    </row>
    <row r="1200" spans="1:13" x14ac:dyDescent="0.35">
      <c r="A1200" s="3"/>
      <c r="B1200" s="4"/>
      <c r="C1200" s="5"/>
      <c r="D1200" s="5"/>
      <c r="E1200" s="5"/>
      <c r="F1200" s="5"/>
      <c r="G1200" s="5"/>
      <c r="H1200" s="5"/>
      <c r="I1200" s="6"/>
      <c r="J1200" s="5"/>
      <c r="K1200" s="5"/>
      <c r="L1200" s="5"/>
      <c r="M1200" s="5"/>
    </row>
    <row r="1201" spans="1:13" x14ac:dyDescent="0.35">
      <c r="A1201" s="3"/>
      <c r="B1201" s="4"/>
      <c r="C1201" s="5"/>
      <c r="D1201" s="5"/>
      <c r="E1201" s="5"/>
      <c r="F1201" s="5"/>
      <c r="G1201" s="5"/>
      <c r="H1201" s="5"/>
      <c r="I1201" s="6"/>
      <c r="J1201" s="5"/>
      <c r="K1201" s="5"/>
      <c r="L1201" s="5"/>
      <c r="M1201" s="5"/>
    </row>
    <row r="1202" spans="1:13" x14ac:dyDescent="0.35">
      <c r="A1202" s="3"/>
      <c r="B1202" s="4"/>
      <c r="C1202" s="5"/>
      <c r="D1202" s="5"/>
      <c r="E1202" s="5"/>
      <c r="F1202" s="5"/>
      <c r="G1202" s="5"/>
      <c r="H1202" s="5"/>
      <c r="I1202" s="6"/>
      <c r="J1202" s="5"/>
      <c r="K1202" s="5"/>
      <c r="L1202" s="5"/>
      <c r="M1202" s="5"/>
    </row>
    <row r="1203" spans="1:13" x14ac:dyDescent="0.35">
      <c r="A1203" s="3"/>
      <c r="B1203" s="4"/>
      <c r="C1203" s="5"/>
      <c r="D1203" s="5"/>
      <c r="E1203" s="5"/>
      <c r="F1203" s="5"/>
      <c r="G1203" s="5"/>
      <c r="H1203" s="5"/>
      <c r="I1203" s="6"/>
      <c r="J1203" s="5"/>
      <c r="K1203" s="5"/>
      <c r="L1203" s="5"/>
      <c r="M1203" s="5"/>
    </row>
    <row r="1204" spans="1:13" x14ac:dyDescent="0.35">
      <c r="A1204" s="3"/>
      <c r="B1204" s="4"/>
      <c r="C1204" s="5"/>
      <c r="D1204" s="5"/>
      <c r="E1204" s="5"/>
      <c r="F1204" s="5"/>
      <c r="G1204" s="5"/>
      <c r="H1204" s="5"/>
      <c r="I1204" s="6"/>
      <c r="J1204" s="5"/>
      <c r="K1204" s="5"/>
      <c r="L1204" s="5"/>
      <c r="M1204" s="5"/>
    </row>
    <row r="1205" spans="1:13" x14ac:dyDescent="0.35">
      <c r="A1205" s="3"/>
      <c r="B1205" s="4"/>
      <c r="C1205" s="5"/>
      <c r="D1205" s="5"/>
      <c r="E1205" s="5"/>
      <c r="F1205" s="5"/>
      <c r="G1205" s="5"/>
      <c r="H1205" s="5"/>
      <c r="I1205" s="6"/>
      <c r="J1205" s="5"/>
      <c r="K1205" s="5"/>
      <c r="L1205" s="5"/>
      <c r="M1205" s="5"/>
    </row>
    <row r="1206" spans="1:13" x14ac:dyDescent="0.35">
      <c r="A1206" s="3"/>
      <c r="B1206" s="4"/>
      <c r="C1206" s="5"/>
      <c r="D1206" s="5"/>
      <c r="E1206" s="5"/>
      <c r="F1206" s="5"/>
      <c r="G1206" s="5"/>
      <c r="H1206" s="5"/>
      <c r="I1206" s="6"/>
      <c r="J1206" s="5"/>
      <c r="K1206" s="5"/>
      <c r="L1206" s="5"/>
      <c r="M1206" s="5"/>
    </row>
    <row r="1207" spans="1:13" x14ac:dyDescent="0.35">
      <c r="A1207" s="3"/>
      <c r="B1207" s="4"/>
      <c r="C1207" s="5"/>
      <c r="D1207" s="5"/>
      <c r="E1207" s="5"/>
      <c r="F1207" s="5"/>
      <c r="G1207" s="5"/>
      <c r="H1207" s="5"/>
      <c r="I1207" s="6"/>
      <c r="J1207" s="5"/>
      <c r="K1207" s="5"/>
      <c r="L1207" s="5"/>
      <c r="M1207" s="5"/>
    </row>
    <row r="1208" spans="1:13" x14ac:dyDescent="0.35">
      <c r="A1208" s="3"/>
      <c r="B1208" s="4"/>
      <c r="C1208" s="5"/>
      <c r="D1208" s="5"/>
      <c r="E1208" s="5"/>
      <c r="F1208" s="5"/>
      <c r="G1208" s="5"/>
      <c r="H1208" s="5"/>
      <c r="I1208" s="6"/>
      <c r="J1208" s="5"/>
      <c r="K1208" s="5"/>
      <c r="L1208" s="5"/>
      <c r="M1208" s="5"/>
    </row>
    <row r="1209" spans="1:13" x14ac:dyDescent="0.35">
      <c r="A1209" s="3"/>
      <c r="B1209" s="4"/>
      <c r="C1209" s="5"/>
      <c r="D1209" s="5"/>
      <c r="E1209" s="5"/>
      <c r="F1209" s="5"/>
      <c r="G1209" s="5"/>
      <c r="H1209" s="5"/>
      <c r="I1209" s="6"/>
      <c r="J1209" s="5"/>
      <c r="K1209" s="5"/>
      <c r="L1209" s="5"/>
      <c r="M1209" s="5"/>
    </row>
    <row r="1210" spans="1:13" x14ac:dyDescent="0.35">
      <c r="A1210" s="3"/>
      <c r="B1210" s="4"/>
      <c r="C1210" s="5"/>
      <c r="D1210" s="5"/>
      <c r="E1210" s="5"/>
      <c r="F1210" s="5"/>
      <c r="G1210" s="5"/>
      <c r="H1210" s="5"/>
      <c r="I1210" s="6"/>
      <c r="J1210" s="5"/>
      <c r="K1210" s="5"/>
      <c r="L1210" s="5"/>
      <c r="M1210" s="5"/>
    </row>
    <row r="1211" spans="1:13" x14ac:dyDescent="0.35">
      <c r="A1211" s="3"/>
      <c r="B1211" s="4"/>
      <c r="C1211" s="5"/>
      <c r="D1211" s="5"/>
      <c r="E1211" s="5"/>
      <c r="F1211" s="5"/>
      <c r="G1211" s="5"/>
      <c r="H1211" s="5"/>
      <c r="I1211" s="6"/>
      <c r="J1211" s="5"/>
      <c r="K1211" s="5"/>
      <c r="L1211" s="5"/>
      <c r="M1211" s="5"/>
    </row>
    <row r="1212" spans="1:13" x14ac:dyDescent="0.35">
      <c r="A1212" s="3"/>
      <c r="B1212" s="4"/>
      <c r="C1212" s="5"/>
      <c r="D1212" s="5"/>
      <c r="E1212" s="5"/>
      <c r="F1212" s="5"/>
      <c r="G1212" s="5"/>
      <c r="H1212" s="5"/>
      <c r="I1212" s="6"/>
      <c r="J1212" s="5"/>
      <c r="K1212" s="5"/>
      <c r="L1212" s="5"/>
      <c r="M1212" s="5"/>
    </row>
    <row r="1213" spans="1:13" x14ac:dyDescent="0.35">
      <c r="A1213" s="3"/>
      <c r="B1213" s="4"/>
      <c r="C1213" s="5"/>
      <c r="D1213" s="5"/>
      <c r="E1213" s="5"/>
      <c r="F1213" s="5"/>
      <c r="G1213" s="5"/>
      <c r="H1213" s="5"/>
      <c r="I1213" s="6"/>
      <c r="J1213" s="5"/>
      <c r="K1213" s="5"/>
      <c r="L1213" s="5"/>
      <c r="M1213" s="5"/>
    </row>
    <row r="1214" spans="1:13" x14ac:dyDescent="0.35">
      <c r="A1214" s="3"/>
      <c r="B1214" s="4"/>
      <c r="C1214" s="5"/>
      <c r="D1214" s="5"/>
      <c r="E1214" s="5"/>
      <c r="F1214" s="5"/>
      <c r="G1214" s="5"/>
      <c r="H1214" s="5"/>
      <c r="I1214" s="6"/>
      <c r="J1214" s="5"/>
      <c r="K1214" s="5"/>
      <c r="L1214" s="5"/>
      <c r="M1214" s="5"/>
    </row>
    <row r="1215" spans="1:13" x14ac:dyDescent="0.35">
      <c r="A1215" s="3"/>
      <c r="B1215" s="4"/>
      <c r="C1215" s="5"/>
      <c r="D1215" s="5"/>
      <c r="E1215" s="5"/>
      <c r="F1215" s="5"/>
      <c r="G1215" s="5"/>
      <c r="H1215" s="5"/>
      <c r="I1215" s="6"/>
      <c r="J1215" s="5"/>
      <c r="K1215" s="5"/>
      <c r="L1215" s="5"/>
      <c r="M1215" s="5"/>
    </row>
    <row r="1216" spans="1:13" x14ac:dyDescent="0.35">
      <c r="A1216" s="3"/>
      <c r="B1216" s="4"/>
      <c r="C1216" s="5"/>
      <c r="D1216" s="5"/>
      <c r="E1216" s="5"/>
      <c r="F1216" s="5"/>
      <c r="G1216" s="5"/>
      <c r="H1216" s="5"/>
      <c r="I1216" s="6"/>
      <c r="J1216" s="5"/>
      <c r="K1216" s="5"/>
      <c r="L1216" s="5"/>
      <c r="M1216" s="5"/>
    </row>
    <row r="1217" spans="1:13" x14ac:dyDescent="0.35">
      <c r="A1217" s="3"/>
      <c r="B1217" s="4"/>
      <c r="C1217" s="5"/>
      <c r="D1217" s="5"/>
      <c r="E1217" s="5"/>
      <c r="F1217" s="5"/>
      <c r="G1217" s="5"/>
      <c r="H1217" s="5"/>
      <c r="I1217" s="6"/>
      <c r="J1217" s="5"/>
      <c r="K1217" s="5"/>
      <c r="L1217" s="5"/>
      <c r="M1217" s="5"/>
    </row>
    <row r="1218" spans="1:13" x14ac:dyDescent="0.35">
      <c r="A1218" s="3"/>
      <c r="B1218" s="4"/>
      <c r="C1218" s="5"/>
      <c r="D1218" s="5"/>
      <c r="E1218" s="5"/>
      <c r="F1218" s="5"/>
      <c r="G1218" s="5"/>
      <c r="H1218" s="5"/>
      <c r="I1218" s="6"/>
      <c r="J1218" s="5"/>
      <c r="K1218" s="5"/>
      <c r="L1218" s="5"/>
      <c r="M1218" s="5"/>
    </row>
    <row r="1219" spans="1:13" x14ac:dyDescent="0.35">
      <c r="A1219" s="3"/>
      <c r="B1219" s="4"/>
      <c r="C1219" s="5"/>
      <c r="D1219" s="5"/>
      <c r="E1219" s="5"/>
      <c r="F1219" s="5"/>
      <c r="G1219" s="5"/>
      <c r="H1219" s="5"/>
      <c r="I1219" s="6"/>
      <c r="J1219" s="5"/>
      <c r="K1219" s="5"/>
      <c r="L1219" s="5"/>
      <c r="M1219" s="5"/>
    </row>
    <row r="1220" spans="1:13" x14ac:dyDescent="0.35">
      <c r="A1220" s="3"/>
      <c r="B1220" s="4"/>
      <c r="C1220" s="5"/>
      <c r="D1220" s="5"/>
      <c r="E1220" s="5"/>
      <c r="F1220" s="5"/>
      <c r="G1220" s="5"/>
      <c r="H1220" s="5"/>
      <c r="I1220" s="6"/>
      <c r="J1220" s="5"/>
      <c r="K1220" s="5"/>
      <c r="L1220" s="5"/>
      <c r="M1220" s="5"/>
    </row>
    <row r="1221" spans="1:13" x14ac:dyDescent="0.35">
      <c r="A1221" s="3"/>
      <c r="B1221" s="4"/>
      <c r="C1221" s="5"/>
      <c r="D1221" s="5"/>
      <c r="E1221" s="5"/>
      <c r="F1221" s="5"/>
      <c r="G1221" s="5"/>
      <c r="H1221" s="5"/>
      <c r="I1221" s="6"/>
      <c r="J1221" s="5"/>
      <c r="K1221" s="5"/>
      <c r="L1221" s="5"/>
      <c r="M1221" s="5"/>
    </row>
    <row r="1222" spans="1:13" x14ac:dyDescent="0.35">
      <c r="A1222" s="3"/>
      <c r="B1222" s="4"/>
      <c r="C1222" s="5"/>
      <c r="D1222" s="5"/>
      <c r="E1222" s="5"/>
      <c r="F1222" s="5"/>
      <c r="G1222" s="5"/>
      <c r="H1222" s="5"/>
      <c r="I1222" s="6"/>
      <c r="J1222" s="5"/>
      <c r="K1222" s="5"/>
      <c r="L1222" s="5"/>
      <c r="M1222" s="5"/>
    </row>
    <row r="1223" spans="1:13" x14ac:dyDescent="0.35">
      <c r="A1223" s="3"/>
      <c r="B1223" s="4"/>
      <c r="C1223" s="5"/>
      <c r="D1223" s="5"/>
      <c r="E1223" s="5"/>
      <c r="F1223" s="5"/>
      <c r="G1223" s="5"/>
      <c r="H1223" s="5"/>
      <c r="I1223" s="6"/>
      <c r="J1223" s="5"/>
      <c r="K1223" s="5"/>
      <c r="L1223" s="5"/>
      <c r="M1223" s="5"/>
    </row>
    <row r="1224" spans="1:13" x14ac:dyDescent="0.35">
      <c r="A1224" s="3"/>
      <c r="B1224" s="4"/>
      <c r="C1224" s="5"/>
      <c r="D1224" s="5"/>
      <c r="E1224" s="5"/>
      <c r="F1224" s="5"/>
      <c r="G1224" s="5"/>
      <c r="H1224" s="5"/>
      <c r="I1224" s="6"/>
      <c r="J1224" s="5"/>
      <c r="K1224" s="5"/>
      <c r="L1224" s="5"/>
      <c r="M1224" s="5"/>
    </row>
    <row r="1225" spans="1:13" x14ac:dyDescent="0.35">
      <c r="A1225" s="3"/>
      <c r="B1225" s="4"/>
      <c r="C1225" s="5"/>
      <c r="D1225" s="5"/>
      <c r="E1225" s="5"/>
      <c r="F1225" s="5"/>
      <c r="G1225" s="5"/>
      <c r="H1225" s="5"/>
      <c r="I1225" s="6"/>
      <c r="J1225" s="5"/>
      <c r="K1225" s="5"/>
      <c r="L1225" s="5"/>
      <c r="M1225" s="5"/>
    </row>
    <row r="1226" spans="1:13" x14ac:dyDescent="0.35">
      <c r="A1226" s="3"/>
      <c r="B1226" s="4"/>
      <c r="C1226" s="5"/>
      <c r="D1226" s="5"/>
      <c r="E1226" s="5"/>
      <c r="F1226" s="5"/>
      <c r="G1226" s="5"/>
      <c r="H1226" s="5"/>
      <c r="I1226" s="6"/>
      <c r="J1226" s="5"/>
      <c r="K1226" s="5"/>
      <c r="L1226" s="5"/>
      <c r="M1226" s="5"/>
    </row>
    <row r="1227" spans="1:13" x14ac:dyDescent="0.35">
      <c r="A1227" s="3"/>
      <c r="B1227" s="4"/>
      <c r="C1227" s="5"/>
      <c r="D1227" s="5"/>
      <c r="E1227" s="5"/>
      <c r="F1227" s="5"/>
      <c r="G1227" s="5"/>
      <c r="H1227" s="5"/>
      <c r="I1227" s="6"/>
      <c r="J1227" s="5"/>
      <c r="K1227" s="5"/>
      <c r="L1227" s="5"/>
      <c r="M1227" s="5"/>
    </row>
    <row r="1228" spans="1:13" x14ac:dyDescent="0.35">
      <c r="A1228" s="3"/>
      <c r="B1228" s="4"/>
      <c r="C1228" s="5"/>
      <c r="D1228" s="5"/>
      <c r="E1228" s="5"/>
      <c r="F1228" s="5"/>
      <c r="G1228" s="5"/>
      <c r="H1228" s="5"/>
      <c r="I1228" s="6"/>
      <c r="J1228" s="5"/>
      <c r="K1228" s="5"/>
      <c r="L1228" s="5"/>
      <c r="M1228" s="5"/>
    </row>
    <row r="1229" spans="1:13" x14ac:dyDescent="0.35">
      <c r="A1229" s="3"/>
      <c r="B1229" s="4"/>
      <c r="C1229" s="5"/>
      <c r="D1229" s="5"/>
      <c r="E1229" s="5"/>
      <c r="F1229" s="5"/>
      <c r="G1229" s="5"/>
      <c r="H1229" s="5"/>
      <c r="I1229" s="6"/>
      <c r="J1229" s="5"/>
      <c r="K1229" s="5"/>
      <c r="L1229" s="5"/>
      <c r="M1229" s="5"/>
    </row>
    <row r="1230" spans="1:13" x14ac:dyDescent="0.35">
      <c r="A1230" s="3"/>
      <c r="B1230" s="4"/>
      <c r="C1230" s="5"/>
      <c r="D1230" s="5"/>
      <c r="E1230" s="5"/>
      <c r="F1230" s="5"/>
      <c r="G1230" s="5"/>
      <c r="H1230" s="5"/>
      <c r="I1230" s="6"/>
      <c r="J1230" s="5"/>
      <c r="K1230" s="5"/>
      <c r="L1230" s="5"/>
      <c r="M1230" s="5"/>
    </row>
    <row r="1231" spans="1:13" x14ac:dyDescent="0.35">
      <c r="A1231" s="3"/>
      <c r="B1231" s="4"/>
      <c r="C1231" s="5"/>
      <c r="D1231" s="5"/>
      <c r="E1231" s="5"/>
      <c r="F1231" s="5"/>
      <c r="G1231" s="5"/>
      <c r="H1231" s="5"/>
      <c r="I1231" s="6"/>
      <c r="J1231" s="5"/>
      <c r="K1231" s="5"/>
      <c r="L1231" s="5"/>
      <c r="M1231" s="5"/>
    </row>
    <row r="1232" spans="1:13" x14ac:dyDescent="0.35">
      <c r="A1232" s="3"/>
      <c r="B1232" s="4"/>
      <c r="C1232" s="5"/>
      <c r="D1232" s="5"/>
      <c r="E1232" s="5"/>
      <c r="F1232" s="5"/>
      <c r="G1232" s="5"/>
      <c r="H1232" s="5"/>
      <c r="I1232" s="6"/>
      <c r="J1232" s="5"/>
      <c r="K1232" s="5"/>
      <c r="L1232" s="5"/>
      <c r="M1232" s="5"/>
    </row>
    <row r="1233" spans="1:13" x14ac:dyDescent="0.35">
      <c r="A1233" s="3"/>
      <c r="B1233" s="4"/>
      <c r="C1233" s="5"/>
      <c r="D1233" s="5"/>
      <c r="E1233" s="5"/>
      <c r="F1233" s="5"/>
      <c r="G1233" s="5"/>
      <c r="H1233" s="5"/>
      <c r="I1233" s="6"/>
      <c r="J1233" s="5"/>
      <c r="K1233" s="5"/>
      <c r="L1233" s="5"/>
      <c r="M1233" s="5"/>
    </row>
    <row r="1234" spans="1:13" x14ac:dyDescent="0.35">
      <c r="A1234" s="3"/>
      <c r="B1234" s="4"/>
      <c r="C1234" s="5"/>
      <c r="D1234" s="5"/>
      <c r="E1234" s="5"/>
      <c r="F1234" s="5"/>
      <c r="G1234" s="5"/>
      <c r="H1234" s="5"/>
      <c r="I1234" s="6"/>
      <c r="J1234" s="5"/>
      <c r="K1234" s="5"/>
      <c r="L1234" s="5"/>
      <c r="M1234" s="5"/>
    </row>
    <row r="1235" spans="1:13" x14ac:dyDescent="0.35">
      <c r="A1235" s="3"/>
      <c r="B1235" s="4"/>
      <c r="C1235" s="5"/>
      <c r="D1235" s="5"/>
      <c r="E1235" s="5"/>
      <c r="F1235" s="5"/>
      <c r="G1235" s="5"/>
      <c r="H1235" s="5"/>
      <c r="I1235" s="6"/>
      <c r="J1235" s="5"/>
      <c r="K1235" s="5"/>
      <c r="L1235" s="5"/>
      <c r="M1235" s="5"/>
    </row>
    <row r="1236" spans="1:13" x14ac:dyDescent="0.35">
      <c r="A1236" s="3"/>
      <c r="B1236" s="4"/>
      <c r="C1236" s="5"/>
      <c r="D1236" s="5"/>
      <c r="E1236" s="5"/>
      <c r="F1236" s="5"/>
      <c r="G1236" s="5"/>
      <c r="H1236" s="5"/>
      <c r="I1236" s="6"/>
      <c r="J1236" s="5"/>
      <c r="K1236" s="5"/>
      <c r="L1236" s="5"/>
      <c r="M1236" s="5"/>
    </row>
    <row r="1237" spans="1:13" x14ac:dyDescent="0.35">
      <c r="A1237" s="3"/>
      <c r="B1237" s="4"/>
      <c r="C1237" s="5"/>
      <c r="D1237" s="5"/>
      <c r="E1237" s="5"/>
      <c r="F1237" s="5"/>
      <c r="G1237" s="5"/>
      <c r="H1237" s="5"/>
      <c r="I1237" s="6"/>
      <c r="J1237" s="5"/>
      <c r="K1237" s="5"/>
      <c r="L1237" s="5"/>
      <c r="M1237" s="5"/>
    </row>
    <row r="1238" spans="1:13" x14ac:dyDescent="0.35">
      <c r="A1238" s="3"/>
      <c r="B1238" s="4"/>
      <c r="C1238" s="5"/>
      <c r="D1238" s="5"/>
      <c r="E1238" s="5"/>
      <c r="F1238" s="5"/>
      <c r="G1238" s="5"/>
      <c r="H1238" s="5"/>
      <c r="I1238" s="6"/>
      <c r="J1238" s="5"/>
      <c r="K1238" s="5"/>
      <c r="L1238" s="5"/>
      <c r="M1238" s="5"/>
    </row>
    <row r="1239" spans="1:13" x14ac:dyDescent="0.35">
      <c r="A1239" s="3"/>
      <c r="B1239" s="4"/>
      <c r="C1239" s="5"/>
      <c r="D1239" s="5"/>
      <c r="E1239" s="5"/>
      <c r="F1239" s="5"/>
      <c r="G1239" s="5"/>
      <c r="H1239" s="5"/>
      <c r="I1239" s="6"/>
      <c r="J1239" s="5"/>
      <c r="K1239" s="5"/>
      <c r="L1239" s="5"/>
      <c r="M1239" s="5"/>
    </row>
    <row r="1240" spans="1:13" x14ac:dyDescent="0.35">
      <c r="A1240" s="3"/>
      <c r="B1240" s="4"/>
      <c r="C1240" s="5"/>
      <c r="D1240" s="5"/>
      <c r="E1240" s="5"/>
      <c r="F1240" s="5"/>
      <c r="G1240" s="5"/>
      <c r="H1240" s="5"/>
      <c r="I1240" s="6"/>
      <c r="J1240" s="5"/>
      <c r="K1240" s="5"/>
      <c r="L1240" s="5"/>
      <c r="M1240" s="5"/>
    </row>
    <row r="1241" spans="1:13" x14ac:dyDescent="0.35">
      <c r="A1241" s="3"/>
      <c r="B1241" s="4"/>
      <c r="C1241" s="5"/>
      <c r="D1241" s="5"/>
      <c r="E1241" s="5"/>
      <c r="F1241" s="5"/>
      <c r="G1241" s="5"/>
      <c r="H1241" s="5"/>
      <c r="I1241" s="6"/>
      <c r="J1241" s="5"/>
      <c r="K1241" s="5"/>
      <c r="L1241" s="5"/>
      <c r="M1241" s="5"/>
    </row>
    <row r="1242" spans="1:13" x14ac:dyDescent="0.35">
      <c r="A1242" s="3"/>
      <c r="B1242" s="4"/>
      <c r="C1242" s="5"/>
      <c r="D1242" s="5"/>
      <c r="E1242" s="5"/>
      <c r="F1242" s="5"/>
      <c r="G1242" s="5"/>
      <c r="H1242" s="5"/>
      <c r="I1242" s="6"/>
      <c r="J1242" s="5"/>
      <c r="K1242" s="5"/>
      <c r="L1242" s="5"/>
      <c r="M1242" s="5"/>
    </row>
    <row r="1243" spans="1:13" x14ac:dyDescent="0.35">
      <c r="A1243" s="3"/>
      <c r="B1243" s="4"/>
      <c r="C1243" s="5"/>
      <c r="D1243" s="5"/>
      <c r="E1243" s="5"/>
      <c r="F1243" s="5"/>
      <c r="G1243" s="5"/>
      <c r="H1243" s="5"/>
      <c r="I1243" s="6"/>
      <c r="J1243" s="5"/>
      <c r="K1243" s="5"/>
      <c r="L1243" s="5"/>
      <c r="M1243" s="5"/>
    </row>
    <row r="1244" spans="1:13" x14ac:dyDescent="0.35">
      <c r="A1244" s="3"/>
      <c r="B1244" s="4"/>
      <c r="C1244" s="5"/>
      <c r="D1244" s="5"/>
      <c r="E1244" s="5"/>
      <c r="F1244" s="5"/>
      <c r="G1244" s="5"/>
      <c r="H1244" s="5"/>
      <c r="I1244" s="6"/>
      <c r="J1244" s="5"/>
      <c r="K1244" s="5"/>
      <c r="L1244" s="5"/>
      <c r="M1244" s="5"/>
    </row>
    <row r="1245" spans="1:13" x14ac:dyDescent="0.35">
      <c r="A1245" s="3"/>
      <c r="B1245" s="4"/>
      <c r="C1245" s="5"/>
      <c r="D1245" s="5"/>
      <c r="E1245" s="5"/>
      <c r="F1245" s="5"/>
      <c r="G1245" s="5"/>
      <c r="H1245" s="5"/>
      <c r="I1245" s="6"/>
      <c r="J1245" s="5"/>
      <c r="K1245" s="5"/>
      <c r="L1245" s="5"/>
      <c r="M1245" s="5"/>
    </row>
    <row r="1246" spans="1:13" x14ac:dyDescent="0.35">
      <c r="A1246" s="3"/>
      <c r="B1246" s="4"/>
      <c r="C1246" s="5"/>
      <c r="D1246" s="5"/>
      <c r="E1246" s="5"/>
      <c r="F1246" s="5"/>
      <c r="G1246" s="5"/>
      <c r="H1246" s="5"/>
      <c r="I1246" s="6"/>
      <c r="J1246" s="5"/>
      <c r="K1246" s="5"/>
      <c r="L1246" s="5"/>
      <c r="M1246" s="5"/>
    </row>
    <row r="1247" spans="1:13" x14ac:dyDescent="0.35">
      <c r="A1247" s="3"/>
      <c r="B1247" s="4"/>
      <c r="C1247" s="5"/>
      <c r="D1247" s="5"/>
      <c r="E1247" s="5"/>
      <c r="F1247" s="5"/>
      <c r="G1247" s="5"/>
      <c r="H1247" s="5"/>
      <c r="I1247" s="6"/>
      <c r="J1247" s="5"/>
      <c r="K1247" s="5"/>
      <c r="L1247" s="5"/>
      <c r="M1247" s="5"/>
    </row>
    <row r="1248" spans="1:13" x14ac:dyDescent="0.35">
      <c r="A1248" s="3"/>
      <c r="B1248" s="4"/>
      <c r="C1248" s="5"/>
      <c r="D1248" s="5"/>
      <c r="E1248" s="5"/>
      <c r="F1248" s="5"/>
      <c r="G1248" s="5"/>
      <c r="H1248" s="5"/>
      <c r="I1248" s="6"/>
      <c r="J1248" s="5"/>
      <c r="K1248" s="5"/>
      <c r="L1248" s="5"/>
      <c r="M1248" s="5"/>
    </row>
    <row r="1249" spans="1:13" x14ac:dyDescent="0.35">
      <c r="A1249" s="3"/>
      <c r="B1249" s="4"/>
      <c r="C1249" s="5"/>
      <c r="D1249" s="5"/>
      <c r="E1249" s="5"/>
      <c r="F1249" s="5"/>
      <c r="G1249" s="5"/>
      <c r="H1249" s="5"/>
      <c r="I1249" s="6"/>
      <c r="J1249" s="5"/>
      <c r="K1249" s="5"/>
      <c r="L1249" s="5"/>
      <c r="M1249" s="5"/>
    </row>
    <row r="1250" spans="1:13" x14ac:dyDescent="0.35">
      <c r="A1250" s="3"/>
      <c r="B1250" s="4"/>
      <c r="C1250" s="5"/>
      <c r="D1250" s="5"/>
      <c r="E1250" s="5"/>
      <c r="F1250" s="5"/>
      <c r="G1250" s="5"/>
      <c r="H1250" s="5"/>
      <c r="I1250" s="6"/>
      <c r="J1250" s="5"/>
      <c r="K1250" s="5"/>
      <c r="L1250" s="5"/>
      <c r="M1250" s="5"/>
    </row>
    <row r="1251" spans="1:13" x14ac:dyDescent="0.35">
      <c r="A1251" s="3"/>
      <c r="B1251" s="4"/>
      <c r="C1251" s="5"/>
      <c r="D1251" s="5"/>
      <c r="E1251" s="5"/>
      <c r="F1251" s="5"/>
      <c r="G1251" s="5"/>
      <c r="H1251" s="5"/>
      <c r="I1251" s="6"/>
      <c r="J1251" s="5"/>
      <c r="K1251" s="5"/>
      <c r="L1251" s="5"/>
      <c r="M1251" s="5"/>
    </row>
    <row r="1252" spans="1:13" x14ac:dyDescent="0.35">
      <c r="A1252" s="3"/>
      <c r="B1252" s="4"/>
      <c r="C1252" s="5"/>
      <c r="D1252" s="5"/>
      <c r="E1252" s="5"/>
      <c r="F1252" s="5"/>
      <c r="G1252" s="5"/>
      <c r="H1252" s="5"/>
      <c r="I1252" s="6"/>
      <c r="J1252" s="5"/>
      <c r="K1252" s="5"/>
      <c r="L1252" s="5"/>
      <c r="M1252" s="5"/>
    </row>
    <row r="1253" spans="1:13" x14ac:dyDescent="0.35">
      <c r="A1253" s="3"/>
      <c r="B1253" s="4"/>
      <c r="C1253" s="5"/>
      <c r="D1253" s="5"/>
      <c r="E1253" s="5"/>
      <c r="F1253" s="5"/>
      <c r="G1253" s="5"/>
      <c r="H1253" s="5"/>
      <c r="I1253" s="6"/>
      <c r="J1253" s="5"/>
      <c r="K1253" s="5"/>
      <c r="L1253" s="5"/>
      <c r="M1253" s="5"/>
    </row>
    <row r="1254" spans="1:13" x14ac:dyDescent="0.35">
      <c r="A1254" s="3"/>
      <c r="B1254" s="4"/>
      <c r="C1254" s="5"/>
      <c r="D1254" s="5"/>
      <c r="E1254" s="5"/>
      <c r="F1254" s="5"/>
      <c r="G1254" s="5"/>
      <c r="H1254" s="5"/>
      <c r="I1254" s="6"/>
      <c r="J1254" s="5"/>
      <c r="K1254" s="5"/>
      <c r="L1254" s="5"/>
      <c r="M1254" s="5"/>
    </row>
    <row r="1255" spans="1:13" x14ac:dyDescent="0.35">
      <c r="A1255" s="3"/>
      <c r="B1255" s="4"/>
      <c r="C1255" s="5"/>
      <c r="D1255" s="5"/>
      <c r="E1255" s="5"/>
      <c r="F1255" s="5"/>
      <c r="G1255" s="5"/>
      <c r="H1255" s="5"/>
      <c r="I1255" s="6"/>
      <c r="J1255" s="5"/>
      <c r="K1255" s="5"/>
      <c r="L1255" s="5"/>
      <c r="M1255" s="5"/>
    </row>
    <row r="1256" spans="1:13" x14ac:dyDescent="0.35">
      <c r="A1256" s="3"/>
      <c r="B1256" s="4"/>
      <c r="C1256" s="5"/>
      <c r="D1256" s="5"/>
      <c r="E1256" s="5"/>
      <c r="F1256" s="5"/>
      <c r="G1256" s="5"/>
      <c r="H1256" s="5"/>
      <c r="I1256" s="6"/>
      <c r="J1256" s="5"/>
      <c r="K1256" s="5"/>
      <c r="L1256" s="5"/>
      <c r="M1256" s="5"/>
    </row>
    <row r="1257" spans="1:13" x14ac:dyDescent="0.35">
      <c r="A1257" s="3"/>
      <c r="B1257" s="4"/>
      <c r="C1257" s="5"/>
      <c r="D1257" s="5"/>
      <c r="E1257" s="5"/>
      <c r="F1257" s="5"/>
      <c r="G1257" s="5"/>
      <c r="H1257" s="5"/>
      <c r="I1257" s="6"/>
      <c r="J1257" s="5"/>
      <c r="K1257" s="5"/>
      <c r="L1257" s="5"/>
      <c r="M1257" s="5"/>
    </row>
    <row r="1258" spans="1:13" x14ac:dyDescent="0.35">
      <c r="A1258" s="3"/>
      <c r="B1258" s="4"/>
      <c r="C1258" s="5"/>
      <c r="D1258" s="5"/>
      <c r="E1258" s="5"/>
      <c r="F1258" s="5"/>
      <c r="G1258" s="5"/>
      <c r="H1258" s="5"/>
      <c r="I1258" s="6"/>
      <c r="J1258" s="5"/>
      <c r="K1258" s="5"/>
      <c r="L1258" s="5"/>
      <c r="M1258" s="5"/>
    </row>
    <row r="1259" spans="1:13" x14ac:dyDescent="0.35">
      <c r="A1259" s="3"/>
      <c r="B1259" s="4"/>
      <c r="C1259" s="5"/>
      <c r="D1259" s="5"/>
      <c r="E1259" s="5"/>
      <c r="F1259" s="5"/>
      <c r="G1259" s="5"/>
      <c r="H1259" s="5"/>
      <c r="I1259" s="6"/>
      <c r="J1259" s="5"/>
      <c r="K1259" s="5"/>
      <c r="L1259" s="5"/>
      <c r="M1259" s="5"/>
    </row>
    <row r="1260" spans="1:13" x14ac:dyDescent="0.35">
      <c r="A1260" s="3"/>
      <c r="B1260" s="4"/>
      <c r="C1260" s="5"/>
      <c r="D1260" s="5"/>
      <c r="E1260" s="5"/>
      <c r="F1260" s="5"/>
      <c r="G1260" s="5"/>
      <c r="H1260" s="5"/>
      <c r="I1260" s="6"/>
      <c r="J1260" s="5"/>
      <c r="K1260" s="5"/>
      <c r="L1260" s="5"/>
      <c r="M1260" s="5"/>
    </row>
    <row r="1261" spans="1:13" x14ac:dyDescent="0.35">
      <c r="A1261" s="3"/>
      <c r="B1261" s="4"/>
      <c r="C1261" s="5"/>
      <c r="D1261" s="5"/>
      <c r="E1261" s="5"/>
      <c r="F1261" s="5"/>
      <c r="G1261" s="5"/>
      <c r="H1261" s="5"/>
      <c r="I1261" s="6"/>
      <c r="J1261" s="5"/>
      <c r="K1261" s="5"/>
      <c r="L1261" s="5"/>
      <c r="M1261" s="5"/>
    </row>
    <row r="1262" spans="1:13" x14ac:dyDescent="0.35">
      <c r="A1262" s="3"/>
      <c r="B1262" s="4"/>
      <c r="C1262" s="5"/>
      <c r="D1262" s="5"/>
      <c r="E1262" s="5"/>
      <c r="F1262" s="5"/>
      <c r="G1262" s="5"/>
      <c r="H1262" s="5"/>
      <c r="I1262" s="6"/>
      <c r="J1262" s="5"/>
      <c r="K1262" s="5"/>
      <c r="L1262" s="5"/>
      <c r="M1262" s="5"/>
    </row>
    <row r="1263" spans="1:13" x14ac:dyDescent="0.35">
      <c r="A1263" s="3"/>
      <c r="B1263" s="4"/>
      <c r="C1263" s="5"/>
      <c r="D1263" s="5"/>
      <c r="E1263" s="5"/>
      <c r="F1263" s="5"/>
      <c r="G1263" s="5"/>
      <c r="H1263" s="5"/>
      <c r="I1263" s="6"/>
      <c r="J1263" s="5"/>
      <c r="K1263" s="5"/>
      <c r="L1263" s="5"/>
      <c r="M1263" s="5"/>
    </row>
    <row r="1264" spans="1:13" x14ac:dyDescent="0.35">
      <c r="A1264" s="3"/>
      <c r="B1264" s="4"/>
      <c r="C1264" s="5"/>
      <c r="D1264" s="5"/>
      <c r="E1264" s="5"/>
      <c r="F1264" s="5"/>
      <c r="G1264" s="5"/>
      <c r="H1264" s="5"/>
      <c r="I1264" s="6"/>
      <c r="J1264" s="5"/>
      <c r="K1264" s="5"/>
      <c r="L1264" s="5"/>
      <c r="M1264" s="5"/>
    </row>
    <row r="1265" spans="1:13" x14ac:dyDescent="0.35">
      <c r="A1265" s="3"/>
      <c r="B1265" s="4"/>
      <c r="C1265" s="5"/>
      <c r="D1265" s="5"/>
      <c r="E1265" s="5"/>
      <c r="F1265" s="5"/>
      <c r="G1265" s="5"/>
      <c r="H1265" s="5"/>
      <c r="I1265" s="6"/>
      <c r="J1265" s="5"/>
      <c r="K1265" s="5"/>
      <c r="L1265" s="5"/>
      <c r="M1265" s="5"/>
    </row>
    <row r="1266" spans="1:13" x14ac:dyDescent="0.35">
      <c r="A1266" s="3"/>
      <c r="B1266" s="4"/>
      <c r="C1266" s="5"/>
      <c r="D1266" s="5"/>
      <c r="E1266" s="5"/>
      <c r="F1266" s="5"/>
      <c r="G1266" s="5"/>
      <c r="H1266" s="5"/>
      <c r="I1266" s="6"/>
      <c r="J1266" s="5"/>
      <c r="K1266" s="5"/>
      <c r="L1266" s="5"/>
      <c r="M1266" s="5"/>
    </row>
    <row r="1267" spans="1:13" x14ac:dyDescent="0.35">
      <c r="A1267" s="3"/>
      <c r="B1267" s="4"/>
      <c r="C1267" s="5"/>
      <c r="D1267" s="5"/>
      <c r="E1267" s="5"/>
      <c r="F1267" s="5"/>
      <c r="G1267" s="5"/>
      <c r="H1267" s="5"/>
      <c r="I1267" s="6"/>
      <c r="J1267" s="5"/>
      <c r="K1267" s="5"/>
      <c r="L1267" s="5"/>
      <c r="M1267" s="5"/>
    </row>
    <row r="1268" spans="1:13" x14ac:dyDescent="0.35">
      <c r="A1268" s="3"/>
      <c r="B1268" s="4"/>
      <c r="C1268" s="5"/>
      <c r="D1268" s="5"/>
      <c r="E1268" s="5"/>
      <c r="F1268" s="5"/>
      <c r="G1268" s="5"/>
      <c r="H1268" s="5"/>
      <c r="I1268" s="6"/>
      <c r="J1268" s="5"/>
      <c r="K1268" s="5"/>
      <c r="L1268" s="5"/>
      <c r="M1268" s="5"/>
    </row>
    <row r="1269" spans="1:13" x14ac:dyDescent="0.35">
      <c r="A1269" s="3"/>
      <c r="B1269" s="4"/>
      <c r="C1269" s="5"/>
      <c r="D1269" s="5"/>
      <c r="E1269" s="5"/>
      <c r="F1269" s="5"/>
      <c r="G1269" s="5"/>
      <c r="H1269" s="5"/>
      <c r="I1269" s="6"/>
      <c r="J1269" s="5"/>
      <c r="K1269" s="5"/>
      <c r="L1269" s="5"/>
      <c r="M1269" s="5"/>
    </row>
    <row r="1270" spans="1:13" x14ac:dyDescent="0.35">
      <c r="A1270" s="3"/>
      <c r="B1270" s="4"/>
      <c r="C1270" s="5"/>
      <c r="D1270" s="5"/>
      <c r="E1270" s="5"/>
      <c r="F1270" s="5"/>
      <c r="G1270" s="5"/>
      <c r="H1270" s="5"/>
      <c r="I1270" s="6"/>
      <c r="J1270" s="5"/>
      <c r="K1270" s="5"/>
      <c r="L1270" s="5"/>
      <c r="M1270" s="5"/>
    </row>
    <row r="1271" spans="1:13" x14ac:dyDescent="0.35">
      <c r="A1271" s="3"/>
      <c r="B1271" s="4"/>
      <c r="C1271" s="5"/>
      <c r="D1271" s="5"/>
      <c r="E1271" s="5"/>
      <c r="F1271" s="5"/>
      <c r="G1271" s="5"/>
      <c r="H1271" s="5"/>
      <c r="I1271" s="6"/>
      <c r="J1271" s="5"/>
      <c r="K1271" s="5"/>
      <c r="L1271" s="5"/>
      <c r="M1271" s="5"/>
    </row>
    <row r="1272" spans="1:13" x14ac:dyDescent="0.35">
      <c r="A1272" s="3"/>
      <c r="B1272" s="4"/>
      <c r="C1272" s="5"/>
      <c r="D1272" s="5"/>
      <c r="E1272" s="5"/>
      <c r="F1272" s="5"/>
      <c r="G1272" s="5"/>
      <c r="H1272" s="5"/>
      <c r="I1272" s="6"/>
      <c r="J1272" s="5"/>
      <c r="K1272" s="5"/>
      <c r="L1272" s="5"/>
      <c r="M1272" s="5"/>
    </row>
    <row r="1273" spans="1:13" x14ac:dyDescent="0.35">
      <c r="A1273" s="3"/>
      <c r="B1273" s="4"/>
      <c r="C1273" s="5"/>
      <c r="D1273" s="5"/>
      <c r="E1273" s="5"/>
      <c r="F1273" s="5"/>
      <c r="G1273" s="5"/>
      <c r="H1273" s="5"/>
      <c r="I1273" s="6"/>
      <c r="J1273" s="5"/>
      <c r="K1273" s="5"/>
      <c r="L1273" s="5"/>
      <c r="M1273" s="5"/>
    </row>
    <row r="1274" spans="1:13" x14ac:dyDescent="0.35">
      <c r="A1274" s="3"/>
      <c r="B1274" s="4"/>
      <c r="C1274" s="5"/>
      <c r="D1274" s="5"/>
      <c r="E1274" s="5"/>
      <c r="F1274" s="5"/>
      <c r="G1274" s="5"/>
      <c r="H1274" s="5"/>
      <c r="I1274" s="6"/>
      <c r="J1274" s="5"/>
      <c r="K1274" s="5"/>
      <c r="L1274" s="5"/>
      <c r="M1274" s="5"/>
    </row>
    <row r="1275" spans="1:13" x14ac:dyDescent="0.35">
      <c r="A1275" s="3"/>
      <c r="B1275" s="4"/>
      <c r="C1275" s="5"/>
      <c r="D1275" s="5"/>
      <c r="E1275" s="5"/>
      <c r="F1275" s="5"/>
      <c r="G1275" s="5"/>
      <c r="H1275" s="5"/>
      <c r="I1275" s="6"/>
      <c r="J1275" s="5"/>
      <c r="K1275" s="5"/>
      <c r="L1275" s="5"/>
      <c r="M1275" s="5"/>
    </row>
    <row r="1276" spans="1:13" x14ac:dyDescent="0.35">
      <c r="A1276" s="3"/>
      <c r="B1276" s="4"/>
      <c r="C1276" s="5"/>
      <c r="D1276" s="5"/>
      <c r="E1276" s="5"/>
      <c r="F1276" s="5"/>
      <c r="G1276" s="5"/>
      <c r="H1276" s="5"/>
      <c r="I1276" s="6"/>
      <c r="J1276" s="5"/>
      <c r="K1276" s="5"/>
      <c r="L1276" s="5"/>
      <c r="M1276" s="5"/>
    </row>
    <row r="1277" spans="1:13" x14ac:dyDescent="0.35">
      <c r="A1277" s="3"/>
      <c r="B1277" s="4"/>
      <c r="C1277" s="5"/>
      <c r="D1277" s="5"/>
      <c r="E1277" s="5"/>
      <c r="F1277" s="5"/>
      <c r="G1277" s="5"/>
      <c r="H1277" s="5"/>
      <c r="I1277" s="6"/>
      <c r="J1277" s="5"/>
      <c r="K1277" s="5"/>
      <c r="L1277" s="5"/>
      <c r="M1277" s="5"/>
    </row>
    <row r="1278" spans="1:13" x14ac:dyDescent="0.35">
      <c r="A1278" s="3"/>
      <c r="B1278" s="4"/>
      <c r="C1278" s="5"/>
      <c r="D1278" s="5"/>
      <c r="E1278" s="5"/>
      <c r="F1278" s="5"/>
      <c r="G1278" s="5"/>
      <c r="H1278" s="5"/>
      <c r="I1278" s="6"/>
      <c r="J1278" s="5"/>
      <c r="K1278" s="5"/>
      <c r="L1278" s="5"/>
      <c r="M1278" s="5"/>
    </row>
    <row r="1279" spans="1:13" x14ac:dyDescent="0.35">
      <c r="A1279" s="3"/>
      <c r="B1279" s="4"/>
      <c r="C1279" s="5"/>
      <c r="D1279" s="5"/>
      <c r="E1279" s="5"/>
      <c r="F1279" s="5"/>
      <c r="G1279" s="5"/>
      <c r="H1279" s="5"/>
      <c r="I1279" s="6"/>
      <c r="J1279" s="5"/>
      <c r="K1279" s="5"/>
      <c r="L1279" s="5"/>
      <c r="M1279" s="5"/>
    </row>
    <row r="1280" spans="1:13" x14ac:dyDescent="0.35">
      <c r="A1280" s="3"/>
      <c r="B1280" s="4"/>
      <c r="C1280" s="5"/>
      <c r="D1280" s="5"/>
      <c r="E1280" s="5"/>
      <c r="F1280" s="5"/>
      <c r="G1280" s="5"/>
      <c r="H1280" s="5"/>
      <c r="I1280" s="6"/>
      <c r="J1280" s="5"/>
      <c r="K1280" s="5"/>
      <c r="L1280" s="5"/>
      <c r="M1280" s="5"/>
    </row>
    <row r="1281" spans="1:13" x14ac:dyDescent="0.35">
      <c r="A1281" s="3"/>
      <c r="B1281" s="4"/>
      <c r="C1281" s="5"/>
      <c r="D1281" s="5"/>
      <c r="E1281" s="5"/>
      <c r="F1281" s="5"/>
      <c r="G1281" s="5"/>
      <c r="H1281" s="5"/>
      <c r="I1281" s="6"/>
      <c r="J1281" s="5"/>
      <c r="K1281" s="5"/>
      <c r="L1281" s="5"/>
      <c r="M1281" s="5"/>
    </row>
    <row r="1282" spans="1:13" x14ac:dyDescent="0.35">
      <c r="A1282" s="3"/>
      <c r="B1282" s="4"/>
      <c r="C1282" s="5"/>
      <c r="D1282" s="5"/>
      <c r="E1282" s="5"/>
      <c r="F1282" s="5"/>
      <c r="G1282" s="5"/>
      <c r="H1282" s="5"/>
      <c r="I1282" s="6"/>
      <c r="J1282" s="5"/>
      <c r="K1282" s="5"/>
      <c r="L1282" s="5"/>
      <c r="M1282" s="5"/>
    </row>
    <row r="1283" spans="1:13" x14ac:dyDescent="0.35">
      <c r="A1283" s="3"/>
      <c r="B1283" s="4"/>
      <c r="C1283" s="5"/>
      <c r="D1283" s="5"/>
      <c r="E1283" s="5"/>
      <c r="F1283" s="5"/>
      <c r="G1283" s="5"/>
      <c r="H1283" s="5"/>
      <c r="I1283" s="6"/>
      <c r="J1283" s="5"/>
      <c r="K1283" s="5"/>
      <c r="L1283" s="5"/>
      <c r="M1283" s="5"/>
    </row>
    <row r="1284" spans="1:13" x14ac:dyDescent="0.35">
      <c r="A1284" s="3"/>
      <c r="B1284" s="4"/>
      <c r="C1284" s="5"/>
      <c r="D1284" s="5"/>
      <c r="E1284" s="5"/>
      <c r="F1284" s="5"/>
      <c r="G1284" s="5"/>
      <c r="H1284" s="5"/>
      <c r="I1284" s="6"/>
      <c r="J1284" s="5"/>
      <c r="K1284" s="5"/>
      <c r="L1284" s="5"/>
      <c r="M1284" s="5"/>
    </row>
    <row r="1285" spans="1:13" x14ac:dyDescent="0.35">
      <c r="A1285" s="3"/>
      <c r="B1285" s="4"/>
      <c r="C1285" s="5"/>
      <c r="D1285" s="5"/>
      <c r="E1285" s="5"/>
      <c r="F1285" s="5"/>
      <c r="G1285" s="5"/>
      <c r="H1285" s="5"/>
      <c r="I1285" s="6"/>
      <c r="J1285" s="5"/>
      <c r="K1285" s="5"/>
      <c r="L1285" s="5"/>
      <c r="M1285" s="5"/>
    </row>
    <row r="1286" spans="1:13" x14ac:dyDescent="0.35">
      <c r="A1286" s="3"/>
      <c r="B1286" s="4"/>
      <c r="C1286" s="5"/>
      <c r="D1286" s="5"/>
      <c r="E1286" s="5"/>
      <c r="F1286" s="5"/>
      <c r="G1286" s="5"/>
      <c r="H1286" s="5"/>
      <c r="I1286" s="6"/>
      <c r="J1286" s="5"/>
      <c r="K1286" s="5"/>
      <c r="L1286" s="5"/>
      <c r="M1286" s="5"/>
    </row>
    <row r="1287" spans="1:13" x14ac:dyDescent="0.35">
      <c r="A1287" s="3"/>
      <c r="B1287" s="4"/>
      <c r="C1287" s="5"/>
      <c r="D1287" s="5"/>
      <c r="E1287" s="5"/>
      <c r="F1287" s="5"/>
      <c r="G1287" s="5"/>
      <c r="H1287" s="5"/>
      <c r="I1287" s="6"/>
      <c r="J1287" s="5"/>
      <c r="K1287" s="5"/>
      <c r="L1287" s="5"/>
      <c r="M1287" s="5"/>
    </row>
    <row r="1288" spans="1:13" x14ac:dyDescent="0.35">
      <c r="A1288" s="3"/>
      <c r="B1288" s="4"/>
      <c r="C1288" s="5"/>
      <c r="D1288" s="5"/>
      <c r="E1288" s="5"/>
      <c r="F1288" s="5"/>
      <c r="G1288" s="5"/>
      <c r="H1288" s="5"/>
      <c r="I1288" s="6"/>
      <c r="J1288" s="5"/>
      <c r="K1288" s="5"/>
      <c r="L1288" s="5"/>
      <c r="M1288" s="5"/>
    </row>
    <row r="1289" spans="1:13" x14ac:dyDescent="0.35">
      <c r="A1289" s="3"/>
      <c r="B1289" s="4"/>
      <c r="C1289" s="5"/>
      <c r="D1289" s="5"/>
      <c r="E1289" s="5"/>
      <c r="F1289" s="5"/>
      <c r="G1289" s="5"/>
      <c r="H1289" s="5"/>
      <c r="I1289" s="6"/>
      <c r="J1289" s="5"/>
      <c r="K1289" s="5"/>
      <c r="L1289" s="5"/>
      <c r="M1289" s="5"/>
    </row>
    <row r="1290" spans="1:13" x14ac:dyDescent="0.35">
      <c r="A1290" s="3"/>
      <c r="B1290" s="4"/>
      <c r="C1290" s="5"/>
      <c r="D1290" s="5"/>
      <c r="E1290" s="5"/>
      <c r="F1290" s="5"/>
      <c r="G1290" s="5"/>
      <c r="H1290" s="5"/>
      <c r="I1290" s="6"/>
      <c r="J1290" s="5"/>
      <c r="K1290" s="5"/>
      <c r="L1290" s="5"/>
      <c r="M1290" s="5"/>
    </row>
    <row r="1291" spans="1:13" x14ac:dyDescent="0.35">
      <c r="A1291" s="3"/>
      <c r="B1291" s="4"/>
      <c r="C1291" s="5"/>
      <c r="D1291" s="5"/>
      <c r="E1291" s="5"/>
      <c r="F1291" s="5"/>
      <c r="G1291" s="5"/>
      <c r="H1291" s="5"/>
      <c r="I1291" s="6"/>
      <c r="J1291" s="5"/>
      <c r="K1291" s="5"/>
      <c r="L1291" s="5"/>
      <c r="M1291" s="5"/>
    </row>
    <row r="1292" spans="1:13" x14ac:dyDescent="0.35">
      <c r="A1292" s="3"/>
      <c r="B1292" s="4"/>
      <c r="C1292" s="5"/>
      <c r="D1292" s="5"/>
      <c r="E1292" s="5"/>
      <c r="F1292" s="5"/>
      <c r="G1292" s="5"/>
      <c r="H1292" s="5"/>
      <c r="I1292" s="6"/>
      <c r="J1292" s="5"/>
      <c r="K1292" s="5"/>
      <c r="L1292" s="5"/>
      <c r="M1292" s="5"/>
    </row>
    <row r="1293" spans="1:13" x14ac:dyDescent="0.35">
      <c r="A1293" s="3"/>
      <c r="B1293" s="4"/>
      <c r="C1293" s="5"/>
      <c r="D1293" s="5"/>
      <c r="E1293" s="5"/>
      <c r="F1293" s="5"/>
      <c r="G1293" s="5"/>
      <c r="H1293" s="5"/>
      <c r="I1293" s="6"/>
      <c r="J1293" s="5"/>
      <c r="K1293" s="5"/>
      <c r="L1293" s="5"/>
      <c r="M1293" s="5"/>
    </row>
    <row r="1294" spans="1:13" x14ac:dyDescent="0.35">
      <c r="A1294" s="3"/>
      <c r="B1294" s="4"/>
      <c r="C1294" s="5"/>
      <c r="D1294" s="5"/>
      <c r="E1294" s="5"/>
      <c r="F1294" s="5"/>
      <c r="G1294" s="5"/>
      <c r="H1294" s="5"/>
      <c r="I1294" s="6"/>
      <c r="J1294" s="5"/>
      <c r="K1294" s="5"/>
      <c r="L1294" s="5"/>
      <c r="M1294" s="5"/>
    </row>
    <row r="1295" spans="1:13" x14ac:dyDescent="0.35">
      <c r="A1295" s="3"/>
      <c r="B1295" s="4"/>
      <c r="C1295" s="5"/>
      <c r="D1295" s="5"/>
      <c r="E1295" s="5"/>
      <c r="F1295" s="5"/>
      <c r="G1295" s="5"/>
      <c r="H1295" s="5"/>
      <c r="I1295" s="6"/>
      <c r="J1295" s="5"/>
      <c r="K1295" s="5"/>
      <c r="L1295" s="5"/>
      <c r="M1295" s="5"/>
    </row>
    <row r="1296" spans="1:13" x14ac:dyDescent="0.35">
      <c r="A1296" s="3"/>
      <c r="B1296" s="4"/>
      <c r="C1296" s="5"/>
      <c r="D1296" s="5"/>
      <c r="E1296" s="5"/>
      <c r="F1296" s="5"/>
      <c r="G1296" s="5"/>
      <c r="H1296" s="5"/>
      <c r="I1296" s="6"/>
      <c r="J1296" s="5"/>
      <c r="K1296" s="5"/>
      <c r="L1296" s="5"/>
      <c r="M1296" s="5"/>
    </row>
    <row r="1297" spans="1:13" x14ac:dyDescent="0.35">
      <c r="A1297" s="3"/>
      <c r="B1297" s="4"/>
      <c r="C1297" s="5"/>
      <c r="D1297" s="5"/>
      <c r="E1297" s="5"/>
      <c r="F1297" s="5"/>
      <c r="G1297" s="5"/>
      <c r="H1297" s="5"/>
      <c r="I1297" s="6"/>
      <c r="J1297" s="5"/>
      <c r="K1297" s="5"/>
      <c r="L1297" s="5"/>
      <c r="M1297" s="5"/>
    </row>
    <row r="1298" spans="1:13" x14ac:dyDescent="0.35">
      <c r="A1298" s="3"/>
      <c r="B1298" s="4"/>
      <c r="C1298" s="5"/>
      <c r="D1298" s="5"/>
      <c r="E1298" s="5"/>
      <c r="F1298" s="5"/>
      <c r="G1298" s="5"/>
      <c r="H1298" s="5"/>
      <c r="I1298" s="6"/>
      <c r="J1298" s="5"/>
      <c r="K1298" s="5"/>
      <c r="L1298" s="5"/>
      <c r="M1298" s="5"/>
    </row>
    <row r="1299" spans="1:13" x14ac:dyDescent="0.35">
      <c r="A1299" s="3"/>
      <c r="B1299" s="4"/>
      <c r="C1299" s="5"/>
      <c r="D1299" s="5"/>
      <c r="E1299" s="5"/>
      <c r="F1299" s="5"/>
      <c r="G1299" s="5"/>
      <c r="H1299" s="5"/>
      <c r="I1299" s="6"/>
      <c r="J1299" s="5"/>
      <c r="K1299" s="5"/>
      <c r="L1299" s="5"/>
      <c r="M1299" s="5"/>
    </row>
    <row r="1300" spans="1:13" x14ac:dyDescent="0.35">
      <c r="A1300" s="3"/>
      <c r="B1300" s="4"/>
      <c r="C1300" s="5"/>
      <c r="D1300" s="5"/>
      <c r="E1300" s="5"/>
      <c r="F1300" s="5"/>
      <c r="G1300" s="5"/>
      <c r="H1300" s="5"/>
      <c r="I1300" s="6"/>
      <c r="J1300" s="5"/>
      <c r="K1300" s="5"/>
      <c r="L1300" s="5"/>
      <c r="M1300" s="5"/>
    </row>
    <row r="1301" spans="1:13" x14ac:dyDescent="0.35">
      <c r="A1301" s="3"/>
      <c r="B1301" s="4"/>
      <c r="C1301" s="5"/>
      <c r="D1301" s="5"/>
      <c r="E1301" s="5"/>
      <c r="F1301" s="5"/>
      <c r="G1301" s="5"/>
      <c r="H1301" s="5"/>
      <c r="I1301" s="6"/>
      <c r="J1301" s="5"/>
      <c r="K1301" s="5"/>
      <c r="L1301" s="5"/>
      <c r="M1301" s="5"/>
    </row>
    <row r="1302" spans="1:13" x14ac:dyDescent="0.35">
      <c r="A1302" s="3"/>
      <c r="B1302" s="4"/>
      <c r="C1302" s="5"/>
      <c r="D1302" s="5"/>
      <c r="E1302" s="5"/>
      <c r="F1302" s="5"/>
      <c r="G1302" s="5"/>
      <c r="H1302" s="5"/>
      <c r="I1302" s="6"/>
      <c r="J1302" s="5"/>
      <c r="K1302" s="5"/>
      <c r="L1302" s="5"/>
      <c r="M1302" s="5"/>
    </row>
    <row r="1303" spans="1:13" x14ac:dyDescent="0.35">
      <c r="A1303" s="3"/>
      <c r="B1303" s="4"/>
      <c r="C1303" s="5"/>
      <c r="D1303" s="5"/>
      <c r="E1303" s="5"/>
      <c r="F1303" s="5"/>
      <c r="G1303" s="5"/>
      <c r="H1303" s="5"/>
      <c r="I1303" s="6"/>
      <c r="J1303" s="5"/>
      <c r="K1303" s="5"/>
      <c r="L1303" s="5"/>
      <c r="M1303" s="5"/>
    </row>
    <row r="1304" spans="1:13" x14ac:dyDescent="0.35">
      <c r="A1304" s="3"/>
      <c r="B1304" s="4"/>
      <c r="C1304" s="5"/>
      <c r="D1304" s="5"/>
      <c r="E1304" s="5"/>
      <c r="F1304" s="5"/>
      <c r="G1304" s="5"/>
      <c r="H1304" s="5"/>
      <c r="I1304" s="6"/>
      <c r="J1304" s="5"/>
      <c r="K1304" s="5"/>
      <c r="L1304" s="5"/>
      <c r="M1304" s="5"/>
    </row>
    <row r="1305" spans="1:13" x14ac:dyDescent="0.35">
      <c r="A1305" s="3"/>
      <c r="B1305" s="4"/>
      <c r="C1305" s="5"/>
      <c r="D1305" s="5"/>
      <c r="E1305" s="5"/>
      <c r="F1305" s="5"/>
      <c r="G1305" s="5"/>
      <c r="H1305" s="5"/>
      <c r="I1305" s="6"/>
      <c r="J1305" s="5"/>
      <c r="K1305" s="5"/>
      <c r="L1305" s="5"/>
      <c r="M1305" s="5"/>
    </row>
    <row r="1306" spans="1:13" x14ac:dyDescent="0.35">
      <c r="A1306" s="3"/>
      <c r="B1306" s="4"/>
      <c r="C1306" s="5"/>
      <c r="D1306" s="5"/>
      <c r="E1306" s="5"/>
      <c r="F1306" s="5"/>
      <c r="G1306" s="5"/>
      <c r="H1306" s="5"/>
      <c r="I1306" s="6"/>
      <c r="J1306" s="5"/>
      <c r="K1306" s="5"/>
      <c r="L1306" s="5"/>
      <c r="M1306" s="5"/>
    </row>
    <row r="1307" spans="1:13" x14ac:dyDescent="0.35">
      <c r="A1307" s="3"/>
      <c r="B1307" s="4"/>
      <c r="C1307" s="5"/>
      <c r="D1307" s="5"/>
      <c r="E1307" s="5"/>
      <c r="F1307" s="5"/>
      <c r="G1307" s="5"/>
      <c r="H1307" s="5"/>
      <c r="I1307" s="6"/>
      <c r="J1307" s="5"/>
      <c r="K1307" s="5"/>
      <c r="L1307" s="5"/>
      <c r="M1307" s="5"/>
    </row>
    <row r="1308" spans="1:13" x14ac:dyDescent="0.35">
      <c r="A1308" s="3"/>
      <c r="B1308" s="4"/>
      <c r="C1308" s="5"/>
      <c r="D1308" s="5"/>
      <c r="E1308" s="5"/>
      <c r="F1308" s="5"/>
      <c r="G1308" s="5"/>
      <c r="H1308" s="5"/>
      <c r="I1308" s="6"/>
      <c r="J1308" s="5"/>
      <c r="K1308" s="5"/>
      <c r="L1308" s="5"/>
      <c r="M1308" s="5"/>
    </row>
    <row r="1309" spans="1:13" x14ac:dyDescent="0.35">
      <c r="A1309" s="3"/>
      <c r="B1309" s="4"/>
      <c r="C1309" s="5"/>
      <c r="D1309" s="5"/>
      <c r="E1309" s="5"/>
      <c r="F1309" s="5"/>
      <c r="G1309" s="5"/>
      <c r="H1309" s="5"/>
      <c r="I1309" s="6"/>
      <c r="J1309" s="5"/>
      <c r="K1309" s="5"/>
      <c r="L1309" s="5"/>
      <c r="M1309" s="5"/>
    </row>
    <row r="1310" spans="1:13" x14ac:dyDescent="0.35">
      <c r="A1310" s="3"/>
      <c r="B1310" s="4"/>
      <c r="C1310" s="5"/>
      <c r="D1310" s="5"/>
      <c r="E1310" s="5"/>
      <c r="F1310" s="5"/>
      <c r="G1310" s="5"/>
      <c r="H1310" s="5"/>
      <c r="I1310" s="6"/>
      <c r="J1310" s="5"/>
      <c r="K1310" s="5"/>
      <c r="L1310" s="5"/>
      <c r="M1310" s="5"/>
    </row>
    <row r="1311" spans="1:13" x14ac:dyDescent="0.35">
      <c r="A1311" s="3"/>
      <c r="B1311" s="4"/>
      <c r="C1311" s="5"/>
      <c r="D1311" s="5"/>
      <c r="E1311" s="5"/>
      <c r="F1311" s="5"/>
      <c r="G1311" s="5"/>
      <c r="H1311" s="5"/>
      <c r="I1311" s="6"/>
      <c r="J1311" s="5"/>
      <c r="K1311" s="5"/>
      <c r="L1311" s="5"/>
      <c r="M1311" s="5"/>
    </row>
    <row r="1312" spans="1:13" x14ac:dyDescent="0.35">
      <c r="A1312" s="3"/>
      <c r="B1312" s="4"/>
      <c r="C1312" s="5"/>
      <c r="D1312" s="5"/>
      <c r="E1312" s="5"/>
      <c r="F1312" s="5"/>
      <c r="G1312" s="5"/>
      <c r="H1312" s="5"/>
      <c r="I1312" s="6"/>
      <c r="J1312" s="5"/>
      <c r="K1312" s="5"/>
      <c r="L1312" s="5"/>
      <c r="M1312" s="5"/>
    </row>
    <row r="1313" spans="1:13" x14ac:dyDescent="0.35">
      <c r="A1313" s="3"/>
      <c r="B1313" s="4"/>
      <c r="C1313" s="5"/>
      <c r="D1313" s="5"/>
      <c r="E1313" s="5"/>
      <c r="F1313" s="5"/>
      <c r="G1313" s="5"/>
      <c r="H1313" s="5"/>
      <c r="I1313" s="6"/>
      <c r="J1313" s="5"/>
      <c r="K1313" s="5"/>
      <c r="L1313" s="5"/>
      <c r="M1313" s="5"/>
    </row>
    <row r="1314" spans="1:13" x14ac:dyDescent="0.35">
      <c r="A1314" s="3"/>
      <c r="B1314" s="4"/>
      <c r="C1314" s="5"/>
      <c r="D1314" s="5"/>
      <c r="E1314" s="5"/>
      <c r="F1314" s="5"/>
      <c r="G1314" s="5"/>
      <c r="H1314" s="5"/>
      <c r="I1314" s="6"/>
      <c r="J1314" s="5"/>
      <c r="K1314" s="5"/>
      <c r="L1314" s="5"/>
      <c r="M1314" s="5"/>
    </row>
    <row r="1315" spans="1:13" x14ac:dyDescent="0.35">
      <c r="A1315" s="3"/>
      <c r="B1315" s="4"/>
      <c r="C1315" s="5"/>
      <c r="D1315" s="5"/>
      <c r="E1315" s="5"/>
      <c r="F1315" s="5"/>
      <c r="G1315" s="5"/>
      <c r="H1315" s="5"/>
      <c r="I1315" s="6"/>
      <c r="J1315" s="5"/>
      <c r="K1315" s="5"/>
      <c r="L1315" s="5"/>
      <c r="M1315" s="5"/>
    </row>
    <row r="1316" spans="1:13" x14ac:dyDescent="0.35">
      <c r="A1316" s="3"/>
      <c r="B1316" s="4"/>
      <c r="C1316" s="5"/>
      <c r="D1316" s="5"/>
      <c r="E1316" s="5"/>
      <c r="F1316" s="5"/>
      <c r="G1316" s="5"/>
      <c r="H1316" s="5"/>
      <c r="I1316" s="6"/>
      <c r="J1316" s="5"/>
      <c r="K1316" s="5"/>
      <c r="L1316" s="5"/>
      <c r="M1316" s="5"/>
    </row>
    <row r="1317" spans="1:13" x14ac:dyDescent="0.35">
      <c r="A1317" s="3"/>
      <c r="B1317" s="4"/>
      <c r="C1317" s="5"/>
      <c r="D1317" s="5"/>
      <c r="E1317" s="5"/>
      <c r="F1317" s="5"/>
      <c r="G1317" s="5"/>
      <c r="H1317" s="5"/>
      <c r="I1317" s="6"/>
      <c r="J1317" s="5"/>
      <c r="K1317" s="5"/>
      <c r="L1317" s="5"/>
      <c r="M1317" s="5"/>
    </row>
    <row r="1318" spans="1:13" x14ac:dyDescent="0.35">
      <c r="A1318" s="3"/>
      <c r="B1318" s="4"/>
      <c r="C1318" s="5"/>
      <c r="D1318" s="5"/>
      <c r="E1318" s="5"/>
      <c r="F1318" s="5"/>
      <c r="G1318" s="5"/>
      <c r="H1318" s="5"/>
      <c r="I1318" s="6"/>
      <c r="J1318" s="5"/>
      <c r="K1318" s="5"/>
      <c r="L1318" s="5"/>
      <c r="M1318" s="5"/>
    </row>
    <row r="1319" spans="1:13" x14ac:dyDescent="0.35">
      <c r="A1319" s="3"/>
      <c r="B1319" s="4"/>
      <c r="C1319" s="5"/>
      <c r="D1319" s="5"/>
      <c r="E1319" s="5"/>
      <c r="F1319" s="5"/>
      <c r="G1319" s="5"/>
      <c r="H1319" s="5"/>
      <c r="I1319" s="6"/>
      <c r="J1319" s="5"/>
      <c r="K1319" s="5"/>
      <c r="L1319" s="5"/>
      <c r="M1319" s="5"/>
    </row>
    <row r="1320" spans="1:13" x14ac:dyDescent="0.35">
      <c r="A1320" s="3"/>
      <c r="B1320" s="4"/>
      <c r="C1320" s="5"/>
      <c r="D1320" s="5"/>
      <c r="E1320" s="5"/>
      <c r="F1320" s="5"/>
      <c r="G1320" s="5"/>
      <c r="H1320" s="5"/>
      <c r="I1320" s="6"/>
      <c r="J1320" s="5"/>
      <c r="K1320" s="5"/>
      <c r="L1320" s="5"/>
      <c r="M1320" s="5"/>
    </row>
    <row r="1321" spans="1:13" x14ac:dyDescent="0.35">
      <c r="A1321" s="3"/>
      <c r="B1321" s="4"/>
      <c r="C1321" s="5"/>
      <c r="D1321" s="5"/>
      <c r="E1321" s="5"/>
      <c r="F1321" s="5"/>
      <c r="G1321" s="5"/>
      <c r="H1321" s="5"/>
      <c r="I1321" s="6"/>
      <c r="J1321" s="5"/>
      <c r="K1321" s="5"/>
      <c r="L1321" s="5"/>
      <c r="M1321" s="5"/>
    </row>
    <row r="1322" spans="1:13" x14ac:dyDescent="0.35">
      <c r="A1322" s="3"/>
      <c r="B1322" s="4"/>
      <c r="C1322" s="5"/>
      <c r="D1322" s="5"/>
      <c r="E1322" s="5"/>
      <c r="F1322" s="5"/>
      <c r="G1322" s="5"/>
      <c r="H1322" s="5"/>
      <c r="I1322" s="6"/>
      <c r="J1322" s="5"/>
      <c r="K1322" s="5"/>
      <c r="L1322" s="5"/>
      <c r="M1322" s="5"/>
    </row>
    <row r="1323" spans="1:13" x14ac:dyDescent="0.35">
      <c r="A1323" s="3"/>
      <c r="B1323" s="4"/>
      <c r="C1323" s="5"/>
      <c r="D1323" s="5"/>
      <c r="E1323" s="5"/>
      <c r="F1323" s="5"/>
      <c r="G1323" s="5"/>
      <c r="H1323" s="5"/>
      <c r="I1323" s="6"/>
      <c r="J1323" s="5"/>
      <c r="K1323" s="5"/>
      <c r="L1323" s="5"/>
      <c r="M1323" s="5"/>
    </row>
    <row r="1324" spans="1:13" x14ac:dyDescent="0.35">
      <c r="A1324" s="3"/>
      <c r="B1324" s="4"/>
      <c r="C1324" s="5"/>
      <c r="D1324" s="5"/>
      <c r="E1324" s="5"/>
      <c r="F1324" s="5"/>
      <c r="G1324" s="5"/>
      <c r="H1324" s="5"/>
      <c r="I1324" s="6"/>
      <c r="J1324" s="5"/>
      <c r="K1324" s="5"/>
      <c r="L1324" s="5"/>
      <c r="M1324" s="5"/>
    </row>
    <row r="1325" spans="1:13" x14ac:dyDescent="0.35">
      <c r="A1325" s="3"/>
      <c r="B1325" s="4"/>
      <c r="C1325" s="5"/>
      <c r="D1325" s="5"/>
      <c r="E1325" s="5"/>
      <c r="F1325" s="5"/>
      <c r="G1325" s="5"/>
      <c r="H1325" s="5"/>
      <c r="I1325" s="6"/>
      <c r="J1325" s="5"/>
      <c r="K1325" s="5"/>
      <c r="L1325" s="5"/>
      <c r="M1325" s="5"/>
    </row>
    <row r="1326" spans="1:13" x14ac:dyDescent="0.35">
      <c r="A1326" s="3"/>
      <c r="B1326" s="4"/>
      <c r="C1326" s="5"/>
      <c r="D1326" s="5"/>
      <c r="E1326" s="5"/>
      <c r="F1326" s="5"/>
      <c r="G1326" s="5"/>
      <c r="H1326" s="5"/>
      <c r="I1326" s="6"/>
      <c r="J1326" s="5"/>
      <c r="K1326" s="5"/>
      <c r="L1326" s="5"/>
      <c r="M1326" s="5"/>
    </row>
    <row r="1327" spans="1:13" x14ac:dyDescent="0.35">
      <c r="A1327" s="3"/>
      <c r="B1327" s="4"/>
      <c r="C1327" s="5"/>
      <c r="D1327" s="5"/>
      <c r="E1327" s="5"/>
      <c r="F1327" s="5"/>
      <c r="G1327" s="5"/>
      <c r="H1327" s="5"/>
      <c r="I1327" s="6"/>
      <c r="J1327" s="5"/>
      <c r="K1327" s="5"/>
      <c r="L1327" s="5"/>
      <c r="M1327" s="5"/>
    </row>
    <row r="1328" spans="1:13" x14ac:dyDescent="0.35">
      <c r="A1328" s="3"/>
      <c r="B1328" s="4"/>
      <c r="C1328" s="5"/>
      <c r="D1328" s="5"/>
      <c r="E1328" s="5"/>
      <c r="F1328" s="5"/>
      <c r="G1328" s="5"/>
      <c r="H1328" s="5"/>
      <c r="I1328" s="6"/>
      <c r="J1328" s="5"/>
      <c r="K1328" s="5"/>
      <c r="L1328" s="5"/>
      <c r="M1328" s="5"/>
    </row>
    <row r="1329" spans="1:13" x14ac:dyDescent="0.35">
      <c r="A1329" s="3"/>
      <c r="B1329" s="4"/>
      <c r="C1329" s="5"/>
      <c r="D1329" s="5"/>
      <c r="E1329" s="5"/>
      <c r="F1329" s="5"/>
      <c r="G1329" s="5"/>
      <c r="H1329" s="5"/>
      <c r="I1329" s="6"/>
      <c r="J1329" s="5"/>
      <c r="K1329" s="5"/>
      <c r="L1329" s="5"/>
      <c r="M1329" s="5"/>
    </row>
    <row r="1330" spans="1:13" x14ac:dyDescent="0.35">
      <c r="A1330" s="3"/>
      <c r="B1330" s="4"/>
      <c r="C1330" s="5"/>
      <c r="D1330" s="5"/>
      <c r="E1330" s="5"/>
      <c r="F1330" s="5"/>
      <c r="G1330" s="5"/>
      <c r="H1330" s="5"/>
      <c r="I1330" s="6"/>
      <c r="J1330" s="5"/>
      <c r="K1330" s="5"/>
      <c r="L1330" s="5"/>
      <c r="M1330" s="5"/>
    </row>
    <row r="1331" spans="1:13" x14ac:dyDescent="0.35">
      <c r="A1331" s="3"/>
      <c r="B1331" s="4"/>
      <c r="C1331" s="5"/>
      <c r="D1331" s="5"/>
      <c r="E1331" s="5"/>
      <c r="F1331" s="5"/>
      <c r="G1331" s="5"/>
      <c r="H1331" s="5"/>
      <c r="I1331" s="6"/>
      <c r="J1331" s="5"/>
      <c r="K1331" s="5"/>
      <c r="L1331" s="5"/>
      <c r="M1331" s="5"/>
    </row>
    <row r="1332" spans="1:13" x14ac:dyDescent="0.35">
      <c r="A1332" s="3"/>
      <c r="B1332" s="4"/>
      <c r="C1332" s="5"/>
      <c r="D1332" s="5"/>
      <c r="E1332" s="5"/>
      <c r="F1332" s="5"/>
      <c r="G1332" s="5"/>
      <c r="H1332" s="5"/>
      <c r="I1332" s="6"/>
      <c r="J1332" s="5"/>
      <c r="K1332" s="5"/>
      <c r="L1332" s="5"/>
      <c r="M1332" s="5"/>
    </row>
    <row r="1333" spans="1:13" x14ac:dyDescent="0.35">
      <c r="A1333" s="3"/>
      <c r="B1333" s="4"/>
      <c r="C1333" s="5"/>
      <c r="D1333" s="5"/>
      <c r="E1333" s="5"/>
      <c r="F1333" s="5"/>
      <c r="G1333" s="5"/>
      <c r="H1333" s="5"/>
      <c r="I1333" s="6"/>
      <c r="J1333" s="5"/>
      <c r="K1333" s="5"/>
      <c r="L1333" s="5"/>
      <c r="M1333" s="5"/>
    </row>
    <row r="1334" spans="1:13" x14ac:dyDescent="0.35">
      <c r="A1334" s="3"/>
      <c r="B1334" s="4"/>
      <c r="C1334" s="5"/>
      <c r="D1334" s="5"/>
      <c r="E1334" s="5"/>
      <c r="F1334" s="5"/>
      <c r="G1334" s="5"/>
      <c r="H1334" s="5"/>
      <c r="I1334" s="6"/>
      <c r="J1334" s="5"/>
      <c r="K1334" s="5"/>
      <c r="L1334" s="5"/>
      <c r="M1334" s="5"/>
    </row>
    <row r="1335" spans="1:13" x14ac:dyDescent="0.35">
      <c r="A1335" s="3"/>
      <c r="B1335" s="4"/>
      <c r="C1335" s="5"/>
      <c r="D1335" s="5"/>
      <c r="E1335" s="5"/>
      <c r="F1335" s="5"/>
      <c r="G1335" s="5"/>
      <c r="H1335" s="5"/>
      <c r="I1335" s="6"/>
      <c r="J1335" s="5"/>
      <c r="K1335" s="5"/>
      <c r="L1335" s="5"/>
      <c r="M1335" s="5"/>
    </row>
    <row r="1336" spans="1:13" x14ac:dyDescent="0.35">
      <c r="A1336" s="3"/>
      <c r="B1336" s="4"/>
      <c r="C1336" s="5"/>
      <c r="D1336" s="5"/>
      <c r="E1336" s="5"/>
      <c r="F1336" s="5"/>
      <c r="G1336" s="5"/>
      <c r="H1336" s="5"/>
      <c r="I1336" s="6"/>
      <c r="J1336" s="5"/>
      <c r="K1336" s="5"/>
      <c r="L1336" s="5"/>
      <c r="M1336" s="5"/>
    </row>
    <row r="1337" spans="1:13" x14ac:dyDescent="0.35">
      <c r="A1337" s="3"/>
      <c r="B1337" s="4"/>
      <c r="C1337" s="5"/>
      <c r="D1337" s="5"/>
      <c r="E1337" s="5"/>
      <c r="F1337" s="5"/>
      <c r="G1337" s="5"/>
      <c r="H1337" s="5"/>
      <c r="I1337" s="6"/>
      <c r="J1337" s="5"/>
      <c r="K1337" s="5"/>
      <c r="L1337" s="5"/>
      <c r="M1337" s="5"/>
    </row>
    <row r="1338" spans="1:13" x14ac:dyDescent="0.35">
      <c r="A1338" s="3"/>
      <c r="B1338" s="4"/>
      <c r="C1338" s="5"/>
      <c r="D1338" s="5"/>
      <c r="E1338" s="5"/>
      <c r="F1338" s="5"/>
      <c r="G1338" s="5"/>
      <c r="H1338" s="5"/>
      <c r="I1338" s="6"/>
      <c r="J1338" s="5"/>
      <c r="K1338" s="5"/>
      <c r="L1338" s="5"/>
      <c r="M1338" s="5"/>
    </row>
    <row r="1339" spans="1:13" x14ac:dyDescent="0.35">
      <c r="A1339" s="3"/>
      <c r="B1339" s="4"/>
      <c r="C1339" s="5"/>
      <c r="D1339" s="5"/>
      <c r="E1339" s="5"/>
      <c r="F1339" s="5"/>
      <c r="G1339" s="5"/>
      <c r="H1339" s="5"/>
      <c r="I1339" s="6"/>
      <c r="J1339" s="5"/>
      <c r="K1339" s="5"/>
      <c r="L1339" s="5"/>
      <c r="M1339" s="5"/>
    </row>
    <row r="1340" spans="1:13" x14ac:dyDescent="0.35">
      <c r="A1340" s="3"/>
      <c r="B1340" s="4"/>
      <c r="C1340" s="5"/>
      <c r="D1340" s="5"/>
      <c r="E1340" s="5"/>
      <c r="F1340" s="5"/>
      <c r="G1340" s="5"/>
      <c r="H1340" s="5"/>
      <c r="I1340" s="6"/>
      <c r="J1340" s="5"/>
      <c r="K1340" s="5"/>
      <c r="L1340" s="5"/>
      <c r="M1340" s="5"/>
    </row>
    <row r="1341" spans="1:13" x14ac:dyDescent="0.35">
      <c r="A1341" s="3"/>
      <c r="B1341" s="4"/>
      <c r="C1341" s="5"/>
      <c r="D1341" s="5"/>
      <c r="E1341" s="5"/>
      <c r="F1341" s="5"/>
      <c r="G1341" s="5"/>
      <c r="H1341" s="5"/>
      <c r="I1341" s="6"/>
      <c r="J1341" s="5"/>
      <c r="K1341" s="5"/>
      <c r="L1341" s="5"/>
      <c r="M1341" s="5"/>
    </row>
    <row r="1342" spans="1:13" x14ac:dyDescent="0.35">
      <c r="A1342" s="3"/>
      <c r="B1342" s="4"/>
      <c r="C1342" s="5"/>
      <c r="D1342" s="5"/>
      <c r="E1342" s="5"/>
      <c r="F1342" s="5"/>
      <c r="G1342" s="5"/>
      <c r="H1342" s="5"/>
      <c r="I1342" s="6"/>
      <c r="J1342" s="5"/>
      <c r="K1342" s="5"/>
      <c r="L1342" s="5"/>
      <c r="M1342" s="5"/>
    </row>
    <row r="1343" spans="1:13" x14ac:dyDescent="0.35">
      <c r="A1343" s="3"/>
      <c r="B1343" s="4"/>
      <c r="C1343" s="5"/>
      <c r="D1343" s="5"/>
      <c r="E1343" s="5"/>
      <c r="F1343" s="5"/>
      <c r="G1343" s="5"/>
      <c r="H1343" s="5"/>
      <c r="I1343" s="6"/>
      <c r="J1343" s="5"/>
      <c r="K1343" s="5"/>
      <c r="L1343" s="5"/>
      <c r="M1343" s="5"/>
    </row>
    <row r="1344" spans="1:13" x14ac:dyDescent="0.35">
      <c r="A1344" s="3"/>
      <c r="B1344" s="4"/>
      <c r="C1344" s="5"/>
      <c r="D1344" s="5"/>
      <c r="E1344" s="5"/>
      <c r="F1344" s="5"/>
      <c r="G1344" s="5"/>
      <c r="H1344" s="5"/>
      <c r="I1344" s="6"/>
      <c r="J1344" s="5"/>
      <c r="K1344" s="5"/>
      <c r="L1344" s="5"/>
      <c r="M1344" s="5"/>
    </row>
    <row r="1345" spans="1:13" x14ac:dyDescent="0.35">
      <c r="A1345" s="3"/>
      <c r="B1345" s="4"/>
      <c r="C1345" s="5"/>
      <c r="D1345" s="5"/>
      <c r="E1345" s="5"/>
      <c r="F1345" s="5"/>
      <c r="G1345" s="5"/>
      <c r="H1345" s="5"/>
      <c r="I1345" s="6"/>
      <c r="J1345" s="5"/>
      <c r="K1345" s="5"/>
      <c r="L1345" s="5"/>
      <c r="M1345" s="5"/>
    </row>
    <row r="1346" spans="1:13" x14ac:dyDescent="0.35">
      <c r="A1346" s="3"/>
      <c r="B1346" s="4"/>
      <c r="C1346" s="5"/>
      <c r="D1346" s="5"/>
      <c r="E1346" s="5"/>
      <c r="F1346" s="5"/>
      <c r="G1346" s="5"/>
      <c r="H1346" s="5"/>
      <c r="I1346" s="6"/>
      <c r="J1346" s="5"/>
      <c r="K1346" s="5"/>
      <c r="L1346" s="5"/>
      <c r="M1346" s="5"/>
    </row>
    <row r="1347" spans="1:13" x14ac:dyDescent="0.35">
      <c r="A1347" s="3"/>
      <c r="B1347" s="4"/>
      <c r="C1347" s="5"/>
      <c r="D1347" s="5"/>
      <c r="E1347" s="5"/>
      <c r="F1347" s="5"/>
      <c r="G1347" s="5"/>
      <c r="H1347" s="5"/>
      <c r="I1347" s="6"/>
      <c r="J1347" s="5"/>
      <c r="K1347" s="5"/>
      <c r="L1347" s="5"/>
      <c r="M1347" s="5"/>
    </row>
    <row r="1348" spans="1:13" x14ac:dyDescent="0.35">
      <c r="A1348" s="3"/>
      <c r="B1348" s="4"/>
      <c r="C1348" s="5"/>
      <c r="D1348" s="5"/>
      <c r="E1348" s="5"/>
      <c r="F1348" s="5"/>
      <c r="G1348" s="5"/>
      <c r="H1348" s="5"/>
      <c r="I1348" s="6"/>
      <c r="J1348" s="5"/>
      <c r="K1348" s="5"/>
      <c r="L1348" s="5"/>
      <c r="M1348" s="5"/>
    </row>
    <row r="1349" spans="1:13" x14ac:dyDescent="0.35">
      <c r="A1349" s="3"/>
      <c r="B1349" s="4"/>
      <c r="C1349" s="5"/>
      <c r="D1349" s="5"/>
      <c r="E1349" s="5"/>
      <c r="F1349" s="5"/>
      <c r="G1349" s="5"/>
      <c r="H1349" s="5"/>
      <c r="I1349" s="6"/>
      <c r="J1349" s="5"/>
      <c r="K1349" s="5"/>
      <c r="L1349" s="5"/>
      <c r="M1349" s="5"/>
    </row>
    <row r="1350" spans="1:13" x14ac:dyDescent="0.35">
      <c r="A1350" s="3"/>
      <c r="B1350" s="4"/>
      <c r="C1350" s="5"/>
      <c r="D1350" s="5"/>
      <c r="E1350" s="5"/>
      <c r="F1350" s="5"/>
      <c r="G1350" s="5"/>
      <c r="H1350" s="5"/>
      <c r="I1350" s="6"/>
      <c r="J1350" s="5"/>
      <c r="K1350" s="5"/>
      <c r="L1350" s="5"/>
      <c r="M1350" s="5"/>
    </row>
    <row r="1351" spans="1:13" x14ac:dyDescent="0.35">
      <c r="A1351" s="3"/>
      <c r="B1351" s="4"/>
      <c r="C1351" s="5"/>
      <c r="D1351" s="5"/>
      <c r="E1351" s="5"/>
      <c r="F1351" s="5"/>
      <c r="G1351" s="5"/>
      <c r="H1351" s="5"/>
      <c r="I1351" s="6"/>
      <c r="J1351" s="5"/>
      <c r="K1351" s="5"/>
      <c r="L1351" s="5"/>
      <c r="M1351" s="5"/>
    </row>
    <row r="1352" spans="1:13" x14ac:dyDescent="0.35">
      <c r="A1352" s="3"/>
      <c r="B1352" s="4"/>
      <c r="C1352" s="5"/>
      <c r="D1352" s="5"/>
      <c r="E1352" s="5"/>
      <c r="F1352" s="5"/>
      <c r="G1352" s="5"/>
      <c r="H1352" s="5"/>
      <c r="I1352" s="6"/>
      <c r="J1352" s="5"/>
      <c r="K1352" s="5"/>
      <c r="L1352" s="5"/>
      <c r="M1352" s="5"/>
    </row>
    <row r="1353" spans="1:13" x14ac:dyDescent="0.35">
      <c r="A1353" s="3"/>
      <c r="B1353" s="4"/>
      <c r="C1353" s="5"/>
      <c r="D1353" s="5"/>
      <c r="E1353" s="5"/>
      <c r="F1353" s="5"/>
      <c r="G1353" s="5"/>
      <c r="H1353" s="5"/>
      <c r="I1353" s="6"/>
      <c r="J1353" s="5"/>
      <c r="K1353" s="5"/>
      <c r="L1353" s="5"/>
      <c r="M1353" s="5"/>
    </row>
    <row r="1354" spans="1:13" x14ac:dyDescent="0.35">
      <c r="A1354" s="3"/>
      <c r="B1354" s="4"/>
      <c r="C1354" s="5"/>
      <c r="D1354" s="5"/>
      <c r="E1354" s="5"/>
      <c r="F1354" s="5"/>
      <c r="G1354" s="5"/>
      <c r="H1354" s="5"/>
      <c r="I1354" s="6"/>
      <c r="J1354" s="5"/>
      <c r="K1354" s="5"/>
      <c r="L1354" s="5"/>
      <c r="M1354" s="5"/>
    </row>
    <row r="1355" spans="1:13" x14ac:dyDescent="0.35">
      <c r="A1355" s="3"/>
      <c r="B1355" s="4"/>
      <c r="C1355" s="5"/>
      <c r="D1355" s="5"/>
      <c r="E1355" s="5"/>
      <c r="F1355" s="5"/>
      <c r="G1355" s="5"/>
      <c r="H1355" s="5"/>
      <c r="I1355" s="6"/>
      <c r="J1355" s="5"/>
      <c r="K1355" s="5"/>
      <c r="L1355" s="5"/>
      <c r="M1355" s="5"/>
    </row>
    <row r="1356" spans="1:13" x14ac:dyDescent="0.35">
      <c r="A1356" s="3"/>
      <c r="B1356" s="4"/>
      <c r="C1356" s="5"/>
      <c r="D1356" s="5"/>
      <c r="E1356" s="5"/>
      <c r="F1356" s="5"/>
      <c r="G1356" s="5"/>
      <c r="H1356" s="5"/>
      <c r="I1356" s="6"/>
      <c r="J1356" s="5"/>
      <c r="K1356" s="5"/>
      <c r="L1356" s="5"/>
      <c r="M1356" s="5"/>
    </row>
    <row r="1357" spans="1:13" x14ac:dyDescent="0.35">
      <c r="A1357" s="3"/>
      <c r="B1357" s="4"/>
      <c r="C1357" s="5"/>
      <c r="D1357" s="5"/>
      <c r="E1357" s="5"/>
      <c r="F1357" s="5"/>
      <c r="G1357" s="5"/>
      <c r="H1357" s="5"/>
      <c r="I1357" s="6"/>
      <c r="J1357" s="5"/>
      <c r="K1357" s="5"/>
      <c r="L1357" s="5"/>
      <c r="M1357" s="5"/>
    </row>
    <row r="1358" spans="1:13" x14ac:dyDescent="0.35">
      <c r="A1358" s="3"/>
      <c r="B1358" s="4"/>
      <c r="C1358" s="5"/>
      <c r="D1358" s="5"/>
      <c r="E1358" s="5"/>
      <c r="F1358" s="5"/>
      <c r="G1358" s="5"/>
      <c r="H1358" s="5"/>
      <c r="I1358" s="6"/>
      <c r="J1358" s="5"/>
      <c r="K1358" s="5"/>
      <c r="L1358" s="5"/>
      <c r="M1358" s="5"/>
    </row>
    <row r="1359" spans="1:13" x14ac:dyDescent="0.35">
      <c r="A1359" s="3"/>
      <c r="B1359" s="4"/>
      <c r="C1359" s="5"/>
      <c r="D1359" s="5"/>
      <c r="E1359" s="5"/>
      <c r="F1359" s="5"/>
      <c r="G1359" s="5"/>
      <c r="H1359" s="5"/>
      <c r="I1359" s="6"/>
      <c r="J1359" s="5"/>
      <c r="K1359" s="5"/>
      <c r="L1359" s="5"/>
      <c r="M1359" s="5"/>
    </row>
    <row r="1360" spans="1:13" x14ac:dyDescent="0.35">
      <c r="A1360" s="3"/>
      <c r="B1360" s="4"/>
      <c r="C1360" s="5"/>
      <c r="D1360" s="5"/>
      <c r="E1360" s="5"/>
      <c r="F1360" s="5"/>
      <c r="G1360" s="5"/>
      <c r="H1360" s="5"/>
      <c r="I1360" s="6"/>
      <c r="J1360" s="5"/>
      <c r="K1360" s="5"/>
      <c r="L1360" s="5"/>
      <c r="M1360" s="5"/>
    </row>
    <row r="1361" spans="1:13" x14ac:dyDescent="0.35">
      <c r="A1361" s="3"/>
      <c r="B1361" s="4"/>
      <c r="C1361" s="5"/>
      <c r="D1361" s="5"/>
      <c r="E1361" s="5"/>
      <c r="F1361" s="5"/>
      <c r="G1361" s="5"/>
      <c r="H1361" s="5"/>
      <c r="I1361" s="6"/>
      <c r="J1361" s="5"/>
      <c r="K1361" s="5"/>
      <c r="L1361" s="5"/>
      <c r="M1361" s="5"/>
    </row>
    <row r="1362" spans="1:13" x14ac:dyDescent="0.35">
      <c r="A1362" s="3"/>
      <c r="B1362" s="4"/>
      <c r="C1362" s="5"/>
      <c r="D1362" s="5"/>
      <c r="E1362" s="5"/>
      <c r="F1362" s="5"/>
      <c r="G1362" s="5"/>
      <c r="H1362" s="5"/>
      <c r="I1362" s="6"/>
      <c r="J1362" s="5"/>
      <c r="K1362" s="5"/>
      <c r="L1362" s="5"/>
      <c r="M1362" s="5"/>
    </row>
    <row r="1363" spans="1:13" x14ac:dyDescent="0.35">
      <c r="A1363" s="3"/>
      <c r="B1363" s="4"/>
      <c r="C1363" s="5"/>
      <c r="D1363" s="5"/>
      <c r="E1363" s="5"/>
      <c r="F1363" s="5"/>
      <c r="G1363" s="5"/>
      <c r="H1363" s="5"/>
      <c r="I1363" s="6"/>
      <c r="J1363" s="5"/>
      <c r="K1363" s="5"/>
      <c r="L1363" s="5"/>
      <c r="M1363" s="5"/>
    </row>
    <row r="1364" spans="1:13" x14ac:dyDescent="0.35">
      <c r="A1364" s="3"/>
      <c r="B1364" s="4"/>
      <c r="C1364" s="5"/>
      <c r="D1364" s="5"/>
      <c r="E1364" s="5"/>
      <c r="F1364" s="5"/>
      <c r="G1364" s="5"/>
      <c r="H1364" s="5"/>
      <c r="I1364" s="6"/>
      <c r="J1364" s="5"/>
      <c r="K1364" s="5"/>
      <c r="L1364" s="5"/>
      <c r="M1364" s="5"/>
    </row>
    <row r="1365" spans="1:13" x14ac:dyDescent="0.35">
      <c r="A1365" s="3"/>
      <c r="B1365" s="4"/>
      <c r="C1365" s="5"/>
      <c r="D1365" s="5"/>
      <c r="E1365" s="5"/>
      <c r="F1365" s="5"/>
      <c r="G1365" s="5"/>
      <c r="H1365" s="5"/>
      <c r="I1365" s="6"/>
      <c r="J1365" s="5"/>
      <c r="K1365" s="5"/>
      <c r="L1365" s="5"/>
      <c r="M1365" s="5"/>
    </row>
    <row r="1366" spans="1:13" x14ac:dyDescent="0.35">
      <c r="A1366" s="3"/>
      <c r="B1366" s="4"/>
      <c r="C1366" s="5"/>
      <c r="D1366" s="5"/>
      <c r="E1366" s="5"/>
      <c r="F1366" s="5"/>
      <c r="G1366" s="5"/>
      <c r="H1366" s="5"/>
      <c r="I1366" s="6"/>
      <c r="J1366" s="5"/>
      <c r="K1366" s="5"/>
      <c r="L1366" s="5"/>
      <c r="M1366" s="5"/>
    </row>
    <row r="1367" spans="1:13" x14ac:dyDescent="0.35">
      <c r="A1367" s="3"/>
      <c r="B1367" s="4"/>
      <c r="C1367" s="5"/>
      <c r="D1367" s="5"/>
      <c r="E1367" s="5"/>
      <c r="F1367" s="5"/>
      <c r="G1367" s="5"/>
      <c r="H1367" s="5"/>
      <c r="I1367" s="6"/>
      <c r="J1367" s="5"/>
      <c r="K1367" s="5"/>
      <c r="L1367" s="5"/>
      <c r="M1367" s="5"/>
    </row>
    <row r="1368" spans="1:13" x14ac:dyDescent="0.35">
      <c r="A1368" s="3"/>
      <c r="B1368" s="4"/>
      <c r="C1368" s="5"/>
      <c r="D1368" s="5"/>
      <c r="E1368" s="5"/>
      <c r="F1368" s="5"/>
      <c r="G1368" s="5"/>
      <c r="H1368" s="5"/>
      <c r="I1368" s="6"/>
      <c r="J1368" s="5"/>
      <c r="K1368" s="5"/>
      <c r="L1368" s="5"/>
      <c r="M1368" s="5"/>
    </row>
    <row r="1369" spans="1:13" x14ac:dyDescent="0.35">
      <c r="A1369" s="3"/>
      <c r="B1369" s="4"/>
      <c r="C1369" s="5"/>
      <c r="D1369" s="5"/>
      <c r="E1369" s="5"/>
      <c r="F1369" s="5"/>
      <c r="G1369" s="5"/>
      <c r="H1369" s="5"/>
      <c r="I1369" s="6"/>
      <c r="J1369" s="5"/>
      <c r="K1369" s="5"/>
      <c r="L1369" s="5"/>
      <c r="M1369" s="5"/>
    </row>
    <row r="1370" spans="1:13" x14ac:dyDescent="0.35">
      <c r="A1370" s="3"/>
      <c r="B1370" s="4"/>
      <c r="C1370" s="5"/>
      <c r="D1370" s="5"/>
      <c r="E1370" s="5"/>
      <c r="F1370" s="5"/>
      <c r="G1370" s="5"/>
      <c r="H1370" s="5"/>
      <c r="I1370" s="6"/>
      <c r="J1370" s="5"/>
      <c r="K1370" s="5"/>
      <c r="L1370" s="5"/>
      <c r="M1370" s="5"/>
    </row>
    <row r="1371" spans="1:13" x14ac:dyDescent="0.35">
      <c r="A1371" s="3"/>
      <c r="B1371" s="4"/>
      <c r="C1371" s="5"/>
      <c r="D1371" s="5"/>
      <c r="E1371" s="5"/>
      <c r="F1371" s="5"/>
      <c r="G1371" s="5"/>
      <c r="H1371" s="5"/>
      <c r="I1371" s="6"/>
      <c r="J1371" s="5"/>
      <c r="K1371" s="5"/>
      <c r="L1371" s="5"/>
      <c r="M1371" s="5"/>
    </row>
    <row r="1372" spans="1:13" x14ac:dyDescent="0.35">
      <c r="A1372" s="3"/>
      <c r="B1372" s="4"/>
      <c r="C1372" s="5"/>
      <c r="D1372" s="5"/>
      <c r="E1372" s="5"/>
      <c r="F1372" s="5"/>
      <c r="G1372" s="5"/>
      <c r="H1372" s="5"/>
      <c r="I1372" s="6"/>
      <c r="J1372" s="5"/>
      <c r="K1372" s="5"/>
      <c r="L1372" s="5"/>
      <c r="M1372" s="5"/>
    </row>
    <row r="1373" spans="1:13" x14ac:dyDescent="0.35">
      <c r="A1373" s="3"/>
      <c r="B1373" s="4"/>
      <c r="C1373" s="5"/>
      <c r="D1373" s="5"/>
      <c r="E1373" s="5"/>
      <c r="F1373" s="5"/>
      <c r="G1373" s="5"/>
      <c r="H1373" s="5"/>
      <c r="I1373" s="6"/>
      <c r="J1373" s="5"/>
      <c r="K1373" s="5"/>
      <c r="L1373" s="5"/>
      <c r="M1373" s="5"/>
    </row>
    <row r="1374" spans="1:13" x14ac:dyDescent="0.35">
      <c r="A1374" s="3"/>
      <c r="B1374" s="4"/>
      <c r="C1374" s="5"/>
      <c r="D1374" s="5"/>
      <c r="E1374" s="5"/>
      <c r="F1374" s="5"/>
      <c r="G1374" s="5"/>
      <c r="H1374" s="5"/>
      <c r="I1374" s="6"/>
      <c r="J1374" s="5"/>
      <c r="K1374" s="5"/>
      <c r="L1374" s="5"/>
      <c r="M1374" s="5"/>
    </row>
    <row r="1375" spans="1:13" x14ac:dyDescent="0.35">
      <c r="A1375" s="3"/>
      <c r="B1375" s="4"/>
      <c r="C1375" s="5"/>
      <c r="D1375" s="5"/>
      <c r="E1375" s="5"/>
      <c r="F1375" s="5"/>
      <c r="G1375" s="5"/>
      <c r="H1375" s="5"/>
      <c r="I1375" s="6"/>
      <c r="J1375" s="5"/>
      <c r="K1375" s="5"/>
      <c r="L1375" s="5"/>
      <c r="M1375" s="5"/>
    </row>
    <row r="1376" spans="1:13" x14ac:dyDescent="0.35">
      <c r="A1376" s="3"/>
      <c r="B1376" s="4"/>
      <c r="C1376" s="5"/>
      <c r="D1376" s="5"/>
      <c r="E1376" s="5"/>
      <c r="F1376" s="5"/>
      <c r="G1376" s="5"/>
      <c r="H1376" s="5"/>
      <c r="I1376" s="6"/>
      <c r="J1376" s="5"/>
      <c r="K1376" s="5"/>
      <c r="L1376" s="5"/>
      <c r="M1376" s="5"/>
    </row>
    <row r="1377" spans="1:13" x14ac:dyDescent="0.35">
      <c r="A1377" s="3"/>
      <c r="B1377" s="4"/>
      <c r="C1377" s="5"/>
      <c r="D1377" s="5"/>
      <c r="E1377" s="5"/>
      <c r="F1377" s="5"/>
      <c r="G1377" s="5"/>
      <c r="H1377" s="5"/>
      <c r="I1377" s="6"/>
      <c r="J1377" s="5"/>
      <c r="K1377" s="5"/>
      <c r="L1377" s="5"/>
      <c r="M1377" s="5"/>
    </row>
    <row r="1378" spans="1:13" x14ac:dyDescent="0.35">
      <c r="A1378" s="3"/>
      <c r="B1378" s="4"/>
      <c r="C1378" s="5"/>
      <c r="D1378" s="5"/>
      <c r="E1378" s="5"/>
      <c r="F1378" s="5"/>
      <c r="G1378" s="5"/>
      <c r="H1378" s="5"/>
      <c r="I1378" s="6"/>
      <c r="J1378" s="5"/>
      <c r="K1378" s="5"/>
      <c r="L1378" s="5"/>
      <c r="M1378" s="5"/>
    </row>
    <row r="1379" spans="1:13" x14ac:dyDescent="0.35">
      <c r="A1379" s="3"/>
      <c r="B1379" s="4"/>
      <c r="C1379" s="5"/>
      <c r="D1379" s="5"/>
      <c r="E1379" s="5"/>
      <c r="F1379" s="5"/>
      <c r="G1379" s="5"/>
      <c r="H1379" s="5"/>
      <c r="I1379" s="6"/>
      <c r="J1379" s="5"/>
      <c r="K1379" s="5"/>
      <c r="L1379" s="5"/>
      <c r="M1379" s="5"/>
    </row>
    <row r="1380" spans="1:13" x14ac:dyDescent="0.35">
      <c r="A1380" s="3"/>
      <c r="B1380" s="4"/>
      <c r="C1380" s="5"/>
      <c r="D1380" s="5"/>
      <c r="E1380" s="5"/>
      <c r="F1380" s="5"/>
      <c r="G1380" s="5"/>
      <c r="H1380" s="5"/>
      <c r="I1380" s="6"/>
      <c r="J1380" s="5"/>
      <c r="K1380" s="5"/>
      <c r="L1380" s="5"/>
      <c r="M1380" s="5"/>
    </row>
    <row r="1381" spans="1:13" x14ac:dyDescent="0.35">
      <c r="A1381" s="3"/>
      <c r="B1381" s="4"/>
      <c r="C1381" s="5"/>
      <c r="D1381" s="5"/>
      <c r="E1381" s="5"/>
      <c r="F1381" s="5"/>
      <c r="G1381" s="5"/>
      <c r="H1381" s="5"/>
      <c r="I1381" s="6"/>
      <c r="J1381" s="5"/>
      <c r="K1381" s="5"/>
      <c r="L1381" s="5"/>
      <c r="M1381" s="5"/>
    </row>
    <row r="1382" spans="1:13" x14ac:dyDescent="0.35">
      <c r="A1382" s="3"/>
      <c r="B1382" s="4"/>
      <c r="C1382" s="5"/>
      <c r="D1382" s="5"/>
      <c r="E1382" s="5"/>
      <c r="F1382" s="5"/>
      <c r="G1382" s="5"/>
      <c r="H1382" s="5"/>
      <c r="I1382" s="6"/>
      <c r="J1382" s="5"/>
      <c r="K1382" s="5"/>
      <c r="L1382" s="5"/>
      <c r="M1382" s="5"/>
    </row>
    <row r="1383" spans="1:13" x14ac:dyDescent="0.35">
      <c r="A1383" s="3"/>
      <c r="B1383" s="4"/>
      <c r="C1383" s="5"/>
      <c r="D1383" s="5"/>
      <c r="E1383" s="5"/>
      <c r="F1383" s="5"/>
      <c r="G1383" s="5"/>
      <c r="H1383" s="5"/>
      <c r="I1383" s="6"/>
      <c r="J1383" s="5"/>
      <c r="K1383" s="5"/>
      <c r="L1383" s="5"/>
      <c r="M1383" s="5"/>
    </row>
    <row r="1384" spans="1:13" x14ac:dyDescent="0.35">
      <c r="A1384" s="3"/>
      <c r="B1384" s="4"/>
      <c r="C1384" s="5"/>
      <c r="D1384" s="5"/>
      <c r="E1384" s="5"/>
      <c r="F1384" s="5"/>
      <c r="G1384" s="5"/>
      <c r="H1384" s="5"/>
      <c r="I1384" s="6"/>
      <c r="J1384" s="5"/>
      <c r="K1384" s="5"/>
      <c r="L1384" s="5"/>
      <c r="M1384" s="5"/>
    </row>
    <row r="1385" spans="1:13" x14ac:dyDescent="0.35">
      <c r="A1385" s="3"/>
      <c r="B1385" s="4"/>
      <c r="C1385" s="5"/>
      <c r="D1385" s="5"/>
      <c r="E1385" s="5"/>
      <c r="F1385" s="5"/>
      <c r="G1385" s="5"/>
      <c r="H1385" s="5"/>
      <c r="I1385" s="6"/>
      <c r="J1385" s="5"/>
      <c r="K1385" s="5"/>
      <c r="L1385" s="5"/>
      <c r="M1385" s="5"/>
    </row>
    <row r="1386" spans="1:13" x14ac:dyDescent="0.35">
      <c r="A1386" s="3"/>
      <c r="B1386" s="4"/>
      <c r="C1386" s="5"/>
      <c r="D1386" s="5"/>
      <c r="E1386" s="5"/>
      <c r="F1386" s="5"/>
      <c r="G1386" s="5"/>
      <c r="H1386" s="5"/>
      <c r="I1386" s="6"/>
      <c r="J1386" s="5"/>
      <c r="K1386" s="5"/>
      <c r="L1386" s="5"/>
      <c r="M1386" s="5"/>
    </row>
    <row r="1387" spans="1:13" x14ac:dyDescent="0.35">
      <c r="A1387" s="3"/>
      <c r="B1387" s="4"/>
      <c r="C1387" s="5"/>
      <c r="D1387" s="5"/>
      <c r="E1387" s="5"/>
      <c r="F1387" s="5"/>
      <c r="G1387" s="5"/>
      <c r="H1387" s="5"/>
      <c r="I1387" s="6"/>
      <c r="J1387" s="5"/>
      <c r="K1387" s="5"/>
      <c r="L1387" s="5"/>
      <c r="M1387" s="5"/>
    </row>
    <row r="1388" spans="1:13" x14ac:dyDescent="0.35">
      <c r="A1388" s="3"/>
      <c r="B1388" s="4"/>
      <c r="C1388" s="5"/>
      <c r="D1388" s="5"/>
      <c r="E1388" s="5"/>
      <c r="F1388" s="5"/>
      <c r="G1388" s="5"/>
      <c r="H1388" s="5"/>
      <c r="I1388" s="6"/>
      <c r="J1388" s="5"/>
      <c r="K1388" s="5"/>
      <c r="L1388" s="5"/>
      <c r="M1388" s="5"/>
    </row>
    <row r="1389" spans="1:13" x14ac:dyDescent="0.35">
      <c r="A1389" s="3"/>
      <c r="B1389" s="4"/>
      <c r="C1389" s="5"/>
      <c r="D1389" s="5"/>
      <c r="E1389" s="5"/>
      <c r="F1389" s="5"/>
      <c r="G1389" s="5"/>
      <c r="H1389" s="5"/>
      <c r="I1389" s="6"/>
      <c r="J1389" s="5"/>
      <c r="K1389" s="5"/>
      <c r="L1389" s="5"/>
      <c r="M1389" s="5"/>
    </row>
    <row r="1390" spans="1:13" x14ac:dyDescent="0.35">
      <c r="A1390" s="3"/>
      <c r="B1390" s="4"/>
      <c r="C1390" s="5"/>
      <c r="D1390" s="5"/>
      <c r="E1390" s="5"/>
      <c r="F1390" s="5"/>
      <c r="G1390" s="5"/>
      <c r="H1390" s="5"/>
      <c r="I1390" s="6"/>
      <c r="J1390" s="5"/>
      <c r="K1390" s="5"/>
      <c r="L1390" s="5"/>
      <c r="M1390" s="5"/>
    </row>
    <row r="1391" spans="1:13" x14ac:dyDescent="0.35">
      <c r="A1391" s="3"/>
      <c r="B1391" s="4"/>
      <c r="C1391" s="5"/>
      <c r="D1391" s="5"/>
      <c r="E1391" s="5"/>
      <c r="F1391" s="5"/>
      <c r="G1391" s="5"/>
      <c r="H1391" s="5"/>
      <c r="I1391" s="6"/>
      <c r="J1391" s="5"/>
      <c r="K1391" s="5"/>
      <c r="L1391" s="5"/>
      <c r="M1391" s="5"/>
    </row>
    <row r="1392" spans="1:13" x14ac:dyDescent="0.35">
      <c r="A1392" s="3"/>
      <c r="B1392" s="4"/>
      <c r="C1392" s="5"/>
      <c r="D1392" s="5"/>
      <c r="E1392" s="5"/>
      <c r="F1392" s="5"/>
      <c r="G1392" s="5"/>
      <c r="H1392" s="5"/>
      <c r="I1392" s="6"/>
      <c r="J1392" s="5"/>
      <c r="K1392" s="5"/>
      <c r="L1392" s="5"/>
      <c r="M1392" s="5"/>
    </row>
    <row r="1393" spans="1:13" x14ac:dyDescent="0.35">
      <c r="A1393" s="3"/>
      <c r="B1393" s="4"/>
      <c r="C1393" s="5"/>
      <c r="D1393" s="5"/>
      <c r="E1393" s="5"/>
      <c r="F1393" s="5"/>
      <c r="G1393" s="5"/>
      <c r="H1393" s="5"/>
      <c r="I1393" s="6"/>
      <c r="J1393" s="5"/>
      <c r="K1393" s="5"/>
      <c r="L1393" s="5"/>
      <c r="M1393" s="5"/>
    </row>
    <row r="1394" spans="1:13" x14ac:dyDescent="0.35">
      <c r="A1394" s="3"/>
      <c r="B1394" s="4"/>
      <c r="C1394" s="5"/>
      <c r="D1394" s="5"/>
      <c r="E1394" s="5"/>
      <c r="F1394" s="5"/>
      <c r="G1394" s="5"/>
      <c r="H1394" s="5"/>
      <c r="I1394" s="6"/>
      <c r="J1394" s="5"/>
      <c r="K1394" s="5"/>
      <c r="L1394" s="5"/>
      <c r="M1394" s="5"/>
    </row>
    <row r="1395" spans="1:13" x14ac:dyDescent="0.35">
      <c r="A1395" s="3"/>
      <c r="B1395" s="4"/>
      <c r="C1395" s="5"/>
      <c r="D1395" s="5"/>
      <c r="E1395" s="5"/>
      <c r="F1395" s="5"/>
      <c r="G1395" s="5"/>
      <c r="H1395" s="5"/>
      <c r="I1395" s="6"/>
      <c r="J1395" s="5"/>
      <c r="K1395" s="5"/>
      <c r="L1395" s="5"/>
      <c r="M1395" s="5"/>
    </row>
    <row r="1396" spans="1:13" x14ac:dyDescent="0.35">
      <c r="A1396" s="3"/>
      <c r="B1396" s="4"/>
      <c r="C1396" s="5"/>
      <c r="D1396" s="5"/>
      <c r="E1396" s="5"/>
      <c r="F1396" s="5"/>
      <c r="G1396" s="5"/>
      <c r="H1396" s="5"/>
      <c r="I1396" s="6"/>
      <c r="J1396" s="5"/>
      <c r="K1396" s="5"/>
      <c r="L1396" s="5"/>
      <c r="M1396" s="5"/>
    </row>
    <row r="1397" spans="1:13" x14ac:dyDescent="0.35">
      <c r="A1397" s="3"/>
      <c r="B1397" s="4"/>
      <c r="C1397" s="5"/>
      <c r="D1397" s="5"/>
      <c r="E1397" s="5"/>
      <c r="F1397" s="5"/>
      <c r="G1397" s="5"/>
      <c r="H1397" s="5"/>
      <c r="I1397" s="6"/>
      <c r="J1397" s="5"/>
      <c r="K1397" s="5"/>
      <c r="L1397" s="5"/>
      <c r="M1397" s="5"/>
    </row>
    <row r="1398" spans="1:13" x14ac:dyDescent="0.35">
      <c r="A1398" s="3"/>
      <c r="B1398" s="4"/>
      <c r="C1398" s="5"/>
      <c r="D1398" s="5"/>
      <c r="E1398" s="5"/>
      <c r="F1398" s="5"/>
      <c r="G1398" s="5"/>
      <c r="H1398" s="5"/>
      <c r="I1398" s="6"/>
      <c r="J1398" s="5"/>
      <c r="K1398" s="5"/>
      <c r="L1398" s="5"/>
      <c r="M1398" s="5"/>
    </row>
    <row r="1399" spans="1:13" x14ac:dyDescent="0.35">
      <c r="A1399" s="3"/>
      <c r="B1399" s="4"/>
      <c r="C1399" s="5"/>
      <c r="D1399" s="5"/>
      <c r="E1399" s="5"/>
      <c r="F1399" s="5"/>
      <c r="G1399" s="5"/>
      <c r="H1399" s="5"/>
      <c r="I1399" s="6"/>
      <c r="J1399" s="5"/>
      <c r="K1399" s="5"/>
      <c r="L1399" s="5"/>
      <c r="M1399" s="5"/>
    </row>
    <row r="1400" spans="1:13" x14ac:dyDescent="0.35">
      <c r="A1400" s="3"/>
      <c r="B1400" s="4"/>
      <c r="C1400" s="5"/>
      <c r="D1400" s="5"/>
      <c r="E1400" s="5"/>
      <c r="F1400" s="5"/>
      <c r="G1400" s="5"/>
      <c r="H1400" s="5"/>
      <c r="I1400" s="6"/>
      <c r="J1400" s="5"/>
      <c r="K1400" s="5"/>
      <c r="L1400" s="5"/>
      <c r="M1400" s="5"/>
    </row>
    <row r="1401" spans="1:13" x14ac:dyDescent="0.35">
      <c r="A1401" s="3"/>
      <c r="B1401" s="4"/>
      <c r="C1401" s="5"/>
      <c r="D1401" s="5"/>
      <c r="E1401" s="5"/>
      <c r="F1401" s="5"/>
      <c r="G1401" s="5"/>
      <c r="H1401" s="5"/>
      <c r="I1401" s="6"/>
      <c r="J1401" s="5"/>
      <c r="K1401" s="5"/>
      <c r="L1401" s="5"/>
      <c r="M1401" s="5"/>
    </row>
    <row r="1402" spans="1:13" x14ac:dyDescent="0.35">
      <c r="A1402" s="3"/>
      <c r="B1402" s="4"/>
      <c r="C1402" s="5"/>
      <c r="D1402" s="5"/>
      <c r="E1402" s="5"/>
      <c r="F1402" s="5"/>
      <c r="G1402" s="5"/>
      <c r="H1402" s="5"/>
      <c r="I1402" s="6"/>
      <c r="J1402" s="5"/>
      <c r="K1402" s="5"/>
      <c r="L1402" s="5"/>
      <c r="M1402" s="5"/>
    </row>
    <row r="1403" spans="1:13" x14ac:dyDescent="0.35">
      <c r="A1403" s="3"/>
      <c r="B1403" s="4"/>
      <c r="C1403" s="5"/>
      <c r="D1403" s="5"/>
      <c r="E1403" s="5"/>
      <c r="F1403" s="5"/>
      <c r="G1403" s="5"/>
      <c r="H1403" s="5"/>
      <c r="I1403" s="6"/>
      <c r="J1403" s="5"/>
      <c r="K1403" s="5"/>
      <c r="L1403" s="5"/>
      <c r="M1403" s="5"/>
    </row>
    <row r="1404" spans="1:13" x14ac:dyDescent="0.35">
      <c r="A1404" s="3"/>
      <c r="B1404" s="4"/>
      <c r="C1404" s="5"/>
      <c r="D1404" s="5"/>
      <c r="E1404" s="5"/>
      <c r="F1404" s="5"/>
      <c r="G1404" s="5"/>
      <c r="H1404" s="5"/>
      <c r="I1404" s="6"/>
      <c r="J1404" s="5"/>
      <c r="K1404" s="5"/>
      <c r="L1404" s="5"/>
      <c r="M1404" s="5"/>
    </row>
    <row r="1405" spans="1:13" x14ac:dyDescent="0.35">
      <c r="A1405" s="3"/>
      <c r="B1405" s="4"/>
      <c r="C1405" s="5"/>
      <c r="D1405" s="5"/>
      <c r="E1405" s="5"/>
      <c r="F1405" s="5"/>
      <c r="G1405" s="5"/>
      <c r="H1405" s="5"/>
      <c r="I1405" s="6"/>
      <c r="J1405" s="5"/>
      <c r="K1405" s="5"/>
      <c r="L1405" s="5"/>
      <c r="M1405" s="5"/>
    </row>
    <row r="1406" spans="1:13" x14ac:dyDescent="0.35">
      <c r="A1406" s="3"/>
      <c r="B1406" s="4"/>
      <c r="C1406" s="5"/>
      <c r="D1406" s="5"/>
      <c r="E1406" s="5"/>
      <c r="F1406" s="5"/>
      <c r="G1406" s="5"/>
      <c r="H1406" s="5"/>
      <c r="I1406" s="6"/>
      <c r="J1406" s="5"/>
      <c r="K1406" s="5"/>
      <c r="L1406" s="5"/>
      <c r="M1406" s="5"/>
    </row>
    <row r="1407" spans="1:13" x14ac:dyDescent="0.35">
      <c r="A1407" s="3"/>
      <c r="B1407" s="4"/>
      <c r="C1407" s="5"/>
      <c r="D1407" s="5"/>
      <c r="E1407" s="5"/>
      <c r="F1407" s="5"/>
      <c r="G1407" s="5"/>
      <c r="H1407" s="5"/>
      <c r="I1407" s="6"/>
      <c r="J1407" s="5"/>
      <c r="K1407" s="5"/>
      <c r="L1407" s="5"/>
      <c r="M1407" s="5"/>
    </row>
    <row r="1408" spans="1:13" x14ac:dyDescent="0.35">
      <c r="A1408" s="3"/>
      <c r="B1408" s="4"/>
      <c r="C1408" s="5"/>
      <c r="D1408" s="5"/>
      <c r="E1408" s="5"/>
      <c r="F1408" s="5"/>
      <c r="G1408" s="5"/>
      <c r="H1408" s="5"/>
      <c r="I1408" s="6"/>
      <c r="J1408" s="5"/>
      <c r="K1408" s="5"/>
      <c r="L1408" s="5"/>
      <c r="M1408" s="5"/>
    </row>
    <row r="1409" spans="1:13" x14ac:dyDescent="0.35">
      <c r="A1409" s="3"/>
      <c r="B1409" s="4"/>
      <c r="C1409" s="5"/>
      <c r="D1409" s="5"/>
      <c r="E1409" s="5"/>
      <c r="F1409" s="5"/>
      <c r="G1409" s="5"/>
      <c r="H1409" s="5"/>
      <c r="I1409" s="6"/>
      <c r="J1409" s="5"/>
      <c r="K1409" s="5"/>
      <c r="L1409" s="5"/>
      <c r="M1409" s="5"/>
    </row>
    <row r="1410" spans="1:13" x14ac:dyDescent="0.35">
      <c r="A1410" s="3"/>
      <c r="B1410" s="4"/>
      <c r="C1410" s="5"/>
      <c r="D1410" s="5"/>
      <c r="E1410" s="5"/>
      <c r="F1410" s="5"/>
      <c r="G1410" s="5"/>
      <c r="H1410" s="5"/>
      <c r="I1410" s="6"/>
      <c r="J1410" s="5"/>
      <c r="K1410" s="5"/>
      <c r="L1410" s="5"/>
      <c r="M1410" s="5"/>
    </row>
    <row r="1411" spans="1:13" x14ac:dyDescent="0.35">
      <c r="A1411" s="3"/>
      <c r="B1411" s="4"/>
      <c r="C1411" s="5"/>
      <c r="D1411" s="5"/>
      <c r="E1411" s="5"/>
      <c r="F1411" s="5"/>
      <c r="G1411" s="5"/>
      <c r="H1411" s="5"/>
      <c r="I1411" s="6"/>
      <c r="J1411" s="5"/>
      <c r="K1411" s="5"/>
      <c r="L1411" s="5"/>
      <c r="M1411" s="5"/>
    </row>
    <row r="1412" spans="1:13" x14ac:dyDescent="0.35">
      <c r="A1412" s="3"/>
      <c r="B1412" s="4"/>
      <c r="C1412" s="5"/>
      <c r="D1412" s="5"/>
      <c r="E1412" s="5"/>
      <c r="F1412" s="5"/>
      <c r="G1412" s="5"/>
      <c r="H1412" s="5"/>
      <c r="I1412" s="6"/>
      <c r="J1412" s="5"/>
      <c r="K1412" s="5"/>
      <c r="L1412" s="5"/>
      <c r="M1412" s="5"/>
    </row>
    <row r="1413" spans="1:13" x14ac:dyDescent="0.35">
      <c r="A1413" s="3"/>
      <c r="B1413" s="4"/>
      <c r="C1413" s="5"/>
      <c r="D1413" s="5"/>
      <c r="E1413" s="5"/>
      <c r="F1413" s="5"/>
      <c r="G1413" s="5"/>
      <c r="H1413" s="5"/>
      <c r="I1413" s="6"/>
      <c r="J1413" s="5"/>
      <c r="K1413" s="5"/>
      <c r="L1413" s="5"/>
      <c r="M1413" s="5"/>
    </row>
    <row r="1414" spans="1:13" x14ac:dyDescent="0.35">
      <c r="A1414" s="3"/>
      <c r="B1414" s="4"/>
      <c r="C1414" s="5"/>
      <c r="D1414" s="5"/>
      <c r="E1414" s="5"/>
      <c r="F1414" s="5"/>
      <c r="G1414" s="5"/>
      <c r="H1414" s="5"/>
      <c r="I1414" s="6"/>
      <c r="J1414" s="5"/>
      <c r="K1414" s="5"/>
      <c r="L1414" s="5"/>
      <c r="M1414" s="5"/>
    </row>
    <row r="1415" spans="1:13" x14ac:dyDescent="0.35">
      <c r="A1415" s="3"/>
      <c r="B1415" s="4"/>
      <c r="C1415" s="5"/>
      <c r="D1415" s="5"/>
      <c r="E1415" s="5"/>
      <c r="F1415" s="5"/>
      <c r="G1415" s="5"/>
      <c r="H1415" s="5"/>
      <c r="I1415" s="6"/>
      <c r="J1415" s="5"/>
      <c r="K1415" s="5"/>
      <c r="L1415" s="5"/>
      <c r="M1415" s="5"/>
    </row>
    <row r="1416" spans="1:13" x14ac:dyDescent="0.35">
      <c r="A1416" s="3"/>
      <c r="B1416" s="4"/>
      <c r="C1416" s="5"/>
      <c r="D1416" s="5"/>
      <c r="E1416" s="5"/>
      <c r="F1416" s="5"/>
      <c r="G1416" s="5"/>
      <c r="H1416" s="5"/>
      <c r="I1416" s="6"/>
      <c r="J1416" s="5"/>
      <c r="K1416" s="5"/>
      <c r="L1416" s="5"/>
      <c r="M1416" s="5"/>
    </row>
    <row r="1417" spans="1:13" x14ac:dyDescent="0.35">
      <c r="A1417" s="3"/>
      <c r="B1417" s="4"/>
      <c r="C1417" s="5"/>
      <c r="D1417" s="5"/>
      <c r="E1417" s="5"/>
      <c r="F1417" s="5"/>
      <c r="G1417" s="5"/>
      <c r="H1417" s="5"/>
      <c r="I1417" s="6"/>
      <c r="J1417" s="5"/>
      <c r="K1417" s="5"/>
      <c r="L1417" s="5"/>
      <c r="M1417" s="5"/>
    </row>
    <row r="1418" spans="1:13" x14ac:dyDescent="0.35">
      <c r="A1418" s="3"/>
      <c r="B1418" s="4"/>
      <c r="C1418" s="5"/>
      <c r="D1418" s="5"/>
      <c r="E1418" s="5"/>
      <c r="F1418" s="5"/>
      <c r="G1418" s="5"/>
      <c r="H1418" s="5"/>
      <c r="I1418" s="6"/>
      <c r="J1418" s="5"/>
      <c r="K1418" s="5"/>
      <c r="L1418" s="5"/>
      <c r="M1418" s="5"/>
    </row>
    <row r="1419" spans="1:13" x14ac:dyDescent="0.35">
      <c r="A1419" s="3"/>
      <c r="B1419" s="4"/>
      <c r="C1419" s="5"/>
      <c r="D1419" s="5"/>
      <c r="E1419" s="5"/>
      <c r="F1419" s="5"/>
      <c r="G1419" s="5"/>
      <c r="H1419" s="5"/>
      <c r="I1419" s="6"/>
      <c r="J1419" s="5"/>
      <c r="K1419" s="5"/>
      <c r="L1419" s="5"/>
      <c r="M1419" s="5"/>
    </row>
    <row r="1420" spans="1:13" x14ac:dyDescent="0.35">
      <c r="A1420" s="3"/>
      <c r="B1420" s="4"/>
      <c r="C1420" s="5"/>
      <c r="D1420" s="5"/>
      <c r="E1420" s="5"/>
      <c r="F1420" s="5"/>
      <c r="G1420" s="5"/>
      <c r="H1420" s="5"/>
      <c r="I1420" s="6"/>
      <c r="J1420" s="5"/>
      <c r="K1420" s="5"/>
      <c r="L1420" s="5"/>
      <c r="M1420" s="5"/>
    </row>
    <row r="1421" spans="1:13" x14ac:dyDescent="0.35">
      <c r="A1421" s="3"/>
      <c r="B1421" s="4"/>
      <c r="C1421" s="5"/>
      <c r="D1421" s="5"/>
      <c r="E1421" s="5"/>
      <c r="F1421" s="5"/>
      <c r="G1421" s="5"/>
      <c r="H1421" s="5"/>
      <c r="I1421" s="6"/>
      <c r="J1421" s="5"/>
      <c r="K1421" s="5"/>
      <c r="L1421" s="5"/>
      <c r="M1421" s="5"/>
    </row>
    <row r="1422" spans="1:13" x14ac:dyDescent="0.35">
      <c r="A1422" s="3"/>
      <c r="B1422" s="4"/>
      <c r="C1422" s="5"/>
      <c r="D1422" s="5"/>
      <c r="E1422" s="5"/>
      <c r="F1422" s="5"/>
      <c r="G1422" s="5"/>
      <c r="H1422" s="5"/>
      <c r="I1422" s="6"/>
      <c r="J1422" s="5"/>
      <c r="K1422" s="5"/>
      <c r="L1422" s="5"/>
      <c r="M1422" s="5"/>
    </row>
    <row r="1423" spans="1:13" x14ac:dyDescent="0.35">
      <c r="A1423" s="3"/>
      <c r="B1423" s="4"/>
      <c r="C1423" s="5"/>
      <c r="D1423" s="5"/>
      <c r="E1423" s="5"/>
      <c r="F1423" s="5"/>
      <c r="G1423" s="5"/>
      <c r="H1423" s="5"/>
      <c r="I1423" s="6"/>
      <c r="J1423" s="5"/>
      <c r="K1423" s="5"/>
      <c r="L1423" s="5"/>
      <c r="M1423" s="5"/>
    </row>
    <row r="1424" spans="1:13" x14ac:dyDescent="0.35">
      <c r="A1424" s="3"/>
      <c r="B1424" s="4"/>
      <c r="C1424" s="5"/>
      <c r="D1424" s="5"/>
      <c r="E1424" s="5"/>
      <c r="F1424" s="5"/>
      <c r="G1424" s="5"/>
      <c r="H1424" s="5"/>
      <c r="I1424" s="6"/>
      <c r="J1424" s="5"/>
      <c r="K1424" s="5"/>
      <c r="L1424" s="5"/>
      <c r="M1424" s="5"/>
    </row>
    <row r="1425" spans="1:13" x14ac:dyDescent="0.35">
      <c r="A1425" s="3"/>
      <c r="B1425" s="4"/>
      <c r="C1425" s="5"/>
      <c r="D1425" s="5"/>
      <c r="E1425" s="5"/>
      <c r="F1425" s="5"/>
      <c r="G1425" s="5"/>
      <c r="H1425" s="5"/>
      <c r="I1425" s="6"/>
      <c r="J1425" s="5"/>
      <c r="K1425" s="5"/>
      <c r="L1425" s="5"/>
      <c r="M1425" s="5"/>
    </row>
    <row r="1426" spans="1:13" x14ac:dyDescent="0.35">
      <c r="A1426" s="3"/>
      <c r="B1426" s="4"/>
      <c r="C1426" s="5"/>
      <c r="D1426" s="5"/>
      <c r="E1426" s="5"/>
      <c r="F1426" s="5"/>
      <c r="G1426" s="5"/>
      <c r="H1426" s="5"/>
      <c r="I1426" s="6"/>
      <c r="J1426" s="5"/>
      <c r="K1426" s="5"/>
      <c r="L1426" s="5"/>
      <c r="M1426" s="5"/>
    </row>
    <row r="1427" spans="1:13" x14ac:dyDescent="0.35">
      <c r="A1427" s="3"/>
      <c r="B1427" s="4"/>
      <c r="C1427" s="5"/>
      <c r="D1427" s="5"/>
      <c r="E1427" s="5"/>
      <c r="F1427" s="5"/>
      <c r="G1427" s="5"/>
      <c r="H1427" s="5"/>
      <c r="I1427" s="6"/>
      <c r="J1427" s="5"/>
      <c r="K1427" s="5"/>
      <c r="L1427" s="5"/>
      <c r="M1427" s="5"/>
    </row>
    <row r="1428" spans="1:13" x14ac:dyDescent="0.35">
      <c r="A1428" s="3"/>
      <c r="B1428" s="4"/>
      <c r="C1428" s="5"/>
      <c r="D1428" s="5"/>
      <c r="E1428" s="5"/>
      <c r="F1428" s="5"/>
      <c r="G1428" s="5"/>
      <c r="H1428" s="5"/>
      <c r="I1428" s="6"/>
      <c r="J1428" s="5"/>
      <c r="K1428" s="5"/>
      <c r="L1428" s="5"/>
      <c r="M1428" s="5"/>
    </row>
    <row r="1429" spans="1:13" x14ac:dyDescent="0.35">
      <c r="A1429" s="3"/>
      <c r="B1429" s="4"/>
      <c r="C1429" s="5"/>
      <c r="D1429" s="5"/>
      <c r="E1429" s="5"/>
      <c r="F1429" s="5"/>
      <c r="G1429" s="5"/>
      <c r="H1429" s="5"/>
      <c r="I1429" s="6"/>
      <c r="J1429" s="5"/>
      <c r="K1429" s="5"/>
      <c r="L1429" s="5"/>
      <c r="M1429" s="5"/>
    </row>
    <row r="1430" spans="1:13" x14ac:dyDescent="0.35">
      <c r="A1430" s="3"/>
      <c r="B1430" s="4"/>
      <c r="C1430" s="5"/>
      <c r="D1430" s="5"/>
      <c r="E1430" s="5"/>
      <c r="F1430" s="5"/>
      <c r="G1430" s="5"/>
      <c r="H1430" s="5"/>
      <c r="I1430" s="6"/>
      <c r="J1430" s="5"/>
      <c r="K1430" s="5"/>
      <c r="L1430" s="5"/>
      <c r="M1430" s="5"/>
    </row>
    <row r="1431" spans="1:13" x14ac:dyDescent="0.35">
      <c r="A1431" s="3"/>
      <c r="B1431" s="4"/>
      <c r="C1431" s="5"/>
      <c r="D1431" s="5"/>
      <c r="E1431" s="5"/>
      <c r="F1431" s="5"/>
      <c r="G1431" s="5"/>
      <c r="H1431" s="5"/>
      <c r="I1431" s="6"/>
      <c r="J1431" s="5"/>
      <c r="K1431" s="5"/>
      <c r="L1431" s="5"/>
      <c r="M1431" s="5"/>
    </row>
    <row r="1432" spans="1:13" x14ac:dyDescent="0.35">
      <c r="A1432" s="3"/>
      <c r="B1432" s="4"/>
      <c r="C1432" s="5"/>
      <c r="D1432" s="5"/>
      <c r="E1432" s="5"/>
      <c r="F1432" s="5"/>
      <c r="G1432" s="5"/>
      <c r="H1432" s="5"/>
      <c r="I1432" s="6"/>
      <c r="J1432" s="5"/>
      <c r="K1432" s="5"/>
      <c r="L1432" s="5"/>
      <c r="M1432" s="5"/>
    </row>
    <row r="1433" spans="1:13" x14ac:dyDescent="0.35">
      <c r="A1433" s="3"/>
      <c r="B1433" s="4"/>
      <c r="C1433" s="5"/>
      <c r="D1433" s="5"/>
      <c r="E1433" s="5"/>
      <c r="F1433" s="5"/>
      <c r="G1433" s="5"/>
      <c r="H1433" s="5"/>
      <c r="I1433" s="6"/>
      <c r="J1433" s="5"/>
      <c r="K1433" s="5"/>
      <c r="L1433" s="5"/>
      <c r="M1433" s="5"/>
    </row>
    <row r="1434" spans="1:13" x14ac:dyDescent="0.35">
      <c r="A1434" s="3"/>
      <c r="B1434" s="4"/>
      <c r="C1434" s="5"/>
      <c r="D1434" s="5"/>
      <c r="E1434" s="5"/>
      <c r="F1434" s="5"/>
      <c r="G1434" s="5"/>
      <c r="H1434" s="5"/>
      <c r="I1434" s="6"/>
      <c r="J1434" s="5"/>
      <c r="K1434" s="5"/>
      <c r="L1434" s="5"/>
      <c r="M1434" s="5"/>
    </row>
    <row r="1435" spans="1:13" x14ac:dyDescent="0.35">
      <c r="A1435" s="3"/>
      <c r="B1435" s="4"/>
      <c r="C1435" s="5"/>
      <c r="D1435" s="5"/>
      <c r="E1435" s="5"/>
      <c r="F1435" s="5"/>
      <c r="G1435" s="5"/>
      <c r="H1435" s="5"/>
      <c r="I1435" s="6"/>
      <c r="J1435" s="5"/>
      <c r="K1435" s="5"/>
      <c r="L1435" s="5"/>
      <c r="M1435" s="5"/>
    </row>
    <row r="1436" spans="1:13" x14ac:dyDescent="0.35">
      <c r="A1436" s="3"/>
      <c r="B1436" s="4"/>
      <c r="C1436" s="5"/>
      <c r="D1436" s="5"/>
      <c r="E1436" s="5"/>
      <c r="F1436" s="5"/>
      <c r="G1436" s="5"/>
      <c r="H1436" s="5"/>
      <c r="I1436" s="6"/>
      <c r="J1436" s="5"/>
      <c r="K1436" s="5"/>
      <c r="L1436" s="5"/>
      <c r="M1436" s="5"/>
    </row>
    <row r="1437" spans="1:13" x14ac:dyDescent="0.35">
      <c r="A1437" s="3"/>
      <c r="B1437" s="4"/>
      <c r="C1437" s="5"/>
      <c r="D1437" s="5"/>
      <c r="E1437" s="5"/>
      <c r="F1437" s="5"/>
      <c r="G1437" s="5"/>
      <c r="H1437" s="5"/>
      <c r="I1437" s="6"/>
      <c r="J1437" s="5"/>
      <c r="K1437" s="5"/>
      <c r="L1437" s="5"/>
      <c r="M1437" s="5"/>
    </row>
    <row r="1438" spans="1:13" x14ac:dyDescent="0.35">
      <c r="A1438" s="3"/>
      <c r="B1438" s="4"/>
      <c r="C1438" s="5"/>
      <c r="D1438" s="5"/>
      <c r="E1438" s="5"/>
      <c r="F1438" s="5"/>
      <c r="G1438" s="5"/>
      <c r="H1438" s="5"/>
      <c r="I1438" s="6"/>
      <c r="J1438" s="5"/>
      <c r="K1438" s="5"/>
      <c r="L1438" s="5"/>
      <c r="M1438" s="5"/>
    </row>
    <row r="1439" spans="1:13" x14ac:dyDescent="0.35">
      <c r="A1439" s="3"/>
      <c r="B1439" s="4"/>
      <c r="C1439" s="5"/>
      <c r="D1439" s="5"/>
      <c r="E1439" s="5"/>
      <c r="F1439" s="5"/>
      <c r="G1439" s="5"/>
      <c r="H1439" s="5"/>
      <c r="I1439" s="6"/>
      <c r="J1439" s="5"/>
      <c r="K1439" s="5"/>
      <c r="L1439" s="5"/>
      <c r="M1439" s="5"/>
    </row>
    <row r="1440" spans="1:13" x14ac:dyDescent="0.35">
      <c r="A1440" s="3"/>
      <c r="B1440" s="4"/>
      <c r="C1440" s="5"/>
      <c r="D1440" s="5"/>
      <c r="E1440" s="5"/>
      <c r="F1440" s="5"/>
      <c r="G1440" s="5"/>
      <c r="H1440" s="5"/>
      <c r="I1440" s="6"/>
      <c r="J1440" s="5"/>
      <c r="K1440" s="5"/>
      <c r="L1440" s="5"/>
      <c r="M1440" s="5"/>
    </row>
    <row r="1441" spans="1:13" x14ac:dyDescent="0.35">
      <c r="A1441" s="3"/>
      <c r="B1441" s="4"/>
      <c r="C1441" s="5"/>
      <c r="D1441" s="5"/>
      <c r="E1441" s="5"/>
      <c r="F1441" s="5"/>
      <c r="G1441" s="5"/>
      <c r="H1441" s="5"/>
      <c r="I1441" s="6"/>
      <c r="J1441" s="5"/>
      <c r="K1441" s="5"/>
      <c r="L1441" s="5"/>
      <c r="M1441" s="5"/>
    </row>
    <row r="1442" spans="1:13" x14ac:dyDescent="0.35">
      <c r="A1442" s="3"/>
      <c r="B1442" s="4"/>
      <c r="C1442" s="5"/>
      <c r="D1442" s="5"/>
      <c r="E1442" s="5"/>
      <c r="F1442" s="5"/>
      <c r="G1442" s="5"/>
      <c r="H1442" s="5"/>
      <c r="I1442" s="6"/>
      <c r="J1442" s="5"/>
      <c r="K1442" s="5"/>
      <c r="L1442" s="5"/>
      <c r="M1442" s="5"/>
    </row>
    <row r="1443" spans="1:13" x14ac:dyDescent="0.35">
      <c r="A1443" s="3"/>
      <c r="B1443" s="4"/>
      <c r="C1443" s="5"/>
      <c r="D1443" s="5"/>
      <c r="E1443" s="5"/>
      <c r="F1443" s="5"/>
      <c r="G1443" s="5"/>
      <c r="H1443" s="5"/>
      <c r="I1443" s="6"/>
      <c r="J1443" s="5"/>
      <c r="K1443" s="5"/>
      <c r="L1443" s="5"/>
      <c r="M1443" s="5"/>
    </row>
    <row r="1444" spans="1:13" x14ac:dyDescent="0.35">
      <c r="A1444" s="3"/>
      <c r="B1444" s="4"/>
      <c r="C1444" s="5"/>
      <c r="D1444" s="5"/>
      <c r="E1444" s="5"/>
      <c r="F1444" s="5"/>
      <c r="G1444" s="5"/>
      <c r="H1444" s="5"/>
      <c r="I1444" s="6"/>
      <c r="J1444" s="5"/>
      <c r="K1444" s="5"/>
      <c r="L1444" s="5"/>
      <c r="M1444" s="5"/>
    </row>
    <row r="1445" spans="1:13" x14ac:dyDescent="0.35">
      <c r="A1445" s="3"/>
      <c r="B1445" s="4"/>
      <c r="C1445" s="5"/>
      <c r="D1445" s="5"/>
      <c r="E1445" s="5"/>
      <c r="F1445" s="5"/>
      <c r="G1445" s="5"/>
      <c r="H1445" s="5"/>
      <c r="I1445" s="6"/>
      <c r="J1445" s="5"/>
      <c r="K1445" s="5"/>
      <c r="L1445" s="5"/>
      <c r="M1445" s="5"/>
    </row>
    <row r="1446" spans="1:13" x14ac:dyDescent="0.35">
      <c r="A1446" s="3"/>
      <c r="B1446" s="4"/>
      <c r="C1446" s="5"/>
      <c r="D1446" s="5"/>
      <c r="E1446" s="5"/>
      <c r="F1446" s="5"/>
      <c r="G1446" s="5"/>
      <c r="H1446" s="5"/>
      <c r="I1446" s="6"/>
      <c r="J1446" s="5"/>
      <c r="K1446" s="5"/>
      <c r="L1446" s="5"/>
      <c r="M1446" s="5"/>
    </row>
    <row r="1447" spans="1:13" x14ac:dyDescent="0.35">
      <c r="A1447" s="3"/>
      <c r="B1447" s="4"/>
      <c r="C1447" s="5"/>
      <c r="D1447" s="5"/>
      <c r="E1447" s="5"/>
      <c r="F1447" s="5"/>
      <c r="G1447" s="5"/>
      <c r="H1447" s="5"/>
      <c r="I1447" s="6"/>
      <c r="J1447" s="5"/>
      <c r="K1447" s="5"/>
      <c r="L1447" s="5"/>
      <c r="M1447" s="5"/>
    </row>
    <row r="1448" spans="1:13" x14ac:dyDescent="0.35">
      <c r="A1448" s="3"/>
      <c r="B1448" s="4"/>
      <c r="C1448" s="5"/>
      <c r="D1448" s="5"/>
      <c r="E1448" s="5"/>
      <c r="F1448" s="5"/>
      <c r="G1448" s="5"/>
      <c r="H1448" s="5"/>
      <c r="I1448" s="6"/>
      <c r="J1448" s="5"/>
      <c r="K1448" s="5"/>
      <c r="L1448" s="5"/>
      <c r="M1448" s="5"/>
    </row>
    <row r="1449" spans="1:13" x14ac:dyDescent="0.35">
      <c r="A1449" s="3"/>
      <c r="B1449" s="4"/>
      <c r="C1449" s="5"/>
      <c r="D1449" s="5"/>
      <c r="E1449" s="5"/>
      <c r="F1449" s="5"/>
      <c r="G1449" s="5"/>
      <c r="H1449" s="5"/>
      <c r="I1449" s="6"/>
      <c r="J1449" s="5"/>
      <c r="K1449" s="5"/>
      <c r="L1449" s="5"/>
      <c r="M1449" s="5"/>
    </row>
    <row r="1450" spans="1:13" x14ac:dyDescent="0.35">
      <c r="A1450" s="3"/>
      <c r="B1450" s="4"/>
      <c r="C1450" s="5"/>
      <c r="D1450" s="5"/>
      <c r="E1450" s="5"/>
      <c r="F1450" s="5"/>
      <c r="G1450" s="5"/>
      <c r="H1450" s="5"/>
      <c r="I1450" s="6"/>
      <c r="J1450" s="5"/>
      <c r="K1450" s="5"/>
      <c r="L1450" s="5"/>
      <c r="M1450" s="5"/>
    </row>
    <row r="1451" spans="1:13" x14ac:dyDescent="0.35">
      <c r="A1451" s="3"/>
      <c r="B1451" s="4"/>
      <c r="C1451" s="5"/>
      <c r="D1451" s="5"/>
      <c r="E1451" s="5"/>
      <c r="F1451" s="5"/>
      <c r="G1451" s="5"/>
      <c r="H1451" s="5"/>
      <c r="I1451" s="6"/>
      <c r="J1451" s="5"/>
      <c r="K1451" s="5"/>
      <c r="L1451" s="5"/>
      <c r="M1451" s="5"/>
    </row>
    <row r="1452" spans="1:13" x14ac:dyDescent="0.35">
      <c r="A1452" s="3"/>
      <c r="B1452" s="4"/>
      <c r="C1452" s="5"/>
      <c r="D1452" s="5"/>
      <c r="E1452" s="5"/>
      <c r="F1452" s="5"/>
      <c r="G1452" s="5"/>
      <c r="H1452" s="5"/>
      <c r="I1452" s="6"/>
      <c r="J1452" s="5"/>
      <c r="K1452" s="5"/>
      <c r="L1452" s="5"/>
      <c r="M1452" s="5"/>
    </row>
    <row r="1453" spans="1:13" x14ac:dyDescent="0.35">
      <c r="A1453" s="3"/>
      <c r="B1453" s="4"/>
      <c r="C1453" s="5"/>
      <c r="D1453" s="5"/>
      <c r="E1453" s="5"/>
      <c r="F1453" s="5"/>
      <c r="G1453" s="5"/>
      <c r="H1453" s="5"/>
      <c r="I1453" s="6"/>
      <c r="J1453" s="5"/>
      <c r="K1453" s="5"/>
      <c r="L1453" s="5"/>
      <c r="M1453" s="5"/>
    </row>
    <row r="1454" spans="1:13" x14ac:dyDescent="0.35">
      <c r="A1454" s="3"/>
      <c r="B1454" s="4"/>
      <c r="C1454" s="5"/>
      <c r="D1454" s="5"/>
      <c r="E1454" s="5"/>
      <c r="F1454" s="5"/>
      <c r="G1454" s="5"/>
      <c r="H1454" s="5"/>
      <c r="I1454" s="6"/>
      <c r="J1454" s="5"/>
      <c r="K1454" s="5"/>
      <c r="L1454" s="5"/>
      <c r="M1454" s="5"/>
    </row>
    <row r="1455" spans="1:13" x14ac:dyDescent="0.35">
      <c r="A1455" s="3"/>
      <c r="B1455" s="4"/>
      <c r="C1455" s="5"/>
      <c r="D1455" s="5"/>
      <c r="E1455" s="5"/>
      <c r="F1455" s="5"/>
      <c r="G1455" s="5"/>
      <c r="H1455" s="5"/>
      <c r="I1455" s="6"/>
      <c r="J1455" s="5"/>
      <c r="K1455" s="5"/>
      <c r="L1455" s="5"/>
      <c r="M1455" s="5"/>
    </row>
    <row r="1456" spans="1:13" x14ac:dyDescent="0.35">
      <c r="A1456" s="3"/>
      <c r="B1456" s="4"/>
      <c r="C1456" s="5"/>
      <c r="D1456" s="5"/>
      <c r="E1456" s="5"/>
      <c r="F1456" s="5"/>
      <c r="G1456" s="5"/>
      <c r="H1456" s="5"/>
      <c r="I1456" s="6"/>
      <c r="J1456" s="5"/>
      <c r="K1456" s="5"/>
      <c r="L1456" s="5"/>
      <c r="M1456" s="5"/>
    </row>
    <row r="1457" spans="1:13" x14ac:dyDescent="0.35">
      <c r="A1457" s="3"/>
      <c r="B1457" s="4"/>
      <c r="C1457" s="5"/>
      <c r="D1457" s="5"/>
      <c r="E1457" s="5"/>
      <c r="F1457" s="5"/>
      <c r="G1457" s="5"/>
      <c r="H1457" s="5"/>
      <c r="I1457" s="6"/>
      <c r="J1457" s="5"/>
      <c r="K1457" s="5"/>
      <c r="L1457" s="5"/>
      <c r="M1457" s="5"/>
    </row>
    <row r="1458" spans="1:13" x14ac:dyDescent="0.35">
      <c r="A1458" s="3"/>
      <c r="B1458" s="4"/>
      <c r="C1458" s="5"/>
      <c r="D1458" s="5"/>
      <c r="E1458" s="5"/>
      <c r="F1458" s="5"/>
      <c r="G1458" s="5"/>
      <c r="H1458" s="5"/>
      <c r="I1458" s="6"/>
      <c r="J1458" s="5"/>
      <c r="K1458" s="5"/>
      <c r="L1458" s="5"/>
      <c r="M1458" s="5"/>
    </row>
    <row r="1459" spans="1:13" x14ac:dyDescent="0.35">
      <c r="A1459" s="3"/>
      <c r="B1459" s="4"/>
      <c r="C1459" s="5"/>
      <c r="D1459" s="5"/>
      <c r="E1459" s="5"/>
      <c r="F1459" s="5"/>
      <c r="G1459" s="5"/>
      <c r="H1459" s="5"/>
      <c r="I1459" s="6"/>
      <c r="J1459" s="5"/>
      <c r="K1459" s="5"/>
      <c r="L1459" s="5"/>
      <c r="M1459" s="5"/>
    </row>
    <row r="1460" spans="1:13" x14ac:dyDescent="0.35">
      <c r="A1460" s="3"/>
      <c r="B1460" s="4"/>
      <c r="C1460" s="5"/>
      <c r="D1460" s="5"/>
      <c r="E1460" s="5"/>
      <c r="F1460" s="5"/>
      <c r="G1460" s="5"/>
      <c r="H1460" s="5"/>
      <c r="I1460" s="6"/>
      <c r="J1460" s="5"/>
      <c r="K1460" s="5"/>
      <c r="L1460" s="5"/>
      <c r="M1460" s="5"/>
    </row>
    <row r="1461" spans="1:13" x14ac:dyDescent="0.35">
      <c r="A1461" s="3"/>
      <c r="B1461" s="4"/>
      <c r="C1461" s="5"/>
      <c r="D1461" s="5"/>
      <c r="E1461" s="5"/>
      <c r="F1461" s="5"/>
      <c r="G1461" s="5"/>
      <c r="H1461" s="5"/>
      <c r="I1461" s="6"/>
      <c r="J1461" s="5"/>
      <c r="K1461" s="5"/>
      <c r="L1461" s="5"/>
      <c r="M1461" s="5"/>
    </row>
    <row r="1462" spans="1:13" x14ac:dyDescent="0.35">
      <c r="A1462" s="3"/>
      <c r="B1462" s="4"/>
      <c r="C1462" s="5"/>
      <c r="D1462" s="5"/>
      <c r="E1462" s="5"/>
      <c r="F1462" s="5"/>
      <c r="G1462" s="5"/>
      <c r="H1462" s="5"/>
      <c r="I1462" s="6"/>
      <c r="J1462" s="5"/>
      <c r="K1462" s="5"/>
      <c r="L1462" s="5"/>
      <c r="M1462" s="5"/>
    </row>
    <row r="1463" spans="1:13" x14ac:dyDescent="0.35">
      <c r="A1463" s="3"/>
      <c r="B1463" s="4"/>
      <c r="C1463" s="5"/>
      <c r="D1463" s="5"/>
      <c r="E1463" s="5"/>
      <c r="F1463" s="5"/>
      <c r="G1463" s="5"/>
      <c r="H1463" s="5"/>
      <c r="I1463" s="6"/>
      <c r="J1463" s="5"/>
      <c r="K1463" s="5"/>
      <c r="L1463" s="5"/>
      <c r="M1463" s="5"/>
    </row>
    <row r="1464" spans="1:13" x14ac:dyDescent="0.35">
      <c r="A1464" s="3"/>
      <c r="B1464" s="4"/>
      <c r="C1464" s="5"/>
      <c r="D1464" s="5"/>
      <c r="E1464" s="5"/>
      <c r="F1464" s="5"/>
      <c r="G1464" s="5"/>
      <c r="H1464" s="5"/>
      <c r="I1464" s="6"/>
      <c r="J1464" s="5"/>
      <c r="K1464" s="5"/>
      <c r="L1464" s="5"/>
      <c r="M1464" s="5"/>
    </row>
    <row r="1465" spans="1:13" x14ac:dyDescent="0.35">
      <c r="A1465" s="3"/>
      <c r="B1465" s="4"/>
      <c r="C1465" s="5"/>
      <c r="D1465" s="5"/>
      <c r="E1465" s="5"/>
      <c r="F1465" s="5"/>
      <c r="G1465" s="5"/>
      <c r="H1465" s="5"/>
      <c r="I1465" s="6"/>
      <c r="J1465" s="5"/>
      <c r="K1465" s="5"/>
      <c r="L1465" s="5"/>
      <c r="M1465" s="5"/>
    </row>
    <row r="1466" spans="1:13" x14ac:dyDescent="0.35">
      <c r="A1466" s="3"/>
      <c r="B1466" s="4"/>
      <c r="C1466" s="5"/>
      <c r="D1466" s="5"/>
      <c r="E1466" s="5"/>
      <c r="F1466" s="5"/>
      <c r="G1466" s="5"/>
      <c r="H1466" s="5"/>
      <c r="I1466" s="6"/>
      <c r="J1466" s="5"/>
      <c r="K1466" s="5"/>
      <c r="L1466" s="5"/>
      <c r="M1466" s="5"/>
    </row>
    <row r="1467" spans="1:13" x14ac:dyDescent="0.35">
      <c r="A1467" s="3"/>
      <c r="B1467" s="4"/>
      <c r="C1467" s="5"/>
      <c r="D1467" s="5"/>
      <c r="E1467" s="5"/>
      <c r="F1467" s="5"/>
      <c r="G1467" s="5"/>
      <c r="H1467" s="5"/>
      <c r="I1467" s="6"/>
      <c r="J1467" s="5"/>
      <c r="K1467" s="5"/>
      <c r="L1467" s="5"/>
      <c r="M1467" s="5"/>
    </row>
    <row r="1468" spans="1:13" x14ac:dyDescent="0.35">
      <c r="A1468" s="3"/>
      <c r="B1468" s="4"/>
      <c r="C1468" s="5"/>
      <c r="D1468" s="5"/>
      <c r="E1468" s="5"/>
      <c r="F1468" s="5"/>
      <c r="G1468" s="5"/>
      <c r="H1468" s="5"/>
      <c r="I1468" s="6"/>
      <c r="J1468" s="5"/>
      <c r="K1468" s="5"/>
      <c r="L1468" s="5"/>
      <c r="M1468" s="5"/>
    </row>
    <row r="1469" spans="1:13" x14ac:dyDescent="0.35">
      <c r="A1469" s="3"/>
      <c r="B1469" s="4"/>
      <c r="C1469" s="5"/>
      <c r="D1469" s="5"/>
      <c r="E1469" s="5"/>
      <c r="F1469" s="5"/>
      <c r="G1469" s="5"/>
      <c r="H1469" s="5"/>
      <c r="I1469" s="6"/>
      <c r="J1469" s="5"/>
      <c r="K1469" s="5"/>
      <c r="L1469" s="5"/>
      <c r="M1469" s="5"/>
    </row>
    <row r="1470" spans="1:13" x14ac:dyDescent="0.35">
      <c r="A1470" s="3"/>
      <c r="B1470" s="4"/>
      <c r="C1470" s="5"/>
      <c r="D1470" s="5"/>
      <c r="E1470" s="5"/>
      <c r="F1470" s="5"/>
      <c r="G1470" s="5"/>
      <c r="H1470" s="5"/>
      <c r="I1470" s="6"/>
      <c r="J1470" s="5"/>
      <c r="K1470" s="5"/>
      <c r="L1470" s="5"/>
      <c r="M1470" s="5"/>
    </row>
    <row r="1471" spans="1:13" x14ac:dyDescent="0.35">
      <c r="A1471" s="3"/>
      <c r="B1471" s="4"/>
      <c r="C1471" s="5"/>
      <c r="D1471" s="5"/>
      <c r="E1471" s="5"/>
      <c r="F1471" s="5"/>
      <c r="G1471" s="5"/>
      <c r="H1471" s="5"/>
      <c r="I1471" s="6"/>
      <c r="J1471" s="5"/>
      <c r="K1471" s="5"/>
      <c r="L1471" s="5"/>
      <c r="M1471" s="5"/>
    </row>
    <row r="1472" spans="1:13" x14ac:dyDescent="0.35">
      <c r="A1472" s="3"/>
      <c r="B1472" s="4"/>
      <c r="C1472" s="5"/>
      <c r="D1472" s="5"/>
      <c r="E1472" s="5"/>
      <c r="F1472" s="5"/>
      <c r="G1472" s="5"/>
      <c r="H1472" s="5"/>
      <c r="I1472" s="6"/>
      <c r="J1472" s="5"/>
      <c r="K1472" s="5"/>
      <c r="L1472" s="5"/>
      <c r="M1472" s="5"/>
    </row>
    <row r="1473" spans="1:13" x14ac:dyDescent="0.35">
      <c r="A1473" s="3"/>
      <c r="B1473" s="4"/>
      <c r="C1473" s="5"/>
      <c r="D1473" s="5"/>
      <c r="E1473" s="5"/>
      <c r="F1473" s="5"/>
      <c r="G1473" s="5"/>
      <c r="H1473" s="5"/>
      <c r="I1473" s="6"/>
      <c r="J1473" s="5"/>
      <c r="K1473" s="5"/>
      <c r="L1473" s="5"/>
      <c r="M1473" s="5"/>
    </row>
    <row r="1474" spans="1:13" x14ac:dyDescent="0.35">
      <c r="A1474" s="3"/>
      <c r="B1474" s="4"/>
      <c r="C1474" s="5"/>
      <c r="D1474" s="5"/>
      <c r="E1474" s="5"/>
      <c r="F1474" s="5"/>
      <c r="G1474" s="5"/>
      <c r="H1474" s="5"/>
      <c r="I1474" s="6"/>
      <c r="J1474" s="5"/>
      <c r="K1474" s="5"/>
      <c r="L1474" s="5"/>
      <c r="M1474" s="5"/>
    </row>
    <row r="1475" spans="1:13" x14ac:dyDescent="0.35">
      <c r="A1475" s="3"/>
      <c r="B1475" s="4"/>
      <c r="C1475" s="5"/>
      <c r="D1475" s="5"/>
      <c r="E1475" s="5"/>
      <c r="F1475" s="5"/>
      <c r="G1475" s="5"/>
      <c r="H1475" s="5"/>
      <c r="I1475" s="6"/>
      <c r="J1475" s="5"/>
      <c r="K1475" s="5"/>
      <c r="L1475" s="5"/>
      <c r="M1475" s="5"/>
    </row>
    <row r="1476" spans="1:13" x14ac:dyDescent="0.35">
      <c r="A1476" s="3"/>
      <c r="B1476" s="4"/>
      <c r="C1476" s="5"/>
      <c r="D1476" s="5"/>
      <c r="E1476" s="5"/>
      <c r="F1476" s="5"/>
      <c r="G1476" s="5"/>
      <c r="H1476" s="5"/>
      <c r="I1476" s="6"/>
      <c r="J1476" s="5"/>
      <c r="K1476" s="5"/>
      <c r="L1476" s="5"/>
      <c r="M1476" s="5"/>
    </row>
    <row r="1477" spans="1:13" x14ac:dyDescent="0.35">
      <c r="A1477" s="3"/>
      <c r="B1477" s="4"/>
      <c r="C1477" s="5"/>
      <c r="D1477" s="5"/>
      <c r="E1477" s="5"/>
      <c r="F1477" s="5"/>
      <c r="G1477" s="5"/>
      <c r="H1477" s="5"/>
      <c r="I1477" s="6"/>
      <c r="J1477" s="5"/>
      <c r="K1477" s="5"/>
      <c r="L1477" s="5"/>
      <c r="M1477" s="5"/>
    </row>
    <row r="1478" spans="1:13" x14ac:dyDescent="0.35">
      <c r="A1478" s="3"/>
      <c r="B1478" s="4"/>
      <c r="C1478" s="5"/>
      <c r="D1478" s="5"/>
      <c r="E1478" s="5"/>
      <c r="F1478" s="5"/>
      <c r="G1478" s="5"/>
      <c r="H1478" s="5"/>
      <c r="I1478" s="6"/>
      <c r="J1478" s="5"/>
      <c r="K1478" s="5"/>
      <c r="L1478" s="5"/>
      <c r="M1478" s="5"/>
    </row>
    <row r="1479" spans="1:13" x14ac:dyDescent="0.35">
      <c r="A1479" s="3"/>
      <c r="B1479" s="4"/>
      <c r="C1479" s="5"/>
      <c r="D1479" s="5"/>
      <c r="E1479" s="5"/>
      <c r="F1479" s="5"/>
      <c r="G1479" s="5"/>
      <c r="H1479" s="5"/>
      <c r="I1479" s="6"/>
      <c r="J1479" s="5"/>
      <c r="K1479" s="5"/>
      <c r="L1479" s="5"/>
      <c r="M1479" s="5"/>
    </row>
    <row r="1480" spans="1:13" x14ac:dyDescent="0.35">
      <c r="A1480" s="3"/>
      <c r="B1480" s="4"/>
      <c r="C1480" s="5"/>
      <c r="D1480" s="5"/>
      <c r="E1480" s="5"/>
      <c r="F1480" s="5"/>
      <c r="G1480" s="5"/>
      <c r="H1480" s="5"/>
      <c r="I1480" s="6"/>
      <c r="J1480" s="5"/>
      <c r="K1480" s="5"/>
      <c r="L1480" s="5"/>
      <c r="M1480" s="5"/>
    </row>
    <row r="1481" spans="1:13" x14ac:dyDescent="0.35">
      <c r="A1481" s="3"/>
      <c r="B1481" s="4"/>
      <c r="C1481" s="5"/>
      <c r="D1481" s="5"/>
      <c r="E1481" s="5"/>
      <c r="F1481" s="5"/>
      <c r="G1481" s="5"/>
      <c r="H1481" s="5"/>
      <c r="I1481" s="6"/>
      <c r="J1481" s="5"/>
      <c r="K1481" s="5"/>
      <c r="L1481" s="5"/>
      <c r="M1481" s="5"/>
    </row>
    <row r="1482" spans="1:13" x14ac:dyDescent="0.35">
      <c r="A1482" s="3"/>
      <c r="B1482" s="4"/>
      <c r="C1482" s="5"/>
      <c r="D1482" s="5"/>
      <c r="E1482" s="5"/>
      <c r="F1482" s="5"/>
      <c r="G1482" s="5"/>
      <c r="H1482" s="5"/>
      <c r="I1482" s="6"/>
      <c r="J1482" s="5"/>
      <c r="K1482" s="5"/>
      <c r="L1482" s="5"/>
      <c r="M1482" s="5"/>
    </row>
    <row r="1483" spans="1:13" x14ac:dyDescent="0.35">
      <c r="A1483" s="3"/>
      <c r="B1483" s="4"/>
      <c r="C1483" s="5"/>
      <c r="D1483" s="5"/>
      <c r="E1483" s="5"/>
      <c r="F1483" s="5"/>
      <c r="G1483" s="5"/>
      <c r="H1483" s="5"/>
      <c r="I1483" s="6"/>
      <c r="J1483" s="5"/>
      <c r="K1483" s="5"/>
      <c r="L1483" s="5"/>
      <c r="M1483" s="5"/>
    </row>
    <row r="1484" spans="1:13" x14ac:dyDescent="0.35">
      <c r="A1484" s="3"/>
      <c r="B1484" s="4"/>
      <c r="C1484" s="5"/>
      <c r="D1484" s="5"/>
      <c r="E1484" s="5"/>
      <c r="F1484" s="5"/>
      <c r="G1484" s="5"/>
      <c r="H1484" s="5"/>
      <c r="I1484" s="6"/>
      <c r="J1484" s="5"/>
      <c r="K1484" s="5"/>
      <c r="L1484" s="5"/>
      <c r="M1484" s="5"/>
    </row>
    <row r="1485" spans="1:13" x14ac:dyDescent="0.35">
      <c r="A1485" s="3"/>
      <c r="B1485" s="4"/>
      <c r="C1485" s="5"/>
      <c r="D1485" s="5"/>
      <c r="E1485" s="5"/>
      <c r="F1485" s="5"/>
      <c r="G1485" s="5"/>
      <c r="H1485" s="5"/>
      <c r="I1485" s="6"/>
      <c r="J1485" s="5"/>
      <c r="K1485" s="5"/>
      <c r="L1485" s="5"/>
      <c r="M1485" s="5"/>
    </row>
    <row r="1486" spans="1:13" x14ac:dyDescent="0.35">
      <c r="A1486" s="3"/>
      <c r="B1486" s="4"/>
      <c r="C1486" s="5"/>
      <c r="D1486" s="5"/>
      <c r="E1486" s="5"/>
      <c r="F1486" s="5"/>
      <c r="G1486" s="5"/>
      <c r="H1486" s="5"/>
      <c r="I1486" s="6"/>
      <c r="J1486" s="5"/>
      <c r="K1486" s="5"/>
      <c r="L1486" s="5"/>
      <c r="M1486" s="5"/>
    </row>
    <row r="1487" spans="1:13" x14ac:dyDescent="0.35">
      <c r="A1487" s="3"/>
      <c r="B1487" s="4"/>
      <c r="C1487" s="5"/>
      <c r="D1487" s="5"/>
      <c r="E1487" s="5"/>
      <c r="F1487" s="5"/>
      <c r="G1487" s="5"/>
      <c r="H1487" s="5"/>
      <c r="I1487" s="6"/>
      <c r="J1487" s="5"/>
      <c r="K1487" s="5"/>
      <c r="L1487" s="5"/>
      <c r="M1487" s="5"/>
    </row>
    <row r="1488" spans="1:13" x14ac:dyDescent="0.35">
      <c r="A1488" s="3"/>
      <c r="B1488" s="4"/>
      <c r="C1488" s="5"/>
      <c r="D1488" s="5"/>
      <c r="E1488" s="5"/>
      <c r="F1488" s="5"/>
      <c r="G1488" s="5"/>
      <c r="H1488" s="5"/>
      <c r="I1488" s="6"/>
      <c r="J1488" s="5"/>
      <c r="K1488" s="5"/>
      <c r="L1488" s="5"/>
      <c r="M1488" s="5"/>
    </row>
    <row r="1489" spans="1:13" x14ac:dyDescent="0.35">
      <c r="A1489" s="3"/>
      <c r="B1489" s="4"/>
      <c r="C1489" s="5"/>
      <c r="D1489" s="5"/>
      <c r="E1489" s="5"/>
      <c r="F1489" s="5"/>
      <c r="G1489" s="5"/>
      <c r="H1489" s="5"/>
      <c r="I1489" s="6"/>
      <c r="J1489" s="5"/>
      <c r="K1489" s="5"/>
      <c r="L1489" s="5"/>
      <c r="M1489" s="5"/>
    </row>
    <row r="1490" spans="1:13" x14ac:dyDescent="0.35">
      <c r="A1490" s="3"/>
      <c r="B1490" s="4"/>
      <c r="C1490" s="5"/>
      <c r="D1490" s="5"/>
      <c r="E1490" s="5"/>
      <c r="F1490" s="5"/>
      <c r="G1490" s="5"/>
      <c r="H1490" s="5"/>
      <c r="I1490" s="6"/>
      <c r="J1490" s="5"/>
      <c r="K1490" s="5"/>
      <c r="L1490" s="5"/>
      <c r="M1490" s="5"/>
    </row>
    <row r="1491" spans="1:13" x14ac:dyDescent="0.35">
      <c r="A1491" s="3"/>
      <c r="B1491" s="4"/>
      <c r="C1491" s="5"/>
      <c r="D1491" s="5"/>
      <c r="E1491" s="5"/>
      <c r="F1491" s="5"/>
      <c r="G1491" s="5"/>
      <c r="H1491" s="5"/>
      <c r="I1491" s="6"/>
      <c r="J1491" s="5"/>
      <c r="K1491" s="5"/>
      <c r="L1491" s="5"/>
      <c r="M1491" s="5"/>
    </row>
    <row r="1492" spans="1:13" x14ac:dyDescent="0.35">
      <c r="A1492" s="3"/>
      <c r="B1492" s="4"/>
      <c r="C1492" s="5"/>
      <c r="D1492" s="5"/>
      <c r="E1492" s="5"/>
      <c r="F1492" s="5"/>
      <c r="G1492" s="5"/>
      <c r="H1492" s="5"/>
      <c r="I1492" s="6"/>
      <c r="J1492" s="5"/>
      <c r="K1492" s="5"/>
      <c r="L1492" s="5"/>
      <c r="M1492" s="5"/>
    </row>
    <row r="1493" spans="1:13" x14ac:dyDescent="0.35">
      <c r="A1493" s="3"/>
      <c r="B1493" s="4"/>
      <c r="C1493" s="5"/>
      <c r="D1493" s="5"/>
      <c r="E1493" s="5"/>
      <c r="F1493" s="5"/>
      <c r="G1493" s="5"/>
      <c r="H1493" s="5"/>
      <c r="I1493" s="6"/>
      <c r="J1493" s="5"/>
      <c r="K1493" s="5"/>
      <c r="L1493" s="5"/>
      <c r="M1493" s="5"/>
    </row>
    <row r="1494" spans="1:13" x14ac:dyDescent="0.35">
      <c r="A1494" s="3"/>
      <c r="B1494" s="4"/>
      <c r="C1494" s="5"/>
      <c r="D1494" s="5"/>
      <c r="E1494" s="5"/>
      <c r="F1494" s="5"/>
      <c r="G1494" s="5"/>
      <c r="H1494" s="5"/>
      <c r="I1494" s="6"/>
      <c r="J1494" s="5"/>
      <c r="K1494" s="5"/>
      <c r="L1494" s="5"/>
      <c r="M1494" s="5"/>
    </row>
    <row r="1495" spans="1:13" x14ac:dyDescent="0.35">
      <c r="A1495" s="3"/>
      <c r="B1495" s="4"/>
      <c r="C1495" s="5"/>
      <c r="D1495" s="5"/>
      <c r="E1495" s="5"/>
      <c r="F1495" s="5"/>
      <c r="G1495" s="5"/>
      <c r="H1495" s="5"/>
      <c r="I1495" s="6"/>
      <c r="J1495" s="5"/>
      <c r="K1495" s="5"/>
      <c r="L1495" s="5"/>
      <c r="M1495" s="5"/>
    </row>
    <row r="1496" spans="1:13" x14ac:dyDescent="0.35">
      <c r="A1496" s="3"/>
      <c r="B1496" s="4"/>
      <c r="C1496" s="5"/>
      <c r="D1496" s="5"/>
      <c r="E1496" s="5"/>
      <c r="F1496" s="5"/>
      <c r="G1496" s="5"/>
      <c r="H1496" s="5"/>
      <c r="I1496" s="6"/>
      <c r="J1496" s="5"/>
      <c r="K1496" s="5"/>
      <c r="L1496" s="5"/>
      <c r="M1496" s="5"/>
    </row>
    <row r="1497" spans="1:13" x14ac:dyDescent="0.35">
      <c r="A1497" s="3"/>
      <c r="B1497" s="4"/>
      <c r="C1497" s="5"/>
      <c r="D1497" s="5"/>
      <c r="E1497" s="5"/>
      <c r="F1497" s="5"/>
      <c r="G1497" s="5"/>
      <c r="H1497" s="5"/>
      <c r="I1497" s="6"/>
      <c r="J1497" s="5"/>
      <c r="K1497" s="5"/>
      <c r="L1497" s="5"/>
      <c r="M1497" s="5"/>
    </row>
    <row r="1498" spans="1:13" x14ac:dyDescent="0.35">
      <c r="A1498" s="3"/>
      <c r="B1498" s="4"/>
      <c r="C1498" s="5"/>
      <c r="D1498" s="5"/>
      <c r="E1498" s="5"/>
      <c r="F1498" s="5"/>
      <c r="G1498" s="5"/>
      <c r="H1498" s="5"/>
      <c r="I1498" s="6"/>
      <c r="J1498" s="5"/>
      <c r="K1498" s="5"/>
      <c r="L1498" s="5"/>
      <c r="M1498" s="5"/>
    </row>
    <row r="1499" spans="1:13" x14ac:dyDescent="0.35">
      <c r="A1499" s="3"/>
      <c r="B1499" s="4"/>
      <c r="C1499" s="5"/>
      <c r="D1499" s="5"/>
      <c r="E1499" s="5"/>
      <c r="F1499" s="5"/>
      <c r="G1499" s="5"/>
      <c r="H1499" s="5"/>
      <c r="I1499" s="6"/>
      <c r="J1499" s="5"/>
      <c r="K1499" s="5"/>
      <c r="L1499" s="5"/>
      <c r="M1499" s="5"/>
    </row>
    <row r="1500" spans="1:13" x14ac:dyDescent="0.35">
      <c r="A1500" s="3"/>
      <c r="B1500" s="4"/>
      <c r="C1500" s="5"/>
      <c r="D1500" s="5"/>
      <c r="E1500" s="5"/>
      <c r="F1500" s="5"/>
      <c r="G1500" s="5"/>
      <c r="H1500" s="5"/>
      <c r="I1500" s="6"/>
      <c r="J1500" s="5"/>
      <c r="K1500" s="5"/>
      <c r="L1500" s="5"/>
      <c r="M1500" s="5"/>
    </row>
    <row r="1501" spans="1:13" x14ac:dyDescent="0.35">
      <c r="A1501" s="3"/>
      <c r="B1501" s="4"/>
      <c r="C1501" s="5"/>
      <c r="D1501" s="5"/>
      <c r="E1501" s="5"/>
      <c r="F1501" s="5"/>
      <c r="G1501" s="5"/>
      <c r="H1501" s="5"/>
      <c r="I1501" s="6"/>
      <c r="J1501" s="5"/>
      <c r="K1501" s="5"/>
      <c r="L1501" s="5"/>
      <c r="M1501" s="5"/>
    </row>
    <row r="1502" spans="1:13" x14ac:dyDescent="0.35">
      <c r="A1502" s="3"/>
      <c r="B1502" s="4"/>
      <c r="C1502" s="5"/>
      <c r="D1502" s="5"/>
      <c r="E1502" s="5"/>
      <c r="F1502" s="5"/>
      <c r="G1502" s="5"/>
      <c r="H1502" s="5"/>
      <c r="I1502" s="6"/>
      <c r="J1502" s="5"/>
      <c r="K1502" s="5"/>
      <c r="L1502" s="5"/>
      <c r="M1502" s="5"/>
    </row>
    <row r="1503" spans="1:13" x14ac:dyDescent="0.35">
      <c r="A1503" s="3"/>
      <c r="B1503" s="4"/>
      <c r="C1503" s="5"/>
      <c r="D1503" s="5"/>
      <c r="E1503" s="5"/>
      <c r="F1503" s="5"/>
      <c r="G1503" s="5"/>
      <c r="H1503" s="5"/>
      <c r="I1503" s="6"/>
      <c r="J1503" s="5"/>
      <c r="K1503" s="5"/>
      <c r="L1503" s="5"/>
      <c r="M1503" s="5"/>
    </row>
    <row r="1504" spans="1:13" x14ac:dyDescent="0.35">
      <c r="A1504" s="3"/>
      <c r="B1504" s="4"/>
      <c r="C1504" s="5"/>
      <c r="D1504" s="5"/>
      <c r="E1504" s="5"/>
      <c r="F1504" s="5"/>
      <c r="G1504" s="5"/>
      <c r="H1504" s="5"/>
      <c r="I1504" s="6"/>
      <c r="J1504" s="5"/>
      <c r="K1504" s="5"/>
      <c r="L1504" s="5"/>
      <c r="M1504" s="5"/>
    </row>
    <row r="1505" spans="1:13" x14ac:dyDescent="0.35">
      <c r="A1505" s="3"/>
      <c r="B1505" s="4"/>
      <c r="C1505" s="5"/>
      <c r="D1505" s="5"/>
      <c r="E1505" s="5"/>
      <c r="F1505" s="5"/>
      <c r="G1505" s="5"/>
      <c r="H1505" s="5"/>
      <c r="I1505" s="6"/>
      <c r="J1505" s="5"/>
      <c r="K1505" s="5"/>
      <c r="L1505" s="5"/>
      <c r="M1505" s="5"/>
    </row>
    <row r="1506" spans="1:13" x14ac:dyDescent="0.35">
      <c r="A1506" s="3"/>
      <c r="B1506" s="4"/>
      <c r="C1506" s="5"/>
      <c r="D1506" s="5"/>
      <c r="E1506" s="5"/>
      <c r="F1506" s="5"/>
      <c r="G1506" s="5"/>
      <c r="H1506" s="5"/>
      <c r="I1506" s="6"/>
      <c r="J1506" s="5"/>
      <c r="K1506" s="5"/>
      <c r="L1506" s="5"/>
      <c r="M1506" s="5"/>
    </row>
    <row r="1507" spans="1:13" x14ac:dyDescent="0.35">
      <c r="A1507" s="3"/>
      <c r="B1507" s="4"/>
      <c r="C1507" s="5"/>
      <c r="D1507" s="5"/>
      <c r="E1507" s="5"/>
      <c r="F1507" s="5"/>
      <c r="G1507" s="5"/>
      <c r="H1507" s="5"/>
      <c r="I1507" s="6"/>
      <c r="J1507" s="5"/>
      <c r="K1507" s="5"/>
      <c r="L1507" s="5"/>
      <c r="M1507" s="5"/>
    </row>
    <row r="1508" spans="1:13" x14ac:dyDescent="0.35">
      <c r="A1508" s="3"/>
      <c r="B1508" s="4"/>
      <c r="C1508" s="5"/>
      <c r="D1508" s="5"/>
      <c r="E1508" s="5"/>
      <c r="F1508" s="5"/>
      <c r="G1508" s="5"/>
      <c r="H1508" s="5"/>
      <c r="I1508" s="6"/>
      <c r="J1508" s="5"/>
      <c r="K1508" s="5"/>
      <c r="L1508" s="5"/>
      <c r="M1508" s="5"/>
    </row>
    <row r="1509" spans="1:13" x14ac:dyDescent="0.35">
      <c r="A1509" s="3"/>
      <c r="B1509" s="4"/>
      <c r="C1509" s="5"/>
      <c r="D1509" s="5"/>
      <c r="E1509" s="5"/>
      <c r="F1509" s="5"/>
      <c r="G1509" s="5"/>
      <c r="H1509" s="5"/>
      <c r="I1509" s="6"/>
      <c r="J1509" s="5"/>
      <c r="K1509" s="5"/>
      <c r="L1509" s="5"/>
      <c r="M1509" s="5"/>
    </row>
    <row r="1510" spans="1:13" x14ac:dyDescent="0.35">
      <c r="A1510" s="3"/>
      <c r="B1510" s="4"/>
      <c r="C1510" s="5"/>
      <c r="D1510" s="5"/>
      <c r="E1510" s="5"/>
      <c r="F1510" s="5"/>
      <c r="G1510" s="5"/>
      <c r="H1510" s="5"/>
      <c r="I1510" s="6"/>
      <c r="J1510" s="5"/>
      <c r="K1510" s="5"/>
      <c r="L1510" s="5"/>
      <c r="M1510" s="5"/>
    </row>
    <row r="1511" spans="1:13" x14ac:dyDescent="0.35">
      <c r="A1511" s="3"/>
      <c r="B1511" s="4"/>
      <c r="C1511" s="5"/>
      <c r="D1511" s="5"/>
      <c r="E1511" s="5"/>
      <c r="F1511" s="5"/>
      <c r="G1511" s="5"/>
      <c r="H1511" s="5"/>
      <c r="I1511" s="6"/>
      <c r="J1511" s="5"/>
      <c r="K1511" s="5"/>
      <c r="L1511" s="5"/>
      <c r="M1511" s="5"/>
    </row>
    <row r="1512" spans="1:13" x14ac:dyDescent="0.35">
      <c r="A1512" s="3"/>
      <c r="B1512" s="4"/>
      <c r="C1512" s="5"/>
      <c r="D1512" s="5"/>
      <c r="E1512" s="5"/>
      <c r="F1512" s="5"/>
      <c r="G1512" s="5"/>
      <c r="H1512" s="5"/>
      <c r="I1512" s="6"/>
      <c r="J1512" s="5"/>
      <c r="K1512" s="5"/>
      <c r="L1512" s="5"/>
      <c r="M1512" s="5"/>
    </row>
    <row r="1513" spans="1:13" x14ac:dyDescent="0.35">
      <c r="A1513" s="3"/>
      <c r="B1513" s="4"/>
      <c r="C1513" s="5"/>
      <c r="D1513" s="5"/>
      <c r="E1513" s="5"/>
      <c r="F1513" s="5"/>
      <c r="G1513" s="5"/>
      <c r="H1513" s="5"/>
      <c r="I1513" s="6"/>
      <c r="J1513" s="5"/>
      <c r="K1513" s="5"/>
      <c r="L1513" s="5"/>
      <c r="M1513" s="5"/>
    </row>
    <row r="1514" spans="1:13" x14ac:dyDescent="0.35">
      <c r="A1514" s="3"/>
      <c r="B1514" s="4"/>
      <c r="C1514" s="5"/>
      <c r="D1514" s="5"/>
      <c r="E1514" s="5"/>
      <c r="F1514" s="5"/>
      <c r="G1514" s="5"/>
      <c r="H1514" s="5"/>
      <c r="I1514" s="6"/>
      <c r="J1514" s="5"/>
      <c r="K1514" s="5"/>
      <c r="L1514" s="5"/>
      <c r="M1514" s="5"/>
    </row>
    <row r="1515" spans="1:13" x14ac:dyDescent="0.35">
      <c r="A1515" s="3"/>
      <c r="B1515" s="4"/>
      <c r="C1515" s="5"/>
      <c r="D1515" s="5"/>
      <c r="E1515" s="5"/>
      <c r="F1515" s="5"/>
      <c r="G1515" s="5"/>
      <c r="H1515" s="5"/>
      <c r="I1515" s="6"/>
      <c r="J1515" s="5"/>
      <c r="K1515" s="5"/>
      <c r="L1515" s="5"/>
      <c r="M1515" s="5"/>
    </row>
    <row r="1516" spans="1:13" x14ac:dyDescent="0.35">
      <c r="A1516" s="3"/>
      <c r="B1516" s="4"/>
      <c r="C1516" s="5"/>
      <c r="D1516" s="5"/>
      <c r="E1516" s="5"/>
      <c r="F1516" s="5"/>
      <c r="G1516" s="5"/>
      <c r="H1516" s="5"/>
      <c r="I1516" s="6"/>
      <c r="J1516" s="5"/>
      <c r="K1516" s="5"/>
      <c r="L1516" s="5"/>
      <c r="M1516" s="5"/>
    </row>
    <row r="1517" spans="1:13" x14ac:dyDescent="0.35">
      <c r="A1517" s="3"/>
      <c r="B1517" s="4"/>
      <c r="C1517" s="5"/>
      <c r="D1517" s="5"/>
      <c r="E1517" s="5"/>
      <c r="F1517" s="5"/>
      <c r="G1517" s="5"/>
      <c r="H1517" s="5"/>
      <c r="I1517" s="6"/>
      <c r="J1517" s="5"/>
      <c r="K1517" s="5"/>
      <c r="L1517" s="5"/>
      <c r="M1517" s="5"/>
    </row>
    <row r="1518" spans="1:13" x14ac:dyDescent="0.35">
      <c r="A1518" s="3"/>
      <c r="B1518" s="4"/>
      <c r="C1518" s="5"/>
      <c r="D1518" s="5"/>
      <c r="E1518" s="5"/>
      <c r="F1518" s="5"/>
      <c r="G1518" s="5"/>
      <c r="H1518" s="5"/>
      <c r="I1518" s="6"/>
      <c r="J1518" s="5"/>
      <c r="K1518" s="5"/>
      <c r="L1518" s="5"/>
      <c r="M1518" s="5"/>
    </row>
    <row r="1519" spans="1:13" x14ac:dyDescent="0.35">
      <c r="A1519" s="3"/>
      <c r="B1519" s="4"/>
      <c r="C1519" s="5"/>
      <c r="D1519" s="5"/>
      <c r="E1519" s="5"/>
      <c r="F1519" s="5"/>
      <c r="G1519" s="5"/>
      <c r="H1519" s="5"/>
      <c r="I1519" s="6"/>
      <c r="J1519" s="5"/>
      <c r="K1519" s="5"/>
      <c r="L1519" s="5"/>
      <c r="M1519" s="5"/>
    </row>
    <row r="1520" spans="1:13" x14ac:dyDescent="0.35">
      <c r="A1520" s="3"/>
      <c r="B1520" s="4"/>
      <c r="C1520" s="5"/>
      <c r="D1520" s="5"/>
      <c r="E1520" s="5"/>
      <c r="F1520" s="5"/>
      <c r="G1520" s="5"/>
      <c r="H1520" s="5"/>
      <c r="I1520" s="6"/>
      <c r="J1520" s="5"/>
      <c r="K1520" s="5"/>
      <c r="L1520" s="5"/>
      <c r="M1520" s="5"/>
    </row>
    <row r="1521" spans="1:13" x14ac:dyDescent="0.35">
      <c r="A1521" s="3"/>
      <c r="B1521" s="4"/>
      <c r="C1521" s="5"/>
      <c r="D1521" s="5"/>
      <c r="E1521" s="5"/>
      <c r="F1521" s="5"/>
      <c r="G1521" s="5"/>
      <c r="H1521" s="5"/>
      <c r="I1521" s="6"/>
      <c r="J1521" s="5"/>
      <c r="K1521" s="5"/>
      <c r="L1521" s="5"/>
      <c r="M1521" s="5"/>
    </row>
    <row r="1522" spans="1:13" x14ac:dyDescent="0.35">
      <c r="A1522" s="3"/>
      <c r="B1522" s="4"/>
      <c r="C1522" s="5"/>
      <c r="D1522" s="5"/>
      <c r="E1522" s="5"/>
      <c r="F1522" s="5"/>
      <c r="G1522" s="5"/>
      <c r="H1522" s="5"/>
      <c r="I1522" s="6"/>
      <c r="J1522" s="5"/>
      <c r="K1522" s="5"/>
      <c r="L1522" s="5"/>
      <c r="M1522" s="5"/>
    </row>
    <row r="1523" spans="1:13" x14ac:dyDescent="0.35">
      <c r="A1523" s="3"/>
      <c r="B1523" s="4"/>
      <c r="C1523" s="5"/>
      <c r="D1523" s="5"/>
      <c r="E1523" s="5"/>
      <c r="F1523" s="5"/>
      <c r="G1523" s="5"/>
      <c r="H1523" s="5"/>
      <c r="I1523" s="6"/>
      <c r="J1523" s="5"/>
      <c r="K1523" s="5"/>
      <c r="L1523" s="5"/>
      <c r="M1523" s="5"/>
    </row>
    <row r="1524" spans="1:13" x14ac:dyDescent="0.35">
      <c r="A1524" s="3"/>
      <c r="B1524" s="4"/>
      <c r="C1524" s="5"/>
      <c r="D1524" s="5"/>
      <c r="E1524" s="5"/>
      <c r="F1524" s="5"/>
      <c r="G1524" s="5"/>
      <c r="H1524" s="5"/>
      <c r="I1524" s="6"/>
      <c r="J1524" s="5"/>
      <c r="K1524" s="5"/>
      <c r="L1524" s="5"/>
      <c r="M1524" s="5"/>
    </row>
    <row r="1525" spans="1:13" x14ac:dyDescent="0.35">
      <c r="A1525" s="3"/>
      <c r="B1525" s="4"/>
      <c r="C1525" s="5"/>
      <c r="D1525" s="5"/>
      <c r="E1525" s="5"/>
      <c r="F1525" s="5"/>
      <c r="G1525" s="5"/>
      <c r="H1525" s="5"/>
      <c r="I1525" s="6"/>
      <c r="J1525" s="5"/>
      <c r="K1525" s="5"/>
      <c r="L1525" s="5"/>
      <c r="M1525" s="5"/>
    </row>
    <row r="1526" spans="1:13" x14ac:dyDescent="0.35">
      <c r="A1526" s="3"/>
      <c r="B1526" s="4"/>
      <c r="C1526" s="5"/>
      <c r="D1526" s="5"/>
      <c r="E1526" s="5"/>
      <c r="F1526" s="5"/>
      <c r="G1526" s="5"/>
      <c r="H1526" s="5"/>
      <c r="I1526" s="6"/>
      <c r="J1526" s="5"/>
      <c r="K1526" s="5"/>
      <c r="L1526" s="5"/>
      <c r="M1526" s="5"/>
    </row>
    <row r="1527" spans="1:13" x14ac:dyDescent="0.35">
      <c r="A1527" s="3"/>
      <c r="B1527" s="4"/>
      <c r="C1527" s="5"/>
      <c r="D1527" s="5"/>
      <c r="E1527" s="5"/>
      <c r="F1527" s="5"/>
      <c r="G1527" s="5"/>
      <c r="H1527" s="5"/>
      <c r="I1527" s="6"/>
      <c r="J1527" s="5"/>
      <c r="K1527" s="5"/>
      <c r="L1527" s="5"/>
      <c r="M1527" s="5"/>
    </row>
    <row r="1528" spans="1:13" x14ac:dyDescent="0.35">
      <c r="A1528" s="3"/>
      <c r="B1528" s="4"/>
      <c r="C1528" s="5"/>
      <c r="D1528" s="5"/>
      <c r="E1528" s="5"/>
      <c r="F1528" s="5"/>
      <c r="G1528" s="5"/>
      <c r="H1528" s="5"/>
      <c r="I1528" s="6"/>
      <c r="J1528" s="5"/>
      <c r="K1528" s="5"/>
      <c r="L1528" s="5"/>
      <c r="M1528" s="5"/>
    </row>
    <row r="1529" spans="1:13" x14ac:dyDescent="0.35">
      <c r="A1529" s="3"/>
      <c r="B1529" s="4"/>
      <c r="C1529" s="5"/>
      <c r="D1529" s="5"/>
      <c r="E1529" s="5"/>
      <c r="F1529" s="5"/>
      <c r="G1529" s="5"/>
      <c r="H1529" s="5"/>
      <c r="I1529" s="6"/>
      <c r="J1529" s="5"/>
      <c r="K1529" s="5"/>
      <c r="L1529" s="5"/>
      <c r="M1529" s="5"/>
    </row>
    <row r="1530" spans="1:13" x14ac:dyDescent="0.35">
      <c r="A1530" s="3"/>
      <c r="B1530" s="4"/>
      <c r="C1530" s="5"/>
      <c r="D1530" s="5"/>
      <c r="E1530" s="5"/>
      <c r="F1530" s="5"/>
      <c r="G1530" s="5"/>
      <c r="H1530" s="5"/>
      <c r="I1530" s="6"/>
      <c r="J1530" s="5"/>
      <c r="K1530" s="5"/>
      <c r="L1530" s="5"/>
      <c r="M1530" s="5"/>
    </row>
    <row r="1531" spans="1:13" x14ac:dyDescent="0.35">
      <c r="A1531" s="3"/>
      <c r="B1531" s="4"/>
      <c r="C1531" s="5"/>
      <c r="D1531" s="5"/>
      <c r="E1531" s="5"/>
      <c r="F1531" s="5"/>
      <c r="G1531" s="5"/>
      <c r="H1531" s="5"/>
      <c r="I1531" s="6"/>
      <c r="J1531" s="5"/>
      <c r="K1531" s="5"/>
      <c r="L1531" s="5"/>
      <c r="M1531" s="5"/>
    </row>
    <row r="1532" spans="1:13" x14ac:dyDescent="0.35">
      <c r="A1532" s="3"/>
      <c r="B1532" s="4"/>
      <c r="C1532" s="5"/>
      <c r="D1532" s="5"/>
      <c r="E1532" s="5"/>
      <c r="F1532" s="5"/>
      <c r="G1532" s="5"/>
      <c r="H1532" s="5"/>
      <c r="I1532" s="6"/>
      <c r="J1532" s="5"/>
      <c r="K1532" s="5"/>
      <c r="L1532" s="5"/>
      <c r="M1532" s="5"/>
    </row>
    <row r="1533" spans="1:13" x14ac:dyDescent="0.35">
      <c r="A1533" s="3"/>
      <c r="B1533" s="4"/>
      <c r="C1533" s="5"/>
      <c r="D1533" s="5"/>
      <c r="E1533" s="5"/>
      <c r="F1533" s="5"/>
      <c r="G1533" s="5"/>
      <c r="H1533" s="5"/>
      <c r="I1533" s="6"/>
      <c r="J1533" s="5"/>
      <c r="K1533" s="5"/>
      <c r="L1533" s="5"/>
      <c r="M1533" s="5"/>
    </row>
    <row r="1534" spans="1:13" x14ac:dyDescent="0.35">
      <c r="A1534" s="3"/>
      <c r="B1534" s="4"/>
      <c r="C1534" s="5"/>
      <c r="D1534" s="5"/>
      <c r="E1534" s="5"/>
      <c r="F1534" s="5"/>
      <c r="G1534" s="5"/>
      <c r="H1534" s="5"/>
      <c r="I1534" s="6"/>
      <c r="J1534" s="5"/>
      <c r="K1534" s="5"/>
      <c r="L1534" s="5"/>
      <c r="M1534" s="5"/>
    </row>
    <row r="1535" spans="1:13" x14ac:dyDescent="0.35">
      <c r="A1535" s="3"/>
      <c r="B1535" s="4"/>
      <c r="C1535" s="5"/>
      <c r="D1535" s="5"/>
      <c r="E1535" s="5"/>
      <c r="F1535" s="5"/>
      <c r="G1535" s="5"/>
      <c r="H1535" s="5"/>
      <c r="I1535" s="6"/>
      <c r="J1535" s="5"/>
      <c r="K1535" s="5"/>
      <c r="L1535" s="5"/>
      <c r="M1535" s="5"/>
    </row>
    <row r="1536" spans="1:13" x14ac:dyDescent="0.35">
      <c r="A1536" s="3"/>
      <c r="B1536" s="4"/>
      <c r="C1536" s="5"/>
      <c r="D1536" s="5"/>
      <c r="E1536" s="5"/>
      <c r="F1536" s="5"/>
      <c r="G1536" s="5"/>
      <c r="H1536" s="5"/>
      <c r="I1536" s="6"/>
      <c r="J1536" s="5"/>
      <c r="K1536" s="5"/>
      <c r="L1536" s="5"/>
      <c r="M1536" s="5"/>
    </row>
    <row r="1537" spans="1:13" x14ac:dyDescent="0.35">
      <c r="A1537" s="3"/>
      <c r="B1537" s="4"/>
      <c r="C1537" s="5"/>
      <c r="D1537" s="5"/>
      <c r="E1537" s="5"/>
      <c r="F1537" s="5"/>
      <c r="G1537" s="5"/>
      <c r="H1537" s="5"/>
      <c r="I1537" s="6"/>
      <c r="J1537" s="5"/>
      <c r="K1537" s="5"/>
      <c r="L1537" s="5"/>
      <c r="M1537" s="5"/>
    </row>
    <row r="1538" spans="1:13" x14ac:dyDescent="0.35">
      <c r="A1538" s="3"/>
      <c r="B1538" s="4"/>
      <c r="C1538" s="5"/>
      <c r="D1538" s="5"/>
      <c r="E1538" s="5"/>
      <c r="F1538" s="5"/>
      <c r="G1538" s="5"/>
      <c r="H1538" s="5"/>
      <c r="I1538" s="6"/>
      <c r="J1538" s="5"/>
      <c r="K1538" s="5"/>
      <c r="L1538" s="5"/>
      <c r="M1538" s="5"/>
    </row>
    <row r="1539" spans="1:13" x14ac:dyDescent="0.35">
      <c r="A1539" s="3"/>
      <c r="B1539" s="4"/>
      <c r="C1539" s="5"/>
      <c r="D1539" s="5"/>
      <c r="E1539" s="5"/>
      <c r="F1539" s="5"/>
      <c r="G1539" s="5"/>
      <c r="H1539" s="5"/>
      <c r="I1539" s="6"/>
      <c r="J1539" s="5"/>
      <c r="K1539" s="5"/>
      <c r="L1539" s="5"/>
      <c r="M1539" s="5"/>
    </row>
    <row r="1540" spans="1:13" x14ac:dyDescent="0.35">
      <c r="A1540" s="3"/>
      <c r="B1540" s="4"/>
      <c r="C1540" s="5"/>
      <c r="D1540" s="5"/>
      <c r="E1540" s="5"/>
      <c r="F1540" s="5"/>
      <c r="G1540" s="5"/>
      <c r="H1540" s="5"/>
      <c r="I1540" s="6"/>
      <c r="J1540" s="5"/>
      <c r="K1540" s="5"/>
      <c r="L1540" s="5"/>
      <c r="M1540" s="5"/>
    </row>
    <row r="1541" spans="1:13" x14ac:dyDescent="0.35">
      <c r="A1541" s="3"/>
      <c r="B1541" s="4"/>
      <c r="C1541" s="5"/>
      <c r="D1541" s="5"/>
      <c r="E1541" s="5"/>
      <c r="F1541" s="5"/>
      <c r="G1541" s="5"/>
      <c r="H1541" s="5"/>
      <c r="I1541" s="6"/>
      <c r="J1541" s="5"/>
      <c r="K1541" s="5"/>
      <c r="L1541" s="5"/>
      <c r="M1541" s="5"/>
    </row>
    <row r="1542" spans="1:13" x14ac:dyDescent="0.35">
      <c r="A1542" s="3"/>
      <c r="B1542" s="4"/>
      <c r="C1542" s="5"/>
      <c r="D1542" s="5"/>
      <c r="E1542" s="5"/>
      <c r="F1542" s="5"/>
      <c r="G1542" s="5"/>
      <c r="H1542" s="5"/>
      <c r="I1542" s="6"/>
      <c r="J1542" s="5"/>
      <c r="K1542" s="5"/>
      <c r="L1542" s="5"/>
      <c r="M1542" s="5"/>
    </row>
    <row r="1543" spans="1:13" x14ac:dyDescent="0.35">
      <c r="A1543" s="3"/>
      <c r="B1543" s="4"/>
      <c r="C1543" s="5"/>
      <c r="D1543" s="5"/>
      <c r="E1543" s="5"/>
      <c r="F1543" s="5"/>
      <c r="G1543" s="5"/>
      <c r="H1543" s="5"/>
      <c r="I1543" s="6"/>
      <c r="J1543" s="5"/>
      <c r="K1543" s="5"/>
      <c r="L1543" s="5"/>
      <c r="M1543" s="5"/>
    </row>
    <row r="1544" spans="1:13" x14ac:dyDescent="0.35">
      <c r="A1544" s="3"/>
      <c r="B1544" s="4"/>
      <c r="C1544" s="5"/>
      <c r="D1544" s="5"/>
      <c r="E1544" s="5"/>
      <c r="F1544" s="5"/>
      <c r="G1544" s="5"/>
      <c r="H1544" s="5"/>
      <c r="I1544" s="6"/>
      <c r="J1544" s="5"/>
      <c r="K1544" s="5"/>
      <c r="L1544" s="5"/>
      <c r="M1544" s="5"/>
    </row>
    <row r="1545" spans="1:13" x14ac:dyDescent="0.35">
      <c r="A1545" s="3"/>
      <c r="B1545" s="4"/>
      <c r="C1545" s="5"/>
      <c r="D1545" s="5"/>
      <c r="E1545" s="5"/>
      <c r="F1545" s="5"/>
      <c r="G1545" s="5"/>
      <c r="H1545" s="5"/>
      <c r="I1545" s="6"/>
      <c r="J1545" s="5"/>
      <c r="K1545" s="5"/>
      <c r="L1545" s="5"/>
      <c r="M1545" s="5"/>
    </row>
    <row r="1546" spans="1:13" x14ac:dyDescent="0.35">
      <c r="A1546" s="3"/>
      <c r="B1546" s="4"/>
      <c r="C1546" s="5"/>
      <c r="D1546" s="5"/>
      <c r="E1546" s="5"/>
      <c r="F1546" s="5"/>
      <c r="G1546" s="5"/>
      <c r="H1546" s="5"/>
      <c r="I1546" s="6"/>
      <c r="J1546" s="5"/>
      <c r="K1546" s="5"/>
      <c r="L1546" s="5"/>
      <c r="M1546" s="5"/>
    </row>
    <row r="1547" spans="1:13" x14ac:dyDescent="0.35">
      <c r="A1547" s="3"/>
      <c r="B1547" s="4"/>
      <c r="C1547" s="5"/>
      <c r="D1547" s="5"/>
      <c r="E1547" s="5"/>
      <c r="F1547" s="5"/>
      <c r="G1547" s="5"/>
      <c r="H1547" s="5"/>
      <c r="I1547" s="6"/>
      <c r="J1547" s="5"/>
      <c r="K1547" s="5"/>
      <c r="L1547" s="5"/>
      <c r="M1547" s="5"/>
    </row>
    <row r="1548" spans="1:13" x14ac:dyDescent="0.35">
      <c r="A1548" s="3"/>
      <c r="B1548" s="4"/>
      <c r="C1548" s="5"/>
      <c r="D1548" s="5"/>
      <c r="E1548" s="5"/>
      <c r="F1548" s="5"/>
      <c r="G1548" s="5"/>
      <c r="H1548" s="5"/>
      <c r="I1548" s="6"/>
      <c r="J1548" s="5"/>
      <c r="K1548" s="5"/>
      <c r="L1548" s="5"/>
      <c r="M1548" s="5"/>
    </row>
    <row r="1549" spans="1:13" x14ac:dyDescent="0.35">
      <c r="A1549" s="3"/>
      <c r="B1549" s="4"/>
      <c r="C1549" s="5"/>
      <c r="D1549" s="5"/>
      <c r="E1549" s="5"/>
      <c r="F1549" s="5"/>
      <c r="G1549" s="5"/>
      <c r="H1549" s="5"/>
      <c r="I1549" s="6"/>
      <c r="J1549" s="5"/>
      <c r="K1549" s="5"/>
      <c r="L1549" s="5"/>
      <c r="M1549" s="5"/>
    </row>
    <row r="1550" spans="1:13" x14ac:dyDescent="0.35">
      <c r="A1550" s="3"/>
      <c r="B1550" s="4"/>
      <c r="C1550" s="5"/>
      <c r="D1550" s="5"/>
      <c r="E1550" s="5"/>
      <c r="F1550" s="5"/>
      <c r="G1550" s="5"/>
      <c r="H1550" s="5"/>
      <c r="I1550" s="6"/>
      <c r="J1550" s="5"/>
      <c r="K1550" s="5"/>
      <c r="L1550" s="5"/>
      <c r="M1550" s="5"/>
    </row>
    <row r="1551" spans="1:13" x14ac:dyDescent="0.35">
      <c r="A1551" s="3"/>
      <c r="B1551" s="4"/>
      <c r="C1551" s="5"/>
      <c r="D1551" s="5"/>
      <c r="E1551" s="5"/>
      <c r="F1551" s="5"/>
      <c r="G1551" s="5"/>
      <c r="H1551" s="5"/>
      <c r="I1551" s="6"/>
      <c r="J1551" s="5"/>
      <c r="K1551" s="5"/>
      <c r="L1551" s="5"/>
      <c r="M1551" s="5"/>
    </row>
    <row r="1552" spans="1:13" x14ac:dyDescent="0.35">
      <c r="A1552" s="3"/>
      <c r="B1552" s="4"/>
      <c r="C1552" s="5"/>
      <c r="D1552" s="5"/>
      <c r="E1552" s="5"/>
      <c r="F1552" s="5"/>
      <c r="G1552" s="5"/>
      <c r="H1552" s="5"/>
      <c r="I1552" s="6"/>
      <c r="J1552" s="5"/>
      <c r="K1552" s="5"/>
      <c r="L1552" s="5"/>
      <c r="M1552" s="5"/>
    </row>
    <row r="1553" spans="1:13" x14ac:dyDescent="0.35">
      <c r="A1553" s="3"/>
      <c r="B1553" s="4"/>
      <c r="C1553" s="5"/>
      <c r="D1553" s="5"/>
      <c r="E1553" s="5"/>
      <c r="F1553" s="5"/>
      <c r="G1553" s="5"/>
      <c r="H1553" s="5"/>
      <c r="I1553" s="6"/>
      <c r="J1553" s="5"/>
      <c r="K1553" s="5"/>
      <c r="L1553" s="5"/>
      <c r="M1553" s="5"/>
    </row>
    <row r="1554" spans="1:13" x14ac:dyDescent="0.35">
      <c r="A1554" s="3"/>
      <c r="B1554" s="4"/>
      <c r="C1554" s="5"/>
      <c r="D1554" s="5"/>
      <c r="E1554" s="5"/>
      <c r="F1554" s="5"/>
      <c r="G1554" s="5"/>
      <c r="H1554" s="5"/>
      <c r="I1554" s="6"/>
      <c r="J1554" s="5"/>
      <c r="K1554" s="5"/>
      <c r="L1554" s="5"/>
      <c r="M1554" s="5"/>
    </row>
    <row r="1555" spans="1:13" x14ac:dyDescent="0.35">
      <c r="A1555" s="3"/>
      <c r="B1555" s="4"/>
      <c r="C1555" s="5"/>
      <c r="D1555" s="5"/>
      <c r="E1555" s="5"/>
      <c r="F1555" s="5"/>
      <c r="G1555" s="5"/>
      <c r="H1555" s="5"/>
      <c r="I1555" s="6"/>
      <c r="J1555" s="5"/>
      <c r="K1555" s="5"/>
      <c r="L1555" s="5"/>
      <c r="M1555" s="5"/>
    </row>
    <row r="1556" spans="1:13" x14ac:dyDescent="0.35">
      <c r="A1556" s="3"/>
      <c r="B1556" s="4"/>
      <c r="C1556" s="5"/>
      <c r="D1556" s="5"/>
      <c r="E1556" s="5"/>
      <c r="F1556" s="5"/>
      <c r="G1556" s="5"/>
      <c r="H1556" s="5"/>
      <c r="I1556" s="6"/>
      <c r="J1556" s="5"/>
      <c r="K1556" s="5"/>
      <c r="L1556" s="5"/>
      <c r="M1556" s="5"/>
    </row>
    <row r="1557" spans="1:13" x14ac:dyDescent="0.35">
      <c r="A1557" s="3"/>
      <c r="B1557" s="4"/>
      <c r="C1557" s="5"/>
      <c r="D1557" s="5"/>
      <c r="E1557" s="5"/>
      <c r="F1557" s="5"/>
      <c r="G1557" s="5"/>
      <c r="H1557" s="5"/>
      <c r="I1557" s="6"/>
      <c r="J1557" s="5"/>
      <c r="K1557" s="5"/>
      <c r="L1557" s="5"/>
      <c r="M1557" s="5"/>
    </row>
    <row r="1558" spans="1:13" x14ac:dyDescent="0.35">
      <c r="A1558" s="3"/>
      <c r="B1558" s="4"/>
      <c r="C1558" s="5"/>
      <c r="D1558" s="5"/>
      <c r="E1558" s="5"/>
      <c r="F1558" s="5"/>
      <c r="G1558" s="5"/>
      <c r="H1558" s="5"/>
      <c r="I1558" s="6"/>
      <c r="J1558" s="5"/>
      <c r="K1558" s="5"/>
      <c r="L1558" s="5"/>
      <c r="M1558" s="5"/>
    </row>
    <row r="1559" spans="1:13" x14ac:dyDescent="0.35">
      <c r="A1559" s="3"/>
      <c r="B1559" s="4"/>
      <c r="C1559" s="5"/>
      <c r="D1559" s="5"/>
      <c r="E1559" s="5"/>
      <c r="F1559" s="5"/>
      <c r="G1559" s="5"/>
      <c r="H1559" s="5"/>
      <c r="I1559" s="6"/>
      <c r="J1559" s="5"/>
      <c r="K1559" s="5"/>
      <c r="L1559" s="5"/>
      <c r="M1559" s="5"/>
    </row>
    <row r="1560" spans="1:13" x14ac:dyDescent="0.35">
      <c r="A1560" s="3"/>
      <c r="B1560" s="4"/>
      <c r="C1560" s="5"/>
      <c r="D1560" s="5"/>
      <c r="E1560" s="5"/>
      <c r="F1560" s="5"/>
      <c r="G1560" s="5"/>
      <c r="H1560" s="5"/>
      <c r="I1560" s="6"/>
      <c r="J1560" s="5"/>
      <c r="K1560" s="5"/>
      <c r="L1560" s="5"/>
      <c r="M1560" s="5"/>
    </row>
    <row r="1561" spans="1:13" x14ac:dyDescent="0.35">
      <c r="A1561" s="3"/>
      <c r="B1561" s="4"/>
      <c r="C1561" s="5"/>
      <c r="D1561" s="5"/>
      <c r="E1561" s="5"/>
      <c r="F1561" s="5"/>
      <c r="G1561" s="5"/>
      <c r="H1561" s="5"/>
      <c r="I1561" s="6"/>
      <c r="J1561" s="5"/>
      <c r="K1561" s="5"/>
      <c r="L1561" s="5"/>
      <c r="M1561" s="5"/>
    </row>
    <row r="1562" spans="1:13" x14ac:dyDescent="0.35">
      <c r="A1562" s="3"/>
      <c r="B1562" s="4"/>
      <c r="C1562" s="5"/>
      <c r="D1562" s="5"/>
      <c r="E1562" s="5"/>
      <c r="F1562" s="5"/>
      <c r="G1562" s="5"/>
      <c r="H1562" s="5"/>
      <c r="I1562" s="6"/>
      <c r="J1562" s="5"/>
      <c r="K1562" s="5"/>
      <c r="L1562" s="5"/>
      <c r="M1562" s="5"/>
    </row>
    <row r="1563" spans="1:13" x14ac:dyDescent="0.35">
      <c r="A1563" s="3"/>
      <c r="B1563" s="4"/>
      <c r="C1563" s="5"/>
      <c r="D1563" s="5"/>
      <c r="E1563" s="5"/>
      <c r="F1563" s="5"/>
      <c r="G1563" s="5"/>
      <c r="H1563" s="5"/>
      <c r="I1563" s="6"/>
      <c r="J1563" s="5"/>
      <c r="K1563" s="5"/>
      <c r="L1563" s="5"/>
      <c r="M1563" s="5"/>
    </row>
    <row r="1564" spans="1:13" x14ac:dyDescent="0.35">
      <c r="A1564" s="3"/>
      <c r="B1564" s="4"/>
      <c r="C1564" s="5"/>
      <c r="D1564" s="5"/>
      <c r="E1564" s="5"/>
      <c r="F1564" s="5"/>
      <c r="G1564" s="5"/>
      <c r="H1564" s="5"/>
      <c r="I1564" s="6"/>
      <c r="J1564" s="5"/>
      <c r="K1564" s="5"/>
      <c r="L1564" s="5"/>
      <c r="M1564" s="5"/>
    </row>
    <row r="1565" spans="1:13" x14ac:dyDescent="0.35">
      <c r="A1565" s="3"/>
      <c r="B1565" s="4"/>
      <c r="C1565" s="5"/>
      <c r="D1565" s="5"/>
      <c r="E1565" s="5"/>
      <c r="F1565" s="5"/>
      <c r="G1565" s="5"/>
      <c r="H1565" s="5"/>
      <c r="I1565" s="6"/>
      <c r="J1565" s="5"/>
      <c r="K1565" s="5"/>
      <c r="L1565" s="5"/>
      <c r="M1565" s="5"/>
    </row>
    <row r="1566" spans="1:13" x14ac:dyDescent="0.35">
      <c r="A1566" s="3"/>
      <c r="B1566" s="4"/>
      <c r="C1566" s="5"/>
      <c r="D1566" s="5"/>
      <c r="E1566" s="5"/>
      <c r="F1566" s="5"/>
      <c r="G1566" s="5"/>
      <c r="H1566" s="5"/>
      <c r="I1566" s="6"/>
      <c r="J1566" s="5"/>
      <c r="K1566" s="5"/>
      <c r="L1566" s="5"/>
      <c r="M1566" s="5"/>
    </row>
    <row r="1567" spans="1:13" x14ac:dyDescent="0.35">
      <c r="A1567" s="3"/>
      <c r="B1567" s="4"/>
      <c r="C1567" s="5"/>
      <c r="D1567" s="5"/>
      <c r="E1567" s="5"/>
      <c r="F1567" s="5"/>
      <c r="G1567" s="5"/>
      <c r="H1567" s="5"/>
      <c r="I1567" s="6"/>
      <c r="J1567" s="5"/>
      <c r="K1567" s="5"/>
      <c r="L1567" s="5"/>
      <c r="M1567" s="5"/>
    </row>
    <row r="1568" spans="1:13" x14ac:dyDescent="0.35">
      <c r="A1568" s="3"/>
      <c r="B1568" s="4"/>
      <c r="C1568" s="5"/>
      <c r="D1568" s="5"/>
      <c r="E1568" s="5"/>
      <c r="F1568" s="5"/>
      <c r="G1568" s="5"/>
      <c r="H1568" s="5"/>
      <c r="I1568" s="6"/>
      <c r="J1568" s="5"/>
      <c r="K1568" s="5"/>
      <c r="L1568" s="5"/>
      <c r="M1568" s="5"/>
    </row>
    <row r="1569" spans="1:13" x14ac:dyDescent="0.35">
      <c r="A1569" s="3"/>
      <c r="B1569" s="4"/>
      <c r="C1569" s="5"/>
      <c r="D1569" s="5"/>
      <c r="E1569" s="5"/>
      <c r="F1569" s="5"/>
      <c r="G1569" s="5"/>
      <c r="H1569" s="5"/>
      <c r="I1569" s="6"/>
      <c r="J1569" s="5"/>
      <c r="K1569" s="5"/>
      <c r="L1569" s="5"/>
      <c r="M1569" s="5"/>
    </row>
    <row r="1570" spans="1:13" x14ac:dyDescent="0.35">
      <c r="A1570" s="3"/>
      <c r="B1570" s="4"/>
      <c r="C1570" s="5"/>
      <c r="D1570" s="5"/>
      <c r="E1570" s="5"/>
      <c r="F1570" s="5"/>
      <c r="G1570" s="5"/>
      <c r="H1570" s="5"/>
      <c r="I1570" s="6"/>
      <c r="J1570" s="5"/>
      <c r="K1570" s="5"/>
      <c r="L1570" s="5"/>
      <c r="M1570" s="5"/>
    </row>
    <row r="1571" spans="1:13" x14ac:dyDescent="0.35">
      <c r="A1571" s="3"/>
      <c r="B1571" s="4"/>
      <c r="C1571" s="5"/>
      <c r="D1571" s="5"/>
      <c r="E1571" s="5"/>
      <c r="F1571" s="5"/>
      <c r="G1571" s="5"/>
      <c r="H1571" s="5"/>
      <c r="I1571" s="6"/>
      <c r="J1571" s="5"/>
      <c r="K1571" s="5"/>
      <c r="L1571" s="5"/>
      <c r="M1571" s="5"/>
    </row>
    <row r="1572" spans="1:13" x14ac:dyDescent="0.35">
      <c r="A1572" s="3"/>
      <c r="B1572" s="4"/>
      <c r="C1572" s="5"/>
      <c r="D1572" s="5"/>
      <c r="E1572" s="5"/>
      <c r="F1572" s="5"/>
      <c r="G1572" s="5"/>
      <c r="H1572" s="5"/>
      <c r="I1572" s="6"/>
      <c r="J1572" s="5"/>
      <c r="K1572" s="5"/>
      <c r="L1572" s="5"/>
      <c r="M1572" s="5"/>
    </row>
    <row r="1573" spans="1:13" x14ac:dyDescent="0.35">
      <c r="A1573" s="3"/>
      <c r="B1573" s="4"/>
      <c r="C1573" s="5"/>
      <c r="D1573" s="5"/>
      <c r="E1573" s="5"/>
      <c r="F1573" s="5"/>
      <c r="G1573" s="5"/>
      <c r="H1573" s="5"/>
      <c r="I1573" s="6"/>
      <c r="J1573" s="5"/>
      <c r="K1573" s="5"/>
      <c r="L1573" s="5"/>
      <c r="M1573" s="5"/>
    </row>
    <row r="1574" spans="1:13" x14ac:dyDescent="0.35">
      <c r="A1574" s="3"/>
      <c r="B1574" s="4"/>
      <c r="C1574" s="5"/>
      <c r="D1574" s="5"/>
      <c r="E1574" s="5"/>
      <c r="F1574" s="5"/>
      <c r="G1574" s="5"/>
      <c r="H1574" s="5"/>
      <c r="I1574" s="6"/>
      <c r="J1574" s="5"/>
      <c r="K1574" s="5"/>
      <c r="L1574" s="5"/>
      <c r="M1574" s="5"/>
    </row>
    <row r="1575" spans="1:13" x14ac:dyDescent="0.35">
      <c r="A1575" s="3"/>
      <c r="B1575" s="4"/>
      <c r="C1575" s="5"/>
      <c r="D1575" s="5"/>
      <c r="E1575" s="5"/>
      <c r="F1575" s="5"/>
      <c r="G1575" s="5"/>
      <c r="H1575" s="5"/>
      <c r="I1575" s="6"/>
      <c r="J1575" s="5"/>
      <c r="K1575" s="5"/>
      <c r="L1575" s="5"/>
      <c r="M1575" s="5"/>
    </row>
    <row r="1576" spans="1:13" x14ac:dyDescent="0.35">
      <c r="A1576" s="3"/>
      <c r="B1576" s="4"/>
      <c r="C1576" s="5"/>
      <c r="D1576" s="5"/>
      <c r="E1576" s="5"/>
      <c r="F1576" s="5"/>
      <c r="G1576" s="5"/>
      <c r="H1576" s="5"/>
      <c r="I1576" s="6"/>
      <c r="J1576" s="5"/>
      <c r="K1576" s="5"/>
      <c r="L1576" s="5"/>
      <c r="M1576" s="5"/>
    </row>
    <row r="1577" spans="1:13" x14ac:dyDescent="0.35">
      <c r="A1577" s="3"/>
      <c r="B1577" s="4"/>
      <c r="C1577" s="5"/>
      <c r="D1577" s="5"/>
      <c r="E1577" s="5"/>
      <c r="F1577" s="5"/>
      <c r="G1577" s="5"/>
      <c r="H1577" s="5"/>
      <c r="I1577" s="6"/>
      <c r="J1577" s="5"/>
      <c r="K1577" s="5"/>
      <c r="L1577" s="5"/>
      <c r="M1577" s="5"/>
    </row>
    <row r="1578" spans="1:13" x14ac:dyDescent="0.35">
      <c r="A1578" s="3"/>
      <c r="B1578" s="4"/>
      <c r="C1578" s="5"/>
      <c r="D1578" s="5"/>
      <c r="E1578" s="5"/>
      <c r="F1578" s="5"/>
      <c r="G1578" s="5"/>
      <c r="H1578" s="5"/>
      <c r="I1578" s="6"/>
      <c r="J1578" s="5"/>
      <c r="K1578" s="5"/>
      <c r="L1578" s="5"/>
      <c r="M1578" s="5"/>
    </row>
    <row r="1579" spans="1:13" x14ac:dyDescent="0.35">
      <c r="A1579" s="3"/>
      <c r="B1579" s="4"/>
      <c r="C1579" s="5"/>
      <c r="D1579" s="5"/>
      <c r="E1579" s="5"/>
      <c r="F1579" s="5"/>
      <c r="G1579" s="5"/>
      <c r="H1579" s="5"/>
      <c r="I1579" s="6"/>
      <c r="J1579" s="5"/>
      <c r="K1579" s="5"/>
      <c r="L1579" s="5"/>
      <c r="M1579" s="5"/>
    </row>
    <row r="1580" spans="1:13" x14ac:dyDescent="0.35">
      <c r="A1580" s="3"/>
      <c r="B1580" s="4"/>
      <c r="C1580" s="5"/>
      <c r="D1580" s="5"/>
      <c r="E1580" s="5"/>
      <c r="F1580" s="5"/>
      <c r="G1580" s="5"/>
      <c r="H1580" s="5"/>
      <c r="I1580" s="6"/>
      <c r="J1580" s="5"/>
      <c r="K1580" s="5"/>
      <c r="L1580" s="5"/>
      <c r="M1580" s="5"/>
    </row>
    <row r="1581" spans="1:13" x14ac:dyDescent="0.35">
      <c r="A1581" s="3"/>
      <c r="B1581" s="4"/>
      <c r="C1581" s="5"/>
      <c r="D1581" s="5"/>
      <c r="E1581" s="5"/>
      <c r="F1581" s="5"/>
      <c r="G1581" s="5"/>
      <c r="H1581" s="5"/>
      <c r="I1581" s="6"/>
      <c r="J1581" s="5"/>
      <c r="K1581" s="5"/>
      <c r="L1581" s="5"/>
      <c r="M1581" s="5"/>
    </row>
    <row r="1582" spans="1:13" x14ac:dyDescent="0.35">
      <c r="A1582" s="3"/>
      <c r="B1582" s="4"/>
      <c r="C1582" s="5"/>
      <c r="D1582" s="5"/>
      <c r="E1582" s="5"/>
      <c r="F1582" s="5"/>
      <c r="G1582" s="5"/>
      <c r="H1582" s="5"/>
      <c r="I1582" s="6"/>
      <c r="J1582" s="5"/>
      <c r="K1582" s="5"/>
      <c r="L1582" s="5"/>
      <c r="M1582" s="5"/>
    </row>
    <row r="1583" spans="1:13" x14ac:dyDescent="0.35">
      <c r="A1583" s="3"/>
      <c r="B1583" s="4"/>
      <c r="C1583" s="5"/>
      <c r="D1583" s="5"/>
      <c r="E1583" s="5"/>
      <c r="F1583" s="5"/>
      <c r="G1583" s="5"/>
      <c r="H1583" s="5"/>
      <c r="I1583" s="6"/>
      <c r="J1583" s="5"/>
      <c r="K1583" s="5"/>
      <c r="L1583" s="5"/>
      <c r="M1583" s="5"/>
    </row>
    <row r="1584" spans="1:13" x14ac:dyDescent="0.35">
      <c r="A1584" s="3"/>
      <c r="B1584" s="4"/>
      <c r="C1584" s="5"/>
      <c r="D1584" s="5"/>
      <c r="E1584" s="5"/>
      <c r="F1584" s="5"/>
      <c r="G1584" s="5"/>
      <c r="H1584" s="5"/>
      <c r="I1584" s="6"/>
      <c r="J1584" s="5"/>
      <c r="K1584" s="5"/>
      <c r="L1584" s="5"/>
      <c r="M1584" s="5"/>
    </row>
    <row r="1585" spans="1:13" x14ac:dyDescent="0.35">
      <c r="A1585" s="3"/>
      <c r="B1585" s="4"/>
      <c r="C1585" s="5"/>
      <c r="D1585" s="5"/>
      <c r="E1585" s="5"/>
      <c r="F1585" s="5"/>
      <c r="G1585" s="5"/>
      <c r="H1585" s="5"/>
      <c r="I1585" s="6"/>
      <c r="J1585" s="5"/>
      <c r="K1585" s="5"/>
      <c r="L1585" s="5"/>
      <c r="M1585" s="5"/>
    </row>
    <row r="1586" spans="1:13" x14ac:dyDescent="0.35">
      <c r="A1586" s="3"/>
      <c r="B1586" s="4"/>
      <c r="C1586" s="5"/>
      <c r="D1586" s="5"/>
      <c r="E1586" s="5"/>
      <c r="F1586" s="5"/>
      <c r="G1586" s="5"/>
      <c r="H1586" s="5"/>
      <c r="I1586" s="6"/>
      <c r="J1586" s="5"/>
      <c r="K1586" s="5"/>
      <c r="L1586" s="5"/>
      <c r="M1586" s="5"/>
    </row>
    <row r="1587" spans="1:13" x14ac:dyDescent="0.35">
      <c r="A1587" s="3"/>
      <c r="B1587" s="4"/>
      <c r="C1587" s="5"/>
      <c r="D1587" s="5"/>
      <c r="E1587" s="5"/>
      <c r="F1587" s="5"/>
      <c r="G1587" s="5"/>
      <c r="H1587" s="5"/>
      <c r="I1587" s="6"/>
      <c r="J1587" s="5"/>
      <c r="K1587" s="5"/>
      <c r="L1587" s="5"/>
      <c r="M1587" s="5"/>
    </row>
    <row r="1588" spans="1:13" x14ac:dyDescent="0.35">
      <c r="A1588" s="3"/>
      <c r="B1588" s="4"/>
      <c r="C1588" s="5"/>
      <c r="D1588" s="5"/>
      <c r="E1588" s="5"/>
      <c r="F1588" s="5"/>
      <c r="G1588" s="5"/>
      <c r="H1588" s="5"/>
      <c r="I1588" s="6"/>
      <c r="J1588" s="5"/>
      <c r="K1588" s="5"/>
      <c r="L1588" s="5"/>
      <c r="M1588" s="5"/>
    </row>
    <row r="1589" spans="1:13" x14ac:dyDescent="0.35">
      <c r="A1589" s="3"/>
      <c r="B1589" s="4"/>
      <c r="C1589" s="5"/>
      <c r="D1589" s="5"/>
      <c r="E1589" s="5"/>
      <c r="F1589" s="5"/>
      <c r="G1589" s="5"/>
      <c r="H1589" s="5"/>
      <c r="I1589" s="6"/>
      <c r="J1589" s="5"/>
      <c r="K1589" s="5"/>
      <c r="L1589" s="5"/>
      <c r="M1589" s="5"/>
    </row>
    <row r="1590" spans="1:13" x14ac:dyDescent="0.35">
      <c r="A1590" s="3"/>
      <c r="B1590" s="4"/>
      <c r="C1590" s="5"/>
      <c r="D1590" s="5"/>
      <c r="E1590" s="5"/>
      <c r="F1590" s="5"/>
      <c r="G1590" s="5"/>
      <c r="H1590" s="5"/>
      <c r="I1590" s="6"/>
      <c r="J1590" s="5"/>
      <c r="K1590" s="5"/>
      <c r="L1590" s="5"/>
      <c r="M1590" s="5"/>
    </row>
    <row r="1591" spans="1:13" x14ac:dyDescent="0.35">
      <c r="A1591" s="3"/>
      <c r="B1591" s="4"/>
      <c r="C1591" s="5"/>
      <c r="D1591" s="5"/>
      <c r="E1591" s="5"/>
      <c r="F1591" s="5"/>
      <c r="G1591" s="5"/>
      <c r="H1591" s="5"/>
      <c r="I1591" s="6"/>
      <c r="J1591" s="5"/>
      <c r="K1591" s="5"/>
      <c r="L1591" s="5"/>
      <c r="M1591" s="5"/>
    </row>
    <row r="1592" spans="1:13" x14ac:dyDescent="0.35">
      <c r="A1592" s="3"/>
      <c r="B1592" s="4"/>
      <c r="C1592" s="5"/>
      <c r="D1592" s="5"/>
      <c r="E1592" s="5"/>
      <c r="F1592" s="5"/>
      <c r="G1592" s="5"/>
      <c r="H1592" s="5"/>
      <c r="I1592" s="6"/>
      <c r="J1592" s="5"/>
      <c r="K1592" s="5"/>
      <c r="L1592" s="5"/>
      <c r="M1592" s="5"/>
    </row>
    <row r="1593" spans="1:13" x14ac:dyDescent="0.35">
      <c r="A1593" s="3"/>
      <c r="B1593" s="4"/>
      <c r="C1593" s="5"/>
      <c r="D1593" s="5"/>
      <c r="E1593" s="5"/>
      <c r="F1593" s="5"/>
      <c r="G1593" s="5"/>
      <c r="H1593" s="5"/>
      <c r="I1593" s="6"/>
      <c r="J1593" s="5"/>
      <c r="K1593" s="5"/>
      <c r="L1593" s="5"/>
      <c r="M1593" s="5"/>
    </row>
    <row r="1594" spans="1:13" x14ac:dyDescent="0.35">
      <c r="A1594" s="3"/>
      <c r="B1594" s="4"/>
      <c r="C1594" s="5"/>
      <c r="D1594" s="5"/>
      <c r="E1594" s="5"/>
      <c r="F1594" s="5"/>
      <c r="G1594" s="5"/>
      <c r="H1594" s="5"/>
      <c r="I1594" s="6"/>
      <c r="J1594" s="5"/>
      <c r="K1594" s="5"/>
      <c r="L1594" s="5"/>
      <c r="M1594" s="5"/>
    </row>
    <row r="1595" spans="1:13" x14ac:dyDescent="0.35">
      <c r="A1595" s="3"/>
      <c r="B1595" s="4"/>
      <c r="C1595" s="5"/>
      <c r="D1595" s="5"/>
      <c r="E1595" s="5"/>
      <c r="F1595" s="5"/>
      <c r="G1595" s="5"/>
      <c r="H1595" s="5"/>
      <c r="I1595" s="6"/>
      <c r="J1595" s="5"/>
      <c r="K1595" s="5"/>
      <c r="L1595" s="5"/>
      <c r="M1595" s="5"/>
    </row>
    <row r="1596" spans="1:13" x14ac:dyDescent="0.35">
      <c r="A1596" s="3"/>
      <c r="B1596" s="4"/>
      <c r="C1596" s="5"/>
      <c r="D1596" s="5"/>
      <c r="E1596" s="5"/>
      <c r="F1596" s="5"/>
      <c r="G1596" s="5"/>
      <c r="H1596" s="5"/>
      <c r="I1596" s="6"/>
      <c r="J1596" s="5"/>
      <c r="K1596" s="5"/>
      <c r="L1596" s="5"/>
      <c r="M1596" s="5"/>
    </row>
    <row r="1597" spans="1:13" x14ac:dyDescent="0.35">
      <c r="A1597" s="3"/>
      <c r="B1597" s="4"/>
      <c r="C1597" s="5"/>
      <c r="D1597" s="5"/>
      <c r="E1597" s="5"/>
      <c r="F1597" s="5"/>
      <c r="G1597" s="5"/>
      <c r="H1597" s="5"/>
      <c r="I1597" s="6"/>
      <c r="J1597" s="5"/>
      <c r="K1597" s="5"/>
      <c r="L1597" s="5"/>
      <c r="M1597" s="5"/>
    </row>
    <row r="1598" spans="1:13" x14ac:dyDescent="0.35">
      <c r="A1598" s="3"/>
      <c r="B1598" s="4"/>
      <c r="C1598" s="5"/>
      <c r="D1598" s="5"/>
      <c r="E1598" s="5"/>
      <c r="F1598" s="5"/>
      <c r="G1598" s="5"/>
      <c r="H1598" s="5"/>
      <c r="I1598" s="6"/>
      <c r="J1598" s="5"/>
      <c r="K1598" s="5"/>
      <c r="L1598" s="5"/>
      <c r="M1598" s="5"/>
    </row>
    <row r="1599" spans="1:13" x14ac:dyDescent="0.35">
      <c r="A1599" s="3"/>
      <c r="B1599" s="4"/>
      <c r="C1599" s="5"/>
      <c r="D1599" s="5"/>
      <c r="E1599" s="5"/>
      <c r="F1599" s="5"/>
      <c r="G1599" s="5"/>
      <c r="H1599" s="5"/>
      <c r="I1599" s="6"/>
      <c r="J1599" s="5"/>
      <c r="K1599" s="5"/>
      <c r="L1599" s="5"/>
      <c r="M1599" s="5"/>
    </row>
    <row r="1600" spans="1:13" x14ac:dyDescent="0.35">
      <c r="A1600" s="3"/>
      <c r="B1600" s="4"/>
      <c r="C1600" s="5"/>
      <c r="D1600" s="5"/>
      <c r="E1600" s="5"/>
      <c r="F1600" s="5"/>
      <c r="G1600" s="5"/>
      <c r="H1600" s="5"/>
      <c r="I1600" s="6"/>
      <c r="J1600" s="5"/>
      <c r="K1600" s="5"/>
      <c r="L1600" s="5"/>
      <c r="M1600" s="5"/>
    </row>
    <row r="1601" spans="1:13" x14ac:dyDescent="0.35">
      <c r="A1601" s="3"/>
      <c r="B1601" s="4"/>
      <c r="C1601" s="5"/>
      <c r="D1601" s="5"/>
      <c r="E1601" s="5"/>
      <c r="F1601" s="5"/>
      <c r="G1601" s="5"/>
      <c r="H1601" s="5"/>
      <c r="I1601" s="6"/>
      <c r="J1601" s="5"/>
      <c r="K1601" s="5"/>
      <c r="L1601" s="5"/>
      <c r="M1601" s="5"/>
    </row>
    <row r="1602" spans="1:13" x14ac:dyDescent="0.35">
      <c r="A1602" s="3"/>
      <c r="B1602" s="4"/>
      <c r="C1602" s="5"/>
      <c r="D1602" s="5"/>
      <c r="E1602" s="5"/>
      <c r="F1602" s="5"/>
      <c r="G1602" s="5"/>
      <c r="H1602" s="5"/>
      <c r="I1602" s="6"/>
      <c r="J1602" s="5"/>
      <c r="K1602" s="5"/>
      <c r="L1602" s="5"/>
      <c r="M1602" s="5"/>
    </row>
    <row r="1603" spans="1:13" x14ac:dyDescent="0.35">
      <c r="A1603" s="3"/>
      <c r="B1603" s="4"/>
      <c r="C1603" s="5"/>
      <c r="D1603" s="5"/>
      <c r="E1603" s="5"/>
      <c r="F1603" s="5"/>
      <c r="G1603" s="5"/>
      <c r="H1603" s="5"/>
      <c r="I1603" s="6"/>
      <c r="J1603" s="5"/>
      <c r="K1603" s="5"/>
      <c r="L1603" s="5"/>
      <c r="M1603" s="5"/>
    </row>
    <row r="1604" spans="1:13" x14ac:dyDescent="0.35">
      <c r="A1604" s="3"/>
      <c r="B1604" s="4"/>
      <c r="C1604" s="5"/>
      <c r="D1604" s="5"/>
      <c r="E1604" s="5"/>
      <c r="F1604" s="5"/>
      <c r="G1604" s="5"/>
      <c r="H1604" s="5"/>
      <c r="I1604" s="6"/>
      <c r="J1604" s="5"/>
      <c r="K1604" s="5"/>
      <c r="L1604" s="5"/>
      <c r="M1604" s="5"/>
    </row>
    <row r="1605" spans="1:13" x14ac:dyDescent="0.35">
      <c r="A1605" s="3"/>
      <c r="B1605" s="4"/>
      <c r="C1605" s="5"/>
      <c r="D1605" s="5"/>
      <c r="E1605" s="5"/>
      <c r="F1605" s="5"/>
      <c r="G1605" s="5"/>
      <c r="H1605" s="5"/>
      <c r="I1605" s="6"/>
      <c r="J1605" s="5"/>
      <c r="K1605" s="5"/>
      <c r="L1605" s="5"/>
      <c r="M1605" s="5"/>
    </row>
    <row r="1606" spans="1:13" x14ac:dyDescent="0.35">
      <c r="A1606" s="3"/>
      <c r="B1606" s="4"/>
      <c r="C1606" s="5"/>
      <c r="D1606" s="5"/>
      <c r="E1606" s="5"/>
      <c r="F1606" s="5"/>
      <c r="G1606" s="5"/>
      <c r="H1606" s="5"/>
      <c r="I1606" s="6"/>
      <c r="J1606" s="5"/>
      <c r="K1606" s="5"/>
      <c r="L1606" s="5"/>
      <c r="M1606" s="5"/>
    </row>
    <row r="1607" spans="1:13" x14ac:dyDescent="0.35">
      <c r="A1607" s="3"/>
      <c r="B1607" s="4"/>
      <c r="C1607" s="5"/>
      <c r="D1607" s="5"/>
      <c r="E1607" s="5"/>
      <c r="F1607" s="5"/>
      <c r="G1607" s="5"/>
      <c r="H1607" s="5"/>
      <c r="I1607" s="6"/>
      <c r="J1607" s="5"/>
      <c r="K1607" s="5"/>
      <c r="L1607" s="5"/>
      <c r="M1607" s="5"/>
    </row>
    <row r="1608" spans="1:13" x14ac:dyDescent="0.35">
      <c r="A1608" s="3"/>
      <c r="B1608" s="4"/>
      <c r="C1608" s="5"/>
      <c r="D1608" s="5"/>
      <c r="E1608" s="5"/>
      <c r="F1608" s="5"/>
      <c r="G1608" s="5"/>
      <c r="H1608" s="5"/>
      <c r="I1608" s="6"/>
      <c r="J1608" s="5"/>
      <c r="K1608" s="5"/>
      <c r="L1608" s="5"/>
      <c r="M1608" s="5"/>
    </row>
    <row r="1609" spans="1:13" x14ac:dyDescent="0.35">
      <c r="A1609" s="3"/>
      <c r="B1609" s="4"/>
      <c r="C1609" s="5"/>
      <c r="D1609" s="5"/>
      <c r="E1609" s="5"/>
      <c r="F1609" s="5"/>
      <c r="G1609" s="5"/>
      <c r="H1609" s="5"/>
      <c r="I1609" s="6"/>
      <c r="J1609" s="5"/>
      <c r="K1609" s="5"/>
      <c r="L1609" s="5"/>
      <c r="M1609" s="5"/>
    </row>
    <row r="1610" spans="1:13" x14ac:dyDescent="0.35">
      <c r="A1610" s="3"/>
      <c r="B1610" s="4"/>
      <c r="C1610" s="5"/>
      <c r="D1610" s="5"/>
      <c r="E1610" s="5"/>
      <c r="F1610" s="5"/>
      <c r="G1610" s="5"/>
      <c r="H1610" s="5"/>
      <c r="I1610" s="6"/>
      <c r="J1610" s="5"/>
      <c r="K1610" s="5"/>
      <c r="L1610" s="5"/>
      <c r="M1610" s="5"/>
    </row>
    <row r="1611" spans="1:13" x14ac:dyDescent="0.35">
      <c r="A1611" s="3"/>
      <c r="B1611" s="4"/>
      <c r="C1611" s="5"/>
      <c r="D1611" s="5"/>
      <c r="E1611" s="5"/>
      <c r="F1611" s="5"/>
      <c r="G1611" s="5"/>
      <c r="H1611" s="5"/>
      <c r="I1611" s="6"/>
      <c r="J1611" s="5"/>
      <c r="K1611" s="5"/>
      <c r="L1611" s="5"/>
      <c r="M1611" s="5"/>
    </row>
    <row r="1612" spans="1:13" x14ac:dyDescent="0.35">
      <c r="A1612" s="3"/>
      <c r="B1612" s="4"/>
      <c r="C1612" s="5"/>
      <c r="D1612" s="5"/>
      <c r="E1612" s="5"/>
      <c r="F1612" s="5"/>
      <c r="G1612" s="5"/>
      <c r="H1612" s="5"/>
      <c r="I1612" s="6"/>
      <c r="J1612" s="5"/>
      <c r="K1612" s="5"/>
      <c r="L1612" s="5"/>
      <c r="M1612" s="5"/>
    </row>
    <row r="1613" spans="1:13" x14ac:dyDescent="0.35">
      <c r="A1613" s="3"/>
      <c r="B1613" s="4"/>
      <c r="C1613" s="5"/>
      <c r="D1613" s="5"/>
      <c r="E1613" s="5"/>
      <c r="F1613" s="5"/>
      <c r="G1613" s="5"/>
      <c r="H1613" s="5"/>
      <c r="I1613" s="6"/>
      <c r="J1613" s="5"/>
      <c r="K1613" s="5"/>
      <c r="L1613" s="5"/>
      <c r="M1613" s="5"/>
    </row>
    <row r="1614" spans="1:13" x14ac:dyDescent="0.35">
      <c r="A1614" s="3"/>
      <c r="B1614" s="4"/>
      <c r="C1614" s="5"/>
      <c r="D1614" s="5"/>
      <c r="E1614" s="5"/>
      <c r="F1614" s="5"/>
      <c r="G1614" s="5"/>
      <c r="H1614" s="5"/>
      <c r="I1614" s="6"/>
      <c r="J1614" s="5"/>
      <c r="K1614" s="5"/>
      <c r="L1614" s="5"/>
      <c r="M1614" s="5"/>
    </row>
    <row r="1615" spans="1:13" x14ac:dyDescent="0.35">
      <c r="A1615" s="3"/>
      <c r="B1615" s="4"/>
      <c r="C1615" s="5"/>
      <c r="D1615" s="5"/>
      <c r="E1615" s="5"/>
      <c r="F1615" s="5"/>
      <c r="G1615" s="5"/>
      <c r="H1615" s="5"/>
      <c r="I1615" s="6"/>
      <c r="J1615" s="5"/>
      <c r="K1615" s="5"/>
      <c r="L1615" s="5"/>
      <c r="M1615" s="5"/>
    </row>
    <row r="1616" spans="1:13" x14ac:dyDescent="0.35">
      <c r="A1616" s="3"/>
      <c r="B1616" s="4"/>
      <c r="C1616" s="5"/>
      <c r="D1616" s="5"/>
      <c r="E1616" s="5"/>
      <c r="F1616" s="5"/>
      <c r="G1616" s="5"/>
      <c r="H1616" s="5"/>
      <c r="I1616" s="6"/>
      <c r="J1616" s="5"/>
      <c r="K1616" s="5"/>
      <c r="L1616" s="5"/>
      <c r="M1616" s="5"/>
    </row>
    <row r="1617" spans="1:13" x14ac:dyDescent="0.35">
      <c r="A1617" s="3"/>
      <c r="B1617" s="4"/>
      <c r="C1617" s="5"/>
      <c r="D1617" s="5"/>
      <c r="E1617" s="5"/>
      <c r="F1617" s="5"/>
      <c r="G1617" s="5"/>
      <c r="H1617" s="5"/>
      <c r="I1617" s="6"/>
      <c r="J1617" s="5"/>
      <c r="K1617" s="5"/>
      <c r="L1617" s="5"/>
      <c r="M1617" s="5"/>
    </row>
    <row r="1618" spans="1:13" x14ac:dyDescent="0.35">
      <c r="A1618" s="3"/>
      <c r="B1618" s="4"/>
      <c r="C1618" s="5"/>
      <c r="D1618" s="5"/>
      <c r="E1618" s="5"/>
      <c r="F1618" s="5"/>
      <c r="G1618" s="5"/>
      <c r="H1618" s="5"/>
      <c r="I1618" s="6"/>
      <c r="J1618" s="5"/>
      <c r="K1618" s="5"/>
      <c r="L1618" s="5"/>
      <c r="M1618" s="5"/>
    </row>
    <row r="1619" spans="1:13" x14ac:dyDescent="0.35">
      <c r="A1619" s="3"/>
      <c r="B1619" s="4"/>
      <c r="C1619" s="5"/>
      <c r="D1619" s="5"/>
      <c r="E1619" s="5"/>
      <c r="F1619" s="5"/>
      <c r="G1619" s="5"/>
      <c r="H1619" s="5"/>
      <c r="I1619" s="6"/>
      <c r="J1619" s="5"/>
      <c r="K1619" s="5"/>
      <c r="L1619" s="5"/>
      <c r="M1619" s="5"/>
    </row>
    <row r="1620" spans="1:13" x14ac:dyDescent="0.35">
      <c r="A1620" s="3"/>
      <c r="B1620" s="4"/>
      <c r="C1620" s="5"/>
      <c r="D1620" s="5"/>
      <c r="E1620" s="5"/>
      <c r="F1620" s="5"/>
      <c r="G1620" s="5"/>
      <c r="H1620" s="5"/>
      <c r="I1620" s="6"/>
      <c r="J1620" s="5"/>
      <c r="K1620" s="5"/>
      <c r="L1620" s="5"/>
      <c r="M1620" s="5"/>
    </row>
    <row r="1621" spans="1:13" x14ac:dyDescent="0.35">
      <c r="A1621" s="3"/>
      <c r="B1621" s="4"/>
      <c r="C1621" s="5"/>
      <c r="D1621" s="5"/>
      <c r="E1621" s="5"/>
      <c r="F1621" s="5"/>
      <c r="G1621" s="5"/>
      <c r="H1621" s="5"/>
      <c r="I1621" s="6"/>
      <c r="J1621" s="5"/>
      <c r="K1621" s="5"/>
      <c r="L1621" s="5"/>
      <c r="M1621" s="5"/>
    </row>
    <row r="1622" spans="1:13" x14ac:dyDescent="0.35">
      <c r="A1622" s="3"/>
      <c r="B1622" s="4"/>
      <c r="C1622" s="5"/>
      <c r="D1622" s="5"/>
      <c r="E1622" s="5"/>
      <c r="F1622" s="5"/>
      <c r="G1622" s="5"/>
      <c r="H1622" s="5"/>
      <c r="I1622" s="6"/>
      <c r="J1622" s="5"/>
      <c r="K1622" s="5"/>
      <c r="L1622" s="5"/>
      <c r="M1622" s="5"/>
    </row>
    <row r="1623" spans="1:13" x14ac:dyDescent="0.35">
      <c r="A1623" s="3"/>
      <c r="B1623" s="4"/>
      <c r="C1623" s="5"/>
      <c r="D1623" s="5"/>
      <c r="E1623" s="5"/>
      <c r="F1623" s="5"/>
      <c r="G1623" s="5"/>
      <c r="H1623" s="5"/>
      <c r="I1623" s="6"/>
      <c r="J1623" s="5"/>
      <c r="K1623" s="5"/>
      <c r="L1623" s="5"/>
      <c r="M1623" s="5"/>
    </row>
    <row r="1624" spans="1:13" x14ac:dyDescent="0.35">
      <c r="A1624" s="3"/>
      <c r="B1624" s="4"/>
      <c r="C1624" s="5"/>
      <c r="D1624" s="5"/>
      <c r="E1624" s="5"/>
      <c r="F1624" s="5"/>
      <c r="G1624" s="5"/>
      <c r="H1624" s="5"/>
      <c r="I1624" s="6"/>
      <c r="J1624" s="5"/>
      <c r="K1624" s="5"/>
      <c r="L1624" s="5"/>
      <c r="M1624" s="5"/>
    </row>
    <row r="1625" spans="1:13" x14ac:dyDescent="0.35">
      <c r="A1625" s="3"/>
      <c r="B1625" s="4"/>
      <c r="C1625" s="5"/>
      <c r="D1625" s="5"/>
      <c r="E1625" s="5"/>
      <c r="F1625" s="5"/>
      <c r="G1625" s="5"/>
      <c r="H1625" s="5"/>
      <c r="I1625" s="6"/>
      <c r="J1625" s="5"/>
      <c r="K1625" s="5"/>
      <c r="L1625" s="5"/>
      <c r="M1625" s="5"/>
    </row>
    <row r="1626" spans="1:13" x14ac:dyDescent="0.35">
      <c r="A1626" s="3"/>
      <c r="B1626" s="4"/>
      <c r="C1626" s="5"/>
      <c r="D1626" s="5"/>
      <c r="E1626" s="5"/>
      <c r="F1626" s="5"/>
      <c r="G1626" s="5"/>
      <c r="H1626" s="5"/>
      <c r="I1626" s="6"/>
      <c r="J1626" s="5"/>
      <c r="K1626" s="5"/>
      <c r="L1626" s="5"/>
      <c r="M1626" s="5"/>
    </row>
    <row r="1627" spans="1:13" x14ac:dyDescent="0.35">
      <c r="A1627" s="3"/>
      <c r="B1627" s="4"/>
      <c r="C1627" s="5"/>
      <c r="D1627" s="5"/>
      <c r="E1627" s="5"/>
      <c r="F1627" s="5"/>
      <c r="G1627" s="5"/>
      <c r="H1627" s="5"/>
      <c r="I1627" s="6"/>
      <c r="J1627" s="5"/>
      <c r="K1627" s="5"/>
      <c r="L1627" s="5"/>
      <c r="M1627" s="5"/>
    </row>
    <row r="1628" spans="1:13" x14ac:dyDescent="0.35">
      <c r="A1628" s="3"/>
      <c r="B1628" s="4"/>
      <c r="C1628" s="5"/>
      <c r="D1628" s="5"/>
      <c r="E1628" s="5"/>
      <c r="F1628" s="5"/>
      <c r="G1628" s="5"/>
      <c r="H1628" s="5"/>
      <c r="I1628" s="6"/>
      <c r="J1628" s="5"/>
      <c r="K1628" s="5"/>
      <c r="L1628" s="5"/>
      <c r="M1628" s="5"/>
    </row>
    <row r="1629" spans="1:13" x14ac:dyDescent="0.35">
      <c r="A1629" s="3"/>
      <c r="B1629" s="4"/>
      <c r="C1629" s="5"/>
      <c r="D1629" s="5"/>
      <c r="E1629" s="5"/>
      <c r="F1629" s="5"/>
      <c r="G1629" s="5"/>
      <c r="H1629" s="5"/>
      <c r="I1629" s="6"/>
      <c r="J1629" s="5"/>
      <c r="K1629" s="5"/>
      <c r="L1629" s="5"/>
      <c r="M1629" s="5"/>
    </row>
    <row r="1630" spans="1:13" x14ac:dyDescent="0.35">
      <c r="A1630" s="3"/>
      <c r="B1630" s="4"/>
      <c r="C1630" s="5"/>
      <c r="D1630" s="5"/>
      <c r="E1630" s="5"/>
      <c r="F1630" s="5"/>
      <c r="G1630" s="5"/>
      <c r="H1630" s="5"/>
      <c r="I1630" s="6"/>
      <c r="J1630" s="5"/>
      <c r="K1630" s="5"/>
      <c r="L1630" s="5"/>
      <c r="M1630" s="5"/>
    </row>
    <row r="1631" spans="1:13" x14ac:dyDescent="0.35">
      <c r="A1631" s="3"/>
      <c r="B1631" s="4"/>
      <c r="C1631" s="5"/>
      <c r="D1631" s="5"/>
      <c r="E1631" s="5"/>
      <c r="F1631" s="5"/>
      <c r="G1631" s="5"/>
      <c r="H1631" s="5"/>
      <c r="I1631" s="6"/>
      <c r="J1631" s="5"/>
      <c r="K1631" s="5"/>
      <c r="L1631" s="5"/>
      <c r="M1631" s="5"/>
    </row>
    <row r="1632" spans="1:13" x14ac:dyDescent="0.35">
      <c r="A1632" s="3"/>
      <c r="B1632" s="4"/>
      <c r="C1632" s="5"/>
      <c r="D1632" s="5"/>
      <c r="E1632" s="5"/>
      <c r="F1632" s="5"/>
      <c r="G1632" s="5"/>
      <c r="H1632" s="5"/>
      <c r="I1632" s="6"/>
      <c r="J1632" s="5"/>
      <c r="K1632" s="5"/>
      <c r="L1632" s="5"/>
      <c r="M1632" s="5"/>
    </row>
    <row r="1633" spans="1:13" x14ac:dyDescent="0.35">
      <c r="A1633" s="3"/>
      <c r="B1633" s="4"/>
      <c r="C1633" s="5"/>
      <c r="D1633" s="5"/>
      <c r="E1633" s="5"/>
      <c r="F1633" s="5"/>
      <c r="G1633" s="5"/>
      <c r="H1633" s="5"/>
      <c r="I1633" s="6"/>
      <c r="J1633" s="5"/>
      <c r="K1633" s="5"/>
      <c r="L1633" s="5"/>
      <c r="M1633" s="5"/>
    </row>
    <row r="1634" spans="1:13" x14ac:dyDescent="0.35">
      <c r="A1634" s="3"/>
      <c r="B1634" s="4"/>
      <c r="C1634" s="5"/>
      <c r="D1634" s="5"/>
      <c r="E1634" s="5"/>
      <c r="F1634" s="5"/>
      <c r="G1634" s="5"/>
      <c r="H1634" s="5"/>
      <c r="I1634" s="6"/>
      <c r="J1634" s="5"/>
      <c r="K1634" s="5"/>
      <c r="L1634" s="5"/>
      <c r="M1634" s="5"/>
    </row>
    <row r="1635" spans="1:13" x14ac:dyDescent="0.35">
      <c r="A1635" s="3"/>
      <c r="B1635" s="4"/>
      <c r="C1635" s="5"/>
      <c r="D1635" s="5"/>
      <c r="E1635" s="5"/>
      <c r="F1635" s="5"/>
      <c r="G1635" s="5"/>
      <c r="H1635" s="5"/>
      <c r="I1635" s="6"/>
      <c r="J1635" s="5"/>
      <c r="K1635" s="5"/>
      <c r="L1635" s="5"/>
      <c r="M1635" s="5"/>
    </row>
    <row r="1636" spans="1:13" x14ac:dyDescent="0.35">
      <c r="A1636" s="3"/>
      <c r="B1636" s="4"/>
      <c r="C1636" s="5"/>
      <c r="D1636" s="5"/>
      <c r="E1636" s="5"/>
      <c r="F1636" s="5"/>
      <c r="G1636" s="5"/>
      <c r="H1636" s="5"/>
      <c r="I1636" s="6"/>
      <c r="J1636" s="5"/>
      <c r="K1636" s="5"/>
      <c r="L1636" s="5"/>
      <c r="M1636" s="5"/>
    </row>
    <row r="1637" spans="1:13" x14ac:dyDescent="0.35">
      <c r="A1637" s="3"/>
      <c r="B1637" s="4"/>
      <c r="C1637" s="5"/>
      <c r="D1637" s="5"/>
      <c r="E1637" s="5"/>
      <c r="F1637" s="5"/>
      <c r="G1637" s="5"/>
      <c r="H1637" s="5"/>
      <c r="I1637" s="6"/>
      <c r="J1637" s="5"/>
      <c r="K1637" s="5"/>
      <c r="L1637" s="5"/>
      <c r="M1637" s="5"/>
    </row>
    <row r="1638" spans="1:13" x14ac:dyDescent="0.35">
      <c r="A1638" s="3"/>
      <c r="B1638" s="4"/>
      <c r="C1638" s="5"/>
      <c r="D1638" s="5"/>
      <c r="E1638" s="5"/>
      <c r="F1638" s="5"/>
      <c r="G1638" s="5"/>
      <c r="H1638" s="5"/>
      <c r="I1638" s="6"/>
      <c r="J1638" s="5"/>
      <c r="K1638" s="5"/>
      <c r="L1638" s="5"/>
      <c r="M1638" s="5"/>
    </row>
    <row r="1639" spans="1:13" x14ac:dyDescent="0.35">
      <c r="A1639" s="3"/>
      <c r="B1639" s="4"/>
      <c r="C1639" s="5"/>
      <c r="D1639" s="5"/>
      <c r="E1639" s="5"/>
      <c r="F1639" s="5"/>
      <c r="G1639" s="5"/>
      <c r="H1639" s="5"/>
      <c r="I1639" s="6"/>
      <c r="J1639" s="5"/>
      <c r="K1639" s="5"/>
      <c r="L1639" s="5"/>
      <c r="M1639" s="5"/>
    </row>
    <row r="1640" spans="1:13" x14ac:dyDescent="0.35">
      <c r="A1640" s="3"/>
      <c r="B1640" s="4"/>
      <c r="C1640" s="5"/>
      <c r="D1640" s="5"/>
      <c r="E1640" s="5"/>
      <c r="F1640" s="5"/>
      <c r="G1640" s="5"/>
      <c r="H1640" s="5"/>
      <c r="I1640" s="6"/>
      <c r="J1640" s="5"/>
      <c r="K1640" s="5"/>
      <c r="L1640" s="5"/>
      <c r="M1640" s="5"/>
    </row>
    <row r="1641" spans="1:13" x14ac:dyDescent="0.35">
      <c r="A1641" s="3"/>
      <c r="B1641" s="4"/>
      <c r="C1641" s="5"/>
      <c r="D1641" s="5"/>
      <c r="E1641" s="5"/>
      <c r="F1641" s="5"/>
      <c r="G1641" s="5"/>
      <c r="H1641" s="5"/>
      <c r="I1641" s="6"/>
      <c r="J1641" s="5"/>
      <c r="K1641" s="5"/>
      <c r="L1641" s="5"/>
      <c r="M1641" s="5"/>
    </row>
    <row r="1642" spans="1:13" x14ac:dyDescent="0.35">
      <c r="A1642" s="3"/>
      <c r="B1642" s="4"/>
      <c r="C1642" s="5"/>
      <c r="D1642" s="5"/>
      <c r="E1642" s="5"/>
      <c r="F1642" s="5"/>
      <c r="G1642" s="5"/>
      <c r="H1642" s="5"/>
      <c r="I1642" s="6"/>
      <c r="J1642" s="5"/>
      <c r="K1642" s="5"/>
      <c r="L1642" s="5"/>
      <c r="M1642" s="5"/>
    </row>
    <row r="1643" spans="1:13" x14ac:dyDescent="0.35">
      <c r="A1643" s="3"/>
      <c r="B1643" s="4"/>
      <c r="C1643" s="5"/>
      <c r="D1643" s="5"/>
      <c r="E1643" s="5"/>
      <c r="F1643" s="5"/>
      <c r="G1643" s="5"/>
      <c r="H1643" s="5"/>
      <c r="I1643" s="6"/>
      <c r="J1643" s="5"/>
      <c r="K1643" s="5"/>
      <c r="L1643" s="5"/>
      <c r="M1643" s="5"/>
    </row>
    <row r="1644" spans="1:13" x14ac:dyDescent="0.35">
      <c r="A1644" s="3"/>
      <c r="B1644" s="4"/>
      <c r="C1644" s="5"/>
      <c r="D1644" s="5"/>
      <c r="E1644" s="5"/>
      <c r="F1644" s="5"/>
      <c r="G1644" s="5"/>
      <c r="H1644" s="5"/>
      <c r="I1644" s="6"/>
      <c r="J1644" s="5"/>
      <c r="K1644" s="5"/>
      <c r="L1644" s="5"/>
      <c r="M1644" s="5"/>
    </row>
    <row r="1645" spans="1:13" x14ac:dyDescent="0.35">
      <c r="A1645" s="3"/>
      <c r="B1645" s="4"/>
      <c r="C1645" s="5"/>
      <c r="D1645" s="5"/>
      <c r="E1645" s="5"/>
      <c r="F1645" s="5"/>
      <c r="G1645" s="5"/>
      <c r="H1645" s="5"/>
      <c r="I1645" s="6"/>
      <c r="J1645" s="5"/>
      <c r="K1645" s="5"/>
      <c r="L1645" s="5"/>
      <c r="M1645" s="5"/>
    </row>
    <row r="1646" spans="1:13" x14ac:dyDescent="0.35">
      <c r="A1646" s="3"/>
      <c r="B1646" s="4"/>
      <c r="C1646" s="5"/>
      <c r="D1646" s="5"/>
      <c r="E1646" s="5"/>
      <c r="F1646" s="5"/>
      <c r="G1646" s="5"/>
      <c r="H1646" s="5"/>
      <c r="I1646" s="6"/>
      <c r="J1646" s="5"/>
      <c r="K1646" s="5"/>
      <c r="L1646" s="5"/>
      <c r="M1646" s="5"/>
    </row>
    <row r="1647" spans="1:13" x14ac:dyDescent="0.35">
      <c r="A1647" s="3"/>
      <c r="B1647" s="4"/>
      <c r="C1647" s="5"/>
      <c r="D1647" s="5"/>
      <c r="E1647" s="5"/>
      <c r="F1647" s="5"/>
      <c r="G1647" s="5"/>
      <c r="H1647" s="5"/>
      <c r="I1647" s="6"/>
      <c r="J1647" s="5"/>
      <c r="K1647" s="5"/>
      <c r="L1647" s="5"/>
      <c r="M1647" s="5"/>
    </row>
    <row r="1648" spans="1:13" x14ac:dyDescent="0.35">
      <c r="A1648" s="3"/>
      <c r="B1648" s="4"/>
      <c r="C1648" s="5"/>
      <c r="D1648" s="5"/>
      <c r="E1648" s="5"/>
      <c r="F1648" s="5"/>
      <c r="G1648" s="5"/>
      <c r="H1648" s="5"/>
      <c r="I1648" s="6"/>
      <c r="J1648" s="5"/>
      <c r="K1648" s="5"/>
      <c r="L1648" s="5"/>
      <c r="M1648" s="5"/>
    </row>
    <row r="1649" spans="1:13" x14ac:dyDescent="0.35">
      <c r="A1649" s="3"/>
      <c r="B1649" s="4"/>
      <c r="C1649" s="5"/>
      <c r="D1649" s="5"/>
      <c r="E1649" s="5"/>
      <c r="F1649" s="5"/>
      <c r="G1649" s="5"/>
      <c r="H1649" s="5"/>
      <c r="I1649" s="6"/>
      <c r="J1649" s="5"/>
      <c r="K1649" s="5"/>
      <c r="L1649" s="5"/>
      <c r="M1649" s="5"/>
    </row>
    <row r="1650" spans="1:13" x14ac:dyDescent="0.35">
      <c r="A1650" s="3"/>
      <c r="B1650" s="4"/>
      <c r="C1650" s="5"/>
      <c r="D1650" s="5"/>
      <c r="E1650" s="5"/>
      <c r="F1650" s="5"/>
      <c r="G1650" s="5"/>
      <c r="H1650" s="5"/>
      <c r="I1650" s="6"/>
      <c r="J1650" s="5"/>
      <c r="K1650" s="5"/>
      <c r="L1650" s="5"/>
      <c r="M1650" s="5"/>
    </row>
    <row r="1651" spans="1:13" x14ac:dyDescent="0.35">
      <c r="A1651" s="3"/>
      <c r="B1651" s="4"/>
      <c r="C1651" s="5"/>
      <c r="D1651" s="5"/>
      <c r="E1651" s="5"/>
      <c r="F1651" s="5"/>
      <c r="G1651" s="5"/>
      <c r="H1651" s="5"/>
      <c r="I1651" s="6"/>
      <c r="J1651" s="5"/>
      <c r="K1651" s="5"/>
      <c r="L1651" s="5"/>
      <c r="M1651" s="5"/>
    </row>
    <row r="1652" spans="1:13" x14ac:dyDescent="0.35">
      <c r="A1652" s="3"/>
      <c r="B1652" s="4"/>
      <c r="C1652" s="5"/>
      <c r="D1652" s="5"/>
      <c r="E1652" s="5"/>
      <c r="F1652" s="5"/>
      <c r="G1652" s="5"/>
      <c r="H1652" s="5"/>
      <c r="I1652" s="6"/>
      <c r="J1652" s="5"/>
      <c r="K1652" s="5"/>
      <c r="L1652" s="5"/>
      <c r="M1652" s="5"/>
    </row>
    <row r="1653" spans="1:13" x14ac:dyDescent="0.35">
      <c r="A1653" s="3"/>
      <c r="B1653" s="4"/>
      <c r="C1653" s="5"/>
      <c r="D1653" s="5"/>
      <c r="E1653" s="5"/>
      <c r="F1653" s="5"/>
      <c r="G1653" s="5"/>
      <c r="H1653" s="5"/>
      <c r="I1653" s="6"/>
      <c r="J1653" s="5"/>
      <c r="K1653" s="5"/>
      <c r="L1653" s="5"/>
      <c r="M1653" s="5"/>
    </row>
    <row r="1654" spans="1:13" x14ac:dyDescent="0.35">
      <c r="A1654" s="3"/>
      <c r="B1654" s="4"/>
      <c r="C1654" s="5"/>
      <c r="D1654" s="5"/>
      <c r="E1654" s="5"/>
      <c r="F1654" s="5"/>
      <c r="G1654" s="5"/>
      <c r="H1654" s="5"/>
      <c r="I1654" s="6"/>
      <c r="J1654" s="5"/>
      <c r="K1654" s="5"/>
      <c r="L1654" s="5"/>
      <c r="M1654" s="5"/>
    </row>
    <row r="1655" spans="1:13" x14ac:dyDescent="0.35">
      <c r="A1655" s="3"/>
      <c r="B1655" s="4"/>
      <c r="C1655" s="5"/>
      <c r="D1655" s="5"/>
      <c r="E1655" s="5"/>
      <c r="F1655" s="5"/>
      <c r="G1655" s="5"/>
      <c r="H1655" s="5"/>
      <c r="I1655" s="6"/>
      <c r="J1655" s="5"/>
      <c r="K1655" s="5"/>
      <c r="L1655" s="5"/>
      <c r="M1655" s="5"/>
    </row>
    <row r="1656" spans="1:13" x14ac:dyDescent="0.35">
      <c r="A1656" s="3"/>
      <c r="B1656" s="4"/>
      <c r="C1656" s="5"/>
      <c r="D1656" s="5"/>
      <c r="E1656" s="5"/>
      <c r="F1656" s="5"/>
      <c r="G1656" s="5"/>
      <c r="H1656" s="5"/>
      <c r="I1656" s="6"/>
      <c r="J1656" s="5"/>
      <c r="K1656" s="5"/>
      <c r="L1656" s="5"/>
      <c r="M1656" s="5"/>
    </row>
    <row r="1657" spans="1:13" x14ac:dyDescent="0.35">
      <c r="A1657" s="3"/>
      <c r="B1657" s="4"/>
      <c r="C1657" s="5"/>
      <c r="D1657" s="5"/>
      <c r="E1657" s="5"/>
      <c r="F1657" s="5"/>
      <c r="G1657" s="5"/>
      <c r="H1657" s="5"/>
      <c r="I1657" s="6"/>
      <c r="J1657" s="5"/>
      <c r="K1657" s="5"/>
      <c r="L1657" s="5"/>
      <c r="M1657" s="5"/>
    </row>
    <row r="1658" spans="1:13" x14ac:dyDescent="0.35">
      <c r="A1658" s="3"/>
      <c r="B1658" s="4"/>
      <c r="C1658" s="5"/>
      <c r="D1658" s="5"/>
      <c r="E1658" s="5"/>
      <c r="F1658" s="5"/>
      <c r="G1658" s="5"/>
      <c r="H1658" s="5"/>
      <c r="I1658" s="6"/>
      <c r="J1658" s="5"/>
      <c r="K1658" s="5"/>
      <c r="L1658" s="5"/>
      <c r="M1658" s="5"/>
    </row>
    <row r="1659" spans="1:13" x14ac:dyDescent="0.35">
      <c r="A1659" s="3"/>
      <c r="B1659" s="4"/>
      <c r="C1659" s="5"/>
      <c r="D1659" s="5"/>
      <c r="E1659" s="5"/>
      <c r="F1659" s="5"/>
      <c r="G1659" s="5"/>
      <c r="H1659" s="5"/>
      <c r="I1659" s="6"/>
      <c r="J1659" s="5"/>
      <c r="K1659" s="5"/>
      <c r="L1659" s="5"/>
      <c r="M1659" s="5"/>
    </row>
    <row r="1660" spans="1:13" x14ac:dyDescent="0.35">
      <c r="A1660" s="3"/>
      <c r="B1660" s="4"/>
      <c r="C1660" s="5"/>
      <c r="D1660" s="5"/>
      <c r="E1660" s="5"/>
      <c r="F1660" s="5"/>
      <c r="G1660" s="5"/>
      <c r="H1660" s="5"/>
      <c r="I1660" s="6"/>
      <c r="J1660" s="5"/>
      <c r="K1660" s="5"/>
      <c r="L1660" s="5"/>
      <c r="M1660" s="5"/>
    </row>
    <row r="1661" spans="1:13" x14ac:dyDescent="0.35">
      <c r="A1661" s="3"/>
      <c r="B1661" s="4"/>
      <c r="C1661" s="5"/>
      <c r="D1661" s="5"/>
      <c r="E1661" s="5"/>
      <c r="F1661" s="5"/>
      <c r="G1661" s="5"/>
      <c r="H1661" s="5"/>
      <c r="I1661" s="6"/>
      <c r="J1661" s="5"/>
      <c r="K1661" s="5"/>
      <c r="L1661" s="5"/>
      <c r="M1661" s="5"/>
    </row>
    <row r="1662" spans="1:13" x14ac:dyDescent="0.35">
      <c r="A1662" s="3"/>
      <c r="B1662" s="4"/>
      <c r="C1662" s="5"/>
      <c r="D1662" s="5"/>
      <c r="E1662" s="5"/>
      <c r="F1662" s="5"/>
      <c r="G1662" s="5"/>
      <c r="H1662" s="5"/>
      <c r="I1662" s="6"/>
      <c r="J1662" s="5"/>
      <c r="K1662" s="5"/>
      <c r="L1662" s="5"/>
      <c r="M1662" s="5"/>
    </row>
    <row r="1663" spans="1:13" x14ac:dyDescent="0.35">
      <c r="A1663" s="3"/>
      <c r="B1663" s="4"/>
      <c r="C1663" s="5"/>
      <c r="D1663" s="5"/>
      <c r="E1663" s="5"/>
      <c r="F1663" s="5"/>
      <c r="G1663" s="5"/>
      <c r="H1663" s="5"/>
      <c r="I1663" s="6"/>
      <c r="J1663" s="5"/>
      <c r="K1663" s="5"/>
      <c r="L1663" s="5"/>
      <c r="M1663" s="5"/>
    </row>
    <row r="1664" spans="1:13" x14ac:dyDescent="0.35">
      <c r="A1664" s="3"/>
      <c r="B1664" s="4"/>
      <c r="C1664" s="5"/>
      <c r="D1664" s="5"/>
      <c r="E1664" s="5"/>
      <c r="F1664" s="5"/>
      <c r="G1664" s="5"/>
      <c r="H1664" s="5"/>
      <c r="I1664" s="6"/>
      <c r="J1664" s="5"/>
      <c r="K1664" s="5"/>
      <c r="L1664" s="5"/>
      <c r="M1664" s="5"/>
    </row>
    <row r="1665" spans="1:13" x14ac:dyDescent="0.35">
      <c r="A1665" s="3"/>
      <c r="B1665" s="4"/>
      <c r="C1665" s="5"/>
      <c r="D1665" s="5"/>
      <c r="E1665" s="5"/>
      <c r="F1665" s="5"/>
      <c r="G1665" s="5"/>
      <c r="H1665" s="5"/>
      <c r="I1665" s="6"/>
      <c r="J1665" s="5"/>
      <c r="K1665" s="5"/>
      <c r="L1665" s="5"/>
      <c r="M1665" s="5"/>
    </row>
    <row r="1666" spans="1:13" x14ac:dyDescent="0.35">
      <c r="A1666" s="3"/>
      <c r="B1666" s="4"/>
      <c r="C1666" s="5"/>
      <c r="D1666" s="5"/>
      <c r="E1666" s="5"/>
      <c r="F1666" s="5"/>
      <c r="G1666" s="5"/>
      <c r="H1666" s="5"/>
      <c r="I1666" s="6"/>
      <c r="J1666" s="5"/>
      <c r="K1666" s="5"/>
      <c r="L1666" s="5"/>
      <c r="M1666" s="5"/>
    </row>
    <row r="1667" spans="1:13" x14ac:dyDescent="0.35">
      <c r="A1667" s="3"/>
      <c r="B1667" s="4"/>
      <c r="C1667" s="5"/>
      <c r="D1667" s="5"/>
      <c r="E1667" s="5"/>
      <c r="F1667" s="5"/>
      <c r="G1667" s="5"/>
      <c r="H1667" s="5"/>
      <c r="I1667" s="6"/>
      <c r="J1667" s="5"/>
      <c r="K1667" s="5"/>
      <c r="L1667" s="5"/>
      <c r="M1667" s="5"/>
    </row>
    <row r="1668" spans="1:13" x14ac:dyDescent="0.35">
      <c r="A1668" s="3"/>
      <c r="B1668" s="4"/>
      <c r="C1668" s="5"/>
      <c r="D1668" s="5"/>
      <c r="E1668" s="5"/>
      <c r="F1668" s="5"/>
      <c r="G1668" s="5"/>
      <c r="H1668" s="5"/>
      <c r="I1668" s="6"/>
      <c r="J1668" s="5"/>
      <c r="K1668" s="5"/>
      <c r="L1668" s="5"/>
      <c r="M1668" s="5"/>
    </row>
    <row r="1669" spans="1:13" x14ac:dyDescent="0.35">
      <c r="A1669" s="3"/>
      <c r="B1669" s="4"/>
      <c r="C1669" s="5"/>
      <c r="D1669" s="5"/>
      <c r="E1669" s="5"/>
      <c r="F1669" s="5"/>
      <c r="G1669" s="5"/>
      <c r="H1669" s="5"/>
      <c r="I1669" s="6"/>
      <c r="J1669" s="5"/>
      <c r="K1669" s="5"/>
      <c r="L1669" s="5"/>
      <c r="M1669" s="5"/>
    </row>
    <row r="1670" spans="1:13" x14ac:dyDescent="0.35">
      <c r="A1670" s="3"/>
      <c r="B1670" s="4"/>
      <c r="C1670" s="5"/>
      <c r="D1670" s="5"/>
      <c r="E1670" s="5"/>
      <c r="F1670" s="5"/>
      <c r="G1670" s="5"/>
      <c r="H1670" s="5"/>
      <c r="I1670" s="6"/>
      <c r="J1670" s="5"/>
      <c r="K1670" s="5"/>
      <c r="L1670" s="5"/>
      <c r="M1670" s="5"/>
    </row>
    <row r="1671" spans="1:13" x14ac:dyDescent="0.35">
      <c r="A1671" s="3"/>
      <c r="B1671" s="4"/>
      <c r="C1671" s="5"/>
      <c r="D1671" s="5"/>
      <c r="E1671" s="5"/>
      <c r="F1671" s="5"/>
      <c r="G1671" s="5"/>
      <c r="H1671" s="5"/>
      <c r="I1671" s="6"/>
      <c r="J1671" s="5"/>
      <c r="K1671" s="5"/>
      <c r="L1671" s="5"/>
      <c r="M1671" s="5"/>
    </row>
    <row r="1672" spans="1:13" x14ac:dyDescent="0.35">
      <c r="A1672" s="3"/>
      <c r="B1672" s="4"/>
      <c r="C1672" s="5"/>
      <c r="D1672" s="5"/>
      <c r="E1672" s="5"/>
      <c r="F1672" s="5"/>
      <c r="G1672" s="5"/>
      <c r="H1672" s="5"/>
      <c r="I1672" s="6"/>
      <c r="J1672" s="5"/>
      <c r="K1672" s="5"/>
      <c r="L1672" s="5"/>
      <c r="M1672" s="5"/>
    </row>
    <row r="1673" spans="1:13" x14ac:dyDescent="0.35">
      <c r="A1673" s="3"/>
      <c r="B1673" s="4"/>
      <c r="C1673" s="5"/>
      <c r="D1673" s="5"/>
      <c r="E1673" s="5"/>
      <c r="F1673" s="5"/>
      <c r="G1673" s="5"/>
      <c r="H1673" s="5"/>
      <c r="I1673" s="6"/>
      <c r="J1673" s="5"/>
      <c r="K1673" s="5"/>
      <c r="L1673" s="5"/>
      <c r="M1673" s="5"/>
    </row>
    <row r="1674" spans="1:13" x14ac:dyDescent="0.35">
      <c r="A1674" s="3"/>
      <c r="B1674" s="4"/>
      <c r="C1674" s="5"/>
      <c r="D1674" s="5"/>
      <c r="E1674" s="5"/>
      <c r="F1674" s="5"/>
      <c r="G1674" s="5"/>
      <c r="H1674" s="5"/>
      <c r="I1674" s="6"/>
      <c r="J1674" s="5"/>
      <c r="K1674" s="5"/>
      <c r="L1674" s="5"/>
      <c r="M1674" s="5"/>
    </row>
    <row r="1675" spans="1:13" x14ac:dyDescent="0.35">
      <c r="A1675" s="3"/>
      <c r="B1675" s="4"/>
      <c r="C1675" s="5"/>
      <c r="D1675" s="5"/>
      <c r="E1675" s="5"/>
      <c r="F1675" s="5"/>
      <c r="G1675" s="5"/>
      <c r="H1675" s="5"/>
      <c r="I1675" s="6"/>
      <c r="J1675" s="5"/>
      <c r="K1675" s="5"/>
      <c r="L1675" s="5"/>
      <c r="M1675" s="5"/>
    </row>
    <row r="1676" spans="1:13" x14ac:dyDescent="0.35">
      <c r="A1676" s="3"/>
      <c r="B1676" s="4"/>
      <c r="C1676" s="5"/>
      <c r="D1676" s="5"/>
      <c r="E1676" s="5"/>
      <c r="F1676" s="5"/>
      <c r="G1676" s="5"/>
      <c r="H1676" s="5"/>
      <c r="I1676" s="6"/>
      <c r="J1676" s="5"/>
      <c r="K1676" s="5"/>
      <c r="L1676" s="5"/>
      <c r="M1676" s="5"/>
    </row>
    <row r="1677" spans="1:13" x14ac:dyDescent="0.35">
      <c r="A1677" s="3"/>
      <c r="B1677" s="4"/>
      <c r="C1677" s="5"/>
      <c r="D1677" s="5"/>
      <c r="E1677" s="5"/>
      <c r="F1677" s="5"/>
      <c r="G1677" s="5"/>
      <c r="H1677" s="5"/>
      <c r="I1677" s="6"/>
      <c r="J1677" s="5"/>
      <c r="K1677" s="5"/>
      <c r="L1677" s="5"/>
      <c r="M1677" s="5"/>
    </row>
    <row r="1678" spans="1:13" x14ac:dyDescent="0.35">
      <c r="A1678" s="3"/>
      <c r="B1678" s="4"/>
      <c r="C1678" s="5"/>
      <c r="D1678" s="5"/>
      <c r="E1678" s="5"/>
      <c r="F1678" s="5"/>
      <c r="G1678" s="5"/>
      <c r="H1678" s="5"/>
      <c r="I1678" s="6"/>
      <c r="J1678" s="5"/>
      <c r="K1678" s="5"/>
      <c r="L1678" s="5"/>
      <c r="M1678" s="5"/>
    </row>
    <row r="1679" spans="1:13" x14ac:dyDescent="0.35">
      <c r="A1679" s="3"/>
      <c r="B1679" s="4"/>
      <c r="C1679" s="5"/>
      <c r="D1679" s="5"/>
      <c r="E1679" s="5"/>
      <c r="F1679" s="5"/>
      <c r="G1679" s="5"/>
      <c r="H1679" s="5"/>
      <c r="I1679" s="6"/>
      <c r="J1679" s="5"/>
      <c r="K1679" s="5"/>
      <c r="L1679" s="5"/>
      <c r="M1679" s="5"/>
    </row>
    <row r="1680" spans="1:13" x14ac:dyDescent="0.35">
      <c r="A1680" s="3"/>
      <c r="B1680" s="4"/>
      <c r="C1680" s="5"/>
      <c r="D1680" s="5"/>
      <c r="E1680" s="5"/>
      <c r="F1680" s="5"/>
      <c r="G1680" s="5"/>
      <c r="H1680" s="5"/>
      <c r="I1680" s="6"/>
      <c r="J1680" s="5"/>
      <c r="K1680" s="5"/>
      <c r="L1680" s="5"/>
      <c r="M1680" s="5"/>
    </row>
    <row r="1681" spans="1:13" x14ac:dyDescent="0.35">
      <c r="A1681" s="3"/>
      <c r="B1681" s="4"/>
      <c r="C1681" s="5"/>
      <c r="D1681" s="5"/>
      <c r="E1681" s="5"/>
      <c r="F1681" s="5"/>
      <c r="G1681" s="5"/>
      <c r="H1681" s="5"/>
      <c r="I1681" s="6"/>
      <c r="J1681" s="5"/>
      <c r="K1681" s="5"/>
      <c r="L1681" s="5"/>
      <c r="M1681" s="5"/>
    </row>
    <row r="1682" spans="1:13" x14ac:dyDescent="0.35">
      <c r="A1682" s="3"/>
      <c r="B1682" s="4"/>
      <c r="C1682" s="5"/>
      <c r="D1682" s="5"/>
      <c r="E1682" s="5"/>
      <c r="F1682" s="5"/>
      <c r="G1682" s="5"/>
      <c r="H1682" s="5"/>
      <c r="I1682" s="6"/>
      <c r="J1682" s="5"/>
      <c r="K1682" s="5"/>
      <c r="L1682" s="5"/>
      <c r="M1682" s="5"/>
    </row>
    <row r="1683" spans="1:13" x14ac:dyDescent="0.35">
      <c r="A1683" s="3"/>
      <c r="B1683" s="4"/>
      <c r="C1683" s="5"/>
      <c r="D1683" s="5"/>
      <c r="E1683" s="5"/>
      <c r="F1683" s="5"/>
      <c r="G1683" s="5"/>
      <c r="H1683" s="5"/>
      <c r="I1683" s="6"/>
      <c r="J1683" s="5"/>
      <c r="K1683" s="5"/>
      <c r="L1683" s="5"/>
      <c r="M1683" s="5"/>
    </row>
    <row r="1684" spans="1:13" x14ac:dyDescent="0.35">
      <c r="A1684" s="3"/>
      <c r="B1684" s="4"/>
      <c r="C1684" s="5"/>
      <c r="D1684" s="5"/>
      <c r="E1684" s="5"/>
      <c r="F1684" s="5"/>
      <c r="G1684" s="5"/>
      <c r="H1684" s="5"/>
      <c r="I1684" s="6"/>
      <c r="J1684" s="5"/>
      <c r="K1684" s="5"/>
      <c r="L1684" s="5"/>
      <c r="M1684" s="5"/>
    </row>
    <row r="1685" spans="1:13" x14ac:dyDescent="0.35">
      <c r="A1685" s="3"/>
      <c r="B1685" s="4"/>
      <c r="C1685" s="5"/>
      <c r="D1685" s="5"/>
      <c r="E1685" s="5"/>
      <c r="F1685" s="5"/>
      <c r="G1685" s="5"/>
      <c r="H1685" s="5"/>
      <c r="I1685" s="6"/>
      <c r="J1685" s="5"/>
      <c r="K1685" s="5"/>
      <c r="L1685" s="5"/>
      <c r="M1685" s="5"/>
    </row>
    <row r="1686" spans="1:13" x14ac:dyDescent="0.35">
      <c r="A1686" s="3"/>
      <c r="B1686" s="4"/>
      <c r="C1686" s="5"/>
      <c r="D1686" s="5"/>
      <c r="E1686" s="5"/>
      <c r="F1686" s="5"/>
      <c r="G1686" s="5"/>
      <c r="H1686" s="5"/>
      <c r="I1686" s="6"/>
      <c r="J1686" s="5"/>
      <c r="K1686" s="5"/>
      <c r="L1686" s="5"/>
      <c r="M1686" s="5"/>
    </row>
    <row r="1687" spans="1:13" x14ac:dyDescent="0.35">
      <c r="A1687" s="3"/>
      <c r="B1687" s="4"/>
      <c r="C1687" s="5"/>
      <c r="D1687" s="5"/>
      <c r="E1687" s="5"/>
      <c r="F1687" s="5"/>
      <c r="G1687" s="5"/>
      <c r="H1687" s="5"/>
      <c r="I1687" s="6"/>
      <c r="J1687" s="5"/>
      <c r="K1687" s="5"/>
      <c r="L1687" s="5"/>
      <c r="M1687" s="5"/>
    </row>
    <row r="1688" spans="1:13" x14ac:dyDescent="0.35">
      <c r="A1688" s="3"/>
      <c r="B1688" s="4"/>
      <c r="C1688" s="5"/>
      <c r="D1688" s="5"/>
      <c r="E1688" s="5"/>
      <c r="F1688" s="5"/>
      <c r="G1688" s="5"/>
      <c r="H1688" s="5"/>
      <c r="I1688" s="6"/>
      <c r="J1688" s="5"/>
      <c r="K1688" s="5"/>
      <c r="L1688" s="5"/>
      <c r="M1688" s="5"/>
    </row>
    <row r="1689" spans="1:13" x14ac:dyDescent="0.35">
      <c r="A1689" s="3"/>
      <c r="B1689" s="4"/>
      <c r="C1689" s="5"/>
      <c r="D1689" s="5"/>
      <c r="E1689" s="5"/>
      <c r="F1689" s="5"/>
      <c r="G1689" s="5"/>
      <c r="H1689" s="5"/>
      <c r="I1689" s="6"/>
      <c r="J1689" s="5"/>
      <c r="K1689" s="5"/>
      <c r="L1689" s="5"/>
      <c r="M1689" s="5"/>
    </row>
    <row r="1690" spans="1:13" x14ac:dyDescent="0.35">
      <c r="A1690" s="3"/>
      <c r="B1690" s="4"/>
      <c r="C1690" s="5"/>
      <c r="D1690" s="5"/>
      <c r="E1690" s="5"/>
      <c r="F1690" s="5"/>
      <c r="G1690" s="5"/>
      <c r="H1690" s="5"/>
      <c r="I1690" s="6"/>
      <c r="J1690" s="5"/>
      <c r="K1690" s="5"/>
      <c r="L1690" s="5"/>
      <c r="M1690" s="5"/>
    </row>
    <row r="1691" spans="1:13" x14ac:dyDescent="0.35">
      <c r="A1691" s="3"/>
      <c r="B1691" s="4"/>
      <c r="C1691" s="5"/>
      <c r="D1691" s="5"/>
      <c r="E1691" s="5"/>
      <c r="F1691" s="5"/>
      <c r="G1691" s="5"/>
      <c r="H1691" s="5"/>
      <c r="I1691" s="6"/>
      <c r="J1691" s="5"/>
      <c r="K1691" s="5"/>
      <c r="L1691" s="5"/>
      <c r="M1691" s="5"/>
    </row>
    <row r="1692" spans="1:13" x14ac:dyDescent="0.35">
      <c r="A1692" s="3"/>
      <c r="B1692" s="4"/>
      <c r="C1692" s="5"/>
      <c r="D1692" s="5"/>
      <c r="E1692" s="5"/>
      <c r="F1692" s="5"/>
      <c r="G1692" s="5"/>
      <c r="H1692" s="5"/>
      <c r="I1692" s="6"/>
      <c r="J1692" s="5"/>
      <c r="K1692" s="5"/>
      <c r="L1692" s="5"/>
      <c r="M1692" s="5"/>
    </row>
    <row r="1693" spans="1:13" x14ac:dyDescent="0.35">
      <c r="A1693" s="3"/>
      <c r="B1693" s="4"/>
      <c r="C1693" s="5"/>
      <c r="D1693" s="5"/>
      <c r="E1693" s="5"/>
      <c r="F1693" s="5"/>
      <c r="G1693" s="5"/>
      <c r="H1693" s="5"/>
      <c r="I1693" s="6"/>
      <c r="J1693" s="5"/>
      <c r="K1693" s="5"/>
      <c r="L1693" s="5"/>
      <c r="M1693" s="5"/>
    </row>
    <row r="1694" spans="1:13" x14ac:dyDescent="0.35">
      <c r="A1694" s="3"/>
      <c r="B1694" s="4"/>
      <c r="C1694" s="5"/>
      <c r="D1694" s="5"/>
      <c r="E1694" s="5"/>
      <c r="F1694" s="5"/>
      <c r="G1694" s="5"/>
      <c r="H1694" s="5"/>
      <c r="I1694" s="6"/>
      <c r="J1694" s="5"/>
      <c r="K1694" s="5"/>
      <c r="L1694" s="5"/>
      <c r="M1694" s="5"/>
    </row>
    <row r="1695" spans="1:13" x14ac:dyDescent="0.35">
      <c r="A1695" s="3"/>
      <c r="B1695" s="4"/>
      <c r="C1695" s="5"/>
      <c r="D1695" s="5"/>
      <c r="E1695" s="5"/>
      <c r="F1695" s="5"/>
      <c r="G1695" s="5"/>
      <c r="H1695" s="5"/>
      <c r="I1695" s="6"/>
      <c r="J1695" s="5"/>
      <c r="K1695" s="5"/>
      <c r="L1695" s="5"/>
      <c r="M1695" s="5"/>
    </row>
    <row r="1696" spans="1:13" x14ac:dyDescent="0.35">
      <c r="A1696" s="3"/>
      <c r="B1696" s="4"/>
      <c r="C1696" s="5"/>
      <c r="D1696" s="5"/>
      <c r="E1696" s="5"/>
      <c r="F1696" s="5"/>
      <c r="G1696" s="5"/>
      <c r="H1696" s="5"/>
      <c r="I1696" s="6"/>
      <c r="J1696" s="5"/>
      <c r="K1696" s="5"/>
      <c r="L1696" s="5"/>
      <c r="M1696" s="5"/>
    </row>
    <row r="1697" spans="1:13" x14ac:dyDescent="0.35">
      <c r="A1697" s="3"/>
      <c r="B1697" s="4"/>
      <c r="C1697" s="5"/>
      <c r="D1697" s="5"/>
      <c r="E1697" s="5"/>
      <c r="F1697" s="5"/>
      <c r="G1697" s="5"/>
      <c r="H1697" s="5"/>
      <c r="I1697" s="6"/>
      <c r="J1697" s="5"/>
      <c r="K1697" s="5"/>
      <c r="L1697" s="5"/>
      <c r="M1697" s="5"/>
    </row>
    <row r="1698" spans="1:13" x14ac:dyDescent="0.35">
      <c r="A1698" s="3"/>
      <c r="B1698" s="4"/>
      <c r="C1698" s="5"/>
      <c r="D1698" s="5"/>
      <c r="E1698" s="5"/>
      <c r="F1698" s="5"/>
      <c r="G1698" s="5"/>
      <c r="H1698" s="5"/>
      <c r="I1698" s="6"/>
      <c r="J1698" s="5"/>
      <c r="K1698" s="5"/>
      <c r="L1698" s="5"/>
      <c r="M1698" s="5"/>
    </row>
    <row r="1699" spans="1:13" x14ac:dyDescent="0.35">
      <c r="A1699" s="3"/>
      <c r="B1699" s="4"/>
      <c r="C1699" s="5"/>
      <c r="D1699" s="5"/>
      <c r="E1699" s="5"/>
      <c r="F1699" s="5"/>
      <c r="G1699" s="5"/>
      <c r="H1699" s="5"/>
      <c r="I1699" s="6"/>
      <c r="J1699" s="5"/>
      <c r="K1699" s="5"/>
      <c r="L1699" s="5"/>
      <c r="M1699" s="5"/>
    </row>
    <row r="1700" spans="1:13" x14ac:dyDescent="0.35">
      <c r="A1700" s="3"/>
      <c r="B1700" s="4"/>
      <c r="C1700" s="5"/>
      <c r="D1700" s="5"/>
      <c r="E1700" s="5"/>
      <c r="F1700" s="5"/>
      <c r="G1700" s="5"/>
      <c r="H1700" s="5"/>
      <c r="I1700" s="6"/>
      <c r="J1700" s="5"/>
      <c r="K1700" s="5"/>
      <c r="L1700" s="5"/>
      <c r="M1700" s="5"/>
    </row>
    <row r="1701" spans="1:13" x14ac:dyDescent="0.35">
      <c r="A1701" s="3"/>
      <c r="B1701" s="4"/>
      <c r="C1701" s="5"/>
      <c r="D1701" s="5"/>
      <c r="E1701" s="5"/>
      <c r="F1701" s="5"/>
      <c r="G1701" s="5"/>
      <c r="H1701" s="5"/>
      <c r="I1701" s="6"/>
      <c r="J1701" s="5"/>
      <c r="K1701" s="5"/>
      <c r="L1701" s="5"/>
      <c r="M1701" s="5"/>
    </row>
    <row r="1702" spans="1:13" x14ac:dyDescent="0.35">
      <c r="A1702" s="3"/>
      <c r="B1702" s="4"/>
      <c r="C1702" s="5"/>
      <c r="D1702" s="5"/>
      <c r="E1702" s="5"/>
      <c r="F1702" s="5"/>
      <c r="G1702" s="5"/>
      <c r="H1702" s="5"/>
      <c r="I1702" s="6"/>
      <c r="J1702" s="5"/>
      <c r="K1702" s="5"/>
      <c r="L1702" s="5"/>
      <c r="M1702" s="5"/>
    </row>
    <row r="1703" spans="1:13" x14ac:dyDescent="0.35">
      <c r="A1703" s="3"/>
      <c r="B1703" s="4"/>
      <c r="C1703" s="5"/>
      <c r="D1703" s="5"/>
      <c r="E1703" s="5"/>
      <c r="F1703" s="5"/>
      <c r="G1703" s="5"/>
      <c r="H1703" s="5"/>
      <c r="I1703" s="6"/>
      <c r="J1703" s="5"/>
      <c r="K1703" s="5"/>
      <c r="L1703" s="5"/>
      <c r="M1703" s="5"/>
    </row>
    <row r="1704" spans="1:13" x14ac:dyDescent="0.35">
      <c r="A1704" s="3"/>
      <c r="B1704" s="4"/>
      <c r="C1704" s="5"/>
      <c r="D1704" s="5"/>
      <c r="E1704" s="5"/>
      <c r="F1704" s="5"/>
      <c r="G1704" s="5"/>
      <c r="H1704" s="5"/>
      <c r="I1704" s="6"/>
      <c r="J1704" s="5"/>
      <c r="K1704" s="5"/>
      <c r="L1704" s="5"/>
      <c r="M1704" s="5"/>
    </row>
    <row r="1705" spans="1:13" x14ac:dyDescent="0.35">
      <c r="A1705" s="3"/>
      <c r="B1705" s="4"/>
      <c r="C1705" s="5"/>
      <c r="D1705" s="5"/>
      <c r="E1705" s="5"/>
      <c r="F1705" s="5"/>
      <c r="G1705" s="5"/>
      <c r="H1705" s="5"/>
      <c r="I1705" s="6"/>
      <c r="J1705" s="5"/>
      <c r="K1705" s="5"/>
      <c r="L1705" s="5"/>
      <c r="M1705" s="5"/>
    </row>
    <row r="1706" spans="1:13" x14ac:dyDescent="0.35">
      <c r="A1706" s="3"/>
      <c r="B1706" s="4"/>
      <c r="C1706" s="5"/>
      <c r="D1706" s="5"/>
      <c r="E1706" s="5"/>
      <c r="F1706" s="5"/>
      <c r="G1706" s="5"/>
      <c r="H1706" s="5"/>
      <c r="I1706" s="6"/>
      <c r="J1706" s="5"/>
      <c r="K1706" s="5"/>
      <c r="L1706" s="5"/>
      <c r="M1706" s="5"/>
    </row>
    <row r="1707" spans="1:13" x14ac:dyDescent="0.35">
      <c r="A1707" s="3"/>
      <c r="B1707" s="4"/>
      <c r="C1707" s="5"/>
      <c r="D1707" s="5"/>
      <c r="E1707" s="5"/>
      <c r="F1707" s="5"/>
      <c r="G1707" s="5"/>
      <c r="H1707" s="5"/>
      <c r="I1707" s="6"/>
      <c r="J1707" s="5"/>
      <c r="K1707" s="5"/>
      <c r="L1707" s="5"/>
      <c r="M1707" s="5"/>
    </row>
    <row r="1708" spans="1:13" x14ac:dyDescent="0.35">
      <c r="A1708" s="3"/>
      <c r="B1708" s="4"/>
      <c r="C1708" s="5"/>
      <c r="D1708" s="5"/>
      <c r="E1708" s="5"/>
      <c r="F1708" s="5"/>
      <c r="G1708" s="5"/>
      <c r="H1708" s="5"/>
      <c r="I1708" s="6"/>
      <c r="J1708" s="5"/>
      <c r="K1708" s="5"/>
      <c r="L1708" s="5"/>
      <c r="M1708" s="5"/>
    </row>
    <row r="1709" spans="1:13" x14ac:dyDescent="0.35">
      <c r="A1709" s="3"/>
      <c r="B1709" s="4"/>
      <c r="C1709" s="5"/>
      <c r="D1709" s="5"/>
      <c r="E1709" s="5"/>
      <c r="F1709" s="5"/>
      <c r="G1709" s="5"/>
      <c r="H1709" s="5"/>
      <c r="I1709" s="6"/>
      <c r="J1709" s="5"/>
      <c r="K1709" s="5"/>
      <c r="L1709" s="5"/>
      <c r="M1709" s="5"/>
    </row>
    <row r="1710" spans="1:13" x14ac:dyDescent="0.35">
      <c r="A1710" s="3"/>
      <c r="B1710" s="4"/>
      <c r="C1710" s="5"/>
      <c r="D1710" s="5"/>
      <c r="E1710" s="5"/>
      <c r="F1710" s="5"/>
      <c r="G1710" s="5"/>
      <c r="H1710" s="5"/>
      <c r="I1710" s="6"/>
      <c r="J1710" s="5"/>
      <c r="K1710" s="5"/>
      <c r="L1710" s="5"/>
      <c r="M1710" s="5"/>
    </row>
    <row r="1711" spans="1:13" x14ac:dyDescent="0.35">
      <c r="A1711" s="3"/>
      <c r="B1711" s="4"/>
      <c r="C1711" s="5"/>
      <c r="D1711" s="5"/>
      <c r="E1711" s="5"/>
      <c r="F1711" s="5"/>
      <c r="G1711" s="5"/>
      <c r="H1711" s="5"/>
      <c r="I1711" s="6"/>
      <c r="J1711" s="5"/>
      <c r="K1711" s="5"/>
      <c r="L1711" s="5"/>
      <c r="M1711" s="5"/>
    </row>
    <row r="1712" spans="1:13" x14ac:dyDescent="0.35">
      <c r="A1712" s="3"/>
      <c r="B1712" s="4"/>
      <c r="C1712" s="5"/>
      <c r="D1712" s="5"/>
      <c r="E1712" s="5"/>
      <c r="F1712" s="5"/>
      <c r="G1712" s="5"/>
      <c r="H1712" s="5"/>
      <c r="I1712" s="6"/>
      <c r="J1712" s="5"/>
      <c r="K1712" s="5"/>
      <c r="L1712" s="5"/>
      <c r="M1712" s="5"/>
    </row>
    <row r="1713" spans="1:13" x14ac:dyDescent="0.35">
      <c r="A1713" s="3"/>
      <c r="B1713" s="4"/>
      <c r="C1713" s="5"/>
      <c r="D1713" s="5"/>
      <c r="E1713" s="5"/>
      <c r="F1713" s="5"/>
      <c r="G1713" s="5"/>
      <c r="H1713" s="5"/>
      <c r="I1713" s="6"/>
      <c r="J1713" s="5"/>
      <c r="K1713" s="5"/>
      <c r="L1713" s="5"/>
      <c r="M1713" s="5"/>
    </row>
    <row r="1714" spans="1:13" x14ac:dyDescent="0.35">
      <c r="A1714" s="3"/>
      <c r="B1714" s="4"/>
      <c r="C1714" s="5"/>
      <c r="D1714" s="5"/>
      <c r="E1714" s="5"/>
      <c r="F1714" s="5"/>
      <c r="G1714" s="5"/>
      <c r="H1714" s="5"/>
      <c r="I1714" s="6"/>
      <c r="J1714" s="5"/>
      <c r="K1714" s="5"/>
      <c r="L1714" s="5"/>
      <c r="M1714" s="5"/>
    </row>
    <row r="1715" spans="1:13" x14ac:dyDescent="0.35">
      <c r="A1715" s="3"/>
      <c r="B1715" s="4"/>
      <c r="C1715" s="5"/>
      <c r="D1715" s="5"/>
      <c r="E1715" s="5"/>
      <c r="F1715" s="5"/>
      <c r="G1715" s="5"/>
      <c r="H1715" s="5"/>
      <c r="I1715" s="6"/>
      <c r="J1715" s="5"/>
      <c r="K1715" s="5"/>
      <c r="L1715" s="5"/>
      <c r="M1715" s="5"/>
    </row>
    <row r="1716" spans="1:13" x14ac:dyDescent="0.35">
      <c r="A1716" s="3"/>
      <c r="B1716" s="4"/>
      <c r="C1716" s="5"/>
      <c r="D1716" s="5"/>
      <c r="E1716" s="5"/>
      <c r="F1716" s="5"/>
      <c r="G1716" s="5"/>
      <c r="H1716" s="5"/>
      <c r="I1716" s="6"/>
      <c r="J1716" s="5"/>
      <c r="K1716" s="5"/>
      <c r="L1716" s="5"/>
      <c r="M1716" s="5"/>
    </row>
    <row r="1717" spans="1:13" x14ac:dyDescent="0.35">
      <c r="A1717" s="3"/>
      <c r="B1717" s="4"/>
      <c r="C1717" s="5"/>
      <c r="D1717" s="5"/>
      <c r="E1717" s="5"/>
      <c r="F1717" s="5"/>
      <c r="G1717" s="5"/>
      <c r="H1717" s="5"/>
      <c r="I1717" s="6"/>
      <c r="J1717" s="5"/>
      <c r="K1717" s="5"/>
      <c r="L1717" s="5"/>
      <c r="M1717" s="5"/>
    </row>
    <row r="1718" spans="1:13" x14ac:dyDescent="0.35">
      <c r="A1718" s="3"/>
      <c r="B1718" s="4"/>
      <c r="C1718" s="5"/>
      <c r="D1718" s="5"/>
      <c r="E1718" s="5"/>
      <c r="F1718" s="5"/>
      <c r="G1718" s="5"/>
      <c r="H1718" s="5"/>
      <c r="I1718" s="6"/>
      <c r="J1718" s="5"/>
      <c r="K1718" s="5"/>
      <c r="L1718" s="5"/>
      <c r="M1718" s="5"/>
    </row>
    <row r="1719" spans="1:13" x14ac:dyDescent="0.35">
      <c r="A1719" s="3"/>
      <c r="B1719" s="4"/>
      <c r="C1719" s="5"/>
      <c r="D1719" s="5"/>
      <c r="E1719" s="5"/>
      <c r="F1719" s="5"/>
      <c r="G1719" s="5"/>
      <c r="H1719" s="5"/>
      <c r="I1719" s="6"/>
      <c r="J1719" s="5"/>
      <c r="K1719" s="5"/>
      <c r="L1719" s="5"/>
      <c r="M1719" s="5"/>
    </row>
    <row r="1720" spans="1:13" x14ac:dyDescent="0.35">
      <c r="A1720" s="3"/>
      <c r="B1720" s="4"/>
      <c r="C1720" s="5"/>
      <c r="D1720" s="5"/>
      <c r="E1720" s="5"/>
      <c r="F1720" s="5"/>
      <c r="G1720" s="5"/>
      <c r="H1720" s="5"/>
      <c r="I1720" s="6"/>
      <c r="J1720" s="5"/>
      <c r="K1720" s="5"/>
      <c r="L1720" s="5"/>
      <c r="M1720" s="5"/>
    </row>
    <row r="1721" spans="1:13" x14ac:dyDescent="0.35">
      <c r="A1721" s="3"/>
      <c r="B1721" s="4"/>
      <c r="C1721" s="5"/>
      <c r="D1721" s="5"/>
      <c r="E1721" s="5"/>
      <c r="F1721" s="5"/>
      <c r="G1721" s="5"/>
      <c r="H1721" s="5"/>
      <c r="I1721" s="6"/>
      <c r="J1721" s="5"/>
      <c r="K1721" s="5"/>
      <c r="L1721" s="5"/>
      <c r="M1721" s="5"/>
    </row>
    <row r="1722" spans="1:13" x14ac:dyDescent="0.35">
      <c r="A1722" s="3"/>
      <c r="B1722" s="4"/>
      <c r="C1722" s="5"/>
      <c r="D1722" s="5"/>
      <c r="E1722" s="5"/>
      <c r="F1722" s="5"/>
      <c r="G1722" s="5"/>
      <c r="H1722" s="5"/>
      <c r="I1722" s="6"/>
      <c r="J1722" s="5"/>
      <c r="K1722" s="5"/>
      <c r="L1722" s="5"/>
      <c r="M1722" s="5"/>
    </row>
    <row r="1723" spans="1:13" x14ac:dyDescent="0.35">
      <c r="A1723" s="3"/>
      <c r="B1723" s="4"/>
      <c r="C1723" s="5"/>
      <c r="D1723" s="5"/>
      <c r="E1723" s="5"/>
      <c r="F1723" s="5"/>
      <c r="G1723" s="5"/>
      <c r="H1723" s="5"/>
      <c r="I1723" s="6"/>
      <c r="J1723" s="5"/>
      <c r="K1723" s="5"/>
      <c r="L1723" s="5"/>
      <c r="M1723" s="5"/>
    </row>
    <row r="1724" spans="1:13" x14ac:dyDescent="0.35">
      <c r="A1724" s="3"/>
      <c r="B1724" s="4"/>
      <c r="C1724" s="5"/>
      <c r="D1724" s="5"/>
      <c r="E1724" s="5"/>
      <c r="F1724" s="5"/>
      <c r="G1724" s="5"/>
      <c r="H1724" s="5"/>
      <c r="I1724" s="6"/>
      <c r="J1724" s="5"/>
      <c r="K1724" s="5"/>
      <c r="L1724" s="5"/>
      <c r="M1724" s="5"/>
    </row>
    <row r="1725" spans="1:13" x14ac:dyDescent="0.35">
      <c r="A1725" s="3"/>
      <c r="B1725" s="4"/>
      <c r="C1725" s="5"/>
      <c r="D1725" s="5"/>
      <c r="E1725" s="5"/>
      <c r="F1725" s="5"/>
      <c r="G1725" s="5"/>
      <c r="H1725" s="5"/>
      <c r="I1725" s="6"/>
      <c r="J1725" s="5"/>
      <c r="K1725" s="5"/>
      <c r="L1725" s="5"/>
      <c r="M1725" s="5"/>
    </row>
    <row r="1726" spans="1:13" x14ac:dyDescent="0.35">
      <c r="A1726" s="3"/>
      <c r="B1726" s="4"/>
      <c r="C1726" s="5"/>
      <c r="D1726" s="5"/>
      <c r="E1726" s="5"/>
      <c r="F1726" s="5"/>
      <c r="G1726" s="5"/>
      <c r="H1726" s="5"/>
      <c r="I1726" s="6"/>
      <c r="J1726" s="5"/>
      <c r="K1726" s="5"/>
      <c r="L1726" s="5"/>
      <c r="M1726" s="5"/>
    </row>
    <row r="1727" spans="1:13" x14ac:dyDescent="0.35">
      <c r="A1727" s="3"/>
      <c r="B1727" s="4"/>
      <c r="C1727" s="5"/>
      <c r="D1727" s="5"/>
      <c r="E1727" s="5"/>
      <c r="F1727" s="5"/>
      <c r="G1727" s="5"/>
      <c r="H1727" s="5"/>
      <c r="I1727" s="6"/>
      <c r="J1727" s="5"/>
      <c r="K1727" s="5"/>
      <c r="L1727" s="5"/>
      <c r="M1727" s="5"/>
    </row>
    <row r="1728" spans="1:13" x14ac:dyDescent="0.35">
      <c r="A1728" s="3"/>
      <c r="B1728" s="4"/>
      <c r="C1728" s="5"/>
      <c r="D1728" s="5"/>
      <c r="E1728" s="5"/>
      <c r="F1728" s="5"/>
      <c r="G1728" s="5"/>
      <c r="H1728" s="5"/>
      <c r="I1728" s="6"/>
      <c r="J1728" s="5"/>
      <c r="K1728" s="5"/>
      <c r="L1728" s="5"/>
      <c r="M1728" s="5"/>
    </row>
    <row r="1729" spans="1:13" x14ac:dyDescent="0.35">
      <c r="A1729" s="3"/>
      <c r="B1729" s="4"/>
      <c r="C1729" s="5"/>
      <c r="D1729" s="5"/>
      <c r="E1729" s="5"/>
      <c r="F1729" s="5"/>
      <c r="G1729" s="5"/>
      <c r="H1729" s="5"/>
      <c r="I1729" s="6"/>
      <c r="J1729" s="5"/>
      <c r="K1729" s="5"/>
      <c r="L1729" s="5"/>
      <c r="M1729" s="5"/>
    </row>
    <row r="1730" spans="1:13" x14ac:dyDescent="0.35">
      <c r="A1730" s="3"/>
      <c r="B1730" s="4"/>
      <c r="C1730" s="5"/>
      <c r="D1730" s="5"/>
      <c r="E1730" s="5"/>
      <c r="F1730" s="5"/>
      <c r="G1730" s="5"/>
      <c r="H1730" s="5"/>
      <c r="I1730" s="6"/>
      <c r="J1730" s="5"/>
      <c r="K1730" s="5"/>
      <c r="L1730" s="5"/>
      <c r="M1730" s="5"/>
    </row>
    <row r="1731" spans="1:13" x14ac:dyDescent="0.35">
      <c r="A1731" s="3"/>
      <c r="B1731" s="4"/>
      <c r="C1731" s="5"/>
      <c r="D1731" s="5"/>
      <c r="E1731" s="5"/>
      <c r="F1731" s="5"/>
      <c r="G1731" s="5"/>
      <c r="H1731" s="5"/>
      <c r="I1731" s="6"/>
      <c r="J1731" s="5"/>
      <c r="K1731" s="5"/>
      <c r="L1731" s="5"/>
      <c r="M1731" s="5"/>
    </row>
    <row r="1732" spans="1:13" x14ac:dyDescent="0.35">
      <c r="A1732" s="3"/>
      <c r="B1732" s="4"/>
      <c r="C1732" s="5"/>
      <c r="D1732" s="5"/>
      <c r="E1732" s="5"/>
      <c r="F1732" s="5"/>
      <c r="G1732" s="5"/>
      <c r="H1732" s="5"/>
      <c r="I1732" s="6"/>
      <c r="J1732" s="5"/>
      <c r="K1732" s="5"/>
      <c r="L1732" s="5"/>
      <c r="M1732" s="5"/>
    </row>
    <row r="1733" spans="1:13" x14ac:dyDescent="0.35">
      <c r="A1733" s="3"/>
      <c r="B1733" s="4"/>
      <c r="C1733" s="5"/>
      <c r="D1733" s="5"/>
      <c r="E1733" s="5"/>
      <c r="F1733" s="5"/>
      <c r="G1733" s="5"/>
      <c r="H1733" s="5"/>
      <c r="I1733" s="6"/>
      <c r="J1733" s="5"/>
      <c r="K1733" s="5"/>
      <c r="L1733" s="5"/>
      <c r="M1733" s="5"/>
    </row>
    <row r="1734" spans="1:13" x14ac:dyDescent="0.35">
      <c r="A1734" s="3"/>
      <c r="B1734" s="4"/>
      <c r="C1734" s="5"/>
      <c r="D1734" s="5"/>
      <c r="E1734" s="5"/>
      <c r="F1734" s="5"/>
      <c r="G1734" s="5"/>
      <c r="H1734" s="5"/>
      <c r="I1734" s="6"/>
      <c r="J1734" s="5"/>
      <c r="K1734" s="5"/>
      <c r="L1734" s="5"/>
      <c r="M1734" s="5"/>
    </row>
    <row r="1735" spans="1:13" x14ac:dyDescent="0.35">
      <c r="A1735" s="3"/>
      <c r="B1735" s="4"/>
      <c r="C1735" s="5"/>
      <c r="D1735" s="5"/>
      <c r="E1735" s="5"/>
      <c r="F1735" s="5"/>
      <c r="G1735" s="5"/>
      <c r="H1735" s="5"/>
      <c r="I1735" s="6"/>
      <c r="J1735" s="5"/>
      <c r="K1735" s="5"/>
      <c r="L1735" s="5"/>
      <c r="M1735" s="5"/>
    </row>
    <row r="1736" spans="1:13" x14ac:dyDescent="0.35">
      <c r="A1736" s="3"/>
      <c r="B1736" s="4"/>
      <c r="C1736" s="5"/>
      <c r="D1736" s="5"/>
      <c r="E1736" s="5"/>
      <c r="F1736" s="5"/>
      <c r="G1736" s="5"/>
      <c r="H1736" s="5"/>
      <c r="I1736" s="6"/>
      <c r="J1736" s="5"/>
      <c r="K1736" s="5"/>
      <c r="L1736" s="5"/>
      <c r="M1736" s="5"/>
    </row>
    <row r="1737" spans="1:13" x14ac:dyDescent="0.35">
      <c r="A1737" s="3"/>
      <c r="B1737" s="4"/>
      <c r="C1737" s="5"/>
      <c r="D1737" s="5"/>
      <c r="E1737" s="5"/>
      <c r="F1737" s="5"/>
      <c r="G1737" s="5"/>
      <c r="H1737" s="5"/>
      <c r="I1737" s="6"/>
      <c r="J1737" s="5"/>
      <c r="K1737" s="5"/>
      <c r="L1737" s="5"/>
      <c r="M1737" s="5"/>
    </row>
    <row r="1738" spans="1:13" x14ac:dyDescent="0.35">
      <c r="A1738" s="3"/>
      <c r="B1738" s="4"/>
      <c r="C1738" s="5"/>
      <c r="D1738" s="5"/>
      <c r="E1738" s="5"/>
      <c r="F1738" s="5"/>
      <c r="G1738" s="5"/>
      <c r="H1738" s="5"/>
      <c r="I1738" s="6"/>
      <c r="J1738" s="5"/>
      <c r="K1738" s="5"/>
      <c r="L1738" s="5"/>
      <c r="M1738" s="5"/>
    </row>
    <row r="1739" spans="1:13" x14ac:dyDescent="0.35">
      <c r="A1739" s="3"/>
      <c r="B1739" s="4"/>
      <c r="C1739" s="5"/>
      <c r="D1739" s="5"/>
      <c r="E1739" s="5"/>
      <c r="F1739" s="5"/>
      <c r="G1739" s="5"/>
      <c r="H1739" s="5"/>
      <c r="I1739" s="6"/>
      <c r="J1739" s="5"/>
      <c r="K1739" s="5"/>
      <c r="L1739" s="5"/>
      <c r="M1739" s="5"/>
    </row>
    <row r="1740" spans="1:13" x14ac:dyDescent="0.35">
      <c r="A1740" s="3"/>
      <c r="B1740" s="4"/>
      <c r="C1740" s="5"/>
      <c r="D1740" s="5"/>
      <c r="E1740" s="5"/>
      <c r="F1740" s="5"/>
      <c r="G1740" s="5"/>
      <c r="H1740" s="5"/>
      <c r="I1740" s="6"/>
      <c r="J1740" s="5"/>
      <c r="K1740" s="5"/>
      <c r="L1740" s="5"/>
      <c r="M1740" s="5"/>
    </row>
    <row r="1741" spans="1:13" x14ac:dyDescent="0.35">
      <c r="A1741" s="3"/>
      <c r="B1741" s="4"/>
      <c r="C1741" s="5"/>
      <c r="D1741" s="5"/>
      <c r="E1741" s="5"/>
      <c r="F1741" s="5"/>
      <c r="G1741" s="5"/>
      <c r="H1741" s="5"/>
      <c r="I1741" s="6"/>
      <c r="J1741" s="5"/>
      <c r="K1741" s="5"/>
      <c r="L1741" s="5"/>
      <c r="M1741" s="5"/>
    </row>
    <row r="1742" spans="1:13" x14ac:dyDescent="0.35">
      <c r="A1742" s="3"/>
      <c r="B1742" s="4"/>
      <c r="C1742" s="5"/>
      <c r="D1742" s="5"/>
      <c r="E1742" s="5"/>
      <c r="F1742" s="5"/>
      <c r="G1742" s="5"/>
      <c r="H1742" s="5"/>
      <c r="I1742" s="6"/>
      <c r="J1742" s="5"/>
      <c r="K1742" s="5"/>
      <c r="L1742" s="5"/>
      <c r="M1742" s="5"/>
    </row>
    <row r="1743" spans="1:13" x14ac:dyDescent="0.35">
      <c r="A1743" s="3"/>
      <c r="B1743" s="4"/>
      <c r="C1743" s="5"/>
      <c r="D1743" s="5"/>
      <c r="E1743" s="5"/>
      <c r="F1743" s="5"/>
      <c r="G1743" s="5"/>
      <c r="H1743" s="5"/>
      <c r="I1743" s="6"/>
      <c r="J1743" s="5"/>
      <c r="K1743" s="5"/>
      <c r="L1743" s="5"/>
      <c r="M1743" s="5"/>
    </row>
    <row r="1744" spans="1:13" x14ac:dyDescent="0.35">
      <c r="A1744" s="3"/>
      <c r="B1744" s="4"/>
      <c r="C1744" s="5"/>
      <c r="D1744" s="5"/>
      <c r="E1744" s="5"/>
      <c r="F1744" s="5"/>
      <c r="G1744" s="5"/>
      <c r="H1744" s="5"/>
      <c r="I1744" s="6"/>
      <c r="J1744" s="5"/>
      <c r="K1744" s="5"/>
      <c r="L1744" s="5"/>
      <c r="M1744" s="5"/>
    </row>
    <row r="1745" spans="1:13" x14ac:dyDescent="0.35">
      <c r="A1745" s="3"/>
      <c r="B1745" s="4"/>
      <c r="C1745" s="5"/>
      <c r="D1745" s="5"/>
      <c r="E1745" s="5"/>
      <c r="F1745" s="5"/>
      <c r="G1745" s="5"/>
      <c r="H1745" s="5"/>
      <c r="I1745" s="6"/>
      <c r="J1745" s="5"/>
      <c r="K1745" s="5"/>
      <c r="L1745" s="5"/>
      <c r="M1745" s="5"/>
    </row>
    <row r="1746" spans="1:13" x14ac:dyDescent="0.35">
      <c r="A1746" s="3"/>
      <c r="B1746" s="4"/>
      <c r="C1746" s="5"/>
      <c r="D1746" s="5"/>
      <c r="E1746" s="5"/>
      <c r="F1746" s="5"/>
      <c r="G1746" s="5"/>
      <c r="H1746" s="5"/>
      <c r="I1746" s="6"/>
      <c r="J1746" s="5"/>
      <c r="K1746" s="5"/>
      <c r="L1746" s="5"/>
      <c r="M1746" s="5"/>
    </row>
    <row r="1747" spans="1:13" x14ac:dyDescent="0.35">
      <c r="A1747" s="3"/>
      <c r="B1747" s="4"/>
      <c r="C1747" s="5"/>
      <c r="D1747" s="5"/>
      <c r="E1747" s="5"/>
      <c r="F1747" s="5"/>
      <c r="G1747" s="5"/>
      <c r="H1747" s="5"/>
      <c r="I1747" s="6"/>
      <c r="J1747" s="5"/>
      <c r="K1747" s="5"/>
      <c r="L1747" s="5"/>
      <c r="M1747" s="5"/>
    </row>
    <row r="1748" spans="1:13" x14ac:dyDescent="0.35">
      <c r="A1748" s="3"/>
      <c r="B1748" s="4"/>
      <c r="C1748" s="5"/>
      <c r="D1748" s="5"/>
      <c r="E1748" s="5"/>
      <c r="F1748" s="5"/>
      <c r="G1748" s="5"/>
      <c r="H1748" s="5"/>
      <c r="I1748" s="6"/>
      <c r="J1748" s="5"/>
      <c r="K1748" s="5"/>
      <c r="L1748" s="5"/>
      <c r="M1748" s="5"/>
    </row>
    <row r="1749" spans="1:13" x14ac:dyDescent="0.35">
      <c r="A1749" s="3"/>
      <c r="B1749" s="4"/>
      <c r="C1749" s="5"/>
      <c r="D1749" s="5"/>
      <c r="E1749" s="5"/>
      <c r="F1749" s="5"/>
      <c r="G1749" s="5"/>
      <c r="H1749" s="5"/>
      <c r="I1749" s="6"/>
      <c r="J1749" s="5"/>
      <c r="K1749" s="5"/>
      <c r="L1749" s="5"/>
      <c r="M1749" s="5"/>
    </row>
    <row r="1750" spans="1:13" x14ac:dyDescent="0.35">
      <c r="A1750" s="3"/>
      <c r="B1750" s="4"/>
      <c r="C1750" s="5"/>
      <c r="D1750" s="5"/>
      <c r="E1750" s="5"/>
      <c r="F1750" s="5"/>
      <c r="G1750" s="5"/>
      <c r="H1750" s="5"/>
      <c r="I1750" s="6"/>
      <c r="J1750" s="5"/>
      <c r="K1750" s="5"/>
      <c r="L1750" s="5"/>
      <c r="M1750" s="5"/>
    </row>
    <row r="1751" spans="1:13" x14ac:dyDescent="0.35">
      <c r="A1751" s="3"/>
      <c r="B1751" s="4"/>
      <c r="C1751" s="5"/>
      <c r="D1751" s="5"/>
      <c r="E1751" s="5"/>
      <c r="F1751" s="5"/>
      <c r="G1751" s="5"/>
      <c r="H1751" s="5"/>
      <c r="I1751" s="6"/>
      <c r="J1751" s="5"/>
      <c r="K1751" s="5"/>
      <c r="L1751" s="5"/>
      <c r="M1751" s="5"/>
    </row>
    <row r="1752" spans="1:13" x14ac:dyDescent="0.35">
      <c r="A1752" s="3"/>
      <c r="B1752" s="4"/>
      <c r="C1752" s="5"/>
      <c r="D1752" s="5"/>
      <c r="E1752" s="5"/>
      <c r="F1752" s="5"/>
      <c r="G1752" s="5"/>
      <c r="H1752" s="5"/>
      <c r="I1752" s="6"/>
      <c r="J1752" s="5"/>
      <c r="K1752" s="5"/>
      <c r="L1752" s="5"/>
      <c r="M1752" s="5"/>
    </row>
    <row r="1753" spans="1:13" x14ac:dyDescent="0.35">
      <c r="A1753" s="3"/>
      <c r="B1753" s="4"/>
      <c r="C1753" s="5"/>
      <c r="D1753" s="5"/>
      <c r="E1753" s="5"/>
      <c r="F1753" s="5"/>
      <c r="G1753" s="5"/>
      <c r="H1753" s="5"/>
      <c r="I1753" s="6"/>
      <c r="J1753" s="5"/>
      <c r="K1753" s="5"/>
      <c r="L1753" s="5"/>
      <c r="M1753" s="5"/>
    </row>
    <row r="1754" spans="1:13" x14ac:dyDescent="0.35">
      <c r="A1754" s="3"/>
      <c r="B1754" s="4"/>
      <c r="C1754" s="5"/>
      <c r="D1754" s="5"/>
      <c r="E1754" s="5"/>
      <c r="F1754" s="5"/>
      <c r="G1754" s="5"/>
      <c r="H1754" s="5"/>
      <c r="I1754" s="6"/>
      <c r="J1754" s="5"/>
      <c r="K1754" s="5"/>
      <c r="L1754" s="5"/>
      <c r="M1754" s="5"/>
    </row>
    <row r="1755" spans="1:13" x14ac:dyDescent="0.35">
      <c r="A1755" s="3"/>
      <c r="B1755" s="4"/>
      <c r="C1755" s="5"/>
      <c r="D1755" s="5"/>
      <c r="E1755" s="5"/>
      <c r="F1755" s="5"/>
      <c r="G1755" s="5"/>
      <c r="H1755" s="5"/>
      <c r="I1755" s="6"/>
      <c r="J1755" s="5"/>
      <c r="K1755" s="5"/>
      <c r="L1755" s="5"/>
      <c r="M1755" s="5"/>
    </row>
    <row r="1756" spans="1:13" x14ac:dyDescent="0.35">
      <c r="A1756" s="3"/>
      <c r="B1756" s="4"/>
      <c r="C1756" s="5"/>
      <c r="D1756" s="5"/>
      <c r="E1756" s="5"/>
      <c r="F1756" s="5"/>
      <c r="G1756" s="5"/>
      <c r="H1756" s="5"/>
      <c r="I1756" s="6"/>
      <c r="J1756" s="5"/>
      <c r="K1756" s="5"/>
      <c r="L1756" s="5"/>
      <c r="M1756" s="5"/>
    </row>
    <row r="1757" spans="1:13" x14ac:dyDescent="0.35">
      <c r="A1757" s="3"/>
      <c r="B1757" s="4"/>
      <c r="C1757" s="5"/>
      <c r="D1757" s="5"/>
      <c r="E1757" s="5"/>
      <c r="F1757" s="5"/>
      <c r="G1757" s="5"/>
      <c r="H1757" s="5"/>
      <c r="I1757" s="6"/>
      <c r="J1757" s="5"/>
      <c r="K1757" s="5"/>
      <c r="L1757" s="5"/>
      <c r="M1757" s="5"/>
    </row>
    <row r="1758" spans="1:13" x14ac:dyDescent="0.35">
      <c r="A1758" s="3"/>
      <c r="B1758" s="4"/>
      <c r="C1758" s="5"/>
      <c r="D1758" s="5"/>
      <c r="E1758" s="5"/>
      <c r="F1758" s="5"/>
      <c r="G1758" s="5"/>
      <c r="H1758" s="5"/>
      <c r="I1758" s="6"/>
      <c r="J1758" s="5"/>
      <c r="K1758" s="5"/>
      <c r="L1758" s="5"/>
      <c r="M1758" s="5"/>
    </row>
    <row r="1759" spans="1:13" x14ac:dyDescent="0.35">
      <c r="A1759" s="3"/>
      <c r="B1759" s="4"/>
      <c r="C1759" s="5"/>
      <c r="D1759" s="5"/>
      <c r="E1759" s="5"/>
      <c r="F1759" s="5"/>
      <c r="G1759" s="5"/>
      <c r="H1759" s="5"/>
      <c r="I1759" s="6"/>
      <c r="J1759" s="5"/>
      <c r="K1759" s="5"/>
      <c r="L1759" s="5"/>
      <c r="M1759" s="5"/>
    </row>
    <row r="1760" spans="1:13" x14ac:dyDescent="0.35">
      <c r="A1760" s="3"/>
      <c r="B1760" s="4"/>
      <c r="C1760" s="5"/>
      <c r="D1760" s="5"/>
      <c r="E1760" s="5"/>
      <c r="F1760" s="5"/>
      <c r="G1760" s="5"/>
      <c r="H1760" s="5"/>
      <c r="I1760" s="6"/>
      <c r="J1760" s="5"/>
      <c r="K1760" s="5"/>
      <c r="L1760" s="5"/>
      <c r="M1760" s="5"/>
    </row>
    <row r="1761" spans="1:13" x14ac:dyDescent="0.35">
      <c r="A1761" s="3"/>
      <c r="B1761" s="4"/>
      <c r="C1761" s="5"/>
      <c r="D1761" s="5"/>
      <c r="E1761" s="5"/>
      <c r="F1761" s="5"/>
      <c r="G1761" s="5"/>
      <c r="H1761" s="5"/>
      <c r="I1761" s="6"/>
      <c r="J1761" s="5"/>
      <c r="K1761" s="5"/>
      <c r="L1761" s="5"/>
      <c r="M1761" s="5"/>
    </row>
    <row r="1762" spans="1:13" x14ac:dyDescent="0.35">
      <c r="A1762" s="3"/>
      <c r="B1762" s="4"/>
      <c r="C1762" s="5"/>
      <c r="D1762" s="5"/>
      <c r="E1762" s="5"/>
      <c r="F1762" s="5"/>
      <c r="G1762" s="5"/>
      <c r="H1762" s="5"/>
      <c r="I1762" s="6"/>
      <c r="J1762" s="5"/>
      <c r="K1762" s="5"/>
      <c r="L1762" s="5"/>
      <c r="M1762" s="5"/>
    </row>
    <row r="1763" spans="1:13" x14ac:dyDescent="0.35">
      <c r="A1763" s="3"/>
      <c r="B1763" s="4"/>
      <c r="C1763" s="5"/>
      <c r="D1763" s="5"/>
      <c r="E1763" s="5"/>
      <c r="F1763" s="5"/>
      <c r="G1763" s="5"/>
      <c r="H1763" s="5"/>
      <c r="I1763" s="6"/>
      <c r="J1763" s="5"/>
      <c r="K1763" s="5"/>
      <c r="L1763" s="5"/>
      <c r="M1763" s="5"/>
    </row>
    <row r="1764" spans="1:13" x14ac:dyDescent="0.35">
      <c r="A1764" s="3"/>
      <c r="B1764" s="4"/>
      <c r="C1764" s="5"/>
      <c r="D1764" s="5"/>
      <c r="E1764" s="5"/>
      <c r="F1764" s="5"/>
      <c r="G1764" s="5"/>
      <c r="H1764" s="5"/>
      <c r="I1764" s="6"/>
      <c r="J1764" s="5"/>
      <c r="K1764" s="5"/>
      <c r="L1764" s="5"/>
      <c r="M1764" s="5"/>
    </row>
    <row r="1765" spans="1:13" x14ac:dyDescent="0.35">
      <c r="A1765" s="3"/>
      <c r="B1765" s="4"/>
      <c r="C1765" s="5"/>
      <c r="D1765" s="5"/>
      <c r="E1765" s="5"/>
      <c r="F1765" s="5"/>
      <c r="G1765" s="5"/>
      <c r="H1765" s="5"/>
      <c r="I1765" s="6"/>
      <c r="J1765" s="5"/>
      <c r="K1765" s="5"/>
      <c r="L1765" s="5"/>
      <c r="M1765" s="5"/>
    </row>
    <row r="1766" spans="1:13" x14ac:dyDescent="0.35">
      <c r="A1766" s="3"/>
      <c r="B1766" s="4"/>
      <c r="C1766" s="5"/>
      <c r="D1766" s="5"/>
      <c r="E1766" s="5"/>
      <c r="F1766" s="5"/>
      <c r="G1766" s="5"/>
      <c r="H1766" s="5"/>
      <c r="I1766" s="6"/>
      <c r="J1766" s="5"/>
      <c r="K1766" s="5"/>
      <c r="L1766" s="5"/>
      <c r="M1766" s="5"/>
    </row>
    <row r="1767" spans="1:13" x14ac:dyDescent="0.35">
      <c r="A1767" s="3"/>
      <c r="B1767" s="4"/>
      <c r="C1767" s="5"/>
      <c r="D1767" s="5"/>
      <c r="E1767" s="5"/>
      <c r="F1767" s="5"/>
      <c r="G1767" s="5"/>
      <c r="H1767" s="5"/>
      <c r="I1767" s="6"/>
      <c r="J1767" s="5"/>
      <c r="K1767" s="5"/>
      <c r="L1767" s="5"/>
      <c r="M1767" s="5"/>
    </row>
    <row r="1768" spans="1:13" x14ac:dyDescent="0.35">
      <c r="A1768" s="3"/>
      <c r="B1768" s="4"/>
      <c r="C1768" s="5"/>
      <c r="D1768" s="5"/>
      <c r="E1768" s="5"/>
      <c r="F1768" s="5"/>
      <c r="G1768" s="5"/>
      <c r="H1768" s="5"/>
      <c r="I1768" s="6"/>
      <c r="J1768" s="5"/>
      <c r="K1768" s="5"/>
      <c r="L1768" s="5"/>
      <c r="M1768" s="5"/>
    </row>
    <row r="1769" spans="1:13" x14ac:dyDescent="0.35">
      <c r="A1769" s="3"/>
      <c r="B1769" s="4"/>
      <c r="C1769" s="5"/>
      <c r="D1769" s="5"/>
      <c r="E1769" s="5"/>
      <c r="F1769" s="5"/>
      <c r="G1769" s="5"/>
      <c r="H1769" s="5"/>
      <c r="I1769" s="6"/>
      <c r="J1769" s="5"/>
      <c r="K1769" s="5"/>
      <c r="L1769" s="5"/>
      <c r="M1769" s="5"/>
    </row>
    <row r="1770" spans="1:13" x14ac:dyDescent="0.35">
      <c r="A1770" s="3"/>
      <c r="B1770" s="4"/>
      <c r="C1770" s="5"/>
      <c r="D1770" s="5"/>
      <c r="E1770" s="5"/>
      <c r="F1770" s="5"/>
      <c r="G1770" s="5"/>
      <c r="H1770" s="5"/>
      <c r="I1770" s="6"/>
      <c r="J1770" s="5"/>
      <c r="K1770" s="5"/>
      <c r="L1770" s="5"/>
      <c r="M1770" s="5"/>
    </row>
    <row r="1771" spans="1:13" x14ac:dyDescent="0.35">
      <c r="A1771" s="3"/>
      <c r="B1771" s="4"/>
      <c r="C1771" s="5"/>
      <c r="D1771" s="5"/>
      <c r="E1771" s="5"/>
      <c r="F1771" s="5"/>
      <c r="G1771" s="5"/>
      <c r="H1771" s="5"/>
      <c r="I1771" s="6"/>
      <c r="J1771" s="5"/>
      <c r="K1771" s="5"/>
      <c r="L1771" s="5"/>
      <c r="M1771" s="5"/>
    </row>
    <row r="1772" spans="1:13" x14ac:dyDescent="0.35">
      <c r="A1772" s="3"/>
      <c r="B1772" s="4"/>
      <c r="C1772" s="5"/>
      <c r="D1772" s="5"/>
      <c r="E1772" s="5"/>
      <c r="F1772" s="5"/>
      <c r="G1772" s="5"/>
      <c r="H1772" s="5"/>
      <c r="I1772" s="6"/>
      <c r="J1772" s="5"/>
      <c r="K1772" s="5"/>
      <c r="L1772" s="5"/>
      <c r="M1772" s="5"/>
    </row>
    <row r="1773" spans="1:13" x14ac:dyDescent="0.35">
      <c r="A1773" s="3"/>
      <c r="B1773" s="4"/>
      <c r="C1773" s="5"/>
      <c r="D1773" s="5"/>
      <c r="E1773" s="5"/>
      <c r="F1773" s="5"/>
      <c r="G1773" s="5"/>
      <c r="H1773" s="5"/>
      <c r="I1773" s="6"/>
      <c r="J1773" s="5"/>
      <c r="K1773" s="5"/>
      <c r="L1773" s="5"/>
      <c r="M1773" s="5"/>
    </row>
    <row r="1774" spans="1:13" x14ac:dyDescent="0.35">
      <c r="A1774" s="3"/>
      <c r="B1774" s="4"/>
      <c r="C1774" s="5"/>
      <c r="D1774" s="5"/>
      <c r="E1774" s="5"/>
      <c r="F1774" s="5"/>
      <c r="G1774" s="5"/>
      <c r="H1774" s="5"/>
      <c r="I1774" s="6"/>
      <c r="J1774" s="5"/>
      <c r="K1774" s="5"/>
      <c r="L1774" s="5"/>
      <c r="M1774" s="5"/>
    </row>
    <row r="1775" spans="1:13" x14ac:dyDescent="0.35">
      <c r="A1775" s="3"/>
      <c r="B1775" s="4"/>
      <c r="C1775" s="5"/>
      <c r="D1775" s="5"/>
      <c r="E1775" s="5"/>
      <c r="F1775" s="5"/>
      <c r="G1775" s="5"/>
      <c r="H1775" s="5"/>
      <c r="I1775" s="6"/>
      <c r="J1775" s="5"/>
      <c r="K1775" s="5"/>
      <c r="L1775" s="5"/>
      <c r="M1775" s="5"/>
    </row>
    <row r="1776" spans="1:13" x14ac:dyDescent="0.35">
      <c r="A1776" s="3"/>
      <c r="B1776" s="4"/>
      <c r="C1776" s="5"/>
      <c r="D1776" s="5"/>
      <c r="E1776" s="5"/>
      <c r="F1776" s="5"/>
      <c r="G1776" s="5"/>
      <c r="H1776" s="5"/>
      <c r="I1776" s="6"/>
      <c r="J1776" s="5"/>
      <c r="K1776" s="5"/>
      <c r="L1776" s="5"/>
      <c r="M1776" s="5"/>
    </row>
    <row r="1777" spans="1:13" x14ac:dyDescent="0.35">
      <c r="A1777" s="3"/>
      <c r="B1777" s="4"/>
      <c r="C1777" s="5"/>
      <c r="D1777" s="5"/>
      <c r="E1777" s="5"/>
      <c r="F1777" s="5"/>
      <c r="G1777" s="5"/>
      <c r="H1777" s="5"/>
      <c r="I1777" s="6"/>
      <c r="J1777" s="5"/>
      <c r="K1777" s="5"/>
      <c r="L1777" s="5"/>
      <c r="M1777" s="5"/>
    </row>
    <row r="1778" spans="1:13" x14ac:dyDescent="0.35">
      <c r="A1778" s="3"/>
      <c r="B1778" s="4"/>
      <c r="C1778" s="5"/>
      <c r="D1778" s="5"/>
      <c r="E1778" s="5"/>
      <c r="F1778" s="5"/>
      <c r="G1778" s="5"/>
      <c r="H1778" s="5"/>
      <c r="I1778" s="6"/>
      <c r="J1778" s="5"/>
      <c r="K1778" s="5"/>
      <c r="L1778" s="5"/>
      <c r="M1778" s="5"/>
    </row>
    <row r="1779" spans="1:13" x14ac:dyDescent="0.35">
      <c r="A1779" s="3"/>
      <c r="B1779" s="4"/>
      <c r="C1779" s="5"/>
      <c r="D1779" s="5"/>
      <c r="E1779" s="5"/>
      <c r="F1779" s="5"/>
      <c r="G1779" s="5"/>
      <c r="H1779" s="5"/>
      <c r="I1779" s="6"/>
      <c r="J1779" s="5"/>
      <c r="K1779" s="5"/>
      <c r="L1779" s="5"/>
      <c r="M1779" s="5"/>
    </row>
    <row r="1780" spans="1:13" x14ac:dyDescent="0.35">
      <c r="A1780" s="3"/>
      <c r="B1780" s="4"/>
      <c r="C1780" s="5"/>
      <c r="D1780" s="5"/>
      <c r="E1780" s="5"/>
      <c r="F1780" s="5"/>
      <c r="G1780" s="5"/>
      <c r="H1780" s="5"/>
      <c r="I1780" s="6"/>
      <c r="J1780" s="5"/>
      <c r="K1780" s="5"/>
      <c r="L1780" s="5"/>
      <c r="M1780" s="5"/>
    </row>
    <row r="1781" spans="1:13" x14ac:dyDescent="0.35">
      <c r="A1781" s="3"/>
      <c r="B1781" s="4"/>
      <c r="C1781" s="5"/>
      <c r="D1781" s="5"/>
      <c r="E1781" s="5"/>
      <c r="F1781" s="5"/>
      <c r="G1781" s="5"/>
      <c r="H1781" s="5"/>
      <c r="I1781" s="6"/>
      <c r="J1781" s="5"/>
      <c r="K1781" s="5"/>
      <c r="L1781" s="5"/>
      <c r="M1781" s="5"/>
    </row>
    <row r="1782" spans="1:13" x14ac:dyDescent="0.35">
      <c r="A1782" s="3"/>
      <c r="B1782" s="4"/>
      <c r="C1782" s="5"/>
      <c r="D1782" s="5"/>
      <c r="E1782" s="5"/>
      <c r="F1782" s="5"/>
      <c r="G1782" s="5"/>
      <c r="H1782" s="5"/>
      <c r="I1782" s="6"/>
      <c r="J1782" s="5"/>
      <c r="K1782" s="5"/>
      <c r="L1782" s="5"/>
      <c r="M1782" s="5"/>
    </row>
    <row r="1783" spans="1:13" x14ac:dyDescent="0.35">
      <c r="A1783" s="3"/>
      <c r="B1783" s="4"/>
      <c r="C1783" s="5"/>
      <c r="D1783" s="5"/>
      <c r="E1783" s="5"/>
      <c r="F1783" s="5"/>
      <c r="G1783" s="5"/>
      <c r="H1783" s="5"/>
      <c r="I1783" s="6"/>
      <c r="J1783" s="5"/>
      <c r="K1783" s="5"/>
      <c r="L1783" s="5"/>
      <c r="M1783" s="5"/>
    </row>
    <row r="1784" spans="1:13" x14ac:dyDescent="0.35">
      <c r="A1784" s="3"/>
      <c r="B1784" s="4"/>
      <c r="C1784" s="5"/>
      <c r="D1784" s="5"/>
      <c r="E1784" s="5"/>
      <c r="F1784" s="5"/>
      <c r="G1784" s="5"/>
      <c r="H1784" s="5"/>
      <c r="I1784" s="6"/>
      <c r="J1784" s="5"/>
      <c r="K1784" s="5"/>
      <c r="L1784" s="5"/>
      <c r="M1784" s="5"/>
    </row>
    <row r="1785" spans="1:13" x14ac:dyDescent="0.35">
      <c r="A1785" s="3"/>
      <c r="B1785" s="4"/>
      <c r="C1785" s="5"/>
      <c r="D1785" s="5"/>
      <c r="E1785" s="5"/>
      <c r="F1785" s="5"/>
      <c r="G1785" s="5"/>
      <c r="H1785" s="5"/>
      <c r="I1785" s="6"/>
      <c r="J1785" s="5"/>
      <c r="K1785" s="5"/>
      <c r="L1785" s="5"/>
      <c r="M1785" s="5"/>
    </row>
    <row r="1786" spans="1:13" x14ac:dyDescent="0.35">
      <c r="A1786" s="3"/>
      <c r="B1786" s="4"/>
      <c r="C1786" s="5"/>
      <c r="D1786" s="5"/>
      <c r="E1786" s="5"/>
      <c r="F1786" s="5"/>
      <c r="G1786" s="5"/>
      <c r="H1786" s="5"/>
      <c r="I1786" s="6"/>
      <c r="J1786" s="5"/>
      <c r="K1786" s="5"/>
      <c r="L1786" s="5"/>
      <c r="M1786" s="5"/>
    </row>
    <row r="1787" spans="1:13" x14ac:dyDescent="0.35">
      <c r="A1787" s="3"/>
      <c r="B1787" s="4"/>
      <c r="C1787" s="5"/>
      <c r="D1787" s="5"/>
      <c r="E1787" s="5"/>
      <c r="F1787" s="5"/>
      <c r="G1787" s="5"/>
      <c r="H1787" s="5"/>
      <c r="I1787" s="6"/>
      <c r="J1787" s="5"/>
      <c r="K1787" s="5"/>
      <c r="L1787" s="5"/>
      <c r="M1787" s="5"/>
    </row>
    <row r="1788" spans="1:13" x14ac:dyDescent="0.35">
      <c r="A1788" s="3"/>
      <c r="B1788" s="4"/>
      <c r="C1788" s="5"/>
      <c r="D1788" s="5"/>
      <c r="E1788" s="5"/>
      <c r="F1788" s="5"/>
      <c r="G1788" s="5"/>
      <c r="H1788" s="5"/>
      <c r="I1788" s="6"/>
      <c r="J1788" s="5"/>
      <c r="K1788" s="5"/>
      <c r="L1788" s="5"/>
      <c r="M1788" s="5"/>
    </row>
    <row r="1789" spans="1:13" x14ac:dyDescent="0.35">
      <c r="A1789" s="3"/>
      <c r="B1789" s="4"/>
      <c r="C1789" s="5"/>
      <c r="D1789" s="5"/>
      <c r="E1789" s="5"/>
      <c r="F1789" s="5"/>
      <c r="G1789" s="5"/>
      <c r="H1789" s="5"/>
      <c r="I1789" s="6"/>
      <c r="J1789" s="5"/>
      <c r="K1789" s="5"/>
      <c r="L1789" s="5"/>
      <c r="M1789" s="5"/>
    </row>
    <row r="1790" spans="1:13" x14ac:dyDescent="0.35">
      <c r="A1790" s="3"/>
      <c r="B1790" s="4"/>
      <c r="C1790" s="5"/>
      <c r="D1790" s="5"/>
      <c r="E1790" s="5"/>
      <c r="F1790" s="5"/>
      <c r="G1790" s="5"/>
      <c r="H1790" s="5"/>
      <c r="I1790" s="6"/>
      <c r="J1790" s="5"/>
      <c r="K1790" s="5"/>
      <c r="L1790" s="5"/>
      <c r="M1790" s="5"/>
    </row>
    <row r="1791" spans="1:13" x14ac:dyDescent="0.35">
      <c r="A1791" s="3"/>
      <c r="B1791" s="4"/>
      <c r="C1791" s="5"/>
      <c r="D1791" s="5"/>
      <c r="E1791" s="5"/>
      <c r="F1791" s="5"/>
      <c r="G1791" s="5"/>
      <c r="H1791" s="5"/>
      <c r="I1791" s="6"/>
      <c r="J1791" s="5"/>
      <c r="K1791" s="5"/>
      <c r="L1791" s="5"/>
      <c r="M1791" s="5"/>
    </row>
    <row r="1792" spans="1:13" x14ac:dyDescent="0.35">
      <c r="A1792" s="3"/>
      <c r="B1792" s="4"/>
      <c r="C1792" s="5"/>
      <c r="D1792" s="5"/>
      <c r="E1792" s="5"/>
      <c r="F1792" s="5"/>
      <c r="G1792" s="5"/>
      <c r="H1792" s="5"/>
      <c r="I1792" s="6"/>
      <c r="J1792" s="5"/>
      <c r="K1792" s="5"/>
      <c r="L1792" s="5"/>
      <c r="M1792" s="5"/>
    </row>
    <row r="1793" spans="1:13" x14ac:dyDescent="0.35">
      <c r="A1793" s="3"/>
      <c r="B1793" s="4"/>
      <c r="C1793" s="5"/>
      <c r="D1793" s="5"/>
      <c r="E1793" s="5"/>
      <c r="F1793" s="5"/>
      <c r="G1793" s="5"/>
      <c r="H1793" s="5"/>
      <c r="I1793" s="6"/>
      <c r="J1793" s="5"/>
      <c r="K1793" s="5"/>
      <c r="L1793" s="5"/>
      <c r="M1793" s="5"/>
    </row>
    <row r="1794" spans="1:13" x14ac:dyDescent="0.35">
      <c r="A1794" s="3"/>
      <c r="B1794" s="4"/>
      <c r="C1794" s="5"/>
      <c r="D1794" s="5"/>
      <c r="E1794" s="5"/>
      <c r="F1794" s="5"/>
      <c r="G1794" s="5"/>
      <c r="H1794" s="5"/>
      <c r="I1794" s="6"/>
      <c r="J1794" s="5"/>
      <c r="K1794" s="5"/>
      <c r="L1794" s="5"/>
      <c r="M1794" s="5"/>
    </row>
    <row r="1795" spans="1:13" x14ac:dyDescent="0.35">
      <c r="A1795" s="3"/>
      <c r="B1795" s="4"/>
      <c r="C1795" s="5"/>
      <c r="D1795" s="5"/>
      <c r="E1795" s="5"/>
      <c r="F1795" s="5"/>
      <c r="G1795" s="5"/>
      <c r="H1795" s="5"/>
      <c r="I1795" s="6"/>
      <c r="J1795" s="5"/>
      <c r="K1795" s="5"/>
      <c r="L1795" s="5"/>
      <c r="M1795" s="5"/>
    </row>
    <row r="1796" spans="1:13" x14ac:dyDescent="0.35">
      <c r="A1796" s="3"/>
      <c r="B1796" s="4"/>
      <c r="C1796" s="5"/>
      <c r="D1796" s="5"/>
      <c r="E1796" s="5"/>
      <c r="F1796" s="5"/>
      <c r="G1796" s="5"/>
      <c r="H1796" s="5"/>
      <c r="I1796" s="6"/>
      <c r="J1796" s="5"/>
      <c r="K1796" s="5"/>
      <c r="L1796" s="5"/>
      <c r="M1796" s="5"/>
    </row>
    <row r="1797" spans="1:13" x14ac:dyDescent="0.35">
      <c r="A1797" s="3"/>
      <c r="B1797" s="4"/>
      <c r="C1797" s="5"/>
      <c r="D1797" s="5"/>
      <c r="E1797" s="5"/>
      <c r="F1797" s="5"/>
      <c r="G1797" s="5"/>
      <c r="H1797" s="5"/>
      <c r="I1797" s="6"/>
      <c r="J1797" s="5"/>
      <c r="K1797" s="5"/>
      <c r="L1797" s="5"/>
      <c r="M1797" s="5"/>
    </row>
    <row r="1798" spans="1:13" x14ac:dyDescent="0.35">
      <c r="A1798" s="3"/>
      <c r="B1798" s="4"/>
      <c r="C1798" s="5"/>
      <c r="D1798" s="5"/>
      <c r="E1798" s="5"/>
      <c r="F1798" s="5"/>
      <c r="G1798" s="5"/>
      <c r="H1798" s="5"/>
      <c r="I1798" s="6"/>
      <c r="J1798" s="5"/>
      <c r="K1798" s="5"/>
      <c r="L1798" s="5"/>
      <c r="M1798" s="5"/>
    </row>
    <row r="1799" spans="1:13" x14ac:dyDescent="0.35">
      <c r="A1799" s="3"/>
      <c r="B1799" s="4"/>
      <c r="C1799" s="5"/>
      <c r="D1799" s="5"/>
      <c r="E1799" s="5"/>
      <c r="F1799" s="5"/>
      <c r="G1799" s="5"/>
      <c r="H1799" s="5"/>
      <c r="I1799" s="6"/>
      <c r="J1799" s="5"/>
      <c r="K1799" s="5"/>
      <c r="L1799" s="5"/>
      <c r="M1799" s="5"/>
    </row>
    <row r="1800" spans="1:13" x14ac:dyDescent="0.35">
      <c r="A1800" s="3"/>
      <c r="B1800" s="4"/>
      <c r="C1800" s="5"/>
      <c r="D1800" s="5"/>
      <c r="E1800" s="5"/>
      <c r="F1800" s="5"/>
      <c r="G1800" s="5"/>
      <c r="H1800" s="5"/>
      <c r="I1800" s="6"/>
      <c r="J1800" s="5"/>
      <c r="K1800" s="5"/>
      <c r="L1800" s="5"/>
      <c r="M1800" s="5"/>
    </row>
    <row r="1801" spans="1:13" x14ac:dyDescent="0.35">
      <c r="A1801" s="3"/>
      <c r="B1801" s="4"/>
      <c r="C1801" s="5"/>
      <c r="D1801" s="5"/>
      <c r="E1801" s="5"/>
      <c r="F1801" s="5"/>
      <c r="G1801" s="5"/>
      <c r="H1801" s="5"/>
      <c r="I1801" s="6"/>
      <c r="J1801" s="5"/>
      <c r="K1801" s="5"/>
      <c r="L1801" s="5"/>
      <c r="M1801" s="5"/>
    </row>
    <row r="1802" spans="1:13" x14ac:dyDescent="0.35">
      <c r="A1802" s="3"/>
      <c r="B1802" s="4"/>
      <c r="C1802" s="5"/>
      <c r="D1802" s="5"/>
      <c r="E1802" s="5"/>
      <c r="F1802" s="5"/>
      <c r="G1802" s="5"/>
      <c r="H1802" s="5"/>
      <c r="I1802" s="6"/>
      <c r="J1802" s="5"/>
      <c r="K1802" s="5"/>
      <c r="L1802" s="5"/>
      <c r="M1802" s="5"/>
    </row>
    <row r="1803" spans="1:13" x14ac:dyDescent="0.35">
      <c r="A1803" s="3"/>
      <c r="B1803" s="4"/>
      <c r="C1803" s="5"/>
      <c r="D1803" s="5"/>
      <c r="E1803" s="5"/>
      <c r="F1803" s="5"/>
      <c r="G1803" s="5"/>
      <c r="H1803" s="5"/>
      <c r="I1803" s="6"/>
      <c r="J1803" s="5"/>
      <c r="K1803" s="5"/>
      <c r="L1803" s="5"/>
      <c r="M1803" s="5"/>
    </row>
    <row r="1804" spans="1:13" x14ac:dyDescent="0.35">
      <c r="A1804" s="3"/>
      <c r="B1804" s="4"/>
      <c r="C1804" s="5"/>
      <c r="D1804" s="5"/>
      <c r="E1804" s="5"/>
      <c r="F1804" s="5"/>
      <c r="G1804" s="5"/>
      <c r="H1804" s="5"/>
      <c r="I1804" s="6"/>
      <c r="J1804" s="5"/>
      <c r="K1804" s="5"/>
      <c r="L1804" s="5"/>
      <c r="M1804" s="5"/>
    </row>
    <row r="1805" spans="1:13" x14ac:dyDescent="0.35">
      <c r="A1805" s="3"/>
      <c r="B1805" s="4"/>
      <c r="C1805" s="5"/>
      <c r="D1805" s="5"/>
      <c r="E1805" s="5"/>
      <c r="F1805" s="5"/>
      <c r="G1805" s="5"/>
      <c r="H1805" s="5"/>
      <c r="I1805" s="6"/>
      <c r="J1805" s="5"/>
      <c r="K1805" s="5"/>
      <c r="L1805" s="5"/>
      <c r="M1805" s="5"/>
    </row>
    <row r="1806" spans="1:13" x14ac:dyDescent="0.35">
      <c r="A1806" s="3"/>
      <c r="B1806" s="4"/>
      <c r="C1806" s="5"/>
      <c r="D1806" s="5"/>
      <c r="E1806" s="5"/>
      <c r="F1806" s="5"/>
      <c r="G1806" s="5"/>
      <c r="H1806" s="5"/>
      <c r="I1806" s="6"/>
      <c r="J1806" s="5"/>
      <c r="K1806" s="5"/>
      <c r="L1806" s="5"/>
      <c r="M1806" s="5"/>
    </row>
    <row r="1807" spans="1:13" x14ac:dyDescent="0.35">
      <c r="A1807" s="3"/>
      <c r="B1807" s="4"/>
      <c r="C1807" s="5"/>
      <c r="D1807" s="5"/>
      <c r="E1807" s="5"/>
      <c r="F1807" s="5"/>
      <c r="G1807" s="5"/>
      <c r="H1807" s="5"/>
      <c r="I1807" s="6"/>
      <c r="J1807" s="5"/>
      <c r="K1807" s="5"/>
      <c r="L1807" s="5"/>
      <c r="M1807" s="5"/>
    </row>
    <row r="1808" spans="1:13" x14ac:dyDescent="0.35">
      <c r="A1808" s="3"/>
      <c r="B1808" s="4"/>
      <c r="C1808" s="5"/>
      <c r="D1808" s="5"/>
      <c r="E1808" s="5"/>
      <c r="F1808" s="5"/>
      <c r="G1808" s="5"/>
      <c r="H1808" s="5"/>
      <c r="I1808" s="6"/>
      <c r="J1808" s="5"/>
      <c r="K1808" s="5"/>
      <c r="L1808" s="5"/>
      <c r="M1808" s="5"/>
    </row>
    <row r="1809" spans="1:13" x14ac:dyDescent="0.35">
      <c r="A1809" s="3"/>
      <c r="B1809" s="4"/>
      <c r="C1809" s="5"/>
      <c r="D1809" s="5"/>
      <c r="E1809" s="5"/>
      <c r="F1809" s="5"/>
      <c r="G1809" s="5"/>
      <c r="H1809" s="5"/>
      <c r="I1809" s="6"/>
      <c r="J1809" s="5"/>
      <c r="K1809" s="5"/>
      <c r="L1809" s="5"/>
      <c r="M1809" s="5"/>
    </row>
    <row r="1810" spans="1:13" x14ac:dyDescent="0.35">
      <c r="A1810" s="3"/>
      <c r="B1810" s="4"/>
      <c r="C1810" s="5"/>
      <c r="D1810" s="5"/>
      <c r="E1810" s="5"/>
      <c r="F1810" s="5"/>
      <c r="G1810" s="5"/>
      <c r="H1810" s="5"/>
      <c r="I1810" s="6"/>
      <c r="J1810" s="5"/>
      <c r="K1810" s="5"/>
      <c r="L1810" s="5"/>
      <c r="M1810" s="5"/>
    </row>
    <row r="1811" spans="1:13" x14ac:dyDescent="0.35">
      <c r="A1811" s="3"/>
      <c r="B1811" s="4"/>
      <c r="C1811" s="5"/>
      <c r="D1811" s="5"/>
      <c r="E1811" s="5"/>
      <c r="F1811" s="5"/>
      <c r="G1811" s="5"/>
      <c r="H1811" s="5"/>
      <c r="I1811" s="6"/>
      <c r="J1811" s="5"/>
      <c r="K1811" s="5"/>
      <c r="L1811" s="5"/>
      <c r="M1811" s="5"/>
    </row>
    <row r="1812" spans="1:13" x14ac:dyDescent="0.35">
      <c r="A1812" s="3"/>
      <c r="B1812" s="4"/>
      <c r="C1812" s="5"/>
      <c r="D1812" s="5"/>
      <c r="E1812" s="5"/>
      <c r="F1812" s="5"/>
      <c r="G1812" s="5"/>
      <c r="H1812" s="5"/>
      <c r="I1812" s="6"/>
      <c r="J1812" s="5"/>
      <c r="K1812" s="5"/>
      <c r="L1812" s="5"/>
      <c r="M1812" s="5"/>
    </row>
    <row r="1813" spans="1:13" x14ac:dyDescent="0.35">
      <c r="A1813" s="3"/>
      <c r="B1813" s="4"/>
      <c r="C1813" s="5"/>
      <c r="D1813" s="5"/>
      <c r="E1813" s="5"/>
      <c r="F1813" s="5"/>
      <c r="G1813" s="5"/>
      <c r="H1813" s="5"/>
      <c r="I1813" s="6"/>
      <c r="J1813" s="5"/>
      <c r="K1813" s="5"/>
      <c r="L1813" s="5"/>
      <c r="M1813" s="5"/>
    </row>
    <row r="1814" spans="1:13" x14ac:dyDescent="0.35">
      <c r="A1814" s="3"/>
      <c r="B1814" s="4"/>
      <c r="C1814" s="5"/>
      <c r="D1814" s="5"/>
      <c r="E1814" s="5"/>
      <c r="F1814" s="5"/>
      <c r="G1814" s="5"/>
      <c r="H1814" s="5"/>
      <c r="I1814" s="6"/>
      <c r="J1814" s="5"/>
      <c r="K1814" s="5"/>
      <c r="L1814" s="5"/>
      <c r="M1814" s="5"/>
    </row>
    <row r="1815" spans="1:13" x14ac:dyDescent="0.35">
      <c r="A1815" s="3"/>
      <c r="B1815" s="4"/>
      <c r="C1815" s="5"/>
      <c r="D1815" s="5"/>
      <c r="E1815" s="5"/>
      <c r="F1815" s="5"/>
      <c r="G1815" s="5"/>
      <c r="H1815" s="5"/>
      <c r="I1815" s="6"/>
      <c r="J1815" s="5"/>
      <c r="K1815" s="5"/>
      <c r="L1815" s="5"/>
      <c r="M1815" s="5"/>
    </row>
    <row r="1816" spans="1:13" x14ac:dyDescent="0.35">
      <c r="A1816" s="3"/>
      <c r="B1816" s="4"/>
      <c r="C1816" s="5"/>
      <c r="D1816" s="5"/>
      <c r="E1816" s="5"/>
      <c r="F1816" s="5"/>
      <c r="G1816" s="5"/>
      <c r="H1816" s="5"/>
      <c r="I1816" s="6"/>
      <c r="J1816" s="5"/>
      <c r="K1816" s="5"/>
      <c r="L1816" s="5"/>
      <c r="M1816" s="5"/>
    </row>
    <row r="1817" spans="1:13" x14ac:dyDescent="0.35">
      <c r="A1817" s="3"/>
      <c r="B1817" s="4"/>
      <c r="C1817" s="5"/>
      <c r="D1817" s="5"/>
      <c r="E1817" s="5"/>
      <c r="F1817" s="5"/>
      <c r="G1817" s="5"/>
      <c r="H1817" s="5"/>
      <c r="I1817" s="6"/>
      <c r="J1817" s="5"/>
      <c r="K1817" s="5"/>
      <c r="L1817" s="5"/>
      <c r="M1817" s="5"/>
    </row>
    <row r="1818" spans="1:13" x14ac:dyDescent="0.35">
      <c r="A1818" s="3"/>
      <c r="B1818" s="4"/>
      <c r="C1818" s="5"/>
      <c r="D1818" s="5"/>
      <c r="E1818" s="5"/>
      <c r="F1818" s="5"/>
      <c r="G1818" s="5"/>
      <c r="H1818" s="5"/>
      <c r="I1818" s="6"/>
      <c r="J1818" s="5"/>
      <c r="K1818" s="5"/>
      <c r="L1818" s="5"/>
      <c r="M1818" s="5"/>
    </row>
    <row r="1819" spans="1:13" x14ac:dyDescent="0.35">
      <c r="A1819" s="3"/>
      <c r="B1819" s="4"/>
      <c r="C1819" s="5"/>
      <c r="D1819" s="5"/>
      <c r="E1819" s="5"/>
      <c r="F1819" s="5"/>
      <c r="G1819" s="5"/>
      <c r="H1819" s="5"/>
      <c r="I1819" s="6"/>
      <c r="J1819" s="5"/>
      <c r="K1819" s="5"/>
      <c r="L1819" s="5"/>
      <c r="M1819" s="5"/>
    </row>
    <row r="1820" spans="1:13" x14ac:dyDescent="0.35">
      <c r="A1820" s="3"/>
      <c r="B1820" s="4"/>
      <c r="C1820" s="5"/>
      <c r="D1820" s="5"/>
      <c r="E1820" s="5"/>
      <c r="F1820" s="5"/>
      <c r="G1820" s="5"/>
      <c r="H1820" s="5"/>
      <c r="I1820" s="6"/>
      <c r="J1820" s="5"/>
      <c r="K1820" s="5"/>
      <c r="L1820" s="5"/>
      <c r="M1820" s="5"/>
    </row>
    <row r="1821" spans="1:13" x14ac:dyDescent="0.35">
      <c r="A1821" s="3"/>
      <c r="B1821" s="4"/>
      <c r="C1821" s="5"/>
      <c r="D1821" s="5"/>
      <c r="E1821" s="5"/>
      <c r="F1821" s="5"/>
      <c r="G1821" s="5"/>
      <c r="H1821" s="5"/>
      <c r="I1821" s="6"/>
      <c r="J1821" s="5"/>
      <c r="K1821" s="5"/>
      <c r="L1821" s="5"/>
      <c r="M1821" s="5"/>
    </row>
    <row r="1822" spans="1:13" x14ac:dyDescent="0.35">
      <c r="A1822" s="3"/>
      <c r="B1822" s="4"/>
      <c r="C1822" s="5"/>
      <c r="D1822" s="5"/>
      <c r="E1822" s="5"/>
      <c r="F1822" s="5"/>
      <c r="G1822" s="5"/>
      <c r="H1822" s="5"/>
      <c r="I1822" s="6"/>
      <c r="J1822" s="5"/>
      <c r="K1822" s="5"/>
      <c r="L1822" s="5"/>
      <c r="M1822" s="5"/>
    </row>
    <row r="1823" spans="1:13" x14ac:dyDescent="0.35">
      <c r="A1823" s="3"/>
      <c r="B1823" s="4"/>
      <c r="C1823" s="5"/>
      <c r="D1823" s="5"/>
      <c r="E1823" s="5"/>
      <c r="F1823" s="5"/>
      <c r="G1823" s="5"/>
      <c r="H1823" s="5"/>
      <c r="I1823" s="6"/>
      <c r="J1823" s="5"/>
      <c r="K1823" s="5"/>
      <c r="L1823" s="5"/>
      <c r="M1823" s="5"/>
    </row>
    <row r="1824" spans="1:13" x14ac:dyDescent="0.35">
      <c r="A1824" s="3"/>
      <c r="B1824" s="4"/>
      <c r="C1824" s="5"/>
      <c r="D1824" s="5"/>
      <c r="E1824" s="5"/>
      <c r="F1824" s="5"/>
      <c r="G1824" s="5"/>
      <c r="H1824" s="5"/>
      <c r="I1824" s="6"/>
      <c r="J1824" s="5"/>
      <c r="K1824" s="5"/>
      <c r="L1824" s="5"/>
      <c r="M1824" s="5"/>
    </row>
    <row r="1825" spans="1:13" x14ac:dyDescent="0.35">
      <c r="A1825" s="3"/>
      <c r="B1825" s="4"/>
      <c r="C1825" s="5"/>
      <c r="D1825" s="5"/>
      <c r="E1825" s="5"/>
      <c r="F1825" s="5"/>
      <c r="G1825" s="5"/>
      <c r="H1825" s="5"/>
      <c r="I1825" s="6"/>
      <c r="J1825" s="5"/>
      <c r="K1825" s="5"/>
      <c r="L1825" s="5"/>
      <c r="M1825" s="5"/>
    </row>
    <row r="1826" spans="1:13" x14ac:dyDescent="0.35">
      <c r="A1826" s="3"/>
      <c r="B1826" s="4"/>
      <c r="C1826" s="5"/>
      <c r="D1826" s="5"/>
      <c r="E1826" s="5"/>
      <c r="F1826" s="5"/>
      <c r="G1826" s="5"/>
      <c r="H1826" s="5"/>
      <c r="I1826" s="6"/>
      <c r="J1826" s="5"/>
      <c r="K1826" s="5"/>
      <c r="L1826" s="5"/>
      <c r="M1826" s="5"/>
    </row>
    <row r="1827" spans="1:13" x14ac:dyDescent="0.35">
      <c r="A1827" s="3"/>
      <c r="B1827" s="4"/>
      <c r="C1827" s="5"/>
      <c r="D1827" s="5"/>
      <c r="E1827" s="5"/>
      <c r="F1827" s="5"/>
      <c r="G1827" s="5"/>
      <c r="H1827" s="5"/>
      <c r="I1827" s="6"/>
      <c r="J1827" s="5"/>
      <c r="K1827" s="5"/>
      <c r="L1827" s="5"/>
      <c r="M1827" s="5"/>
    </row>
    <row r="1828" spans="1:13" x14ac:dyDescent="0.35">
      <c r="A1828" s="3"/>
      <c r="B1828" s="4"/>
      <c r="C1828" s="5"/>
      <c r="D1828" s="5"/>
      <c r="E1828" s="5"/>
      <c r="F1828" s="5"/>
      <c r="G1828" s="5"/>
      <c r="H1828" s="5"/>
      <c r="I1828" s="6"/>
      <c r="J1828" s="5"/>
      <c r="K1828" s="5"/>
      <c r="L1828" s="5"/>
      <c r="M1828" s="5"/>
    </row>
    <row r="1829" spans="1:13" x14ac:dyDescent="0.35">
      <c r="A1829" s="3"/>
      <c r="B1829" s="4"/>
      <c r="C1829" s="5"/>
      <c r="D1829" s="5"/>
      <c r="E1829" s="5"/>
      <c r="F1829" s="5"/>
      <c r="G1829" s="5"/>
      <c r="H1829" s="5"/>
      <c r="I1829" s="6"/>
      <c r="J1829" s="5"/>
      <c r="K1829" s="5"/>
      <c r="L1829" s="5"/>
      <c r="M1829" s="5"/>
    </row>
    <row r="1830" spans="1:13" x14ac:dyDescent="0.35">
      <c r="A1830" s="3"/>
      <c r="B1830" s="4"/>
      <c r="C1830" s="5"/>
      <c r="D1830" s="5"/>
      <c r="E1830" s="5"/>
      <c r="F1830" s="5"/>
      <c r="G1830" s="5"/>
      <c r="H1830" s="5"/>
      <c r="I1830" s="6"/>
      <c r="J1830" s="5"/>
      <c r="K1830" s="5"/>
      <c r="L1830" s="5"/>
      <c r="M1830" s="5"/>
    </row>
    <row r="1831" spans="1:13" x14ac:dyDescent="0.35">
      <c r="A1831" s="3"/>
      <c r="B1831" s="4"/>
      <c r="C1831" s="5"/>
      <c r="D1831" s="5"/>
      <c r="E1831" s="5"/>
      <c r="F1831" s="5"/>
      <c r="G1831" s="5"/>
      <c r="H1831" s="5"/>
      <c r="I1831" s="6"/>
      <c r="J1831" s="5"/>
      <c r="K1831" s="5"/>
      <c r="L1831" s="5"/>
      <c r="M1831" s="5"/>
    </row>
    <row r="1832" spans="1:13" x14ac:dyDescent="0.35">
      <c r="A1832" s="3"/>
      <c r="B1832" s="4"/>
      <c r="C1832" s="5"/>
      <c r="D1832" s="5"/>
      <c r="E1832" s="5"/>
      <c r="F1832" s="5"/>
      <c r="G1832" s="5"/>
      <c r="H1832" s="5"/>
      <c r="I1832" s="6"/>
      <c r="J1832" s="5"/>
      <c r="K1832" s="5"/>
      <c r="L1832" s="5"/>
      <c r="M1832" s="5"/>
    </row>
    <row r="1833" spans="1:13" x14ac:dyDescent="0.35">
      <c r="A1833" s="3"/>
      <c r="B1833" s="4"/>
      <c r="C1833" s="5"/>
      <c r="D1833" s="5"/>
      <c r="E1833" s="5"/>
      <c r="F1833" s="5"/>
      <c r="G1833" s="5"/>
      <c r="H1833" s="5"/>
      <c r="I1833" s="6"/>
      <c r="J1833" s="5"/>
      <c r="K1833" s="5"/>
      <c r="L1833" s="5"/>
      <c r="M1833" s="5"/>
    </row>
    <row r="1834" spans="1:13" x14ac:dyDescent="0.35">
      <c r="A1834" s="3"/>
      <c r="B1834" s="4"/>
      <c r="C1834" s="5"/>
      <c r="D1834" s="5"/>
      <c r="E1834" s="5"/>
      <c r="F1834" s="5"/>
      <c r="G1834" s="5"/>
      <c r="H1834" s="5"/>
      <c r="I1834" s="6"/>
      <c r="J1834" s="5"/>
      <c r="K1834" s="5"/>
      <c r="L1834" s="5"/>
      <c r="M1834" s="5"/>
    </row>
    <row r="1835" spans="1:13" x14ac:dyDescent="0.35">
      <c r="A1835" s="3"/>
      <c r="B1835" s="4"/>
      <c r="C1835" s="5"/>
      <c r="D1835" s="5"/>
      <c r="E1835" s="5"/>
      <c r="F1835" s="5"/>
      <c r="G1835" s="5"/>
      <c r="H1835" s="5"/>
      <c r="I1835" s="6"/>
      <c r="J1835" s="5"/>
      <c r="K1835" s="5"/>
      <c r="L1835" s="5"/>
      <c r="M1835" s="5"/>
    </row>
    <row r="1836" spans="1:13" x14ac:dyDescent="0.35">
      <c r="A1836" s="3"/>
      <c r="B1836" s="4"/>
      <c r="C1836" s="5"/>
      <c r="D1836" s="5"/>
      <c r="E1836" s="5"/>
      <c r="F1836" s="5"/>
      <c r="G1836" s="5"/>
      <c r="H1836" s="5"/>
      <c r="I1836" s="6"/>
      <c r="J1836" s="5"/>
      <c r="K1836" s="5"/>
      <c r="L1836" s="5"/>
      <c r="M1836" s="5"/>
    </row>
    <row r="1837" spans="1:13" x14ac:dyDescent="0.35">
      <c r="A1837" s="3"/>
      <c r="B1837" s="4"/>
      <c r="C1837" s="5"/>
      <c r="D1837" s="5"/>
      <c r="E1837" s="5"/>
      <c r="F1837" s="5"/>
      <c r="G1837" s="5"/>
      <c r="H1837" s="5"/>
      <c r="I1837" s="6"/>
      <c r="J1837" s="5"/>
      <c r="K1837" s="5"/>
      <c r="L1837" s="5"/>
      <c r="M1837" s="5"/>
    </row>
    <row r="1838" spans="1:13" x14ac:dyDescent="0.35">
      <c r="A1838" s="3"/>
      <c r="B1838" s="4"/>
      <c r="C1838" s="5"/>
      <c r="D1838" s="5"/>
      <c r="E1838" s="5"/>
      <c r="F1838" s="5"/>
      <c r="G1838" s="5"/>
      <c r="H1838" s="5"/>
      <c r="I1838" s="6"/>
      <c r="J1838" s="5"/>
      <c r="K1838" s="5"/>
      <c r="L1838" s="5"/>
      <c r="M1838" s="5"/>
    </row>
    <row r="1839" spans="1:13" x14ac:dyDescent="0.35">
      <c r="A1839" s="3"/>
      <c r="B1839" s="4"/>
      <c r="C1839" s="5"/>
      <c r="D1839" s="5"/>
      <c r="E1839" s="5"/>
      <c r="F1839" s="5"/>
      <c r="G1839" s="5"/>
      <c r="H1839" s="5"/>
      <c r="I1839" s="6"/>
      <c r="J1839" s="5"/>
      <c r="K1839" s="5"/>
      <c r="L1839" s="5"/>
      <c r="M1839" s="5"/>
    </row>
    <row r="1840" spans="1:13" x14ac:dyDescent="0.35">
      <c r="A1840" s="3"/>
      <c r="B1840" s="4"/>
      <c r="C1840" s="5"/>
      <c r="D1840" s="5"/>
      <c r="E1840" s="5"/>
      <c r="F1840" s="5"/>
      <c r="G1840" s="5"/>
      <c r="H1840" s="5"/>
      <c r="I1840" s="6"/>
      <c r="J1840" s="5"/>
      <c r="K1840" s="5"/>
      <c r="L1840" s="5"/>
      <c r="M1840" s="5"/>
    </row>
    <row r="1841" spans="1:13" x14ac:dyDescent="0.35">
      <c r="A1841" s="3"/>
      <c r="B1841" s="4"/>
      <c r="C1841" s="5"/>
      <c r="D1841" s="5"/>
      <c r="E1841" s="5"/>
      <c r="F1841" s="5"/>
      <c r="G1841" s="5"/>
      <c r="H1841" s="5"/>
      <c r="I1841" s="6"/>
      <c r="J1841" s="5"/>
      <c r="K1841" s="5"/>
      <c r="L1841" s="5"/>
      <c r="M1841" s="5"/>
    </row>
    <row r="1842" spans="1:13" x14ac:dyDescent="0.35">
      <c r="A1842" s="3"/>
      <c r="B1842" s="4"/>
      <c r="C1842" s="5"/>
      <c r="D1842" s="5"/>
      <c r="E1842" s="5"/>
      <c r="F1842" s="5"/>
      <c r="G1842" s="5"/>
      <c r="H1842" s="5"/>
      <c r="I1842" s="6"/>
      <c r="J1842" s="5"/>
      <c r="K1842" s="5"/>
      <c r="L1842" s="5"/>
      <c r="M1842" s="5"/>
    </row>
    <row r="1843" spans="1:13" x14ac:dyDescent="0.35">
      <c r="A1843" s="3"/>
      <c r="B1843" s="4"/>
      <c r="C1843" s="5"/>
      <c r="D1843" s="5"/>
      <c r="E1843" s="5"/>
      <c r="F1843" s="5"/>
      <c r="G1843" s="5"/>
      <c r="H1843" s="5"/>
      <c r="I1843" s="6"/>
      <c r="J1843" s="5"/>
      <c r="K1843" s="5"/>
      <c r="L1843" s="5"/>
      <c r="M1843" s="5"/>
    </row>
    <row r="1844" spans="1:13" x14ac:dyDescent="0.35">
      <c r="A1844" s="3"/>
      <c r="B1844" s="4"/>
      <c r="C1844" s="5"/>
      <c r="D1844" s="5"/>
      <c r="E1844" s="5"/>
      <c r="F1844" s="5"/>
      <c r="G1844" s="5"/>
      <c r="H1844" s="5"/>
      <c r="I1844" s="6"/>
      <c r="J1844" s="5"/>
      <c r="K1844" s="5"/>
      <c r="L1844" s="5"/>
      <c r="M1844" s="5"/>
    </row>
    <row r="1845" spans="1:13" x14ac:dyDescent="0.35">
      <c r="A1845" s="3"/>
      <c r="B1845" s="4"/>
      <c r="C1845" s="5"/>
      <c r="D1845" s="5"/>
      <c r="E1845" s="5"/>
      <c r="F1845" s="5"/>
      <c r="G1845" s="5"/>
      <c r="H1845" s="5"/>
      <c r="I1845" s="6"/>
      <c r="J1845" s="5"/>
      <c r="K1845" s="5"/>
      <c r="L1845" s="5"/>
      <c r="M1845" s="5"/>
    </row>
    <row r="1846" spans="1:13" x14ac:dyDescent="0.35">
      <c r="A1846" s="3"/>
      <c r="B1846" s="4"/>
      <c r="C1846" s="5"/>
      <c r="D1846" s="5"/>
      <c r="E1846" s="5"/>
      <c r="F1846" s="5"/>
      <c r="G1846" s="5"/>
      <c r="H1846" s="5"/>
      <c r="I1846" s="6"/>
      <c r="J1846" s="5"/>
      <c r="K1846" s="5"/>
      <c r="L1846" s="5"/>
      <c r="M1846" s="5"/>
    </row>
    <row r="1847" spans="1:13" x14ac:dyDescent="0.35">
      <c r="A1847" s="3"/>
      <c r="B1847" s="4"/>
      <c r="C1847" s="5"/>
      <c r="D1847" s="5"/>
      <c r="E1847" s="5"/>
      <c r="F1847" s="5"/>
      <c r="G1847" s="5"/>
      <c r="H1847" s="5"/>
      <c r="I1847" s="6"/>
      <c r="J1847" s="5"/>
      <c r="K1847" s="5"/>
      <c r="L1847" s="5"/>
      <c r="M1847" s="5"/>
    </row>
    <row r="1848" spans="1:13" x14ac:dyDescent="0.35">
      <c r="A1848" s="3"/>
      <c r="B1848" s="4"/>
      <c r="C1848" s="5"/>
      <c r="D1848" s="5"/>
      <c r="E1848" s="5"/>
      <c r="F1848" s="5"/>
      <c r="G1848" s="5"/>
      <c r="H1848" s="5"/>
      <c r="I1848" s="6"/>
      <c r="J1848" s="5"/>
      <c r="K1848" s="5"/>
      <c r="L1848" s="5"/>
      <c r="M1848" s="5"/>
    </row>
    <row r="1849" spans="1:13" x14ac:dyDescent="0.35">
      <c r="A1849" s="3"/>
      <c r="B1849" s="4"/>
      <c r="C1849" s="5"/>
      <c r="D1849" s="5"/>
      <c r="E1849" s="5"/>
      <c r="F1849" s="5"/>
      <c r="G1849" s="5"/>
      <c r="H1849" s="5"/>
      <c r="I1849" s="6"/>
      <c r="J1849" s="5"/>
      <c r="K1849" s="5"/>
      <c r="L1849" s="5"/>
      <c r="M1849" s="5"/>
    </row>
    <row r="1850" spans="1:13" x14ac:dyDescent="0.35">
      <c r="A1850" s="3"/>
      <c r="B1850" s="4"/>
      <c r="C1850" s="5"/>
      <c r="D1850" s="5"/>
      <c r="E1850" s="5"/>
      <c r="F1850" s="5"/>
      <c r="G1850" s="5"/>
      <c r="H1850" s="5"/>
      <c r="I1850" s="6"/>
      <c r="J1850" s="5"/>
      <c r="K1850" s="5"/>
      <c r="L1850" s="5"/>
      <c r="M1850" s="5"/>
    </row>
    <row r="1851" spans="1:13" x14ac:dyDescent="0.35">
      <c r="A1851" s="3"/>
      <c r="B1851" s="4"/>
      <c r="C1851" s="5"/>
      <c r="D1851" s="5"/>
      <c r="E1851" s="5"/>
      <c r="F1851" s="5"/>
      <c r="G1851" s="5"/>
      <c r="H1851" s="5"/>
      <c r="I1851" s="6"/>
      <c r="J1851" s="5"/>
      <c r="K1851" s="5"/>
      <c r="L1851" s="5"/>
      <c r="M1851" s="5"/>
    </row>
    <row r="1852" spans="1:13" x14ac:dyDescent="0.35">
      <c r="A1852" s="3"/>
      <c r="B1852" s="4"/>
      <c r="C1852" s="5"/>
      <c r="D1852" s="5"/>
      <c r="E1852" s="5"/>
      <c r="F1852" s="5"/>
      <c r="G1852" s="5"/>
      <c r="H1852" s="5"/>
      <c r="I1852" s="6"/>
      <c r="J1852" s="5"/>
      <c r="K1852" s="5"/>
      <c r="L1852" s="5"/>
      <c r="M1852" s="5"/>
    </row>
    <row r="1853" spans="1:13" x14ac:dyDescent="0.35">
      <c r="A1853" s="3"/>
      <c r="B1853" s="4"/>
      <c r="C1853" s="5"/>
      <c r="D1853" s="5"/>
      <c r="E1853" s="5"/>
      <c r="F1853" s="5"/>
      <c r="G1853" s="5"/>
      <c r="H1853" s="5"/>
      <c r="I1853" s="6"/>
      <c r="J1853" s="5"/>
      <c r="K1853" s="5"/>
      <c r="L1853" s="5"/>
      <c r="M1853" s="5"/>
    </row>
    <row r="1854" spans="1:13" x14ac:dyDescent="0.35">
      <c r="A1854" s="3"/>
      <c r="B1854" s="4"/>
      <c r="C1854" s="5"/>
      <c r="D1854" s="5"/>
      <c r="E1854" s="5"/>
      <c r="F1854" s="5"/>
      <c r="G1854" s="5"/>
      <c r="H1854" s="5"/>
      <c r="I1854" s="6"/>
      <c r="J1854" s="5"/>
      <c r="K1854" s="5"/>
      <c r="L1854" s="5"/>
      <c r="M1854" s="5"/>
    </row>
    <row r="1855" spans="1:13" x14ac:dyDescent="0.35">
      <c r="A1855" s="3"/>
      <c r="B1855" s="4"/>
      <c r="C1855" s="5"/>
      <c r="D1855" s="5"/>
      <c r="E1855" s="5"/>
      <c r="F1855" s="5"/>
      <c r="G1855" s="5"/>
      <c r="H1855" s="5"/>
      <c r="I1855" s="6"/>
      <c r="J1855" s="5"/>
      <c r="K1855" s="5"/>
      <c r="L1855" s="5"/>
      <c r="M1855" s="5"/>
    </row>
    <row r="1856" spans="1:13" x14ac:dyDescent="0.35">
      <c r="A1856" s="3"/>
      <c r="B1856" s="4"/>
      <c r="C1856" s="5"/>
      <c r="D1856" s="5"/>
      <c r="E1856" s="5"/>
      <c r="F1856" s="5"/>
      <c r="G1856" s="5"/>
      <c r="H1856" s="5"/>
      <c r="I1856" s="6"/>
      <c r="J1856" s="5"/>
      <c r="K1856" s="5"/>
      <c r="L1856" s="5"/>
      <c r="M1856" s="5"/>
    </row>
    <row r="1857" spans="1:13" x14ac:dyDescent="0.35">
      <c r="A1857" s="3"/>
      <c r="B1857" s="4"/>
      <c r="C1857" s="5"/>
      <c r="D1857" s="5"/>
      <c r="E1857" s="5"/>
      <c r="F1857" s="5"/>
      <c r="G1857" s="5"/>
      <c r="H1857" s="5"/>
      <c r="I1857" s="6"/>
      <c r="J1857" s="5"/>
      <c r="K1857" s="5"/>
      <c r="L1857" s="5"/>
      <c r="M1857" s="5"/>
    </row>
    <row r="1858" spans="1:13" x14ac:dyDescent="0.35">
      <c r="A1858" s="3"/>
      <c r="B1858" s="4"/>
      <c r="C1858" s="5"/>
      <c r="D1858" s="5"/>
      <c r="E1858" s="5"/>
      <c r="F1858" s="5"/>
      <c r="G1858" s="5"/>
      <c r="H1858" s="5"/>
      <c r="I1858" s="6"/>
      <c r="J1858" s="5"/>
      <c r="K1858" s="5"/>
      <c r="L1858" s="5"/>
      <c r="M1858" s="5"/>
    </row>
    <row r="1859" spans="1:13" x14ac:dyDescent="0.35">
      <c r="A1859" s="3"/>
      <c r="B1859" s="4"/>
      <c r="C1859" s="5"/>
      <c r="D1859" s="5"/>
      <c r="E1859" s="5"/>
      <c r="F1859" s="5"/>
      <c r="G1859" s="5"/>
      <c r="H1859" s="5"/>
      <c r="I1859" s="6"/>
      <c r="J1859" s="5"/>
      <c r="K1859" s="5"/>
      <c r="L1859" s="5"/>
      <c r="M1859" s="5"/>
    </row>
    <row r="1860" spans="1:13" x14ac:dyDescent="0.35">
      <c r="A1860" s="3"/>
      <c r="B1860" s="4"/>
      <c r="C1860" s="5"/>
      <c r="D1860" s="5"/>
      <c r="E1860" s="5"/>
      <c r="F1860" s="5"/>
      <c r="G1860" s="5"/>
      <c r="H1860" s="5"/>
      <c r="I1860" s="6"/>
      <c r="J1860" s="5"/>
      <c r="K1860" s="5"/>
      <c r="L1860" s="5"/>
      <c r="M1860" s="5"/>
    </row>
    <row r="1861" spans="1:13" x14ac:dyDescent="0.35">
      <c r="A1861" s="3"/>
      <c r="B1861" s="4"/>
      <c r="C1861" s="5"/>
      <c r="D1861" s="5"/>
      <c r="E1861" s="5"/>
      <c r="F1861" s="5"/>
      <c r="G1861" s="5"/>
      <c r="H1861" s="5"/>
      <c r="I1861" s="6"/>
      <c r="J1861" s="5"/>
      <c r="K1861" s="5"/>
      <c r="L1861" s="5"/>
      <c r="M1861" s="5"/>
    </row>
    <row r="1862" spans="1:13" x14ac:dyDescent="0.35">
      <c r="A1862" s="3"/>
      <c r="B1862" s="4"/>
      <c r="C1862" s="5"/>
      <c r="D1862" s="5"/>
      <c r="E1862" s="5"/>
      <c r="F1862" s="5"/>
      <c r="G1862" s="5"/>
      <c r="H1862" s="5"/>
      <c r="I1862" s="6"/>
      <c r="J1862" s="5"/>
      <c r="K1862" s="5"/>
      <c r="L1862" s="5"/>
      <c r="M1862" s="5"/>
    </row>
    <row r="1863" spans="1:13" x14ac:dyDescent="0.35">
      <c r="A1863" s="3"/>
      <c r="B1863" s="4"/>
      <c r="C1863" s="5"/>
      <c r="D1863" s="5"/>
      <c r="E1863" s="5"/>
      <c r="F1863" s="5"/>
      <c r="G1863" s="5"/>
      <c r="H1863" s="5"/>
      <c r="I1863" s="6"/>
      <c r="J1863" s="5"/>
      <c r="K1863" s="5"/>
      <c r="L1863" s="5"/>
      <c r="M1863" s="5"/>
    </row>
    <row r="1864" spans="1:13" x14ac:dyDescent="0.35">
      <c r="A1864" s="3"/>
      <c r="B1864" s="4"/>
      <c r="C1864" s="5"/>
      <c r="D1864" s="5"/>
      <c r="E1864" s="5"/>
      <c r="F1864" s="5"/>
      <c r="G1864" s="5"/>
      <c r="H1864" s="5"/>
      <c r="I1864" s="6"/>
      <c r="J1864" s="5"/>
      <c r="K1864" s="5"/>
      <c r="L1864" s="5"/>
      <c r="M1864" s="5"/>
    </row>
    <row r="1865" spans="1:13" x14ac:dyDescent="0.35">
      <c r="A1865" s="3"/>
      <c r="B1865" s="4"/>
      <c r="C1865" s="5"/>
      <c r="D1865" s="5"/>
      <c r="E1865" s="5"/>
      <c r="F1865" s="5"/>
      <c r="G1865" s="5"/>
      <c r="H1865" s="5"/>
      <c r="I1865" s="6"/>
      <c r="J1865" s="5"/>
      <c r="K1865" s="5"/>
      <c r="L1865" s="5"/>
      <c r="M1865" s="5"/>
    </row>
    <row r="1866" spans="1:13" x14ac:dyDescent="0.35">
      <c r="A1866" s="3"/>
      <c r="B1866" s="4"/>
      <c r="C1866" s="5"/>
      <c r="D1866" s="5"/>
      <c r="E1866" s="5"/>
      <c r="F1866" s="5"/>
      <c r="G1866" s="5"/>
      <c r="H1866" s="5"/>
      <c r="I1866" s="6"/>
      <c r="J1866" s="5"/>
      <c r="K1866" s="5"/>
      <c r="L1866" s="5"/>
      <c r="M1866" s="5"/>
    </row>
    <row r="1867" spans="1:13" x14ac:dyDescent="0.35">
      <c r="A1867" s="3"/>
      <c r="B1867" s="4"/>
      <c r="C1867" s="5"/>
      <c r="D1867" s="5"/>
      <c r="E1867" s="5"/>
      <c r="F1867" s="5"/>
      <c r="G1867" s="5"/>
      <c r="H1867" s="5"/>
      <c r="I1867" s="6"/>
      <c r="J1867" s="5"/>
      <c r="K1867" s="5"/>
      <c r="L1867" s="5"/>
      <c r="M1867" s="5"/>
    </row>
    <row r="1868" spans="1:13" x14ac:dyDescent="0.35">
      <c r="A1868" s="3"/>
      <c r="B1868" s="4"/>
      <c r="C1868" s="5"/>
      <c r="D1868" s="5"/>
      <c r="E1868" s="5"/>
      <c r="F1868" s="5"/>
      <c r="G1868" s="5"/>
      <c r="H1868" s="5"/>
      <c r="I1868" s="6"/>
      <c r="J1868" s="5"/>
      <c r="K1868" s="5"/>
      <c r="L1868" s="5"/>
      <c r="M1868" s="5"/>
    </row>
    <row r="1869" spans="1:13" x14ac:dyDescent="0.35">
      <c r="A1869" s="3"/>
      <c r="B1869" s="4"/>
      <c r="C1869" s="5"/>
      <c r="D1869" s="5"/>
      <c r="E1869" s="5"/>
      <c r="F1869" s="5"/>
      <c r="G1869" s="5"/>
      <c r="H1869" s="5"/>
      <c r="I1869" s="6"/>
      <c r="J1869" s="5"/>
      <c r="K1869" s="5"/>
      <c r="L1869" s="5"/>
      <c r="M1869" s="5"/>
    </row>
    <row r="1870" spans="1:13" x14ac:dyDescent="0.35">
      <c r="A1870" s="3"/>
      <c r="B1870" s="4"/>
      <c r="C1870" s="5"/>
      <c r="D1870" s="5"/>
      <c r="E1870" s="5"/>
      <c r="F1870" s="5"/>
      <c r="G1870" s="5"/>
      <c r="H1870" s="5"/>
      <c r="I1870" s="6"/>
      <c r="J1870" s="5"/>
      <c r="K1870" s="5"/>
      <c r="L1870" s="5"/>
      <c r="M1870" s="5"/>
    </row>
    <row r="1871" spans="1:13" x14ac:dyDescent="0.35">
      <c r="A1871" s="3"/>
      <c r="B1871" s="4"/>
      <c r="C1871" s="5"/>
      <c r="D1871" s="5"/>
      <c r="E1871" s="5"/>
      <c r="F1871" s="5"/>
      <c r="G1871" s="5"/>
      <c r="H1871" s="5"/>
      <c r="I1871" s="6"/>
      <c r="J1871" s="5"/>
      <c r="K1871" s="5"/>
      <c r="L1871" s="5"/>
      <c r="M1871" s="5"/>
    </row>
    <row r="1872" spans="1:13" x14ac:dyDescent="0.35">
      <c r="A1872" s="3"/>
      <c r="B1872" s="4"/>
      <c r="C1872" s="5"/>
      <c r="D1872" s="5"/>
      <c r="E1872" s="5"/>
      <c r="F1872" s="5"/>
      <c r="G1872" s="5"/>
      <c r="H1872" s="5"/>
      <c r="I1872" s="6"/>
      <c r="J1872" s="5"/>
      <c r="K1872" s="5"/>
      <c r="L1872" s="5"/>
      <c r="M1872" s="5"/>
    </row>
    <row r="1873" spans="1:13" x14ac:dyDescent="0.35">
      <c r="A1873" s="3"/>
      <c r="B1873" s="4"/>
      <c r="C1873" s="5"/>
      <c r="D1873" s="5"/>
      <c r="E1873" s="5"/>
      <c r="F1873" s="5"/>
      <c r="G1873" s="5"/>
      <c r="H1873" s="5"/>
      <c r="I1873" s="6"/>
      <c r="J1873" s="5"/>
      <c r="K1873" s="5"/>
      <c r="L1873" s="5"/>
      <c r="M1873" s="5"/>
    </row>
    <row r="1874" spans="1:13" x14ac:dyDescent="0.35">
      <c r="A1874" s="3"/>
      <c r="B1874" s="4"/>
      <c r="C1874" s="5"/>
      <c r="D1874" s="5"/>
      <c r="E1874" s="5"/>
      <c r="F1874" s="5"/>
      <c r="G1874" s="5"/>
      <c r="H1874" s="5"/>
      <c r="I1874" s="6"/>
      <c r="J1874" s="5"/>
      <c r="K1874" s="5"/>
      <c r="L1874" s="5"/>
      <c r="M1874" s="5"/>
    </row>
    <row r="1875" spans="1:13" x14ac:dyDescent="0.35">
      <c r="A1875" s="3"/>
      <c r="B1875" s="4"/>
      <c r="C1875" s="5"/>
      <c r="D1875" s="5"/>
      <c r="E1875" s="5"/>
      <c r="F1875" s="5"/>
      <c r="G1875" s="5"/>
      <c r="H1875" s="5"/>
      <c r="I1875" s="6"/>
      <c r="J1875" s="5"/>
      <c r="K1875" s="5"/>
      <c r="L1875" s="5"/>
      <c r="M1875" s="5"/>
    </row>
    <row r="1876" spans="1:13" x14ac:dyDescent="0.35">
      <c r="A1876" s="3"/>
      <c r="B1876" s="4"/>
      <c r="C1876" s="5"/>
      <c r="D1876" s="5"/>
      <c r="E1876" s="5"/>
      <c r="F1876" s="5"/>
      <c r="G1876" s="5"/>
      <c r="H1876" s="5"/>
      <c r="I1876" s="6"/>
      <c r="J1876" s="5"/>
      <c r="K1876" s="5"/>
      <c r="L1876" s="5"/>
      <c r="M1876" s="5"/>
    </row>
    <row r="1877" spans="1:13" x14ac:dyDescent="0.35">
      <c r="A1877" s="3"/>
      <c r="B1877" s="4"/>
      <c r="C1877" s="5"/>
      <c r="D1877" s="5"/>
      <c r="E1877" s="5"/>
      <c r="F1877" s="5"/>
      <c r="G1877" s="5"/>
      <c r="H1877" s="5"/>
      <c r="I1877" s="6"/>
      <c r="J1877" s="5"/>
      <c r="K1877" s="5"/>
      <c r="L1877" s="5"/>
      <c r="M1877" s="5"/>
    </row>
    <row r="1878" spans="1:13" x14ac:dyDescent="0.35">
      <c r="A1878" s="3"/>
      <c r="B1878" s="4"/>
      <c r="C1878" s="5"/>
      <c r="D1878" s="5"/>
      <c r="E1878" s="5"/>
      <c r="F1878" s="5"/>
      <c r="G1878" s="5"/>
      <c r="H1878" s="5"/>
      <c r="I1878" s="6"/>
      <c r="J1878" s="5"/>
      <c r="K1878" s="5"/>
      <c r="L1878" s="5"/>
      <c r="M1878" s="5"/>
    </row>
    <row r="1879" spans="1:13" x14ac:dyDescent="0.35">
      <c r="A1879" s="3"/>
      <c r="B1879" s="4"/>
      <c r="C1879" s="5"/>
      <c r="D1879" s="5"/>
      <c r="E1879" s="5"/>
      <c r="F1879" s="5"/>
      <c r="G1879" s="5"/>
      <c r="H1879" s="5"/>
      <c r="I1879" s="6"/>
      <c r="J1879" s="5"/>
      <c r="K1879" s="5"/>
      <c r="L1879" s="5"/>
      <c r="M1879" s="5"/>
    </row>
    <row r="1880" spans="1:13" x14ac:dyDescent="0.35">
      <c r="A1880" s="3"/>
      <c r="B1880" s="4"/>
      <c r="C1880" s="5"/>
      <c r="D1880" s="5"/>
      <c r="E1880" s="5"/>
      <c r="F1880" s="5"/>
      <c r="G1880" s="5"/>
      <c r="H1880" s="5"/>
      <c r="I1880" s="6"/>
      <c r="J1880" s="5"/>
      <c r="K1880" s="5"/>
      <c r="L1880" s="5"/>
      <c r="M1880" s="5"/>
    </row>
    <row r="1881" spans="1:13" x14ac:dyDescent="0.35">
      <c r="A1881" s="3"/>
      <c r="B1881" s="4"/>
      <c r="C1881" s="5"/>
      <c r="D1881" s="5"/>
      <c r="E1881" s="5"/>
      <c r="F1881" s="5"/>
      <c r="G1881" s="5"/>
      <c r="H1881" s="5"/>
      <c r="I1881" s="6"/>
      <c r="J1881" s="5"/>
      <c r="K1881" s="5"/>
      <c r="L1881" s="5"/>
      <c r="M1881" s="5"/>
    </row>
    <row r="1882" spans="1:13" x14ac:dyDescent="0.35">
      <c r="A1882" s="3"/>
      <c r="B1882" s="4"/>
      <c r="C1882" s="5"/>
      <c r="D1882" s="5"/>
      <c r="E1882" s="5"/>
      <c r="F1882" s="5"/>
      <c r="G1882" s="5"/>
      <c r="H1882" s="5"/>
      <c r="I1882" s="6"/>
      <c r="J1882" s="5"/>
      <c r="K1882" s="5"/>
      <c r="L1882" s="5"/>
      <c r="M1882" s="5"/>
    </row>
    <row r="1883" spans="1:13" x14ac:dyDescent="0.35">
      <c r="A1883" s="3"/>
      <c r="B1883" s="4"/>
      <c r="C1883" s="5"/>
      <c r="D1883" s="5"/>
      <c r="E1883" s="5"/>
      <c r="F1883" s="5"/>
      <c r="G1883" s="5"/>
      <c r="H1883" s="5"/>
      <c r="I1883" s="6"/>
      <c r="J1883" s="5"/>
      <c r="K1883" s="5"/>
      <c r="L1883" s="5"/>
      <c r="M1883" s="5"/>
    </row>
    <row r="1884" spans="1:13" x14ac:dyDescent="0.35">
      <c r="A1884" s="3"/>
      <c r="B1884" s="4"/>
      <c r="C1884" s="5"/>
      <c r="D1884" s="5"/>
      <c r="E1884" s="5"/>
      <c r="F1884" s="5"/>
      <c r="G1884" s="5"/>
      <c r="H1884" s="5"/>
      <c r="I1884" s="6"/>
      <c r="J1884" s="5"/>
      <c r="K1884" s="5"/>
      <c r="L1884" s="5"/>
      <c r="M1884" s="5"/>
    </row>
    <row r="1885" spans="1:13" x14ac:dyDescent="0.35">
      <c r="A1885" s="3"/>
      <c r="B1885" s="4"/>
      <c r="C1885" s="5"/>
      <c r="D1885" s="5"/>
      <c r="E1885" s="5"/>
      <c r="F1885" s="5"/>
      <c r="G1885" s="5"/>
      <c r="H1885" s="5"/>
      <c r="I1885" s="6"/>
      <c r="J1885" s="5"/>
      <c r="K1885" s="5"/>
      <c r="L1885" s="5"/>
      <c r="M1885" s="5"/>
    </row>
    <row r="1886" spans="1:13" x14ac:dyDescent="0.35">
      <c r="A1886" s="3"/>
      <c r="B1886" s="4"/>
      <c r="C1886" s="5"/>
      <c r="D1886" s="5"/>
      <c r="E1886" s="5"/>
      <c r="F1886" s="5"/>
      <c r="G1886" s="5"/>
      <c r="H1886" s="5"/>
      <c r="I1886" s="6"/>
      <c r="J1886" s="5"/>
      <c r="K1886" s="5"/>
      <c r="L1886" s="5"/>
      <c r="M1886" s="5"/>
    </row>
    <row r="1887" spans="1:13" x14ac:dyDescent="0.35">
      <c r="A1887" s="3"/>
      <c r="B1887" s="4"/>
      <c r="C1887" s="5"/>
      <c r="D1887" s="5"/>
      <c r="E1887" s="5"/>
      <c r="F1887" s="5"/>
      <c r="G1887" s="5"/>
      <c r="H1887" s="5"/>
      <c r="I1887" s="6"/>
      <c r="J1887" s="5"/>
      <c r="K1887" s="5"/>
      <c r="L1887" s="5"/>
      <c r="M1887" s="5"/>
    </row>
    <row r="1888" spans="1:13" x14ac:dyDescent="0.35">
      <c r="A1888" s="3"/>
      <c r="B1888" s="4"/>
      <c r="C1888" s="5"/>
      <c r="D1888" s="5"/>
      <c r="E1888" s="5"/>
      <c r="F1888" s="5"/>
      <c r="G1888" s="5"/>
      <c r="H1888" s="5"/>
      <c r="I1888" s="6"/>
      <c r="J1888" s="5"/>
      <c r="K1888" s="5"/>
      <c r="L1888" s="5"/>
      <c r="M1888" s="5"/>
    </row>
    <row r="1889" spans="1:13" x14ac:dyDescent="0.35">
      <c r="A1889" s="3"/>
      <c r="B1889" s="4"/>
      <c r="C1889" s="5"/>
      <c r="D1889" s="5"/>
      <c r="E1889" s="5"/>
      <c r="F1889" s="5"/>
      <c r="G1889" s="5"/>
      <c r="H1889" s="5"/>
      <c r="I1889" s="6"/>
      <c r="J1889" s="5"/>
      <c r="K1889" s="5"/>
      <c r="L1889" s="5"/>
      <c r="M1889" s="5"/>
    </row>
    <row r="1890" spans="1:13" x14ac:dyDescent="0.35">
      <c r="A1890" s="3"/>
      <c r="B1890" s="4"/>
      <c r="C1890" s="5"/>
      <c r="D1890" s="5"/>
      <c r="E1890" s="5"/>
      <c r="F1890" s="5"/>
      <c r="G1890" s="5"/>
      <c r="H1890" s="5"/>
      <c r="I1890" s="6"/>
      <c r="J1890" s="5"/>
      <c r="K1890" s="5"/>
      <c r="L1890" s="5"/>
      <c r="M1890" s="5"/>
    </row>
    <row r="1891" spans="1:13" x14ac:dyDescent="0.35">
      <c r="A1891" s="3"/>
      <c r="B1891" s="4"/>
      <c r="C1891" s="5"/>
      <c r="D1891" s="5"/>
      <c r="E1891" s="5"/>
      <c r="F1891" s="5"/>
      <c r="G1891" s="5"/>
      <c r="H1891" s="5"/>
      <c r="I1891" s="6"/>
      <c r="J1891" s="5"/>
      <c r="K1891" s="5"/>
      <c r="L1891" s="5"/>
      <c r="M1891" s="5"/>
    </row>
    <row r="1892" spans="1:13" x14ac:dyDescent="0.35">
      <c r="A1892" s="3"/>
      <c r="B1892" s="4"/>
      <c r="C1892" s="5"/>
      <c r="D1892" s="5"/>
      <c r="E1892" s="5"/>
      <c r="F1892" s="5"/>
      <c r="G1892" s="5"/>
      <c r="H1892" s="5"/>
      <c r="I1892" s="6"/>
      <c r="J1892" s="5"/>
      <c r="K1892" s="5"/>
      <c r="L1892" s="5"/>
      <c r="M1892" s="5"/>
    </row>
    <row r="1893" spans="1:13" x14ac:dyDescent="0.35">
      <c r="A1893" s="3"/>
      <c r="B1893" s="4"/>
      <c r="C1893" s="5"/>
      <c r="D1893" s="5"/>
      <c r="E1893" s="5"/>
      <c r="F1893" s="5"/>
      <c r="G1893" s="5"/>
      <c r="H1893" s="5"/>
      <c r="I1893" s="6"/>
      <c r="J1893" s="5"/>
      <c r="K1893" s="5"/>
      <c r="L1893" s="5"/>
      <c r="M1893" s="5"/>
    </row>
    <row r="1894" spans="1:13" x14ac:dyDescent="0.35">
      <c r="A1894" s="3"/>
      <c r="B1894" s="4"/>
      <c r="C1894" s="5"/>
      <c r="D1894" s="5"/>
      <c r="E1894" s="5"/>
      <c r="F1894" s="5"/>
      <c r="G1894" s="5"/>
      <c r="H1894" s="5"/>
      <c r="I1894" s="6"/>
      <c r="J1894" s="5"/>
      <c r="K1894" s="5"/>
      <c r="L1894" s="5"/>
      <c r="M1894" s="5"/>
    </row>
    <row r="1895" spans="1:13" x14ac:dyDescent="0.35">
      <c r="A1895" s="3"/>
      <c r="B1895" s="4"/>
      <c r="C1895" s="5"/>
      <c r="D1895" s="5"/>
      <c r="E1895" s="5"/>
      <c r="F1895" s="5"/>
      <c r="G1895" s="5"/>
      <c r="H1895" s="5"/>
      <c r="I1895" s="6"/>
      <c r="J1895" s="5"/>
      <c r="K1895" s="5"/>
      <c r="L1895" s="5"/>
      <c r="M1895" s="5"/>
    </row>
    <row r="1896" spans="1:13" x14ac:dyDescent="0.35">
      <c r="A1896" s="3"/>
      <c r="B1896" s="4"/>
      <c r="C1896" s="5"/>
      <c r="D1896" s="5"/>
      <c r="E1896" s="5"/>
      <c r="F1896" s="5"/>
      <c r="G1896" s="5"/>
      <c r="H1896" s="5"/>
      <c r="I1896" s="6"/>
      <c r="J1896" s="5"/>
      <c r="K1896" s="5"/>
      <c r="L1896" s="5"/>
      <c r="M1896" s="5"/>
    </row>
    <row r="1897" spans="1:13" x14ac:dyDescent="0.35">
      <c r="A1897" s="3"/>
      <c r="B1897" s="4"/>
      <c r="C1897" s="5"/>
      <c r="D1897" s="5"/>
      <c r="E1897" s="5"/>
      <c r="F1897" s="5"/>
      <c r="G1897" s="5"/>
      <c r="H1897" s="5"/>
      <c r="I1897" s="6"/>
      <c r="J1897" s="5"/>
      <c r="K1897" s="5"/>
      <c r="L1897" s="5"/>
      <c r="M1897" s="5"/>
    </row>
    <row r="1898" spans="1:13" x14ac:dyDescent="0.35">
      <c r="A1898" s="3"/>
      <c r="B1898" s="4"/>
      <c r="C1898" s="5"/>
      <c r="D1898" s="5"/>
      <c r="E1898" s="5"/>
      <c r="F1898" s="5"/>
      <c r="G1898" s="5"/>
      <c r="H1898" s="5"/>
      <c r="I1898" s="6"/>
      <c r="J1898" s="5"/>
      <c r="K1898" s="5"/>
      <c r="L1898" s="5"/>
      <c r="M1898" s="5"/>
    </row>
    <row r="1899" spans="1:13" x14ac:dyDescent="0.35">
      <c r="A1899" s="3"/>
      <c r="B1899" s="4"/>
      <c r="C1899" s="5"/>
      <c r="D1899" s="5"/>
      <c r="E1899" s="5"/>
      <c r="F1899" s="5"/>
      <c r="G1899" s="5"/>
      <c r="H1899" s="5"/>
      <c r="I1899" s="6"/>
      <c r="J1899" s="5"/>
      <c r="K1899" s="5"/>
      <c r="L1899" s="5"/>
      <c r="M1899" s="5"/>
    </row>
    <row r="1900" spans="1:13" x14ac:dyDescent="0.35">
      <c r="A1900" s="3"/>
      <c r="B1900" s="4"/>
      <c r="C1900" s="5"/>
      <c r="D1900" s="5"/>
      <c r="E1900" s="5"/>
      <c r="F1900" s="5"/>
      <c r="G1900" s="5"/>
      <c r="H1900" s="5"/>
      <c r="I1900" s="6"/>
      <c r="J1900" s="5"/>
      <c r="K1900" s="5"/>
      <c r="L1900" s="5"/>
      <c r="M1900" s="5"/>
    </row>
    <row r="1901" spans="1:13" x14ac:dyDescent="0.35">
      <c r="A1901" s="3"/>
      <c r="B1901" s="4"/>
      <c r="C1901" s="5"/>
      <c r="D1901" s="5"/>
      <c r="E1901" s="5"/>
      <c r="F1901" s="5"/>
      <c r="G1901" s="5"/>
      <c r="H1901" s="5"/>
      <c r="I1901" s="6"/>
      <c r="J1901" s="5"/>
      <c r="K1901" s="5"/>
      <c r="L1901" s="5"/>
      <c r="M1901" s="5"/>
    </row>
    <row r="1902" spans="1:13" x14ac:dyDescent="0.35">
      <c r="A1902" s="3"/>
      <c r="B1902" s="4"/>
      <c r="C1902" s="5"/>
      <c r="D1902" s="5"/>
      <c r="E1902" s="5"/>
      <c r="F1902" s="5"/>
      <c r="G1902" s="5"/>
      <c r="H1902" s="5"/>
      <c r="I1902" s="6"/>
      <c r="J1902" s="5"/>
      <c r="K1902" s="5"/>
      <c r="L1902" s="5"/>
      <c r="M1902" s="5"/>
    </row>
    <row r="1903" spans="1:13" x14ac:dyDescent="0.35">
      <c r="A1903" s="3"/>
      <c r="B1903" s="4"/>
      <c r="C1903" s="5"/>
      <c r="D1903" s="5"/>
      <c r="E1903" s="5"/>
      <c r="F1903" s="5"/>
      <c r="G1903" s="5"/>
      <c r="H1903" s="5"/>
      <c r="I1903" s="6"/>
      <c r="J1903" s="5"/>
      <c r="K1903" s="5"/>
      <c r="L1903" s="5"/>
      <c r="M1903" s="5"/>
    </row>
    <row r="1904" spans="1:13" x14ac:dyDescent="0.35">
      <c r="A1904" s="3"/>
      <c r="B1904" s="4"/>
      <c r="C1904" s="5"/>
      <c r="D1904" s="5"/>
      <c r="E1904" s="5"/>
      <c r="F1904" s="5"/>
      <c r="G1904" s="5"/>
      <c r="H1904" s="5"/>
      <c r="I1904" s="6"/>
      <c r="J1904" s="5"/>
      <c r="K1904" s="5"/>
      <c r="L1904" s="5"/>
      <c r="M1904" s="5"/>
    </row>
    <row r="1905" spans="1:13" x14ac:dyDescent="0.35">
      <c r="A1905" s="3"/>
      <c r="B1905" s="4"/>
      <c r="C1905" s="5"/>
      <c r="D1905" s="5"/>
      <c r="E1905" s="5"/>
      <c r="F1905" s="5"/>
      <c r="G1905" s="5"/>
      <c r="H1905" s="5"/>
      <c r="I1905" s="6"/>
      <c r="J1905" s="5"/>
      <c r="K1905" s="5"/>
      <c r="L1905" s="5"/>
      <c r="M1905" s="5"/>
    </row>
    <row r="1906" spans="1:13" x14ac:dyDescent="0.35">
      <c r="A1906" s="3"/>
      <c r="B1906" s="4"/>
      <c r="C1906" s="5"/>
      <c r="D1906" s="5"/>
      <c r="E1906" s="5"/>
      <c r="F1906" s="5"/>
      <c r="G1906" s="5"/>
      <c r="H1906" s="5"/>
      <c r="I1906" s="6"/>
      <c r="J1906" s="5"/>
      <c r="K1906" s="5"/>
      <c r="L1906" s="5"/>
      <c r="M1906" s="5"/>
    </row>
    <row r="1907" spans="1:13" x14ac:dyDescent="0.35">
      <c r="A1907" s="3"/>
      <c r="B1907" s="4"/>
      <c r="C1907" s="5"/>
      <c r="D1907" s="5"/>
      <c r="E1907" s="5"/>
      <c r="F1907" s="5"/>
      <c r="G1907" s="5"/>
      <c r="H1907" s="5"/>
      <c r="I1907" s="6"/>
      <c r="J1907" s="5"/>
      <c r="K1907" s="5"/>
      <c r="L1907" s="5"/>
      <c r="M1907" s="5"/>
    </row>
    <row r="1908" spans="1:13" x14ac:dyDescent="0.35">
      <c r="A1908" s="3"/>
      <c r="B1908" s="4"/>
      <c r="C1908" s="5"/>
      <c r="D1908" s="5"/>
      <c r="E1908" s="5"/>
      <c r="F1908" s="5"/>
      <c r="G1908" s="5"/>
      <c r="H1908" s="5"/>
      <c r="I1908" s="6"/>
      <c r="J1908" s="5"/>
      <c r="K1908" s="5"/>
      <c r="L1908" s="5"/>
      <c r="M1908" s="5"/>
    </row>
    <row r="1909" spans="1:13" x14ac:dyDescent="0.35">
      <c r="A1909" s="3"/>
      <c r="B1909" s="4"/>
      <c r="C1909" s="5"/>
      <c r="D1909" s="5"/>
      <c r="E1909" s="5"/>
      <c r="F1909" s="5"/>
      <c r="G1909" s="5"/>
      <c r="H1909" s="5"/>
      <c r="I1909" s="6"/>
      <c r="J1909" s="5"/>
      <c r="K1909" s="5"/>
      <c r="L1909" s="5"/>
      <c r="M1909" s="5"/>
    </row>
    <row r="1910" spans="1:13" x14ac:dyDescent="0.35">
      <c r="A1910" s="3"/>
      <c r="B1910" s="4"/>
      <c r="C1910" s="5"/>
      <c r="D1910" s="5"/>
      <c r="E1910" s="5"/>
      <c r="F1910" s="5"/>
      <c r="G1910" s="5"/>
      <c r="H1910" s="5"/>
      <c r="I1910" s="6"/>
      <c r="J1910" s="5"/>
      <c r="K1910" s="5"/>
      <c r="L1910" s="5"/>
      <c r="M1910" s="5"/>
    </row>
    <row r="1911" spans="1:13" x14ac:dyDescent="0.35">
      <c r="A1911" s="3"/>
      <c r="B1911" s="4"/>
      <c r="C1911" s="5"/>
      <c r="D1911" s="5"/>
      <c r="E1911" s="5"/>
      <c r="F1911" s="5"/>
      <c r="G1911" s="5"/>
      <c r="H1911" s="5"/>
      <c r="I1911" s="6"/>
      <c r="J1911" s="5"/>
      <c r="K1911" s="5"/>
      <c r="L1911" s="5"/>
      <c r="M1911" s="5"/>
    </row>
    <row r="1912" spans="1:13" x14ac:dyDescent="0.35">
      <c r="A1912" s="3"/>
      <c r="B1912" s="4"/>
      <c r="C1912" s="5"/>
      <c r="D1912" s="5"/>
      <c r="E1912" s="5"/>
      <c r="F1912" s="5"/>
      <c r="G1912" s="5"/>
      <c r="H1912" s="5"/>
      <c r="I1912" s="6"/>
      <c r="J1912" s="5"/>
      <c r="K1912" s="5"/>
      <c r="L1912" s="5"/>
      <c r="M1912" s="5"/>
    </row>
    <row r="1913" spans="1:13" x14ac:dyDescent="0.35">
      <c r="A1913" s="3"/>
      <c r="B1913" s="4"/>
      <c r="C1913" s="5"/>
      <c r="D1913" s="5"/>
      <c r="E1913" s="5"/>
      <c r="F1913" s="5"/>
      <c r="G1913" s="5"/>
      <c r="H1913" s="5"/>
      <c r="I1913" s="6"/>
      <c r="J1913" s="5"/>
      <c r="K1913" s="5"/>
      <c r="L1913" s="5"/>
      <c r="M1913" s="5"/>
    </row>
    <row r="1914" spans="1:13" x14ac:dyDescent="0.35">
      <c r="A1914" s="3"/>
      <c r="B1914" s="4"/>
      <c r="C1914" s="5"/>
      <c r="D1914" s="5"/>
      <c r="E1914" s="5"/>
      <c r="F1914" s="5"/>
      <c r="G1914" s="5"/>
      <c r="H1914" s="5"/>
      <c r="I1914" s="6"/>
      <c r="J1914" s="5"/>
      <c r="K1914" s="5"/>
      <c r="L1914" s="5"/>
      <c r="M1914" s="5"/>
    </row>
    <row r="1915" spans="1:13" x14ac:dyDescent="0.35">
      <c r="A1915" s="3"/>
      <c r="B1915" s="4"/>
      <c r="C1915" s="5"/>
      <c r="D1915" s="5"/>
      <c r="E1915" s="5"/>
      <c r="F1915" s="5"/>
      <c r="G1915" s="5"/>
      <c r="H1915" s="5"/>
      <c r="I1915" s="6"/>
      <c r="J1915" s="5"/>
      <c r="K1915" s="5"/>
      <c r="L1915" s="5"/>
      <c r="M1915" s="5"/>
    </row>
    <row r="1916" spans="1:13" x14ac:dyDescent="0.35">
      <c r="A1916" s="3"/>
      <c r="B1916" s="4"/>
      <c r="C1916" s="5"/>
      <c r="D1916" s="5"/>
      <c r="E1916" s="5"/>
      <c r="F1916" s="5"/>
      <c r="G1916" s="5"/>
      <c r="H1916" s="5"/>
      <c r="I1916" s="6"/>
      <c r="J1916" s="5"/>
      <c r="K1916" s="5"/>
      <c r="L1916" s="5"/>
      <c r="M1916" s="5"/>
    </row>
    <row r="1917" spans="1:13" x14ac:dyDescent="0.35">
      <c r="A1917" s="3"/>
      <c r="B1917" s="4"/>
      <c r="C1917" s="5"/>
      <c r="D1917" s="5"/>
      <c r="E1917" s="5"/>
      <c r="F1917" s="5"/>
      <c r="G1917" s="5"/>
      <c r="H1917" s="5"/>
      <c r="I1917" s="6"/>
      <c r="J1917" s="5"/>
      <c r="K1917" s="5"/>
      <c r="L1917" s="5"/>
      <c r="M1917" s="5"/>
    </row>
    <row r="1918" spans="1:13" x14ac:dyDescent="0.35">
      <c r="A1918" s="3"/>
      <c r="B1918" s="4"/>
      <c r="C1918" s="5"/>
      <c r="D1918" s="5"/>
      <c r="E1918" s="5"/>
      <c r="F1918" s="5"/>
      <c r="G1918" s="5"/>
      <c r="H1918" s="5"/>
      <c r="I1918" s="6"/>
      <c r="J1918" s="5"/>
      <c r="K1918" s="5"/>
      <c r="L1918" s="5"/>
      <c r="M1918" s="5"/>
    </row>
    <row r="1919" spans="1:13" x14ac:dyDescent="0.35">
      <c r="A1919" s="3"/>
      <c r="B1919" s="4"/>
      <c r="C1919" s="5"/>
      <c r="D1919" s="5"/>
      <c r="E1919" s="5"/>
      <c r="F1919" s="5"/>
      <c r="G1919" s="5"/>
      <c r="H1919" s="5"/>
      <c r="I1919" s="6"/>
      <c r="J1919" s="5"/>
      <c r="K1919" s="5"/>
      <c r="L1919" s="5"/>
      <c r="M1919" s="5"/>
    </row>
    <row r="1920" spans="1:13" x14ac:dyDescent="0.35">
      <c r="A1920" s="3"/>
      <c r="B1920" s="4"/>
      <c r="C1920" s="5"/>
      <c r="D1920" s="5"/>
      <c r="E1920" s="5"/>
      <c r="F1920" s="5"/>
      <c r="G1920" s="5"/>
      <c r="H1920" s="5"/>
      <c r="I1920" s="6"/>
      <c r="J1920" s="5"/>
      <c r="K1920" s="5"/>
      <c r="L1920" s="5"/>
      <c r="M1920" s="5"/>
    </row>
    <row r="1921" spans="1:13" x14ac:dyDescent="0.35">
      <c r="A1921" s="3"/>
      <c r="B1921" s="4"/>
      <c r="C1921" s="5"/>
      <c r="D1921" s="5"/>
      <c r="E1921" s="5"/>
      <c r="F1921" s="5"/>
      <c r="G1921" s="5"/>
      <c r="H1921" s="5"/>
      <c r="I1921" s="6"/>
      <c r="J1921" s="5"/>
      <c r="K1921" s="5"/>
      <c r="L1921" s="5"/>
      <c r="M1921" s="5"/>
    </row>
    <row r="1922" spans="1:13" x14ac:dyDescent="0.35">
      <c r="A1922" s="3"/>
      <c r="B1922" s="4"/>
      <c r="C1922" s="5"/>
      <c r="D1922" s="5"/>
      <c r="E1922" s="5"/>
      <c r="F1922" s="5"/>
      <c r="G1922" s="5"/>
      <c r="H1922" s="5"/>
      <c r="I1922" s="6"/>
      <c r="J1922" s="5"/>
      <c r="K1922" s="5"/>
      <c r="L1922" s="5"/>
      <c r="M1922" s="5"/>
    </row>
    <row r="1923" spans="1:13" x14ac:dyDescent="0.35">
      <c r="A1923" s="3"/>
      <c r="B1923" s="4"/>
      <c r="C1923" s="5"/>
      <c r="D1923" s="5"/>
      <c r="E1923" s="5"/>
      <c r="F1923" s="5"/>
      <c r="G1923" s="5"/>
      <c r="H1923" s="5"/>
      <c r="I1923" s="6"/>
      <c r="J1923" s="5"/>
      <c r="K1923" s="5"/>
      <c r="L1923" s="5"/>
      <c r="M1923" s="5"/>
    </row>
    <row r="1924" spans="1:13" x14ac:dyDescent="0.35">
      <c r="A1924" s="3"/>
      <c r="B1924" s="4"/>
      <c r="C1924" s="5"/>
      <c r="D1924" s="5"/>
      <c r="E1924" s="5"/>
      <c r="F1924" s="5"/>
      <c r="G1924" s="5"/>
      <c r="H1924" s="5"/>
      <c r="I1924" s="6"/>
      <c r="J1924" s="5"/>
      <c r="K1924" s="5"/>
      <c r="L1924" s="5"/>
      <c r="M1924" s="5"/>
    </row>
    <row r="1925" spans="1:13" x14ac:dyDescent="0.35">
      <c r="A1925" s="3"/>
      <c r="B1925" s="4"/>
      <c r="C1925" s="5"/>
      <c r="D1925" s="5"/>
      <c r="E1925" s="5"/>
      <c r="F1925" s="5"/>
      <c r="G1925" s="5"/>
      <c r="H1925" s="5"/>
      <c r="I1925" s="6"/>
      <c r="J1925" s="5"/>
      <c r="K1925" s="5"/>
      <c r="L1925" s="5"/>
      <c r="M1925" s="5"/>
    </row>
    <row r="1926" spans="1:13" x14ac:dyDescent="0.35">
      <c r="A1926" s="3"/>
      <c r="B1926" s="4"/>
      <c r="C1926" s="5"/>
      <c r="D1926" s="5"/>
      <c r="E1926" s="5"/>
      <c r="F1926" s="5"/>
      <c r="G1926" s="5"/>
      <c r="H1926" s="5"/>
      <c r="I1926" s="6"/>
      <c r="J1926" s="5"/>
      <c r="K1926" s="5"/>
      <c r="L1926" s="5"/>
      <c r="M1926" s="5"/>
    </row>
    <row r="1927" spans="1:13" x14ac:dyDescent="0.35">
      <c r="A1927" s="3"/>
      <c r="B1927" s="4"/>
      <c r="C1927" s="5"/>
      <c r="D1927" s="5"/>
      <c r="E1927" s="5"/>
      <c r="F1927" s="5"/>
      <c r="G1927" s="5"/>
      <c r="H1927" s="5"/>
      <c r="I1927" s="6"/>
      <c r="J1927" s="5"/>
      <c r="K1927" s="5"/>
      <c r="L1927" s="5"/>
      <c r="M1927" s="5"/>
    </row>
    <row r="1928" spans="1:13" x14ac:dyDescent="0.35">
      <c r="A1928" s="3"/>
      <c r="B1928" s="4"/>
      <c r="C1928" s="5"/>
      <c r="D1928" s="5"/>
      <c r="E1928" s="5"/>
      <c r="F1928" s="5"/>
      <c r="G1928" s="5"/>
      <c r="H1928" s="5"/>
      <c r="I1928" s="6"/>
      <c r="J1928" s="5"/>
      <c r="K1928" s="5"/>
      <c r="L1928" s="5"/>
      <c r="M1928" s="5"/>
    </row>
    <row r="1929" spans="1:13" x14ac:dyDescent="0.35">
      <c r="A1929" s="3"/>
      <c r="B1929" s="4"/>
      <c r="C1929" s="5"/>
      <c r="D1929" s="5"/>
      <c r="E1929" s="5"/>
      <c r="F1929" s="5"/>
      <c r="G1929" s="5"/>
      <c r="H1929" s="5"/>
      <c r="I1929" s="6"/>
      <c r="J1929" s="5"/>
      <c r="K1929" s="5"/>
      <c r="L1929" s="5"/>
      <c r="M1929" s="5"/>
    </row>
    <row r="1930" spans="1:13" x14ac:dyDescent="0.35">
      <c r="A1930" s="3"/>
      <c r="B1930" s="4"/>
      <c r="C1930" s="5"/>
      <c r="D1930" s="5"/>
      <c r="E1930" s="5"/>
      <c r="F1930" s="5"/>
      <c r="G1930" s="5"/>
      <c r="H1930" s="5"/>
      <c r="I1930" s="6"/>
      <c r="J1930" s="5"/>
      <c r="K1930" s="5"/>
      <c r="L1930" s="5"/>
      <c r="M1930" s="5"/>
    </row>
    <row r="1931" spans="1:13" x14ac:dyDescent="0.35">
      <c r="A1931" s="3"/>
      <c r="B1931" s="4"/>
      <c r="C1931" s="5"/>
      <c r="D1931" s="5"/>
      <c r="E1931" s="5"/>
      <c r="F1931" s="5"/>
      <c r="G1931" s="5"/>
      <c r="H1931" s="5"/>
      <c r="I1931" s="6"/>
      <c r="J1931" s="5"/>
      <c r="K1931" s="5"/>
      <c r="L1931" s="5"/>
      <c r="M1931" s="5"/>
    </row>
    <row r="1932" spans="1:13" x14ac:dyDescent="0.35">
      <c r="A1932" s="3"/>
      <c r="B1932" s="4"/>
      <c r="C1932" s="5"/>
      <c r="D1932" s="5"/>
      <c r="E1932" s="5"/>
      <c r="F1932" s="5"/>
      <c r="G1932" s="5"/>
      <c r="H1932" s="5"/>
      <c r="I1932" s="6"/>
      <c r="J1932" s="5"/>
      <c r="K1932" s="5"/>
      <c r="L1932" s="5"/>
      <c r="M1932" s="5"/>
    </row>
    <row r="1933" spans="1:13" x14ac:dyDescent="0.35">
      <c r="A1933" s="3"/>
      <c r="B1933" s="4"/>
      <c r="C1933" s="5"/>
      <c r="D1933" s="5"/>
      <c r="E1933" s="5"/>
      <c r="F1933" s="5"/>
      <c r="G1933" s="5"/>
      <c r="H1933" s="5"/>
      <c r="I1933" s="6"/>
      <c r="J1933" s="5"/>
      <c r="K1933" s="5"/>
      <c r="L1933" s="5"/>
      <c r="M1933" s="5"/>
    </row>
    <row r="1934" spans="1:13" x14ac:dyDescent="0.35">
      <c r="A1934" s="3"/>
      <c r="B1934" s="4"/>
      <c r="C1934" s="5"/>
      <c r="D1934" s="5"/>
      <c r="E1934" s="5"/>
      <c r="F1934" s="5"/>
      <c r="G1934" s="5"/>
      <c r="H1934" s="5"/>
      <c r="I1934" s="6"/>
      <c r="J1934" s="5"/>
      <c r="K1934" s="5"/>
      <c r="L1934" s="5"/>
      <c r="M1934" s="5"/>
    </row>
    <row r="1935" spans="1:13" x14ac:dyDescent="0.35">
      <c r="A1935" s="3"/>
      <c r="B1935" s="4"/>
      <c r="C1935" s="5"/>
      <c r="D1935" s="5"/>
      <c r="E1935" s="5"/>
      <c r="F1935" s="5"/>
      <c r="G1935" s="5"/>
      <c r="H1935" s="5"/>
      <c r="I1935" s="6"/>
      <c r="J1935" s="5"/>
      <c r="K1935" s="5"/>
      <c r="L1935" s="5"/>
      <c r="M1935" s="5"/>
    </row>
    <row r="1936" spans="1:13" x14ac:dyDescent="0.35">
      <c r="A1936" s="3"/>
      <c r="B1936" s="4"/>
      <c r="C1936" s="5"/>
      <c r="D1936" s="5"/>
      <c r="E1936" s="5"/>
      <c r="F1936" s="5"/>
      <c r="G1936" s="5"/>
      <c r="H1936" s="5"/>
      <c r="I1936" s="6"/>
      <c r="J1936" s="5"/>
      <c r="K1936" s="5"/>
      <c r="L1936" s="5"/>
      <c r="M1936" s="5"/>
    </row>
    <row r="1937" spans="1:13" x14ac:dyDescent="0.35">
      <c r="A1937" s="3"/>
      <c r="B1937" s="4"/>
      <c r="C1937" s="5"/>
      <c r="D1937" s="5"/>
      <c r="E1937" s="5"/>
      <c r="F1937" s="5"/>
      <c r="G1937" s="5"/>
      <c r="H1937" s="5"/>
      <c r="I1937" s="6"/>
      <c r="J1937" s="5"/>
      <c r="K1937" s="5"/>
      <c r="L1937" s="5"/>
      <c r="M1937" s="5"/>
    </row>
    <row r="1938" spans="1:13" x14ac:dyDescent="0.35">
      <c r="A1938" s="3"/>
      <c r="B1938" s="4"/>
      <c r="C1938" s="5"/>
      <c r="D1938" s="5"/>
      <c r="E1938" s="5"/>
      <c r="F1938" s="5"/>
      <c r="G1938" s="5"/>
      <c r="H1938" s="5"/>
      <c r="I1938" s="6"/>
      <c r="J1938" s="5"/>
      <c r="K1938" s="5"/>
      <c r="L1938" s="5"/>
      <c r="M1938" s="5"/>
    </row>
    <row r="1939" spans="1:13" x14ac:dyDescent="0.35">
      <c r="A1939" s="3"/>
      <c r="B1939" s="4"/>
      <c r="C1939" s="5"/>
      <c r="D1939" s="5"/>
      <c r="E1939" s="5"/>
      <c r="F1939" s="5"/>
      <c r="G1939" s="5"/>
      <c r="H1939" s="5"/>
      <c r="I1939" s="6"/>
      <c r="J1939" s="5"/>
      <c r="K1939" s="5"/>
      <c r="L1939" s="5"/>
      <c r="M1939" s="5"/>
    </row>
    <row r="1940" spans="1:13" x14ac:dyDescent="0.35">
      <c r="A1940" s="3"/>
      <c r="B1940" s="4"/>
      <c r="C1940" s="5"/>
      <c r="D1940" s="5"/>
      <c r="E1940" s="5"/>
      <c r="F1940" s="5"/>
      <c r="G1940" s="5"/>
      <c r="H1940" s="5"/>
      <c r="I1940" s="6"/>
      <c r="J1940" s="5"/>
      <c r="K1940" s="5"/>
      <c r="L1940" s="5"/>
      <c r="M1940" s="5"/>
    </row>
    <row r="1941" spans="1:13" x14ac:dyDescent="0.35">
      <c r="A1941" s="3"/>
      <c r="B1941" s="4"/>
      <c r="C1941" s="5"/>
      <c r="D1941" s="5"/>
      <c r="E1941" s="5"/>
      <c r="F1941" s="5"/>
      <c r="G1941" s="5"/>
      <c r="H1941" s="5"/>
      <c r="I1941" s="6"/>
      <c r="J1941" s="5"/>
      <c r="K1941" s="5"/>
      <c r="L1941" s="5"/>
      <c r="M1941" s="5"/>
    </row>
    <row r="1942" spans="1:13" x14ac:dyDescent="0.35">
      <c r="A1942" s="3"/>
      <c r="B1942" s="4"/>
      <c r="C1942" s="5"/>
      <c r="D1942" s="5"/>
      <c r="E1942" s="5"/>
      <c r="F1942" s="5"/>
      <c r="G1942" s="5"/>
      <c r="H1942" s="5"/>
      <c r="I1942" s="6"/>
      <c r="J1942" s="5"/>
      <c r="K1942" s="5"/>
      <c r="L1942" s="5"/>
      <c r="M1942" s="5"/>
    </row>
    <row r="1943" spans="1:13" x14ac:dyDescent="0.35">
      <c r="A1943" s="3"/>
      <c r="B1943" s="4"/>
      <c r="C1943" s="5"/>
      <c r="D1943" s="5"/>
      <c r="E1943" s="5"/>
      <c r="F1943" s="5"/>
      <c r="G1943" s="5"/>
      <c r="H1943" s="5"/>
      <c r="I1943" s="6"/>
      <c r="J1943" s="5"/>
      <c r="K1943" s="5"/>
      <c r="L1943" s="5"/>
      <c r="M1943" s="5"/>
    </row>
    <row r="1944" spans="1:13" x14ac:dyDescent="0.35">
      <c r="A1944" s="3"/>
      <c r="B1944" s="4"/>
      <c r="C1944" s="5"/>
      <c r="D1944" s="5"/>
      <c r="E1944" s="5"/>
      <c r="F1944" s="5"/>
      <c r="G1944" s="5"/>
      <c r="H1944" s="5"/>
      <c r="I1944" s="6"/>
      <c r="J1944" s="5"/>
      <c r="K1944" s="5"/>
      <c r="L1944" s="5"/>
      <c r="M1944" s="5"/>
    </row>
    <row r="1945" spans="1:13" x14ac:dyDescent="0.35">
      <c r="A1945" s="3"/>
      <c r="B1945" s="4"/>
      <c r="C1945" s="5"/>
      <c r="D1945" s="5"/>
      <c r="E1945" s="5"/>
      <c r="F1945" s="5"/>
      <c r="G1945" s="5"/>
      <c r="H1945" s="5"/>
      <c r="I1945" s="6"/>
      <c r="J1945" s="5"/>
      <c r="K1945" s="5"/>
      <c r="L1945" s="5"/>
      <c r="M1945" s="5"/>
    </row>
    <row r="1946" spans="1:13" x14ac:dyDescent="0.35">
      <c r="A1946" s="3"/>
      <c r="B1946" s="4"/>
      <c r="C1946" s="5"/>
      <c r="D1946" s="5"/>
      <c r="E1946" s="5"/>
      <c r="F1946" s="5"/>
      <c r="G1946" s="5"/>
      <c r="H1946" s="5"/>
      <c r="I1946" s="6"/>
      <c r="J1946" s="5"/>
      <c r="K1946" s="5"/>
      <c r="L1946" s="5"/>
      <c r="M1946" s="5"/>
    </row>
    <row r="1947" spans="1:13" x14ac:dyDescent="0.35">
      <c r="A1947" s="3"/>
      <c r="B1947" s="4"/>
      <c r="C1947" s="5"/>
      <c r="D1947" s="5"/>
      <c r="E1947" s="5"/>
      <c r="F1947" s="5"/>
      <c r="G1947" s="5"/>
      <c r="H1947" s="5"/>
      <c r="I1947" s="6"/>
      <c r="J1947" s="5"/>
      <c r="K1947" s="5"/>
      <c r="L1947" s="5"/>
      <c r="M1947" s="5"/>
    </row>
    <row r="1948" spans="1:13" x14ac:dyDescent="0.35">
      <c r="A1948" s="3"/>
      <c r="B1948" s="4"/>
      <c r="C1948" s="5"/>
      <c r="D1948" s="5"/>
      <c r="E1948" s="5"/>
      <c r="F1948" s="5"/>
      <c r="G1948" s="5"/>
      <c r="H1948" s="5"/>
      <c r="I1948" s="6"/>
      <c r="J1948" s="5"/>
      <c r="K1948" s="5"/>
      <c r="L1948" s="5"/>
      <c r="M1948" s="5"/>
    </row>
    <row r="1949" spans="1:13" x14ac:dyDescent="0.35">
      <c r="A1949" s="3"/>
      <c r="B1949" s="4"/>
      <c r="C1949" s="5"/>
      <c r="D1949" s="5"/>
      <c r="E1949" s="5"/>
      <c r="F1949" s="5"/>
      <c r="G1949" s="5"/>
      <c r="H1949" s="5"/>
      <c r="I1949" s="6"/>
      <c r="J1949" s="5"/>
      <c r="K1949" s="5"/>
      <c r="L1949" s="5"/>
      <c r="M1949" s="5"/>
    </row>
    <row r="1950" spans="1:13" x14ac:dyDescent="0.35">
      <c r="A1950" s="3"/>
      <c r="B1950" s="4"/>
      <c r="C1950" s="5"/>
      <c r="D1950" s="5"/>
      <c r="E1950" s="5"/>
      <c r="F1950" s="5"/>
      <c r="G1950" s="5"/>
      <c r="H1950" s="5"/>
      <c r="I1950" s="6"/>
      <c r="J1950" s="5"/>
      <c r="K1950" s="5"/>
      <c r="L1950" s="5"/>
      <c r="M1950" s="5"/>
    </row>
    <row r="1951" spans="1:13" x14ac:dyDescent="0.35">
      <c r="A1951" s="3"/>
      <c r="B1951" s="4"/>
      <c r="C1951" s="5"/>
      <c r="D1951" s="5"/>
      <c r="E1951" s="5"/>
      <c r="F1951" s="5"/>
      <c r="G1951" s="5"/>
      <c r="H1951" s="5"/>
      <c r="I1951" s="6"/>
      <c r="J1951" s="5"/>
      <c r="K1951" s="5"/>
      <c r="L1951" s="5"/>
      <c r="M1951" s="5"/>
    </row>
    <row r="1952" spans="1:13" x14ac:dyDescent="0.35">
      <c r="A1952" s="3"/>
      <c r="B1952" s="4"/>
      <c r="C1952" s="5"/>
      <c r="D1952" s="5"/>
      <c r="E1952" s="5"/>
      <c r="F1952" s="5"/>
      <c r="G1952" s="5"/>
      <c r="H1952" s="5"/>
      <c r="I1952" s="6"/>
      <c r="J1952" s="5"/>
      <c r="K1952" s="5"/>
      <c r="L1952" s="5"/>
      <c r="M1952" s="5"/>
    </row>
    <row r="1953" spans="1:13" x14ac:dyDescent="0.35">
      <c r="A1953" s="3"/>
      <c r="B1953" s="4"/>
      <c r="C1953" s="5"/>
      <c r="D1953" s="5"/>
      <c r="E1953" s="5"/>
      <c r="F1953" s="5"/>
      <c r="G1953" s="5"/>
      <c r="H1953" s="5"/>
      <c r="I1953" s="6"/>
      <c r="J1953" s="5"/>
      <c r="K1953" s="5"/>
      <c r="L1953" s="5"/>
      <c r="M1953" s="5"/>
    </row>
    <row r="1954" spans="1:13" x14ac:dyDescent="0.35">
      <c r="A1954" s="3"/>
      <c r="B1954" s="4"/>
      <c r="C1954" s="5"/>
      <c r="D1954" s="5"/>
      <c r="E1954" s="5"/>
      <c r="F1954" s="5"/>
      <c r="G1954" s="5"/>
      <c r="H1954" s="5"/>
      <c r="I1954" s="6"/>
      <c r="J1954" s="5"/>
      <c r="K1954" s="5"/>
      <c r="L1954" s="5"/>
      <c r="M1954" s="5"/>
    </row>
    <row r="1955" spans="1:13" x14ac:dyDescent="0.35">
      <c r="A1955" s="3"/>
      <c r="B1955" s="4"/>
      <c r="C1955" s="5"/>
      <c r="D1955" s="5"/>
      <c r="E1955" s="5"/>
      <c r="F1955" s="5"/>
      <c r="G1955" s="5"/>
      <c r="H1955" s="5"/>
      <c r="I1955" s="6"/>
      <c r="J1955" s="5"/>
      <c r="K1955" s="5"/>
      <c r="L1955" s="5"/>
      <c r="M1955" s="5"/>
    </row>
    <row r="1956" spans="1:13" x14ac:dyDescent="0.35">
      <c r="A1956" s="3"/>
      <c r="B1956" s="4"/>
      <c r="C1956" s="5"/>
      <c r="D1956" s="5"/>
      <c r="E1956" s="5"/>
      <c r="F1956" s="5"/>
      <c r="G1956" s="5"/>
      <c r="H1956" s="5"/>
      <c r="I1956" s="6"/>
      <c r="J1956" s="5"/>
      <c r="K1956" s="5"/>
      <c r="L1956" s="5"/>
      <c r="M1956" s="5"/>
    </row>
    <row r="1957" spans="1:13" x14ac:dyDescent="0.35">
      <c r="A1957" s="3"/>
      <c r="B1957" s="4"/>
      <c r="C1957" s="5"/>
      <c r="D1957" s="5"/>
      <c r="E1957" s="5"/>
      <c r="F1957" s="5"/>
      <c r="G1957" s="5"/>
      <c r="H1957" s="5"/>
      <c r="I1957" s="6"/>
      <c r="J1957" s="5"/>
      <c r="K1957" s="5"/>
      <c r="L1957" s="5"/>
      <c r="M1957" s="5"/>
    </row>
    <row r="1958" spans="1:13" x14ac:dyDescent="0.35">
      <c r="A1958" s="3"/>
      <c r="B1958" s="4"/>
      <c r="C1958" s="5"/>
      <c r="D1958" s="5"/>
      <c r="E1958" s="5"/>
      <c r="F1958" s="5"/>
      <c r="G1958" s="5"/>
      <c r="H1958" s="5"/>
      <c r="I1958" s="6"/>
      <c r="J1958" s="5"/>
      <c r="K1958" s="5"/>
      <c r="L1958" s="5"/>
      <c r="M1958" s="5"/>
    </row>
    <row r="1959" spans="1:13" x14ac:dyDescent="0.35">
      <c r="A1959" s="3"/>
      <c r="B1959" s="4"/>
      <c r="C1959" s="5"/>
      <c r="D1959" s="5"/>
      <c r="E1959" s="5"/>
      <c r="F1959" s="5"/>
      <c r="G1959" s="5"/>
      <c r="H1959" s="5"/>
      <c r="I1959" s="6"/>
      <c r="J1959" s="5"/>
      <c r="K1959" s="5"/>
      <c r="L1959" s="5"/>
      <c r="M1959" s="5"/>
    </row>
    <row r="1960" spans="1:13" x14ac:dyDescent="0.35">
      <c r="A1960" s="3"/>
      <c r="B1960" s="4"/>
      <c r="C1960" s="5"/>
      <c r="D1960" s="5"/>
      <c r="E1960" s="5"/>
      <c r="F1960" s="5"/>
      <c r="G1960" s="5"/>
      <c r="H1960" s="5"/>
      <c r="I1960" s="6"/>
      <c r="J1960" s="5"/>
      <c r="K1960" s="5"/>
      <c r="L1960" s="5"/>
      <c r="M1960" s="5"/>
    </row>
    <row r="1961" spans="1:13" x14ac:dyDescent="0.35">
      <c r="A1961" s="3"/>
      <c r="B1961" s="4"/>
      <c r="C1961" s="5"/>
      <c r="D1961" s="5"/>
      <c r="E1961" s="5"/>
      <c r="F1961" s="5"/>
      <c r="G1961" s="5"/>
      <c r="H1961" s="5"/>
      <c r="I1961" s="6"/>
      <c r="J1961" s="5"/>
      <c r="K1961" s="5"/>
      <c r="L1961" s="5"/>
      <c r="M1961" s="5"/>
    </row>
    <row r="1962" spans="1:13" x14ac:dyDescent="0.35">
      <c r="A1962" s="3"/>
      <c r="B1962" s="4"/>
      <c r="C1962" s="5"/>
      <c r="D1962" s="5"/>
      <c r="E1962" s="5"/>
      <c r="F1962" s="5"/>
      <c r="G1962" s="5"/>
      <c r="H1962" s="5"/>
      <c r="I1962" s="6"/>
      <c r="J1962" s="5"/>
      <c r="K1962" s="5"/>
      <c r="L1962" s="5"/>
      <c r="M1962" s="5"/>
    </row>
    <row r="1963" spans="1:13" x14ac:dyDescent="0.35">
      <c r="A1963" s="3"/>
      <c r="B1963" s="4"/>
      <c r="C1963" s="5"/>
      <c r="D1963" s="5"/>
      <c r="E1963" s="5"/>
      <c r="F1963" s="5"/>
      <c r="G1963" s="5"/>
      <c r="H1963" s="5"/>
      <c r="I1963" s="6"/>
      <c r="J1963" s="5"/>
      <c r="K1963" s="5"/>
      <c r="L1963" s="5"/>
      <c r="M1963" s="5"/>
    </row>
    <row r="1964" spans="1:13" x14ac:dyDescent="0.35">
      <c r="A1964" s="3"/>
      <c r="B1964" s="4"/>
      <c r="C1964" s="5"/>
      <c r="D1964" s="5"/>
      <c r="E1964" s="5"/>
      <c r="F1964" s="5"/>
      <c r="G1964" s="5"/>
      <c r="H1964" s="5"/>
      <c r="I1964" s="6"/>
      <c r="J1964" s="5"/>
      <c r="K1964" s="5"/>
      <c r="L1964" s="5"/>
      <c r="M1964" s="5"/>
    </row>
    <row r="1965" spans="1:13" x14ac:dyDescent="0.35">
      <c r="A1965" s="3"/>
      <c r="B1965" s="4"/>
      <c r="C1965" s="5"/>
      <c r="D1965" s="5"/>
      <c r="E1965" s="5"/>
      <c r="F1965" s="5"/>
      <c r="G1965" s="5"/>
      <c r="H1965" s="5"/>
      <c r="I1965" s="6"/>
      <c r="J1965" s="5"/>
      <c r="K1965" s="5"/>
      <c r="L1965" s="5"/>
      <c r="M1965" s="5"/>
    </row>
    <row r="1966" spans="1:13" x14ac:dyDescent="0.35">
      <c r="A1966" s="3"/>
      <c r="B1966" s="4"/>
      <c r="C1966" s="5"/>
      <c r="D1966" s="5"/>
      <c r="E1966" s="5"/>
      <c r="F1966" s="5"/>
      <c r="G1966" s="5"/>
      <c r="H1966" s="5"/>
      <c r="I1966" s="6"/>
      <c r="J1966" s="5"/>
      <c r="K1966" s="5"/>
      <c r="L1966" s="5"/>
      <c r="M1966" s="5"/>
    </row>
    <row r="1967" spans="1:13" x14ac:dyDescent="0.35">
      <c r="A1967" s="3"/>
      <c r="B1967" s="4"/>
      <c r="C1967" s="5"/>
      <c r="D1967" s="5"/>
      <c r="E1967" s="5"/>
      <c r="F1967" s="5"/>
      <c r="G1967" s="5"/>
      <c r="H1967" s="5"/>
      <c r="I1967" s="6"/>
      <c r="J1967" s="5"/>
      <c r="K1967" s="5"/>
      <c r="L1967" s="5"/>
      <c r="M1967" s="5"/>
    </row>
    <row r="1968" spans="1:13" x14ac:dyDescent="0.35">
      <c r="A1968" s="3"/>
      <c r="B1968" s="4"/>
      <c r="C1968" s="5"/>
      <c r="D1968" s="5"/>
      <c r="E1968" s="5"/>
      <c r="F1968" s="5"/>
      <c r="G1968" s="5"/>
      <c r="H1968" s="5"/>
      <c r="I1968" s="6"/>
      <c r="J1968" s="5"/>
      <c r="K1968" s="5"/>
      <c r="L1968" s="5"/>
      <c r="M1968" s="5"/>
    </row>
    <row r="1969" spans="1:13" x14ac:dyDescent="0.35">
      <c r="A1969" s="3"/>
      <c r="B1969" s="4"/>
      <c r="C1969" s="5"/>
      <c r="D1969" s="5"/>
      <c r="E1969" s="5"/>
      <c r="F1969" s="5"/>
      <c r="G1969" s="5"/>
      <c r="H1969" s="5"/>
      <c r="I1969" s="6"/>
      <c r="J1969" s="5"/>
      <c r="K1969" s="5"/>
      <c r="L1969" s="5"/>
      <c r="M1969" s="5"/>
    </row>
    <row r="1970" spans="1:13" x14ac:dyDescent="0.35">
      <c r="A1970" s="3"/>
      <c r="B1970" s="4"/>
      <c r="C1970" s="5"/>
      <c r="D1970" s="5"/>
      <c r="E1970" s="5"/>
      <c r="F1970" s="5"/>
      <c r="G1970" s="5"/>
      <c r="H1970" s="5"/>
      <c r="I1970" s="6"/>
      <c r="J1970" s="5"/>
      <c r="K1970" s="5"/>
      <c r="L1970" s="5"/>
      <c r="M1970" s="5"/>
    </row>
    <row r="1971" spans="1:13" x14ac:dyDescent="0.35">
      <c r="A1971" s="3"/>
      <c r="B1971" s="4"/>
      <c r="C1971" s="5"/>
      <c r="D1971" s="5"/>
      <c r="E1971" s="5"/>
      <c r="F1971" s="5"/>
      <c r="G1971" s="5"/>
      <c r="H1971" s="5"/>
      <c r="I1971" s="6"/>
      <c r="J1971" s="5"/>
      <c r="K1971" s="5"/>
      <c r="L1971" s="5"/>
      <c r="M1971" s="5"/>
    </row>
    <row r="1972" spans="1:13" x14ac:dyDescent="0.35">
      <c r="A1972" s="3"/>
      <c r="B1972" s="4"/>
      <c r="C1972" s="5"/>
      <c r="D1972" s="5"/>
      <c r="E1972" s="5"/>
      <c r="F1972" s="5"/>
      <c r="G1972" s="5"/>
      <c r="H1972" s="5"/>
      <c r="I1972" s="6"/>
      <c r="J1972" s="5"/>
      <c r="K1972" s="5"/>
      <c r="L1972" s="5"/>
      <c r="M1972" s="5"/>
    </row>
    <row r="1973" spans="1:13" x14ac:dyDescent="0.35">
      <c r="A1973" s="3"/>
      <c r="B1973" s="4"/>
      <c r="C1973" s="5"/>
      <c r="D1973" s="5"/>
      <c r="E1973" s="5"/>
      <c r="F1973" s="5"/>
      <c r="G1973" s="5"/>
      <c r="H1973" s="5"/>
      <c r="I1973" s="6"/>
      <c r="J1973" s="5"/>
      <c r="K1973" s="5"/>
      <c r="L1973" s="5"/>
      <c r="M1973" s="5"/>
    </row>
    <row r="1974" spans="1:13" x14ac:dyDescent="0.35">
      <c r="A1974" s="3"/>
      <c r="B1974" s="4"/>
      <c r="C1974" s="5"/>
      <c r="D1974" s="5"/>
      <c r="E1974" s="5"/>
      <c r="F1974" s="5"/>
      <c r="G1974" s="5"/>
      <c r="H1974" s="5"/>
      <c r="I1974" s="6"/>
      <c r="J1974" s="5"/>
      <c r="K1974" s="5"/>
      <c r="L1974" s="5"/>
      <c r="M1974" s="5"/>
    </row>
    <row r="1975" spans="1:13" x14ac:dyDescent="0.35">
      <c r="A1975" s="3"/>
      <c r="B1975" s="4"/>
      <c r="C1975" s="5"/>
      <c r="D1975" s="5"/>
      <c r="E1975" s="5"/>
      <c r="F1975" s="5"/>
      <c r="G1975" s="5"/>
      <c r="H1975" s="5"/>
      <c r="I1975" s="6"/>
      <c r="J1975" s="5"/>
      <c r="K1975" s="5"/>
      <c r="L1975" s="5"/>
      <c r="M1975" s="5"/>
    </row>
    <row r="1976" spans="1:13" x14ac:dyDescent="0.35">
      <c r="A1976" s="3"/>
      <c r="B1976" s="4"/>
      <c r="C1976" s="5"/>
      <c r="D1976" s="5"/>
      <c r="E1976" s="5"/>
      <c r="F1976" s="5"/>
      <c r="G1976" s="5"/>
      <c r="H1976" s="5"/>
      <c r="I1976" s="6"/>
      <c r="J1976" s="5"/>
      <c r="K1976" s="5"/>
      <c r="L1976" s="5"/>
      <c r="M1976" s="5"/>
    </row>
    <row r="1977" spans="1:13" x14ac:dyDescent="0.35">
      <c r="A1977" s="3"/>
      <c r="B1977" s="4"/>
      <c r="C1977" s="5"/>
      <c r="D1977" s="5"/>
      <c r="E1977" s="5"/>
      <c r="F1977" s="5"/>
      <c r="G1977" s="5"/>
      <c r="H1977" s="5"/>
      <c r="I1977" s="6"/>
      <c r="J1977" s="5"/>
      <c r="K1977" s="5"/>
      <c r="L1977" s="5"/>
      <c r="M1977" s="5"/>
    </row>
    <row r="1978" spans="1:13" x14ac:dyDescent="0.35">
      <c r="A1978" s="3"/>
      <c r="B1978" s="4"/>
      <c r="C1978" s="5"/>
      <c r="D1978" s="5"/>
      <c r="E1978" s="5"/>
      <c r="F1978" s="5"/>
      <c r="G1978" s="5"/>
      <c r="H1978" s="5"/>
      <c r="I1978" s="6"/>
      <c r="J1978" s="5"/>
      <c r="K1978" s="5"/>
      <c r="L1978" s="5"/>
      <c r="M1978" s="5"/>
    </row>
    <row r="1979" spans="1:13" x14ac:dyDescent="0.35">
      <c r="A1979" s="3"/>
      <c r="B1979" s="4"/>
      <c r="C1979" s="5"/>
      <c r="D1979" s="5"/>
      <c r="E1979" s="5"/>
      <c r="F1979" s="5"/>
      <c r="G1979" s="5"/>
      <c r="H1979" s="5"/>
      <c r="I1979" s="6"/>
      <c r="J1979" s="5"/>
      <c r="K1979" s="5"/>
      <c r="L1979" s="5"/>
      <c r="M1979" s="5"/>
    </row>
    <row r="1980" spans="1:13" x14ac:dyDescent="0.35">
      <c r="A1980" s="3"/>
      <c r="B1980" s="4"/>
      <c r="C1980" s="5"/>
      <c r="D1980" s="5"/>
      <c r="E1980" s="5"/>
      <c r="F1980" s="5"/>
      <c r="G1980" s="5"/>
      <c r="H1980" s="5"/>
      <c r="I1980" s="6"/>
      <c r="J1980" s="5"/>
      <c r="K1980" s="5"/>
      <c r="L1980" s="5"/>
      <c r="M1980" s="5"/>
    </row>
    <row r="1981" spans="1:13" x14ac:dyDescent="0.35">
      <c r="A1981" s="3"/>
      <c r="B1981" s="4"/>
      <c r="C1981" s="5"/>
      <c r="D1981" s="5"/>
      <c r="E1981" s="5"/>
      <c r="F1981" s="5"/>
      <c r="G1981" s="5"/>
      <c r="H1981" s="5"/>
      <c r="I1981" s="6"/>
      <c r="J1981" s="5"/>
      <c r="K1981" s="5"/>
      <c r="L1981" s="5"/>
      <c r="M1981" s="5"/>
    </row>
    <row r="1982" spans="1:13" x14ac:dyDescent="0.35">
      <c r="A1982" s="3"/>
      <c r="B1982" s="4"/>
      <c r="C1982" s="5"/>
      <c r="D1982" s="5"/>
      <c r="E1982" s="5"/>
      <c r="F1982" s="5"/>
      <c r="G1982" s="5"/>
      <c r="H1982" s="5"/>
      <c r="I1982" s="6"/>
      <c r="J1982" s="5"/>
      <c r="K1982" s="5"/>
      <c r="L1982" s="5"/>
      <c r="M1982" s="5"/>
    </row>
    <row r="1983" spans="1:13" x14ac:dyDescent="0.35">
      <c r="A1983" s="3"/>
      <c r="B1983" s="4"/>
      <c r="C1983" s="5"/>
      <c r="D1983" s="5"/>
      <c r="E1983" s="5"/>
      <c r="F1983" s="5"/>
      <c r="G1983" s="5"/>
      <c r="H1983" s="5"/>
      <c r="I1983" s="6"/>
      <c r="J1983" s="5"/>
      <c r="K1983" s="5"/>
      <c r="L1983" s="5"/>
      <c r="M1983" s="5"/>
    </row>
    <row r="1984" spans="1:13" x14ac:dyDescent="0.35">
      <c r="A1984" s="3"/>
      <c r="B1984" s="4"/>
      <c r="C1984" s="5"/>
      <c r="D1984" s="5"/>
      <c r="E1984" s="5"/>
      <c r="F1984" s="5"/>
      <c r="G1984" s="5"/>
      <c r="H1984" s="5"/>
      <c r="I1984" s="6"/>
      <c r="J1984" s="5"/>
      <c r="K1984" s="5"/>
      <c r="L1984" s="5"/>
      <c r="M1984" s="5"/>
    </row>
    <row r="1985" spans="1:13" x14ac:dyDescent="0.35">
      <c r="A1985" s="3"/>
      <c r="B1985" s="4"/>
      <c r="C1985" s="5"/>
      <c r="D1985" s="5"/>
      <c r="E1985" s="5"/>
      <c r="F1985" s="5"/>
      <c r="G1985" s="5"/>
      <c r="H1985" s="5"/>
      <c r="I1985" s="6"/>
      <c r="J1985" s="5"/>
      <c r="K1985" s="5"/>
      <c r="L1985" s="5"/>
      <c r="M1985" s="5"/>
    </row>
    <row r="1986" spans="1:13" x14ac:dyDescent="0.35">
      <c r="A1986" s="3"/>
      <c r="B1986" s="4"/>
      <c r="C1986" s="5"/>
      <c r="D1986" s="5"/>
      <c r="E1986" s="5"/>
      <c r="F1986" s="5"/>
      <c r="G1986" s="5"/>
      <c r="H1986" s="5"/>
      <c r="I1986" s="6"/>
      <c r="J1986" s="5"/>
      <c r="K1986" s="5"/>
      <c r="L1986" s="5"/>
      <c r="M1986" s="5"/>
    </row>
    <row r="1987" spans="1:13" x14ac:dyDescent="0.35">
      <c r="A1987" s="3"/>
      <c r="B1987" s="4"/>
      <c r="C1987" s="5"/>
      <c r="D1987" s="5"/>
      <c r="E1987" s="5"/>
      <c r="F1987" s="5"/>
      <c r="G1987" s="5"/>
      <c r="H1987" s="5"/>
      <c r="I1987" s="6"/>
      <c r="J1987" s="5"/>
      <c r="K1987" s="5"/>
      <c r="L1987" s="5"/>
      <c r="M1987" s="5"/>
    </row>
    <row r="1988" spans="1:13" x14ac:dyDescent="0.35">
      <c r="A1988" s="3"/>
      <c r="B1988" s="4"/>
      <c r="C1988" s="5"/>
      <c r="D1988" s="5"/>
      <c r="E1988" s="5"/>
      <c r="F1988" s="5"/>
      <c r="G1988" s="5"/>
      <c r="H1988" s="5"/>
      <c r="I1988" s="6"/>
      <c r="J1988" s="5"/>
      <c r="K1988" s="5"/>
      <c r="L1988" s="5"/>
      <c r="M1988" s="5"/>
    </row>
    <row r="1989" spans="1:13" x14ac:dyDescent="0.35">
      <c r="A1989" s="3"/>
      <c r="B1989" s="4"/>
      <c r="C1989" s="5"/>
      <c r="D1989" s="5"/>
      <c r="E1989" s="5"/>
      <c r="F1989" s="5"/>
      <c r="G1989" s="5"/>
      <c r="H1989" s="5"/>
      <c r="I1989" s="6"/>
      <c r="J1989" s="5"/>
      <c r="K1989" s="5"/>
      <c r="L1989" s="5"/>
      <c r="M1989" s="5"/>
    </row>
    <row r="1990" spans="1:13" x14ac:dyDescent="0.35">
      <c r="A1990" s="3"/>
      <c r="B1990" s="4"/>
      <c r="C1990" s="5"/>
      <c r="D1990" s="5"/>
      <c r="E1990" s="5"/>
      <c r="F1990" s="5"/>
      <c r="G1990" s="5"/>
      <c r="H1990" s="5"/>
      <c r="I1990" s="6"/>
      <c r="J1990" s="5"/>
      <c r="K1990" s="5"/>
      <c r="L1990" s="5"/>
      <c r="M1990" s="5"/>
    </row>
    <row r="1991" spans="1:13" x14ac:dyDescent="0.35">
      <c r="A1991" s="3"/>
      <c r="B1991" s="4"/>
      <c r="C1991" s="5"/>
      <c r="D1991" s="5"/>
      <c r="E1991" s="5"/>
      <c r="F1991" s="5"/>
      <c r="G1991" s="5"/>
      <c r="H1991" s="5"/>
      <c r="I1991" s="6"/>
      <c r="J1991" s="5"/>
      <c r="K1991" s="5"/>
      <c r="L1991" s="5"/>
      <c r="M1991" s="5"/>
    </row>
    <row r="1992" spans="1:13" x14ac:dyDescent="0.35">
      <c r="A1992" s="3"/>
      <c r="B1992" s="4"/>
      <c r="C1992" s="5"/>
      <c r="D1992" s="5"/>
      <c r="E1992" s="5"/>
      <c r="F1992" s="5"/>
      <c r="G1992" s="5"/>
      <c r="H1992" s="5"/>
      <c r="I1992" s="6"/>
      <c r="J1992" s="5"/>
      <c r="K1992" s="5"/>
      <c r="L1992" s="5"/>
      <c r="M1992" s="5"/>
    </row>
    <row r="1993" spans="1:13" x14ac:dyDescent="0.35">
      <c r="A1993" s="3"/>
      <c r="B1993" s="4"/>
      <c r="C1993" s="5"/>
      <c r="D1993" s="5"/>
      <c r="E1993" s="5"/>
      <c r="F1993" s="5"/>
      <c r="G1993" s="5"/>
      <c r="H1993" s="5"/>
      <c r="I1993" s="6"/>
      <c r="J1993" s="5"/>
      <c r="K1993" s="5"/>
      <c r="L1993" s="5"/>
      <c r="M1993" s="5"/>
    </row>
    <row r="1994" spans="1:13" x14ac:dyDescent="0.35">
      <c r="A1994" s="3"/>
      <c r="B1994" s="4"/>
      <c r="C1994" s="5"/>
      <c r="D1994" s="5"/>
      <c r="E1994" s="5"/>
      <c r="F1994" s="5"/>
      <c r="G1994" s="5"/>
      <c r="H1994" s="5"/>
      <c r="I1994" s="6"/>
      <c r="J1994" s="5"/>
      <c r="K1994" s="5"/>
      <c r="L1994" s="5"/>
      <c r="M1994" s="5"/>
    </row>
    <row r="1995" spans="1:13" x14ac:dyDescent="0.35">
      <c r="A1995" s="3"/>
      <c r="B1995" s="4"/>
      <c r="C1995" s="5"/>
      <c r="D1995" s="5"/>
      <c r="E1995" s="5"/>
      <c r="F1995" s="5"/>
      <c r="G1995" s="5"/>
      <c r="H1995" s="5"/>
      <c r="I1995" s="6"/>
      <c r="J1995" s="5"/>
      <c r="K1995" s="5"/>
      <c r="L1995" s="5"/>
      <c r="M1995" s="5"/>
    </row>
    <row r="1996" spans="1:13" x14ac:dyDescent="0.35">
      <c r="A1996" s="3"/>
      <c r="B1996" s="4"/>
      <c r="C1996" s="5"/>
      <c r="D1996" s="5"/>
      <c r="E1996" s="5"/>
      <c r="F1996" s="5"/>
      <c r="G1996" s="5"/>
      <c r="H1996" s="5"/>
      <c r="I1996" s="6"/>
      <c r="J1996" s="5"/>
      <c r="K1996" s="5"/>
      <c r="L1996" s="5"/>
      <c r="M1996" s="5"/>
    </row>
    <row r="1997" spans="1:13" x14ac:dyDescent="0.35">
      <c r="A1997" s="3"/>
      <c r="B1997" s="4"/>
      <c r="C1997" s="5"/>
      <c r="D1997" s="5"/>
      <c r="E1997" s="5"/>
      <c r="F1997" s="5"/>
      <c r="G1997" s="5"/>
      <c r="H1997" s="5"/>
      <c r="I1997" s="6"/>
      <c r="J1997" s="5"/>
      <c r="K1997" s="5"/>
      <c r="L1997" s="5"/>
      <c r="M1997" s="5"/>
    </row>
    <row r="1998" spans="1:13" x14ac:dyDescent="0.35">
      <c r="A1998" s="3"/>
      <c r="B1998" s="4"/>
      <c r="C1998" s="5"/>
      <c r="D1998" s="5"/>
      <c r="E1998" s="5"/>
      <c r="F1998" s="5"/>
      <c r="G1998" s="5"/>
      <c r="H1998" s="5"/>
      <c r="I1998" s="6"/>
      <c r="J1998" s="5"/>
      <c r="K1998" s="5"/>
      <c r="L1998" s="5"/>
      <c r="M1998" s="5"/>
    </row>
    <row r="1999" spans="1:13" x14ac:dyDescent="0.35">
      <c r="A1999" s="3"/>
      <c r="B1999" s="4"/>
      <c r="C1999" s="5"/>
      <c r="D1999" s="5"/>
      <c r="E1999" s="5"/>
      <c r="F1999" s="5"/>
      <c r="G1999" s="5"/>
      <c r="H1999" s="5"/>
      <c r="I1999" s="6"/>
      <c r="J1999" s="5"/>
      <c r="K1999" s="5"/>
      <c r="L1999" s="5"/>
      <c r="M1999" s="5"/>
    </row>
    <row r="2000" spans="1:13" x14ac:dyDescent="0.35">
      <c r="A2000" s="3"/>
      <c r="B2000" s="4"/>
      <c r="C2000" s="5"/>
      <c r="D2000" s="5"/>
      <c r="E2000" s="5"/>
      <c r="F2000" s="5"/>
      <c r="G2000" s="5"/>
      <c r="H2000" s="5"/>
      <c r="I2000" s="6"/>
      <c r="J2000" s="5"/>
      <c r="K2000" s="5"/>
      <c r="L2000" s="5"/>
      <c r="M2000" s="5"/>
    </row>
  </sheetData>
  <mergeCells count="1">
    <mergeCell ref="A2:M2"/>
  </mergeCells>
  <phoneticPr fontId="15" type="noConversion"/>
  <conditionalFormatting sqref="L5:L2000">
    <cfRule type="cellIs" dxfId="13" priority="1" operator="equal">
      <formula>"Payé"</formula>
    </cfRule>
    <cfRule type="cellIs" dxfId="12" priority="2" operator="equal">
      <formula>"En attente"</formula>
    </cfRule>
    <cfRule type="cellIs" dxfId="11" priority="3" operator="equal">
      <formula>"Annulé"</formula>
    </cfRule>
  </conditionalFormatting>
  <dataValidations count="8">
    <dataValidation type="list" errorStyle="warning" allowBlank="1" showErrorMessage="1" errorTitle="Nom absent de la liste" error="Ce nom n'est pas dans la feuille Listes. Pour un fournisseur, écrivez-le exactement comme dans la feuille Fournisseurs. Cliquez sur Oui pour le garder." sqref="C5:C2000" xr:uid="{00000000-0002-0000-0000-000000000000}">
      <formula1>L_Beneficiaires</formula1>
    </dataValidation>
    <dataValidation type="list" allowBlank="1" showErrorMessage="1" errorTitle="Valeur non valide" error="Choisissez une valeur dans la liste déroulante." sqref="D5:E2000" xr:uid="{00000000-0002-0000-0000-000001000000}">
      <formula1>L_Types</formula1>
    </dataValidation>
    <dataValidation type="list" allowBlank="1" showErrorMessage="1" errorTitle="Valeur non valide" error="Choisissez une valeur dans la liste déroulante." sqref="G5:H2000" xr:uid="{00000000-0002-0000-0000-000002000000}">
      <formula1>L_Domaines</formula1>
    </dataValidation>
    <dataValidation type="list" allowBlank="1" showErrorMessage="1" errorTitle="Valeur non valide" error="Choisissez une valeur dans la liste déroulante." sqref="J5:J2000" xr:uid="{00000000-0002-0000-0000-000003000000}">
      <formula1>L_Modes</formula1>
    </dataValidation>
    <dataValidation type="list" allowBlank="1" showErrorMessage="1" errorTitle="Valeur non valide" error="Choisissez une valeur dans la liste déroulante." sqref="K5:K2000" xr:uid="{00000000-0002-0000-0000-000004000000}">
      <formula1>L_Comptes</formula1>
    </dataValidation>
    <dataValidation type="list" allowBlank="1" showErrorMessage="1" errorTitle="Valeur non valide" error="Choisissez une valeur dans la liste déroulante." sqref="L5:L2000" xr:uid="{00000000-0002-0000-0000-000005000000}">
      <formula1>L_Statuts</formula1>
    </dataValidation>
    <dataValidation type="date" operator="greaterThan" allowBlank="1" showErrorMessage="1" errorTitle="Date non valide" error="Saisissez une date, par exemple 10/10/2026." sqref="A5:A2000" xr:uid="{00000000-0002-0000-0000-000006000000}">
      <formula1>36526</formula1>
    </dataValidation>
    <dataValidation type="decimal" operator="greaterThanOrEqual" allowBlank="1" showErrorMessage="1" errorTitle="Montant non valide" error="Saisissez un nombre positif, sans texte ni espace." sqref="I5:I2000" xr:uid="{00000000-0002-0000-0000-000007000000}">
      <formula1>0</formula1>
    </dataValidation>
  </dataValidations>
  <pageMargins left="0.75" right="0.75" top="1" bottom="1" header="0.5" footer="0.5"/>
  <pageSetup fitToHeight="0"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pageSetUpPr fitToPage="1"/>
  </sheetPr>
  <dimension ref="A1:G74"/>
  <sheetViews>
    <sheetView showGridLines="0" workbookViewId="0">
      <selection activeCell="B3" sqref="B3"/>
    </sheetView>
  </sheetViews>
  <sheetFormatPr baseColWidth="10" defaultColWidth="8.7265625" defaultRowHeight="14.5" x14ac:dyDescent="0.35"/>
  <cols>
    <col min="1" max="1" width="44" customWidth="1"/>
    <col min="2" max="2" width="22" customWidth="1"/>
    <col min="3" max="3" width="30" customWidth="1"/>
    <col min="4" max="5" width="20" customWidth="1"/>
    <col min="6" max="6" width="3" customWidth="1"/>
    <col min="7" max="7" width="13" hidden="1" customWidth="1"/>
  </cols>
  <sheetData>
    <row r="1" spans="1:4" ht="20" x14ac:dyDescent="0.4">
      <c r="A1" s="1" t="s">
        <v>16</v>
      </c>
    </row>
    <row r="2" spans="1:4" x14ac:dyDescent="0.35">
      <c r="A2" s="7" t="s">
        <v>17</v>
      </c>
    </row>
    <row r="3" spans="1:4" x14ac:dyDescent="0.35">
      <c r="A3" s="8" t="s">
        <v>18</v>
      </c>
      <c r="B3" s="9">
        <f ca="1">YEAR(TODAY())</f>
        <v>2026</v>
      </c>
      <c r="C3" s="10" t="s">
        <v>19</v>
      </c>
    </row>
    <row r="4" spans="1:4" x14ac:dyDescent="0.35">
      <c r="A4" s="8" t="s">
        <v>20</v>
      </c>
      <c r="B4" s="9">
        <f ca="1">MONTH(TODAY())</f>
        <v>10</v>
      </c>
    </row>
    <row r="6" spans="1:4" ht="15.5" x14ac:dyDescent="0.35">
      <c r="A6" s="11" t="s">
        <v>21</v>
      </c>
      <c r="B6" s="12">
        <f ca="1">SUMIFS(Paiements!$I$5:$I$2000,Paiements!$L$5:$L$2000,"Payé",Paiements!$A$5:$A$2000,"&gt;="&amp;DATE($B$3,$B$4,1),Paiements!$A$5:$A$2000,"&lt;"&amp;DATE($B$3,$B$4+1,1))</f>
        <v>0</v>
      </c>
    </row>
    <row r="7" spans="1:4" ht="15.5" x14ac:dyDescent="0.35">
      <c r="A7" s="11" t="s">
        <v>22</v>
      </c>
      <c r="B7" s="12">
        <f>SUMIFS(Paiements!$I$5:$I$2000,Paiements!$L$5:$L$2000,"Payé")</f>
        <v>0</v>
      </c>
    </row>
    <row r="8" spans="1:4" ht="15.5" x14ac:dyDescent="0.35">
      <c r="A8" s="11" t="s">
        <v>23</v>
      </c>
      <c r="B8" s="12">
        <f>SUMIFS(Paiements!$I$5:$I$2000,Paiements!$L$5:$L$2000,"En attente")</f>
        <v>0</v>
      </c>
    </row>
    <row r="9" spans="1:4" ht="15.5" x14ac:dyDescent="0.35">
      <c r="A9" s="11" t="s">
        <v>24</v>
      </c>
      <c r="B9" s="12">
        <f>COUNTIFS(Paiements!$L$5:$L$2000,"En attente")</f>
        <v>0</v>
      </c>
    </row>
    <row r="10" spans="1:4" ht="15.5" x14ac:dyDescent="0.35">
      <c r="A10" s="11" t="s">
        <v>25</v>
      </c>
      <c r="B10" s="12">
        <f>Fournisseurs!K4</f>
        <v>0</v>
      </c>
    </row>
    <row r="11" spans="1:4" ht="15.5" x14ac:dyDescent="0.35">
      <c r="A11" s="11" t="s">
        <v>26</v>
      </c>
      <c r="B11" s="12">
        <f>Fournisseurs!L4</f>
        <v>0</v>
      </c>
    </row>
    <row r="13" spans="1:4" ht="15.5" x14ac:dyDescent="0.35">
      <c r="A13" s="13" t="s">
        <v>27</v>
      </c>
    </row>
    <row r="14" spans="1:4" x14ac:dyDescent="0.35">
      <c r="A14" s="2" t="s">
        <v>5</v>
      </c>
      <c r="B14" s="2" t="s">
        <v>28</v>
      </c>
      <c r="C14" s="2" t="s">
        <v>29</v>
      </c>
      <c r="D14" s="2" t="s">
        <v>30</v>
      </c>
    </row>
    <row r="15" spans="1:4" x14ac:dyDescent="0.35">
      <c r="A15" s="14" t="str">
        <f>IF(Listes!C2="","",Listes!C2)</f>
        <v>ACHAT</v>
      </c>
      <c r="B15" s="15">
        <f ca="1">IF($A15="","",SUMIFS(Paiements!$I$5:$I$2000,Paiements!$G$5:$G$2000,$A15,Paiements!$L$5:$L$2000,"Payé",Paiements!$A$5:$A$2000,"&gt;="&amp;DATE($B$3,$B$4,1),Paiements!$A$5:$A$2000,"&lt;"&amp;DATE($B$3,$B$4+1,1)))</f>
        <v>0</v>
      </c>
      <c r="C15" s="15">
        <f>IF($A15="","",SUMIFS(Paiements!$I$5:$I$2000,Paiements!$G$5:$G$2000,$A15,Paiements!$L$5:$L$2000,"Payé"))</f>
        <v>0</v>
      </c>
      <c r="D15" s="15">
        <f>IF($A15="","",SUMIFS(Paiements!$I$5:$I$2000,Paiements!$G$5:$G$2000,$A15,Paiements!$L$5:$L$2000,"En attente"))</f>
        <v>0</v>
      </c>
    </row>
    <row r="16" spans="1:4" x14ac:dyDescent="0.35">
      <c r="A16" s="14" t="str">
        <f>IF(Listes!C3="","",Listes!C3)</f>
        <v>LOGISTIQUE</v>
      </c>
      <c r="B16" s="15">
        <f ca="1">IF($A16="","",SUMIFS(Paiements!$I$5:$I$2000,Paiements!$G$5:$G$2000,$A16,Paiements!$L$5:$L$2000,"Payé",Paiements!$A$5:$A$2000,"&gt;="&amp;DATE($B$3,$B$4,1),Paiements!$A$5:$A$2000,"&lt;"&amp;DATE($B$3,$B$4+1,1)))</f>
        <v>0</v>
      </c>
      <c r="C16" s="15">
        <f>IF($A16="","",SUMIFS(Paiements!$I$5:$I$2000,Paiements!$G$5:$G$2000,$A16,Paiements!$L$5:$L$2000,"Payé"))</f>
        <v>0</v>
      </c>
      <c r="D16" s="15">
        <f>IF($A16="","",SUMIFS(Paiements!$I$5:$I$2000,Paiements!$G$5:$G$2000,$A16,Paiements!$L$5:$L$2000,"En attente"))</f>
        <v>0</v>
      </c>
    </row>
    <row r="17" spans="1:4" x14ac:dyDescent="0.35">
      <c r="A17" s="14" t="str">
        <f>IF(Listes!C4="","",Listes!C4)</f>
        <v>PRODUCTION</v>
      </c>
      <c r="B17" s="15">
        <f ca="1">IF($A17="","",SUMIFS(Paiements!$I$5:$I$2000,Paiements!$G$5:$G$2000,$A17,Paiements!$L$5:$L$2000,"Payé",Paiements!$A$5:$A$2000,"&gt;="&amp;DATE($B$3,$B$4,1),Paiements!$A$5:$A$2000,"&lt;"&amp;DATE($B$3,$B$4+1,1)))</f>
        <v>0</v>
      </c>
      <c r="C17" s="15">
        <f>IF($A17="","",SUMIFS(Paiements!$I$5:$I$2000,Paiements!$G$5:$G$2000,$A17,Paiements!$L$5:$L$2000,"Payé"))</f>
        <v>0</v>
      </c>
      <c r="D17" s="15">
        <f>IF($A17="","",SUMIFS(Paiements!$I$5:$I$2000,Paiements!$G$5:$G$2000,$A17,Paiements!$L$5:$L$2000,"En attente"))</f>
        <v>0</v>
      </c>
    </row>
    <row r="18" spans="1:4" x14ac:dyDescent="0.35">
      <c r="A18" s="14" t="str">
        <f>IF(Listes!C5="","",Listes!C5)</f>
        <v>BANQUE</v>
      </c>
      <c r="B18" s="15">
        <f ca="1">IF($A18="","",SUMIFS(Paiements!$I$5:$I$2000,Paiements!$G$5:$G$2000,$A18,Paiements!$L$5:$L$2000,"Payé",Paiements!$A$5:$A$2000,"&gt;="&amp;DATE($B$3,$B$4,1),Paiements!$A$5:$A$2000,"&lt;"&amp;DATE($B$3,$B$4+1,1)))</f>
        <v>0</v>
      </c>
      <c r="C18" s="15">
        <f>IF($A18="","",SUMIFS(Paiements!$I$5:$I$2000,Paiements!$G$5:$G$2000,$A18,Paiements!$L$5:$L$2000,"Payé"))</f>
        <v>0</v>
      </c>
      <c r="D18" s="15">
        <f>IF($A18="","",SUMIFS(Paiements!$I$5:$I$2000,Paiements!$G$5:$G$2000,$A18,Paiements!$L$5:$L$2000,"En attente"))</f>
        <v>0</v>
      </c>
    </row>
    <row r="19" spans="1:4" x14ac:dyDescent="0.35">
      <c r="A19" s="14" t="str">
        <f>IF(Listes!C6="","",Listes!C6)</f>
        <v/>
      </c>
      <c r="B19" s="15" t="str">
        <f>IF($A19="","",SUMIFS(Paiements!$I$5:$I$2000,Paiements!$G$5:$G$2000,$A19,Paiements!$L$5:$L$2000,"Payé",Paiements!$A$5:$A$2000,"&gt;="&amp;DATE($B$3,$B$4,1),Paiements!$A$5:$A$2000,"&lt;"&amp;DATE($B$3,$B$4+1,1)))</f>
        <v/>
      </c>
      <c r="C19" s="15" t="str">
        <f>IF($A19="","",SUMIFS(Paiements!$I$5:$I$2000,Paiements!$G$5:$G$2000,$A19,Paiements!$L$5:$L$2000,"Payé"))</f>
        <v/>
      </c>
      <c r="D19" s="15" t="str">
        <f>IF($A19="","",SUMIFS(Paiements!$I$5:$I$2000,Paiements!$G$5:$G$2000,$A19,Paiements!$L$5:$L$2000,"En attente"))</f>
        <v/>
      </c>
    </row>
    <row r="20" spans="1:4" x14ac:dyDescent="0.35">
      <c r="A20" s="14" t="str">
        <f>IF(Listes!C7="","",Listes!C7)</f>
        <v/>
      </c>
      <c r="B20" s="15" t="str">
        <f>IF($A20="","",SUMIFS(Paiements!$I$5:$I$2000,Paiements!$G$5:$G$2000,$A20,Paiements!$L$5:$L$2000,"Payé",Paiements!$A$5:$A$2000,"&gt;="&amp;DATE($B$3,$B$4,1),Paiements!$A$5:$A$2000,"&lt;"&amp;DATE($B$3,$B$4+1,1)))</f>
        <v/>
      </c>
      <c r="C20" s="15" t="str">
        <f>IF($A20="","",SUMIFS(Paiements!$I$5:$I$2000,Paiements!$G$5:$G$2000,$A20,Paiements!$L$5:$L$2000,"Payé"))</f>
        <v/>
      </c>
      <c r="D20" s="15" t="str">
        <f>IF($A20="","",SUMIFS(Paiements!$I$5:$I$2000,Paiements!$G$5:$G$2000,$A20,Paiements!$L$5:$L$2000,"En attente"))</f>
        <v/>
      </c>
    </row>
    <row r="21" spans="1:4" x14ac:dyDescent="0.35">
      <c r="A21" s="14" t="str">
        <f>IF(Listes!C8="","",Listes!C8)</f>
        <v/>
      </c>
      <c r="B21" s="15" t="str">
        <f>IF($A21="","",SUMIFS(Paiements!$I$5:$I$2000,Paiements!$G$5:$G$2000,$A21,Paiements!$L$5:$L$2000,"Payé",Paiements!$A$5:$A$2000,"&gt;="&amp;DATE($B$3,$B$4,1),Paiements!$A$5:$A$2000,"&lt;"&amp;DATE($B$3,$B$4+1,1)))</f>
        <v/>
      </c>
      <c r="C21" s="15" t="str">
        <f>IF($A21="","",SUMIFS(Paiements!$I$5:$I$2000,Paiements!$G$5:$G$2000,$A21,Paiements!$L$5:$L$2000,"Payé"))</f>
        <v/>
      </c>
      <c r="D21" s="15" t="str">
        <f>IF($A21="","",SUMIFS(Paiements!$I$5:$I$2000,Paiements!$G$5:$G$2000,$A21,Paiements!$L$5:$L$2000,"En attente"))</f>
        <v/>
      </c>
    </row>
    <row r="22" spans="1:4" x14ac:dyDescent="0.35">
      <c r="A22" s="14" t="str">
        <f>IF(Listes!C9="","",Listes!C9)</f>
        <v/>
      </c>
      <c r="B22" s="15" t="str">
        <f>IF($A22="","",SUMIFS(Paiements!$I$5:$I$2000,Paiements!$G$5:$G$2000,$A22,Paiements!$L$5:$L$2000,"Payé",Paiements!$A$5:$A$2000,"&gt;="&amp;DATE($B$3,$B$4,1),Paiements!$A$5:$A$2000,"&lt;"&amp;DATE($B$3,$B$4+1,1)))</f>
        <v/>
      </c>
      <c r="C22" s="15" t="str">
        <f>IF($A22="","",SUMIFS(Paiements!$I$5:$I$2000,Paiements!$G$5:$G$2000,$A22,Paiements!$L$5:$L$2000,"Payé"))</f>
        <v/>
      </c>
      <c r="D22" s="15" t="str">
        <f>IF($A22="","",SUMIFS(Paiements!$I$5:$I$2000,Paiements!$G$5:$G$2000,$A22,Paiements!$L$5:$L$2000,"En attente"))</f>
        <v/>
      </c>
    </row>
    <row r="23" spans="1:4" x14ac:dyDescent="0.35">
      <c r="A23" s="11" t="s">
        <v>31</v>
      </c>
      <c r="B23" s="16">
        <f ca="1">SUM(B15:B22)</f>
        <v>0</v>
      </c>
      <c r="C23" s="16">
        <f>SUM(C15:C22)</f>
        <v>0</v>
      </c>
      <c r="D23" s="16">
        <f>SUM(D15:D22)</f>
        <v>0</v>
      </c>
    </row>
    <row r="25" spans="1:4" ht="15.5" x14ac:dyDescent="0.35">
      <c r="A25" s="13" t="s">
        <v>32</v>
      </c>
    </row>
    <row r="26" spans="1:4" x14ac:dyDescent="0.35">
      <c r="A26" s="2" t="s">
        <v>33</v>
      </c>
      <c r="B26" s="2" t="s">
        <v>28</v>
      </c>
      <c r="C26" s="2" t="s">
        <v>29</v>
      </c>
      <c r="D26" s="2" t="s">
        <v>30</v>
      </c>
    </row>
    <row r="27" spans="1:4" x14ac:dyDescent="0.35">
      <c r="A27" s="14" t="str">
        <f>IF(Listes!E2="","",Listes!E2)</f>
        <v>ECOBANK</v>
      </c>
      <c r="B27" s="15">
        <f ca="1">IF($A27="","",SUMIFS(Paiements!$I$5:$I$2000,Paiements!$K$5:$K$2000,$A27,Paiements!$L$5:$L$2000,"Payé",Paiements!$A$5:$A$2000,"&gt;="&amp;DATE($B$3,$B$4,1),Paiements!$A$5:$A$2000,"&lt;"&amp;DATE($B$3,$B$4+1,1)))</f>
        <v>0</v>
      </c>
      <c r="C27" s="15">
        <f>IF($A27="","",SUMIFS(Paiements!$I$5:$I$2000,Paiements!$K$5:$K$2000,$A27,Paiements!$L$5:$L$2000,"Payé"))</f>
        <v>0</v>
      </c>
      <c r="D27" s="15">
        <f>IF($A27="","",SUMIFS(Paiements!$I$5:$I$2000,Paiements!$K$5:$K$2000,$A27,Paiements!$L$5:$L$2000,"En attente"))</f>
        <v>0</v>
      </c>
    </row>
    <row r="28" spans="1:4" x14ac:dyDescent="0.35">
      <c r="A28" s="14" t="str">
        <f>IF(Listes!E3="","",Listes!E3)</f>
        <v>BIIC</v>
      </c>
      <c r="B28" s="15">
        <f ca="1">IF($A28="","",SUMIFS(Paiements!$I$5:$I$2000,Paiements!$K$5:$K$2000,$A28,Paiements!$L$5:$L$2000,"Payé",Paiements!$A$5:$A$2000,"&gt;="&amp;DATE($B$3,$B$4,1),Paiements!$A$5:$A$2000,"&lt;"&amp;DATE($B$3,$B$4+1,1)))</f>
        <v>0</v>
      </c>
      <c r="C28" s="15">
        <f>IF($A28="","",SUMIFS(Paiements!$I$5:$I$2000,Paiements!$K$5:$K$2000,$A28,Paiements!$L$5:$L$2000,"Payé"))</f>
        <v>0</v>
      </c>
      <c r="D28" s="15">
        <f>IF($A28="","",SUMIFS(Paiements!$I$5:$I$2000,Paiements!$K$5:$K$2000,$A28,Paiements!$L$5:$L$2000,"En attente"))</f>
        <v>0</v>
      </c>
    </row>
    <row r="29" spans="1:4" x14ac:dyDescent="0.35">
      <c r="A29" s="14" t="str">
        <f>IF(Listes!E4="","",Listes!E4)</f>
        <v>BGFI</v>
      </c>
      <c r="B29" s="15">
        <f ca="1">IF($A29="","",SUMIFS(Paiements!$I$5:$I$2000,Paiements!$K$5:$K$2000,$A29,Paiements!$L$5:$L$2000,"Payé",Paiements!$A$5:$A$2000,"&gt;="&amp;DATE($B$3,$B$4,1),Paiements!$A$5:$A$2000,"&lt;"&amp;DATE($B$3,$B$4+1,1)))</f>
        <v>0</v>
      </c>
      <c r="C29" s="15">
        <f>IF($A29="","",SUMIFS(Paiements!$I$5:$I$2000,Paiements!$K$5:$K$2000,$A29,Paiements!$L$5:$L$2000,"Payé"))</f>
        <v>0</v>
      </c>
      <c r="D29" s="15">
        <f>IF($A29="","",SUMIFS(Paiements!$I$5:$I$2000,Paiements!$K$5:$K$2000,$A29,Paiements!$L$5:$L$2000,"En attente"))</f>
        <v>0</v>
      </c>
    </row>
    <row r="30" spans="1:4" x14ac:dyDescent="0.35">
      <c r="A30" s="14" t="str">
        <f>IF(Listes!E5="","",Listes!E5)</f>
        <v>Atlantique</v>
      </c>
      <c r="B30" s="15">
        <f ca="1">IF($A30="","",SUMIFS(Paiements!$I$5:$I$2000,Paiements!$K$5:$K$2000,$A30,Paiements!$L$5:$L$2000,"Payé",Paiements!$A$5:$A$2000,"&gt;="&amp;DATE($B$3,$B$4,1),Paiements!$A$5:$A$2000,"&lt;"&amp;DATE($B$3,$B$4+1,1)))</f>
        <v>0</v>
      </c>
      <c r="C30" s="15">
        <f>IF($A30="","",SUMIFS(Paiements!$I$5:$I$2000,Paiements!$K$5:$K$2000,$A30,Paiements!$L$5:$L$2000,"Payé"))</f>
        <v>0</v>
      </c>
      <c r="D30" s="15">
        <f>IF($A30="","",SUMIFS(Paiements!$I$5:$I$2000,Paiements!$K$5:$K$2000,$A30,Paiements!$L$5:$L$2000,"En attente"))</f>
        <v>0</v>
      </c>
    </row>
    <row r="31" spans="1:4" x14ac:dyDescent="0.35">
      <c r="A31" s="14" t="str">
        <f>IF(Listes!E6="","",Listes!E6)</f>
        <v>Caisse</v>
      </c>
      <c r="B31" s="15">
        <f ca="1">IF($A31="","",SUMIFS(Paiements!$I$5:$I$2000,Paiements!$K$5:$K$2000,$A31,Paiements!$L$5:$L$2000,"Payé",Paiements!$A$5:$A$2000,"&gt;="&amp;DATE($B$3,$B$4,1),Paiements!$A$5:$A$2000,"&lt;"&amp;DATE($B$3,$B$4+1,1)))</f>
        <v>0</v>
      </c>
      <c r="C31" s="15">
        <f>IF($A31="","",SUMIFS(Paiements!$I$5:$I$2000,Paiements!$K$5:$K$2000,$A31,Paiements!$L$5:$L$2000,"Payé"))</f>
        <v>0</v>
      </c>
      <c r="D31" s="15">
        <f>IF($A31="","",SUMIFS(Paiements!$I$5:$I$2000,Paiements!$K$5:$K$2000,$A31,Paiements!$L$5:$L$2000,"En attente"))</f>
        <v>0</v>
      </c>
    </row>
    <row r="32" spans="1:4" x14ac:dyDescent="0.35">
      <c r="A32" s="14" t="str">
        <f>IF(Listes!E7="","",Listes!E7)</f>
        <v/>
      </c>
      <c r="B32" s="15" t="str">
        <f>IF($A32="","",SUMIFS(Paiements!$I$5:$I$2000,Paiements!$K$5:$K$2000,$A32,Paiements!$L$5:$L$2000,"Payé",Paiements!$A$5:$A$2000,"&gt;="&amp;DATE($B$3,$B$4,1),Paiements!$A$5:$A$2000,"&lt;"&amp;DATE($B$3,$B$4+1,1)))</f>
        <v/>
      </c>
      <c r="C32" s="15" t="str">
        <f>IF($A32="","",SUMIFS(Paiements!$I$5:$I$2000,Paiements!$K$5:$K$2000,$A32,Paiements!$L$5:$L$2000,"Payé"))</f>
        <v/>
      </c>
      <c r="D32" s="15" t="str">
        <f>IF($A32="","",SUMIFS(Paiements!$I$5:$I$2000,Paiements!$K$5:$K$2000,$A32,Paiements!$L$5:$L$2000,"En attente"))</f>
        <v/>
      </c>
    </row>
    <row r="33" spans="1:7" x14ac:dyDescent="0.35">
      <c r="A33" s="14" t="str">
        <f>IF(Listes!E8="","",Listes!E8)</f>
        <v/>
      </c>
      <c r="B33" s="15" t="str">
        <f>IF($A33="","",SUMIFS(Paiements!$I$5:$I$2000,Paiements!$K$5:$K$2000,$A33,Paiements!$L$5:$L$2000,"Payé",Paiements!$A$5:$A$2000,"&gt;="&amp;DATE($B$3,$B$4,1),Paiements!$A$5:$A$2000,"&lt;"&amp;DATE($B$3,$B$4+1,1)))</f>
        <v/>
      </c>
      <c r="C33" s="15" t="str">
        <f>IF($A33="","",SUMIFS(Paiements!$I$5:$I$2000,Paiements!$K$5:$K$2000,$A33,Paiements!$L$5:$L$2000,"Payé"))</f>
        <v/>
      </c>
      <c r="D33" s="15" t="str">
        <f>IF($A33="","",SUMIFS(Paiements!$I$5:$I$2000,Paiements!$K$5:$K$2000,$A33,Paiements!$L$5:$L$2000,"En attente"))</f>
        <v/>
      </c>
    </row>
    <row r="34" spans="1:7" x14ac:dyDescent="0.35">
      <c r="A34" s="14" t="str">
        <f>IF(Listes!E9="","",Listes!E9)</f>
        <v/>
      </c>
      <c r="B34" s="15" t="str">
        <f>IF($A34="","",SUMIFS(Paiements!$I$5:$I$2000,Paiements!$K$5:$K$2000,$A34,Paiements!$L$5:$L$2000,"Payé",Paiements!$A$5:$A$2000,"&gt;="&amp;DATE($B$3,$B$4,1),Paiements!$A$5:$A$2000,"&lt;"&amp;DATE($B$3,$B$4+1,1)))</f>
        <v/>
      </c>
      <c r="C34" s="15" t="str">
        <f>IF($A34="","",SUMIFS(Paiements!$I$5:$I$2000,Paiements!$K$5:$K$2000,$A34,Paiements!$L$5:$L$2000,"Payé"))</f>
        <v/>
      </c>
      <c r="D34" s="15" t="str">
        <f>IF($A34="","",SUMIFS(Paiements!$I$5:$I$2000,Paiements!$K$5:$K$2000,$A34,Paiements!$L$5:$L$2000,"En attente"))</f>
        <v/>
      </c>
    </row>
    <row r="35" spans="1:7" x14ac:dyDescent="0.35">
      <c r="A35" s="11" t="s">
        <v>31</v>
      </c>
      <c r="B35" s="16">
        <f ca="1">SUM(B27:B34)</f>
        <v>0</v>
      </c>
      <c r="C35" s="16">
        <f>SUM(C27:C34)</f>
        <v>0</v>
      </c>
      <c r="D35" s="16">
        <f>SUM(D27:D34)</f>
        <v>0</v>
      </c>
    </row>
    <row r="37" spans="1:7" ht="15.5" x14ac:dyDescent="0.35">
      <c r="A37" s="13" t="s">
        <v>34</v>
      </c>
    </row>
    <row r="38" spans="1:7" x14ac:dyDescent="0.35">
      <c r="A38" s="2" t="s">
        <v>35</v>
      </c>
      <c r="B38" s="2" t="s">
        <v>28</v>
      </c>
      <c r="C38" s="2" t="s">
        <v>29</v>
      </c>
      <c r="D38" s="2" t="s">
        <v>30</v>
      </c>
    </row>
    <row r="39" spans="1:7" x14ac:dyDescent="0.35">
      <c r="A39" s="14" t="str">
        <f>IF(Listes!D2="","",Listes!D2)</f>
        <v>Chèque</v>
      </c>
      <c r="B39" s="15">
        <f ca="1">IF($A39="","",SUMIFS(Paiements!$I$5:$I$2000,Paiements!$J$5:$J$2000,$A39,Paiements!$L$5:$L$2000,"Payé",Paiements!$A$5:$A$2000,"&gt;="&amp;DATE($B$3,$B$4,1),Paiements!$A$5:$A$2000,"&lt;"&amp;DATE($B$3,$B$4+1,1)))</f>
        <v>0</v>
      </c>
      <c r="C39" s="15">
        <f>IF($A39="","",SUMIFS(Paiements!$I$5:$I$2000,Paiements!$J$5:$J$2000,$A39,Paiements!$L$5:$L$2000,"Payé"))</f>
        <v>0</v>
      </c>
      <c r="D39" s="15">
        <f>IF($A39="","",SUMIFS(Paiements!$I$5:$I$2000,Paiements!$J$5:$J$2000,$A39,Paiements!$L$5:$L$2000,"En attente"))</f>
        <v>0</v>
      </c>
    </row>
    <row r="40" spans="1:7" x14ac:dyDescent="0.35">
      <c r="A40" s="14" t="str">
        <f>IF(Listes!D3="","",Listes!D3)</f>
        <v>Virement</v>
      </c>
      <c r="B40" s="15">
        <f ca="1">IF($A40="","",SUMIFS(Paiements!$I$5:$I$2000,Paiements!$J$5:$J$2000,$A40,Paiements!$L$5:$L$2000,"Payé",Paiements!$A$5:$A$2000,"&gt;="&amp;DATE($B$3,$B$4,1),Paiements!$A$5:$A$2000,"&lt;"&amp;DATE($B$3,$B$4+1,1)))</f>
        <v>0</v>
      </c>
      <c r="C40" s="15">
        <f>IF($A40="","",SUMIFS(Paiements!$I$5:$I$2000,Paiements!$J$5:$J$2000,$A40,Paiements!$L$5:$L$2000,"Payé"))</f>
        <v>0</v>
      </c>
      <c r="D40" s="15">
        <f>IF($A40="","",SUMIFS(Paiements!$I$5:$I$2000,Paiements!$J$5:$J$2000,$A40,Paiements!$L$5:$L$2000,"En attente"))</f>
        <v>0</v>
      </c>
    </row>
    <row r="41" spans="1:7" x14ac:dyDescent="0.35">
      <c r="A41" s="14" t="str">
        <f>IF(Listes!D4="","",Listes!D4)</f>
        <v>Espèces</v>
      </c>
      <c r="B41" s="15">
        <f ca="1">IF($A41="","",SUMIFS(Paiements!$I$5:$I$2000,Paiements!$J$5:$J$2000,$A41,Paiements!$L$5:$L$2000,"Payé",Paiements!$A$5:$A$2000,"&gt;="&amp;DATE($B$3,$B$4,1),Paiements!$A$5:$A$2000,"&lt;"&amp;DATE($B$3,$B$4+1,1)))</f>
        <v>0</v>
      </c>
      <c r="C41" s="15">
        <f>IF($A41="","",SUMIFS(Paiements!$I$5:$I$2000,Paiements!$J$5:$J$2000,$A41,Paiements!$L$5:$L$2000,"Payé"))</f>
        <v>0</v>
      </c>
      <c r="D41" s="15">
        <f>IF($A41="","",SUMIFS(Paiements!$I$5:$I$2000,Paiements!$J$5:$J$2000,$A41,Paiements!$L$5:$L$2000,"En attente"))</f>
        <v>0</v>
      </c>
    </row>
    <row r="42" spans="1:7" x14ac:dyDescent="0.35">
      <c r="A42" s="14" t="str">
        <f>IF(Listes!D5="","",Listes!D5)</f>
        <v>Prélèvement</v>
      </c>
      <c r="B42" s="15">
        <f ca="1">IF($A42="","",SUMIFS(Paiements!$I$5:$I$2000,Paiements!$J$5:$J$2000,$A42,Paiements!$L$5:$L$2000,"Payé",Paiements!$A$5:$A$2000,"&gt;="&amp;DATE($B$3,$B$4,1),Paiements!$A$5:$A$2000,"&lt;"&amp;DATE($B$3,$B$4+1,1)))</f>
        <v>0</v>
      </c>
      <c r="C42" s="15">
        <f>IF($A42="","",SUMIFS(Paiements!$I$5:$I$2000,Paiements!$J$5:$J$2000,$A42,Paiements!$L$5:$L$2000,"Payé"))</f>
        <v>0</v>
      </c>
      <c r="D42" s="15">
        <f>IF($A42="","",SUMIFS(Paiements!$I$5:$I$2000,Paiements!$J$5:$J$2000,$A42,Paiements!$L$5:$L$2000,"En attente"))</f>
        <v>0</v>
      </c>
    </row>
    <row r="43" spans="1:7" x14ac:dyDescent="0.35">
      <c r="A43" s="14" t="str">
        <f>IF(Listes!D6="","",Listes!D6)</f>
        <v/>
      </c>
      <c r="B43" s="15" t="str">
        <f>IF($A43="","",SUMIFS(Paiements!$I$5:$I$2000,Paiements!$J$5:$J$2000,$A43,Paiements!$L$5:$L$2000,"Payé",Paiements!$A$5:$A$2000,"&gt;="&amp;DATE($B$3,$B$4,1),Paiements!$A$5:$A$2000,"&lt;"&amp;DATE($B$3,$B$4+1,1)))</f>
        <v/>
      </c>
      <c r="C43" s="15" t="str">
        <f>IF($A43="","",SUMIFS(Paiements!$I$5:$I$2000,Paiements!$J$5:$J$2000,$A43,Paiements!$L$5:$L$2000,"Payé"))</f>
        <v/>
      </c>
      <c r="D43" s="15" t="str">
        <f>IF($A43="","",SUMIFS(Paiements!$I$5:$I$2000,Paiements!$J$5:$J$2000,$A43,Paiements!$L$5:$L$2000,"En attente"))</f>
        <v/>
      </c>
    </row>
    <row r="44" spans="1:7" x14ac:dyDescent="0.35">
      <c r="A44" s="14" t="str">
        <f>IF(Listes!D7="","",Listes!D7)</f>
        <v/>
      </c>
      <c r="B44" s="15" t="str">
        <f>IF($A44="","",SUMIFS(Paiements!$I$5:$I$2000,Paiements!$J$5:$J$2000,$A44,Paiements!$L$5:$L$2000,"Payé",Paiements!$A$5:$A$2000,"&gt;="&amp;DATE($B$3,$B$4,1),Paiements!$A$5:$A$2000,"&lt;"&amp;DATE($B$3,$B$4+1,1)))</f>
        <v/>
      </c>
      <c r="C44" s="15" t="str">
        <f>IF($A44="","",SUMIFS(Paiements!$I$5:$I$2000,Paiements!$J$5:$J$2000,$A44,Paiements!$L$5:$L$2000,"Payé"))</f>
        <v/>
      </c>
      <c r="D44" s="15" t="str">
        <f>IF($A44="","",SUMIFS(Paiements!$I$5:$I$2000,Paiements!$J$5:$J$2000,$A44,Paiements!$L$5:$L$2000,"En attente"))</f>
        <v/>
      </c>
    </row>
    <row r="45" spans="1:7" x14ac:dyDescent="0.35">
      <c r="A45" s="11" t="s">
        <v>31</v>
      </c>
      <c r="B45" s="16">
        <f ca="1">SUM(B39:B44)</f>
        <v>0</v>
      </c>
      <c r="C45" s="16">
        <f>SUM(C39:C44)</f>
        <v>0</v>
      </c>
      <c r="D45" s="16">
        <f>SUM(D39:D44)</f>
        <v>0</v>
      </c>
    </row>
    <row r="47" spans="1:7" ht="15.5" x14ac:dyDescent="0.35">
      <c r="A47" s="13" t="s">
        <v>36</v>
      </c>
    </row>
    <row r="48" spans="1:7" x14ac:dyDescent="0.35">
      <c r="A48" s="2" t="s">
        <v>37</v>
      </c>
      <c r="B48" s="2" t="s">
        <v>38</v>
      </c>
      <c r="C48" s="2" t="s">
        <v>4</v>
      </c>
      <c r="D48" s="2" t="s">
        <v>6</v>
      </c>
      <c r="E48" s="2" t="s">
        <v>33</v>
      </c>
      <c r="G48" s="17" t="s">
        <v>39</v>
      </c>
    </row>
    <row r="49" spans="1:7" x14ac:dyDescent="0.35">
      <c r="A49" s="18" t="str">
        <f>IF($G49="","",INDEX(Paiements!$A$5:$A$2000,$G49))</f>
        <v/>
      </c>
      <c r="B49" s="14" t="str">
        <f>IF($G49="","",INDEX(Paiements!$C$5:$C$2000,$G49))</f>
        <v/>
      </c>
      <c r="C49" s="14" t="str">
        <f>IF($G49="","",INDEX(Paiements!$F$5:$F$2000,$G49))</f>
        <v/>
      </c>
      <c r="D49" s="19" t="str">
        <f>IF($G49="","",INDEX(Paiements!$I$5:$I$2000,$G49))</f>
        <v/>
      </c>
      <c r="E49" s="14" t="str">
        <f>IF($G49="","",INDEX(Paiements!$K$5:$K$2000,$G49))</f>
        <v/>
      </c>
      <c r="G49" s="17" t="str">
        <f>IFERROR(MATCH("En attente",Paiements!$L$5:$L$2000,0),"")</f>
        <v/>
      </c>
    </row>
    <row r="50" spans="1:7" x14ac:dyDescent="0.35">
      <c r="A50" s="18" t="str">
        <f>IF($G50="","",INDEX(Paiements!$A$5:$A$2000,$G50))</f>
        <v/>
      </c>
      <c r="B50" s="14" t="str">
        <f>IF($G50="","",INDEX(Paiements!$C$5:$C$2000,$G50))</f>
        <v/>
      </c>
      <c r="C50" s="14" t="str">
        <f>IF($G50="","",INDEX(Paiements!$F$5:$F$2000,$G50))</f>
        <v/>
      </c>
      <c r="D50" s="19" t="str">
        <f>IF($G50="","",INDEX(Paiements!$I$5:$I$2000,$G50))</f>
        <v/>
      </c>
      <c r="E50" s="14" t="str">
        <f>IF($G50="","",INDEX(Paiements!$K$5:$K$2000,$G50))</f>
        <v/>
      </c>
      <c r="G50" s="17" t="str">
        <f>IF($G49="","",IFERROR($G49+MATCH("En attente",INDEX(Paiements!$L$5:$L$2000,$G49+1):INDEX(Paiements!$L$5:$L$2000,1996),0),""))</f>
        <v/>
      </c>
    </row>
    <row r="51" spans="1:7" x14ac:dyDescent="0.35">
      <c r="A51" s="18" t="str">
        <f>IF($G51="","",INDEX(Paiements!$A$5:$A$2000,$G51))</f>
        <v/>
      </c>
      <c r="B51" s="14" t="str">
        <f>IF($G51="","",INDEX(Paiements!$C$5:$C$2000,$G51))</f>
        <v/>
      </c>
      <c r="C51" s="14" t="str">
        <f>IF($G51="","",INDEX(Paiements!$F$5:$F$2000,$G51))</f>
        <v/>
      </c>
      <c r="D51" s="19" t="str">
        <f>IF($G51="","",INDEX(Paiements!$I$5:$I$2000,$G51))</f>
        <v/>
      </c>
      <c r="E51" s="14" t="str">
        <f>IF($G51="","",INDEX(Paiements!$K$5:$K$2000,$G51))</f>
        <v/>
      </c>
      <c r="G51" s="17" t="str">
        <f>IF($G50="","",IFERROR($G50+MATCH("En attente",INDEX(Paiements!$L$5:$L$2000,$G50+1):INDEX(Paiements!$L$5:$L$2000,1996),0),""))</f>
        <v/>
      </c>
    </row>
    <row r="52" spans="1:7" x14ac:dyDescent="0.35">
      <c r="A52" s="18" t="str">
        <f>IF($G52="","",INDEX(Paiements!$A$5:$A$2000,$G52))</f>
        <v/>
      </c>
      <c r="B52" s="14" t="str">
        <f>IF($G52="","",INDEX(Paiements!$C$5:$C$2000,$G52))</f>
        <v/>
      </c>
      <c r="C52" s="14" t="str">
        <f>IF($G52="","",INDEX(Paiements!$F$5:$F$2000,$G52))</f>
        <v/>
      </c>
      <c r="D52" s="19" t="str">
        <f>IF($G52="","",INDEX(Paiements!$I$5:$I$2000,$G52))</f>
        <v/>
      </c>
      <c r="E52" s="14" t="str">
        <f>IF($G52="","",INDEX(Paiements!$K$5:$K$2000,$G52))</f>
        <v/>
      </c>
      <c r="G52" s="17" t="str">
        <f>IF($G51="","",IFERROR($G51+MATCH("En attente",INDEX(Paiements!$L$5:$L$2000,$G51+1):INDEX(Paiements!$L$5:$L$2000,1996),0),""))</f>
        <v/>
      </c>
    </row>
    <row r="53" spans="1:7" x14ac:dyDescent="0.35">
      <c r="A53" s="18" t="str">
        <f>IF($G53="","",INDEX(Paiements!$A$5:$A$2000,$G53))</f>
        <v/>
      </c>
      <c r="B53" s="14" t="str">
        <f>IF($G53="","",INDEX(Paiements!$C$5:$C$2000,$G53))</f>
        <v/>
      </c>
      <c r="C53" s="14" t="str">
        <f>IF($G53="","",INDEX(Paiements!$F$5:$F$2000,$G53))</f>
        <v/>
      </c>
      <c r="D53" s="19" t="str">
        <f>IF($G53="","",INDEX(Paiements!$I$5:$I$2000,$G53))</f>
        <v/>
      </c>
      <c r="E53" s="14" t="str">
        <f>IF($G53="","",INDEX(Paiements!$K$5:$K$2000,$G53))</f>
        <v/>
      </c>
      <c r="G53" s="17" t="str">
        <f>IF($G52="","",IFERROR($G52+MATCH("En attente",INDEX(Paiements!$L$5:$L$2000,$G52+1):INDEX(Paiements!$L$5:$L$2000,1996),0),""))</f>
        <v/>
      </c>
    </row>
    <row r="54" spans="1:7" x14ac:dyDescent="0.35">
      <c r="A54" s="18" t="str">
        <f>IF($G54="","",INDEX(Paiements!$A$5:$A$2000,$G54))</f>
        <v/>
      </c>
      <c r="B54" s="14" t="str">
        <f>IF($G54="","",INDEX(Paiements!$C$5:$C$2000,$G54))</f>
        <v/>
      </c>
      <c r="C54" s="14" t="str">
        <f>IF($G54="","",INDEX(Paiements!$F$5:$F$2000,$G54))</f>
        <v/>
      </c>
      <c r="D54" s="19" t="str">
        <f>IF($G54="","",INDEX(Paiements!$I$5:$I$2000,$G54))</f>
        <v/>
      </c>
      <c r="E54" s="14" t="str">
        <f>IF($G54="","",INDEX(Paiements!$K$5:$K$2000,$G54))</f>
        <v/>
      </c>
      <c r="G54" s="17" t="str">
        <f>IF($G53="","",IFERROR($G53+MATCH("En attente",INDEX(Paiements!$L$5:$L$2000,$G53+1):INDEX(Paiements!$L$5:$L$2000,1996),0),""))</f>
        <v/>
      </c>
    </row>
    <row r="55" spans="1:7" x14ac:dyDescent="0.35">
      <c r="A55" s="18" t="str">
        <f>IF($G55="","",INDEX(Paiements!$A$5:$A$2000,$G55))</f>
        <v/>
      </c>
      <c r="B55" s="14" t="str">
        <f>IF($G55="","",INDEX(Paiements!$C$5:$C$2000,$G55))</f>
        <v/>
      </c>
      <c r="C55" s="14" t="str">
        <f>IF($G55="","",INDEX(Paiements!$F$5:$F$2000,$G55))</f>
        <v/>
      </c>
      <c r="D55" s="19" t="str">
        <f>IF($G55="","",INDEX(Paiements!$I$5:$I$2000,$G55))</f>
        <v/>
      </c>
      <c r="E55" s="14" t="str">
        <f>IF($G55="","",INDEX(Paiements!$K$5:$K$2000,$G55))</f>
        <v/>
      </c>
      <c r="G55" s="17" t="str">
        <f>IF($G54="","",IFERROR($G54+MATCH("En attente",INDEX(Paiements!$L$5:$L$2000,$G54+1):INDEX(Paiements!$L$5:$L$2000,1996),0),""))</f>
        <v/>
      </c>
    </row>
    <row r="56" spans="1:7" x14ac:dyDescent="0.35">
      <c r="A56" s="18" t="str">
        <f>IF($G56="","",INDEX(Paiements!$A$5:$A$2000,$G56))</f>
        <v/>
      </c>
      <c r="B56" s="14" t="str">
        <f>IF($G56="","",INDEX(Paiements!$C$5:$C$2000,$G56))</f>
        <v/>
      </c>
      <c r="C56" s="14" t="str">
        <f>IF($G56="","",INDEX(Paiements!$F$5:$F$2000,$G56))</f>
        <v/>
      </c>
      <c r="D56" s="19" t="str">
        <f>IF($G56="","",INDEX(Paiements!$I$5:$I$2000,$G56))</f>
        <v/>
      </c>
      <c r="E56" s="14" t="str">
        <f>IF($G56="","",INDEX(Paiements!$K$5:$K$2000,$G56))</f>
        <v/>
      </c>
      <c r="G56" s="17" t="str">
        <f>IF($G55="","",IFERROR($G55+MATCH("En attente",INDEX(Paiements!$L$5:$L$2000,$G55+1):INDEX(Paiements!$L$5:$L$2000,1996),0),""))</f>
        <v/>
      </c>
    </row>
    <row r="57" spans="1:7" x14ac:dyDescent="0.35">
      <c r="A57" s="18" t="str">
        <f>IF($G57="","",INDEX(Paiements!$A$5:$A$2000,$G57))</f>
        <v/>
      </c>
      <c r="B57" s="14" t="str">
        <f>IF($G57="","",INDEX(Paiements!$C$5:$C$2000,$G57))</f>
        <v/>
      </c>
      <c r="C57" s="14" t="str">
        <f>IF($G57="","",INDEX(Paiements!$F$5:$F$2000,$G57))</f>
        <v/>
      </c>
      <c r="D57" s="19" t="str">
        <f>IF($G57="","",INDEX(Paiements!$I$5:$I$2000,$G57))</f>
        <v/>
      </c>
      <c r="E57" s="14" t="str">
        <f>IF($G57="","",INDEX(Paiements!$K$5:$K$2000,$G57))</f>
        <v/>
      </c>
      <c r="G57" s="17" t="str">
        <f>IF($G56="","",IFERROR($G56+MATCH("En attente",INDEX(Paiements!$L$5:$L$2000,$G56+1):INDEX(Paiements!$L$5:$L$2000,1996),0),""))</f>
        <v/>
      </c>
    </row>
    <row r="58" spans="1:7" x14ac:dyDescent="0.35">
      <c r="A58" s="18" t="str">
        <f>IF($G58="","",INDEX(Paiements!$A$5:$A$2000,$G58))</f>
        <v/>
      </c>
      <c r="B58" s="14" t="str">
        <f>IF($G58="","",INDEX(Paiements!$C$5:$C$2000,$G58))</f>
        <v/>
      </c>
      <c r="C58" s="14" t="str">
        <f>IF($G58="","",INDEX(Paiements!$F$5:$F$2000,$G58))</f>
        <v/>
      </c>
      <c r="D58" s="19" t="str">
        <f>IF($G58="","",INDEX(Paiements!$I$5:$I$2000,$G58))</f>
        <v/>
      </c>
      <c r="E58" s="14" t="str">
        <f>IF($G58="","",INDEX(Paiements!$K$5:$K$2000,$G58))</f>
        <v/>
      </c>
      <c r="G58" s="17" t="str">
        <f>IF($G57="","",IFERROR($G57+MATCH("En attente",INDEX(Paiements!$L$5:$L$2000,$G57+1):INDEX(Paiements!$L$5:$L$2000,1996),0),""))</f>
        <v/>
      </c>
    </row>
    <row r="59" spans="1:7" x14ac:dyDescent="0.35">
      <c r="A59" s="18" t="str">
        <f>IF($G59="","",INDEX(Paiements!$A$5:$A$2000,$G59))</f>
        <v/>
      </c>
      <c r="B59" s="14" t="str">
        <f>IF($G59="","",INDEX(Paiements!$C$5:$C$2000,$G59))</f>
        <v/>
      </c>
      <c r="C59" s="14" t="str">
        <f>IF($G59="","",INDEX(Paiements!$F$5:$F$2000,$G59))</f>
        <v/>
      </c>
      <c r="D59" s="19" t="str">
        <f>IF($G59="","",INDEX(Paiements!$I$5:$I$2000,$G59))</f>
        <v/>
      </c>
      <c r="E59" s="14" t="str">
        <f>IF($G59="","",INDEX(Paiements!$K$5:$K$2000,$G59))</f>
        <v/>
      </c>
      <c r="G59" s="17" t="str">
        <f>IF($G58="","",IFERROR($G58+MATCH("En attente",INDEX(Paiements!$L$5:$L$2000,$G58+1):INDEX(Paiements!$L$5:$L$2000,1996),0),""))</f>
        <v/>
      </c>
    </row>
    <row r="60" spans="1:7" x14ac:dyDescent="0.35">
      <c r="A60" s="18" t="str">
        <f>IF($G60="","",INDEX(Paiements!$A$5:$A$2000,$G60))</f>
        <v/>
      </c>
      <c r="B60" s="14" t="str">
        <f>IF($G60="","",INDEX(Paiements!$C$5:$C$2000,$G60))</f>
        <v/>
      </c>
      <c r="C60" s="14" t="str">
        <f>IF($G60="","",INDEX(Paiements!$F$5:$F$2000,$G60))</f>
        <v/>
      </c>
      <c r="D60" s="19" t="str">
        <f>IF($G60="","",INDEX(Paiements!$I$5:$I$2000,$G60))</f>
        <v/>
      </c>
      <c r="E60" s="14" t="str">
        <f>IF($G60="","",INDEX(Paiements!$K$5:$K$2000,$G60))</f>
        <v/>
      </c>
      <c r="G60" s="17" t="str">
        <f>IF($G59="","",IFERROR($G59+MATCH("En attente",INDEX(Paiements!$L$5:$L$2000,$G59+1):INDEX(Paiements!$L$5:$L$2000,1996),0),""))</f>
        <v/>
      </c>
    </row>
    <row r="61" spans="1:7" x14ac:dyDescent="0.35">
      <c r="A61" s="18" t="str">
        <f>IF($G61="","",INDEX(Paiements!$A$5:$A$2000,$G61))</f>
        <v/>
      </c>
      <c r="B61" s="14" t="str">
        <f>IF($G61="","",INDEX(Paiements!$C$5:$C$2000,$G61))</f>
        <v/>
      </c>
      <c r="C61" s="14" t="str">
        <f>IF($G61="","",INDEX(Paiements!$F$5:$F$2000,$G61))</f>
        <v/>
      </c>
      <c r="D61" s="19" t="str">
        <f>IF($G61="","",INDEX(Paiements!$I$5:$I$2000,$G61))</f>
        <v/>
      </c>
      <c r="E61" s="14" t="str">
        <f>IF($G61="","",INDEX(Paiements!$K$5:$K$2000,$G61))</f>
        <v/>
      </c>
      <c r="G61" s="17" t="str">
        <f>IF($G60="","",IFERROR($G60+MATCH("En attente",INDEX(Paiements!$L$5:$L$2000,$G60+1):INDEX(Paiements!$L$5:$L$2000,1996),0),""))</f>
        <v/>
      </c>
    </row>
    <row r="62" spans="1:7" x14ac:dyDescent="0.35">
      <c r="A62" s="18" t="str">
        <f>IF($G62="","",INDEX(Paiements!$A$5:$A$2000,$G62))</f>
        <v/>
      </c>
      <c r="B62" s="14" t="str">
        <f>IF($G62="","",INDEX(Paiements!$C$5:$C$2000,$G62))</f>
        <v/>
      </c>
      <c r="C62" s="14" t="str">
        <f>IF($G62="","",INDEX(Paiements!$F$5:$F$2000,$G62))</f>
        <v/>
      </c>
      <c r="D62" s="19" t="str">
        <f>IF($G62="","",INDEX(Paiements!$I$5:$I$2000,$G62))</f>
        <v/>
      </c>
      <c r="E62" s="14" t="str">
        <f>IF($G62="","",INDEX(Paiements!$K$5:$K$2000,$G62))</f>
        <v/>
      </c>
      <c r="G62" s="17" t="str">
        <f>IF($G61="","",IFERROR($G61+MATCH("En attente",INDEX(Paiements!$L$5:$L$2000,$G61+1):INDEX(Paiements!$L$5:$L$2000,1996),0),""))</f>
        <v/>
      </c>
    </row>
    <row r="63" spans="1:7" x14ac:dyDescent="0.35">
      <c r="A63" s="18" t="str">
        <f>IF($G63="","",INDEX(Paiements!$A$5:$A$2000,$G63))</f>
        <v/>
      </c>
      <c r="B63" s="14" t="str">
        <f>IF($G63="","",INDEX(Paiements!$C$5:$C$2000,$G63))</f>
        <v/>
      </c>
      <c r="C63" s="14" t="str">
        <f>IF($G63="","",INDEX(Paiements!$F$5:$F$2000,$G63))</f>
        <v/>
      </c>
      <c r="D63" s="19" t="str">
        <f>IF($G63="","",INDEX(Paiements!$I$5:$I$2000,$G63))</f>
        <v/>
      </c>
      <c r="E63" s="14" t="str">
        <f>IF($G63="","",INDEX(Paiements!$K$5:$K$2000,$G63))</f>
        <v/>
      </c>
      <c r="G63" s="17" t="str">
        <f>IF($G62="","",IFERROR($G62+MATCH("En attente",INDEX(Paiements!$L$5:$L$2000,$G62+1):INDEX(Paiements!$L$5:$L$2000,1996),0),""))</f>
        <v/>
      </c>
    </row>
    <row r="64" spans="1:7" x14ac:dyDescent="0.35">
      <c r="A64" s="18" t="str">
        <f>IF($G64="","",INDEX(Paiements!$A$5:$A$2000,$G64))</f>
        <v/>
      </c>
      <c r="B64" s="14" t="str">
        <f>IF($G64="","",INDEX(Paiements!$C$5:$C$2000,$G64))</f>
        <v/>
      </c>
      <c r="C64" s="14" t="str">
        <f>IF($G64="","",INDEX(Paiements!$F$5:$F$2000,$G64))</f>
        <v/>
      </c>
      <c r="D64" s="19" t="str">
        <f>IF($G64="","",INDEX(Paiements!$I$5:$I$2000,$G64))</f>
        <v/>
      </c>
      <c r="E64" s="14" t="str">
        <f>IF($G64="","",INDEX(Paiements!$K$5:$K$2000,$G64))</f>
        <v/>
      </c>
      <c r="G64" s="17" t="str">
        <f>IF($G63="","",IFERROR($G63+MATCH("En attente",INDEX(Paiements!$L$5:$L$2000,$G63+1):INDEX(Paiements!$L$5:$L$2000,1996),0),""))</f>
        <v/>
      </c>
    </row>
    <row r="65" spans="1:7" x14ac:dyDescent="0.35">
      <c r="A65" s="18" t="str">
        <f>IF($G65="","",INDEX(Paiements!$A$5:$A$2000,$G65))</f>
        <v/>
      </c>
      <c r="B65" s="14" t="str">
        <f>IF($G65="","",INDEX(Paiements!$C$5:$C$2000,$G65))</f>
        <v/>
      </c>
      <c r="C65" s="14" t="str">
        <f>IF($G65="","",INDEX(Paiements!$F$5:$F$2000,$G65))</f>
        <v/>
      </c>
      <c r="D65" s="19" t="str">
        <f>IF($G65="","",INDEX(Paiements!$I$5:$I$2000,$G65))</f>
        <v/>
      </c>
      <c r="E65" s="14" t="str">
        <f>IF($G65="","",INDEX(Paiements!$K$5:$K$2000,$G65))</f>
        <v/>
      </c>
      <c r="G65" s="17" t="str">
        <f>IF($G64="","",IFERROR($G64+MATCH("En attente",INDEX(Paiements!$L$5:$L$2000,$G64+1):INDEX(Paiements!$L$5:$L$2000,1996),0),""))</f>
        <v/>
      </c>
    </row>
    <row r="66" spans="1:7" x14ac:dyDescent="0.35">
      <c r="A66" s="18" t="str">
        <f>IF($G66="","",INDEX(Paiements!$A$5:$A$2000,$G66))</f>
        <v/>
      </c>
      <c r="B66" s="14" t="str">
        <f>IF($G66="","",INDEX(Paiements!$C$5:$C$2000,$G66))</f>
        <v/>
      </c>
      <c r="C66" s="14" t="str">
        <f>IF($G66="","",INDEX(Paiements!$F$5:$F$2000,$G66))</f>
        <v/>
      </c>
      <c r="D66" s="19" t="str">
        <f>IF($G66="","",INDEX(Paiements!$I$5:$I$2000,$G66))</f>
        <v/>
      </c>
      <c r="E66" s="14" t="str">
        <f>IF($G66="","",INDEX(Paiements!$K$5:$K$2000,$G66))</f>
        <v/>
      </c>
      <c r="G66" s="17" t="str">
        <f>IF($G65="","",IFERROR($G65+MATCH("En attente",INDEX(Paiements!$L$5:$L$2000,$G65+1):INDEX(Paiements!$L$5:$L$2000,1996),0),""))</f>
        <v/>
      </c>
    </row>
    <row r="67" spans="1:7" x14ac:dyDescent="0.35">
      <c r="A67" s="18" t="str">
        <f>IF($G67="","",INDEX(Paiements!$A$5:$A$2000,$G67))</f>
        <v/>
      </c>
      <c r="B67" s="14" t="str">
        <f>IF($G67="","",INDEX(Paiements!$C$5:$C$2000,$G67))</f>
        <v/>
      </c>
      <c r="C67" s="14" t="str">
        <f>IF($G67="","",INDEX(Paiements!$F$5:$F$2000,$G67))</f>
        <v/>
      </c>
      <c r="D67" s="19" t="str">
        <f>IF($G67="","",INDEX(Paiements!$I$5:$I$2000,$G67))</f>
        <v/>
      </c>
      <c r="E67" s="14" t="str">
        <f>IF($G67="","",INDEX(Paiements!$K$5:$K$2000,$G67))</f>
        <v/>
      </c>
      <c r="G67" s="17" t="str">
        <f>IF($G66="","",IFERROR($G66+MATCH("En attente",INDEX(Paiements!$L$5:$L$2000,$G66+1):INDEX(Paiements!$L$5:$L$2000,1996),0),""))</f>
        <v/>
      </c>
    </row>
    <row r="68" spans="1:7" x14ac:dyDescent="0.35">
      <c r="A68" s="18" t="str">
        <f>IF($G68="","",INDEX(Paiements!$A$5:$A$2000,$G68))</f>
        <v/>
      </c>
      <c r="B68" s="14" t="str">
        <f>IF($G68="","",INDEX(Paiements!$C$5:$C$2000,$G68))</f>
        <v/>
      </c>
      <c r="C68" s="14" t="str">
        <f>IF($G68="","",INDEX(Paiements!$F$5:$F$2000,$G68))</f>
        <v/>
      </c>
      <c r="D68" s="19" t="str">
        <f>IF($G68="","",INDEX(Paiements!$I$5:$I$2000,$G68))</f>
        <v/>
      </c>
      <c r="E68" s="14" t="str">
        <f>IF($G68="","",INDEX(Paiements!$K$5:$K$2000,$G68))</f>
        <v/>
      </c>
      <c r="G68" s="17" t="str">
        <f>IF($G67="","",IFERROR($G67+MATCH("En attente",INDEX(Paiements!$L$5:$L$2000,$G67+1):INDEX(Paiements!$L$5:$L$2000,1996),0),""))</f>
        <v/>
      </c>
    </row>
    <row r="69" spans="1:7" x14ac:dyDescent="0.35">
      <c r="A69" s="18" t="str">
        <f>IF($G69="","",INDEX(Paiements!$A$5:$A$2000,$G69))</f>
        <v/>
      </c>
      <c r="B69" s="14" t="str">
        <f>IF($G69="","",INDEX(Paiements!$C$5:$C$2000,$G69))</f>
        <v/>
      </c>
      <c r="C69" s="14" t="str">
        <f>IF($G69="","",INDEX(Paiements!$F$5:$F$2000,$G69))</f>
        <v/>
      </c>
      <c r="D69" s="19" t="str">
        <f>IF($G69="","",INDEX(Paiements!$I$5:$I$2000,$G69))</f>
        <v/>
      </c>
      <c r="E69" s="14" t="str">
        <f>IF($G69="","",INDEX(Paiements!$K$5:$K$2000,$G69))</f>
        <v/>
      </c>
      <c r="G69" s="17" t="str">
        <f>IF($G68="","",IFERROR($G68+MATCH("En attente",INDEX(Paiements!$L$5:$L$2000,$G68+1):INDEX(Paiements!$L$5:$L$2000,1996),0),""))</f>
        <v/>
      </c>
    </row>
    <row r="70" spans="1:7" x14ac:dyDescent="0.35">
      <c r="A70" s="18" t="str">
        <f>IF($G70="","",INDEX(Paiements!$A$5:$A$2000,$G70))</f>
        <v/>
      </c>
      <c r="B70" s="14" t="str">
        <f>IF($G70="","",INDEX(Paiements!$C$5:$C$2000,$G70))</f>
        <v/>
      </c>
      <c r="C70" s="14" t="str">
        <f>IF($G70="","",INDEX(Paiements!$F$5:$F$2000,$G70))</f>
        <v/>
      </c>
      <c r="D70" s="19" t="str">
        <f>IF($G70="","",INDEX(Paiements!$I$5:$I$2000,$G70))</f>
        <v/>
      </c>
      <c r="E70" s="14" t="str">
        <f>IF($G70="","",INDEX(Paiements!$K$5:$K$2000,$G70))</f>
        <v/>
      </c>
      <c r="G70" s="17" t="str">
        <f>IF($G69="","",IFERROR($G69+MATCH("En attente",INDEX(Paiements!$L$5:$L$2000,$G69+1):INDEX(Paiements!$L$5:$L$2000,1996),0),""))</f>
        <v/>
      </c>
    </row>
    <row r="71" spans="1:7" x14ac:dyDescent="0.35">
      <c r="A71" s="18" t="str">
        <f>IF($G71="","",INDEX(Paiements!$A$5:$A$2000,$G71))</f>
        <v/>
      </c>
      <c r="B71" s="14" t="str">
        <f>IF($G71="","",INDEX(Paiements!$C$5:$C$2000,$G71))</f>
        <v/>
      </c>
      <c r="C71" s="14" t="str">
        <f>IF($G71="","",INDEX(Paiements!$F$5:$F$2000,$G71))</f>
        <v/>
      </c>
      <c r="D71" s="19" t="str">
        <f>IF($G71="","",INDEX(Paiements!$I$5:$I$2000,$G71))</f>
        <v/>
      </c>
      <c r="E71" s="14" t="str">
        <f>IF($G71="","",INDEX(Paiements!$K$5:$K$2000,$G71))</f>
        <v/>
      </c>
      <c r="G71" s="17" t="str">
        <f>IF($G70="","",IFERROR($G70+MATCH("En attente",INDEX(Paiements!$L$5:$L$2000,$G70+1):INDEX(Paiements!$L$5:$L$2000,1996),0),""))</f>
        <v/>
      </c>
    </row>
    <row r="72" spans="1:7" x14ac:dyDescent="0.35">
      <c r="A72" s="18" t="str">
        <f>IF($G72="","",INDEX(Paiements!$A$5:$A$2000,$G72))</f>
        <v/>
      </c>
      <c r="B72" s="14" t="str">
        <f>IF($G72="","",INDEX(Paiements!$C$5:$C$2000,$G72))</f>
        <v/>
      </c>
      <c r="C72" s="14" t="str">
        <f>IF($G72="","",INDEX(Paiements!$F$5:$F$2000,$G72))</f>
        <v/>
      </c>
      <c r="D72" s="19" t="str">
        <f>IF($G72="","",INDEX(Paiements!$I$5:$I$2000,$G72))</f>
        <v/>
      </c>
      <c r="E72" s="14" t="str">
        <f>IF($G72="","",INDEX(Paiements!$K$5:$K$2000,$G72))</f>
        <v/>
      </c>
      <c r="G72" s="17" t="str">
        <f>IF($G71="","",IFERROR($G71+MATCH("En attente",INDEX(Paiements!$L$5:$L$2000,$G71+1):INDEX(Paiements!$L$5:$L$2000,1996),0),""))</f>
        <v/>
      </c>
    </row>
    <row r="73" spans="1:7" x14ac:dyDescent="0.35">
      <c r="A73" s="18" t="str">
        <f>IF($G73="","",INDEX(Paiements!$A$5:$A$2000,$G73))</f>
        <v/>
      </c>
      <c r="B73" s="14" t="str">
        <f>IF($G73="","",INDEX(Paiements!$C$5:$C$2000,$G73))</f>
        <v/>
      </c>
      <c r="C73" s="14" t="str">
        <f>IF($G73="","",INDEX(Paiements!$F$5:$F$2000,$G73))</f>
        <v/>
      </c>
      <c r="D73" s="19" t="str">
        <f>IF($G73="","",INDEX(Paiements!$I$5:$I$2000,$G73))</f>
        <v/>
      </c>
      <c r="E73" s="14" t="str">
        <f>IF($G73="","",INDEX(Paiements!$K$5:$K$2000,$G73))</f>
        <v/>
      </c>
      <c r="G73" s="17" t="str">
        <f>IF($G72="","",IFERROR($G72+MATCH("En attente",INDEX(Paiements!$L$5:$L$2000,$G72+1):INDEX(Paiements!$L$5:$L$2000,1996),0),""))</f>
        <v/>
      </c>
    </row>
    <row r="74" spans="1:7" x14ac:dyDescent="0.35">
      <c r="A74" s="20" t="str">
        <f>IF($B$9&gt;25,"Seuls les 25 premiers paiements en attente sont affichés ("&amp;$B$9&amp;" au total). Filtrez la colonne Statut dans la feuille Paiements pour tout voir.","")</f>
        <v/>
      </c>
    </row>
  </sheetData>
  <conditionalFormatting sqref="C15:C22">
    <cfRule type="dataBar" priority="1">
      <dataBar>
        <cfvo type="num" val="0"/>
        <cfvo type="max"/>
        <color rgb="FF9DC3E6"/>
      </dataBar>
    </cfRule>
  </conditionalFormatting>
  <conditionalFormatting sqref="C27:C34">
    <cfRule type="dataBar" priority="2">
      <dataBar>
        <cfvo type="num" val="0"/>
        <cfvo type="max"/>
        <color rgb="FF9DC3E6"/>
      </dataBar>
    </cfRule>
  </conditionalFormatting>
  <conditionalFormatting sqref="C39:C44">
    <cfRule type="dataBar" priority="3">
      <dataBar>
        <cfvo type="num" val="0"/>
        <cfvo type="max"/>
        <color rgb="FF9DC3E6"/>
      </dataBar>
    </cfRule>
  </conditionalFormatting>
  <dataValidations count="2">
    <dataValidation type="whole" showErrorMessage="1" errorTitle="Mois non valide" error="Entrez un nombre de 1 à 12." sqref="B4" xr:uid="{00000000-0002-0000-0100-000000000000}">
      <formula1>1</formula1>
      <formula2>12</formula2>
    </dataValidation>
    <dataValidation type="whole" showErrorMessage="1" errorTitle="Année non valide" error="Entrez une année, par exemple 2026." sqref="B3" xr:uid="{00000000-0002-0000-0100-000001000000}">
      <formula1>2000</formula1>
      <formula2>2100</formula2>
    </dataValidation>
  </dataValidations>
  <pageMargins left="0.75" right="0.75" top="1" bottom="1" header="0.5" footer="0.5"/>
  <pageSetup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5623"/>
    <pageSetUpPr fitToPage="1"/>
  </sheetPr>
  <dimension ref="A1:M103"/>
  <sheetViews>
    <sheetView workbookViewId="0">
      <pane xSplit="2" ySplit="5" topLeftCell="C714" activePane="bottomRight" state="frozen"/>
      <selection pane="topRight"/>
      <selection pane="bottomLeft"/>
      <selection pane="bottomRight" activeCell="B15" sqref="B15"/>
    </sheetView>
  </sheetViews>
  <sheetFormatPr baseColWidth="10" defaultColWidth="8.7265625" defaultRowHeight="14.5" x14ac:dyDescent="0.35"/>
  <cols>
    <col min="2" max="2" width="43.1796875" customWidth="1"/>
    <col min="3" max="3" width="15" customWidth="1"/>
    <col min="4" max="4" width="21.453125" customWidth="1"/>
    <col min="5" max="5" width="25.08984375" customWidth="1"/>
    <col min="6" max="6" width="17" customWidth="1"/>
    <col min="7" max="7" width="29" customWidth="1"/>
    <col min="8" max="8" width="17" customWidth="1"/>
    <col min="9" max="9" width="23.453125" customWidth="1"/>
    <col min="10" max="10" width="30" customWidth="1"/>
    <col min="11" max="11" width="28.81640625" customWidth="1"/>
    <col min="12" max="12" width="26.36328125" customWidth="1"/>
    <col min="13" max="13" width="16" customWidth="1"/>
  </cols>
  <sheetData>
    <row r="1" spans="1:13" ht="20" x14ac:dyDescent="0.4">
      <c r="B1" s="21" t="s">
        <v>40</v>
      </c>
    </row>
    <row r="2" spans="1:13" ht="62" hidden="1" customHeight="1" x14ac:dyDescent="0.35">
      <c r="B2" s="39" t="s">
        <v>41</v>
      </c>
      <c r="C2" s="46"/>
      <c r="D2" s="46"/>
      <c r="E2" s="46"/>
      <c r="F2" s="46"/>
      <c r="G2" s="46"/>
      <c r="H2" s="46"/>
      <c r="I2" s="46"/>
      <c r="J2" s="46"/>
      <c r="K2" s="46"/>
      <c r="L2" s="46"/>
      <c r="M2" s="46"/>
    </row>
    <row r="3" spans="1:13" x14ac:dyDescent="0.35">
      <c r="B3" s="22" t="str">
        <f>IF(SUMPRODUCT((Paiements!$D$5:$D$2000="Fournisseur")*(Paiements!$C$5:$C$2000&lt;&gt;"")*(COUNTIF($B$6:$B$103,Paiements!$C$5:$C$2000)=0))=0,"","ATTENTION : "&amp;SUMPRODUCT((Paiements!$D$5:$D$2000="Fournisseur")*(Paiements!$C$5:$C$2000&lt;&gt;"")*(COUNTIF($B$6:$B$103,Paiements!$C$5:$C$2000)=0))&amp;" paiement(s) de type Fournisseur portent un nom absent de cette liste : vérifiez l'orthographe dans la feuille Paiements.")</f>
        <v/>
      </c>
    </row>
    <row r="4" spans="1:13" x14ac:dyDescent="0.35">
      <c r="B4" s="47" t="s">
        <v>31</v>
      </c>
      <c r="C4" s="47"/>
      <c r="D4" s="48">
        <f>SUM(D6:D103)</f>
        <v>0</v>
      </c>
      <c r="E4" s="48">
        <f>SUM(E6:E103)</f>
        <v>0</v>
      </c>
      <c r="F4" s="48">
        <f>SUM(F6:F103)</f>
        <v>0</v>
      </c>
      <c r="G4" s="48">
        <f>SUM(G6:G103)</f>
        <v>0</v>
      </c>
      <c r="H4" s="48">
        <f>SUM(H6:H103)</f>
        <v>0</v>
      </c>
      <c r="I4" s="48">
        <f>SUM(I6:I103)</f>
        <v>0</v>
      </c>
      <c r="J4" s="48">
        <f>SUM(J6:J103)</f>
        <v>0</v>
      </c>
      <c r="K4" s="48">
        <f>SUM(K6:K103)</f>
        <v>0</v>
      </c>
      <c r="L4" s="48">
        <f>SUM(L6:L103)</f>
        <v>0</v>
      </c>
      <c r="M4" s="47"/>
    </row>
    <row r="5" spans="1:13" ht="45" customHeight="1" x14ac:dyDescent="0.35">
      <c r="A5" s="2" t="s">
        <v>119</v>
      </c>
      <c r="B5" s="2" t="s">
        <v>11</v>
      </c>
      <c r="C5" s="2" t="s">
        <v>42</v>
      </c>
      <c r="D5" s="23" t="s">
        <v>43</v>
      </c>
      <c r="E5" s="23" t="s">
        <v>44</v>
      </c>
      <c r="F5" s="23" t="s">
        <v>45</v>
      </c>
      <c r="G5" s="23" t="s">
        <v>46</v>
      </c>
      <c r="H5" s="23" t="s">
        <v>47</v>
      </c>
      <c r="I5" s="23" t="s">
        <v>48</v>
      </c>
      <c r="J5" s="23" t="s">
        <v>49</v>
      </c>
      <c r="K5" s="23" t="s">
        <v>50</v>
      </c>
      <c r="L5" s="23" t="s">
        <v>51</v>
      </c>
      <c r="M5" s="23" t="s">
        <v>52</v>
      </c>
    </row>
    <row r="6" spans="1:13" x14ac:dyDescent="0.35">
      <c r="A6" t="s">
        <v>182</v>
      </c>
      <c r="B6" s="24" t="s">
        <v>120</v>
      </c>
      <c r="C6" s="24"/>
      <c r="D6" s="15">
        <f>IF($B6="","",COUNTIFS(Dechargements!$C$5:$C$1002,$B6,Dechargements!$H$5:$H$1002,"Fait"))</f>
        <v>0</v>
      </c>
      <c r="E6" s="15">
        <f>IF($B6="","",SUMIFS(Dechargements!$E$5:$E$1002,Dechargements!$C$5:$C$1002,$B6,Dechargements!$H$5:$H$1002,"Fait"))</f>
        <v>0</v>
      </c>
      <c r="F6" s="15">
        <f>IF($B6="","",SUMIFS(Dechargements!$G$5:$G$1002,Dechargements!$C$5:$C$1002,$B6,Dechargements!$H$5:$H$1002,"Fait"))</f>
        <v>0</v>
      </c>
      <c r="G6" s="15">
        <f>IF($B6="","",SUMIFS(Dechargements!$G$5:$G$1002,Dechargements!$C$5:$C$1002,$B6)-$F6-SUMIFS(Dechargements!$G$5:$G$1002,Dechargements!$C$5:$C$1002,$B6,Dechargements!$H$5:$H$1002,"Annulé"))</f>
        <v>0</v>
      </c>
      <c r="H6" s="15">
        <f>IF($B6="","",SUMIFS(Paiements!$I$5:$I$2000,Paiements!$C$5:$C$2000,$B6,Paiements!$L$5:$L$2000,"Payé"))</f>
        <v>0</v>
      </c>
      <c r="I6" s="15">
        <f>IF($B6="","",SUMIFS(Paiements!$I$5:$I$2000,Paiements!$C$5:$C$2000,$B6,Paiements!$L$5:$L$2000,"En attente"))</f>
        <v>0</v>
      </c>
      <c r="J6" s="15">
        <f>IF($B6="","",$F6-$H6)</f>
        <v>0</v>
      </c>
      <c r="K6" s="15">
        <f>IF($B6="","",MAX(0,$J6))</f>
        <v>0</v>
      </c>
      <c r="L6" s="15">
        <f>IF($B6="","",MAX(0,-$J6))</f>
        <v>0</v>
      </c>
      <c r="M6" s="25" t="str">
        <f>IF($B6="","",IF(AND($F6=0,$H6=0,$G6=0),"Aucun mouvement",IF($J6&gt;0,"On lui doit",IF($J6&lt;0,"Avancé","Soldé"))))</f>
        <v>Aucun mouvement</v>
      </c>
    </row>
    <row r="7" spans="1:13" x14ac:dyDescent="0.35">
      <c r="A7" t="s">
        <v>183</v>
      </c>
      <c r="B7" s="24" t="s">
        <v>121</v>
      </c>
      <c r="C7" s="24"/>
      <c r="D7" s="15">
        <f>IF($B7="","",COUNTIFS(Dechargements!$C$5:$C$1002,$B7,Dechargements!$H$5:$H$1002,"Fait"))</f>
        <v>0</v>
      </c>
      <c r="E7" s="15">
        <f>IF($B7="","",SUMIFS(Dechargements!$E$5:$E$1002,Dechargements!$C$5:$C$1002,$B7,Dechargements!$H$5:$H$1002,"Fait"))</f>
        <v>0</v>
      </c>
      <c r="F7" s="15">
        <f>IF($B7="","",SUMIFS(Dechargements!$G$5:$G$1002,Dechargements!$C$5:$C$1002,$B7,Dechargements!$H$5:$H$1002,"Fait"))</f>
        <v>0</v>
      </c>
      <c r="G7" s="15">
        <f>IF($B7="","",SUMIFS(Dechargements!$G$5:$G$1002,Dechargements!$C$5:$C$1002,$B7)-$F7-SUMIFS(Dechargements!$G$5:$G$1002,Dechargements!$C$5:$C$1002,$B7,Dechargements!$H$5:$H$1002,"Annulé"))</f>
        <v>0</v>
      </c>
      <c r="H7" s="15">
        <f>IF($B7="","",SUMIFS(Paiements!$I$5:$I$2000,Paiements!$C$5:$C$2000,$B7,Paiements!$L$5:$L$2000,"Payé"))</f>
        <v>0</v>
      </c>
      <c r="I7" s="15">
        <f>IF($B7="","",SUMIFS(Paiements!$I$5:$I$2000,Paiements!$C$5:$C$2000,$B7,Paiements!$L$5:$L$2000,"En attente"))</f>
        <v>0</v>
      </c>
      <c r="J7" s="15">
        <f>IF($B7="","",$F7-$H7)</f>
        <v>0</v>
      </c>
      <c r="K7" s="15">
        <f>IF($B7="","",MAX(0,$J7))</f>
        <v>0</v>
      </c>
      <c r="L7" s="15">
        <f>IF($B7="","",MAX(0,-$J7))</f>
        <v>0</v>
      </c>
      <c r="M7" s="25" t="str">
        <f>IF($B7="","",IF(AND($F7=0,$H7=0,$G7=0),"Aucun mouvement",IF($J7&gt;0,"On lui doit",IF($J7&lt;0,"Avancé","Soldé"))))</f>
        <v>Aucun mouvement</v>
      </c>
    </row>
    <row r="8" spans="1:13" x14ac:dyDescent="0.35">
      <c r="A8" t="s">
        <v>184</v>
      </c>
      <c r="B8" s="24" t="s">
        <v>122</v>
      </c>
      <c r="C8" s="24"/>
      <c r="D8" s="15">
        <f>IF($B8="","",COUNTIFS(Dechargements!$C$5:$C$1002,$B8,Dechargements!$H$5:$H$1002,"Fait"))</f>
        <v>0</v>
      </c>
      <c r="E8" s="15">
        <f>IF($B8="","",SUMIFS(Dechargements!$E$5:$E$1002,Dechargements!$C$5:$C$1002,$B8,Dechargements!$H$5:$H$1002,"Fait"))</f>
        <v>0</v>
      </c>
      <c r="F8" s="15">
        <f>IF($B8="","",SUMIFS(Dechargements!$G$5:$G$1002,Dechargements!$C$5:$C$1002,$B8,Dechargements!$H$5:$H$1002,"Fait"))</f>
        <v>0</v>
      </c>
      <c r="G8" s="15">
        <f>IF($B8="","",SUMIFS(Dechargements!$G$5:$G$1002,Dechargements!$C$5:$C$1002,$B8)-$F8-SUMIFS(Dechargements!$G$5:$G$1002,Dechargements!$C$5:$C$1002,$B8,Dechargements!$H$5:$H$1002,"Annulé"))</f>
        <v>0</v>
      </c>
      <c r="H8" s="15">
        <f>IF($B8="","",SUMIFS(Paiements!$I$5:$I$2000,Paiements!$C$5:$C$2000,$B8,Paiements!$L$5:$L$2000,"Payé"))</f>
        <v>0</v>
      </c>
      <c r="I8" s="15">
        <f>IF($B8="","",SUMIFS(Paiements!$I$5:$I$2000,Paiements!$C$5:$C$2000,$B8,Paiements!$L$5:$L$2000,"En attente"))</f>
        <v>0</v>
      </c>
      <c r="J8" s="15">
        <f>IF($B8="","",$F8-$H8)</f>
        <v>0</v>
      </c>
      <c r="K8" s="15">
        <f>IF($B8="","",MAX(0,$J8))</f>
        <v>0</v>
      </c>
      <c r="L8" s="15">
        <f>IF($B8="","",MAX(0,-$J8))</f>
        <v>0</v>
      </c>
      <c r="M8" s="25" t="str">
        <f>IF($B8="","",IF(AND($F8=0,$H8=0,$G8=0),"Aucun mouvement",IF($J8&gt;0,"On lui doit",IF($J8&lt;0,"Avancé","Soldé"))))</f>
        <v>Aucun mouvement</v>
      </c>
    </row>
    <row r="9" spans="1:13" x14ac:dyDescent="0.35">
      <c r="A9" t="s">
        <v>185</v>
      </c>
      <c r="B9" s="24" t="s">
        <v>123</v>
      </c>
      <c r="C9" s="24"/>
      <c r="D9" s="15">
        <f>IF($B9="","",COUNTIFS(Dechargements!$C$5:$C$1002,$B9,Dechargements!$H$5:$H$1002,"Fait"))</f>
        <v>0</v>
      </c>
      <c r="E9" s="15">
        <f>IF($B9="","",SUMIFS(Dechargements!$E$5:$E$1002,Dechargements!$C$5:$C$1002,$B9,Dechargements!$H$5:$H$1002,"Fait"))</f>
        <v>0</v>
      </c>
      <c r="F9" s="15">
        <f>IF($B9="","",SUMIFS(Dechargements!$G$5:$G$1002,Dechargements!$C$5:$C$1002,$B9,Dechargements!$H$5:$H$1002,"Fait"))</f>
        <v>0</v>
      </c>
      <c r="G9" s="15">
        <f>IF($B9="","",SUMIFS(Dechargements!$G$5:$G$1002,Dechargements!$C$5:$C$1002,$B9)-$F9-SUMIFS(Dechargements!$G$5:$G$1002,Dechargements!$C$5:$C$1002,$B9,Dechargements!$H$5:$H$1002,"Annulé"))</f>
        <v>0</v>
      </c>
      <c r="H9" s="15">
        <f>IF($B9="","",SUMIFS(Paiements!$I$5:$I$2000,Paiements!$C$5:$C$2000,$B9,Paiements!$L$5:$L$2000,"Payé"))</f>
        <v>0</v>
      </c>
      <c r="I9" s="15">
        <f>IF($B9="","",SUMIFS(Paiements!$I$5:$I$2000,Paiements!$C$5:$C$2000,$B9,Paiements!$L$5:$L$2000,"En attente"))</f>
        <v>0</v>
      </c>
      <c r="J9" s="15">
        <f>IF($B9="","",$F9-$H9)</f>
        <v>0</v>
      </c>
      <c r="K9" s="15">
        <f>IF($B9="","",MAX(0,$J9))</f>
        <v>0</v>
      </c>
      <c r="L9" s="15">
        <f>IF($B9="","",MAX(0,-$J9))</f>
        <v>0</v>
      </c>
      <c r="M9" s="25" t="str">
        <f>IF($B9="","",IF(AND($F9=0,$H9=0,$G9=0),"Aucun mouvement",IF($J9&gt;0,"On lui doit",IF($J9&lt;0,"Avancé","Soldé"))))</f>
        <v>Aucun mouvement</v>
      </c>
    </row>
    <row r="10" spans="1:13" x14ac:dyDescent="0.35">
      <c r="A10" t="s">
        <v>186</v>
      </c>
      <c r="B10" s="24" t="s">
        <v>124</v>
      </c>
      <c r="C10" s="24"/>
      <c r="D10" s="15">
        <f>IF($B10="","",COUNTIFS(Dechargements!$C$5:$C$1002,$B10,Dechargements!$H$5:$H$1002,"Fait"))</f>
        <v>0</v>
      </c>
      <c r="E10" s="15">
        <f>IF($B10="","",SUMIFS(Dechargements!$E$5:$E$1002,Dechargements!$C$5:$C$1002,$B10,Dechargements!$H$5:$H$1002,"Fait"))</f>
        <v>0</v>
      </c>
      <c r="F10" s="15">
        <f>IF($B10="","",SUMIFS(Dechargements!$G$5:$G$1002,Dechargements!$C$5:$C$1002,$B10,Dechargements!$H$5:$H$1002,"Fait"))</f>
        <v>0</v>
      </c>
      <c r="G10" s="15">
        <f>IF($B10="","",SUMIFS(Dechargements!$G$5:$G$1002,Dechargements!$C$5:$C$1002,$B10)-$F10-SUMIFS(Dechargements!$G$5:$G$1002,Dechargements!$C$5:$C$1002,$B10,Dechargements!$H$5:$H$1002,"Annulé"))</f>
        <v>0</v>
      </c>
      <c r="H10" s="15">
        <f>IF($B10="","",SUMIFS(Paiements!$I$5:$I$2000,Paiements!$C$5:$C$2000,$B10,Paiements!$L$5:$L$2000,"Payé"))</f>
        <v>0</v>
      </c>
      <c r="I10" s="15">
        <f>IF($B10="","",SUMIFS(Paiements!$I$5:$I$2000,Paiements!$C$5:$C$2000,$B10,Paiements!$L$5:$L$2000,"En attente"))</f>
        <v>0</v>
      </c>
      <c r="J10" s="15">
        <f>IF($B10="","",$F10-$H10)</f>
        <v>0</v>
      </c>
      <c r="K10" s="15">
        <f>IF($B10="","",MAX(0,$J10))</f>
        <v>0</v>
      </c>
      <c r="L10" s="15">
        <f>IF($B10="","",MAX(0,-$J10))</f>
        <v>0</v>
      </c>
      <c r="M10" s="25" t="str">
        <f>IF($B10="","",IF(AND($F10=0,$H10=0,$G10=0),"Aucun mouvement",IF($J10&gt;0,"On lui doit",IF($J10&lt;0,"Avancé","Soldé"))))</f>
        <v>Aucun mouvement</v>
      </c>
    </row>
    <row r="11" spans="1:13" x14ac:dyDescent="0.35">
      <c r="A11" t="s">
        <v>187</v>
      </c>
      <c r="B11" s="24" t="s">
        <v>125</v>
      </c>
      <c r="C11" s="24"/>
      <c r="D11" s="15">
        <f>IF($B11="","",COUNTIFS(Dechargements!$C$5:$C$1002,$B11,Dechargements!$H$5:$H$1002,"Fait"))</f>
        <v>0</v>
      </c>
      <c r="E11" s="15">
        <f>IF($B11="","",SUMIFS(Dechargements!$E$5:$E$1002,Dechargements!$C$5:$C$1002,$B11,Dechargements!$H$5:$H$1002,"Fait"))</f>
        <v>0</v>
      </c>
      <c r="F11" s="15">
        <f>IF($B11="","",SUMIFS(Dechargements!$G$5:$G$1002,Dechargements!$C$5:$C$1002,$B11,Dechargements!$H$5:$H$1002,"Fait"))</f>
        <v>0</v>
      </c>
      <c r="G11" s="15">
        <f>IF($B11="","",SUMIFS(Dechargements!$G$5:$G$1002,Dechargements!$C$5:$C$1002,$B11)-$F11-SUMIFS(Dechargements!$G$5:$G$1002,Dechargements!$C$5:$C$1002,$B11,Dechargements!$H$5:$H$1002,"Annulé"))</f>
        <v>0</v>
      </c>
      <c r="H11" s="15">
        <f>IF($B11="","",SUMIFS(Paiements!$I$5:$I$2000,Paiements!$C$5:$C$2000,$B11,Paiements!$L$5:$L$2000,"Payé"))</f>
        <v>0</v>
      </c>
      <c r="I11" s="15">
        <f>IF($B11="","",SUMIFS(Paiements!$I$5:$I$2000,Paiements!$C$5:$C$2000,$B11,Paiements!$L$5:$L$2000,"En attente"))</f>
        <v>0</v>
      </c>
      <c r="J11" s="15">
        <f>IF($B11="","",$F11-$H11)</f>
        <v>0</v>
      </c>
      <c r="K11" s="15">
        <f>IF($B11="","",MAX(0,$J11))</f>
        <v>0</v>
      </c>
      <c r="L11" s="15">
        <f>IF($B11="","",MAX(0,-$J11))</f>
        <v>0</v>
      </c>
      <c r="M11" s="25" t="str">
        <f>IF($B11="","",IF(AND($F11=0,$H11=0,$G11=0),"Aucun mouvement",IF($J11&gt;0,"On lui doit",IF($J11&lt;0,"Avancé","Soldé"))))</f>
        <v>Aucun mouvement</v>
      </c>
    </row>
    <row r="12" spans="1:13" x14ac:dyDescent="0.35">
      <c r="A12" t="s">
        <v>188</v>
      </c>
      <c r="B12" s="24" t="s">
        <v>126</v>
      </c>
      <c r="C12" s="24"/>
      <c r="D12" s="15">
        <f>IF($B12="","",COUNTIFS(Dechargements!$C$5:$C$1002,$B12,Dechargements!$H$5:$H$1002,"Fait"))</f>
        <v>0</v>
      </c>
      <c r="E12" s="15">
        <f>IF($B12="","",SUMIFS(Dechargements!$E$5:$E$1002,Dechargements!$C$5:$C$1002,$B12,Dechargements!$H$5:$H$1002,"Fait"))</f>
        <v>0</v>
      </c>
      <c r="F12" s="15">
        <f>IF($B12="","",SUMIFS(Dechargements!$G$5:$G$1002,Dechargements!$C$5:$C$1002,$B12,Dechargements!$H$5:$H$1002,"Fait"))</f>
        <v>0</v>
      </c>
      <c r="G12" s="15">
        <f>IF($B12="","",SUMIFS(Dechargements!$G$5:$G$1002,Dechargements!$C$5:$C$1002,$B12)-$F12-SUMIFS(Dechargements!$G$5:$G$1002,Dechargements!$C$5:$C$1002,$B12,Dechargements!$H$5:$H$1002,"Annulé"))</f>
        <v>0</v>
      </c>
      <c r="H12" s="15">
        <f>IF($B12="","",SUMIFS(Paiements!$I$5:$I$2000,Paiements!$C$5:$C$2000,$B12,Paiements!$L$5:$L$2000,"Payé"))</f>
        <v>0</v>
      </c>
      <c r="I12" s="15">
        <f>IF($B12="","",SUMIFS(Paiements!$I$5:$I$2000,Paiements!$C$5:$C$2000,$B12,Paiements!$L$5:$L$2000,"En attente"))</f>
        <v>0</v>
      </c>
      <c r="J12" s="15">
        <f>IF($B12="","",$F12-$H12)</f>
        <v>0</v>
      </c>
      <c r="K12" s="15">
        <f>IF($B12="","",MAX(0,$J12))</f>
        <v>0</v>
      </c>
      <c r="L12" s="15">
        <f>IF($B12="","",MAX(0,-$J12))</f>
        <v>0</v>
      </c>
      <c r="M12" s="25" t="str">
        <f>IF($B12="","",IF(AND($F12=0,$H12=0,$G12=0),"Aucun mouvement",IF($J12&gt;0,"On lui doit",IF($J12&lt;0,"Avancé","Soldé"))))</f>
        <v>Aucun mouvement</v>
      </c>
    </row>
    <row r="13" spans="1:13" x14ac:dyDescent="0.35">
      <c r="A13" t="s">
        <v>189</v>
      </c>
      <c r="B13" s="24" t="s">
        <v>127</v>
      </c>
      <c r="C13" s="24"/>
      <c r="D13" s="15">
        <f>IF($B13="","",COUNTIFS(Dechargements!$C$5:$C$1002,$B13,Dechargements!$H$5:$H$1002,"Fait"))</f>
        <v>0</v>
      </c>
      <c r="E13" s="15">
        <f>IF($B13="","",SUMIFS(Dechargements!$E$5:$E$1002,Dechargements!$C$5:$C$1002,$B13,Dechargements!$H$5:$H$1002,"Fait"))</f>
        <v>0</v>
      </c>
      <c r="F13" s="15">
        <f>IF($B13="","",SUMIFS(Dechargements!$G$5:$G$1002,Dechargements!$C$5:$C$1002,$B13,Dechargements!$H$5:$H$1002,"Fait"))</f>
        <v>0</v>
      </c>
      <c r="G13" s="15">
        <f>IF($B13="","",SUMIFS(Dechargements!$G$5:$G$1002,Dechargements!$C$5:$C$1002,$B13)-$F13-SUMIFS(Dechargements!$G$5:$G$1002,Dechargements!$C$5:$C$1002,$B13,Dechargements!$H$5:$H$1002,"Annulé"))</f>
        <v>0</v>
      </c>
      <c r="H13" s="15">
        <f>IF($B13="","",SUMIFS(Paiements!$I$5:$I$2000,Paiements!$C$5:$C$2000,$B13,Paiements!$L$5:$L$2000,"Payé"))</f>
        <v>0</v>
      </c>
      <c r="I13" s="15">
        <f>IF($B13="","",SUMIFS(Paiements!$I$5:$I$2000,Paiements!$C$5:$C$2000,$B13,Paiements!$L$5:$L$2000,"En attente"))</f>
        <v>0</v>
      </c>
      <c r="J13" s="15">
        <f>IF($B13="","",$F13-$H13)</f>
        <v>0</v>
      </c>
      <c r="K13" s="15">
        <f>IF($B13="","",MAX(0,$J13))</f>
        <v>0</v>
      </c>
      <c r="L13" s="15">
        <f>IF($B13="","",MAX(0,-$J13))</f>
        <v>0</v>
      </c>
      <c r="M13" s="25" t="str">
        <f>IF($B13="","",IF(AND($F13=0,$H13=0,$G13=0),"Aucun mouvement",IF($J13&gt;0,"On lui doit",IF($J13&lt;0,"Avancé","Soldé"))))</f>
        <v>Aucun mouvement</v>
      </c>
    </row>
    <row r="14" spans="1:13" x14ac:dyDescent="0.35">
      <c r="A14" t="s">
        <v>190</v>
      </c>
      <c r="B14" s="24" t="s">
        <v>128</v>
      </c>
      <c r="C14" s="24"/>
      <c r="D14" s="15">
        <f>IF($B14="","",COUNTIFS(Dechargements!$C$5:$C$1002,$B14,Dechargements!$H$5:$H$1002,"Fait"))</f>
        <v>0</v>
      </c>
      <c r="E14" s="15">
        <f>IF($B14="","",SUMIFS(Dechargements!$E$5:$E$1002,Dechargements!$C$5:$C$1002,$B14,Dechargements!$H$5:$H$1002,"Fait"))</f>
        <v>0</v>
      </c>
      <c r="F14" s="15">
        <f>IF($B14="","",SUMIFS(Dechargements!$G$5:$G$1002,Dechargements!$C$5:$C$1002,$B14,Dechargements!$H$5:$H$1002,"Fait"))</f>
        <v>0</v>
      </c>
      <c r="G14" s="15">
        <f>IF($B14="","",SUMIFS(Dechargements!$G$5:$G$1002,Dechargements!$C$5:$C$1002,$B14)-$F14-SUMIFS(Dechargements!$G$5:$G$1002,Dechargements!$C$5:$C$1002,$B14,Dechargements!$H$5:$H$1002,"Annulé"))</f>
        <v>0</v>
      </c>
      <c r="H14" s="15">
        <f>IF($B14="","",SUMIFS(Paiements!$I$5:$I$2000,Paiements!$C$5:$C$2000,$B14,Paiements!$L$5:$L$2000,"Payé"))</f>
        <v>0</v>
      </c>
      <c r="I14" s="15">
        <f>IF($B14="","",SUMIFS(Paiements!$I$5:$I$2000,Paiements!$C$5:$C$2000,$B14,Paiements!$L$5:$L$2000,"En attente"))</f>
        <v>0</v>
      </c>
      <c r="J14" s="15">
        <f>IF($B14="","",$F14-$H14)</f>
        <v>0</v>
      </c>
      <c r="K14" s="15">
        <f>IF($B14="","",MAX(0,$J14))</f>
        <v>0</v>
      </c>
      <c r="L14" s="15">
        <f>IF($B14="","",MAX(0,-$J14))</f>
        <v>0</v>
      </c>
      <c r="M14" s="25" t="str">
        <f>IF($B14="","",IF(AND($F14=0,$H14=0,$G14=0),"Aucun mouvement",IF($J14&gt;0,"On lui doit",IF($J14&lt;0,"Avancé","Soldé"))))</f>
        <v>Aucun mouvement</v>
      </c>
    </row>
    <row r="15" spans="1:13" x14ac:dyDescent="0.35">
      <c r="A15" t="s">
        <v>191</v>
      </c>
      <c r="B15" s="24" t="s">
        <v>129</v>
      </c>
      <c r="C15" s="24"/>
      <c r="D15" s="15">
        <f>IF($B15="","",COUNTIFS(Dechargements!$C$5:$C$1002,$B15,Dechargements!$H$5:$H$1002,"Fait"))</f>
        <v>0</v>
      </c>
      <c r="E15" s="15">
        <f>IF($B15="","",SUMIFS(Dechargements!$E$5:$E$1002,Dechargements!$C$5:$C$1002,$B15,Dechargements!$H$5:$H$1002,"Fait"))</f>
        <v>0</v>
      </c>
      <c r="F15" s="15">
        <f>IF($B15="","",SUMIFS(Dechargements!$G$5:$G$1002,Dechargements!$C$5:$C$1002,$B15,Dechargements!$H$5:$H$1002,"Fait"))</f>
        <v>0</v>
      </c>
      <c r="G15" s="15">
        <f>IF($B15="","",SUMIFS(Dechargements!$G$5:$G$1002,Dechargements!$C$5:$C$1002,$B15)-$F15-SUMIFS(Dechargements!$G$5:$G$1002,Dechargements!$C$5:$C$1002,$B15,Dechargements!$H$5:$H$1002,"Annulé"))</f>
        <v>0</v>
      </c>
      <c r="H15" s="15">
        <f>IF($B15="","",SUMIFS(Paiements!$I$5:$I$2000,Paiements!$C$5:$C$2000,$B15,Paiements!$L$5:$L$2000,"Payé"))</f>
        <v>0</v>
      </c>
      <c r="I15" s="15">
        <f>IF($B15="","",SUMIFS(Paiements!$I$5:$I$2000,Paiements!$C$5:$C$2000,$B15,Paiements!$L$5:$L$2000,"En attente"))</f>
        <v>0</v>
      </c>
      <c r="J15" s="15">
        <f>IF($B15="","",$F15-$H15)</f>
        <v>0</v>
      </c>
      <c r="K15" s="15">
        <f>IF($B15="","",MAX(0,$J15))</f>
        <v>0</v>
      </c>
      <c r="L15" s="15">
        <f>IF($B15="","",MAX(0,-$J15))</f>
        <v>0</v>
      </c>
      <c r="M15" s="25" t="str">
        <f>IF($B15="","",IF(AND($F15=0,$H15=0,$G15=0),"Aucun mouvement",IF($J15&gt;0,"On lui doit",IF($J15&lt;0,"Avancé","Soldé"))))</f>
        <v>Aucun mouvement</v>
      </c>
    </row>
    <row r="16" spans="1:13" x14ac:dyDescent="0.35">
      <c r="A16" t="s">
        <v>192</v>
      </c>
      <c r="B16" s="24" t="s">
        <v>130</v>
      </c>
      <c r="C16" s="24"/>
      <c r="D16" s="15">
        <f>IF($B16="","",COUNTIFS(Dechargements!$C$5:$C$1002,$B16,Dechargements!$H$5:$H$1002,"Fait"))</f>
        <v>0</v>
      </c>
      <c r="E16" s="15">
        <f>IF($B16="","",SUMIFS(Dechargements!$E$5:$E$1002,Dechargements!$C$5:$C$1002,$B16,Dechargements!$H$5:$H$1002,"Fait"))</f>
        <v>0</v>
      </c>
      <c r="F16" s="15">
        <f>IF($B16="","",SUMIFS(Dechargements!$G$5:$G$1002,Dechargements!$C$5:$C$1002,$B16,Dechargements!$H$5:$H$1002,"Fait"))</f>
        <v>0</v>
      </c>
      <c r="G16" s="15">
        <f>IF($B16="","",SUMIFS(Dechargements!$G$5:$G$1002,Dechargements!$C$5:$C$1002,$B16)-$F16-SUMIFS(Dechargements!$G$5:$G$1002,Dechargements!$C$5:$C$1002,$B16,Dechargements!$H$5:$H$1002,"Annulé"))</f>
        <v>0</v>
      </c>
      <c r="H16" s="15">
        <f>IF($B16="","",SUMIFS(Paiements!$I$5:$I$2000,Paiements!$C$5:$C$2000,$B16,Paiements!$L$5:$L$2000,"Payé"))</f>
        <v>0</v>
      </c>
      <c r="I16" s="15">
        <f>IF($B16="","",SUMIFS(Paiements!$I$5:$I$2000,Paiements!$C$5:$C$2000,$B16,Paiements!$L$5:$L$2000,"En attente"))</f>
        <v>0</v>
      </c>
      <c r="J16" s="15">
        <f>IF($B16="","",$F16-$H16)</f>
        <v>0</v>
      </c>
      <c r="K16" s="15">
        <f>IF($B16="","",MAX(0,$J16))</f>
        <v>0</v>
      </c>
      <c r="L16" s="15">
        <f>IF($B16="","",MAX(0,-$J16))</f>
        <v>0</v>
      </c>
      <c r="M16" s="25" t="str">
        <f>IF($B16="","",IF(AND($F16=0,$H16=0,$G16=0),"Aucun mouvement",IF($J16&gt;0,"On lui doit",IF($J16&lt;0,"Avancé","Soldé"))))</f>
        <v>Aucun mouvement</v>
      </c>
    </row>
    <row r="17" spans="1:13" x14ac:dyDescent="0.35">
      <c r="A17" t="s">
        <v>193</v>
      </c>
      <c r="B17" s="24" t="s">
        <v>131</v>
      </c>
      <c r="C17" s="24"/>
      <c r="D17" s="15">
        <f>IF($B17="","",COUNTIFS(Dechargements!$C$5:$C$1002,$B17,Dechargements!$H$5:$H$1002,"Fait"))</f>
        <v>0</v>
      </c>
      <c r="E17" s="15">
        <f>IF($B17="","",SUMIFS(Dechargements!$E$5:$E$1002,Dechargements!$C$5:$C$1002,$B17,Dechargements!$H$5:$H$1002,"Fait"))</f>
        <v>0</v>
      </c>
      <c r="F17" s="15">
        <f>IF($B17="","",SUMIFS(Dechargements!$G$5:$G$1002,Dechargements!$C$5:$C$1002,$B17,Dechargements!$H$5:$H$1002,"Fait"))</f>
        <v>0</v>
      </c>
      <c r="G17" s="15">
        <f>IF($B17="","",SUMIFS(Dechargements!$G$5:$G$1002,Dechargements!$C$5:$C$1002,$B17)-$F17-SUMIFS(Dechargements!$G$5:$G$1002,Dechargements!$C$5:$C$1002,$B17,Dechargements!$H$5:$H$1002,"Annulé"))</f>
        <v>0</v>
      </c>
      <c r="H17" s="15">
        <f>IF($B17="","",SUMIFS(Paiements!$I$5:$I$2000,Paiements!$C$5:$C$2000,$B17,Paiements!$L$5:$L$2000,"Payé"))</f>
        <v>0</v>
      </c>
      <c r="I17" s="15">
        <f>IF($B17="","",SUMIFS(Paiements!$I$5:$I$2000,Paiements!$C$5:$C$2000,$B17,Paiements!$L$5:$L$2000,"En attente"))</f>
        <v>0</v>
      </c>
      <c r="J17" s="15">
        <f>IF($B17="","",$F17-$H17)</f>
        <v>0</v>
      </c>
      <c r="K17" s="15">
        <f>IF($B17="","",MAX(0,$J17))</f>
        <v>0</v>
      </c>
      <c r="L17" s="15">
        <f>IF($B17="","",MAX(0,-$J17))</f>
        <v>0</v>
      </c>
      <c r="M17" s="25" t="str">
        <f>IF($B17="","",IF(AND($F17=0,$H17=0,$G17=0),"Aucun mouvement",IF($J17&gt;0,"On lui doit",IF($J17&lt;0,"Avancé","Soldé"))))</f>
        <v>Aucun mouvement</v>
      </c>
    </row>
    <row r="18" spans="1:13" x14ac:dyDescent="0.35">
      <c r="A18" t="s">
        <v>194</v>
      </c>
      <c r="B18" s="24" t="s">
        <v>132</v>
      </c>
      <c r="C18" s="24"/>
      <c r="D18" s="15">
        <f>IF($B18="","",COUNTIFS(Dechargements!$C$5:$C$1002,$B18,Dechargements!$H$5:$H$1002,"Fait"))</f>
        <v>0</v>
      </c>
      <c r="E18" s="15">
        <f>IF($B18="","",SUMIFS(Dechargements!$E$5:$E$1002,Dechargements!$C$5:$C$1002,$B18,Dechargements!$H$5:$H$1002,"Fait"))</f>
        <v>0</v>
      </c>
      <c r="F18" s="15">
        <f>IF($B18="","",SUMIFS(Dechargements!$G$5:$G$1002,Dechargements!$C$5:$C$1002,$B18,Dechargements!$H$5:$H$1002,"Fait"))</f>
        <v>0</v>
      </c>
      <c r="G18" s="15">
        <f>IF($B18="","",SUMIFS(Dechargements!$G$5:$G$1002,Dechargements!$C$5:$C$1002,$B18)-$F18-SUMIFS(Dechargements!$G$5:$G$1002,Dechargements!$C$5:$C$1002,$B18,Dechargements!$H$5:$H$1002,"Annulé"))</f>
        <v>0</v>
      </c>
      <c r="H18" s="15">
        <f>IF($B18="","",SUMIFS(Paiements!$I$5:$I$2000,Paiements!$C$5:$C$2000,$B18,Paiements!$L$5:$L$2000,"Payé"))</f>
        <v>0</v>
      </c>
      <c r="I18" s="15">
        <f>IF($B18="","",SUMIFS(Paiements!$I$5:$I$2000,Paiements!$C$5:$C$2000,$B18,Paiements!$L$5:$L$2000,"En attente"))</f>
        <v>0</v>
      </c>
      <c r="J18" s="15">
        <f>IF($B18="","",$F18-$H18)</f>
        <v>0</v>
      </c>
      <c r="K18" s="15">
        <f>IF($B18="","",MAX(0,$J18))</f>
        <v>0</v>
      </c>
      <c r="L18" s="15">
        <f>IF($B18="","",MAX(0,-$J18))</f>
        <v>0</v>
      </c>
      <c r="M18" s="25" t="str">
        <f>IF($B18="","",IF(AND($F18=0,$H18=0,$G18=0),"Aucun mouvement",IF($J18&gt;0,"On lui doit",IF($J18&lt;0,"Avancé","Soldé"))))</f>
        <v>Aucun mouvement</v>
      </c>
    </row>
    <row r="19" spans="1:13" x14ac:dyDescent="0.35">
      <c r="A19" t="s">
        <v>195</v>
      </c>
      <c r="B19" s="24" t="s">
        <v>133</v>
      </c>
      <c r="C19" s="24"/>
      <c r="D19" s="15">
        <f>IF($B19="","",COUNTIFS(Dechargements!$C$5:$C$1002,$B19,Dechargements!$H$5:$H$1002,"Fait"))</f>
        <v>0</v>
      </c>
      <c r="E19" s="15">
        <f>IF($B19="","",SUMIFS(Dechargements!$E$5:$E$1002,Dechargements!$C$5:$C$1002,$B19,Dechargements!$H$5:$H$1002,"Fait"))</f>
        <v>0</v>
      </c>
      <c r="F19" s="15">
        <f>IF($B19="","",SUMIFS(Dechargements!$G$5:$G$1002,Dechargements!$C$5:$C$1002,$B19,Dechargements!$H$5:$H$1002,"Fait"))</f>
        <v>0</v>
      </c>
      <c r="G19" s="15">
        <f>IF($B19="","",SUMIFS(Dechargements!$G$5:$G$1002,Dechargements!$C$5:$C$1002,$B19)-$F19-SUMIFS(Dechargements!$G$5:$G$1002,Dechargements!$C$5:$C$1002,$B19,Dechargements!$H$5:$H$1002,"Annulé"))</f>
        <v>0</v>
      </c>
      <c r="H19" s="15">
        <f>IF($B19="","",SUMIFS(Paiements!$I$5:$I$2000,Paiements!$C$5:$C$2000,$B19,Paiements!$L$5:$L$2000,"Payé"))</f>
        <v>0</v>
      </c>
      <c r="I19" s="15">
        <f>IF($B19="","",SUMIFS(Paiements!$I$5:$I$2000,Paiements!$C$5:$C$2000,$B19,Paiements!$L$5:$L$2000,"En attente"))</f>
        <v>0</v>
      </c>
      <c r="J19" s="15">
        <f>IF($B19="","",$F19-$H19)</f>
        <v>0</v>
      </c>
      <c r="K19" s="15">
        <f>IF($B19="","",MAX(0,$J19))</f>
        <v>0</v>
      </c>
      <c r="L19" s="15">
        <f>IF($B19="","",MAX(0,-$J19))</f>
        <v>0</v>
      </c>
      <c r="M19" s="25" t="str">
        <f>IF($B19="","",IF(AND($F19=0,$H19=0,$G19=0),"Aucun mouvement",IF($J19&gt;0,"On lui doit",IF($J19&lt;0,"Avancé","Soldé"))))</f>
        <v>Aucun mouvement</v>
      </c>
    </row>
    <row r="20" spans="1:13" x14ac:dyDescent="0.35">
      <c r="A20" t="s">
        <v>196</v>
      </c>
      <c r="B20" s="24" t="s">
        <v>134</v>
      </c>
      <c r="C20" s="24"/>
      <c r="D20" s="15">
        <f>IF($B20="","",COUNTIFS(Dechargements!$C$5:$C$1002,$B20,Dechargements!$H$5:$H$1002,"Fait"))</f>
        <v>0</v>
      </c>
      <c r="E20" s="15">
        <f>IF($B20="","",SUMIFS(Dechargements!$E$5:$E$1002,Dechargements!$C$5:$C$1002,$B20,Dechargements!$H$5:$H$1002,"Fait"))</f>
        <v>0</v>
      </c>
      <c r="F20" s="15">
        <f>IF($B20="","",SUMIFS(Dechargements!$G$5:$G$1002,Dechargements!$C$5:$C$1002,$B20,Dechargements!$H$5:$H$1002,"Fait"))</f>
        <v>0</v>
      </c>
      <c r="G20" s="15">
        <f>IF($B20="","",SUMIFS(Dechargements!$G$5:$G$1002,Dechargements!$C$5:$C$1002,$B20)-$F20-SUMIFS(Dechargements!$G$5:$G$1002,Dechargements!$C$5:$C$1002,$B20,Dechargements!$H$5:$H$1002,"Annulé"))</f>
        <v>0</v>
      </c>
      <c r="H20" s="15">
        <f>IF($B20="","",SUMIFS(Paiements!$I$5:$I$2000,Paiements!$C$5:$C$2000,$B20,Paiements!$L$5:$L$2000,"Payé"))</f>
        <v>0</v>
      </c>
      <c r="I20" s="15">
        <f>IF($B20="","",SUMIFS(Paiements!$I$5:$I$2000,Paiements!$C$5:$C$2000,$B20,Paiements!$L$5:$L$2000,"En attente"))</f>
        <v>0</v>
      </c>
      <c r="J20" s="15">
        <f>IF($B20="","",$F20-$H20)</f>
        <v>0</v>
      </c>
      <c r="K20" s="15">
        <f>IF($B20="","",MAX(0,$J20))</f>
        <v>0</v>
      </c>
      <c r="L20" s="15">
        <f>IF($B20="","",MAX(0,-$J20))</f>
        <v>0</v>
      </c>
      <c r="M20" s="25" t="str">
        <f>IF($B20="","",IF(AND($F20=0,$H20=0,$G20=0),"Aucun mouvement",IF($J20&gt;0,"On lui doit",IF($J20&lt;0,"Avancé","Soldé"))))</f>
        <v>Aucun mouvement</v>
      </c>
    </row>
    <row r="21" spans="1:13" x14ac:dyDescent="0.35">
      <c r="A21" t="s">
        <v>197</v>
      </c>
      <c r="B21" s="24" t="s">
        <v>135</v>
      </c>
      <c r="C21" s="24"/>
      <c r="D21" s="15">
        <f>IF($B21="","",COUNTIFS(Dechargements!$C$5:$C$1002,$B21,Dechargements!$H$5:$H$1002,"Fait"))</f>
        <v>0</v>
      </c>
      <c r="E21" s="15">
        <f>IF($B21="","",SUMIFS(Dechargements!$E$5:$E$1002,Dechargements!$C$5:$C$1002,$B21,Dechargements!$H$5:$H$1002,"Fait"))</f>
        <v>0</v>
      </c>
      <c r="F21" s="15">
        <f>IF($B21="","",SUMIFS(Dechargements!$G$5:$G$1002,Dechargements!$C$5:$C$1002,$B21,Dechargements!$H$5:$H$1002,"Fait"))</f>
        <v>0</v>
      </c>
      <c r="G21" s="15">
        <f>IF($B21="","",SUMIFS(Dechargements!$G$5:$G$1002,Dechargements!$C$5:$C$1002,$B21)-$F21-SUMIFS(Dechargements!$G$5:$G$1002,Dechargements!$C$5:$C$1002,$B21,Dechargements!$H$5:$H$1002,"Annulé"))</f>
        <v>0</v>
      </c>
      <c r="H21" s="15">
        <f>IF($B21="","",SUMIFS(Paiements!$I$5:$I$2000,Paiements!$C$5:$C$2000,$B21,Paiements!$L$5:$L$2000,"Payé"))</f>
        <v>0</v>
      </c>
      <c r="I21" s="15">
        <f>IF($B21="","",SUMIFS(Paiements!$I$5:$I$2000,Paiements!$C$5:$C$2000,$B21,Paiements!$L$5:$L$2000,"En attente"))</f>
        <v>0</v>
      </c>
      <c r="J21" s="15">
        <f>IF($B21="","",$F21-$H21)</f>
        <v>0</v>
      </c>
      <c r="K21" s="15">
        <f>IF($B21="","",MAX(0,$J21))</f>
        <v>0</v>
      </c>
      <c r="L21" s="15">
        <f>IF($B21="","",MAX(0,-$J21))</f>
        <v>0</v>
      </c>
      <c r="M21" s="25" t="str">
        <f>IF($B21="","",IF(AND($F21=0,$H21=0,$G21=0),"Aucun mouvement",IF($J21&gt;0,"On lui doit",IF($J21&lt;0,"Avancé","Soldé"))))</f>
        <v>Aucun mouvement</v>
      </c>
    </row>
    <row r="22" spans="1:13" x14ac:dyDescent="0.35">
      <c r="A22" t="s">
        <v>198</v>
      </c>
      <c r="B22" s="24" t="s">
        <v>136</v>
      </c>
      <c r="C22" s="24"/>
      <c r="D22" s="15">
        <f>IF($B22="","",COUNTIFS(Dechargements!$C$5:$C$1002,$B22,Dechargements!$H$5:$H$1002,"Fait"))</f>
        <v>0</v>
      </c>
      <c r="E22" s="15">
        <f>IF($B22="","",SUMIFS(Dechargements!$E$5:$E$1002,Dechargements!$C$5:$C$1002,$B22,Dechargements!$H$5:$H$1002,"Fait"))</f>
        <v>0</v>
      </c>
      <c r="F22" s="15">
        <f>IF($B22="","",SUMIFS(Dechargements!$G$5:$G$1002,Dechargements!$C$5:$C$1002,$B22,Dechargements!$H$5:$H$1002,"Fait"))</f>
        <v>0</v>
      </c>
      <c r="G22" s="15">
        <f>IF($B22="","",SUMIFS(Dechargements!$G$5:$G$1002,Dechargements!$C$5:$C$1002,$B22)-$F22-SUMIFS(Dechargements!$G$5:$G$1002,Dechargements!$C$5:$C$1002,$B22,Dechargements!$H$5:$H$1002,"Annulé"))</f>
        <v>0</v>
      </c>
      <c r="H22" s="15">
        <f>IF($B22="","",SUMIFS(Paiements!$I$5:$I$2000,Paiements!$C$5:$C$2000,$B22,Paiements!$L$5:$L$2000,"Payé"))</f>
        <v>0</v>
      </c>
      <c r="I22" s="15">
        <f>IF($B22="","",SUMIFS(Paiements!$I$5:$I$2000,Paiements!$C$5:$C$2000,$B22,Paiements!$L$5:$L$2000,"En attente"))</f>
        <v>0</v>
      </c>
      <c r="J22" s="15">
        <f>IF($B22="","",$F22-$H22)</f>
        <v>0</v>
      </c>
      <c r="K22" s="15">
        <f>IF($B22="","",MAX(0,$J22))</f>
        <v>0</v>
      </c>
      <c r="L22" s="15">
        <f>IF($B22="","",MAX(0,-$J22))</f>
        <v>0</v>
      </c>
      <c r="M22" s="25" t="str">
        <f>IF($B22="","",IF(AND($F22=0,$H22=0,$G22=0),"Aucun mouvement",IF($J22&gt;0,"On lui doit",IF($J22&lt;0,"Avancé","Soldé"))))</f>
        <v>Aucun mouvement</v>
      </c>
    </row>
    <row r="23" spans="1:13" x14ac:dyDescent="0.35">
      <c r="A23" t="s">
        <v>199</v>
      </c>
      <c r="B23" s="24" t="s">
        <v>137</v>
      </c>
      <c r="C23" s="24"/>
      <c r="D23" s="15">
        <f>IF($B23="","",COUNTIFS(Dechargements!$C$5:$C$1002,$B23,Dechargements!$H$5:$H$1002,"Fait"))</f>
        <v>0</v>
      </c>
      <c r="E23" s="15">
        <f>IF($B23="","",SUMIFS(Dechargements!$E$5:$E$1002,Dechargements!$C$5:$C$1002,$B23,Dechargements!$H$5:$H$1002,"Fait"))</f>
        <v>0</v>
      </c>
      <c r="F23" s="15">
        <f>IF($B23="","",SUMIFS(Dechargements!$G$5:$G$1002,Dechargements!$C$5:$C$1002,$B23,Dechargements!$H$5:$H$1002,"Fait"))</f>
        <v>0</v>
      </c>
      <c r="G23" s="15">
        <f>IF($B23="","",SUMIFS(Dechargements!$G$5:$G$1002,Dechargements!$C$5:$C$1002,$B23)-$F23-SUMIFS(Dechargements!$G$5:$G$1002,Dechargements!$C$5:$C$1002,$B23,Dechargements!$H$5:$H$1002,"Annulé"))</f>
        <v>0</v>
      </c>
      <c r="H23" s="15">
        <f>IF($B23="","",SUMIFS(Paiements!$I$5:$I$2000,Paiements!$C$5:$C$2000,$B23,Paiements!$L$5:$L$2000,"Payé"))</f>
        <v>0</v>
      </c>
      <c r="I23" s="15">
        <f>IF($B23="","",SUMIFS(Paiements!$I$5:$I$2000,Paiements!$C$5:$C$2000,$B23,Paiements!$L$5:$L$2000,"En attente"))</f>
        <v>0</v>
      </c>
      <c r="J23" s="15">
        <f>IF($B23="","",$F23-$H23)</f>
        <v>0</v>
      </c>
      <c r="K23" s="15">
        <f>IF($B23="","",MAX(0,$J23))</f>
        <v>0</v>
      </c>
      <c r="L23" s="15">
        <f>IF($B23="","",MAX(0,-$J23))</f>
        <v>0</v>
      </c>
      <c r="M23" s="25" t="str">
        <f>IF($B23="","",IF(AND($F23=0,$H23=0,$G23=0),"Aucun mouvement",IF($J23&gt;0,"On lui doit",IF($J23&lt;0,"Avancé","Soldé"))))</f>
        <v>Aucun mouvement</v>
      </c>
    </row>
    <row r="24" spans="1:13" x14ac:dyDescent="0.35">
      <c r="A24" t="s">
        <v>200</v>
      </c>
      <c r="B24" s="24" t="s">
        <v>138</v>
      </c>
      <c r="C24" s="24"/>
      <c r="D24" s="15">
        <f>IF($B24="","",COUNTIFS(Dechargements!$C$5:$C$1002,$B24,Dechargements!$H$5:$H$1002,"Fait"))</f>
        <v>0</v>
      </c>
      <c r="E24" s="15">
        <f>IF($B24="","",SUMIFS(Dechargements!$E$5:$E$1002,Dechargements!$C$5:$C$1002,$B24,Dechargements!$H$5:$H$1002,"Fait"))</f>
        <v>0</v>
      </c>
      <c r="F24" s="15">
        <f>IF($B24="","",SUMIFS(Dechargements!$G$5:$G$1002,Dechargements!$C$5:$C$1002,$B24,Dechargements!$H$5:$H$1002,"Fait"))</f>
        <v>0</v>
      </c>
      <c r="G24" s="15">
        <f>IF($B24="","",SUMIFS(Dechargements!$G$5:$G$1002,Dechargements!$C$5:$C$1002,$B24)-$F24-SUMIFS(Dechargements!$G$5:$G$1002,Dechargements!$C$5:$C$1002,$B24,Dechargements!$H$5:$H$1002,"Annulé"))</f>
        <v>0</v>
      </c>
      <c r="H24" s="15">
        <f>IF($B24="","",SUMIFS(Paiements!$I$5:$I$2000,Paiements!$C$5:$C$2000,$B24,Paiements!$L$5:$L$2000,"Payé"))</f>
        <v>0</v>
      </c>
      <c r="I24" s="15">
        <f>IF($B24="","",SUMIFS(Paiements!$I$5:$I$2000,Paiements!$C$5:$C$2000,$B24,Paiements!$L$5:$L$2000,"En attente"))</f>
        <v>0</v>
      </c>
      <c r="J24" s="15">
        <f>IF($B24="","",$F24-$H24)</f>
        <v>0</v>
      </c>
      <c r="K24" s="15">
        <f>IF($B24="","",MAX(0,$J24))</f>
        <v>0</v>
      </c>
      <c r="L24" s="15">
        <f>IF($B24="","",MAX(0,-$J24))</f>
        <v>0</v>
      </c>
      <c r="M24" s="25" t="str">
        <f>IF($B24="","",IF(AND($F24=0,$H24=0,$G24=0),"Aucun mouvement",IF($J24&gt;0,"On lui doit",IF($J24&lt;0,"Avancé","Soldé"))))</f>
        <v>Aucun mouvement</v>
      </c>
    </row>
    <row r="25" spans="1:13" x14ac:dyDescent="0.35">
      <c r="A25" t="s">
        <v>201</v>
      </c>
      <c r="B25" s="24" t="s">
        <v>139</v>
      </c>
      <c r="C25" s="24"/>
      <c r="D25" s="15">
        <f>IF($B25="","",COUNTIFS(Dechargements!$C$5:$C$1002,$B25,Dechargements!$H$5:$H$1002,"Fait"))</f>
        <v>0</v>
      </c>
      <c r="E25" s="15">
        <f>IF($B25="","",SUMIFS(Dechargements!$E$5:$E$1002,Dechargements!$C$5:$C$1002,$B25,Dechargements!$H$5:$H$1002,"Fait"))</f>
        <v>0</v>
      </c>
      <c r="F25" s="15">
        <f>IF($B25="","",SUMIFS(Dechargements!$G$5:$G$1002,Dechargements!$C$5:$C$1002,$B25,Dechargements!$H$5:$H$1002,"Fait"))</f>
        <v>0</v>
      </c>
      <c r="G25" s="15">
        <f>IF($B25="","",SUMIFS(Dechargements!$G$5:$G$1002,Dechargements!$C$5:$C$1002,$B25)-$F25-SUMIFS(Dechargements!$G$5:$G$1002,Dechargements!$C$5:$C$1002,$B25,Dechargements!$H$5:$H$1002,"Annulé"))</f>
        <v>0</v>
      </c>
      <c r="H25" s="15">
        <f>IF($B25="","",SUMIFS(Paiements!$I$5:$I$2000,Paiements!$C$5:$C$2000,$B25,Paiements!$L$5:$L$2000,"Payé"))</f>
        <v>0</v>
      </c>
      <c r="I25" s="15">
        <f>IF($B25="","",SUMIFS(Paiements!$I$5:$I$2000,Paiements!$C$5:$C$2000,$B25,Paiements!$L$5:$L$2000,"En attente"))</f>
        <v>0</v>
      </c>
      <c r="J25" s="15">
        <f>IF($B25="","",$F25-$H25)</f>
        <v>0</v>
      </c>
      <c r="K25" s="15">
        <f>IF($B25="","",MAX(0,$J25))</f>
        <v>0</v>
      </c>
      <c r="L25" s="15">
        <f>IF($B25="","",MAX(0,-$J25))</f>
        <v>0</v>
      </c>
      <c r="M25" s="25" t="str">
        <f>IF($B25="","",IF(AND($F25=0,$H25=0,$G25=0),"Aucun mouvement",IF($J25&gt;0,"On lui doit",IF($J25&lt;0,"Avancé","Soldé"))))</f>
        <v>Aucun mouvement</v>
      </c>
    </row>
    <row r="26" spans="1:13" x14ac:dyDescent="0.35">
      <c r="A26" t="s">
        <v>202</v>
      </c>
      <c r="B26" s="24" t="s">
        <v>140</v>
      </c>
      <c r="C26" s="24"/>
      <c r="D26" s="15">
        <f>IF($B26="","",COUNTIFS(Dechargements!$C$5:$C$1002,$B26,Dechargements!$H$5:$H$1002,"Fait"))</f>
        <v>0</v>
      </c>
      <c r="E26" s="15">
        <f>IF($B26="","",SUMIFS(Dechargements!$E$5:$E$1002,Dechargements!$C$5:$C$1002,$B26,Dechargements!$H$5:$H$1002,"Fait"))</f>
        <v>0</v>
      </c>
      <c r="F26" s="15">
        <f>IF($B26="","",SUMIFS(Dechargements!$G$5:$G$1002,Dechargements!$C$5:$C$1002,$B26,Dechargements!$H$5:$H$1002,"Fait"))</f>
        <v>0</v>
      </c>
      <c r="G26" s="15">
        <f>IF($B26="","",SUMIFS(Dechargements!$G$5:$G$1002,Dechargements!$C$5:$C$1002,$B26)-$F26-SUMIFS(Dechargements!$G$5:$G$1002,Dechargements!$C$5:$C$1002,$B26,Dechargements!$H$5:$H$1002,"Annulé"))</f>
        <v>0</v>
      </c>
      <c r="H26" s="15">
        <f>IF($B26="","",SUMIFS(Paiements!$I$5:$I$2000,Paiements!$C$5:$C$2000,$B26,Paiements!$L$5:$L$2000,"Payé"))</f>
        <v>0</v>
      </c>
      <c r="I26" s="15">
        <f>IF($B26="","",SUMIFS(Paiements!$I$5:$I$2000,Paiements!$C$5:$C$2000,$B26,Paiements!$L$5:$L$2000,"En attente"))</f>
        <v>0</v>
      </c>
      <c r="J26" s="15">
        <f>IF($B26="","",$F26-$H26)</f>
        <v>0</v>
      </c>
      <c r="K26" s="15">
        <f>IF($B26="","",MAX(0,$J26))</f>
        <v>0</v>
      </c>
      <c r="L26" s="15">
        <f>IF($B26="","",MAX(0,-$J26))</f>
        <v>0</v>
      </c>
      <c r="M26" s="25" t="str">
        <f>IF($B26="","",IF(AND($F26=0,$H26=0,$G26=0),"Aucun mouvement",IF($J26&gt;0,"On lui doit",IF($J26&lt;0,"Avancé","Soldé"))))</f>
        <v>Aucun mouvement</v>
      </c>
    </row>
    <row r="27" spans="1:13" x14ac:dyDescent="0.35">
      <c r="A27" t="s">
        <v>203</v>
      </c>
      <c r="B27" s="24" t="s">
        <v>141</v>
      </c>
      <c r="C27" s="24"/>
      <c r="D27" s="15">
        <f>IF($B27="","",COUNTIFS(Dechargements!$C$5:$C$1002,$B27,Dechargements!$H$5:$H$1002,"Fait"))</f>
        <v>0</v>
      </c>
      <c r="E27" s="15">
        <f>IF($B27="","",SUMIFS(Dechargements!$E$5:$E$1002,Dechargements!$C$5:$C$1002,$B27,Dechargements!$H$5:$H$1002,"Fait"))</f>
        <v>0</v>
      </c>
      <c r="F27" s="15">
        <f>IF($B27="","",SUMIFS(Dechargements!$G$5:$G$1002,Dechargements!$C$5:$C$1002,$B27,Dechargements!$H$5:$H$1002,"Fait"))</f>
        <v>0</v>
      </c>
      <c r="G27" s="15">
        <f>IF($B27="","",SUMIFS(Dechargements!$G$5:$G$1002,Dechargements!$C$5:$C$1002,$B27)-$F27-SUMIFS(Dechargements!$G$5:$G$1002,Dechargements!$C$5:$C$1002,$B27,Dechargements!$H$5:$H$1002,"Annulé"))</f>
        <v>0</v>
      </c>
      <c r="H27" s="15">
        <f>IF($B27="","",SUMIFS(Paiements!$I$5:$I$2000,Paiements!$C$5:$C$2000,$B27,Paiements!$L$5:$L$2000,"Payé"))</f>
        <v>0</v>
      </c>
      <c r="I27" s="15">
        <f>IF($B27="","",SUMIFS(Paiements!$I$5:$I$2000,Paiements!$C$5:$C$2000,$B27,Paiements!$L$5:$L$2000,"En attente"))</f>
        <v>0</v>
      </c>
      <c r="J27" s="15">
        <f>IF($B27="","",$F27-$H27)</f>
        <v>0</v>
      </c>
      <c r="K27" s="15">
        <f>IF($B27="","",MAX(0,$J27))</f>
        <v>0</v>
      </c>
      <c r="L27" s="15">
        <f>IF($B27="","",MAX(0,-$J27))</f>
        <v>0</v>
      </c>
      <c r="M27" s="25" t="str">
        <f>IF($B27="","",IF(AND($F27=0,$H27=0,$G27=0),"Aucun mouvement",IF($J27&gt;0,"On lui doit",IF($J27&lt;0,"Avancé","Soldé"))))</f>
        <v>Aucun mouvement</v>
      </c>
    </row>
    <row r="28" spans="1:13" x14ac:dyDescent="0.35">
      <c r="A28" t="s">
        <v>204</v>
      </c>
      <c r="B28" s="24" t="s">
        <v>142</v>
      </c>
      <c r="C28" s="24"/>
      <c r="D28" s="15">
        <f>IF($B28="","",COUNTIFS(Dechargements!$C$5:$C$1002,$B28,Dechargements!$H$5:$H$1002,"Fait"))</f>
        <v>0</v>
      </c>
      <c r="E28" s="15">
        <f>IF($B28="","",SUMIFS(Dechargements!$E$5:$E$1002,Dechargements!$C$5:$C$1002,$B28,Dechargements!$H$5:$H$1002,"Fait"))</f>
        <v>0</v>
      </c>
      <c r="F28" s="15">
        <f>IF($B28="","",SUMIFS(Dechargements!$G$5:$G$1002,Dechargements!$C$5:$C$1002,$B28,Dechargements!$H$5:$H$1002,"Fait"))</f>
        <v>0</v>
      </c>
      <c r="G28" s="15">
        <f>IF($B28="","",SUMIFS(Dechargements!$G$5:$G$1002,Dechargements!$C$5:$C$1002,$B28)-$F28-SUMIFS(Dechargements!$G$5:$G$1002,Dechargements!$C$5:$C$1002,$B28,Dechargements!$H$5:$H$1002,"Annulé"))</f>
        <v>0</v>
      </c>
      <c r="H28" s="15">
        <f>IF($B28="","",SUMIFS(Paiements!$I$5:$I$2000,Paiements!$C$5:$C$2000,$B28,Paiements!$L$5:$L$2000,"Payé"))</f>
        <v>0</v>
      </c>
      <c r="I28" s="15">
        <f>IF($B28="","",SUMIFS(Paiements!$I$5:$I$2000,Paiements!$C$5:$C$2000,$B28,Paiements!$L$5:$L$2000,"En attente"))</f>
        <v>0</v>
      </c>
      <c r="J28" s="15">
        <f>IF($B28="","",$F28-$H28)</f>
        <v>0</v>
      </c>
      <c r="K28" s="15">
        <f>IF($B28="","",MAX(0,$J28))</f>
        <v>0</v>
      </c>
      <c r="L28" s="15">
        <f>IF($B28="","",MAX(0,-$J28))</f>
        <v>0</v>
      </c>
      <c r="M28" s="25" t="str">
        <f>IF($B28="","",IF(AND($F28=0,$H28=0,$G28=0),"Aucun mouvement",IF($J28&gt;0,"On lui doit",IF($J28&lt;0,"Avancé","Soldé"))))</f>
        <v>Aucun mouvement</v>
      </c>
    </row>
    <row r="29" spans="1:13" x14ac:dyDescent="0.35">
      <c r="A29" t="s">
        <v>205</v>
      </c>
      <c r="B29" s="24" t="s">
        <v>143</v>
      </c>
      <c r="C29" s="24"/>
      <c r="D29" s="15">
        <f>IF($B29="","",COUNTIFS(Dechargements!$C$5:$C$1002,$B29,Dechargements!$H$5:$H$1002,"Fait"))</f>
        <v>0</v>
      </c>
      <c r="E29" s="15">
        <f>IF($B29="","",SUMIFS(Dechargements!$E$5:$E$1002,Dechargements!$C$5:$C$1002,$B29,Dechargements!$H$5:$H$1002,"Fait"))</f>
        <v>0</v>
      </c>
      <c r="F29" s="15">
        <f>IF($B29="","",SUMIFS(Dechargements!$G$5:$G$1002,Dechargements!$C$5:$C$1002,$B29,Dechargements!$H$5:$H$1002,"Fait"))</f>
        <v>0</v>
      </c>
      <c r="G29" s="15">
        <f>IF($B29="","",SUMIFS(Dechargements!$G$5:$G$1002,Dechargements!$C$5:$C$1002,$B29)-$F29-SUMIFS(Dechargements!$G$5:$G$1002,Dechargements!$C$5:$C$1002,$B29,Dechargements!$H$5:$H$1002,"Annulé"))</f>
        <v>0</v>
      </c>
      <c r="H29" s="15">
        <f>IF($B29="","",SUMIFS(Paiements!$I$5:$I$2000,Paiements!$C$5:$C$2000,$B29,Paiements!$L$5:$L$2000,"Payé"))</f>
        <v>0</v>
      </c>
      <c r="I29" s="15">
        <f>IF($B29="","",SUMIFS(Paiements!$I$5:$I$2000,Paiements!$C$5:$C$2000,$B29,Paiements!$L$5:$L$2000,"En attente"))</f>
        <v>0</v>
      </c>
      <c r="J29" s="15">
        <f>IF($B29="","",$F29-$H29)</f>
        <v>0</v>
      </c>
      <c r="K29" s="15">
        <f>IF($B29="","",MAX(0,$J29))</f>
        <v>0</v>
      </c>
      <c r="L29" s="15">
        <f>IF($B29="","",MAX(0,-$J29))</f>
        <v>0</v>
      </c>
      <c r="M29" s="25" t="str">
        <f>IF($B29="","",IF(AND($F29=0,$H29=0,$G29=0),"Aucun mouvement",IF($J29&gt;0,"On lui doit",IF($J29&lt;0,"Avancé","Soldé"))))</f>
        <v>Aucun mouvement</v>
      </c>
    </row>
    <row r="30" spans="1:13" x14ac:dyDescent="0.35">
      <c r="A30" t="s">
        <v>206</v>
      </c>
      <c r="B30" s="24" t="s">
        <v>144</v>
      </c>
      <c r="C30" s="24"/>
      <c r="D30" s="15">
        <f>IF($B30="","",COUNTIFS(Dechargements!$C$5:$C$1002,$B30,Dechargements!$H$5:$H$1002,"Fait"))</f>
        <v>0</v>
      </c>
      <c r="E30" s="15">
        <f>IF($B30="","",SUMIFS(Dechargements!$E$5:$E$1002,Dechargements!$C$5:$C$1002,$B30,Dechargements!$H$5:$H$1002,"Fait"))</f>
        <v>0</v>
      </c>
      <c r="F30" s="15">
        <f>IF($B30="","",SUMIFS(Dechargements!$G$5:$G$1002,Dechargements!$C$5:$C$1002,$B30,Dechargements!$H$5:$H$1002,"Fait"))</f>
        <v>0</v>
      </c>
      <c r="G30" s="15">
        <f>IF($B30="","",SUMIFS(Dechargements!$G$5:$G$1002,Dechargements!$C$5:$C$1002,$B30)-$F30-SUMIFS(Dechargements!$G$5:$G$1002,Dechargements!$C$5:$C$1002,$B30,Dechargements!$H$5:$H$1002,"Annulé"))</f>
        <v>0</v>
      </c>
      <c r="H30" s="15">
        <f>IF($B30="","",SUMIFS(Paiements!$I$5:$I$2000,Paiements!$C$5:$C$2000,$B30,Paiements!$L$5:$L$2000,"Payé"))</f>
        <v>0</v>
      </c>
      <c r="I30" s="15">
        <f>IF($B30="","",SUMIFS(Paiements!$I$5:$I$2000,Paiements!$C$5:$C$2000,$B30,Paiements!$L$5:$L$2000,"En attente"))</f>
        <v>0</v>
      </c>
      <c r="J30" s="15">
        <f>IF($B30="","",$F30-$H30)</f>
        <v>0</v>
      </c>
      <c r="K30" s="15">
        <f>IF($B30="","",MAX(0,$J30))</f>
        <v>0</v>
      </c>
      <c r="L30" s="15">
        <f>IF($B30="","",MAX(0,-$J30))</f>
        <v>0</v>
      </c>
      <c r="M30" s="25" t="str">
        <f>IF($B30="","",IF(AND($F30=0,$H30=0,$G30=0),"Aucun mouvement",IF($J30&gt;0,"On lui doit",IF($J30&lt;0,"Avancé","Soldé"))))</f>
        <v>Aucun mouvement</v>
      </c>
    </row>
    <row r="31" spans="1:13" x14ac:dyDescent="0.35">
      <c r="A31" t="s">
        <v>207</v>
      </c>
      <c r="B31" s="24" t="s">
        <v>145</v>
      </c>
      <c r="C31" s="24"/>
      <c r="D31" s="15">
        <f>IF($B31="","",COUNTIFS(Dechargements!$C$5:$C$1002,$B31,Dechargements!$H$5:$H$1002,"Fait"))</f>
        <v>0</v>
      </c>
      <c r="E31" s="15">
        <f>IF($B31="","",SUMIFS(Dechargements!$E$5:$E$1002,Dechargements!$C$5:$C$1002,$B31,Dechargements!$H$5:$H$1002,"Fait"))</f>
        <v>0</v>
      </c>
      <c r="F31" s="15">
        <f>IF($B31="","",SUMIFS(Dechargements!$G$5:$G$1002,Dechargements!$C$5:$C$1002,$B31,Dechargements!$H$5:$H$1002,"Fait"))</f>
        <v>0</v>
      </c>
      <c r="G31" s="15">
        <f>IF($B31="","",SUMIFS(Dechargements!$G$5:$G$1002,Dechargements!$C$5:$C$1002,$B31)-$F31-SUMIFS(Dechargements!$G$5:$G$1002,Dechargements!$C$5:$C$1002,$B31,Dechargements!$H$5:$H$1002,"Annulé"))</f>
        <v>0</v>
      </c>
      <c r="H31" s="15">
        <f>IF($B31="","",SUMIFS(Paiements!$I$5:$I$2000,Paiements!$C$5:$C$2000,$B31,Paiements!$L$5:$L$2000,"Payé"))</f>
        <v>0</v>
      </c>
      <c r="I31" s="15">
        <f>IF($B31="","",SUMIFS(Paiements!$I$5:$I$2000,Paiements!$C$5:$C$2000,$B31,Paiements!$L$5:$L$2000,"En attente"))</f>
        <v>0</v>
      </c>
      <c r="J31" s="15">
        <f>IF($B31="","",$F31-$H31)</f>
        <v>0</v>
      </c>
      <c r="K31" s="15">
        <f>IF($B31="","",MAX(0,$J31))</f>
        <v>0</v>
      </c>
      <c r="L31" s="15">
        <f>IF($B31="","",MAX(0,-$J31))</f>
        <v>0</v>
      </c>
      <c r="M31" s="25" t="str">
        <f>IF($B31="","",IF(AND($F31=0,$H31=0,$G31=0),"Aucun mouvement",IF($J31&gt;0,"On lui doit",IF($J31&lt;0,"Avancé","Soldé"))))</f>
        <v>Aucun mouvement</v>
      </c>
    </row>
    <row r="32" spans="1:13" x14ac:dyDescent="0.35">
      <c r="A32" t="s">
        <v>208</v>
      </c>
      <c r="B32" s="24" t="s">
        <v>146</v>
      </c>
      <c r="C32" s="24"/>
      <c r="D32" s="15">
        <f>IF($B32="","",COUNTIFS(Dechargements!$C$5:$C$1002,$B32,Dechargements!$H$5:$H$1002,"Fait"))</f>
        <v>0</v>
      </c>
      <c r="E32" s="15">
        <f>IF($B32="","",SUMIFS(Dechargements!$E$5:$E$1002,Dechargements!$C$5:$C$1002,$B32,Dechargements!$H$5:$H$1002,"Fait"))</f>
        <v>0</v>
      </c>
      <c r="F32" s="15">
        <f>IF($B32="","",SUMIFS(Dechargements!$G$5:$G$1002,Dechargements!$C$5:$C$1002,$B32,Dechargements!$H$5:$H$1002,"Fait"))</f>
        <v>0</v>
      </c>
      <c r="G32" s="15">
        <f>IF($B32="","",SUMIFS(Dechargements!$G$5:$G$1002,Dechargements!$C$5:$C$1002,$B32)-$F32-SUMIFS(Dechargements!$G$5:$G$1002,Dechargements!$C$5:$C$1002,$B32,Dechargements!$H$5:$H$1002,"Annulé"))</f>
        <v>0</v>
      </c>
      <c r="H32" s="15">
        <f>IF($B32="","",SUMIFS(Paiements!$I$5:$I$2000,Paiements!$C$5:$C$2000,$B32,Paiements!$L$5:$L$2000,"Payé"))</f>
        <v>0</v>
      </c>
      <c r="I32" s="15">
        <f>IF($B32="","",SUMIFS(Paiements!$I$5:$I$2000,Paiements!$C$5:$C$2000,$B32,Paiements!$L$5:$L$2000,"En attente"))</f>
        <v>0</v>
      </c>
      <c r="J32" s="15">
        <f>IF($B32="","",$F32-$H32)</f>
        <v>0</v>
      </c>
      <c r="K32" s="15">
        <f>IF($B32="","",MAX(0,$J32))</f>
        <v>0</v>
      </c>
      <c r="L32" s="15">
        <f>IF($B32="","",MAX(0,-$J32))</f>
        <v>0</v>
      </c>
      <c r="M32" s="25" t="str">
        <f>IF($B32="","",IF(AND($F32=0,$H32=0,$G32=0),"Aucun mouvement",IF($J32&gt;0,"On lui doit",IF($J32&lt;0,"Avancé","Soldé"))))</f>
        <v>Aucun mouvement</v>
      </c>
    </row>
    <row r="33" spans="1:13" x14ac:dyDescent="0.35">
      <c r="A33" t="s">
        <v>209</v>
      </c>
      <c r="B33" s="24" t="s">
        <v>147</v>
      </c>
      <c r="C33" s="24"/>
      <c r="D33" s="15">
        <f>IF($B33="","",COUNTIFS(Dechargements!$C$5:$C$1002,$B33,Dechargements!$H$5:$H$1002,"Fait"))</f>
        <v>0</v>
      </c>
      <c r="E33" s="15">
        <f>IF($B33="","",SUMIFS(Dechargements!$E$5:$E$1002,Dechargements!$C$5:$C$1002,$B33,Dechargements!$H$5:$H$1002,"Fait"))</f>
        <v>0</v>
      </c>
      <c r="F33" s="15">
        <f>IF($B33="","",SUMIFS(Dechargements!$G$5:$G$1002,Dechargements!$C$5:$C$1002,$B33,Dechargements!$H$5:$H$1002,"Fait"))</f>
        <v>0</v>
      </c>
      <c r="G33" s="15">
        <f>IF($B33="","",SUMIFS(Dechargements!$G$5:$G$1002,Dechargements!$C$5:$C$1002,$B33)-$F33-SUMIFS(Dechargements!$G$5:$G$1002,Dechargements!$C$5:$C$1002,$B33,Dechargements!$H$5:$H$1002,"Annulé"))</f>
        <v>0</v>
      </c>
      <c r="H33" s="15">
        <f>IF($B33="","",SUMIFS(Paiements!$I$5:$I$2000,Paiements!$C$5:$C$2000,$B33,Paiements!$L$5:$L$2000,"Payé"))</f>
        <v>0</v>
      </c>
      <c r="I33" s="15">
        <f>IF($B33="","",SUMIFS(Paiements!$I$5:$I$2000,Paiements!$C$5:$C$2000,$B33,Paiements!$L$5:$L$2000,"En attente"))</f>
        <v>0</v>
      </c>
      <c r="J33" s="15">
        <f>IF($B33="","",$F33-$H33)</f>
        <v>0</v>
      </c>
      <c r="K33" s="15">
        <f>IF($B33="","",MAX(0,$J33))</f>
        <v>0</v>
      </c>
      <c r="L33" s="15">
        <f>IF($B33="","",MAX(0,-$J33))</f>
        <v>0</v>
      </c>
      <c r="M33" s="25" t="str">
        <f>IF($B33="","",IF(AND($F33=0,$H33=0,$G33=0),"Aucun mouvement",IF($J33&gt;0,"On lui doit",IF($J33&lt;0,"Avancé","Soldé"))))</f>
        <v>Aucun mouvement</v>
      </c>
    </row>
    <row r="34" spans="1:13" x14ac:dyDescent="0.35">
      <c r="A34" t="s">
        <v>210</v>
      </c>
      <c r="B34" s="24" t="s">
        <v>148</v>
      </c>
      <c r="C34" s="24"/>
      <c r="D34" s="15">
        <f>IF($B34="","",COUNTIFS(Dechargements!$C$5:$C$1002,$B34,Dechargements!$H$5:$H$1002,"Fait"))</f>
        <v>0</v>
      </c>
      <c r="E34" s="15">
        <f>IF($B34="","",SUMIFS(Dechargements!$E$5:$E$1002,Dechargements!$C$5:$C$1002,$B34,Dechargements!$H$5:$H$1002,"Fait"))</f>
        <v>0</v>
      </c>
      <c r="F34" s="15">
        <f>IF($B34="","",SUMIFS(Dechargements!$G$5:$G$1002,Dechargements!$C$5:$C$1002,$B34,Dechargements!$H$5:$H$1002,"Fait"))</f>
        <v>0</v>
      </c>
      <c r="G34" s="15">
        <f>IF($B34="","",SUMIFS(Dechargements!$G$5:$G$1002,Dechargements!$C$5:$C$1002,$B34)-$F34-SUMIFS(Dechargements!$G$5:$G$1002,Dechargements!$C$5:$C$1002,$B34,Dechargements!$H$5:$H$1002,"Annulé"))</f>
        <v>0</v>
      </c>
      <c r="H34" s="15">
        <f>IF($B34="","",SUMIFS(Paiements!$I$5:$I$2000,Paiements!$C$5:$C$2000,$B34,Paiements!$L$5:$L$2000,"Payé"))</f>
        <v>0</v>
      </c>
      <c r="I34" s="15">
        <f>IF($B34="","",SUMIFS(Paiements!$I$5:$I$2000,Paiements!$C$5:$C$2000,$B34,Paiements!$L$5:$L$2000,"En attente"))</f>
        <v>0</v>
      </c>
      <c r="J34" s="15">
        <f>IF($B34="","",$F34-$H34)</f>
        <v>0</v>
      </c>
      <c r="K34" s="15">
        <f>IF($B34="","",MAX(0,$J34))</f>
        <v>0</v>
      </c>
      <c r="L34" s="15">
        <f>IF($B34="","",MAX(0,-$J34))</f>
        <v>0</v>
      </c>
      <c r="M34" s="25" t="str">
        <f>IF($B34="","",IF(AND($F34=0,$H34=0,$G34=0),"Aucun mouvement",IF($J34&gt;0,"On lui doit",IF($J34&lt;0,"Avancé","Soldé"))))</f>
        <v>Aucun mouvement</v>
      </c>
    </row>
    <row r="35" spans="1:13" x14ac:dyDescent="0.35">
      <c r="A35" t="s">
        <v>211</v>
      </c>
      <c r="B35" s="24" t="s">
        <v>149</v>
      </c>
      <c r="C35" s="24"/>
      <c r="D35" s="15">
        <f>IF($B35="","",COUNTIFS(Dechargements!$C$5:$C$1002,$B35,Dechargements!$H$5:$H$1002,"Fait"))</f>
        <v>0</v>
      </c>
      <c r="E35" s="15">
        <f>IF($B35="","",SUMIFS(Dechargements!$E$5:$E$1002,Dechargements!$C$5:$C$1002,$B35,Dechargements!$H$5:$H$1002,"Fait"))</f>
        <v>0</v>
      </c>
      <c r="F35" s="15">
        <f>IF($B35="","",SUMIFS(Dechargements!$G$5:$G$1002,Dechargements!$C$5:$C$1002,$B35,Dechargements!$H$5:$H$1002,"Fait"))</f>
        <v>0</v>
      </c>
      <c r="G35" s="15">
        <f>IF($B35="","",SUMIFS(Dechargements!$G$5:$G$1002,Dechargements!$C$5:$C$1002,$B35)-$F35-SUMIFS(Dechargements!$G$5:$G$1002,Dechargements!$C$5:$C$1002,$B35,Dechargements!$H$5:$H$1002,"Annulé"))</f>
        <v>0</v>
      </c>
      <c r="H35" s="15">
        <f>IF($B35="","",SUMIFS(Paiements!$I$5:$I$2000,Paiements!$C$5:$C$2000,$B35,Paiements!$L$5:$L$2000,"Payé"))</f>
        <v>0</v>
      </c>
      <c r="I35" s="15">
        <f>IF($B35="","",SUMIFS(Paiements!$I$5:$I$2000,Paiements!$C$5:$C$2000,$B35,Paiements!$L$5:$L$2000,"En attente"))</f>
        <v>0</v>
      </c>
      <c r="J35" s="15">
        <f>IF($B35="","",$F35-$H35)</f>
        <v>0</v>
      </c>
      <c r="K35" s="15">
        <f>IF($B35="","",MAX(0,$J35))</f>
        <v>0</v>
      </c>
      <c r="L35" s="15">
        <f>IF($B35="","",MAX(0,-$J35))</f>
        <v>0</v>
      </c>
      <c r="M35" s="25" t="str">
        <f>IF($B35="","",IF(AND($F35=0,$H35=0,$G35=0),"Aucun mouvement",IF($J35&gt;0,"On lui doit",IF($J35&lt;0,"Avancé","Soldé"))))</f>
        <v>Aucun mouvement</v>
      </c>
    </row>
    <row r="36" spans="1:13" x14ac:dyDescent="0.35">
      <c r="A36" t="s">
        <v>212</v>
      </c>
      <c r="B36" s="24" t="s">
        <v>150</v>
      </c>
      <c r="C36" s="24"/>
      <c r="D36" s="15">
        <f>IF($B36="","",COUNTIFS(Dechargements!$C$5:$C$1002,$B36,Dechargements!$H$5:$H$1002,"Fait"))</f>
        <v>0</v>
      </c>
      <c r="E36" s="15">
        <f>IF($B36="","",SUMIFS(Dechargements!$E$5:$E$1002,Dechargements!$C$5:$C$1002,$B36,Dechargements!$H$5:$H$1002,"Fait"))</f>
        <v>0</v>
      </c>
      <c r="F36" s="15">
        <f>IF($B36="","",SUMIFS(Dechargements!$G$5:$G$1002,Dechargements!$C$5:$C$1002,$B36,Dechargements!$H$5:$H$1002,"Fait"))</f>
        <v>0</v>
      </c>
      <c r="G36" s="15">
        <f>IF($B36="","",SUMIFS(Dechargements!$G$5:$G$1002,Dechargements!$C$5:$C$1002,$B36)-$F36-SUMIFS(Dechargements!$G$5:$G$1002,Dechargements!$C$5:$C$1002,$B36,Dechargements!$H$5:$H$1002,"Annulé"))</f>
        <v>0</v>
      </c>
      <c r="H36" s="15">
        <f>IF($B36="","",SUMIFS(Paiements!$I$5:$I$2000,Paiements!$C$5:$C$2000,$B36,Paiements!$L$5:$L$2000,"Payé"))</f>
        <v>0</v>
      </c>
      <c r="I36" s="15">
        <f>IF($B36="","",SUMIFS(Paiements!$I$5:$I$2000,Paiements!$C$5:$C$2000,$B36,Paiements!$L$5:$L$2000,"En attente"))</f>
        <v>0</v>
      </c>
      <c r="J36" s="15">
        <f t="shared" ref="J36:J67" si="0">IF($B36="","",$F36-$H36)</f>
        <v>0</v>
      </c>
      <c r="K36" s="15">
        <f t="shared" ref="K36:K67" si="1">IF($B36="","",MAX(0,$J36))</f>
        <v>0</v>
      </c>
      <c r="L36" s="15">
        <f t="shared" ref="L36:L67" si="2">IF($B36="","",MAX(0,-$J36))</f>
        <v>0</v>
      </c>
      <c r="M36" s="25" t="str">
        <f t="shared" ref="M36:M67" si="3">IF($B36="","",IF(AND($F36=0,$H36=0,$G36=0),"Aucun mouvement",IF($J36&gt;0,"On lui doit",IF($J36&lt;0,"Avancé","Soldé"))))</f>
        <v>Aucun mouvement</v>
      </c>
    </row>
    <row r="37" spans="1:13" x14ac:dyDescent="0.35">
      <c r="A37" t="s">
        <v>213</v>
      </c>
      <c r="B37" s="24" t="s">
        <v>151</v>
      </c>
      <c r="C37" s="24"/>
      <c r="D37" s="15">
        <f>IF($B37="","",COUNTIFS(Dechargements!$C$5:$C$1002,$B37,Dechargements!$H$5:$H$1002,"Fait"))</f>
        <v>0</v>
      </c>
      <c r="E37" s="15">
        <f>IF($B37="","",SUMIFS(Dechargements!$E$5:$E$1002,Dechargements!$C$5:$C$1002,$B37,Dechargements!$H$5:$H$1002,"Fait"))</f>
        <v>0</v>
      </c>
      <c r="F37" s="15">
        <f>IF($B37="","",SUMIFS(Dechargements!$G$5:$G$1002,Dechargements!$C$5:$C$1002,$B37,Dechargements!$H$5:$H$1002,"Fait"))</f>
        <v>0</v>
      </c>
      <c r="G37" s="15">
        <f>IF($B37="","",SUMIFS(Dechargements!$G$5:$G$1002,Dechargements!$C$5:$C$1002,$B37)-$F37-SUMIFS(Dechargements!$G$5:$G$1002,Dechargements!$C$5:$C$1002,$B37,Dechargements!$H$5:$H$1002,"Annulé"))</f>
        <v>0</v>
      </c>
      <c r="H37" s="15">
        <f>IF($B37="","",SUMIFS(Paiements!$I$5:$I$2000,Paiements!$C$5:$C$2000,$B37,Paiements!$L$5:$L$2000,"Payé"))</f>
        <v>0</v>
      </c>
      <c r="I37" s="15">
        <f>IF($B37="","",SUMIFS(Paiements!$I$5:$I$2000,Paiements!$C$5:$C$2000,$B37,Paiements!$L$5:$L$2000,"En attente"))</f>
        <v>0</v>
      </c>
      <c r="J37" s="15">
        <f t="shared" si="0"/>
        <v>0</v>
      </c>
      <c r="K37" s="15">
        <f t="shared" si="1"/>
        <v>0</v>
      </c>
      <c r="L37" s="15">
        <f t="shared" si="2"/>
        <v>0</v>
      </c>
      <c r="M37" s="25" t="str">
        <f t="shared" si="3"/>
        <v>Aucun mouvement</v>
      </c>
    </row>
    <row r="38" spans="1:13" x14ac:dyDescent="0.35">
      <c r="A38" t="s">
        <v>214</v>
      </c>
      <c r="B38" s="24" t="s">
        <v>152</v>
      </c>
      <c r="C38" s="24"/>
      <c r="D38" s="15">
        <f>IF($B38="","",COUNTIFS(Dechargements!$C$5:$C$1002,$B38,Dechargements!$H$5:$H$1002,"Fait"))</f>
        <v>0</v>
      </c>
      <c r="E38" s="15">
        <f>IF($B38="","",SUMIFS(Dechargements!$E$5:$E$1002,Dechargements!$C$5:$C$1002,$B38,Dechargements!$H$5:$H$1002,"Fait"))</f>
        <v>0</v>
      </c>
      <c r="F38" s="15">
        <f>IF($B38="","",SUMIFS(Dechargements!$G$5:$G$1002,Dechargements!$C$5:$C$1002,$B38,Dechargements!$H$5:$H$1002,"Fait"))</f>
        <v>0</v>
      </c>
      <c r="G38" s="15">
        <f>IF($B38="","",SUMIFS(Dechargements!$G$5:$G$1002,Dechargements!$C$5:$C$1002,$B38)-$F38-SUMIFS(Dechargements!$G$5:$G$1002,Dechargements!$C$5:$C$1002,$B38,Dechargements!$H$5:$H$1002,"Annulé"))</f>
        <v>0</v>
      </c>
      <c r="H38" s="15">
        <f>IF($B38="","",SUMIFS(Paiements!$I$5:$I$2000,Paiements!$C$5:$C$2000,$B38,Paiements!$L$5:$L$2000,"Payé"))</f>
        <v>0</v>
      </c>
      <c r="I38" s="15">
        <f>IF($B38="","",SUMIFS(Paiements!$I$5:$I$2000,Paiements!$C$5:$C$2000,$B38,Paiements!$L$5:$L$2000,"En attente"))</f>
        <v>0</v>
      </c>
      <c r="J38" s="15">
        <f t="shared" si="0"/>
        <v>0</v>
      </c>
      <c r="K38" s="15">
        <f t="shared" si="1"/>
        <v>0</v>
      </c>
      <c r="L38" s="15">
        <f t="shared" si="2"/>
        <v>0</v>
      </c>
      <c r="M38" s="25" t="str">
        <f t="shared" si="3"/>
        <v>Aucun mouvement</v>
      </c>
    </row>
    <row r="39" spans="1:13" x14ac:dyDescent="0.35">
      <c r="A39" t="s">
        <v>215</v>
      </c>
      <c r="B39" s="24" t="s">
        <v>153</v>
      </c>
      <c r="C39" s="24"/>
      <c r="D39" s="15">
        <f>IF($B39="","",COUNTIFS(Dechargements!$C$5:$C$1002,$B39,Dechargements!$H$5:$H$1002,"Fait"))</f>
        <v>0</v>
      </c>
      <c r="E39" s="15">
        <f>IF($B39="","",SUMIFS(Dechargements!$E$5:$E$1002,Dechargements!$C$5:$C$1002,$B39,Dechargements!$H$5:$H$1002,"Fait"))</f>
        <v>0</v>
      </c>
      <c r="F39" s="15">
        <f>IF($B39="","",SUMIFS(Dechargements!$G$5:$G$1002,Dechargements!$C$5:$C$1002,$B39,Dechargements!$H$5:$H$1002,"Fait"))</f>
        <v>0</v>
      </c>
      <c r="G39" s="15">
        <f>IF($B39="","",SUMIFS(Dechargements!$G$5:$G$1002,Dechargements!$C$5:$C$1002,$B39)-$F39-SUMIFS(Dechargements!$G$5:$G$1002,Dechargements!$C$5:$C$1002,$B39,Dechargements!$H$5:$H$1002,"Annulé"))</f>
        <v>0</v>
      </c>
      <c r="H39" s="15">
        <f>IF($B39="","",SUMIFS(Paiements!$I$5:$I$2000,Paiements!$C$5:$C$2000,$B39,Paiements!$L$5:$L$2000,"Payé"))</f>
        <v>0</v>
      </c>
      <c r="I39" s="15">
        <f>IF($B39="","",SUMIFS(Paiements!$I$5:$I$2000,Paiements!$C$5:$C$2000,$B39,Paiements!$L$5:$L$2000,"En attente"))</f>
        <v>0</v>
      </c>
      <c r="J39" s="15">
        <f t="shared" si="0"/>
        <v>0</v>
      </c>
      <c r="K39" s="15">
        <f t="shared" si="1"/>
        <v>0</v>
      </c>
      <c r="L39" s="15">
        <f t="shared" si="2"/>
        <v>0</v>
      </c>
      <c r="M39" s="25" t="str">
        <f t="shared" si="3"/>
        <v>Aucun mouvement</v>
      </c>
    </row>
    <row r="40" spans="1:13" x14ac:dyDescent="0.35">
      <c r="A40" t="s">
        <v>216</v>
      </c>
      <c r="B40" s="24" t="s">
        <v>154</v>
      </c>
      <c r="C40" s="24"/>
      <c r="D40" s="15">
        <f>IF($B40="","",COUNTIFS(Dechargements!$C$5:$C$1002,$B40,Dechargements!$H$5:$H$1002,"Fait"))</f>
        <v>0</v>
      </c>
      <c r="E40" s="15">
        <f>IF($B40="","",SUMIFS(Dechargements!$E$5:$E$1002,Dechargements!$C$5:$C$1002,$B40,Dechargements!$H$5:$H$1002,"Fait"))</f>
        <v>0</v>
      </c>
      <c r="F40" s="15">
        <f>IF($B40="","",SUMIFS(Dechargements!$G$5:$G$1002,Dechargements!$C$5:$C$1002,$B40,Dechargements!$H$5:$H$1002,"Fait"))</f>
        <v>0</v>
      </c>
      <c r="G40" s="15">
        <f>IF($B40="","",SUMIFS(Dechargements!$G$5:$G$1002,Dechargements!$C$5:$C$1002,$B40)-$F40-SUMIFS(Dechargements!$G$5:$G$1002,Dechargements!$C$5:$C$1002,$B40,Dechargements!$H$5:$H$1002,"Annulé"))</f>
        <v>0</v>
      </c>
      <c r="H40" s="15">
        <f>IF($B40="","",SUMIFS(Paiements!$I$5:$I$2000,Paiements!$C$5:$C$2000,$B40,Paiements!$L$5:$L$2000,"Payé"))</f>
        <v>0</v>
      </c>
      <c r="I40" s="15">
        <f>IF($B40="","",SUMIFS(Paiements!$I$5:$I$2000,Paiements!$C$5:$C$2000,$B40,Paiements!$L$5:$L$2000,"En attente"))</f>
        <v>0</v>
      </c>
      <c r="J40" s="15">
        <f t="shared" si="0"/>
        <v>0</v>
      </c>
      <c r="K40" s="15">
        <f t="shared" si="1"/>
        <v>0</v>
      </c>
      <c r="L40" s="15">
        <f t="shared" si="2"/>
        <v>0</v>
      </c>
      <c r="M40" s="25" t="str">
        <f t="shared" si="3"/>
        <v>Aucun mouvement</v>
      </c>
    </row>
    <row r="41" spans="1:13" x14ac:dyDescent="0.35">
      <c r="A41" t="s">
        <v>217</v>
      </c>
      <c r="B41" s="24" t="s">
        <v>155</v>
      </c>
      <c r="C41" s="24"/>
      <c r="D41" s="15">
        <f>IF($B41="","",COUNTIFS(Dechargements!$C$5:$C$1002,$B41,Dechargements!$H$5:$H$1002,"Fait"))</f>
        <v>0</v>
      </c>
      <c r="E41" s="15">
        <f>IF($B41="","",SUMIFS(Dechargements!$E$5:$E$1002,Dechargements!$C$5:$C$1002,$B41,Dechargements!$H$5:$H$1002,"Fait"))</f>
        <v>0</v>
      </c>
      <c r="F41" s="15">
        <f>IF($B41="","",SUMIFS(Dechargements!$G$5:$G$1002,Dechargements!$C$5:$C$1002,$B41,Dechargements!$H$5:$H$1002,"Fait"))</f>
        <v>0</v>
      </c>
      <c r="G41" s="15">
        <f>IF($B41="","",SUMIFS(Dechargements!$G$5:$G$1002,Dechargements!$C$5:$C$1002,$B41)-$F41-SUMIFS(Dechargements!$G$5:$G$1002,Dechargements!$C$5:$C$1002,$B41,Dechargements!$H$5:$H$1002,"Annulé"))</f>
        <v>0</v>
      </c>
      <c r="H41" s="15">
        <f>IF($B41="","",SUMIFS(Paiements!$I$5:$I$2000,Paiements!$C$5:$C$2000,$B41,Paiements!$L$5:$L$2000,"Payé"))</f>
        <v>0</v>
      </c>
      <c r="I41" s="15">
        <f>IF($B41="","",SUMIFS(Paiements!$I$5:$I$2000,Paiements!$C$5:$C$2000,$B41,Paiements!$L$5:$L$2000,"En attente"))</f>
        <v>0</v>
      </c>
      <c r="J41" s="15">
        <f t="shared" si="0"/>
        <v>0</v>
      </c>
      <c r="K41" s="15">
        <f t="shared" si="1"/>
        <v>0</v>
      </c>
      <c r="L41" s="15">
        <f t="shared" si="2"/>
        <v>0</v>
      </c>
      <c r="M41" s="25" t="str">
        <f t="shared" si="3"/>
        <v>Aucun mouvement</v>
      </c>
    </row>
    <row r="42" spans="1:13" x14ac:dyDescent="0.35">
      <c r="A42" t="s">
        <v>218</v>
      </c>
      <c r="B42" s="24" t="s">
        <v>156</v>
      </c>
      <c r="C42" s="24"/>
      <c r="D42" s="15">
        <f>IF($B42="","",COUNTIFS(Dechargements!$C$5:$C$1002,$B42,Dechargements!$H$5:$H$1002,"Fait"))</f>
        <v>0</v>
      </c>
      <c r="E42" s="15">
        <f>IF($B42="","",SUMIFS(Dechargements!$E$5:$E$1002,Dechargements!$C$5:$C$1002,$B42,Dechargements!$H$5:$H$1002,"Fait"))</f>
        <v>0</v>
      </c>
      <c r="F42" s="15">
        <f>IF($B42="","",SUMIFS(Dechargements!$G$5:$G$1002,Dechargements!$C$5:$C$1002,$B42,Dechargements!$H$5:$H$1002,"Fait"))</f>
        <v>0</v>
      </c>
      <c r="G42" s="15">
        <f>IF($B42="","",SUMIFS(Dechargements!$G$5:$G$1002,Dechargements!$C$5:$C$1002,$B42)-$F42-SUMIFS(Dechargements!$G$5:$G$1002,Dechargements!$C$5:$C$1002,$B42,Dechargements!$H$5:$H$1002,"Annulé"))</f>
        <v>0</v>
      </c>
      <c r="H42" s="15">
        <f>IF($B42="","",SUMIFS(Paiements!$I$5:$I$2000,Paiements!$C$5:$C$2000,$B42,Paiements!$L$5:$L$2000,"Payé"))</f>
        <v>0</v>
      </c>
      <c r="I42" s="15">
        <f>IF($B42="","",SUMIFS(Paiements!$I$5:$I$2000,Paiements!$C$5:$C$2000,$B42,Paiements!$L$5:$L$2000,"En attente"))</f>
        <v>0</v>
      </c>
      <c r="J42" s="15">
        <f t="shared" si="0"/>
        <v>0</v>
      </c>
      <c r="K42" s="15">
        <f t="shared" si="1"/>
        <v>0</v>
      </c>
      <c r="L42" s="15">
        <f t="shared" si="2"/>
        <v>0</v>
      </c>
      <c r="M42" s="25" t="str">
        <f t="shared" si="3"/>
        <v>Aucun mouvement</v>
      </c>
    </row>
    <row r="43" spans="1:13" x14ac:dyDescent="0.35">
      <c r="A43" t="s">
        <v>219</v>
      </c>
      <c r="B43" s="24" t="s">
        <v>157</v>
      </c>
      <c r="C43" s="24"/>
      <c r="D43" s="15">
        <f>IF($B43="","",COUNTIFS(Dechargements!$C$5:$C$1002,$B43,Dechargements!$H$5:$H$1002,"Fait"))</f>
        <v>0</v>
      </c>
      <c r="E43" s="15">
        <f>IF($B43="","",SUMIFS(Dechargements!$E$5:$E$1002,Dechargements!$C$5:$C$1002,$B43,Dechargements!$H$5:$H$1002,"Fait"))</f>
        <v>0</v>
      </c>
      <c r="F43" s="15">
        <f>IF($B43="","",SUMIFS(Dechargements!$G$5:$G$1002,Dechargements!$C$5:$C$1002,$B43,Dechargements!$H$5:$H$1002,"Fait"))</f>
        <v>0</v>
      </c>
      <c r="G43" s="15">
        <f>IF($B43="","",SUMIFS(Dechargements!$G$5:$G$1002,Dechargements!$C$5:$C$1002,$B43)-$F43-SUMIFS(Dechargements!$G$5:$G$1002,Dechargements!$C$5:$C$1002,$B43,Dechargements!$H$5:$H$1002,"Annulé"))</f>
        <v>0</v>
      </c>
      <c r="H43" s="15">
        <f>IF($B43="","",SUMIFS(Paiements!$I$5:$I$2000,Paiements!$C$5:$C$2000,$B43,Paiements!$L$5:$L$2000,"Payé"))</f>
        <v>0</v>
      </c>
      <c r="I43" s="15">
        <f>IF($B43="","",SUMIFS(Paiements!$I$5:$I$2000,Paiements!$C$5:$C$2000,$B43,Paiements!$L$5:$L$2000,"En attente"))</f>
        <v>0</v>
      </c>
      <c r="J43" s="15">
        <f t="shared" si="0"/>
        <v>0</v>
      </c>
      <c r="K43" s="15">
        <f t="shared" si="1"/>
        <v>0</v>
      </c>
      <c r="L43" s="15">
        <f t="shared" si="2"/>
        <v>0</v>
      </c>
      <c r="M43" s="25" t="str">
        <f t="shared" si="3"/>
        <v>Aucun mouvement</v>
      </c>
    </row>
    <row r="44" spans="1:13" x14ac:dyDescent="0.35">
      <c r="A44" t="s">
        <v>220</v>
      </c>
      <c r="B44" s="24" t="s">
        <v>158</v>
      </c>
      <c r="C44" s="24"/>
      <c r="D44" s="15">
        <f>IF($B44="","",COUNTIFS(Dechargements!$C$5:$C$1002,$B44,Dechargements!$H$5:$H$1002,"Fait"))</f>
        <v>0</v>
      </c>
      <c r="E44" s="15">
        <f>IF($B44="","",SUMIFS(Dechargements!$E$5:$E$1002,Dechargements!$C$5:$C$1002,$B44,Dechargements!$H$5:$H$1002,"Fait"))</f>
        <v>0</v>
      </c>
      <c r="F44" s="15">
        <f>IF($B44="","",SUMIFS(Dechargements!$G$5:$G$1002,Dechargements!$C$5:$C$1002,$B44,Dechargements!$H$5:$H$1002,"Fait"))</f>
        <v>0</v>
      </c>
      <c r="G44" s="15">
        <f>IF($B44="","",SUMIFS(Dechargements!$G$5:$G$1002,Dechargements!$C$5:$C$1002,$B44)-$F44-SUMIFS(Dechargements!$G$5:$G$1002,Dechargements!$C$5:$C$1002,$B44,Dechargements!$H$5:$H$1002,"Annulé"))</f>
        <v>0</v>
      </c>
      <c r="H44" s="15">
        <f>IF($B44="","",SUMIFS(Paiements!$I$5:$I$2000,Paiements!$C$5:$C$2000,$B44,Paiements!$L$5:$L$2000,"Payé"))</f>
        <v>0</v>
      </c>
      <c r="I44" s="15">
        <f>IF($B44="","",SUMIFS(Paiements!$I$5:$I$2000,Paiements!$C$5:$C$2000,$B44,Paiements!$L$5:$L$2000,"En attente"))</f>
        <v>0</v>
      </c>
      <c r="J44" s="15">
        <f t="shared" si="0"/>
        <v>0</v>
      </c>
      <c r="K44" s="15">
        <f t="shared" si="1"/>
        <v>0</v>
      </c>
      <c r="L44" s="15">
        <f t="shared" si="2"/>
        <v>0</v>
      </c>
      <c r="M44" s="25" t="str">
        <f t="shared" si="3"/>
        <v>Aucun mouvement</v>
      </c>
    </row>
    <row r="45" spans="1:13" x14ac:dyDescent="0.35">
      <c r="A45" t="s">
        <v>221</v>
      </c>
      <c r="B45" s="24" t="s">
        <v>159</v>
      </c>
      <c r="C45" s="24"/>
      <c r="D45" s="15">
        <f>IF($B45="","",COUNTIFS(Dechargements!$C$5:$C$1002,$B45,Dechargements!$H$5:$H$1002,"Fait"))</f>
        <v>0</v>
      </c>
      <c r="E45" s="15">
        <f>IF($B45="","",SUMIFS(Dechargements!$E$5:$E$1002,Dechargements!$C$5:$C$1002,$B45,Dechargements!$H$5:$H$1002,"Fait"))</f>
        <v>0</v>
      </c>
      <c r="F45" s="15">
        <f>IF($B45="","",SUMIFS(Dechargements!$G$5:$G$1002,Dechargements!$C$5:$C$1002,$B45,Dechargements!$H$5:$H$1002,"Fait"))</f>
        <v>0</v>
      </c>
      <c r="G45" s="15">
        <f>IF($B45="","",SUMIFS(Dechargements!$G$5:$G$1002,Dechargements!$C$5:$C$1002,$B45)-$F45-SUMIFS(Dechargements!$G$5:$G$1002,Dechargements!$C$5:$C$1002,$B45,Dechargements!$H$5:$H$1002,"Annulé"))</f>
        <v>0</v>
      </c>
      <c r="H45" s="15">
        <f>IF($B45="","",SUMIFS(Paiements!$I$5:$I$2000,Paiements!$C$5:$C$2000,$B45,Paiements!$L$5:$L$2000,"Payé"))</f>
        <v>0</v>
      </c>
      <c r="I45" s="15">
        <f>IF($B45="","",SUMIFS(Paiements!$I$5:$I$2000,Paiements!$C$5:$C$2000,$B45,Paiements!$L$5:$L$2000,"En attente"))</f>
        <v>0</v>
      </c>
      <c r="J45" s="15">
        <f t="shared" si="0"/>
        <v>0</v>
      </c>
      <c r="K45" s="15">
        <f t="shared" si="1"/>
        <v>0</v>
      </c>
      <c r="L45" s="15">
        <f t="shared" si="2"/>
        <v>0</v>
      </c>
      <c r="M45" s="25" t="str">
        <f t="shared" si="3"/>
        <v>Aucun mouvement</v>
      </c>
    </row>
    <row r="46" spans="1:13" x14ac:dyDescent="0.35">
      <c r="A46" t="s">
        <v>222</v>
      </c>
      <c r="B46" s="24" t="s">
        <v>160</v>
      </c>
      <c r="C46" s="24"/>
      <c r="D46" s="15">
        <f>IF($B46="","",COUNTIFS(Dechargements!$C$5:$C$1002,$B46,Dechargements!$H$5:$H$1002,"Fait"))</f>
        <v>0</v>
      </c>
      <c r="E46" s="15">
        <f>IF($B46="","",SUMIFS(Dechargements!$E$5:$E$1002,Dechargements!$C$5:$C$1002,$B46,Dechargements!$H$5:$H$1002,"Fait"))</f>
        <v>0</v>
      </c>
      <c r="F46" s="15">
        <f>IF($B46="","",SUMIFS(Dechargements!$G$5:$G$1002,Dechargements!$C$5:$C$1002,$B46,Dechargements!$H$5:$H$1002,"Fait"))</f>
        <v>0</v>
      </c>
      <c r="G46" s="15">
        <f>IF($B46="","",SUMIFS(Dechargements!$G$5:$G$1002,Dechargements!$C$5:$C$1002,$B46)-$F46-SUMIFS(Dechargements!$G$5:$G$1002,Dechargements!$C$5:$C$1002,$B46,Dechargements!$H$5:$H$1002,"Annulé"))</f>
        <v>0</v>
      </c>
      <c r="H46" s="15">
        <f>IF($B46="","",SUMIFS(Paiements!$I$5:$I$2000,Paiements!$C$5:$C$2000,$B46,Paiements!$L$5:$L$2000,"Payé"))</f>
        <v>0</v>
      </c>
      <c r="I46" s="15">
        <f>IF($B46="","",SUMIFS(Paiements!$I$5:$I$2000,Paiements!$C$5:$C$2000,$B46,Paiements!$L$5:$L$2000,"En attente"))</f>
        <v>0</v>
      </c>
      <c r="J46" s="15">
        <f t="shared" si="0"/>
        <v>0</v>
      </c>
      <c r="K46" s="15">
        <f t="shared" si="1"/>
        <v>0</v>
      </c>
      <c r="L46" s="15">
        <f t="shared" si="2"/>
        <v>0</v>
      </c>
      <c r="M46" s="25" t="str">
        <f t="shared" si="3"/>
        <v>Aucun mouvement</v>
      </c>
    </row>
    <row r="47" spans="1:13" x14ac:dyDescent="0.35">
      <c r="A47" t="s">
        <v>223</v>
      </c>
      <c r="B47" s="24" t="s">
        <v>161</v>
      </c>
      <c r="C47" s="24"/>
      <c r="D47" s="15">
        <f>IF($B47="","",COUNTIFS(Dechargements!$C$5:$C$1002,$B47,Dechargements!$H$5:$H$1002,"Fait"))</f>
        <v>0</v>
      </c>
      <c r="E47" s="15">
        <f>IF($B47="","",SUMIFS(Dechargements!$E$5:$E$1002,Dechargements!$C$5:$C$1002,$B47,Dechargements!$H$5:$H$1002,"Fait"))</f>
        <v>0</v>
      </c>
      <c r="F47" s="15">
        <f>IF($B47="","",SUMIFS(Dechargements!$G$5:$G$1002,Dechargements!$C$5:$C$1002,$B47,Dechargements!$H$5:$H$1002,"Fait"))</f>
        <v>0</v>
      </c>
      <c r="G47" s="15">
        <f>IF($B47="","",SUMIFS(Dechargements!$G$5:$G$1002,Dechargements!$C$5:$C$1002,$B47)-$F47-SUMIFS(Dechargements!$G$5:$G$1002,Dechargements!$C$5:$C$1002,$B47,Dechargements!$H$5:$H$1002,"Annulé"))</f>
        <v>0</v>
      </c>
      <c r="H47" s="15">
        <f>IF($B47="","",SUMIFS(Paiements!$I$5:$I$2000,Paiements!$C$5:$C$2000,$B47,Paiements!$L$5:$L$2000,"Payé"))</f>
        <v>0</v>
      </c>
      <c r="I47" s="15">
        <f>IF($B47="","",SUMIFS(Paiements!$I$5:$I$2000,Paiements!$C$5:$C$2000,$B47,Paiements!$L$5:$L$2000,"En attente"))</f>
        <v>0</v>
      </c>
      <c r="J47" s="15">
        <f t="shared" si="0"/>
        <v>0</v>
      </c>
      <c r="K47" s="15">
        <f t="shared" si="1"/>
        <v>0</v>
      </c>
      <c r="L47" s="15">
        <f t="shared" si="2"/>
        <v>0</v>
      </c>
      <c r="M47" s="25" t="str">
        <f t="shared" si="3"/>
        <v>Aucun mouvement</v>
      </c>
    </row>
    <row r="48" spans="1:13" x14ac:dyDescent="0.35">
      <c r="A48" t="s">
        <v>224</v>
      </c>
      <c r="B48" s="24" t="s">
        <v>162</v>
      </c>
      <c r="C48" s="24"/>
      <c r="D48" s="15">
        <f>IF($B48="","",COUNTIFS(Dechargements!$C$5:$C$1002,$B48,Dechargements!$H$5:$H$1002,"Fait"))</f>
        <v>0</v>
      </c>
      <c r="E48" s="15">
        <f>IF($B48="","",SUMIFS(Dechargements!$E$5:$E$1002,Dechargements!$C$5:$C$1002,$B48,Dechargements!$H$5:$H$1002,"Fait"))</f>
        <v>0</v>
      </c>
      <c r="F48" s="15">
        <f>IF($B48="","",SUMIFS(Dechargements!$G$5:$G$1002,Dechargements!$C$5:$C$1002,$B48,Dechargements!$H$5:$H$1002,"Fait"))</f>
        <v>0</v>
      </c>
      <c r="G48" s="15">
        <f>IF($B48="","",SUMIFS(Dechargements!$G$5:$G$1002,Dechargements!$C$5:$C$1002,$B48)-$F48-SUMIFS(Dechargements!$G$5:$G$1002,Dechargements!$C$5:$C$1002,$B48,Dechargements!$H$5:$H$1002,"Annulé"))</f>
        <v>0</v>
      </c>
      <c r="H48" s="15">
        <f>IF($B48="","",SUMIFS(Paiements!$I$5:$I$2000,Paiements!$C$5:$C$2000,$B48,Paiements!$L$5:$L$2000,"Payé"))</f>
        <v>0</v>
      </c>
      <c r="I48" s="15">
        <f>IF($B48="","",SUMIFS(Paiements!$I$5:$I$2000,Paiements!$C$5:$C$2000,$B48,Paiements!$L$5:$L$2000,"En attente"))</f>
        <v>0</v>
      </c>
      <c r="J48" s="15">
        <f t="shared" si="0"/>
        <v>0</v>
      </c>
      <c r="K48" s="15">
        <f t="shared" si="1"/>
        <v>0</v>
      </c>
      <c r="L48" s="15">
        <f t="shared" si="2"/>
        <v>0</v>
      </c>
      <c r="M48" s="25" t="str">
        <f t="shared" si="3"/>
        <v>Aucun mouvement</v>
      </c>
    </row>
    <row r="49" spans="1:13" x14ac:dyDescent="0.35">
      <c r="A49" t="s">
        <v>225</v>
      </c>
      <c r="B49" s="24" t="s">
        <v>163</v>
      </c>
      <c r="C49" s="24"/>
      <c r="D49" s="15">
        <f>IF($B49="","",COUNTIFS(Dechargements!$C$5:$C$1002,$B49,Dechargements!$H$5:$H$1002,"Fait"))</f>
        <v>0</v>
      </c>
      <c r="E49" s="15">
        <f>IF($B49="","",SUMIFS(Dechargements!$E$5:$E$1002,Dechargements!$C$5:$C$1002,$B49,Dechargements!$H$5:$H$1002,"Fait"))</f>
        <v>0</v>
      </c>
      <c r="F49" s="15">
        <f>IF($B49="","",SUMIFS(Dechargements!$G$5:$G$1002,Dechargements!$C$5:$C$1002,$B49,Dechargements!$H$5:$H$1002,"Fait"))</f>
        <v>0</v>
      </c>
      <c r="G49" s="15">
        <f>IF($B49="","",SUMIFS(Dechargements!$G$5:$G$1002,Dechargements!$C$5:$C$1002,$B49)-$F49-SUMIFS(Dechargements!$G$5:$G$1002,Dechargements!$C$5:$C$1002,$B49,Dechargements!$H$5:$H$1002,"Annulé"))</f>
        <v>0</v>
      </c>
      <c r="H49" s="15">
        <f>IF($B49="","",SUMIFS(Paiements!$I$5:$I$2000,Paiements!$C$5:$C$2000,$B49,Paiements!$L$5:$L$2000,"Payé"))</f>
        <v>0</v>
      </c>
      <c r="I49" s="15">
        <f>IF($B49="","",SUMIFS(Paiements!$I$5:$I$2000,Paiements!$C$5:$C$2000,$B49,Paiements!$L$5:$L$2000,"En attente"))</f>
        <v>0</v>
      </c>
      <c r="J49" s="15">
        <f t="shared" si="0"/>
        <v>0</v>
      </c>
      <c r="K49" s="15">
        <f t="shared" si="1"/>
        <v>0</v>
      </c>
      <c r="L49" s="15">
        <f t="shared" si="2"/>
        <v>0</v>
      </c>
      <c r="M49" s="25" t="str">
        <f t="shared" si="3"/>
        <v>Aucun mouvement</v>
      </c>
    </row>
    <row r="50" spans="1:13" x14ac:dyDescent="0.35">
      <c r="A50" t="s">
        <v>226</v>
      </c>
      <c r="B50" s="24" t="s">
        <v>164</v>
      </c>
      <c r="C50" s="24"/>
      <c r="D50" s="15">
        <f>IF($B50="","",COUNTIFS(Dechargements!$C$5:$C$1002,$B50,Dechargements!$H$5:$H$1002,"Fait"))</f>
        <v>0</v>
      </c>
      <c r="E50" s="15">
        <f>IF($B50="","",SUMIFS(Dechargements!$E$5:$E$1002,Dechargements!$C$5:$C$1002,$B50,Dechargements!$H$5:$H$1002,"Fait"))</f>
        <v>0</v>
      </c>
      <c r="F50" s="15">
        <f>IF($B50="","",SUMIFS(Dechargements!$G$5:$G$1002,Dechargements!$C$5:$C$1002,$B50,Dechargements!$H$5:$H$1002,"Fait"))</f>
        <v>0</v>
      </c>
      <c r="G50" s="15">
        <f>IF($B50="","",SUMIFS(Dechargements!$G$5:$G$1002,Dechargements!$C$5:$C$1002,$B50)-$F50-SUMIFS(Dechargements!$G$5:$G$1002,Dechargements!$C$5:$C$1002,$B50,Dechargements!$H$5:$H$1002,"Annulé"))</f>
        <v>0</v>
      </c>
      <c r="H50" s="15">
        <f>IF($B50="","",SUMIFS(Paiements!$I$5:$I$2000,Paiements!$C$5:$C$2000,$B50,Paiements!$L$5:$L$2000,"Payé"))</f>
        <v>0</v>
      </c>
      <c r="I50" s="15">
        <f>IF($B50="","",SUMIFS(Paiements!$I$5:$I$2000,Paiements!$C$5:$C$2000,$B50,Paiements!$L$5:$L$2000,"En attente"))</f>
        <v>0</v>
      </c>
      <c r="J50" s="15">
        <f t="shared" si="0"/>
        <v>0</v>
      </c>
      <c r="K50" s="15">
        <f t="shared" si="1"/>
        <v>0</v>
      </c>
      <c r="L50" s="15">
        <f t="shared" si="2"/>
        <v>0</v>
      </c>
      <c r="M50" s="25" t="str">
        <f t="shared" si="3"/>
        <v>Aucun mouvement</v>
      </c>
    </row>
    <row r="51" spans="1:13" x14ac:dyDescent="0.35">
      <c r="A51" t="s">
        <v>227</v>
      </c>
      <c r="B51" s="24" t="s">
        <v>165</v>
      </c>
      <c r="C51" s="24"/>
      <c r="D51" s="15">
        <f>IF($B51="","",COUNTIFS(Dechargements!$C$5:$C$1002,$B51,Dechargements!$H$5:$H$1002,"Fait"))</f>
        <v>0</v>
      </c>
      <c r="E51" s="15">
        <f>IF($B51="","",SUMIFS(Dechargements!$E$5:$E$1002,Dechargements!$C$5:$C$1002,$B51,Dechargements!$H$5:$H$1002,"Fait"))</f>
        <v>0</v>
      </c>
      <c r="F51" s="15">
        <f>IF($B51="","",SUMIFS(Dechargements!$G$5:$G$1002,Dechargements!$C$5:$C$1002,$B51,Dechargements!$H$5:$H$1002,"Fait"))</f>
        <v>0</v>
      </c>
      <c r="G51" s="15">
        <f>IF($B51="","",SUMIFS(Dechargements!$G$5:$G$1002,Dechargements!$C$5:$C$1002,$B51)-$F51-SUMIFS(Dechargements!$G$5:$G$1002,Dechargements!$C$5:$C$1002,$B51,Dechargements!$H$5:$H$1002,"Annulé"))</f>
        <v>0</v>
      </c>
      <c r="H51" s="15">
        <f>IF($B51="","",SUMIFS(Paiements!$I$5:$I$2000,Paiements!$C$5:$C$2000,$B51,Paiements!$L$5:$L$2000,"Payé"))</f>
        <v>0</v>
      </c>
      <c r="I51" s="15">
        <f>IF($B51="","",SUMIFS(Paiements!$I$5:$I$2000,Paiements!$C$5:$C$2000,$B51,Paiements!$L$5:$L$2000,"En attente"))</f>
        <v>0</v>
      </c>
      <c r="J51" s="15">
        <f t="shared" si="0"/>
        <v>0</v>
      </c>
      <c r="K51" s="15">
        <f t="shared" si="1"/>
        <v>0</v>
      </c>
      <c r="L51" s="15">
        <f t="shared" si="2"/>
        <v>0</v>
      </c>
      <c r="M51" s="25" t="str">
        <f t="shared" si="3"/>
        <v>Aucun mouvement</v>
      </c>
    </row>
    <row r="52" spans="1:13" x14ac:dyDescent="0.35">
      <c r="A52" t="s">
        <v>228</v>
      </c>
      <c r="B52" s="24" t="s">
        <v>166</v>
      </c>
      <c r="C52" s="24"/>
      <c r="D52" s="15">
        <f>IF($B52="","",COUNTIFS(Dechargements!$C$5:$C$1002,$B52,Dechargements!$H$5:$H$1002,"Fait"))</f>
        <v>0</v>
      </c>
      <c r="E52" s="15">
        <f>IF($B52="","",SUMIFS(Dechargements!$E$5:$E$1002,Dechargements!$C$5:$C$1002,$B52,Dechargements!$H$5:$H$1002,"Fait"))</f>
        <v>0</v>
      </c>
      <c r="F52" s="15">
        <f>IF($B52="","",SUMIFS(Dechargements!$G$5:$G$1002,Dechargements!$C$5:$C$1002,$B52,Dechargements!$H$5:$H$1002,"Fait"))</f>
        <v>0</v>
      </c>
      <c r="G52" s="15">
        <f>IF($B52="","",SUMIFS(Dechargements!$G$5:$G$1002,Dechargements!$C$5:$C$1002,$B52)-$F52-SUMIFS(Dechargements!$G$5:$G$1002,Dechargements!$C$5:$C$1002,$B52,Dechargements!$H$5:$H$1002,"Annulé"))</f>
        <v>0</v>
      </c>
      <c r="H52" s="15">
        <f>IF($B52="","",SUMIFS(Paiements!$I$5:$I$2000,Paiements!$C$5:$C$2000,$B52,Paiements!$L$5:$L$2000,"Payé"))</f>
        <v>0</v>
      </c>
      <c r="I52" s="15">
        <f>IF($B52="","",SUMIFS(Paiements!$I$5:$I$2000,Paiements!$C$5:$C$2000,$B52,Paiements!$L$5:$L$2000,"En attente"))</f>
        <v>0</v>
      </c>
      <c r="J52" s="15">
        <f t="shared" si="0"/>
        <v>0</v>
      </c>
      <c r="K52" s="15">
        <f t="shared" si="1"/>
        <v>0</v>
      </c>
      <c r="L52" s="15">
        <f t="shared" si="2"/>
        <v>0</v>
      </c>
      <c r="M52" s="25" t="str">
        <f t="shared" si="3"/>
        <v>Aucun mouvement</v>
      </c>
    </row>
    <row r="53" spans="1:13" x14ac:dyDescent="0.35">
      <c r="A53" t="s">
        <v>229</v>
      </c>
      <c r="B53" s="24" t="s">
        <v>167</v>
      </c>
      <c r="C53" s="24"/>
      <c r="D53" s="15">
        <f>IF($B53="","",COUNTIFS(Dechargements!$C$5:$C$1002,$B53,Dechargements!$H$5:$H$1002,"Fait"))</f>
        <v>0</v>
      </c>
      <c r="E53" s="15">
        <f>IF($B53="","",SUMIFS(Dechargements!$E$5:$E$1002,Dechargements!$C$5:$C$1002,$B53,Dechargements!$H$5:$H$1002,"Fait"))</f>
        <v>0</v>
      </c>
      <c r="F53" s="15">
        <f>IF($B53="","",SUMIFS(Dechargements!$G$5:$G$1002,Dechargements!$C$5:$C$1002,$B53,Dechargements!$H$5:$H$1002,"Fait"))</f>
        <v>0</v>
      </c>
      <c r="G53" s="15">
        <f>IF($B53="","",SUMIFS(Dechargements!$G$5:$G$1002,Dechargements!$C$5:$C$1002,$B53)-$F53-SUMIFS(Dechargements!$G$5:$G$1002,Dechargements!$C$5:$C$1002,$B53,Dechargements!$H$5:$H$1002,"Annulé"))</f>
        <v>0</v>
      </c>
      <c r="H53" s="15">
        <f>IF($B53="","",SUMIFS(Paiements!$I$5:$I$2000,Paiements!$C$5:$C$2000,$B53,Paiements!$L$5:$L$2000,"Payé"))</f>
        <v>0</v>
      </c>
      <c r="I53" s="15">
        <f>IF($B53="","",SUMIFS(Paiements!$I$5:$I$2000,Paiements!$C$5:$C$2000,$B53,Paiements!$L$5:$L$2000,"En attente"))</f>
        <v>0</v>
      </c>
      <c r="J53" s="15">
        <f t="shared" si="0"/>
        <v>0</v>
      </c>
      <c r="K53" s="15">
        <f t="shared" si="1"/>
        <v>0</v>
      </c>
      <c r="L53" s="15">
        <f t="shared" si="2"/>
        <v>0</v>
      </c>
      <c r="M53" s="25" t="str">
        <f t="shared" si="3"/>
        <v>Aucun mouvement</v>
      </c>
    </row>
    <row r="54" spans="1:13" x14ac:dyDescent="0.35">
      <c r="A54" t="s">
        <v>230</v>
      </c>
      <c r="B54" s="24" t="s">
        <v>168</v>
      </c>
      <c r="C54" s="24"/>
      <c r="D54" s="15">
        <f>IF($B54="","",COUNTIFS(Dechargements!$C$5:$C$1002,$B54,Dechargements!$H$5:$H$1002,"Fait"))</f>
        <v>0</v>
      </c>
      <c r="E54" s="15">
        <f>IF($B54="","",SUMIFS(Dechargements!$E$5:$E$1002,Dechargements!$C$5:$C$1002,$B54,Dechargements!$H$5:$H$1002,"Fait"))</f>
        <v>0</v>
      </c>
      <c r="F54" s="15">
        <f>IF($B54="","",SUMIFS(Dechargements!$G$5:$G$1002,Dechargements!$C$5:$C$1002,$B54,Dechargements!$H$5:$H$1002,"Fait"))</f>
        <v>0</v>
      </c>
      <c r="G54" s="15">
        <f>IF($B54="","",SUMIFS(Dechargements!$G$5:$G$1002,Dechargements!$C$5:$C$1002,$B54)-$F54-SUMIFS(Dechargements!$G$5:$G$1002,Dechargements!$C$5:$C$1002,$B54,Dechargements!$H$5:$H$1002,"Annulé"))</f>
        <v>0</v>
      </c>
      <c r="H54" s="15">
        <f>IF($B54="","",SUMIFS(Paiements!$I$5:$I$2000,Paiements!$C$5:$C$2000,$B54,Paiements!$L$5:$L$2000,"Payé"))</f>
        <v>0</v>
      </c>
      <c r="I54" s="15">
        <f>IF($B54="","",SUMIFS(Paiements!$I$5:$I$2000,Paiements!$C$5:$C$2000,$B54,Paiements!$L$5:$L$2000,"En attente"))</f>
        <v>0</v>
      </c>
      <c r="J54" s="15">
        <f t="shared" si="0"/>
        <v>0</v>
      </c>
      <c r="K54" s="15">
        <f t="shared" si="1"/>
        <v>0</v>
      </c>
      <c r="L54" s="15">
        <f t="shared" si="2"/>
        <v>0</v>
      </c>
      <c r="M54" s="25" t="str">
        <f t="shared" si="3"/>
        <v>Aucun mouvement</v>
      </c>
    </row>
    <row r="55" spans="1:13" x14ac:dyDescent="0.35">
      <c r="A55" t="s">
        <v>231</v>
      </c>
      <c r="B55" s="24" t="s">
        <v>169</v>
      </c>
      <c r="C55" s="24"/>
      <c r="D55" s="15">
        <f>IF($B55="","",COUNTIFS(Dechargements!$C$5:$C$1002,$B55,Dechargements!$H$5:$H$1002,"Fait"))</f>
        <v>0</v>
      </c>
      <c r="E55" s="15">
        <f>IF($B55="","",SUMIFS(Dechargements!$E$5:$E$1002,Dechargements!$C$5:$C$1002,$B55,Dechargements!$H$5:$H$1002,"Fait"))</f>
        <v>0</v>
      </c>
      <c r="F55" s="15">
        <f>IF($B55="","",SUMIFS(Dechargements!$G$5:$G$1002,Dechargements!$C$5:$C$1002,$B55,Dechargements!$H$5:$H$1002,"Fait"))</f>
        <v>0</v>
      </c>
      <c r="G55" s="15">
        <f>IF($B55="","",SUMIFS(Dechargements!$G$5:$G$1002,Dechargements!$C$5:$C$1002,$B55)-$F55-SUMIFS(Dechargements!$G$5:$G$1002,Dechargements!$C$5:$C$1002,$B55,Dechargements!$H$5:$H$1002,"Annulé"))</f>
        <v>0</v>
      </c>
      <c r="H55" s="15">
        <f>IF($B55="","",SUMIFS(Paiements!$I$5:$I$2000,Paiements!$C$5:$C$2000,$B55,Paiements!$L$5:$L$2000,"Payé"))</f>
        <v>0</v>
      </c>
      <c r="I55" s="15">
        <f>IF($B55="","",SUMIFS(Paiements!$I$5:$I$2000,Paiements!$C$5:$C$2000,$B55,Paiements!$L$5:$L$2000,"En attente"))</f>
        <v>0</v>
      </c>
      <c r="J55" s="15">
        <f t="shared" si="0"/>
        <v>0</v>
      </c>
      <c r="K55" s="15">
        <f t="shared" si="1"/>
        <v>0</v>
      </c>
      <c r="L55" s="15">
        <f t="shared" si="2"/>
        <v>0</v>
      </c>
      <c r="M55" s="25" t="str">
        <f t="shared" si="3"/>
        <v>Aucun mouvement</v>
      </c>
    </row>
    <row r="56" spans="1:13" x14ac:dyDescent="0.35">
      <c r="A56" t="s">
        <v>232</v>
      </c>
      <c r="B56" s="24" t="s">
        <v>170</v>
      </c>
      <c r="C56" s="24"/>
      <c r="D56" s="15">
        <f>IF($B56="","",COUNTIFS(Dechargements!$C$5:$C$1002,$B56,Dechargements!$H$5:$H$1002,"Fait"))</f>
        <v>0</v>
      </c>
      <c r="E56" s="15">
        <f>IF($B56="","",SUMIFS(Dechargements!$E$5:$E$1002,Dechargements!$C$5:$C$1002,$B56,Dechargements!$H$5:$H$1002,"Fait"))</f>
        <v>0</v>
      </c>
      <c r="F56" s="15">
        <f>IF($B56="","",SUMIFS(Dechargements!$G$5:$G$1002,Dechargements!$C$5:$C$1002,$B56,Dechargements!$H$5:$H$1002,"Fait"))</f>
        <v>0</v>
      </c>
      <c r="G56" s="15">
        <f>IF($B56="","",SUMIFS(Dechargements!$G$5:$G$1002,Dechargements!$C$5:$C$1002,$B56)-$F56-SUMIFS(Dechargements!$G$5:$G$1002,Dechargements!$C$5:$C$1002,$B56,Dechargements!$H$5:$H$1002,"Annulé"))</f>
        <v>0</v>
      </c>
      <c r="H56" s="15">
        <f>IF($B56="","",SUMIFS(Paiements!$I$5:$I$2000,Paiements!$C$5:$C$2000,$B56,Paiements!$L$5:$L$2000,"Payé"))</f>
        <v>0</v>
      </c>
      <c r="I56" s="15">
        <f>IF($B56="","",SUMIFS(Paiements!$I$5:$I$2000,Paiements!$C$5:$C$2000,$B56,Paiements!$L$5:$L$2000,"En attente"))</f>
        <v>0</v>
      </c>
      <c r="J56" s="15">
        <f t="shared" si="0"/>
        <v>0</v>
      </c>
      <c r="K56" s="15">
        <f t="shared" si="1"/>
        <v>0</v>
      </c>
      <c r="L56" s="15">
        <f t="shared" si="2"/>
        <v>0</v>
      </c>
      <c r="M56" s="25" t="str">
        <f t="shared" si="3"/>
        <v>Aucun mouvement</v>
      </c>
    </row>
    <row r="57" spans="1:13" x14ac:dyDescent="0.35">
      <c r="A57" t="s">
        <v>233</v>
      </c>
      <c r="B57" s="24" t="s">
        <v>171</v>
      </c>
      <c r="C57" s="24"/>
      <c r="D57" s="15">
        <f>IF($B57="","",COUNTIFS(Dechargements!$C$5:$C$1002,$B57,Dechargements!$H$5:$H$1002,"Fait"))</f>
        <v>0</v>
      </c>
      <c r="E57" s="15">
        <f>IF($B57="","",SUMIFS(Dechargements!$E$5:$E$1002,Dechargements!$C$5:$C$1002,$B57,Dechargements!$H$5:$H$1002,"Fait"))</f>
        <v>0</v>
      </c>
      <c r="F57" s="15">
        <f>IF($B57="","",SUMIFS(Dechargements!$G$5:$G$1002,Dechargements!$C$5:$C$1002,$B57,Dechargements!$H$5:$H$1002,"Fait"))</f>
        <v>0</v>
      </c>
      <c r="G57" s="15">
        <f>IF($B57="","",SUMIFS(Dechargements!$G$5:$G$1002,Dechargements!$C$5:$C$1002,$B57)-$F57-SUMIFS(Dechargements!$G$5:$G$1002,Dechargements!$C$5:$C$1002,$B57,Dechargements!$H$5:$H$1002,"Annulé"))</f>
        <v>0</v>
      </c>
      <c r="H57" s="15">
        <f>IF($B57="","",SUMIFS(Paiements!$I$5:$I$2000,Paiements!$C$5:$C$2000,$B57,Paiements!$L$5:$L$2000,"Payé"))</f>
        <v>0</v>
      </c>
      <c r="I57" s="15">
        <f>IF($B57="","",SUMIFS(Paiements!$I$5:$I$2000,Paiements!$C$5:$C$2000,$B57,Paiements!$L$5:$L$2000,"En attente"))</f>
        <v>0</v>
      </c>
      <c r="J57" s="15">
        <f t="shared" si="0"/>
        <v>0</v>
      </c>
      <c r="K57" s="15">
        <f t="shared" si="1"/>
        <v>0</v>
      </c>
      <c r="L57" s="15">
        <f t="shared" si="2"/>
        <v>0</v>
      </c>
      <c r="M57" s="25" t="str">
        <f t="shared" si="3"/>
        <v>Aucun mouvement</v>
      </c>
    </row>
    <row r="58" spans="1:13" x14ac:dyDescent="0.35">
      <c r="A58" t="s">
        <v>234</v>
      </c>
      <c r="B58" s="24" t="s">
        <v>172</v>
      </c>
      <c r="C58" s="24"/>
      <c r="D58" s="15">
        <f>IF($B58="","",COUNTIFS(Dechargements!$C$5:$C$1002,$B58,Dechargements!$H$5:$H$1002,"Fait"))</f>
        <v>0</v>
      </c>
      <c r="E58" s="15">
        <f>IF($B58="","",SUMIFS(Dechargements!$E$5:$E$1002,Dechargements!$C$5:$C$1002,$B58,Dechargements!$H$5:$H$1002,"Fait"))</f>
        <v>0</v>
      </c>
      <c r="F58" s="15">
        <f>IF($B58="","",SUMIFS(Dechargements!$G$5:$G$1002,Dechargements!$C$5:$C$1002,$B58,Dechargements!$H$5:$H$1002,"Fait"))</f>
        <v>0</v>
      </c>
      <c r="G58" s="15">
        <f>IF($B58="","",SUMIFS(Dechargements!$G$5:$G$1002,Dechargements!$C$5:$C$1002,$B58)-$F58-SUMIFS(Dechargements!$G$5:$G$1002,Dechargements!$C$5:$C$1002,$B58,Dechargements!$H$5:$H$1002,"Annulé"))</f>
        <v>0</v>
      </c>
      <c r="H58" s="15">
        <f>IF($B58="","",SUMIFS(Paiements!$I$5:$I$2000,Paiements!$C$5:$C$2000,$B58,Paiements!$L$5:$L$2000,"Payé"))</f>
        <v>0</v>
      </c>
      <c r="I58" s="15">
        <f>IF($B58="","",SUMIFS(Paiements!$I$5:$I$2000,Paiements!$C$5:$C$2000,$B58,Paiements!$L$5:$L$2000,"En attente"))</f>
        <v>0</v>
      </c>
      <c r="J58" s="15">
        <f t="shared" si="0"/>
        <v>0</v>
      </c>
      <c r="K58" s="15">
        <f t="shared" si="1"/>
        <v>0</v>
      </c>
      <c r="L58" s="15">
        <f t="shared" si="2"/>
        <v>0</v>
      </c>
      <c r="M58" s="25" t="str">
        <f t="shared" si="3"/>
        <v>Aucun mouvement</v>
      </c>
    </row>
    <row r="59" spans="1:13" x14ac:dyDescent="0.35">
      <c r="A59" t="s">
        <v>235</v>
      </c>
      <c r="B59" s="24" t="s">
        <v>173</v>
      </c>
      <c r="C59" s="24"/>
      <c r="D59" s="15">
        <f>IF($B59="","",COUNTIFS(Dechargements!$C$5:$C$1002,$B59,Dechargements!$H$5:$H$1002,"Fait"))</f>
        <v>0</v>
      </c>
      <c r="E59" s="15">
        <f>IF($B59="","",SUMIFS(Dechargements!$E$5:$E$1002,Dechargements!$C$5:$C$1002,$B59,Dechargements!$H$5:$H$1002,"Fait"))</f>
        <v>0</v>
      </c>
      <c r="F59" s="15">
        <f>IF($B59="","",SUMIFS(Dechargements!$G$5:$G$1002,Dechargements!$C$5:$C$1002,$B59,Dechargements!$H$5:$H$1002,"Fait"))</f>
        <v>0</v>
      </c>
      <c r="G59" s="15">
        <f>IF($B59="","",SUMIFS(Dechargements!$G$5:$G$1002,Dechargements!$C$5:$C$1002,$B59)-$F59-SUMIFS(Dechargements!$G$5:$G$1002,Dechargements!$C$5:$C$1002,$B59,Dechargements!$H$5:$H$1002,"Annulé"))</f>
        <v>0</v>
      </c>
      <c r="H59" s="15">
        <f>IF($B59="","",SUMIFS(Paiements!$I$5:$I$2000,Paiements!$C$5:$C$2000,$B59,Paiements!$L$5:$L$2000,"Payé"))</f>
        <v>0</v>
      </c>
      <c r="I59" s="15">
        <f>IF($B59="","",SUMIFS(Paiements!$I$5:$I$2000,Paiements!$C$5:$C$2000,$B59,Paiements!$L$5:$L$2000,"En attente"))</f>
        <v>0</v>
      </c>
      <c r="J59" s="15">
        <f t="shared" si="0"/>
        <v>0</v>
      </c>
      <c r="K59" s="15">
        <f t="shared" si="1"/>
        <v>0</v>
      </c>
      <c r="L59" s="15">
        <f t="shared" si="2"/>
        <v>0</v>
      </c>
      <c r="M59" s="25" t="str">
        <f t="shared" si="3"/>
        <v>Aucun mouvement</v>
      </c>
    </row>
    <row r="60" spans="1:13" x14ac:dyDescent="0.35">
      <c r="A60" t="s">
        <v>236</v>
      </c>
      <c r="B60" s="24" t="s">
        <v>174</v>
      </c>
      <c r="C60" s="24"/>
      <c r="D60" s="15">
        <f>IF($B60="","",COUNTIFS(Dechargements!$C$5:$C$1002,$B60,Dechargements!$H$5:$H$1002,"Fait"))</f>
        <v>0</v>
      </c>
      <c r="E60" s="15">
        <f>IF($B60="","",SUMIFS(Dechargements!$E$5:$E$1002,Dechargements!$C$5:$C$1002,$B60,Dechargements!$H$5:$H$1002,"Fait"))</f>
        <v>0</v>
      </c>
      <c r="F60" s="15">
        <f>IF($B60="","",SUMIFS(Dechargements!$G$5:$G$1002,Dechargements!$C$5:$C$1002,$B60,Dechargements!$H$5:$H$1002,"Fait"))</f>
        <v>0</v>
      </c>
      <c r="G60" s="15">
        <f>IF($B60="","",SUMIFS(Dechargements!$G$5:$G$1002,Dechargements!$C$5:$C$1002,$B60)-$F60-SUMIFS(Dechargements!$G$5:$G$1002,Dechargements!$C$5:$C$1002,$B60,Dechargements!$H$5:$H$1002,"Annulé"))</f>
        <v>0</v>
      </c>
      <c r="H60" s="15">
        <f>IF($B60="","",SUMIFS(Paiements!$I$5:$I$2000,Paiements!$C$5:$C$2000,$B60,Paiements!$L$5:$L$2000,"Payé"))</f>
        <v>0</v>
      </c>
      <c r="I60" s="15">
        <f>IF($B60="","",SUMIFS(Paiements!$I$5:$I$2000,Paiements!$C$5:$C$2000,$B60,Paiements!$L$5:$L$2000,"En attente"))</f>
        <v>0</v>
      </c>
      <c r="J60" s="15">
        <f t="shared" si="0"/>
        <v>0</v>
      </c>
      <c r="K60" s="15">
        <f t="shared" si="1"/>
        <v>0</v>
      </c>
      <c r="L60" s="15">
        <f t="shared" si="2"/>
        <v>0</v>
      </c>
      <c r="M60" s="25" t="str">
        <f t="shared" si="3"/>
        <v>Aucun mouvement</v>
      </c>
    </row>
    <row r="61" spans="1:13" x14ac:dyDescent="0.35">
      <c r="A61" t="s">
        <v>237</v>
      </c>
      <c r="B61" s="24" t="s">
        <v>175</v>
      </c>
      <c r="C61" s="24"/>
      <c r="D61" s="15">
        <f>IF($B61="","",COUNTIFS(Dechargements!$C$5:$C$1002,$B61,Dechargements!$H$5:$H$1002,"Fait"))</f>
        <v>0</v>
      </c>
      <c r="E61" s="15">
        <f>IF($B61="","",SUMIFS(Dechargements!$E$5:$E$1002,Dechargements!$C$5:$C$1002,$B61,Dechargements!$H$5:$H$1002,"Fait"))</f>
        <v>0</v>
      </c>
      <c r="F61" s="15">
        <f>IF($B61="","",SUMIFS(Dechargements!$G$5:$G$1002,Dechargements!$C$5:$C$1002,$B61,Dechargements!$H$5:$H$1002,"Fait"))</f>
        <v>0</v>
      </c>
      <c r="G61" s="15">
        <f>IF($B61="","",SUMIFS(Dechargements!$G$5:$G$1002,Dechargements!$C$5:$C$1002,$B61)-$F61-SUMIFS(Dechargements!$G$5:$G$1002,Dechargements!$C$5:$C$1002,$B61,Dechargements!$H$5:$H$1002,"Annulé"))</f>
        <v>0</v>
      </c>
      <c r="H61" s="15">
        <f>IF($B61="","",SUMIFS(Paiements!$I$5:$I$2000,Paiements!$C$5:$C$2000,$B61,Paiements!$L$5:$L$2000,"Payé"))</f>
        <v>0</v>
      </c>
      <c r="I61" s="15">
        <f>IF($B61="","",SUMIFS(Paiements!$I$5:$I$2000,Paiements!$C$5:$C$2000,$B61,Paiements!$L$5:$L$2000,"En attente"))</f>
        <v>0</v>
      </c>
      <c r="J61" s="15">
        <f t="shared" si="0"/>
        <v>0</v>
      </c>
      <c r="K61" s="15">
        <f t="shared" si="1"/>
        <v>0</v>
      </c>
      <c r="L61" s="15">
        <f t="shared" si="2"/>
        <v>0</v>
      </c>
      <c r="M61" s="25" t="str">
        <f t="shared" si="3"/>
        <v>Aucun mouvement</v>
      </c>
    </row>
    <row r="62" spans="1:13" x14ac:dyDescent="0.35">
      <c r="A62" t="s">
        <v>238</v>
      </c>
      <c r="B62" s="24" t="s">
        <v>176</v>
      </c>
      <c r="C62" s="24"/>
      <c r="D62" s="15">
        <f>IF($B62="","",COUNTIFS(Dechargements!$C$5:$C$1002,$B62,Dechargements!$H$5:$H$1002,"Fait"))</f>
        <v>0</v>
      </c>
      <c r="E62" s="15">
        <f>IF($B62="","",SUMIFS(Dechargements!$E$5:$E$1002,Dechargements!$C$5:$C$1002,$B62,Dechargements!$H$5:$H$1002,"Fait"))</f>
        <v>0</v>
      </c>
      <c r="F62" s="15">
        <f>IF($B62="","",SUMIFS(Dechargements!$G$5:$G$1002,Dechargements!$C$5:$C$1002,$B62,Dechargements!$H$5:$H$1002,"Fait"))</f>
        <v>0</v>
      </c>
      <c r="G62" s="15">
        <f>IF($B62="","",SUMIFS(Dechargements!$G$5:$G$1002,Dechargements!$C$5:$C$1002,$B62)-$F62-SUMIFS(Dechargements!$G$5:$G$1002,Dechargements!$C$5:$C$1002,$B62,Dechargements!$H$5:$H$1002,"Annulé"))</f>
        <v>0</v>
      </c>
      <c r="H62" s="15">
        <f>IF($B62="","",SUMIFS(Paiements!$I$5:$I$2000,Paiements!$C$5:$C$2000,$B62,Paiements!$L$5:$L$2000,"Payé"))</f>
        <v>0</v>
      </c>
      <c r="I62" s="15">
        <f>IF($B62="","",SUMIFS(Paiements!$I$5:$I$2000,Paiements!$C$5:$C$2000,$B62,Paiements!$L$5:$L$2000,"En attente"))</f>
        <v>0</v>
      </c>
      <c r="J62" s="15">
        <f t="shared" si="0"/>
        <v>0</v>
      </c>
      <c r="K62" s="15">
        <f t="shared" si="1"/>
        <v>0</v>
      </c>
      <c r="L62" s="15">
        <f t="shared" si="2"/>
        <v>0</v>
      </c>
      <c r="M62" s="25" t="str">
        <f t="shared" si="3"/>
        <v>Aucun mouvement</v>
      </c>
    </row>
    <row r="63" spans="1:13" x14ac:dyDescent="0.35">
      <c r="A63" t="s">
        <v>239</v>
      </c>
      <c r="B63" s="24" t="s">
        <v>177</v>
      </c>
      <c r="C63" s="24"/>
      <c r="D63" s="15">
        <f>IF($B63="","",COUNTIFS(Dechargements!$C$5:$C$1002,$B63,Dechargements!$H$5:$H$1002,"Fait"))</f>
        <v>0</v>
      </c>
      <c r="E63" s="15">
        <f>IF($B63="","",SUMIFS(Dechargements!$E$5:$E$1002,Dechargements!$C$5:$C$1002,$B63,Dechargements!$H$5:$H$1002,"Fait"))</f>
        <v>0</v>
      </c>
      <c r="F63" s="15">
        <f>IF($B63="","",SUMIFS(Dechargements!$G$5:$G$1002,Dechargements!$C$5:$C$1002,$B63,Dechargements!$H$5:$H$1002,"Fait"))</f>
        <v>0</v>
      </c>
      <c r="G63" s="15">
        <f>IF($B63="","",SUMIFS(Dechargements!$G$5:$G$1002,Dechargements!$C$5:$C$1002,$B63)-$F63-SUMIFS(Dechargements!$G$5:$G$1002,Dechargements!$C$5:$C$1002,$B63,Dechargements!$H$5:$H$1002,"Annulé"))</f>
        <v>0</v>
      </c>
      <c r="H63" s="15">
        <f>IF($B63="","",SUMIFS(Paiements!$I$5:$I$2000,Paiements!$C$5:$C$2000,$B63,Paiements!$L$5:$L$2000,"Payé"))</f>
        <v>0</v>
      </c>
      <c r="I63" s="15">
        <f>IF($B63="","",SUMIFS(Paiements!$I$5:$I$2000,Paiements!$C$5:$C$2000,$B63,Paiements!$L$5:$L$2000,"En attente"))</f>
        <v>0</v>
      </c>
      <c r="J63" s="15">
        <f t="shared" si="0"/>
        <v>0</v>
      </c>
      <c r="K63" s="15">
        <f t="shared" si="1"/>
        <v>0</v>
      </c>
      <c r="L63" s="15">
        <f t="shared" si="2"/>
        <v>0</v>
      </c>
      <c r="M63" s="25" t="str">
        <f t="shared" si="3"/>
        <v>Aucun mouvement</v>
      </c>
    </row>
    <row r="64" spans="1:13" x14ac:dyDescent="0.35">
      <c r="A64" t="s">
        <v>240</v>
      </c>
      <c r="B64" s="24" t="s">
        <v>178</v>
      </c>
      <c r="C64" s="24"/>
      <c r="D64" s="15">
        <f>IF($B64="","",COUNTIFS(Dechargements!$C$5:$C$1002,$B64,Dechargements!$H$5:$H$1002,"Fait"))</f>
        <v>0</v>
      </c>
      <c r="E64" s="15">
        <f>IF($B64="","",SUMIFS(Dechargements!$E$5:$E$1002,Dechargements!$C$5:$C$1002,$B64,Dechargements!$H$5:$H$1002,"Fait"))</f>
        <v>0</v>
      </c>
      <c r="F64" s="15">
        <f>IF($B64="","",SUMIFS(Dechargements!$G$5:$G$1002,Dechargements!$C$5:$C$1002,$B64,Dechargements!$H$5:$H$1002,"Fait"))</f>
        <v>0</v>
      </c>
      <c r="G64" s="15">
        <f>IF($B64="","",SUMIFS(Dechargements!$G$5:$G$1002,Dechargements!$C$5:$C$1002,$B64)-$F64-SUMIFS(Dechargements!$G$5:$G$1002,Dechargements!$C$5:$C$1002,$B64,Dechargements!$H$5:$H$1002,"Annulé"))</f>
        <v>0</v>
      </c>
      <c r="H64" s="15">
        <f>IF($B64="","",SUMIFS(Paiements!$I$5:$I$2000,Paiements!$C$5:$C$2000,$B64,Paiements!$L$5:$L$2000,"Payé"))</f>
        <v>0</v>
      </c>
      <c r="I64" s="15">
        <f>IF($B64="","",SUMIFS(Paiements!$I$5:$I$2000,Paiements!$C$5:$C$2000,$B64,Paiements!$L$5:$L$2000,"En attente"))</f>
        <v>0</v>
      </c>
      <c r="J64" s="15">
        <f t="shared" si="0"/>
        <v>0</v>
      </c>
      <c r="K64" s="15">
        <f t="shared" si="1"/>
        <v>0</v>
      </c>
      <c r="L64" s="15">
        <f t="shared" si="2"/>
        <v>0</v>
      </c>
      <c r="M64" s="25" t="str">
        <f t="shared" si="3"/>
        <v>Aucun mouvement</v>
      </c>
    </row>
    <row r="65" spans="1:13" x14ac:dyDescent="0.35">
      <c r="A65" t="s">
        <v>241</v>
      </c>
      <c r="B65" s="24" t="s">
        <v>179</v>
      </c>
      <c r="C65" s="24"/>
      <c r="D65" s="15">
        <f>IF($B65="","",COUNTIFS(Dechargements!$C$5:$C$1002,$B65,Dechargements!$H$5:$H$1002,"Fait"))</f>
        <v>0</v>
      </c>
      <c r="E65" s="15">
        <f>IF($B65="","",SUMIFS(Dechargements!$E$5:$E$1002,Dechargements!$C$5:$C$1002,$B65,Dechargements!$H$5:$H$1002,"Fait"))</f>
        <v>0</v>
      </c>
      <c r="F65" s="15">
        <f>IF($B65="","",SUMIFS(Dechargements!$G$5:$G$1002,Dechargements!$C$5:$C$1002,$B65,Dechargements!$H$5:$H$1002,"Fait"))</f>
        <v>0</v>
      </c>
      <c r="G65" s="15">
        <f>IF($B65="","",SUMIFS(Dechargements!$G$5:$G$1002,Dechargements!$C$5:$C$1002,$B65)-$F65-SUMIFS(Dechargements!$G$5:$G$1002,Dechargements!$C$5:$C$1002,$B65,Dechargements!$H$5:$H$1002,"Annulé"))</f>
        <v>0</v>
      </c>
      <c r="H65" s="15">
        <f>IF($B65="","",SUMIFS(Paiements!$I$5:$I$2000,Paiements!$C$5:$C$2000,$B65,Paiements!$L$5:$L$2000,"Payé"))</f>
        <v>0</v>
      </c>
      <c r="I65" s="15">
        <f>IF($B65="","",SUMIFS(Paiements!$I$5:$I$2000,Paiements!$C$5:$C$2000,$B65,Paiements!$L$5:$L$2000,"En attente"))</f>
        <v>0</v>
      </c>
      <c r="J65" s="15">
        <f t="shared" si="0"/>
        <v>0</v>
      </c>
      <c r="K65" s="15">
        <f t="shared" si="1"/>
        <v>0</v>
      </c>
      <c r="L65" s="15">
        <f t="shared" si="2"/>
        <v>0</v>
      </c>
      <c r="M65" s="25" t="str">
        <f t="shared" si="3"/>
        <v>Aucun mouvement</v>
      </c>
    </row>
    <row r="66" spans="1:13" x14ac:dyDescent="0.35">
      <c r="A66" t="s">
        <v>242</v>
      </c>
      <c r="B66" s="24" t="s">
        <v>180</v>
      </c>
      <c r="C66" s="24"/>
      <c r="D66" s="15">
        <f>IF($B66="","",COUNTIFS(Dechargements!$C$5:$C$1002,$B66,Dechargements!$H$5:$H$1002,"Fait"))</f>
        <v>0</v>
      </c>
      <c r="E66" s="15">
        <f>IF($B66="","",SUMIFS(Dechargements!$E$5:$E$1002,Dechargements!$C$5:$C$1002,$B66,Dechargements!$H$5:$H$1002,"Fait"))</f>
        <v>0</v>
      </c>
      <c r="F66" s="15">
        <f>IF($B66="","",SUMIFS(Dechargements!$G$5:$G$1002,Dechargements!$C$5:$C$1002,$B66,Dechargements!$H$5:$H$1002,"Fait"))</f>
        <v>0</v>
      </c>
      <c r="G66" s="15">
        <f>IF($B66="","",SUMIFS(Dechargements!$G$5:$G$1002,Dechargements!$C$5:$C$1002,$B66)-$F66-SUMIFS(Dechargements!$G$5:$G$1002,Dechargements!$C$5:$C$1002,$B66,Dechargements!$H$5:$H$1002,"Annulé"))</f>
        <v>0</v>
      </c>
      <c r="H66" s="15">
        <f>IF($B66="","",SUMIFS(Paiements!$I$5:$I$2000,Paiements!$C$5:$C$2000,$B66,Paiements!$L$5:$L$2000,"Payé"))</f>
        <v>0</v>
      </c>
      <c r="I66" s="15">
        <f>IF($B66="","",SUMIFS(Paiements!$I$5:$I$2000,Paiements!$C$5:$C$2000,$B66,Paiements!$L$5:$L$2000,"En attente"))</f>
        <v>0</v>
      </c>
      <c r="J66" s="15">
        <f t="shared" si="0"/>
        <v>0</v>
      </c>
      <c r="K66" s="15">
        <f t="shared" si="1"/>
        <v>0</v>
      </c>
      <c r="L66" s="15">
        <f t="shared" si="2"/>
        <v>0</v>
      </c>
      <c r="M66" s="25" t="str">
        <f t="shared" si="3"/>
        <v>Aucun mouvement</v>
      </c>
    </row>
    <row r="67" spans="1:13" x14ac:dyDescent="0.35">
      <c r="A67" t="s">
        <v>243</v>
      </c>
      <c r="B67" s="24" t="s">
        <v>181</v>
      </c>
      <c r="C67" s="24"/>
      <c r="D67" s="15">
        <f>IF($B67="","",COUNTIFS(Dechargements!$C$5:$C$1002,$B67,Dechargements!$H$5:$H$1002,"Fait"))</f>
        <v>0</v>
      </c>
      <c r="E67" s="15">
        <f>IF($B67="","",SUMIFS(Dechargements!$E$5:$E$1002,Dechargements!$C$5:$C$1002,$B67,Dechargements!$H$5:$H$1002,"Fait"))</f>
        <v>0</v>
      </c>
      <c r="F67" s="15">
        <f>IF($B67="","",SUMIFS(Dechargements!$G$5:$G$1002,Dechargements!$C$5:$C$1002,$B67,Dechargements!$H$5:$H$1002,"Fait"))</f>
        <v>0</v>
      </c>
      <c r="G67" s="15">
        <f>IF($B67="","",SUMIFS(Dechargements!$G$5:$G$1002,Dechargements!$C$5:$C$1002,$B67)-$F67-SUMIFS(Dechargements!$G$5:$G$1002,Dechargements!$C$5:$C$1002,$B67,Dechargements!$H$5:$H$1002,"Annulé"))</f>
        <v>0</v>
      </c>
      <c r="H67" s="15">
        <f>IF($B67="","",SUMIFS(Paiements!$I$5:$I$2000,Paiements!$C$5:$C$2000,$B67,Paiements!$L$5:$L$2000,"Payé"))</f>
        <v>0</v>
      </c>
      <c r="I67" s="15">
        <f>IF($B67="","",SUMIFS(Paiements!$I$5:$I$2000,Paiements!$C$5:$C$2000,$B67,Paiements!$L$5:$L$2000,"En attente"))</f>
        <v>0</v>
      </c>
      <c r="J67" s="15">
        <f t="shared" si="0"/>
        <v>0</v>
      </c>
      <c r="K67" s="15">
        <f t="shared" si="1"/>
        <v>0</v>
      </c>
      <c r="L67" s="15">
        <f t="shared" si="2"/>
        <v>0</v>
      </c>
      <c r="M67" s="25" t="str">
        <f t="shared" si="3"/>
        <v>Aucun mouvement</v>
      </c>
    </row>
    <row r="68" spans="1:13" x14ac:dyDescent="0.35">
      <c r="B68" s="24"/>
      <c r="C68" s="24"/>
      <c r="D68" s="15" t="str">
        <f>IF($B68="","",COUNTIFS(Dechargements!$C$5:$C$1002,$B68,Dechargements!$H$5:$H$1002,"Fait"))</f>
        <v/>
      </c>
      <c r="E68" s="15" t="str">
        <f>IF($B68="","",SUMIFS(Dechargements!$E$5:$E$1002,Dechargements!$C$5:$C$1002,$B68,Dechargements!$H$5:$H$1002,"Fait"))</f>
        <v/>
      </c>
      <c r="F68" s="15" t="str">
        <f>IF($B68="","",SUMIFS(Dechargements!$G$5:$G$1002,Dechargements!$C$5:$C$1002,$B68,Dechargements!$H$5:$H$1002,"Fait"))</f>
        <v/>
      </c>
      <c r="G68" s="15" t="str">
        <f>IF($B68="","",SUMIFS(Dechargements!$G$5:$G$1002,Dechargements!$C$5:$C$1002,$B68)-$F68-SUMIFS(Dechargements!$G$5:$G$1002,Dechargements!$C$5:$C$1002,$B68,Dechargements!$H$5:$H$1002,"Annulé"))</f>
        <v/>
      </c>
      <c r="H68" s="15" t="str">
        <f>IF($B68="","",SUMIFS(Paiements!$I$5:$I$2000,Paiements!$C$5:$C$2000,$B68,Paiements!$L$5:$L$2000,"Payé"))</f>
        <v/>
      </c>
      <c r="I68" s="15" t="str">
        <f>IF($B68="","",SUMIFS(Paiements!$I$5:$I$2000,Paiements!$C$5:$C$2000,$B68,Paiements!$L$5:$L$2000,"En attente"))</f>
        <v/>
      </c>
      <c r="J68" s="15" t="str">
        <f t="shared" ref="J68:J103" si="4">IF($B68="","",$F68-$H68)</f>
        <v/>
      </c>
      <c r="K68" s="15" t="str">
        <f t="shared" ref="K68:K103" si="5">IF($B68="","",MAX(0,$J68))</f>
        <v/>
      </c>
      <c r="L68" s="15" t="str">
        <f t="shared" ref="L68:L103" si="6">IF($B68="","",MAX(0,-$J68))</f>
        <v/>
      </c>
      <c r="M68" s="25" t="str">
        <f t="shared" ref="M68:M103" si="7">IF($B68="","",IF(AND($F68=0,$H68=0,$G68=0),"Aucun mouvement",IF($J68&gt;0,"On lui doit",IF($J68&lt;0,"Avancé","Soldé"))))</f>
        <v/>
      </c>
    </row>
    <row r="69" spans="1:13" x14ac:dyDescent="0.35">
      <c r="B69" s="24"/>
      <c r="C69" s="24"/>
      <c r="D69" s="15" t="str">
        <f>IF($B69="","",COUNTIFS(Dechargements!$C$5:$C$1002,$B69,Dechargements!$H$5:$H$1002,"Fait"))</f>
        <v/>
      </c>
      <c r="E69" s="15" t="str">
        <f>IF($B69="","",SUMIFS(Dechargements!$E$5:$E$1002,Dechargements!$C$5:$C$1002,$B69,Dechargements!$H$5:$H$1002,"Fait"))</f>
        <v/>
      </c>
      <c r="F69" s="15" t="str">
        <f>IF($B69="","",SUMIFS(Dechargements!$G$5:$G$1002,Dechargements!$C$5:$C$1002,$B69,Dechargements!$H$5:$H$1002,"Fait"))</f>
        <v/>
      </c>
      <c r="G69" s="15" t="str">
        <f>IF($B69="","",SUMIFS(Dechargements!$G$5:$G$1002,Dechargements!$C$5:$C$1002,$B69)-$F69-SUMIFS(Dechargements!$G$5:$G$1002,Dechargements!$C$5:$C$1002,$B69,Dechargements!$H$5:$H$1002,"Annulé"))</f>
        <v/>
      </c>
      <c r="H69" s="15" t="str">
        <f>IF($B69="","",SUMIFS(Paiements!$I$5:$I$2000,Paiements!$C$5:$C$2000,$B69,Paiements!$L$5:$L$2000,"Payé"))</f>
        <v/>
      </c>
      <c r="I69" s="15" t="str">
        <f>IF($B69="","",SUMIFS(Paiements!$I$5:$I$2000,Paiements!$C$5:$C$2000,$B69,Paiements!$L$5:$L$2000,"En attente"))</f>
        <v/>
      </c>
      <c r="J69" s="15" t="str">
        <f t="shared" si="4"/>
        <v/>
      </c>
      <c r="K69" s="15" t="str">
        <f t="shared" si="5"/>
        <v/>
      </c>
      <c r="L69" s="15" t="str">
        <f t="shared" si="6"/>
        <v/>
      </c>
      <c r="M69" s="25" t="str">
        <f t="shared" si="7"/>
        <v/>
      </c>
    </row>
    <row r="70" spans="1:13" x14ac:dyDescent="0.35">
      <c r="B70" s="24"/>
      <c r="C70" s="24"/>
      <c r="D70" s="15" t="str">
        <f>IF($B70="","",COUNTIFS(Dechargements!$C$5:$C$1002,$B70,Dechargements!$H$5:$H$1002,"Fait"))</f>
        <v/>
      </c>
      <c r="E70" s="15" t="str">
        <f>IF($B70="","",SUMIFS(Dechargements!$E$5:$E$1002,Dechargements!$C$5:$C$1002,$B70,Dechargements!$H$5:$H$1002,"Fait"))</f>
        <v/>
      </c>
      <c r="F70" s="15" t="str">
        <f>IF($B70="","",SUMIFS(Dechargements!$G$5:$G$1002,Dechargements!$C$5:$C$1002,$B70,Dechargements!$H$5:$H$1002,"Fait"))</f>
        <v/>
      </c>
      <c r="G70" s="15" t="str">
        <f>IF($B70="","",SUMIFS(Dechargements!$G$5:$G$1002,Dechargements!$C$5:$C$1002,$B70)-$F70-SUMIFS(Dechargements!$G$5:$G$1002,Dechargements!$C$5:$C$1002,$B70,Dechargements!$H$5:$H$1002,"Annulé"))</f>
        <v/>
      </c>
      <c r="H70" s="15" t="str">
        <f>IF($B70="","",SUMIFS(Paiements!$I$5:$I$2000,Paiements!$C$5:$C$2000,$B70,Paiements!$L$5:$L$2000,"Payé"))</f>
        <v/>
      </c>
      <c r="I70" s="15" t="str">
        <f>IF($B70="","",SUMIFS(Paiements!$I$5:$I$2000,Paiements!$C$5:$C$2000,$B70,Paiements!$L$5:$L$2000,"En attente"))</f>
        <v/>
      </c>
      <c r="J70" s="15" t="str">
        <f t="shared" si="4"/>
        <v/>
      </c>
      <c r="K70" s="15" t="str">
        <f t="shared" si="5"/>
        <v/>
      </c>
      <c r="L70" s="15" t="str">
        <f t="shared" si="6"/>
        <v/>
      </c>
      <c r="M70" s="25" t="str">
        <f t="shared" si="7"/>
        <v/>
      </c>
    </row>
    <row r="71" spans="1:13" x14ac:dyDescent="0.35">
      <c r="B71" s="24"/>
      <c r="C71" s="24"/>
      <c r="D71" s="15" t="str">
        <f>IF($B71="","",COUNTIFS(Dechargements!$C$5:$C$1002,$B71,Dechargements!$H$5:$H$1002,"Fait"))</f>
        <v/>
      </c>
      <c r="E71" s="15" t="str">
        <f>IF($B71="","",SUMIFS(Dechargements!$E$5:$E$1002,Dechargements!$C$5:$C$1002,$B71,Dechargements!$H$5:$H$1002,"Fait"))</f>
        <v/>
      </c>
      <c r="F71" s="15" t="str">
        <f>IF($B71="","",SUMIFS(Dechargements!$G$5:$G$1002,Dechargements!$C$5:$C$1002,$B71,Dechargements!$H$5:$H$1002,"Fait"))</f>
        <v/>
      </c>
      <c r="G71" s="15" t="str">
        <f>IF($B71="","",SUMIFS(Dechargements!$G$5:$G$1002,Dechargements!$C$5:$C$1002,$B71)-$F71-SUMIFS(Dechargements!$G$5:$G$1002,Dechargements!$C$5:$C$1002,$B71,Dechargements!$H$5:$H$1002,"Annulé"))</f>
        <v/>
      </c>
      <c r="H71" s="15" t="str">
        <f>IF($B71="","",SUMIFS(Paiements!$I$5:$I$2000,Paiements!$C$5:$C$2000,$B71,Paiements!$L$5:$L$2000,"Payé"))</f>
        <v/>
      </c>
      <c r="I71" s="15" t="str">
        <f>IF($B71="","",SUMIFS(Paiements!$I$5:$I$2000,Paiements!$C$5:$C$2000,$B71,Paiements!$L$5:$L$2000,"En attente"))</f>
        <v/>
      </c>
      <c r="J71" s="15" t="str">
        <f t="shared" si="4"/>
        <v/>
      </c>
      <c r="K71" s="15" t="str">
        <f t="shared" si="5"/>
        <v/>
      </c>
      <c r="L71" s="15" t="str">
        <f t="shared" si="6"/>
        <v/>
      </c>
      <c r="M71" s="25" t="str">
        <f t="shared" si="7"/>
        <v/>
      </c>
    </row>
    <row r="72" spans="1:13" x14ac:dyDescent="0.35">
      <c r="B72" s="24"/>
      <c r="C72" s="24"/>
      <c r="D72" s="15" t="str">
        <f>IF($B72="","",COUNTIFS(Dechargements!$C$5:$C$1002,$B72,Dechargements!$H$5:$H$1002,"Fait"))</f>
        <v/>
      </c>
      <c r="E72" s="15" t="str">
        <f>IF($B72="","",SUMIFS(Dechargements!$E$5:$E$1002,Dechargements!$C$5:$C$1002,$B72,Dechargements!$H$5:$H$1002,"Fait"))</f>
        <v/>
      </c>
      <c r="F72" s="15" t="str">
        <f>IF($B72="","",SUMIFS(Dechargements!$G$5:$G$1002,Dechargements!$C$5:$C$1002,$B72,Dechargements!$H$5:$H$1002,"Fait"))</f>
        <v/>
      </c>
      <c r="G72" s="15" t="str">
        <f>IF($B72="","",SUMIFS(Dechargements!$G$5:$G$1002,Dechargements!$C$5:$C$1002,$B72)-$F72-SUMIFS(Dechargements!$G$5:$G$1002,Dechargements!$C$5:$C$1002,$B72,Dechargements!$H$5:$H$1002,"Annulé"))</f>
        <v/>
      </c>
      <c r="H72" s="15" t="str">
        <f>IF($B72="","",SUMIFS(Paiements!$I$5:$I$2000,Paiements!$C$5:$C$2000,$B72,Paiements!$L$5:$L$2000,"Payé"))</f>
        <v/>
      </c>
      <c r="I72" s="15" t="str">
        <f>IF($B72="","",SUMIFS(Paiements!$I$5:$I$2000,Paiements!$C$5:$C$2000,$B72,Paiements!$L$5:$L$2000,"En attente"))</f>
        <v/>
      </c>
      <c r="J72" s="15" t="str">
        <f t="shared" si="4"/>
        <v/>
      </c>
      <c r="K72" s="15" t="str">
        <f t="shared" si="5"/>
        <v/>
      </c>
      <c r="L72" s="15" t="str">
        <f t="shared" si="6"/>
        <v/>
      </c>
      <c r="M72" s="25" t="str">
        <f t="shared" si="7"/>
        <v/>
      </c>
    </row>
    <row r="73" spans="1:13" x14ac:dyDescent="0.35">
      <c r="B73" s="24"/>
      <c r="C73" s="24"/>
      <c r="D73" s="15" t="str">
        <f>IF($B73="","",COUNTIFS(Dechargements!$C$5:$C$1002,$B73,Dechargements!$H$5:$H$1002,"Fait"))</f>
        <v/>
      </c>
      <c r="E73" s="15" t="str">
        <f>IF($B73="","",SUMIFS(Dechargements!$E$5:$E$1002,Dechargements!$C$5:$C$1002,$B73,Dechargements!$H$5:$H$1002,"Fait"))</f>
        <v/>
      </c>
      <c r="F73" s="15" t="str">
        <f>IF($B73="","",SUMIFS(Dechargements!$G$5:$G$1002,Dechargements!$C$5:$C$1002,$B73,Dechargements!$H$5:$H$1002,"Fait"))</f>
        <v/>
      </c>
      <c r="G73" s="15" t="str">
        <f>IF($B73="","",SUMIFS(Dechargements!$G$5:$G$1002,Dechargements!$C$5:$C$1002,$B73)-$F73-SUMIFS(Dechargements!$G$5:$G$1002,Dechargements!$C$5:$C$1002,$B73,Dechargements!$H$5:$H$1002,"Annulé"))</f>
        <v/>
      </c>
      <c r="H73" s="15" t="str">
        <f>IF($B73="","",SUMIFS(Paiements!$I$5:$I$2000,Paiements!$C$5:$C$2000,$B73,Paiements!$L$5:$L$2000,"Payé"))</f>
        <v/>
      </c>
      <c r="I73" s="15" t="str">
        <f>IF($B73="","",SUMIFS(Paiements!$I$5:$I$2000,Paiements!$C$5:$C$2000,$B73,Paiements!$L$5:$L$2000,"En attente"))</f>
        <v/>
      </c>
      <c r="J73" s="15" t="str">
        <f t="shared" si="4"/>
        <v/>
      </c>
      <c r="K73" s="15" t="str">
        <f t="shared" si="5"/>
        <v/>
      </c>
      <c r="L73" s="15" t="str">
        <f t="shared" si="6"/>
        <v/>
      </c>
      <c r="M73" s="25" t="str">
        <f t="shared" si="7"/>
        <v/>
      </c>
    </row>
    <row r="74" spans="1:13" x14ac:dyDescent="0.35">
      <c r="B74" s="24"/>
      <c r="C74" s="24"/>
      <c r="D74" s="15" t="str">
        <f>IF($B74="","",COUNTIFS(Dechargements!$C$5:$C$1002,$B74,Dechargements!$H$5:$H$1002,"Fait"))</f>
        <v/>
      </c>
      <c r="E74" s="15" t="str">
        <f>IF($B74="","",SUMIFS(Dechargements!$E$5:$E$1002,Dechargements!$C$5:$C$1002,$B74,Dechargements!$H$5:$H$1002,"Fait"))</f>
        <v/>
      </c>
      <c r="F74" s="15" t="str">
        <f>IF($B74="","",SUMIFS(Dechargements!$G$5:$G$1002,Dechargements!$C$5:$C$1002,$B74,Dechargements!$H$5:$H$1002,"Fait"))</f>
        <v/>
      </c>
      <c r="G74" s="15" t="str">
        <f>IF($B74="","",SUMIFS(Dechargements!$G$5:$G$1002,Dechargements!$C$5:$C$1002,$B74)-$F74-SUMIFS(Dechargements!$G$5:$G$1002,Dechargements!$C$5:$C$1002,$B74,Dechargements!$H$5:$H$1002,"Annulé"))</f>
        <v/>
      </c>
      <c r="H74" s="15" t="str">
        <f>IF($B74="","",SUMIFS(Paiements!$I$5:$I$2000,Paiements!$C$5:$C$2000,$B74,Paiements!$L$5:$L$2000,"Payé"))</f>
        <v/>
      </c>
      <c r="I74" s="15" t="str">
        <f>IF($B74="","",SUMIFS(Paiements!$I$5:$I$2000,Paiements!$C$5:$C$2000,$B74,Paiements!$L$5:$L$2000,"En attente"))</f>
        <v/>
      </c>
      <c r="J74" s="15" t="str">
        <f t="shared" si="4"/>
        <v/>
      </c>
      <c r="K74" s="15" t="str">
        <f t="shared" si="5"/>
        <v/>
      </c>
      <c r="L74" s="15" t="str">
        <f t="shared" si="6"/>
        <v/>
      </c>
      <c r="M74" s="25" t="str">
        <f t="shared" si="7"/>
        <v/>
      </c>
    </row>
    <row r="75" spans="1:13" x14ac:dyDescent="0.35">
      <c r="B75" s="24"/>
      <c r="C75" s="24"/>
      <c r="D75" s="15" t="str">
        <f>IF($B75="","",COUNTIFS(Dechargements!$C$5:$C$1002,$B75,Dechargements!$H$5:$H$1002,"Fait"))</f>
        <v/>
      </c>
      <c r="E75" s="15" t="str">
        <f>IF($B75="","",SUMIFS(Dechargements!$E$5:$E$1002,Dechargements!$C$5:$C$1002,$B75,Dechargements!$H$5:$H$1002,"Fait"))</f>
        <v/>
      </c>
      <c r="F75" s="15" t="str">
        <f>IF($B75="","",SUMIFS(Dechargements!$G$5:$G$1002,Dechargements!$C$5:$C$1002,$B75,Dechargements!$H$5:$H$1002,"Fait"))</f>
        <v/>
      </c>
      <c r="G75" s="15" t="str">
        <f>IF($B75="","",SUMIFS(Dechargements!$G$5:$G$1002,Dechargements!$C$5:$C$1002,$B75)-$F75-SUMIFS(Dechargements!$G$5:$G$1002,Dechargements!$C$5:$C$1002,$B75,Dechargements!$H$5:$H$1002,"Annulé"))</f>
        <v/>
      </c>
      <c r="H75" s="15" t="str">
        <f>IF($B75="","",SUMIFS(Paiements!$I$5:$I$2000,Paiements!$C$5:$C$2000,$B75,Paiements!$L$5:$L$2000,"Payé"))</f>
        <v/>
      </c>
      <c r="I75" s="15" t="str">
        <f>IF($B75="","",SUMIFS(Paiements!$I$5:$I$2000,Paiements!$C$5:$C$2000,$B75,Paiements!$L$5:$L$2000,"En attente"))</f>
        <v/>
      </c>
      <c r="J75" s="15" t="str">
        <f t="shared" si="4"/>
        <v/>
      </c>
      <c r="K75" s="15" t="str">
        <f t="shared" si="5"/>
        <v/>
      </c>
      <c r="L75" s="15" t="str">
        <f t="shared" si="6"/>
        <v/>
      </c>
      <c r="M75" s="25" t="str">
        <f t="shared" si="7"/>
        <v/>
      </c>
    </row>
    <row r="76" spans="1:13" x14ac:dyDescent="0.35">
      <c r="B76" s="24"/>
      <c r="C76" s="24"/>
      <c r="D76" s="15" t="str">
        <f>IF($B76="","",COUNTIFS(Dechargements!$C$5:$C$1002,$B76,Dechargements!$H$5:$H$1002,"Fait"))</f>
        <v/>
      </c>
      <c r="E76" s="15" t="str">
        <f>IF($B76="","",SUMIFS(Dechargements!$E$5:$E$1002,Dechargements!$C$5:$C$1002,$B76,Dechargements!$H$5:$H$1002,"Fait"))</f>
        <v/>
      </c>
      <c r="F76" s="15" t="str">
        <f>IF($B76="","",SUMIFS(Dechargements!$G$5:$G$1002,Dechargements!$C$5:$C$1002,$B76,Dechargements!$H$5:$H$1002,"Fait"))</f>
        <v/>
      </c>
      <c r="G76" s="15" t="str">
        <f>IF($B76="","",SUMIFS(Dechargements!$G$5:$G$1002,Dechargements!$C$5:$C$1002,$B76)-$F76-SUMIFS(Dechargements!$G$5:$G$1002,Dechargements!$C$5:$C$1002,$B76,Dechargements!$H$5:$H$1002,"Annulé"))</f>
        <v/>
      </c>
      <c r="H76" s="15" t="str">
        <f>IF($B76="","",SUMIFS(Paiements!$I$5:$I$2000,Paiements!$C$5:$C$2000,$B76,Paiements!$L$5:$L$2000,"Payé"))</f>
        <v/>
      </c>
      <c r="I76" s="15" t="str">
        <f>IF($B76="","",SUMIFS(Paiements!$I$5:$I$2000,Paiements!$C$5:$C$2000,$B76,Paiements!$L$5:$L$2000,"En attente"))</f>
        <v/>
      </c>
      <c r="J76" s="15" t="str">
        <f t="shared" si="4"/>
        <v/>
      </c>
      <c r="K76" s="15" t="str">
        <f t="shared" si="5"/>
        <v/>
      </c>
      <c r="L76" s="15" t="str">
        <f t="shared" si="6"/>
        <v/>
      </c>
      <c r="M76" s="25" t="str">
        <f t="shared" si="7"/>
        <v/>
      </c>
    </row>
    <row r="77" spans="1:13" x14ac:dyDescent="0.35">
      <c r="B77" s="24"/>
      <c r="C77" s="24"/>
      <c r="D77" s="15" t="str">
        <f>IF($B77="","",COUNTIFS(Dechargements!$C$5:$C$1002,$B77,Dechargements!$H$5:$H$1002,"Fait"))</f>
        <v/>
      </c>
      <c r="E77" s="15" t="str">
        <f>IF($B77="","",SUMIFS(Dechargements!$E$5:$E$1002,Dechargements!$C$5:$C$1002,$B77,Dechargements!$H$5:$H$1002,"Fait"))</f>
        <v/>
      </c>
      <c r="F77" s="15" t="str">
        <f>IF($B77="","",SUMIFS(Dechargements!$G$5:$G$1002,Dechargements!$C$5:$C$1002,$B77,Dechargements!$H$5:$H$1002,"Fait"))</f>
        <v/>
      </c>
      <c r="G77" s="15" t="str">
        <f>IF($B77="","",SUMIFS(Dechargements!$G$5:$G$1002,Dechargements!$C$5:$C$1002,$B77)-$F77-SUMIFS(Dechargements!$G$5:$G$1002,Dechargements!$C$5:$C$1002,$B77,Dechargements!$H$5:$H$1002,"Annulé"))</f>
        <v/>
      </c>
      <c r="H77" s="15" t="str">
        <f>IF($B77="","",SUMIFS(Paiements!$I$5:$I$2000,Paiements!$C$5:$C$2000,$B77,Paiements!$L$5:$L$2000,"Payé"))</f>
        <v/>
      </c>
      <c r="I77" s="15" t="str">
        <f>IF($B77="","",SUMIFS(Paiements!$I$5:$I$2000,Paiements!$C$5:$C$2000,$B77,Paiements!$L$5:$L$2000,"En attente"))</f>
        <v/>
      </c>
      <c r="J77" s="15" t="str">
        <f t="shared" si="4"/>
        <v/>
      </c>
      <c r="K77" s="15" t="str">
        <f t="shared" si="5"/>
        <v/>
      </c>
      <c r="L77" s="15" t="str">
        <f t="shared" si="6"/>
        <v/>
      </c>
      <c r="M77" s="25" t="str">
        <f t="shared" si="7"/>
        <v/>
      </c>
    </row>
    <row r="78" spans="1:13" x14ac:dyDescent="0.35">
      <c r="B78" s="24"/>
      <c r="C78" s="24"/>
      <c r="D78" s="15" t="str">
        <f>IF($B78="","",COUNTIFS(Dechargements!$C$5:$C$1002,$B78,Dechargements!$H$5:$H$1002,"Fait"))</f>
        <v/>
      </c>
      <c r="E78" s="15" t="str">
        <f>IF($B78="","",SUMIFS(Dechargements!$E$5:$E$1002,Dechargements!$C$5:$C$1002,$B78,Dechargements!$H$5:$H$1002,"Fait"))</f>
        <v/>
      </c>
      <c r="F78" s="15" t="str">
        <f>IF($B78="","",SUMIFS(Dechargements!$G$5:$G$1002,Dechargements!$C$5:$C$1002,$B78,Dechargements!$H$5:$H$1002,"Fait"))</f>
        <v/>
      </c>
      <c r="G78" s="15" t="str">
        <f>IF($B78="","",SUMIFS(Dechargements!$G$5:$G$1002,Dechargements!$C$5:$C$1002,$B78)-$F78-SUMIFS(Dechargements!$G$5:$G$1002,Dechargements!$C$5:$C$1002,$B78,Dechargements!$H$5:$H$1002,"Annulé"))</f>
        <v/>
      </c>
      <c r="H78" s="15" t="str">
        <f>IF($B78="","",SUMIFS(Paiements!$I$5:$I$2000,Paiements!$C$5:$C$2000,$B78,Paiements!$L$5:$L$2000,"Payé"))</f>
        <v/>
      </c>
      <c r="I78" s="15" t="str">
        <f>IF($B78="","",SUMIFS(Paiements!$I$5:$I$2000,Paiements!$C$5:$C$2000,$B78,Paiements!$L$5:$L$2000,"En attente"))</f>
        <v/>
      </c>
      <c r="J78" s="15" t="str">
        <f t="shared" si="4"/>
        <v/>
      </c>
      <c r="K78" s="15" t="str">
        <f t="shared" si="5"/>
        <v/>
      </c>
      <c r="L78" s="15" t="str">
        <f t="shared" si="6"/>
        <v/>
      </c>
      <c r="M78" s="25" t="str">
        <f t="shared" si="7"/>
        <v/>
      </c>
    </row>
    <row r="79" spans="1:13" x14ac:dyDescent="0.35">
      <c r="B79" s="24"/>
      <c r="C79" s="24"/>
      <c r="D79" s="15" t="str">
        <f>IF($B79="","",COUNTIFS(Dechargements!$C$5:$C$1002,$B79,Dechargements!$H$5:$H$1002,"Fait"))</f>
        <v/>
      </c>
      <c r="E79" s="15" t="str">
        <f>IF($B79="","",SUMIFS(Dechargements!$E$5:$E$1002,Dechargements!$C$5:$C$1002,$B79,Dechargements!$H$5:$H$1002,"Fait"))</f>
        <v/>
      </c>
      <c r="F79" s="15" t="str">
        <f>IF($B79="","",SUMIFS(Dechargements!$G$5:$G$1002,Dechargements!$C$5:$C$1002,$B79,Dechargements!$H$5:$H$1002,"Fait"))</f>
        <v/>
      </c>
      <c r="G79" s="15" t="str">
        <f>IF($B79="","",SUMIFS(Dechargements!$G$5:$G$1002,Dechargements!$C$5:$C$1002,$B79)-$F79-SUMIFS(Dechargements!$G$5:$G$1002,Dechargements!$C$5:$C$1002,$B79,Dechargements!$H$5:$H$1002,"Annulé"))</f>
        <v/>
      </c>
      <c r="H79" s="15" t="str">
        <f>IF($B79="","",SUMIFS(Paiements!$I$5:$I$2000,Paiements!$C$5:$C$2000,$B79,Paiements!$L$5:$L$2000,"Payé"))</f>
        <v/>
      </c>
      <c r="I79" s="15" t="str">
        <f>IF($B79="","",SUMIFS(Paiements!$I$5:$I$2000,Paiements!$C$5:$C$2000,$B79,Paiements!$L$5:$L$2000,"En attente"))</f>
        <v/>
      </c>
      <c r="J79" s="15" t="str">
        <f t="shared" si="4"/>
        <v/>
      </c>
      <c r="K79" s="15" t="str">
        <f t="shared" si="5"/>
        <v/>
      </c>
      <c r="L79" s="15" t="str">
        <f t="shared" si="6"/>
        <v/>
      </c>
      <c r="M79" s="25" t="str">
        <f t="shared" si="7"/>
        <v/>
      </c>
    </row>
    <row r="80" spans="1:13" x14ac:dyDescent="0.35">
      <c r="B80" s="24"/>
      <c r="C80" s="24"/>
      <c r="D80" s="15" t="str">
        <f>IF($B80="","",COUNTIFS(Dechargements!$C$5:$C$1002,$B80,Dechargements!$H$5:$H$1002,"Fait"))</f>
        <v/>
      </c>
      <c r="E80" s="15" t="str">
        <f>IF($B80="","",SUMIFS(Dechargements!$E$5:$E$1002,Dechargements!$C$5:$C$1002,$B80,Dechargements!$H$5:$H$1002,"Fait"))</f>
        <v/>
      </c>
      <c r="F80" s="15" t="str">
        <f>IF($B80="","",SUMIFS(Dechargements!$G$5:$G$1002,Dechargements!$C$5:$C$1002,$B80,Dechargements!$H$5:$H$1002,"Fait"))</f>
        <v/>
      </c>
      <c r="G80" s="15" t="str">
        <f>IF($B80="","",SUMIFS(Dechargements!$G$5:$G$1002,Dechargements!$C$5:$C$1002,$B80)-$F80-SUMIFS(Dechargements!$G$5:$G$1002,Dechargements!$C$5:$C$1002,$B80,Dechargements!$H$5:$H$1002,"Annulé"))</f>
        <v/>
      </c>
      <c r="H80" s="15" t="str">
        <f>IF($B80="","",SUMIFS(Paiements!$I$5:$I$2000,Paiements!$C$5:$C$2000,$B80,Paiements!$L$5:$L$2000,"Payé"))</f>
        <v/>
      </c>
      <c r="I80" s="15" t="str">
        <f>IF($B80="","",SUMIFS(Paiements!$I$5:$I$2000,Paiements!$C$5:$C$2000,$B80,Paiements!$L$5:$L$2000,"En attente"))</f>
        <v/>
      </c>
      <c r="J80" s="15" t="str">
        <f t="shared" si="4"/>
        <v/>
      </c>
      <c r="K80" s="15" t="str">
        <f t="shared" si="5"/>
        <v/>
      </c>
      <c r="L80" s="15" t="str">
        <f t="shared" si="6"/>
        <v/>
      </c>
      <c r="M80" s="25" t="str">
        <f t="shared" si="7"/>
        <v/>
      </c>
    </row>
    <row r="81" spans="2:13" x14ac:dyDescent="0.35">
      <c r="B81" s="24"/>
      <c r="C81" s="24"/>
      <c r="D81" s="15" t="str">
        <f>IF($B81="","",COUNTIFS(Dechargements!$C$5:$C$1002,$B81,Dechargements!$H$5:$H$1002,"Fait"))</f>
        <v/>
      </c>
      <c r="E81" s="15" t="str">
        <f>IF($B81="","",SUMIFS(Dechargements!$E$5:$E$1002,Dechargements!$C$5:$C$1002,$B81,Dechargements!$H$5:$H$1002,"Fait"))</f>
        <v/>
      </c>
      <c r="F81" s="15" t="str">
        <f>IF($B81="","",SUMIFS(Dechargements!$G$5:$G$1002,Dechargements!$C$5:$C$1002,$B81,Dechargements!$H$5:$H$1002,"Fait"))</f>
        <v/>
      </c>
      <c r="G81" s="15" t="str">
        <f>IF($B81="","",SUMIFS(Dechargements!$G$5:$G$1002,Dechargements!$C$5:$C$1002,$B81)-$F81-SUMIFS(Dechargements!$G$5:$G$1002,Dechargements!$C$5:$C$1002,$B81,Dechargements!$H$5:$H$1002,"Annulé"))</f>
        <v/>
      </c>
      <c r="H81" s="15" t="str">
        <f>IF($B81="","",SUMIFS(Paiements!$I$5:$I$2000,Paiements!$C$5:$C$2000,$B81,Paiements!$L$5:$L$2000,"Payé"))</f>
        <v/>
      </c>
      <c r="I81" s="15" t="str">
        <f>IF($B81="","",SUMIFS(Paiements!$I$5:$I$2000,Paiements!$C$5:$C$2000,$B81,Paiements!$L$5:$L$2000,"En attente"))</f>
        <v/>
      </c>
      <c r="J81" s="15" t="str">
        <f t="shared" si="4"/>
        <v/>
      </c>
      <c r="K81" s="15" t="str">
        <f t="shared" si="5"/>
        <v/>
      </c>
      <c r="L81" s="15" t="str">
        <f t="shared" si="6"/>
        <v/>
      </c>
      <c r="M81" s="25" t="str">
        <f t="shared" si="7"/>
        <v/>
      </c>
    </row>
    <row r="82" spans="2:13" x14ac:dyDescent="0.35">
      <c r="B82" s="24"/>
      <c r="C82" s="24"/>
      <c r="D82" s="15" t="str">
        <f>IF($B82="","",COUNTIFS(Dechargements!$C$5:$C$1002,$B82,Dechargements!$H$5:$H$1002,"Fait"))</f>
        <v/>
      </c>
      <c r="E82" s="15" t="str">
        <f>IF($B82="","",SUMIFS(Dechargements!$E$5:$E$1002,Dechargements!$C$5:$C$1002,$B82,Dechargements!$H$5:$H$1002,"Fait"))</f>
        <v/>
      </c>
      <c r="F82" s="15" t="str">
        <f>IF($B82="","",SUMIFS(Dechargements!$G$5:$G$1002,Dechargements!$C$5:$C$1002,$B82,Dechargements!$H$5:$H$1002,"Fait"))</f>
        <v/>
      </c>
      <c r="G82" s="15" t="str">
        <f>IF($B82="","",SUMIFS(Dechargements!$G$5:$G$1002,Dechargements!$C$5:$C$1002,$B82)-$F82-SUMIFS(Dechargements!$G$5:$G$1002,Dechargements!$C$5:$C$1002,$B82,Dechargements!$H$5:$H$1002,"Annulé"))</f>
        <v/>
      </c>
      <c r="H82" s="15" t="str">
        <f>IF($B82="","",SUMIFS(Paiements!$I$5:$I$2000,Paiements!$C$5:$C$2000,$B82,Paiements!$L$5:$L$2000,"Payé"))</f>
        <v/>
      </c>
      <c r="I82" s="15" t="str">
        <f>IF($B82="","",SUMIFS(Paiements!$I$5:$I$2000,Paiements!$C$5:$C$2000,$B82,Paiements!$L$5:$L$2000,"En attente"))</f>
        <v/>
      </c>
      <c r="J82" s="15" t="str">
        <f t="shared" si="4"/>
        <v/>
      </c>
      <c r="K82" s="15" t="str">
        <f t="shared" si="5"/>
        <v/>
      </c>
      <c r="L82" s="15" t="str">
        <f t="shared" si="6"/>
        <v/>
      </c>
      <c r="M82" s="25" t="str">
        <f t="shared" si="7"/>
        <v/>
      </c>
    </row>
    <row r="83" spans="2:13" x14ac:dyDescent="0.35">
      <c r="B83" s="24"/>
      <c r="C83" s="24"/>
      <c r="D83" s="15" t="str">
        <f>IF($B83="","",COUNTIFS(Dechargements!$C$5:$C$1002,$B83,Dechargements!$H$5:$H$1002,"Fait"))</f>
        <v/>
      </c>
      <c r="E83" s="15" t="str">
        <f>IF($B83="","",SUMIFS(Dechargements!$E$5:$E$1002,Dechargements!$C$5:$C$1002,$B83,Dechargements!$H$5:$H$1002,"Fait"))</f>
        <v/>
      </c>
      <c r="F83" s="15" t="str">
        <f>IF($B83="","",SUMIFS(Dechargements!$G$5:$G$1002,Dechargements!$C$5:$C$1002,$B83,Dechargements!$H$5:$H$1002,"Fait"))</f>
        <v/>
      </c>
      <c r="G83" s="15" t="str">
        <f>IF($B83="","",SUMIFS(Dechargements!$G$5:$G$1002,Dechargements!$C$5:$C$1002,$B83)-$F83-SUMIFS(Dechargements!$G$5:$G$1002,Dechargements!$C$5:$C$1002,$B83,Dechargements!$H$5:$H$1002,"Annulé"))</f>
        <v/>
      </c>
      <c r="H83" s="15" t="str">
        <f>IF($B83="","",SUMIFS(Paiements!$I$5:$I$2000,Paiements!$C$5:$C$2000,$B83,Paiements!$L$5:$L$2000,"Payé"))</f>
        <v/>
      </c>
      <c r="I83" s="15" t="str">
        <f>IF($B83="","",SUMIFS(Paiements!$I$5:$I$2000,Paiements!$C$5:$C$2000,$B83,Paiements!$L$5:$L$2000,"En attente"))</f>
        <v/>
      </c>
      <c r="J83" s="15" t="str">
        <f t="shared" si="4"/>
        <v/>
      </c>
      <c r="K83" s="15" t="str">
        <f t="shared" si="5"/>
        <v/>
      </c>
      <c r="L83" s="15" t="str">
        <f t="shared" si="6"/>
        <v/>
      </c>
      <c r="M83" s="25" t="str">
        <f t="shared" si="7"/>
        <v/>
      </c>
    </row>
    <row r="84" spans="2:13" x14ac:dyDescent="0.35">
      <c r="B84" s="24"/>
      <c r="C84" s="24"/>
      <c r="D84" s="15" t="str">
        <f>IF($B84="","",COUNTIFS(Dechargements!$C$5:$C$1002,$B84,Dechargements!$H$5:$H$1002,"Fait"))</f>
        <v/>
      </c>
      <c r="E84" s="15" t="str">
        <f>IF($B84="","",SUMIFS(Dechargements!$E$5:$E$1002,Dechargements!$C$5:$C$1002,$B84,Dechargements!$H$5:$H$1002,"Fait"))</f>
        <v/>
      </c>
      <c r="F84" s="15" t="str">
        <f>IF($B84="","",SUMIFS(Dechargements!$G$5:$G$1002,Dechargements!$C$5:$C$1002,$B84,Dechargements!$H$5:$H$1002,"Fait"))</f>
        <v/>
      </c>
      <c r="G84" s="15" t="str">
        <f>IF($B84="","",SUMIFS(Dechargements!$G$5:$G$1002,Dechargements!$C$5:$C$1002,$B84)-$F84-SUMIFS(Dechargements!$G$5:$G$1002,Dechargements!$C$5:$C$1002,$B84,Dechargements!$H$5:$H$1002,"Annulé"))</f>
        <v/>
      </c>
      <c r="H84" s="15" t="str">
        <f>IF($B84="","",SUMIFS(Paiements!$I$5:$I$2000,Paiements!$C$5:$C$2000,$B84,Paiements!$L$5:$L$2000,"Payé"))</f>
        <v/>
      </c>
      <c r="I84" s="15" t="str">
        <f>IF($B84="","",SUMIFS(Paiements!$I$5:$I$2000,Paiements!$C$5:$C$2000,$B84,Paiements!$L$5:$L$2000,"En attente"))</f>
        <v/>
      </c>
      <c r="J84" s="15" t="str">
        <f t="shared" si="4"/>
        <v/>
      </c>
      <c r="K84" s="15" t="str">
        <f t="shared" si="5"/>
        <v/>
      </c>
      <c r="L84" s="15" t="str">
        <f t="shared" si="6"/>
        <v/>
      </c>
      <c r="M84" s="25" t="str">
        <f t="shared" si="7"/>
        <v/>
      </c>
    </row>
    <row r="85" spans="2:13" x14ac:dyDescent="0.35">
      <c r="B85" s="24"/>
      <c r="C85" s="24"/>
      <c r="D85" s="15" t="str">
        <f>IF($B85="","",COUNTIFS(Dechargements!$C$5:$C$1002,$B85,Dechargements!$H$5:$H$1002,"Fait"))</f>
        <v/>
      </c>
      <c r="E85" s="15" t="str">
        <f>IF($B85="","",SUMIFS(Dechargements!$E$5:$E$1002,Dechargements!$C$5:$C$1002,$B85,Dechargements!$H$5:$H$1002,"Fait"))</f>
        <v/>
      </c>
      <c r="F85" s="15" t="str">
        <f>IF($B85="","",SUMIFS(Dechargements!$G$5:$G$1002,Dechargements!$C$5:$C$1002,$B85,Dechargements!$H$5:$H$1002,"Fait"))</f>
        <v/>
      </c>
      <c r="G85" s="15" t="str">
        <f>IF($B85="","",SUMIFS(Dechargements!$G$5:$G$1002,Dechargements!$C$5:$C$1002,$B85)-$F85-SUMIFS(Dechargements!$G$5:$G$1002,Dechargements!$C$5:$C$1002,$B85,Dechargements!$H$5:$H$1002,"Annulé"))</f>
        <v/>
      </c>
      <c r="H85" s="15" t="str">
        <f>IF($B85="","",SUMIFS(Paiements!$I$5:$I$2000,Paiements!$C$5:$C$2000,$B85,Paiements!$L$5:$L$2000,"Payé"))</f>
        <v/>
      </c>
      <c r="I85" s="15" t="str">
        <f>IF($B85="","",SUMIFS(Paiements!$I$5:$I$2000,Paiements!$C$5:$C$2000,$B85,Paiements!$L$5:$L$2000,"En attente"))</f>
        <v/>
      </c>
      <c r="J85" s="15" t="str">
        <f t="shared" si="4"/>
        <v/>
      </c>
      <c r="K85" s="15" t="str">
        <f t="shared" si="5"/>
        <v/>
      </c>
      <c r="L85" s="15" t="str">
        <f t="shared" si="6"/>
        <v/>
      </c>
      <c r="M85" s="25" t="str">
        <f t="shared" si="7"/>
        <v/>
      </c>
    </row>
    <row r="86" spans="2:13" x14ac:dyDescent="0.35">
      <c r="B86" s="24"/>
      <c r="C86" s="24"/>
      <c r="D86" s="15" t="str">
        <f>IF($B86="","",COUNTIFS(Dechargements!$C$5:$C$1002,$B86,Dechargements!$H$5:$H$1002,"Fait"))</f>
        <v/>
      </c>
      <c r="E86" s="15" t="str">
        <f>IF($B86="","",SUMIFS(Dechargements!$E$5:$E$1002,Dechargements!$C$5:$C$1002,$B86,Dechargements!$H$5:$H$1002,"Fait"))</f>
        <v/>
      </c>
      <c r="F86" s="15" t="str">
        <f>IF($B86="","",SUMIFS(Dechargements!$G$5:$G$1002,Dechargements!$C$5:$C$1002,$B86,Dechargements!$H$5:$H$1002,"Fait"))</f>
        <v/>
      </c>
      <c r="G86" s="15" t="str">
        <f>IF($B86="","",SUMIFS(Dechargements!$G$5:$G$1002,Dechargements!$C$5:$C$1002,$B86)-$F86-SUMIFS(Dechargements!$G$5:$G$1002,Dechargements!$C$5:$C$1002,$B86,Dechargements!$H$5:$H$1002,"Annulé"))</f>
        <v/>
      </c>
      <c r="H86" s="15" t="str">
        <f>IF($B86="","",SUMIFS(Paiements!$I$5:$I$2000,Paiements!$C$5:$C$2000,$B86,Paiements!$L$5:$L$2000,"Payé"))</f>
        <v/>
      </c>
      <c r="I86" s="15" t="str">
        <f>IF($B86="","",SUMIFS(Paiements!$I$5:$I$2000,Paiements!$C$5:$C$2000,$B86,Paiements!$L$5:$L$2000,"En attente"))</f>
        <v/>
      </c>
      <c r="J86" s="15" t="str">
        <f t="shared" si="4"/>
        <v/>
      </c>
      <c r="K86" s="15" t="str">
        <f t="shared" si="5"/>
        <v/>
      </c>
      <c r="L86" s="15" t="str">
        <f t="shared" si="6"/>
        <v/>
      </c>
      <c r="M86" s="25" t="str">
        <f t="shared" si="7"/>
        <v/>
      </c>
    </row>
    <row r="87" spans="2:13" x14ac:dyDescent="0.35">
      <c r="B87" s="24"/>
      <c r="C87" s="24"/>
      <c r="D87" s="15" t="str">
        <f>IF($B87="","",COUNTIFS(Dechargements!$C$5:$C$1002,$B87,Dechargements!$H$5:$H$1002,"Fait"))</f>
        <v/>
      </c>
      <c r="E87" s="15" t="str">
        <f>IF($B87="","",SUMIFS(Dechargements!$E$5:$E$1002,Dechargements!$C$5:$C$1002,$B87,Dechargements!$H$5:$H$1002,"Fait"))</f>
        <v/>
      </c>
      <c r="F87" s="15" t="str">
        <f>IF($B87="","",SUMIFS(Dechargements!$G$5:$G$1002,Dechargements!$C$5:$C$1002,$B87,Dechargements!$H$5:$H$1002,"Fait"))</f>
        <v/>
      </c>
      <c r="G87" s="15" t="str">
        <f>IF($B87="","",SUMIFS(Dechargements!$G$5:$G$1002,Dechargements!$C$5:$C$1002,$B87)-$F87-SUMIFS(Dechargements!$G$5:$G$1002,Dechargements!$C$5:$C$1002,$B87,Dechargements!$H$5:$H$1002,"Annulé"))</f>
        <v/>
      </c>
      <c r="H87" s="15" t="str">
        <f>IF($B87="","",SUMIFS(Paiements!$I$5:$I$2000,Paiements!$C$5:$C$2000,$B87,Paiements!$L$5:$L$2000,"Payé"))</f>
        <v/>
      </c>
      <c r="I87" s="15" t="str">
        <f>IF($B87="","",SUMIFS(Paiements!$I$5:$I$2000,Paiements!$C$5:$C$2000,$B87,Paiements!$L$5:$L$2000,"En attente"))</f>
        <v/>
      </c>
      <c r="J87" s="15" t="str">
        <f t="shared" si="4"/>
        <v/>
      </c>
      <c r="K87" s="15" t="str">
        <f t="shared" si="5"/>
        <v/>
      </c>
      <c r="L87" s="15" t="str">
        <f t="shared" si="6"/>
        <v/>
      </c>
      <c r="M87" s="25" t="str">
        <f t="shared" si="7"/>
        <v/>
      </c>
    </row>
    <row r="88" spans="2:13" x14ac:dyDescent="0.35">
      <c r="B88" s="24"/>
      <c r="C88" s="24"/>
      <c r="D88" s="15" t="str">
        <f>IF($B88="","",COUNTIFS(Dechargements!$C$5:$C$1002,$B88,Dechargements!$H$5:$H$1002,"Fait"))</f>
        <v/>
      </c>
      <c r="E88" s="15" t="str">
        <f>IF($B88="","",SUMIFS(Dechargements!$E$5:$E$1002,Dechargements!$C$5:$C$1002,$B88,Dechargements!$H$5:$H$1002,"Fait"))</f>
        <v/>
      </c>
      <c r="F88" s="15" t="str">
        <f>IF($B88="","",SUMIFS(Dechargements!$G$5:$G$1002,Dechargements!$C$5:$C$1002,$B88,Dechargements!$H$5:$H$1002,"Fait"))</f>
        <v/>
      </c>
      <c r="G88" s="15" t="str">
        <f>IF($B88="","",SUMIFS(Dechargements!$G$5:$G$1002,Dechargements!$C$5:$C$1002,$B88)-$F88-SUMIFS(Dechargements!$G$5:$G$1002,Dechargements!$C$5:$C$1002,$B88,Dechargements!$H$5:$H$1002,"Annulé"))</f>
        <v/>
      </c>
      <c r="H88" s="15" t="str">
        <f>IF($B88="","",SUMIFS(Paiements!$I$5:$I$2000,Paiements!$C$5:$C$2000,$B88,Paiements!$L$5:$L$2000,"Payé"))</f>
        <v/>
      </c>
      <c r="I88" s="15" t="str">
        <f>IF($B88="","",SUMIFS(Paiements!$I$5:$I$2000,Paiements!$C$5:$C$2000,$B88,Paiements!$L$5:$L$2000,"En attente"))</f>
        <v/>
      </c>
      <c r="J88" s="15" t="str">
        <f t="shared" si="4"/>
        <v/>
      </c>
      <c r="K88" s="15" t="str">
        <f t="shared" si="5"/>
        <v/>
      </c>
      <c r="L88" s="15" t="str">
        <f t="shared" si="6"/>
        <v/>
      </c>
      <c r="M88" s="25" t="str">
        <f t="shared" si="7"/>
        <v/>
      </c>
    </row>
    <row r="89" spans="2:13" x14ac:dyDescent="0.35">
      <c r="B89" s="24"/>
      <c r="C89" s="24"/>
      <c r="D89" s="15" t="str">
        <f>IF($B89="","",COUNTIFS(Dechargements!$C$5:$C$1002,$B89,Dechargements!$H$5:$H$1002,"Fait"))</f>
        <v/>
      </c>
      <c r="E89" s="15" t="str">
        <f>IF($B89="","",SUMIFS(Dechargements!$E$5:$E$1002,Dechargements!$C$5:$C$1002,$B89,Dechargements!$H$5:$H$1002,"Fait"))</f>
        <v/>
      </c>
      <c r="F89" s="15" t="str">
        <f>IF($B89="","",SUMIFS(Dechargements!$G$5:$G$1002,Dechargements!$C$5:$C$1002,$B89,Dechargements!$H$5:$H$1002,"Fait"))</f>
        <v/>
      </c>
      <c r="G89" s="15" t="str">
        <f>IF($B89="","",SUMIFS(Dechargements!$G$5:$G$1002,Dechargements!$C$5:$C$1002,$B89)-$F89-SUMIFS(Dechargements!$G$5:$G$1002,Dechargements!$C$5:$C$1002,$B89,Dechargements!$H$5:$H$1002,"Annulé"))</f>
        <v/>
      </c>
      <c r="H89" s="15" t="str">
        <f>IF($B89="","",SUMIFS(Paiements!$I$5:$I$2000,Paiements!$C$5:$C$2000,$B89,Paiements!$L$5:$L$2000,"Payé"))</f>
        <v/>
      </c>
      <c r="I89" s="15" t="str">
        <f>IF($B89="","",SUMIFS(Paiements!$I$5:$I$2000,Paiements!$C$5:$C$2000,$B89,Paiements!$L$5:$L$2000,"En attente"))</f>
        <v/>
      </c>
      <c r="J89" s="15" t="str">
        <f t="shared" si="4"/>
        <v/>
      </c>
      <c r="K89" s="15" t="str">
        <f t="shared" si="5"/>
        <v/>
      </c>
      <c r="L89" s="15" t="str">
        <f t="shared" si="6"/>
        <v/>
      </c>
      <c r="M89" s="25" t="str">
        <f t="shared" si="7"/>
        <v/>
      </c>
    </row>
    <row r="90" spans="2:13" x14ac:dyDescent="0.35">
      <c r="B90" s="24"/>
      <c r="C90" s="24"/>
      <c r="D90" s="15" t="str">
        <f>IF($B90="","",COUNTIFS(Dechargements!$C$5:$C$1002,$B90,Dechargements!$H$5:$H$1002,"Fait"))</f>
        <v/>
      </c>
      <c r="E90" s="15" t="str">
        <f>IF($B90="","",SUMIFS(Dechargements!$E$5:$E$1002,Dechargements!$C$5:$C$1002,$B90,Dechargements!$H$5:$H$1002,"Fait"))</f>
        <v/>
      </c>
      <c r="F90" s="15" t="str">
        <f>IF($B90="","",SUMIFS(Dechargements!$G$5:$G$1002,Dechargements!$C$5:$C$1002,$B90,Dechargements!$H$5:$H$1002,"Fait"))</f>
        <v/>
      </c>
      <c r="G90" s="15" t="str">
        <f>IF($B90="","",SUMIFS(Dechargements!$G$5:$G$1002,Dechargements!$C$5:$C$1002,$B90)-$F90-SUMIFS(Dechargements!$G$5:$G$1002,Dechargements!$C$5:$C$1002,$B90,Dechargements!$H$5:$H$1002,"Annulé"))</f>
        <v/>
      </c>
      <c r="H90" s="15" t="str">
        <f>IF($B90="","",SUMIFS(Paiements!$I$5:$I$2000,Paiements!$C$5:$C$2000,$B90,Paiements!$L$5:$L$2000,"Payé"))</f>
        <v/>
      </c>
      <c r="I90" s="15" t="str">
        <f>IF($B90="","",SUMIFS(Paiements!$I$5:$I$2000,Paiements!$C$5:$C$2000,$B90,Paiements!$L$5:$L$2000,"En attente"))</f>
        <v/>
      </c>
      <c r="J90" s="15" t="str">
        <f t="shared" si="4"/>
        <v/>
      </c>
      <c r="K90" s="15" t="str">
        <f t="shared" si="5"/>
        <v/>
      </c>
      <c r="L90" s="15" t="str">
        <f t="shared" si="6"/>
        <v/>
      </c>
      <c r="M90" s="25" t="str">
        <f t="shared" si="7"/>
        <v/>
      </c>
    </row>
    <row r="91" spans="2:13" x14ac:dyDescent="0.35">
      <c r="B91" s="24"/>
      <c r="C91" s="24"/>
      <c r="D91" s="15" t="str">
        <f>IF($B91="","",COUNTIFS(Dechargements!$C$5:$C$1002,$B91,Dechargements!$H$5:$H$1002,"Fait"))</f>
        <v/>
      </c>
      <c r="E91" s="15" t="str">
        <f>IF($B91="","",SUMIFS(Dechargements!$E$5:$E$1002,Dechargements!$C$5:$C$1002,$B91,Dechargements!$H$5:$H$1002,"Fait"))</f>
        <v/>
      </c>
      <c r="F91" s="15" t="str">
        <f>IF($B91="","",SUMIFS(Dechargements!$G$5:$G$1002,Dechargements!$C$5:$C$1002,$B91,Dechargements!$H$5:$H$1002,"Fait"))</f>
        <v/>
      </c>
      <c r="G91" s="15" t="str">
        <f>IF($B91="","",SUMIFS(Dechargements!$G$5:$G$1002,Dechargements!$C$5:$C$1002,$B91)-$F91-SUMIFS(Dechargements!$G$5:$G$1002,Dechargements!$C$5:$C$1002,$B91,Dechargements!$H$5:$H$1002,"Annulé"))</f>
        <v/>
      </c>
      <c r="H91" s="15" t="str">
        <f>IF($B91="","",SUMIFS(Paiements!$I$5:$I$2000,Paiements!$C$5:$C$2000,$B91,Paiements!$L$5:$L$2000,"Payé"))</f>
        <v/>
      </c>
      <c r="I91" s="15" t="str">
        <f>IF($B91="","",SUMIFS(Paiements!$I$5:$I$2000,Paiements!$C$5:$C$2000,$B91,Paiements!$L$5:$L$2000,"En attente"))</f>
        <v/>
      </c>
      <c r="J91" s="15" t="str">
        <f t="shared" si="4"/>
        <v/>
      </c>
      <c r="K91" s="15" t="str">
        <f t="shared" si="5"/>
        <v/>
      </c>
      <c r="L91" s="15" t="str">
        <f t="shared" si="6"/>
        <v/>
      </c>
      <c r="M91" s="25" t="str">
        <f t="shared" si="7"/>
        <v/>
      </c>
    </row>
    <row r="92" spans="2:13" x14ac:dyDescent="0.35">
      <c r="B92" s="24"/>
      <c r="C92" s="24"/>
      <c r="D92" s="15" t="str">
        <f>IF($B92="","",COUNTIFS(Dechargements!$C$5:$C$1002,$B92,Dechargements!$H$5:$H$1002,"Fait"))</f>
        <v/>
      </c>
      <c r="E92" s="15" t="str">
        <f>IF($B92="","",SUMIFS(Dechargements!$E$5:$E$1002,Dechargements!$C$5:$C$1002,$B92,Dechargements!$H$5:$H$1002,"Fait"))</f>
        <v/>
      </c>
      <c r="F92" s="15" t="str">
        <f>IF($B92="","",SUMIFS(Dechargements!$G$5:$G$1002,Dechargements!$C$5:$C$1002,$B92,Dechargements!$H$5:$H$1002,"Fait"))</f>
        <v/>
      </c>
      <c r="G92" s="15" t="str">
        <f>IF($B92="","",SUMIFS(Dechargements!$G$5:$G$1002,Dechargements!$C$5:$C$1002,$B92)-$F92-SUMIFS(Dechargements!$G$5:$G$1002,Dechargements!$C$5:$C$1002,$B92,Dechargements!$H$5:$H$1002,"Annulé"))</f>
        <v/>
      </c>
      <c r="H92" s="15" t="str">
        <f>IF($B92="","",SUMIFS(Paiements!$I$5:$I$2000,Paiements!$C$5:$C$2000,$B92,Paiements!$L$5:$L$2000,"Payé"))</f>
        <v/>
      </c>
      <c r="I92" s="15" t="str">
        <f>IF($B92="","",SUMIFS(Paiements!$I$5:$I$2000,Paiements!$C$5:$C$2000,$B92,Paiements!$L$5:$L$2000,"En attente"))</f>
        <v/>
      </c>
      <c r="J92" s="15" t="str">
        <f t="shared" si="4"/>
        <v/>
      </c>
      <c r="K92" s="15" t="str">
        <f t="shared" si="5"/>
        <v/>
      </c>
      <c r="L92" s="15" t="str">
        <f t="shared" si="6"/>
        <v/>
      </c>
      <c r="M92" s="25" t="str">
        <f t="shared" si="7"/>
        <v/>
      </c>
    </row>
    <row r="93" spans="2:13" x14ac:dyDescent="0.35">
      <c r="B93" s="24"/>
      <c r="C93" s="24"/>
      <c r="D93" s="15" t="str">
        <f>IF($B93="","",COUNTIFS(Dechargements!$C$5:$C$1002,$B93,Dechargements!$H$5:$H$1002,"Fait"))</f>
        <v/>
      </c>
      <c r="E93" s="15" t="str">
        <f>IF($B93="","",SUMIFS(Dechargements!$E$5:$E$1002,Dechargements!$C$5:$C$1002,$B93,Dechargements!$H$5:$H$1002,"Fait"))</f>
        <v/>
      </c>
      <c r="F93" s="15" t="str">
        <f>IF($B93="","",SUMIFS(Dechargements!$G$5:$G$1002,Dechargements!$C$5:$C$1002,$B93,Dechargements!$H$5:$H$1002,"Fait"))</f>
        <v/>
      </c>
      <c r="G93" s="15" t="str">
        <f>IF($B93="","",SUMIFS(Dechargements!$G$5:$G$1002,Dechargements!$C$5:$C$1002,$B93)-$F93-SUMIFS(Dechargements!$G$5:$G$1002,Dechargements!$C$5:$C$1002,$B93,Dechargements!$H$5:$H$1002,"Annulé"))</f>
        <v/>
      </c>
      <c r="H93" s="15" t="str">
        <f>IF($B93="","",SUMIFS(Paiements!$I$5:$I$2000,Paiements!$C$5:$C$2000,$B93,Paiements!$L$5:$L$2000,"Payé"))</f>
        <v/>
      </c>
      <c r="I93" s="15" t="str">
        <f>IF($B93="","",SUMIFS(Paiements!$I$5:$I$2000,Paiements!$C$5:$C$2000,$B93,Paiements!$L$5:$L$2000,"En attente"))</f>
        <v/>
      </c>
      <c r="J93" s="15" t="str">
        <f t="shared" si="4"/>
        <v/>
      </c>
      <c r="K93" s="15" t="str">
        <f t="shared" si="5"/>
        <v/>
      </c>
      <c r="L93" s="15" t="str">
        <f t="shared" si="6"/>
        <v/>
      </c>
      <c r="M93" s="25" t="str">
        <f t="shared" si="7"/>
        <v/>
      </c>
    </row>
    <row r="94" spans="2:13" x14ac:dyDescent="0.35">
      <c r="B94" s="24"/>
      <c r="C94" s="24"/>
      <c r="D94" s="15" t="str">
        <f>IF($B94="","",COUNTIFS(Dechargements!$C$5:$C$1002,$B94,Dechargements!$H$5:$H$1002,"Fait"))</f>
        <v/>
      </c>
      <c r="E94" s="15" t="str">
        <f>IF($B94="","",SUMIFS(Dechargements!$E$5:$E$1002,Dechargements!$C$5:$C$1002,$B94,Dechargements!$H$5:$H$1002,"Fait"))</f>
        <v/>
      </c>
      <c r="F94" s="15" t="str">
        <f>IF($B94="","",SUMIFS(Dechargements!$G$5:$G$1002,Dechargements!$C$5:$C$1002,$B94,Dechargements!$H$5:$H$1002,"Fait"))</f>
        <v/>
      </c>
      <c r="G94" s="15" t="str">
        <f>IF($B94="","",SUMIFS(Dechargements!$G$5:$G$1002,Dechargements!$C$5:$C$1002,$B94)-$F94-SUMIFS(Dechargements!$G$5:$G$1002,Dechargements!$C$5:$C$1002,$B94,Dechargements!$H$5:$H$1002,"Annulé"))</f>
        <v/>
      </c>
      <c r="H94" s="15" t="str">
        <f>IF($B94="","",SUMIFS(Paiements!$I$5:$I$2000,Paiements!$C$5:$C$2000,$B94,Paiements!$L$5:$L$2000,"Payé"))</f>
        <v/>
      </c>
      <c r="I94" s="15" t="str">
        <f>IF($B94="","",SUMIFS(Paiements!$I$5:$I$2000,Paiements!$C$5:$C$2000,$B94,Paiements!$L$5:$L$2000,"En attente"))</f>
        <v/>
      </c>
      <c r="J94" s="15" t="str">
        <f t="shared" si="4"/>
        <v/>
      </c>
      <c r="K94" s="15" t="str">
        <f t="shared" si="5"/>
        <v/>
      </c>
      <c r="L94" s="15" t="str">
        <f t="shared" si="6"/>
        <v/>
      </c>
      <c r="M94" s="25" t="str">
        <f t="shared" si="7"/>
        <v/>
      </c>
    </row>
    <row r="95" spans="2:13" x14ac:dyDescent="0.35">
      <c r="B95" s="24"/>
      <c r="C95" s="24"/>
      <c r="D95" s="15" t="str">
        <f>IF($B95="","",COUNTIFS(Dechargements!$C$5:$C$1002,$B95,Dechargements!$H$5:$H$1002,"Fait"))</f>
        <v/>
      </c>
      <c r="E95" s="15" t="str">
        <f>IF($B95="","",SUMIFS(Dechargements!$E$5:$E$1002,Dechargements!$C$5:$C$1002,$B95,Dechargements!$H$5:$H$1002,"Fait"))</f>
        <v/>
      </c>
      <c r="F95" s="15" t="str">
        <f>IF($B95="","",SUMIFS(Dechargements!$G$5:$G$1002,Dechargements!$C$5:$C$1002,$B95,Dechargements!$H$5:$H$1002,"Fait"))</f>
        <v/>
      </c>
      <c r="G95" s="15" t="str">
        <f>IF($B95="","",SUMIFS(Dechargements!$G$5:$G$1002,Dechargements!$C$5:$C$1002,$B95)-$F95-SUMIFS(Dechargements!$G$5:$G$1002,Dechargements!$C$5:$C$1002,$B95,Dechargements!$H$5:$H$1002,"Annulé"))</f>
        <v/>
      </c>
      <c r="H95" s="15" t="str">
        <f>IF($B95="","",SUMIFS(Paiements!$I$5:$I$2000,Paiements!$C$5:$C$2000,$B95,Paiements!$L$5:$L$2000,"Payé"))</f>
        <v/>
      </c>
      <c r="I95" s="15" t="str">
        <f>IF($B95="","",SUMIFS(Paiements!$I$5:$I$2000,Paiements!$C$5:$C$2000,$B95,Paiements!$L$5:$L$2000,"En attente"))</f>
        <v/>
      </c>
      <c r="J95" s="15" t="str">
        <f t="shared" si="4"/>
        <v/>
      </c>
      <c r="K95" s="15" t="str">
        <f t="shared" si="5"/>
        <v/>
      </c>
      <c r="L95" s="15" t="str">
        <f t="shared" si="6"/>
        <v/>
      </c>
      <c r="M95" s="25" t="str">
        <f t="shared" si="7"/>
        <v/>
      </c>
    </row>
    <row r="96" spans="2:13" x14ac:dyDescent="0.35">
      <c r="B96" s="24"/>
      <c r="C96" s="24"/>
      <c r="D96" s="15" t="str">
        <f>IF($B96="","",COUNTIFS(Dechargements!$C$5:$C$1002,$B96,Dechargements!$H$5:$H$1002,"Fait"))</f>
        <v/>
      </c>
      <c r="E96" s="15" t="str">
        <f>IF($B96="","",SUMIFS(Dechargements!$E$5:$E$1002,Dechargements!$C$5:$C$1002,$B96,Dechargements!$H$5:$H$1002,"Fait"))</f>
        <v/>
      </c>
      <c r="F96" s="15" t="str">
        <f>IF($B96="","",SUMIFS(Dechargements!$G$5:$G$1002,Dechargements!$C$5:$C$1002,$B96,Dechargements!$H$5:$H$1002,"Fait"))</f>
        <v/>
      </c>
      <c r="G96" s="15" t="str">
        <f>IF($B96="","",SUMIFS(Dechargements!$G$5:$G$1002,Dechargements!$C$5:$C$1002,$B96)-$F96-SUMIFS(Dechargements!$G$5:$G$1002,Dechargements!$C$5:$C$1002,$B96,Dechargements!$H$5:$H$1002,"Annulé"))</f>
        <v/>
      </c>
      <c r="H96" s="15" t="str">
        <f>IF($B96="","",SUMIFS(Paiements!$I$5:$I$2000,Paiements!$C$5:$C$2000,$B96,Paiements!$L$5:$L$2000,"Payé"))</f>
        <v/>
      </c>
      <c r="I96" s="15" t="str">
        <f>IF($B96="","",SUMIFS(Paiements!$I$5:$I$2000,Paiements!$C$5:$C$2000,$B96,Paiements!$L$5:$L$2000,"En attente"))</f>
        <v/>
      </c>
      <c r="J96" s="15" t="str">
        <f t="shared" si="4"/>
        <v/>
      </c>
      <c r="K96" s="15" t="str">
        <f t="shared" si="5"/>
        <v/>
      </c>
      <c r="L96" s="15" t="str">
        <f t="shared" si="6"/>
        <v/>
      </c>
      <c r="M96" s="25" t="str">
        <f t="shared" si="7"/>
        <v/>
      </c>
    </row>
    <row r="97" spans="2:13" x14ac:dyDescent="0.35">
      <c r="B97" s="24"/>
      <c r="C97" s="24"/>
      <c r="D97" s="15" t="str">
        <f>IF($B97="","",COUNTIFS(Dechargements!$C$5:$C$1002,$B97,Dechargements!$H$5:$H$1002,"Fait"))</f>
        <v/>
      </c>
      <c r="E97" s="15" t="str">
        <f>IF($B97="","",SUMIFS(Dechargements!$E$5:$E$1002,Dechargements!$C$5:$C$1002,$B97,Dechargements!$H$5:$H$1002,"Fait"))</f>
        <v/>
      </c>
      <c r="F97" s="15" t="str">
        <f>IF($B97="","",SUMIFS(Dechargements!$G$5:$G$1002,Dechargements!$C$5:$C$1002,$B97,Dechargements!$H$5:$H$1002,"Fait"))</f>
        <v/>
      </c>
      <c r="G97" s="15" t="str">
        <f>IF($B97="","",SUMIFS(Dechargements!$G$5:$G$1002,Dechargements!$C$5:$C$1002,$B97)-$F97-SUMIFS(Dechargements!$G$5:$G$1002,Dechargements!$C$5:$C$1002,$B97,Dechargements!$H$5:$H$1002,"Annulé"))</f>
        <v/>
      </c>
      <c r="H97" s="15" t="str">
        <f>IF($B97="","",SUMIFS(Paiements!$I$5:$I$2000,Paiements!$C$5:$C$2000,$B97,Paiements!$L$5:$L$2000,"Payé"))</f>
        <v/>
      </c>
      <c r="I97" s="15" t="str">
        <f>IF($B97="","",SUMIFS(Paiements!$I$5:$I$2000,Paiements!$C$5:$C$2000,$B97,Paiements!$L$5:$L$2000,"En attente"))</f>
        <v/>
      </c>
      <c r="J97" s="15" t="str">
        <f t="shared" si="4"/>
        <v/>
      </c>
      <c r="K97" s="15" t="str">
        <f t="shared" si="5"/>
        <v/>
      </c>
      <c r="L97" s="15" t="str">
        <f t="shared" si="6"/>
        <v/>
      </c>
      <c r="M97" s="25" t="str">
        <f t="shared" si="7"/>
        <v/>
      </c>
    </row>
    <row r="98" spans="2:13" x14ac:dyDescent="0.35">
      <c r="B98" s="24"/>
      <c r="C98" s="24"/>
      <c r="D98" s="15" t="str">
        <f>IF($B98="","",COUNTIFS(Dechargements!$C$5:$C$1002,$B98,Dechargements!$H$5:$H$1002,"Fait"))</f>
        <v/>
      </c>
      <c r="E98" s="15" t="str">
        <f>IF($B98="","",SUMIFS(Dechargements!$E$5:$E$1002,Dechargements!$C$5:$C$1002,$B98,Dechargements!$H$5:$H$1002,"Fait"))</f>
        <v/>
      </c>
      <c r="F98" s="15" t="str">
        <f>IF($B98="","",SUMIFS(Dechargements!$G$5:$G$1002,Dechargements!$C$5:$C$1002,$B98,Dechargements!$H$5:$H$1002,"Fait"))</f>
        <v/>
      </c>
      <c r="G98" s="15" t="str">
        <f>IF($B98="","",SUMIFS(Dechargements!$G$5:$G$1002,Dechargements!$C$5:$C$1002,$B98)-$F98-SUMIFS(Dechargements!$G$5:$G$1002,Dechargements!$C$5:$C$1002,$B98,Dechargements!$H$5:$H$1002,"Annulé"))</f>
        <v/>
      </c>
      <c r="H98" s="15" t="str">
        <f>IF($B98="","",SUMIFS(Paiements!$I$5:$I$2000,Paiements!$C$5:$C$2000,$B98,Paiements!$L$5:$L$2000,"Payé"))</f>
        <v/>
      </c>
      <c r="I98" s="15" t="str">
        <f>IF($B98="","",SUMIFS(Paiements!$I$5:$I$2000,Paiements!$C$5:$C$2000,$B98,Paiements!$L$5:$L$2000,"En attente"))</f>
        <v/>
      </c>
      <c r="J98" s="15" t="str">
        <f t="shared" si="4"/>
        <v/>
      </c>
      <c r="K98" s="15" t="str">
        <f t="shared" si="5"/>
        <v/>
      </c>
      <c r="L98" s="15" t="str">
        <f t="shared" si="6"/>
        <v/>
      </c>
      <c r="M98" s="25" t="str">
        <f t="shared" si="7"/>
        <v/>
      </c>
    </row>
    <row r="99" spans="2:13" x14ac:dyDescent="0.35">
      <c r="B99" s="24"/>
      <c r="C99" s="24"/>
      <c r="D99" s="15" t="str">
        <f>IF($B99="","",COUNTIFS(Dechargements!$C$5:$C$1002,$B99,Dechargements!$H$5:$H$1002,"Fait"))</f>
        <v/>
      </c>
      <c r="E99" s="15" t="str">
        <f>IF($B99="","",SUMIFS(Dechargements!$E$5:$E$1002,Dechargements!$C$5:$C$1002,$B99,Dechargements!$H$5:$H$1002,"Fait"))</f>
        <v/>
      </c>
      <c r="F99" s="15" t="str">
        <f>IF($B99="","",SUMIFS(Dechargements!$G$5:$G$1002,Dechargements!$C$5:$C$1002,$B99,Dechargements!$H$5:$H$1002,"Fait"))</f>
        <v/>
      </c>
      <c r="G99" s="15" t="str">
        <f>IF($B99="","",SUMIFS(Dechargements!$G$5:$G$1002,Dechargements!$C$5:$C$1002,$B99)-$F99-SUMIFS(Dechargements!$G$5:$G$1002,Dechargements!$C$5:$C$1002,$B99,Dechargements!$H$5:$H$1002,"Annulé"))</f>
        <v/>
      </c>
      <c r="H99" s="15" t="str">
        <f>IF($B99="","",SUMIFS(Paiements!$I$5:$I$2000,Paiements!$C$5:$C$2000,$B99,Paiements!$L$5:$L$2000,"Payé"))</f>
        <v/>
      </c>
      <c r="I99" s="15" t="str">
        <f>IF($B99="","",SUMIFS(Paiements!$I$5:$I$2000,Paiements!$C$5:$C$2000,$B99,Paiements!$L$5:$L$2000,"En attente"))</f>
        <v/>
      </c>
      <c r="J99" s="15" t="str">
        <f t="shared" si="4"/>
        <v/>
      </c>
      <c r="K99" s="15" t="str">
        <f t="shared" si="5"/>
        <v/>
      </c>
      <c r="L99" s="15" t="str">
        <f t="shared" si="6"/>
        <v/>
      </c>
      <c r="M99" s="25" t="str">
        <f t="shared" si="7"/>
        <v/>
      </c>
    </row>
    <row r="100" spans="2:13" x14ac:dyDescent="0.35">
      <c r="B100" s="24"/>
      <c r="C100" s="24"/>
      <c r="D100" s="15" t="str">
        <f>IF($B100="","",COUNTIFS(Dechargements!$C$5:$C$1002,$B100,Dechargements!$H$5:$H$1002,"Fait"))</f>
        <v/>
      </c>
      <c r="E100" s="15" t="str">
        <f>IF($B100="","",SUMIFS(Dechargements!$E$5:$E$1002,Dechargements!$C$5:$C$1002,$B100,Dechargements!$H$5:$H$1002,"Fait"))</f>
        <v/>
      </c>
      <c r="F100" s="15" t="str">
        <f>IF($B100="","",SUMIFS(Dechargements!$G$5:$G$1002,Dechargements!$C$5:$C$1002,$B100,Dechargements!$H$5:$H$1002,"Fait"))</f>
        <v/>
      </c>
      <c r="G100" s="15" t="str">
        <f>IF($B100="","",SUMIFS(Dechargements!$G$5:$G$1002,Dechargements!$C$5:$C$1002,$B100)-$F100-SUMIFS(Dechargements!$G$5:$G$1002,Dechargements!$C$5:$C$1002,$B100,Dechargements!$H$5:$H$1002,"Annulé"))</f>
        <v/>
      </c>
      <c r="H100" s="15" t="str">
        <f>IF($B100="","",SUMIFS(Paiements!$I$5:$I$2000,Paiements!$C$5:$C$2000,$B100,Paiements!$L$5:$L$2000,"Payé"))</f>
        <v/>
      </c>
      <c r="I100" s="15" t="str">
        <f>IF($B100="","",SUMIFS(Paiements!$I$5:$I$2000,Paiements!$C$5:$C$2000,$B100,Paiements!$L$5:$L$2000,"En attente"))</f>
        <v/>
      </c>
      <c r="J100" s="15" t="str">
        <f t="shared" si="4"/>
        <v/>
      </c>
      <c r="K100" s="15" t="str">
        <f t="shared" si="5"/>
        <v/>
      </c>
      <c r="L100" s="15" t="str">
        <f t="shared" si="6"/>
        <v/>
      </c>
      <c r="M100" s="25" t="str">
        <f t="shared" si="7"/>
        <v/>
      </c>
    </row>
    <row r="101" spans="2:13" x14ac:dyDescent="0.35">
      <c r="B101" s="24"/>
      <c r="C101" s="24"/>
      <c r="D101" s="15" t="str">
        <f>IF($B101="","",COUNTIFS(Dechargements!$C$5:$C$1002,$B101,Dechargements!$H$5:$H$1002,"Fait"))</f>
        <v/>
      </c>
      <c r="E101" s="15" t="str">
        <f>IF($B101="","",SUMIFS(Dechargements!$E$5:$E$1002,Dechargements!$C$5:$C$1002,$B101,Dechargements!$H$5:$H$1002,"Fait"))</f>
        <v/>
      </c>
      <c r="F101" s="15" t="str">
        <f>IF($B101="","",SUMIFS(Dechargements!$G$5:$G$1002,Dechargements!$C$5:$C$1002,$B101,Dechargements!$H$5:$H$1002,"Fait"))</f>
        <v/>
      </c>
      <c r="G101" s="15" t="str">
        <f>IF($B101="","",SUMIFS(Dechargements!$G$5:$G$1002,Dechargements!$C$5:$C$1002,$B101)-$F101-SUMIFS(Dechargements!$G$5:$G$1002,Dechargements!$C$5:$C$1002,$B101,Dechargements!$H$5:$H$1002,"Annulé"))</f>
        <v/>
      </c>
      <c r="H101" s="15" t="str">
        <f>IF($B101="","",SUMIFS(Paiements!$I$5:$I$2000,Paiements!$C$5:$C$2000,$B101,Paiements!$L$5:$L$2000,"Payé"))</f>
        <v/>
      </c>
      <c r="I101" s="15" t="str">
        <f>IF($B101="","",SUMIFS(Paiements!$I$5:$I$2000,Paiements!$C$5:$C$2000,$B101,Paiements!$L$5:$L$2000,"En attente"))</f>
        <v/>
      </c>
      <c r="J101" s="15" t="str">
        <f t="shared" si="4"/>
        <v/>
      </c>
      <c r="K101" s="15" t="str">
        <f t="shared" si="5"/>
        <v/>
      </c>
      <c r="L101" s="15" t="str">
        <f t="shared" si="6"/>
        <v/>
      </c>
      <c r="M101" s="25" t="str">
        <f t="shared" si="7"/>
        <v/>
      </c>
    </row>
    <row r="102" spans="2:13" x14ac:dyDescent="0.35">
      <c r="B102" s="24"/>
      <c r="C102" s="24"/>
      <c r="D102" s="15" t="str">
        <f>IF($B102="","",COUNTIFS(Dechargements!$C$5:$C$1002,$B102,Dechargements!$H$5:$H$1002,"Fait"))</f>
        <v/>
      </c>
      <c r="E102" s="15" t="str">
        <f>IF($B102="","",SUMIFS(Dechargements!$E$5:$E$1002,Dechargements!$C$5:$C$1002,$B102,Dechargements!$H$5:$H$1002,"Fait"))</f>
        <v/>
      </c>
      <c r="F102" s="15" t="str">
        <f>IF($B102="","",SUMIFS(Dechargements!$G$5:$G$1002,Dechargements!$C$5:$C$1002,$B102,Dechargements!$H$5:$H$1002,"Fait"))</f>
        <v/>
      </c>
      <c r="G102" s="15" t="str">
        <f>IF($B102="","",SUMIFS(Dechargements!$G$5:$G$1002,Dechargements!$C$5:$C$1002,$B102)-$F102-SUMIFS(Dechargements!$G$5:$G$1002,Dechargements!$C$5:$C$1002,$B102,Dechargements!$H$5:$H$1002,"Annulé"))</f>
        <v/>
      </c>
      <c r="H102" s="15" t="str">
        <f>IF($B102="","",SUMIFS(Paiements!$I$5:$I$2000,Paiements!$C$5:$C$2000,$B102,Paiements!$L$5:$L$2000,"Payé"))</f>
        <v/>
      </c>
      <c r="I102" s="15" t="str">
        <f>IF($B102="","",SUMIFS(Paiements!$I$5:$I$2000,Paiements!$C$5:$C$2000,$B102,Paiements!$L$5:$L$2000,"En attente"))</f>
        <v/>
      </c>
      <c r="J102" s="15" t="str">
        <f t="shared" si="4"/>
        <v/>
      </c>
      <c r="K102" s="15" t="str">
        <f t="shared" si="5"/>
        <v/>
      </c>
      <c r="L102" s="15" t="str">
        <f t="shared" si="6"/>
        <v/>
      </c>
      <c r="M102" s="25" t="str">
        <f t="shared" si="7"/>
        <v/>
      </c>
    </row>
    <row r="103" spans="2:13" x14ac:dyDescent="0.35">
      <c r="B103" s="24"/>
      <c r="C103" s="24"/>
      <c r="D103" s="15" t="str">
        <f>IF($B103="","",COUNTIFS(Dechargements!$C$5:$C$1002,$B103,Dechargements!$H$5:$H$1002,"Fait"))</f>
        <v/>
      </c>
      <c r="E103" s="15" t="str">
        <f>IF($B103="","",SUMIFS(Dechargements!$E$5:$E$1002,Dechargements!$C$5:$C$1002,$B103,Dechargements!$H$5:$H$1002,"Fait"))</f>
        <v/>
      </c>
      <c r="F103" s="15" t="str">
        <f>IF($B103="","",SUMIFS(Dechargements!$G$5:$G$1002,Dechargements!$C$5:$C$1002,$B103,Dechargements!$H$5:$H$1002,"Fait"))</f>
        <v/>
      </c>
      <c r="G103" s="15" t="str">
        <f>IF($B103="","",SUMIFS(Dechargements!$G$5:$G$1002,Dechargements!$C$5:$C$1002,$B103)-$F103-SUMIFS(Dechargements!$G$5:$G$1002,Dechargements!$C$5:$C$1002,$B103,Dechargements!$H$5:$H$1002,"Annulé"))</f>
        <v/>
      </c>
      <c r="H103" s="15" t="str">
        <f>IF($B103="","",SUMIFS(Paiements!$I$5:$I$2000,Paiements!$C$5:$C$2000,$B103,Paiements!$L$5:$L$2000,"Payé"))</f>
        <v/>
      </c>
      <c r="I103" s="15" t="str">
        <f>IF($B103="","",SUMIFS(Paiements!$I$5:$I$2000,Paiements!$C$5:$C$2000,$B103,Paiements!$L$5:$L$2000,"En attente"))</f>
        <v/>
      </c>
      <c r="J103" s="15" t="str">
        <f t="shared" si="4"/>
        <v/>
      </c>
      <c r="K103" s="15" t="str">
        <f t="shared" si="5"/>
        <v/>
      </c>
      <c r="L103" s="15" t="str">
        <f t="shared" si="6"/>
        <v/>
      </c>
      <c r="M103" s="25" t="str">
        <f t="shared" si="7"/>
        <v/>
      </c>
    </row>
  </sheetData>
  <conditionalFormatting sqref="M6:M103">
    <cfRule type="cellIs" dxfId="10" priority="1" operator="equal">
      <formula>"On lui doit"</formula>
    </cfRule>
    <cfRule type="cellIs" dxfId="9" priority="2" operator="equal">
      <formula>"Avancé"</formula>
    </cfRule>
    <cfRule type="cellIs" dxfId="8" priority="3" operator="equal">
      <formula>"Soldé"</formula>
    </cfRule>
  </conditionalFormatting>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5623"/>
    <pageSetUpPr fitToPage="1"/>
  </sheetPr>
  <dimension ref="A1:L1002"/>
  <sheetViews>
    <sheetView tabSelected="1" workbookViewId="0">
      <pane ySplit="4" topLeftCell="A5" activePane="bottomLeft" state="frozen"/>
      <selection pane="bottomLeft" activeCell="C5" sqref="C5"/>
    </sheetView>
  </sheetViews>
  <sheetFormatPr baseColWidth="10" defaultColWidth="8.7265625" defaultRowHeight="14.5" x14ac:dyDescent="0.35"/>
  <cols>
    <col min="1" max="1" width="16" customWidth="1"/>
    <col min="2" max="2" width="25.08984375" customWidth="1"/>
    <col min="3" max="3" width="28.81640625" customWidth="1"/>
    <col min="4" max="4" width="14" customWidth="1"/>
    <col min="5" max="5" width="13" customWidth="1"/>
    <col min="6" max="6" width="11" customWidth="1"/>
    <col min="7" max="7" width="17" customWidth="1"/>
    <col min="8" max="8" width="18" customWidth="1"/>
    <col min="9" max="9" width="17" customWidth="1"/>
    <col min="10" max="10" width="34" customWidth="1"/>
    <col min="11" max="11" width="28" customWidth="1"/>
    <col min="12" max="12" width="13" hidden="1" customWidth="1"/>
  </cols>
  <sheetData>
    <row r="1" spans="1:12" ht="20" x14ac:dyDescent="0.4">
      <c r="A1" s="21" t="s">
        <v>53</v>
      </c>
    </row>
    <row r="2" spans="1:12" ht="76" customHeight="1" x14ac:dyDescent="0.35">
      <c r="A2" s="44" t="s">
        <v>54</v>
      </c>
      <c r="B2" s="45"/>
      <c r="C2" s="45"/>
      <c r="D2" s="45"/>
      <c r="E2" s="45"/>
      <c r="F2" s="45"/>
      <c r="G2" s="45"/>
      <c r="H2" s="45"/>
      <c r="I2" s="45"/>
      <c r="J2" s="45"/>
      <c r="K2" s="45"/>
    </row>
    <row r="4" spans="1:12" ht="32" customHeight="1" x14ac:dyDescent="0.35">
      <c r="A4" s="26" t="s">
        <v>55</v>
      </c>
      <c r="B4" s="26" t="s">
        <v>56</v>
      </c>
      <c r="C4" s="26" t="s">
        <v>11</v>
      </c>
      <c r="D4" s="26" t="s">
        <v>57</v>
      </c>
      <c r="E4" s="26" t="s">
        <v>58</v>
      </c>
      <c r="F4" s="26" t="s">
        <v>59</v>
      </c>
      <c r="G4" s="23" t="s">
        <v>60</v>
      </c>
      <c r="H4" s="26" t="s">
        <v>61</v>
      </c>
      <c r="I4" s="23" t="s">
        <v>62</v>
      </c>
      <c r="J4" s="23" t="s">
        <v>63</v>
      </c>
      <c r="K4" s="26" t="s">
        <v>10</v>
      </c>
      <c r="L4" s="17" t="s">
        <v>64</v>
      </c>
    </row>
    <row r="5" spans="1:12" x14ac:dyDescent="0.35">
      <c r="A5" s="18"/>
      <c r="B5" s="27"/>
      <c r="C5" s="14"/>
      <c r="D5" s="14"/>
      <c r="E5" s="19"/>
      <c r="F5" s="19"/>
      <c r="G5" s="28" t="str">
        <f t="shared" ref="G5:G66" si="0">IF(OR($E5="",$F5=""),"",ROUND($E5*$F5,0))</f>
        <v/>
      </c>
      <c r="H5" s="14"/>
      <c r="I5" s="29" t="str">
        <f>IF(OR($C5="",$G5="",$H5&lt;&gt;"Fait"),"",MIN($G5,MAX(0,SUMIFS($G$5:$G5,$C$5:$C5,$C5,$H$5:$H5,"Fait")-SUMIFS(Paiements!$I$5:$I$2000,Paiements!$C$5:$C$2000,$C5,Paiements!$L$5:$L$2000,"Payé"))))</f>
        <v/>
      </c>
      <c r="J5" s="30" t="str">
        <f t="shared" ref="J5:J66" si="1">IF(OR($C5="",$G5=""),"",IF($H5="Annulé","Annulé",IF($H5&lt;&gt;"Fait","Non payable (déchargement non fait)",IF($I5=0,"Payé",IF($I5&lt;$G5,"Partiellement payé","À payer")))))</f>
        <v/>
      </c>
      <c r="K5" s="14"/>
      <c r="L5" s="17" t="str">
        <f>IF(AND($C5&lt;&gt;"",$C5=Controle_Paiement!$B$4,$J5&lt;&gt;"Payé",$J5&lt;&gt;"Annulé",$J5&lt;&gt;""),1,"")</f>
        <v/>
      </c>
    </row>
    <row r="6" spans="1:12" x14ac:dyDescent="0.35">
      <c r="A6" s="18"/>
      <c r="B6" s="27"/>
      <c r="C6" s="14"/>
      <c r="D6" s="14"/>
      <c r="E6" s="19"/>
      <c r="F6" s="19"/>
      <c r="G6" s="28" t="str">
        <f t="shared" si="0"/>
        <v/>
      </c>
      <c r="H6" s="14"/>
      <c r="I6" s="29" t="str">
        <f>IF(OR($C6="",$G6="",$H6&lt;&gt;"Fait"),"",MIN($G6,MAX(0,SUMIFS($G$5:$G6,$C$5:$C6,$C6,$H$5:$H6,"Fait")-SUMIFS(Paiements!$I$5:$I$2000,Paiements!$C$5:$C$2000,$C6,Paiements!$L$5:$L$2000,"Payé"))))</f>
        <v/>
      </c>
      <c r="J6" s="30" t="str">
        <f t="shared" si="1"/>
        <v/>
      </c>
      <c r="K6" s="14"/>
      <c r="L6" s="17" t="str">
        <f>IF(AND($C6&lt;&gt;"",$C6=Controle_Paiement!$B$4,$J6&lt;&gt;"Payé",$J6&lt;&gt;"Annulé",$J6&lt;&gt;""),1,"")</f>
        <v/>
      </c>
    </row>
    <row r="7" spans="1:12" x14ac:dyDescent="0.35">
      <c r="A7" s="18"/>
      <c r="B7" s="27"/>
      <c r="C7" s="14"/>
      <c r="D7" s="14"/>
      <c r="E7" s="19"/>
      <c r="F7" s="19"/>
      <c r="G7" s="28" t="str">
        <f t="shared" si="0"/>
        <v/>
      </c>
      <c r="H7" s="14"/>
      <c r="I7" s="29" t="str">
        <f>IF(OR($C7="",$G7="",$H7&lt;&gt;"Fait"),"",MIN($G7,MAX(0,SUMIFS($G$5:$G7,$C$5:$C7,$C7,$H$5:$H7,"Fait")-SUMIFS(Paiements!$I$5:$I$2000,Paiements!$C$5:$C$2000,$C7,Paiements!$L$5:$L$2000,"Payé"))))</f>
        <v/>
      </c>
      <c r="J7" s="30" t="str">
        <f t="shared" si="1"/>
        <v/>
      </c>
      <c r="K7" s="14"/>
      <c r="L7" s="17" t="str">
        <f>IF(AND($C7&lt;&gt;"",$C7=Controle_Paiement!$B$4,$J7&lt;&gt;"Payé",$J7&lt;&gt;"Annulé",$J7&lt;&gt;""),1,"")</f>
        <v/>
      </c>
    </row>
    <row r="8" spans="1:12" x14ac:dyDescent="0.35">
      <c r="A8" s="18"/>
      <c r="B8" s="27"/>
      <c r="C8" s="14"/>
      <c r="D8" s="14"/>
      <c r="E8" s="19"/>
      <c r="F8" s="19"/>
      <c r="G8" s="28" t="str">
        <f t="shared" si="0"/>
        <v/>
      </c>
      <c r="H8" s="14"/>
      <c r="I8" s="29" t="str">
        <f>IF(OR($C8="",$G8="",$H8&lt;&gt;"Fait"),"",MIN($G8,MAX(0,SUMIFS($G$5:$G8,$C$5:$C8,$C8,$H$5:$H8,"Fait")-SUMIFS(Paiements!$I$5:$I$2000,Paiements!$C$5:$C$2000,$C8,Paiements!$L$5:$L$2000,"Payé"))))</f>
        <v/>
      </c>
      <c r="J8" s="30" t="str">
        <f t="shared" si="1"/>
        <v/>
      </c>
      <c r="K8" s="14"/>
      <c r="L8" s="17" t="str">
        <f>IF(AND($C8&lt;&gt;"",$C8=Controle_Paiement!$B$4,$J8&lt;&gt;"Payé",$J8&lt;&gt;"Annulé",$J8&lt;&gt;""),1,"")</f>
        <v/>
      </c>
    </row>
    <row r="9" spans="1:12" x14ac:dyDescent="0.35">
      <c r="A9" s="18"/>
      <c r="B9" s="27"/>
      <c r="C9" s="14"/>
      <c r="D9" s="14"/>
      <c r="E9" s="19"/>
      <c r="F9" s="19"/>
      <c r="G9" s="28" t="str">
        <f t="shared" si="0"/>
        <v/>
      </c>
      <c r="H9" s="14"/>
      <c r="I9" s="29" t="str">
        <f>IF(OR($C9="",$G9="",$H9&lt;&gt;"Fait"),"",MIN($G9,MAX(0,SUMIFS($G$5:$G9,$C$5:$C9,$C9,$H$5:$H9,"Fait")-SUMIFS(Paiements!$I$5:$I$2000,Paiements!$C$5:$C$2000,$C9,Paiements!$L$5:$L$2000,"Payé"))))</f>
        <v/>
      </c>
      <c r="J9" s="30" t="str">
        <f t="shared" si="1"/>
        <v/>
      </c>
      <c r="K9" s="14"/>
      <c r="L9" s="17" t="str">
        <f>IF(AND($C9&lt;&gt;"",$C9=Controle_Paiement!$B$4,$J9&lt;&gt;"Payé",$J9&lt;&gt;"Annulé",$J9&lt;&gt;""),1,"")</f>
        <v/>
      </c>
    </row>
    <row r="10" spans="1:12" x14ac:dyDescent="0.35">
      <c r="A10" s="18"/>
      <c r="B10" s="27"/>
      <c r="C10" s="14"/>
      <c r="D10" s="14"/>
      <c r="E10" s="19"/>
      <c r="F10" s="19"/>
      <c r="G10" s="28" t="str">
        <f t="shared" si="0"/>
        <v/>
      </c>
      <c r="H10" s="14"/>
      <c r="I10" s="29" t="str">
        <f>IF(OR($C10="",$G10="",$H10&lt;&gt;"Fait"),"",MIN($G10,MAX(0,SUMIFS($G$5:$G10,$C$5:$C10,$C10,$H$5:$H10,"Fait")-SUMIFS(Paiements!$I$5:$I$2000,Paiements!$C$5:$C$2000,$C10,Paiements!$L$5:$L$2000,"Payé"))))</f>
        <v/>
      </c>
      <c r="J10" s="30" t="str">
        <f t="shared" si="1"/>
        <v/>
      </c>
      <c r="K10" s="14"/>
      <c r="L10" s="17" t="str">
        <f>IF(AND($C10&lt;&gt;"",$C10=Controle_Paiement!$B$4,$J10&lt;&gt;"Payé",$J10&lt;&gt;"Annulé",$J10&lt;&gt;""),1,"")</f>
        <v/>
      </c>
    </row>
    <row r="11" spans="1:12" x14ac:dyDescent="0.35">
      <c r="A11" s="18"/>
      <c r="B11" s="27"/>
      <c r="C11" s="14"/>
      <c r="D11" s="14"/>
      <c r="E11" s="19"/>
      <c r="F11" s="19"/>
      <c r="G11" s="28" t="str">
        <f t="shared" si="0"/>
        <v/>
      </c>
      <c r="H11" s="14"/>
      <c r="I11" s="29" t="str">
        <f>IF(OR($C11="",$G11="",$H11&lt;&gt;"Fait"),"",MIN($G11,MAX(0,SUMIFS($G$5:$G11,$C$5:$C11,$C11,$H$5:$H11,"Fait")-SUMIFS(Paiements!$I$5:$I$2000,Paiements!$C$5:$C$2000,$C11,Paiements!$L$5:$L$2000,"Payé"))))</f>
        <v/>
      </c>
      <c r="J11" s="30" t="str">
        <f t="shared" si="1"/>
        <v/>
      </c>
      <c r="K11" s="14"/>
      <c r="L11" s="17" t="str">
        <f>IF(AND($C11&lt;&gt;"",$C11=Controle_Paiement!$B$4,$J11&lt;&gt;"Payé",$J11&lt;&gt;"Annulé",$J11&lt;&gt;""),1,"")</f>
        <v/>
      </c>
    </row>
    <row r="12" spans="1:12" x14ac:dyDescent="0.35">
      <c r="A12" s="18"/>
      <c r="B12" s="27"/>
      <c r="C12" s="14"/>
      <c r="D12" s="14"/>
      <c r="E12" s="19"/>
      <c r="F12" s="19"/>
      <c r="G12" s="28" t="str">
        <f t="shared" si="0"/>
        <v/>
      </c>
      <c r="H12" s="14"/>
      <c r="I12" s="29" t="str">
        <f>IF(OR($C12="",$G12="",$H12&lt;&gt;"Fait"),"",MIN($G12,MAX(0,SUMIFS($G$5:$G12,$C$5:$C12,$C12,$H$5:$H12,"Fait")-SUMIFS(Paiements!$I$5:$I$2000,Paiements!$C$5:$C$2000,$C12,Paiements!$L$5:$L$2000,"Payé"))))</f>
        <v/>
      </c>
      <c r="J12" s="30" t="str">
        <f t="shared" si="1"/>
        <v/>
      </c>
      <c r="K12" s="14"/>
      <c r="L12" s="17" t="str">
        <f>IF(AND($C12&lt;&gt;"",$C12=Controle_Paiement!$B$4,$J12&lt;&gt;"Payé",$J12&lt;&gt;"Annulé",$J12&lt;&gt;""),1,"")</f>
        <v/>
      </c>
    </row>
    <row r="13" spans="1:12" x14ac:dyDescent="0.35">
      <c r="A13" s="18"/>
      <c r="B13" s="27"/>
      <c r="C13" s="14"/>
      <c r="D13" s="14"/>
      <c r="E13" s="19"/>
      <c r="F13" s="19"/>
      <c r="G13" s="28" t="str">
        <f t="shared" si="0"/>
        <v/>
      </c>
      <c r="H13" s="14"/>
      <c r="I13" s="29" t="str">
        <f>IF(OR($C13="",$G13="",$H13&lt;&gt;"Fait"),"",MIN($G13,MAX(0,SUMIFS($G$5:$G13,$C$5:$C13,$C13,$H$5:$H13,"Fait")-SUMIFS(Paiements!$I$5:$I$2000,Paiements!$C$5:$C$2000,$C13,Paiements!$L$5:$L$2000,"Payé"))))</f>
        <v/>
      </c>
      <c r="J13" s="30" t="str">
        <f t="shared" si="1"/>
        <v/>
      </c>
      <c r="K13" s="14"/>
      <c r="L13" s="17" t="str">
        <f>IF(AND($C13&lt;&gt;"",$C13=Controle_Paiement!$B$4,$J13&lt;&gt;"Payé",$J13&lt;&gt;"Annulé",$J13&lt;&gt;""),1,"")</f>
        <v/>
      </c>
    </row>
    <row r="14" spans="1:12" x14ac:dyDescent="0.35">
      <c r="A14" s="18"/>
      <c r="B14" s="27"/>
      <c r="C14" s="14"/>
      <c r="D14" s="14"/>
      <c r="E14" s="19"/>
      <c r="F14" s="19"/>
      <c r="G14" s="28" t="str">
        <f t="shared" si="0"/>
        <v/>
      </c>
      <c r="H14" s="14"/>
      <c r="I14" s="29" t="str">
        <f>IF(OR($C14="",$G14="",$H14&lt;&gt;"Fait"),"",MIN($G14,MAX(0,SUMIFS($G$5:$G14,$C$5:$C14,$C14,$H$5:$H14,"Fait")-SUMIFS(Paiements!$I$5:$I$2000,Paiements!$C$5:$C$2000,$C14,Paiements!$L$5:$L$2000,"Payé"))))</f>
        <v/>
      </c>
      <c r="J14" s="30" t="str">
        <f t="shared" si="1"/>
        <v/>
      </c>
      <c r="K14" s="14"/>
      <c r="L14" s="17" t="str">
        <f>IF(AND($C14&lt;&gt;"",$C14=Controle_Paiement!$B$4,$J14&lt;&gt;"Payé",$J14&lt;&gt;"Annulé",$J14&lt;&gt;""),1,"")</f>
        <v/>
      </c>
    </row>
    <row r="15" spans="1:12" x14ac:dyDescent="0.35">
      <c r="A15" s="18"/>
      <c r="B15" s="27"/>
      <c r="C15" s="14"/>
      <c r="D15" s="14"/>
      <c r="E15" s="19"/>
      <c r="F15" s="19"/>
      <c r="G15" s="28" t="str">
        <f t="shared" si="0"/>
        <v/>
      </c>
      <c r="H15" s="14"/>
      <c r="I15" s="29" t="str">
        <f>IF(OR($C15="",$G15="",$H15&lt;&gt;"Fait"),"",MIN($G15,MAX(0,SUMIFS($G$5:$G15,$C$5:$C15,$C15,$H$5:$H15,"Fait")-SUMIFS(Paiements!$I$5:$I$2000,Paiements!$C$5:$C$2000,$C15,Paiements!$L$5:$L$2000,"Payé"))))</f>
        <v/>
      </c>
      <c r="J15" s="30" t="str">
        <f t="shared" si="1"/>
        <v/>
      </c>
      <c r="K15" s="14"/>
      <c r="L15" s="17" t="str">
        <f>IF(AND($C15&lt;&gt;"",$C15=Controle_Paiement!$B$4,$J15&lt;&gt;"Payé",$J15&lt;&gt;"Annulé",$J15&lt;&gt;""),1,"")</f>
        <v/>
      </c>
    </row>
    <row r="16" spans="1:12" x14ac:dyDescent="0.35">
      <c r="A16" s="18"/>
      <c r="B16" s="27"/>
      <c r="C16" s="14"/>
      <c r="D16" s="14"/>
      <c r="E16" s="19"/>
      <c r="F16" s="19"/>
      <c r="G16" s="28" t="str">
        <f t="shared" si="0"/>
        <v/>
      </c>
      <c r="H16" s="14"/>
      <c r="I16" s="29" t="str">
        <f>IF(OR($C16="",$G16="",$H16&lt;&gt;"Fait"),"",MIN($G16,MAX(0,SUMIFS($G$5:$G16,$C$5:$C16,$C16,$H$5:$H16,"Fait")-SUMIFS(Paiements!$I$5:$I$2000,Paiements!$C$5:$C$2000,$C16,Paiements!$L$5:$L$2000,"Payé"))))</f>
        <v/>
      </c>
      <c r="J16" s="30" t="str">
        <f t="shared" si="1"/>
        <v/>
      </c>
      <c r="K16" s="14"/>
      <c r="L16" s="17" t="str">
        <f>IF(AND($C16&lt;&gt;"",$C16=Controle_Paiement!$B$4,$J16&lt;&gt;"Payé",$J16&lt;&gt;"Annulé",$J16&lt;&gt;""),1,"")</f>
        <v/>
      </c>
    </row>
    <row r="17" spans="1:12" x14ac:dyDescent="0.35">
      <c r="A17" s="18"/>
      <c r="B17" s="27"/>
      <c r="C17" s="14"/>
      <c r="D17" s="14"/>
      <c r="E17" s="19"/>
      <c r="F17" s="19"/>
      <c r="G17" s="28" t="str">
        <f t="shared" si="0"/>
        <v/>
      </c>
      <c r="H17" s="14"/>
      <c r="I17" s="29" t="str">
        <f>IF(OR($C17="",$G17="",$H17&lt;&gt;"Fait"),"",MIN($G17,MAX(0,SUMIFS($G$5:$G17,$C$5:$C17,$C17,$H$5:$H17,"Fait")-SUMIFS(Paiements!$I$5:$I$2000,Paiements!$C$5:$C$2000,$C17,Paiements!$L$5:$L$2000,"Payé"))))</f>
        <v/>
      </c>
      <c r="J17" s="30" t="str">
        <f t="shared" si="1"/>
        <v/>
      </c>
      <c r="K17" s="14"/>
      <c r="L17" s="17" t="str">
        <f>IF(AND($C17&lt;&gt;"",$C17=Controle_Paiement!$B$4,$J17&lt;&gt;"Payé",$J17&lt;&gt;"Annulé",$J17&lt;&gt;""),1,"")</f>
        <v/>
      </c>
    </row>
    <row r="18" spans="1:12" x14ac:dyDescent="0.35">
      <c r="A18" s="18"/>
      <c r="B18" s="27"/>
      <c r="C18" s="14"/>
      <c r="D18" s="14"/>
      <c r="E18" s="19"/>
      <c r="F18" s="19"/>
      <c r="G18" s="28" t="str">
        <f t="shared" si="0"/>
        <v/>
      </c>
      <c r="H18" s="14"/>
      <c r="I18" s="29" t="str">
        <f>IF(OR($C18="",$G18="",$H18&lt;&gt;"Fait"),"",MIN($G18,MAX(0,SUMIFS($G$5:$G18,$C$5:$C18,$C18,$H$5:$H18,"Fait")-SUMIFS(Paiements!$I$5:$I$2000,Paiements!$C$5:$C$2000,$C18,Paiements!$L$5:$L$2000,"Payé"))))</f>
        <v/>
      </c>
      <c r="J18" s="30" t="str">
        <f t="shared" si="1"/>
        <v/>
      </c>
      <c r="K18" s="14"/>
      <c r="L18" s="17" t="str">
        <f>IF(AND($C18&lt;&gt;"",$C18=Controle_Paiement!$B$4,$J18&lt;&gt;"Payé",$J18&lt;&gt;"Annulé",$J18&lt;&gt;""),1,"")</f>
        <v/>
      </c>
    </row>
    <row r="19" spans="1:12" x14ac:dyDescent="0.35">
      <c r="A19" s="18"/>
      <c r="B19" s="27"/>
      <c r="C19" s="14"/>
      <c r="D19" s="14"/>
      <c r="E19" s="19"/>
      <c r="F19" s="19"/>
      <c r="G19" s="28" t="str">
        <f t="shared" si="0"/>
        <v/>
      </c>
      <c r="H19" s="14"/>
      <c r="I19" s="29" t="str">
        <f>IF(OR($C19="",$G19="",$H19&lt;&gt;"Fait"),"",MIN($G19,MAX(0,SUMIFS($G$5:$G19,$C$5:$C19,$C19,$H$5:$H19,"Fait")-SUMIFS(Paiements!$I$5:$I$2000,Paiements!$C$5:$C$2000,$C19,Paiements!$L$5:$L$2000,"Payé"))))</f>
        <v/>
      </c>
      <c r="J19" s="30" t="str">
        <f t="shared" si="1"/>
        <v/>
      </c>
      <c r="K19" s="14"/>
      <c r="L19" s="17" t="str">
        <f>IF(AND($C19&lt;&gt;"",$C19=Controle_Paiement!$B$4,$J19&lt;&gt;"Payé",$J19&lt;&gt;"Annulé",$J19&lt;&gt;""),1,"")</f>
        <v/>
      </c>
    </row>
    <row r="20" spans="1:12" x14ac:dyDescent="0.35">
      <c r="A20" s="18"/>
      <c r="B20" s="27"/>
      <c r="C20" s="14"/>
      <c r="D20" s="14"/>
      <c r="E20" s="19"/>
      <c r="F20" s="19"/>
      <c r="G20" s="28" t="str">
        <f t="shared" si="0"/>
        <v/>
      </c>
      <c r="H20" s="14"/>
      <c r="I20" s="29" t="str">
        <f>IF(OR($C20="",$G20="",$H20&lt;&gt;"Fait"),"",MIN($G20,MAX(0,SUMIFS($G$5:$G20,$C$5:$C20,$C20,$H$5:$H20,"Fait")-SUMIFS(Paiements!$I$5:$I$2000,Paiements!$C$5:$C$2000,$C20,Paiements!$L$5:$L$2000,"Payé"))))</f>
        <v/>
      </c>
      <c r="J20" s="30" t="str">
        <f t="shared" si="1"/>
        <v/>
      </c>
      <c r="K20" s="14"/>
      <c r="L20" s="17" t="str">
        <f>IF(AND($C20&lt;&gt;"",$C20=Controle_Paiement!$B$4,$J20&lt;&gt;"Payé",$J20&lt;&gt;"Annulé",$J20&lt;&gt;""),1,"")</f>
        <v/>
      </c>
    </row>
    <row r="21" spans="1:12" x14ac:dyDescent="0.35">
      <c r="A21" s="18"/>
      <c r="B21" s="27"/>
      <c r="C21" s="14"/>
      <c r="D21" s="14"/>
      <c r="E21" s="19"/>
      <c r="F21" s="19"/>
      <c r="G21" s="28" t="str">
        <f t="shared" si="0"/>
        <v/>
      </c>
      <c r="H21" s="14"/>
      <c r="I21" s="29" t="str">
        <f>IF(OR($C21="",$G21="",$H21&lt;&gt;"Fait"),"",MIN($G21,MAX(0,SUMIFS($G$5:$G21,$C$5:$C21,$C21,$H$5:$H21,"Fait")-SUMIFS(Paiements!$I$5:$I$2000,Paiements!$C$5:$C$2000,$C21,Paiements!$L$5:$L$2000,"Payé"))))</f>
        <v/>
      </c>
      <c r="J21" s="30" t="str">
        <f t="shared" si="1"/>
        <v/>
      </c>
      <c r="K21" s="14"/>
      <c r="L21" s="17" t="str">
        <f>IF(AND($C21&lt;&gt;"",$C21=Controle_Paiement!$B$4,$J21&lt;&gt;"Payé",$J21&lt;&gt;"Annulé",$J21&lt;&gt;""),1,"")</f>
        <v/>
      </c>
    </row>
    <row r="22" spans="1:12" x14ac:dyDescent="0.35">
      <c r="A22" s="18"/>
      <c r="B22" s="27"/>
      <c r="C22" s="14"/>
      <c r="D22" s="14"/>
      <c r="E22" s="19"/>
      <c r="F22" s="19"/>
      <c r="G22" s="28" t="str">
        <f t="shared" si="0"/>
        <v/>
      </c>
      <c r="H22" s="14"/>
      <c r="I22" s="29" t="str">
        <f>IF(OR($C22="",$G22="",$H22&lt;&gt;"Fait"),"",MIN($G22,MAX(0,SUMIFS($G$5:$G22,$C$5:$C22,$C22,$H$5:$H22,"Fait")-SUMIFS(Paiements!$I$5:$I$2000,Paiements!$C$5:$C$2000,$C22,Paiements!$L$5:$L$2000,"Payé"))))</f>
        <v/>
      </c>
      <c r="J22" s="30" t="str">
        <f t="shared" si="1"/>
        <v/>
      </c>
      <c r="K22" s="14"/>
      <c r="L22" s="17" t="str">
        <f>IF(AND($C22&lt;&gt;"",$C22=Controle_Paiement!$B$4,$J22&lt;&gt;"Payé",$J22&lt;&gt;"Annulé",$J22&lt;&gt;""),1,"")</f>
        <v/>
      </c>
    </row>
    <row r="23" spans="1:12" x14ac:dyDescent="0.35">
      <c r="A23" s="18"/>
      <c r="B23" s="27"/>
      <c r="C23" s="14"/>
      <c r="D23" s="14"/>
      <c r="E23" s="19"/>
      <c r="F23" s="19"/>
      <c r="G23" s="28" t="str">
        <f t="shared" si="0"/>
        <v/>
      </c>
      <c r="H23" s="14"/>
      <c r="I23" s="29" t="str">
        <f>IF(OR($C23="",$G23="",$H23&lt;&gt;"Fait"),"",MIN($G23,MAX(0,SUMIFS($G$5:$G23,$C$5:$C23,$C23,$H$5:$H23,"Fait")-SUMIFS(Paiements!$I$5:$I$2000,Paiements!$C$5:$C$2000,$C23,Paiements!$L$5:$L$2000,"Payé"))))</f>
        <v/>
      </c>
      <c r="J23" s="30" t="str">
        <f t="shared" si="1"/>
        <v/>
      </c>
      <c r="K23" s="14"/>
      <c r="L23" s="17" t="str">
        <f>IF(AND($C23&lt;&gt;"",$C23=Controle_Paiement!$B$4,$J23&lt;&gt;"Payé",$J23&lt;&gt;"Annulé",$J23&lt;&gt;""),1,"")</f>
        <v/>
      </c>
    </row>
    <row r="24" spans="1:12" x14ac:dyDescent="0.35">
      <c r="A24" s="18"/>
      <c r="B24" s="27"/>
      <c r="C24" s="14"/>
      <c r="D24" s="14"/>
      <c r="E24" s="19"/>
      <c r="F24" s="19"/>
      <c r="G24" s="28" t="str">
        <f t="shared" si="0"/>
        <v/>
      </c>
      <c r="H24" s="14"/>
      <c r="I24" s="29" t="str">
        <f>IF(OR($C24="",$G24="",$H24&lt;&gt;"Fait"),"",MIN($G24,MAX(0,SUMIFS($G$5:$G24,$C$5:$C24,$C24,$H$5:$H24,"Fait")-SUMIFS(Paiements!$I$5:$I$2000,Paiements!$C$5:$C$2000,$C24,Paiements!$L$5:$L$2000,"Payé"))))</f>
        <v/>
      </c>
      <c r="J24" s="30" t="str">
        <f t="shared" si="1"/>
        <v/>
      </c>
      <c r="K24" s="14"/>
      <c r="L24" s="17" t="str">
        <f>IF(AND($C24&lt;&gt;"",$C24=Controle_Paiement!$B$4,$J24&lt;&gt;"Payé",$J24&lt;&gt;"Annulé",$J24&lt;&gt;""),1,"")</f>
        <v/>
      </c>
    </row>
    <row r="25" spans="1:12" x14ac:dyDescent="0.35">
      <c r="A25" s="18"/>
      <c r="B25" s="27"/>
      <c r="C25" s="14"/>
      <c r="D25" s="14"/>
      <c r="E25" s="19"/>
      <c r="F25" s="19"/>
      <c r="G25" s="28" t="str">
        <f t="shared" si="0"/>
        <v/>
      </c>
      <c r="H25" s="14"/>
      <c r="I25" s="29" t="str">
        <f>IF(OR($C25="",$G25="",$H25&lt;&gt;"Fait"),"",MIN($G25,MAX(0,SUMIFS($G$5:$G25,$C$5:$C25,$C25,$H$5:$H25,"Fait")-SUMIFS(Paiements!$I$5:$I$2000,Paiements!$C$5:$C$2000,$C25,Paiements!$L$5:$L$2000,"Payé"))))</f>
        <v/>
      </c>
      <c r="J25" s="30" t="str">
        <f t="shared" si="1"/>
        <v/>
      </c>
      <c r="K25" s="14"/>
      <c r="L25" s="17" t="str">
        <f>IF(AND($C25&lt;&gt;"",$C25=Controle_Paiement!$B$4,$J25&lt;&gt;"Payé",$J25&lt;&gt;"Annulé",$J25&lt;&gt;""),1,"")</f>
        <v/>
      </c>
    </row>
    <row r="26" spans="1:12" x14ac:dyDescent="0.35">
      <c r="A26" s="18"/>
      <c r="B26" s="27"/>
      <c r="C26" s="14"/>
      <c r="D26" s="14"/>
      <c r="E26" s="19"/>
      <c r="F26" s="19"/>
      <c r="G26" s="28" t="str">
        <f t="shared" si="0"/>
        <v/>
      </c>
      <c r="H26" s="14"/>
      <c r="I26" s="29" t="str">
        <f>IF(OR($C26="",$G26="",$H26&lt;&gt;"Fait"),"",MIN($G26,MAX(0,SUMIFS($G$5:$G26,$C$5:$C26,$C26,$H$5:$H26,"Fait")-SUMIFS(Paiements!$I$5:$I$2000,Paiements!$C$5:$C$2000,$C26,Paiements!$L$5:$L$2000,"Payé"))))</f>
        <v/>
      </c>
      <c r="J26" s="30" t="str">
        <f t="shared" si="1"/>
        <v/>
      </c>
      <c r="K26" s="14"/>
      <c r="L26" s="17" t="str">
        <f>IF(AND($C26&lt;&gt;"",$C26=Controle_Paiement!$B$4,$J26&lt;&gt;"Payé",$J26&lt;&gt;"Annulé",$J26&lt;&gt;""),1,"")</f>
        <v/>
      </c>
    </row>
    <row r="27" spans="1:12" x14ac:dyDescent="0.35">
      <c r="A27" s="18"/>
      <c r="B27" s="27"/>
      <c r="C27" s="14"/>
      <c r="D27" s="14"/>
      <c r="E27" s="19"/>
      <c r="F27" s="19"/>
      <c r="G27" s="28" t="str">
        <f t="shared" si="0"/>
        <v/>
      </c>
      <c r="H27" s="14"/>
      <c r="I27" s="29" t="str">
        <f>IF(OR($C27="",$G27="",$H27&lt;&gt;"Fait"),"",MIN($G27,MAX(0,SUMIFS($G$5:$G27,$C$5:$C27,$C27,$H$5:$H27,"Fait")-SUMIFS(Paiements!$I$5:$I$2000,Paiements!$C$5:$C$2000,$C27,Paiements!$L$5:$L$2000,"Payé"))))</f>
        <v/>
      </c>
      <c r="J27" s="30" t="str">
        <f t="shared" si="1"/>
        <v/>
      </c>
      <c r="K27" s="14"/>
      <c r="L27" s="17" t="str">
        <f>IF(AND($C27&lt;&gt;"",$C27=Controle_Paiement!$B$4,$J27&lt;&gt;"Payé",$J27&lt;&gt;"Annulé",$J27&lt;&gt;""),1,"")</f>
        <v/>
      </c>
    </row>
    <row r="28" spans="1:12" x14ac:dyDescent="0.35">
      <c r="A28" s="18"/>
      <c r="B28" s="27"/>
      <c r="C28" s="14"/>
      <c r="D28" s="14"/>
      <c r="E28" s="19"/>
      <c r="F28" s="19"/>
      <c r="G28" s="28" t="str">
        <f t="shared" si="0"/>
        <v/>
      </c>
      <c r="H28" s="14"/>
      <c r="I28" s="29" t="str">
        <f>IF(OR($C28="",$G28="",$H28&lt;&gt;"Fait"),"",MIN($G28,MAX(0,SUMIFS($G$5:$G28,$C$5:$C28,$C28,$H$5:$H28,"Fait")-SUMIFS(Paiements!$I$5:$I$2000,Paiements!$C$5:$C$2000,$C28,Paiements!$L$5:$L$2000,"Payé"))))</f>
        <v/>
      </c>
      <c r="J28" s="30" t="str">
        <f t="shared" si="1"/>
        <v/>
      </c>
      <c r="K28" s="14"/>
      <c r="L28" s="17" t="str">
        <f>IF(AND($C28&lt;&gt;"",$C28=Controle_Paiement!$B$4,$J28&lt;&gt;"Payé",$J28&lt;&gt;"Annulé",$J28&lt;&gt;""),1,"")</f>
        <v/>
      </c>
    </row>
    <row r="29" spans="1:12" x14ac:dyDescent="0.35">
      <c r="A29" s="18"/>
      <c r="B29" s="27"/>
      <c r="C29" s="14"/>
      <c r="D29" s="14"/>
      <c r="E29" s="19"/>
      <c r="F29" s="19"/>
      <c r="G29" s="28" t="str">
        <f t="shared" si="0"/>
        <v/>
      </c>
      <c r="H29" s="14"/>
      <c r="I29" s="29" t="str">
        <f>IF(OR($C29="",$G29="",$H29&lt;&gt;"Fait"),"",MIN($G29,MAX(0,SUMIFS($G$5:$G29,$C$5:$C29,$C29,$H$5:$H29,"Fait")-SUMIFS(Paiements!$I$5:$I$2000,Paiements!$C$5:$C$2000,$C29,Paiements!$L$5:$L$2000,"Payé"))))</f>
        <v/>
      </c>
      <c r="J29" s="30" t="str">
        <f t="shared" si="1"/>
        <v/>
      </c>
      <c r="K29" s="14"/>
      <c r="L29" s="17" t="str">
        <f>IF(AND($C29&lt;&gt;"",$C29=Controle_Paiement!$B$4,$J29&lt;&gt;"Payé",$J29&lt;&gt;"Annulé",$J29&lt;&gt;""),1,"")</f>
        <v/>
      </c>
    </row>
    <row r="30" spans="1:12" x14ac:dyDescent="0.35">
      <c r="A30" s="18"/>
      <c r="B30" s="27"/>
      <c r="C30" s="14"/>
      <c r="D30" s="14"/>
      <c r="E30" s="19"/>
      <c r="F30" s="19"/>
      <c r="G30" s="28" t="str">
        <f t="shared" si="0"/>
        <v/>
      </c>
      <c r="H30" s="14"/>
      <c r="I30" s="29" t="str">
        <f>IF(OR($C30="",$G30="",$H30&lt;&gt;"Fait"),"",MIN($G30,MAX(0,SUMIFS($G$5:$G30,$C$5:$C30,$C30,$H$5:$H30,"Fait")-SUMIFS(Paiements!$I$5:$I$2000,Paiements!$C$5:$C$2000,$C30,Paiements!$L$5:$L$2000,"Payé"))))</f>
        <v/>
      </c>
      <c r="J30" s="30" t="str">
        <f t="shared" si="1"/>
        <v/>
      </c>
      <c r="K30" s="14"/>
      <c r="L30" s="17" t="str">
        <f>IF(AND($C30&lt;&gt;"",$C30=Controle_Paiement!$B$4,$J30&lt;&gt;"Payé",$J30&lt;&gt;"Annulé",$J30&lt;&gt;""),1,"")</f>
        <v/>
      </c>
    </row>
    <row r="31" spans="1:12" x14ac:dyDescent="0.35">
      <c r="A31" s="18"/>
      <c r="B31" s="27"/>
      <c r="C31" s="14"/>
      <c r="D31" s="14"/>
      <c r="E31" s="19"/>
      <c r="F31" s="19"/>
      <c r="G31" s="28" t="str">
        <f t="shared" si="0"/>
        <v/>
      </c>
      <c r="H31" s="14"/>
      <c r="I31" s="29" t="str">
        <f>IF(OR($C31="",$G31="",$H31&lt;&gt;"Fait"),"",MIN($G31,MAX(0,SUMIFS($G$5:$G31,$C$5:$C31,$C31,$H$5:$H31,"Fait")-SUMIFS(Paiements!$I$5:$I$2000,Paiements!$C$5:$C$2000,$C31,Paiements!$L$5:$L$2000,"Payé"))))</f>
        <v/>
      </c>
      <c r="J31" s="30" t="str">
        <f t="shared" si="1"/>
        <v/>
      </c>
      <c r="K31" s="14"/>
      <c r="L31" s="17" t="str">
        <f>IF(AND($C31&lt;&gt;"",$C31=Controle_Paiement!$B$4,$J31&lt;&gt;"Payé",$J31&lt;&gt;"Annulé",$J31&lt;&gt;""),1,"")</f>
        <v/>
      </c>
    </row>
    <row r="32" spans="1:12" x14ac:dyDescent="0.35">
      <c r="A32" s="18"/>
      <c r="B32" s="27"/>
      <c r="C32" s="14"/>
      <c r="D32" s="14"/>
      <c r="E32" s="19"/>
      <c r="F32" s="19"/>
      <c r="G32" s="28" t="str">
        <f t="shared" si="0"/>
        <v/>
      </c>
      <c r="H32" s="14"/>
      <c r="I32" s="29" t="str">
        <f>IF(OR($C32="",$G32="",$H32&lt;&gt;"Fait"),"",MIN($G32,MAX(0,SUMIFS($G$5:$G32,$C$5:$C32,$C32,$H$5:$H32,"Fait")-SUMIFS(Paiements!$I$5:$I$2000,Paiements!$C$5:$C$2000,$C32,Paiements!$L$5:$L$2000,"Payé"))))</f>
        <v/>
      </c>
      <c r="J32" s="30" t="str">
        <f t="shared" si="1"/>
        <v/>
      </c>
      <c r="K32" s="14"/>
      <c r="L32" s="17" t="str">
        <f>IF(AND($C32&lt;&gt;"",$C32=Controle_Paiement!$B$4,$J32&lt;&gt;"Payé",$J32&lt;&gt;"Annulé",$J32&lt;&gt;""),1,"")</f>
        <v/>
      </c>
    </row>
    <row r="33" spans="1:12" x14ac:dyDescent="0.35">
      <c r="A33" s="18"/>
      <c r="B33" s="27"/>
      <c r="C33" s="14"/>
      <c r="D33" s="14"/>
      <c r="E33" s="19"/>
      <c r="F33" s="19"/>
      <c r="G33" s="28" t="str">
        <f t="shared" si="0"/>
        <v/>
      </c>
      <c r="H33" s="14"/>
      <c r="I33" s="29" t="str">
        <f>IF(OR($C33="",$G33="",$H33&lt;&gt;"Fait"),"",MIN($G33,MAX(0,SUMIFS($G$5:$G33,$C$5:$C33,$C33,$H$5:$H33,"Fait")-SUMIFS(Paiements!$I$5:$I$2000,Paiements!$C$5:$C$2000,$C33,Paiements!$L$5:$L$2000,"Payé"))))</f>
        <v/>
      </c>
      <c r="J33" s="30" t="str">
        <f t="shared" si="1"/>
        <v/>
      </c>
      <c r="K33" s="14"/>
      <c r="L33" s="17" t="str">
        <f>IF(AND($C33&lt;&gt;"",$C33=Controle_Paiement!$B$4,$J33&lt;&gt;"Payé",$J33&lt;&gt;"Annulé",$J33&lt;&gt;""),1,"")</f>
        <v/>
      </c>
    </row>
    <row r="34" spans="1:12" x14ac:dyDescent="0.35">
      <c r="A34" s="18"/>
      <c r="B34" s="27"/>
      <c r="C34" s="14"/>
      <c r="D34" s="14"/>
      <c r="E34" s="19"/>
      <c r="F34" s="19"/>
      <c r="G34" s="28" t="str">
        <f t="shared" si="0"/>
        <v/>
      </c>
      <c r="H34" s="14"/>
      <c r="I34" s="29" t="str">
        <f>IF(OR($C34="",$G34="",$H34&lt;&gt;"Fait"),"",MIN($G34,MAX(0,SUMIFS($G$5:$G34,$C$5:$C34,$C34,$H$5:$H34,"Fait")-SUMIFS(Paiements!$I$5:$I$2000,Paiements!$C$5:$C$2000,$C34,Paiements!$L$5:$L$2000,"Payé"))))</f>
        <v/>
      </c>
      <c r="J34" s="30" t="str">
        <f t="shared" si="1"/>
        <v/>
      </c>
      <c r="K34" s="14"/>
      <c r="L34" s="17" t="str">
        <f>IF(AND($C34&lt;&gt;"",$C34=Controle_Paiement!$B$4,$J34&lt;&gt;"Payé",$J34&lt;&gt;"Annulé",$J34&lt;&gt;""),1,"")</f>
        <v/>
      </c>
    </row>
    <row r="35" spans="1:12" x14ac:dyDescent="0.35">
      <c r="A35" s="18"/>
      <c r="B35" s="27"/>
      <c r="C35" s="14"/>
      <c r="D35" s="14"/>
      <c r="E35" s="19"/>
      <c r="F35" s="19"/>
      <c r="G35" s="28" t="str">
        <f t="shared" si="0"/>
        <v/>
      </c>
      <c r="H35" s="14"/>
      <c r="I35" s="29" t="str">
        <f>IF(OR($C35="",$G35="",$H35&lt;&gt;"Fait"),"",MIN($G35,MAX(0,SUMIFS($G$5:$G35,$C$5:$C35,$C35,$H$5:$H35,"Fait")-SUMIFS(Paiements!$I$5:$I$2000,Paiements!$C$5:$C$2000,$C35,Paiements!$L$5:$L$2000,"Payé"))))</f>
        <v/>
      </c>
      <c r="J35" s="30" t="str">
        <f t="shared" si="1"/>
        <v/>
      </c>
      <c r="K35" s="14"/>
      <c r="L35" s="17" t="str">
        <f>IF(AND($C35&lt;&gt;"",$C35=Controle_Paiement!$B$4,$J35&lt;&gt;"Payé",$J35&lt;&gt;"Annulé",$J35&lt;&gt;""),1,"")</f>
        <v/>
      </c>
    </row>
    <row r="36" spans="1:12" x14ac:dyDescent="0.35">
      <c r="A36" s="18"/>
      <c r="B36" s="27"/>
      <c r="C36" s="14"/>
      <c r="D36" s="14"/>
      <c r="E36" s="19"/>
      <c r="F36" s="19"/>
      <c r="G36" s="28" t="str">
        <f t="shared" si="0"/>
        <v/>
      </c>
      <c r="H36" s="14"/>
      <c r="I36" s="29" t="str">
        <f>IF(OR($C36="",$G36="",$H36&lt;&gt;"Fait"),"",MIN($G36,MAX(0,SUMIFS($G$5:$G36,$C$5:$C36,$C36,$H$5:$H36,"Fait")-SUMIFS(Paiements!$I$5:$I$2000,Paiements!$C$5:$C$2000,$C36,Paiements!$L$5:$L$2000,"Payé"))))</f>
        <v/>
      </c>
      <c r="J36" s="30" t="str">
        <f t="shared" si="1"/>
        <v/>
      </c>
      <c r="K36" s="14"/>
      <c r="L36" s="17" t="str">
        <f>IF(AND($C36&lt;&gt;"",$C36=Controle_Paiement!$B$4,$J36&lt;&gt;"Payé",$J36&lt;&gt;"Annulé",$J36&lt;&gt;""),1,"")</f>
        <v/>
      </c>
    </row>
    <row r="37" spans="1:12" x14ac:dyDescent="0.35">
      <c r="A37" s="18"/>
      <c r="B37" s="27"/>
      <c r="C37" s="14"/>
      <c r="D37" s="14"/>
      <c r="E37" s="19"/>
      <c r="F37" s="19"/>
      <c r="G37" s="28" t="str">
        <f t="shared" si="0"/>
        <v/>
      </c>
      <c r="H37" s="14"/>
      <c r="I37" s="29" t="str">
        <f>IF(OR($C37="",$G37="",$H37&lt;&gt;"Fait"),"",MIN($G37,MAX(0,SUMIFS($G$5:$G37,$C$5:$C37,$C37,$H$5:$H37,"Fait")-SUMIFS(Paiements!$I$5:$I$2000,Paiements!$C$5:$C$2000,$C37,Paiements!$L$5:$L$2000,"Payé"))))</f>
        <v/>
      </c>
      <c r="J37" s="30" t="str">
        <f t="shared" si="1"/>
        <v/>
      </c>
      <c r="K37" s="14"/>
      <c r="L37" s="17" t="str">
        <f>IF(AND($C37&lt;&gt;"",$C37=Controle_Paiement!$B$4,$J37&lt;&gt;"Payé",$J37&lt;&gt;"Annulé",$J37&lt;&gt;""),1,"")</f>
        <v/>
      </c>
    </row>
    <row r="38" spans="1:12" x14ac:dyDescent="0.35">
      <c r="A38" s="18"/>
      <c r="B38" s="27"/>
      <c r="C38" s="14"/>
      <c r="D38" s="14"/>
      <c r="E38" s="19"/>
      <c r="F38" s="19"/>
      <c r="G38" s="28" t="str">
        <f t="shared" si="0"/>
        <v/>
      </c>
      <c r="H38" s="14"/>
      <c r="I38" s="29" t="str">
        <f>IF(OR($C38="",$G38="",$H38&lt;&gt;"Fait"),"",MIN($G38,MAX(0,SUMIFS($G$5:$G38,$C$5:$C38,$C38,$H$5:$H38,"Fait")-SUMIFS(Paiements!$I$5:$I$2000,Paiements!$C$5:$C$2000,$C38,Paiements!$L$5:$L$2000,"Payé"))))</f>
        <v/>
      </c>
      <c r="J38" s="30" t="str">
        <f t="shared" si="1"/>
        <v/>
      </c>
      <c r="K38" s="14"/>
      <c r="L38" s="17" t="str">
        <f>IF(AND($C38&lt;&gt;"",$C38=Controle_Paiement!$B$4,$J38&lt;&gt;"Payé",$J38&lt;&gt;"Annulé",$J38&lt;&gt;""),1,"")</f>
        <v/>
      </c>
    </row>
    <row r="39" spans="1:12" x14ac:dyDescent="0.35">
      <c r="A39" s="18"/>
      <c r="B39" s="27"/>
      <c r="C39" s="14"/>
      <c r="D39" s="14"/>
      <c r="E39" s="19"/>
      <c r="F39" s="19"/>
      <c r="G39" s="28" t="str">
        <f t="shared" si="0"/>
        <v/>
      </c>
      <c r="H39" s="14"/>
      <c r="I39" s="29" t="str">
        <f>IF(OR($C39="",$G39="",$H39&lt;&gt;"Fait"),"",MIN($G39,MAX(0,SUMIFS($G$5:$G39,$C$5:$C39,$C39,$H$5:$H39,"Fait")-SUMIFS(Paiements!$I$5:$I$2000,Paiements!$C$5:$C$2000,$C39,Paiements!$L$5:$L$2000,"Payé"))))</f>
        <v/>
      </c>
      <c r="J39" s="30" t="str">
        <f t="shared" si="1"/>
        <v/>
      </c>
      <c r="K39" s="14"/>
      <c r="L39" s="17" t="str">
        <f>IF(AND($C39&lt;&gt;"",$C39=Controle_Paiement!$B$4,$J39&lt;&gt;"Payé",$J39&lt;&gt;"Annulé",$J39&lt;&gt;""),1,"")</f>
        <v/>
      </c>
    </row>
    <row r="40" spans="1:12" x14ac:dyDescent="0.35">
      <c r="A40" s="18"/>
      <c r="B40" s="27"/>
      <c r="C40" s="14"/>
      <c r="D40" s="14"/>
      <c r="E40" s="19"/>
      <c r="F40" s="19"/>
      <c r="G40" s="28" t="str">
        <f t="shared" si="0"/>
        <v/>
      </c>
      <c r="H40" s="14"/>
      <c r="I40" s="29" t="str">
        <f>IF(OR($C40="",$G40="",$H40&lt;&gt;"Fait"),"",MIN($G40,MAX(0,SUMIFS($G$5:$G40,$C$5:$C40,$C40,$H$5:$H40,"Fait")-SUMIFS(Paiements!$I$5:$I$2000,Paiements!$C$5:$C$2000,$C40,Paiements!$L$5:$L$2000,"Payé"))))</f>
        <v/>
      </c>
      <c r="J40" s="30" t="str">
        <f t="shared" si="1"/>
        <v/>
      </c>
      <c r="K40" s="14"/>
      <c r="L40" s="17" t="str">
        <f>IF(AND($C40&lt;&gt;"",$C40=Controle_Paiement!$B$4,$J40&lt;&gt;"Payé",$J40&lt;&gt;"Annulé",$J40&lt;&gt;""),1,"")</f>
        <v/>
      </c>
    </row>
    <row r="41" spans="1:12" x14ac:dyDescent="0.35">
      <c r="A41" s="18"/>
      <c r="B41" s="27"/>
      <c r="C41" s="14"/>
      <c r="D41" s="14"/>
      <c r="E41" s="19"/>
      <c r="F41" s="19"/>
      <c r="G41" s="28" t="str">
        <f t="shared" si="0"/>
        <v/>
      </c>
      <c r="H41" s="14"/>
      <c r="I41" s="29" t="str">
        <f>IF(OR($C41="",$G41="",$H41&lt;&gt;"Fait"),"",MIN($G41,MAX(0,SUMIFS($G$5:$G41,$C$5:$C41,$C41,$H$5:$H41,"Fait")-SUMIFS(Paiements!$I$5:$I$2000,Paiements!$C$5:$C$2000,$C41,Paiements!$L$5:$L$2000,"Payé"))))</f>
        <v/>
      </c>
      <c r="J41" s="30" t="str">
        <f t="shared" si="1"/>
        <v/>
      </c>
      <c r="K41" s="14"/>
      <c r="L41" s="17" t="str">
        <f>IF(AND($C41&lt;&gt;"",$C41=Controle_Paiement!$B$4,$J41&lt;&gt;"Payé",$J41&lt;&gt;"Annulé",$J41&lt;&gt;""),1,"")</f>
        <v/>
      </c>
    </row>
    <row r="42" spans="1:12" x14ac:dyDescent="0.35">
      <c r="A42" s="18"/>
      <c r="B42" s="27"/>
      <c r="C42" s="14"/>
      <c r="D42" s="14"/>
      <c r="E42" s="19"/>
      <c r="F42" s="19"/>
      <c r="G42" s="28" t="str">
        <f t="shared" si="0"/>
        <v/>
      </c>
      <c r="H42" s="14"/>
      <c r="I42" s="29" t="str">
        <f>IF(OR($C42="",$G42="",$H42&lt;&gt;"Fait"),"",MIN($G42,MAX(0,SUMIFS($G$5:$G42,$C$5:$C42,$C42,$H$5:$H42,"Fait")-SUMIFS(Paiements!$I$5:$I$2000,Paiements!$C$5:$C$2000,$C42,Paiements!$L$5:$L$2000,"Payé"))))</f>
        <v/>
      </c>
      <c r="J42" s="30" t="str">
        <f t="shared" si="1"/>
        <v/>
      </c>
      <c r="K42" s="14"/>
      <c r="L42" s="17" t="str">
        <f>IF(AND($C42&lt;&gt;"",$C42=Controle_Paiement!$B$4,$J42&lt;&gt;"Payé",$J42&lt;&gt;"Annulé",$J42&lt;&gt;""),1,"")</f>
        <v/>
      </c>
    </row>
    <row r="43" spans="1:12" x14ac:dyDescent="0.35">
      <c r="A43" s="18"/>
      <c r="B43" s="27"/>
      <c r="C43" s="14"/>
      <c r="D43" s="14"/>
      <c r="E43" s="19"/>
      <c r="F43" s="19"/>
      <c r="G43" s="28" t="str">
        <f t="shared" si="0"/>
        <v/>
      </c>
      <c r="H43" s="14"/>
      <c r="I43" s="29" t="str">
        <f>IF(OR($C43="",$G43="",$H43&lt;&gt;"Fait"),"",MIN($G43,MAX(0,SUMIFS($G$5:$G43,$C$5:$C43,$C43,$H$5:$H43,"Fait")-SUMIFS(Paiements!$I$5:$I$2000,Paiements!$C$5:$C$2000,$C43,Paiements!$L$5:$L$2000,"Payé"))))</f>
        <v/>
      </c>
      <c r="J43" s="30" t="str">
        <f t="shared" si="1"/>
        <v/>
      </c>
      <c r="K43" s="14"/>
      <c r="L43" s="17" t="str">
        <f>IF(AND($C43&lt;&gt;"",$C43=Controle_Paiement!$B$4,$J43&lt;&gt;"Payé",$J43&lt;&gt;"Annulé",$J43&lt;&gt;""),1,"")</f>
        <v/>
      </c>
    </row>
    <row r="44" spans="1:12" x14ac:dyDescent="0.35">
      <c r="A44" s="18"/>
      <c r="B44" s="27"/>
      <c r="C44" s="14"/>
      <c r="D44" s="14"/>
      <c r="E44" s="19"/>
      <c r="F44" s="19"/>
      <c r="G44" s="28" t="str">
        <f t="shared" si="0"/>
        <v/>
      </c>
      <c r="H44" s="14"/>
      <c r="I44" s="29" t="str">
        <f>IF(OR($C44="",$G44="",$H44&lt;&gt;"Fait"),"",MIN($G44,MAX(0,SUMIFS($G$5:$G44,$C$5:$C44,$C44,$H$5:$H44,"Fait")-SUMIFS(Paiements!$I$5:$I$2000,Paiements!$C$5:$C$2000,$C44,Paiements!$L$5:$L$2000,"Payé"))))</f>
        <v/>
      </c>
      <c r="J44" s="30" t="str">
        <f t="shared" si="1"/>
        <v/>
      </c>
      <c r="K44" s="14"/>
      <c r="L44" s="17" t="str">
        <f>IF(AND($C44&lt;&gt;"",$C44=Controle_Paiement!$B$4,$J44&lt;&gt;"Payé",$J44&lt;&gt;"Annulé",$J44&lt;&gt;""),1,"")</f>
        <v/>
      </c>
    </row>
    <row r="45" spans="1:12" x14ac:dyDescent="0.35">
      <c r="A45" s="18"/>
      <c r="B45" s="27"/>
      <c r="C45" s="14"/>
      <c r="D45" s="14"/>
      <c r="E45" s="19"/>
      <c r="F45" s="19"/>
      <c r="G45" s="28" t="str">
        <f t="shared" si="0"/>
        <v/>
      </c>
      <c r="H45" s="14"/>
      <c r="I45" s="29" t="str">
        <f>IF(OR($C45="",$G45="",$H45&lt;&gt;"Fait"),"",MIN($G45,MAX(0,SUMIFS($G$5:$G45,$C$5:$C45,$C45,$H$5:$H45,"Fait")-SUMIFS(Paiements!$I$5:$I$2000,Paiements!$C$5:$C$2000,$C45,Paiements!$L$5:$L$2000,"Payé"))))</f>
        <v/>
      </c>
      <c r="J45" s="30" t="str">
        <f t="shared" si="1"/>
        <v/>
      </c>
      <c r="K45" s="14"/>
      <c r="L45" s="17" t="str">
        <f>IF(AND($C45&lt;&gt;"",$C45=Controle_Paiement!$B$4,$J45&lt;&gt;"Payé",$J45&lt;&gt;"Annulé",$J45&lt;&gt;""),1,"")</f>
        <v/>
      </c>
    </row>
    <row r="46" spans="1:12" x14ac:dyDescent="0.35">
      <c r="A46" s="18"/>
      <c r="B46" s="27"/>
      <c r="C46" s="14"/>
      <c r="D46" s="14"/>
      <c r="E46" s="19"/>
      <c r="F46" s="19"/>
      <c r="G46" s="28" t="str">
        <f t="shared" si="0"/>
        <v/>
      </c>
      <c r="H46" s="14"/>
      <c r="I46" s="29" t="str">
        <f>IF(OR($C46="",$G46="",$H46&lt;&gt;"Fait"),"",MIN($G46,MAX(0,SUMIFS($G$5:$G46,$C$5:$C46,$C46,$H$5:$H46,"Fait")-SUMIFS(Paiements!$I$5:$I$2000,Paiements!$C$5:$C$2000,$C46,Paiements!$L$5:$L$2000,"Payé"))))</f>
        <v/>
      </c>
      <c r="J46" s="30" t="str">
        <f t="shared" si="1"/>
        <v/>
      </c>
      <c r="K46" s="14"/>
      <c r="L46" s="17" t="str">
        <f>IF(AND($C46&lt;&gt;"",$C46=Controle_Paiement!$B$4,$J46&lt;&gt;"Payé",$J46&lt;&gt;"Annulé",$J46&lt;&gt;""),1,"")</f>
        <v/>
      </c>
    </row>
    <row r="47" spans="1:12" x14ac:dyDescent="0.35">
      <c r="A47" s="18"/>
      <c r="B47" s="27"/>
      <c r="C47" s="14"/>
      <c r="D47" s="14"/>
      <c r="E47" s="19"/>
      <c r="F47" s="19"/>
      <c r="G47" s="28" t="str">
        <f t="shared" si="0"/>
        <v/>
      </c>
      <c r="H47" s="14"/>
      <c r="I47" s="29" t="str">
        <f>IF(OR($C47="",$G47="",$H47&lt;&gt;"Fait"),"",MIN($G47,MAX(0,SUMIFS($G$5:$G47,$C$5:$C47,$C47,$H$5:$H47,"Fait")-SUMIFS(Paiements!$I$5:$I$2000,Paiements!$C$5:$C$2000,$C47,Paiements!$L$5:$L$2000,"Payé"))))</f>
        <v/>
      </c>
      <c r="J47" s="30" t="str">
        <f t="shared" si="1"/>
        <v/>
      </c>
      <c r="K47" s="14"/>
      <c r="L47" s="17" t="str">
        <f>IF(AND($C47&lt;&gt;"",$C47=Controle_Paiement!$B$4,$J47&lt;&gt;"Payé",$J47&lt;&gt;"Annulé",$J47&lt;&gt;""),1,"")</f>
        <v/>
      </c>
    </row>
    <row r="48" spans="1:12" x14ac:dyDescent="0.35">
      <c r="A48" s="18"/>
      <c r="B48" s="27"/>
      <c r="C48" s="14"/>
      <c r="D48" s="14"/>
      <c r="E48" s="19"/>
      <c r="F48" s="19"/>
      <c r="G48" s="28" t="str">
        <f t="shared" si="0"/>
        <v/>
      </c>
      <c r="H48" s="14"/>
      <c r="I48" s="29" t="str">
        <f>IF(OR($C48="",$G48="",$H48&lt;&gt;"Fait"),"",MIN($G48,MAX(0,SUMIFS($G$5:$G48,$C$5:$C48,$C48,$H$5:$H48,"Fait")-SUMIFS(Paiements!$I$5:$I$2000,Paiements!$C$5:$C$2000,$C48,Paiements!$L$5:$L$2000,"Payé"))))</f>
        <v/>
      </c>
      <c r="J48" s="30" t="str">
        <f t="shared" si="1"/>
        <v/>
      </c>
      <c r="K48" s="14"/>
      <c r="L48" s="17" t="str">
        <f>IF(AND($C48&lt;&gt;"",$C48=Controle_Paiement!$B$4,$J48&lt;&gt;"Payé",$J48&lt;&gt;"Annulé",$J48&lt;&gt;""),1,"")</f>
        <v/>
      </c>
    </row>
    <row r="49" spans="1:12" x14ac:dyDescent="0.35">
      <c r="A49" s="18"/>
      <c r="B49" s="27"/>
      <c r="C49" s="14"/>
      <c r="D49" s="14"/>
      <c r="E49" s="19"/>
      <c r="F49" s="19"/>
      <c r="G49" s="28" t="str">
        <f t="shared" si="0"/>
        <v/>
      </c>
      <c r="H49" s="14"/>
      <c r="I49" s="29" t="str">
        <f>IF(OR($C49="",$G49="",$H49&lt;&gt;"Fait"),"",MIN($G49,MAX(0,SUMIFS($G$5:$G49,$C$5:$C49,$C49,$H$5:$H49,"Fait")-SUMIFS(Paiements!$I$5:$I$2000,Paiements!$C$5:$C$2000,$C49,Paiements!$L$5:$L$2000,"Payé"))))</f>
        <v/>
      </c>
      <c r="J49" s="30" t="str">
        <f t="shared" si="1"/>
        <v/>
      </c>
      <c r="K49" s="14"/>
      <c r="L49" s="17" t="str">
        <f>IF(AND($C49&lt;&gt;"",$C49=Controle_Paiement!$B$4,$J49&lt;&gt;"Payé",$J49&lt;&gt;"Annulé",$J49&lt;&gt;""),1,"")</f>
        <v/>
      </c>
    </row>
    <row r="50" spans="1:12" x14ac:dyDescent="0.35">
      <c r="A50" s="18"/>
      <c r="B50" s="27"/>
      <c r="C50" s="14"/>
      <c r="D50" s="14"/>
      <c r="E50" s="19"/>
      <c r="F50" s="19"/>
      <c r="G50" s="28" t="str">
        <f t="shared" si="0"/>
        <v/>
      </c>
      <c r="H50" s="14"/>
      <c r="I50" s="29" t="str">
        <f>IF(OR($C50="",$G50="",$H50&lt;&gt;"Fait"),"",MIN($G50,MAX(0,SUMIFS($G$5:$G50,$C$5:$C50,$C50,$H$5:$H50,"Fait")-SUMIFS(Paiements!$I$5:$I$2000,Paiements!$C$5:$C$2000,$C50,Paiements!$L$5:$L$2000,"Payé"))))</f>
        <v/>
      </c>
      <c r="J50" s="30" t="str">
        <f t="shared" si="1"/>
        <v/>
      </c>
      <c r="K50" s="14"/>
      <c r="L50" s="17" t="str">
        <f>IF(AND($C50&lt;&gt;"",$C50=Controle_Paiement!$B$4,$J50&lt;&gt;"Payé",$J50&lt;&gt;"Annulé",$J50&lt;&gt;""),1,"")</f>
        <v/>
      </c>
    </row>
    <row r="51" spans="1:12" x14ac:dyDescent="0.35">
      <c r="A51" s="18"/>
      <c r="B51" s="27"/>
      <c r="C51" s="14"/>
      <c r="D51" s="14"/>
      <c r="E51" s="19"/>
      <c r="F51" s="19"/>
      <c r="G51" s="28" t="str">
        <f t="shared" si="0"/>
        <v/>
      </c>
      <c r="H51" s="14"/>
      <c r="I51" s="29" t="str">
        <f>IF(OR($C51="",$G51="",$H51&lt;&gt;"Fait"),"",MIN($G51,MAX(0,SUMIFS($G$5:$G51,$C$5:$C51,$C51,$H$5:$H51,"Fait")-SUMIFS(Paiements!$I$5:$I$2000,Paiements!$C$5:$C$2000,$C51,Paiements!$L$5:$L$2000,"Payé"))))</f>
        <v/>
      </c>
      <c r="J51" s="30" t="str">
        <f t="shared" si="1"/>
        <v/>
      </c>
      <c r="K51" s="14"/>
      <c r="L51" s="17" t="str">
        <f>IF(AND($C51&lt;&gt;"",$C51=Controle_Paiement!$B$4,$J51&lt;&gt;"Payé",$J51&lt;&gt;"Annulé",$J51&lt;&gt;""),1,"")</f>
        <v/>
      </c>
    </row>
    <row r="52" spans="1:12" x14ac:dyDescent="0.35">
      <c r="A52" s="18"/>
      <c r="B52" s="27"/>
      <c r="C52" s="14"/>
      <c r="D52" s="14"/>
      <c r="E52" s="19"/>
      <c r="F52" s="19"/>
      <c r="G52" s="28" t="str">
        <f t="shared" si="0"/>
        <v/>
      </c>
      <c r="H52" s="14"/>
      <c r="I52" s="29" t="str">
        <f>IF(OR($C52="",$G52="",$H52&lt;&gt;"Fait"),"",MIN($G52,MAX(0,SUMIFS($G$5:$G52,$C$5:$C52,$C52,$H$5:$H52,"Fait")-SUMIFS(Paiements!$I$5:$I$2000,Paiements!$C$5:$C$2000,$C52,Paiements!$L$5:$L$2000,"Payé"))))</f>
        <v/>
      </c>
      <c r="J52" s="30" t="str">
        <f t="shared" si="1"/>
        <v/>
      </c>
      <c r="K52" s="14"/>
      <c r="L52" s="17" t="str">
        <f>IF(AND($C52&lt;&gt;"",$C52=Controle_Paiement!$B$4,$J52&lt;&gt;"Payé",$J52&lt;&gt;"Annulé",$J52&lt;&gt;""),1,"")</f>
        <v/>
      </c>
    </row>
    <row r="53" spans="1:12" x14ac:dyDescent="0.35">
      <c r="A53" s="18"/>
      <c r="B53" s="27"/>
      <c r="C53" s="14"/>
      <c r="D53" s="14"/>
      <c r="E53" s="19"/>
      <c r="F53" s="19"/>
      <c r="G53" s="28" t="str">
        <f t="shared" si="0"/>
        <v/>
      </c>
      <c r="H53" s="14"/>
      <c r="I53" s="29" t="str">
        <f>IF(OR($C53="",$G53="",$H53&lt;&gt;"Fait"),"",MIN($G53,MAX(0,SUMIFS($G$5:$G53,$C$5:$C53,$C53,$H$5:$H53,"Fait")-SUMIFS(Paiements!$I$5:$I$2000,Paiements!$C$5:$C$2000,$C53,Paiements!$L$5:$L$2000,"Payé"))))</f>
        <v/>
      </c>
      <c r="J53" s="30" t="str">
        <f t="shared" si="1"/>
        <v/>
      </c>
      <c r="K53" s="14"/>
      <c r="L53" s="17" t="str">
        <f>IF(AND($C53&lt;&gt;"",$C53=Controle_Paiement!$B$4,$J53&lt;&gt;"Payé",$J53&lt;&gt;"Annulé",$J53&lt;&gt;""),1,"")</f>
        <v/>
      </c>
    </row>
    <row r="54" spans="1:12" x14ac:dyDescent="0.35">
      <c r="A54" s="18"/>
      <c r="B54" s="27"/>
      <c r="C54" s="14"/>
      <c r="D54" s="14"/>
      <c r="E54" s="19"/>
      <c r="F54" s="19"/>
      <c r="G54" s="28" t="str">
        <f t="shared" si="0"/>
        <v/>
      </c>
      <c r="H54" s="14"/>
      <c r="I54" s="29" t="str">
        <f>IF(OR($C54="",$G54="",$H54&lt;&gt;"Fait"),"",MIN($G54,MAX(0,SUMIFS($G$5:$G54,$C$5:$C54,$C54,$H$5:$H54,"Fait")-SUMIFS(Paiements!$I$5:$I$2000,Paiements!$C$5:$C$2000,$C54,Paiements!$L$5:$L$2000,"Payé"))))</f>
        <v/>
      </c>
      <c r="J54" s="30" t="str">
        <f t="shared" si="1"/>
        <v/>
      </c>
      <c r="K54" s="14"/>
      <c r="L54" s="17" t="str">
        <f>IF(AND($C54&lt;&gt;"",$C54=Controle_Paiement!$B$4,$J54&lt;&gt;"Payé",$J54&lt;&gt;"Annulé",$J54&lt;&gt;""),1,"")</f>
        <v/>
      </c>
    </row>
    <row r="55" spans="1:12" x14ac:dyDescent="0.35">
      <c r="A55" s="18"/>
      <c r="B55" s="27"/>
      <c r="C55" s="14"/>
      <c r="D55" s="14"/>
      <c r="E55" s="19"/>
      <c r="F55" s="19"/>
      <c r="G55" s="28" t="str">
        <f t="shared" si="0"/>
        <v/>
      </c>
      <c r="H55" s="14"/>
      <c r="I55" s="29" t="str">
        <f>IF(OR($C55="",$G55="",$H55&lt;&gt;"Fait"),"",MIN($G55,MAX(0,SUMIFS($G$5:$G55,$C$5:$C55,$C55,$H$5:$H55,"Fait")-SUMIFS(Paiements!$I$5:$I$2000,Paiements!$C$5:$C$2000,$C55,Paiements!$L$5:$L$2000,"Payé"))))</f>
        <v/>
      </c>
      <c r="J55" s="30" t="str">
        <f t="shared" si="1"/>
        <v/>
      </c>
      <c r="K55" s="14"/>
      <c r="L55" s="17" t="str">
        <f>IF(AND($C55&lt;&gt;"",$C55=Controle_Paiement!$B$4,$J55&lt;&gt;"Payé",$J55&lt;&gt;"Annulé",$J55&lt;&gt;""),1,"")</f>
        <v/>
      </c>
    </row>
    <row r="56" spans="1:12" x14ac:dyDescent="0.35">
      <c r="A56" s="18"/>
      <c r="B56" s="27"/>
      <c r="C56" s="14"/>
      <c r="D56" s="14"/>
      <c r="E56" s="19"/>
      <c r="F56" s="19"/>
      <c r="G56" s="28" t="str">
        <f t="shared" si="0"/>
        <v/>
      </c>
      <c r="H56" s="14"/>
      <c r="I56" s="29" t="str">
        <f>IF(OR($C56="",$G56="",$H56&lt;&gt;"Fait"),"",MIN($G56,MAX(0,SUMIFS($G$5:$G56,$C$5:$C56,$C56,$H$5:$H56,"Fait")-SUMIFS(Paiements!$I$5:$I$2000,Paiements!$C$5:$C$2000,$C56,Paiements!$L$5:$L$2000,"Payé"))))</f>
        <v/>
      </c>
      <c r="J56" s="30" t="str">
        <f t="shared" si="1"/>
        <v/>
      </c>
      <c r="K56" s="14"/>
      <c r="L56" s="17" t="str">
        <f>IF(AND($C56&lt;&gt;"",$C56=Controle_Paiement!$B$4,$J56&lt;&gt;"Payé",$J56&lt;&gt;"Annulé",$J56&lt;&gt;""),1,"")</f>
        <v/>
      </c>
    </row>
    <row r="57" spans="1:12" x14ac:dyDescent="0.35">
      <c r="A57" s="18"/>
      <c r="B57" s="27"/>
      <c r="C57" s="14"/>
      <c r="D57" s="14"/>
      <c r="E57" s="19"/>
      <c r="F57" s="19"/>
      <c r="G57" s="28" t="str">
        <f t="shared" si="0"/>
        <v/>
      </c>
      <c r="H57" s="14"/>
      <c r="I57" s="29" t="str">
        <f>IF(OR($C57="",$G57="",$H57&lt;&gt;"Fait"),"",MIN($G57,MAX(0,SUMIFS($G$5:$G57,$C$5:$C57,$C57,$H$5:$H57,"Fait")-SUMIFS(Paiements!$I$5:$I$2000,Paiements!$C$5:$C$2000,$C57,Paiements!$L$5:$L$2000,"Payé"))))</f>
        <v/>
      </c>
      <c r="J57" s="30" t="str">
        <f t="shared" si="1"/>
        <v/>
      </c>
      <c r="K57" s="14"/>
      <c r="L57" s="17" t="str">
        <f>IF(AND($C57&lt;&gt;"",$C57=Controle_Paiement!$B$4,$J57&lt;&gt;"Payé",$J57&lt;&gt;"Annulé",$J57&lt;&gt;""),1,"")</f>
        <v/>
      </c>
    </row>
    <row r="58" spans="1:12" x14ac:dyDescent="0.35">
      <c r="A58" s="18"/>
      <c r="B58" s="27"/>
      <c r="C58" s="14"/>
      <c r="D58" s="14"/>
      <c r="E58" s="19"/>
      <c r="F58" s="19"/>
      <c r="G58" s="28" t="str">
        <f t="shared" si="0"/>
        <v/>
      </c>
      <c r="H58" s="14"/>
      <c r="I58" s="29" t="str">
        <f>IF(OR($C58="",$G58="",$H58&lt;&gt;"Fait"),"",MIN($G58,MAX(0,SUMIFS($G$5:$G58,$C$5:$C58,$C58,$H$5:$H58,"Fait")-SUMIFS(Paiements!$I$5:$I$2000,Paiements!$C$5:$C$2000,$C58,Paiements!$L$5:$L$2000,"Payé"))))</f>
        <v/>
      </c>
      <c r="J58" s="30" t="str">
        <f t="shared" si="1"/>
        <v/>
      </c>
      <c r="K58" s="14"/>
      <c r="L58" s="17" t="str">
        <f>IF(AND($C58&lt;&gt;"",$C58=Controle_Paiement!$B$4,$J58&lt;&gt;"Payé",$J58&lt;&gt;"Annulé",$J58&lt;&gt;""),1,"")</f>
        <v/>
      </c>
    </row>
    <row r="59" spans="1:12" x14ac:dyDescent="0.35">
      <c r="A59" s="18"/>
      <c r="B59" s="27"/>
      <c r="C59" s="14"/>
      <c r="D59" s="14"/>
      <c r="E59" s="19"/>
      <c r="F59" s="19"/>
      <c r="G59" s="28" t="str">
        <f t="shared" si="0"/>
        <v/>
      </c>
      <c r="H59" s="14"/>
      <c r="I59" s="29" t="str">
        <f>IF(OR($C59="",$G59="",$H59&lt;&gt;"Fait"),"",MIN($G59,MAX(0,SUMIFS($G$5:$G59,$C$5:$C59,$C59,$H$5:$H59,"Fait")-SUMIFS(Paiements!$I$5:$I$2000,Paiements!$C$5:$C$2000,$C59,Paiements!$L$5:$L$2000,"Payé"))))</f>
        <v/>
      </c>
      <c r="J59" s="30" t="str">
        <f t="shared" si="1"/>
        <v/>
      </c>
      <c r="K59" s="14"/>
      <c r="L59" s="17" t="str">
        <f>IF(AND($C59&lt;&gt;"",$C59=Controle_Paiement!$B$4,$J59&lt;&gt;"Payé",$J59&lt;&gt;"Annulé",$J59&lt;&gt;""),1,"")</f>
        <v/>
      </c>
    </row>
    <row r="60" spans="1:12" x14ac:dyDescent="0.35">
      <c r="A60" s="18"/>
      <c r="B60" s="27"/>
      <c r="C60" s="14"/>
      <c r="D60" s="14"/>
      <c r="E60" s="19"/>
      <c r="F60" s="19"/>
      <c r="G60" s="28" t="str">
        <f t="shared" si="0"/>
        <v/>
      </c>
      <c r="H60" s="14"/>
      <c r="I60" s="29" t="str">
        <f>IF(OR($C60="",$G60="",$H60&lt;&gt;"Fait"),"",MIN($G60,MAX(0,SUMIFS($G$5:$G60,$C$5:$C60,$C60,$H$5:$H60,"Fait")-SUMIFS(Paiements!$I$5:$I$2000,Paiements!$C$5:$C$2000,$C60,Paiements!$L$5:$L$2000,"Payé"))))</f>
        <v/>
      </c>
      <c r="J60" s="30" t="str">
        <f t="shared" si="1"/>
        <v/>
      </c>
      <c r="K60" s="14"/>
      <c r="L60" s="17" t="str">
        <f>IF(AND($C60&lt;&gt;"",$C60=Controle_Paiement!$B$4,$J60&lt;&gt;"Payé",$J60&lt;&gt;"Annulé",$J60&lt;&gt;""),1,"")</f>
        <v/>
      </c>
    </row>
    <row r="61" spans="1:12" x14ac:dyDescent="0.35">
      <c r="A61" s="18"/>
      <c r="B61" s="27"/>
      <c r="C61" s="14"/>
      <c r="D61" s="14"/>
      <c r="E61" s="19"/>
      <c r="F61" s="19"/>
      <c r="G61" s="28" t="str">
        <f t="shared" si="0"/>
        <v/>
      </c>
      <c r="H61" s="14"/>
      <c r="I61" s="29" t="str">
        <f>IF(OR($C61="",$G61="",$H61&lt;&gt;"Fait"),"",MIN($G61,MAX(0,SUMIFS($G$5:$G61,$C$5:$C61,$C61,$H$5:$H61,"Fait")-SUMIFS(Paiements!$I$5:$I$2000,Paiements!$C$5:$C$2000,$C61,Paiements!$L$5:$L$2000,"Payé"))))</f>
        <v/>
      </c>
      <c r="J61" s="30" t="str">
        <f t="shared" si="1"/>
        <v/>
      </c>
      <c r="K61" s="14"/>
      <c r="L61" s="17" t="str">
        <f>IF(AND($C61&lt;&gt;"",$C61=Controle_Paiement!$B$4,$J61&lt;&gt;"Payé",$J61&lt;&gt;"Annulé",$J61&lt;&gt;""),1,"")</f>
        <v/>
      </c>
    </row>
    <row r="62" spans="1:12" x14ac:dyDescent="0.35">
      <c r="A62" s="18"/>
      <c r="B62" s="27"/>
      <c r="C62" s="14"/>
      <c r="D62" s="14"/>
      <c r="E62" s="19"/>
      <c r="F62" s="19"/>
      <c r="G62" s="28" t="str">
        <f t="shared" si="0"/>
        <v/>
      </c>
      <c r="H62" s="14"/>
      <c r="I62" s="29" t="str">
        <f>IF(OR($C62="",$G62="",$H62&lt;&gt;"Fait"),"",MIN($G62,MAX(0,SUMIFS($G$5:$G62,$C$5:$C62,$C62,$H$5:$H62,"Fait")-SUMIFS(Paiements!$I$5:$I$2000,Paiements!$C$5:$C$2000,$C62,Paiements!$L$5:$L$2000,"Payé"))))</f>
        <v/>
      </c>
      <c r="J62" s="30" t="str">
        <f t="shared" si="1"/>
        <v/>
      </c>
      <c r="K62" s="14"/>
      <c r="L62" s="17" t="str">
        <f>IF(AND($C62&lt;&gt;"",$C62=Controle_Paiement!$B$4,$J62&lt;&gt;"Payé",$J62&lt;&gt;"Annulé",$J62&lt;&gt;""),1,"")</f>
        <v/>
      </c>
    </row>
    <row r="63" spans="1:12" x14ac:dyDescent="0.35">
      <c r="A63" s="18"/>
      <c r="B63" s="27"/>
      <c r="C63" s="14"/>
      <c r="D63" s="14"/>
      <c r="E63" s="19"/>
      <c r="F63" s="19"/>
      <c r="G63" s="28" t="str">
        <f t="shared" si="0"/>
        <v/>
      </c>
      <c r="H63" s="14"/>
      <c r="I63" s="29" t="str">
        <f>IF(OR($C63="",$G63="",$H63&lt;&gt;"Fait"),"",MIN($G63,MAX(0,SUMIFS($G$5:$G63,$C$5:$C63,$C63,$H$5:$H63,"Fait")-SUMIFS(Paiements!$I$5:$I$2000,Paiements!$C$5:$C$2000,$C63,Paiements!$L$5:$L$2000,"Payé"))))</f>
        <v/>
      </c>
      <c r="J63" s="30" t="str">
        <f t="shared" si="1"/>
        <v/>
      </c>
      <c r="K63" s="14"/>
      <c r="L63" s="17" t="str">
        <f>IF(AND($C63&lt;&gt;"",$C63=Controle_Paiement!$B$4,$J63&lt;&gt;"Payé",$J63&lt;&gt;"Annulé",$J63&lt;&gt;""),1,"")</f>
        <v/>
      </c>
    </row>
    <row r="64" spans="1:12" x14ac:dyDescent="0.35">
      <c r="A64" s="18"/>
      <c r="B64" s="27"/>
      <c r="C64" s="14"/>
      <c r="D64" s="14"/>
      <c r="E64" s="19"/>
      <c r="F64" s="19"/>
      <c r="G64" s="28" t="str">
        <f t="shared" si="0"/>
        <v/>
      </c>
      <c r="H64" s="14"/>
      <c r="I64" s="29" t="str">
        <f>IF(OR($C64="",$G64="",$H64&lt;&gt;"Fait"),"",MIN($G64,MAX(0,SUMIFS($G$5:$G64,$C$5:$C64,$C64,$H$5:$H64,"Fait")-SUMIFS(Paiements!$I$5:$I$2000,Paiements!$C$5:$C$2000,$C64,Paiements!$L$5:$L$2000,"Payé"))))</f>
        <v/>
      </c>
      <c r="J64" s="30" t="str">
        <f t="shared" si="1"/>
        <v/>
      </c>
      <c r="K64" s="14"/>
      <c r="L64" s="17" t="str">
        <f>IF(AND($C64&lt;&gt;"",$C64=Controle_Paiement!$B$4,$J64&lt;&gt;"Payé",$J64&lt;&gt;"Annulé",$J64&lt;&gt;""),1,"")</f>
        <v/>
      </c>
    </row>
    <row r="65" spans="1:12" x14ac:dyDescent="0.35">
      <c r="A65" s="18"/>
      <c r="B65" s="27"/>
      <c r="C65" s="14"/>
      <c r="D65" s="14"/>
      <c r="E65" s="19"/>
      <c r="F65" s="19"/>
      <c r="G65" s="28" t="str">
        <f t="shared" si="0"/>
        <v/>
      </c>
      <c r="H65" s="14"/>
      <c r="I65" s="29" t="str">
        <f>IF(OR($C65="",$G65="",$H65&lt;&gt;"Fait"),"",MIN($G65,MAX(0,SUMIFS($G$5:$G65,$C$5:$C65,$C65,$H$5:$H65,"Fait")-SUMIFS(Paiements!$I$5:$I$2000,Paiements!$C$5:$C$2000,$C65,Paiements!$L$5:$L$2000,"Payé"))))</f>
        <v/>
      </c>
      <c r="J65" s="30" t="str">
        <f t="shared" si="1"/>
        <v/>
      </c>
      <c r="K65" s="14"/>
      <c r="L65" s="17" t="str">
        <f>IF(AND($C65&lt;&gt;"",$C65=Controle_Paiement!$B$4,$J65&lt;&gt;"Payé",$J65&lt;&gt;"Annulé",$J65&lt;&gt;""),1,"")</f>
        <v/>
      </c>
    </row>
    <row r="66" spans="1:12" x14ac:dyDescent="0.35">
      <c r="A66" s="18"/>
      <c r="B66" s="27"/>
      <c r="C66" s="14"/>
      <c r="D66" s="14"/>
      <c r="E66" s="19"/>
      <c r="F66" s="19"/>
      <c r="G66" s="28" t="str">
        <f t="shared" si="0"/>
        <v/>
      </c>
      <c r="H66" s="14"/>
      <c r="I66" s="29" t="str">
        <f>IF(OR($C66="",$G66="",$H66&lt;&gt;"Fait"),"",MIN($G66,MAX(0,SUMIFS($G$5:$G66,$C$5:$C66,$C66,$H$5:$H66,"Fait")-SUMIFS(Paiements!$I$5:$I$2000,Paiements!$C$5:$C$2000,$C66,Paiements!$L$5:$L$2000,"Payé"))))</f>
        <v/>
      </c>
      <c r="J66" s="30" t="str">
        <f t="shared" si="1"/>
        <v/>
      </c>
      <c r="K66" s="14"/>
      <c r="L66" s="17" t="str">
        <f>IF(AND($C66&lt;&gt;"",$C66=Controle_Paiement!$B$4,$J66&lt;&gt;"Payé",$J66&lt;&gt;"Annulé",$J66&lt;&gt;""),1,"")</f>
        <v/>
      </c>
    </row>
    <row r="67" spans="1:12" x14ac:dyDescent="0.35">
      <c r="A67" s="18"/>
      <c r="B67" s="27"/>
      <c r="C67" s="14"/>
      <c r="D67" s="14"/>
      <c r="E67" s="19"/>
      <c r="F67" s="19"/>
      <c r="G67" s="28" t="str">
        <f t="shared" ref="G67:G130" si="2">IF(OR($E67="",$F67=""),"",ROUND($E67*$F67,0))</f>
        <v/>
      </c>
      <c r="H67" s="14"/>
      <c r="I67" s="29" t="str">
        <f>IF(OR($C67="",$G67="",$H67&lt;&gt;"Fait"),"",MIN($G67,MAX(0,SUMIFS($G$5:$G67,$C$5:$C67,$C67,$H$5:$H67,"Fait")-SUMIFS(Paiements!$I$5:$I$2000,Paiements!$C$5:$C$2000,$C67,Paiements!$L$5:$L$2000,"Payé"))))</f>
        <v/>
      </c>
      <c r="J67" s="30" t="str">
        <f t="shared" ref="J67:J130" si="3">IF(OR($C67="",$G67=""),"",IF($H67="Annulé","Annulé",IF($H67&lt;&gt;"Fait","Non payable (déchargement non fait)",IF($I67=0,"Payé",IF($I67&lt;$G67,"Partiellement payé","À payer")))))</f>
        <v/>
      </c>
      <c r="K67" s="14"/>
      <c r="L67" s="17" t="str">
        <f>IF(AND($C67&lt;&gt;"",$C67=Controle_Paiement!$B$4,$J67&lt;&gt;"Payé",$J67&lt;&gt;"Annulé",$J67&lt;&gt;""),1,"")</f>
        <v/>
      </c>
    </row>
    <row r="68" spans="1:12" x14ac:dyDescent="0.35">
      <c r="A68" s="18"/>
      <c r="B68" s="27"/>
      <c r="C68" s="14"/>
      <c r="D68" s="14"/>
      <c r="E68" s="19"/>
      <c r="F68" s="19"/>
      <c r="G68" s="28" t="str">
        <f t="shared" si="2"/>
        <v/>
      </c>
      <c r="H68" s="14"/>
      <c r="I68" s="29" t="str">
        <f>IF(OR($C68="",$G68="",$H68&lt;&gt;"Fait"),"",MIN($G68,MAX(0,SUMIFS($G$5:$G68,$C$5:$C68,$C68,$H$5:$H68,"Fait")-SUMIFS(Paiements!$I$5:$I$2000,Paiements!$C$5:$C$2000,$C68,Paiements!$L$5:$L$2000,"Payé"))))</f>
        <v/>
      </c>
      <c r="J68" s="30" t="str">
        <f t="shared" si="3"/>
        <v/>
      </c>
      <c r="K68" s="14"/>
      <c r="L68" s="17" t="str">
        <f>IF(AND($C68&lt;&gt;"",$C68=Controle_Paiement!$B$4,$J68&lt;&gt;"Payé",$J68&lt;&gt;"Annulé",$J68&lt;&gt;""),1,"")</f>
        <v/>
      </c>
    </row>
    <row r="69" spans="1:12" x14ac:dyDescent="0.35">
      <c r="A69" s="18"/>
      <c r="B69" s="27"/>
      <c r="C69" s="14"/>
      <c r="D69" s="14"/>
      <c r="E69" s="19"/>
      <c r="F69" s="19"/>
      <c r="G69" s="28" t="str">
        <f t="shared" si="2"/>
        <v/>
      </c>
      <c r="H69" s="14"/>
      <c r="I69" s="29" t="str">
        <f>IF(OR($C69="",$G69="",$H69&lt;&gt;"Fait"),"",MIN($G69,MAX(0,SUMIFS($G$5:$G69,$C$5:$C69,$C69,$H$5:$H69,"Fait")-SUMIFS(Paiements!$I$5:$I$2000,Paiements!$C$5:$C$2000,$C69,Paiements!$L$5:$L$2000,"Payé"))))</f>
        <v/>
      </c>
      <c r="J69" s="30" t="str">
        <f t="shared" si="3"/>
        <v/>
      </c>
      <c r="K69" s="14"/>
      <c r="L69" s="17" t="str">
        <f>IF(AND($C69&lt;&gt;"",$C69=Controle_Paiement!$B$4,$J69&lt;&gt;"Payé",$J69&lt;&gt;"Annulé",$J69&lt;&gt;""),1,"")</f>
        <v/>
      </c>
    </row>
    <row r="70" spans="1:12" x14ac:dyDescent="0.35">
      <c r="A70" s="18"/>
      <c r="B70" s="27"/>
      <c r="C70" s="14"/>
      <c r="D70" s="14"/>
      <c r="E70" s="19"/>
      <c r="F70" s="19"/>
      <c r="G70" s="28" t="str">
        <f t="shared" si="2"/>
        <v/>
      </c>
      <c r="H70" s="14"/>
      <c r="I70" s="29" t="str">
        <f>IF(OR($C70="",$G70="",$H70&lt;&gt;"Fait"),"",MIN($G70,MAX(0,SUMIFS($G$5:$G70,$C$5:$C70,$C70,$H$5:$H70,"Fait")-SUMIFS(Paiements!$I$5:$I$2000,Paiements!$C$5:$C$2000,$C70,Paiements!$L$5:$L$2000,"Payé"))))</f>
        <v/>
      </c>
      <c r="J70" s="30" t="str">
        <f t="shared" si="3"/>
        <v/>
      </c>
      <c r="K70" s="14"/>
      <c r="L70" s="17" t="str">
        <f>IF(AND($C70&lt;&gt;"",$C70=Controle_Paiement!$B$4,$J70&lt;&gt;"Payé",$J70&lt;&gt;"Annulé",$J70&lt;&gt;""),1,"")</f>
        <v/>
      </c>
    </row>
    <row r="71" spans="1:12" x14ac:dyDescent="0.35">
      <c r="A71" s="18"/>
      <c r="B71" s="27"/>
      <c r="C71" s="14"/>
      <c r="D71" s="14"/>
      <c r="E71" s="19"/>
      <c r="F71" s="19"/>
      <c r="G71" s="28" t="str">
        <f t="shared" si="2"/>
        <v/>
      </c>
      <c r="H71" s="14"/>
      <c r="I71" s="29" t="str">
        <f>IF(OR($C71="",$G71="",$H71&lt;&gt;"Fait"),"",MIN($G71,MAX(0,SUMIFS($G$5:$G71,$C$5:$C71,$C71,$H$5:$H71,"Fait")-SUMIFS(Paiements!$I$5:$I$2000,Paiements!$C$5:$C$2000,$C71,Paiements!$L$5:$L$2000,"Payé"))))</f>
        <v/>
      </c>
      <c r="J71" s="30" t="str">
        <f t="shared" si="3"/>
        <v/>
      </c>
      <c r="K71" s="14"/>
      <c r="L71" s="17" t="str">
        <f>IF(AND($C71&lt;&gt;"",$C71=Controle_Paiement!$B$4,$J71&lt;&gt;"Payé",$J71&lt;&gt;"Annulé",$J71&lt;&gt;""),1,"")</f>
        <v/>
      </c>
    </row>
    <row r="72" spans="1:12" x14ac:dyDescent="0.35">
      <c r="A72" s="18"/>
      <c r="B72" s="27"/>
      <c r="C72" s="14"/>
      <c r="D72" s="14"/>
      <c r="E72" s="19"/>
      <c r="F72" s="19"/>
      <c r="G72" s="28" t="str">
        <f t="shared" si="2"/>
        <v/>
      </c>
      <c r="H72" s="14"/>
      <c r="I72" s="29" t="str">
        <f>IF(OR($C72="",$G72="",$H72&lt;&gt;"Fait"),"",MIN($G72,MAX(0,SUMIFS($G$5:$G72,$C$5:$C72,$C72,$H$5:$H72,"Fait")-SUMIFS(Paiements!$I$5:$I$2000,Paiements!$C$5:$C$2000,$C72,Paiements!$L$5:$L$2000,"Payé"))))</f>
        <v/>
      </c>
      <c r="J72" s="30" t="str">
        <f t="shared" si="3"/>
        <v/>
      </c>
      <c r="K72" s="14"/>
      <c r="L72" s="17" t="str">
        <f>IF(AND($C72&lt;&gt;"",$C72=Controle_Paiement!$B$4,$J72&lt;&gt;"Payé",$J72&lt;&gt;"Annulé",$J72&lt;&gt;""),1,"")</f>
        <v/>
      </c>
    </row>
    <row r="73" spans="1:12" x14ac:dyDescent="0.35">
      <c r="A73" s="18"/>
      <c r="B73" s="27"/>
      <c r="C73" s="14"/>
      <c r="D73" s="14"/>
      <c r="E73" s="19"/>
      <c r="F73" s="19"/>
      <c r="G73" s="28" t="str">
        <f t="shared" si="2"/>
        <v/>
      </c>
      <c r="H73" s="14"/>
      <c r="I73" s="29" t="str">
        <f>IF(OR($C73="",$G73="",$H73&lt;&gt;"Fait"),"",MIN($G73,MAX(0,SUMIFS($G$5:$G73,$C$5:$C73,$C73,$H$5:$H73,"Fait")-SUMIFS(Paiements!$I$5:$I$2000,Paiements!$C$5:$C$2000,$C73,Paiements!$L$5:$L$2000,"Payé"))))</f>
        <v/>
      </c>
      <c r="J73" s="30" t="str">
        <f t="shared" si="3"/>
        <v/>
      </c>
      <c r="K73" s="14"/>
      <c r="L73" s="17" t="str">
        <f>IF(AND($C73&lt;&gt;"",$C73=Controle_Paiement!$B$4,$J73&lt;&gt;"Payé",$J73&lt;&gt;"Annulé",$J73&lt;&gt;""),1,"")</f>
        <v/>
      </c>
    </row>
    <row r="74" spans="1:12" x14ac:dyDescent="0.35">
      <c r="A74" s="18"/>
      <c r="B74" s="27"/>
      <c r="C74" s="14"/>
      <c r="D74" s="14"/>
      <c r="E74" s="19"/>
      <c r="F74" s="19"/>
      <c r="G74" s="28" t="str">
        <f t="shared" si="2"/>
        <v/>
      </c>
      <c r="H74" s="14"/>
      <c r="I74" s="29" t="str">
        <f>IF(OR($C74="",$G74="",$H74&lt;&gt;"Fait"),"",MIN($G74,MAX(0,SUMIFS($G$5:$G74,$C$5:$C74,$C74,$H$5:$H74,"Fait")-SUMIFS(Paiements!$I$5:$I$2000,Paiements!$C$5:$C$2000,$C74,Paiements!$L$5:$L$2000,"Payé"))))</f>
        <v/>
      </c>
      <c r="J74" s="30" t="str">
        <f t="shared" si="3"/>
        <v/>
      </c>
      <c r="K74" s="14"/>
      <c r="L74" s="17" t="str">
        <f>IF(AND($C74&lt;&gt;"",$C74=Controle_Paiement!$B$4,$J74&lt;&gt;"Payé",$J74&lt;&gt;"Annulé",$J74&lt;&gt;""),1,"")</f>
        <v/>
      </c>
    </row>
    <row r="75" spans="1:12" x14ac:dyDescent="0.35">
      <c r="A75" s="18"/>
      <c r="B75" s="27"/>
      <c r="C75" s="14"/>
      <c r="D75" s="14"/>
      <c r="E75" s="19"/>
      <c r="F75" s="19"/>
      <c r="G75" s="28" t="str">
        <f t="shared" si="2"/>
        <v/>
      </c>
      <c r="H75" s="14"/>
      <c r="I75" s="29" t="str">
        <f>IF(OR($C75="",$G75="",$H75&lt;&gt;"Fait"),"",MIN($G75,MAX(0,SUMIFS($G$5:$G75,$C$5:$C75,$C75,$H$5:$H75,"Fait")-SUMIFS(Paiements!$I$5:$I$2000,Paiements!$C$5:$C$2000,$C75,Paiements!$L$5:$L$2000,"Payé"))))</f>
        <v/>
      </c>
      <c r="J75" s="30" t="str">
        <f t="shared" si="3"/>
        <v/>
      </c>
      <c r="K75" s="14"/>
      <c r="L75" s="17" t="str">
        <f>IF(AND($C75&lt;&gt;"",$C75=Controle_Paiement!$B$4,$J75&lt;&gt;"Payé",$J75&lt;&gt;"Annulé",$J75&lt;&gt;""),1,"")</f>
        <v/>
      </c>
    </row>
    <row r="76" spans="1:12" x14ac:dyDescent="0.35">
      <c r="A76" s="18"/>
      <c r="B76" s="27"/>
      <c r="C76" s="14"/>
      <c r="D76" s="14"/>
      <c r="E76" s="19"/>
      <c r="F76" s="19"/>
      <c r="G76" s="28" t="str">
        <f t="shared" si="2"/>
        <v/>
      </c>
      <c r="H76" s="14"/>
      <c r="I76" s="29" t="str">
        <f>IF(OR($C76="",$G76="",$H76&lt;&gt;"Fait"),"",MIN($G76,MAX(0,SUMIFS($G$5:$G76,$C$5:$C76,$C76,$H$5:$H76,"Fait")-SUMIFS(Paiements!$I$5:$I$2000,Paiements!$C$5:$C$2000,$C76,Paiements!$L$5:$L$2000,"Payé"))))</f>
        <v/>
      </c>
      <c r="J76" s="30" t="str">
        <f t="shared" si="3"/>
        <v/>
      </c>
      <c r="K76" s="14"/>
      <c r="L76" s="17" t="str">
        <f>IF(AND($C76&lt;&gt;"",$C76=Controle_Paiement!$B$4,$J76&lt;&gt;"Payé",$J76&lt;&gt;"Annulé",$J76&lt;&gt;""),1,"")</f>
        <v/>
      </c>
    </row>
    <row r="77" spans="1:12" x14ac:dyDescent="0.35">
      <c r="A77" s="18"/>
      <c r="B77" s="27"/>
      <c r="C77" s="14"/>
      <c r="D77" s="14"/>
      <c r="E77" s="19"/>
      <c r="F77" s="19"/>
      <c r="G77" s="28" t="str">
        <f t="shared" si="2"/>
        <v/>
      </c>
      <c r="H77" s="14"/>
      <c r="I77" s="29" t="str">
        <f>IF(OR($C77="",$G77="",$H77&lt;&gt;"Fait"),"",MIN($G77,MAX(0,SUMIFS($G$5:$G77,$C$5:$C77,$C77,$H$5:$H77,"Fait")-SUMIFS(Paiements!$I$5:$I$2000,Paiements!$C$5:$C$2000,$C77,Paiements!$L$5:$L$2000,"Payé"))))</f>
        <v/>
      </c>
      <c r="J77" s="30" t="str">
        <f t="shared" si="3"/>
        <v/>
      </c>
      <c r="K77" s="14"/>
      <c r="L77" s="17" t="str">
        <f>IF(AND($C77&lt;&gt;"",$C77=Controle_Paiement!$B$4,$J77&lt;&gt;"Payé",$J77&lt;&gt;"Annulé",$J77&lt;&gt;""),1,"")</f>
        <v/>
      </c>
    </row>
    <row r="78" spans="1:12" x14ac:dyDescent="0.35">
      <c r="A78" s="18"/>
      <c r="B78" s="27"/>
      <c r="C78" s="14"/>
      <c r="D78" s="14"/>
      <c r="E78" s="19"/>
      <c r="F78" s="19"/>
      <c r="G78" s="28" t="str">
        <f t="shared" si="2"/>
        <v/>
      </c>
      <c r="H78" s="14"/>
      <c r="I78" s="29" t="str">
        <f>IF(OR($C78="",$G78="",$H78&lt;&gt;"Fait"),"",MIN($G78,MAX(0,SUMIFS($G$5:$G78,$C$5:$C78,$C78,$H$5:$H78,"Fait")-SUMIFS(Paiements!$I$5:$I$2000,Paiements!$C$5:$C$2000,$C78,Paiements!$L$5:$L$2000,"Payé"))))</f>
        <v/>
      </c>
      <c r="J78" s="30" t="str">
        <f t="shared" si="3"/>
        <v/>
      </c>
      <c r="K78" s="14"/>
      <c r="L78" s="17" t="str">
        <f>IF(AND($C78&lt;&gt;"",$C78=Controle_Paiement!$B$4,$J78&lt;&gt;"Payé",$J78&lt;&gt;"Annulé",$J78&lt;&gt;""),1,"")</f>
        <v/>
      </c>
    </row>
    <row r="79" spans="1:12" x14ac:dyDescent="0.35">
      <c r="A79" s="18"/>
      <c r="B79" s="27"/>
      <c r="C79" s="14"/>
      <c r="D79" s="14"/>
      <c r="E79" s="19"/>
      <c r="F79" s="19"/>
      <c r="G79" s="28" t="str">
        <f t="shared" si="2"/>
        <v/>
      </c>
      <c r="H79" s="14"/>
      <c r="I79" s="29" t="str">
        <f>IF(OR($C79="",$G79="",$H79&lt;&gt;"Fait"),"",MIN($G79,MAX(0,SUMIFS($G$5:$G79,$C$5:$C79,$C79,$H$5:$H79,"Fait")-SUMIFS(Paiements!$I$5:$I$2000,Paiements!$C$5:$C$2000,$C79,Paiements!$L$5:$L$2000,"Payé"))))</f>
        <v/>
      </c>
      <c r="J79" s="30" t="str">
        <f t="shared" si="3"/>
        <v/>
      </c>
      <c r="K79" s="14"/>
      <c r="L79" s="17" t="str">
        <f>IF(AND($C79&lt;&gt;"",$C79=Controle_Paiement!$B$4,$J79&lt;&gt;"Payé",$J79&lt;&gt;"Annulé",$J79&lt;&gt;""),1,"")</f>
        <v/>
      </c>
    </row>
    <row r="80" spans="1:12" x14ac:dyDescent="0.35">
      <c r="A80" s="18"/>
      <c r="B80" s="27"/>
      <c r="C80" s="14"/>
      <c r="D80" s="14"/>
      <c r="E80" s="19"/>
      <c r="F80" s="19"/>
      <c r="G80" s="28" t="str">
        <f t="shared" si="2"/>
        <v/>
      </c>
      <c r="H80" s="14"/>
      <c r="I80" s="29" t="str">
        <f>IF(OR($C80="",$G80="",$H80&lt;&gt;"Fait"),"",MIN($G80,MAX(0,SUMIFS($G$5:$G80,$C$5:$C80,$C80,$H$5:$H80,"Fait")-SUMIFS(Paiements!$I$5:$I$2000,Paiements!$C$5:$C$2000,$C80,Paiements!$L$5:$L$2000,"Payé"))))</f>
        <v/>
      </c>
      <c r="J80" s="30" t="str">
        <f t="shared" si="3"/>
        <v/>
      </c>
      <c r="K80" s="14"/>
      <c r="L80" s="17" t="str">
        <f>IF(AND($C80&lt;&gt;"",$C80=Controle_Paiement!$B$4,$J80&lt;&gt;"Payé",$J80&lt;&gt;"Annulé",$J80&lt;&gt;""),1,"")</f>
        <v/>
      </c>
    </row>
    <row r="81" spans="1:12" x14ac:dyDescent="0.35">
      <c r="A81" s="18"/>
      <c r="B81" s="27"/>
      <c r="C81" s="14"/>
      <c r="D81" s="14"/>
      <c r="E81" s="19"/>
      <c r="F81" s="19"/>
      <c r="G81" s="28" t="str">
        <f t="shared" si="2"/>
        <v/>
      </c>
      <c r="H81" s="14"/>
      <c r="I81" s="29" t="str">
        <f>IF(OR($C81="",$G81="",$H81&lt;&gt;"Fait"),"",MIN($G81,MAX(0,SUMIFS($G$5:$G81,$C$5:$C81,$C81,$H$5:$H81,"Fait")-SUMIFS(Paiements!$I$5:$I$2000,Paiements!$C$5:$C$2000,$C81,Paiements!$L$5:$L$2000,"Payé"))))</f>
        <v/>
      </c>
      <c r="J81" s="30" t="str">
        <f t="shared" si="3"/>
        <v/>
      </c>
      <c r="K81" s="14"/>
      <c r="L81" s="17" t="str">
        <f>IF(AND($C81&lt;&gt;"",$C81=Controle_Paiement!$B$4,$J81&lt;&gt;"Payé",$J81&lt;&gt;"Annulé",$J81&lt;&gt;""),1,"")</f>
        <v/>
      </c>
    </row>
    <row r="82" spans="1:12" x14ac:dyDescent="0.35">
      <c r="A82" s="18"/>
      <c r="B82" s="27"/>
      <c r="C82" s="14"/>
      <c r="D82" s="14"/>
      <c r="E82" s="19"/>
      <c r="F82" s="19"/>
      <c r="G82" s="28" t="str">
        <f t="shared" si="2"/>
        <v/>
      </c>
      <c r="H82" s="14"/>
      <c r="I82" s="29" t="str">
        <f>IF(OR($C82="",$G82="",$H82&lt;&gt;"Fait"),"",MIN($G82,MAX(0,SUMIFS($G$5:$G82,$C$5:$C82,$C82,$H$5:$H82,"Fait")-SUMIFS(Paiements!$I$5:$I$2000,Paiements!$C$5:$C$2000,$C82,Paiements!$L$5:$L$2000,"Payé"))))</f>
        <v/>
      </c>
      <c r="J82" s="30" t="str">
        <f t="shared" si="3"/>
        <v/>
      </c>
      <c r="K82" s="14"/>
      <c r="L82" s="17" t="str">
        <f>IF(AND($C82&lt;&gt;"",$C82=Controle_Paiement!$B$4,$J82&lt;&gt;"Payé",$J82&lt;&gt;"Annulé",$J82&lt;&gt;""),1,"")</f>
        <v/>
      </c>
    </row>
    <row r="83" spans="1:12" x14ac:dyDescent="0.35">
      <c r="A83" s="18"/>
      <c r="B83" s="27"/>
      <c r="C83" s="14"/>
      <c r="D83" s="14"/>
      <c r="E83" s="19"/>
      <c r="F83" s="19"/>
      <c r="G83" s="28" t="str">
        <f t="shared" si="2"/>
        <v/>
      </c>
      <c r="H83" s="14"/>
      <c r="I83" s="29" t="str">
        <f>IF(OR($C83="",$G83="",$H83&lt;&gt;"Fait"),"",MIN($G83,MAX(0,SUMIFS($G$5:$G83,$C$5:$C83,$C83,$H$5:$H83,"Fait")-SUMIFS(Paiements!$I$5:$I$2000,Paiements!$C$5:$C$2000,$C83,Paiements!$L$5:$L$2000,"Payé"))))</f>
        <v/>
      </c>
      <c r="J83" s="30" t="str">
        <f t="shared" si="3"/>
        <v/>
      </c>
      <c r="K83" s="14"/>
      <c r="L83" s="17" t="str">
        <f>IF(AND($C83&lt;&gt;"",$C83=Controle_Paiement!$B$4,$J83&lt;&gt;"Payé",$J83&lt;&gt;"Annulé",$J83&lt;&gt;""),1,"")</f>
        <v/>
      </c>
    </row>
    <row r="84" spans="1:12" x14ac:dyDescent="0.35">
      <c r="A84" s="18"/>
      <c r="B84" s="27"/>
      <c r="C84" s="14"/>
      <c r="D84" s="14"/>
      <c r="E84" s="19"/>
      <c r="F84" s="19"/>
      <c r="G84" s="28" t="str">
        <f t="shared" si="2"/>
        <v/>
      </c>
      <c r="H84" s="14"/>
      <c r="I84" s="29" t="str">
        <f>IF(OR($C84="",$G84="",$H84&lt;&gt;"Fait"),"",MIN($G84,MAX(0,SUMIFS($G$5:$G84,$C$5:$C84,$C84,$H$5:$H84,"Fait")-SUMIFS(Paiements!$I$5:$I$2000,Paiements!$C$5:$C$2000,$C84,Paiements!$L$5:$L$2000,"Payé"))))</f>
        <v/>
      </c>
      <c r="J84" s="30" t="str">
        <f t="shared" si="3"/>
        <v/>
      </c>
      <c r="K84" s="14"/>
      <c r="L84" s="17" t="str">
        <f>IF(AND($C84&lt;&gt;"",$C84=Controle_Paiement!$B$4,$J84&lt;&gt;"Payé",$J84&lt;&gt;"Annulé",$J84&lt;&gt;""),1,"")</f>
        <v/>
      </c>
    </row>
    <row r="85" spans="1:12" x14ac:dyDescent="0.35">
      <c r="A85" s="18"/>
      <c r="B85" s="27"/>
      <c r="C85" s="14"/>
      <c r="D85" s="14"/>
      <c r="E85" s="19"/>
      <c r="F85" s="19"/>
      <c r="G85" s="28" t="str">
        <f t="shared" si="2"/>
        <v/>
      </c>
      <c r="H85" s="14"/>
      <c r="I85" s="29" t="str">
        <f>IF(OR($C85="",$G85="",$H85&lt;&gt;"Fait"),"",MIN($G85,MAX(0,SUMIFS($G$5:$G85,$C$5:$C85,$C85,$H$5:$H85,"Fait")-SUMIFS(Paiements!$I$5:$I$2000,Paiements!$C$5:$C$2000,$C85,Paiements!$L$5:$L$2000,"Payé"))))</f>
        <v/>
      </c>
      <c r="J85" s="30" t="str">
        <f t="shared" si="3"/>
        <v/>
      </c>
      <c r="K85" s="14"/>
      <c r="L85" s="17" t="str">
        <f>IF(AND($C85&lt;&gt;"",$C85=Controle_Paiement!$B$4,$J85&lt;&gt;"Payé",$J85&lt;&gt;"Annulé",$J85&lt;&gt;""),1,"")</f>
        <v/>
      </c>
    </row>
    <row r="86" spans="1:12" x14ac:dyDescent="0.35">
      <c r="A86" s="18"/>
      <c r="B86" s="27"/>
      <c r="C86" s="14"/>
      <c r="D86" s="14"/>
      <c r="E86" s="19"/>
      <c r="F86" s="19"/>
      <c r="G86" s="28" t="str">
        <f t="shared" si="2"/>
        <v/>
      </c>
      <c r="H86" s="14"/>
      <c r="I86" s="29" t="str">
        <f>IF(OR($C86="",$G86="",$H86&lt;&gt;"Fait"),"",MIN($G86,MAX(0,SUMIFS($G$5:$G86,$C$5:$C86,$C86,$H$5:$H86,"Fait")-SUMIFS(Paiements!$I$5:$I$2000,Paiements!$C$5:$C$2000,$C86,Paiements!$L$5:$L$2000,"Payé"))))</f>
        <v/>
      </c>
      <c r="J86" s="30" t="str">
        <f t="shared" si="3"/>
        <v/>
      </c>
      <c r="K86" s="14"/>
      <c r="L86" s="17" t="str">
        <f>IF(AND($C86&lt;&gt;"",$C86=Controle_Paiement!$B$4,$J86&lt;&gt;"Payé",$J86&lt;&gt;"Annulé",$J86&lt;&gt;""),1,"")</f>
        <v/>
      </c>
    </row>
    <row r="87" spans="1:12" x14ac:dyDescent="0.35">
      <c r="A87" s="18"/>
      <c r="B87" s="27"/>
      <c r="C87" s="14"/>
      <c r="D87" s="14"/>
      <c r="E87" s="19"/>
      <c r="F87" s="19"/>
      <c r="G87" s="28" t="str">
        <f t="shared" si="2"/>
        <v/>
      </c>
      <c r="H87" s="14"/>
      <c r="I87" s="29" t="str">
        <f>IF(OR($C87="",$G87="",$H87&lt;&gt;"Fait"),"",MIN($G87,MAX(0,SUMIFS($G$5:$G87,$C$5:$C87,$C87,$H$5:$H87,"Fait")-SUMIFS(Paiements!$I$5:$I$2000,Paiements!$C$5:$C$2000,$C87,Paiements!$L$5:$L$2000,"Payé"))))</f>
        <v/>
      </c>
      <c r="J87" s="30" t="str">
        <f t="shared" si="3"/>
        <v/>
      </c>
      <c r="K87" s="14"/>
      <c r="L87" s="17" t="str">
        <f>IF(AND($C87&lt;&gt;"",$C87=Controle_Paiement!$B$4,$J87&lt;&gt;"Payé",$J87&lt;&gt;"Annulé",$J87&lt;&gt;""),1,"")</f>
        <v/>
      </c>
    </row>
    <row r="88" spans="1:12" x14ac:dyDescent="0.35">
      <c r="A88" s="18"/>
      <c r="B88" s="27"/>
      <c r="C88" s="14"/>
      <c r="D88" s="14"/>
      <c r="E88" s="19"/>
      <c r="F88" s="19"/>
      <c r="G88" s="28" t="str">
        <f t="shared" si="2"/>
        <v/>
      </c>
      <c r="H88" s="14"/>
      <c r="I88" s="29" t="str">
        <f>IF(OR($C88="",$G88="",$H88&lt;&gt;"Fait"),"",MIN($G88,MAX(0,SUMIFS($G$5:$G88,$C$5:$C88,$C88,$H$5:$H88,"Fait")-SUMIFS(Paiements!$I$5:$I$2000,Paiements!$C$5:$C$2000,$C88,Paiements!$L$5:$L$2000,"Payé"))))</f>
        <v/>
      </c>
      <c r="J88" s="30" t="str">
        <f t="shared" si="3"/>
        <v/>
      </c>
      <c r="K88" s="14"/>
      <c r="L88" s="17" t="str">
        <f>IF(AND($C88&lt;&gt;"",$C88=Controle_Paiement!$B$4,$J88&lt;&gt;"Payé",$J88&lt;&gt;"Annulé",$J88&lt;&gt;""),1,"")</f>
        <v/>
      </c>
    </row>
    <row r="89" spans="1:12" x14ac:dyDescent="0.35">
      <c r="A89" s="18"/>
      <c r="B89" s="27"/>
      <c r="C89" s="14"/>
      <c r="D89" s="14"/>
      <c r="E89" s="19"/>
      <c r="F89" s="19"/>
      <c r="G89" s="28" t="str">
        <f t="shared" si="2"/>
        <v/>
      </c>
      <c r="H89" s="14"/>
      <c r="I89" s="29" t="str">
        <f>IF(OR($C89="",$G89="",$H89&lt;&gt;"Fait"),"",MIN($G89,MAX(0,SUMIFS($G$5:$G89,$C$5:$C89,$C89,$H$5:$H89,"Fait")-SUMIFS(Paiements!$I$5:$I$2000,Paiements!$C$5:$C$2000,$C89,Paiements!$L$5:$L$2000,"Payé"))))</f>
        <v/>
      </c>
      <c r="J89" s="30" t="str">
        <f t="shared" si="3"/>
        <v/>
      </c>
      <c r="K89" s="14"/>
      <c r="L89" s="17" t="str">
        <f>IF(AND($C89&lt;&gt;"",$C89=Controle_Paiement!$B$4,$J89&lt;&gt;"Payé",$J89&lt;&gt;"Annulé",$J89&lt;&gt;""),1,"")</f>
        <v/>
      </c>
    </row>
    <row r="90" spans="1:12" x14ac:dyDescent="0.35">
      <c r="A90" s="18"/>
      <c r="B90" s="27"/>
      <c r="C90" s="14"/>
      <c r="D90" s="14"/>
      <c r="E90" s="19"/>
      <c r="F90" s="19"/>
      <c r="G90" s="28" t="str">
        <f t="shared" si="2"/>
        <v/>
      </c>
      <c r="H90" s="14"/>
      <c r="I90" s="29" t="str">
        <f>IF(OR($C90="",$G90="",$H90&lt;&gt;"Fait"),"",MIN($G90,MAX(0,SUMIFS($G$5:$G90,$C$5:$C90,$C90,$H$5:$H90,"Fait")-SUMIFS(Paiements!$I$5:$I$2000,Paiements!$C$5:$C$2000,$C90,Paiements!$L$5:$L$2000,"Payé"))))</f>
        <v/>
      </c>
      <c r="J90" s="30" t="str">
        <f t="shared" si="3"/>
        <v/>
      </c>
      <c r="K90" s="14"/>
      <c r="L90" s="17" t="str">
        <f>IF(AND($C90&lt;&gt;"",$C90=Controle_Paiement!$B$4,$J90&lt;&gt;"Payé",$J90&lt;&gt;"Annulé",$J90&lt;&gt;""),1,"")</f>
        <v/>
      </c>
    </row>
    <row r="91" spans="1:12" x14ac:dyDescent="0.35">
      <c r="A91" s="18"/>
      <c r="B91" s="27"/>
      <c r="C91" s="14"/>
      <c r="D91" s="14"/>
      <c r="E91" s="19"/>
      <c r="F91" s="19"/>
      <c r="G91" s="28" t="str">
        <f t="shared" si="2"/>
        <v/>
      </c>
      <c r="H91" s="14"/>
      <c r="I91" s="29" t="str">
        <f>IF(OR($C91="",$G91="",$H91&lt;&gt;"Fait"),"",MIN($G91,MAX(0,SUMIFS($G$5:$G91,$C$5:$C91,$C91,$H$5:$H91,"Fait")-SUMIFS(Paiements!$I$5:$I$2000,Paiements!$C$5:$C$2000,$C91,Paiements!$L$5:$L$2000,"Payé"))))</f>
        <v/>
      </c>
      <c r="J91" s="30" t="str">
        <f t="shared" si="3"/>
        <v/>
      </c>
      <c r="K91" s="14"/>
      <c r="L91" s="17" t="str">
        <f>IF(AND($C91&lt;&gt;"",$C91=Controle_Paiement!$B$4,$J91&lt;&gt;"Payé",$J91&lt;&gt;"Annulé",$J91&lt;&gt;""),1,"")</f>
        <v/>
      </c>
    </row>
    <row r="92" spans="1:12" x14ac:dyDescent="0.35">
      <c r="A92" s="18"/>
      <c r="B92" s="27"/>
      <c r="C92" s="14"/>
      <c r="D92" s="14"/>
      <c r="E92" s="19"/>
      <c r="F92" s="19"/>
      <c r="G92" s="28" t="str">
        <f t="shared" si="2"/>
        <v/>
      </c>
      <c r="H92" s="14"/>
      <c r="I92" s="29" t="str">
        <f>IF(OR($C92="",$G92="",$H92&lt;&gt;"Fait"),"",MIN($G92,MAX(0,SUMIFS($G$5:$G92,$C$5:$C92,$C92,$H$5:$H92,"Fait")-SUMIFS(Paiements!$I$5:$I$2000,Paiements!$C$5:$C$2000,$C92,Paiements!$L$5:$L$2000,"Payé"))))</f>
        <v/>
      </c>
      <c r="J92" s="30" t="str">
        <f t="shared" si="3"/>
        <v/>
      </c>
      <c r="K92" s="14"/>
      <c r="L92" s="17" t="str">
        <f>IF(AND($C92&lt;&gt;"",$C92=Controle_Paiement!$B$4,$J92&lt;&gt;"Payé",$J92&lt;&gt;"Annulé",$J92&lt;&gt;""),1,"")</f>
        <v/>
      </c>
    </row>
    <row r="93" spans="1:12" x14ac:dyDescent="0.35">
      <c r="A93" s="18"/>
      <c r="B93" s="27"/>
      <c r="C93" s="14"/>
      <c r="D93" s="14"/>
      <c r="E93" s="19"/>
      <c r="F93" s="19"/>
      <c r="G93" s="28" t="str">
        <f t="shared" si="2"/>
        <v/>
      </c>
      <c r="H93" s="14"/>
      <c r="I93" s="29" t="str">
        <f>IF(OR($C93="",$G93="",$H93&lt;&gt;"Fait"),"",MIN($G93,MAX(0,SUMIFS($G$5:$G93,$C$5:$C93,$C93,$H$5:$H93,"Fait")-SUMIFS(Paiements!$I$5:$I$2000,Paiements!$C$5:$C$2000,$C93,Paiements!$L$5:$L$2000,"Payé"))))</f>
        <v/>
      </c>
      <c r="J93" s="30" t="str">
        <f t="shared" si="3"/>
        <v/>
      </c>
      <c r="K93" s="14"/>
      <c r="L93" s="17" t="str">
        <f>IF(AND($C93&lt;&gt;"",$C93=Controle_Paiement!$B$4,$J93&lt;&gt;"Payé",$J93&lt;&gt;"Annulé",$J93&lt;&gt;""),1,"")</f>
        <v/>
      </c>
    </row>
    <row r="94" spans="1:12" x14ac:dyDescent="0.35">
      <c r="A94" s="18"/>
      <c r="B94" s="27"/>
      <c r="C94" s="14"/>
      <c r="D94" s="14"/>
      <c r="E94" s="19"/>
      <c r="F94" s="19"/>
      <c r="G94" s="28" t="str">
        <f t="shared" si="2"/>
        <v/>
      </c>
      <c r="H94" s="14"/>
      <c r="I94" s="29" t="str">
        <f>IF(OR($C94="",$G94="",$H94&lt;&gt;"Fait"),"",MIN($G94,MAX(0,SUMIFS($G$5:$G94,$C$5:$C94,$C94,$H$5:$H94,"Fait")-SUMIFS(Paiements!$I$5:$I$2000,Paiements!$C$5:$C$2000,$C94,Paiements!$L$5:$L$2000,"Payé"))))</f>
        <v/>
      </c>
      <c r="J94" s="30" t="str">
        <f t="shared" si="3"/>
        <v/>
      </c>
      <c r="K94" s="14"/>
      <c r="L94" s="17" t="str">
        <f>IF(AND($C94&lt;&gt;"",$C94=Controle_Paiement!$B$4,$J94&lt;&gt;"Payé",$J94&lt;&gt;"Annulé",$J94&lt;&gt;""),1,"")</f>
        <v/>
      </c>
    </row>
    <row r="95" spans="1:12" x14ac:dyDescent="0.35">
      <c r="A95" s="18"/>
      <c r="B95" s="27"/>
      <c r="C95" s="14"/>
      <c r="D95" s="14"/>
      <c r="E95" s="19"/>
      <c r="F95" s="19"/>
      <c r="G95" s="28" t="str">
        <f t="shared" si="2"/>
        <v/>
      </c>
      <c r="H95" s="14"/>
      <c r="I95" s="29" t="str">
        <f>IF(OR($C95="",$G95="",$H95&lt;&gt;"Fait"),"",MIN($G95,MAX(0,SUMIFS($G$5:$G95,$C$5:$C95,$C95,$H$5:$H95,"Fait")-SUMIFS(Paiements!$I$5:$I$2000,Paiements!$C$5:$C$2000,$C95,Paiements!$L$5:$L$2000,"Payé"))))</f>
        <v/>
      </c>
      <c r="J95" s="30" t="str">
        <f t="shared" si="3"/>
        <v/>
      </c>
      <c r="K95" s="14"/>
      <c r="L95" s="17" t="str">
        <f>IF(AND($C95&lt;&gt;"",$C95=Controle_Paiement!$B$4,$J95&lt;&gt;"Payé",$J95&lt;&gt;"Annulé",$J95&lt;&gt;""),1,"")</f>
        <v/>
      </c>
    </row>
    <row r="96" spans="1:12" x14ac:dyDescent="0.35">
      <c r="A96" s="18"/>
      <c r="B96" s="27"/>
      <c r="C96" s="14"/>
      <c r="D96" s="14"/>
      <c r="E96" s="19"/>
      <c r="F96" s="19"/>
      <c r="G96" s="28" t="str">
        <f t="shared" si="2"/>
        <v/>
      </c>
      <c r="H96" s="14"/>
      <c r="I96" s="29" t="str">
        <f>IF(OR($C96="",$G96="",$H96&lt;&gt;"Fait"),"",MIN($G96,MAX(0,SUMIFS($G$5:$G96,$C$5:$C96,$C96,$H$5:$H96,"Fait")-SUMIFS(Paiements!$I$5:$I$2000,Paiements!$C$5:$C$2000,$C96,Paiements!$L$5:$L$2000,"Payé"))))</f>
        <v/>
      </c>
      <c r="J96" s="30" t="str">
        <f t="shared" si="3"/>
        <v/>
      </c>
      <c r="K96" s="14"/>
      <c r="L96" s="17" t="str">
        <f>IF(AND($C96&lt;&gt;"",$C96=Controle_Paiement!$B$4,$J96&lt;&gt;"Payé",$J96&lt;&gt;"Annulé",$J96&lt;&gt;""),1,"")</f>
        <v/>
      </c>
    </row>
    <row r="97" spans="1:12" x14ac:dyDescent="0.35">
      <c r="A97" s="18"/>
      <c r="B97" s="27"/>
      <c r="C97" s="14"/>
      <c r="D97" s="14"/>
      <c r="E97" s="19"/>
      <c r="F97" s="19"/>
      <c r="G97" s="28" t="str">
        <f t="shared" si="2"/>
        <v/>
      </c>
      <c r="H97" s="14"/>
      <c r="I97" s="29" t="str">
        <f>IF(OR($C97="",$G97="",$H97&lt;&gt;"Fait"),"",MIN($G97,MAX(0,SUMIFS($G$5:$G97,$C$5:$C97,$C97,$H$5:$H97,"Fait")-SUMIFS(Paiements!$I$5:$I$2000,Paiements!$C$5:$C$2000,$C97,Paiements!$L$5:$L$2000,"Payé"))))</f>
        <v/>
      </c>
      <c r="J97" s="30" t="str">
        <f t="shared" si="3"/>
        <v/>
      </c>
      <c r="K97" s="14"/>
      <c r="L97" s="17" t="str">
        <f>IF(AND($C97&lt;&gt;"",$C97=Controle_Paiement!$B$4,$J97&lt;&gt;"Payé",$J97&lt;&gt;"Annulé",$J97&lt;&gt;""),1,"")</f>
        <v/>
      </c>
    </row>
    <row r="98" spans="1:12" x14ac:dyDescent="0.35">
      <c r="A98" s="18"/>
      <c r="B98" s="27"/>
      <c r="C98" s="14"/>
      <c r="D98" s="14"/>
      <c r="E98" s="19"/>
      <c r="F98" s="19"/>
      <c r="G98" s="28" t="str">
        <f t="shared" si="2"/>
        <v/>
      </c>
      <c r="H98" s="14"/>
      <c r="I98" s="29" t="str">
        <f>IF(OR($C98="",$G98="",$H98&lt;&gt;"Fait"),"",MIN($G98,MAX(0,SUMIFS($G$5:$G98,$C$5:$C98,$C98,$H$5:$H98,"Fait")-SUMIFS(Paiements!$I$5:$I$2000,Paiements!$C$5:$C$2000,$C98,Paiements!$L$5:$L$2000,"Payé"))))</f>
        <v/>
      </c>
      <c r="J98" s="30" t="str">
        <f t="shared" si="3"/>
        <v/>
      </c>
      <c r="K98" s="14"/>
      <c r="L98" s="17" t="str">
        <f>IF(AND($C98&lt;&gt;"",$C98=Controle_Paiement!$B$4,$J98&lt;&gt;"Payé",$J98&lt;&gt;"Annulé",$J98&lt;&gt;""),1,"")</f>
        <v/>
      </c>
    </row>
    <row r="99" spans="1:12" x14ac:dyDescent="0.35">
      <c r="A99" s="18"/>
      <c r="B99" s="27"/>
      <c r="C99" s="14"/>
      <c r="D99" s="14"/>
      <c r="E99" s="19"/>
      <c r="F99" s="19"/>
      <c r="G99" s="28" t="str">
        <f t="shared" si="2"/>
        <v/>
      </c>
      <c r="H99" s="14"/>
      <c r="I99" s="29" t="str">
        <f>IF(OR($C99="",$G99="",$H99&lt;&gt;"Fait"),"",MIN($G99,MAX(0,SUMIFS($G$5:$G99,$C$5:$C99,$C99,$H$5:$H99,"Fait")-SUMIFS(Paiements!$I$5:$I$2000,Paiements!$C$5:$C$2000,$C99,Paiements!$L$5:$L$2000,"Payé"))))</f>
        <v/>
      </c>
      <c r="J99" s="30" t="str">
        <f t="shared" si="3"/>
        <v/>
      </c>
      <c r="K99" s="14"/>
      <c r="L99" s="17" t="str">
        <f>IF(AND($C99&lt;&gt;"",$C99=Controle_Paiement!$B$4,$J99&lt;&gt;"Payé",$J99&lt;&gt;"Annulé",$J99&lt;&gt;""),1,"")</f>
        <v/>
      </c>
    </row>
    <row r="100" spans="1:12" x14ac:dyDescent="0.35">
      <c r="A100" s="18"/>
      <c r="B100" s="27"/>
      <c r="C100" s="14"/>
      <c r="D100" s="14"/>
      <c r="E100" s="19"/>
      <c r="F100" s="19"/>
      <c r="G100" s="28" t="str">
        <f t="shared" si="2"/>
        <v/>
      </c>
      <c r="H100" s="14"/>
      <c r="I100" s="29" t="str">
        <f>IF(OR($C100="",$G100="",$H100&lt;&gt;"Fait"),"",MIN($G100,MAX(0,SUMIFS($G$5:$G100,$C$5:$C100,$C100,$H$5:$H100,"Fait")-SUMIFS(Paiements!$I$5:$I$2000,Paiements!$C$5:$C$2000,$C100,Paiements!$L$5:$L$2000,"Payé"))))</f>
        <v/>
      </c>
      <c r="J100" s="30" t="str">
        <f t="shared" si="3"/>
        <v/>
      </c>
      <c r="K100" s="14"/>
      <c r="L100" s="17" t="str">
        <f>IF(AND($C100&lt;&gt;"",$C100=Controle_Paiement!$B$4,$J100&lt;&gt;"Payé",$J100&lt;&gt;"Annulé",$J100&lt;&gt;""),1,"")</f>
        <v/>
      </c>
    </row>
    <row r="101" spans="1:12" x14ac:dyDescent="0.35">
      <c r="A101" s="18"/>
      <c r="B101" s="27"/>
      <c r="C101" s="14"/>
      <c r="D101" s="14"/>
      <c r="E101" s="19"/>
      <c r="F101" s="19"/>
      <c r="G101" s="28" t="str">
        <f t="shared" si="2"/>
        <v/>
      </c>
      <c r="H101" s="14"/>
      <c r="I101" s="29" t="str">
        <f>IF(OR($C101="",$G101="",$H101&lt;&gt;"Fait"),"",MIN($G101,MAX(0,SUMIFS($G$5:$G101,$C$5:$C101,$C101,$H$5:$H101,"Fait")-SUMIFS(Paiements!$I$5:$I$2000,Paiements!$C$5:$C$2000,$C101,Paiements!$L$5:$L$2000,"Payé"))))</f>
        <v/>
      </c>
      <c r="J101" s="30" t="str">
        <f t="shared" si="3"/>
        <v/>
      </c>
      <c r="K101" s="14"/>
      <c r="L101" s="17" t="str">
        <f>IF(AND($C101&lt;&gt;"",$C101=Controle_Paiement!$B$4,$J101&lt;&gt;"Payé",$J101&lt;&gt;"Annulé",$J101&lt;&gt;""),1,"")</f>
        <v/>
      </c>
    </row>
    <row r="102" spans="1:12" x14ac:dyDescent="0.35">
      <c r="A102" s="18"/>
      <c r="B102" s="27"/>
      <c r="C102" s="14"/>
      <c r="D102" s="14"/>
      <c r="E102" s="19"/>
      <c r="F102" s="19"/>
      <c r="G102" s="28" t="str">
        <f t="shared" si="2"/>
        <v/>
      </c>
      <c r="H102" s="14"/>
      <c r="I102" s="29" t="str">
        <f>IF(OR($C102="",$G102="",$H102&lt;&gt;"Fait"),"",MIN($G102,MAX(0,SUMIFS($G$5:$G102,$C$5:$C102,$C102,$H$5:$H102,"Fait")-SUMIFS(Paiements!$I$5:$I$2000,Paiements!$C$5:$C$2000,$C102,Paiements!$L$5:$L$2000,"Payé"))))</f>
        <v/>
      </c>
      <c r="J102" s="30" t="str">
        <f t="shared" si="3"/>
        <v/>
      </c>
      <c r="K102" s="14"/>
      <c r="L102" s="17" t="str">
        <f>IF(AND($C102&lt;&gt;"",$C102=Controle_Paiement!$B$4,$J102&lt;&gt;"Payé",$J102&lt;&gt;"Annulé",$J102&lt;&gt;""),1,"")</f>
        <v/>
      </c>
    </row>
    <row r="103" spans="1:12" x14ac:dyDescent="0.35">
      <c r="A103" s="18"/>
      <c r="B103" s="27"/>
      <c r="C103" s="14"/>
      <c r="D103" s="14"/>
      <c r="E103" s="19"/>
      <c r="F103" s="19"/>
      <c r="G103" s="28" t="str">
        <f t="shared" si="2"/>
        <v/>
      </c>
      <c r="H103" s="14"/>
      <c r="I103" s="29" t="str">
        <f>IF(OR($C103="",$G103="",$H103&lt;&gt;"Fait"),"",MIN($G103,MAX(0,SUMIFS($G$5:$G103,$C$5:$C103,$C103,$H$5:$H103,"Fait")-SUMIFS(Paiements!$I$5:$I$2000,Paiements!$C$5:$C$2000,$C103,Paiements!$L$5:$L$2000,"Payé"))))</f>
        <v/>
      </c>
      <c r="J103" s="30" t="str">
        <f t="shared" si="3"/>
        <v/>
      </c>
      <c r="K103" s="14"/>
      <c r="L103" s="17" t="str">
        <f>IF(AND($C103&lt;&gt;"",$C103=Controle_Paiement!$B$4,$J103&lt;&gt;"Payé",$J103&lt;&gt;"Annulé",$J103&lt;&gt;""),1,"")</f>
        <v/>
      </c>
    </row>
    <row r="104" spans="1:12" x14ac:dyDescent="0.35">
      <c r="A104" s="18"/>
      <c r="B104" s="27"/>
      <c r="C104" s="14"/>
      <c r="D104" s="14"/>
      <c r="E104" s="19"/>
      <c r="F104" s="19"/>
      <c r="G104" s="28" t="str">
        <f t="shared" si="2"/>
        <v/>
      </c>
      <c r="H104" s="14"/>
      <c r="I104" s="29" t="str">
        <f>IF(OR($C104="",$G104="",$H104&lt;&gt;"Fait"),"",MIN($G104,MAX(0,SUMIFS($G$5:$G104,$C$5:$C104,$C104,$H$5:$H104,"Fait")-SUMIFS(Paiements!$I$5:$I$2000,Paiements!$C$5:$C$2000,$C104,Paiements!$L$5:$L$2000,"Payé"))))</f>
        <v/>
      </c>
      <c r="J104" s="30" t="str">
        <f t="shared" si="3"/>
        <v/>
      </c>
      <c r="K104" s="14"/>
      <c r="L104" s="17" t="str">
        <f>IF(AND($C104&lt;&gt;"",$C104=Controle_Paiement!$B$4,$J104&lt;&gt;"Payé",$J104&lt;&gt;"Annulé",$J104&lt;&gt;""),1,"")</f>
        <v/>
      </c>
    </row>
    <row r="105" spans="1:12" x14ac:dyDescent="0.35">
      <c r="A105" s="18"/>
      <c r="B105" s="27"/>
      <c r="C105" s="14"/>
      <c r="D105" s="14"/>
      <c r="E105" s="19"/>
      <c r="F105" s="19"/>
      <c r="G105" s="28" t="str">
        <f t="shared" si="2"/>
        <v/>
      </c>
      <c r="H105" s="14"/>
      <c r="I105" s="29" t="str">
        <f>IF(OR($C105="",$G105="",$H105&lt;&gt;"Fait"),"",MIN($G105,MAX(0,SUMIFS($G$5:$G105,$C$5:$C105,$C105,$H$5:$H105,"Fait")-SUMIFS(Paiements!$I$5:$I$2000,Paiements!$C$5:$C$2000,$C105,Paiements!$L$5:$L$2000,"Payé"))))</f>
        <v/>
      </c>
      <c r="J105" s="30" t="str">
        <f t="shared" si="3"/>
        <v/>
      </c>
      <c r="K105" s="14"/>
      <c r="L105" s="17" t="str">
        <f>IF(AND($C105&lt;&gt;"",$C105=Controle_Paiement!$B$4,$J105&lt;&gt;"Payé",$J105&lt;&gt;"Annulé",$J105&lt;&gt;""),1,"")</f>
        <v/>
      </c>
    </row>
    <row r="106" spans="1:12" x14ac:dyDescent="0.35">
      <c r="A106" s="18"/>
      <c r="B106" s="27"/>
      <c r="C106" s="14"/>
      <c r="D106" s="14"/>
      <c r="E106" s="19"/>
      <c r="F106" s="19"/>
      <c r="G106" s="28" t="str">
        <f t="shared" si="2"/>
        <v/>
      </c>
      <c r="H106" s="14"/>
      <c r="I106" s="29" t="str">
        <f>IF(OR($C106="",$G106="",$H106&lt;&gt;"Fait"),"",MIN($G106,MAX(0,SUMIFS($G$5:$G106,$C$5:$C106,$C106,$H$5:$H106,"Fait")-SUMIFS(Paiements!$I$5:$I$2000,Paiements!$C$5:$C$2000,$C106,Paiements!$L$5:$L$2000,"Payé"))))</f>
        <v/>
      </c>
      <c r="J106" s="30" t="str">
        <f t="shared" si="3"/>
        <v/>
      </c>
      <c r="K106" s="14"/>
      <c r="L106" s="17" t="str">
        <f>IF(AND($C106&lt;&gt;"",$C106=Controle_Paiement!$B$4,$J106&lt;&gt;"Payé",$J106&lt;&gt;"Annulé",$J106&lt;&gt;""),1,"")</f>
        <v/>
      </c>
    </row>
    <row r="107" spans="1:12" x14ac:dyDescent="0.35">
      <c r="A107" s="18"/>
      <c r="B107" s="27"/>
      <c r="C107" s="14"/>
      <c r="D107" s="14"/>
      <c r="E107" s="19"/>
      <c r="F107" s="19"/>
      <c r="G107" s="28" t="str">
        <f t="shared" si="2"/>
        <v/>
      </c>
      <c r="H107" s="14"/>
      <c r="I107" s="29" t="str">
        <f>IF(OR($C107="",$G107="",$H107&lt;&gt;"Fait"),"",MIN($G107,MAX(0,SUMIFS($G$5:$G107,$C$5:$C107,$C107,$H$5:$H107,"Fait")-SUMIFS(Paiements!$I$5:$I$2000,Paiements!$C$5:$C$2000,$C107,Paiements!$L$5:$L$2000,"Payé"))))</f>
        <v/>
      </c>
      <c r="J107" s="30" t="str">
        <f t="shared" si="3"/>
        <v/>
      </c>
      <c r="K107" s="14"/>
      <c r="L107" s="17" t="str">
        <f>IF(AND($C107&lt;&gt;"",$C107=Controle_Paiement!$B$4,$J107&lt;&gt;"Payé",$J107&lt;&gt;"Annulé",$J107&lt;&gt;""),1,"")</f>
        <v/>
      </c>
    </row>
    <row r="108" spans="1:12" x14ac:dyDescent="0.35">
      <c r="A108" s="18"/>
      <c r="B108" s="27"/>
      <c r="C108" s="14"/>
      <c r="D108" s="14"/>
      <c r="E108" s="19"/>
      <c r="F108" s="19"/>
      <c r="G108" s="28" t="str">
        <f t="shared" si="2"/>
        <v/>
      </c>
      <c r="H108" s="14"/>
      <c r="I108" s="29" t="str">
        <f>IF(OR($C108="",$G108="",$H108&lt;&gt;"Fait"),"",MIN($G108,MAX(0,SUMIFS($G$5:$G108,$C$5:$C108,$C108,$H$5:$H108,"Fait")-SUMIFS(Paiements!$I$5:$I$2000,Paiements!$C$5:$C$2000,$C108,Paiements!$L$5:$L$2000,"Payé"))))</f>
        <v/>
      </c>
      <c r="J108" s="30" t="str">
        <f t="shared" si="3"/>
        <v/>
      </c>
      <c r="K108" s="14"/>
      <c r="L108" s="17" t="str">
        <f>IF(AND($C108&lt;&gt;"",$C108=Controle_Paiement!$B$4,$J108&lt;&gt;"Payé",$J108&lt;&gt;"Annulé",$J108&lt;&gt;""),1,"")</f>
        <v/>
      </c>
    </row>
    <row r="109" spans="1:12" x14ac:dyDescent="0.35">
      <c r="A109" s="18"/>
      <c r="B109" s="27"/>
      <c r="C109" s="14"/>
      <c r="D109" s="14"/>
      <c r="E109" s="19"/>
      <c r="F109" s="19"/>
      <c r="G109" s="28" t="str">
        <f t="shared" si="2"/>
        <v/>
      </c>
      <c r="H109" s="14"/>
      <c r="I109" s="29" t="str">
        <f>IF(OR($C109="",$G109="",$H109&lt;&gt;"Fait"),"",MIN($G109,MAX(0,SUMIFS($G$5:$G109,$C$5:$C109,$C109,$H$5:$H109,"Fait")-SUMIFS(Paiements!$I$5:$I$2000,Paiements!$C$5:$C$2000,$C109,Paiements!$L$5:$L$2000,"Payé"))))</f>
        <v/>
      </c>
      <c r="J109" s="30" t="str">
        <f t="shared" si="3"/>
        <v/>
      </c>
      <c r="K109" s="14"/>
      <c r="L109" s="17" t="str">
        <f>IF(AND($C109&lt;&gt;"",$C109=Controle_Paiement!$B$4,$J109&lt;&gt;"Payé",$J109&lt;&gt;"Annulé",$J109&lt;&gt;""),1,"")</f>
        <v/>
      </c>
    </row>
    <row r="110" spans="1:12" x14ac:dyDescent="0.35">
      <c r="A110" s="18"/>
      <c r="B110" s="27"/>
      <c r="C110" s="14"/>
      <c r="D110" s="14"/>
      <c r="E110" s="19"/>
      <c r="F110" s="19"/>
      <c r="G110" s="28" t="str">
        <f t="shared" si="2"/>
        <v/>
      </c>
      <c r="H110" s="14"/>
      <c r="I110" s="29" t="str">
        <f>IF(OR($C110="",$G110="",$H110&lt;&gt;"Fait"),"",MIN($G110,MAX(0,SUMIFS($G$5:$G110,$C$5:$C110,$C110,$H$5:$H110,"Fait")-SUMIFS(Paiements!$I$5:$I$2000,Paiements!$C$5:$C$2000,$C110,Paiements!$L$5:$L$2000,"Payé"))))</f>
        <v/>
      </c>
      <c r="J110" s="30" t="str">
        <f t="shared" si="3"/>
        <v/>
      </c>
      <c r="K110" s="14"/>
      <c r="L110" s="17" t="str">
        <f>IF(AND($C110&lt;&gt;"",$C110=Controle_Paiement!$B$4,$J110&lt;&gt;"Payé",$J110&lt;&gt;"Annulé",$J110&lt;&gt;""),1,"")</f>
        <v/>
      </c>
    </row>
    <row r="111" spans="1:12" x14ac:dyDescent="0.35">
      <c r="A111" s="18"/>
      <c r="B111" s="27"/>
      <c r="C111" s="14"/>
      <c r="D111" s="14"/>
      <c r="E111" s="19"/>
      <c r="F111" s="19"/>
      <c r="G111" s="28" t="str">
        <f t="shared" si="2"/>
        <v/>
      </c>
      <c r="H111" s="14"/>
      <c r="I111" s="29" t="str">
        <f>IF(OR($C111="",$G111="",$H111&lt;&gt;"Fait"),"",MIN($G111,MAX(0,SUMIFS($G$5:$G111,$C$5:$C111,$C111,$H$5:$H111,"Fait")-SUMIFS(Paiements!$I$5:$I$2000,Paiements!$C$5:$C$2000,$C111,Paiements!$L$5:$L$2000,"Payé"))))</f>
        <v/>
      </c>
      <c r="J111" s="30" t="str">
        <f t="shared" si="3"/>
        <v/>
      </c>
      <c r="K111" s="14"/>
      <c r="L111" s="17" t="str">
        <f>IF(AND($C111&lt;&gt;"",$C111=Controle_Paiement!$B$4,$J111&lt;&gt;"Payé",$J111&lt;&gt;"Annulé",$J111&lt;&gt;""),1,"")</f>
        <v/>
      </c>
    </row>
    <row r="112" spans="1:12" x14ac:dyDescent="0.35">
      <c r="A112" s="18"/>
      <c r="B112" s="27"/>
      <c r="C112" s="14"/>
      <c r="D112" s="14"/>
      <c r="E112" s="19"/>
      <c r="F112" s="19"/>
      <c r="G112" s="28" t="str">
        <f t="shared" si="2"/>
        <v/>
      </c>
      <c r="H112" s="14"/>
      <c r="I112" s="29" t="str">
        <f>IF(OR($C112="",$G112="",$H112&lt;&gt;"Fait"),"",MIN($G112,MAX(0,SUMIFS($G$5:$G112,$C$5:$C112,$C112,$H$5:$H112,"Fait")-SUMIFS(Paiements!$I$5:$I$2000,Paiements!$C$5:$C$2000,$C112,Paiements!$L$5:$L$2000,"Payé"))))</f>
        <v/>
      </c>
      <c r="J112" s="30" t="str">
        <f t="shared" si="3"/>
        <v/>
      </c>
      <c r="K112" s="14"/>
      <c r="L112" s="17" t="str">
        <f>IF(AND($C112&lt;&gt;"",$C112=Controle_Paiement!$B$4,$J112&lt;&gt;"Payé",$J112&lt;&gt;"Annulé",$J112&lt;&gt;""),1,"")</f>
        <v/>
      </c>
    </row>
    <row r="113" spans="1:12" x14ac:dyDescent="0.35">
      <c r="A113" s="18"/>
      <c r="B113" s="27"/>
      <c r="C113" s="14"/>
      <c r="D113" s="14"/>
      <c r="E113" s="19"/>
      <c r="F113" s="19"/>
      <c r="G113" s="28" t="str">
        <f t="shared" si="2"/>
        <v/>
      </c>
      <c r="H113" s="14"/>
      <c r="I113" s="29" t="str">
        <f>IF(OR($C113="",$G113="",$H113&lt;&gt;"Fait"),"",MIN($G113,MAX(0,SUMIFS($G$5:$G113,$C$5:$C113,$C113,$H$5:$H113,"Fait")-SUMIFS(Paiements!$I$5:$I$2000,Paiements!$C$5:$C$2000,$C113,Paiements!$L$5:$L$2000,"Payé"))))</f>
        <v/>
      </c>
      <c r="J113" s="30" t="str">
        <f t="shared" si="3"/>
        <v/>
      </c>
      <c r="K113" s="14"/>
      <c r="L113" s="17" t="str">
        <f>IF(AND($C113&lt;&gt;"",$C113=Controle_Paiement!$B$4,$J113&lt;&gt;"Payé",$J113&lt;&gt;"Annulé",$J113&lt;&gt;""),1,"")</f>
        <v/>
      </c>
    </row>
    <row r="114" spans="1:12" x14ac:dyDescent="0.35">
      <c r="A114" s="18"/>
      <c r="B114" s="27"/>
      <c r="C114" s="14"/>
      <c r="D114" s="14"/>
      <c r="E114" s="19"/>
      <c r="F114" s="19"/>
      <c r="G114" s="28" t="str">
        <f t="shared" si="2"/>
        <v/>
      </c>
      <c r="H114" s="14"/>
      <c r="I114" s="29" t="str">
        <f>IF(OR($C114="",$G114="",$H114&lt;&gt;"Fait"),"",MIN($G114,MAX(0,SUMIFS($G$5:$G114,$C$5:$C114,$C114,$H$5:$H114,"Fait")-SUMIFS(Paiements!$I$5:$I$2000,Paiements!$C$5:$C$2000,$C114,Paiements!$L$5:$L$2000,"Payé"))))</f>
        <v/>
      </c>
      <c r="J114" s="30" t="str">
        <f t="shared" si="3"/>
        <v/>
      </c>
      <c r="K114" s="14"/>
      <c r="L114" s="17" t="str">
        <f>IF(AND($C114&lt;&gt;"",$C114=Controle_Paiement!$B$4,$J114&lt;&gt;"Payé",$J114&lt;&gt;"Annulé",$J114&lt;&gt;""),1,"")</f>
        <v/>
      </c>
    </row>
    <row r="115" spans="1:12" x14ac:dyDescent="0.35">
      <c r="A115" s="18"/>
      <c r="B115" s="27"/>
      <c r="C115" s="14"/>
      <c r="D115" s="14"/>
      <c r="E115" s="19"/>
      <c r="F115" s="19"/>
      <c r="G115" s="28" t="str">
        <f t="shared" si="2"/>
        <v/>
      </c>
      <c r="H115" s="14"/>
      <c r="I115" s="29" t="str">
        <f>IF(OR($C115="",$G115="",$H115&lt;&gt;"Fait"),"",MIN($G115,MAX(0,SUMIFS($G$5:$G115,$C$5:$C115,$C115,$H$5:$H115,"Fait")-SUMIFS(Paiements!$I$5:$I$2000,Paiements!$C$5:$C$2000,$C115,Paiements!$L$5:$L$2000,"Payé"))))</f>
        <v/>
      </c>
      <c r="J115" s="30" t="str">
        <f t="shared" si="3"/>
        <v/>
      </c>
      <c r="K115" s="14"/>
      <c r="L115" s="17" t="str">
        <f>IF(AND($C115&lt;&gt;"",$C115=Controle_Paiement!$B$4,$J115&lt;&gt;"Payé",$J115&lt;&gt;"Annulé",$J115&lt;&gt;""),1,"")</f>
        <v/>
      </c>
    </row>
    <row r="116" spans="1:12" x14ac:dyDescent="0.35">
      <c r="A116" s="18"/>
      <c r="B116" s="27"/>
      <c r="C116" s="14"/>
      <c r="D116" s="14"/>
      <c r="E116" s="19"/>
      <c r="F116" s="19"/>
      <c r="G116" s="28" t="str">
        <f t="shared" si="2"/>
        <v/>
      </c>
      <c r="H116" s="14"/>
      <c r="I116" s="29" t="str">
        <f>IF(OR($C116="",$G116="",$H116&lt;&gt;"Fait"),"",MIN($G116,MAX(0,SUMIFS($G$5:$G116,$C$5:$C116,$C116,$H$5:$H116,"Fait")-SUMIFS(Paiements!$I$5:$I$2000,Paiements!$C$5:$C$2000,$C116,Paiements!$L$5:$L$2000,"Payé"))))</f>
        <v/>
      </c>
      <c r="J116" s="30" t="str">
        <f t="shared" si="3"/>
        <v/>
      </c>
      <c r="K116" s="14"/>
      <c r="L116" s="17" t="str">
        <f>IF(AND($C116&lt;&gt;"",$C116=Controle_Paiement!$B$4,$J116&lt;&gt;"Payé",$J116&lt;&gt;"Annulé",$J116&lt;&gt;""),1,"")</f>
        <v/>
      </c>
    </row>
    <row r="117" spans="1:12" x14ac:dyDescent="0.35">
      <c r="A117" s="18"/>
      <c r="B117" s="27"/>
      <c r="C117" s="14"/>
      <c r="D117" s="14"/>
      <c r="E117" s="19"/>
      <c r="F117" s="19"/>
      <c r="G117" s="28" t="str">
        <f t="shared" si="2"/>
        <v/>
      </c>
      <c r="H117" s="14"/>
      <c r="I117" s="29" t="str">
        <f>IF(OR($C117="",$G117="",$H117&lt;&gt;"Fait"),"",MIN($G117,MAX(0,SUMIFS($G$5:$G117,$C$5:$C117,$C117,$H$5:$H117,"Fait")-SUMIFS(Paiements!$I$5:$I$2000,Paiements!$C$5:$C$2000,$C117,Paiements!$L$5:$L$2000,"Payé"))))</f>
        <v/>
      </c>
      <c r="J117" s="30" t="str">
        <f t="shared" si="3"/>
        <v/>
      </c>
      <c r="K117" s="14"/>
      <c r="L117" s="17" t="str">
        <f>IF(AND($C117&lt;&gt;"",$C117=Controle_Paiement!$B$4,$J117&lt;&gt;"Payé",$J117&lt;&gt;"Annulé",$J117&lt;&gt;""),1,"")</f>
        <v/>
      </c>
    </row>
    <row r="118" spans="1:12" x14ac:dyDescent="0.35">
      <c r="A118" s="18"/>
      <c r="B118" s="27"/>
      <c r="C118" s="14"/>
      <c r="D118" s="14"/>
      <c r="E118" s="19"/>
      <c r="F118" s="19"/>
      <c r="G118" s="28" t="str">
        <f t="shared" si="2"/>
        <v/>
      </c>
      <c r="H118" s="14"/>
      <c r="I118" s="29" t="str">
        <f>IF(OR($C118="",$G118="",$H118&lt;&gt;"Fait"),"",MIN($G118,MAX(0,SUMIFS($G$5:$G118,$C$5:$C118,$C118,$H$5:$H118,"Fait")-SUMIFS(Paiements!$I$5:$I$2000,Paiements!$C$5:$C$2000,$C118,Paiements!$L$5:$L$2000,"Payé"))))</f>
        <v/>
      </c>
      <c r="J118" s="30" t="str">
        <f t="shared" si="3"/>
        <v/>
      </c>
      <c r="K118" s="14"/>
      <c r="L118" s="17" t="str">
        <f>IF(AND($C118&lt;&gt;"",$C118=Controle_Paiement!$B$4,$J118&lt;&gt;"Payé",$J118&lt;&gt;"Annulé",$J118&lt;&gt;""),1,"")</f>
        <v/>
      </c>
    </row>
    <row r="119" spans="1:12" x14ac:dyDescent="0.35">
      <c r="A119" s="18"/>
      <c r="B119" s="27"/>
      <c r="C119" s="14"/>
      <c r="D119" s="14"/>
      <c r="E119" s="19"/>
      <c r="F119" s="19"/>
      <c r="G119" s="28" t="str">
        <f t="shared" si="2"/>
        <v/>
      </c>
      <c r="H119" s="14"/>
      <c r="I119" s="29" t="str">
        <f>IF(OR($C119="",$G119="",$H119&lt;&gt;"Fait"),"",MIN($G119,MAX(0,SUMIFS($G$5:$G119,$C$5:$C119,$C119,$H$5:$H119,"Fait")-SUMIFS(Paiements!$I$5:$I$2000,Paiements!$C$5:$C$2000,$C119,Paiements!$L$5:$L$2000,"Payé"))))</f>
        <v/>
      </c>
      <c r="J119" s="30" t="str">
        <f t="shared" si="3"/>
        <v/>
      </c>
      <c r="K119" s="14"/>
      <c r="L119" s="17" t="str">
        <f>IF(AND($C119&lt;&gt;"",$C119=Controle_Paiement!$B$4,$J119&lt;&gt;"Payé",$J119&lt;&gt;"Annulé",$J119&lt;&gt;""),1,"")</f>
        <v/>
      </c>
    </row>
    <row r="120" spans="1:12" x14ac:dyDescent="0.35">
      <c r="A120" s="18"/>
      <c r="B120" s="27"/>
      <c r="C120" s="14"/>
      <c r="D120" s="14"/>
      <c r="E120" s="19"/>
      <c r="F120" s="19"/>
      <c r="G120" s="28" t="str">
        <f t="shared" si="2"/>
        <v/>
      </c>
      <c r="H120" s="14"/>
      <c r="I120" s="29" t="str">
        <f>IF(OR($C120="",$G120="",$H120&lt;&gt;"Fait"),"",MIN($G120,MAX(0,SUMIFS($G$5:$G120,$C$5:$C120,$C120,$H$5:$H120,"Fait")-SUMIFS(Paiements!$I$5:$I$2000,Paiements!$C$5:$C$2000,$C120,Paiements!$L$5:$L$2000,"Payé"))))</f>
        <v/>
      </c>
      <c r="J120" s="30" t="str">
        <f t="shared" si="3"/>
        <v/>
      </c>
      <c r="K120" s="14"/>
      <c r="L120" s="17" t="str">
        <f>IF(AND($C120&lt;&gt;"",$C120=Controle_Paiement!$B$4,$J120&lt;&gt;"Payé",$J120&lt;&gt;"Annulé",$J120&lt;&gt;""),1,"")</f>
        <v/>
      </c>
    </row>
    <row r="121" spans="1:12" x14ac:dyDescent="0.35">
      <c r="A121" s="18"/>
      <c r="B121" s="27"/>
      <c r="C121" s="14"/>
      <c r="D121" s="14"/>
      <c r="E121" s="19"/>
      <c r="F121" s="19"/>
      <c r="G121" s="28" t="str">
        <f t="shared" si="2"/>
        <v/>
      </c>
      <c r="H121" s="14"/>
      <c r="I121" s="29" t="str">
        <f>IF(OR($C121="",$G121="",$H121&lt;&gt;"Fait"),"",MIN($G121,MAX(0,SUMIFS($G$5:$G121,$C$5:$C121,$C121,$H$5:$H121,"Fait")-SUMIFS(Paiements!$I$5:$I$2000,Paiements!$C$5:$C$2000,$C121,Paiements!$L$5:$L$2000,"Payé"))))</f>
        <v/>
      </c>
      <c r="J121" s="30" t="str">
        <f t="shared" si="3"/>
        <v/>
      </c>
      <c r="K121" s="14"/>
      <c r="L121" s="17" t="str">
        <f>IF(AND($C121&lt;&gt;"",$C121=Controle_Paiement!$B$4,$J121&lt;&gt;"Payé",$J121&lt;&gt;"Annulé",$J121&lt;&gt;""),1,"")</f>
        <v/>
      </c>
    </row>
    <row r="122" spans="1:12" x14ac:dyDescent="0.35">
      <c r="A122" s="18"/>
      <c r="B122" s="27"/>
      <c r="C122" s="14"/>
      <c r="D122" s="14"/>
      <c r="E122" s="19"/>
      <c r="F122" s="19"/>
      <c r="G122" s="28" t="str">
        <f t="shared" si="2"/>
        <v/>
      </c>
      <c r="H122" s="14"/>
      <c r="I122" s="29" t="str">
        <f>IF(OR($C122="",$G122="",$H122&lt;&gt;"Fait"),"",MIN($G122,MAX(0,SUMIFS($G$5:$G122,$C$5:$C122,$C122,$H$5:$H122,"Fait")-SUMIFS(Paiements!$I$5:$I$2000,Paiements!$C$5:$C$2000,$C122,Paiements!$L$5:$L$2000,"Payé"))))</f>
        <v/>
      </c>
      <c r="J122" s="30" t="str">
        <f t="shared" si="3"/>
        <v/>
      </c>
      <c r="K122" s="14"/>
      <c r="L122" s="17" t="str">
        <f>IF(AND($C122&lt;&gt;"",$C122=Controle_Paiement!$B$4,$J122&lt;&gt;"Payé",$J122&lt;&gt;"Annulé",$J122&lt;&gt;""),1,"")</f>
        <v/>
      </c>
    </row>
    <row r="123" spans="1:12" x14ac:dyDescent="0.35">
      <c r="A123" s="18"/>
      <c r="B123" s="27"/>
      <c r="C123" s="14"/>
      <c r="D123" s="14"/>
      <c r="E123" s="19"/>
      <c r="F123" s="19"/>
      <c r="G123" s="28" t="str">
        <f t="shared" si="2"/>
        <v/>
      </c>
      <c r="H123" s="14"/>
      <c r="I123" s="29" t="str">
        <f>IF(OR($C123="",$G123="",$H123&lt;&gt;"Fait"),"",MIN($G123,MAX(0,SUMIFS($G$5:$G123,$C$5:$C123,$C123,$H$5:$H123,"Fait")-SUMIFS(Paiements!$I$5:$I$2000,Paiements!$C$5:$C$2000,$C123,Paiements!$L$5:$L$2000,"Payé"))))</f>
        <v/>
      </c>
      <c r="J123" s="30" t="str">
        <f t="shared" si="3"/>
        <v/>
      </c>
      <c r="K123" s="14"/>
      <c r="L123" s="17" t="str">
        <f>IF(AND($C123&lt;&gt;"",$C123=Controle_Paiement!$B$4,$J123&lt;&gt;"Payé",$J123&lt;&gt;"Annulé",$J123&lt;&gt;""),1,"")</f>
        <v/>
      </c>
    </row>
    <row r="124" spans="1:12" x14ac:dyDescent="0.35">
      <c r="A124" s="18"/>
      <c r="B124" s="27"/>
      <c r="C124" s="14"/>
      <c r="D124" s="14"/>
      <c r="E124" s="19"/>
      <c r="F124" s="19"/>
      <c r="G124" s="28" t="str">
        <f t="shared" si="2"/>
        <v/>
      </c>
      <c r="H124" s="14"/>
      <c r="I124" s="29" t="str">
        <f>IF(OR($C124="",$G124="",$H124&lt;&gt;"Fait"),"",MIN($G124,MAX(0,SUMIFS($G$5:$G124,$C$5:$C124,$C124,$H$5:$H124,"Fait")-SUMIFS(Paiements!$I$5:$I$2000,Paiements!$C$5:$C$2000,$C124,Paiements!$L$5:$L$2000,"Payé"))))</f>
        <v/>
      </c>
      <c r="J124" s="30" t="str">
        <f t="shared" si="3"/>
        <v/>
      </c>
      <c r="K124" s="14"/>
      <c r="L124" s="17" t="str">
        <f>IF(AND($C124&lt;&gt;"",$C124=Controle_Paiement!$B$4,$J124&lt;&gt;"Payé",$J124&lt;&gt;"Annulé",$J124&lt;&gt;""),1,"")</f>
        <v/>
      </c>
    </row>
    <row r="125" spans="1:12" x14ac:dyDescent="0.35">
      <c r="A125" s="18"/>
      <c r="B125" s="27"/>
      <c r="C125" s="14"/>
      <c r="D125" s="14"/>
      <c r="E125" s="19"/>
      <c r="F125" s="19"/>
      <c r="G125" s="28" t="str">
        <f t="shared" si="2"/>
        <v/>
      </c>
      <c r="H125" s="14"/>
      <c r="I125" s="29" t="str">
        <f>IF(OR($C125="",$G125="",$H125&lt;&gt;"Fait"),"",MIN($G125,MAX(0,SUMIFS($G$5:$G125,$C$5:$C125,$C125,$H$5:$H125,"Fait")-SUMIFS(Paiements!$I$5:$I$2000,Paiements!$C$5:$C$2000,$C125,Paiements!$L$5:$L$2000,"Payé"))))</f>
        <v/>
      </c>
      <c r="J125" s="30" t="str">
        <f t="shared" si="3"/>
        <v/>
      </c>
      <c r="K125" s="14"/>
      <c r="L125" s="17" t="str">
        <f>IF(AND($C125&lt;&gt;"",$C125=Controle_Paiement!$B$4,$J125&lt;&gt;"Payé",$J125&lt;&gt;"Annulé",$J125&lt;&gt;""),1,"")</f>
        <v/>
      </c>
    </row>
    <row r="126" spans="1:12" x14ac:dyDescent="0.35">
      <c r="A126" s="18"/>
      <c r="B126" s="27"/>
      <c r="C126" s="14"/>
      <c r="D126" s="14"/>
      <c r="E126" s="19"/>
      <c r="F126" s="19"/>
      <c r="G126" s="28" t="str">
        <f t="shared" si="2"/>
        <v/>
      </c>
      <c r="H126" s="14"/>
      <c r="I126" s="29" t="str">
        <f>IF(OR($C126="",$G126="",$H126&lt;&gt;"Fait"),"",MIN($G126,MAX(0,SUMIFS($G$5:$G126,$C$5:$C126,$C126,$H$5:$H126,"Fait")-SUMIFS(Paiements!$I$5:$I$2000,Paiements!$C$5:$C$2000,$C126,Paiements!$L$5:$L$2000,"Payé"))))</f>
        <v/>
      </c>
      <c r="J126" s="30" t="str">
        <f t="shared" si="3"/>
        <v/>
      </c>
      <c r="K126" s="14"/>
      <c r="L126" s="17" t="str">
        <f>IF(AND($C126&lt;&gt;"",$C126=Controle_Paiement!$B$4,$J126&lt;&gt;"Payé",$J126&lt;&gt;"Annulé",$J126&lt;&gt;""),1,"")</f>
        <v/>
      </c>
    </row>
    <row r="127" spans="1:12" x14ac:dyDescent="0.35">
      <c r="A127" s="18"/>
      <c r="B127" s="27"/>
      <c r="C127" s="14"/>
      <c r="D127" s="14"/>
      <c r="E127" s="19"/>
      <c r="F127" s="19"/>
      <c r="G127" s="28" t="str">
        <f t="shared" si="2"/>
        <v/>
      </c>
      <c r="H127" s="14"/>
      <c r="I127" s="29" t="str">
        <f>IF(OR($C127="",$G127="",$H127&lt;&gt;"Fait"),"",MIN($G127,MAX(0,SUMIFS($G$5:$G127,$C$5:$C127,$C127,$H$5:$H127,"Fait")-SUMIFS(Paiements!$I$5:$I$2000,Paiements!$C$5:$C$2000,$C127,Paiements!$L$5:$L$2000,"Payé"))))</f>
        <v/>
      </c>
      <c r="J127" s="30" t="str">
        <f t="shared" si="3"/>
        <v/>
      </c>
      <c r="K127" s="14"/>
      <c r="L127" s="17" t="str">
        <f>IF(AND($C127&lt;&gt;"",$C127=Controle_Paiement!$B$4,$J127&lt;&gt;"Payé",$J127&lt;&gt;"Annulé",$J127&lt;&gt;""),1,"")</f>
        <v/>
      </c>
    </row>
    <row r="128" spans="1:12" x14ac:dyDescent="0.35">
      <c r="A128" s="18"/>
      <c r="B128" s="27"/>
      <c r="C128" s="14"/>
      <c r="D128" s="14"/>
      <c r="E128" s="19"/>
      <c r="F128" s="19"/>
      <c r="G128" s="28" t="str">
        <f t="shared" si="2"/>
        <v/>
      </c>
      <c r="H128" s="14"/>
      <c r="I128" s="29" t="str">
        <f>IF(OR($C128="",$G128="",$H128&lt;&gt;"Fait"),"",MIN($G128,MAX(0,SUMIFS($G$5:$G128,$C$5:$C128,$C128,$H$5:$H128,"Fait")-SUMIFS(Paiements!$I$5:$I$2000,Paiements!$C$5:$C$2000,$C128,Paiements!$L$5:$L$2000,"Payé"))))</f>
        <v/>
      </c>
      <c r="J128" s="30" t="str">
        <f t="shared" si="3"/>
        <v/>
      </c>
      <c r="K128" s="14"/>
      <c r="L128" s="17" t="str">
        <f>IF(AND($C128&lt;&gt;"",$C128=Controle_Paiement!$B$4,$J128&lt;&gt;"Payé",$J128&lt;&gt;"Annulé",$J128&lt;&gt;""),1,"")</f>
        <v/>
      </c>
    </row>
    <row r="129" spans="1:12" x14ac:dyDescent="0.35">
      <c r="A129" s="18"/>
      <c r="B129" s="27"/>
      <c r="C129" s="14"/>
      <c r="D129" s="14"/>
      <c r="E129" s="19"/>
      <c r="F129" s="19"/>
      <c r="G129" s="28" t="str">
        <f t="shared" si="2"/>
        <v/>
      </c>
      <c r="H129" s="14"/>
      <c r="I129" s="29" t="str">
        <f>IF(OR($C129="",$G129="",$H129&lt;&gt;"Fait"),"",MIN($G129,MAX(0,SUMIFS($G$5:$G129,$C$5:$C129,$C129,$H$5:$H129,"Fait")-SUMIFS(Paiements!$I$5:$I$2000,Paiements!$C$5:$C$2000,$C129,Paiements!$L$5:$L$2000,"Payé"))))</f>
        <v/>
      </c>
      <c r="J129" s="30" t="str">
        <f t="shared" si="3"/>
        <v/>
      </c>
      <c r="K129" s="14"/>
      <c r="L129" s="17" t="str">
        <f>IF(AND($C129&lt;&gt;"",$C129=Controle_Paiement!$B$4,$J129&lt;&gt;"Payé",$J129&lt;&gt;"Annulé",$J129&lt;&gt;""),1,"")</f>
        <v/>
      </c>
    </row>
    <row r="130" spans="1:12" x14ac:dyDescent="0.35">
      <c r="A130" s="18"/>
      <c r="B130" s="27"/>
      <c r="C130" s="14"/>
      <c r="D130" s="14"/>
      <c r="E130" s="19"/>
      <c r="F130" s="19"/>
      <c r="G130" s="28" t="str">
        <f t="shared" si="2"/>
        <v/>
      </c>
      <c r="H130" s="14"/>
      <c r="I130" s="29" t="str">
        <f>IF(OR($C130="",$G130="",$H130&lt;&gt;"Fait"),"",MIN($G130,MAX(0,SUMIFS($G$5:$G130,$C$5:$C130,$C130,$H$5:$H130,"Fait")-SUMIFS(Paiements!$I$5:$I$2000,Paiements!$C$5:$C$2000,$C130,Paiements!$L$5:$L$2000,"Payé"))))</f>
        <v/>
      </c>
      <c r="J130" s="30" t="str">
        <f t="shared" si="3"/>
        <v/>
      </c>
      <c r="K130" s="14"/>
      <c r="L130" s="17" t="str">
        <f>IF(AND($C130&lt;&gt;"",$C130=Controle_Paiement!$B$4,$J130&lt;&gt;"Payé",$J130&lt;&gt;"Annulé",$J130&lt;&gt;""),1,"")</f>
        <v/>
      </c>
    </row>
    <row r="131" spans="1:12" x14ac:dyDescent="0.35">
      <c r="A131" s="18"/>
      <c r="B131" s="27"/>
      <c r="C131" s="14"/>
      <c r="D131" s="14"/>
      <c r="E131" s="19"/>
      <c r="F131" s="19"/>
      <c r="G131" s="28" t="str">
        <f t="shared" ref="G131:G194" si="4">IF(OR($E131="",$F131=""),"",ROUND($E131*$F131,0))</f>
        <v/>
      </c>
      <c r="H131" s="14"/>
      <c r="I131" s="29" t="str">
        <f>IF(OR($C131="",$G131="",$H131&lt;&gt;"Fait"),"",MIN($G131,MAX(0,SUMIFS($G$5:$G131,$C$5:$C131,$C131,$H$5:$H131,"Fait")-SUMIFS(Paiements!$I$5:$I$2000,Paiements!$C$5:$C$2000,$C131,Paiements!$L$5:$L$2000,"Payé"))))</f>
        <v/>
      </c>
      <c r="J131" s="30" t="str">
        <f t="shared" ref="J131:J194" si="5">IF(OR($C131="",$G131=""),"",IF($H131="Annulé","Annulé",IF($H131&lt;&gt;"Fait","Non payable (déchargement non fait)",IF($I131=0,"Payé",IF($I131&lt;$G131,"Partiellement payé","À payer")))))</f>
        <v/>
      </c>
      <c r="K131" s="14"/>
      <c r="L131" s="17" t="str">
        <f>IF(AND($C131&lt;&gt;"",$C131=Controle_Paiement!$B$4,$J131&lt;&gt;"Payé",$J131&lt;&gt;"Annulé",$J131&lt;&gt;""),1,"")</f>
        <v/>
      </c>
    </row>
    <row r="132" spans="1:12" x14ac:dyDescent="0.35">
      <c r="A132" s="18"/>
      <c r="B132" s="27"/>
      <c r="C132" s="14"/>
      <c r="D132" s="14"/>
      <c r="E132" s="19"/>
      <c r="F132" s="19"/>
      <c r="G132" s="28" t="str">
        <f t="shared" si="4"/>
        <v/>
      </c>
      <c r="H132" s="14"/>
      <c r="I132" s="29" t="str">
        <f>IF(OR($C132="",$G132="",$H132&lt;&gt;"Fait"),"",MIN($G132,MAX(0,SUMIFS($G$5:$G132,$C$5:$C132,$C132,$H$5:$H132,"Fait")-SUMIFS(Paiements!$I$5:$I$2000,Paiements!$C$5:$C$2000,$C132,Paiements!$L$5:$L$2000,"Payé"))))</f>
        <v/>
      </c>
      <c r="J132" s="30" t="str">
        <f t="shared" si="5"/>
        <v/>
      </c>
      <c r="K132" s="14"/>
      <c r="L132" s="17" t="str">
        <f>IF(AND($C132&lt;&gt;"",$C132=Controle_Paiement!$B$4,$J132&lt;&gt;"Payé",$J132&lt;&gt;"Annulé",$J132&lt;&gt;""),1,"")</f>
        <v/>
      </c>
    </row>
    <row r="133" spans="1:12" x14ac:dyDescent="0.35">
      <c r="A133" s="18"/>
      <c r="B133" s="27"/>
      <c r="C133" s="14"/>
      <c r="D133" s="14"/>
      <c r="E133" s="19"/>
      <c r="F133" s="19"/>
      <c r="G133" s="28" t="str">
        <f t="shared" si="4"/>
        <v/>
      </c>
      <c r="H133" s="14"/>
      <c r="I133" s="29" t="str">
        <f>IF(OR($C133="",$G133="",$H133&lt;&gt;"Fait"),"",MIN($G133,MAX(0,SUMIFS($G$5:$G133,$C$5:$C133,$C133,$H$5:$H133,"Fait")-SUMIFS(Paiements!$I$5:$I$2000,Paiements!$C$5:$C$2000,$C133,Paiements!$L$5:$L$2000,"Payé"))))</f>
        <v/>
      </c>
      <c r="J133" s="30" t="str">
        <f t="shared" si="5"/>
        <v/>
      </c>
      <c r="K133" s="14"/>
      <c r="L133" s="17" t="str">
        <f>IF(AND($C133&lt;&gt;"",$C133=Controle_Paiement!$B$4,$J133&lt;&gt;"Payé",$J133&lt;&gt;"Annulé",$J133&lt;&gt;""),1,"")</f>
        <v/>
      </c>
    </row>
    <row r="134" spans="1:12" x14ac:dyDescent="0.35">
      <c r="A134" s="18"/>
      <c r="B134" s="27"/>
      <c r="C134" s="14"/>
      <c r="D134" s="14"/>
      <c r="E134" s="19"/>
      <c r="F134" s="19"/>
      <c r="G134" s="28" t="str">
        <f t="shared" si="4"/>
        <v/>
      </c>
      <c r="H134" s="14"/>
      <c r="I134" s="29" t="str">
        <f>IF(OR($C134="",$G134="",$H134&lt;&gt;"Fait"),"",MIN($G134,MAX(0,SUMIFS($G$5:$G134,$C$5:$C134,$C134,$H$5:$H134,"Fait")-SUMIFS(Paiements!$I$5:$I$2000,Paiements!$C$5:$C$2000,$C134,Paiements!$L$5:$L$2000,"Payé"))))</f>
        <v/>
      </c>
      <c r="J134" s="30" t="str">
        <f t="shared" si="5"/>
        <v/>
      </c>
      <c r="K134" s="14"/>
      <c r="L134" s="17" t="str">
        <f>IF(AND($C134&lt;&gt;"",$C134=Controle_Paiement!$B$4,$J134&lt;&gt;"Payé",$J134&lt;&gt;"Annulé",$J134&lt;&gt;""),1,"")</f>
        <v/>
      </c>
    </row>
    <row r="135" spans="1:12" x14ac:dyDescent="0.35">
      <c r="A135" s="18"/>
      <c r="B135" s="27"/>
      <c r="C135" s="14"/>
      <c r="D135" s="14"/>
      <c r="E135" s="19"/>
      <c r="F135" s="19"/>
      <c r="G135" s="28" t="str">
        <f t="shared" si="4"/>
        <v/>
      </c>
      <c r="H135" s="14"/>
      <c r="I135" s="29" t="str">
        <f>IF(OR($C135="",$G135="",$H135&lt;&gt;"Fait"),"",MIN($G135,MAX(0,SUMIFS($G$5:$G135,$C$5:$C135,$C135,$H$5:$H135,"Fait")-SUMIFS(Paiements!$I$5:$I$2000,Paiements!$C$5:$C$2000,$C135,Paiements!$L$5:$L$2000,"Payé"))))</f>
        <v/>
      </c>
      <c r="J135" s="30" t="str">
        <f t="shared" si="5"/>
        <v/>
      </c>
      <c r="K135" s="14"/>
      <c r="L135" s="17" t="str">
        <f>IF(AND($C135&lt;&gt;"",$C135=Controle_Paiement!$B$4,$J135&lt;&gt;"Payé",$J135&lt;&gt;"Annulé",$J135&lt;&gt;""),1,"")</f>
        <v/>
      </c>
    </row>
    <row r="136" spans="1:12" x14ac:dyDescent="0.35">
      <c r="A136" s="18"/>
      <c r="B136" s="27"/>
      <c r="C136" s="14"/>
      <c r="D136" s="14"/>
      <c r="E136" s="19"/>
      <c r="F136" s="19"/>
      <c r="G136" s="28" t="str">
        <f t="shared" si="4"/>
        <v/>
      </c>
      <c r="H136" s="14"/>
      <c r="I136" s="29" t="str">
        <f>IF(OR($C136="",$G136="",$H136&lt;&gt;"Fait"),"",MIN($G136,MAX(0,SUMIFS($G$5:$G136,$C$5:$C136,$C136,$H$5:$H136,"Fait")-SUMIFS(Paiements!$I$5:$I$2000,Paiements!$C$5:$C$2000,$C136,Paiements!$L$5:$L$2000,"Payé"))))</f>
        <v/>
      </c>
      <c r="J136" s="30" t="str">
        <f t="shared" si="5"/>
        <v/>
      </c>
      <c r="K136" s="14"/>
      <c r="L136" s="17" t="str">
        <f>IF(AND($C136&lt;&gt;"",$C136=Controle_Paiement!$B$4,$J136&lt;&gt;"Payé",$J136&lt;&gt;"Annulé",$J136&lt;&gt;""),1,"")</f>
        <v/>
      </c>
    </row>
    <row r="137" spans="1:12" x14ac:dyDescent="0.35">
      <c r="A137" s="18"/>
      <c r="B137" s="27"/>
      <c r="C137" s="14"/>
      <c r="D137" s="14"/>
      <c r="E137" s="19"/>
      <c r="F137" s="19"/>
      <c r="G137" s="28" t="str">
        <f t="shared" si="4"/>
        <v/>
      </c>
      <c r="H137" s="14"/>
      <c r="I137" s="29" t="str">
        <f>IF(OR($C137="",$G137="",$H137&lt;&gt;"Fait"),"",MIN($G137,MAX(0,SUMIFS($G$5:$G137,$C$5:$C137,$C137,$H$5:$H137,"Fait")-SUMIFS(Paiements!$I$5:$I$2000,Paiements!$C$5:$C$2000,$C137,Paiements!$L$5:$L$2000,"Payé"))))</f>
        <v/>
      </c>
      <c r="J137" s="30" t="str">
        <f t="shared" si="5"/>
        <v/>
      </c>
      <c r="K137" s="14"/>
      <c r="L137" s="17" t="str">
        <f>IF(AND($C137&lt;&gt;"",$C137=Controle_Paiement!$B$4,$J137&lt;&gt;"Payé",$J137&lt;&gt;"Annulé",$J137&lt;&gt;""),1,"")</f>
        <v/>
      </c>
    </row>
    <row r="138" spans="1:12" x14ac:dyDescent="0.35">
      <c r="A138" s="18"/>
      <c r="B138" s="27"/>
      <c r="C138" s="14"/>
      <c r="D138" s="14"/>
      <c r="E138" s="19"/>
      <c r="F138" s="19"/>
      <c r="G138" s="28" t="str">
        <f t="shared" si="4"/>
        <v/>
      </c>
      <c r="H138" s="14"/>
      <c r="I138" s="29" t="str">
        <f>IF(OR($C138="",$G138="",$H138&lt;&gt;"Fait"),"",MIN($G138,MAX(0,SUMIFS($G$5:$G138,$C$5:$C138,$C138,$H$5:$H138,"Fait")-SUMIFS(Paiements!$I$5:$I$2000,Paiements!$C$5:$C$2000,$C138,Paiements!$L$5:$L$2000,"Payé"))))</f>
        <v/>
      </c>
      <c r="J138" s="30" t="str">
        <f t="shared" si="5"/>
        <v/>
      </c>
      <c r="K138" s="14"/>
      <c r="L138" s="17" t="str">
        <f>IF(AND($C138&lt;&gt;"",$C138=Controle_Paiement!$B$4,$J138&lt;&gt;"Payé",$J138&lt;&gt;"Annulé",$J138&lt;&gt;""),1,"")</f>
        <v/>
      </c>
    </row>
    <row r="139" spans="1:12" x14ac:dyDescent="0.35">
      <c r="A139" s="18"/>
      <c r="B139" s="27"/>
      <c r="C139" s="14"/>
      <c r="D139" s="14"/>
      <c r="E139" s="19"/>
      <c r="F139" s="19"/>
      <c r="G139" s="28" t="str">
        <f t="shared" si="4"/>
        <v/>
      </c>
      <c r="H139" s="14"/>
      <c r="I139" s="29" t="str">
        <f>IF(OR($C139="",$G139="",$H139&lt;&gt;"Fait"),"",MIN($G139,MAX(0,SUMIFS($G$5:$G139,$C$5:$C139,$C139,$H$5:$H139,"Fait")-SUMIFS(Paiements!$I$5:$I$2000,Paiements!$C$5:$C$2000,$C139,Paiements!$L$5:$L$2000,"Payé"))))</f>
        <v/>
      </c>
      <c r="J139" s="30" t="str">
        <f t="shared" si="5"/>
        <v/>
      </c>
      <c r="K139" s="14"/>
      <c r="L139" s="17" t="str">
        <f>IF(AND($C139&lt;&gt;"",$C139=Controle_Paiement!$B$4,$J139&lt;&gt;"Payé",$J139&lt;&gt;"Annulé",$J139&lt;&gt;""),1,"")</f>
        <v/>
      </c>
    </row>
    <row r="140" spans="1:12" x14ac:dyDescent="0.35">
      <c r="A140" s="18"/>
      <c r="B140" s="27"/>
      <c r="C140" s="14"/>
      <c r="D140" s="14"/>
      <c r="E140" s="19"/>
      <c r="F140" s="19"/>
      <c r="G140" s="28" t="str">
        <f t="shared" si="4"/>
        <v/>
      </c>
      <c r="H140" s="14"/>
      <c r="I140" s="29" t="str">
        <f>IF(OR($C140="",$G140="",$H140&lt;&gt;"Fait"),"",MIN($G140,MAX(0,SUMIFS($G$5:$G140,$C$5:$C140,$C140,$H$5:$H140,"Fait")-SUMIFS(Paiements!$I$5:$I$2000,Paiements!$C$5:$C$2000,$C140,Paiements!$L$5:$L$2000,"Payé"))))</f>
        <v/>
      </c>
      <c r="J140" s="30" t="str">
        <f t="shared" si="5"/>
        <v/>
      </c>
      <c r="K140" s="14"/>
      <c r="L140" s="17" t="str">
        <f>IF(AND($C140&lt;&gt;"",$C140=Controle_Paiement!$B$4,$J140&lt;&gt;"Payé",$J140&lt;&gt;"Annulé",$J140&lt;&gt;""),1,"")</f>
        <v/>
      </c>
    </row>
    <row r="141" spans="1:12" x14ac:dyDescent="0.35">
      <c r="A141" s="18"/>
      <c r="B141" s="27"/>
      <c r="C141" s="14"/>
      <c r="D141" s="14"/>
      <c r="E141" s="19"/>
      <c r="F141" s="19"/>
      <c r="G141" s="28" t="str">
        <f t="shared" si="4"/>
        <v/>
      </c>
      <c r="H141" s="14"/>
      <c r="I141" s="29" t="str">
        <f>IF(OR($C141="",$G141="",$H141&lt;&gt;"Fait"),"",MIN($G141,MAX(0,SUMIFS($G$5:$G141,$C$5:$C141,$C141,$H$5:$H141,"Fait")-SUMIFS(Paiements!$I$5:$I$2000,Paiements!$C$5:$C$2000,$C141,Paiements!$L$5:$L$2000,"Payé"))))</f>
        <v/>
      </c>
      <c r="J141" s="30" t="str">
        <f t="shared" si="5"/>
        <v/>
      </c>
      <c r="K141" s="14"/>
      <c r="L141" s="17" t="str">
        <f>IF(AND($C141&lt;&gt;"",$C141=Controle_Paiement!$B$4,$J141&lt;&gt;"Payé",$J141&lt;&gt;"Annulé",$J141&lt;&gt;""),1,"")</f>
        <v/>
      </c>
    </row>
    <row r="142" spans="1:12" x14ac:dyDescent="0.35">
      <c r="A142" s="18"/>
      <c r="B142" s="27"/>
      <c r="C142" s="14"/>
      <c r="D142" s="14"/>
      <c r="E142" s="19"/>
      <c r="F142" s="19"/>
      <c r="G142" s="28" t="str">
        <f t="shared" si="4"/>
        <v/>
      </c>
      <c r="H142" s="14"/>
      <c r="I142" s="29" t="str">
        <f>IF(OR($C142="",$G142="",$H142&lt;&gt;"Fait"),"",MIN($G142,MAX(0,SUMIFS($G$5:$G142,$C$5:$C142,$C142,$H$5:$H142,"Fait")-SUMIFS(Paiements!$I$5:$I$2000,Paiements!$C$5:$C$2000,$C142,Paiements!$L$5:$L$2000,"Payé"))))</f>
        <v/>
      </c>
      <c r="J142" s="30" t="str">
        <f t="shared" si="5"/>
        <v/>
      </c>
      <c r="K142" s="14"/>
      <c r="L142" s="17" t="str">
        <f>IF(AND($C142&lt;&gt;"",$C142=Controle_Paiement!$B$4,$J142&lt;&gt;"Payé",$J142&lt;&gt;"Annulé",$J142&lt;&gt;""),1,"")</f>
        <v/>
      </c>
    </row>
    <row r="143" spans="1:12" x14ac:dyDescent="0.35">
      <c r="A143" s="18"/>
      <c r="B143" s="27"/>
      <c r="C143" s="14"/>
      <c r="D143" s="14"/>
      <c r="E143" s="19"/>
      <c r="F143" s="19"/>
      <c r="G143" s="28" t="str">
        <f t="shared" si="4"/>
        <v/>
      </c>
      <c r="H143" s="14"/>
      <c r="I143" s="29" t="str">
        <f>IF(OR($C143="",$G143="",$H143&lt;&gt;"Fait"),"",MIN($G143,MAX(0,SUMIFS($G$5:$G143,$C$5:$C143,$C143,$H$5:$H143,"Fait")-SUMIFS(Paiements!$I$5:$I$2000,Paiements!$C$5:$C$2000,$C143,Paiements!$L$5:$L$2000,"Payé"))))</f>
        <v/>
      </c>
      <c r="J143" s="30" t="str">
        <f t="shared" si="5"/>
        <v/>
      </c>
      <c r="K143" s="14"/>
      <c r="L143" s="17" t="str">
        <f>IF(AND($C143&lt;&gt;"",$C143=Controle_Paiement!$B$4,$J143&lt;&gt;"Payé",$J143&lt;&gt;"Annulé",$J143&lt;&gt;""),1,"")</f>
        <v/>
      </c>
    </row>
    <row r="144" spans="1:12" x14ac:dyDescent="0.35">
      <c r="A144" s="18"/>
      <c r="B144" s="27"/>
      <c r="C144" s="14"/>
      <c r="D144" s="14"/>
      <c r="E144" s="19"/>
      <c r="F144" s="19"/>
      <c r="G144" s="28" t="str">
        <f t="shared" si="4"/>
        <v/>
      </c>
      <c r="H144" s="14"/>
      <c r="I144" s="29" t="str">
        <f>IF(OR($C144="",$G144="",$H144&lt;&gt;"Fait"),"",MIN($G144,MAX(0,SUMIFS($G$5:$G144,$C$5:$C144,$C144,$H$5:$H144,"Fait")-SUMIFS(Paiements!$I$5:$I$2000,Paiements!$C$5:$C$2000,$C144,Paiements!$L$5:$L$2000,"Payé"))))</f>
        <v/>
      </c>
      <c r="J144" s="30" t="str">
        <f t="shared" si="5"/>
        <v/>
      </c>
      <c r="K144" s="14"/>
      <c r="L144" s="17" t="str">
        <f>IF(AND($C144&lt;&gt;"",$C144=Controle_Paiement!$B$4,$J144&lt;&gt;"Payé",$J144&lt;&gt;"Annulé",$J144&lt;&gt;""),1,"")</f>
        <v/>
      </c>
    </row>
    <row r="145" spans="1:12" x14ac:dyDescent="0.35">
      <c r="A145" s="18"/>
      <c r="B145" s="27"/>
      <c r="C145" s="14"/>
      <c r="D145" s="14"/>
      <c r="E145" s="19"/>
      <c r="F145" s="19"/>
      <c r="G145" s="28" t="str">
        <f t="shared" si="4"/>
        <v/>
      </c>
      <c r="H145" s="14"/>
      <c r="I145" s="29" t="str">
        <f>IF(OR($C145="",$G145="",$H145&lt;&gt;"Fait"),"",MIN($G145,MAX(0,SUMIFS($G$5:$G145,$C$5:$C145,$C145,$H$5:$H145,"Fait")-SUMIFS(Paiements!$I$5:$I$2000,Paiements!$C$5:$C$2000,$C145,Paiements!$L$5:$L$2000,"Payé"))))</f>
        <v/>
      </c>
      <c r="J145" s="30" t="str">
        <f t="shared" si="5"/>
        <v/>
      </c>
      <c r="K145" s="14"/>
      <c r="L145" s="17" t="str">
        <f>IF(AND($C145&lt;&gt;"",$C145=Controle_Paiement!$B$4,$J145&lt;&gt;"Payé",$J145&lt;&gt;"Annulé",$J145&lt;&gt;""),1,"")</f>
        <v/>
      </c>
    </row>
    <row r="146" spans="1:12" x14ac:dyDescent="0.35">
      <c r="A146" s="18"/>
      <c r="B146" s="27"/>
      <c r="C146" s="14"/>
      <c r="D146" s="14"/>
      <c r="E146" s="19"/>
      <c r="F146" s="19"/>
      <c r="G146" s="28" t="str">
        <f t="shared" si="4"/>
        <v/>
      </c>
      <c r="H146" s="14"/>
      <c r="I146" s="29" t="str">
        <f>IF(OR($C146="",$G146="",$H146&lt;&gt;"Fait"),"",MIN($G146,MAX(0,SUMIFS($G$5:$G146,$C$5:$C146,$C146,$H$5:$H146,"Fait")-SUMIFS(Paiements!$I$5:$I$2000,Paiements!$C$5:$C$2000,$C146,Paiements!$L$5:$L$2000,"Payé"))))</f>
        <v/>
      </c>
      <c r="J146" s="30" t="str">
        <f t="shared" si="5"/>
        <v/>
      </c>
      <c r="K146" s="14"/>
      <c r="L146" s="17" t="str">
        <f>IF(AND($C146&lt;&gt;"",$C146=Controle_Paiement!$B$4,$J146&lt;&gt;"Payé",$J146&lt;&gt;"Annulé",$J146&lt;&gt;""),1,"")</f>
        <v/>
      </c>
    </row>
    <row r="147" spans="1:12" x14ac:dyDescent="0.35">
      <c r="A147" s="18"/>
      <c r="B147" s="27"/>
      <c r="C147" s="14"/>
      <c r="D147" s="14"/>
      <c r="E147" s="19"/>
      <c r="F147" s="19"/>
      <c r="G147" s="28" t="str">
        <f t="shared" si="4"/>
        <v/>
      </c>
      <c r="H147" s="14"/>
      <c r="I147" s="29" t="str">
        <f>IF(OR($C147="",$G147="",$H147&lt;&gt;"Fait"),"",MIN($G147,MAX(0,SUMIFS($G$5:$G147,$C$5:$C147,$C147,$H$5:$H147,"Fait")-SUMIFS(Paiements!$I$5:$I$2000,Paiements!$C$5:$C$2000,$C147,Paiements!$L$5:$L$2000,"Payé"))))</f>
        <v/>
      </c>
      <c r="J147" s="30" t="str">
        <f t="shared" si="5"/>
        <v/>
      </c>
      <c r="K147" s="14"/>
      <c r="L147" s="17" t="str">
        <f>IF(AND($C147&lt;&gt;"",$C147=Controle_Paiement!$B$4,$J147&lt;&gt;"Payé",$J147&lt;&gt;"Annulé",$J147&lt;&gt;""),1,"")</f>
        <v/>
      </c>
    </row>
    <row r="148" spans="1:12" x14ac:dyDescent="0.35">
      <c r="A148" s="18"/>
      <c r="B148" s="27"/>
      <c r="C148" s="14"/>
      <c r="D148" s="14"/>
      <c r="E148" s="19"/>
      <c r="F148" s="19"/>
      <c r="G148" s="28" t="str">
        <f t="shared" si="4"/>
        <v/>
      </c>
      <c r="H148" s="14"/>
      <c r="I148" s="29" t="str">
        <f>IF(OR($C148="",$G148="",$H148&lt;&gt;"Fait"),"",MIN($G148,MAX(0,SUMIFS($G$5:$G148,$C$5:$C148,$C148,$H$5:$H148,"Fait")-SUMIFS(Paiements!$I$5:$I$2000,Paiements!$C$5:$C$2000,$C148,Paiements!$L$5:$L$2000,"Payé"))))</f>
        <v/>
      </c>
      <c r="J148" s="30" t="str">
        <f t="shared" si="5"/>
        <v/>
      </c>
      <c r="K148" s="14"/>
      <c r="L148" s="17" t="str">
        <f>IF(AND($C148&lt;&gt;"",$C148=Controle_Paiement!$B$4,$J148&lt;&gt;"Payé",$J148&lt;&gt;"Annulé",$J148&lt;&gt;""),1,"")</f>
        <v/>
      </c>
    </row>
    <row r="149" spans="1:12" x14ac:dyDescent="0.35">
      <c r="A149" s="18"/>
      <c r="B149" s="27"/>
      <c r="C149" s="14"/>
      <c r="D149" s="14"/>
      <c r="E149" s="19"/>
      <c r="F149" s="19"/>
      <c r="G149" s="28" t="str">
        <f t="shared" si="4"/>
        <v/>
      </c>
      <c r="H149" s="14"/>
      <c r="I149" s="29" t="str">
        <f>IF(OR($C149="",$G149="",$H149&lt;&gt;"Fait"),"",MIN($G149,MAX(0,SUMIFS($G$5:$G149,$C$5:$C149,$C149,$H$5:$H149,"Fait")-SUMIFS(Paiements!$I$5:$I$2000,Paiements!$C$5:$C$2000,$C149,Paiements!$L$5:$L$2000,"Payé"))))</f>
        <v/>
      </c>
      <c r="J149" s="30" t="str">
        <f t="shared" si="5"/>
        <v/>
      </c>
      <c r="K149" s="14"/>
      <c r="L149" s="17" t="str">
        <f>IF(AND($C149&lt;&gt;"",$C149=Controle_Paiement!$B$4,$J149&lt;&gt;"Payé",$J149&lt;&gt;"Annulé",$J149&lt;&gt;""),1,"")</f>
        <v/>
      </c>
    </row>
    <row r="150" spans="1:12" x14ac:dyDescent="0.35">
      <c r="A150" s="18"/>
      <c r="B150" s="27"/>
      <c r="C150" s="14"/>
      <c r="D150" s="14"/>
      <c r="E150" s="19"/>
      <c r="F150" s="19"/>
      <c r="G150" s="28" t="str">
        <f t="shared" si="4"/>
        <v/>
      </c>
      <c r="H150" s="14"/>
      <c r="I150" s="29" t="str">
        <f>IF(OR($C150="",$G150="",$H150&lt;&gt;"Fait"),"",MIN($G150,MAX(0,SUMIFS($G$5:$G150,$C$5:$C150,$C150,$H$5:$H150,"Fait")-SUMIFS(Paiements!$I$5:$I$2000,Paiements!$C$5:$C$2000,$C150,Paiements!$L$5:$L$2000,"Payé"))))</f>
        <v/>
      </c>
      <c r="J150" s="30" t="str">
        <f t="shared" si="5"/>
        <v/>
      </c>
      <c r="K150" s="14"/>
      <c r="L150" s="17" t="str">
        <f>IF(AND($C150&lt;&gt;"",$C150=Controle_Paiement!$B$4,$J150&lt;&gt;"Payé",$J150&lt;&gt;"Annulé",$J150&lt;&gt;""),1,"")</f>
        <v/>
      </c>
    </row>
    <row r="151" spans="1:12" x14ac:dyDescent="0.35">
      <c r="A151" s="18"/>
      <c r="B151" s="27"/>
      <c r="C151" s="14"/>
      <c r="D151" s="14"/>
      <c r="E151" s="19"/>
      <c r="F151" s="19"/>
      <c r="G151" s="28" t="str">
        <f t="shared" si="4"/>
        <v/>
      </c>
      <c r="H151" s="14"/>
      <c r="I151" s="29" t="str">
        <f>IF(OR($C151="",$G151="",$H151&lt;&gt;"Fait"),"",MIN($G151,MAX(0,SUMIFS($G$5:$G151,$C$5:$C151,$C151,$H$5:$H151,"Fait")-SUMIFS(Paiements!$I$5:$I$2000,Paiements!$C$5:$C$2000,$C151,Paiements!$L$5:$L$2000,"Payé"))))</f>
        <v/>
      </c>
      <c r="J151" s="30" t="str">
        <f t="shared" si="5"/>
        <v/>
      </c>
      <c r="K151" s="14"/>
      <c r="L151" s="17" t="str">
        <f>IF(AND($C151&lt;&gt;"",$C151=Controle_Paiement!$B$4,$J151&lt;&gt;"Payé",$J151&lt;&gt;"Annulé",$J151&lt;&gt;""),1,"")</f>
        <v/>
      </c>
    </row>
    <row r="152" spans="1:12" x14ac:dyDescent="0.35">
      <c r="A152" s="18"/>
      <c r="B152" s="27"/>
      <c r="C152" s="14"/>
      <c r="D152" s="14"/>
      <c r="E152" s="19"/>
      <c r="F152" s="19"/>
      <c r="G152" s="28" t="str">
        <f t="shared" si="4"/>
        <v/>
      </c>
      <c r="H152" s="14"/>
      <c r="I152" s="29" t="str">
        <f>IF(OR($C152="",$G152="",$H152&lt;&gt;"Fait"),"",MIN($G152,MAX(0,SUMIFS($G$5:$G152,$C$5:$C152,$C152,$H$5:$H152,"Fait")-SUMIFS(Paiements!$I$5:$I$2000,Paiements!$C$5:$C$2000,$C152,Paiements!$L$5:$L$2000,"Payé"))))</f>
        <v/>
      </c>
      <c r="J152" s="30" t="str">
        <f t="shared" si="5"/>
        <v/>
      </c>
      <c r="K152" s="14"/>
      <c r="L152" s="17" t="str">
        <f>IF(AND($C152&lt;&gt;"",$C152=Controle_Paiement!$B$4,$J152&lt;&gt;"Payé",$J152&lt;&gt;"Annulé",$J152&lt;&gt;""),1,"")</f>
        <v/>
      </c>
    </row>
    <row r="153" spans="1:12" x14ac:dyDescent="0.35">
      <c r="A153" s="18"/>
      <c r="B153" s="27"/>
      <c r="C153" s="14"/>
      <c r="D153" s="14"/>
      <c r="E153" s="19"/>
      <c r="F153" s="19"/>
      <c r="G153" s="28" t="str">
        <f t="shared" si="4"/>
        <v/>
      </c>
      <c r="H153" s="14"/>
      <c r="I153" s="29" t="str">
        <f>IF(OR($C153="",$G153="",$H153&lt;&gt;"Fait"),"",MIN($G153,MAX(0,SUMIFS($G$5:$G153,$C$5:$C153,$C153,$H$5:$H153,"Fait")-SUMIFS(Paiements!$I$5:$I$2000,Paiements!$C$5:$C$2000,$C153,Paiements!$L$5:$L$2000,"Payé"))))</f>
        <v/>
      </c>
      <c r="J153" s="30" t="str">
        <f t="shared" si="5"/>
        <v/>
      </c>
      <c r="K153" s="14"/>
      <c r="L153" s="17" t="str">
        <f>IF(AND($C153&lt;&gt;"",$C153=Controle_Paiement!$B$4,$J153&lt;&gt;"Payé",$J153&lt;&gt;"Annulé",$J153&lt;&gt;""),1,"")</f>
        <v/>
      </c>
    </row>
    <row r="154" spans="1:12" x14ac:dyDescent="0.35">
      <c r="A154" s="18"/>
      <c r="B154" s="27"/>
      <c r="C154" s="14"/>
      <c r="D154" s="14"/>
      <c r="E154" s="19"/>
      <c r="F154" s="19"/>
      <c r="G154" s="28" t="str">
        <f t="shared" si="4"/>
        <v/>
      </c>
      <c r="H154" s="14"/>
      <c r="I154" s="29" t="str">
        <f>IF(OR($C154="",$G154="",$H154&lt;&gt;"Fait"),"",MIN($G154,MAX(0,SUMIFS($G$5:$G154,$C$5:$C154,$C154,$H$5:$H154,"Fait")-SUMIFS(Paiements!$I$5:$I$2000,Paiements!$C$5:$C$2000,$C154,Paiements!$L$5:$L$2000,"Payé"))))</f>
        <v/>
      </c>
      <c r="J154" s="30" t="str">
        <f t="shared" si="5"/>
        <v/>
      </c>
      <c r="K154" s="14"/>
      <c r="L154" s="17" t="str">
        <f>IF(AND($C154&lt;&gt;"",$C154=Controle_Paiement!$B$4,$J154&lt;&gt;"Payé",$J154&lt;&gt;"Annulé",$J154&lt;&gt;""),1,"")</f>
        <v/>
      </c>
    </row>
    <row r="155" spans="1:12" x14ac:dyDescent="0.35">
      <c r="A155" s="18"/>
      <c r="B155" s="27"/>
      <c r="C155" s="14"/>
      <c r="D155" s="14"/>
      <c r="E155" s="19"/>
      <c r="F155" s="19"/>
      <c r="G155" s="28" t="str">
        <f t="shared" si="4"/>
        <v/>
      </c>
      <c r="H155" s="14"/>
      <c r="I155" s="29" t="str">
        <f>IF(OR($C155="",$G155="",$H155&lt;&gt;"Fait"),"",MIN($G155,MAX(0,SUMIFS($G$5:$G155,$C$5:$C155,$C155,$H$5:$H155,"Fait")-SUMIFS(Paiements!$I$5:$I$2000,Paiements!$C$5:$C$2000,$C155,Paiements!$L$5:$L$2000,"Payé"))))</f>
        <v/>
      </c>
      <c r="J155" s="30" t="str">
        <f t="shared" si="5"/>
        <v/>
      </c>
      <c r="K155" s="14"/>
      <c r="L155" s="17" t="str">
        <f>IF(AND($C155&lt;&gt;"",$C155=Controle_Paiement!$B$4,$J155&lt;&gt;"Payé",$J155&lt;&gt;"Annulé",$J155&lt;&gt;""),1,"")</f>
        <v/>
      </c>
    </row>
    <row r="156" spans="1:12" x14ac:dyDescent="0.35">
      <c r="A156" s="18"/>
      <c r="B156" s="27"/>
      <c r="C156" s="14"/>
      <c r="D156" s="14"/>
      <c r="E156" s="19"/>
      <c r="F156" s="19"/>
      <c r="G156" s="28" t="str">
        <f t="shared" si="4"/>
        <v/>
      </c>
      <c r="H156" s="14"/>
      <c r="I156" s="29" t="str">
        <f>IF(OR($C156="",$G156="",$H156&lt;&gt;"Fait"),"",MIN($G156,MAX(0,SUMIFS($G$5:$G156,$C$5:$C156,$C156,$H$5:$H156,"Fait")-SUMIFS(Paiements!$I$5:$I$2000,Paiements!$C$5:$C$2000,$C156,Paiements!$L$5:$L$2000,"Payé"))))</f>
        <v/>
      </c>
      <c r="J156" s="30" t="str">
        <f t="shared" si="5"/>
        <v/>
      </c>
      <c r="K156" s="14"/>
      <c r="L156" s="17" t="str">
        <f>IF(AND($C156&lt;&gt;"",$C156=Controle_Paiement!$B$4,$J156&lt;&gt;"Payé",$J156&lt;&gt;"Annulé",$J156&lt;&gt;""),1,"")</f>
        <v/>
      </c>
    </row>
    <row r="157" spans="1:12" x14ac:dyDescent="0.35">
      <c r="A157" s="18"/>
      <c r="B157" s="27"/>
      <c r="C157" s="14"/>
      <c r="D157" s="14"/>
      <c r="E157" s="19"/>
      <c r="F157" s="19"/>
      <c r="G157" s="28" t="str">
        <f t="shared" si="4"/>
        <v/>
      </c>
      <c r="H157" s="14"/>
      <c r="I157" s="29" t="str">
        <f>IF(OR($C157="",$G157="",$H157&lt;&gt;"Fait"),"",MIN($G157,MAX(0,SUMIFS($G$5:$G157,$C$5:$C157,$C157,$H$5:$H157,"Fait")-SUMIFS(Paiements!$I$5:$I$2000,Paiements!$C$5:$C$2000,$C157,Paiements!$L$5:$L$2000,"Payé"))))</f>
        <v/>
      </c>
      <c r="J157" s="30" t="str">
        <f t="shared" si="5"/>
        <v/>
      </c>
      <c r="K157" s="14"/>
      <c r="L157" s="17" t="str">
        <f>IF(AND($C157&lt;&gt;"",$C157=Controle_Paiement!$B$4,$J157&lt;&gt;"Payé",$J157&lt;&gt;"Annulé",$J157&lt;&gt;""),1,"")</f>
        <v/>
      </c>
    </row>
    <row r="158" spans="1:12" x14ac:dyDescent="0.35">
      <c r="A158" s="18"/>
      <c r="B158" s="27"/>
      <c r="C158" s="14"/>
      <c r="D158" s="14"/>
      <c r="E158" s="19"/>
      <c r="F158" s="19"/>
      <c r="G158" s="28" t="str">
        <f t="shared" si="4"/>
        <v/>
      </c>
      <c r="H158" s="14"/>
      <c r="I158" s="29" t="str">
        <f>IF(OR($C158="",$G158="",$H158&lt;&gt;"Fait"),"",MIN($G158,MAX(0,SUMIFS($G$5:$G158,$C$5:$C158,$C158,$H$5:$H158,"Fait")-SUMIFS(Paiements!$I$5:$I$2000,Paiements!$C$5:$C$2000,$C158,Paiements!$L$5:$L$2000,"Payé"))))</f>
        <v/>
      </c>
      <c r="J158" s="30" t="str">
        <f t="shared" si="5"/>
        <v/>
      </c>
      <c r="K158" s="14"/>
      <c r="L158" s="17" t="str">
        <f>IF(AND($C158&lt;&gt;"",$C158=Controle_Paiement!$B$4,$J158&lt;&gt;"Payé",$J158&lt;&gt;"Annulé",$J158&lt;&gt;""),1,"")</f>
        <v/>
      </c>
    </row>
    <row r="159" spans="1:12" x14ac:dyDescent="0.35">
      <c r="A159" s="18"/>
      <c r="B159" s="27"/>
      <c r="C159" s="14"/>
      <c r="D159" s="14"/>
      <c r="E159" s="19"/>
      <c r="F159" s="19"/>
      <c r="G159" s="28" t="str">
        <f t="shared" si="4"/>
        <v/>
      </c>
      <c r="H159" s="14"/>
      <c r="I159" s="29" t="str">
        <f>IF(OR($C159="",$G159="",$H159&lt;&gt;"Fait"),"",MIN($G159,MAX(0,SUMIFS($G$5:$G159,$C$5:$C159,$C159,$H$5:$H159,"Fait")-SUMIFS(Paiements!$I$5:$I$2000,Paiements!$C$5:$C$2000,$C159,Paiements!$L$5:$L$2000,"Payé"))))</f>
        <v/>
      </c>
      <c r="J159" s="30" t="str">
        <f t="shared" si="5"/>
        <v/>
      </c>
      <c r="K159" s="14"/>
      <c r="L159" s="17" t="str">
        <f>IF(AND($C159&lt;&gt;"",$C159=Controle_Paiement!$B$4,$J159&lt;&gt;"Payé",$J159&lt;&gt;"Annulé",$J159&lt;&gt;""),1,"")</f>
        <v/>
      </c>
    </row>
    <row r="160" spans="1:12" x14ac:dyDescent="0.35">
      <c r="A160" s="18"/>
      <c r="B160" s="27"/>
      <c r="C160" s="14"/>
      <c r="D160" s="14"/>
      <c r="E160" s="19"/>
      <c r="F160" s="19"/>
      <c r="G160" s="28" t="str">
        <f t="shared" si="4"/>
        <v/>
      </c>
      <c r="H160" s="14"/>
      <c r="I160" s="29" t="str">
        <f>IF(OR($C160="",$G160="",$H160&lt;&gt;"Fait"),"",MIN($G160,MAX(0,SUMIFS($G$5:$G160,$C$5:$C160,$C160,$H$5:$H160,"Fait")-SUMIFS(Paiements!$I$5:$I$2000,Paiements!$C$5:$C$2000,$C160,Paiements!$L$5:$L$2000,"Payé"))))</f>
        <v/>
      </c>
      <c r="J160" s="30" t="str">
        <f t="shared" si="5"/>
        <v/>
      </c>
      <c r="K160" s="14"/>
      <c r="L160" s="17" t="str">
        <f>IF(AND($C160&lt;&gt;"",$C160=Controle_Paiement!$B$4,$J160&lt;&gt;"Payé",$J160&lt;&gt;"Annulé",$J160&lt;&gt;""),1,"")</f>
        <v/>
      </c>
    </row>
    <row r="161" spans="1:12" x14ac:dyDescent="0.35">
      <c r="A161" s="18"/>
      <c r="B161" s="27"/>
      <c r="C161" s="14"/>
      <c r="D161" s="14"/>
      <c r="E161" s="19"/>
      <c r="F161" s="19"/>
      <c r="G161" s="28" t="str">
        <f t="shared" si="4"/>
        <v/>
      </c>
      <c r="H161" s="14"/>
      <c r="I161" s="29" t="str">
        <f>IF(OR($C161="",$G161="",$H161&lt;&gt;"Fait"),"",MIN($G161,MAX(0,SUMIFS($G$5:$G161,$C$5:$C161,$C161,$H$5:$H161,"Fait")-SUMIFS(Paiements!$I$5:$I$2000,Paiements!$C$5:$C$2000,$C161,Paiements!$L$5:$L$2000,"Payé"))))</f>
        <v/>
      </c>
      <c r="J161" s="30" t="str">
        <f t="shared" si="5"/>
        <v/>
      </c>
      <c r="K161" s="14"/>
      <c r="L161" s="17" t="str">
        <f>IF(AND($C161&lt;&gt;"",$C161=Controle_Paiement!$B$4,$J161&lt;&gt;"Payé",$J161&lt;&gt;"Annulé",$J161&lt;&gt;""),1,"")</f>
        <v/>
      </c>
    </row>
    <row r="162" spans="1:12" x14ac:dyDescent="0.35">
      <c r="A162" s="18"/>
      <c r="B162" s="27"/>
      <c r="C162" s="14"/>
      <c r="D162" s="14"/>
      <c r="E162" s="19"/>
      <c r="F162" s="19"/>
      <c r="G162" s="28" t="str">
        <f t="shared" si="4"/>
        <v/>
      </c>
      <c r="H162" s="14"/>
      <c r="I162" s="29" t="str">
        <f>IF(OR($C162="",$G162="",$H162&lt;&gt;"Fait"),"",MIN($G162,MAX(0,SUMIFS($G$5:$G162,$C$5:$C162,$C162,$H$5:$H162,"Fait")-SUMIFS(Paiements!$I$5:$I$2000,Paiements!$C$5:$C$2000,$C162,Paiements!$L$5:$L$2000,"Payé"))))</f>
        <v/>
      </c>
      <c r="J162" s="30" t="str">
        <f t="shared" si="5"/>
        <v/>
      </c>
      <c r="K162" s="14"/>
      <c r="L162" s="17" t="str">
        <f>IF(AND($C162&lt;&gt;"",$C162=Controle_Paiement!$B$4,$J162&lt;&gt;"Payé",$J162&lt;&gt;"Annulé",$J162&lt;&gt;""),1,"")</f>
        <v/>
      </c>
    </row>
    <row r="163" spans="1:12" x14ac:dyDescent="0.35">
      <c r="A163" s="18"/>
      <c r="B163" s="27"/>
      <c r="C163" s="14"/>
      <c r="D163" s="14"/>
      <c r="E163" s="19"/>
      <c r="F163" s="19"/>
      <c r="G163" s="28" t="str">
        <f t="shared" si="4"/>
        <v/>
      </c>
      <c r="H163" s="14"/>
      <c r="I163" s="29" t="str">
        <f>IF(OR($C163="",$G163="",$H163&lt;&gt;"Fait"),"",MIN($G163,MAX(0,SUMIFS($G$5:$G163,$C$5:$C163,$C163,$H$5:$H163,"Fait")-SUMIFS(Paiements!$I$5:$I$2000,Paiements!$C$5:$C$2000,$C163,Paiements!$L$5:$L$2000,"Payé"))))</f>
        <v/>
      </c>
      <c r="J163" s="30" t="str">
        <f t="shared" si="5"/>
        <v/>
      </c>
      <c r="K163" s="14"/>
      <c r="L163" s="17" t="str">
        <f>IF(AND($C163&lt;&gt;"",$C163=Controle_Paiement!$B$4,$J163&lt;&gt;"Payé",$J163&lt;&gt;"Annulé",$J163&lt;&gt;""),1,"")</f>
        <v/>
      </c>
    </row>
    <row r="164" spans="1:12" x14ac:dyDescent="0.35">
      <c r="A164" s="18"/>
      <c r="B164" s="27"/>
      <c r="C164" s="14"/>
      <c r="D164" s="14"/>
      <c r="E164" s="19"/>
      <c r="F164" s="19"/>
      <c r="G164" s="28" t="str">
        <f t="shared" si="4"/>
        <v/>
      </c>
      <c r="H164" s="14"/>
      <c r="I164" s="29" t="str">
        <f>IF(OR($C164="",$G164="",$H164&lt;&gt;"Fait"),"",MIN($G164,MAX(0,SUMIFS($G$5:$G164,$C$5:$C164,$C164,$H$5:$H164,"Fait")-SUMIFS(Paiements!$I$5:$I$2000,Paiements!$C$5:$C$2000,$C164,Paiements!$L$5:$L$2000,"Payé"))))</f>
        <v/>
      </c>
      <c r="J164" s="30" t="str">
        <f t="shared" si="5"/>
        <v/>
      </c>
      <c r="K164" s="14"/>
      <c r="L164" s="17" t="str">
        <f>IF(AND($C164&lt;&gt;"",$C164=Controle_Paiement!$B$4,$J164&lt;&gt;"Payé",$J164&lt;&gt;"Annulé",$J164&lt;&gt;""),1,"")</f>
        <v/>
      </c>
    </row>
    <row r="165" spans="1:12" x14ac:dyDescent="0.35">
      <c r="A165" s="18"/>
      <c r="B165" s="27"/>
      <c r="C165" s="14"/>
      <c r="D165" s="14"/>
      <c r="E165" s="19"/>
      <c r="F165" s="19"/>
      <c r="G165" s="28" t="str">
        <f t="shared" si="4"/>
        <v/>
      </c>
      <c r="H165" s="14"/>
      <c r="I165" s="29" t="str">
        <f>IF(OR($C165="",$G165="",$H165&lt;&gt;"Fait"),"",MIN($G165,MAX(0,SUMIFS($G$5:$G165,$C$5:$C165,$C165,$H$5:$H165,"Fait")-SUMIFS(Paiements!$I$5:$I$2000,Paiements!$C$5:$C$2000,$C165,Paiements!$L$5:$L$2000,"Payé"))))</f>
        <v/>
      </c>
      <c r="J165" s="30" t="str">
        <f t="shared" si="5"/>
        <v/>
      </c>
      <c r="K165" s="14"/>
      <c r="L165" s="17" t="str">
        <f>IF(AND($C165&lt;&gt;"",$C165=Controle_Paiement!$B$4,$J165&lt;&gt;"Payé",$J165&lt;&gt;"Annulé",$J165&lt;&gt;""),1,"")</f>
        <v/>
      </c>
    </row>
    <row r="166" spans="1:12" x14ac:dyDescent="0.35">
      <c r="A166" s="18"/>
      <c r="B166" s="27"/>
      <c r="C166" s="14"/>
      <c r="D166" s="14"/>
      <c r="E166" s="19"/>
      <c r="F166" s="19"/>
      <c r="G166" s="28" t="str">
        <f t="shared" si="4"/>
        <v/>
      </c>
      <c r="H166" s="14"/>
      <c r="I166" s="29" t="str">
        <f>IF(OR($C166="",$G166="",$H166&lt;&gt;"Fait"),"",MIN($G166,MAX(0,SUMIFS($G$5:$G166,$C$5:$C166,$C166,$H$5:$H166,"Fait")-SUMIFS(Paiements!$I$5:$I$2000,Paiements!$C$5:$C$2000,$C166,Paiements!$L$5:$L$2000,"Payé"))))</f>
        <v/>
      </c>
      <c r="J166" s="30" t="str">
        <f t="shared" si="5"/>
        <v/>
      </c>
      <c r="K166" s="14"/>
      <c r="L166" s="17" t="str">
        <f>IF(AND($C166&lt;&gt;"",$C166=Controle_Paiement!$B$4,$J166&lt;&gt;"Payé",$J166&lt;&gt;"Annulé",$J166&lt;&gt;""),1,"")</f>
        <v/>
      </c>
    </row>
    <row r="167" spans="1:12" x14ac:dyDescent="0.35">
      <c r="A167" s="18"/>
      <c r="B167" s="27"/>
      <c r="C167" s="14"/>
      <c r="D167" s="14"/>
      <c r="E167" s="19"/>
      <c r="F167" s="19"/>
      <c r="G167" s="28" t="str">
        <f t="shared" si="4"/>
        <v/>
      </c>
      <c r="H167" s="14"/>
      <c r="I167" s="29" t="str">
        <f>IF(OR($C167="",$G167="",$H167&lt;&gt;"Fait"),"",MIN($G167,MAX(0,SUMIFS($G$5:$G167,$C$5:$C167,$C167,$H$5:$H167,"Fait")-SUMIFS(Paiements!$I$5:$I$2000,Paiements!$C$5:$C$2000,$C167,Paiements!$L$5:$L$2000,"Payé"))))</f>
        <v/>
      </c>
      <c r="J167" s="30" t="str">
        <f t="shared" si="5"/>
        <v/>
      </c>
      <c r="K167" s="14"/>
      <c r="L167" s="17" t="str">
        <f>IF(AND($C167&lt;&gt;"",$C167=Controle_Paiement!$B$4,$J167&lt;&gt;"Payé",$J167&lt;&gt;"Annulé",$J167&lt;&gt;""),1,"")</f>
        <v/>
      </c>
    </row>
    <row r="168" spans="1:12" x14ac:dyDescent="0.35">
      <c r="A168" s="18"/>
      <c r="B168" s="27"/>
      <c r="C168" s="14"/>
      <c r="D168" s="14"/>
      <c r="E168" s="19"/>
      <c r="F168" s="19"/>
      <c r="G168" s="28" t="str">
        <f t="shared" si="4"/>
        <v/>
      </c>
      <c r="H168" s="14"/>
      <c r="I168" s="29" t="str">
        <f>IF(OR($C168="",$G168="",$H168&lt;&gt;"Fait"),"",MIN($G168,MAX(0,SUMIFS($G$5:$G168,$C$5:$C168,$C168,$H$5:$H168,"Fait")-SUMIFS(Paiements!$I$5:$I$2000,Paiements!$C$5:$C$2000,$C168,Paiements!$L$5:$L$2000,"Payé"))))</f>
        <v/>
      </c>
      <c r="J168" s="30" t="str">
        <f t="shared" si="5"/>
        <v/>
      </c>
      <c r="K168" s="14"/>
      <c r="L168" s="17" t="str">
        <f>IF(AND($C168&lt;&gt;"",$C168=Controle_Paiement!$B$4,$J168&lt;&gt;"Payé",$J168&lt;&gt;"Annulé",$J168&lt;&gt;""),1,"")</f>
        <v/>
      </c>
    </row>
    <row r="169" spans="1:12" x14ac:dyDescent="0.35">
      <c r="A169" s="18"/>
      <c r="B169" s="27"/>
      <c r="C169" s="14"/>
      <c r="D169" s="14"/>
      <c r="E169" s="19"/>
      <c r="F169" s="19"/>
      <c r="G169" s="28" t="str">
        <f t="shared" si="4"/>
        <v/>
      </c>
      <c r="H169" s="14"/>
      <c r="I169" s="29" t="str">
        <f>IF(OR($C169="",$G169="",$H169&lt;&gt;"Fait"),"",MIN($G169,MAX(0,SUMIFS($G$5:$G169,$C$5:$C169,$C169,$H$5:$H169,"Fait")-SUMIFS(Paiements!$I$5:$I$2000,Paiements!$C$5:$C$2000,$C169,Paiements!$L$5:$L$2000,"Payé"))))</f>
        <v/>
      </c>
      <c r="J169" s="30" t="str">
        <f t="shared" si="5"/>
        <v/>
      </c>
      <c r="K169" s="14"/>
      <c r="L169" s="17" t="str">
        <f>IF(AND($C169&lt;&gt;"",$C169=Controle_Paiement!$B$4,$J169&lt;&gt;"Payé",$J169&lt;&gt;"Annulé",$J169&lt;&gt;""),1,"")</f>
        <v/>
      </c>
    </row>
    <row r="170" spans="1:12" x14ac:dyDescent="0.35">
      <c r="A170" s="18"/>
      <c r="B170" s="27"/>
      <c r="C170" s="14"/>
      <c r="D170" s="14"/>
      <c r="E170" s="19"/>
      <c r="F170" s="19"/>
      <c r="G170" s="28" t="str">
        <f t="shared" si="4"/>
        <v/>
      </c>
      <c r="H170" s="14"/>
      <c r="I170" s="29" t="str">
        <f>IF(OR($C170="",$G170="",$H170&lt;&gt;"Fait"),"",MIN($G170,MAX(0,SUMIFS($G$5:$G170,$C$5:$C170,$C170,$H$5:$H170,"Fait")-SUMIFS(Paiements!$I$5:$I$2000,Paiements!$C$5:$C$2000,$C170,Paiements!$L$5:$L$2000,"Payé"))))</f>
        <v/>
      </c>
      <c r="J170" s="30" t="str">
        <f t="shared" si="5"/>
        <v/>
      </c>
      <c r="K170" s="14"/>
      <c r="L170" s="17" t="str">
        <f>IF(AND($C170&lt;&gt;"",$C170=Controle_Paiement!$B$4,$J170&lt;&gt;"Payé",$J170&lt;&gt;"Annulé",$J170&lt;&gt;""),1,"")</f>
        <v/>
      </c>
    </row>
    <row r="171" spans="1:12" x14ac:dyDescent="0.35">
      <c r="A171" s="18"/>
      <c r="B171" s="27"/>
      <c r="C171" s="14"/>
      <c r="D171" s="14"/>
      <c r="E171" s="19"/>
      <c r="F171" s="19"/>
      <c r="G171" s="28" t="str">
        <f t="shared" si="4"/>
        <v/>
      </c>
      <c r="H171" s="14"/>
      <c r="I171" s="29" t="str">
        <f>IF(OR($C171="",$G171="",$H171&lt;&gt;"Fait"),"",MIN($G171,MAX(0,SUMIFS($G$5:$G171,$C$5:$C171,$C171,$H$5:$H171,"Fait")-SUMIFS(Paiements!$I$5:$I$2000,Paiements!$C$5:$C$2000,$C171,Paiements!$L$5:$L$2000,"Payé"))))</f>
        <v/>
      </c>
      <c r="J171" s="30" t="str">
        <f t="shared" si="5"/>
        <v/>
      </c>
      <c r="K171" s="14"/>
      <c r="L171" s="17" t="str">
        <f>IF(AND($C171&lt;&gt;"",$C171=Controle_Paiement!$B$4,$J171&lt;&gt;"Payé",$J171&lt;&gt;"Annulé",$J171&lt;&gt;""),1,"")</f>
        <v/>
      </c>
    </row>
    <row r="172" spans="1:12" x14ac:dyDescent="0.35">
      <c r="A172" s="18"/>
      <c r="B172" s="27"/>
      <c r="C172" s="14"/>
      <c r="D172" s="14"/>
      <c r="E172" s="19"/>
      <c r="F172" s="19"/>
      <c r="G172" s="28" t="str">
        <f t="shared" si="4"/>
        <v/>
      </c>
      <c r="H172" s="14"/>
      <c r="I172" s="29" t="str">
        <f>IF(OR($C172="",$G172="",$H172&lt;&gt;"Fait"),"",MIN($G172,MAX(0,SUMIFS($G$5:$G172,$C$5:$C172,$C172,$H$5:$H172,"Fait")-SUMIFS(Paiements!$I$5:$I$2000,Paiements!$C$5:$C$2000,$C172,Paiements!$L$5:$L$2000,"Payé"))))</f>
        <v/>
      </c>
      <c r="J172" s="30" t="str">
        <f t="shared" si="5"/>
        <v/>
      </c>
      <c r="K172" s="14"/>
      <c r="L172" s="17" t="str">
        <f>IF(AND($C172&lt;&gt;"",$C172=Controle_Paiement!$B$4,$J172&lt;&gt;"Payé",$J172&lt;&gt;"Annulé",$J172&lt;&gt;""),1,"")</f>
        <v/>
      </c>
    </row>
    <row r="173" spans="1:12" x14ac:dyDescent="0.35">
      <c r="A173" s="18"/>
      <c r="B173" s="27"/>
      <c r="C173" s="14"/>
      <c r="D173" s="14"/>
      <c r="E173" s="19"/>
      <c r="F173" s="19"/>
      <c r="G173" s="28" t="str">
        <f t="shared" si="4"/>
        <v/>
      </c>
      <c r="H173" s="14"/>
      <c r="I173" s="29" t="str">
        <f>IF(OR($C173="",$G173="",$H173&lt;&gt;"Fait"),"",MIN($G173,MAX(0,SUMIFS($G$5:$G173,$C$5:$C173,$C173,$H$5:$H173,"Fait")-SUMIFS(Paiements!$I$5:$I$2000,Paiements!$C$5:$C$2000,$C173,Paiements!$L$5:$L$2000,"Payé"))))</f>
        <v/>
      </c>
      <c r="J173" s="30" t="str">
        <f t="shared" si="5"/>
        <v/>
      </c>
      <c r="K173" s="14"/>
      <c r="L173" s="17" t="str">
        <f>IF(AND($C173&lt;&gt;"",$C173=Controle_Paiement!$B$4,$J173&lt;&gt;"Payé",$J173&lt;&gt;"Annulé",$J173&lt;&gt;""),1,"")</f>
        <v/>
      </c>
    </row>
    <row r="174" spans="1:12" x14ac:dyDescent="0.35">
      <c r="A174" s="18"/>
      <c r="B174" s="27"/>
      <c r="C174" s="14"/>
      <c r="D174" s="14"/>
      <c r="E174" s="19"/>
      <c r="F174" s="19"/>
      <c r="G174" s="28" t="str">
        <f t="shared" si="4"/>
        <v/>
      </c>
      <c r="H174" s="14"/>
      <c r="I174" s="29" t="str">
        <f>IF(OR($C174="",$G174="",$H174&lt;&gt;"Fait"),"",MIN($G174,MAX(0,SUMIFS($G$5:$G174,$C$5:$C174,$C174,$H$5:$H174,"Fait")-SUMIFS(Paiements!$I$5:$I$2000,Paiements!$C$5:$C$2000,$C174,Paiements!$L$5:$L$2000,"Payé"))))</f>
        <v/>
      </c>
      <c r="J174" s="30" t="str">
        <f t="shared" si="5"/>
        <v/>
      </c>
      <c r="K174" s="14"/>
      <c r="L174" s="17" t="str">
        <f>IF(AND($C174&lt;&gt;"",$C174=Controle_Paiement!$B$4,$J174&lt;&gt;"Payé",$J174&lt;&gt;"Annulé",$J174&lt;&gt;""),1,"")</f>
        <v/>
      </c>
    </row>
    <row r="175" spans="1:12" x14ac:dyDescent="0.35">
      <c r="A175" s="18"/>
      <c r="B175" s="27"/>
      <c r="C175" s="14"/>
      <c r="D175" s="14"/>
      <c r="E175" s="19"/>
      <c r="F175" s="19"/>
      <c r="G175" s="28" t="str">
        <f t="shared" si="4"/>
        <v/>
      </c>
      <c r="H175" s="14"/>
      <c r="I175" s="29" t="str">
        <f>IF(OR($C175="",$G175="",$H175&lt;&gt;"Fait"),"",MIN($G175,MAX(0,SUMIFS($G$5:$G175,$C$5:$C175,$C175,$H$5:$H175,"Fait")-SUMIFS(Paiements!$I$5:$I$2000,Paiements!$C$5:$C$2000,$C175,Paiements!$L$5:$L$2000,"Payé"))))</f>
        <v/>
      </c>
      <c r="J175" s="30" t="str">
        <f t="shared" si="5"/>
        <v/>
      </c>
      <c r="K175" s="14"/>
      <c r="L175" s="17" t="str">
        <f>IF(AND($C175&lt;&gt;"",$C175=Controle_Paiement!$B$4,$J175&lt;&gt;"Payé",$J175&lt;&gt;"Annulé",$J175&lt;&gt;""),1,"")</f>
        <v/>
      </c>
    </row>
    <row r="176" spans="1:12" x14ac:dyDescent="0.35">
      <c r="A176" s="18"/>
      <c r="B176" s="27"/>
      <c r="C176" s="14"/>
      <c r="D176" s="14"/>
      <c r="E176" s="19"/>
      <c r="F176" s="19"/>
      <c r="G176" s="28" t="str">
        <f t="shared" si="4"/>
        <v/>
      </c>
      <c r="H176" s="14"/>
      <c r="I176" s="29" t="str">
        <f>IF(OR($C176="",$G176="",$H176&lt;&gt;"Fait"),"",MIN($G176,MAX(0,SUMIFS($G$5:$G176,$C$5:$C176,$C176,$H$5:$H176,"Fait")-SUMIFS(Paiements!$I$5:$I$2000,Paiements!$C$5:$C$2000,$C176,Paiements!$L$5:$L$2000,"Payé"))))</f>
        <v/>
      </c>
      <c r="J176" s="30" t="str">
        <f t="shared" si="5"/>
        <v/>
      </c>
      <c r="K176" s="14"/>
      <c r="L176" s="17" t="str">
        <f>IF(AND($C176&lt;&gt;"",$C176=Controle_Paiement!$B$4,$J176&lt;&gt;"Payé",$J176&lt;&gt;"Annulé",$J176&lt;&gt;""),1,"")</f>
        <v/>
      </c>
    </row>
    <row r="177" spans="1:12" x14ac:dyDescent="0.35">
      <c r="A177" s="18"/>
      <c r="B177" s="27"/>
      <c r="C177" s="14"/>
      <c r="D177" s="14"/>
      <c r="E177" s="19"/>
      <c r="F177" s="19"/>
      <c r="G177" s="28" t="str">
        <f t="shared" si="4"/>
        <v/>
      </c>
      <c r="H177" s="14"/>
      <c r="I177" s="29" t="str">
        <f>IF(OR($C177="",$G177="",$H177&lt;&gt;"Fait"),"",MIN($G177,MAX(0,SUMIFS($G$5:$G177,$C$5:$C177,$C177,$H$5:$H177,"Fait")-SUMIFS(Paiements!$I$5:$I$2000,Paiements!$C$5:$C$2000,$C177,Paiements!$L$5:$L$2000,"Payé"))))</f>
        <v/>
      </c>
      <c r="J177" s="30" t="str">
        <f t="shared" si="5"/>
        <v/>
      </c>
      <c r="K177" s="14"/>
      <c r="L177" s="17" t="str">
        <f>IF(AND($C177&lt;&gt;"",$C177=Controle_Paiement!$B$4,$J177&lt;&gt;"Payé",$J177&lt;&gt;"Annulé",$J177&lt;&gt;""),1,"")</f>
        <v/>
      </c>
    </row>
    <row r="178" spans="1:12" x14ac:dyDescent="0.35">
      <c r="A178" s="18"/>
      <c r="B178" s="27"/>
      <c r="C178" s="14"/>
      <c r="D178" s="14"/>
      <c r="E178" s="19"/>
      <c r="F178" s="19"/>
      <c r="G178" s="28" t="str">
        <f t="shared" si="4"/>
        <v/>
      </c>
      <c r="H178" s="14"/>
      <c r="I178" s="29" t="str">
        <f>IF(OR($C178="",$G178="",$H178&lt;&gt;"Fait"),"",MIN($G178,MAX(0,SUMIFS($G$5:$G178,$C$5:$C178,$C178,$H$5:$H178,"Fait")-SUMIFS(Paiements!$I$5:$I$2000,Paiements!$C$5:$C$2000,$C178,Paiements!$L$5:$L$2000,"Payé"))))</f>
        <v/>
      </c>
      <c r="J178" s="30" t="str">
        <f t="shared" si="5"/>
        <v/>
      </c>
      <c r="K178" s="14"/>
      <c r="L178" s="17" t="str">
        <f>IF(AND($C178&lt;&gt;"",$C178=Controle_Paiement!$B$4,$J178&lt;&gt;"Payé",$J178&lt;&gt;"Annulé",$J178&lt;&gt;""),1,"")</f>
        <v/>
      </c>
    </row>
    <row r="179" spans="1:12" x14ac:dyDescent="0.35">
      <c r="A179" s="18"/>
      <c r="B179" s="27"/>
      <c r="C179" s="14"/>
      <c r="D179" s="14"/>
      <c r="E179" s="19"/>
      <c r="F179" s="19"/>
      <c r="G179" s="28" t="str">
        <f t="shared" si="4"/>
        <v/>
      </c>
      <c r="H179" s="14"/>
      <c r="I179" s="29" t="str">
        <f>IF(OR($C179="",$G179="",$H179&lt;&gt;"Fait"),"",MIN($G179,MAX(0,SUMIFS($G$5:$G179,$C$5:$C179,$C179,$H$5:$H179,"Fait")-SUMIFS(Paiements!$I$5:$I$2000,Paiements!$C$5:$C$2000,$C179,Paiements!$L$5:$L$2000,"Payé"))))</f>
        <v/>
      </c>
      <c r="J179" s="30" t="str">
        <f t="shared" si="5"/>
        <v/>
      </c>
      <c r="K179" s="14"/>
      <c r="L179" s="17" t="str">
        <f>IF(AND($C179&lt;&gt;"",$C179=Controle_Paiement!$B$4,$J179&lt;&gt;"Payé",$J179&lt;&gt;"Annulé",$J179&lt;&gt;""),1,"")</f>
        <v/>
      </c>
    </row>
    <row r="180" spans="1:12" x14ac:dyDescent="0.35">
      <c r="A180" s="18"/>
      <c r="B180" s="27"/>
      <c r="C180" s="14"/>
      <c r="D180" s="14"/>
      <c r="E180" s="19"/>
      <c r="F180" s="19"/>
      <c r="G180" s="28" t="str">
        <f t="shared" si="4"/>
        <v/>
      </c>
      <c r="H180" s="14"/>
      <c r="I180" s="29" t="str">
        <f>IF(OR($C180="",$G180="",$H180&lt;&gt;"Fait"),"",MIN($G180,MAX(0,SUMIFS($G$5:$G180,$C$5:$C180,$C180,$H$5:$H180,"Fait")-SUMIFS(Paiements!$I$5:$I$2000,Paiements!$C$5:$C$2000,$C180,Paiements!$L$5:$L$2000,"Payé"))))</f>
        <v/>
      </c>
      <c r="J180" s="30" t="str">
        <f t="shared" si="5"/>
        <v/>
      </c>
      <c r="K180" s="14"/>
      <c r="L180" s="17" t="str">
        <f>IF(AND($C180&lt;&gt;"",$C180=Controle_Paiement!$B$4,$J180&lt;&gt;"Payé",$J180&lt;&gt;"Annulé",$J180&lt;&gt;""),1,"")</f>
        <v/>
      </c>
    </row>
    <row r="181" spans="1:12" x14ac:dyDescent="0.35">
      <c r="A181" s="18"/>
      <c r="B181" s="27"/>
      <c r="C181" s="14"/>
      <c r="D181" s="14"/>
      <c r="E181" s="19"/>
      <c r="F181" s="19"/>
      <c r="G181" s="28" t="str">
        <f t="shared" si="4"/>
        <v/>
      </c>
      <c r="H181" s="14"/>
      <c r="I181" s="29" t="str">
        <f>IF(OR($C181="",$G181="",$H181&lt;&gt;"Fait"),"",MIN($G181,MAX(0,SUMIFS($G$5:$G181,$C$5:$C181,$C181,$H$5:$H181,"Fait")-SUMIFS(Paiements!$I$5:$I$2000,Paiements!$C$5:$C$2000,$C181,Paiements!$L$5:$L$2000,"Payé"))))</f>
        <v/>
      </c>
      <c r="J181" s="30" t="str">
        <f t="shared" si="5"/>
        <v/>
      </c>
      <c r="K181" s="14"/>
      <c r="L181" s="17" t="str">
        <f>IF(AND($C181&lt;&gt;"",$C181=Controle_Paiement!$B$4,$J181&lt;&gt;"Payé",$J181&lt;&gt;"Annulé",$J181&lt;&gt;""),1,"")</f>
        <v/>
      </c>
    </row>
    <row r="182" spans="1:12" x14ac:dyDescent="0.35">
      <c r="A182" s="18"/>
      <c r="B182" s="27"/>
      <c r="C182" s="14"/>
      <c r="D182" s="14"/>
      <c r="E182" s="19"/>
      <c r="F182" s="19"/>
      <c r="G182" s="28" t="str">
        <f t="shared" si="4"/>
        <v/>
      </c>
      <c r="H182" s="14"/>
      <c r="I182" s="29" t="str">
        <f>IF(OR($C182="",$G182="",$H182&lt;&gt;"Fait"),"",MIN($G182,MAX(0,SUMIFS($G$5:$G182,$C$5:$C182,$C182,$H$5:$H182,"Fait")-SUMIFS(Paiements!$I$5:$I$2000,Paiements!$C$5:$C$2000,$C182,Paiements!$L$5:$L$2000,"Payé"))))</f>
        <v/>
      </c>
      <c r="J182" s="30" t="str">
        <f t="shared" si="5"/>
        <v/>
      </c>
      <c r="K182" s="14"/>
      <c r="L182" s="17" t="str">
        <f>IF(AND($C182&lt;&gt;"",$C182=Controle_Paiement!$B$4,$J182&lt;&gt;"Payé",$J182&lt;&gt;"Annulé",$J182&lt;&gt;""),1,"")</f>
        <v/>
      </c>
    </row>
    <row r="183" spans="1:12" x14ac:dyDescent="0.35">
      <c r="A183" s="18"/>
      <c r="B183" s="27"/>
      <c r="C183" s="14"/>
      <c r="D183" s="14"/>
      <c r="E183" s="19"/>
      <c r="F183" s="19"/>
      <c r="G183" s="28" t="str">
        <f t="shared" si="4"/>
        <v/>
      </c>
      <c r="H183" s="14"/>
      <c r="I183" s="29" t="str">
        <f>IF(OR($C183="",$G183="",$H183&lt;&gt;"Fait"),"",MIN($G183,MAX(0,SUMIFS($G$5:$G183,$C$5:$C183,$C183,$H$5:$H183,"Fait")-SUMIFS(Paiements!$I$5:$I$2000,Paiements!$C$5:$C$2000,$C183,Paiements!$L$5:$L$2000,"Payé"))))</f>
        <v/>
      </c>
      <c r="J183" s="30" t="str">
        <f t="shared" si="5"/>
        <v/>
      </c>
      <c r="K183" s="14"/>
      <c r="L183" s="17" t="str">
        <f>IF(AND($C183&lt;&gt;"",$C183=Controle_Paiement!$B$4,$J183&lt;&gt;"Payé",$J183&lt;&gt;"Annulé",$J183&lt;&gt;""),1,"")</f>
        <v/>
      </c>
    </row>
    <row r="184" spans="1:12" x14ac:dyDescent="0.35">
      <c r="A184" s="18"/>
      <c r="B184" s="27"/>
      <c r="C184" s="14"/>
      <c r="D184" s="14"/>
      <c r="E184" s="19"/>
      <c r="F184" s="19"/>
      <c r="G184" s="28" t="str">
        <f t="shared" si="4"/>
        <v/>
      </c>
      <c r="H184" s="14"/>
      <c r="I184" s="29" t="str">
        <f>IF(OR($C184="",$G184="",$H184&lt;&gt;"Fait"),"",MIN($G184,MAX(0,SUMIFS($G$5:$G184,$C$5:$C184,$C184,$H$5:$H184,"Fait")-SUMIFS(Paiements!$I$5:$I$2000,Paiements!$C$5:$C$2000,$C184,Paiements!$L$5:$L$2000,"Payé"))))</f>
        <v/>
      </c>
      <c r="J184" s="30" t="str">
        <f t="shared" si="5"/>
        <v/>
      </c>
      <c r="K184" s="14"/>
      <c r="L184" s="17" t="str">
        <f>IF(AND($C184&lt;&gt;"",$C184=Controle_Paiement!$B$4,$J184&lt;&gt;"Payé",$J184&lt;&gt;"Annulé",$J184&lt;&gt;""),1,"")</f>
        <v/>
      </c>
    </row>
    <row r="185" spans="1:12" x14ac:dyDescent="0.35">
      <c r="A185" s="18"/>
      <c r="B185" s="27"/>
      <c r="C185" s="14"/>
      <c r="D185" s="14"/>
      <c r="E185" s="19"/>
      <c r="F185" s="19"/>
      <c r="G185" s="28" t="str">
        <f t="shared" si="4"/>
        <v/>
      </c>
      <c r="H185" s="14"/>
      <c r="I185" s="29" t="str">
        <f>IF(OR($C185="",$G185="",$H185&lt;&gt;"Fait"),"",MIN($G185,MAX(0,SUMIFS($G$5:$G185,$C$5:$C185,$C185,$H$5:$H185,"Fait")-SUMIFS(Paiements!$I$5:$I$2000,Paiements!$C$5:$C$2000,$C185,Paiements!$L$5:$L$2000,"Payé"))))</f>
        <v/>
      </c>
      <c r="J185" s="30" t="str">
        <f t="shared" si="5"/>
        <v/>
      </c>
      <c r="K185" s="14"/>
      <c r="L185" s="17" t="str">
        <f>IF(AND($C185&lt;&gt;"",$C185=Controle_Paiement!$B$4,$J185&lt;&gt;"Payé",$J185&lt;&gt;"Annulé",$J185&lt;&gt;""),1,"")</f>
        <v/>
      </c>
    </row>
    <row r="186" spans="1:12" x14ac:dyDescent="0.35">
      <c r="A186" s="18"/>
      <c r="B186" s="27"/>
      <c r="C186" s="14"/>
      <c r="D186" s="14"/>
      <c r="E186" s="19"/>
      <c r="F186" s="19"/>
      <c r="G186" s="28" t="str">
        <f t="shared" si="4"/>
        <v/>
      </c>
      <c r="H186" s="14"/>
      <c r="I186" s="29" t="str">
        <f>IF(OR($C186="",$G186="",$H186&lt;&gt;"Fait"),"",MIN($G186,MAX(0,SUMIFS($G$5:$G186,$C$5:$C186,$C186,$H$5:$H186,"Fait")-SUMIFS(Paiements!$I$5:$I$2000,Paiements!$C$5:$C$2000,$C186,Paiements!$L$5:$L$2000,"Payé"))))</f>
        <v/>
      </c>
      <c r="J186" s="30" t="str">
        <f t="shared" si="5"/>
        <v/>
      </c>
      <c r="K186" s="14"/>
      <c r="L186" s="17" t="str">
        <f>IF(AND($C186&lt;&gt;"",$C186=Controle_Paiement!$B$4,$J186&lt;&gt;"Payé",$J186&lt;&gt;"Annulé",$J186&lt;&gt;""),1,"")</f>
        <v/>
      </c>
    </row>
    <row r="187" spans="1:12" x14ac:dyDescent="0.35">
      <c r="A187" s="18"/>
      <c r="B187" s="27"/>
      <c r="C187" s="14"/>
      <c r="D187" s="14"/>
      <c r="E187" s="19"/>
      <c r="F187" s="19"/>
      <c r="G187" s="28" t="str">
        <f t="shared" si="4"/>
        <v/>
      </c>
      <c r="H187" s="14"/>
      <c r="I187" s="29" t="str">
        <f>IF(OR($C187="",$G187="",$H187&lt;&gt;"Fait"),"",MIN($G187,MAX(0,SUMIFS($G$5:$G187,$C$5:$C187,$C187,$H$5:$H187,"Fait")-SUMIFS(Paiements!$I$5:$I$2000,Paiements!$C$5:$C$2000,$C187,Paiements!$L$5:$L$2000,"Payé"))))</f>
        <v/>
      </c>
      <c r="J187" s="30" t="str">
        <f t="shared" si="5"/>
        <v/>
      </c>
      <c r="K187" s="14"/>
      <c r="L187" s="17" t="str">
        <f>IF(AND($C187&lt;&gt;"",$C187=Controle_Paiement!$B$4,$J187&lt;&gt;"Payé",$J187&lt;&gt;"Annulé",$J187&lt;&gt;""),1,"")</f>
        <v/>
      </c>
    </row>
    <row r="188" spans="1:12" x14ac:dyDescent="0.35">
      <c r="A188" s="18"/>
      <c r="B188" s="27"/>
      <c r="C188" s="14"/>
      <c r="D188" s="14"/>
      <c r="E188" s="19"/>
      <c r="F188" s="19"/>
      <c r="G188" s="28" t="str">
        <f t="shared" si="4"/>
        <v/>
      </c>
      <c r="H188" s="14"/>
      <c r="I188" s="29" t="str">
        <f>IF(OR($C188="",$G188="",$H188&lt;&gt;"Fait"),"",MIN($G188,MAX(0,SUMIFS($G$5:$G188,$C$5:$C188,$C188,$H$5:$H188,"Fait")-SUMIFS(Paiements!$I$5:$I$2000,Paiements!$C$5:$C$2000,$C188,Paiements!$L$5:$L$2000,"Payé"))))</f>
        <v/>
      </c>
      <c r="J188" s="30" t="str">
        <f t="shared" si="5"/>
        <v/>
      </c>
      <c r="K188" s="14"/>
      <c r="L188" s="17" t="str">
        <f>IF(AND($C188&lt;&gt;"",$C188=Controle_Paiement!$B$4,$J188&lt;&gt;"Payé",$J188&lt;&gt;"Annulé",$J188&lt;&gt;""),1,"")</f>
        <v/>
      </c>
    </row>
    <row r="189" spans="1:12" x14ac:dyDescent="0.35">
      <c r="A189" s="18"/>
      <c r="B189" s="27"/>
      <c r="C189" s="14"/>
      <c r="D189" s="14"/>
      <c r="E189" s="19"/>
      <c r="F189" s="19"/>
      <c r="G189" s="28" t="str">
        <f t="shared" si="4"/>
        <v/>
      </c>
      <c r="H189" s="14"/>
      <c r="I189" s="29" t="str">
        <f>IF(OR($C189="",$G189="",$H189&lt;&gt;"Fait"),"",MIN($G189,MAX(0,SUMIFS($G$5:$G189,$C$5:$C189,$C189,$H$5:$H189,"Fait")-SUMIFS(Paiements!$I$5:$I$2000,Paiements!$C$5:$C$2000,$C189,Paiements!$L$5:$L$2000,"Payé"))))</f>
        <v/>
      </c>
      <c r="J189" s="30" t="str">
        <f t="shared" si="5"/>
        <v/>
      </c>
      <c r="K189" s="14"/>
      <c r="L189" s="17" t="str">
        <f>IF(AND($C189&lt;&gt;"",$C189=Controle_Paiement!$B$4,$J189&lt;&gt;"Payé",$J189&lt;&gt;"Annulé",$J189&lt;&gt;""),1,"")</f>
        <v/>
      </c>
    </row>
    <row r="190" spans="1:12" x14ac:dyDescent="0.35">
      <c r="A190" s="18"/>
      <c r="B190" s="27"/>
      <c r="C190" s="14"/>
      <c r="D190" s="14"/>
      <c r="E190" s="19"/>
      <c r="F190" s="19"/>
      <c r="G190" s="28" t="str">
        <f t="shared" si="4"/>
        <v/>
      </c>
      <c r="H190" s="14"/>
      <c r="I190" s="29" t="str">
        <f>IF(OR($C190="",$G190="",$H190&lt;&gt;"Fait"),"",MIN($G190,MAX(0,SUMIFS($G$5:$G190,$C$5:$C190,$C190,$H$5:$H190,"Fait")-SUMIFS(Paiements!$I$5:$I$2000,Paiements!$C$5:$C$2000,$C190,Paiements!$L$5:$L$2000,"Payé"))))</f>
        <v/>
      </c>
      <c r="J190" s="30" t="str">
        <f t="shared" si="5"/>
        <v/>
      </c>
      <c r="K190" s="14"/>
      <c r="L190" s="17" t="str">
        <f>IF(AND($C190&lt;&gt;"",$C190=Controle_Paiement!$B$4,$J190&lt;&gt;"Payé",$J190&lt;&gt;"Annulé",$J190&lt;&gt;""),1,"")</f>
        <v/>
      </c>
    </row>
    <row r="191" spans="1:12" x14ac:dyDescent="0.35">
      <c r="A191" s="18"/>
      <c r="B191" s="27"/>
      <c r="C191" s="14"/>
      <c r="D191" s="14"/>
      <c r="E191" s="19"/>
      <c r="F191" s="19"/>
      <c r="G191" s="28" t="str">
        <f t="shared" si="4"/>
        <v/>
      </c>
      <c r="H191" s="14"/>
      <c r="I191" s="29" t="str">
        <f>IF(OR($C191="",$G191="",$H191&lt;&gt;"Fait"),"",MIN($G191,MAX(0,SUMIFS($G$5:$G191,$C$5:$C191,$C191,$H$5:$H191,"Fait")-SUMIFS(Paiements!$I$5:$I$2000,Paiements!$C$5:$C$2000,$C191,Paiements!$L$5:$L$2000,"Payé"))))</f>
        <v/>
      </c>
      <c r="J191" s="30" t="str">
        <f t="shared" si="5"/>
        <v/>
      </c>
      <c r="K191" s="14"/>
      <c r="L191" s="17" t="str">
        <f>IF(AND($C191&lt;&gt;"",$C191=Controle_Paiement!$B$4,$J191&lt;&gt;"Payé",$J191&lt;&gt;"Annulé",$J191&lt;&gt;""),1,"")</f>
        <v/>
      </c>
    </row>
    <row r="192" spans="1:12" x14ac:dyDescent="0.35">
      <c r="A192" s="18"/>
      <c r="B192" s="27"/>
      <c r="C192" s="14"/>
      <c r="D192" s="14"/>
      <c r="E192" s="19"/>
      <c r="F192" s="19"/>
      <c r="G192" s="28" t="str">
        <f t="shared" si="4"/>
        <v/>
      </c>
      <c r="H192" s="14"/>
      <c r="I192" s="29" t="str">
        <f>IF(OR($C192="",$G192="",$H192&lt;&gt;"Fait"),"",MIN($G192,MAX(0,SUMIFS($G$5:$G192,$C$5:$C192,$C192,$H$5:$H192,"Fait")-SUMIFS(Paiements!$I$5:$I$2000,Paiements!$C$5:$C$2000,$C192,Paiements!$L$5:$L$2000,"Payé"))))</f>
        <v/>
      </c>
      <c r="J192" s="30" t="str">
        <f t="shared" si="5"/>
        <v/>
      </c>
      <c r="K192" s="14"/>
      <c r="L192" s="17" t="str">
        <f>IF(AND($C192&lt;&gt;"",$C192=Controle_Paiement!$B$4,$J192&lt;&gt;"Payé",$J192&lt;&gt;"Annulé",$J192&lt;&gt;""),1,"")</f>
        <v/>
      </c>
    </row>
    <row r="193" spans="1:12" x14ac:dyDescent="0.35">
      <c r="A193" s="18"/>
      <c r="B193" s="27"/>
      <c r="C193" s="14"/>
      <c r="D193" s="14"/>
      <c r="E193" s="19"/>
      <c r="F193" s="19"/>
      <c r="G193" s="28" t="str">
        <f t="shared" si="4"/>
        <v/>
      </c>
      <c r="H193" s="14"/>
      <c r="I193" s="29" t="str">
        <f>IF(OR($C193="",$G193="",$H193&lt;&gt;"Fait"),"",MIN($G193,MAX(0,SUMIFS($G$5:$G193,$C$5:$C193,$C193,$H$5:$H193,"Fait")-SUMIFS(Paiements!$I$5:$I$2000,Paiements!$C$5:$C$2000,$C193,Paiements!$L$5:$L$2000,"Payé"))))</f>
        <v/>
      </c>
      <c r="J193" s="30" t="str">
        <f t="shared" si="5"/>
        <v/>
      </c>
      <c r="K193" s="14"/>
      <c r="L193" s="17" t="str">
        <f>IF(AND($C193&lt;&gt;"",$C193=Controle_Paiement!$B$4,$J193&lt;&gt;"Payé",$J193&lt;&gt;"Annulé",$J193&lt;&gt;""),1,"")</f>
        <v/>
      </c>
    </row>
    <row r="194" spans="1:12" x14ac:dyDescent="0.35">
      <c r="A194" s="18"/>
      <c r="B194" s="27"/>
      <c r="C194" s="14"/>
      <c r="D194" s="14"/>
      <c r="E194" s="19"/>
      <c r="F194" s="19"/>
      <c r="G194" s="28" t="str">
        <f t="shared" si="4"/>
        <v/>
      </c>
      <c r="H194" s="14"/>
      <c r="I194" s="29" t="str">
        <f>IF(OR($C194="",$G194="",$H194&lt;&gt;"Fait"),"",MIN($G194,MAX(0,SUMIFS($G$5:$G194,$C$5:$C194,$C194,$H$5:$H194,"Fait")-SUMIFS(Paiements!$I$5:$I$2000,Paiements!$C$5:$C$2000,$C194,Paiements!$L$5:$L$2000,"Payé"))))</f>
        <v/>
      </c>
      <c r="J194" s="30" t="str">
        <f t="shared" si="5"/>
        <v/>
      </c>
      <c r="K194" s="14"/>
      <c r="L194" s="17" t="str">
        <f>IF(AND($C194&lt;&gt;"",$C194=Controle_Paiement!$B$4,$J194&lt;&gt;"Payé",$J194&lt;&gt;"Annulé",$J194&lt;&gt;""),1,"")</f>
        <v/>
      </c>
    </row>
    <row r="195" spans="1:12" x14ac:dyDescent="0.35">
      <c r="A195" s="18"/>
      <c r="B195" s="27"/>
      <c r="C195" s="14"/>
      <c r="D195" s="14"/>
      <c r="E195" s="19"/>
      <c r="F195" s="19"/>
      <c r="G195" s="28" t="str">
        <f t="shared" ref="G195:G258" si="6">IF(OR($E195="",$F195=""),"",ROUND($E195*$F195,0))</f>
        <v/>
      </c>
      <c r="H195" s="14"/>
      <c r="I195" s="29" t="str">
        <f>IF(OR($C195="",$G195="",$H195&lt;&gt;"Fait"),"",MIN($G195,MAX(0,SUMIFS($G$5:$G195,$C$5:$C195,$C195,$H$5:$H195,"Fait")-SUMIFS(Paiements!$I$5:$I$2000,Paiements!$C$5:$C$2000,$C195,Paiements!$L$5:$L$2000,"Payé"))))</f>
        <v/>
      </c>
      <c r="J195" s="30" t="str">
        <f t="shared" ref="J195:J258" si="7">IF(OR($C195="",$G195=""),"",IF($H195="Annulé","Annulé",IF($H195&lt;&gt;"Fait","Non payable (déchargement non fait)",IF($I195=0,"Payé",IF($I195&lt;$G195,"Partiellement payé","À payer")))))</f>
        <v/>
      </c>
      <c r="K195" s="14"/>
      <c r="L195" s="17" t="str">
        <f>IF(AND($C195&lt;&gt;"",$C195=Controle_Paiement!$B$4,$J195&lt;&gt;"Payé",$J195&lt;&gt;"Annulé",$J195&lt;&gt;""),1,"")</f>
        <v/>
      </c>
    </row>
    <row r="196" spans="1:12" x14ac:dyDescent="0.35">
      <c r="A196" s="18"/>
      <c r="B196" s="27"/>
      <c r="C196" s="14"/>
      <c r="D196" s="14"/>
      <c r="E196" s="19"/>
      <c r="F196" s="19"/>
      <c r="G196" s="28" t="str">
        <f t="shared" si="6"/>
        <v/>
      </c>
      <c r="H196" s="14"/>
      <c r="I196" s="29" t="str">
        <f>IF(OR($C196="",$G196="",$H196&lt;&gt;"Fait"),"",MIN($G196,MAX(0,SUMIFS($G$5:$G196,$C$5:$C196,$C196,$H$5:$H196,"Fait")-SUMIFS(Paiements!$I$5:$I$2000,Paiements!$C$5:$C$2000,$C196,Paiements!$L$5:$L$2000,"Payé"))))</f>
        <v/>
      </c>
      <c r="J196" s="30" t="str">
        <f t="shared" si="7"/>
        <v/>
      </c>
      <c r="K196" s="14"/>
      <c r="L196" s="17" t="str">
        <f>IF(AND($C196&lt;&gt;"",$C196=Controle_Paiement!$B$4,$J196&lt;&gt;"Payé",$J196&lt;&gt;"Annulé",$J196&lt;&gt;""),1,"")</f>
        <v/>
      </c>
    </row>
    <row r="197" spans="1:12" x14ac:dyDescent="0.35">
      <c r="A197" s="18"/>
      <c r="B197" s="27"/>
      <c r="C197" s="14"/>
      <c r="D197" s="14"/>
      <c r="E197" s="19"/>
      <c r="F197" s="19"/>
      <c r="G197" s="28" t="str">
        <f t="shared" si="6"/>
        <v/>
      </c>
      <c r="H197" s="14"/>
      <c r="I197" s="29" t="str">
        <f>IF(OR($C197="",$G197="",$H197&lt;&gt;"Fait"),"",MIN($G197,MAX(0,SUMIFS($G$5:$G197,$C$5:$C197,$C197,$H$5:$H197,"Fait")-SUMIFS(Paiements!$I$5:$I$2000,Paiements!$C$5:$C$2000,$C197,Paiements!$L$5:$L$2000,"Payé"))))</f>
        <v/>
      </c>
      <c r="J197" s="30" t="str">
        <f t="shared" si="7"/>
        <v/>
      </c>
      <c r="K197" s="14"/>
      <c r="L197" s="17" t="str">
        <f>IF(AND($C197&lt;&gt;"",$C197=Controle_Paiement!$B$4,$J197&lt;&gt;"Payé",$J197&lt;&gt;"Annulé",$J197&lt;&gt;""),1,"")</f>
        <v/>
      </c>
    </row>
    <row r="198" spans="1:12" x14ac:dyDescent="0.35">
      <c r="A198" s="18"/>
      <c r="B198" s="27"/>
      <c r="C198" s="14"/>
      <c r="D198" s="14"/>
      <c r="E198" s="19"/>
      <c r="F198" s="19"/>
      <c r="G198" s="28" t="str">
        <f t="shared" si="6"/>
        <v/>
      </c>
      <c r="H198" s="14"/>
      <c r="I198" s="29" t="str">
        <f>IF(OR($C198="",$G198="",$H198&lt;&gt;"Fait"),"",MIN($G198,MAX(0,SUMIFS($G$5:$G198,$C$5:$C198,$C198,$H$5:$H198,"Fait")-SUMIFS(Paiements!$I$5:$I$2000,Paiements!$C$5:$C$2000,$C198,Paiements!$L$5:$L$2000,"Payé"))))</f>
        <v/>
      </c>
      <c r="J198" s="30" t="str">
        <f t="shared" si="7"/>
        <v/>
      </c>
      <c r="K198" s="14"/>
      <c r="L198" s="17" t="str">
        <f>IF(AND($C198&lt;&gt;"",$C198=Controle_Paiement!$B$4,$J198&lt;&gt;"Payé",$J198&lt;&gt;"Annulé",$J198&lt;&gt;""),1,"")</f>
        <v/>
      </c>
    </row>
    <row r="199" spans="1:12" x14ac:dyDescent="0.35">
      <c r="A199" s="18"/>
      <c r="B199" s="27"/>
      <c r="C199" s="14"/>
      <c r="D199" s="14"/>
      <c r="E199" s="19"/>
      <c r="F199" s="19"/>
      <c r="G199" s="28" t="str">
        <f t="shared" si="6"/>
        <v/>
      </c>
      <c r="H199" s="14"/>
      <c r="I199" s="29" t="str">
        <f>IF(OR($C199="",$G199="",$H199&lt;&gt;"Fait"),"",MIN($G199,MAX(0,SUMIFS($G$5:$G199,$C$5:$C199,$C199,$H$5:$H199,"Fait")-SUMIFS(Paiements!$I$5:$I$2000,Paiements!$C$5:$C$2000,$C199,Paiements!$L$5:$L$2000,"Payé"))))</f>
        <v/>
      </c>
      <c r="J199" s="30" t="str">
        <f t="shared" si="7"/>
        <v/>
      </c>
      <c r="K199" s="14"/>
      <c r="L199" s="17" t="str">
        <f>IF(AND($C199&lt;&gt;"",$C199=Controle_Paiement!$B$4,$J199&lt;&gt;"Payé",$J199&lt;&gt;"Annulé",$J199&lt;&gt;""),1,"")</f>
        <v/>
      </c>
    </row>
    <row r="200" spans="1:12" x14ac:dyDescent="0.35">
      <c r="A200" s="18"/>
      <c r="B200" s="27"/>
      <c r="C200" s="14"/>
      <c r="D200" s="14"/>
      <c r="E200" s="19"/>
      <c r="F200" s="19"/>
      <c r="G200" s="28" t="str">
        <f t="shared" si="6"/>
        <v/>
      </c>
      <c r="H200" s="14"/>
      <c r="I200" s="29" t="str">
        <f>IF(OR($C200="",$G200="",$H200&lt;&gt;"Fait"),"",MIN($G200,MAX(0,SUMIFS($G$5:$G200,$C$5:$C200,$C200,$H$5:$H200,"Fait")-SUMIFS(Paiements!$I$5:$I$2000,Paiements!$C$5:$C$2000,$C200,Paiements!$L$5:$L$2000,"Payé"))))</f>
        <v/>
      </c>
      <c r="J200" s="30" t="str">
        <f t="shared" si="7"/>
        <v/>
      </c>
      <c r="K200" s="14"/>
      <c r="L200" s="17" t="str">
        <f>IF(AND($C200&lt;&gt;"",$C200=Controle_Paiement!$B$4,$J200&lt;&gt;"Payé",$J200&lt;&gt;"Annulé",$J200&lt;&gt;""),1,"")</f>
        <v/>
      </c>
    </row>
    <row r="201" spans="1:12" x14ac:dyDescent="0.35">
      <c r="A201" s="18"/>
      <c r="B201" s="27"/>
      <c r="C201" s="14"/>
      <c r="D201" s="14"/>
      <c r="E201" s="19"/>
      <c r="F201" s="19"/>
      <c r="G201" s="28" t="str">
        <f t="shared" si="6"/>
        <v/>
      </c>
      <c r="H201" s="14"/>
      <c r="I201" s="29" t="str">
        <f>IF(OR($C201="",$G201="",$H201&lt;&gt;"Fait"),"",MIN($G201,MAX(0,SUMIFS($G$5:$G201,$C$5:$C201,$C201,$H$5:$H201,"Fait")-SUMIFS(Paiements!$I$5:$I$2000,Paiements!$C$5:$C$2000,$C201,Paiements!$L$5:$L$2000,"Payé"))))</f>
        <v/>
      </c>
      <c r="J201" s="30" t="str">
        <f t="shared" si="7"/>
        <v/>
      </c>
      <c r="K201" s="14"/>
      <c r="L201" s="17" t="str">
        <f>IF(AND($C201&lt;&gt;"",$C201=Controle_Paiement!$B$4,$J201&lt;&gt;"Payé",$J201&lt;&gt;"Annulé",$J201&lt;&gt;""),1,"")</f>
        <v/>
      </c>
    </row>
    <row r="202" spans="1:12" x14ac:dyDescent="0.35">
      <c r="A202" s="18"/>
      <c r="B202" s="27"/>
      <c r="C202" s="14"/>
      <c r="D202" s="14"/>
      <c r="E202" s="19"/>
      <c r="F202" s="19"/>
      <c r="G202" s="28" t="str">
        <f t="shared" si="6"/>
        <v/>
      </c>
      <c r="H202" s="14"/>
      <c r="I202" s="29" t="str">
        <f>IF(OR($C202="",$G202="",$H202&lt;&gt;"Fait"),"",MIN($G202,MAX(0,SUMIFS($G$5:$G202,$C$5:$C202,$C202,$H$5:$H202,"Fait")-SUMIFS(Paiements!$I$5:$I$2000,Paiements!$C$5:$C$2000,$C202,Paiements!$L$5:$L$2000,"Payé"))))</f>
        <v/>
      </c>
      <c r="J202" s="30" t="str">
        <f t="shared" si="7"/>
        <v/>
      </c>
      <c r="K202" s="14"/>
      <c r="L202" s="17" t="str">
        <f>IF(AND($C202&lt;&gt;"",$C202=Controle_Paiement!$B$4,$J202&lt;&gt;"Payé",$J202&lt;&gt;"Annulé",$J202&lt;&gt;""),1,"")</f>
        <v/>
      </c>
    </row>
    <row r="203" spans="1:12" x14ac:dyDescent="0.35">
      <c r="A203" s="18"/>
      <c r="B203" s="27"/>
      <c r="C203" s="14"/>
      <c r="D203" s="14"/>
      <c r="E203" s="19"/>
      <c r="F203" s="19"/>
      <c r="G203" s="28" t="str">
        <f t="shared" si="6"/>
        <v/>
      </c>
      <c r="H203" s="14"/>
      <c r="I203" s="29" t="str">
        <f>IF(OR($C203="",$G203="",$H203&lt;&gt;"Fait"),"",MIN($G203,MAX(0,SUMIFS($G$5:$G203,$C$5:$C203,$C203,$H$5:$H203,"Fait")-SUMIFS(Paiements!$I$5:$I$2000,Paiements!$C$5:$C$2000,$C203,Paiements!$L$5:$L$2000,"Payé"))))</f>
        <v/>
      </c>
      <c r="J203" s="30" t="str">
        <f t="shared" si="7"/>
        <v/>
      </c>
      <c r="K203" s="14"/>
      <c r="L203" s="17" t="str">
        <f>IF(AND($C203&lt;&gt;"",$C203=Controle_Paiement!$B$4,$J203&lt;&gt;"Payé",$J203&lt;&gt;"Annulé",$J203&lt;&gt;""),1,"")</f>
        <v/>
      </c>
    </row>
    <row r="204" spans="1:12" x14ac:dyDescent="0.35">
      <c r="A204" s="18"/>
      <c r="B204" s="27"/>
      <c r="C204" s="14"/>
      <c r="D204" s="14"/>
      <c r="E204" s="19"/>
      <c r="F204" s="19"/>
      <c r="G204" s="28" t="str">
        <f t="shared" si="6"/>
        <v/>
      </c>
      <c r="H204" s="14"/>
      <c r="I204" s="29" t="str">
        <f>IF(OR($C204="",$G204="",$H204&lt;&gt;"Fait"),"",MIN($G204,MAX(0,SUMIFS($G$5:$G204,$C$5:$C204,$C204,$H$5:$H204,"Fait")-SUMIFS(Paiements!$I$5:$I$2000,Paiements!$C$5:$C$2000,$C204,Paiements!$L$5:$L$2000,"Payé"))))</f>
        <v/>
      </c>
      <c r="J204" s="30" t="str">
        <f t="shared" si="7"/>
        <v/>
      </c>
      <c r="K204" s="14"/>
      <c r="L204" s="17" t="str">
        <f>IF(AND($C204&lt;&gt;"",$C204=Controle_Paiement!$B$4,$J204&lt;&gt;"Payé",$J204&lt;&gt;"Annulé",$J204&lt;&gt;""),1,"")</f>
        <v/>
      </c>
    </row>
    <row r="205" spans="1:12" x14ac:dyDescent="0.35">
      <c r="A205" s="18"/>
      <c r="B205" s="27"/>
      <c r="C205" s="14"/>
      <c r="D205" s="14"/>
      <c r="E205" s="19"/>
      <c r="F205" s="19"/>
      <c r="G205" s="28" t="str">
        <f t="shared" si="6"/>
        <v/>
      </c>
      <c r="H205" s="14"/>
      <c r="I205" s="29" t="str">
        <f>IF(OR($C205="",$G205="",$H205&lt;&gt;"Fait"),"",MIN($G205,MAX(0,SUMIFS($G$5:$G205,$C$5:$C205,$C205,$H$5:$H205,"Fait")-SUMIFS(Paiements!$I$5:$I$2000,Paiements!$C$5:$C$2000,$C205,Paiements!$L$5:$L$2000,"Payé"))))</f>
        <v/>
      </c>
      <c r="J205" s="30" t="str">
        <f t="shared" si="7"/>
        <v/>
      </c>
      <c r="K205" s="14"/>
      <c r="L205" s="17" t="str">
        <f>IF(AND($C205&lt;&gt;"",$C205=Controle_Paiement!$B$4,$J205&lt;&gt;"Payé",$J205&lt;&gt;"Annulé",$J205&lt;&gt;""),1,"")</f>
        <v/>
      </c>
    </row>
    <row r="206" spans="1:12" x14ac:dyDescent="0.35">
      <c r="A206" s="18"/>
      <c r="B206" s="27"/>
      <c r="C206" s="14"/>
      <c r="D206" s="14"/>
      <c r="E206" s="19"/>
      <c r="F206" s="19"/>
      <c r="G206" s="28" t="str">
        <f t="shared" si="6"/>
        <v/>
      </c>
      <c r="H206" s="14"/>
      <c r="I206" s="29" t="str">
        <f>IF(OR($C206="",$G206="",$H206&lt;&gt;"Fait"),"",MIN($G206,MAX(0,SUMIFS($G$5:$G206,$C$5:$C206,$C206,$H$5:$H206,"Fait")-SUMIFS(Paiements!$I$5:$I$2000,Paiements!$C$5:$C$2000,$C206,Paiements!$L$5:$L$2000,"Payé"))))</f>
        <v/>
      </c>
      <c r="J206" s="30" t="str">
        <f t="shared" si="7"/>
        <v/>
      </c>
      <c r="K206" s="14"/>
      <c r="L206" s="17" t="str">
        <f>IF(AND($C206&lt;&gt;"",$C206=Controle_Paiement!$B$4,$J206&lt;&gt;"Payé",$J206&lt;&gt;"Annulé",$J206&lt;&gt;""),1,"")</f>
        <v/>
      </c>
    </row>
    <row r="207" spans="1:12" x14ac:dyDescent="0.35">
      <c r="A207" s="18"/>
      <c r="B207" s="27"/>
      <c r="C207" s="14"/>
      <c r="D207" s="14"/>
      <c r="E207" s="19"/>
      <c r="F207" s="19"/>
      <c r="G207" s="28" t="str">
        <f t="shared" si="6"/>
        <v/>
      </c>
      <c r="H207" s="14"/>
      <c r="I207" s="29" t="str">
        <f>IF(OR($C207="",$G207="",$H207&lt;&gt;"Fait"),"",MIN($G207,MAX(0,SUMIFS($G$5:$G207,$C$5:$C207,$C207,$H$5:$H207,"Fait")-SUMIFS(Paiements!$I$5:$I$2000,Paiements!$C$5:$C$2000,$C207,Paiements!$L$5:$L$2000,"Payé"))))</f>
        <v/>
      </c>
      <c r="J207" s="30" t="str">
        <f t="shared" si="7"/>
        <v/>
      </c>
      <c r="K207" s="14"/>
      <c r="L207" s="17" t="str">
        <f>IF(AND($C207&lt;&gt;"",$C207=Controle_Paiement!$B$4,$J207&lt;&gt;"Payé",$J207&lt;&gt;"Annulé",$J207&lt;&gt;""),1,"")</f>
        <v/>
      </c>
    </row>
    <row r="208" spans="1:12" x14ac:dyDescent="0.35">
      <c r="A208" s="18"/>
      <c r="B208" s="27"/>
      <c r="C208" s="14"/>
      <c r="D208" s="14"/>
      <c r="E208" s="19"/>
      <c r="F208" s="19"/>
      <c r="G208" s="28" t="str">
        <f t="shared" si="6"/>
        <v/>
      </c>
      <c r="H208" s="14"/>
      <c r="I208" s="29" t="str">
        <f>IF(OR($C208="",$G208="",$H208&lt;&gt;"Fait"),"",MIN($G208,MAX(0,SUMIFS($G$5:$G208,$C$5:$C208,$C208,$H$5:$H208,"Fait")-SUMIFS(Paiements!$I$5:$I$2000,Paiements!$C$5:$C$2000,$C208,Paiements!$L$5:$L$2000,"Payé"))))</f>
        <v/>
      </c>
      <c r="J208" s="30" t="str">
        <f t="shared" si="7"/>
        <v/>
      </c>
      <c r="K208" s="14"/>
      <c r="L208" s="17" t="str">
        <f>IF(AND($C208&lt;&gt;"",$C208=Controle_Paiement!$B$4,$J208&lt;&gt;"Payé",$J208&lt;&gt;"Annulé",$J208&lt;&gt;""),1,"")</f>
        <v/>
      </c>
    </row>
    <row r="209" spans="1:12" x14ac:dyDescent="0.35">
      <c r="A209" s="18"/>
      <c r="B209" s="27"/>
      <c r="C209" s="14"/>
      <c r="D209" s="14"/>
      <c r="E209" s="19"/>
      <c r="F209" s="19"/>
      <c r="G209" s="28" t="str">
        <f t="shared" si="6"/>
        <v/>
      </c>
      <c r="H209" s="14"/>
      <c r="I209" s="29" t="str">
        <f>IF(OR($C209="",$G209="",$H209&lt;&gt;"Fait"),"",MIN($G209,MAX(0,SUMIFS($G$5:$G209,$C$5:$C209,$C209,$H$5:$H209,"Fait")-SUMIFS(Paiements!$I$5:$I$2000,Paiements!$C$5:$C$2000,$C209,Paiements!$L$5:$L$2000,"Payé"))))</f>
        <v/>
      </c>
      <c r="J209" s="30" t="str">
        <f t="shared" si="7"/>
        <v/>
      </c>
      <c r="K209" s="14"/>
      <c r="L209" s="17" t="str">
        <f>IF(AND($C209&lt;&gt;"",$C209=Controle_Paiement!$B$4,$J209&lt;&gt;"Payé",$J209&lt;&gt;"Annulé",$J209&lt;&gt;""),1,"")</f>
        <v/>
      </c>
    </row>
    <row r="210" spans="1:12" x14ac:dyDescent="0.35">
      <c r="A210" s="18"/>
      <c r="B210" s="27"/>
      <c r="C210" s="14"/>
      <c r="D210" s="14"/>
      <c r="E210" s="19"/>
      <c r="F210" s="19"/>
      <c r="G210" s="28" t="str">
        <f t="shared" si="6"/>
        <v/>
      </c>
      <c r="H210" s="14"/>
      <c r="I210" s="29" t="str">
        <f>IF(OR($C210="",$G210="",$H210&lt;&gt;"Fait"),"",MIN($G210,MAX(0,SUMIFS($G$5:$G210,$C$5:$C210,$C210,$H$5:$H210,"Fait")-SUMIFS(Paiements!$I$5:$I$2000,Paiements!$C$5:$C$2000,$C210,Paiements!$L$5:$L$2000,"Payé"))))</f>
        <v/>
      </c>
      <c r="J210" s="30" t="str">
        <f t="shared" si="7"/>
        <v/>
      </c>
      <c r="K210" s="14"/>
      <c r="L210" s="17" t="str">
        <f>IF(AND($C210&lt;&gt;"",$C210=Controle_Paiement!$B$4,$J210&lt;&gt;"Payé",$J210&lt;&gt;"Annulé",$J210&lt;&gt;""),1,"")</f>
        <v/>
      </c>
    </row>
    <row r="211" spans="1:12" x14ac:dyDescent="0.35">
      <c r="A211" s="18"/>
      <c r="B211" s="27"/>
      <c r="C211" s="14"/>
      <c r="D211" s="14"/>
      <c r="E211" s="19"/>
      <c r="F211" s="19"/>
      <c r="G211" s="28" t="str">
        <f t="shared" si="6"/>
        <v/>
      </c>
      <c r="H211" s="14"/>
      <c r="I211" s="29" t="str">
        <f>IF(OR($C211="",$G211="",$H211&lt;&gt;"Fait"),"",MIN($G211,MAX(0,SUMIFS($G$5:$G211,$C$5:$C211,$C211,$H$5:$H211,"Fait")-SUMIFS(Paiements!$I$5:$I$2000,Paiements!$C$5:$C$2000,$C211,Paiements!$L$5:$L$2000,"Payé"))))</f>
        <v/>
      </c>
      <c r="J211" s="30" t="str">
        <f t="shared" si="7"/>
        <v/>
      </c>
      <c r="K211" s="14"/>
      <c r="L211" s="17" t="str">
        <f>IF(AND($C211&lt;&gt;"",$C211=Controle_Paiement!$B$4,$J211&lt;&gt;"Payé",$J211&lt;&gt;"Annulé",$J211&lt;&gt;""),1,"")</f>
        <v/>
      </c>
    </row>
    <row r="212" spans="1:12" x14ac:dyDescent="0.35">
      <c r="A212" s="18"/>
      <c r="B212" s="27"/>
      <c r="C212" s="14"/>
      <c r="D212" s="14"/>
      <c r="E212" s="19"/>
      <c r="F212" s="19"/>
      <c r="G212" s="28" t="str">
        <f t="shared" si="6"/>
        <v/>
      </c>
      <c r="H212" s="14"/>
      <c r="I212" s="29" t="str">
        <f>IF(OR($C212="",$G212="",$H212&lt;&gt;"Fait"),"",MIN($G212,MAX(0,SUMIFS($G$5:$G212,$C$5:$C212,$C212,$H$5:$H212,"Fait")-SUMIFS(Paiements!$I$5:$I$2000,Paiements!$C$5:$C$2000,$C212,Paiements!$L$5:$L$2000,"Payé"))))</f>
        <v/>
      </c>
      <c r="J212" s="30" t="str">
        <f t="shared" si="7"/>
        <v/>
      </c>
      <c r="K212" s="14"/>
      <c r="L212" s="17" t="str">
        <f>IF(AND($C212&lt;&gt;"",$C212=Controle_Paiement!$B$4,$J212&lt;&gt;"Payé",$J212&lt;&gt;"Annulé",$J212&lt;&gt;""),1,"")</f>
        <v/>
      </c>
    </row>
    <row r="213" spans="1:12" x14ac:dyDescent="0.35">
      <c r="A213" s="18"/>
      <c r="B213" s="27"/>
      <c r="C213" s="14"/>
      <c r="D213" s="14"/>
      <c r="E213" s="19"/>
      <c r="F213" s="19"/>
      <c r="G213" s="28" t="str">
        <f t="shared" si="6"/>
        <v/>
      </c>
      <c r="H213" s="14"/>
      <c r="I213" s="29" t="str">
        <f>IF(OR($C213="",$G213="",$H213&lt;&gt;"Fait"),"",MIN($G213,MAX(0,SUMIFS($G$5:$G213,$C$5:$C213,$C213,$H$5:$H213,"Fait")-SUMIFS(Paiements!$I$5:$I$2000,Paiements!$C$5:$C$2000,$C213,Paiements!$L$5:$L$2000,"Payé"))))</f>
        <v/>
      </c>
      <c r="J213" s="30" t="str">
        <f t="shared" si="7"/>
        <v/>
      </c>
      <c r="K213" s="14"/>
      <c r="L213" s="17" t="str">
        <f>IF(AND($C213&lt;&gt;"",$C213=Controle_Paiement!$B$4,$J213&lt;&gt;"Payé",$J213&lt;&gt;"Annulé",$J213&lt;&gt;""),1,"")</f>
        <v/>
      </c>
    </row>
    <row r="214" spans="1:12" x14ac:dyDescent="0.35">
      <c r="A214" s="18"/>
      <c r="B214" s="27"/>
      <c r="C214" s="14"/>
      <c r="D214" s="14"/>
      <c r="E214" s="19"/>
      <c r="F214" s="19"/>
      <c r="G214" s="28" t="str">
        <f t="shared" si="6"/>
        <v/>
      </c>
      <c r="H214" s="14"/>
      <c r="I214" s="29" t="str">
        <f>IF(OR($C214="",$G214="",$H214&lt;&gt;"Fait"),"",MIN($G214,MAX(0,SUMIFS($G$5:$G214,$C$5:$C214,$C214,$H$5:$H214,"Fait")-SUMIFS(Paiements!$I$5:$I$2000,Paiements!$C$5:$C$2000,$C214,Paiements!$L$5:$L$2000,"Payé"))))</f>
        <v/>
      </c>
      <c r="J214" s="30" t="str">
        <f t="shared" si="7"/>
        <v/>
      </c>
      <c r="K214" s="14"/>
      <c r="L214" s="17" t="str">
        <f>IF(AND($C214&lt;&gt;"",$C214=Controle_Paiement!$B$4,$J214&lt;&gt;"Payé",$J214&lt;&gt;"Annulé",$J214&lt;&gt;""),1,"")</f>
        <v/>
      </c>
    </row>
    <row r="215" spans="1:12" x14ac:dyDescent="0.35">
      <c r="A215" s="18"/>
      <c r="B215" s="27"/>
      <c r="C215" s="14"/>
      <c r="D215" s="14"/>
      <c r="E215" s="19"/>
      <c r="F215" s="19"/>
      <c r="G215" s="28" t="str">
        <f t="shared" si="6"/>
        <v/>
      </c>
      <c r="H215" s="14"/>
      <c r="I215" s="29" t="str">
        <f>IF(OR($C215="",$G215="",$H215&lt;&gt;"Fait"),"",MIN($G215,MAX(0,SUMIFS($G$5:$G215,$C$5:$C215,$C215,$H$5:$H215,"Fait")-SUMIFS(Paiements!$I$5:$I$2000,Paiements!$C$5:$C$2000,$C215,Paiements!$L$5:$L$2000,"Payé"))))</f>
        <v/>
      </c>
      <c r="J215" s="30" t="str">
        <f t="shared" si="7"/>
        <v/>
      </c>
      <c r="K215" s="14"/>
      <c r="L215" s="17" t="str">
        <f>IF(AND($C215&lt;&gt;"",$C215=Controle_Paiement!$B$4,$J215&lt;&gt;"Payé",$J215&lt;&gt;"Annulé",$J215&lt;&gt;""),1,"")</f>
        <v/>
      </c>
    </row>
    <row r="216" spans="1:12" x14ac:dyDescent="0.35">
      <c r="A216" s="18"/>
      <c r="B216" s="27"/>
      <c r="C216" s="14"/>
      <c r="D216" s="14"/>
      <c r="E216" s="19"/>
      <c r="F216" s="19"/>
      <c r="G216" s="28" t="str">
        <f t="shared" si="6"/>
        <v/>
      </c>
      <c r="H216" s="14"/>
      <c r="I216" s="29" t="str">
        <f>IF(OR($C216="",$G216="",$H216&lt;&gt;"Fait"),"",MIN($G216,MAX(0,SUMIFS($G$5:$G216,$C$5:$C216,$C216,$H$5:$H216,"Fait")-SUMIFS(Paiements!$I$5:$I$2000,Paiements!$C$5:$C$2000,$C216,Paiements!$L$5:$L$2000,"Payé"))))</f>
        <v/>
      </c>
      <c r="J216" s="30" t="str">
        <f t="shared" si="7"/>
        <v/>
      </c>
      <c r="K216" s="14"/>
      <c r="L216" s="17" t="str">
        <f>IF(AND($C216&lt;&gt;"",$C216=Controle_Paiement!$B$4,$J216&lt;&gt;"Payé",$J216&lt;&gt;"Annulé",$J216&lt;&gt;""),1,"")</f>
        <v/>
      </c>
    </row>
    <row r="217" spans="1:12" x14ac:dyDescent="0.35">
      <c r="A217" s="18"/>
      <c r="B217" s="27"/>
      <c r="C217" s="14"/>
      <c r="D217" s="14"/>
      <c r="E217" s="19"/>
      <c r="F217" s="19"/>
      <c r="G217" s="28" t="str">
        <f t="shared" si="6"/>
        <v/>
      </c>
      <c r="H217" s="14"/>
      <c r="I217" s="29" t="str">
        <f>IF(OR($C217="",$G217="",$H217&lt;&gt;"Fait"),"",MIN($G217,MAX(0,SUMIFS($G$5:$G217,$C$5:$C217,$C217,$H$5:$H217,"Fait")-SUMIFS(Paiements!$I$5:$I$2000,Paiements!$C$5:$C$2000,$C217,Paiements!$L$5:$L$2000,"Payé"))))</f>
        <v/>
      </c>
      <c r="J217" s="30" t="str">
        <f t="shared" si="7"/>
        <v/>
      </c>
      <c r="K217" s="14"/>
      <c r="L217" s="17" t="str">
        <f>IF(AND($C217&lt;&gt;"",$C217=Controle_Paiement!$B$4,$J217&lt;&gt;"Payé",$J217&lt;&gt;"Annulé",$J217&lt;&gt;""),1,"")</f>
        <v/>
      </c>
    </row>
    <row r="218" spans="1:12" x14ac:dyDescent="0.35">
      <c r="A218" s="18"/>
      <c r="B218" s="27"/>
      <c r="C218" s="14"/>
      <c r="D218" s="14"/>
      <c r="E218" s="19"/>
      <c r="F218" s="19"/>
      <c r="G218" s="28" t="str">
        <f t="shared" si="6"/>
        <v/>
      </c>
      <c r="H218" s="14"/>
      <c r="I218" s="29" t="str">
        <f>IF(OR($C218="",$G218="",$H218&lt;&gt;"Fait"),"",MIN($G218,MAX(0,SUMIFS($G$5:$G218,$C$5:$C218,$C218,$H$5:$H218,"Fait")-SUMIFS(Paiements!$I$5:$I$2000,Paiements!$C$5:$C$2000,$C218,Paiements!$L$5:$L$2000,"Payé"))))</f>
        <v/>
      </c>
      <c r="J218" s="30" t="str">
        <f t="shared" si="7"/>
        <v/>
      </c>
      <c r="K218" s="14"/>
      <c r="L218" s="17" t="str">
        <f>IF(AND($C218&lt;&gt;"",$C218=Controle_Paiement!$B$4,$J218&lt;&gt;"Payé",$J218&lt;&gt;"Annulé",$J218&lt;&gt;""),1,"")</f>
        <v/>
      </c>
    </row>
    <row r="219" spans="1:12" x14ac:dyDescent="0.35">
      <c r="A219" s="18"/>
      <c r="B219" s="27"/>
      <c r="C219" s="14"/>
      <c r="D219" s="14"/>
      <c r="E219" s="19"/>
      <c r="F219" s="19"/>
      <c r="G219" s="28" t="str">
        <f t="shared" si="6"/>
        <v/>
      </c>
      <c r="H219" s="14"/>
      <c r="I219" s="29" t="str">
        <f>IF(OR($C219="",$G219="",$H219&lt;&gt;"Fait"),"",MIN($G219,MAX(0,SUMIFS($G$5:$G219,$C$5:$C219,$C219,$H$5:$H219,"Fait")-SUMIFS(Paiements!$I$5:$I$2000,Paiements!$C$5:$C$2000,$C219,Paiements!$L$5:$L$2000,"Payé"))))</f>
        <v/>
      </c>
      <c r="J219" s="30" t="str">
        <f t="shared" si="7"/>
        <v/>
      </c>
      <c r="K219" s="14"/>
      <c r="L219" s="17" t="str">
        <f>IF(AND($C219&lt;&gt;"",$C219=Controle_Paiement!$B$4,$J219&lt;&gt;"Payé",$J219&lt;&gt;"Annulé",$J219&lt;&gt;""),1,"")</f>
        <v/>
      </c>
    </row>
    <row r="220" spans="1:12" x14ac:dyDescent="0.35">
      <c r="A220" s="18"/>
      <c r="B220" s="27"/>
      <c r="C220" s="14"/>
      <c r="D220" s="14"/>
      <c r="E220" s="19"/>
      <c r="F220" s="19"/>
      <c r="G220" s="28" t="str">
        <f t="shared" si="6"/>
        <v/>
      </c>
      <c r="H220" s="14"/>
      <c r="I220" s="29" t="str">
        <f>IF(OR($C220="",$G220="",$H220&lt;&gt;"Fait"),"",MIN($G220,MAX(0,SUMIFS($G$5:$G220,$C$5:$C220,$C220,$H$5:$H220,"Fait")-SUMIFS(Paiements!$I$5:$I$2000,Paiements!$C$5:$C$2000,$C220,Paiements!$L$5:$L$2000,"Payé"))))</f>
        <v/>
      </c>
      <c r="J220" s="30" t="str">
        <f t="shared" si="7"/>
        <v/>
      </c>
      <c r="K220" s="14"/>
      <c r="L220" s="17" t="str">
        <f>IF(AND($C220&lt;&gt;"",$C220=Controle_Paiement!$B$4,$J220&lt;&gt;"Payé",$J220&lt;&gt;"Annulé",$J220&lt;&gt;""),1,"")</f>
        <v/>
      </c>
    </row>
    <row r="221" spans="1:12" x14ac:dyDescent="0.35">
      <c r="A221" s="18"/>
      <c r="B221" s="27"/>
      <c r="C221" s="14"/>
      <c r="D221" s="14"/>
      <c r="E221" s="19"/>
      <c r="F221" s="19"/>
      <c r="G221" s="28" t="str">
        <f t="shared" si="6"/>
        <v/>
      </c>
      <c r="H221" s="14"/>
      <c r="I221" s="29" t="str">
        <f>IF(OR($C221="",$G221="",$H221&lt;&gt;"Fait"),"",MIN($G221,MAX(0,SUMIFS($G$5:$G221,$C$5:$C221,$C221,$H$5:$H221,"Fait")-SUMIFS(Paiements!$I$5:$I$2000,Paiements!$C$5:$C$2000,$C221,Paiements!$L$5:$L$2000,"Payé"))))</f>
        <v/>
      </c>
      <c r="J221" s="30" t="str">
        <f t="shared" si="7"/>
        <v/>
      </c>
      <c r="K221" s="14"/>
      <c r="L221" s="17" t="str">
        <f>IF(AND($C221&lt;&gt;"",$C221=Controle_Paiement!$B$4,$J221&lt;&gt;"Payé",$J221&lt;&gt;"Annulé",$J221&lt;&gt;""),1,"")</f>
        <v/>
      </c>
    </row>
    <row r="222" spans="1:12" x14ac:dyDescent="0.35">
      <c r="A222" s="18"/>
      <c r="B222" s="27"/>
      <c r="C222" s="14"/>
      <c r="D222" s="14"/>
      <c r="E222" s="19"/>
      <c r="F222" s="19"/>
      <c r="G222" s="28" t="str">
        <f t="shared" si="6"/>
        <v/>
      </c>
      <c r="H222" s="14"/>
      <c r="I222" s="29" t="str">
        <f>IF(OR($C222="",$G222="",$H222&lt;&gt;"Fait"),"",MIN($G222,MAX(0,SUMIFS($G$5:$G222,$C$5:$C222,$C222,$H$5:$H222,"Fait")-SUMIFS(Paiements!$I$5:$I$2000,Paiements!$C$5:$C$2000,$C222,Paiements!$L$5:$L$2000,"Payé"))))</f>
        <v/>
      </c>
      <c r="J222" s="30" t="str">
        <f t="shared" si="7"/>
        <v/>
      </c>
      <c r="K222" s="14"/>
      <c r="L222" s="17" t="str">
        <f>IF(AND($C222&lt;&gt;"",$C222=Controle_Paiement!$B$4,$J222&lt;&gt;"Payé",$J222&lt;&gt;"Annulé",$J222&lt;&gt;""),1,"")</f>
        <v/>
      </c>
    </row>
    <row r="223" spans="1:12" x14ac:dyDescent="0.35">
      <c r="A223" s="18"/>
      <c r="B223" s="27"/>
      <c r="C223" s="14"/>
      <c r="D223" s="14"/>
      <c r="E223" s="19"/>
      <c r="F223" s="19"/>
      <c r="G223" s="28" t="str">
        <f t="shared" si="6"/>
        <v/>
      </c>
      <c r="H223" s="14"/>
      <c r="I223" s="29" t="str">
        <f>IF(OR($C223="",$G223="",$H223&lt;&gt;"Fait"),"",MIN($G223,MAX(0,SUMIFS($G$5:$G223,$C$5:$C223,$C223,$H$5:$H223,"Fait")-SUMIFS(Paiements!$I$5:$I$2000,Paiements!$C$5:$C$2000,$C223,Paiements!$L$5:$L$2000,"Payé"))))</f>
        <v/>
      </c>
      <c r="J223" s="30" t="str">
        <f t="shared" si="7"/>
        <v/>
      </c>
      <c r="K223" s="14"/>
      <c r="L223" s="17" t="str">
        <f>IF(AND($C223&lt;&gt;"",$C223=Controle_Paiement!$B$4,$J223&lt;&gt;"Payé",$J223&lt;&gt;"Annulé",$J223&lt;&gt;""),1,"")</f>
        <v/>
      </c>
    </row>
    <row r="224" spans="1:12" x14ac:dyDescent="0.35">
      <c r="A224" s="18"/>
      <c r="B224" s="27"/>
      <c r="C224" s="14"/>
      <c r="D224" s="14"/>
      <c r="E224" s="19"/>
      <c r="F224" s="19"/>
      <c r="G224" s="28" t="str">
        <f t="shared" si="6"/>
        <v/>
      </c>
      <c r="H224" s="14"/>
      <c r="I224" s="29" t="str">
        <f>IF(OR($C224="",$G224="",$H224&lt;&gt;"Fait"),"",MIN($G224,MAX(0,SUMIFS($G$5:$G224,$C$5:$C224,$C224,$H$5:$H224,"Fait")-SUMIFS(Paiements!$I$5:$I$2000,Paiements!$C$5:$C$2000,$C224,Paiements!$L$5:$L$2000,"Payé"))))</f>
        <v/>
      </c>
      <c r="J224" s="30" t="str">
        <f t="shared" si="7"/>
        <v/>
      </c>
      <c r="K224" s="14"/>
      <c r="L224" s="17" t="str">
        <f>IF(AND($C224&lt;&gt;"",$C224=Controle_Paiement!$B$4,$J224&lt;&gt;"Payé",$J224&lt;&gt;"Annulé",$J224&lt;&gt;""),1,"")</f>
        <v/>
      </c>
    </row>
    <row r="225" spans="1:12" x14ac:dyDescent="0.35">
      <c r="A225" s="18"/>
      <c r="B225" s="27"/>
      <c r="C225" s="14"/>
      <c r="D225" s="14"/>
      <c r="E225" s="19"/>
      <c r="F225" s="19"/>
      <c r="G225" s="28" t="str">
        <f t="shared" si="6"/>
        <v/>
      </c>
      <c r="H225" s="14"/>
      <c r="I225" s="29" t="str">
        <f>IF(OR($C225="",$G225="",$H225&lt;&gt;"Fait"),"",MIN($G225,MAX(0,SUMIFS($G$5:$G225,$C$5:$C225,$C225,$H$5:$H225,"Fait")-SUMIFS(Paiements!$I$5:$I$2000,Paiements!$C$5:$C$2000,$C225,Paiements!$L$5:$L$2000,"Payé"))))</f>
        <v/>
      </c>
      <c r="J225" s="30" t="str">
        <f t="shared" si="7"/>
        <v/>
      </c>
      <c r="K225" s="14"/>
      <c r="L225" s="17" t="str">
        <f>IF(AND($C225&lt;&gt;"",$C225=Controle_Paiement!$B$4,$J225&lt;&gt;"Payé",$J225&lt;&gt;"Annulé",$J225&lt;&gt;""),1,"")</f>
        <v/>
      </c>
    </row>
    <row r="226" spans="1:12" x14ac:dyDescent="0.35">
      <c r="A226" s="18"/>
      <c r="B226" s="27"/>
      <c r="C226" s="14"/>
      <c r="D226" s="14"/>
      <c r="E226" s="19"/>
      <c r="F226" s="19"/>
      <c r="G226" s="28" t="str">
        <f t="shared" si="6"/>
        <v/>
      </c>
      <c r="H226" s="14"/>
      <c r="I226" s="29" t="str">
        <f>IF(OR($C226="",$G226="",$H226&lt;&gt;"Fait"),"",MIN($G226,MAX(0,SUMIFS($G$5:$G226,$C$5:$C226,$C226,$H$5:$H226,"Fait")-SUMIFS(Paiements!$I$5:$I$2000,Paiements!$C$5:$C$2000,$C226,Paiements!$L$5:$L$2000,"Payé"))))</f>
        <v/>
      </c>
      <c r="J226" s="30" t="str">
        <f t="shared" si="7"/>
        <v/>
      </c>
      <c r="K226" s="14"/>
      <c r="L226" s="17" t="str">
        <f>IF(AND($C226&lt;&gt;"",$C226=Controle_Paiement!$B$4,$J226&lt;&gt;"Payé",$J226&lt;&gt;"Annulé",$J226&lt;&gt;""),1,"")</f>
        <v/>
      </c>
    </row>
    <row r="227" spans="1:12" x14ac:dyDescent="0.35">
      <c r="A227" s="18"/>
      <c r="B227" s="27"/>
      <c r="C227" s="14"/>
      <c r="D227" s="14"/>
      <c r="E227" s="19"/>
      <c r="F227" s="19"/>
      <c r="G227" s="28" t="str">
        <f t="shared" si="6"/>
        <v/>
      </c>
      <c r="H227" s="14"/>
      <c r="I227" s="29" t="str">
        <f>IF(OR($C227="",$G227="",$H227&lt;&gt;"Fait"),"",MIN($G227,MAX(0,SUMIFS($G$5:$G227,$C$5:$C227,$C227,$H$5:$H227,"Fait")-SUMIFS(Paiements!$I$5:$I$2000,Paiements!$C$5:$C$2000,$C227,Paiements!$L$5:$L$2000,"Payé"))))</f>
        <v/>
      </c>
      <c r="J227" s="30" t="str">
        <f t="shared" si="7"/>
        <v/>
      </c>
      <c r="K227" s="14"/>
      <c r="L227" s="17" t="str">
        <f>IF(AND($C227&lt;&gt;"",$C227=Controle_Paiement!$B$4,$J227&lt;&gt;"Payé",$J227&lt;&gt;"Annulé",$J227&lt;&gt;""),1,"")</f>
        <v/>
      </c>
    </row>
    <row r="228" spans="1:12" x14ac:dyDescent="0.35">
      <c r="A228" s="18"/>
      <c r="B228" s="27"/>
      <c r="C228" s="14"/>
      <c r="D228" s="14"/>
      <c r="E228" s="19"/>
      <c r="F228" s="19"/>
      <c r="G228" s="28" t="str">
        <f t="shared" si="6"/>
        <v/>
      </c>
      <c r="H228" s="14"/>
      <c r="I228" s="29" t="str">
        <f>IF(OR($C228="",$G228="",$H228&lt;&gt;"Fait"),"",MIN($G228,MAX(0,SUMIFS($G$5:$G228,$C$5:$C228,$C228,$H$5:$H228,"Fait")-SUMIFS(Paiements!$I$5:$I$2000,Paiements!$C$5:$C$2000,$C228,Paiements!$L$5:$L$2000,"Payé"))))</f>
        <v/>
      </c>
      <c r="J228" s="30" t="str">
        <f t="shared" si="7"/>
        <v/>
      </c>
      <c r="K228" s="14"/>
      <c r="L228" s="17" t="str">
        <f>IF(AND($C228&lt;&gt;"",$C228=Controle_Paiement!$B$4,$J228&lt;&gt;"Payé",$J228&lt;&gt;"Annulé",$J228&lt;&gt;""),1,"")</f>
        <v/>
      </c>
    </row>
    <row r="229" spans="1:12" x14ac:dyDescent="0.35">
      <c r="A229" s="18"/>
      <c r="B229" s="27"/>
      <c r="C229" s="14"/>
      <c r="D229" s="14"/>
      <c r="E229" s="19"/>
      <c r="F229" s="19"/>
      <c r="G229" s="28" t="str">
        <f t="shared" si="6"/>
        <v/>
      </c>
      <c r="H229" s="14"/>
      <c r="I229" s="29" t="str">
        <f>IF(OR($C229="",$G229="",$H229&lt;&gt;"Fait"),"",MIN($G229,MAX(0,SUMIFS($G$5:$G229,$C$5:$C229,$C229,$H$5:$H229,"Fait")-SUMIFS(Paiements!$I$5:$I$2000,Paiements!$C$5:$C$2000,$C229,Paiements!$L$5:$L$2000,"Payé"))))</f>
        <v/>
      </c>
      <c r="J229" s="30" t="str">
        <f t="shared" si="7"/>
        <v/>
      </c>
      <c r="K229" s="14"/>
      <c r="L229" s="17" t="str">
        <f>IF(AND($C229&lt;&gt;"",$C229=Controle_Paiement!$B$4,$J229&lt;&gt;"Payé",$J229&lt;&gt;"Annulé",$J229&lt;&gt;""),1,"")</f>
        <v/>
      </c>
    </row>
    <row r="230" spans="1:12" x14ac:dyDescent="0.35">
      <c r="A230" s="18"/>
      <c r="B230" s="27"/>
      <c r="C230" s="14"/>
      <c r="D230" s="14"/>
      <c r="E230" s="19"/>
      <c r="F230" s="19"/>
      <c r="G230" s="28" t="str">
        <f t="shared" si="6"/>
        <v/>
      </c>
      <c r="H230" s="14"/>
      <c r="I230" s="29" t="str">
        <f>IF(OR($C230="",$G230="",$H230&lt;&gt;"Fait"),"",MIN($G230,MAX(0,SUMIFS($G$5:$G230,$C$5:$C230,$C230,$H$5:$H230,"Fait")-SUMIFS(Paiements!$I$5:$I$2000,Paiements!$C$5:$C$2000,$C230,Paiements!$L$5:$L$2000,"Payé"))))</f>
        <v/>
      </c>
      <c r="J230" s="30" t="str">
        <f t="shared" si="7"/>
        <v/>
      </c>
      <c r="K230" s="14"/>
      <c r="L230" s="17" t="str">
        <f>IF(AND($C230&lt;&gt;"",$C230=Controle_Paiement!$B$4,$J230&lt;&gt;"Payé",$J230&lt;&gt;"Annulé",$J230&lt;&gt;""),1,"")</f>
        <v/>
      </c>
    </row>
    <row r="231" spans="1:12" x14ac:dyDescent="0.35">
      <c r="A231" s="18"/>
      <c r="B231" s="27"/>
      <c r="C231" s="14"/>
      <c r="D231" s="14"/>
      <c r="E231" s="19"/>
      <c r="F231" s="19"/>
      <c r="G231" s="28" t="str">
        <f t="shared" si="6"/>
        <v/>
      </c>
      <c r="H231" s="14"/>
      <c r="I231" s="29" t="str">
        <f>IF(OR($C231="",$G231="",$H231&lt;&gt;"Fait"),"",MIN($G231,MAX(0,SUMIFS($G$5:$G231,$C$5:$C231,$C231,$H$5:$H231,"Fait")-SUMIFS(Paiements!$I$5:$I$2000,Paiements!$C$5:$C$2000,$C231,Paiements!$L$5:$L$2000,"Payé"))))</f>
        <v/>
      </c>
      <c r="J231" s="30" t="str">
        <f t="shared" si="7"/>
        <v/>
      </c>
      <c r="K231" s="14"/>
      <c r="L231" s="17" t="str">
        <f>IF(AND($C231&lt;&gt;"",$C231=Controle_Paiement!$B$4,$J231&lt;&gt;"Payé",$J231&lt;&gt;"Annulé",$J231&lt;&gt;""),1,"")</f>
        <v/>
      </c>
    </row>
    <row r="232" spans="1:12" x14ac:dyDescent="0.35">
      <c r="A232" s="18"/>
      <c r="B232" s="27"/>
      <c r="C232" s="14"/>
      <c r="D232" s="14"/>
      <c r="E232" s="19"/>
      <c r="F232" s="19"/>
      <c r="G232" s="28" t="str">
        <f t="shared" si="6"/>
        <v/>
      </c>
      <c r="H232" s="14"/>
      <c r="I232" s="29" t="str">
        <f>IF(OR($C232="",$G232="",$H232&lt;&gt;"Fait"),"",MIN($G232,MAX(0,SUMIFS($G$5:$G232,$C$5:$C232,$C232,$H$5:$H232,"Fait")-SUMIFS(Paiements!$I$5:$I$2000,Paiements!$C$5:$C$2000,$C232,Paiements!$L$5:$L$2000,"Payé"))))</f>
        <v/>
      </c>
      <c r="J232" s="30" t="str">
        <f t="shared" si="7"/>
        <v/>
      </c>
      <c r="K232" s="14"/>
      <c r="L232" s="17" t="str">
        <f>IF(AND($C232&lt;&gt;"",$C232=Controle_Paiement!$B$4,$J232&lt;&gt;"Payé",$J232&lt;&gt;"Annulé",$J232&lt;&gt;""),1,"")</f>
        <v/>
      </c>
    </row>
    <row r="233" spans="1:12" x14ac:dyDescent="0.35">
      <c r="A233" s="18"/>
      <c r="B233" s="27"/>
      <c r="C233" s="14"/>
      <c r="D233" s="14"/>
      <c r="E233" s="19"/>
      <c r="F233" s="19"/>
      <c r="G233" s="28" t="str">
        <f t="shared" si="6"/>
        <v/>
      </c>
      <c r="H233" s="14"/>
      <c r="I233" s="29" t="str">
        <f>IF(OR($C233="",$G233="",$H233&lt;&gt;"Fait"),"",MIN($G233,MAX(0,SUMIFS($G$5:$G233,$C$5:$C233,$C233,$H$5:$H233,"Fait")-SUMIFS(Paiements!$I$5:$I$2000,Paiements!$C$5:$C$2000,$C233,Paiements!$L$5:$L$2000,"Payé"))))</f>
        <v/>
      </c>
      <c r="J233" s="30" t="str">
        <f t="shared" si="7"/>
        <v/>
      </c>
      <c r="K233" s="14"/>
      <c r="L233" s="17" t="str">
        <f>IF(AND($C233&lt;&gt;"",$C233=Controle_Paiement!$B$4,$J233&lt;&gt;"Payé",$J233&lt;&gt;"Annulé",$J233&lt;&gt;""),1,"")</f>
        <v/>
      </c>
    </row>
    <row r="234" spans="1:12" x14ac:dyDescent="0.35">
      <c r="A234" s="18"/>
      <c r="B234" s="27"/>
      <c r="C234" s="14"/>
      <c r="D234" s="14"/>
      <c r="E234" s="19"/>
      <c r="F234" s="19"/>
      <c r="G234" s="28" t="str">
        <f t="shared" si="6"/>
        <v/>
      </c>
      <c r="H234" s="14"/>
      <c r="I234" s="29" t="str">
        <f>IF(OR($C234="",$G234="",$H234&lt;&gt;"Fait"),"",MIN($G234,MAX(0,SUMIFS($G$5:$G234,$C$5:$C234,$C234,$H$5:$H234,"Fait")-SUMIFS(Paiements!$I$5:$I$2000,Paiements!$C$5:$C$2000,$C234,Paiements!$L$5:$L$2000,"Payé"))))</f>
        <v/>
      </c>
      <c r="J234" s="30" t="str">
        <f t="shared" si="7"/>
        <v/>
      </c>
      <c r="K234" s="14"/>
      <c r="L234" s="17" t="str">
        <f>IF(AND($C234&lt;&gt;"",$C234=Controle_Paiement!$B$4,$J234&lt;&gt;"Payé",$J234&lt;&gt;"Annulé",$J234&lt;&gt;""),1,"")</f>
        <v/>
      </c>
    </row>
    <row r="235" spans="1:12" x14ac:dyDescent="0.35">
      <c r="A235" s="18"/>
      <c r="B235" s="27"/>
      <c r="C235" s="14"/>
      <c r="D235" s="14"/>
      <c r="E235" s="19"/>
      <c r="F235" s="19"/>
      <c r="G235" s="28" t="str">
        <f t="shared" si="6"/>
        <v/>
      </c>
      <c r="H235" s="14"/>
      <c r="I235" s="29" t="str">
        <f>IF(OR($C235="",$G235="",$H235&lt;&gt;"Fait"),"",MIN($G235,MAX(0,SUMIFS($G$5:$G235,$C$5:$C235,$C235,$H$5:$H235,"Fait")-SUMIFS(Paiements!$I$5:$I$2000,Paiements!$C$5:$C$2000,$C235,Paiements!$L$5:$L$2000,"Payé"))))</f>
        <v/>
      </c>
      <c r="J235" s="30" t="str">
        <f t="shared" si="7"/>
        <v/>
      </c>
      <c r="K235" s="14"/>
      <c r="L235" s="17" t="str">
        <f>IF(AND($C235&lt;&gt;"",$C235=Controle_Paiement!$B$4,$J235&lt;&gt;"Payé",$J235&lt;&gt;"Annulé",$J235&lt;&gt;""),1,"")</f>
        <v/>
      </c>
    </row>
    <row r="236" spans="1:12" x14ac:dyDescent="0.35">
      <c r="A236" s="18"/>
      <c r="B236" s="27"/>
      <c r="C236" s="14"/>
      <c r="D236" s="14"/>
      <c r="E236" s="19"/>
      <c r="F236" s="19"/>
      <c r="G236" s="28" t="str">
        <f t="shared" si="6"/>
        <v/>
      </c>
      <c r="H236" s="14"/>
      <c r="I236" s="29" t="str">
        <f>IF(OR($C236="",$G236="",$H236&lt;&gt;"Fait"),"",MIN($G236,MAX(0,SUMIFS($G$5:$G236,$C$5:$C236,$C236,$H$5:$H236,"Fait")-SUMIFS(Paiements!$I$5:$I$2000,Paiements!$C$5:$C$2000,$C236,Paiements!$L$5:$L$2000,"Payé"))))</f>
        <v/>
      </c>
      <c r="J236" s="30" t="str">
        <f t="shared" si="7"/>
        <v/>
      </c>
      <c r="K236" s="14"/>
      <c r="L236" s="17" t="str">
        <f>IF(AND($C236&lt;&gt;"",$C236=Controle_Paiement!$B$4,$J236&lt;&gt;"Payé",$J236&lt;&gt;"Annulé",$J236&lt;&gt;""),1,"")</f>
        <v/>
      </c>
    </row>
    <row r="237" spans="1:12" x14ac:dyDescent="0.35">
      <c r="A237" s="18"/>
      <c r="B237" s="27"/>
      <c r="C237" s="14"/>
      <c r="D237" s="14"/>
      <c r="E237" s="19"/>
      <c r="F237" s="19"/>
      <c r="G237" s="28" t="str">
        <f t="shared" si="6"/>
        <v/>
      </c>
      <c r="H237" s="14"/>
      <c r="I237" s="29" t="str">
        <f>IF(OR($C237="",$G237="",$H237&lt;&gt;"Fait"),"",MIN($G237,MAX(0,SUMIFS($G$5:$G237,$C$5:$C237,$C237,$H$5:$H237,"Fait")-SUMIFS(Paiements!$I$5:$I$2000,Paiements!$C$5:$C$2000,$C237,Paiements!$L$5:$L$2000,"Payé"))))</f>
        <v/>
      </c>
      <c r="J237" s="30" t="str">
        <f t="shared" si="7"/>
        <v/>
      </c>
      <c r="K237" s="14"/>
      <c r="L237" s="17" t="str">
        <f>IF(AND($C237&lt;&gt;"",$C237=Controle_Paiement!$B$4,$J237&lt;&gt;"Payé",$J237&lt;&gt;"Annulé",$J237&lt;&gt;""),1,"")</f>
        <v/>
      </c>
    </row>
    <row r="238" spans="1:12" x14ac:dyDescent="0.35">
      <c r="A238" s="18"/>
      <c r="B238" s="27"/>
      <c r="C238" s="14"/>
      <c r="D238" s="14"/>
      <c r="E238" s="19"/>
      <c r="F238" s="19"/>
      <c r="G238" s="28" t="str">
        <f t="shared" si="6"/>
        <v/>
      </c>
      <c r="H238" s="14"/>
      <c r="I238" s="29" t="str">
        <f>IF(OR($C238="",$G238="",$H238&lt;&gt;"Fait"),"",MIN($G238,MAX(0,SUMIFS($G$5:$G238,$C$5:$C238,$C238,$H$5:$H238,"Fait")-SUMIFS(Paiements!$I$5:$I$2000,Paiements!$C$5:$C$2000,$C238,Paiements!$L$5:$L$2000,"Payé"))))</f>
        <v/>
      </c>
      <c r="J238" s="30" t="str">
        <f t="shared" si="7"/>
        <v/>
      </c>
      <c r="K238" s="14"/>
      <c r="L238" s="17" t="str">
        <f>IF(AND($C238&lt;&gt;"",$C238=Controle_Paiement!$B$4,$J238&lt;&gt;"Payé",$J238&lt;&gt;"Annulé",$J238&lt;&gt;""),1,"")</f>
        <v/>
      </c>
    </row>
    <row r="239" spans="1:12" x14ac:dyDescent="0.35">
      <c r="A239" s="18"/>
      <c r="B239" s="27"/>
      <c r="C239" s="14"/>
      <c r="D239" s="14"/>
      <c r="E239" s="19"/>
      <c r="F239" s="19"/>
      <c r="G239" s="28" t="str">
        <f t="shared" si="6"/>
        <v/>
      </c>
      <c r="H239" s="14"/>
      <c r="I239" s="29" t="str">
        <f>IF(OR($C239="",$G239="",$H239&lt;&gt;"Fait"),"",MIN($G239,MAX(0,SUMIFS($G$5:$G239,$C$5:$C239,$C239,$H$5:$H239,"Fait")-SUMIFS(Paiements!$I$5:$I$2000,Paiements!$C$5:$C$2000,$C239,Paiements!$L$5:$L$2000,"Payé"))))</f>
        <v/>
      </c>
      <c r="J239" s="30" t="str">
        <f t="shared" si="7"/>
        <v/>
      </c>
      <c r="K239" s="14"/>
      <c r="L239" s="17" t="str">
        <f>IF(AND($C239&lt;&gt;"",$C239=Controle_Paiement!$B$4,$J239&lt;&gt;"Payé",$J239&lt;&gt;"Annulé",$J239&lt;&gt;""),1,"")</f>
        <v/>
      </c>
    </row>
    <row r="240" spans="1:12" x14ac:dyDescent="0.35">
      <c r="A240" s="18"/>
      <c r="B240" s="27"/>
      <c r="C240" s="14"/>
      <c r="D240" s="14"/>
      <c r="E240" s="19"/>
      <c r="F240" s="19"/>
      <c r="G240" s="28" t="str">
        <f t="shared" si="6"/>
        <v/>
      </c>
      <c r="H240" s="14"/>
      <c r="I240" s="29" t="str">
        <f>IF(OR($C240="",$G240="",$H240&lt;&gt;"Fait"),"",MIN($G240,MAX(0,SUMIFS($G$5:$G240,$C$5:$C240,$C240,$H$5:$H240,"Fait")-SUMIFS(Paiements!$I$5:$I$2000,Paiements!$C$5:$C$2000,$C240,Paiements!$L$5:$L$2000,"Payé"))))</f>
        <v/>
      </c>
      <c r="J240" s="30" t="str">
        <f t="shared" si="7"/>
        <v/>
      </c>
      <c r="K240" s="14"/>
      <c r="L240" s="17" t="str">
        <f>IF(AND($C240&lt;&gt;"",$C240=Controle_Paiement!$B$4,$J240&lt;&gt;"Payé",$J240&lt;&gt;"Annulé",$J240&lt;&gt;""),1,"")</f>
        <v/>
      </c>
    </row>
    <row r="241" spans="1:12" x14ac:dyDescent="0.35">
      <c r="A241" s="18"/>
      <c r="B241" s="27"/>
      <c r="C241" s="14"/>
      <c r="D241" s="14"/>
      <c r="E241" s="19"/>
      <c r="F241" s="19"/>
      <c r="G241" s="28" t="str">
        <f t="shared" si="6"/>
        <v/>
      </c>
      <c r="H241" s="14"/>
      <c r="I241" s="29" t="str">
        <f>IF(OR($C241="",$G241="",$H241&lt;&gt;"Fait"),"",MIN($G241,MAX(0,SUMIFS($G$5:$G241,$C$5:$C241,$C241,$H$5:$H241,"Fait")-SUMIFS(Paiements!$I$5:$I$2000,Paiements!$C$5:$C$2000,$C241,Paiements!$L$5:$L$2000,"Payé"))))</f>
        <v/>
      </c>
      <c r="J241" s="30" t="str">
        <f t="shared" si="7"/>
        <v/>
      </c>
      <c r="K241" s="14"/>
      <c r="L241" s="17" t="str">
        <f>IF(AND($C241&lt;&gt;"",$C241=Controle_Paiement!$B$4,$J241&lt;&gt;"Payé",$J241&lt;&gt;"Annulé",$J241&lt;&gt;""),1,"")</f>
        <v/>
      </c>
    </row>
    <row r="242" spans="1:12" x14ac:dyDescent="0.35">
      <c r="A242" s="18"/>
      <c r="B242" s="27"/>
      <c r="C242" s="14"/>
      <c r="D242" s="14"/>
      <c r="E242" s="19"/>
      <c r="F242" s="19"/>
      <c r="G242" s="28" t="str">
        <f t="shared" si="6"/>
        <v/>
      </c>
      <c r="H242" s="14"/>
      <c r="I242" s="29" t="str">
        <f>IF(OR($C242="",$G242="",$H242&lt;&gt;"Fait"),"",MIN($G242,MAX(0,SUMIFS($G$5:$G242,$C$5:$C242,$C242,$H$5:$H242,"Fait")-SUMIFS(Paiements!$I$5:$I$2000,Paiements!$C$5:$C$2000,$C242,Paiements!$L$5:$L$2000,"Payé"))))</f>
        <v/>
      </c>
      <c r="J242" s="30" t="str">
        <f t="shared" si="7"/>
        <v/>
      </c>
      <c r="K242" s="14"/>
      <c r="L242" s="17" t="str">
        <f>IF(AND($C242&lt;&gt;"",$C242=Controle_Paiement!$B$4,$J242&lt;&gt;"Payé",$J242&lt;&gt;"Annulé",$J242&lt;&gt;""),1,"")</f>
        <v/>
      </c>
    </row>
    <row r="243" spans="1:12" x14ac:dyDescent="0.35">
      <c r="A243" s="18"/>
      <c r="B243" s="27"/>
      <c r="C243" s="14"/>
      <c r="D243" s="14"/>
      <c r="E243" s="19"/>
      <c r="F243" s="19"/>
      <c r="G243" s="28" t="str">
        <f t="shared" si="6"/>
        <v/>
      </c>
      <c r="H243" s="14"/>
      <c r="I243" s="29" t="str">
        <f>IF(OR($C243="",$G243="",$H243&lt;&gt;"Fait"),"",MIN($G243,MAX(0,SUMIFS($G$5:$G243,$C$5:$C243,$C243,$H$5:$H243,"Fait")-SUMIFS(Paiements!$I$5:$I$2000,Paiements!$C$5:$C$2000,$C243,Paiements!$L$5:$L$2000,"Payé"))))</f>
        <v/>
      </c>
      <c r="J243" s="30" t="str">
        <f t="shared" si="7"/>
        <v/>
      </c>
      <c r="K243" s="14"/>
      <c r="L243" s="17" t="str">
        <f>IF(AND($C243&lt;&gt;"",$C243=Controle_Paiement!$B$4,$J243&lt;&gt;"Payé",$J243&lt;&gt;"Annulé",$J243&lt;&gt;""),1,"")</f>
        <v/>
      </c>
    </row>
    <row r="244" spans="1:12" x14ac:dyDescent="0.35">
      <c r="A244" s="18"/>
      <c r="B244" s="27"/>
      <c r="C244" s="14"/>
      <c r="D244" s="14"/>
      <c r="E244" s="19"/>
      <c r="F244" s="19"/>
      <c r="G244" s="28" t="str">
        <f t="shared" si="6"/>
        <v/>
      </c>
      <c r="H244" s="14"/>
      <c r="I244" s="29" t="str">
        <f>IF(OR($C244="",$G244="",$H244&lt;&gt;"Fait"),"",MIN($G244,MAX(0,SUMIFS($G$5:$G244,$C$5:$C244,$C244,$H$5:$H244,"Fait")-SUMIFS(Paiements!$I$5:$I$2000,Paiements!$C$5:$C$2000,$C244,Paiements!$L$5:$L$2000,"Payé"))))</f>
        <v/>
      </c>
      <c r="J244" s="30" t="str">
        <f t="shared" si="7"/>
        <v/>
      </c>
      <c r="K244" s="14"/>
      <c r="L244" s="17" t="str">
        <f>IF(AND($C244&lt;&gt;"",$C244=Controle_Paiement!$B$4,$J244&lt;&gt;"Payé",$J244&lt;&gt;"Annulé",$J244&lt;&gt;""),1,"")</f>
        <v/>
      </c>
    </row>
    <row r="245" spans="1:12" x14ac:dyDescent="0.35">
      <c r="A245" s="18"/>
      <c r="B245" s="27"/>
      <c r="C245" s="14"/>
      <c r="D245" s="14"/>
      <c r="E245" s="19"/>
      <c r="F245" s="19"/>
      <c r="G245" s="28" t="str">
        <f t="shared" si="6"/>
        <v/>
      </c>
      <c r="H245" s="14"/>
      <c r="I245" s="29" t="str">
        <f>IF(OR($C245="",$G245="",$H245&lt;&gt;"Fait"),"",MIN($G245,MAX(0,SUMIFS($G$5:$G245,$C$5:$C245,$C245,$H$5:$H245,"Fait")-SUMIFS(Paiements!$I$5:$I$2000,Paiements!$C$5:$C$2000,$C245,Paiements!$L$5:$L$2000,"Payé"))))</f>
        <v/>
      </c>
      <c r="J245" s="30" t="str">
        <f t="shared" si="7"/>
        <v/>
      </c>
      <c r="K245" s="14"/>
      <c r="L245" s="17" t="str">
        <f>IF(AND($C245&lt;&gt;"",$C245=Controle_Paiement!$B$4,$J245&lt;&gt;"Payé",$J245&lt;&gt;"Annulé",$J245&lt;&gt;""),1,"")</f>
        <v/>
      </c>
    </row>
    <row r="246" spans="1:12" x14ac:dyDescent="0.35">
      <c r="A246" s="18"/>
      <c r="B246" s="27"/>
      <c r="C246" s="14"/>
      <c r="D246" s="14"/>
      <c r="E246" s="19"/>
      <c r="F246" s="19"/>
      <c r="G246" s="28" t="str">
        <f t="shared" si="6"/>
        <v/>
      </c>
      <c r="H246" s="14"/>
      <c r="I246" s="29" t="str">
        <f>IF(OR($C246="",$G246="",$H246&lt;&gt;"Fait"),"",MIN($G246,MAX(0,SUMIFS($G$5:$G246,$C$5:$C246,$C246,$H$5:$H246,"Fait")-SUMIFS(Paiements!$I$5:$I$2000,Paiements!$C$5:$C$2000,$C246,Paiements!$L$5:$L$2000,"Payé"))))</f>
        <v/>
      </c>
      <c r="J246" s="30" t="str">
        <f t="shared" si="7"/>
        <v/>
      </c>
      <c r="K246" s="14"/>
      <c r="L246" s="17" t="str">
        <f>IF(AND($C246&lt;&gt;"",$C246=Controle_Paiement!$B$4,$J246&lt;&gt;"Payé",$J246&lt;&gt;"Annulé",$J246&lt;&gt;""),1,"")</f>
        <v/>
      </c>
    </row>
    <row r="247" spans="1:12" x14ac:dyDescent="0.35">
      <c r="A247" s="18"/>
      <c r="B247" s="27"/>
      <c r="C247" s="14"/>
      <c r="D247" s="14"/>
      <c r="E247" s="19"/>
      <c r="F247" s="19"/>
      <c r="G247" s="28" t="str">
        <f t="shared" si="6"/>
        <v/>
      </c>
      <c r="H247" s="14"/>
      <c r="I247" s="29" t="str">
        <f>IF(OR($C247="",$G247="",$H247&lt;&gt;"Fait"),"",MIN($G247,MAX(0,SUMIFS($G$5:$G247,$C$5:$C247,$C247,$H$5:$H247,"Fait")-SUMIFS(Paiements!$I$5:$I$2000,Paiements!$C$5:$C$2000,$C247,Paiements!$L$5:$L$2000,"Payé"))))</f>
        <v/>
      </c>
      <c r="J247" s="30" t="str">
        <f t="shared" si="7"/>
        <v/>
      </c>
      <c r="K247" s="14"/>
      <c r="L247" s="17" t="str">
        <f>IF(AND($C247&lt;&gt;"",$C247=Controle_Paiement!$B$4,$J247&lt;&gt;"Payé",$J247&lt;&gt;"Annulé",$J247&lt;&gt;""),1,"")</f>
        <v/>
      </c>
    </row>
    <row r="248" spans="1:12" x14ac:dyDescent="0.35">
      <c r="A248" s="18"/>
      <c r="B248" s="27"/>
      <c r="C248" s="14"/>
      <c r="D248" s="14"/>
      <c r="E248" s="19"/>
      <c r="F248" s="19"/>
      <c r="G248" s="28" t="str">
        <f t="shared" si="6"/>
        <v/>
      </c>
      <c r="H248" s="14"/>
      <c r="I248" s="29" t="str">
        <f>IF(OR($C248="",$G248="",$H248&lt;&gt;"Fait"),"",MIN($G248,MAX(0,SUMIFS($G$5:$G248,$C$5:$C248,$C248,$H$5:$H248,"Fait")-SUMIFS(Paiements!$I$5:$I$2000,Paiements!$C$5:$C$2000,$C248,Paiements!$L$5:$L$2000,"Payé"))))</f>
        <v/>
      </c>
      <c r="J248" s="30" t="str">
        <f t="shared" si="7"/>
        <v/>
      </c>
      <c r="K248" s="14"/>
      <c r="L248" s="17" t="str">
        <f>IF(AND($C248&lt;&gt;"",$C248=Controle_Paiement!$B$4,$J248&lt;&gt;"Payé",$J248&lt;&gt;"Annulé",$J248&lt;&gt;""),1,"")</f>
        <v/>
      </c>
    </row>
    <row r="249" spans="1:12" x14ac:dyDescent="0.35">
      <c r="A249" s="18"/>
      <c r="B249" s="27"/>
      <c r="C249" s="14"/>
      <c r="D249" s="14"/>
      <c r="E249" s="19"/>
      <c r="F249" s="19"/>
      <c r="G249" s="28" t="str">
        <f t="shared" si="6"/>
        <v/>
      </c>
      <c r="H249" s="14"/>
      <c r="I249" s="29" t="str">
        <f>IF(OR($C249="",$G249="",$H249&lt;&gt;"Fait"),"",MIN($G249,MAX(0,SUMIFS($G$5:$G249,$C$5:$C249,$C249,$H$5:$H249,"Fait")-SUMIFS(Paiements!$I$5:$I$2000,Paiements!$C$5:$C$2000,$C249,Paiements!$L$5:$L$2000,"Payé"))))</f>
        <v/>
      </c>
      <c r="J249" s="30" t="str">
        <f t="shared" si="7"/>
        <v/>
      </c>
      <c r="K249" s="14"/>
      <c r="L249" s="17" t="str">
        <f>IF(AND($C249&lt;&gt;"",$C249=Controle_Paiement!$B$4,$J249&lt;&gt;"Payé",$J249&lt;&gt;"Annulé",$J249&lt;&gt;""),1,"")</f>
        <v/>
      </c>
    </row>
    <row r="250" spans="1:12" x14ac:dyDescent="0.35">
      <c r="A250" s="18"/>
      <c r="B250" s="27"/>
      <c r="C250" s="14"/>
      <c r="D250" s="14"/>
      <c r="E250" s="19"/>
      <c r="F250" s="19"/>
      <c r="G250" s="28" t="str">
        <f t="shared" si="6"/>
        <v/>
      </c>
      <c r="H250" s="14"/>
      <c r="I250" s="29" t="str">
        <f>IF(OR($C250="",$G250="",$H250&lt;&gt;"Fait"),"",MIN($G250,MAX(0,SUMIFS($G$5:$G250,$C$5:$C250,$C250,$H$5:$H250,"Fait")-SUMIFS(Paiements!$I$5:$I$2000,Paiements!$C$5:$C$2000,$C250,Paiements!$L$5:$L$2000,"Payé"))))</f>
        <v/>
      </c>
      <c r="J250" s="30" t="str">
        <f t="shared" si="7"/>
        <v/>
      </c>
      <c r="K250" s="14"/>
      <c r="L250" s="17" t="str">
        <f>IF(AND($C250&lt;&gt;"",$C250=Controle_Paiement!$B$4,$J250&lt;&gt;"Payé",$J250&lt;&gt;"Annulé",$J250&lt;&gt;""),1,"")</f>
        <v/>
      </c>
    </row>
    <row r="251" spans="1:12" x14ac:dyDescent="0.35">
      <c r="A251" s="18"/>
      <c r="B251" s="27"/>
      <c r="C251" s="14"/>
      <c r="D251" s="14"/>
      <c r="E251" s="19"/>
      <c r="F251" s="19"/>
      <c r="G251" s="28" t="str">
        <f t="shared" si="6"/>
        <v/>
      </c>
      <c r="H251" s="14"/>
      <c r="I251" s="29" t="str">
        <f>IF(OR($C251="",$G251="",$H251&lt;&gt;"Fait"),"",MIN($G251,MAX(0,SUMIFS($G$5:$G251,$C$5:$C251,$C251,$H$5:$H251,"Fait")-SUMIFS(Paiements!$I$5:$I$2000,Paiements!$C$5:$C$2000,$C251,Paiements!$L$5:$L$2000,"Payé"))))</f>
        <v/>
      </c>
      <c r="J251" s="30" t="str">
        <f t="shared" si="7"/>
        <v/>
      </c>
      <c r="K251" s="14"/>
      <c r="L251" s="17" t="str">
        <f>IF(AND($C251&lt;&gt;"",$C251=Controle_Paiement!$B$4,$J251&lt;&gt;"Payé",$J251&lt;&gt;"Annulé",$J251&lt;&gt;""),1,"")</f>
        <v/>
      </c>
    </row>
    <row r="252" spans="1:12" x14ac:dyDescent="0.35">
      <c r="A252" s="18"/>
      <c r="B252" s="27"/>
      <c r="C252" s="14"/>
      <c r="D252" s="14"/>
      <c r="E252" s="19"/>
      <c r="F252" s="19"/>
      <c r="G252" s="28" t="str">
        <f t="shared" si="6"/>
        <v/>
      </c>
      <c r="H252" s="14"/>
      <c r="I252" s="29" t="str">
        <f>IF(OR($C252="",$G252="",$H252&lt;&gt;"Fait"),"",MIN($G252,MAX(0,SUMIFS($G$5:$G252,$C$5:$C252,$C252,$H$5:$H252,"Fait")-SUMIFS(Paiements!$I$5:$I$2000,Paiements!$C$5:$C$2000,$C252,Paiements!$L$5:$L$2000,"Payé"))))</f>
        <v/>
      </c>
      <c r="J252" s="30" t="str">
        <f t="shared" si="7"/>
        <v/>
      </c>
      <c r="K252" s="14"/>
      <c r="L252" s="17" t="str">
        <f>IF(AND($C252&lt;&gt;"",$C252=Controle_Paiement!$B$4,$J252&lt;&gt;"Payé",$J252&lt;&gt;"Annulé",$J252&lt;&gt;""),1,"")</f>
        <v/>
      </c>
    </row>
    <row r="253" spans="1:12" x14ac:dyDescent="0.35">
      <c r="A253" s="18"/>
      <c r="B253" s="27"/>
      <c r="C253" s="14"/>
      <c r="D253" s="14"/>
      <c r="E253" s="19"/>
      <c r="F253" s="19"/>
      <c r="G253" s="28" t="str">
        <f t="shared" si="6"/>
        <v/>
      </c>
      <c r="H253" s="14"/>
      <c r="I253" s="29" t="str">
        <f>IF(OR($C253="",$G253="",$H253&lt;&gt;"Fait"),"",MIN($G253,MAX(0,SUMIFS($G$5:$G253,$C$5:$C253,$C253,$H$5:$H253,"Fait")-SUMIFS(Paiements!$I$5:$I$2000,Paiements!$C$5:$C$2000,$C253,Paiements!$L$5:$L$2000,"Payé"))))</f>
        <v/>
      </c>
      <c r="J253" s="30" t="str">
        <f t="shared" si="7"/>
        <v/>
      </c>
      <c r="K253" s="14"/>
      <c r="L253" s="17" t="str">
        <f>IF(AND($C253&lt;&gt;"",$C253=Controle_Paiement!$B$4,$J253&lt;&gt;"Payé",$J253&lt;&gt;"Annulé",$J253&lt;&gt;""),1,"")</f>
        <v/>
      </c>
    </row>
    <row r="254" spans="1:12" x14ac:dyDescent="0.35">
      <c r="A254" s="18"/>
      <c r="B254" s="27"/>
      <c r="C254" s="14"/>
      <c r="D254" s="14"/>
      <c r="E254" s="19"/>
      <c r="F254" s="19"/>
      <c r="G254" s="28" t="str">
        <f t="shared" si="6"/>
        <v/>
      </c>
      <c r="H254" s="14"/>
      <c r="I254" s="29" t="str">
        <f>IF(OR($C254="",$G254="",$H254&lt;&gt;"Fait"),"",MIN($G254,MAX(0,SUMIFS($G$5:$G254,$C$5:$C254,$C254,$H$5:$H254,"Fait")-SUMIFS(Paiements!$I$5:$I$2000,Paiements!$C$5:$C$2000,$C254,Paiements!$L$5:$L$2000,"Payé"))))</f>
        <v/>
      </c>
      <c r="J254" s="30" t="str">
        <f t="shared" si="7"/>
        <v/>
      </c>
      <c r="K254" s="14"/>
      <c r="L254" s="17" t="str">
        <f>IF(AND($C254&lt;&gt;"",$C254=Controle_Paiement!$B$4,$J254&lt;&gt;"Payé",$J254&lt;&gt;"Annulé",$J254&lt;&gt;""),1,"")</f>
        <v/>
      </c>
    </row>
    <row r="255" spans="1:12" x14ac:dyDescent="0.35">
      <c r="A255" s="18"/>
      <c r="B255" s="27"/>
      <c r="C255" s="14"/>
      <c r="D255" s="14"/>
      <c r="E255" s="19"/>
      <c r="F255" s="19"/>
      <c r="G255" s="28" t="str">
        <f t="shared" si="6"/>
        <v/>
      </c>
      <c r="H255" s="14"/>
      <c r="I255" s="29" t="str">
        <f>IF(OR($C255="",$G255="",$H255&lt;&gt;"Fait"),"",MIN($G255,MAX(0,SUMIFS($G$5:$G255,$C$5:$C255,$C255,$H$5:$H255,"Fait")-SUMIFS(Paiements!$I$5:$I$2000,Paiements!$C$5:$C$2000,$C255,Paiements!$L$5:$L$2000,"Payé"))))</f>
        <v/>
      </c>
      <c r="J255" s="30" t="str">
        <f t="shared" si="7"/>
        <v/>
      </c>
      <c r="K255" s="14"/>
      <c r="L255" s="17" t="str">
        <f>IF(AND($C255&lt;&gt;"",$C255=Controle_Paiement!$B$4,$J255&lt;&gt;"Payé",$J255&lt;&gt;"Annulé",$J255&lt;&gt;""),1,"")</f>
        <v/>
      </c>
    </row>
    <row r="256" spans="1:12" x14ac:dyDescent="0.35">
      <c r="A256" s="18"/>
      <c r="B256" s="27"/>
      <c r="C256" s="14"/>
      <c r="D256" s="14"/>
      <c r="E256" s="19"/>
      <c r="F256" s="19"/>
      <c r="G256" s="28" t="str">
        <f t="shared" si="6"/>
        <v/>
      </c>
      <c r="H256" s="14"/>
      <c r="I256" s="29" t="str">
        <f>IF(OR($C256="",$G256="",$H256&lt;&gt;"Fait"),"",MIN($G256,MAX(0,SUMIFS($G$5:$G256,$C$5:$C256,$C256,$H$5:$H256,"Fait")-SUMIFS(Paiements!$I$5:$I$2000,Paiements!$C$5:$C$2000,$C256,Paiements!$L$5:$L$2000,"Payé"))))</f>
        <v/>
      </c>
      <c r="J256" s="30" t="str">
        <f t="shared" si="7"/>
        <v/>
      </c>
      <c r="K256" s="14"/>
      <c r="L256" s="17" t="str">
        <f>IF(AND($C256&lt;&gt;"",$C256=Controle_Paiement!$B$4,$J256&lt;&gt;"Payé",$J256&lt;&gt;"Annulé",$J256&lt;&gt;""),1,"")</f>
        <v/>
      </c>
    </row>
    <row r="257" spans="1:12" x14ac:dyDescent="0.35">
      <c r="A257" s="18"/>
      <c r="B257" s="27"/>
      <c r="C257" s="14"/>
      <c r="D257" s="14"/>
      <c r="E257" s="19"/>
      <c r="F257" s="19"/>
      <c r="G257" s="28" t="str">
        <f t="shared" si="6"/>
        <v/>
      </c>
      <c r="H257" s="14"/>
      <c r="I257" s="29" t="str">
        <f>IF(OR($C257="",$G257="",$H257&lt;&gt;"Fait"),"",MIN($G257,MAX(0,SUMIFS($G$5:$G257,$C$5:$C257,$C257,$H$5:$H257,"Fait")-SUMIFS(Paiements!$I$5:$I$2000,Paiements!$C$5:$C$2000,$C257,Paiements!$L$5:$L$2000,"Payé"))))</f>
        <v/>
      </c>
      <c r="J257" s="30" t="str">
        <f t="shared" si="7"/>
        <v/>
      </c>
      <c r="K257" s="14"/>
      <c r="L257" s="17" t="str">
        <f>IF(AND($C257&lt;&gt;"",$C257=Controle_Paiement!$B$4,$J257&lt;&gt;"Payé",$J257&lt;&gt;"Annulé",$J257&lt;&gt;""),1,"")</f>
        <v/>
      </c>
    </row>
    <row r="258" spans="1:12" x14ac:dyDescent="0.35">
      <c r="A258" s="18"/>
      <c r="B258" s="27"/>
      <c r="C258" s="14"/>
      <c r="D258" s="14"/>
      <c r="E258" s="19"/>
      <c r="F258" s="19"/>
      <c r="G258" s="28" t="str">
        <f t="shared" si="6"/>
        <v/>
      </c>
      <c r="H258" s="14"/>
      <c r="I258" s="29" t="str">
        <f>IF(OR($C258="",$G258="",$H258&lt;&gt;"Fait"),"",MIN($G258,MAX(0,SUMIFS($G$5:$G258,$C$5:$C258,$C258,$H$5:$H258,"Fait")-SUMIFS(Paiements!$I$5:$I$2000,Paiements!$C$5:$C$2000,$C258,Paiements!$L$5:$L$2000,"Payé"))))</f>
        <v/>
      </c>
      <c r="J258" s="30" t="str">
        <f t="shared" si="7"/>
        <v/>
      </c>
      <c r="K258" s="14"/>
      <c r="L258" s="17" t="str">
        <f>IF(AND($C258&lt;&gt;"",$C258=Controle_Paiement!$B$4,$J258&lt;&gt;"Payé",$J258&lt;&gt;"Annulé",$J258&lt;&gt;""),1,"")</f>
        <v/>
      </c>
    </row>
    <row r="259" spans="1:12" x14ac:dyDescent="0.35">
      <c r="A259" s="18"/>
      <c r="B259" s="27"/>
      <c r="C259" s="14"/>
      <c r="D259" s="14"/>
      <c r="E259" s="19"/>
      <c r="F259" s="19"/>
      <c r="G259" s="28" t="str">
        <f t="shared" ref="G259:G322" si="8">IF(OR($E259="",$F259=""),"",ROUND($E259*$F259,0))</f>
        <v/>
      </c>
      <c r="H259" s="14"/>
      <c r="I259" s="29" t="str">
        <f>IF(OR($C259="",$G259="",$H259&lt;&gt;"Fait"),"",MIN($G259,MAX(0,SUMIFS($G$5:$G259,$C$5:$C259,$C259,$H$5:$H259,"Fait")-SUMIFS(Paiements!$I$5:$I$2000,Paiements!$C$5:$C$2000,$C259,Paiements!$L$5:$L$2000,"Payé"))))</f>
        <v/>
      </c>
      <c r="J259" s="30" t="str">
        <f t="shared" ref="J259:J322" si="9">IF(OR($C259="",$G259=""),"",IF($H259="Annulé","Annulé",IF($H259&lt;&gt;"Fait","Non payable (déchargement non fait)",IF($I259=0,"Payé",IF($I259&lt;$G259,"Partiellement payé","À payer")))))</f>
        <v/>
      </c>
      <c r="K259" s="14"/>
      <c r="L259" s="17" t="str">
        <f>IF(AND($C259&lt;&gt;"",$C259=Controle_Paiement!$B$4,$J259&lt;&gt;"Payé",$J259&lt;&gt;"Annulé",$J259&lt;&gt;""),1,"")</f>
        <v/>
      </c>
    </row>
    <row r="260" spans="1:12" x14ac:dyDescent="0.35">
      <c r="A260" s="18"/>
      <c r="B260" s="27"/>
      <c r="C260" s="14"/>
      <c r="D260" s="14"/>
      <c r="E260" s="19"/>
      <c r="F260" s="19"/>
      <c r="G260" s="28" t="str">
        <f t="shared" si="8"/>
        <v/>
      </c>
      <c r="H260" s="14"/>
      <c r="I260" s="29" t="str">
        <f>IF(OR($C260="",$G260="",$H260&lt;&gt;"Fait"),"",MIN($G260,MAX(0,SUMIFS($G$5:$G260,$C$5:$C260,$C260,$H$5:$H260,"Fait")-SUMIFS(Paiements!$I$5:$I$2000,Paiements!$C$5:$C$2000,$C260,Paiements!$L$5:$L$2000,"Payé"))))</f>
        <v/>
      </c>
      <c r="J260" s="30" t="str">
        <f t="shared" si="9"/>
        <v/>
      </c>
      <c r="K260" s="14"/>
      <c r="L260" s="17" t="str">
        <f>IF(AND($C260&lt;&gt;"",$C260=Controle_Paiement!$B$4,$J260&lt;&gt;"Payé",$J260&lt;&gt;"Annulé",$J260&lt;&gt;""),1,"")</f>
        <v/>
      </c>
    </row>
    <row r="261" spans="1:12" x14ac:dyDescent="0.35">
      <c r="A261" s="18"/>
      <c r="B261" s="27"/>
      <c r="C261" s="14"/>
      <c r="D261" s="14"/>
      <c r="E261" s="19"/>
      <c r="F261" s="19"/>
      <c r="G261" s="28" t="str">
        <f t="shared" si="8"/>
        <v/>
      </c>
      <c r="H261" s="14"/>
      <c r="I261" s="29" t="str">
        <f>IF(OR($C261="",$G261="",$H261&lt;&gt;"Fait"),"",MIN($G261,MAX(0,SUMIFS($G$5:$G261,$C$5:$C261,$C261,$H$5:$H261,"Fait")-SUMIFS(Paiements!$I$5:$I$2000,Paiements!$C$5:$C$2000,$C261,Paiements!$L$5:$L$2000,"Payé"))))</f>
        <v/>
      </c>
      <c r="J261" s="30" t="str">
        <f t="shared" si="9"/>
        <v/>
      </c>
      <c r="K261" s="14"/>
      <c r="L261" s="17" t="str">
        <f>IF(AND($C261&lt;&gt;"",$C261=Controle_Paiement!$B$4,$J261&lt;&gt;"Payé",$J261&lt;&gt;"Annulé",$J261&lt;&gt;""),1,"")</f>
        <v/>
      </c>
    </row>
    <row r="262" spans="1:12" x14ac:dyDescent="0.35">
      <c r="A262" s="18"/>
      <c r="B262" s="27"/>
      <c r="C262" s="14"/>
      <c r="D262" s="14"/>
      <c r="E262" s="19"/>
      <c r="F262" s="19"/>
      <c r="G262" s="28" t="str">
        <f t="shared" si="8"/>
        <v/>
      </c>
      <c r="H262" s="14"/>
      <c r="I262" s="29" t="str">
        <f>IF(OR($C262="",$G262="",$H262&lt;&gt;"Fait"),"",MIN($G262,MAX(0,SUMIFS($G$5:$G262,$C$5:$C262,$C262,$H$5:$H262,"Fait")-SUMIFS(Paiements!$I$5:$I$2000,Paiements!$C$5:$C$2000,$C262,Paiements!$L$5:$L$2000,"Payé"))))</f>
        <v/>
      </c>
      <c r="J262" s="30" t="str">
        <f t="shared" si="9"/>
        <v/>
      </c>
      <c r="K262" s="14"/>
      <c r="L262" s="17" t="str">
        <f>IF(AND($C262&lt;&gt;"",$C262=Controle_Paiement!$B$4,$J262&lt;&gt;"Payé",$J262&lt;&gt;"Annulé",$J262&lt;&gt;""),1,"")</f>
        <v/>
      </c>
    </row>
    <row r="263" spans="1:12" x14ac:dyDescent="0.35">
      <c r="A263" s="18"/>
      <c r="B263" s="27"/>
      <c r="C263" s="14"/>
      <c r="D263" s="14"/>
      <c r="E263" s="19"/>
      <c r="F263" s="19"/>
      <c r="G263" s="28" t="str">
        <f t="shared" si="8"/>
        <v/>
      </c>
      <c r="H263" s="14"/>
      <c r="I263" s="29" t="str">
        <f>IF(OR($C263="",$G263="",$H263&lt;&gt;"Fait"),"",MIN($G263,MAX(0,SUMIFS($G$5:$G263,$C$5:$C263,$C263,$H$5:$H263,"Fait")-SUMIFS(Paiements!$I$5:$I$2000,Paiements!$C$5:$C$2000,$C263,Paiements!$L$5:$L$2000,"Payé"))))</f>
        <v/>
      </c>
      <c r="J263" s="30" t="str">
        <f t="shared" si="9"/>
        <v/>
      </c>
      <c r="K263" s="14"/>
      <c r="L263" s="17" t="str">
        <f>IF(AND($C263&lt;&gt;"",$C263=Controle_Paiement!$B$4,$J263&lt;&gt;"Payé",$J263&lt;&gt;"Annulé",$J263&lt;&gt;""),1,"")</f>
        <v/>
      </c>
    </row>
    <row r="264" spans="1:12" x14ac:dyDescent="0.35">
      <c r="A264" s="18"/>
      <c r="B264" s="27"/>
      <c r="C264" s="14"/>
      <c r="D264" s="14"/>
      <c r="E264" s="19"/>
      <c r="F264" s="19"/>
      <c r="G264" s="28" t="str">
        <f t="shared" si="8"/>
        <v/>
      </c>
      <c r="H264" s="14"/>
      <c r="I264" s="29" t="str">
        <f>IF(OR($C264="",$G264="",$H264&lt;&gt;"Fait"),"",MIN($G264,MAX(0,SUMIFS($G$5:$G264,$C$5:$C264,$C264,$H$5:$H264,"Fait")-SUMIFS(Paiements!$I$5:$I$2000,Paiements!$C$5:$C$2000,$C264,Paiements!$L$5:$L$2000,"Payé"))))</f>
        <v/>
      </c>
      <c r="J264" s="30" t="str">
        <f t="shared" si="9"/>
        <v/>
      </c>
      <c r="K264" s="14"/>
      <c r="L264" s="17" t="str">
        <f>IF(AND($C264&lt;&gt;"",$C264=Controle_Paiement!$B$4,$J264&lt;&gt;"Payé",$J264&lt;&gt;"Annulé",$J264&lt;&gt;""),1,"")</f>
        <v/>
      </c>
    </row>
    <row r="265" spans="1:12" x14ac:dyDescent="0.35">
      <c r="A265" s="18"/>
      <c r="B265" s="27"/>
      <c r="C265" s="14"/>
      <c r="D265" s="14"/>
      <c r="E265" s="19"/>
      <c r="F265" s="19"/>
      <c r="G265" s="28" t="str">
        <f t="shared" si="8"/>
        <v/>
      </c>
      <c r="H265" s="14"/>
      <c r="I265" s="29" t="str">
        <f>IF(OR($C265="",$G265="",$H265&lt;&gt;"Fait"),"",MIN($G265,MAX(0,SUMIFS($G$5:$G265,$C$5:$C265,$C265,$H$5:$H265,"Fait")-SUMIFS(Paiements!$I$5:$I$2000,Paiements!$C$5:$C$2000,$C265,Paiements!$L$5:$L$2000,"Payé"))))</f>
        <v/>
      </c>
      <c r="J265" s="30" t="str">
        <f t="shared" si="9"/>
        <v/>
      </c>
      <c r="K265" s="14"/>
      <c r="L265" s="17" t="str">
        <f>IF(AND($C265&lt;&gt;"",$C265=Controle_Paiement!$B$4,$J265&lt;&gt;"Payé",$J265&lt;&gt;"Annulé",$J265&lt;&gt;""),1,"")</f>
        <v/>
      </c>
    </row>
    <row r="266" spans="1:12" x14ac:dyDescent="0.35">
      <c r="A266" s="18"/>
      <c r="B266" s="27"/>
      <c r="C266" s="14"/>
      <c r="D266" s="14"/>
      <c r="E266" s="19"/>
      <c r="F266" s="19"/>
      <c r="G266" s="28" t="str">
        <f t="shared" si="8"/>
        <v/>
      </c>
      <c r="H266" s="14"/>
      <c r="I266" s="29" t="str">
        <f>IF(OR($C266="",$G266="",$H266&lt;&gt;"Fait"),"",MIN($G266,MAX(0,SUMIFS($G$5:$G266,$C$5:$C266,$C266,$H$5:$H266,"Fait")-SUMIFS(Paiements!$I$5:$I$2000,Paiements!$C$5:$C$2000,$C266,Paiements!$L$5:$L$2000,"Payé"))))</f>
        <v/>
      </c>
      <c r="J266" s="30" t="str">
        <f t="shared" si="9"/>
        <v/>
      </c>
      <c r="K266" s="14"/>
      <c r="L266" s="17" t="str">
        <f>IF(AND($C266&lt;&gt;"",$C266=Controle_Paiement!$B$4,$J266&lt;&gt;"Payé",$J266&lt;&gt;"Annulé",$J266&lt;&gt;""),1,"")</f>
        <v/>
      </c>
    </row>
    <row r="267" spans="1:12" x14ac:dyDescent="0.35">
      <c r="A267" s="18"/>
      <c r="B267" s="27"/>
      <c r="C267" s="14"/>
      <c r="D267" s="14"/>
      <c r="E267" s="19"/>
      <c r="F267" s="19"/>
      <c r="G267" s="28" t="str">
        <f t="shared" si="8"/>
        <v/>
      </c>
      <c r="H267" s="14"/>
      <c r="I267" s="29" t="str">
        <f>IF(OR($C267="",$G267="",$H267&lt;&gt;"Fait"),"",MIN($G267,MAX(0,SUMIFS($G$5:$G267,$C$5:$C267,$C267,$H$5:$H267,"Fait")-SUMIFS(Paiements!$I$5:$I$2000,Paiements!$C$5:$C$2000,$C267,Paiements!$L$5:$L$2000,"Payé"))))</f>
        <v/>
      </c>
      <c r="J267" s="30" t="str">
        <f t="shared" si="9"/>
        <v/>
      </c>
      <c r="K267" s="14"/>
      <c r="L267" s="17" t="str">
        <f>IF(AND($C267&lt;&gt;"",$C267=Controle_Paiement!$B$4,$J267&lt;&gt;"Payé",$J267&lt;&gt;"Annulé",$J267&lt;&gt;""),1,"")</f>
        <v/>
      </c>
    </row>
    <row r="268" spans="1:12" x14ac:dyDescent="0.35">
      <c r="A268" s="18"/>
      <c r="B268" s="27"/>
      <c r="C268" s="14"/>
      <c r="D268" s="14"/>
      <c r="E268" s="19"/>
      <c r="F268" s="19"/>
      <c r="G268" s="28" t="str">
        <f t="shared" si="8"/>
        <v/>
      </c>
      <c r="H268" s="14"/>
      <c r="I268" s="29" t="str">
        <f>IF(OR($C268="",$G268="",$H268&lt;&gt;"Fait"),"",MIN($G268,MAX(0,SUMIFS($G$5:$G268,$C$5:$C268,$C268,$H$5:$H268,"Fait")-SUMIFS(Paiements!$I$5:$I$2000,Paiements!$C$5:$C$2000,$C268,Paiements!$L$5:$L$2000,"Payé"))))</f>
        <v/>
      </c>
      <c r="J268" s="30" t="str">
        <f t="shared" si="9"/>
        <v/>
      </c>
      <c r="K268" s="14"/>
      <c r="L268" s="17" t="str">
        <f>IF(AND($C268&lt;&gt;"",$C268=Controle_Paiement!$B$4,$J268&lt;&gt;"Payé",$J268&lt;&gt;"Annulé",$J268&lt;&gt;""),1,"")</f>
        <v/>
      </c>
    </row>
    <row r="269" spans="1:12" x14ac:dyDescent="0.35">
      <c r="A269" s="18"/>
      <c r="B269" s="27"/>
      <c r="C269" s="14"/>
      <c r="D269" s="14"/>
      <c r="E269" s="19"/>
      <c r="F269" s="19"/>
      <c r="G269" s="28" t="str">
        <f t="shared" si="8"/>
        <v/>
      </c>
      <c r="H269" s="14"/>
      <c r="I269" s="29" t="str">
        <f>IF(OR($C269="",$G269="",$H269&lt;&gt;"Fait"),"",MIN($G269,MAX(0,SUMIFS($G$5:$G269,$C$5:$C269,$C269,$H$5:$H269,"Fait")-SUMIFS(Paiements!$I$5:$I$2000,Paiements!$C$5:$C$2000,$C269,Paiements!$L$5:$L$2000,"Payé"))))</f>
        <v/>
      </c>
      <c r="J269" s="30" t="str">
        <f t="shared" si="9"/>
        <v/>
      </c>
      <c r="K269" s="14"/>
      <c r="L269" s="17" t="str">
        <f>IF(AND($C269&lt;&gt;"",$C269=Controle_Paiement!$B$4,$J269&lt;&gt;"Payé",$J269&lt;&gt;"Annulé",$J269&lt;&gt;""),1,"")</f>
        <v/>
      </c>
    </row>
    <row r="270" spans="1:12" x14ac:dyDescent="0.35">
      <c r="A270" s="18"/>
      <c r="B270" s="27"/>
      <c r="C270" s="14"/>
      <c r="D270" s="14"/>
      <c r="E270" s="19"/>
      <c r="F270" s="19"/>
      <c r="G270" s="28" t="str">
        <f t="shared" si="8"/>
        <v/>
      </c>
      <c r="H270" s="14"/>
      <c r="I270" s="29" t="str">
        <f>IF(OR($C270="",$G270="",$H270&lt;&gt;"Fait"),"",MIN($G270,MAX(0,SUMIFS($G$5:$G270,$C$5:$C270,$C270,$H$5:$H270,"Fait")-SUMIFS(Paiements!$I$5:$I$2000,Paiements!$C$5:$C$2000,$C270,Paiements!$L$5:$L$2000,"Payé"))))</f>
        <v/>
      </c>
      <c r="J270" s="30" t="str">
        <f t="shared" si="9"/>
        <v/>
      </c>
      <c r="K270" s="14"/>
      <c r="L270" s="17" t="str">
        <f>IF(AND($C270&lt;&gt;"",$C270=Controle_Paiement!$B$4,$J270&lt;&gt;"Payé",$J270&lt;&gt;"Annulé",$J270&lt;&gt;""),1,"")</f>
        <v/>
      </c>
    </row>
    <row r="271" spans="1:12" x14ac:dyDescent="0.35">
      <c r="A271" s="18"/>
      <c r="B271" s="27"/>
      <c r="C271" s="14"/>
      <c r="D271" s="14"/>
      <c r="E271" s="19"/>
      <c r="F271" s="19"/>
      <c r="G271" s="28" t="str">
        <f t="shared" si="8"/>
        <v/>
      </c>
      <c r="H271" s="14"/>
      <c r="I271" s="29" t="str">
        <f>IF(OR($C271="",$G271="",$H271&lt;&gt;"Fait"),"",MIN($G271,MAX(0,SUMIFS($G$5:$G271,$C$5:$C271,$C271,$H$5:$H271,"Fait")-SUMIFS(Paiements!$I$5:$I$2000,Paiements!$C$5:$C$2000,$C271,Paiements!$L$5:$L$2000,"Payé"))))</f>
        <v/>
      </c>
      <c r="J271" s="30" t="str">
        <f t="shared" si="9"/>
        <v/>
      </c>
      <c r="K271" s="14"/>
      <c r="L271" s="17" t="str">
        <f>IF(AND($C271&lt;&gt;"",$C271=Controle_Paiement!$B$4,$J271&lt;&gt;"Payé",$J271&lt;&gt;"Annulé",$J271&lt;&gt;""),1,"")</f>
        <v/>
      </c>
    </row>
    <row r="272" spans="1:12" x14ac:dyDescent="0.35">
      <c r="A272" s="18"/>
      <c r="B272" s="27"/>
      <c r="C272" s="14"/>
      <c r="D272" s="14"/>
      <c r="E272" s="19"/>
      <c r="F272" s="19"/>
      <c r="G272" s="28" t="str">
        <f t="shared" si="8"/>
        <v/>
      </c>
      <c r="H272" s="14"/>
      <c r="I272" s="29" t="str">
        <f>IF(OR($C272="",$G272="",$H272&lt;&gt;"Fait"),"",MIN($G272,MAX(0,SUMIFS($G$5:$G272,$C$5:$C272,$C272,$H$5:$H272,"Fait")-SUMIFS(Paiements!$I$5:$I$2000,Paiements!$C$5:$C$2000,$C272,Paiements!$L$5:$L$2000,"Payé"))))</f>
        <v/>
      </c>
      <c r="J272" s="30" t="str">
        <f t="shared" si="9"/>
        <v/>
      </c>
      <c r="K272" s="14"/>
      <c r="L272" s="17" t="str">
        <f>IF(AND($C272&lt;&gt;"",$C272=Controle_Paiement!$B$4,$J272&lt;&gt;"Payé",$J272&lt;&gt;"Annulé",$J272&lt;&gt;""),1,"")</f>
        <v/>
      </c>
    </row>
    <row r="273" spans="1:12" x14ac:dyDescent="0.35">
      <c r="A273" s="18"/>
      <c r="B273" s="27"/>
      <c r="C273" s="14"/>
      <c r="D273" s="14"/>
      <c r="E273" s="19"/>
      <c r="F273" s="19"/>
      <c r="G273" s="28" t="str">
        <f t="shared" si="8"/>
        <v/>
      </c>
      <c r="H273" s="14"/>
      <c r="I273" s="29" t="str">
        <f>IF(OR($C273="",$G273="",$H273&lt;&gt;"Fait"),"",MIN($G273,MAX(0,SUMIFS($G$5:$G273,$C$5:$C273,$C273,$H$5:$H273,"Fait")-SUMIFS(Paiements!$I$5:$I$2000,Paiements!$C$5:$C$2000,$C273,Paiements!$L$5:$L$2000,"Payé"))))</f>
        <v/>
      </c>
      <c r="J273" s="30" t="str">
        <f t="shared" si="9"/>
        <v/>
      </c>
      <c r="K273" s="14"/>
      <c r="L273" s="17" t="str">
        <f>IF(AND($C273&lt;&gt;"",$C273=Controle_Paiement!$B$4,$J273&lt;&gt;"Payé",$J273&lt;&gt;"Annulé",$J273&lt;&gt;""),1,"")</f>
        <v/>
      </c>
    </row>
    <row r="274" spans="1:12" x14ac:dyDescent="0.35">
      <c r="A274" s="18"/>
      <c r="B274" s="27"/>
      <c r="C274" s="14"/>
      <c r="D274" s="14"/>
      <c r="E274" s="19"/>
      <c r="F274" s="19"/>
      <c r="G274" s="28" t="str">
        <f t="shared" si="8"/>
        <v/>
      </c>
      <c r="H274" s="14"/>
      <c r="I274" s="29" t="str">
        <f>IF(OR($C274="",$G274="",$H274&lt;&gt;"Fait"),"",MIN($G274,MAX(0,SUMIFS($G$5:$G274,$C$5:$C274,$C274,$H$5:$H274,"Fait")-SUMIFS(Paiements!$I$5:$I$2000,Paiements!$C$5:$C$2000,$C274,Paiements!$L$5:$L$2000,"Payé"))))</f>
        <v/>
      </c>
      <c r="J274" s="30" t="str">
        <f t="shared" si="9"/>
        <v/>
      </c>
      <c r="K274" s="14"/>
      <c r="L274" s="17" t="str">
        <f>IF(AND($C274&lt;&gt;"",$C274=Controle_Paiement!$B$4,$J274&lt;&gt;"Payé",$J274&lt;&gt;"Annulé",$J274&lt;&gt;""),1,"")</f>
        <v/>
      </c>
    </row>
    <row r="275" spans="1:12" x14ac:dyDescent="0.35">
      <c r="A275" s="18"/>
      <c r="B275" s="27"/>
      <c r="C275" s="14"/>
      <c r="D275" s="14"/>
      <c r="E275" s="19"/>
      <c r="F275" s="19"/>
      <c r="G275" s="28" t="str">
        <f t="shared" si="8"/>
        <v/>
      </c>
      <c r="H275" s="14"/>
      <c r="I275" s="29" t="str">
        <f>IF(OR($C275="",$G275="",$H275&lt;&gt;"Fait"),"",MIN($G275,MAX(0,SUMIFS($G$5:$G275,$C$5:$C275,$C275,$H$5:$H275,"Fait")-SUMIFS(Paiements!$I$5:$I$2000,Paiements!$C$5:$C$2000,$C275,Paiements!$L$5:$L$2000,"Payé"))))</f>
        <v/>
      </c>
      <c r="J275" s="30" t="str">
        <f t="shared" si="9"/>
        <v/>
      </c>
      <c r="K275" s="14"/>
      <c r="L275" s="17" t="str">
        <f>IF(AND($C275&lt;&gt;"",$C275=Controle_Paiement!$B$4,$J275&lt;&gt;"Payé",$J275&lt;&gt;"Annulé",$J275&lt;&gt;""),1,"")</f>
        <v/>
      </c>
    </row>
    <row r="276" spans="1:12" x14ac:dyDescent="0.35">
      <c r="A276" s="18"/>
      <c r="B276" s="27"/>
      <c r="C276" s="14"/>
      <c r="D276" s="14"/>
      <c r="E276" s="19"/>
      <c r="F276" s="19"/>
      <c r="G276" s="28" t="str">
        <f t="shared" si="8"/>
        <v/>
      </c>
      <c r="H276" s="14"/>
      <c r="I276" s="29" t="str">
        <f>IF(OR($C276="",$G276="",$H276&lt;&gt;"Fait"),"",MIN($G276,MAX(0,SUMIFS($G$5:$G276,$C$5:$C276,$C276,$H$5:$H276,"Fait")-SUMIFS(Paiements!$I$5:$I$2000,Paiements!$C$5:$C$2000,$C276,Paiements!$L$5:$L$2000,"Payé"))))</f>
        <v/>
      </c>
      <c r="J276" s="30" t="str">
        <f t="shared" si="9"/>
        <v/>
      </c>
      <c r="K276" s="14"/>
      <c r="L276" s="17" t="str">
        <f>IF(AND($C276&lt;&gt;"",$C276=Controle_Paiement!$B$4,$J276&lt;&gt;"Payé",$J276&lt;&gt;"Annulé",$J276&lt;&gt;""),1,"")</f>
        <v/>
      </c>
    </row>
    <row r="277" spans="1:12" x14ac:dyDescent="0.35">
      <c r="A277" s="18"/>
      <c r="B277" s="27"/>
      <c r="C277" s="14"/>
      <c r="D277" s="14"/>
      <c r="E277" s="19"/>
      <c r="F277" s="19"/>
      <c r="G277" s="28" t="str">
        <f t="shared" si="8"/>
        <v/>
      </c>
      <c r="H277" s="14"/>
      <c r="I277" s="29" t="str">
        <f>IF(OR($C277="",$G277="",$H277&lt;&gt;"Fait"),"",MIN($G277,MAX(0,SUMIFS($G$5:$G277,$C$5:$C277,$C277,$H$5:$H277,"Fait")-SUMIFS(Paiements!$I$5:$I$2000,Paiements!$C$5:$C$2000,$C277,Paiements!$L$5:$L$2000,"Payé"))))</f>
        <v/>
      </c>
      <c r="J277" s="30" t="str">
        <f t="shared" si="9"/>
        <v/>
      </c>
      <c r="K277" s="14"/>
      <c r="L277" s="17" t="str">
        <f>IF(AND($C277&lt;&gt;"",$C277=Controle_Paiement!$B$4,$J277&lt;&gt;"Payé",$J277&lt;&gt;"Annulé",$J277&lt;&gt;""),1,"")</f>
        <v/>
      </c>
    </row>
    <row r="278" spans="1:12" x14ac:dyDescent="0.35">
      <c r="A278" s="18"/>
      <c r="B278" s="27"/>
      <c r="C278" s="14"/>
      <c r="D278" s="14"/>
      <c r="E278" s="19"/>
      <c r="F278" s="19"/>
      <c r="G278" s="28" t="str">
        <f t="shared" si="8"/>
        <v/>
      </c>
      <c r="H278" s="14"/>
      <c r="I278" s="29" t="str">
        <f>IF(OR($C278="",$G278="",$H278&lt;&gt;"Fait"),"",MIN($G278,MAX(0,SUMIFS($G$5:$G278,$C$5:$C278,$C278,$H$5:$H278,"Fait")-SUMIFS(Paiements!$I$5:$I$2000,Paiements!$C$5:$C$2000,$C278,Paiements!$L$5:$L$2000,"Payé"))))</f>
        <v/>
      </c>
      <c r="J278" s="30" t="str">
        <f t="shared" si="9"/>
        <v/>
      </c>
      <c r="K278" s="14"/>
      <c r="L278" s="17" t="str">
        <f>IF(AND($C278&lt;&gt;"",$C278=Controle_Paiement!$B$4,$J278&lt;&gt;"Payé",$J278&lt;&gt;"Annulé",$J278&lt;&gt;""),1,"")</f>
        <v/>
      </c>
    </row>
    <row r="279" spans="1:12" x14ac:dyDescent="0.35">
      <c r="A279" s="18"/>
      <c r="B279" s="27"/>
      <c r="C279" s="14"/>
      <c r="D279" s="14"/>
      <c r="E279" s="19"/>
      <c r="F279" s="19"/>
      <c r="G279" s="28" t="str">
        <f t="shared" si="8"/>
        <v/>
      </c>
      <c r="H279" s="14"/>
      <c r="I279" s="29" t="str">
        <f>IF(OR($C279="",$G279="",$H279&lt;&gt;"Fait"),"",MIN($G279,MAX(0,SUMIFS($G$5:$G279,$C$5:$C279,$C279,$H$5:$H279,"Fait")-SUMIFS(Paiements!$I$5:$I$2000,Paiements!$C$5:$C$2000,$C279,Paiements!$L$5:$L$2000,"Payé"))))</f>
        <v/>
      </c>
      <c r="J279" s="30" t="str">
        <f t="shared" si="9"/>
        <v/>
      </c>
      <c r="K279" s="14"/>
      <c r="L279" s="17" t="str">
        <f>IF(AND($C279&lt;&gt;"",$C279=Controle_Paiement!$B$4,$J279&lt;&gt;"Payé",$J279&lt;&gt;"Annulé",$J279&lt;&gt;""),1,"")</f>
        <v/>
      </c>
    </row>
    <row r="280" spans="1:12" x14ac:dyDescent="0.35">
      <c r="A280" s="18"/>
      <c r="B280" s="27"/>
      <c r="C280" s="14"/>
      <c r="D280" s="14"/>
      <c r="E280" s="19"/>
      <c r="F280" s="19"/>
      <c r="G280" s="28" t="str">
        <f t="shared" si="8"/>
        <v/>
      </c>
      <c r="H280" s="14"/>
      <c r="I280" s="29" t="str">
        <f>IF(OR($C280="",$G280="",$H280&lt;&gt;"Fait"),"",MIN($G280,MAX(0,SUMIFS($G$5:$G280,$C$5:$C280,$C280,$H$5:$H280,"Fait")-SUMIFS(Paiements!$I$5:$I$2000,Paiements!$C$5:$C$2000,$C280,Paiements!$L$5:$L$2000,"Payé"))))</f>
        <v/>
      </c>
      <c r="J280" s="30" t="str">
        <f t="shared" si="9"/>
        <v/>
      </c>
      <c r="K280" s="14"/>
      <c r="L280" s="17" t="str">
        <f>IF(AND($C280&lt;&gt;"",$C280=Controle_Paiement!$B$4,$J280&lt;&gt;"Payé",$J280&lt;&gt;"Annulé",$J280&lt;&gt;""),1,"")</f>
        <v/>
      </c>
    </row>
    <row r="281" spans="1:12" x14ac:dyDescent="0.35">
      <c r="A281" s="18"/>
      <c r="B281" s="27"/>
      <c r="C281" s="14"/>
      <c r="D281" s="14"/>
      <c r="E281" s="19"/>
      <c r="F281" s="19"/>
      <c r="G281" s="28" t="str">
        <f t="shared" si="8"/>
        <v/>
      </c>
      <c r="H281" s="14"/>
      <c r="I281" s="29" t="str">
        <f>IF(OR($C281="",$G281="",$H281&lt;&gt;"Fait"),"",MIN($G281,MAX(0,SUMIFS($G$5:$G281,$C$5:$C281,$C281,$H$5:$H281,"Fait")-SUMIFS(Paiements!$I$5:$I$2000,Paiements!$C$5:$C$2000,$C281,Paiements!$L$5:$L$2000,"Payé"))))</f>
        <v/>
      </c>
      <c r="J281" s="30" t="str">
        <f t="shared" si="9"/>
        <v/>
      </c>
      <c r="K281" s="14"/>
      <c r="L281" s="17" t="str">
        <f>IF(AND($C281&lt;&gt;"",$C281=Controle_Paiement!$B$4,$J281&lt;&gt;"Payé",$J281&lt;&gt;"Annulé",$J281&lt;&gt;""),1,"")</f>
        <v/>
      </c>
    </row>
    <row r="282" spans="1:12" x14ac:dyDescent="0.35">
      <c r="A282" s="18"/>
      <c r="B282" s="27"/>
      <c r="C282" s="14"/>
      <c r="D282" s="14"/>
      <c r="E282" s="19"/>
      <c r="F282" s="19"/>
      <c r="G282" s="28" t="str">
        <f t="shared" si="8"/>
        <v/>
      </c>
      <c r="H282" s="14"/>
      <c r="I282" s="29" t="str">
        <f>IF(OR($C282="",$G282="",$H282&lt;&gt;"Fait"),"",MIN($G282,MAX(0,SUMIFS($G$5:$G282,$C$5:$C282,$C282,$H$5:$H282,"Fait")-SUMIFS(Paiements!$I$5:$I$2000,Paiements!$C$5:$C$2000,$C282,Paiements!$L$5:$L$2000,"Payé"))))</f>
        <v/>
      </c>
      <c r="J282" s="30" t="str">
        <f t="shared" si="9"/>
        <v/>
      </c>
      <c r="K282" s="14"/>
      <c r="L282" s="17" t="str">
        <f>IF(AND($C282&lt;&gt;"",$C282=Controle_Paiement!$B$4,$J282&lt;&gt;"Payé",$J282&lt;&gt;"Annulé",$J282&lt;&gt;""),1,"")</f>
        <v/>
      </c>
    </row>
    <row r="283" spans="1:12" x14ac:dyDescent="0.35">
      <c r="A283" s="18"/>
      <c r="B283" s="27"/>
      <c r="C283" s="14"/>
      <c r="D283" s="14"/>
      <c r="E283" s="19"/>
      <c r="F283" s="19"/>
      <c r="G283" s="28" t="str">
        <f t="shared" si="8"/>
        <v/>
      </c>
      <c r="H283" s="14"/>
      <c r="I283" s="29" t="str">
        <f>IF(OR($C283="",$G283="",$H283&lt;&gt;"Fait"),"",MIN($G283,MAX(0,SUMIFS($G$5:$G283,$C$5:$C283,$C283,$H$5:$H283,"Fait")-SUMIFS(Paiements!$I$5:$I$2000,Paiements!$C$5:$C$2000,$C283,Paiements!$L$5:$L$2000,"Payé"))))</f>
        <v/>
      </c>
      <c r="J283" s="30" t="str">
        <f t="shared" si="9"/>
        <v/>
      </c>
      <c r="K283" s="14"/>
      <c r="L283" s="17" t="str">
        <f>IF(AND($C283&lt;&gt;"",$C283=Controle_Paiement!$B$4,$J283&lt;&gt;"Payé",$J283&lt;&gt;"Annulé",$J283&lt;&gt;""),1,"")</f>
        <v/>
      </c>
    </row>
    <row r="284" spans="1:12" x14ac:dyDescent="0.35">
      <c r="A284" s="18"/>
      <c r="B284" s="27"/>
      <c r="C284" s="14"/>
      <c r="D284" s="14"/>
      <c r="E284" s="19"/>
      <c r="F284" s="19"/>
      <c r="G284" s="28" t="str">
        <f t="shared" si="8"/>
        <v/>
      </c>
      <c r="H284" s="14"/>
      <c r="I284" s="29" t="str">
        <f>IF(OR($C284="",$G284="",$H284&lt;&gt;"Fait"),"",MIN($G284,MAX(0,SUMIFS($G$5:$G284,$C$5:$C284,$C284,$H$5:$H284,"Fait")-SUMIFS(Paiements!$I$5:$I$2000,Paiements!$C$5:$C$2000,$C284,Paiements!$L$5:$L$2000,"Payé"))))</f>
        <v/>
      </c>
      <c r="J284" s="30" t="str">
        <f t="shared" si="9"/>
        <v/>
      </c>
      <c r="K284" s="14"/>
      <c r="L284" s="17" t="str">
        <f>IF(AND($C284&lt;&gt;"",$C284=Controle_Paiement!$B$4,$J284&lt;&gt;"Payé",$J284&lt;&gt;"Annulé",$J284&lt;&gt;""),1,"")</f>
        <v/>
      </c>
    </row>
    <row r="285" spans="1:12" x14ac:dyDescent="0.35">
      <c r="A285" s="18"/>
      <c r="B285" s="27"/>
      <c r="C285" s="14"/>
      <c r="D285" s="14"/>
      <c r="E285" s="19"/>
      <c r="F285" s="19"/>
      <c r="G285" s="28" t="str">
        <f t="shared" si="8"/>
        <v/>
      </c>
      <c r="H285" s="14"/>
      <c r="I285" s="29" t="str">
        <f>IF(OR($C285="",$G285="",$H285&lt;&gt;"Fait"),"",MIN($G285,MAX(0,SUMIFS($G$5:$G285,$C$5:$C285,$C285,$H$5:$H285,"Fait")-SUMIFS(Paiements!$I$5:$I$2000,Paiements!$C$5:$C$2000,$C285,Paiements!$L$5:$L$2000,"Payé"))))</f>
        <v/>
      </c>
      <c r="J285" s="30" t="str">
        <f t="shared" si="9"/>
        <v/>
      </c>
      <c r="K285" s="14"/>
      <c r="L285" s="17" t="str">
        <f>IF(AND($C285&lt;&gt;"",$C285=Controle_Paiement!$B$4,$J285&lt;&gt;"Payé",$J285&lt;&gt;"Annulé",$J285&lt;&gt;""),1,"")</f>
        <v/>
      </c>
    </row>
    <row r="286" spans="1:12" x14ac:dyDescent="0.35">
      <c r="A286" s="18"/>
      <c r="B286" s="27"/>
      <c r="C286" s="14"/>
      <c r="D286" s="14"/>
      <c r="E286" s="19"/>
      <c r="F286" s="19"/>
      <c r="G286" s="28" t="str">
        <f t="shared" si="8"/>
        <v/>
      </c>
      <c r="H286" s="14"/>
      <c r="I286" s="29" t="str">
        <f>IF(OR($C286="",$G286="",$H286&lt;&gt;"Fait"),"",MIN($G286,MAX(0,SUMIFS($G$5:$G286,$C$5:$C286,$C286,$H$5:$H286,"Fait")-SUMIFS(Paiements!$I$5:$I$2000,Paiements!$C$5:$C$2000,$C286,Paiements!$L$5:$L$2000,"Payé"))))</f>
        <v/>
      </c>
      <c r="J286" s="30" t="str">
        <f t="shared" si="9"/>
        <v/>
      </c>
      <c r="K286" s="14"/>
      <c r="L286" s="17" t="str">
        <f>IF(AND($C286&lt;&gt;"",$C286=Controle_Paiement!$B$4,$J286&lt;&gt;"Payé",$J286&lt;&gt;"Annulé",$J286&lt;&gt;""),1,"")</f>
        <v/>
      </c>
    </row>
    <row r="287" spans="1:12" x14ac:dyDescent="0.35">
      <c r="A287" s="18"/>
      <c r="B287" s="27"/>
      <c r="C287" s="14"/>
      <c r="D287" s="14"/>
      <c r="E287" s="19"/>
      <c r="F287" s="19"/>
      <c r="G287" s="28" t="str">
        <f t="shared" si="8"/>
        <v/>
      </c>
      <c r="H287" s="14"/>
      <c r="I287" s="29" t="str">
        <f>IF(OR($C287="",$G287="",$H287&lt;&gt;"Fait"),"",MIN($G287,MAX(0,SUMIFS($G$5:$G287,$C$5:$C287,$C287,$H$5:$H287,"Fait")-SUMIFS(Paiements!$I$5:$I$2000,Paiements!$C$5:$C$2000,$C287,Paiements!$L$5:$L$2000,"Payé"))))</f>
        <v/>
      </c>
      <c r="J287" s="30" t="str">
        <f t="shared" si="9"/>
        <v/>
      </c>
      <c r="K287" s="14"/>
      <c r="L287" s="17" t="str">
        <f>IF(AND($C287&lt;&gt;"",$C287=Controle_Paiement!$B$4,$J287&lt;&gt;"Payé",$J287&lt;&gt;"Annulé",$J287&lt;&gt;""),1,"")</f>
        <v/>
      </c>
    </row>
    <row r="288" spans="1:12" x14ac:dyDescent="0.35">
      <c r="A288" s="18"/>
      <c r="B288" s="27"/>
      <c r="C288" s="14"/>
      <c r="D288" s="14"/>
      <c r="E288" s="19"/>
      <c r="F288" s="19"/>
      <c r="G288" s="28" t="str">
        <f t="shared" si="8"/>
        <v/>
      </c>
      <c r="H288" s="14"/>
      <c r="I288" s="29" t="str">
        <f>IF(OR($C288="",$G288="",$H288&lt;&gt;"Fait"),"",MIN($G288,MAX(0,SUMIFS($G$5:$G288,$C$5:$C288,$C288,$H$5:$H288,"Fait")-SUMIFS(Paiements!$I$5:$I$2000,Paiements!$C$5:$C$2000,$C288,Paiements!$L$5:$L$2000,"Payé"))))</f>
        <v/>
      </c>
      <c r="J288" s="30" t="str">
        <f t="shared" si="9"/>
        <v/>
      </c>
      <c r="K288" s="14"/>
      <c r="L288" s="17" t="str">
        <f>IF(AND($C288&lt;&gt;"",$C288=Controle_Paiement!$B$4,$J288&lt;&gt;"Payé",$J288&lt;&gt;"Annulé",$J288&lt;&gt;""),1,"")</f>
        <v/>
      </c>
    </row>
    <row r="289" spans="1:12" x14ac:dyDescent="0.35">
      <c r="A289" s="18"/>
      <c r="B289" s="27"/>
      <c r="C289" s="14"/>
      <c r="D289" s="14"/>
      <c r="E289" s="19"/>
      <c r="F289" s="19"/>
      <c r="G289" s="28" t="str">
        <f t="shared" si="8"/>
        <v/>
      </c>
      <c r="H289" s="14"/>
      <c r="I289" s="29" t="str">
        <f>IF(OR($C289="",$G289="",$H289&lt;&gt;"Fait"),"",MIN($G289,MAX(0,SUMIFS($G$5:$G289,$C$5:$C289,$C289,$H$5:$H289,"Fait")-SUMIFS(Paiements!$I$5:$I$2000,Paiements!$C$5:$C$2000,$C289,Paiements!$L$5:$L$2000,"Payé"))))</f>
        <v/>
      </c>
      <c r="J289" s="30" t="str">
        <f t="shared" si="9"/>
        <v/>
      </c>
      <c r="K289" s="14"/>
      <c r="L289" s="17" t="str">
        <f>IF(AND($C289&lt;&gt;"",$C289=Controle_Paiement!$B$4,$J289&lt;&gt;"Payé",$J289&lt;&gt;"Annulé",$J289&lt;&gt;""),1,"")</f>
        <v/>
      </c>
    </row>
    <row r="290" spans="1:12" x14ac:dyDescent="0.35">
      <c r="A290" s="18"/>
      <c r="B290" s="27"/>
      <c r="C290" s="14"/>
      <c r="D290" s="14"/>
      <c r="E290" s="19"/>
      <c r="F290" s="19"/>
      <c r="G290" s="28" t="str">
        <f t="shared" si="8"/>
        <v/>
      </c>
      <c r="H290" s="14"/>
      <c r="I290" s="29" t="str">
        <f>IF(OR($C290="",$G290="",$H290&lt;&gt;"Fait"),"",MIN($G290,MAX(0,SUMIFS($G$5:$G290,$C$5:$C290,$C290,$H$5:$H290,"Fait")-SUMIFS(Paiements!$I$5:$I$2000,Paiements!$C$5:$C$2000,$C290,Paiements!$L$5:$L$2000,"Payé"))))</f>
        <v/>
      </c>
      <c r="J290" s="30" t="str">
        <f t="shared" si="9"/>
        <v/>
      </c>
      <c r="K290" s="14"/>
      <c r="L290" s="17" t="str">
        <f>IF(AND($C290&lt;&gt;"",$C290=Controle_Paiement!$B$4,$J290&lt;&gt;"Payé",$J290&lt;&gt;"Annulé",$J290&lt;&gt;""),1,"")</f>
        <v/>
      </c>
    </row>
    <row r="291" spans="1:12" x14ac:dyDescent="0.35">
      <c r="A291" s="18"/>
      <c r="B291" s="27"/>
      <c r="C291" s="14"/>
      <c r="D291" s="14"/>
      <c r="E291" s="19"/>
      <c r="F291" s="19"/>
      <c r="G291" s="28" t="str">
        <f t="shared" si="8"/>
        <v/>
      </c>
      <c r="H291" s="14"/>
      <c r="I291" s="29" t="str">
        <f>IF(OR($C291="",$G291="",$H291&lt;&gt;"Fait"),"",MIN($G291,MAX(0,SUMIFS($G$5:$G291,$C$5:$C291,$C291,$H$5:$H291,"Fait")-SUMIFS(Paiements!$I$5:$I$2000,Paiements!$C$5:$C$2000,$C291,Paiements!$L$5:$L$2000,"Payé"))))</f>
        <v/>
      </c>
      <c r="J291" s="30" t="str">
        <f t="shared" si="9"/>
        <v/>
      </c>
      <c r="K291" s="14"/>
      <c r="L291" s="17" t="str">
        <f>IF(AND($C291&lt;&gt;"",$C291=Controle_Paiement!$B$4,$J291&lt;&gt;"Payé",$J291&lt;&gt;"Annulé",$J291&lt;&gt;""),1,"")</f>
        <v/>
      </c>
    </row>
    <row r="292" spans="1:12" x14ac:dyDescent="0.35">
      <c r="A292" s="18"/>
      <c r="B292" s="27"/>
      <c r="C292" s="14"/>
      <c r="D292" s="14"/>
      <c r="E292" s="19"/>
      <c r="F292" s="19"/>
      <c r="G292" s="28" t="str">
        <f t="shared" si="8"/>
        <v/>
      </c>
      <c r="H292" s="14"/>
      <c r="I292" s="29" t="str">
        <f>IF(OR($C292="",$G292="",$H292&lt;&gt;"Fait"),"",MIN($G292,MAX(0,SUMIFS($G$5:$G292,$C$5:$C292,$C292,$H$5:$H292,"Fait")-SUMIFS(Paiements!$I$5:$I$2000,Paiements!$C$5:$C$2000,$C292,Paiements!$L$5:$L$2000,"Payé"))))</f>
        <v/>
      </c>
      <c r="J292" s="30" t="str">
        <f t="shared" si="9"/>
        <v/>
      </c>
      <c r="K292" s="14"/>
      <c r="L292" s="17" t="str">
        <f>IF(AND($C292&lt;&gt;"",$C292=Controle_Paiement!$B$4,$J292&lt;&gt;"Payé",$J292&lt;&gt;"Annulé",$J292&lt;&gt;""),1,"")</f>
        <v/>
      </c>
    </row>
    <row r="293" spans="1:12" x14ac:dyDescent="0.35">
      <c r="A293" s="18"/>
      <c r="B293" s="27"/>
      <c r="C293" s="14"/>
      <c r="D293" s="14"/>
      <c r="E293" s="19"/>
      <c r="F293" s="19"/>
      <c r="G293" s="28" t="str">
        <f t="shared" si="8"/>
        <v/>
      </c>
      <c r="H293" s="14"/>
      <c r="I293" s="29" t="str">
        <f>IF(OR($C293="",$G293="",$H293&lt;&gt;"Fait"),"",MIN($G293,MAX(0,SUMIFS($G$5:$G293,$C$5:$C293,$C293,$H$5:$H293,"Fait")-SUMIFS(Paiements!$I$5:$I$2000,Paiements!$C$5:$C$2000,$C293,Paiements!$L$5:$L$2000,"Payé"))))</f>
        <v/>
      </c>
      <c r="J293" s="30" t="str">
        <f t="shared" si="9"/>
        <v/>
      </c>
      <c r="K293" s="14"/>
      <c r="L293" s="17" t="str">
        <f>IF(AND($C293&lt;&gt;"",$C293=Controle_Paiement!$B$4,$J293&lt;&gt;"Payé",$J293&lt;&gt;"Annulé",$J293&lt;&gt;""),1,"")</f>
        <v/>
      </c>
    </row>
    <row r="294" spans="1:12" x14ac:dyDescent="0.35">
      <c r="A294" s="18"/>
      <c r="B294" s="27"/>
      <c r="C294" s="14"/>
      <c r="D294" s="14"/>
      <c r="E294" s="19"/>
      <c r="F294" s="19"/>
      <c r="G294" s="28" t="str">
        <f t="shared" si="8"/>
        <v/>
      </c>
      <c r="H294" s="14"/>
      <c r="I294" s="29" t="str">
        <f>IF(OR($C294="",$G294="",$H294&lt;&gt;"Fait"),"",MIN($G294,MAX(0,SUMIFS($G$5:$G294,$C$5:$C294,$C294,$H$5:$H294,"Fait")-SUMIFS(Paiements!$I$5:$I$2000,Paiements!$C$5:$C$2000,$C294,Paiements!$L$5:$L$2000,"Payé"))))</f>
        <v/>
      </c>
      <c r="J294" s="30" t="str">
        <f t="shared" si="9"/>
        <v/>
      </c>
      <c r="K294" s="14"/>
      <c r="L294" s="17" t="str">
        <f>IF(AND($C294&lt;&gt;"",$C294=Controle_Paiement!$B$4,$J294&lt;&gt;"Payé",$J294&lt;&gt;"Annulé",$J294&lt;&gt;""),1,"")</f>
        <v/>
      </c>
    </row>
    <row r="295" spans="1:12" x14ac:dyDescent="0.35">
      <c r="A295" s="18"/>
      <c r="B295" s="27"/>
      <c r="C295" s="14"/>
      <c r="D295" s="14"/>
      <c r="E295" s="19"/>
      <c r="F295" s="19"/>
      <c r="G295" s="28" t="str">
        <f t="shared" si="8"/>
        <v/>
      </c>
      <c r="H295" s="14"/>
      <c r="I295" s="29" t="str">
        <f>IF(OR($C295="",$G295="",$H295&lt;&gt;"Fait"),"",MIN($G295,MAX(0,SUMIFS($G$5:$G295,$C$5:$C295,$C295,$H$5:$H295,"Fait")-SUMIFS(Paiements!$I$5:$I$2000,Paiements!$C$5:$C$2000,$C295,Paiements!$L$5:$L$2000,"Payé"))))</f>
        <v/>
      </c>
      <c r="J295" s="30" t="str">
        <f t="shared" si="9"/>
        <v/>
      </c>
      <c r="K295" s="14"/>
      <c r="L295" s="17" t="str">
        <f>IF(AND($C295&lt;&gt;"",$C295=Controle_Paiement!$B$4,$J295&lt;&gt;"Payé",$J295&lt;&gt;"Annulé",$J295&lt;&gt;""),1,"")</f>
        <v/>
      </c>
    </row>
    <row r="296" spans="1:12" x14ac:dyDescent="0.35">
      <c r="A296" s="18"/>
      <c r="B296" s="27"/>
      <c r="C296" s="14"/>
      <c r="D296" s="14"/>
      <c r="E296" s="19"/>
      <c r="F296" s="19"/>
      <c r="G296" s="28" t="str">
        <f t="shared" si="8"/>
        <v/>
      </c>
      <c r="H296" s="14"/>
      <c r="I296" s="29" t="str">
        <f>IF(OR($C296="",$G296="",$H296&lt;&gt;"Fait"),"",MIN($G296,MAX(0,SUMIFS($G$5:$G296,$C$5:$C296,$C296,$H$5:$H296,"Fait")-SUMIFS(Paiements!$I$5:$I$2000,Paiements!$C$5:$C$2000,$C296,Paiements!$L$5:$L$2000,"Payé"))))</f>
        <v/>
      </c>
      <c r="J296" s="30" t="str">
        <f t="shared" si="9"/>
        <v/>
      </c>
      <c r="K296" s="14"/>
      <c r="L296" s="17" t="str">
        <f>IF(AND($C296&lt;&gt;"",$C296=Controle_Paiement!$B$4,$J296&lt;&gt;"Payé",$J296&lt;&gt;"Annulé",$J296&lt;&gt;""),1,"")</f>
        <v/>
      </c>
    </row>
    <row r="297" spans="1:12" x14ac:dyDescent="0.35">
      <c r="A297" s="18"/>
      <c r="B297" s="27"/>
      <c r="C297" s="14"/>
      <c r="D297" s="14"/>
      <c r="E297" s="19"/>
      <c r="F297" s="19"/>
      <c r="G297" s="28" t="str">
        <f t="shared" si="8"/>
        <v/>
      </c>
      <c r="H297" s="14"/>
      <c r="I297" s="29" t="str">
        <f>IF(OR($C297="",$G297="",$H297&lt;&gt;"Fait"),"",MIN($G297,MAX(0,SUMIFS($G$5:$G297,$C$5:$C297,$C297,$H$5:$H297,"Fait")-SUMIFS(Paiements!$I$5:$I$2000,Paiements!$C$5:$C$2000,$C297,Paiements!$L$5:$L$2000,"Payé"))))</f>
        <v/>
      </c>
      <c r="J297" s="30" t="str">
        <f t="shared" si="9"/>
        <v/>
      </c>
      <c r="K297" s="14"/>
      <c r="L297" s="17" t="str">
        <f>IF(AND($C297&lt;&gt;"",$C297=Controle_Paiement!$B$4,$J297&lt;&gt;"Payé",$J297&lt;&gt;"Annulé",$J297&lt;&gt;""),1,"")</f>
        <v/>
      </c>
    </row>
    <row r="298" spans="1:12" x14ac:dyDescent="0.35">
      <c r="A298" s="18"/>
      <c r="B298" s="27"/>
      <c r="C298" s="14"/>
      <c r="D298" s="14"/>
      <c r="E298" s="19"/>
      <c r="F298" s="19"/>
      <c r="G298" s="28" t="str">
        <f t="shared" si="8"/>
        <v/>
      </c>
      <c r="H298" s="14"/>
      <c r="I298" s="29" t="str">
        <f>IF(OR($C298="",$G298="",$H298&lt;&gt;"Fait"),"",MIN($G298,MAX(0,SUMIFS($G$5:$G298,$C$5:$C298,$C298,$H$5:$H298,"Fait")-SUMIFS(Paiements!$I$5:$I$2000,Paiements!$C$5:$C$2000,$C298,Paiements!$L$5:$L$2000,"Payé"))))</f>
        <v/>
      </c>
      <c r="J298" s="30" t="str">
        <f t="shared" si="9"/>
        <v/>
      </c>
      <c r="K298" s="14"/>
      <c r="L298" s="17" t="str">
        <f>IF(AND($C298&lt;&gt;"",$C298=Controle_Paiement!$B$4,$J298&lt;&gt;"Payé",$J298&lt;&gt;"Annulé",$J298&lt;&gt;""),1,"")</f>
        <v/>
      </c>
    </row>
    <row r="299" spans="1:12" x14ac:dyDescent="0.35">
      <c r="A299" s="18"/>
      <c r="B299" s="27"/>
      <c r="C299" s="14"/>
      <c r="D299" s="14"/>
      <c r="E299" s="19"/>
      <c r="F299" s="19"/>
      <c r="G299" s="28" t="str">
        <f t="shared" si="8"/>
        <v/>
      </c>
      <c r="H299" s="14"/>
      <c r="I299" s="29" t="str">
        <f>IF(OR($C299="",$G299="",$H299&lt;&gt;"Fait"),"",MIN($G299,MAX(0,SUMIFS($G$5:$G299,$C$5:$C299,$C299,$H$5:$H299,"Fait")-SUMIFS(Paiements!$I$5:$I$2000,Paiements!$C$5:$C$2000,$C299,Paiements!$L$5:$L$2000,"Payé"))))</f>
        <v/>
      </c>
      <c r="J299" s="30" t="str">
        <f t="shared" si="9"/>
        <v/>
      </c>
      <c r="K299" s="14"/>
      <c r="L299" s="17" t="str">
        <f>IF(AND($C299&lt;&gt;"",$C299=Controle_Paiement!$B$4,$J299&lt;&gt;"Payé",$J299&lt;&gt;"Annulé",$J299&lt;&gt;""),1,"")</f>
        <v/>
      </c>
    </row>
    <row r="300" spans="1:12" x14ac:dyDescent="0.35">
      <c r="A300" s="18"/>
      <c r="B300" s="27"/>
      <c r="C300" s="14"/>
      <c r="D300" s="14"/>
      <c r="E300" s="19"/>
      <c r="F300" s="19"/>
      <c r="G300" s="28" t="str">
        <f t="shared" si="8"/>
        <v/>
      </c>
      <c r="H300" s="14"/>
      <c r="I300" s="29" t="str">
        <f>IF(OR($C300="",$G300="",$H300&lt;&gt;"Fait"),"",MIN($G300,MAX(0,SUMIFS($G$5:$G300,$C$5:$C300,$C300,$H$5:$H300,"Fait")-SUMIFS(Paiements!$I$5:$I$2000,Paiements!$C$5:$C$2000,$C300,Paiements!$L$5:$L$2000,"Payé"))))</f>
        <v/>
      </c>
      <c r="J300" s="30" t="str">
        <f t="shared" si="9"/>
        <v/>
      </c>
      <c r="K300" s="14"/>
      <c r="L300" s="17" t="str">
        <f>IF(AND($C300&lt;&gt;"",$C300=Controle_Paiement!$B$4,$J300&lt;&gt;"Payé",$J300&lt;&gt;"Annulé",$J300&lt;&gt;""),1,"")</f>
        <v/>
      </c>
    </row>
    <row r="301" spans="1:12" x14ac:dyDescent="0.35">
      <c r="A301" s="18"/>
      <c r="B301" s="27"/>
      <c r="C301" s="14"/>
      <c r="D301" s="14"/>
      <c r="E301" s="19"/>
      <c r="F301" s="19"/>
      <c r="G301" s="28" t="str">
        <f t="shared" si="8"/>
        <v/>
      </c>
      <c r="H301" s="14"/>
      <c r="I301" s="29" t="str">
        <f>IF(OR($C301="",$G301="",$H301&lt;&gt;"Fait"),"",MIN($G301,MAX(0,SUMIFS($G$5:$G301,$C$5:$C301,$C301,$H$5:$H301,"Fait")-SUMIFS(Paiements!$I$5:$I$2000,Paiements!$C$5:$C$2000,$C301,Paiements!$L$5:$L$2000,"Payé"))))</f>
        <v/>
      </c>
      <c r="J301" s="30" t="str">
        <f t="shared" si="9"/>
        <v/>
      </c>
      <c r="K301" s="14"/>
      <c r="L301" s="17" t="str">
        <f>IF(AND($C301&lt;&gt;"",$C301=Controle_Paiement!$B$4,$J301&lt;&gt;"Payé",$J301&lt;&gt;"Annulé",$J301&lt;&gt;""),1,"")</f>
        <v/>
      </c>
    </row>
    <row r="302" spans="1:12" x14ac:dyDescent="0.35">
      <c r="A302" s="18"/>
      <c r="B302" s="27"/>
      <c r="C302" s="14"/>
      <c r="D302" s="14"/>
      <c r="E302" s="19"/>
      <c r="F302" s="19"/>
      <c r="G302" s="28" t="str">
        <f t="shared" si="8"/>
        <v/>
      </c>
      <c r="H302" s="14"/>
      <c r="I302" s="29" t="str">
        <f>IF(OR($C302="",$G302="",$H302&lt;&gt;"Fait"),"",MIN($G302,MAX(0,SUMIFS($G$5:$G302,$C$5:$C302,$C302,$H$5:$H302,"Fait")-SUMIFS(Paiements!$I$5:$I$2000,Paiements!$C$5:$C$2000,$C302,Paiements!$L$5:$L$2000,"Payé"))))</f>
        <v/>
      </c>
      <c r="J302" s="30" t="str">
        <f t="shared" si="9"/>
        <v/>
      </c>
      <c r="K302" s="14"/>
      <c r="L302" s="17" t="str">
        <f>IF(AND($C302&lt;&gt;"",$C302=Controle_Paiement!$B$4,$J302&lt;&gt;"Payé",$J302&lt;&gt;"Annulé",$J302&lt;&gt;""),1,"")</f>
        <v/>
      </c>
    </row>
    <row r="303" spans="1:12" x14ac:dyDescent="0.35">
      <c r="A303" s="18"/>
      <c r="B303" s="27"/>
      <c r="C303" s="14"/>
      <c r="D303" s="14"/>
      <c r="E303" s="19"/>
      <c r="F303" s="19"/>
      <c r="G303" s="28" t="str">
        <f t="shared" si="8"/>
        <v/>
      </c>
      <c r="H303" s="14"/>
      <c r="I303" s="29" t="str">
        <f>IF(OR($C303="",$G303="",$H303&lt;&gt;"Fait"),"",MIN($G303,MAX(0,SUMIFS($G$5:$G303,$C$5:$C303,$C303,$H$5:$H303,"Fait")-SUMIFS(Paiements!$I$5:$I$2000,Paiements!$C$5:$C$2000,$C303,Paiements!$L$5:$L$2000,"Payé"))))</f>
        <v/>
      </c>
      <c r="J303" s="30" t="str">
        <f t="shared" si="9"/>
        <v/>
      </c>
      <c r="K303" s="14"/>
      <c r="L303" s="17" t="str">
        <f>IF(AND($C303&lt;&gt;"",$C303=Controle_Paiement!$B$4,$J303&lt;&gt;"Payé",$J303&lt;&gt;"Annulé",$J303&lt;&gt;""),1,"")</f>
        <v/>
      </c>
    </row>
    <row r="304" spans="1:12" x14ac:dyDescent="0.35">
      <c r="A304" s="18"/>
      <c r="B304" s="27"/>
      <c r="C304" s="14"/>
      <c r="D304" s="14"/>
      <c r="E304" s="19"/>
      <c r="F304" s="19"/>
      <c r="G304" s="28" t="str">
        <f t="shared" si="8"/>
        <v/>
      </c>
      <c r="H304" s="14"/>
      <c r="I304" s="29" t="str">
        <f>IF(OR($C304="",$G304="",$H304&lt;&gt;"Fait"),"",MIN($G304,MAX(0,SUMIFS($G$5:$G304,$C$5:$C304,$C304,$H$5:$H304,"Fait")-SUMIFS(Paiements!$I$5:$I$2000,Paiements!$C$5:$C$2000,$C304,Paiements!$L$5:$L$2000,"Payé"))))</f>
        <v/>
      </c>
      <c r="J304" s="30" t="str">
        <f t="shared" si="9"/>
        <v/>
      </c>
      <c r="K304" s="14"/>
      <c r="L304" s="17" t="str">
        <f>IF(AND($C304&lt;&gt;"",$C304=Controle_Paiement!$B$4,$J304&lt;&gt;"Payé",$J304&lt;&gt;"Annulé",$J304&lt;&gt;""),1,"")</f>
        <v/>
      </c>
    </row>
    <row r="305" spans="1:12" x14ac:dyDescent="0.35">
      <c r="A305" s="18"/>
      <c r="B305" s="27"/>
      <c r="C305" s="14"/>
      <c r="D305" s="14"/>
      <c r="E305" s="19"/>
      <c r="F305" s="19"/>
      <c r="G305" s="28" t="str">
        <f t="shared" si="8"/>
        <v/>
      </c>
      <c r="H305" s="14"/>
      <c r="I305" s="29" t="str">
        <f>IF(OR($C305="",$G305="",$H305&lt;&gt;"Fait"),"",MIN($G305,MAX(0,SUMIFS($G$5:$G305,$C$5:$C305,$C305,$H$5:$H305,"Fait")-SUMIFS(Paiements!$I$5:$I$2000,Paiements!$C$5:$C$2000,$C305,Paiements!$L$5:$L$2000,"Payé"))))</f>
        <v/>
      </c>
      <c r="J305" s="30" t="str">
        <f t="shared" si="9"/>
        <v/>
      </c>
      <c r="K305" s="14"/>
      <c r="L305" s="17" t="str">
        <f>IF(AND($C305&lt;&gt;"",$C305=Controle_Paiement!$B$4,$J305&lt;&gt;"Payé",$J305&lt;&gt;"Annulé",$J305&lt;&gt;""),1,"")</f>
        <v/>
      </c>
    </row>
    <row r="306" spans="1:12" x14ac:dyDescent="0.35">
      <c r="A306" s="18"/>
      <c r="B306" s="27"/>
      <c r="C306" s="14"/>
      <c r="D306" s="14"/>
      <c r="E306" s="19"/>
      <c r="F306" s="19"/>
      <c r="G306" s="28" t="str">
        <f t="shared" si="8"/>
        <v/>
      </c>
      <c r="H306" s="14"/>
      <c r="I306" s="29" t="str">
        <f>IF(OR($C306="",$G306="",$H306&lt;&gt;"Fait"),"",MIN($G306,MAX(0,SUMIFS($G$5:$G306,$C$5:$C306,$C306,$H$5:$H306,"Fait")-SUMIFS(Paiements!$I$5:$I$2000,Paiements!$C$5:$C$2000,$C306,Paiements!$L$5:$L$2000,"Payé"))))</f>
        <v/>
      </c>
      <c r="J306" s="30" t="str">
        <f t="shared" si="9"/>
        <v/>
      </c>
      <c r="K306" s="14"/>
      <c r="L306" s="17" t="str">
        <f>IF(AND($C306&lt;&gt;"",$C306=Controle_Paiement!$B$4,$J306&lt;&gt;"Payé",$J306&lt;&gt;"Annulé",$J306&lt;&gt;""),1,"")</f>
        <v/>
      </c>
    </row>
    <row r="307" spans="1:12" x14ac:dyDescent="0.35">
      <c r="A307" s="18"/>
      <c r="B307" s="27"/>
      <c r="C307" s="14"/>
      <c r="D307" s="14"/>
      <c r="E307" s="19"/>
      <c r="F307" s="19"/>
      <c r="G307" s="28" t="str">
        <f t="shared" si="8"/>
        <v/>
      </c>
      <c r="H307" s="14"/>
      <c r="I307" s="29" t="str">
        <f>IF(OR($C307="",$G307="",$H307&lt;&gt;"Fait"),"",MIN($G307,MAX(0,SUMIFS($G$5:$G307,$C$5:$C307,$C307,$H$5:$H307,"Fait")-SUMIFS(Paiements!$I$5:$I$2000,Paiements!$C$5:$C$2000,$C307,Paiements!$L$5:$L$2000,"Payé"))))</f>
        <v/>
      </c>
      <c r="J307" s="30" t="str">
        <f t="shared" si="9"/>
        <v/>
      </c>
      <c r="K307" s="14"/>
      <c r="L307" s="17" t="str">
        <f>IF(AND($C307&lt;&gt;"",$C307=Controle_Paiement!$B$4,$J307&lt;&gt;"Payé",$J307&lt;&gt;"Annulé",$J307&lt;&gt;""),1,"")</f>
        <v/>
      </c>
    </row>
    <row r="308" spans="1:12" x14ac:dyDescent="0.35">
      <c r="A308" s="18"/>
      <c r="B308" s="27"/>
      <c r="C308" s="14"/>
      <c r="D308" s="14"/>
      <c r="E308" s="19"/>
      <c r="F308" s="19"/>
      <c r="G308" s="28" t="str">
        <f t="shared" si="8"/>
        <v/>
      </c>
      <c r="H308" s="14"/>
      <c r="I308" s="29" t="str">
        <f>IF(OR($C308="",$G308="",$H308&lt;&gt;"Fait"),"",MIN($G308,MAX(0,SUMIFS($G$5:$G308,$C$5:$C308,$C308,$H$5:$H308,"Fait")-SUMIFS(Paiements!$I$5:$I$2000,Paiements!$C$5:$C$2000,$C308,Paiements!$L$5:$L$2000,"Payé"))))</f>
        <v/>
      </c>
      <c r="J308" s="30" t="str">
        <f t="shared" si="9"/>
        <v/>
      </c>
      <c r="K308" s="14"/>
      <c r="L308" s="17" t="str">
        <f>IF(AND($C308&lt;&gt;"",$C308=Controle_Paiement!$B$4,$J308&lt;&gt;"Payé",$J308&lt;&gt;"Annulé",$J308&lt;&gt;""),1,"")</f>
        <v/>
      </c>
    </row>
    <row r="309" spans="1:12" x14ac:dyDescent="0.35">
      <c r="A309" s="18"/>
      <c r="B309" s="27"/>
      <c r="C309" s="14"/>
      <c r="D309" s="14"/>
      <c r="E309" s="19"/>
      <c r="F309" s="19"/>
      <c r="G309" s="28" t="str">
        <f t="shared" si="8"/>
        <v/>
      </c>
      <c r="H309" s="14"/>
      <c r="I309" s="29" t="str">
        <f>IF(OR($C309="",$G309="",$H309&lt;&gt;"Fait"),"",MIN($G309,MAX(0,SUMIFS($G$5:$G309,$C$5:$C309,$C309,$H$5:$H309,"Fait")-SUMIFS(Paiements!$I$5:$I$2000,Paiements!$C$5:$C$2000,$C309,Paiements!$L$5:$L$2000,"Payé"))))</f>
        <v/>
      </c>
      <c r="J309" s="30" t="str">
        <f t="shared" si="9"/>
        <v/>
      </c>
      <c r="K309" s="14"/>
      <c r="L309" s="17" t="str">
        <f>IF(AND($C309&lt;&gt;"",$C309=Controle_Paiement!$B$4,$J309&lt;&gt;"Payé",$J309&lt;&gt;"Annulé",$J309&lt;&gt;""),1,"")</f>
        <v/>
      </c>
    </row>
    <row r="310" spans="1:12" x14ac:dyDescent="0.35">
      <c r="A310" s="18"/>
      <c r="B310" s="27"/>
      <c r="C310" s="14"/>
      <c r="D310" s="14"/>
      <c r="E310" s="19"/>
      <c r="F310" s="19"/>
      <c r="G310" s="28" t="str">
        <f t="shared" si="8"/>
        <v/>
      </c>
      <c r="H310" s="14"/>
      <c r="I310" s="29" t="str">
        <f>IF(OR($C310="",$G310="",$H310&lt;&gt;"Fait"),"",MIN($G310,MAX(0,SUMIFS($G$5:$G310,$C$5:$C310,$C310,$H$5:$H310,"Fait")-SUMIFS(Paiements!$I$5:$I$2000,Paiements!$C$5:$C$2000,$C310,Paiements!$L$5:$L$2000,"Payé"))))</f>
        <v/>
      </c>
      <c r="J310" s="30" t="str">
        <f t="shared" si="9"/>
        <v/>
      </c>
      <c r="K310" s="14"/>
      <c r="L310" s="17" t="str">
        <f>IF(AND($C310&lt;&gt;"",$C310=Controle_Paiement!$B$4,$J310&lt;&gt;"Payé",$J310&lt;&gt;"Annulé",$J310&lt;&gt;""),1,"")</f>
        <v/>
      </c>
    </row>
    <row r="311" spans="1:12" x14ac:dyDescent="0.35">
      <c r="A311" s="18"/>
      <c r="B311" s="27"/>
      <c r="C311" s="14"/>
      <c r="D311" s="14"/>
      <c r="E311" s="19"/>
      <c r="F311" s="19"/>
      <c r="G311" s="28" t="str">
        <f t="shared" si="8"/>
        <v/>
      </c>
      <c r="H311" s="14"/>
      <c r="I311" s="29" t="str">
        <f>IF(OR($C311="",$G311="",$H311&lt;&gt;"Fait"),"",MIN($G311,MAX(0,SUMIFS($G$5:$G311,$C$5:$C311,$C311,$H$5:$H311,"Fait")-SUMIFS(Paiements!$I$5:$I$2000,Paiements!$C$5:$C$2000,$C311,Paiements!$L$5:$L$2000,"Payé"))))</f>
        <v/>
      </c>
      <c r="J311" s="30" t="str">
        <f t="shared" si="9"/>
        <v/>
      </c>
      <c r="K311" s="14"/>
      <c r="L311" s="17" t="str">
        <f>IF(AND($C311&lt;&gt;"",$C311=Controle_Paiement!$B$4,$J311&lt;&gt;"Payé",$J311&lt;&gt;"Annulé",$J311&lt;&gt;""),1,"")</f>
        <v/>
      </c>
    </row>
    <row r="312" spans="1:12" x14ac:dyDescent="0.35">
      <c r="A312" s="18"/>
      <c r="B312" s="27"/>
      <c r="C312" s="14"/>
      <c r="D312" s="14"/>
      <c r="E312" s="19"/>
      <c r="F312" s="19"/>
      <c r="G312" s="28" t="str">
        <f t="shared" si="8"/>
        <v/>
      </c>
      <c r="H312" s="14"/>
      <c r="I312" s="29" t="str">
        <f>IF(OR($C312="",$G312="",$H312&lt;&gt;"Fait"),"",MIN($G312,MAX(0,SUMIFS($G$5:$G312,$C$5:$C312,$C312,$H$5:$H312,"Fait")-SUMIFS(Paiements!$I$5:$I$2000,Paiements!$C$5:$C$2000,$C312,Paiements!$L$5:$L$2000,"Payé"))))</f>
        <v/>
      </c>
      <c r="J312" s="30" t="str">
        <f t="shared" si="9"/>
        <v/>
      </c>
      <c r="K312" s="14"/>
      <c r="L312" s="17" t="str">
        <f>IF(AND($C312&lt;&gt;"",$C312=Controle_Paiement!$B$4,$J312&lt;&gt;"Payé",$J312&lt;&gt;"Annulé",$J312&lt;&gt;""),1,"")</f>
        <v/>
      </c>
    </row>
    <row r="313" spans="1:12" x14ac:dyDescent="0.35">
      <c r="A313" s="18"/>
      <c r="B313" s="27"/>
      <c r="C313" s="14"/>
      <c r="D313" s="14"/>
      <c r="E313" s="19"/>
      <c r="F313" s="19"/>
      <c r="G313" s="28" t="str">
        <f t="shared" si="8"/>
        <v/>
      </c>
      <c r="H313" s="14"/>
      <c r="I313" s="29" t="str">
        <f>IF(OR($C313="",$G313="",$H313&lt;&gt;"Fait"),"",MIN($G313,MAX(0,SUMIFS($G$5:$G313,$C$5:$C313,$C313,$H$5:$H313,"Fait")-SUMIFS(Paiements!$I$5:$I$2000,Paiements!$C$5:$C$2000,$C313,Paiements!$L$5:$L$2000,"Payé"))))</f>
        <v/>
      </c>
      <c r="J313" s="30" t="str">
        <f t="shared" si="9"/>
        <v/>
      </c>
      <c r="K313" s="14"/>
      <c r="L313" s="17" t="str">
        <f>IF(AND($C313&lt;&gt;"",$C313=Controle_Paiement!$B$4,$J313&lt;&gt;"Payé",$J313&lt;&gt;"Annulé",$J313&lt;&gt;""),1,"")</f>
        <v/>
      </c>
    </row>
    <row r="314" spans="1:12" x14ac:dyDescent="0.35">
      <c r="A314" s="18"/>
      <c r="B314" s="27"/>
      <c r="C314" s="14"/>
      <c r="D314" s="14"/>
      <c r="E314" s="19"/>
      <c r="F314" s="19"/>
      <c r="G314" s="28" t="str">
        <f t="shared" si="8"/>
        <v/>
      </c>
      <c r="H314" s="14"/>
      <c r="I314" s="29" t="str">
        <f>IF(OR($C314="",$G314="",$H314&lt;&gt;"Fait"),"",MIN($G314,MAX(0,SUMIFS($G$5:$G314,$C$5:$C314,$C314,$H$5:$H314,"Fait")-SUMIFS(Paiements!$I$5:$I$2000,Paiements!$C$5:$C$2000,$C314,Paiements!$L$5:$L$2000,"Payé"))))</f>
        <v/>
      </c>
      <c r="J314" s="30" t="str">
        <f t="shared" si="9"/>
        <v/>
      </c>
      <c r="K314" s="14"/>
      <c r="L314" s="17" t="str">
        <f>IF(AND($C314&lt;&gt;"",$C314=Controle_Paiement!$B$4,$J314&lt;&gt;"Payé",$J314&lt;&gt;"Annulé",$J314&lt;&gt;""),1,"")</f>
        <v/>
      </c>
    </row>
    <row r="315" spans="1:12" x14ac:dyDescent="0.35">
      <c r="A315" s="18"/>
      <c r="B315" s="27"/>
      <c r="C315" s="14"/>
      <c r="D315" s="14"/>
      <c r="E315" s="19"/>
      <c r="F315" s="19"/>
      <c r="G315" s="28" t="str">
        <f t="shared" si="8"/>
        <v/>
      </c>
      <c r="H315" s="14"/>
      <c r="I315" s="29" t="str">
        <f>IF(OR($C315="",$G315="",$H315&lt;&gt;"Fait"),"",MIN($G315,MAX(0,SUMIFS($G$5:$G315,$C$5:$C315,$C315,$H$5:$H315,"Fait")-SUMIFS(Paiements!$I$5:$I$2000,Paiements!$C$5:$C$2000,$C315,Paiements!$L$5:$L$2000,"Payé"))))</f>
        <v/>
      </c>
      <c r="J315" s="30" t="str">
        <f t="shared" si="9"/>
        <v/>
      </c>
      <c r="K315" s="14"/>
      <c r="L315" s="17" t="str">
        <f>IF(AND($C315&lt;&gt;"",$C315=Controle_Paiement!$B$4,$J315&lt;&gt;"Payé",$J315&lt;&gt;"Annulé",$J315&lt;&gt;""),1,"")</f>
        <v/>
      </c>
    </row>
    <row r="316" spans="1:12" x14ac:dyDescent="0.35">
      <c r="A316" s="18"/>
      <c r="B316" s="27"/>
      <c r="C316" s="14"/>
      <c r="D316" s="14"/>
      <c r="E316" s="19"/>
      <c r="F316" s="19"/>
      <c r="G316" s="28" t="str">
        <f t="shared" si="8"/>
        <v/>
      </c>
      <c r="H316" s="14"/>
      <c r="I316" s="29" t="str">
        <f>IF(OR($C316="",$G316="",$H316&lt;&gt;"Fait"),"",MIN($G316,MAX(0,SUMIFS($G$5:$G316,$C$5:$C316,$C316,$H$5:$H316,"Fait")-SUMIFS(Paiements!$I$5:$I$2000,Paiements!$C$5:$C$2000,$C316,Paiements!$L$5:$L$2000,"Payé"))))</f>
        <v/>
      </c>
      <c r="J316" s="30" t="str">
        <f t="shared" si="9"/>
        <v/>
      </c>
      <c r="K316" s="14"/>
      <c r="L316" s="17" t="str">
        <f>IF(AND($C316&lt;&gt;"",$C316=Controle_Paiement!$B$4,$J316&lt;&gt;"Payé",$J316&lt;&gt;"Annulé",$J316&lt;&gt;""),1,"")</f>
        <v/>
      </c>
    </row>
    <row r="317" spans="1:12" x14ac:dyDescent="0.35">
      <c r="A317" s="18"/>
      <c r="B317" s="27"/>
      <c r="C317" s="14"/>
      <c r="D317" s="14"/>
      <c r="E317" s="19"/>
      <c r="F317" s="19"/>
      <c r="G317" s="28" t="str">
        <f t="shared" si="8"/>
        <v/>
      </c>
      <c r="H317" s="14"/>
      <c r="I317" s="29" t="str">
        <f>IF(OR($C317="",$G317="",$H317&lt;&gt;"Fait"),"",MIN($G317,MAX(0,SUMIFS($G$5:$G317,$C$5:$C317,$C317,$H$5:$H317,"Fait")-SUMIFS(Paiements!$I$5:$I$2000,Paiements!$C$5:$C$2000,$C317,Paiements!$L$5:$L$2000,"Payé"))))</f>
        <v/>
      </c>
      <c r="J317" s="30" t="str">
        <f t="shared" si="9"/>
        <v/>
      </c>
      <c r="K317" s="14"/>
      <c r="L317" s="17" t="str">
        <f>IF(AND($C317&lt;&gt;"",$C317=Controle_Paiement!$B$4,$J317&lt;&gt;"Payé",$J317&lt;&gt;"Annulé",$J317&lt;&gt;""),1,"")</f>
        <v/>
      </c>
    </row>
    <row r="318" spans="1:12" x14ac:dyDescent="0.35">
      <c r="A318" s="18"/>
      <c r="B318" s="27"/>
      <c r="C318" s="14"/>
      <c r="D318" s="14"/>
      <c r="E318" s="19"/>
      <c r="F318" s="19"/>
      <c r="G318" s="28" t="str">
        <f t="shared" si="8"/>
        <v/>
      </c>
      <c r="H318" s="14"/>
      <c r="I318" s="29" t="str">
        <f>IF(OR($C318="",$G318="",$H318&lt;&gt;"Fait"),"",MIN($G318,MAX(0,SUMIFS($G$5:$G318,$C$5:$C318,$C318,$H$5:$H318,"Fait")-SUMIFS(Paiements!$I$5:$I$2000,Paiements!$C$5:$C$2000,$C318,Paiements!$L$5:$L$2000,"Payé"))))</f>
        <v/>
      </c>
      <c r="J318" s="30" t="str">
        <f t="shared" si="9"/>
        <v/>
      </c>
      <c r="K318" s="14"/>
      <c r="L318" s="17" t="str">
        <f>IF(AND($C318&lt;&gt;"",$C318=Controle_Paiement!$B$4,$J318&lt;&gt;"Payé",$J318&lt;&gt;"Annulé",$J318&lt;&gt;""),1,"")</f>
        <v/>
      </c>
    </row>
    <row r="319" spans="1:12" x14ac:dyDescent="0.35">
      <c r="A319" s="18"/>
      <c r="B319" s="27"/>
      <c r="C319" s="14"/>
      <c r="D319" s="14"/>
      <c r="E319" s="19"/>
      <c r="F319" s="19"/>
      <c r="G319" s="28" t="str">
        <f t="shared" si="8"/>
        <v/>
      </c>
      <c r="H319" s="14"/>
      <c r="I319" s="29" t="str">
        <f>IF(OR($C319="",$G319="",$H319&lt;&gt;"Fait"),"",MIN($G319,MAX(0,SUMIFS($G$5:$G319,$C$5:$C319,$C319,$H$5:$H319,"Fait")-SUMIFS(Paiements!$I$5:$I$2000,Paiements!$C$5:$C$2000,$C319,Paiements!$L$5:$L$2000,"Payé"))))</f>
        <v/>
      </c>
      <c r="J319" s="30" t="str">
        <f t="shared" si="9"/>
        <v/>
      </c>
      <c r="K319" s="14"/>
      <c r="L319" s="17" t="str">
        <f>IF(AND($C319&lt;&gt;"",$C319=Controle_Paiement!$B$4,$J319&lt;&gt;"Payé",$J319&lt;&gt;"Annulé",$J319&lt;&gt;""),1,"")</f>
        <v/>
      </c>
    </row>
    <row r="320" spans="1:12" x14ac:dyDescent="0.35">
      <c r="A320" s="18"/>
      <c r="B320" s="27"/>
      <c r="C320" s="14"/>
      <c r="D320" s="14"/>
      <c r="E320" s="19"/>
      <c r="F320" s="19"/>
      <c r="G320" s="28" t="str">
        <f t="shared" si="8"/>
        <v/>
      </c>
      <c r="H320" s="14"/>
      <c r="I320" s="29" t="str">
        <f>IF(OR($C320="",$G320="",$H320&lt;&gt;"Fait"),"",MIN($G320,MAX(0,SUMIFS($G$5:$G320,$C$5:$C320,$C320,$H$5:$H320,"Fait")-SUMIFS(Paiements!$I$5:$I$2000,Paiements!$C$5:$C$2000,$C320,Paiements!$L$5:$L$2000,"Payé"))))</f>
        <v/>
      </c>
      <c r="J320" s="30" t="str">
        <f t="shared" si="9"/>
        <v/>
      </c>
      <c r="K320" s="14"/>
      <c r="L320" s="17" t="str">
        <f>IF(AND($C320&lt;&gt;"",$C320=Controle_Paiement!$B$4,$J320&lt;&gt;"Payé",$J320&lt;&gt;"Annulé",$J320&lt;&gt;""),1,"")</f>
        <v/>
      </c>
    </row>
    <row r="321" spans="1:12" x14ac:dyDescent="0.35">
      <c r="A321" s="18"/>
      <c r="B321" s="27"/>
      <c r="C321" s="14"/>
      <c r="D321" s="14"/>
      <c r="E321" s="19"/>
      <c r="F321" s="19"/>
      <c r="G321" s="28" t="str">
        <f t="shared" si="8"/>
        <v/>
      </c>
      <c r="H321" s="14"/>
      <c r="I321" s="29" t="str">
        <f>IF(OR($C321="",$G321="",$H321&lt;&gt;"Fait"),"",MIN($G321,MAX(0,SUMIFS($G$5:$G321,$C$5:$C321,$C321,$H$5:$H321,"Fait")-SUMIFS(Paiements!$I$5:$I$2000,Paiements!$C$5:$C$2000,$C321,Paiements!$L$5:$L$2000,"Payé"))))</f>
        <v/>
      </c>
      <c r="J321" s="30" t="str">
        <f t="shared" si="9"/>
        <v/>
      </c>
      <c r="K321" s="14"/>
      <c r="L321" s="17" t="str">
        <f>IF(AND($C321&lt;&gt;"",$C321=Controle_Paiement!$B$4,$J321&lt;&gt;"Payé",$J321&lt;&gt;"Annulé",$J321&lt;&gt;""),1,"")</f>
        <v/>
      </c>
    </row>
    <row r="322" spans="1:12" x14ac:dyDescent="0.35">
      <c r="A322" s="18"/>
      <c r="B322" s="27"/>
      <c r="C322" s="14"/>
      <c r="D322" s="14"/>
      <c r="E322" s="19"/>
      <c r="F322" s="19"/>
      <c r="G322" s="28" t="str">
        <f t="shared" si="8"/>
        <v/>
      </c>
      <c r="H322" s="14"/>
      <c r="I322" s="29" t="str">
        <f>IF(OR($C322="",$G322="",$H322&lt;&gt;"Fait"),"",MIN($G322,MAX(0,SUMIFS($G$5:$G322,$C$5:$C322,$C322,$H$5:$H322,"Fait")-SUMIFS(Paiements!$I$5:$I$2000,Paiements!$C$5:$C$2000,$C322,Paiements!$L$5:$L$2000,"Payé"))))</f>
        <v/>
      </c>
      <c r="J322" s="30" t="str">
        <f t="shared" si="9"/>
        <v/>
      </c>
      <c r="K322" s="14"/>
      <c r="L322" s="17" t="str">
        <f>IF(AND($C322&lt;&gt;"",$C322=Controle_Paiement!$B$4,$J322&lt;&gt;"Payé",$J322&lt;&gt;"Annulé",$J322&lt;&gt;""),1,"")</f>
        <v/>
      </c>
    </row>
    <row r="323" spans="1:12" x14ac:dyDescent="0.35">
      <c r="A323" s="18"/>
      <c r="B323" s="27"/>
      <c r="C323" s="14"/>
      <c r="D323" s="14"/>
      <c r="E323" s="19"/>
      <c r="F323" s="19"/>
      <c r="G323" s="28" t="str">
        <f t="shared" ref="G323:G386" si="10">IF(OR($E323="",$F323=""),"",ROUND($E323*$F323,0))</f>
        <v/>
      </c>
      <c r="H323" s="14"/>
      <c r="I323" s="29" t="str">
        <f>IF(OR($C323="",$G323="",$H323&lt;&gt;"Fait"),"",MIN($G323,MAX(0,SUMIFS($G$5:$G323,$C$5:$C323,$C323,$H$5:$H323,"Fait")-SUMIFS(Paiements!$I$5:$I$2000,Paiements!$C$5:$C$2000,$C323,Paiements!$L$5:$L$2000,"Payé"))))</f>
        <v/>
      </c>
      <c r="J323" s="30" t="str">
        <f t="shared" ref="J323:J386" si="11">IF(OR($C323="",$G323=""),"",IF($H323="Annulé","Annulé",IF($H323&lt;&gt;"Fait","Non payable (déchargement non fait)",IF($I323=0,"Payé",IF($I323&lt;$G323,"Partiellement payé","À payer")))))</f>
        <v/>
      </c>
      <c r="K323" s="14"/>
      <c r="L323" s="17" t="str">
        <f>IF(AND($C323&lt;&gt;"",$C323=Controle_Paiement!$B$4,$J323&lt;&gt;"Payé",$J323&lt;&gt;"Annulé",$J323&lt;&gt;""),1,"")</f>
        <v/>
      </c>
    </row>
    <row r="324" spans="1:12" x14ac:dyDescent="0.35">
      <c r="A324" s="18"/>
      <c r="B324" s="27"/>
      <c r="C324" s="14"/>
      <c r="D324" s="14"/>
      <c r="E324" s="19"/>
      <c r="F324" s="19"/>
      <c r="G324" s="28" t="str">
        <f t="shared" si="10"/>
        <v/>
      </c>
      <c r="H324" s="14"/>
      <c r="I324" s="29" t="str">
        <f>IF(OR($C324="",$G324="",$H324&lt;&gt;"Fait"),"",MIN($G324,MAX(0,SUMIFS($G$5:$G324,$C$5:$C324,$C324,$H$5:$H324,"Fait")-SUMIFS(Paiements!$I$5:$I$2000,Paiements!$C$5:$C$2000,$C324,Paiements!$L$5:$L$2000,"Payé"))))</f>
        <v/>
      </c>
      <c r="J324" s="30" t="str">
        <f t="shared" si="11"/>
        <v/>
      </c>
      <c r="K324" s="14"/>
      <c r="L324" s="17" t="str">
        <f>IF(AND($C324&lt;&gt;"",$C324=Controle_Paiement!$B$4,$J324&lt;&gt;"Payé",$J324&lt;&gt;"Annulé",$J324&lt;&gt;""),1,"")</f>
        <v/>
      </c>
    </row>
    <row r="325" spans="1:12" x14ac:dyDescent="0.35">
      <c r="A325" s="18"/>
      <c r="B325" s="27"/>
      <c r="C325" s="14"/>
      <c r="D325" s="14"/>
      <c r="E325" s="19"/>
      <c r="F325" s="19"/>
      <c r="G325" s="28" t="str">
        <f t="shared" si="10"/>
        <v/>
      </c>
      <c r="H325" s="14"/>
      <c r="I325" s="29" t="str">
        <f>IF(OR($C325="",$G325="",$H325&lt;&gt;"Fait"),"",MIN($G325,MAX(0,SUMIFS($G$5:$G325,$C$5:$C325,$C325,$H$5:$H325,"Fait")-SUMIFS(Paiements!$I$5:$I$2000,Paiements!$C$5:$C$2000,$C325,Paiements!$L$5:$L$2000,"Payé"))))</f>
        <v/>
      </c>
      <c r="J325" s="30" t="str">
        <f t="shared" si="11"/>
        <v/>
      </c>
      <c r="K325" s="14"/>
      <c r="L325" s="17" t="str">
        <f>IF(AND($C325&lt;&gt;"",$C325=Controle_Paiement!$B$4,$J325&lt;&gt;"Payé",$J325&lt;&gt;"Annulé",$J325&lt;&gt;""),1,"")</f>
        <v/>
      </c>
    </row>
    <row r="326" spans="1:12" x14ac:dyDescent="0.35">
      <c r="A326" s="18"/>
      <c r="B326" s="27"/>
      <c r="C326" s="14"/>
      <c r="D326" s="14"/>
      <c r="E326" s="19"/>
      <c r="F326" s="19"/>
      <c r="G326" s="28" t="str">
        <f t="shared" si="10"/>
        <v/>
      </c>
      <c r="H326" s="14"/>
      <c r="I326" s="29" t="str">
        <f>IF(OR($C326="",$G326="",$H326&lt;&gt;"Fait"),"",MIN($G326,MAX(0,SUMIFS($G$5:$G326,$C$5:$C326,$C326,$H$5:$H326,"Fait")-SUMIFS(Paiements!$I$5:$I$2000,Paiements!$C$5:$C$2000,$C326,Paiements!$L$5:$L$2000,"Payé"))))</f>
        <v/>
      </c>
      <c r="J326" s="30" t="str">
        <f t="shared" si="11"/>
        <v/>
      </c>
      <c r="K326" s="14"/>
      <c r="L326" s="17" t="str">
        <f>IF(AND($C326&lt;&gt;"",$C326=Controle_Paiement!$B$4,$J326&lt;&gt;"Payé",$J326&lt;&gt;"Annulé",$J326&lt;&gt;""),1,"")</f>
        <v/>
      </c>
    </row>
    <row r="327" spans="1:12" x14ac:dyDescent="0.35">
      <c r="A327" s="18"/>
      <c r="B327" s="27"/>
      <c r="C327" s="14"/>
      <c r="D327" s="14"/>
      <c r="E327" s="19"/>
      <c r="F327" s="19"/>
      <c r="G327" s="28" t="str">
        <f t="shared" si="10"/>
        <v/>
      </c>
      <c r="H327" s="14"/>
      <c r="I327" s="29" t="str">
        <f>IF(OR($C327="",$G327="",$H327&lt;&gt;"Fait"),"",MIN($G327,MAX(0,SUMIFS($G$5:$G327,$C$5:$C327,$C327,$H$5:$H327,"Fait")-SUMIFS(Paiements!$I$5:$I$2000,Paiements!$C$5:$C$2000,$C327,Paiements!$L$5:$L$2000,"Payé"))))</f>
        <v/>
      </c>
      <c r="J327" s="30" t="str">
        <f t="shared" si="11"/>
        <v/>
      </c>
      <c r="K327" s="14"/>
      <c r="L327" s="17" t="str">
        <f>IF(AND($C327&lt;&gt;"",$C327=Controle_Paiement!$B$4,$J327&lt;&gt;"Payé",$J327&lt;&gt;"Annulé",$J327&lt;&gt;""),1,"")</f>
        <v/>
      </c>
    </row>
    <row r="328" spans="1:12" x14ac:dyDescent="0.35">
      <c r="A328" s="18"/>
      <c r="B328" s="27"/>
      <c r="C328" s="14"/>
      <c r="D328" s="14"/>
      <c r="E328" s="19"/>
      <c r="F328" s="19"/>
      <c r="G328" s="28" t="str">
        <f t="shared" si="10"/>
        <v/>
      </c>
      <c r="H328" s="14"/>
      <c r="I328" s="29" t="str">
        <f>IF(OR($C328="",$G328="",$H328&lt;&gt;"Fait"),"",MIN($G328,MAX(0,SUMIFS($G$5:$G328,$C$5:$C328,$C328,$H$5:$H328,"Fait")-SUMIFS(Paiements!$I$5:$I$2000,Paiements!$C$5:$C$2000,$C328,Paiements!$L$5:$L$2000,"Payé"))))</f>
        <v/>
      </c>
      <c r="J328" s="30" t="str">
        <f t="shared" si="11"/>
        <v/>
      </c>
      <c r="K328" s="14"/>
      <c r="L328" s="17" t="str">
        <f>IF(AND($C328&lt;&gt;"",$C328=Controle_Paiement!$B$4,$J328&lt;&gt;"Payé",$J328&lt;&gt;"Annulé",$J328&lt;&gt;""),1,"")</f>
        <v/>
      </c>
    </row>
    <row r="329" spans="1:12" x14ac:dyDescent="0.35">
      <c r="A329" s="18"/>
      <c r="B329" s="27"/>
      <c r="C329" s="14"/>
      <c r="D329" s="14"/>
      <c r="E329" s="19"/>
      <c r="F329" s="19"/>
      <c r="G329" s="28" t="str">
        <f t="shared" si="10"/>
        <v/>
      </c>
      <c r="H329" s="14"/>
      <c r="I329" s="29" t="str">
        <f>IF(OR($C329="",$G329="",$H329&lt;&gt;"Fait"),"",MIN($G329,MAX(0,SUMIFS($G$5:$G329,$C$5:$C329,$C329,$H$5:$H329,"Fait")-SUMIFS(Paiements!$I$5:$I$2000,Paiements!$C$5:$C$2000,$C329,Paiements!$L$5:$L$2000,"Payé"))))</f>
        <v/>
      </c>
      <c r="J329" s="30" t="str">
        <f t="shared" si="11"/>
        <v/>
      </c>
      <c r="K329" s="14"/>
      <c r="L329" s="17" t="str">
        <f>IF(AND($C329&lt;&gt;"",$C329=Controle_Paiement!$B$4,$J329&lt;&gt;"Payé",$J329&lt;&gt;"Annulé",$J329&lt;&gt;""),1,"")</f>
        <v/>
      </c>
    </row>
    <row r="330" spans="1:12" x14ac:dyDescent="0.35">
      <c r="A330" s="18"/>
      <c r="B330" s="27"/>
      <c r="C330" s="14"/>
      <c r="D330" s="14"/>
      <c r="E330" s="19"/>
      <c r="F330" s="19"/>
      <c r="G330" s="28" t="str">
        <f t="shared" si="10"/>
        <v/>
      </c>
      <c r="H330" s="14"/>
      <c r="I330" s="29" t="str">
        <f>IF(OR($C330="",$G330="",$H330&lt;&gt;"Fait"),"",MIN($G330,MAX(0,SUMIFS($G$5:$G330,$C$5:$C330,$C330,$H$5:$H330,"Fait")-SUMIFS(Paiements!$I$5:$I$2000,Paiements!$C$5:$C$2000,$C330,Paiements!$L$5:$L$2000,"Payé"))))</f>
        <v/>
      </c>
      <c r="J330" s="30" t="str">
        <f t="shared" si="11"/>
        <v/>
      </c>
      <c r="K330" s="14"/>
      <c r="L330" s="17" t="str">
        <f>IF(AND($C330&lt;&gt;"",$C330=Controle_Paiement!$B$4,$J330&lt;&gt;"Payé",$J330&lt;&gt;"Annulé",$J330&lt;&gt;""),1,"")</f>
        <v/>
      </c>
    </row>
    <row r="331" spans="1:12" x14ac:dyDescent="0.35">
      <c r="A331" s="18"/>
      <c r="B331" s="27"/>
      <c r="C331" s="14"/>
      <c r="D331" s="14"/>
      <c r="E331" s="19"/>
      <c r="F331" s="19"/>
      <c r="G331" s="28" t="str">
        <f t="shared" si="10"/>
        <v/>
      </c>
      <c r="H331" s="14"/>
      <c r="I331" s="29" t="str">
        <f>IF(OR($C331="",$G331="",$H331&lt;&gt;"Fait"),"",MIN($G331,MAX(0,SUMIFS($G$5:$G331,$C$5:$C331,$C331,$H$5:$H331,"Fait")-SUMIFS(Paiements!$I$5:$I$2000,Paiements!$C$5:$C$2000,$C331,Paiements!$L$5:$L$2000,"Payé"))))</f>
        <v/>
      </c>
      <c r="J331" s="30" t="str">
        <f t="shared" si="11"/>
        <v/>
      </c>
      <c r="K331" s="14"/>
      <c r="L331" s="17" t="str">
        <f>IF(AND($C331&lt;&gt;"",$C331=Controle_Paiement!$B$4,$J331&lt;&gt;"Payé",$J331&lt;&gt;"Annulé",$J331&lt;&gt;""),1,"")</f>
        <v/>
      </c>
    </row>
    <row r="332" spans="1:12" x14ac:dyDescent="0.35">
      <c r="A332" s="18"/>
      <c r="B332" s="27"/>
      <c r="C332" s="14"/>
      <c r="D332" s="14"/>
      <c r="E332" s="19"/>
      <c r="F332" s="19"/>
      <c r="G332" s="28" t="str">
        <f t="shared" si="10"/>
        <v/>
      </c>
      <c r="H332" s="14"/>
      <c r="I332" s="29" t="str">
        <f>IF(OR($C332="",$G332="",$H332&lt;&gt;"Fait"),"",MIN($G332,MAX(0,SUMIFS($G$5:$G332,$C$5:$C332,$C332,$H$5:$H332,"Fait")-SUMIFS(Paiements!$I$5:$I$2000,Paiements!$C$5:$C$2000,$C332,Paiements!$L$5:$L$2000,"Payé"))))</f>
        <v/>
      </c>
      <c r="J332" s="30" t="str">
        <f t="shared" si="11"/>
        <v/>
      </c>
      <c r="K332" s="14"/>
      <c r="L332" s="17" t="str">
        <f>IF(AND($C332&lt;&gt;"",$C332=Controle_Paiement!$B$4,$J332&lt;&gt;"Payé",$J332&lt;&gt;"Annulé",$J332&lt;&gt;""),1,"")</f>
        <v/>
      </c>
    </row>
    <row r="333" spans="1:12" x14ac:dyDescent="0.35">
      <c r="A333" s="18"/>
      <c r="B333" s="27"/>
      <c r="C333" s="14"/>
      <c r="D333" s="14"/>
      <c r="E333" s="19"/>
      <c r="F333" s="19"/>
      <c r="G333" s="28" t="str">
        <f t="shared" si="10"/>
        <v/>
      </c>
      <c r="H333" s="14"/>
      <c r="I333" s="29" t="str">
        <f>IF(OR($C333="",$G333="",$H333&lt;&gt;"Fait"),"",MIN($G333,MAX(0,SUMIFS($G$5:$G333,$C$5:$C333,$C333,$H$5:$H333,"Fait")-SUMIFS(Paiements!$I$5:$I$2000,Paiements!$C$5:$C$2000,$C333,Paiements!$L$5:$L$2000,"Payé"))))</f>
        <v/>
      </c>
      <c r="J333" s="30" t="str">
        <f t="shared" si="11"/>
        <v/>
      </c>
      <c r="K333" s="14"/>
      <c r="L333" s="17" t="str">
        <f>IF(AND($C333&lt;&gt;"",$C333=Controle_Paiement!$B$4,$J333&lt;&gt;"Payé",$J333&lt;&gt;"Annulé",$J333&lt;&gt;""),1,"")</f>
        <v/>
      </c>
    </row>
    <row r="334" spans="1:12" x14ac:dyDescent="0.35">
      <c r="A334" s="18"/>
      <c r="B334" s="27"/>
      <c r="C334" s="14"/>
      <c r="D334" s="14"/>
      <c r="E334" s="19"/>
      <c r="F334" s="19"/>
      <c r="G334" s="28" t="str">
        <f t="shared" si="10"/>
        <v/>
      </c>
      <c r="H334" s="14"/>
      <c r="I334" s="29" t="str">
        <f>IF(OR($C334="",$G334="",$H334&lt;&gt;"Fait"),"",MIN($G334,MAX(0,SUMIFS($G$5:$G334,$C$5:$C334,$C334,$H$5:$H334,"Fait")-SUMIFS(Paiements!$I$5:$I$2000,Paiements!$C$5:$C$2000,$C334,Paiements!$L$5:$L$2000,"Payé"))))</f>
        <v/>
      </c>
      <c r="J334" s="30" t="str">
        <f t="shared" si="11"/>
        <v/>
      </c>
      <c r="K334" s="14"/>
      <c r="L334" s="17" t="str">
        <f>IF(AND($C334&lt;&gt;"",$C334=Controle_Paiement!$B$4,$J334&lt;&gt;"Payé",$J334&lt;&gt;"Annulé",$J334&lt;&gt;""),1,"")</f>
        <v/>
      </c>
    </row>
    <row r="335" spans="1:12" x14ac:dyDescent="0.35">
      <c r="A335" s="18"/>
      <c r="B335" s="27"/>
      <c r="C335" s="14"/>
      <c r="D335" s="14"/>
      <c r="E335" s="19"/>
      <c r="F335" s="19"/>
      <c r="G335" s="28" t="str">
        <f t="shared" si="10"/>
        <v/>
      </c>
      <c r="H335" s="14"/>
      <c r="I335" s="29" t="str">
        <f>IF(OR($C335="",$G335="",$H335&lt;&gt;"Fait"),"",MIN($G335,MAX(0,SUMIFS($G$5:$G335,$C$5:$C335,$C335,$H$5:$H335,"Fait")-SUMIFS(Paiements!$I$5:$I$2000,Paiements!$C$5:$C$2000,$C335,Paiements!$L$5:$L$2000,"Payé"))))</f>
        <v/>
      </c>
      <c r="J335" s="30" t="str">
        <f t="shared" si="11"/>
        <v/>
      </c>
      <c r="K335" s="14"/>
      <c r="L335" s="17" t="str">
        <f>IF(AND($C335&lt;&gt;"",$C335=Controle_Paiement!$B$4,$J335&lt;&gt;"Payé",$J335&lt;&gt;"Annulé",$J335&lt;&gt;""),1,"")</f>
        <v/>
      </c>
    </row>
    <row r="336" spans="1:12" x14ac:dyDescent="0.35">
      <c r="A336" s="18"/>
      <c r="B336" s="27"/>
      <c r="C336" s="14"/>
      <c r="D336" s="14"/>
      <c r="E336" s="19"/>
      <c r="F336" s="19"/>
      <c r="G336" s="28" t="str">
        <f t="shared" si="10"/>
        <v/>
      </c>
      <c r="H336" s="14"/>
      <c r="I336" s="29" t="str">
        <f>IF(OR($C336="",$G336="",$H336&lt;&gt;"Fait"),"",MIN($G336,MAX(0,SUMIFS($G$5:$G336,$C$5:$C336,$C336,$H$5:$H336,"Fait")-SUMIFS(Paiements!$I$5:$I$2000,Paiements!$C$5:$C$2000,$C336,Paiements!$L$5:$L$2000,"Payé"))))</f>
        <v/>
      </c>
      <c r="J336" s="30" t="str">
        <f t="shared" si="11"/>
        <v/>
      </c>
      <c r="K336" s="14"/>
      <c r="L336" s="17" t="str">
        <f>IF(AND($C336&lt;&gt;"",$C336=Controle_Paiement!$B$4,$J336&lt;&gt;"Payé",$J336&lt;&gt;"Annulé",$J336&lt;&gt;""),1,"")</f>
        <v/>
      </c>
    </row>
    <row r="337" spans="1:12" x14ac:dyDescent="0.35">
      <c r="A337" s="18"/>
      <c r="B337" s="27"/>
      <c r="C337" s="14"/>
      <c r="D337" s="14"/>
      <c r="E337" s="19"/>
      <c r="F337" s="19"/>
      <c r="G337" s="28" t="str">
        <f t="shared" si="10"/>
        <v/>
      </c>
      <c r="H337" s="14"/>
      <c r="I337" s="29" t="str">
        <f>IF(OR($C337="",$G337="",$H337&lt;&gt;"Fait"),"",MIN($G337,MAX(0,SUMIFS($G$5:$G337,$C$5:$C337,$C337,$H$5:$H337,"Fait")-SUMIFS(Paiements!$I$5:$I$2000,Paiements!$C$5:$C$2000,$C337,Paiements!$L$5:$L$2000,"Payé"))))</f>
        <v/>
      </c>
      <c r="J337" s="30" t="str">
        <f t="shared" si="11"/>
        <v/>
      </c>
      <c r="K337" s="14"/>
      <c r="L337" s="17" t="str">
        <f>IF(AND($C337&lt;&gt;"",$C337=Controle_Paiement!$B$4,$J337&lt;&gt;"Payé",$J337&lt;&gt;"Annulé",$J337&lt;&gt;""),1,"")</f>
        <v/>
      </c>
    </row>
    <row r="338" spans="1:12" x14ac:dyDescent="0.35">
      <c r="A338" s="18"/>
      <c r="B338" s="27"/>
      <c r="C338" s="14"/>
      <c r="D338" s="14"/>
      <c r="E338" s="19"/>
      <c r="F338" s="19"/>
      <c r="G338" s="28" t="str">
        <f t="shared" si="10"/>
        <v/>
      </c>
      <c r="H338" s="14"/>
      <c r="I338" s="29" t="str">
        <f>IF(OR($C338="",$G338="",$H338&lt;&gt;"Fait"),"",MIN($G338,MAX(0,SUMIFS($G$5:$G338,$C$5:$C338,$C338,$H$5:$H338,"Fait")-SUMIFS(Paiements!$I$5:$I$2000,Paiements!$C$5:$C$2000,$C338,Paiements!$L$5:$L$2000,"Payé"))))</f>
        <v/>
      </c>
      <c r="J338" s="30" t="str">
        <f t="shared" si="11"/>
        <v/>
      </c>
      <c r="K338" s="14"/>
      <c r="L338" s="17" t="str">
        <f>IF(AND($C338&lt;&gt;"",$C338=Controle_Paiement!$B$4,$J338&lt;&gt;"Payé",$J338&lt;&gt;"Annulé",$J338&lt;&gt;""),1,"")</f>
        <v/>
      </c>
    </row>
    <row r="339" spans="1:12" x14ac:dyDescent="0.35">
      <c r="A339" s="18"/>
      <c r="B339" s="27"/>
      <c r="C339" s="14"/>
      <c r="D339" s="14"/>
      <c r="E339" s="19"/>
      <c r="F339" s="19"/>
      <c r="G339" s="28" t="str">
        <f t="shared" si="10"/>
        <v/>
      </c>
      <c r="H339" s="14"/>
      <c r="I339" s="29" t="str">
        <f>IF(OR($C339="",$G339="",$H339&lt;&gt;"Fait"),"",MIN($G339,MAX(0,SUMIFS($G$5:$G339,$C$5:$C339,$C339,$H$5:$H339,"Fait")-SUMIFS(Paiements!$I$5:$I$2000,Paiements!$C$5:$C$2000,$C339,Paiements!$L$5:$L$2000,"Payé"))))</f>
        <v/>
      </c>
      <c r="J339" s="30" t="str">
        <f t="shared" si="11"/>
        <v/>
      </c>
      <c r="K339" s="14"/>
      <c r="L339" s="17" t="str">
        <f>IF(AND($C339&lt;&gt;"",$C339=Controle_Paiement!$B$4,$J339&lt;&gt;"Payé",$J339&lt;&gt;"Annulé",$J339&lt;&gt;""),1,"")</f>
        <v/>
      </c>
    </row>
    <row r="340" spans="1:12" x14ac:dyDescent="0.35">
      <c r="A340" s="18"/>
      <c r="B340" s="27"/>
      <c r="C340" s="14"/>
      <c r="D340" s="14"/>
      <c r="E340" s="19"/>
      <c r="F340" s="19"/>
      <c r="G340" s="28" t="str">
        <f t="shared" si="10"/>
        <v/>
      </c>
      <c r="H340" s="14"/>
      <c r="I340" s="29" t="str">
        <f>IF(OR($C340="",$G340="",$H340&lt;&gt;"Fait"),"",MIN($G340,MAX(0,SUMIFS($G$5:$G340,$C$5:$C340,$C340,$H$5:$H340,"Fait")-SUMIFS(Paiements!$I$5:$I$2000,Paiements!$C$5:$C$2000,$C340,Paiements!$L$5:$L$2000,"Payé"))))</f>
        <v/>
      </c>
      <c r="J340" s="30" t="str">
        <f t="shared" si="11"/>
        <v/>
      </c>
      <c r="K340" s="14"/>
      <c r="L340" s="17" t="str">
        <f>IF(AND($C340&lt;&gt;"",$C340=Controle_Paiement!$B$4,$J340&lt;&gt;"Payé",$J340&lt;&gt;"Annulé",$J340&lt;&gt;""),1,"")</f>
        <v/>
      </c>
    </row>
    <row r="341" spans="1:12" x14ac:dyDescent="0.35">
      <c r="A341" s="18"/>
      <c r="B341" s="27"/>
      <c r="C341" s="14"/>
      <c r="D341" s="14"/>
      <c r="E341" s="19"/>
      <c r="F341" s="19"/>
      <c r="G341" s="28" t="str">
        <f t="shared" si="10"/>
        <v/>
      </c>
      <c r="H341" s="14"/>
      <c r="I341" s="29" t="str">
        <f>IF(OR($C341="",$G341="",$H341&lt;&gt;"Fait"),"",MIN($G341,MAX(0,SUMIFS($G$5:$G341,$C$5:$C341,$C341,$H$5:$H341,"Fait")-SUMIFS(Paiements!$I$5:$I$2000,Paiements!$C$5:$C$2000,$C341,Paiements!$L$5:$L$2000,"Payé"))))</f>
        <v/>
      </c>
      <c r="J341" s="30" t="str">
        <f t="shared" si="11"/>
        <v/>
      </c>
      <c r="K341" s="14"/>
      <c r="L341" s="17" t="str">
        <f>IF(AND($C341&lt;&gt;"",$C341=Controle_Paiement!$B$4,$J341&lt;&gt;"Payé",$J341&lt;&gt;"Annulé",$J341&lt;&gt;""),1,"")</f>
        <v/>
      </c>
    </row>
    <row r="342" spans="1:12" x14ac:dyDescent="0.35">
      <c r="A342" s="18"/>
      <c r="B342" s="27"/>
      <c r="C342" s="14"/>
      <c r="D342" s="14"/>
      <c r="E342" s="19"/>
      <c r="F342" s="19"/>
      <c r="G342" s="28" t="str">
        <f t="shared" si="10"/>
        <v/>
      </c>
      <c r="H342" s="14"/>
      <c r="I342" s="29" t="str">
        <f>IF(OR($C342="",$G342="",$H342&lt;&gt;"Fait"),"",MIN($G342,MAX(0,SUMIFS($G$5:$G342,$C$5:$C342,$C342,$H$5:$H342,"Fait")-SUMIFS(Paiements!$I$5:$I$2000,Paiements!$C$5:$C$2000,$C342,Paiements!$L$5:$L$2000,"Payé"))))</f>
        <v/>
      </c>
      <c r="J342" s="30" t="str">
        <f t="shared" si="11"/>
        <v/>
      </c>
      <c r="K342" s="14"/>
      <c r="L342" s="17" t="str">
        <f>IF(AND($C342&lt;&gt;"",$C342=Controle_Paiement!$B$4,$J342&lt;&gt;"Payé",$J342&lt;&gt;"Annulé",$J342&lt;&gt;""),1,"")</f>
        <v/>
      </c>
    </row>
    <row r="343" spans="1:12" x14ac:dyDescent="0.35">
      <c r="A343" s="18"/>
      <c r="B343" s="27"/>
      <c r="C343" s="14"/>
      <c r="D343" s="14"/>
      <c r="E343" s="19"/>
      <c r="F343" s="19"/>
      <c r="G343" s="28" t="str">
        <f t="shared" si="10"/>
        <v/>
      </c>
      <c r="H343" s="14"/>
      <c r="I343" s="29" t="str">
        <f>IF(OR($C343="",$G343="",$H343&lt;&gt;"Fait"),"",MIN($G343,MAX(0,SUMIFS($G$5:$G343,$C$5:$C343,$C343,$H$5:$H343,"Fait")-SUMIFS(Paiements!$I$5:$I$2000,Paiements!$C$5:$C$2000,$C343,Paiements!$L$5:$L$2000,"Payé"))))</f>
        <v/>
      </c>
      <c r="J343" s="30" t="str">
        <f t="shared" si="11"/>
        <v/>
      </c>
      <c r="K343" s="14"/>
      <c r="L343" s="17" t="str">
        <f>IF(AND($C343&lt;&gt;"",$C343=Controle_Paiement!$B$4,$J343&lt;&gt;"Payé",$J343&lt;&gt;"Annulé",$J343&lt;&gt;""),1,"")</f>
        <v/>
      </c>
    </row>
    <row r="344" spans="1:12" x14ac:dyDescent="0.35">
      <c r="A344" s="18"/>
      <c r="B344" s="27"/>
      <c r="C344" s="14"/>
      <c r="D344" s="14"/>
      <c r="E344" s="19"/>
      <c r="F344" s="19"/>
      <c r="G344" s="28" t="str">
        <f t="shared" si="10"/>
        <v/>
      </c>
      <c r="H344" s="14"/>
      <c r="I344" s="29" t="str">
        <f>IF(OR($C344="",$G344="",$H344&lt;&gt;"Fait"),"",MIN($G344,MAX(0,SUMIFS($G$5:$G344,$C$5:$C344,$C344,$H$5:$H344,"Fait")-SUMIFS(Paiements!$I$5:$I$2000,Paiements!$C$5:$C$2000,$C344,Paiements!$L$5:$L$2000,"Payé"))))</f>
        <v/>
      </c>
      <c r="J344" s="30" t="str">
        <f t="shared" si="11"/>
        <v/>
      </c>
      <c r="K344" s="14"/>
      <c r="L344" s="17" t="str">
        <f>IF(AND($C344&lt;&gt;"",$C344=Controle_Paiement!$B$4,$J344&lt;&gt;"Payé",$J344&lt;&gt;"Annulé",$J344&lt;&gt;""),1,"")</f>
        <v/>
      </c>
    </row>
    <row r="345" spans="1:12" x14ac:dyDescent="0.35">
      <c r="A345" s="18"/>
      <c r="B345" s="27"/>
      <c r="C345" s="14"/>
      <c r="D345" s="14"/>
      <c r="E345" s="19"/>
      <c r="F345" s="19"/>
      <c r="G345" s="28" t="str">
        <f t="shared" si="10"/>
        <v/>
      </c>
      <c r="H345" s="14"/>
      <c r="I345" s="29" t="str">
        <f>IF(OR($C345="",$G345="",$H345&lt;&gt;"Fait"),"",MIN($G345,MAX(0,SUMIFS($G$5:$G345,$C$5:$C345,$C345,$H$5:$H345,"Fait")-SUMIFS(Paiements!$I$5:$I$2000,Paiements!$C$5:$C$2000,$C345,Paiements!$L$5:$L$2000,"Payé"))))</f>
        <v/>
      </c>
      <c r="J345" s="30" t="str">
        <f t="shared" si="11"/>
        <v/>
      </c>
      <c r="K345" s="14"/>
      <c r="L345" s="17" t="str">
        <f>IF(AND($C345&lt;&gt;"",$C345=Controle_Paiement!$B$4,$J345&lt;&gt;"Payé",$J345&lt;&gt;"Annulé",$J345&lt;&gt;""),1,"")</f>
        <v/>
      </c>
    </row>
    <row r="346" spans="1:12" x14ac:dyDescent="0.35">
      <c r="A346" s="18"/>
      <c r="B346" s="27"/>
      <c r="C346" s="14"/>
      <c r="D346" s="14"/>
      <c r="E346" s="19"/>
      <c r="F346" s="19"/>
      <c r="G346" s="28" t="str">
        <f t="shared" si="10"/>
        <v/>
      </c>
      <c r="H346" s="14"/>
      <c r="I346" s="29" t="str">
        <f>IF(OR($C346="",$G346="",$H346&lt;&gt;"Fait"),"",MIN($G346,MAX(0,SUMIFS($G$5:$G346,$C$5:$C346,$C346,$H$5:$H346,"Fait")-SUMIFS(Paiements!$I$5:$I$2000,Paiements!$C$5:$C$2000,$C346,Paiements!$L$5:$L$2000,"Payé"))))</f>
        <v/>
      </c>
      <c r="J346" s="30" t="str">
        <f t="shared" si="11"/>
        <v/>
      </c>
      <c r="K346" s="14"/>
      <c r="L346" s="17" t="str">
        <f>IF(AND($C346&lt;&gt;"",$C346=Controle_Paiement!$B$4,$J346&lt;&gt;"Payé",$J346&lt;&gt;"Annulé",$J346&lt;&gt;""),1,"")</f>
        <v/>
      </c>
    </row>
    <row r="347" spans="1:12" x14ac:dyDescent="0.35">
      <c r="A347" s="18"/>
      <c r="B347" s="27"/>
      <c r="C347" s="14"/>
      <c r="D347" s="14"/>
      <c r="E347" s="19"/>
      <c r="F347" s="19"/>
      <c r="G347" s="28" t="str">
        <f t="shared" si="10"/>
        <v/>
      </c>
      <c r="H347" s="14"/>
      <c r="I347" s="29" t="str">
        <f>IF(OR($C347="",$G347="",$H347&lt;&gt;"Fait"),"",MIN($G347,MAX(0,SUMIFS($G$5:$G347,$C$5:$C347,$C347,$H$5:$H347,"Fait")-SUMIFS(Paiements!$I$5:$I$2000,Paiements!$C$5:$C$2000,$C347,Paiements!$L$5:$L$2000,"Payé"))))</f>
        <v/>
      </c>
      <c r="J347" s="30" t="str">
        <f t="shared" si="11"/>
        <v/>
      </c>
      <c r="K347" s="14"/>
      <c r="L347" s="17" t="str">
        <f>IF(AND($C347&lt;&gt;"",$C347=Controle_Paiement!$B$4,$J347&lt;&gt;"Payé",$J347&lt;&gt;"Annulé",$J347&lt;&gt;""),1,"")</f>
        <v/>
      </c>
    </row>
    <row r="348" spans="1:12" x14ac:dyDescent="0.35">
      <c r="A348" s="18"/>
      <c r="B348" s="27"/>
      <c r="C348" s="14"/>
      <c r="D348" s="14"/>
      <c r="E348" s="19"/>
      <c r="F348" s="19"/>
      <c r="G348" s="28" t="str">
        <f t="shared" si="10"/>
        <v/>
      </c>
      <c r="H348" s="14"/>
      <c r="I348" s="29" t="str">
        <f>IF(OR($C348="",$G348="",$H348&lt;&gt;"Fait"),"",MIN($G348,MAX(0,SUMIFS($G$5:$G348,$C$5:$C348,$C348,$H$5:$H348,"Fait")-SUMIFS(Paiements!$I$5:$I$2000,Paiements!$C$5:$C$2000,$C348,Paiements!$L$5:$L$2000,"Payé"))))</f>
        <v/>
      </c>
      <c r="J348" s="30" t="str">
        <f t="shared" si="11"/>
        <v/>
      </c>
      <c r="K348" s="14"/>
      <c r="L348" s="17" t="str">
        <f>IF(AND($C348&lt;&gt;"",$C348=Controle_Paiement!$B$4,$J348&lt;&gt;"Payé",$J348&lt;&gt;"Annulé",$J348&lt;&gt;""),1,"")</f>
        <v/>
      </c>
    </row>
    <row r="349" spans="1:12" x14ac:dyDescent="0.35">
      <c r="A349" s="18"/>
      <c r="B349" s="27"/>
      <c r="C349" s="14"/>
      <c r="D349" s="14"/>
      <c r="E349" s="19"/>
      <c r="F349" s="19"/>
      <c r="G349" s="28" t="str">
        <f t="shared" si="10"/>
        <v/>
      </c>
      <c r="H349" s="14"/>
      <c r="I349" s="29" t="str">
        <f>IF(OR($C349="",$G349="",$H349&lt;&gt;"Fait"),"",MIN($G349,MAX(0,SUMIFS($G$5:$G349,$C$5:$C349,$C349,$H$5:$H349,"Fait")-SUMIFS(Paiements!$I$5:$I$2000,Paiements!$C$5:$C$2000,$C349,Paiements!$L$5:$L$2000,"Payé"))))</f>
        <v/>
      </c>
      <c r="J349" s="30" t="str">
        <f t="shared" si="11"/>
        <v/>
      </c>
      <c r="K349" s="14"/>
      <c r="L349" s="17" t="str">
        <f>IF(AND($C349&lt;&gt;"",$C349=Controle_Paiement!$B$4,$J349&lt;&gt;"Payé",$J349&lt;&gt;"Annulé",$J349&lt;&gt;""),1,"")</f>
        <v/>
      </c>
    </row>
    <row r="350" spans="1:12" x14ac:dyDescent="0.35">
      <c r="A350" s="18"/>
      <c r="B350" s="27"/>
      <c r="C350" s="14"/>
      <c r="D350" s="14"/>
      <c r="E350" s="19"/>
      <c r="F350" s="19"/>
      <c r="G350" s="28" t="str">
        <f t="shared" si="10"/>
        <v/>
      </c>
      <c r="H350" s="14"/>
      <c r="I350" s="29" t="str">
        <f>IF(OR($C350="",$G350="",$H350&lt;&gt;"Fait"),"",MIN($G350,MAX(0,SUMIFS($G$5:$G350,$C$5:$C350,$C350,$H$5:$H350,"Fait")-SUMIFS(Paiements!$I$5:$I$2000,Paiements!$C$5:$C$2000,$C350,Paiements!$L$5:$L$2000,"Payé"))))</f>
        <v/>
      </c>
      <c r="J350" s="30" t="str">
        <f t="shared" si="11"/>
        <v/>
      </c>
      <c r="K350" s="14"/>
      <c r="L350" s="17" t="str">
        <f>IF(AND($C350&lt;&gt;"",$C350=Controle_Paiement!$B$4,$J350&lt;&gt;"Payé",$J350&lt;&gt;"Annulé",$J350&lt;&gt;""),1,"")</f>
        <v/>
      </c>
    </row>
    <row r="351" spans="1:12" x14ac:dyDescent="0.35">
      <c r="A351" s="18"/>
      <c r="B351" s="27"/>
      <c r="C351" s="14"/>
      <c r="D351" s="14"/>
      <c r="E351" s="19"/>
      <c r="F351" s="19"/>
      <c r="G351" s="28" t="str">
        <f t="shared" si="10"/>
        <v/>
      </c>
      <c r="H351" s="14"/>
      <c r="I351" s="29" t="str">
        <f>IF(OR($C351="",$G351="",$H351&lt;&gt;"Fait"),"",MIN($G351,MAX(0,SUMIFS($G$5:$G351,$C$5:$C351,$C351,$H$5:$H351,"Fait")-SUMIFS(Paiements!$I$5:$I$2000,Paiements!$C$5:$C$2000,$C351,Paiements!$L$5:$L$2000,"Payé"))))</f>
        <v/>
      </c>
      <c r="J351" s="30" t="str">
        <f t="shared" si="11"/>
        <v/>
      </c>
      <c r="K351" s="14"/>
      <c r="L351" s="17" t="str">
        <f>IF(AND($C351&lt;&gt;"",$C351=Controle_Paiement!$B$4,$J351&lt;&gt;"Payé",$J351&lt;&gt;"Annulé",$J351&lt;&gt;""),1,"")</f>
        <v/>
      </c>
    </row>
    <row r="352" spans="1:12" x14ac:dyDescent="0.35">
      <c r="A352" s="18"/>
      <c r="B352" s="27"/>
      <c r="C352" s="14"/>
      <c r="D352" s="14"/>
      <c r="E352" s="19"/>
      <c r="F352" s="19"/>
      <c r="G352" s="28" t="str">
        <f t="shared" si="10"/>
        <v/>
      </c>
      <c r="H352" s="14"/>
      <c r="I352" s="29" t="str">
        <f>IF(OR($C352="",$G352="",$H352&lt;&gt;"Fait"),"",MIN($G352,MAX(0,SUMIFS($G$5:$G352,$C$5:$C352,$C352,$H$5:$H352,"Fait")-SUMIFS(Paiements!$I$5:$I$2000,Paiements!$C$5:$C$2000,$C352,Paiements!$L$5:$L$2000,"Payé"))))</f>
        <v/>
      </c>
      <c r="J352" s="30" t="str">
        <f t="shared" si="11"/>
        <v/>
      </c>
      <c r="K352" s="14"/>
      <c r="L352" s="17" t="str">
        <f>IF(AND($C352&lt;&gt;"",$C352=Controle_Paiement!$B$4,$J352&lt;&gt;"Payé",$J352&lt;&gt;"Annulé",$J352&lt;&gt;""),1,"")</f>
        <v/>
      </c>
    </row>
    <row r="353" spans="1:12" x14ac:dyDescent="0.35">
      <c r="A353" s="18"/>
      <c r="B353" s="27"/>
      <c r="C353" s="14"/>
      <c r="D353" s="14"/>
      <c r="E353" s="19"/>
      <c r="F353" s="19"/>
      <c r="G353" s="28" t="str">
        <f t="shared" si="10"/>
        <v/>
      </c>
      <c r="H353" s="14"/>
      <c r="I353" s="29" t="str">
        <f>IF(OR($C353="",$G353="",$H353&lt;&gt;"Fait"),"",MIN($G353,MAX(0,SUMIFS($G$5:$G353,$C$5:$C353,$C353,$H$5:$H353,"Fait")-SUMIFS(Paiements!$I$5:$I$2000,Paiements!$C$5:$C$2000,$C353,Paiements!$L$5:$L$2000,"Payé"))))</f>
        <v/>
      </c>
      <c r="J353" s="30" t="str">
        <f t="shared" si="11"/>
        <v/>
      </c>
      <c r="K353" s="14"/>
      <c r="L353" s="17" t="str">
        <f>IF(AND($C353&lt;&gt;"",$C353=Controle_Paiement!$B$4,$J353&lt;&gt;"Payé",$J353&lt;&gt;"Annulé",$J353&lt;&gt;""),1,"")</f>
        <v/>
      </c>
    </row>
    <row r="354" spans="1:12" x14ac:dyDescent="0.35">
      <c r="A354" s="18"/>
      <c r="B354" s="27"/>
      <c r="C354" s="14"/>
      <c r="D354" s="14"/>
      <c r="E354" s="19"/>
      <c r="F354" s="19"/>
      <c r="G354" s="28" t="str">
        <f t="shared" si="10"/>
        <v/>
      </c>
      <c r="H354" s="14"/>
      <c r="I354" s="29" t="str">
        <f>IF(OR($C354="",$G354="",$H354&lt;&gt;"Fait"),"",MIN($G354,MAX(0,SUMIFS($G$5:$G354,$C$5:$C354,$C354,$H$5:$H354,"Fait")-SUMIFS(Paiements!$I$5:$I$2000,Paiements!$C$5:$C$2000,$C354,Paiements!$L$5:$L$2000,"Payé"))))</f>
        <v/>
      </c>
      <c r="J354" s="30" t="str">
        <f t="shared" si="11"/>
        <v/>
      </c>
      <c r="K354" s="14"/>
      <c r="L354" s="17" t="str">
        <f>IF(AND($C354&lt;&gt;"",$C354=Controle_Paiement!$B$4,$J354&lt;&gt;"Payé",$J354&lt;&gt;"Annulé",$J354&lt;&gt;""),1,"")</f>
        <v/>
      </c>
    </row>
    <row r="355" spans="1:12" x14ac:dyDescent="0.35">
      <c r="A355" s="18"/>
      <c r="B355" s="27"/>
      <c r="C355" s="14"/>
      <c r="D355" s="14"/>
      <c r="E355" s="19"/>
      <c r="F355" s="19"/>
      <c r="G355" s="28" t="str">
        <f t="shared" si="10"/>
        <v/>
      </c>
      <c r="H355" s="14"/>
      <c r="I355" s="29" t="str">
        <f>IF(OR($C355="",$G355="",$H355&lt;&gt;"Fait"),"",MIN($G355,MAX(0,SUMIFS($G$5:$G355,$C$5:$C355,$C355,$H$5:$H355,"Fait")-SUMIFS(Paiements!$I$5:$I$2000,Paiements!$C$5:$C$2000,$C355,Paiements!$L$5:$L$2000,"Payé"))))</f>
        <v/>
      </c>
      <c r="J355" s="30" t="str">
        <f t="shared" si="11"/>
        <v/>
      </c>
      <c r="K355" s="14"/>
      <c r="L355" s="17" t="str">
        <f>IF(AND($C355&lt;&gt;"",$C355=Controle_Paiement!$B$4,$J355&lt;&gt;"Payé",$J355&lt;&gt;"Annulé",$J355&lt;&gt;""),1,"")</f>
        <v/>
      </c>
    </row>
    <row r="356" spans="1:12" x14ac:dyDescent="0.35">
      <c r="A356" s="18"/>
      <c r="B356" s="27"/>
      <c r="C356" s="14"/>
      <c r="D356" s="14"/>
      <c r="E356" s="19"/>
      <c r="F356" s="19"/>
      <c r="G356" s="28" t="str">
        <f t="shared" si="10"/>
        <v/>
      </c>
      <c r="H356" s="14"/>
      <c r="I356" s="29" t="str">
        <f>IF(OR($C356="",$G356="",$H356&lt;&gt;"Fait"),"",MIN($G356,MAX(0,SUMIFS($G$5:$G356,$C$5:$C356,$C356,$H$5:$H356,"Fait")-SUMIFS(Paiements!$I$5:$I$2000,Paiements!$C$5:$C$2000,$C356,Paiements!$L$5:$L$2000,"Payé"))))</f>
        <v/>
      </c>
      <c r="J356" s="30" t="str">
        <f t="shared" si="11"/>
        <v/>
      </c>
      <c r="K356" s="14"/>
      <c r="L356" s="17" t="str">
        <f>IF(AND($C356&lt;&gt;"",$C356=Controle_Paiement!$B$4,$J356&lt;&gt;"Payé",$J356&lt;&gt;"Annulé",$J356&lt;&gt;""),1,"")</f>
        <v/>
      </c>
    </row>
    <row r="357" spans="1:12" x14ac:dyDescent="0.35">
      <c r="A357" s="18"/>
      <c r="B357" s="27"/>
      <c r="C357" s="14"/>
      <c r="D357" s="14"/>
      <c r="E357" s="19"/>
      <c r="F357" s="19"/>
      <c r="G357" s="28" t="str">
        <f t="shared" si="10"/>
        <v/>
      </c>
      <c r="H357" s="14"/>
      <c r="I357" s="29" t="str">
        <f>IF(OR($C357="",$G357="",$H357&lt;&gt;"Fait"),"",MIN($G357,MAX(0,SUMIFS($G$5:$G357,$C$5:$C357,$C357,$H$5:$H357,"Fait")-SUMIFS(Paiements!$I$5:$I$2000,Paiements!$C$5:$C$2000,$C357,Paiements!$L$5:$L$2000,"Payé"))))</f>
        <v/>
      </c>
      <c r="J357" s="30" t="str">
        <f t="shared" si="11"/>
        <v/>
      </c>
      <c r="K357" s="14"/>
      <c r="L357" s="17" t="str">
        <f>IF(AND($C357&lt;&gt;"",$C357=Controle_Paiement!$B$4,$J357&lt;&gt;"Payé",$J357&lt;&gt;"Annulé",$J357&lt;&gt;""),1,"")</f>
        <v/>
      </c>
    </row>
    <row r="358" spans="1:12" x14ac:dyDescent="0.35">
      <c r="A358" s="18"/>
      <c r="B358" s="27"/>
      <c r="C358" s="14"/>
      <c r="D358" s="14"/>
      <c r="E358" s="19"/>
      <c r="F358" s="19"/>
      <c r="G358" s="28" t="str">
        <f t="shared" si="10"/>
        <v/>
      </c>
      <c r="H358" s="14"/>
      <c r="I358" s="29" t="str">
        <f>IF(OR($C358="",$G358="",$H358&lt;&gt;"Fait"),"",MIN($G358,MAX(0,SUMIFS($G$5:$G358,$C$5:$C358,$C358,$H$5:$H358,"Fait")-SUMIFS(Paiements!$I$5:$I$2000,Paiements!$C$5:$C$2000,$C358,Paiements!$L$5:$L$2000,"Payé"))))</f>
        <v/>
      </c>
      <c r="J358" s="30" t="str">
        <f t="shared" si="11"/>
        <v/>
      </c>
      <c r="K358" s="14"/>
      <c r="L358" s="17" t="str">
        <f>IF(AND($C358&lt;&gt;"",$C358=Controle_Paiement!$B$4,$J358&lt;&gt;"Payé",$J358&lt;&gt;"Annulé",$J358&lt;&gt;""),1,"")</f>
        <v/>
      </c>
    </row>
    <row r="359" spans="1:12" x14ac:dyDescent="0.35">
      <c r="A359" s="18"/>
      <c r="B359" s="27"/>
      <c r="C359" s="14"/>
      <c r="D359" s="14"/>
      <c r="E359" s="19"/>
      <c r="F359" s="19"/>
      <c r="G359" s="28" t="str">
        <f t="shared" si="10"/>
        <v/>
      </c>
      <c r="H359" s="14"/>
      <c r="I359" s="29" t="str">
        <f>IF(OR($C359="",$G359="",$H359&lt;&gt;"Fait"),"",MIN($G359,MAX(0,SUMIFS($G$5:$G359,$C$5:$C359,$C359,$H$5:$H359,"Fait")-SUMIFS(Paiements!$I$5:$I$2000,Paiements!$C$5:$C$2000,$C359,Paiements!$L$5:$L$2000,"Payé"))))</f>
        <v/>
      </c>
      <c r="J359" s="30" t="str">
        <f t="shared" si="11"/>
        <v/>
      </c>
      <c r="K359" s="14"/>
      <c r="L359" s="17" t="str">
        <f>IF(AND($C359&lt;&gt;"",$C359=Controle_Paiement!$B$4,$J359&lt;&gt;"Payé",$J359&lt;&gt;"Annulé",$J359&lt;&gt;""),1,"")</f>
        <v/>
      </c>
    </row>
    <row r="360" spans="1:12" x14ac:dyDescent="0.35">
      <c r="A360" s="18"/>
      <c r="B360" s="27"/>
      <c r="C360" s="14"/>
      <c r="D360" s="14"/>
      <c r="E360" s="19"/>
      <c r="F360" s="19"/>
      <c r="G360" s="28" t="str">
        <f t="shared" si="10"/>
        <v/>
      </c>
      <c r="H360" s="14"/>
      <c r="I360" s="29" t="str">
        <f>IF(OR($C360="",$G360="",$H360&lt;&gt;"Fait"),"",MIN($G360,MAX(0,SUMIFS($G$5:$G360,$C$5:$C360,$C360,$H$5:$H360,"Fait")-SUMIFS(Paiements!$I$5:$I$2000,Paiements!$C$5:$C$2000,$C360,Paiements!$L$5:$L$2000,"Payé"))))</f>
        <v/>
      </c>
      <c r="J360" s="30" t="str">
        <f t="shared" si="11"/>
        <v/>
      </c>
      <c r="K360" s="14"/>
      <c r="L360" s="17" t="str">
        <f>IF(AND($C360&lt;&gt;"",$C360=Controle_Paiement!$B$4,$J360&lt;&gt;"Payé",$J360&lt;&gt;"Annulé",$J360&lt;&gt;""),1,"")</f>
        <v/>
      </c>
    </row>
    <row r="361" spans="1:12" x14ac:dyDescent="0.35">
      <c r="A361" s="18"/>
      <c r="B361" s="27"/>
      <c r="C361" s="14"/>
      <c r="D361" s="14"/>
      <c r="E361" s="19"/>
      <c r="F361" s="19"/>
      <c r="G361" s="28" t="str">
        <f t="shared" si="10"/>
        <v/>
      </c>
      <c r="H361" s="14"/>
      <c r="I361" s="29" t="str">
        <f>IF(OR($C361="",$G361="",$H361&lt;&gt;"Fait"),"",MIN($G361,MAX(0,SUMIFS($G$5:$G361,$C$5:$C361,$C361,$H$5:$H361,"Fait")-SUMIFS(Paiements!$I$5:$I$2000,Paiements!$C$5:$C$2000,$C361,Paiements!$L$5:$L$2000,"Payé"))))</f>
        <v/>
      </c>
      <c r="J361" s="30" t="str">
        <f t="shared" si="11"/>
        <v/>
      </c>
      <c r="K361" s="14"/>
      <c r="L361" s="17" t="str">
        <f>IF(AND($C361&lt;&gt;"",$C361=Controle_Paiement!$B$4,$J361&lt;&gt;"Payé",$J361&lt;&gt;"Annulé",$J361&lt;&gt;""),1,"")</f>
        <v/>
      </c>
    </row>
    <row r="362" spans="1:12" x14ac:dyDescent="0.35">
      <c r="A362" s="18"/>
      <c r="B362" s="27"/>
      <c r="C362" s="14"/>
      <c r="D362" s="14"/>
      <c r="E362" s="19"/>
      <c r="F362" s="19"/>
      <c r="G362" s="28" t="str">
        <f t="shared" si="10"/>
        <v/>
      </c>
      <c r="H362" s="14"/>
      <c r="I362" s="29" t="str">
        <f>IF(OR($C362="",$G362="",$H362&lt;&gt;"Fait"),"",MIN($G362,MAX(0,SUMIFS($G$5:$G362,$C$5:$C362,$C362,$H$5:$H362,"Fait")-SUMIFS(Paiements!$I$5:$I$2000,Paiements!$C$5:$C$2000,$C362,Paiements!$L$5:$L$2000,"Payé"))))</f>
        <v/>
      </c>
      <c r="J362" s="30" t="str">
        <f t="shared" si="11"/>
        <v/>
      </c>
      <c r="K362" s="14"/>
      <c r="L362" s="17" t="str">
        <f>IF(AND($C362&lt;&gt;"",$C362=Controle_Paiement!$B$4,$J362&lt;&gt;"Payé",$J362&lt;&gt;"Annulé",$J362&lt;&gt;""),1,"")</f>
        <v/>
      </c>
    </row>
    <row r="363" spans="1:12" x14ac:dyDescent="0.35">
      <c r="A363" s="18"/>
      <c r="B363" s="27"/>
      <c r="C363" s="14"/>
      <c r="D363" s="14"/>
      <c r="E363" s="19"/>
      <c r="F363" s="19"/>
      <c r="G363" s="28" t="str">
        <f t="shared" si="10"/>
        <v/>
      </c>
      <c r="H363" s="14"/>
      <c r="I363" s="29" t="str">
        <f>IF(OR($C363="",$G363="",$H363&lt;&gt;"Fait"),"",MIN($G363,MAX(0,SUMIFS($G$5:$G363,$C$5:$C363,$C363,$H$5:$H363,"Fait")-SUMIFS(Paiements!$I$5:$I$2000,Paiements!$C$5:$C$2000,$C363,Paiements!$L$5:$L$2000,"Payé"))))</f>
        <v/>
      </c>
      <c r="J363" s="30" t="str">
        <f t="shared" si="11"/>
        <v/>
      </c>
      <c r="K363" s="14"/>
      <c r="L363" s="17" t="str">
        <f>IF(AND($C363&lt;&gt;"",$C363=Controle_Paiement!$B$4,$J363&lt;&gt;"Payé",$J363&lt;&gt;"Annulé",$J363&lt;&gt;""),1,"")</f>
        <v/>
      </c>
    </row>
    <row r="364" spans="1:12" x14ac:dyDescent="0.35">
      <c r="A364" s="18"/>
      <c r="B364" s="27"/>
      <c r="C364" s="14"/>
      <c r="D364" s="14"/>
      <c r="E364" s="19"/>
      <c r="F364" s="19"/>
      <c r="G364" s="28" t="str">
        <f t="shared" si="10"/>
        <v/>
      </c>
      <c r="H364" s="14"/>
      <c r="I364" s="29" t="str">
        <f>IF(OR($C364="",$G364="",$H364&lt;&gt;"Fait"),"",MIN($G364,MAX(0,SUMIFS($G$5:$G364,$C$5:$C364,$C364,$H$5:$H364,"Fait")-SUMIFS(Paiements!$I$5:$I$2000,Paiements!$C$5:$C$2000,$C364,Paiements!$L$5:$L$2000,"Payé"))))</f>
        <v/>
      </c>
      <c r="J364" s="30" t="str">
        <f t="shared" si="11"/>
        <v/>
      </c>
      <c r="K364" s="14"/>
      <c r="L364" s="17" t="str">
        <f>IF(AND($C364&lt;&gt;"",$C364=Controle_Paiement!$B$4,$J364&lt;&gt;"Payé",$J364&lt;&gt;"Annulé",$J364&lt;&gt;""),1,"")</f>
        <v/>
      </c>
    </row>
    <row r="365" spans="1:12" x14ac:dyDescent="0.35">
      <c r="A365" s="18"/>
      <c r="B365" s="27"/>
      <c r="C365" s="14"/>
      <c r="D365" s="14"/>
      <c r="E365" s="19"/>
      <c r="F365" s="19"/>
      <c r="G365" s="28" t="str">
        <f t="shared" si="10"/>
        <v/>
      </c>
      <c r="H365" s="14"/>
      <c r="I365" s="29" t="str">
        <f>IF(OR($C365="",$G365="",$H365&lt;&gt;"Fait"),"",MIN($G365,MAX(0,SUMIFS($G$5:$G365,$C$5:$C365,$C365,$H$5:$H365,"Fait")-SUMIFS(Paiements!$I$5:$I$2000,Paiements!$C$5:$C$2000,$C365,Paiements!$L$5:$L$2000,"Payé"))))</f>
        <v/>
      </c>
      <c r="J365" s="30" t="str">
        <f t="shared" si="11"/>
        <v/>
      </c>
      <c r="K365" s="14"/>
      <c r="L365" s="17" t="str">
        <f>IF(AND($C365&lt;&gt;"",$C365=Controle_Paiement!$B$4,$J365&lt;&gt;"Payé",$J365&lt;&gt;"Annulé",$J365&lt;&gt;""),1,"")</f>
        <v/>
      </c>
    </row>
    <row r="366" spans="1:12" x14ac:dyDescent="0.35">
      <c r="A366" s="18"/>
      <c r="B366" s="27"/>
      <c r="C366" s="14"/>
      <c r="D366" s="14"/>
      <c r="E366" s="19"/>
      <c r="F366" s="19"/>
      <c r="G366" s="28" t="str">
        <f t="shared" si="10"/>
        <v/>
      </c>
      <c r="H366" s="14"/>
      <c r="I366" s="29" t="str">
        <f>IF(OR($C366="",$G366="",$H366&lt;&gt;"Fait"),"",MIN($G366,MAX(0,SUMIFS($G$5:$G366,$C$5:$C366,$C366,$H$5:$H366,"Fait")-SUMIFS(Paiements!$I$5:$I$2000,Paiements!$C$5:$C$2000,$C366,Paiements!$L$5:$L$2000,"Payé"))))</f>
        <v/>
      </c>
      <c r="J366" s="30" t="str">
        <f t="shared" si="11"/>
        <v/>
      </c>
      <c r="K366" s="14"/>
      <c r="L366" s="17" t="str">
        <f>IF(AND($C366&lt;&gt;"",$C366=Controle_Paiement!$B$4,$J366&lt;&gt;"Payé",$J366&lt;&gt;"Annulé",$J366&lt;&gt;""),1,"")</f>
        <v/>
      </c>
    </row>
    <row r="367" spans="1:12" x14ac:dyDescent="0.35">
      <c r="A367" s="18"/>
      <c r="B367" s="27"/>
      <c r="C367" s="14"/>
      <c r="D367" s="14"/>
      <c r="E367" s="19"/>
      <c r="F367" s="19"/>
      <c r="G367" s="28" t="str">
        <f t="shared" si="10"/>
        <v/>
      </c>
      <c r="H367" s="14"/>
      <c r="I367" s="29" t="str">
        <f>IF(OR($C367="",$G367="",$H367&lt;&gt;"Fait"),"",MIN($G367,MAX(0,SUMIFS($G$5:$G367,$C$5:$C367,$C367,$H$5:$H367,"Fait")-SUMIFS(Paiements!$I$5:$I$2000,Paiements!$C$5:$C$2000,$C367,Paiements!$L$5:$L$2000,"Payé"))))</f>
        <v/>
      </c>
      <c r="J367" s="30" t="str">
        <f t="shared" si="11"/>
        <v/>
      </c>
      <c r="K367" s="14"/>
      <c r="L367" s="17" t="str">
        <f>IF(AND($C367&lt;&gt;"",$C367=Controle_Paiement!$B$4,$J367&lt;&gt;"Payé",$J367&lt;&gt;"Annulé",$J367&lt;&gt;""),1,"")</f>
        <v/>
      </c>
    </row>
    <row r="368" spans="1:12" x14ac:dyDescent="0.35">
      <c r="A368" s="18"/>
      <c r="B368" s="27"/>
      <c r="C368" s="14"/>
      <c r="D368" s="14"/>
      <c r="E368" s="19"/>
      <c r="F368" s="19"/>
      <c r="G368" s="28" t="str">
        <f t="shared" si="10"/>
        <v/>
      </c>
      <c r="H368" s="14"/>
      <c r="I368" s="29" t="str">
        <f>IF(OR($C368="",$G368="",$H368&lt;&gt;"Fait"),"",MIN($G368,MAX(0,SUMIFS($G$5:$G368,$C$5:$C368,$C368,$H$5:$H368,"Fait")-SUMIFS(Paiements!$I$5:$I$2000,Paiements!$C$5:$C$2000,$C368,Paiements!$L$5:$L$2000,"Payé"))))</f>
        <v/>
      </c>
      <c r="J368" s="30" t="str">
        <f t="shared" si="11"/>
        <v/>
      </c>
      <c r="K368" s="14"/>
      <c r="L368" s="17" t="str">
        <f>IF(AND($C368&lt;&gt;"",$C368=Controle_Paiement!$B$4,$J368&lt;&gt;"Payé",$J368&lt;&gt;"Annulé",$J368&lt;&gt;""),1,"")</f>
        <v/>
      </c>
    </row>
    <row r="369" spans="1:12" x14ac:dyDescent="0.35">
      <c r="A369" s="18"/>
      <c r="B369" s="27"/>
      <c r="C369" s="14"/>
      <c r="D369" s="14"/>
      <c r="E369" s="19"/>
      <c r="F369" s="19"/>
      <c r="G369" s="28" t="str">
        <f t="shared" si="10"/>
        <v/>
      </c>
      <c r="H369" s="14"/>
      <c r="I369" s="29" t="str">
        <f>IF(OR($C369="",$G369="",$H369&lt;&gt;"Fait"),"",MIN($G369,MAX(0,SUMIFS($G$5:$G369,$C$5:$C369,$C369,$H$5:$H369,"Fait")-SUMIFS(Paiements!$I$5:$I$2000,Paiements!$C$5:$C$2000,$C369,Paiements!$L$5:$L$2000,"Payé"))))</f>
        <v/>
      </c>
      <c r="J369" s="30" t="str">
        <f t="shared" si="11"/>
        <v/>
      </c>
      <c r="K369" s="14"/>
      <c r="L369" s="17" t="str">
        <f>IF(AND($C369&lt;&gt;"",$C369=Controle_Paiement!$B$4,$J369&lt;&gt;"Payé",$J369&lt;&gt;"Annulé",$J369&lt;&gt;""),1,"")</f>
        <v/>
      </c>
    </row>
    <row r="370" spans="1:12" x14ac:dyDescent="0.35">
      <c r="A370" s="18"/>
      <c r="B370" s="27"/>
      <c r="C370" s="14"/>
      <c r="D370" s="14"/>
      <c r="E370" s="19"/>
      <c r="F370" s="19"/>
      <c r="G370" s="28" t="str">
        <f t="shared" si="10"/>
        <v/>
      </c>
      <c r="H370" s="14"/>
      <c r="I370" s="29" t="str">
        <f>IF(OR($C370="",$G370="",$H370&lt;&gt;"Fait"),"",MIN($G370,MAX(0,SUMIFS($G$5:$G370,$C$5:$C370,$C370,$H$5:$H370,"Fait")-SUMIFS(Paiements!$I$5:$I$2000,Paiements!$C$5:$C$2000,$C370,Paiements!$L$5:$L$2000,"Payé"))))</f>
        <v/>
      </c>
      <c r="J370" s="30" t="str">
        <f t="shared" si="11"/>
        <v/>
      </c>
      <c r="K370" s="14"/>
      <c r="L370" s="17" t="str">
        <f>IF(AND($C370&lt;&gt;"",$C370=Controle_Paiement!$B$4,$J370&lt;&gt;"Payé",$J370&lt;&gt;"Annulé",$J370&lt;&gt;""),1,"")</f>
        <v/>
      </c>
    </row>
    <row r="371" spans="1:12" x14ac:dyDescent="0.35">
      <c r="A371" s="18"/>
      <c r="B371" s="27"/>
      <c r="C371" s="14"/>
      <c r="D371" s="14"/>
      <c r="E371" s="19"/>
      <c r="F371" s="19"/>
      <c r="G371" s="28" t="str">
        <f t="shared" si="10"/>
        <v/>
      </c>
      <c r="H371" s="14"/>
      <c r="I371" s="29" t="str">
        <f>IF(OR($C371="",$G371="",$H371&lt;&gt;"Fait"),"",MIN($G371,MAX(0,SUMIFS($G$5:$G371,$C$5:$C371,$C371,$H$5:$H371,"Fait")-SUMIFS(Paiements!$I$5:$I$2000,Paiements!$C$5:$C$2000,$C371,Paiements!$L$5:$L$2000,"Payé"))))</f>
        <v/>
      </c>
      <c r="J371" s="30" t="str">
        <f t="shared" si="11"/>
        <v/>
      </c>
      <c r="K371" s="14"/>
      <c r="L371" s="17" t="str">
        <f>IF(AND($C371&lt;&gt;"",$C371=Controle_Paiement!$B$4,$J371&lt;&gt;"Payé",$J371&lt;&gt;"Annulé",$J371&lt;&gt;""),1,"")</f>
        <v/>
      </c>
    </row>
    <row r="372" spans="1:12" x14ac:dyDescent="0.35">
      <c r="A372" s="18"/>
      <c r="B372" s="27"/>
      <c r="C372" s="14"/>
      <c r="D372" s="14"/>
      <c r="E372" s="19"/>
      <c r="F372" s="19"/>
      <c r="G372" s="28" t="str">
        <f t="shared" si="10"/>
        <v/>
      </c>
      <c r="H372" s="14"/>
      <c r="I372" s="29" t="str">
        <f>IF(OR($C372="",$G372="",$H372&lt;&gt;"Fait"),"",MIN($G372,MAX(0,SUMIFS($G$5:$G372,$C$5:$C372,$C372,$H$5:$H372,"Fait")-SUMIFS(Paiements!$I$5:$I$2000,Paiements!$C$5:$C$2000,$C372,Paiements!$L$5:$L$2000,"Payé"))))</f>
        <v/>
      </c>
      <c r="J372" s="30" t="str">
        <f t="shared" si="11"/>
        <v/>
      </c>
      <c r="K372" s="14"/>
      <c r="L372" s="17" t="str">
        <f>IF(AND($C372&lt;&gt;"",$C372=Controle_Paiement!$B$4,$J372&lt;&gt;"Payé",$J372&lt;&gt;"Annulé",$J372&lt;&gt;""),1,"")</f>
        <v/>
      </c>
    </row>
    <row r="373" spans="1:12" x14ac:dyDescent="0.35">
      <c r="A373" s="18"/>
      <c r="B373" s="27"/>
      <c r="C373" s="14"/>
      <c r="D373" s="14"/>
      <c r="E373" s="19"/>
      <c r="F373" s="19"/>
      <c r="G373" s="28" t="str">
        <f t="shared" si="10"/>
        <v/>
      </c>
      <c r="H373" s="14"/>
      <c r="I373" s="29" t="str">
        <f>IF(OR($C373="",$G373="",$H373&lt;&gt;"Fait"),"",MIN($G373,MAX(0,SUMIFS($G$5:$G373,$C$5:$C373,$C373,$H$5:$H373,"Fait")-SUMIFS(Paiements!$I$5:$I$2000,Paiements!$C$5:$C$2000,$C373,Paiements!$L$5:$L$2000,"Payé"))))</f>
        <v/>
      </c>
      <c r="J373" s="30" t="str">
        <f t="shared" si="11"/>
        <v/>
      </c>
      <c r="K373" s="14"/>
      <c r="L373" s="17" t="str">
        <f>IF(AND($C373&lt;&gt;"",$C373=Controle_Paiement!$B$4,$J373&lt;&gt;"Payé",$J373&lt;&gt;"Annulé",$J373&lt;&gt;""),1,"")</f>
        <v/>
      </c>
    </row>
    <row r="374" spans="1:12" x14ac:dyDescent="0.35">
      <c r="A374" s="18"/>
      <c r="B374" s="27"/>
      <c r="C374" s="14"/>
      <c r="D374" s="14"/>
      <c r="E374" s="19"/>
      <c r="F374" s="19"/>
      <c r="G374" s="28" t="str">
        <f t="shared" si="10"/>
        <v/>
      </c>
      <c r="H374" s="14"/>
      <c r="I374" s="29" t="str">
        <f>IF(OR($C374="",$G374="",$H374&lt;&gt;"Fait"),"",MIN($G374,MAX(0,SUMIFS($G$5:$G374,$C$5:$C374,$C374,$H$5:$H374,"Fait")-SUMIFS(Paiements!$I$5:$I$2000,Paiements!$C$5:$C$2000,$C374,Paiements!$L$5:$L$2000,"Payé"))))</f>
        <v/>
      </c>
      <c r="J374" s="30" t="str">
        <f t="shared" si="11"/>
        <v/>
      </c>
      <c r="K374" s="14"/>
      <c r="L374" s="17" t="str">
        <f>IF(AND($C374&lt;&gt;"",$C374=Controle_Paiement!$B$4,$J374&lt;&gt;"Payé",$J374&lt;&gt;"Annulé",$J374&lt;&gt;""),1,"")</f>
        <v/>
      </c>
    </row>
    <row r="375" spans="1:12" x14ac:dyDescent="0.35">
      <c r="A375" s="18"/>
      <c r="B375" s="27"/>
      <c r="C375" s="14"/>
      <c r="D375" s="14"/>
      <c r="E375" s="19"/>
      <c r="F375" s="19"/>
      <c r="G375" s="28" t="str">
        <f t="shared" si="10"/>
        <v/>
      </c>
      <c r="H375" s="14"/>
      <c r="I375" s="29" t="str">
        <f>IF(OR($C375="",$G375="",$H375&lt;&gt;"Fait"),"",MIN($G375,MAX(0,SUMIFS($G$5:$G375,$C$5:$C375,$C375,$H$5:$H375,"Fait")-SUMIFS(Paiements!$I$5:$I$2000,Paiements!$C$5:$C$2000,$C375,Paiements!$L$5:$L$2000,"Payé"))))</f>
        <v/>
      </c>
      <c r="J375" s="30" t="str">
        <f t="shared" si="11"/>
        <v/>
      </c>
      <c r="K375" s="14"/>
      <c r="L375" s="17" t="str">
        <f>IF(AND($C375&lt;&gt;"",$C375=Controle_Paiement!$B$4,$J375&lt;&gt;"Payé",$J375&lt;&gt;"Annulé",$J375&lt;&gt;""),1,"")</f>
        <v/>
      </c>
    </row>
    <row r="376" spans="1:12" x14ac:dyDescent="0.35">
      <c r="A376" s="18"/>
      <c r="B376" s="27"/>
      <c r="C376" s="14"/>
      <c r="D376" s="14"/>
      <c r="E376" s="19"/>
      <c r="F376" s="19"/>
      <c r="G376" s="28" t="str">
        <f t="shared" si="10"/>
        <v/>
      </c>
      <c r="H376" s="14"/>
      <c r="I376" s="29" t="str">
        <f>IF(OR($C376="",$G376="",$H376&lt;&gt;"Fait"),"",MIN($G376,MAX(0,SUMIFS($G$5:$G376,$C$5:$C376,$C376,$H$5:$H376,"Fait")-SUMIFS(Paiements!$I$5:$I$2000,Paiements!$C$5:$C$2000,$C376,Paiements!$L$5:$L$2000,"Payé"))))</f>
        <v/>
      </c>
      <c r="J376" s="30" t="str">
        <f t="shared" si="11"/>
        <v/>
      </c>
      <c r="K376" s="14"/>
      <c r="L376" s="17" t="str">
        <f>IF(AND($C376&lt;&gt;"",$C376=Controle_Paiement!$B$4,$J376&lt;&gt;"Payé",$J376&lt;&gt;"Annulé",$J376&lt;&gt;""),1,"")</f>
        <v/>
      </c>
    </row>
    <row r="377" spans="1:12" x14ac:dyDescent="0.35">
      <c r="A377" s="18"/>
      <c r="B377" s="27"/>
      <c r="C377" s="14"/>
      <c r="D377" s="14"/>
      <c r="E377" s="19"/>
      <c r="F377" s="19"/>
      <c r="G377" s="28" t="str">
        <f t="shared" si="10"/>
        <v/>
      </c>
      <c r="H377" s="14"/>
      <c r="I377" s="29" t="str">
        <f>IF(OR($C377="",$G377="",$H377&lt;&gt;"Fait"),"",MIN($G377,MAX(0,SUMIFS($G$5:$G377,$C$5:$C377,$C377,$H$5:$H377,"Fait")-SUMIFS(Paiements!$I$5:$I$2000,Paiements!$C$5:$C$2000,$C377,Paiements!$L$5:$L$2000,"Payé"))))</f>
        <v/>
      </c>
      <c r="J377" s="30" t="str">
        <f t="shared" si="11"/>
        <v/>
      </c>
      <c r="K377" s="14"/>
      <c r="L377" s="17" t="str">
        <f>IF(AND($C377&lt;&gt;"",$C377=Controle_Paiement!$B$4,$J377&lt;&gt;"Payé",$J377&lt;&gt;"Annulé",$J377&lt;&gt;""),1,"")</f>
        <v/>
      </c>
    </row>
    <row r="378" spans="1:12" x14ac:dyDescent="0.35">
      <c r="A378" s="18"/>
      <c r="B378" s="27"/>
      <c r="C378" s="14"/>
      <c r="D378" s="14"/>
      <c r="E378" s="19"/>
      <c r="F378" s="19"/>
      <c r="G378" s="28" t="str">
        <f t="shared" si="10"/>
        <v/>
      </c>
      <c r="H378" s="14"/>
      <c r="I378" s="29" t="str">
        <f>IF(OR($C378="",$G378="",$H378&lt;&gt;"Fait"),"",MIN($G378,MAX(0,SUMIFS($G$5:$G378,$C$5:$C378,$C378,$H$5:$H378,"Fait")-SUMIFS(Paiements!$I$5:$I$2000,Paiements!$C$5:$C$2000,$C378,Paiements!$L$5:$L$2000,"Payé"))))</f>
        <v/>
      </c>
      <c r="J378" s="30" t="str">
        <f t="shared" si="11"/>
        <v/>
      </c>
      <c r="K378" s="14"/>
      <c r="L378" s="17" t="str">
        <f>IF(AND($C378&lt;&gt;"",$C378=Controle_Paiement!$B$4,$J378&lt;&gt;"Payé",$J378&lt;&gt;"Annulé",$J378&lt;&gt;""),1,"")</f>
        <v/>
      </c>
    </row>
    <row r="379" spans="1:12" x14ac:dyDescent="0.35">
      <c r="A379" s="18"/>
      <c r="B379" s="27"/>
      <c r="C379" s="14"/>
      <c r="D379" s="14"/>
      <c r="E379" s="19"/>
      <c r="F379" s="19"/>
      <c r="G379" s="28" t="str">
        <f t="shared" si="10"/>
        <v/>
      </c>
      <c r="H379" s="14"/>
      <c r="I379" s="29" t="str">
        <f>IF(OR($C379="",$G379="",$H379&lt;&gt;"Fait"),"",MIN($G379,MAX(0,SUMIFS($G$5:$G379,$C$5:$C379,$C379,$H$5:$H379,"Fait")-SUMIFS(Paiements!$I$5:$I$2000,Paiements!$C$5:$C$2000,$C379,Paiements!$L$5:$L$2000,"Payé"))))</f>
        <v/>
      </c>
      <c r="J379" s="30" t="str">
        <f t="shared" si="11"/>
        <v/>
      </c>
      <c r="K379" s="14"/>
      <c r="L379" s="17" t="str">
        <f>IF(AND($C379&lt;&gt;"",$C379=Controle_Paiement!$B$4,$J379&lt;&gt;"Payé",$J379&lt;&gt;"Annulé",$J379&lt;&gt;""),1,"")</f>
        <v/>
      </c>
    </row>
    <row r="380" spans="1:12" x14ac:dyDescent="0.35">
      <c r="A380" s="18"/>
      <c r="B380" s="27"/>
      <c r="C380" s="14"/>
      <c r="D380" s="14"/>
      <c r="E380" s="19"/>
      <c r="F380" s="19"/>
      <c r="G380" s="28" t="str">
        <f t="shared" si="10"/>
        <v/>
      </c>
      <c r="H380" s="14"/>
      <c r="I380" s="29" t="str">
        <f>IF(OR($C380="",$G380="",$H380&lt;&gt;"Fait"),"",MIN($G380,MAX(0,SUMIFS($G$5:$G380,$C$5:$C380,$C380,$H$5:$H380,"Fait")-SUMIFS(Paiements!$I$5:$I$2000,Paiements!$C$5:$C$2000,$C380,Paiements!$L$5:$L$2000,"Payé"))))</f>
        <v/>
      </c>
      <c r="J380" s="30" t="str">
        <f t="shared" si="11"/>
        <v/>
      </c>
      <c r="K380" s="14"/>
      <c r="L380" s="17" t="str">
        <f>IF(AND($C380&lt;&gt;"",$C380=Controle_Paiement!$B$4,$J380&lt;&gt;"Payé",$J380&lt;&gt;"Annulé",$J380&lt;&gt;""),1,"")</f>
        <v/>
      </c>
    </row>
    <row r="381" spans="1:12" x14ac:dyDescent="0.35">
      <c r="A381" s="18"/>
      <c r="B381" s="27"/>
      <c r="C381" s="14"/>
      <c r="D381" s="14"/>
      <c r="E381" s="19"/>
      <c r="F381" s="19"/>
      <c r="G381" s="28" t="str">
        <f t="shared" si="10"/>
        <v/>
      </c>
      <c r="H381" s="14"/>
      <c r="I381" s="29" t="str">
        <f>IF(OR($C381="",$G381="",$H381&lt;&gt;"Fait"),"",MIN($G381,MAX(0,SUMIFS($G$5:$G381,$C$5:$C381,$C381,$H$5:$H381,"Fait")-SUMIFS(Paiements!$I$5:$I$2000,Paiements!$C$5:$C$2000,$C381,Paiements!$L$5:$L$2000,"Payé"))))</f>
        <v/>
      </c>
      <c r="J381" s="30" t="str">
        <f t="shared" si="11"/>
        <v/>
      </c>
      <c r="K381" s="14"/>
      <c r="L381" s="17" t="str">
        <f>IF(AND($C381&lt;&gt;"",$C381=Controle_Paiement!$B$4,$J381&lt;&gt;"Payé",$J381&lt;&gt;"Annulé",$J381&lt;&gt;""),1,"")</f>
        <v/>
      </c>
    </row>
    <row r="382" spans="1:12" x14ac:dyDescent="0.35">
      <c r="A382" s="18"/>
      <c r="B382" s="27"/>
      <c r="C382" s="14"/>
      <c r="D382" s="14"/>
      <c r="E382" s="19"/>
      <c r="F382" s="19"/>
      <c r="G382" s="28" t="str">
        <f t="shared" si="10"/>
        <v/>
      </c>
      <c r="H382" s="14"/>
      <c r="I382" s="29" t="str">
        <f>IF(OR($C382="",$G382="",$H382&lt;&gt;"Fait"),"",MIN($G382,MAX(0,SUMIFS($G$5:$G382,$C$5:$C382,$C382,$H$5:$H382,"Fait")-SUMIFS(Paiements!$I$5:$I$2000,Paiements!$C$5:$C$2000,$C382,Paiements!$L$5:$L$2000,"Payé"))))</f>
        <v/>
      </c>
      <c r="J382" s="30" t="str">
        <f t="shared" si="11"/>
        <v/>
      </c>
      <c r="K382" s="14"/>
      <c r="L382" s="17" t="str">
        <f>IF(AND($C382&lt;&gt;"",$C382=Controle_Paiement!$B$4,$J382&lt;&gt;"Payé",$J382&lt;&gt;"Annulé",$J382&lt;&gt;""),1,"")</f>
        <v/>
      </c>
    </row>
    <row r="383" spans="1:12" x14ac:dyDescent="0.35">
      <c r="A383" s="18"/>
      <c r="B383" s="27"/>
      <c r="C383" s="14"/>
      <c r="D383" s="14"/>
      <c r="E383" s="19"/>
      <c r="F383" s="19"/>
      <c r="G383" s="28" t="str">
        <f t="shared" si="10"/>
        <v/>
      </c>
      <c r="H383" s="14"/>
      <c r="I383" s="29" t="str">
        <f>IF(OR($C383="",$G383="",$H383&lt;&gt;"Fait"),"",MIN($G383,MAX(0,SUMIFS($G$5:$G383,$C$5:$C383,$C383,$H$5:$H383,"Fait")-SUMIFS(Paiements!$I$5:$I$2000,Paiements!$C$5:$C$2000,$C383,Paiements!$L$5:$L$2000,"Payé"))))</f>
        <v/>
      </c>
      <c r="J383" s="30" t="str">
        <f t="shared" si="11"/>
        <v/>
      </c>
      <c r="K383" s="14"/>
      <c r="L383" s="17" t="str">
        <f>IF(AND($C383&lt;&gt;"",$C383=Controle_Paiement!$B$4,$J383&lt;&gt;"Payé",$J383&lt;&gt;"Annulé",$J383&lt;&gt;""),1,"")</f>
        <v/>
      </c>
    </row>
    <row r="384" spans="1:12" x14ac:dyDescent="0.35">
      <c r="A384" s="18"/>
      <c r="B384" s="27"/>
      <c r="C384" s="14"/>
      <c r="D384" s="14"/>
      <c r="E384" s="19"/>
      <c r="F384" s="19"/>
      <c r="G384" s="28" t="str">
        <f t="shared" si="10"/>
        <v/>
      </c>
      <c r="H384" s="14"/>
      <c r="I384" s="29" t="str">
        <f>IF(OR($C384="",$G384="",$H384&lt;&gt;"Fait"),"",MIN($G384,MAX(0,SUMIFS($G$5:$G384,$C$5:$C384,$C384,$H$5:$H384,"Fait")-SUMIFS(Paiements!$I$5:$I$2000,Paiements!$C$5:$C$2000,$C384,Paiements!$L$5:$L$2000,"Payé"))))</f>
        <v/>
      </c>
      <c r="J384" s="30" t="str">
        <f t="shared" si="11"/>
        <v/>
      </c>
      <c r="K384" s="14"/>
      <c r="L384" s="17" t="str">
        <f>IF(AND($C384&lt;&gt;"",$C384=Controle_Paiement!$B$4,$J384&lt;&gt;"Payé",$J384&lt;&gt;"Annulé",$J384&lt;&gt;""),1,"")</f>
        <v/>
      </c>
    </row>
    <row r="385" spans="1:12" x14ac:dyDescent="0.35">
      <c r="A385" s="18"/>
      <c r="B385" s="27"/>
      <c r="C385" s="14"/>
      <c r="D385" s="14"/>
      <c r="E385" s="19"/>
      <c r="F385" s="19"/>
      <c r="G385" s="28" t="str">
        <f t="shared" si="10"/>
        <v/>
      </c>
      <c r="H385" s="14"/>
      <c r="I385" s="29" t="str">
        <f>IF(OR($C385="",$G385="",$H385&lt;&gt;"Fait"),"",MIN($G385,MAX(0,SUMIFS($G$5:$G385,$C$5:$C385,$C385,$H$5:$H385,"Fait")-SUMIFS(Paiements!$I$5:$I$2000,Paiements!$C$5:$C$2000,$C385,Paiements!$L$5:$L$2000,"Payé"))))</f>
        <v/>
      </c>
      <c r="J385" s="30" t="str">
        <f t="shared" si="11"/>
        <v/>
      </c>
      <c r="K385" s="14"/>
      <c r="L385" s="17" t="str">
        <f>IF(AND($C385&lt;&gt;"",$C385=Controle_Paiement!$B$4,$J385&lt;&gt;"Payé",$J385&lt;&gt;"Annulé",$J385&lt;&gt;""),1,"")</f>
        <v/>
      </c>
    </row>
    <row r="386" spans="1:12" x14ac:dyDescent="0.35">
      <c r="A386" s="18"/>
      <c r="B386" s="27"/>
      <c r="C386" s="14"/>
      <c r="D386" s="14"/>
      <c r="E386" s="19"/>
      <c r="F386" s="19"/>
      <c r="G386" s="28" t="str">
        <f t="shared" si="10"/>
        <v/>
      </c>
      <c r="H386" s="14"/>
      <c r="I386" s="29" t="str">
        <f>IF(OR($C386="",$G386="",$H386&lt;&gt;"Fait"),"",MIN($G386,MAX(0,SUMIFS($G$5:$G386,$C$5:$C386,$C386,$H$5:$H386,"Fait")-SUMIFS(Paiements!$I$5:$I$2000,Paiements!$C$5:$C$2000,$C386,Paiements!$L$5:$L$2000,"Payé"))))</f>
        <v/>
      </c>
      <c r="J386" s="30" t="str">
        <f t="shared" si="11"/>
        <v/>
      </c>
      <c r="K386" s="14"/>
      <c r="L386" s="17" t="str">
        <f>IF(AND($C386&lt;&gt;"",$C386=Controle_Paiement!$B$4,$J386&lt;&gt;"Payé",$J386&lt;&gt;"Annulé",$J386&lt;&gt;""),1,"")</f>
        <v/>
      </c>
    </row>
    <row r="387" spans="1:12" x14ac:dyDescent="0.35">
      <c r="A387" s="18"/>
      <c r="B387" s="27"/>
      <c r="C387" s="14"/>
      <c r="D387" s="14"/>
      <c r="E387" s="19"/>
      <c r="F387" s="19"/>
      <c r="G387" s="28" t="str">
        <f t="shared" ref="G387:G450" si="12">IF(OR($E387="",$F387=""),"",ROUND($E387*$F387,0))</f>
        <v/>
      </c>
      <c r="H387" s="14"/>
      <c r="I387" s="29" t="str">
        <f>IF(OR($C387="",$G387="",$H387&lt;&gt;"Fait"),"",MIN($G387,MAX(0,SUMIFS($G$5:$G387,$C$5:$C387,$C387,$H$5:$H387,"Fait")-SUMIFS(Paiements!$I$5:$I$2000,Paiements!$C$5:$C$2000,$C387,Paiements!$L$5:$L$2000,"Payé"))))</f>
        <v/>
      </c>
      <c r="J387" s="30" t="str">
        <f t="shared" ref="J387:J450" si="13">IF(OR($C387="",$G387=""),"",IF($H387="Annulé","Annulé",IF($H387&lt;&gt;"Fait","Non payable (déchargement non fait)",IF($I387=0,"Payé",IF($I387&lt;$G387,"Partiellement payé","À payer")))))</f>
        <v/>
      </c>
      <c r="K387" s="14"/>
      <c r="L387" s="17" t="str">
        <f>IF(AND($C387&lt;&gt;"",$C387=Controle_Paiement!$B$4,$J387&lt;&gt;"Payé",$J387&lt;&gt;"Annulé",$J387&lt;&gt;""),1,"")</f>
        <v/>
      </c>
    </row>
    <row r="388" spans="1:12" x14ac:dyDescent="0.35">
      <c r="A388" s="18"/>
      <c r="B388" s="27"/>
      <c r="C388" s="14"/>
      <c r="D388" s="14"/>
      <c r="E388" s="19"/>
      <c r="F388" s="19"/>
      <c r="G388" s="28" t="str">
        <f t="shared" si="12"/>
        <v/>
      </c>
      <c r="H388" s="14"/>
      <c r="I388" s="29" t="str">
        <f>IF(OR($C388="",$G388="",$H388&lt;&gt;"Fait"),"",MIN($G388,MAX(0,SUMIFS($G$5:$G388,$C$5:$C388,$C388,$H$5:$H388,"Fait")-SUMIFS(Paiements!$I$5:$I$2000,Paiements!$C$5:$C$2000,$C388,Paiements!$L$5:$L$2000,"Payé"))))</f>
        <v/>
      </c>
      <c r="J388" s="30" t="str">
        <f t="shared" si="13"/>
        <v/>
      </c>
      <c r="K388" s="14"/>
      <c r="L388" s="17" t="str">
        <f>IF(AND($C388&lt;&gt;"",$C388=Controle_Paiement!$B$4,$J388&lt;&gt;"Payé",$J388&lt;&gt;"Annulé",$J388&lt;&gt;""),1,"")</f>
        <v/>
      </c>
    </row>
    <row r="389" spans="1:12" x14ac:dyDescent="0.35">
      <c r="A389" s="18"/>
      <c r="B389" s="27"/>
      <c r="C389" s="14"/>
      <c r="D389" s="14"/>
      <c r="E389" s="19"/>
      <c r="F389" s="19"/>
      <c r="G389" s="28" t="str">
        <f t="shared" si="12"/>
        <v/>
      </c>
      <c r="H389" s="14"/>
      <c r="I389" s="29" t="str">
        <f>IF(OR($C389="",$G389="",$H389&lt;&gt;"Fait"),"",MIN($G389,MAX(0,SUMIFS($G$5:$G389,$C$5:$C389,$C389,$H$5:$H389,"Fait")-SUMIFS(Paiements!$I$5:$I$2000,Paiements!$C$5:$C$2000,$C389,Paiements!$L$5:$L$2000,"Payé"))))</f>
        <v/>
      </c>
      <c r="J389" s="30" t="str">
        <f t="shared" si="13"/>
        <v/>
      </c>
      <c r="K389" s="14"/>
      <c r="L389" s="17" t="str">
        <f>IF(AND($C389&lt;&gt;"",$C389=Controle_Paiement!$B$4,$J389&lt;&gt;"Payé",$J389&lt;&gt;"Annulé",$J389&lt;&gt;""),1,"")</f>
        <v/>
      </c>
    </row>
    <row r="390" spans="1:12" x14ac:dyDescent="0.35">
      <c r="A390" s="18"/>
      <c r="B390" s="27"/>
      <c r="C390" s="14"/>
      <c r="D390" s="14"/>
      <c r="E390" s="19"/>
      <c r="F390" s="19"/>
      <c r="G390" s="28" t="str">
        <f t="shared" si="12"/>
        <v/>
      </c>
      <c r="H390" s="14"/>
      <c r="I390" s="29" t="str">
        <f>IF(OR($C390="",$G390="",$H390&lt;&gt;"Fait"),"",MIN($G390,MAX(0,SUMIFS($G$5:$G390,$C$5:$C390,$C390,$H$5:$H390,"Fait")-SUMIFS(Paiements!$I$5:$I$2000,Paiements!$C$5:$C$2000,$C390,Paiements!$L$5:$L$2000,"Payé"))))</f>
        <v/>
      </c>
      <c r="J390" s="30" t="str">
        <f t="shared" si="13"/>
        <v/>
      </c>
      <c r="K390" s="14"/>
      <c r="L390" s="17" t="str">
        <f>IF(AND($C390&lt;&gt;"",$C390=Controle_Paiement!$B$4,$J390&lt;&gt;"Payé",$J390&lt;&gt;"Annulé",$J390&lt;&gt;""),1,"")</f>
        <v/>
      </c>
    </row>
    <row r="391" spans="1:12" x14ac:dyDescent="0.35">
      <c r="A391" s="18"/>
      <c r="B391" s="27"/>
      <c r="C391" s="14"/>
      <c r="D391" s="14"/>
      <c r="E391" s="19"/>
      <c r="F391" s="19"/>
      <c r="G391" s="28" t="str">
        <f t="shared" si="12"/>
        <v/>
      </c>
      <c r="H391" s="14"/>
      <c r="I391" s="29" t="str">
        <f>IF(OR($C391="",$G391="",$H391&lt;&gt;"Fait"),"",MIN($G391,MAX(0,SUMIFS($G$5:$G391,$C$5:$C391,$C391,$H$5:$H391,"Fait")-SUMIFS(Paiements!$I$5:$I$2000,Paiements!$C$5:$C$2000,$C391,Paiements!$L$5:$L$2000,"Payé"))))</f>
        <v/>
      </c>
      <c r="J391" s="30" t="str">
        <f t="shared" si="13"/>
        <v/>
      </c>
      <c r="K391" s="14"/>
      <c r="L391" s="17" t="str">
        <f>IF(AND($C391&lt;&gt;"",$C391=Controle_Paiement!$B$4,$J391&lt;&gt;"Payé",$J391&lt;&gt;"Annulé",$J391&lt;&gt;""),1,"")</f>
        <v/>
      </c>
    </row>
    <row r="392" spans="1:12" x14ac:dyDescent="0.35">
      <c r="A392" s="18"/>
      <c r="B392" s="27"/>
      <c r="C392" s="14"/>
      <c r="D392" s="14"/>
      <c r="E392" s="19"/>
      <c r="F392" s="19"/>
      <c r="G392" s="28" t="str">
        <f t="shared" si="12"/>
        <v/>
      </c>
      <c r="H392" s="14"/>
      <c r="I392" s="29" t="str">
        <f>IF(OR($C392="",$G392="",$H392&lt;&gt;"Fait"),"",MIN($G392,MAX(0,SUMIFS($G$5:$G392,$C$5:$C392,$C392,$H$5:$H392,"Fait")-SUMIFS(Paiements!$I$5:$I$2000,Paiements!$C$5:$C$2000,$C392,Paiements!$L$5:$L$2000,"Payé"))))</f>
        <v/>
      </c>
      <c r="J392" s="30" t="str">
        <f t="shared" si="13"/>
        <v/>
      </c>
      <c r="K392" s="14"/>
      <c r="L392" s="17" t="str">
        <f>IF(AND($C392&lt;&gt;"",$C392=Controle_Paiement!$B$4,$J392&lt;&gt;"Payé",$J392&lt;&gt;"Annulé",$J392&lt;&gt;""),1,"")</f>
        <v/>
      </c>
    </row>
    <row r="393" spans="1:12" x14ac:dyDescent="0.35">
      <c r="A393" s="18"/>
      <c r="B393" s="27"/>
      <c r="C393" s="14"/>
      <c r="D393" s="14"/>
      <c r="E393" s="19"/>
      <c r="F393" s="19"/>
      <c r="G393" s="28" t="str">
        <f t="shared" si="12"/>
        <v/>
      </c>
      <c r="H393" s="14"/>
      <c r="I393" s="29" t="str">
        <f>IF(OR($C393="",$G393="",$H393&lt;&gt;"Fait"),"",MIN($G393,MAX(0,SUMIFS($G$5:$G393,$C$5:$C393,$C393,$H$5:$H393,"Fait")-SUMIFS(Paiements!$I$5:$I$2000,Paiements!$C$5:$C$2000,$C393,Paiements!$L$5:$L$2000,"Payé"))))</f>
        <v/>
      </c>
      <c r="J393" s="30" t="str">
        <f t="shared" si="13"/>
        <v/>
      </c>
      <c r="K393" s="14"/>
      <c r="L393" s="17" t="str">
        <f>IF(AND($C393&lt;&gt;"",$C393=Controle_Paiement!$B$4,$J393&lt;&gt;"Payé",$J393&lt;&gt;"Annulé",$J393&lt;&gt;""),1,"")</f>
        <v/>
      </c>
    </row>
    <row r="394" spans="1:12" x14ac:dyDescent="0.35">
      <c r="A394" s="18"/>
      <c r="B394" s="27"/>
      <c r="C394" s="14"/>
      <c r="D394" s="14"/>
      <c r="E394" s="19"/>
      <c r="F394" s="19"/>
      <c r="G394" s="28" t="str">
        <f t="shared" si="12"/>
        <v/>
      </c>
      <c r="H394" s="14"/>
      <c r="I394" s="29" t="str">
        <f>IF(OR($C394="",$G394="",$H394&lt;&gt;"Fait"),"",MIN($G394,MAX(0,SUMIFS($G$5:$G394,$C$5:$C394,$C394,$H$5:$H394,"Fait")-SUMIFS(Paiements!$I$5:$I$2000,Paiements!$C$5:$C$2000,$C394,Paiements!$L$5:$L$2000,"Payé"))))</f>
        <v/>
      </c>
      <c r="J394" s="30" t="str">
        <f t="shared" si="13"/>
        <v/>
      </c>
      <c r="K394" s="14"/>
      <c r="L394" s="17" t="str">
        <f>IF(AND($C394&lt;&gt;"",$C394=Controle_Paiement!$B$4,$J394&lt;&gt;"Payé",$J394&lt;&gt;"Annulé",$J394&lt;&gt;""),1,"")</f>
        <v/>
      </c>
    </row>
    <row r="395" spans="1:12" x14ac:dyDescent="0.35">
      <c r="A395" s="18"/>
      <c r="B395" s="27"/>
      <c r="C395" s="14"/>
      <c r="D395" s="14"/>
      <c r="E395" s="19"/>
      <c r="F395" s="19"/>
      <c r="G395" s="28" t="str">
        <f t="shared" si="12"/>
        <v/>
      </c>
      <c r="H395" s="14"/>
      <c r="I395" s="29" t="str">
        <f>IF(OR($C395="",$G395="",$H395&lt;&gt;"Fait"),"",MIN($G395,MAX(0,SUMIFS($G$5:$G395,$C$5:$C395,$C395,$H$5:$H395,"Fait")-SUMIFS(Paiements!$I$5:$I$2000,Paiements!$C$5:$C$2000,$C395,Paiements!$L$5:$L$2000,"Payé"))))</f>
        <v/>
      </c>
      <c r="J395" s="30" t="str">
        <f t="shared" si="13"/>
        <v/>
      </c>
      <c r="K395" s="14"/>
      <c r="L395" s="17" t="str">
        <f>IF(AND($C395&lt;&gt;"",$C395=Controle_Paiement!$B$4,$J395&lt;&gt;"Payé",$J395&lt;&gt;"Annulé",$J395&lt;&gt;""),1,"")</f>
        <v/>
      </c>
    </row>
    <row r="396" spans="1:12" x14ac:dyDescent="0.35">
      <c r="A396" s="18"/>
      <c r="B396" s="27"/>
      <c r="C396" s="14"/>
      <c r="D396" s="14"/>
      <c r="E396" s="19"/>
      <c r="F396" s="19"/>
      <c r="G396" s="28" t="str">
        <f t="shared" si="12"/>
        <v/>
      </c>
      <c r="H396" s="14"/>
      <c r="I396" s="29" t="str">
        <f>IF(OR($C396="",$G396="",$H396&lt;&gt;"Fait"),"",MIN($G396,MAX(0,SUMIFS($G$5:$G396,$C$5:$C396,$C396,$H$5:$H396,"Fait")-SUMIFS(Paiements!$I$5:$I$2000,Paiements!$C$5:$C$2000,$C396,Paiements!$L$5:$L$2000,"Payé"))))</f>
        <v/>
      </c>
      <c r="J396" s="30" t="str">
        <f t="shared" si="13"/>
        <v/>
      </c>
      <c r="K396" s="14"/>
      <c r="L396" s="17" t="str">
        <f>IF(AND($C396&lt;&gt;"",$C396=Controle_Paiement!$B$4,$J396&lt;&gt;"Payé",$J396&lt;&gt;"Annulé",$J396&lt;&gt;""),1,"")</f>
        <v/>
      </c>
    </row>
    <row r="397" spans="1:12" x14ac:dyDescent="0.35">
      <c r="A397" s="18"/>
      <c r="B397" s="27"/>
      <c r="C397" s="14"/>
      <c r="D397" s="14"/>
      <c r="E397" s="19"/>
      <c r="F397" s="19"/>
      <c r="G397" s="28" t="str">
        <f t="shared" si="12"/>
        <v/>
      </c>
      <c r="H397" s="14"/>
      <c r="I397" s="29" t="str">
        <f>IF(OR($C397="",$G397="",$H397&lt;&gt;"Fait"),"",MIN($G397,MAX(0,SUMIFS($G$5:$G397,$C$5:$C397,$C397,$H$5:$H397,"Fait")-SUMIFS(Paiements!$I$5:$I$2000,Paiements!$C$5:$C$2000,$C397,Paiements!$L$5:$L$2000,"Payé"))))</f>
        <v/>
      </c>
      <c r="J397" s="30" t="str">
        <f t="shared" si="13"/>
        <v/>
      </c>
      <c r="K397" s="14"/>
      <c r="L397" s="17" t="str">
        <f>IF(AND($C397&lt;&gt;"",$C397=Controle_Paiement!$B$4,$J397&lt;&gt;"Payé",$J397&lt;&gt;"Annulé",$J397&lt;&gt;""),1,"")</f>
        <v/>
      </c>
    </row>
    <row r="398" spans="1:12" x14ac:dyDescent="0.35">
      <c r="A398" s="18"/>
      <c r="B398" s="27"/>
      <c r="C398" s="14"/>
      <c r="D398" s="14"/>
      <c r="E398" s="19"/>
      <c r="F398" s="19"/>
      <c r="G398" s="28" t="str">
        <f t="shared" si="12"/>
        <v/>
      </c>
      <c r="H398" s="14"/>
      <c r="I398" s="29" t="str">
        <f>IF(OR($C398="",$G398="",$H398&lt;&gt;"Fait"),"",MIN($G398,MAX(0,SUMIFS($G$5:$G398,$C$5:$C398,$C398,$H$5:$H398,"Fait")-SUMIFS(Paiements!$I$5:$I$2000,Paiements!$C$5:$C$2000,$C398,Paiements!$L$5:$L$2000,"Payé"))))</f>
        <v/>
      </c>
      <c r="J398" s="30" t="str">
        <f t="shared" si="13"/>
        <v/>
      </c>
      <c r="K398" s="14"/>
      <c r="L398" s="17" t="str">
        <f>IF(AND($C398&lt;&gt;"",$C398=Controle_Paiement!$B$4,$J398&lt;&gt;"Payé",$J398&lt;&gt;"Annulé",$J398&lt;&gt;""),1,"")</f>
        <v/>
      </c>
    </row>
    <row r="399" spans="1:12" x14ac:dyDescent="0.35">
      <c r="A399" s="18"/>
      <c r="B399" s="27"/>
      <c r="C399" s="14"/>
      <c r="D399" s="14"/>
      <c r="E399" s="19"/>
      <c r="F399" s="19"/>
      <c r="G399" s="28" t="str">
        <f t="shared" si="12"/>
        <v/>
      </c>
      <c r="H399" s="14"/>
      <c r="I399" s="29" t="str">
        <f>IF(OR($C399="",$G399="",$H399&lt;&gt;"Fait"),"",MIN($G399,MAX(0,SUMIFS($G$5:$G399,$C$5:$C399,$C399,$H$5:$H399,"Fait")-SUMIFS(Paiements!$I$5:$I$2000,Paiements!$C$5:$C$2000,$C399,Paiements!$L$5:$L$2000,"Payé"))))</f>
        <v/>
      </c>
      <c r="J399" s="30" t="str">
        <f t="shared" si="13"/>
        <v/>
      </c>
      <c r="K399" s="14"/>
      <c r="L399" s="17" t="str">
        <f>IF(AND($C399&lt;&gt;"",$C399=Controle_Paiement!$B$4,$J399&lt;&gt;"Payé",$J399&lt;&gt;"Annulé",$J399&lt;&gt;""),1,"")</f>
        <v/>
      </c>
    </row>
    <row r="400" spans="1:12" x14ac:dyDescent="0.35">
      <c r="A400" s="18"/>
      <c r="B400" s="27"/>
      <c r="C400" s="14"/>
      <c r="D400" s="14"/>
      <c r="E400" s="19"/>
      <c r="F400" s="19"/>
      <c r="G400" s="28" t="str">
        <f t="shared" si="12"/>
        <v/>
      </c>
      <c r="H400" s="14"/>
      <c r="I400" s="29" t="str">
        <f>IF(OR($C400="",$G400="",$H400&lt;&gt;"Fait"),"",MIN($G400,MAX(0,SUMIFS($G$5:$G400,$C$5:$C400,$C400,$H$5:$H400,"Fait")-SUMIFS(Paiements!$I$5:$I$2000,Paiements!$C$5:$C$2000,$C400,Paiements!$L$5:$L$2000,"Payé"))))</f>
        <v/>
      </c>
      <c r="J400" s="30" t="str">
        <f t="shared" si="13"/>
        <v/>
      </c>
      <c r="K400" s="14"/>
      <c r="L400" s="17" t="str">
        <f>IF(AND($C400&lt;&gt;"",$C400=Controle_Paiement!$B$4,$J400&lt;&gt;"Payé",$J400&lt;&gt;"Annulé",$J400&lt;&gt;""),1,"")</f>
        <v/>
      </c>
    </row>
    <row r="401" spans="1:12" x14ac:dyDescent="0.35">
      <c r="A401" s="18"/>
      <c r="B401" s="27"/>
      <c r="C401" s="14"/>
      <c r="D401" s="14"/>
      <c r="E401" s="19"/>
      <c r="F401" s="19"/>
      <c r="G401" s="28" t="str">
        <f t="shared" si="12"/>
        <v/>
      </c>
      <c r="H401" s="14"/>
      <c r="I401" s="29" t="str">
        <f>IF(OR($C401="",$G401="",$H401&lt;&gt;"Fait"),"",MIN($G401,MAX(0,SUMIFS($G$5:$G401,$C$5:$C401,$C401,$H$5:$H401,"Fait")-SUMIFS(Paiements!$I$5:$I$2000,Paiements!$C$5:$C$2000,$C401,Paiements!$L$5:$L$2000,"Payé"))))</f>
        <v/>
      </c>
      <c r="J401" s="30" t="str">
        <f t="shared" si="13"/>
        <v/>
      </c>
      <c r="K401" s="14"/>
      <c r="L401" s="17" t="str">
        <f>IF(AND($C401&lt;&gt;"",$C401=Controle_Paiement!$B$4,$J401&lt;&gt;"Payé",$J401&lt;&gt;"Annulé",$J401&lt;&gt;""),1,"")</f>
        <v/>
      </c>
    </row>
    <row r="402" spans="1:12" x14ac:dyDescent="0.35">
      <c r="A402" s="18"/>
      <c r="B402" s="27"/>
      <c r="C402" s="14"/>
      <c r="D402" s="14"/>
      <c r="E402" s="19"/>
      <c r="F402" s="19"/>
      <c r="G402" s="28" t="str">
        <f t="shared" si="12"/>
        <v/>
      </c>
      <c r="H402" s="14"/>
      <c r="I402" s="29" t="str">
        <f>IF(OR($C402="",$G402="",$H402&lt;&gt;"Fait"),"",MIN($G402,MAX(0,SUMIFS($G$5:$G402,$C$5:$C402,$C402,$H$5:$H402,"Fait")-SUMIFS(Paiements!$I$5:$I$2000,Paiements!$C$5:$C$2000,$C402,Paiements!$L$5:$L$2000,"Payé"))))</f>
        <v/>
      </c>
      <c r="J402" s="30" t="str">
        <f t="shared" si="13"/>
        <v/>
      </c>
      <c r="K402" s="14"/>
      <c r="L402" s="17" t="str">
        <f>IF(AND($C402&lt;&gt;"",$C402=Controle_Paiement!$B$4,$J402&lt;&gt;"Payé",$J402&lt;&gt;"Annulé",$J402&lt;&gt;""),1,"")</f>
        <v/>
      </c>
    </row>
    <row r="403" spans="1:12" x14ac:dyDescent="0.35">
      <c r="A403" s="18"/>
      <c r="B403" s="27"/>
      <c r="C403" s="14"/>
      <c r="D403" s="14"/>
      <c r="E403" s="19"/>
      <c r="F403" s="19"/>
      <c r="G403" s="28" t="str">
        <f t="shared" si="12"/>
        <v/>
      </c>
      <c r="H403" s="14"/>
      <c r="I403" s="29" t="str">
        <f>IF(OR($C403="",$G403="",$H403&lt;&gt;"Fait"),"",MIN($G403,MAX(0,SUMIFS($G$5:$G403,$C$5:$C403,$C403,$H$5:$H403,"Fait")-SUMIFS(Paiements!$I$5:$I$2000,Paiements!$C$5:$C$2000,$C403,Paiements!$L$5:$L$2000,"Payé"))))</f>
        <v/>
      </c>
      <c r="J403" s="30" t="str">
        <f t="shared" si="13"/>
        <v/>
      </c>
      <c r="K403" s="14"/>
      <c r="L403" s="17" t="str">
        <f>IF(AND($C403&lt;&gt;"",$C403=Controle_Paiement!$B$4,$J403&lt;&gt;"Payé",$J403&lt;&gt;"Annulé",$J403&lt;&gt;""),1,"")</f>
        <v/>
      </c>
    </row>
    <row r="404" spans="1:12" x14ac:dyDescent="0.35">
      <c r="A404" s="18"/>
      <c r="B404" s="27"/>
      <c r="C404" s="14"/>
      <c r="D404" s="14"/>
      <c r="E404" s="19"/>
      <c r="F404" s="19"/>
      <c r="G404" s="28" t="str">
        <f t="shared" si="12"/>
        <v/>
      </c>
      <c r="H404" s="14"/>
      <c r="I404" s="29" t="str">
        <f>IF(OR($C404="",$G404="",$H404&lt;&gt;"Fait"),"",MIN($G404,MAX(0,SUMIFS($G$5:$G404,$C$5:$C404,$C404,$H$5:$H404,"Fait")-SUMIFS(Paiements!$I$5:$I$2000,Paiements!$C$5:$C$2000,$C404,Paiements!$L$5:$L$2000,"Payé"))))</f>
        <v/>
      </c>
      <c r="J404" s="30" t="str">
        <f t="shared" si="13"/>
        <v/>
      </c>
      <c r="K404" s="14"/>
      <c r="L404" s="17" t="str">
        <f>IF(AND($C404&lt;&gt;"",$C404=Controle_Paiement!$B$4,$J404&lt;&gt;"Payé",$J404&lt;&gt;"Annulé",$J404&lt;&gt;""),1,"")</f>
        <v/>
      </c>
    </row>
    <row r="405" spans="1:12" x14ac:dyDescent="0.35">
      <c r="A405" s="18"/>
      <c r="B405" s="27"/>
      <c r="C405" s="14"/>
      <c r="D405" s="14"/>
      <c r="E405" s="19"/>
      <c r="F405" s="19"/>
      <c r="G405" s="28" t="str">
        <f t="shared" si="12"/>
        <v/>
      </c>
      <c r="H405" s="14"/>
      <c r="I405" s="29" t="str">
        <f>IF(OR($C405="",$G405="",$H405&lt;&gt;"Fait"),"",MIN($G405,MAX(0,SUMIFS($G$5:$G405,$C$5:$C405,$C405,$H$5:$H405,"Fait")-SUMIFS(Paiements!$I$5:$I$2000,Paiements!$C$5:$C$2000,$C405,Paiements!$L$5:$L$2000,"Payé"))))</f>
        <v/>
      </c>
      <c r="J405" s="30" t="str">
        <f t="shared" si="13"/>
        <v/>
      </c>
      <c r="K405" s="14"/>
      <c r="L405" s="17" t="str">
        <f>IF(AND($C405&lt;&gt;"",$C405=Controle_Paiement!$B$4,$J405&lt;&gt;"Payé",$J405&lt;&gt;"Annulé",$J405&lt;&gt;""),1,"")</f>
        <v/>
      </c>
    </row>
    <row r="406" spans="1:12" x14ac:dyDescent="0.35">
      <c r="A406" s="18"/>
      <c r="B406" s="27"/>
      <c r="C406" s="14"/>
      <c r="D406" s="14"/>
      <c r="E406" s="19"/>
      <c r="F406" s="19"/>
      <c r="G406" s="28" t="str">
        <f t="shared" si="12"/>
        <v/>
      </c>
      <c r="H406" s="14"/>
      <c r="I406" s="29" t="str">
        <f>IF(OR($C406="",$G406="",$H406&lt;&gt;"Fait"),"",MIN($G406,MAX(0,SUMIFS($G$5:$G406,$C$5:$C406,$C406,$H$5:$H406,"Fait")-SUMIFS(Paiements!$I$5:$I$2000,Paiements!$C$5:$C$2000,$C406,Paiements!$L$5:$L$2000,"Payé"))))</f>
        <v/>
      </c>
      <c r="J406" s="30" t="str">
        <f t="shared" si="13"/>
        <v/>
      </c>
      <c r="K406" s="14"/>
      <c r="L406" s="17" t="str">
        <f>IF(AND($C406&lt;&gt;"",$C406=Controle_Paiement!$B$4,$J406&lt;&gt;"Payé",$J406&lt;&gt;"Annulé",$J406&lt;&gt;""),1,"")</f>
        <v/>
      </c>
    </row>
    <row r="407" spans="1:12" x14ac:dyDescent="0.35">
      <c r="A407" s="18"/>
      <c r="B407" s="27"/>
      <c r="C407" s="14"/>
      <c r="D407" s="14"/>
      <c r="E407" s="19"/>
      <c r="F407" s="19"/>
      <c r="G407" s="28" t="str">
        <f t="shared" si="12"/>
        <v/>
      </c>
      <c r="H407" s="14"/>
      <c r="I407" s="29" t="str">
        <f>IF(OR($C407="",$G407="",$H407&lt;&gt;"Fait"),"",MIN($G407,MAX(0,SUMIFS($G$5:$G407,$C$5:$C407,$C407,$H$5:$H407,"Fait")-SUMIFS(Paiements!$I$5:$I$2000,Paiements!$C$5:$C$2000,$C407,Paiements!$L$5:$L$2000,"Payé"))))</f>
        <v/>
      </c>
      <c r="J407" s="30" t="str">
        <f t="shared" si="13"/>
        <v/>
      </c>
      <c r="K407" s="14"/>
      <c r="L407" s="17" t="str">
        <f>IF(AND($C407&lt;&gt;"",$C407=Controle_Paiement!$B$4,$J407&lt;&gt;"Payé",$J407&lt;&gt;"Annulé",$J407&lt;&gt;""),1,"")</f>
        <v/>
      </c>
    </row>
    <row r="408" spans="1:12" x14ac:dyDescent="0.35">
      <c r="A408" s="18"/>
      <c r="B408" s="27"/>
      <c r="C408" s="14"/>
      <c r="D408" s="14"/>
      <c r="E408" s="19"/>
      <c r="F408" s="19"/>
      <c r="G408" s="28" t="str">
        <f t="shared" si="12"/>
        <v/>
      </c>
      <c r="H408" s="14"/>
      <c r="I408" s="29" t="str">
        <f>IF(OR($C408="",$G408="",$H408&lt;&gt;"Fait"),"",MIN($G408,MAX(0,SUMIFS($G$5:$G408,$C$5:$C408,$C408,$H$5:$H408,"Fait")-SUMIFS(Paiements!$I$5:$I$2000,Paiements!$C$5:$C$2000,$C408,Paiements!$L$5:$L$2000,"Payé"))))</f>
        <v/>
      </c>
      <c r="J408" s="30" t="str">
        <f t="shared" si="13"/>
        <v/>
      </c>
      <c r="K408" s="14"/>
      <c r="L408" s="17" t="str">
        <f>IF(AND($C408&lt;&gt;"",$C408=Controle_Paiement!$B$4,$J408&lt;&gt;"Payé",$J408&lt;&gt;"Annulé",$J408&lt;&gt;""),1,"")</f>
        <v/>
      </c>
    </row>
    <row r="409" spans="1:12" x14ac:dyDescent="0.35">
      <c r="A409" s="18"/>
      <c r="B409" s="27"/>
      <c r="C409" s="14"/>
      <c r="D409" s="14"/>
      <c r="E409" s="19"/>
      <c r="F409" s="19"/>
      <c r="G409" s="28" t="str">
        <f t="shared" si="12"/>
        <v/>
      </c>
      <c r="H409" s="14"/>
      <c r="I409" s="29" t="str">
        <f>IF(OR($C409="",$G409="",$H409&lt;&gt;"Fait"),"",MIN($G409,MAX(0,SUMIFS($G$5:$G409,$C$5:$C409,$C409,$H$5:$H409,"Fait")-SUMIFS(Paiements!$I$5:$I$2000,Paiements!$C$5:$C$2000,$C409,Paiements!$L$5:$L$2000,"Payé"))))</f>
        <v/>
      </c>
      <c r="J409" s="30" t="str">
        <f t="shared" si="13"/>
        <v/>
      </c>
      <c r="K409" s="14"/>
      <c r="L409" s="17" t="str">
        <f>IF(AND($C409&lt;&gt;"",$C409=Controle_Paiement!$B$4,$J409&lt;&gt;"Payé",$J409&lt;&gt;"Annulé",$J409&lt;&gt;""),1,"")</f>
        <v/>
      </c>
    </row>
    <row r="410" spans="1:12" x14ac:dyDescent="0.35">
      <c r="A410" s="18"/>
      <c r="B410" s="27"/>
      <c r="C410" s="14"/>
      <c r="D410" s="14"/>
      <c r="E410" s="19"/>
      <c r="F410" s="19"/>
      <c r="G410" s="28" t="str">
        <f t="shared" si="12"/>
        <v/>
      </c>
      <c r="H410" s="14"/>
      <c r="I410" s="29" t="str">
        <f>IF(OR($C410="",$G410="",$H410&lt;&gt;"Fait"),"",MIN($G410,MAX(0,SUMIFS($G$5:$G410,$C$5:$C410,$C410,$H$5:$H410,"Fait")-SUMIFS(Paiements!$I$5:$I$2000,Paiements!$C$5:$C$2000,$C410,Paiements!$L$5:$L$2000,"Payé"))))</f>
        <v/>
      </c>
      <c r="J410" s="30" t="str">
        <f t="shared" si="13"/>
        <v/>
      </c>
      <c r="K410" s="14"/>
      <c r="L410" s="17" t="str">
        <f>IF(AND($C410&lt;&gt;"",$C410=Controle_Paiement!$B$4,$J410&lt;&gt;"Payé",$J410&lt;&gt;"Annulé",$J410&lt;&gt;""),1,"")</f>
        <v/>
      </c>
    </row>
    <row r="411" spans="1:12" x14ac:dyDescent="0.35">
      <c r="A411" s="18"/>
      <c r="B411" s="27"/>
      <c r="C411" s="14"/>
      <c r="D411" s="14"/>
      <c r="E411" s="19"/>
      <c r="F411" s="19"/>
      <c r="G411" s="28" t="str">
        <f t="shared" si="12"/>
        <v/>
      </c>
      <c r="H411" s="14"/>
      <c r="I411" s="29" t="str">
        <f>IF(OR($C411="",$G411="",$H411&lt;&gt;"Fait"),"",MIN($G411,MAX(0,SUMIFS($G$5:$G411,$C$5:$C411,$C411,$H$5:$H411,"Fait")-SUMIFS(Paiements!$I$5:$I$2000,Paiements!$C$5:$C$2000,$C411,Paiements!$L$5:$L$2000,"Payé"))))</f>
        <v/>
      </c>
      <c r="J411" s="30" t="str">
        <f t="shared" si="13"/>
        <v/>
      </c>
      <c r="K411" s="14"/>
      <c r="L411" s="17" t="str">
        <f>IF(AND($C411&lt;&gt;"",$C411=Controle_Paiement!$B$4,$J411&lt;&gt;"Payé",$J411&lt;&gt;"Annulé",$J411&lt;&gt;""),1,"")</f>
        <v/>
      </c>
    </row>
    <row r="412" spans="1:12" x14ac:dyDescent="0.35">
      <c r="A412" s="18"/>
      <c r="B412" s="27"/>
      <c r="C412" s="14"/>
      <c r="D412" s="14"/>
      <c r="E412" s="19"/>
      <c r="F412" s="19"/>
      <c r="G412" s="28" t="str">
        <f t="shared" si="12"/>
        <v/>
      </c>
      <c r="H412" s="14"/>
      <c r="I412" s="29" t="str">
        <f>IF(OR($C412="",$G412="",$H412&lt;&gt;"Fait"),"",MIN($G412,MAX(0,SUMIFS($G$5:$G412,$C$5:$C412,$C412,$H$5:$H412,"Fait")-SUMIFS(Paiements!$I$5:$I$2000,Paiements!$C$5:$C$2000,$C412,Paiements!$L$5:$L$2000,"Payé"))))</f>
        <v/>
      </c>
      <c r="J412" s="30" t="str">
        <f t="shared" si="13"/>
        <v/>
      </c>
      <c r="K412" s="14"/>
      <c r="L412" s="17" t="str">
        <f>IF(AND($C412&lt;&gt;"",$C412=Controle_Paiement!$B$4,$J412&lt;&gt;"Payé",$J412&lt;&gt;"Annulé",$J412&lt;&gt;""),1,"")</f>
        <v/>
      </c>
    </row>
    <row r="413" spans="1:12" x14ac:dyDescent="0.35">
      <c r="A413" s="18"/>
      <c r="B413" s="27"/>
      <c r="C413" s="14"/>
      <c r="D413" s="14"/>
      <c r="E413" s="19"/>
      <c r="F413" s="19"/>
      <c r="G413" s="28" t="str">
        <f t="shared" si="12"/>
        <v/>
      </c>
      <c r="H413" s="14"/>
      <c r="I413" s="29" t="str">
        <f>IF(OR($C413="",$G413="",$H413&lt;&gt;"Fait"),"",MIN($G413,MAX(0,SUMIFS($G$5:$G413,$C$5:$C413,$C413,$H$5:$H413,"Fait")-SUMIFS(Paiements!$I$5:$I$2000,Paiements!$C$5:$C$2000,$C413,Paiements!$L$5:$L$2000,"Payé"))))</f>
        <v/>
      </c>
      <c r="J413" s="30" t="str">
        <f t="shared" si="13"/>
        <v/>
      </c>
      <c r="K413" s="14"/>
      <c r="L413" s="17" t="str">
        <f>IF(AND($C413&lt;&gt;"",$C413=Controle_Paiement!$B$4,$J413&lt;&gt;"Payé",$J413&lt;&gt;"Annulé",$J413&lt;&gt;""),1,"")</f>
        <v/>
      </c>
    </row>
    <row r="414" spans="1:12" x14ac:dyDescent="0.35">
      <c r="A414" s="18"/>
      <c r="B414" s="27"/>
      <c r="C414" s="14"/>
      <c r="D414" s="14"/>
      <c r="E414" s="19"/>
      <c r="F414" s="19"/>
      <c r="G414" s="28" t="str">
        <f t="shared" si="12"/>
        <v/>
      </c>
      <c r="H414" s="14"/>
      <c r="I414" s="29" t="str">
        <f>IF(OR($C414="",$G414="",$H414&lt;&gt;"Fait"),"",MIN($G414,MAX(0,SUMIFS($G$5:$G414,$C$5:$C414,$C414,$H$5:$H414,"Fait")-SUMIFS(Paiements!$I$5:$I$2000,Paiements!$C$5:$C$2000,$C414,Paiements!$L$5:$L$2000,"Payé"))))</f>
        <v/>
      </c>
      <c r="J414" s="30" t="str">
        <f t="shared" si="13"/>
        <v/>
      </c>
      <c r="K414" s="14"/>
      <c r="L414" s="17" t="str">
        <f>IF(AND($C414&lt;&gt;"",$C414=Controle_Paiement!$B$4,$J414&lt;&gt;"Payé",$J414&lt;&gt;"Annulé",$J414&lt;&gt;""),1,"")</f>
        <v/>
      </c>
    </row>
    <row r="415" spans="1:12" x14ac:dyDescent="0.35">
      <c r="A415" s="18"/>
      <c r="B415" s="27"/>
      <c r="C415" s="14"/>
      <c r="D415" s="14"/>
      <c r="E415" s="19"/>
      <c r="F415" s="19"/>
      <c r="G415" s="28" t="str">
        <f t="shared" si="12"/>
        <v/>
      </c>
      <c r="H415" s="14"/>
      <c r="I415" s="29" t="str">
        <f>IF(OR($C415="",$G415="",$H415&lt;&gt;"Fait"),"",MIN($G415,MAX(0,SUMIFS($G$5:$G415,$C$5:$C415,$C415,$H$5:$H415,"Fait")-SUMIFS(Paiements!$I$5:$I$2000,Paiements!$C$5:$C$2000,$C415,Paiements!$L$5:$L$2000,"Payé"))))</f>
        <v/>
      </c>
      <c r="J415" s="30" t="str">
        <f t="shared" si="13"/>
        <v/>
      </c>
      <c r="K415" s="14"/>
      <c r="L415" s="17" t="str">
        <f>IF(AND($C415&lt;&gt;"",$C415=Controle_Paiement!$B$4,$J415&lt;&gt;"Payé",$J415&lt;&gt;"Annulé",$J415&lt;&gt;""),1,"")</f>
        <v/>
      </c>
    </row>
    <row r="416" spans="1:12" x14ac:dyDescent="0.35">
      <c r="A416" s="18"/>
      <c r="B416" s="27"/>
      <c r="C416" s="14"/>
      <c r="D416" s="14"/>
      <c r="E416" s="19"/>
      <c r="F416" s="19"/>
      <c r="G416" s="28" t="str">
        <f t="shared" si="12"/>
        <v/>
      </c>
      <c r="H416" s="14"/>
      <c r="I416" s="29" t="str">
        <f>IF(OR($C416="",$G416="",$H416&lt;&gt;"Fait"),"",MIN($G416,MAX(0,SUMIFS($G$5:$G416,$C$5:$C416,$C416,$H$5:$H416,"Fait")-SUMIFS(Paiements!$I$5:$I$2000,Paiements!$C$5:$C$2000,$C416,Paiements!$L$5:$L$2000,"Payé"))))</f>
        <v/>
      </c>
      <c r="J416" s="30" t="str">
        <f t="shared" si="13"/>
        <v/>
      </c>
      <c r="K416" s="14"/>
      <c r="L416" s="17" t="str">
        <f>IF(AND($C416&lt;&gt;"",$C416=Controle_Paiement!$B$4,$J416&lt;&gt;"Payé",$J416&lt;&gt;"Annulé",$J416&lt;&gt;""),1,"")</f>
        <v/>
      </c>
    </row>
    <row r="417" spans="1:12" x14ac:dyDescent="0.35">
      <c r="A417" s="18"/>
      <c r="B417" s="27"/>
      <c r="C417" s="14"/>
      <c r="D417" s="14"/>
      <c r="E417" s="19"/>
      <c r="F417" s="19"/>
      <c r="G417" s="28" t="str">
        <f t="shared" si="12"/>
        <v/>
      </c>
      <c r="H417" s="14"/>
      <c r="I417" s="29" t="str">
        <f>IF(OR($C417="",$G417="",$H417&lt;&gt;"Fait"),"",MIN($G417,MAX(0,SUMIFS($G$5:$G417,$C$5:$C417,$C417,$H$5:$H417,"Fait")-SUMIFS(Paiements!$I$5:$I$2000,Paiements!$C$5:$C$2000,$C417,Paiements!$L$5:$L$2000,"Payé"))))</f>
        <v/>
      </c>
      <c r="J417" s="30" t="str">
        <f t="shared" si="13"/>
        <v/>
      </c>
      <c r="K417" s="14"/>
      <c r="L417" s="17" t="str">
        <f>IF(AND($C417&lt;&gt;"",$C417=Controle_Paiement!$B$4,$J417&lt;&gt;"Payé",$J417&lt;&gt;"Annulé",$J417&lt;&gt;""),1,"")</f>
        <v/>
      </c>
    </row>
    <row r="418" spans="1:12" x14ac:dyDescent="0.35">
      <c r="A418" s="18"/>
      <c r="B418" s="27"/>
      <c r="C418" s="14"/>
      <c r="D418" s="14"/>
      <c r="E418" s="19"/>
      <c r="F418" s="19"/>
      <c r="G418" s="28" t="str">
        <f t="shared" si="12"/>
        <v/>
      </c>
      <c r="H418" s="14"/>
      <c r="I418" s="29" t="str">
        <f>IF(OR($C418="",$G418="",$H418&lt;&gt;"Fait"),"",MIN($G418,MAX(0,SUMIFS($G$5:$G418,$C$5:$C418,$C418,$H$5:$H418,"Fait")-SUMIFS(Paiements!$I$5:$I$2000,Paiements!$C$5:$C$2000,$C418,Paiements!$L$5:$L$2000,"Payé"))))</f>
        <v/>
      </c>
      <c r="J418" s="30" t="str">
        <f t="shared" si="13"/>
        <v/>
      </c>
      <c r="K418" s="14"/>
      <c r="L418" s="17" t="str">
        <f>IF(AND($C418&lt;&gt;"",$C418=Controle_Paiement!$B$4,$J418&lt;&gt;"Payé",$J418&lt;&gt;"Annulé",$J418&lt;&gt;""),1,"")</f>
        <v/>
      </c>
    </row>
    <row r="419" spans="1:12" x14ac:dyDescent="0.35">
      <c r="A419" s="18"/>
      <c r="B419" s="27"/>
      <c r="C419" s="14"/>
      <c r="D419" s="14"/>
      <c r="E419" s="19"/>
      <c r="F419" s="19"/>
      <c r="G419" s="28" t="str">
        <f t="shared" si="12"/>
        <v/>
      </c>
      <c r="H419" s="14"/>
      <c r="I419" s="29" t="str">
        <f>IF(OR($C419="",$G419="",$H419&lt;&gt;"Fait"),"",MIN($G419,MAX(0,SUMIFS($G$5:$G419,$C$5:$C419,$C419,$H$5:$H419,"Fait")-SUMIFS(Paiements!$I$5:$I$2000,Paiements!$C$5:$C$2000,$C419,Paiements!$L$5:$L$2000,"Payé"))))</f>
        <v/>
      </c>
      <c r="J419" s="30" t="str">
        <f t="shared" si="13"/>
        <v/>
      </c>
      <c r="K419" s="14"/>
      <c r="L419" s="17" t="str">
        <f>IF(AND($C419&lt;&gt;"",$C419=Controle_Paiement!$B$4,$J419&lt;&gt;"Payé",$J419&lt;&gt;"Annulé",$J419&lt;&gt;""),1,"")</f>
        <v/>
      </c>
    </row>
    <row r="420" spans="1:12" x14ac:dyDescent="0.35">
      <c r="A420" s="18"/>
      <c r="B420" s="27"/>
      <c r="C420" s="14"/>
      <c r="D420" s="14"/>
      <c r="E420" s="19"/>
      <c r="F420" s="19"/>
      <c r="G420" s="28" t="str">
        <f t="shared" si="12"/>
        <v/>
      </c>
      <c r="H420" s="14"/>
      <c r="I420" s="29" t="str">
        <f>IF(OR($C420="",$G420="",$H420&lt;&gt;"Fait"),"",MIN($G420,MAX(0,SUMIFS($G$5:$G420,$C$5:$C420,$C420,$H$5:$H420,"Fait")-SUMIFS(Paiements!$I$5:$I$2000,Paiements!$C$5:$C$2000,$C420,Paiements!$L$5:$L$2000,"Payé"))))</f>
        <v/>
      </c>
      <c r="J420" s="30" t="str">
        <f t="shared" si="13"/>
        <v/>
      </c>
      <c r="K420" s="14"/>
      <c r="L420" s="17" t="str">
        <f>IF(AND($C420&lt;&gt;"",$C420=Controle_Paiement!$B$4,$J420&lt;&gt;"Payé",$J420&lt;&gt;"Annulé",$J420&lt;&gt;""),1,"")</f>
        <v/>
      </c>
    </row>
    <row r="421" spans="1:12" x14ac:dyDescent="0.35">
      <c r="A421" s="18"/>
      <c r="B421" s="27"/>
      <c r="C421" s="14"/>
      <c r="D421" s="14"/>
      <c r="E421" s="19"/>
      <c r="F421" s="19"/>
      <c r="G421" s="28" t="str">
        <f t="shared" si="12"/>
        <v/>
      </c>
      <c r="H421" s="14"/>
      <c r="I421" s="29" t="str">
        <f>IF(OR($C421="",$G421="",$H421&lt;&gt;"Fait"),"",MIN($G421,MAX(0,SUMIFS($G$5:$G421,$C$5:$C421,$C421,$H$5:$H421,"Fait")-SUMIFS(Paiements!$I$5:$I$2000,Paiements!$C$5:$C$2000,$C421,Paiements!$L$5:$L$2000,"Payé"))))</f>
        <v/>
      </c>
      <c r="J421" s="30" t="str">
        <f t="shared" si="13"/>
        <v/>
      </c>
      <c r="K421" s="14"/>
      <c r="L421" s="17" t="str">
        <f>IF(AND($C421&lt;&gt;"",$C421=Controle_Paiement!$B$4,$J421&lt;&gt;"Payé",$J421&lt;&gt;"Annulé",$J421&lt;&gt;""),1,"")</f>
        <v/>
      </c>
    </row>
    <row r="422" spans="1:12" x14ac:dyDescent="0.35">
      <c r="A422" s="18"/>
      <c r="B422" s="27"/>
      <c r="C422" s="14"/>
      <c r="D422" s="14"/>
      <c r="E422" s="19"/>
      <c r="F422" s="19"/>
      <c r="G422" s="28" t="str">
        <f t="shared" si="12"/>
        <v/>
      </c>
      <c r="H422" s="14"/>
      <c r="I422" s="29" t="str">
        <f>IF(OR($C422="",$G422="",$H422&lt;&gt;"Fait"),"",MIN($G422,MAX(0,SUMIFS($G$5:$G422,$C$5:$C422,$C422,$H$5:$H422,"Fait")-SUMIFS(Paiements!$I$5:$I$2000,Paiements!$C$5:$C$2000,$C422,Paiements!$L$5:$L$2000,"Payé"))))</f>
        <v/>
      </c>
      <c r="J422" s="30" t="str">
        <f t="shared" si="13"/>
        <v/>
      </c>
      <c r="K422" s="14"/>
      <c r="L422" s="17" t="str">
        <f>IF(AND($C422&lt;&gt;"",$C422=Controle_Paiement!$B$4,$J422&lt;&gt;"Payé",$J422&lt;&gt;"Annulé",$J422&lt;&gt;""),1,"")</f>
        <v/>
      </c>
    </row>
    <row r="423" spans="1:12" x14ac:dyDescent="0.35">
      <c r="A423" s="18"/>
      <c r="B423" s="27"/>
      <c r="C423" s="14"/>
      <c r="D423" s="14"/>
      <c r="E423" s="19"/>
      <c r="F423" s="19"/>
      <c r="G423" s="28" t="str">
        <f t="shared" si="12"/>
        <v/>
      </c>
      <c r="H423" s="14"/>
      <c r="I423" s="29" t="str">
        <f>IF(OR($C423="",$G423="",$H423&lt;&gt;"Fait"),"",MIN($G423,MAX(0,SUMIFS($G$5:$G423,$C$5:$C423,$C423,$H$5:$H423,"Fait")-SUMIFS(Paiements!$I$5:$I$2000,Paiements!$C$5:$C$2000,$C423,Paiements!$L$5:$L$2000,"Payé"))))</f>
        <v/>
      </c>
      <c r="J423" s="30" t="str">
        <f t="shared" si="13"/>
        <v/>
      </c>
      <c r="K423" s="14"/>
      <c r="L423" s="17" t="str">
        <f>IF(AND($C423&lt;&gt;"",$C423=Controle_Paiement!$B$4,$J423&lt;&gt;"Payé",$J423&lt;&gt;"Annulé",$J423&lt;&gt;""),1,"")</f>
        <v/>
      </c>
    </row>
    <row r="424" spans="1:12" x14ac:dyDescent="0.35">
      <c r="A424" s="18"/>
      <c r="B424" s="27"/>
      <c r="C424" s="14"/>
      <c r="D424" s="14"/>
      <c r="E424" s="19"/>
      <c r="F424" s="19"/>
      <c r="G424" s="28" t="str">
        <f t="shared" si="12"/>
        <v/>
      </c>
      <c r="H424" s="14"/>
      <c r="I424" s="29" t="str">
        <f>IF(OR($C424="",$G424="",$H424&lt;&gt;"Fait"),"",MIN($G424,MAX(0,SUMIFS($G$5:$G424,$C$5:$C424,$C424,$H$5:$H424,"Fait")-SUMIFS(Paiements!$I$5:$I$2000,Paiements!$C$5:$C$2000,$C424,Paiements!$L$5:$L$2000,"Payé"))))</f>
        <v/>
      </c>
      <c r="J424" s="30" t="str">
        <f t="shared" si="13"/>
        <v/>
      </c>
      <c r="K424" s="14"/>
      <c r="L424" s="17" t="str">
        <f>IF(AND($C424&lt;&gt;"",$C424=Controle_Paiement!$B$4,$J424&lt;&gt;"Payé",$J424&lt;&gt;"Annulé",$J424&lt;&gt;""),1,"")</f>
        <v/>
      </c>
    </row>
    <row r="425" spans="1:12" x14ac:dyDescent="0.35">
      <c r="A425" s="18"/>
      <c r="B425" s="27"/>
      <c r="C425" s="14"/>
      <c r="D425" s="14"/>
      <c r="E425" s="19"/>
      <c r="F425" s="19"/>
      <c r="G425" s="28" t="str">
        <f t="shared" si="12"/>
        <v/>
      </c>
      <c r="H425" s="14"/>
      <c r="I425" s="29" t="str">
        <f>IF(OR($C425="",$G425="",$H425&lt;&gt;"Fait"),"",MIN($G425,MAX(0,SUMIFS($G$5:$G425,$C$5:$C425,$C425,$H$5:$H425,"Fait")-SUMIFS(Paiements!$I$5:$I$2000,Paiements!$C$5:$C$2000,$C425,Paiements!$L$5:$L$2000,"Payé"))))</f>
        <v/>
      </c>
      <c r="J425" s="30" t="str">
        <f t="shared" si="13"/>
        <v/>
      </c>
      <c r="K425" s="14"/>
      <c r="L425" s="17" t="str">
        <f>IF(AND($C425&lt;&gt;"",$C425=Controle_Paiement!$B$4,$J425&lt;&gt;"Payé",$J425&lt;&gt;"Annulé",$J425&lt;&gt;""),1,"")</f>
        <v/>
      </c>
    </row>
    <row r="426" spans="1:12" x14ac:dyDescent="0.35">
      <c r="A426" s="18"/>
      <c r="B426" s="27"/>
      <c r="C426" s="14"/>
      <c r="D426" s="14"/>
      <c r="E426" s="19"/>
      <c r="F426" s="19"/>
      <c r="G426" s="28" t="str">
        <f t="shared" si="12"/>
        <v/>
      </c>
      <c r="H426" s="14"/>
      <c r="I426" s="29" t="str">
        <f>IF(OR($C426="",$G426="",$H426&lt;&gt;"Fait"),"",MIN($G426,MAX(0,SUMIFS($G$5:$G426,$C$5:$C426,$C426,$H$5:$H426,"Fait")-SUMIFS(Paiements!$I$5:$I$2000,Paiements!$C$5:$C$2000,$C426,Paiements!$L$5:$L$2000,"Payé"))))</f>
        <v/>
      </c>
      <c r="J426" s="30" t="str">
        <f t="shared" si="13"/>
        <v/>
      </c>
      <c r="K426" s="14"/>
      <c r="L426" s="17" t="str">
        <f>IF(AND($C426&lt;&gt;"",$C426=Controle_Paiement!$B$4,$J426&lt;&gt;"Payé",$J426&lt;&gt;"Annulé",$J426&lt;&gt;""),1,"")</f>
        <v/>
      </c>
    </row>
    <row r="427" spans="1:12" x14ac:dyDescent="0.35">
      <c r="A427" s="18"/>
      <c r="B427" s="27"/>
      <c r="C427" s="14"/>
      <c r="D427" s="14"/>
      <c r="E427" s="19"/>
      <c r="F427" s="19"/>
      <c r="G427" s="28" t="str">
        <f t="shared" si="12"/>
        <v/>
      </c>
      <c r="H427" s="14"/>
      <c r="I427" s="29" t="str">
        <f>IF(OR($C427="",$G427="",$H427&lt;&gt;"Fait"),"",MIN($G427,MAX(0,SUMIFS($G$5:$G427,$C$5:$C427,$C427,$H$5:$H427,"Fait")-SUMIFS(Paiements!$I$5:$I$2000,Paiements!$C$5:$C$2000,$C427,Paiements!$L$5:$L$2000,"Payé"))))</f>
        <v/>
      </c>
      <c r="J427" s="30" t="str">
        <f t="shared" si="13"/>
        <v/>
      </c>
      <c r="K427" s="14"/>
      <c r="L427" s="17" t="str">
        <f>IF(AND($C427&lt;&gt;"",$C427=Controle_Paiement!$B$4,$J427&lt;&gt;"Payé",$J427&lt;&gt;"Annulé",$J427&lt;&gt;""),1,"")</f>
        <v/>
      </c>
    </row>
    <row r="428" spans="1:12" x14ac:dyDescent="0.35">
      <c r="A428" s="18"/>
      <c r="B428" s="27"/>
      <c r="C428" s="14"/>
      <c r="D428" s="14"/>
      <c r="E428" s="19"/>
      <c r="F428" s="19"/>
      <c r="G428" s="28" t="str">
        <f t="shared" si="12"/>
        <v/>
      </c>
      <c r="H428" s="14"/>
      <c r="I428" s="29" t="str">
        <f>IF(OR($C428="",$G428="",$H428&lt;&gt;"Fait"),"",MIN($G428,MAX(0,SUMIFS($G$5:$G428,$C$5:$C428,$C428,$H$5:$H428,"Fait")-SUMIFS(Paiements!$I$5:$I$2000,Paiements!$C$5:$C$2000,$C428,Paiements!$L$5:$L$2000,"Payé"))))</f>
        <v/>
      </c>
      <c r="J428" s="30" t="str">
        <f t="shared" si="13"/>
        <v/>
      </c>
      <c r="K428" s="14"/>
      <c r="L428" s="17" t="str">
        <f>IF(AND($C428&lt;&gt;"",$C428=Controle_Paiement!$B$4,$J428&lt;&gt;"Payé",$J428&lt;&gt;"Annulé",$J428&lt;&gt;""),1,"")</f>
        <v/>
      </c>
    </row>
    <row r="429" spans="1:12" x14ac:dyDescent="0.35">
      <c r="A429" s="18"/>
      <c r="B429" s="27"/>
      <c r="C429" s="14"/>
      <c r="D429" s="14"/>
      <c r="E429" s="19"/>
      <c r="F429" s="19"/>
      <c r="G429" s="28" t="str">
        <f t="shared" si="12"/>
        <v/>
      </c>
      <c r="H429" s="14"/>
      <c r="I429" s="29" t="str">
        <f>IF(OR($C429="",$G429="",$H429&lt;&gt;"Fait"),"",MIN($G429,MAX(0,SUMIFS($G$5:$G429,$C$5:$C429,$C429,$H$5:$H429,"Fait")-SUMIFS(Paiements!$I$5:$I$2000,Paiements!$C$5:$C$2000,$C429,Paiements!$L$5:$L$2000,"Payé"))))</f>
        <v/>
      </c>
      <c r="J429" s="30" t="str">
        <f t="shared" si="13"/>
        <v/>
      </c>
      <c r="K429" s="14"/>
      <c r="L429" s="17" t="str">
        <f>IF(AND($C429&lt;&gt;"",$C429=Controle_Paiement!$B$4,$J429&lt;&gt;"Payé",$J429&lt;&gt;"Annulé",$J429&lt;&gt;""),1,"")</f>
        <v/>
      </c>
    </row>
    <row r="430" spans="1:12" x14ac:dyDescent="0.35">
      <c r="A430" s="18"/>
      <c r="B430" s="27"/>
      <c r="C430" s="14"/>
      <c r="D430" s="14"/>
      <c r="E430" s="19"/>
      <c r="F430" s="19"/>
      <c r="G430" s="28" t="str">
        <f t="shared" si="12"/>
        <v/>
      </c>
      <c r="H430" s="14"/>
      <c r="I430" s="29" t="str">
        <f>IF(OR($C430="",$G430="",$H430&lt;&gt;"Fait"),"",MIN($G430,MAX(0,SUMIFS($G$5:$G430,$C$5:$C430,$C430,$H$5:$H430,"Fait")-SUMIFS(Paiements!$I$5:$I$2000,Paiements!$C$5:$C$2000,$C430,Paiements!$L$5:$L$2000,"Payé"))))</f>
        <v/>
      </c>
      <c r="J430" s="30" t="str">
        <f t="shared" si="13"/>
        <v/>
      </c>
      <c r="K430" s="14"/>
      <c r="L430" s="17" t="str">
        <f>IF(AND($C430&lt;&gt;"",$C430=Controle_Paiement!$B$4,$J430&lt;&gt;"Payé",$J430&lt;&gt;"Annulé",$J430&lt;&gt;""),1,"")</f>
        <v/>
      </c>
    </row>
    <row r="431" spans="1:12" x14ac:dyDescent="0.35">
      <c r="A431" s="18"/>
      <c r="B431" s="27"/>
      <c r="C431" s="14"/>
      <c r="D431" s="14"/>
      <c r="E431" s="19"/>
      <c r="F431" s="19"/>
      <c r="G431" s="28" t="str">
        <f t="shared" si="12"/>
        <v/>
      </c>
      <c r="H431" s="14"/>
      <c r="I431" s="29" t="str">
        <f>IF(OR($C431="",$G431="",$H431&lt;&gt;"Fait"),"",MIN($G431,MAX(0,SUMIFS($G$5:$G431,$C$5:$C431,$C431,$H$5:$H431,"Fait")-SUMIFS(Paiements!$I$5:$I$2000,Paiements!$C$5:$C$2000,$C431,Paiements!$L$5:$L$2000,"Payé"))))</f>
        <v/>
      </c>
      <c r="J431" s="30" t="str">
        <f t="shared" si="13"/>
        <v/>
      </c>
      <c r="K431" s="14"/>
      <c r="L431" s="17" t="str">
        <f>IF(AND($C431&lt;&gt;"",$C431=Controle_Paiement!$B$4,$J431&lt;&gt;"Payé",$J431&lt;&gt;"Annulé",$J431&lt;&gt;""),1,"")</f>
        <v/>
      </c>
    </row>
    <row r="432" spans="1:12" x14ac:dyDescent="0.35">
      <c r="A432" s="18"/>
      <c r="B432" s="27"/>
      <c r="C432" s="14"/>
      <c r="D432" s="14"/>
      <c r="E432" s="19"/>
      <c r="F432" s="19"/>
      <c r="G432" s="28" t="str">
        <f t="shared" si="12"/>
        <v/>
      </c>
      <c r="H432" s="14"/>
      <c r="I432" s="29" t="str">
        <f>IF(OR($C432="",$G432="",$H432&lt;&gt;"Fait"),"",MIN($G432,MAX(0,SUMIFS($G$5:$G432,$C$5:$C432,$C432,$H$5:$H432,"Fait")-SUMIFS(Paiements!$I$5:$I$2000,Paiements!$C$5:$C$2000,$C432,Paiements!$L$5:$L$2000,"Payé"))))</f>
        <v/>
      </c>
      <c r="J432" s="30" t="str">
        <f t="shared" si="13"/>
        <v/>
      </c>
      <c r="K432" s="14"/>
      <c r="L432" s="17" t="str">
        <f>IF(AND($C432&lt;&gt;"",$C432=Controle_Paiement!$B$4,$J432&lt;&gt;"Payé",$J432&lt;&gt;"Annulé",$J432&lt;&gt;""),1,"")</f>
        <v/>
      </c>
    </row>
    <row r="433" spans="1:12" x14ac:dyDescent="0.35">
      <c r="A433" s="18"/>
      <c r="B433" s="27"/>
      <c r="C433" s="14"/>
      <c r="D433" s="14"/>
      <c r="E433" s="19"/>
      <c r="F433" s="19"/>
      <c r="G433" s="28" t="str">
        <f t="shared" si="12"/>
        <v/>
      </c>
      <c r="H433" s="14"/>
      <c r="I433" s="29" t="str">
        <f>IF(OR($C433="",$G433="",$H433&lt;&gt;"Fait"),"",MIN($G433,MAX(0,SUMIFS($G$5:$G433,$C$5:$C433,$C433,$H$5:$H433,"Fait")-SUMIFS(Paiements!$I$5:$I$2000,Paiements!$C$5:$C$2000,$C433,Paiements!$L$5:$L$2000,"Payé"))))</f>
        <v/>
      </c>
      <c r="J433" s="30" t="str">
        <f t="shared" si="13"/>
        <v/>
      </c>
      <c r="K433" s="14"/>
      <c r="L433" s="17" t="str">
        <f>IF(AND($C433&lt;&gt;"",$C433=Controle_Paiement!$B$4,$J433&lt;&gt;"Payé",$J433&lt;&gt;"Annulé",$J433&lt;&gt;""),1,"")</f>
        <v/>
      </c>
    </row>
    <row r="434" spans="1:12" x14ac:dyDescent="0.35">
      <c r="A434" s="18"/>
      <c r="B434" s="27"/>
      <c r="C434" s="14"/>
      <c r="D434" s="14"/>
      <c r="E434" s="19"/>
      <c r="F434" s="19"/>
      <c r="G434" s="28" t="str">
        <f t="shared" si="12"/>
        <v/>
      </c>
      <c r="H434" s="14"/>
      <c r="I434" s="29" t="str">
        <f>IF(OR($C434="",$G434="",$H434&lt;&gt;"Fait"),"",MIN($G434,MAX(0,SUMIFS($G$5:$G434,$C$5:$C434,$C434,$H$5:$H434,"Fait")-SUMIFS(Paiements!$I$5:$I$2000,Paiements!$C$5:$C$2000,$C434,Paiements!$L$5:$L$2000,"Payé"))))</f>
        <v/>
      </c>
      <c r="J434" s="30" t="str">
        <f t="shared" si="13"/>
        <v/>
      </c>
      <c r="K434" s="14"/>
      <c r="L434" s="17" t="str">
        <f>IF(AND($C434&lt;&gt;"",$C434=Controle_Paiement!$B$4,$J434&lt;&gt;"Payé",$J434&lt;&gt;"Annulé",$J434&lt;&gt;""),1,"")</f>
        <v/>
      </c>
    </row>
    <row r="435" spans="1:12" x14ac:dyDescent="0.35">
      <c r="A435" s="18"/>
      <c r="B435" s="27"/>
      <c r="C435" s="14"/>
      <c r="D435" s="14"/>
      <c r="E435" s="19"/>
      <c r="F435" s="19"/>
      <c r="G435" s="28" t="str">
        <f t="shared" si="12"/>
        <v/>
      </c>
      <c r="H435" s="14"/>
      <c r="I435" s="29" t="str">
        <f>IF(OR($C435="",$G435="",$H435&lt;&gt;"Fait"),"",MIN($G435,MAX(0,SUMIFS($G$5:$G435,$C$5:$C435,$C435,$H$5:$H435,"Fait")-SUMIFS(Paiements!$I$5:$I$2000,Paiements!$C$5:$C$2000,$C435,Paiements!$L$5:$L$2000,"Payé"))))</f>
        <v/>
      </c>
      <c r="J435" s="30" t="str">
        <f t="shared" si="13"/>
        <v/>
      </c>
      <c r="K435" s="14"/>
      <c r="L435" s="17" t="str">
        <f>IF(AND($C435&lt;&gt;"",$C435=Controle_Paiement!$B$4,$J435&lt;&gt;"Payé",$J435&lt;&gt;"Annulé",$J435&lt;&gt;""),1,"")</f>
        <v/>
      </c>
    </row>
    <row r="436" spans="1:12" x14ac:dyDescent="0.35">
      <c r="A436" s="18"/>
      <c r="B436" s="27"/>
      <c r="C436" s="14"/>
      <c r="D436" s="14"/>
      <c r="E436" s="19"/>
      <c r="F436" s="19"/>
      <c r="G436" s="28" t="str">
        <f t="shared" si="12"/>
        <v/>
      </c>
      <c r="H436" s="14"/>
      <c r="I436" s="29" t="str">
        <f>IF(OR($C436="",$G436="",$H436&lt;&gt;"Fait"),"",MIN($G436,MAX(0,SUMIFS($G$5:$G436,$C$5:$C436,$C436,$H$5:$H436,"Fait")-SUMIFS(Paiements!$I$5:$I$2000,Paiements!$C$5:$C$2000,$C436,Paiements!$L$5:$L$2000,"Payé"))))</f>
        <v/>
      </c>
      <c r="J436" s="30" t="str">
        <f t="shared" si="13"/>
        <v/>
      </c>
      <c r="K436" s="14"/>
      <c r="L436" s="17" t="str">
        <f>IF(AND($C436&lt;&gt;"",$C436=Controle_Paiement!$B$4,$J436&lt;&gt;"Payé",$J436&lt;&gt;"Annulé",$J436&lt;&gt;""),1,"")</f>
        <v/>
      </c>
    </row>
    <row r="437" spans="1:12" x14ac:dyDescent="0.35">
      <c r="A437" s="18"/>
      <c r="B437" s="27"/>
      <c r="C437" s="14"/>
      <c r="D437" s="14"/>
      <c r="E437" s="19"/>
      <c r="F437" s="19"/>
      <c r="G437" s="28" t="str">
        <f t="shared" si="12"/>
        <v/>
      </c>
      <c r="H437" s="14"/>
      <c r="I437" s="29" t="str">
        <f>IF(OR($C437="",$G437="",$H437&lt;&gt;"Fait"),"",MIN($G437,MAX(0,SUMIFS($G$5:$G437,$C$5:$C437,$C437,$H$5:$H437,"Fait")-SUMIFS(Paiements!$I$5:$I$2000,Paiements!$C$5:$C$2000,$C437,Paiements!$L$5:$L$2000,"Payé"))))</f>
        <v/>
      </c>
      <c r="J437" s="30" t="str">
        <f t="shared" si="13"/>
        <v/>
      </c>
      <c r="K437" s="14"/>
      <c r="L437" s="17" t="str">
        <f>IF(AND($C437&lt;&gt;"",$C437=Controle_Paiement!$B$4,$J437&lt;&gt;"Payé",$J437&lt;&gt;"Annulé",$J437&lt;&gt;""),1,"")</f>
        <v/>
      </c>
    </row>
    <row r="438" spans="1:12" x14ac:dyDescent="0.35">
      <c r="A438" s="18"/>
      <c r="B438" s="27"/>
      <c r="C438" s="14"/>
      <c r="D438" s="14"/>
      <c r="E438" s="19"/>
      <c r="F438" s="19"/>
      <c r="G438" s="28" t="str">
        <f t="shared" si="12"/>
        <v/>
      </c>
      <c r="H438" s="14"/>
      <c r="I438" s="29" t="str">
        <f>IF(OR($C438="",$G438="",$H438&lt;&gt;"Fait"),"",MIN($G438,MAX(0,SUMIFS($G$5:$G438,$C$5:$C438,$C438,$H$5:$H438,"Fait")-SUMIFS(Paiements!$I$5:$I$2000,Paiements!$C$5:$C$2000,$C438,Paiements!$L$5:$L$2000,"Payé"))))</f>
        <v/>
      </c>
      <c r="J438" s="30" t="str">
        <f t="shared" si="13"/>
        <v/>
      </c>
      <c r="K438" s="14"/>
      <c r="L438" s="17" t="str">
        <f>IF(AND($C438&lt;&gt;"",$C438=Controle_Paiement!$B$4,$J438&lt;&gt;"Payé",$J438&lt;&gt;"Annulé",$J438&lt;&gt;""),1,"")</f>
        <v/>
      </c>
    </row>
    <row r="439" spans="1:12" x14ac:dyDescent="0.35">
      <c r="A439" s="18"/>
      <c r="B439" s="27"/>
      <c r="C439" s="14"/>
      <c r="D439" s="14"/>
      <c r="E439" s="19"/>
      <c r="F439" s="19"/>
      <c r="G439" s="28" t="str">
        <f t="shared" si="12"/>
        <v/>
      </c>
      <c r="H439" s="14"/>
      <c r="I439" s="29" t="str">
        <f>IF(OR($C439="",$G439="",$H439&lt;&gt;"Fait"),"",MIN($G439,MAX(0,SUMIFS($G$5:$G439,$C$5:$C439,$C439,$H$5:$H439,"Fait")-SUMIFS(Paiements!$I$5:$I$2000,Paiements!$C$5:$C$2000,$C439,Paiements!$L$5:$L$2000,"Payé"))))</f>
        <v/>
      </c>
      <c r="J439" s="30" t="str">
        <f t="shared" si="13"/>
        <v/>
      </c>
      <c r="K439" s="14"/>
      <c r="L439" s="17" t="str">
        <f>IF(AND($C439&lt;&gt;"",$C439=Controle_Paiement!$B$4,$J439&lt;&gt;"Payé",$J439&lt;&gt;"Annulé",$J439&lt;&gt;""),1,"")</f>
        <v/>
      </c>
    </row>
    <row r="440" spans="1:12" x14ac:dyDescent="0.35">
      <c r="A440" s="18"/>
      <c r="B440" s="27"/>
      <c r="C440" s="14"/>
      <c r="D440" s="14"/>
      <c r="E440" s="19"/>
      <c r="F440" s="19"/>
      <c r="G440" s="28" t="str">
        <f t="shared" si="12"/>
        <v/>
      </c>
      <c r="H440" s="14"/>
      <c r="I440" s="29" t="str">
        <f>IF(OR($C440="",$G440="",$H440&lt;&gt;"Fait"),"",MIN($G440,MAX(0,SUMIFS($G$5:$G440,$C$5:$C440,$C440,$H$5:$H440,"Fait")-SUMIFS(Paiements!$I$5:$I$2000,Paiements!$C$5:$C$2000,$C440,Paiements!$L$5:$L$2000,"Payé"))))</f>
        <v/>
      </c>
      <c r="J440" s="30" t="str">
        <f t="shared" si="13"/>
        <v/>
      </c>
      <c r="K440" s="14"/>
      <c r="L440" s="17" t="str">
        <f>IF(AND($C440&lt;&gt;"",$C440=Controle_Paiement!$B$4,$J440&lt;&gt;"Payé",$J440&lt;&gt;"Annulé",$J440&lt;&gt;""),1,"")</f>
        <v/>
      </c>
    </row>
    <row r="441" spans="1:12" x14ac:dyDescent="0.35">
      <c r="A441" s="18"/>
      <c r="B441" s="27"/>
      <c r="C441" s="14"/>
      <c r="D441" s="14"/>
      <c r="E441" s="19"/>
      <c r="F441" s="19"/>
      <c r="G441" s="28" t="str">
        <f t="shared" si="12"/>
        <v/>
      </c>
      <c r="H441" s="14"/>
      <c r="I441" s="29" t="str">
        <f>IF(OR($C441="",$G441="",$H441&lt;&gt;"Fait"),"",MIN($G441,MAX(0,SUMIFS($G$5:$G441,$C$5:$C441,$C441,$H$5:$H441,"Fait")-SUMIFS(Paiements!$I$5:$I$2000,Paiements!$C$5:$C$2000,$C441,Paiements!$L$5:$L$2000,"Payé"))))</f>
        <v/>
      </c>
      <c r="J441" s="30" t="str">
        <f t="shared" si="13"/>
        <v/>
      </c>
      <c r="K441" s="14"/>
      <c r="L441" s="17" t="str">
        <f>IF(AND($C441&lt;&gt;"",$C441=Controle_Paiement!$B$4,$J441&lt;&gt;"Payé",$J441&lt;&gt;"Annulé",$J441&lt;&gt;""),1,"")</f>
        <v/>
      </c>
    </row>
    <row r="442" spans="1:12" x14ac:dyDescent="0.35">
      <c r="A442" s="18"/>
      <c r="B442" s="27"/>
      <c r="C442" s="14"/>
      <c r="D442" s="14"/>
      <c r="E442" s="19"/>
      <c r="F442" s="19"/>
      <c r="G442" s="28" t="str">
        <f t="shared" si="12"/>
        <v/>
      </c>
      <c r="H442" s="14"/>
      <c r="I442" s="29" t="str">
        <f>IF(OR($C442="",$G442="",$H442&lt;&gt;"Fait"),"",MIN($G442,MAX(0,SUMIFS($G$5:$G442,$C$5:$C442,$C442,$H$5:$H442,"Fait")-SUMIFS(Paiements!$I$5:$I$2000,Paiements!$C$5:$C$2000,$C442,Paiements!$L$5:$L$2000,"Payé"))))</f>
        <v/>
      </c>
      <c r="J442" s="30" t="str">
        <f t="shared" si="13"/>
        <v/>
      </c>
      <c r="K442" s="14"/>
      <c r="L442" s="17" t="str">
        <f>IF(AND($C442&lt;&gt;"",$C442=Controle_Paiement!$B$4,$J442&lt;&gt;"Payé",$J442&lt;&gt;"Annulé",$J442&lt;&gt;""),1,"")</f>
        <v/>
      </c>
    </row>
    <row r="443" spans="1:12" x14ac:dyDescent="0.35">
      <c r="A443" s="18"/>
      <c r="B443" s="27"/>
      <c r="C443" s="14"/>
      <c r="D443" s="14"/>
      <c r="E443" s="19"/>
      <c r="F443" s="19"/>
      <c r="G443" s="28" t="str">
        <f t="shared" si="12"/>
        <v/>
      </c>
      <c r="H443" s="14"/>
      <c r="I443" s="29" t="str">
        <f>IF(OR($C443="",$G443="",$H443&lt;&gt;"Fait"),"",MIN($G443,MAX(0,SUMIFS($G$5:$G443,$C$5:$C443,$C443,$H$5:$H443,"Fait")-SUMIFS(Paiements!$I$5:$I$2000,Paiements!$C$5:$C$2000,$C443,Paiements!$L$5:$L$2000,"Payé"))))</f>
        <v/>
      </c>
      <c r="J443" s="30" t="str">
        <f t="shared" si="13"/>
        <v/>
      </c>
      <c r="K443" s="14"/>
      <c r="L443" s="17" t="str">
        <f>IF(AND($C443&lt;&gt;"",$C443=Controle_Paiement!$B$4,$J443&lt;&gt;"Payé",$J443&lt;&gt;"Annulé",$J443&lt;&gt;""),1,"")</f>
        <v/>
      </c>
    </row>
    <row r="444" spans="1:12" x14ac:dyDescent="0.35">
      <c r="A444" s="18"/>
      <c r="B444" s="27"/>
      <c r="C444" s="14"/>
      <c r="D444" s="14"/>
      <c r="E444" s="19"/>
      <c r="F444" s="19"/>
      <c r="G444" s="28" t="str">
        <f t="shared" si="12"/>
        <v/>
      </c>
      <c r="H444" s="14"/>
      <c r="I444" s="29" t="str">
        <f>IF(OR($C444="",$G444="",$H444&lt;&gt;"Fait"),"",MIN($G444,MAX(0,SUMIFS($G$5:$G444,$C$5:$C444,$C444,$H$5:$H444,"Fait")-SUMIFS(Paiements!$I$5:$I$2000,Paiements!$C$5:$C$2000,$C444,Paiements!$L$5:$L$2000,"Payé"))))</f>
        <v/>
      </c>
      <c r="J444" s="30" t="str">
        <f t="shared" si="13"/>
        <v/>
      </c>
      <c r="K444" s="14"/>
      <c r="L444" s="17" t="str">
        <f>IF(AND($C444&lt;&gt;"",$C444=Controle_Paiement!$B$4,$J444&lt;&gt;"Payé",$J444&lt;&gt;"Annulé",$J444&lt;&gt;""),1,"")</f>
        <v/>
      </c>
    </row>
    <row r="445" spans="1:12" x14ac:dyDescent="0.35">
      <c r="A445" s="18"/>
      <c r="B445" s="27"/>
      <c r="C445" s="14"/>
      <c r="D445" s="14"/>
      <c r="E445" s="19"/>
      <c r="F445" s="19"/>
      <c r="G445" s="28" t="str">
        <f t="shared" si="12"/>
        <v/>
      </c>
      <c r="H445" s="14"/>
      <c r="I445" s="29" t="str">
        <f>IF(OR($C445="",$G445="",$H445&lt;&gt;"Fait"),"",MIN($G445,MAX(0,SUMIFS($G$5:$G445,$C$5:$C445,$C445,$H$5:$H445,"Fait")-SUMIFS(Paiements!$I$5:$I$2000,Paiements!$C$5:$C$2000,$C445,Paiements!$L$5:$L$2000,"Payé"))))</f>
        <v/>
      </c>
      <c r="J445" s="30" t="str">
        <f t="shared" si="13"/>
        <v/>
      </c>
      <c r="K445" s="14"/>
      <c r="L445" s="17" t="str">
        <f>IF(AND($C445&lt;&gt;"",$C445=Controle_Paiement!$B$4,$J445&lt;&gt;"Payé",$J445&lt;&gt;"Annulé",$J445&lt;&gt;""),1,"")</f>
        <v/>
      </c>
    </row>
    <row r="446" spans="1:12" x14ac:dyDescent="0.35">
      <c r="A446" s="18"/>
      <c r="B446" s="27"/>
      <c r="C446" s="14"/>
      <c r="D446" s="14"/>
      <c r="E446" s="19"/>
      <c r="F446" s="19"/>
      <c r="G446" s="28" t="str">
        <f t="shared" si="12"/>
        <v/>
      </c>
      <c r="H446" s="14"/>
      <c r="I446" s="29" t="str">
        <f>IF(OR($C446="",$G446="",$H446&lt;&gt;"Fait"),"",MIN($G446,MAX(0,SUMIFS($G$5:$G446,$C$5:$C446,$C446,$H$5:$H446,"Fait")-SUMIFS(Paiements!$I$5:$I$2000,Paiements!$C$5:$C$2000,$C446,Paiements!$L$5:$L$2000,"Payé"))))</f>
        <v/>
      </c>
      <c r="J446" s="30" t="str">
        <f t="shared" si="13"/>
        <v/>
      </c>
      <c r="K446" s="14"/>
      <c r="L446" s="17" t="str">
        <f>IF(AND($C446&lt;&gt;"",$C446=Controle_Paiement!$B$4,$J446&lt;&gt;"Payé",$J446&lt;&gt;"Annulé",$J446&lt;&gt;""),1,"")</f>
        <v/>
      </c>
    </row>
    <row r="447" spans="1:12" x14ac:dyDescent="0.35">
      <c r="A447" s="18"/>
      <c r="B447" s="27"/>
      <c r="C447" s="14"/>
      <c r="D447" s="14"/>
      <c r="E447" s="19"/>
      <c r="F447" s="19"/>
      <c r="G447" s="28" t="str">
        <f t="shared" si="12"/>
        <v/>
      </c>
      <c r="H447" s="14"/>
      <c r="I447" s="29" t="str">
        <f>IF(OR($C447="",$G447="",$H447&lt;&gt;"Fait"),"",MIN($G447,MAX(0,SUMIFS($G$5:$G447,$C$5:$C447,$C447,$H$5:$H447,"Fait")-SUMIFS(Paiements!$I$5:$I$2000,Paiements!$C$5:$C$2000,$C447,Paiements!$L$5:$L$2000,"Payé"))))</f>
        <v/>
      </c>
      <c r="J447" s="30" t="str">
        <f t="shared" si="13"/>
        <v/>
      </c>
      <c r="K447" s="14"/>
      <c r="L447" s="17" t="str">
        <f>IF(AND($C447&lt;&gt;"",$C447=Controle_Paiement!$B$4,$J447&lt;&gt;"Payé",$J447&lt;&gt;"Annulé",$J447&lt;&gt;""),1,"")</f>
        <v/>
      </c>
    </row>
    <row r="448" spans="1:12" x14ac:dyDescent="0.35">
      <c r="A448" s="18"/>
      <c r="B448" s="27"/>
      <c r="C448" s="14"/>
      <c r="D448" s="14"/>
      <c r="E448" s="19"/>
      <c r="F448" s="19"/>
      <c r="G448" s="28" t="str">
        <f t="shared" si="12"/>
        <v/>
      </c>
      <c r="H448" s="14"/>
      <c r="I448" s="29" t="str">
        <f>IF(OR($C448="",$G448="",$H448&lt;&gt;"Fait"),"",MIN($G448,MAX(0,SUMIFS($G$5:$G448,$C$5:$C448,$C448,$H$5:$H448,"Fait")-SUMIFS(Paiements!$I$5:$I$2000,Paiements!$C$5:$C$2000,$C448,Paiements!$L$5:$L$2000,"Payé"))))</f>
        <v/>
      </c>
      <c r="J448" s="30" t="str">
        <f t="shared" si="13"/>
        <v/>
      </c>
      <c r="K448" s="14"/>
      <c r="L448" s="17" t="str">
        <f>IF(AND($C448&lt;&gt;"",$C448=Controle_Paiement!$B$4,$J448&lt;&gt;"Payé",$J448&lt;&gt;"Annulé",$J448&lt;&gt;""),1,"")</f>
        <v/>
      </c>
    </row>
    <row r="449" spans="1:12" x14ac:dyDescent="0.35">
      <c r="A449" s="18"/>
      <c r="B449" s="27"/>
      <c r="C449" s="14"/>
      <c r="D449" s="14"/>
      <c r="E449" s="19"/>
      <c r="F449" s="19"/>
      <c r="G449" s="28" t="str">
        <f t="shared" si="12"/>
        <v/>
      </c>
      <c r="H449" s="14"/>
      <c r="I449" s="29" t="str">
        <f>IF(OR($C449="",$G449="",$H449&lt;&gt;"Fait"),"",MIN($G449,MAX(0,SUMIFS($G$5:$G449,$C$5:$C449,$C449,$H$5:$H449,"Fait")-SUMIFS(Paiements!$I$5:$I$2000,Paiements!$C$5:$C$2000,$C449,Paiements!$L$5:$L$2000,"Payé"))))</f>
        <v/>
      </c>
      <c r="J449" s="30" t="str">
        <f t="shared" si="13"/>
        <v/>
      </c>
      <c r="K449" s="14"/>
      <c r="L449" s="17" t="str">
        <f>IF(AND($C449&lt;&gt;"",$C449=Controle_Paiement!$B$4,$J449&lt;&gt;"Payé",$J449&lt;&gt;"Annulé",$J449&lt;&gt;""),1,"")</f>
        <v/>
      </c>
    </row>
    <row r="450" spans="1:12" x14ac:dyDescent="0.35">
      <c r="A450" s="18"/>
      <c r="B450" s="27"/>
      <c r="C450" s="14"/>
      <c r="D450" s="14"/>
      <c r="E450" s="19"/>
      <c r="F450" s="19"/>
      <c r="G450" s="28" t="str">
        <f t="shared" si="12"/>
        <v/>
      </c>
      <c r="H450" s="14"/>
      <c r="I450" s="29" t="str">
        <f>IF(OR($C450="",$G450="",$H450&lt;&gt;"Fait"),"",MIN($G450,MAX(0,SUMIFS($G$5:$G450,$C$5:$C450,$C450,$H$5:$H450,"Fait")-SUMIFS(Paiements!$I$5:$I$2000,Paiements!$C$5:$C$2000,$C450,Paiements!$L$5:$L$2000,"Payé"))))</f>
        <v/>
      </c>
      <c r="J450" s="30" t="str">
        <f t="shared" si="13"/>
        <v/>
      </c>
      <c r="K450" s="14"/>
      <c r="L450" s="17" t="str">
        <f>IF(AND($C450&lt;&gt;"",$C450=Controle_Paiement!$B$4,$J450&lt;&gt;"Payé",$J450&lt;&gt;"Annulé",$J450&lt;&gt;""),1,"")</f>
        <v/>
      </c>
    </row>
    <row r="451" spans="1:12" x14ac:dyDescent="0.35">
      <c r="A451" s="18"/>
      <c r="B451" s="27"/>
      <c r="C451" s="14"/>
      <c r="D451" s="14"/>
      <c r="E451" s="19"/>
      <c r="F451" s="19"/>
      <c r="G451" s="28" t="str">
        <f t="shared" ref="G451:G514" si="14">IF(OR($E451="",$F451=""),"",ROUND($E451*$F451,0))</f>
        <v/>
      </c>
      <c r="H451" s="14"/>
      <c r="I451" s="29" t="str">
        <f>IF(OR($C451="",$G451="",$H451&lt;&gt;"Fait"),"",MIN($G451,MAX(0,SUMIFS($G$5:$G451,$C$5:$C451,$C451,$H$5:$H451,"Fait")-SUMIFS(Paiements!$I$5:$I$2000,Paiements!$C$5:$C$2000,$C451,Paiements!$L$5:$L$2000,"Payé"))))</f>
        <v/>
      </c>
      <c r="J451" s="30" t="str">
        <f t="shared" ref="J451:J514" si="15">IF(OR($C451="",$G451=""),"",IF($H451="Annulé","Annulé",IF($H451&lt;&gt;"Fait","Non payable (déchargement non fait)",IF($I451=0,"Payé",IF($I451&lt;$G451,"Partiellement payé","À payer")))))</f>
        <v/>
      </c>
      <c r="K451" s="14"/>
      <c r="L451" s="17" t="str">
        <f>IF(AND($C451&lt;&gt;"",$C451=Controle_Paiement!$B$4,$J451&lt;&gt;"Payé",$J451&lt;&gt;"Annulé",$J451&lt;&gt;""),1,"")</f>
        <v/>
      </c>
    </row>
    <row r="452" spans="1:12" x14ac:dyDescent="0.35">
      <c r="A452" s="18"/>
      <c r="B452" s="27"/>
      <c r="C452" s="14"/>
      <c r="D452" s="14"/>
      <c r="E452" s="19"/>
      <c r="F452" s="19"/>
      <c r="G452" s="28" t="str">
        <f t="shared" si="14"/>
        <v/>
      </c>
      <c r="H452" s="14"/>
      <c r="I452" s="29" t="str">
        <f>IF(OR($C452="",$G452="",$H452&lt;&gt;"Fait"),"",MIN($G452,MAX(0,SUMIFS($G$5:$G452,$C$5:$C452,$C452,$H$5:$H452,"Fait")-SUMIFS(Paiements!$I$5:$I$2000,Paiements!$C$5:$C$2000,$C452,Paiements!$L$5:$L$2000,"Payé"))))</f>
        <v/>
      </c>
      <c r="J452" s="30" t="str">
        <f t="shared" si="15"/>
        <v/>
      </c>
      <c r="K452" s="14"/>
      <c r="L452" s="17" t="str">
        <f>IF(AND($C452&lt;&gt;"",$C452=Controle_Paiement!$B$4,$J452&lt;&gt;"Payé",$J452&lt;&gt;"Annulé",$J452&lt;&gt;""),1,"")</f>
        <v/>
      </c>
    </row>
    <row r="453" spans="1:12" x14ac:dyDescent="0.35">
      <c r="A453" s="18"/>
      <c r="B453" s="27"/>
      <c r="C453" s="14"/>
      <c r="D453" s="14"/>
      <c r="E453" s="19"/>
      <c r="F453" s="19"/>
      <c r="G453" s="28" t="str">
        <f t="shared" si="14"/>
        <v/>
      </c>
      <c r="H453" s="14"/>
      <c r="I453" s="29" t="str">
        <f>IF(OR($C453="",$G453="",$H453&lt;&gt;"Fait"),"",MIN($G453,MAX(0,SUMIFS($G$5:$G453,$C$5:$C453,$C453,$H$5:$H453,"Fait")-SUMIFS(Paiements!$I$5:$I$2000,Paiements!$C$5:$C$2000,$C453,Paiements!$L$5:$L$2000,"Payé"))))</f>
        <v/>
      </c>
      <c r="J453" s="30" t="str">
        <f t="shared" si="15"/>
        <v/>
      </c>
      <c r="K453" s="14"/>
      <c r="L453" s="17" t="str">
        <f>IF(AND($C453&lt;&gt;"",$C453=Controle_Paiement!$B$4,$J453&lt;&gt;"Payé",$J453&lt;&gt;"Annulé",$J453&lt;&gt;""),1,"")</f>
        <v/>
      </c>
    </row>
    <row r="454" spans="1:12" x14ac:dyDescent="0.35">
      <c r="A454" s="18"/>
      <c r="B454" s="27"/>
      <c r="C454" s="14"/>
      <c r="D454" s="14"/>
      <c r="E454" s="19"/>
      <c r="F454" s="19"/>
      <c r="G454" s="28" t="str">
        <f t="shared" si="14"/>
        <v/>
      </c>
      <c r="H454" s="14"/>
      <c r="I454" s="29" t="str">
        <f>IF(OR($C454="",$G454="",$H454&lt;&gt;"Fait"),"",MIN($G454,MAX(0,SUMIFS($G$5:$G454,$C$5:$C454,$C454,$H$5:$H454,"Fait")-SUMIFS(Paiements!$I$5:$I$2000,Paiements!$C$5:$C$2000,$C454,Paiements!$L$5:$L$2000,"Payé"))))</f>
        <v/>
      </c>
      <c r="J454" s="30" t="str">
        <f t="shared" si="15"/>
        <v/>
      </c>
      <c r="K454" s="14"/>
      <c r="L454" s="17" t="str">
        <f>IF(AND($C454&lt;&gt;"",$C454=Controle_Paiement!$B$4,$J454&lt;&gt;"Payé",$J454&lt;&gt;"Annulé",$J454&lt;&gt;""),1,"")</f>
        <v/>
      </c>
    </row>
    <row r="455" spans="1:12" x14ac:dyDescent="0.35">
      <c r="A455" s="18"/>
      <c r="B455" s="27"/>
      <c r="C455" s="14"/>
      <c r="D455" s="14"/>
      <c r="E455" s="19"/>
      <c r="F455" s="19"/>
      <c r="G455" s="28" t="str">
        <f t="shared" si="14"/>
        <v/>
      </c>
      <c r="H455" s="14"/>
      <c r="I455" s="29" t="str">
        <f>IF(OR($C455="",$G455="",$H455&lt;&gt;"Fait"),"",MIN($G455,MAX(0,SUMIFS($G$5:$G455,$C$5:$C455,$C455,$H$5:$H455,"Fait")-SUMIFS(Paiements!$I$5:$I$2000,Paiements!$C$5:$C$2000,$C455,Paiements!$L$5:$L$2000,"Payé"))))</f>
        <v/>
      </c>
      <c r="J455" s="30" t="str">
        <f t="shared" si="15"/>
        <v/>
      </c>
      <c r="K455" s="14"/>
      <c r="L455" s="17" t="str">
        <f>IF(AND($C455&lt;&gt;"",$C455=Controle_Paiement!$B$4,$J455&lt;&gt;"Payé",$J455&lt;&gt;"Annulé",$J455&lt;&gt;""),1,"")</f>
        <v/>
      </c>
    </row>
    <row r="456" spans="1:12" x14ac:dyDescent="0.35">
      <c r="A456" s="18"/>
      <c r="B456" s="27"/>
      <c r="C456" s="14"/>
      <c r="D456" s="14"/>
      <c r="E456" s="19"/>
      <c r="F456" s="19"/>
      <c r="G456" s="28" t="str">
        <f t="shared" si="14"/>
        <v/>
      </c>
      <c r="H456" s="14"/>
      <c r="I456" s="29" t="str">
        <f>IF(OR($C456="",$G456="",$H456&lt;&gt;"Fait"),"",MIN($G456,MAX(0,SUMIFS($G$5:$G456,$C$5:$C456,$C456,$H$5:$H456,"Fait")-SUMIFS(Paiements!$I$5:$I$2000,Paiements!$C$5:$C$2000,$C456,Paiements!$L$5:$L$2000,"Payé"))))</f>
        <v/>
      </c>
      <c r="J456" s="30" t="str">
        <f t="shared" si="15"/>
        <v/>
      </c>
      <c r="K456" s="14"/>
      <c r="L456" s="17" t="str">
        <f>IF(AND($C456&lt;&gt;"",$C456=Controle_Paiement!$B$4,$J456&lt;&gt;"Payé",$J456&lt;&gt;"Annulé",$J456&lt;&gt;""),1,"")</f>
        <v/>
      </c>
    </row>
    <row r="457" spans="1:12" x14ac:dyDescent="0.35">
      <c r="A457" s="18"/>
      <c r="B457" s="27"/>
      <c r="C457" s="14"/>
      <c r="D457" s="14"/>
      <c r="E457" s="19"/>
      <c r="F457" s="19"/>
      <c r="G457" s="28" t="str">
        <f t="shared" si="14"/>
        <v/>
      </c>
      <c r="H457" s="14"/>
      <c r="I457" s="29" t="str">
        <f>IF(OR($C457="",$G457="",$H457&lt;&gt;"Fait"),"",MIN($G457,MAX(0,SUMIFS($G$5:$G457,$C$5:$C457,$C457,$H$5:$H457,"Fait")-SUMIFS(Paiements!$I$5:$I$2000,Paiements!$C$5:$C$2000,$C457,Paiements!$L$5:$L$2000,"Payé"))))</f>
        <v/>
      </c>
      <c r="J457" s="30" t="str">
        <f t="shared" si="15"/>
        <v/>
      </c>
      <c r="K457" s="14"/>
      <c r="L457" s="17" t="str">
        <f>IF(AND($C457&lt;&gt;"",$C457=Controle_Paiement!$B$4,$J457&lt;&gt;"Payé",$J457&lt;&gt;"Annulé",$J457&lt;&gt;""),1,"")</f>
        <v/>
      </c>
    </row>
    <row r="458" spans="1:12" x14ac:dyDescent="0.35">
      <c r="A458" s="18"/>
      <c r="B458" s="27"/>
      <c r="C458" s="14"/>
      <c r="D458" s="14"/>
      <c r="E458" s="19"/>
      <c r="F458" s="19"/>
      <c r="G458" s="28" t="str">
        <f t="shared" si="14"/>
        <v/>
      </c>
      <c r="H458" s="14"/>
      <c r="I458" s="29" t="str">
        <f>IF(OR($C458="",$G458="",$H458&lt;&gt;"Fait"),"",MIN($G458,MAX(0,SUMIFS($G$5:$G458,$C$5:$C458,$C458,$H$5:$H458,"Fait")-SUMIFS(Paiements!$I$5:$I$2000,Paiements!$C$5:$C$2000,$C458,Paiements!$L$5:$L$2000,"Payé"))))</f>
        <v/>
      </c>
      <c r="J458" s="30" t="str">
        <f t="shared" si="15"/>
        <v/>
      </c>
      <c r="K458" s="14"/>
      <c r="L458" s="17" t="str">
        <f>IF(AND($C458&lt;&gt;"",$C458=Controle_Paiement!$B$4,$J458&lt;&gt;"Payé",$J458&lt;&gt;"Annulé",$J458&lt;&gt;""),1,"")</f>
        <v/>
      </c>
    </row>
    <row r="459" spans="1:12" x14ac:dyDescent="0.35">
      <c r="A459" s="18"/>
      <c r="B459" s="27"/>
      <c r="C459" s="14"/>
      <c r="D459" s="14"/>
      <c r="E459" s="19"/>
      <c r="F459" s="19"/>
      <c r="G459" s="28" t="str">
        <f t="shared" si="14"/>
        <v/>
      </c>
      <c r="H459" s="14"/>
      <c r="I459" s="29" t="str">
        <f>IF(OR($C459="",$G459="",$H459&lt;&gt;"Fait"),"",MIN($G459,MAX(0,SUMIFS($G$5:$G459,$C$5:$C459,$C459,$H$5:$H459,"Fait")-SUMIFS(Paiements!$I$5:$I$2000,Paiements!$C$5:$C$2000,$C459,Paiements!$L$5:$L$2000,"Payé"))))</f>
        <v/>
      </c>
      <c r="J459" s="30" t="str">
        <f t="shared" si="15"/>
        <v/>
      </c>
      <c r="K459" s="14"/>
      <c r="L459" s="17" t="str">
        <f>IF(AND($C459&lt;&gt;"",$C459=Controle_Paiement!$B$4,$J459&lt;&gt;"Payé",$J459&lt;&gt;"Annulé",$J459&lt;&gt;""),1,"")</f>
        <v/>
      </c>
    </row>
    <row r="460" spans="1:12" x14ac:dyDescent="0.35">
      <c r="A460" s="18"/>
      <c r="B460" s="27"/>
      <c r="C460" s="14"/>
      <c r="D460" s="14"/>
      <c r="E460" s="19"/>
      <c r="F460" s="19"/>
      <c r="G460" s="28" t="str">
        <f t="shared" si="14"/>
        <v/>
      </c>
      <c r="H460" s="14"/>
      <c r="I460" s="29" t="str">
        <f>IF(OR($C460="",$G460="",$H460&lt;&gt;"Fait"),"",MIN($G460,MAX(0,SUMIFS($G$5:$G460,$C$5:$C460,$C460,$H$5:$H460,"Fait")-SUMIFS(Paiements!$I$5:$I$2000,Paiements!$C$5:$C$2000,$C460,Paiements!$L$5:$L$2000,"Payé"))))</f>
        <v/>
      </c>
      <c r="J460" s="30" t="str">
        <f t="shared" si="15"/>
        <v/>
      </c>
      <c r="K460" s="14"/>
      <c r="L460" s="17" t="str">
        <f>IF(AND($C460&lt;&gt;"",$C460=Controle_Paiement!$B$4,$J460&lt;&gt;"Payé",$J460&lt;&gt;"Annulé",$J460&lt;&gt;""),1,"")</f>
        <v/>
      </c>
    </row>
    <row r="461" spans="1:12" x14ac:dyDescent="0.35">
      <c r="A461" s="18"/>
      <c r="B461" s="27"/>
      <c r="C461" s="14"/>
      <c r="D461" s="14"/>
      <c r="E461" s="19"/>
      <c r="F461" s="19"/>
      <c r="G461" s="28" t="str">
        <f t="shared" si="14"/>
        <v/>
      </c>
      <c r="H461" s="14"/>
      <c r="I461" s="29" t="str">
        <f>IF(OR($C461="",$G461="",$H461&lt;&gt;"Fait"),"",MIN($G461,MAX(0,SUMIFS($G$5:$G461,$C$5:$C461,$C461,$H$5:$H461,"Fait")-SUMIFS(Paiements!$I$5:$I$2000,Paiements!$C$5:$C$2000,$C461,Paiements!$L$5:$L$2000,"Payé"))))</f>
        <v/>
      </c>
      <c r="J461" s="30" t="str">
        <f t="shared" si="15"/>
        <v/>
      </c>
      <c r="K461" s="14"/>
      <c r="L461" s="17" t="str">
        <f>IF(AND($C461&lt;&gt;"",$C461=Controle_Paiement!$B$4,$J461&lt;&gt;"Payé",$J461&lt;&gt;"Annulé",$J461&lt;&gt;""),1,"")</f>
        <v/>
      </c>
    </row>
    <row r="462" spans="1:12" x14ac:dyDescent="0.35">
      <c r="A462" s="18"/>
      <c r="B462" s="27"/>
      <c r="C462" s="14"/>
      <c r="D462" s="14"/>
      <c r="E462" s="19"/>
      <c r="F462" s="19"/>
      <c r="G462" s="28" t="str">
        <f t="shared" si="14"/>
        <v/>
      </c>
      <c r="H462" s="14"/>
      <c r="I462" s="29" t="str">
        <f>IF(OR($C462="",$G462="",$H462&lt;&gt;"Fait"),"",MIN($G462,MAX(0,SUMIFS($G$5:$G462,$C$5:$C462,$C462,$H$5:$H462,"Fait")-SUMIFS(Paiements!$I$5:$I$2000,Paiements!$C$5:$C$2000,$C462,Paiements!$L$5:$L$2000,"Payé"))))</f>
        <v/>
      </c>
      <c r="J462" s="30" t="str">
        <f t="shared" si="15"/>
        <v/>
      </c>
      <c r="K462" s="14"/>
      <c r="L462" s="17" t="str">
        <f>IF(AND($C462&lt;&gt;"",$C462=Controle_Paiement!$B$4,$J462&lt;&gt;"Payé",$J462&lt;&gt;"Annulé",$J462&lt;&gt;""),1,"")</f>
        <v/>
      </c>
    </row>
    <row r="463" spans="1:12" x14ac:dyDescent="0.35">
      <c r="A463" s="18"/>
      <c r="B463" s="27"/>
      <c r="C463" s="14"/>
      <c r="D463" s="14"/>
      <c r="E463" s="19"/>
      <c r="F463" s="19"/>
      <c r="G463" s="28" t="str">
        <f t="shared" si="14"/>
        <v/>
      </c>
      <c r="H463" s="14"/>
      <c r="I463" s="29" t="str">
        <f>IF(OR($C463="",$G463="",$H463&lt;&gt;"Fait"),"",MIN($G463,MAX(0,SUMIFS($G$5:$G463,$C$5:$C463,$C463,$H$5:$H463,"Fait")-SUMIFS(Paiements!$I$5:$I$2000,Paiements!$C$5:$C$2000,$C463,Paiements!$L$5:$L$2000,"Payé"))))</f>
        <v/>
      </c>
      <c r="J463" s="30" t="str">
        <f t="shared" si="15"/>
        <v/>
      </c>
      <c r="K463" s="14"/>
      <c r="L463" s="17" t="str">
        <f>IF(AND($C463&lt;&gt;"",$C463=Controle_Paiement!$B$4,$J463&lt;&gt;"Payé",$J463&lt;&gt;"Annulé",$J463&lt;&gt;""),1,"")</f>
        <v/>
      </c>
    </row>
    <row r="464" spans="1:12" x14ac:dyDescent="0.35">
      <c r="A464" s="18"/>
      <c r="B464" s="27"/>
      <c r="C464" s="14"/>
      <c r="D464" s="14"/>
      <c r="E464" s="19"/>
      <c r="F464" s="19"/>
      <c r="G464" s="28" t="str">
        <f t="shared" si="14"/>
        <v/>
      </c>
      <c r="H464" s="14"/>
      <c r="I464" s="29" t="str">
        <f>IF(OR($C464="",$G464="",$H464&lt;&gt;"Fait"),"",MIN($G464,MAX(0,SUMIFS($G$5:$G464,$C$5:$C464,$C464,$H$5:$H464,"Fait")-SUMIFS(Paiements!$I$5:$I$2000,Paiements!$C$5:$C$2000,$C464,Paiements!$L$5:$L$2000,"Payé"))))</f>
        <v/>
      </c>
      <c r="J464" s="30" t="str">
        <f t="shared" si="15"/>
        <v/>
      </c>
      <c r="K464" s="14"/>
      <c r="L464" s="17" t="str">
        <f>IF(AND($C464&lt;&gt;"",$C464=Controle_Paiement!$B$4,$J464&lt;&gt;"Payé",$J464&lt;&gt;"Annulé",$J464&lt;&gt;""),1,"")</f>
        <v/>
      </c>
    </row>
    <row r="465" spans="1:12" x14ac:dyDescent="0.35">
      <c r="A465" s="18"/>
      <c r="B465" s="27"/>
      <c r="C465" s="14"/>
      <c r="D465" s="14"/>
      <c r="E465" s="19"/>
      <c r="F465" s="19"/>
      <c r="G465" s="28" t="str">
        <f t="shared" si="14"/>
        <v/>
      </c>
      <c r="H465" s="14"/>
      <c r="I465" s="29" t="str">
        <f>IF(OR($C465="",$G465="",$H465&lt;&gt;"Fait"),"",MIN($G465,MAX(0,SUMIFS($G$5:$G465,$C$5:$C465,$C465,$H$5:$H465,"Fait")-SUMIFS(Paiements!$I$5:$I$2000,Paiements!$C$5:$C$2000,$C465,Paiements!$L$5:$L$2000,"Payé"))))</f>
        <v/>
      </c>
      <c r="J465" s="30" t="str">
        <f t="shared" si="15"/>
        <v/>
      </c>
      <c r="K465" s="14"/>
      <c r="L465" s="17" t="str">
        <f>IF(AND($C465&lt;&gt;"",$C465=Controle_Paiement!$B$4,$J465&lt;&gt;"Payé",$J465&lt;&gt;"Annulé",$J465&lt;&gt;""),1,"")</f>
        <v/>
      </c>
    </row>
    <row r="466" spans="1:12" x14ac:dyDescent="0.35">
      <c r="A466" s="18"/>
      <c r="B466" s="27"/>
      <c r="C466" s="14"/>
      <c r="D466" s="14"/>
      <c r="E466" s="19"/>
      <c r="F466" s="19"/>
      <c r="G466" s="28" t="str">
        <f t="shared" si="14"/>
        <v/>
      </c>
      <c r="H466" s="14"/>
      <c r="I466" s="29" t="str">
        <f>IF(OR($C466="",$G466="",$H466&lt;&gt;"Fait"),"",MIN($G466,MAX(0,SUMIFS($G$5:$G466,$C$5:$C466,$C466,$H$5:$H466,"Fait")-SUMIFS(Paiements!$I$5:$I$2000,Paiements!$C$5:$C$2000,$C466,Paiements!$L$5:$L$2000,"Payé"))))</f>
        <v/>
      </c>
      <c r="J466" s="30" t="str">
        <f t="shared" si="15"/>
        <v/>
      </c>
      <c r="K466" s="14"/>
      <c r="L466" s="17" t="str">
        <f>IF(AND($C466&lt;&gt;"",$C466=Controle_Paiement!$B$4,$J466&lt;&gt;"Payé",$J466&lt;&gt;"Annulé",$J466&lt;&gt;""),1,"")</f>
        <v/>
      </c>
    </row>
    <row r="467" spans="1:12" x14ac:dyDescent="0.35">
      <c r="A467" s="18"/>
      <c r="B467" s="27"/>
      <c r="C467" s="14"/>
      <c r="D467" s="14"/>
      <c r="E467" s="19"/>
      <c r="F467" s="19"/>
      <c r="G467" s="28" t="str">
        <f t="shared" si="14"/>
        <v/>
      </c>
      <c r="H467" s="14"/>
      <c r="I467" s="29" t="str">
        <f>IF(OR($C467="",$G467="",$H467&lt;&gt;"Fait"),"",MIN($G467,MAX(0,SUMIFS($G$5:$G467,$C$5:$C467,$C467,$H$5:$H467,"Fait")-SUMIFS(Paiements!$I$5:$I$2000,Paiements!$C$5:$C$2000,$C467,Paiements!$L$5:$L$2000,"Payé"))))</f>
        <v/>
      </c>
      <c r="J467" s="30" t="str">
        <f t="shared" si="15"/>
        <v/>
      </c>
      <c r="K467" s="14"/>
      <c r="L467" s="17" t="str">
        <f>IF(AND($C467&lt;&gt;"",$C467=Controle_Paiement!$B$4,$J467&lt;&gt;"Payé",$J467&lt;&gt;"Annulé",$J467&lt;&gt;""),1,"")</f>
        <v/>
      </c>
    </row>
    <row r="468" spans="1:12" x14ac:dyDescent="0.35">
      <c r="A468" s="18"/>
      <c r="B468" s="27"/>
      <c r="C468" s="14"/>
      <c r="D468" s="14"/>
      <c r="E468" s="19"/>
      <c r="F468" s="19"/>
      <c r="G468" s="28" t="str">
        <f t="shared" si="14"/>
        <v/>
      </c>
      <c r="H468" s="14"/>
      <c r="I468" s="29" t="str">
        <f>IF(OR($C468="",$G468="",$H468&lt;&gt;"Fait"),"",MIN($G468,MAX(0,SUMIFS($G$5:$G468,$C$5:$C468,$C468,$H$5:$H468,"Fait")-SUMIFS(Paiements!$I$5:$I$2000,Paiements!$C$5:$C$2000,$C468,Paiements!$L$5:$L$2000,"Payé"))))</f>
        <v/>
      </c>
      <c r="J468" s="30" t="str">
        <f t="shared" si="15"/>
        <v/>
      </c>
      <c r="K468" s="14"/>
      <c r="L468" s="17" t="str">
        <f>IF(AND($C468&lt;&gt;"",$C468=Controle_Paiement!$B$4,$J468&lt;&gt;"Payé",$J468&lt;&gt;"Annulé",$J468&lt;&gt;""),1,"")</f>
        <v/>
      </c>
    </row>
    <row r="469" spans="1:12" x14ac:dyDescent="0.35">
      <c r="A469" s="18"/>
      <c r="B469" s="27"/>
      <c r="C469" s="14"/>
      <c r="D469" s="14"/>
      <c r="E469" s="19"/>
      <c r="F469" s="19"/>
      <c r="G469" s="28" t="str">
        <f t="shared" si="14"/>
        <v/>
      </c>
      <c r="H469" s="14"/>
      <c r="I469" s="29" t="str">
        <f>IF(OR($C469="",$G469="",$H469&lt;&gt;"Fait"),"",MIN($G469,MAX(0,SUMIFS($G$5:$G469,$C$5:$C469,$C469,$H$5:$H469,"Fait")-SUMIFS(Paiements!$I$5:$I$2000,Paiements!$C$5:$C$2000,$C469,Paiements!$L$5:$L$2000,"Payé"))))</f>
        <v/>
      </c>
      <c r="J469" s="30" t="str">
        <f t="shared" si="15"/>
        <v/>
      </c>
      <c r="K469" s="14"/>
      <c r="L469" s="17" t="str">
        <f>IF(AND($C469&lt;&gt;"",$C469=Controle_Paiement!$B$4,$J469&lt;&gt;"Payé",$J469&lt;&gt;"Annulé",$J469&lt;&gt;""),1,"")</f>
        <v/>
      </c>
    </row>
    <row r="470" spans="1:12" x14ac:dyDescent="0.35">
      <c r="A470" s="18"/>
      <c r="B470" s="27"/>
      <c r="C470" s="14"/>
      <c r="D470" s="14"/>
      <c r="E470" s="19"/>
      <c r="F470" s="19"/>
      <c r="G470" s="28" t="str">
        <f t="shared" si="14"/>
        <v/>
      </c>
      <c r="H470" s="14"/>
      <c r="I470" s="29" t="str">
        <f>IF(OR($C470="",$G470="",$H470&lt;&gt;"Fait"),"",MIN($G470,MAX(0,SUMIFS($G$5:$G470,$C$5:$C470,$C470,$H$5:$H470,"Fait")-SUMIFS(Paiements!$I$5:$I$2000,Paiements!$C$5:$C$2000,$C470,Paiements!$L$5:$L$2000,"Payé"))))</f>
        <v/>
      </c>
      <c r="J470" s="30" t="str">
        <f t="shared" si="15"/>
        <v/>
      </c>
      <c r="K470" s="14"/>
      <c r="L470" s="17" t="str">
        <f>IF(AND($C470&lt;&gt;"",$C470=Controle_Paiement!$B$4,$J470&lt;&gt;"Payé",$J470&lt;&gt;"Annulé",$J470&lt;&gt;""),1,"")</f>
        <v/>
      </c>
    </row>
    <row r="471" spans="1:12" x14ac:dyDescent="0.35">
      <c r="A471" s="18"/>
      <c r="B471" s="27"/>
      <c r="C471" s="14"/>
      <c r="D471" s="14"/>
      <c r="E471" s="19"/>
      <c r="F471" s="19"/>
      <c r="G471" s="28" t="str">
        <f t="shared" si="14"/>
        <v/>
      </c>
      <c r="H471" s="14"/>
      <c r="I471" s="29" t="str">
        <f>IF(OR($C471="",$G471="",$H471&lt;&gt;"Fait"),"",MIN($G471,MAX(0,SUMIFS($G$5:$G471,$C$5:$C471,$C471,$H$5:$H471,"Fait")-SUMIFS(Paiements!$I$5:$I$2000,Paiements!$C$5:$C$2000,$C471,Paiements!$L$5:$L$2000,"Payé"))))</f>
        <v/>
      </c>
      <c r="J471" s="30" t="str">
        <f t="shared" si="15"/>
        <v/>
      </c>
      <c r="K471" s="14"/>
      <c r="L471" s="17" t="str">
        <f>IF(AND($C471&lt;&gt;"",$C471=Controle_Paiement!$B$4,$J471&lt;&gt;"Payé",$J471&lt;&gt;"Annulé",$J471&lt;&gt;""),1,"")</f>
        <v/>
      </c>
    </row>
    <row r="472" spans="1:12" x14ac:dyDescent="0.35">
      <c r="A472" s="18"/>
      <c r="B472" s="27"/>
      <c r="C472" s="14"/>
      <c r="D472" s="14"/>
      <c r="E472" s="19"/>
      <c r="F472" s="19"/>
      <c r="G472" s="28" t="str">
        <f t="shared" si="14"/>
        <v/>
      </c>
      <c r="H472" s="14"/>
      <c r="I472" s="29" t="str">
        <f>IF(OR($C472="",$G472="",$H472&lt;&gt;"Fait"),"",MIN($G472,MAX(0,SUMIFS($G$5:$G472,$C$5:$C472,$C472,$H$5:$H472,"Fait")-SUMIFS(Paiements!$I$5:$I$2000,Paiements!$C$5:$C$2000,$C472,Paiements!$L$5:$L$2000,"Payé"))))</f>
        <v/>
      </c>
      <c r="J472" s="30" t="str">
        <f t="shared" si="15"/>
        <v/>
      </c>
      <c r="K472" s="14"/>
      <c r="L472" s="17" t="str">
        <f>IF(AND($C472&lt;&gt;"",$C472=Controle_Paiement!$B$4,$J472&lt;&gt;"Payé",$J472&lt;&gt;"Annulé",$J472&lt;&gt;""),1,"")</f>
        <v/>
      </c>
    </row>
    <row r="473" spans="1:12" x14ac:dyDescent="0.35">
      <c r="A473" s="18"/>
      <c r="B473" s="27"/>
      <c r="C473" s="14"/>
      <c r="D473" s="14"/>
      <c r="E473" s="19"/>
      <c r="F473" s="19"/>
      <c r="G473" s="28" t="str">
        <f t="shared" si="14"/>
        <v/>
      </c>
      <c r="H473" s="14"/>
      <c r="I473" s="29" t="str">
        <f>IF(OR($C473="",$G473="",$H473&lt;&gt;"Fait"),"",MIN($G473,MAX(0,SUMIFS($G$5:$G473,$C$5:$C473,$C473,$H$5:$H473,"Fait")-SUMIFS(Paiements!$I$5:$I$2000,Paiements!$C$5:$C$2000,$C473,Paiements!$L$5:$L$2000,"Payé"))))</f>
        <v/>
      </c>
      <c r="J473" s="30" t="str">
        <f t="shared" si="15"/>
        <v/>
      </c>
      <c r="K473" s="14"/>
      <c r="L473" s="17" t="str">
        <f>IF(AND($C473&lt;&gt;"",$C473=Controle_Paiement!$B$4,$J473&lt;&gt;"Payé",$J473&lt;&gt;"Annulé",$J473&lt;&gt;""),1,"")</f>
        <v/>
      </c>
    </row>
    <row r="474" spans="1:12" x14ac:dyDescent="0.35">
      <c r="A474" s="18"/>
      <c r="B474" s="27"/>
      <c r="C474" s="14"/>
      <c r="D474" s="14"/>
      <c r="E474" s="19"/>
      <c r="F474" s="19"/>
      <c r="G474" s="28" t="str">
        <f t="shared" si="14"/>
        <v/>
      </c>
      <c r="H474" s="14"/>
      <c r="I474" s="29" t="str">
        <f>IF(OR($C474="",$G474="",$H474&lt;&gt;"Fait"),"",MIN($G474,MAX(0,SUMIFS($G$5:$G474,$C$5:$C474,$C474,$H$5:$H474,"Fait")-SUMIFS(Paiements!$I$5:$I$2000,Paiements!$C$5:$C$2000,$C474,Paiements!$L$5:$L$2000,"Payé"))))</f>
        <v/>
      </c>
      <c r="J474" s="30" t="str">
        <f t="shared" si="15"/>
        <v/>
      </c>
      <c r="K474" s="14"/>
      <c r="L474" s="17" t="str">
        <f>IF(AND($C474&lt;&gt;"",$C474=Controle_Paiement!$B$4,$J474&lt;&gt;"Payé",$J474&lt;&gt;"Annulé",$J474&lt;&gt;""),1,"")</f>
        <v/>
      </c>
    </row>
    <row r="475" spans="1:12" x14ac:dyDescent="0.35">
      <c r="A475" s="18"/>
      <c r="B475" s="27"/>
      <c r="C475" s="14"/>
      <c r="D475" s="14"/>
      <c r="E475" s="19"/>
      <c r="F475" s="19"/>
      <c r="G475" s="28" t="str">
        <f t="shared" si="14"/>
        <v/>
      </c>
      <c r="H475" s="14"/>
      <c r="I475" s="29" t="str">
        <f>IF(OR($C475="",$G475="",$H475&lt;&gt;"Fait"),"",MIN($G475,MAX(0,SUMIFS($G$5:$G475,$C$5:$C475,$C475,$H$5:$H475,"Fait")-SUMIFS(Paiements!$I$5:$I$2000,Paiements!$C$5:$C$2000,$C475,Paiements!$L$5:$L$2000,"Payé"))))</f>
        <v/>
      </c>
      <c r="J475" s="30" t="str">
        <f t="shared" si="15"/>
        <v/>
      </c>
      <c r="K475" s="14"/>
      <c r="L475" s="17" t="str">
        <f>IF(AND($C475&lt;&gt;"",$C475=Controle_Paiement!$B$4,$J475&lt;&gt;"Payé",$J475&lt;&gt;"Annulé",$J475&lt;&gt;""),1,"")</f>
        <v/>
      </c>
    </row>
    <row r="476" spans="1:12" x14ac:dyDescent="0.35">
      <c r="A476" s="18"/>
      <c r="B476" s="27"/>
      <c r="C476" s="14"/>
      <c r="D476" s="14"/>
      <c r="E476" s="19"/>
      <c r="F476" s="19"/>
      <c r="G476" s="28" t="str">
        <f t="shared" si="14"/>
        <v/>
      </c>
      <c r="H476" s="14"/>
      <c r="I476" s="29" t="str">
        <f>IF(OR($C476="",$G476="",$H476&lt;&gt;"Fait"),"",MIN($G476,MAX(0,SUMIFS($G$5:$G476,$C$5:$C476,$C476,$H$5:$H476,"Fait")-SUMIFS(Paiements!$I$5:$I$2000,Paiements!$C$5:$C$2000,$C476,Paiements!$L$5:$L$2000,"Payé"))))</f>
        <v/>
      </c>
      <c r="J476" s="30" t="str">
        <f t="shared" si="15"/>
        <v/>
      </c>
      <c r="K476" s="14"/>
      <c r="L476" s="17" t="str">
        <f>IF(AND($C476&lt;&gt;"",$C476=Controle_Paiement!$B$4,$J476&lt;&gt;"Payé",$J476&lt;&gt;"Annulé",$J476&lt;&gt;""),1,"")</f>
        <v/>
      </c>
    </row>
    <row r="477" spans="1:12" x14ac:dyDescent="0.35">
      <c r="A477" s="18"/>
      <c r="B477" s="27"/>
      <c r="C477" s="14"/>
      <c r="D477" s="14"/>
      <c r="E477" s="19"/>
      <c r="F477" s="19"/>
      <c r="G477" s="28" t="str">
        <f t="shared" si="14"/>
        <v/>
      </c>
      <c r="H477" s="14"/>
      <c r="I477" s="29" t="str">
        <f>IF(OR($C477="",$G477="",$H477&lt;&gt;"Fait"),"",MIN($G477,MAX(0,SUMIFS($G$5:$G477,$C$5:$C477,$C477,$H$5:$H477,"Fait")-SUMIFS(Paiements!$I$5:$I$2000,Paiements!$C$5:$C$2000,$C477,Paiements!$L$5:$L$2000,"Payé"))))</f>
        <v/>
      </c>
      <c r="J477" s="30" t="str">
        <f t="shared" si="15"/>
        <v/>
      </c>
      <c r="K477" s="14"/>
      <c r="L477" s="17" t="str">
        <f>IF(AND($C477&lt;&gt;"",$C477=Controle_Paiement!$B$4,$J477&lt;&gt;"Payé",$J477&lt;&gt;"Annulé",$J477&lt;&gt;""),1,"")</f>
        <v/>
      </c>
    </row>
    <row r="478" spans="1:12" x14ac:dyDescent="0.35">
      <c r="A478" s="18"/>
      <c r="B478" s="27"/>
      <c r="C478" s="14"/>
      <c r="D478" s="14"/>
      <c r="E478" s="19"/>
      <c r="F478" s="19"/>
      <c r="G478" s="28" t="str">
        <f t="shared" si="14"/>
        <v/>
      </c>
      <c r="H478" s="14"/>
      <c r="I478" s="29" t="str">
        <f>IF(OR($C478="",$G478="",$H478&lt;&gt;"Fait"),"",MIN($G478,MAX(0,SUMIFS($G$5:$G478,$C$5:$C478,$C478,$H$5:$H478,"Fait")-SUMIFS(Paiements!$I$5:$I$2000,Paiements!$C$5:$C$2000,$C478,Paiements!$L$5:$L$2000,"Payé"))))</f>
        <v/>
      </c>
      <c r="J478" s="30" t="str">
        <f t="shared" si="15"/>
        <v/>
      </c>
      <c r="K478" s="14"/>
      <c r="L478" s="17" t="str">
        <f>IF(AND($C478&lt;&gt;"",$C478=Controle_Paiement!$B$4,$J478&lt;&gt;"Payé",$J478&lt;&gt;"Annulé",$J478&lt;&gt;""),1,"")</f>
        <v/>
      </c>
    </row>
    <row r="479" spans="1:12" x14ac:dyDescent="0.35">
      <c r="A479" s="18"/>
      <c r="B479" s="27"/>
      <c r="C479" s="14"/>
      <c r="D479" s="14"/>
      <c r="E479" s="19"/>
      <c r="F479" s="19"/>
      <c r="G479" s="28" t="str">
        <f t="shared" si="14"/>
        <v/>
      </c>
      <c r="H479" s="14"/>
      <c r="I479" s="29" t="str">
        <f>IF(OR($C479="",$G479="",$H479&lt;&gt;"Fait"),"",MIN($G479,MAX(0,SUMIFS($G$5:$G479,$C$5:$C479,$C479,$H$5:$H479,"Fait")-SUMIFS(Paiements!$I$5:$I$2000,Paiements!$C$5:$C$2000,$C479,Paiements!$L$5:$L$2000,"Payé"))))</f>
        <v/>
      </c>
      <c r="J479" s="30" t="str">
        <f t="shared" si="15"/>
        <v/>
      </c>
      <c r="K479" s="14"/>
      <c r="L479" s="17" t="str">
        <f>IF(AND($C479&lt;&gt;"",$C479=Controle_Paiement!$B$4,$J479&lt;&gt;"Payé",$J479&lt;&gt;"Annulé",$J479&lt;&gt;""),1,"")</f>
        <v/>
      </c>
    </row>
    <row r="480" spans="1:12" x14ac:dyDescent="0.35">
      <c r="A480" s="18"/>
      <c r="B480" s="27"/>
      <c r="C480" s="14"/>
      <c r="D480" s="14"/>
      <c r="E480" s="19"/>
      <c r="F480" s="19"/>
      <c r="G480" s="28" t="str">
        <f t="shared" si="14"/>
        <v/>
      </c>
      <c r="H480" s="14"/>
      <c r="I480" s="29" t="str">
        <f>IF(OR($C480="",$G480="",$H480&lt;&gt;"Fait"),"",MIN($G480,MAX(0,SUMIFS($G$5:$G480,$C$5:$C480,$C480,$H$5:$H480,"Fait")-SUMIFS(Paiements!$I$5:$I$2000,Paiements!$C$5:$C$2000,$C480,Paiements!$L$5:$L$2000,"Payé"))))</f>
        <v/>
      </c>
      <c r="J480" s="30" t="str">
        <f t="shared" si="15"/>
        <v/>
      </c>
      <c r="K480" s="14"/>
      <c r="L480" s="17" t="str">
        <f>IF(AND($C480&lt;&gt;"",$C480=Controle_Paiement!$B$4,$J480&lt;&gt;"Payé",$J480&lt;&gt;"Annulé",$J480&lt;&gt;""),1,"")</f>
        <v/>
      </c>
    </row>
    <row r="481" spans="1:12" x14ac:dyDescent="0.35">
      <c r="A481" s="18"/>
      <c r="B481" s="27"/>
      <c r="C481" s="14"/>
      <c r="D481" s="14"/>
      <c r="E481" s="19"/>
      <c r="F481" s="19"/>
      <c r="G481" s="28" t="str">
        <f t="shared" si="14"/>
        <v/>
      </c>
      <c r="H481" s="14"/>
      <c r="I481" s="29" t="str">
        <f>IF(OR($C481="",$G481="",$H481&lt;&gt;"Fait"),"",MIN($G481,MAX(0,SUMIFS($G$5:$G481,$C$5:$C481,$C481,$H$5:$H481,"Fait")-SUMIFS(Paiements!$I$5:$I$2000,Paiements!$C$5:$C$2000,$C481,Paiements!$L$5:$L$2000,"Payé"))))</f>
        <v/>
      </c>
      <c r="J481" s="30" t="str">
        <f t="shared" si="15"/>
        <v/>
      </c>
      <c r="K481" s="14"/>
      <c r="L481" s="17" t="str">
        <f>IF(AND($C481&lt;&gt;"",$C481=Controle_Paiement!$B$4,$J481&lt;&gt;"Payé",$J481&lt;&gt;"Annulé",$J481&lt;&gt;""),1,"")</f>
        <v/>
      </c>
    </row>
    <row r="482" spans="1:12" x14ac:dyDescent="0.35">
      <c r="A482" s="18"/>
      <c r="B482" s="27"/>
      <c r="C482" s="14"/>
      <c r="D482" s="14"/>
      <c r="E482" s="19"/>
      <c r="F482" s="19"/>
      <c r="G482" s="28" t="str">
        <f t="shared" si="14"/>
        <v/>
      </c>
      <c r="H482" s="14"/>
      <c r="I482" s="29" t="str">
        <f>IF(OR($C482="",$G482="",$H482&lt;&gt;"Fait"),"",MIN($G482,MAX(0,SUMIFS($G$5:$G482,$C$5:$C482,$C482,$H$5:$H482,"Fait")-SUMIFS(Paiements!$I$5:$I$2000,Paiements!$C$5:$C$2000,$C482,Paiements!$L$5:$L$2000,"Payé"))))</f>
        <v/>
      </c>
      <c r="J482" s="30" t="str">
        <f t="shared" si="15"/>
        <v/>
      </c>
      <c r="K482" s="14"/>
      <c r="L482" s="17" t="str">
        <f>IF(AND($C482&lt;&gt;"",$C482=Controle_Paiement!$B$4,$J482&lt;&gt;"Payé",$J482&lt;&gt;"Annulé",$J482&lt;&gt;""),1,"")</f>
        <v/>
      </c>
    </row>
    <row r="483" spans="1:12" x14ac:dyDescent="0.35">
      <c r="A483" s="18"/>
      <c r="B483" s="27"/>
      <c r="C483" s="14"/>
      <c r="D483" s="14"/>
      <c r="E483" s="19"/>
      <c r="F483" s="19"/>
      <c r="G483" s="28" t="str">
        <f t="shared" si="14"/>
        <v/>
      </c>
      <c r="H483" s="14"/>
      <c r="I483" s="29" t="str">
        <f>IF(OR($C483="",$G483="",$H483&lt;&gt;"Fait"),"",MIN($G483,MAX(0,SUMIFS($G$5:$G483,$C$5:$C483,$C483,$H$5:$H483,"Fait")-SUMIFS(Paiements!$I$5:$I$2000,Paiements!$C$5:$C$2000,$C483,Paiements!$L$5:$L$2000,"Payé"))))</f>
        <v/>
      </c>
      <c r="J483" s="30" t="str">
        <f t="shared" si="15"/>
        <v/>
      </c>
      <c r="K483" s="14"/>
      <c r="L483" s="17" t="str">
        <f>IF(AND($C483&lt;&gt;"",$C483=Controle_Paiement!$B$4,$J483&lt;&gt;"Payé",$J483&lt;&gt;"Annulé",$J483&lt;&gt;""),1,"")</f>
        <v/>
      </c>
    </row>
    <row r="484" spans="1:12" x14ac:dyDescent="0.35">
      <c r="A484" s="18"/>
      <c r="B484" s="27"/>
      <c r="C484" s="14"/>
      <c r="D484" s="14"/>
      <c r="E484" s="19"/>
      <c r="F484" s="19"/>
      <c r="G484" s="28" t="str">
        <f t="shared" si="14"/>
        <v/>
      </c>
      <c r="H484" s="14"/>
      <c r="I484" s="29" t="str">
        <f>IF(OR($C484="",$G484="",$H484&lt;&gt;"Fait"),"",MIN($G484,MAX(0,SUMIFS($G$5:$G484,$C$5:$C484,$C484,$H$5:$H484,"Fait")-SUMIFS(Paiements!$I$5:$I$2000,Paiements!$C$5:$C$2000,$C484,Paiements!$L$5:$L$2000,"Payé"))))</f>
        <v/>
      </c>
      <c r="J484" s="30" t="str">
        <f t="shared" si="15"/>
        <v/>
      </c>
      <c r="K484" s="14"/>
      <c r="L484" s="17" t="str">
        <f>IF(AND($C484&lt;&gt;"",$C484=Controle_Paiement!$B$4,$J484&lt;&gt;"Payé",$J484&lt;&gt;"Annulé",$J484&lt;&gt;""),1,"")</f>
        <v/>
      </c>
    </row>
    <row r="485" spans="1:12" x14ac:dyDescent="0.35">
      <c r="A485" s="18"/>
      <c r="B485" s="27"/>
      <c r="C485" s="14"/>
      <c r="D485" s="14"/>
      <c r="E485" s="19"/>
      <c r="F485" s="19"/>
      <c r="G485" s="28" t="str">
        <f t="shared" si="14"/>
        <v/>
      </c>
      <c r="H485" s="14"/>
      <c r="I485" s="29" t="str">
        <f>IF(OR($C485="",$G485="",$H485&lt;&gt;"Fait"),"",MIN($G485,MAX(0,SUMIFS($G$5:$G485,$C$5:$C485,$C485,$H$5:$H485,"Fait")-SUMIFS(Paiements!$I$5:$I$2000,Paiements!$C$5:$C$2000,$C485,Paiements!$L$5:$L$2000,"Payé"))))</f>
        <v/>
      </c>
      <c r="J485" s="30" t="str">
        <f t="shared" si="15"/>
        <v/>
      </c>
      <c r="K485" s="14"/>
      <c r="L485" s="17" t="str">
        <f>IF(AND($C485&lt;&gt;"",$C485=Controle_Paiement!$B$4,$J485&lt;&gt;"Payé",$J485&lt;&gt;"Annulé",$J485&lt;&gt;""),1,"")</f>
        <v/>
      </c>
    </row>
    <row r="486" spans="1:12" x14ac:dyDescent="0.35">
      <c r="A486" s="18"/>
      <c r="B486" s="27"/>
      <c r="C486" s="14"/>
      <c r="D486" s="14"/>
      <c r="E486" s="19"/>
      <c r="F486" s="19"/>
      <c r="G486" s="28" t="str">
        <f t="shared" si="14"/>
        <v/>
      </c>
      <c r="H486" s="14"/>
      <c r="I486" s="29" t="str">
        <f>IF(OR($C486="",$G486="",$H486&lt;&gt;"Fait"),"",MIN($G486,MAX(0,SUMIFS($G$5:$G486,$C$5:$C486,$C486,$H$5:$H486,"Fait")-SUMIFS(Paiements!$I$5:$I$2000,Paiements!$C$5:$C$2000,$C486,Paiements!$L$5:$L$2000,"Payé"))))</f>
        <v/>
      </c>
      <c r="J486" s="30" t="str">
        <f t="shared" si="15"/>
        <v/>
      </c>
      <c r="K486" s="14"/>
      <c r="L486" s="17" t="str">
        <f>IF(AND($C486&lt;&gt;"",$C486=Controle_Paiement!$B$4,$J486&lt;&gt;"Payé",$J486&lt;&gt;"Annulé",$J486&lt;&gt;""),1,"")</f>
        <v/>
      </c>
    </row>
    <row r="487" spans="1:12" x14ac:dyDescent="0.35">
      <c r="A487" s="18"/>
      <c r="B487" s="27"/>
      <c r="C487" s="14"/>
      <c r="D487" s="14"/>
      <c r="E487" s="19"/>
      <c r="F487" s="19"/>
      <c r="G487" s="28" t="str">
        <f t="shared" si="14"/>
        <v/>
      </c>
      <c r="H487" s="14"/>
      <c r="I487" s="29" t="str">
        <f>IF(OR($C487="",$G487="",$H487&lt;&gt;"Fait"),"",MIN($G487,MAX(0,SUMIFS($G$5:$G487,$C$5:$C487,$C487,$H$5:$H487,"Fait")-SUMIFS(Paiements!$I$5:$I$2000,Paiements!$C$5:$C$2000,$C487,Paiements!$L$5:$L$2000,"Payé"))))</f>
        <v/>
      </c>
      <c r="J487" s="30" t="str">
        <f t="shared" si="15"/>
        <v/>
      </c>
      <c r="K487" s="14"/>
      <c r="L487" s="17" t="str">
        <f>IF(AND($C487&lt;&gt;"",$C487=Controle_Paiement!$B$4,$J487&lt;&gt;"Payé",$J487&lt;&gt;"Annulé",$J487&lt;&gt;""),1,"")</f>
        <v/>
      </c>
    </row>
    <row r="488" spans="1:12" x14ac:dyDescent="0.35">
      <c r="A488" s="18"/>
      <c r="B488" s="27"/>
      <c r="C488" s="14"/>
      <c r="D488" s="14"/>
      <c r="E488" s="19"/>
      <c r="F488" s="19"/>
      <c r="G488" s="28" t="str">
        <f t="shared" si="14"/>
        <v/>
      </c>
      <c r="H488" s="14"/>
      <c r="I488" s="29" t="str">
        <f>IF(OR($C488="",$G488="",$H488&lt;&gt;"Fait"),"",MIN($G488,MAX(0,SUMIFS($G$5:$G488,$C$5:$C488,$C488,$H$5:$H488,"Fait")-SUMIFS(Paiements!$I$5:$I$2000,Paiements!$C$5:$C$2000,$C488,Paiements!$L$5:$L$2000,"Payé"))))</f>
        <v/>
      </c>
      <c r="J488" s="30" t="str">
        <f t="shared" si="15"/>
        <v/>
      </c>
      <c r="K488" s="14"/>
      <c r="L488" s="17" t="str">
        <f>IF(AND($C488&lt;&gt;"",$C488=Controle_Paiement!$B$4,$J488&lt;&gt;"Payé",$J488&lt;&gt;"Annulé",$J488&lt;&gt;""),1,"")</f>
        <v/>
      </c>
    </row>
    <row r="489" spans="1:12" x14ac:dyDescent="0.35">
      <c r="A489" s="18"/>
      <c r="B489" s="27"/>
      <c r="C489" s="14"/>
      <c r="D489" s="14"/>
      <c r="E489" s="19"/>
      <c r="F489" s="19"/>
      <c r="G489" s="28" t="str">
        <f t="shared" si="14"/>
        <v/>
      </c>
      <c r="H489" s="14"/>
      <c r="I489" s="29" t="str">
        <f>IF(OR($C489="",$G489="",$H489&lt;&gt;"Fait"),"",MIN($G489,MAX(0,SUMIFS($G$5:$G489,$C$5:$C489,$C489,$H$5:$H489,"Fait")-SUMIFS(Paiements!$I$5:$I$2000,Paiements!$C$5:$C$2000,$C489,Paiements!$L$5:$L$2000,"Payé"))))</f>
        <v/>
      </c>
      <c r="J489" s="30" t="str">
        <f t="shared" si="15"/>
        <v/>
      </c>
      <c r="K489" s="14"/>
      <c r="L489" s="17" t="str">
        <f>IF(AND($C489&lt;&gt;"",$C489=Controle_Paiement!$B$4,$J489&lt;&gt;"Payé",$J489&lt;&gt;"Annulé",$J489&lt;&gt;""),1,"")</f>
        <v/>
      </c>
    </row>
    <row r="490" spans="1:12" x14ac:dyDescent="0.35">
      <c r="A490" s="18"/>
      <c r="B490" s="27"/>
      <c r="C490" s="14"/>
      <c r="D490" s="14"/>
      <c r="E490" s="19"/>
      <c r="F490" s="19"/>
      <c r="G490" s="28" t="str">
        <f t="shared" si="14"/>
        <v/>
      </c>
      <c r="H490" s="14"/>
      <c r="I490" s="29" t="str">
        <f>IF(OR($C490="",$G490="",$H490&lt;&gt;"Fait"),"",MIN($G490,MAX(0,SUMIFS($G$5:$G490,$C$5:$C490,$C490,$H$5:$H490,"Fait")-SUMIFS(Paiements!$I$5:$I$2000,Paiements!$C$5:$C$2000,$C490,Paiements!$L$5:$L$2000,"Payé"))))</f>
        <v/>
      </c>
      <c r="J490" s="30" t="str">
        <f t="shared" si="15"/>
        <v/>
      </c>
      <c r="K490" s="14"/>
      <c r="L490" s="17" t="str">
        <f>IF(AND($C490&lt;&gt;"",$C490=Controle_Paiement!$B$4,$J490&lt;&gt;"Payé",$J490&lt;&gt;"Annulé",$J490&lt;&gt;""),1,"")</f>
        <v/>
      </c>
    </row>
    <row r="491" spans="1:12" x14ac:dyDescent="0.35">
      <c r="A491" s="18"/>
      <c r="B491" s="27"/>
      <c r="C491" s="14"/>
      <c r="D491" s="14"/>
      <c r="E491" s="19"/>
      <c r="F491" s="19"/>
      <c r="G491" s="28" t="str">
        <f t="shared" si="14"/>
        <v/>
      </c>
      <c r="H491" s="14"/>
      <c r="I491" s="29" t="str">
        <f>IF(OR($C491="",$G491="",$H491&lt;&gt;"Fait"),"",MIN($G491,MAX(0,SUMIFS($G$5:$G491,$C$5:$C491,$C491,$H$5:$H491,"Fait")-SUMIFS(Paiements!$I$5:$I$2000,Paiements!$C$5:$C$2000,$C491,Paiements!$L$5:$L$2000,"Payé"))))</f>
        <v/>
      </c>
      <c r="J491" s="30" t="str">
        <f t="shared" si="15"/>
        <v/>
      </c>
      <c r="K491" s="14"/>
      <c r="L491" s="17" t="str">
        <f>IF(AND($C491&lt;&gt;"",$C491=Controle_Paiement!$B$4,$J491&lt;&gt;"Payé",$J491&lt;&gt;"Annulé",$J491&lt;&gt;""),1,"")</f>
        <v/>
      </c>
    </row>
    <row r="492" spans="1:12" x14ac:dyDescent="0.35">
      <c r="A492" s="18"/>
      <c r="B492" s="27"/>
      <c r="C492" s="14"/>
      <c r="D492" s="14"/>
      <c r="E492" s="19"/>
      <c r="F492" s="19"/>
      <c r="G492" s="28" t="str">
        <f t="shared" si="14"/>
        <v/>
      </c>
      <c r="H492" s="14"/>
      <c r="I492" s="29" t="str">
        <f>IF(OR($C492="",$G492="",$H492&lt;&gt;"Fait"),"",MIN($G492,MAX(0,SUMIFS($G$5:$G492,$C$5:$C492,$C492,$H$5:$H492,"Fait")-SUMIFS(Paiements!$I$5:$I$2000,Paiements!$C$5:$C$2000,$C492,Paiements!$L$5:$L$2000,"Payé"))))</f>
        <v/>
      </c>
      <c r="J492" s="30" t="str">
        <f t="shared" si="15"/>
        <v/>
      </c>
      <c r="K492" s="14"/>
      <c r="L492" s="17" t="str">
        <f>IF(AND($C492&lt;&gt;"",$C492=Controle_Paiement!$B$4,$J492&lt;&gt;"Payé",$J492&lt;&gt;"Annulé",$J492&lt;&gt;""),1,"")</f>
        <v/>
      </c>
    </row>
    <row r="493" spans="1:12" x14ac:dyDescent="0.35">
      <c r="A493" s="18"/>
      <c r="B493" s="27"/>
      <c r="C493" s="14"/>
      <c r="D493" s="14"/>
      <c r="E493" s="19"/>
      <c r="F493" s="19"/>
      <c r="G493" s="28" t="str">
        <f t="shared" si="14"/>
        <v/>
      </c>
      <c r="H493" s="14"/>
      <c r="I493" s="29" t="str">
        <f>IF(OR($C493="",$G493="",$H493&lt;&gt;"Fait"),"",MIN($G493,MAX(0,SUMIFS($G$5:$G493,$C$5:$C493,$C493,$H$5:$H493,"Fait")-SUMIFS(Paiements!$I$5:$I$2000,Paiements!$C$5:$C$2000,$C493,Paiements!$L$5:$L$2000,"Payé"))))</f>
        <v/>
      </c>
      <c r="J493" s="30" t="str">
        <f t="shared" si="15"/>
        <v/>
      </c>
      <c r="K493" s="14"/>
      <c r="L493" s="17" t="str">
        <f>IF(AND($C493&lt;&gt;"",$C493=Controle_Paiement!$B$4,$J493&lt;&gt;"Payé",$J493&lt;&gt;"Annulé",$J493&lt;&gt;""),1,"")</f>
        <v/>
      </c>
    </row>
    <row r="494" spans="1:12" x14ac:dyDescent="0.35">
      <c r="A494" s="18"/>
      <c r="B494" s="27"/>
      <c r="C494" s="14"/>
      <c r="D494" s="14"/>
      <c r="E494" s="19"/>
      <c r="F494" s="19"/>
      <c r="G494" s="28" t="str">
        <f t="shared" si="14"/>
        <v/>
      </c>
      <c r="H494" s="14"/>
      <c r="I494" s="29" t="str">
        <f>IF(OR($C494="",$G494="",$H494&lt;&gt;"Fait"),"",MIN($G494,MAX(0,SUMIFS($G$5:$G494,$C$5:$C494,$C494,$H$5:$H494,"Fait")-SUMIFS(Paiements!$I$5:$I$2000,Paiements!$C$5:$C$2000,$C494,Paiements!$L$5:$L$2000,"Payé"))))</f>
        <v/>
      </c>
      <c r="J494" s="30" t="str">
        <f t="shared" si="15"/>
        <v/>
      </c>
      <c r="K494" s="14"/>
      <c r="L494" s="17" t="str">
        <f>IF(AND($C494&lt;&gt;"",$C494=Controle_Paiement!$B$4,$J494&lt;&gt;"Payé",$J494&lt;&gt;"Annulé",$J494&lt;&gt;""),1,"")</f>
        <v/>
      </c>
    </row>
    <row r="495" spans="1:12" x14ac:dyDescent="0.35">
      <c r="A495" s="18"/>
      <c r="B495" s="27"/>
      <c r="C495" s="14"/>
      <c r="D495" s="14"/>
      <c r="E495" s="19"/>
      <c r="F495" s="19"/>
      <c r="G495" s="28" t="str">
        <f t="shared" si="14"/>
        <v/>
      </c>
      <c r="H495" s="14"/>
      <c r="I495" s="29" t="str">
        <f>IF(OR($C495="",$G495="",$H495&lt;&gt;"Fait"),"",MIN($G495,MAX(0,SUMIFS($G$5:$G495,$C$5:$C495,$C495,$H$5:$H495,"Fait")-SUMIFS(Paiements!$I$5:$I$2000,Paiements!$C$5:$C$2000,$C495,Paiements!$L$5:$L$2000,"Payé"))))</f>
        <v/>
      </c>
      <c r="J495" s="30" t="str">
        <f t="shared" si="15"/>
        <v/>
      </c>
      <c r="K495" s="14"/>
      <c r="L495" s="17" t="str">
        <f>IF(AND($C495&lt;&gt;"",$C495=Controle_Paiement!$B$4,$J495&lt;&gt;"Payé",$J495&lt;&gt;"Annulé",$J495&lt;&gt;""),1,"")</f>
        <v/>
      </c>
    </row>
    <row r="496" spans="1:12" x14ac:dyDescent="0.35">
      <c r="A496" s="18"/>
      <c r="B496" s="27"/>
      <c r="C496" s="14"/>
      <c r="D496" s="14"/>
      <c r="E496" s="19"/>
      <c r="F496" s="19"/>
      <c r="G496" s="28" t="str">
        <f t="shared" si="14"/>
        <v/>
      </c>
      <c r="H496" s="14"/>
      <c r="I496" s="29" t="str">
        <f>IF(OR($C496="",$G496="",$H496&lt;&gt;"Fait"),"",MIN($G496,MAX(0,SUMIFS($G$5:$G496,$C$5:$C496,$C496,$H$5:$H496,"Fait")-SUMIFS(Paiements!$I$5:$I$2000,Paiements!$C$5:$C$2000,$C496,Paiements!$L$5:$L$2000,"Payé"))))</f>
        <v/>
      </c>
      <c r="J496" s="30" t="str">
        <f t="shared" si="15"/>
        <v/>
      </c>
      <c r="K496" s="14"/>
      <c r="L496" s="17" t="str">
        <f>IF(AND($C496&lt;&gt;"",$C496=Controle_Paiement!$B$4,$J496&lt;&gt;"Payé",$J496&lt;&gt;"Annulé",$J496&lt;&gt;""),1,"")</f>
        <v/>
      </c>
    </row>
    <row r="497" spans="1:12" x14ac:dyDescent="0.35">
      <c r="A497" s="18"/>
      <c r="B497" s="27"/>
      <c r="C497" s="14"/>
      <c r="D497" s="14"/>
      <c r="E497" s="19"/>
      <c r="F497" s="19"/>
      <c r="G497" s="28" t="str">
        <f t="shared" si="14"/>
        <v/>
      </c>
      <c r="H497" s="14"/>
      <c r="I497" s="29" t="str">
        <f>IF(OR($C497="",$G497="",$H497&lt;&gt;"Fait"),"",MIN($G497,MAX(0,SUMIFS($G$5:$G497,$C$5:$C497,$C497,$H$5:$H497,"Fait")-SUMIFS(Paiements!$I$5:$I$2000,Paiements!$C$5:$C$2000,$C497,Paiements!$L$5:$L$2000,"Payé"))))</f>
        <v/>
      </c>
      <c r="J497" s="30" t="str">
        <f t="shared" si="15"/>
        <v/>
      </c>
      <c r="K497" s="14"/>
      <c r="L497" s="17" t="str">
        <f>IF(AND($C497&lt;&gt;"",$C497=Controle_Paiement!$B$4,$J497&lt;&gt;"Payé",$J497&lt;&gt;"Annulé",$J497&lt;&gt;""),1,"")</f>
        <v/>
      </c>
    </row>
    <row r="498" spans="1:12" x14ac:dyDescent="0.35">
      <c r="A498" s="18"/>
      <c r="B498" s="27"/>
      <c r="C498" s="14"/>
      <c r="D498" s="14"/>
      <c r="E498" s="19"/>
      <c r="F498" s="19"/>
      <c r="G498" s="28" t="str">
        <f t="shared" si="14"/>
        <v/>
      </c>
      <c r="H498" s="14"/>
      <c r="I498" s="29" t="str">
        <f>IF(OR($C498="",$G498="",$H498&lt;&gt;"Fait"),"",MIN($G498,MAX(0,SUMIFS($G$5:$G498,$C$5:$C498,$C498,$H$5:$H498,"Fait")-SUMIFS(Paiements!$I$5:$I$2000,Paiements!$C$5:$C$2000,$C498,Paiements!$L$5:$L$2000,"Payé"))))</f>
        <v/>
      </c>
      <c r="J498" s="30" t="str">
        <f t="shared" si="15"/>
        <v/>
      </c>
      <c r="K498" s="14"/>
      <c r="L498" s="17" t="str">
        <f>IF(AND($C498&lt;&gt;"",$C498=Controle_Paiement!$B$4,$J498&lt;&gt;"Payé",$J498&lt;&gt;"Annulé",$J498&lt;&gt;""),1,"")</f>
        <v/>
      </c>
    </row>
    <row r="499" spans="1:12" x14ac:dyDescent="0.35">
      <c r="A499" s="18"/>
      <c r="B499" s="27"/>
      <c r="C499" s="14"/>
      <c r="D499" s="14"/>
      <c r="E499" s="19"/>
      <c r="F499" s="19"/>
      <c r="G499" s="28" t="str">
        <f t="shared" si="14"/>
        <v/>
      </c>
      <c r="H499" s="14"/>
      <c r="I499" s="29" t="str">
        <f>IF(OR($C499="",$G499="",$H499&lt;&gt;"Fait"),"",MIN($G499,MAX(0,SUMIFS($G$5:$G499,$C$5:$C499,$C499,$H$5:$H499,"Fait")-SUMIFS(Paiements!$I$5:$I$2000,Paiements!$C$5:$C$2000,$C499,Paiements!$L$5:$L$2000,"Payé"))))</f>
        <v/>
      </c>
      <c r="J499" s="30" t="str">
        <f t="shared" si="15"/>
        <v/>
      </c>
      <c r="K499" s="14"/>
      <c r="L499" s="17" t="str">
        <f>IF(AND($C499&lt;&gt;"",$C499=Controle_Paiement!$B$4,$J499&lt;&gt;"Payé",$J499&lt;&gt;"Annulé",$J499&lt;&gt;""),1,"")</f>
        <v/>
      </c>
    </row>
    <row r="500" spans="1:12" x14ac:dyDescent="0.35">
      <c r="A500" s="18"/>
      <c r="B500" s="27"/>
      <c r="C500" s="14"/>
      <c r="D500" s="14"/>
      <c r="E500" s="19"/>
      <c r="F500" s="19"/>
      <c r="G500" s="28" t="str">
        <f t="shared" si="14"/>
        <v/>
      </c>
      <c r="H500" s="14"/>
      <c r="I500" s="29" t="str">
        <f>IF(OR($C500="",$G500="",$H500&lt;&gt;"Fait"),"",MIN($G500,MAX(0,SUMIFS($G$5:$G500,$C$5:$C500,$C500,$H$5:$H500,"Fait")-SUMIFS(Paiements!$I$5:$I$2000,Paiements!$C$5:$C$2000,$C500,Paiements!$L$5:$L$2000,"Payé"))))</f>
        <v/>
      </c>
      <c r="J500" s="30" t="str">
        <f t="shared" si="15"/>
        <v/>
      </c>
      <c r="K500" s="14"/>
      <c r="L500" s="17" t="str">
        <f>IF(AND($C500&lt;&gt;"",$C500=Controle_Paiement!$B$4,$J500&lt;&gt;"Payé",$J500&lt;&gt;"Annulé",$J500&lt;&gt;""),1,"")</f>
        <v/>
      </c>
    </row>
    <row r="501" spans="1:12" x14ac:dyDescent="0.35">
      <c r="A501" s="18"/>
      <c r="B501" s="27"/>
      <c r="C501" s="14"/>
      <c r="D501" s="14"/>
      <c r="E501" s="19"/>
      <c r="F501" s="19"/>
      <c r="G501" s="28" t="str">
        <f t="shared" si="14"/>
        <v/>
      </c>
      <c r="H501" s="14"/>
      <c r="I501" s="29" t="str">
        <f>IF(OR($C501="",$G501="",$H501&lt;&gt;"Fait"),"",MIN($G501,MAX(0,SUMIFS($G$5:$G501,$C$5:$C501,$C501,$H$5:$H501,"Fait")-SUMIFS(Paiements!$I$5:$I$2000,Paiements!$C$5:$C$2000,$C501,Paiements!$L$5:$L$2000,"Payé"))))</f>
        <v/>
      </c>
      <c r="J501" s="30" t="str">
        <f t="shared" si="15"/>
        <v/>
      </c>
      <c r="K501" s="14"/>
      <c r="L501" s="17" t="str">
        <f>IF(AND($C501&lt;&gt;"",$C501=Controle_Paiement!$B$4,$J501&lt;&gt;"Payé",$J501&lt;&gt;"Annulé",$J501&lt;&gt;""),1,"")</f>
        <v/>
      </c>
    </row>
    <row r="502" spans="1:12" x14ac:dyDescent="0.35">
      <c r="A502" s="18"/>
      <c r="B502" s="27"/>
      <c r="C502" s="14"/>
      <c r="D502" s="14"/>
      <c r="E502" s="19"/>
      <c r="F502" s="19"/>
      <c r="G502" s="28" t="str">
        <f t="shared" si="14"/>
        <v/>
      </c>
      <c r="H502" s="14"/>
      <c r="I502" s="29" t="str">
        <f>IF(OR($C502="",$G502="",$H502&lt;&gt;"Fait"),"",MIN($G502,MAX(0,SUMIFS($G$5:$G502,$C$5:$C502,$C502,$H$5:$H502,"Fait")-SUMIFS(Paiements!$I$5:$I$2000,Paiements!$C$5:$C$2000,$C502,Paiements!$L$5:$L$2000,"Payé"))))</f>
        <v/>
      </c>
      <c r="J502" s="30" t="str">
        <f t="shared" si="15"/>
        <v/>
      </c>
      <c r="K502" s="14"/>
      <c r="L502" s="17" t="str">
        <f>IF(AND($C502&lt;&gt;"",$C502=Controle_Paiement!$B$4,$J502&lt;&gt;"Payé",$J502&lt;&gt;"Annulé",$J502&lt;&gt;""),1,"")</f>
        <v/>
      </c>
    </row>
    <row r="503" spans="1:12" x14ac:dyDescent="0.35">
      <c r="A503" s="18"/>
      <c r="B503" s="27"/>
      <c r="C503" s="14"/>
      <c r="D503" s="14"/>
      <c r="E503" s="19"/>
      <c r="F503" s="19"/>
      <c r="G503" s="28" t="str">
        <f t="shared" si="14"/>
        <v/>
      </c>
      <c r="H503" s="14"/>
      <c r="I503" s="29" t="str">
        <f>IF(OR($C503="",$G503="",$H503&lt;&gt;"Fait"),"",MIN($G503,MAX(0,SUMIFS($G$5:$G503,$C$5:$C503,$C503,$H$5:$H503,"Fait")-SUMIFS(Paiements!$I$5:$I$2000,Paiements!$C$5:$C$2000,$C503,Paiements!$L$5:$L$2000,"Payé"))))</f>
        <v/>
      </c>
      <c r="J503" s="30" t="str">
        <f t="shared" si="15"/>
        <v/>
      </c>
      <c r="K503" s="14"/>
      <c r="L503" s="17" t="str">
        <f>IF(AND($C503&lt;&gt;"",$C503=Controle_Paiement!$B$4,$J503&lt;&gt;"Payé",$J503&lt;&gt;"Annulé",$J503&lt;&gt;""),1,"")</f>
        <v/>
      </c>
    </row>
    <row r="504" spans="1:12" x14ac:dyDescent="0.35">
      <c r="A504" s="18"/>
      <c r="B504" s="27"/>
      <c r="C504" s="14"/>
      <c r="D504" s="14"/>
      <c r="E504" s="19"/>
      <c r="F504" s="19"/>
      <c r="G504" s="28" t="str">
        <f t="shared" si="14"/>
        <v/>
      </c>
      <c r="H504" s="14"/>
      <c r="I504" s="29" t="str">
        <f>IF(OR($C504="",$G504="",$H504&lt;&gt;"Fait"),"",MIN($G504,MAX(0,SUMIFS($G$5:$G504,$C$5:$C504,$C504,$H$5:$H504,"Fait")-SUMIFS(Paiements!$I$5:$I$2000,Paiements!$C$5:$C$2000,$C504,Paiements!$L$5:$L$2000,"Payé"))))</f>
        <v/>
      </c>
      <c r="J504" s="30" t="str">
        <f t="shared" si="15"/>
        <v/>
      </c>
      <c r="K504" s="14"/>
      <c r="L504" s="17" t="str">
        <f>IF(AND($C504&lt;&gt;"",$C504=Controle_Paiement!$B$4,$J504&lt;&gt;"Payé",$J504&lt;&gt;"Annulé",$J504&lt;&gt;""),1,"")</f>
        <v/>
      </c>
    </row>
    <row r="505" spans="1:12" x14ac:dyDescent="0.35">
      <c r="A505" s="18"/>
      <c r="B505" s="27"/>
      <c r="C505" s="14"/>
      <c r="D505" s="14"/>
      <c r="E505" s="19"/>
      <c r="F505" s="19"/>
      <c r="G505" s="28" t="str">
        <f t="shared" si="14"/>
        <v/>
      </c>
      <c r="H505" s="14"/>
      <c r="I505" s="29" t="str">
        <f>IF(OR($C505="",$G505="",$H505&lt;&gt;"Fait"),"",MIN($G505,MAX(0,SUMIFS($G$5:$G505,$C$5:$C505,$C505,$H$5:$H505,"Fait")-SUMIFS(Paiements!$I$5:$I$2000,Paiements!$C$5:$C$2000,$C505,Paiements!$L$5:$L$2000,"Payé"))))</f>
        <v/>
      </c>
      <c r="J505" s="30" t="str">
        <f t="shared" si="15"/>
        <v/>
      </c>
      <c r="K505" s="14"/>
      <c r="L505" s="17" t="str">
        <f>IF(AND($C505&lt;&gt;"",$C505=Controle_Paiement!$B$4,$J505&lt;&gt;"Payé",$J505&lt;&gt;"Annulé",$J505&lt;&gt;""),1,"")</f>
        <v/>
      </c>
    </row>
    <row r="506" spans="1:12" x14ac:dyDescent="0.35">
      <c r="A506" s="18"/>
      <c r="B506" s="27"/>
      <c r="C506" s="14"/>
      <c r="D506" s="14"/>
      <c r="E506" s="19"/>
      <c r="F506" s="19"/>
      <c r="G506" s="28" t="str">
        <f t="shared" si="14"/>
        <v/>
      </c>
      <c r="H506" s="14"/>
      <c r="I506" s="29" t="str">
        <f>IF(OR($C506="",$G506="",$H506&lt;&gt;"Fait"),"",MIN($G506,MAX(0,SUMIFS($G$5:$G506,$C$5:$C506,$C506,$H$5:$H506,"Fait")-SUMIFS(Paiements!$I$5:$I$2000,Paiements!$C$5:$C$2000,$C506,Paiements!$L$5:$L$2000,"Payé"))))</f>
        <v/>
      </c>
      <c r="J506" s="30" t="str">
        <f t="shared" si="15"/>
        <v/>
      </c>
      <c r="K506" s="14"/>
      <c r="L506" s="17" t="str">
        <f>IF(AND($C506&lt;&gt;"",$C506=Controle_Paiement!$B$4,$J506&lt;&gt;"Payé",$J506&lt;&gt;"Annulé",$J506&lt;&gt;""),1,"")</f>
        <v/>
      </c>
    </row>
    <row r="507" spans="1:12" x14ac:dyDescent="0.35">
      <c r="A507" s="18"/>
      <c r="B507" s="27"/>
      <c r="C507" s="14"/>
      <c r="D507" s="14"/>
      <c r="E507" s="19"/>
      <c r="F507" s="19"/>
      <c r="G507" s="28" t="str">
        <f t="shared" si="14"/>
        <v/>
      </c>
      <c r="H507" s="14"/>
      <c r="I507" s="29" t="str">
        <f>IF(OR($C507="",$G507="",$H507&lt;&gt;"Fait"),"",MIN($G507,MAX(0,SUMIFS($G$5:$G507,$C$5:$C507,$C507,$H$5:$H507,"Fait")-SUMIFS(Paiements!$I$5:$I$2000,Paiements!$C$5:$C$2000,$C507,Paiements!$L$5:$L$2000,"Payé"))))</f>
        <v/>
      </c>
      <c r="J507" s="30" t="str">
        <f t="shared" si="15"/>
        <v/>
      </c>
      <c r="K507" s="14"/>
      <c r="L507" s="17" t="str">
        <f>IF(AND($C507&lt;&gt;"",$C507=Controle_Paiement!$B$4,$J507&lt;&gt;"Payé",$J507&lt;&gt;"Annulé",$J507&lt;&gt;""),1,"")</f>
        <v/>
      </c>
    </row>
    <row r="508" spans="1:12" x14ac:dyDescent="0.35">
      <c r="A508" s="18"/>
      <c r="B508" s="27"/>
      <c r="C508" s="14"/>
      <c r="D508" s="14"/>
      <c r="E508" s="19"/>
      <c r="F508" s="19"/>
      <c r="G508" s="28" t="str">
        <f t="shared" si="14"/>
        <v/>
      </c>
      <c r="H508" s="14"/>
      <c r="I508" s="29" t="str">
        <f>IF(OR($C508="",$G508="",$H508&lt;&gt;"Fait"),"",MIN($G508,MAX(0,SUMIFS($G$5:$G508,$C$5:$C508,$C508,$H$5:$H508,"Fait")-SUMIFS(Paiements!$I$5:$I$2000,Paiements!$C$5:$C$2000,$C508,Paiements!$L$5:$L$2000,"Payé"))))</f>
        <v/>
      </c>
      <c r="J508" s="30" t="str">
        <f t="shared" si="15"/>
        <v/>
      </c>
      <c r="K508" s="14"/>
      <c r="L508" s="17" t="str">
        <f>IF(AND($C508&lt;&gt;"",$C508=Controle_Paiement!$B$4,$J508&lt;&gt;"Payé",$J508&lt;&gt;"Annulé",$J508&lt;&gt;""),1,"")</f>
        <v/>
      </c>
    </row>
    <row r="509" spans="1:12" x14ac:dyDescent="0.35">
      <c r="A509" s="18"/>
      <c r="B509" s="27"/>
      <c r="C509" s="14"/>
      <c r="D509" s="14"/>
      <c r="E509" s="19"/>
      <c r="F509" s="19"/>
      <c r="G509" s="28" t="str">
        <f t="shared" si="14"/>
        <v/>
      </c>
      <c r="H509" s="14"/>
      <c r="I509" s="29" t="str">
        <f>IF(OR($C509="",$G509="",$H509&lt;&gt;"Fait"),"",MIN($G509,MAX(0,SUMIFS($G$5:$G509,$C$5:$C509,$C509,$H$5:$H509,"Fait")-SUMIFS(Paiements!$I$5:$I$2000,Paiements!$C$5:$C$2000,$C509,Paiements!$L$5:$L$2000,"Payé"))))</f>
        <v/>
      </c>
      <c r="J509" s="30" t="str">
        <f t="shared" si="15"/>
        <v/>
      </c>
      <c r="K509" s="14"/>
      <c r="L509" s="17" t="str">
        <f>IF(AND($C509&lt;&gt;"",$C509=Controle_Paiement!$B$4,$J509&lt;&gt;"Payé",$J509&lt;&gt;"Annulé",$J509&lt;&gt;""),1,"")</f>
        <v/>
      </c>
    </row>
    <row r="510" spans="1:12" x14ac:dyDescent="0.35">
      <c r="A510" s="18"/>
      <c r="B510" s="27"/>
      <c r="C510" s="14"/>
      <c r="D510" s="14"/>
      <c r="E510" s="19"/>
      <c r="F510" s="19"/>
      <c r="G510" s="28" t="str">
        <f t="shared" si="14"/>
        <v/>
      </c>
      <c r="H510" s="14"/>
      <c r="I510" s="29" t="str">
        <f>IF(OR($C510="",$G510="",$H510&lt;&gt;"Fait"),"",MIN($G510,MAX(0,SUMIFS($G$5:$G510,$C$5:$C510,$C510,$H$5:$H510,"Fait")-SUMIFS(Paiements!$I$5:$I$2000,Paiements!$C$5:$C$2000,$C510,Paiements!$L$5:$L$2000,"Payé"))))</f>
        <v/>
      </c>
      <c r="J510" s="30" t="str">
        <f t="shared" si="15"/>
        <v/>
      </c>
      <c r="K510" s="14"/>
      <c r="L510" s="17" t="str">
        <f>IF(AND($C510&lt;&gt;"",$C510=Controle_Paiement!$B$4,$J510&lt;&gt;"Payé",$J510&lt;&gt;"Annulé",$J510&lt;&gt;""),1,"")</f>
        <v/>
      </c>
    </row>
    <row r="511" spans="1:12" x14ac:dyDescent="0.35">
      <c r="A511" s="18"/>
      <c r="B511" s="27"/>
      <c r="C511" s="14"/>
      <c r="D511" s="14"/>
      <c r="E511" s="19"/>
      <c r="F511" s="19"/>
      <c r="G511" s="28" t="str">
        <f t="shared" si="14"/>
        <v/>
      </c>
      <c r="H511" s="14"/>
      <c r="I511" s="29" t="str">
        <f>IF(OR($C511="",$G511="",$H511&lt;&gt;"Fait"),"",MIN($G511,MAX(0,SUMIFS($G$5:$G511,$C$5:$C511,$C511,$H$5:$H511,"Fait")-SUMIFS(Paiements!$I$5:$I$2000,Paiements!$C$5:$C$2000,$C511,Paiements!$L$5:$L$2000,"Payé"))))</f>
        <v/>
      </c>
      <c r="J511" s="30" t="str">
        <f t="shared" si="15"/>
        <v/>
      </c>
      <c r="K511" s="14"/>
      <c r="L511" s="17" t="str">
        <f>IF(AND($C511&lt;&gt;"",$C511=Controle_Paiement!$B$4,$J511&lt;&gt;"Payé",$J511&lt;&gt;"Annulé",$J511&lt;&gt;""),1,"")</f>
        <v/>
      </c>
    </row>
    <row r="512" spans="1:12" x14ac:dyDescent="0.35">
      <c r="A512" s="18"/>
      <c r="B512" s="27"/>
      <c r="C512" s="14"/>
      <c r="D512" s="14"/>
      <c r="E512" s="19"/>
      <c r="F512" s="19"/>
      <c r="G512" s="28" t="str">
        <f t="shared" si="14"/>
        <v/>
      </c>
      <c r="H512" s="14"/>
      <c r="I512" s="29" t="str">
        <f>IF(OR($C512="",$G512="",$H512&lt;&gt;"Fait"),"",MIN($G512,MAX(0,SUMIFS($G$5:$G512,$C$5:$C512,$C512,$H$5:$H512,"Fait")-SUMIFS(Paiements!$I$5:$I$2000,Paiements!$C$5:$C$2000,$C512,Paiements!$L$5:$L$2000,"Payé"))))</f>
        <v/>
      </c>
      <c r="J512" s="30" t="str">
        <f t="shared" si="15"/>
        <v/>
      </c>
      <c r="K512" s="14"/>
      <c r="L512" s="17" t="str">
        <f>IF(AND($C512&lt;&gt;"",$C512=Controle_Paiement!$B$4,$J512&lt;&gt;"Payé",$J512&lt;&gt;"Annulé",$J512&lt;&gt;""),1,"")</f>
        <v/>
      </c>
    </row>
    <row r="513" spans="1:12" x14ac:dyDescent="0.35">
      <c r="A513" s="18"/>
      <c r="B513" s="27"/>
      <c r="C513" s="14"/>
      <c r="D513" s="14"/>
      <c r="E513" s="19"/>
      <c r="F513" s="19"/>
      <c r="G513" s="28" t="str">
        <f t="shared" si="14"/>
        <v/>
      </c>
      <c r="H513" s="14"/>
      <c r="I513" s="29" t="str">
        <f>IF(OR($C513="",$G513="",$H513&lt;&gt;"Fait"),"",MIN($G513,MAX(0,SUMIFS($G$5:$G513,$C$5:$C513,$C513,$H$5:$H513,"Fait")-SUMIFS(Paiements!$I$5:$I$2000,Paiements!$C$5:$C$2000,$C513,Paiements!$L$5:$L$2000,"Payé"))))</f>
        <v/>
      </c>
      <c r="J513" s="30" t="str">
        <f t="shared" si="15"/>
        <v/>
      </c>
      <c r="K513" s="14"/>
      <c r="L513" s="17" t="str">
        <f>IF(AND($C513&lt;&gt;"",$C513=Controle_Paiement!$B$4,$J513&lt;&gt;"Payé",$J513&lt;&gt;"Annulé",$J513&lt;&gt;""),1,"")</f>
        <v/>
      </c>
    </row>
    <row r="514" spans="1:12" x14ac:dyDescent="0.35">
      <c r="A514" s="18"/>
      <c r="B514" s="27"/>
      <c r="C514" s="14"/>
      <c r="D514" s="14"/>
      <c r="E514" s="19"/>
      <c r="F514" s="19"/>
      <c r="G514" s="28" t="str">
        <f t="shared" si="14"/>
        <v/>
      </c>
      <c r="H514" s="14"/>
      <c r="I514" s="29" t="str">
        <f>IF(OR($C514="",$G514="",$H514&lt;&gt;"Fait"),"",MIN($G514,MAX(0,SUMIFS($G$5:$G514,$C$5:$C514,$C514,$H$5:$H514,"Fait")-SUMIFS(Paiements!$I$5:$I$2000,Paiements!$C$5:$C$2000,$C514,Paiements!$L$5:$L$2000,"Payé"))))</f>
        <v/>
      </c>
      <c r="J514" s="30" t="str">
        <f t="shared" si="15"/>
        <v/>
      </c>
      <c r="K514" s="14"/>
      <c r="L514" s="17" t="str">
        <f>IF(AND($C514&lt;&gt;"",$C514=Controle_Paiement!$B$4,$J514&lt;&gt;"Payé",$J514&lt;&gt;"Annulé",$J514&lt;&gt;""),1,"")</f>
        <v/>
      </c>
    </row>
    <row r="515" spans="1:12" x14ac:dyDescent="0.35">
      <c r="A515" s="18"/>
      <c r="B515" s="27"/>
      <c r="C515" s="14"/>
      <c r="D515" s="14"/>
      <c r="E515" s="19"/>
      <c r="F515" s="19"/>
      <c r="G515" s="28" t="str">
        <f t="shared" ref="G515:G578" si="16">IF(OR($E515="",$F515=""),"",ROUND($E515*$F515,0))</f>
        <v/>
      </c>
      <c r="H515" s="14"/>
      <c r="I515" s="29" t="str">
        <f>IF(OR($C515="",$G515="",$H515&lt;&gt;"Fait"),"",MIN($G515,MAX(0,SUMIFS($G$5:$G515,$C$5:$C515,$C515,$H$5:$H515,"Fait")-SUMIFS(Paiements!$I$5:$I$2000,Paiements!$C$5:$C$2000,$C515,Paiements!$L$5:$L$2000,"Payé"))))</f>
        <v/>
      </c>
      <c r="J515" s="30" t="str">
        <f t="shared" ref="J515:J578" si="17">IF(OR($C515="",$G515=""),"",IF($H515="Annulé","Annulé",IF($H515&lt;&gt;"Fait","Non payable (déchargement non fait)",IF($I515=0,"Payé",IF($I515&lt;$G515,"Partiellement payé","À payer")))))</f>
        <v/>
      </c>
      <c r="K515" s="14"/>
      <c r="L515" s="17" t="str">
        <f>IF(AND($C515&lt;&gt;"",$C515=Controle_Paiement!$B$4,$J515&lt;&gt;"Payé",$J515&lt;&gt;"Annulé",$J515&lt;&gt;""),1,"")</f>
        <v/>
      </c>
    </row>
    <row r="516" spans="1:12" x14ac:dyDescent="0.35">
      <c r="A516" s="18"/>
      <c r="B516" s="27"/>
      <c r="C516" s="14"/>
      <c r="D516" s="14"/>
      <c r="E516" s="19"/>
      <c r="F516" s="19"/>
      <c r="G516" s="28" t="str">
        <f t="shared" si="16"/>
        <v/>
      </c>
      <c r="H516" s="14"/>
      <c r="I516" s="29" t="str">
        <f>IF(OR($C516="",$G516="",$H516&lt;&gt;"Fait"),"",MIN($G516,MAX(0,SUMIFS($G$5:$G516,$C$5:$C516,$C516,$H$5:$H516,"Fait")-SUMIFS(Paiements!$I$5:$I$2000,Paiements!$C$5:$C$2000,$C516,Paiements!$L$5:$L$2000,"Payé"))))</f>
        <v/>
      </c>
      <c r="J516" s="30" t="str">
        <f t="shared" si="17"/>
        <v/>
      </c>
      <c r="K516" s="14"/>
      <c r="L516" s="17" t="str">
        <f>IF(AND($C516&lt;&gt;"",$C516=Controle_Paiement!$B$4,$J516&lt;&gt;"Payé",$J516&lt;&gt;"Annulé",$J516&lt;&gt;""),1,"")</f>
        <v/>
      </c>
    </row>
    <row r="517" spans="1:12" x14ac:dyDescent="0.35">
      <c r="A517" s="18"/>
      <c r="B517" s="27"/>
      <c r="C517" s="14"/>
      <c r="D517" s="14"/>
      <c r="E517" s="19"/>
      <c r="F517" s="19"/>
      <c r="G517" s="28" t="str">
        <f t="shared" si="16"/>
        <v/>
      </c>
      <c r="H517" s="14"/>
      <c r="I517" s="29" t="str">
        <f>IF(OR($C517="",$G517="",$H517&lt;&gt;"Fait"),"",MIN($G517,MAX(0,SUMIFS($G$5:$G517,$C$5:$C517,$C517,$H$5:$H517,"Fait")-SUMIFS(Paiements!$I$5:$I$2000,Paiements!$C$5:$C$2000,$C517,Paiements!$L$5:$L$2000,"Payé"))))</f>
        <v/>
      </c>
      <c r="J517" s="30" t="str">
        <f t="shared" si="17"/>
        <v/>
      </c>
      <c r="K517" s="14"/>
      <c r="L517" s="17" t="str">
        <f>IF(AND($C517&lt;&gt;"",$C517=Controle_Paiement!$B$4,$J517&lt;&gt;"Payé",$J517&lt;&gt;"Annulé",$J517&lt;&gt;""),1,"")</f>
        <v/>
      </c>
    </row>
    <row r="518" spans="1:12" x14ac:dyDescent="0.35">
      <c r="A518" s="18"/>
      <c r="B518" s="27"/>
      <c r="C518" s="14"/>
      <c r="D518" s="14"/>
      <c r="E518" s="19"/>
      <c r="F518" s="19"/>
      <c r="G518" s="28" t="str">
        <f t="shared" si="16"/>
        <v/>
      </c>
      <c r="H518" s="14"/>
      <c r="I518" s="29" t="str">
        <f>IF(OR($C518="",$G518="",$H518&lt;&gt;"Fait"),"",MIN($G518,MAX(0,SUMIFS($G$5:$G518,$C$5:$C518,$C518,$H$5:$H518,"Fait")-SUMIFS(Paiements!$I$5:$I$2000,Paiements!$C$5:$C$2000,$C518,Paiements!$L$5:$L$2000,"Payé"))))</f>
        <v/>
      </c>
      <c r="J518" s="30" t="str">
        <f t="shared" si="17"/>
        <v/>
      </c>
      <c r="K518" s="14"/>
      <c r="L518" s="17" t="str">
        <f>IF(AND($C518&lt;&gt;"",$C518=Controle_Paiement!$B$4,$J518&lt;&gt;"Payé",$J518&lt;&gt;"Annulé",$J518&lt;&gt;""),1,"")</f>
        <v/>
      </c>
    </row>
    <row r="519" spans="1:12" x14ac:dyDescent="0.35">
      <c r="A519" s="18"/>
      <c r="B519" s="27"/>
      <c r="C519" s="14"/>
      <c r="D519" s="14"/>
      <c r="E519" s="19"/>
      <c r="F519" s="19"/>
      <c r="G519" s="28" t="str">
        <f t="shared" si="16"/>
        <v/>
      </c>
      <c r="H519" s="14"/>
      <c r="I519" s="29" t="str">
        <f>IF(OR($C519="",$G519="",$H519&lt;&gt;"Fait"),"",MIN($G519,MAX(0,SUMIFS($G$5:$G519,$C$5:$C519,$C519,$H$5:$H519,"Fait")-SUMIFS(Paiements!$I$5:$I$2000,Paiements!$C$5:$C$2000,$C519,Paiements!$L$5:$L$2000,"Payé"))))</f>
        <v/>
      </c>
      <c r="J519" s="30" t="str">
        <f t="shared" si="17"/>
        <v/>
      </c>
      <c r="K519" s="14"/>
      <c r="L519" s="17" t="str">
        <f>IF(AND($C519&lt;&gt;"",$C519=Controle_Paiement!$B$4,$J519&lt;&gt;"Payé",$J519&lt;&gt;"Annulé",$J519&lt;&gt;""),1,"")</f>
        <v/>
      </c>
    </row>
    <row r="520" spans="1:12" x14ac:dyDescent="0.35">
      <c r="A520" s="18"/>
      <c r="B520" s="27"/>
      <c r="C520" s="14"/>
      <c r="D520" s="14"/>
      <c r="E520" s="19"/>
      <c r="F520" s="19"/>
      <c r="G520" s="28" t="str">
        <f t="shared" si="16"/>
        <v/>
      </c>
      <c r="H520" s="14"/>
      <c r="I520" s="29" t="str">
        <f>IF(OR($C520="",$G520="",$H520&lt;&gt;"Fait"),"",MIN($G520,MAX(0,SUMIFS($G$5:$G520,$C$5:$C520,$C520,$H$5:$H520,"Fait")-SUMIFS(Paiements!$I$5:$I$2000,Paiements!$C$5:$C$2000,$C520,Paiements!$L$5:$L$2000,"Payé"))))</f>
        <v/>
      </c>
      <c r="J520" s="30" t="str">
        <f t="shared" si="17"/>
        <v/>
      </c>
      <c r="K520" s="14"/>
      <c r="L520" s="17" t="str">
        <f>IF(AND($C520&lt;&gt;"",$C520=Controle_Paiement!$B$4,$J520&lt;&gt;"Payé",$J520&lt;&gt;"Annulé",$J520&lt;&gt;""),1,"")</f>
        <v/>
      </c>
    </row>
    <row r="521" spans="1:12" x14ac:dyDescent="0.35">
      <c r="A521" s="18"/>
      <c r="B521" s="27"/>
      <c r="C521" s="14"/>
      <c r="D521" s="14"/>
      <c r="E521" s="19"/>
      <c r="F521" s="19"/>
      <c r="G521" s="28" t="str">
        <f t="shared" si="16"/>
        <v/>
      </c>
      <c r="H521" s="14"/>
      <c r="I521" s="29" t="str">
        <f>IF(OR($C521="",$G521="",$H521&lt;&gt;"Fait"),"",MIN($G521,MAX(0,SUMIFS($G$5:$G521,$C$5:$C521,$C521,$H$5:$H521,"Fait")-SUMIFS(Paiements!$I$5:$I$2000,Paiements!$C$5:$C$2000,$C521,Paiements!$L$5:$L$2000,"Payé"))))</f>
        <v/>
      </c>
      <c r="J521" s="30" t="str">
        <f t="shared" si="17"/>
        <v/>
      </c>
      <c r="K521" s="14"/>
      <c r="L521" s="17" t="str">
        <f>IF(AND($C521&lt;&gt;"",$C521=Controle_Paiement!$B$4,$J521&lt;&gt;"Payé",$J521&lt;&gt;"Annulé",$J521&lt;&gt;""),1,"")</f>
        <v/>
      </c>
    </row>
    <row r="522" spans="1:12" x14ac:dyDescent="0.35">
      <c r="A522" s="18"/>
      <c r="B522" s="27"/>
      <c r="C522" s="14"/>
      <c r="D522" s="14"/>
      <c r="E522" s="19"/>
      <c r="F522" s="19"/>
      <c r="G522" s="28" t="str">
        <f t="shared" si="16"/>
        <v/>
      </c>
      <c r="H522" s="14"/>
      <c r="I522" s="29" t="str">
        <f>IF(OR($C522="",$G522="",$H522&lt;&gt;"Fait"),"",MIN($G522,MAX(0,SUMIFS($G$5:$G522,$C$5:$C522,$C522,$H$5:$H522,"Fait")-SUMIFS(Paiements!$I$5:$I$2000,Paiements!$C$5:$C$2000,$C522,Paiements!$L$5:$L$2000,"Payé"))))</f>
        <v/>
      </c>
      <c r="J522" s="30" t="str">
        <f t="shared" si="17"/>
        <v/>
      </c>
      <c r="K522" s="14"/>
      <c r="L522" s="17" t="str">
        <f>IF(AND($C522&lt;&gt;"",$C522=Controle_Paiement!$B$4,$J522&lt;&gt;"Payé",$J522&lt;&gt;"Annulé",$J522&lt;&gt;""),1,"")</f>
        <v/>
      </c>
    </row>
    <row r="523" spans="1:12" x14ac:dyDescent="0.35">
      <c r="A523" s="18"/>
      <c r="B523" s="27"/>
      <c r="C523" s="14"/>
      <c r="D523" s="14"/>
      <c r="E523" s="19"/>
      <c r="F523" s="19"/>
      <c r="G523" s="28" t="str">
        <f t="shared" si="16"/>
        <v/>
      </c>
      <c r="H523" s="14"/>
      <c r="I523" s="29" t="str">
        <f>IF(OR($C523="",$G523="",$H523&lt;&gt;"Fait"),"",MIN($G523,MAX(0,SUMIFS($G$5:$G523,$C$5:$C523,$C523,$H$5:$H523,"Fait")-SUMIFS(Paiements!$I$5:$I$2000,Paiements!$C$5:$C$2000,$C523,Paiements!$L$5:$L$2000,"Payé"))))</f>
        <v/>
      </c>
      <c r="J523" s="30" t="str">
        <f t="shared" si="17"/>
        <v/>
      </c>
      <c r="K523" s="14"/>
      <c r="L523" s="17" t="str">
        <f>IF(AND($C523&lt;&gt;"",$C523=Controle_Paiement!$B$4,$J523&lt;&gt;"Payé",$J523&lt;&gt;"Annulé",$J523&lt;&gt;""),1,"")</f>
        <v/>
      </c>
    </row>
    <row r="524" spans="1:12" x14ac:dyDescent="0.35">
      <c r="A524" s="18"/>
      <c r="B524" s="27"/>
      <c r="C524" s="14"/>
      <c r="D524" s="14"/>
      <c r="E524" s="19"/>
      <c r="F524" s="19"/>
      <c r="G524" s="28" t="str">
        <f t="shared" si="16"/>
        <v/>
      </c>
      <c r="H524" s="14"/>
      <c r="I524" s="29" t="str">
        <f>IF(OR($C524="",$G524="",$H524&lt;&gt;"Fait"),"",MIN($G524,MAX(0,SUMIFS($G$5:$G524,$C$5:$C524,$C524,$H$5:$H524,"Fait")-SUMIFS(Paiements!$I$5:$I$2000,Paiements!$C$5:$C$2000,$C524,Paiements!$L$5:$L$2000,"Payé"))))</f>
        <v/>
      </c>
      <c r="J524" s="30" t="str">
        <f t="shared" si="17"/>
        <v/>
      </c>
      <c r="K524" s="14"/>
      <c r="L524" s="17" t="str">
        <f>IF(AND($C524&lt;&gt;"",$C524=Controle_Paiement!$B$4,$J524&lt;&gt;"Payé",$J524&lt;&gt;"Annulé",$J524&lt;&gt;""),1,"")</f>
        <v/>
      </c>
    </row>
    <row r="525" spans="1:12" x14ac:dyDescent="0.35">
      <c r="A525" s="18"/>
      <c r="B525" s="27"/>
      <c r="C525" s="14"/>
      <c r="D525" s="14"/>
      <c r="E525" s="19"/>
      <c r="F525" s="19"/>
      <c r="G525" s="28" t="str">
        <f t="shared" si="16"/>
        <v/>
      </c>
      <c r="H525" s="14"/>
      <c r="I525" s="29" t="str">
        <f>IF(OR($C525="",$G525="",$H525&lt;&gt;"Fait"),"",MIN($G525,MAX(0,SUMIFS($G$5:$G525,$C$5:$C525,$C525,$H$5:$H525,"Fait")-SUMIFS(Paiements!$I$5:$I$2000,Paiements!$C$5:$C$2000,$C525,Paiements!$L$5:$L$2000,"Payé"))))</f>
        <v/>
      </c>
      <c r="J525" s="30" t="str">
        <f t="shared" si="17"/>
        <v/>
      </c>
      <c r="K525" s="14"/>
      <c r="L525" s="17" t="str">
        <f>IF(AND($C525&lt;&gt;"",$C525=Controle_Paiement!$B$4,$J525&lt;&gt;"Payé",$J525&lt;&gt;"Annulé",$J525&lt;&gt;""),1,"")</f>
        <v/>
      </c>
    </row>
    <row r="526" spans="1:12" x14ac:dyDescent="0.35">
      <c r="A526" s="18"/>
      <c r="B526" s="27"/>
      <c r="C526" s="14"/>
      <c r="D526" s="14"/>
      <c r="E526" s="19"/>
      <c r="F526" s="19"/>
      <c r="G526" s="28" t="str">
        <f t="shared" si="16"/>
        <v/>
      </c>
      <c r="H526" s="14"/>
      <c r="I526" s="29" t="str">
        <f>IF(OR($C526="",$G526="",$H526&lt;&gt;"Fait"),"",MIN($G526,MAX(0,SUMIFS($G$5:$G526,$C$5:$C526,$C526,$H$5:$H526,"Fait")-SUMIFS(Paiements!$I$5:$I$2000,Paiements!$C$5:$C$2000,$C526,Paiements!$L$5:$L$2000,"Payé"))))</f>
        <v/>
      </c>
      <c r="J526" s="30" t="str">
        <f t="shared" si="17"/>
        <v/>
      </c>
      <c r="K526" s="14"/>
      <c r="L526" s="17" t="str">
        <f>IF(AND($C526&lt;&gt;"",$C526=Controle_Paiement!$B$4,$J526&lt;&gt;"Payé",$J526&lt;&gt;"Annulé",$J526&lt;&gt;""),1,"")</f>
        <v/>
      </c>
    </row>
    <row r="527" spans="1:12" x14ac:dyDescent="0.35">
      <c r="A527" s="18"/>
      <c r="B527" s="27"/>
      <c r="C527" s="14"/>
      <c r="D527" s="14"/>
      <c r="E527" s="19"/>
      <c r="F527" s="19"/>
      <c r="G527" s="28" t="str">
        <f t="shared" si="16"/>
        <v/>
      </c>
      <c r="H527" s="14"/>
      <c r="I527" s="29" t="str">
        <f>IF(OR($C527="",$G527="",$H527&lt;&gt;"Fait"),"",MIN($G527,MAX(0,SUMIFS($G$5:$G527,$C$5:$C527,$C527,$H$5:$H527,"Fait")-SUMIFS(Paiements!$I$5:$I$2000,Paiements!$C$5:$C$2000,$C527,Paiements!$L$5:$L$2000,"Payé"))))</f>
        <v/>
      </c>
      <c r="J527" s="30" t="str">
        <f t="shared" si="17"/>
        <v/>
      </c>
      <c r="K527" s="14"/>
      <c r="L527" s="17" t="str">
        <f>IF(AND($C527&lt;&gt;"",$C527=Controle_Paiement!$B$4,$J527&lt;&gt;"Payé",$J527&lt;&gt;"Annulé",$J527&lt;&gt;""),1,"")</f>
        <v/>
      </c>
    </row>
    <row r="528" spans="1:12" x14ac:dyDescent="0.35">
      <c r="A528" s="18"/>
      <c r="B528" s="27"/>
      <c r="C528" s="14"/>
      <c r="D528" s="14"/>
      <c r="E528" s="19"/>
      <c r="F528" s="19"/>
      <c r="G528" s="28" t="str">
        <f t="shared" si="16"/>
        <v/>
      </c>
      <c r="H528" s="14"/>
      <c r="I528" s="29" t="str">
        <f>IF(OR($C528="",$G528="",$H528&lt;&gt;"Fait"),"",MIN($G528,MAX(0,SUMIFS($G$5:$G528,$C$5:$C528,$C528,$H$5:$H528,"Fait")-SUMIFS(Paiements!$I$5:$I$2000,Paiements!$C$5:$C$2000,$C528,Paiements!$L$5:$L$2000,"Payé"))))</f>
        <v/>
      </c>
      <c r="J528" s="30" t="str">
        <f t="shared" si="17"/>
        <v/>
      </c>
      <c r="K528" s="14"/>
      <c r="L528" s="17" t="str">
        <f>IF(AND($C528&lt;&gt;"",$C528=Controle_Paiement!$B$4,$J528&lt;&gt;"Payé",$J528&lt;&gt;"Annulé",$J528&lt;&gt;""),1,"")</f>
        <v/>
      </c>
    </row>
    <row r="529" spans="1:12" x14ac:dyDescent="0.35">
      <c r="A529" s="18"/>
      <c r="B529" s="27"/>
      <c r="C529" s="14"/>
      <c r="D529" s="14"/>
      <c r="E529" s="19"/>
      <c r="F529" s="19"/>
      <c r="G529" s="28" t="str">
        <f t="shared" si="16"/>
        <v/>
      </c>
      <c r="H529" s="14"/>
      <c r="I529" s="29" t="str">
        <f>IF(OR($C529="",$G529="",$H529&lt;&gt;"Fait"),"",MIN($G529,MAX(0,SUMIFS($G$5:$G529,$C$5:$C529,$C529,$H$5:$H529,"Fait")-SUMIFS(Paiements!$I$5:$I$2000,Paiements!$C$5:$C$2000,$C529,Paiements!$L$5:$L$2000,"Payé"))))</f>
        <v/>
      </c>
      <c r="J529" s="30" t="str">
        <f t="shared" si="17"/>
        <v/>
      </c>
      <c r="K529" s="14"/>
      <c r="L529" s="17" t="str">
        <f>IF(AND($C529&lt;&gt;"",$C529=Controle_Paiement!$B$4,$J529&lt;&gt;"Payé",$J529&lt;&gt;"Annulé",$J529&lt;&gt;""),1,"")</f>
        <v/>
      </c>
    </row>
    <row r="530" spans="1:12" x14ac:dyDescent="0.35">
      <c r="A530" s="18"/>
      <c r="B530" s="27"/>
      <c r="C530" s="14"/>
      <c r="D530" s="14"/>
      <c r="E530" s="19"/>
      <c r="F530" s="19"/>
      <c r="G530" s="28" t="str">
        <f t="shared" si="16"/>
        <v/>
      </c>
      <c r="H530" s="14"/>
      <c r="I530" s="29" t="str">
        <f>IF(OR($C530="",$G530="",$H530&lt;&gt;"Fait"),"",MIN($G530,MAX(0,SUMIFS($G$5:$G530,$C$5:$C530,$C530,$H$5:$H530,"Fait")-SUMIFS(Paiements!$I$5:$I$2000,Paiements!$C$5:$C$2000,$C530,Paiements!$L$5:$L$2000,"Payé"))))</f>
        <v/>
      </c>
      <c r="J530" s="30" t="str">
        <f t="shared" si="17"/>
        <v/>
      </c>
      <c r="K530" s="14"/>
      <c r="L530" s="17" t="str">
        <f>IF(AND($C530&lt;&gt;"",$C530=Controle_Paiement!$B$4,$J530&lt;&gt;"Payé",$J530&lt;&gt;"Annulé",$J530&lt;&gt;""),1,"")</f>
        <v/>
      </c>
    </row>
    <row r="531" spans="1:12" x14ac:dyDescent="0.35">
      <c r="A531" s="18"/>
      <c r="B531" s="27"/>
      <c r="C531" s="14"/>
      <c r="D531" s="14"/>
      <c r="E531" s="19"/>
      <c r="F531" s="19"/>
      <c r="G531" s="28" t="str">
        <f t="shared" si="16"/>
        <v/>
      </c>
      <c r="H531" s="14"/>
      <c r="I531" s="29" t="str">
        <f>IF(OR($C531="",$G531="",$H531&lt;&gt;"Fait"),"",MIN($G531,MAX(0,SUMIFS($G$5:$G531,$C$5:$C531,$C531,$H$5:$H531,"Fait")-SUMIFS(Paiements!$I$5:$I$2000,Paiements!$C$5:$C$2000,$C531,Paiements!$L$5:$L$2000,"Payé"))))</f>
        <v/>
      </c>
      <c r="J531" s="30" t="str">
        <f t="shared" si="17"/>
        <v/>
      </c>
      <c r="K531" s="14"/>
      <c r="L531" s="17" t="str">
        <f>IF(AND($C531&lt;&gt;"",$C531=Controle_Paiement!$B$4,$J531&lt;&gt;"Payé",$J531&lt;&gt;"Annulé",$J531&lt;&gt;""),1,"")</f>
        <v/>
      </c>
    </row>
    <row r="532" spans="1:12" x14ac:dyDescent="0.35">
      <c r="A532" s="18"/>
      <c r="B532" s="27"/>
      <c r="C532" s="14"/>
      <c r="D532" s="14"/>
      <c r="E532" s="19"/>
      <c r="F532" s="19"/>
      <c r="G532" s="28" t="str">
        <f t="shared" si="16"/>
        <v/>
      </c>
      <c r="H532" s="14"/>
      <c r="I532" s="29" t="str">
        <f>IF(OR($C532="",$G532="",$H532&lt;&gt;"Fait"),"",MIN($G532,MAX(0,SUMIFS($G$5:$G532,$C$5:$C532,$C532,$H$5:$H532,"Fait")-SUMIFS(Paiements!$I$5:$I$2000,Paiements!$C$5:$C$2000,$C532,Paiements!$L$5:$L$2000,"Payé"))))</f>
        <v/>
      </c>
      <c r="J532" s="30" t="str">
        <f t="shared" si="17"/>
        <v/>
      </c>
      <c r="K532" s="14"/>
      <c r="L532" s="17" t="str">
        <f>IF(AND($C532&lt;&gt;"",$C532=Controle_Paiement!$B$4,$J532&lt;&gt;"Payé",$J532&lt;&gt;"Annulé",$J532&lt;&gt;""),1,"")</f>
        <v/>
      </c>
    </row>
    <row r="533" spans="1:12" x14ac:dyDescent="0.35">
      <c r="A533" s="18"/>
      <c r="B533" s="27"/>
      <c r="C533" s="14"/>
      <c r="D533" s="14"/>
      <c r="E533" s="19"/>
      <c r="F533" s="19"/>
      <c r="G533" s="28" t="str">
        <f t="shared" si="16"/>
        <v/>
      </c>
      <c r="H533" s="14"/>
      <c r="I533" s="29" t="str">
        <f>IF(OR($C533="",$G533="",$H533&lt;&gt;"Fait"),"",MIN($G533,MAX(0,SUMIFS($G$5:$G533,$C$5:$C533,$C533,$H$5:$H533,"Fait")-SUMIFS(Paiements!$I$5:$I$2000,Paiements!$C$5:$C$2000,$C533,Paiements!$L$5:$L$2000,"Payé"))))</f>
        <v/>
      </c>
      <c r="J533" s="30" t="str">
        <f t="shared" si="17"/>
        <v/>
      </c>
      <c r="K533" s="14"/>
      <c r="L533" s="17" t="str">
        <f>IF(AND($C533&lt;&gt;"",$C533=Controle_Paiement!$B$4,$J533&lt;&gt;"Payé",$J533&lt;&gt;"Annulé",$J533&lt;&gt;""),1,"")</f>
        <v/>
      </c>
    </row>
    <row r="534" spans="1:12" x14ac:dyDescent="0.35">
      <c r="A534" s="18"/>
      <c r="B534" s="27"/>
      <c r="C534" s="14"/>
      <c r="D534" s="14"/>
      <c r="E534" s="19"/>
      <c r="F534" s="19"/>
      <c r="G534" s="28" t="str">
        <f t="shared" si="16"/>
        <v/>
      </c>
      <c r="H534" s="14"/>
      <c r="I534" s="29" t="str">
        <f>IF(OR($C534="",$G534="",$H534&lt;&gt;"Fait"),"",MIN($G534,MAX(0,SUMIFS($G$5:$G534,$C$5:$C534,$C534,$H$5:$H534,"Fait")-SUMIFS(Paiements!$I$5:$I$2000,Paiements!$C$5:$C$2000,$C534,Paiements!$L$5:$L$2000,"Payé"))))</f>
        <v/>
      </c>
      <c r="J534" s="30" t="str">
        <f t="shared" si="17"/>
        <v/>
      </c>
      <c r="K534" s="14"/>
      <c r="L534" s="17" t="str">
        <f>IF(AND($C534&lt;&gt;"",$C534=Controle_Paiement!$B$4,$J534&lt;&gt;"Payé",$J534&lt;&gt;"Annulé",$J534&lt;&gt;""),1,"")</f>
        <v/>
      </c>
    </row>
    <row r="535" spans="1:12" x14ac:dyDescent="0.35">
      <c r="A535" s="18"/>
      <c r="B535" s="27"/>
      <c r="C535" s="14"/>
      <c r="D535" s="14"/>
      <c r="E535" s="19"/>
      <c r="F535" s="19"/>
      <c r="G535" s="28" t="str">
        <f t="shared" si="16"/>
        <v/>
      </c>
      <c r="H535" s="14"/>
      <c r="I535" s="29" t="str">
        <f>IF(OR($C535="",$G535="",$H535&lt;&gt;"Fait"),"",MIN($G535,MAX(0,SUMIFS($G$5:$G535,$C$5:$C535,$C535,$H$5:$H535,"Fait")-SUMIFS(Paiements!$I$5:$I$2000,Paiements!$C$5:$C$2000,$C535,Paiements!$L$5:$L$2000,"Payé"))))</f>
        <v/>
      </c>
      <c r="J535" s="30" t="str">
        <f t="shared" si="17"/>
        <v/>
      </c>
      <c r="K535" s="14"/>
      <c r="L535" s="17" t="str">
        <f>IF(AND($C535&lt;&gt;"",$C535=Controle_Paiement!$B$4,$J535&lt;&gt;"Payé",$J535&lt;&gt;"Annulé",$J535&lt;&gt;""),1,"")</f>
        <v/>
      </c>
    </row>
    <row r="536" spans="1:12" x14ac:dyDescent="0.35">
      <c r="A536" s="18"/>
      <c r="B536" s="27"/>
      <c r="C536" s="14"/>
      <c r="D536" s="14"/>
      <c r="E536" s="19"/>
      <c r="F536" s="19"/>
      <c r="G536" s="28" t="str">
        <f t="shared" si="16"/>
        <v/>
      </c>
      <c r="H536" s="14"/>
      <c r="I536" s="29" t="str">
        <f>IF(OR($C536="",$G536="",$H536&lt;&gt;"Fait"),"",MIN($G536,MAX(0,SUMIFS($G$5:$G536,$C$5:$C536,$C536,$H$5:$H536,"Fait")-SUMIFS(Paiements!$I$5:$I$2000,Paiements!$C$5:$C$2000,$C536,Paiements!$L$5:$L$2000,"Payé"))))</f>
        <v/>
      </c>
      <c r="J536" s="30" t="str">
        <f t="shared" si="17"/>
        <v/>
      </c>
      <c r="K536" s="14"/>
      <c r="L536" s="17" t="str">
        <f>IF(AND($C536&lt;&gt;"",$C536=Controle_Paiement!$B$4,$J536&lt;&gt;"Payé",$J536&lt;&gt;"Annulé",$J536&lt;&gt;""),1,"")</f>
        <v/>
      </c>
    </row>
    <row r="537" spans="1:12" x14ac:dyDescent="0.35">
      <c r="A537" s="18"/>
      <c r="B537" s="27"/>
      <c r="C537" s="14"/>
      <c r="D537" s="14"/>
      <c r="E537" s="19"/>
      <c r="F537" s="19"/>
      <c r="G537" s="28" t="str">
        <f t="shared" si="16"/>
        <v/>
      </c>
      <c r="H537" s="14"/>
      <c r="I537" s="29" t="str">
        <f>IF(OR($C537="",$G537="",$H537&lt;&gt;"Fait"),"",MIN($G537,MAX(0,SUMIFS($G$5:$G537,$C$5:$C537,$C537,$H$5:$H537,"Fait")-SUMIFS(Paiements!$I$5:$I$2000,Paiements!$C$5:$C$2000,$C537,Paiements!$L$5:$L$2000,"Payé"))))</f>
        <v/>
      </c>
      <c r="J537" s="30" t="str">
        <f t="shared" si="17"/>
        <v/>
      </c>
      <c r="K537" s="14"/>
      <c r="L537" s="17" t="str">
        <f>IF(AND($C537&lt;&gt;"",$C537=Controle_Paiement!$B$4,$J537&lt;&gt;"Payé",$J537&lt;&gt;"Annulé",$J537&lt;&gt;""),1,"")</f>
        <v/>
      </c>
    </row>
    <row r="538" spans="1:12" x14ac:dyDescent="0.35">
      <c r="A538" s="18"/>
      <c r="B538" s="27"/>
      <c r="C538" s="14"/>
      <c r="D538" s="14"/>
      <c r="E538" s="19"/>
      <c r="F538" s="19"/>
      <c r="G538" s="28" t="str">
        <f t="shared" si="16"/>
        <v/>
      </c>
      <c r="H538" s="14"/>
      <c r="I538" s="29" t="str">
        <f>IF(OR($C538="",$G538="",$H538&lt;&gt;"Fait"),"",MIN($G538,MAX(0,SUMIFS($G$5:$G538,$C$5:$C538,$C538,$H$5:$H538,"Fait")-SUMIFS(Paiements!$I$5:$I$2000,Paiements!$C$5:$C$2000,$C538,Paiements!$L$5:$L$2000,"Payé"))))</f>
        <v/>
      </c>
      <c r="J538" s="30" t="str">
        <f t="shared" si="17"/>
        <v/>
      </c>
      <c r="K538" s="14"/>
      <c r="L538" s="17" t="str">
        <f>IF(AND($C538&lt;&gt;"",$C538=Controle_Paiement!$B$4,$J538&lt;&gt;"Payé",$J538&lt;&gt;"Annulé",$J538&lt;&gt;""),1,"")</f>
        <v/>
      </c>
    </row>
    <row r="539" spans="1:12" x14ac:dyDescent="0.35">
      <c r="A539" s="18"/>
      <c r="B539" s="27"/>
      <c r="C539" s="14"/>
      <c r="D539" s="14"/>
      <c r="E539" s="19"/>
      <c r="F539" s="19"/>
      <c r="G539" s="28" t="str">
        <f t="shared" si="16"/>
        <v/>
      </c>
      <c r="H539" s="14"/>
      <c r="I539" s="29" t="str">
        <f>IF(OR($C539="",$G539="",$H539&lt;&gt;"Fait"),"",MIN($G539,MAX(0,SUMIFS($G$5:$G539,$C$5:$C539,$C539,$H$5:$H539,"Fait")-SUMIFS(Paiements!$I$5:$I$2000,Paiements!$C$5:$C$2000,$C539,Paiements!$L$5:$L$2000,"Payé"))))</f>
        <v/>
      </c>
      <c r="J539" s="30" t="str">
        <f t="shared" si="17"/>
        <v/>
      </c>
      <c r="K539" s="14"/>
      <c r="L539" s="17" t="str">
        <f>IF(AND($C539&lt;&gt;"",$C539=Controle_Paiement!$B$4,$J539&lt;&gt;"Payé",$J539&lt;&gt;"Annulé",$J539&lt;&gt;""),1,"")</f>
        <v/>
      </c>
    </row>
    <row r="540" spans="1:12" x14ac:dyDescent="0.35">
      <c r="A540" s="18"/>
      <c r="B540" s="27"/>
      <c r="C540" s="14"/>
      <c r="D540" s="14"/>
      <c r="E540" s="19"/>
      <c r="F540" s="19"/>
      <c r="G540" s="28" t="str">
        <f t="shared" si="16"/>
        <v/>
      </c>
      <c r="H540" s="14"/>
      <c r="I540" s="29" t="str">
        <f>IF(OR($C540="",$G540="",$H540&lt;&gt;"Fait"),"",MIN($G540,MAX(0,SUMIFS($G$5:$G540,$C$5:$C540,$C540,$H$5:$H540,"Fait")-SUMIFS(Paiements!$I$5:$I$2000,Paiements!$C$5:$C$2000,$C540,Paiements!$L$5:$L$2000,"Payé"))))</f>
        <v/>
      </c>
      <c r="J540" s="30" t="str">
        <f t="shared" si="17"/>
        <v/>
      </c>
      <c r="K540" s="14"/>
      <c r="L540" s="17" t="str">
        <f>IF(AND($C540&lt;&gt;"",$C540=Controle_Paiement!$B$4,$J540&lt;&gt;"Payé",$J540&lt;&gt;"Annulé",$J540&lt;&gt;""),1,"")</f>
        <v/>
      </c>
    </row>
    <row r="541" spans="1:12" x14ac:dyDescent="0.35">
      <c r="A541" s="18"/>
      <c r="B541" s="27"/>
      <c r="C541" s="14"/>
      <c r="D541" s="14"/>
      <c r="E541" s="19"/>
      <c r="F541" s="19"/>
      <c r="G541" s="28" t="str">
        <f t="shared" si="16"/>
        <v/>
      </c>
      <c r="H541" s="14"/>
      <c r="I541" s="29" t="str">
        <f>IF(OR($C541="",$G541="",$H541&lt;&gt;"Fait"),"",MIN($G541,MAX(0,SUMIFS($G$5:$G541,$C$5:$C541,$C541,$H$5:$H541,"Fait")-SUMIFS(Paiements!$I$5:$I$2000,Paiements!$C$5:$C$2000,$C541,Paiements!$L$5:$L$2000,"Payé"))))</f>
        <v/>
      </c>
      <c r="J541" s="30" t="str">
        <f t="shared" si="17"/>
        <v/>
      </c>
      <c r="K541" s="14"/>
      <c r="L541" s="17" t="str">
        <f>IF(AND($C541&lt;&gt;"",$C541=Controle_Paiement!$B$4,$J541&lt;&gt;"Payé",$J541&lt;&gt;"Annulé",$J541&lt;&gt;""),1,"")</f>
        <v/>
      </c>
    </row>
    <row r="542" spans="1:12" x14ac:dyDescent="0.35">
      <c r="A542" s="18"/>
      <c r="B542" s="27"/>
      <c r="C542" s="14"/>
      <c r="D542" s="14"/>
      <c r="E542" s="19"/>
      <c r="F542" s="19"/>
      <c r="G542" s="28" t="str">
        <f t="shared" si="16"/>
        <v/>
      </c>
      <c r="H542" s="14"/>
      <c r="I542" s="29" t="str">
        <f>IF(OR($C542="",$G542="",$H542&lt;&gt;"Fait"),"",MIN($G542,MAX(0,SUMIFS($G$5:$G542,$C$5:$C542,$C542,$H$5:$H542,"Fait")-SUMIFS(Paiements!$I$5:$I$2000,Paiements!$C$5:$C$2000,$C542,Paiements!$L$5:$L$2000,"Payé"))))</f>
        <v/>
      </c>
      <c r="J542" s="30" t="str">
        <f t="shared" si="17"/>
        <v/>
      </c>
      <c r="K542" s="14"/>
      <c r="L542" s="17" t="str">
        <f>IF(AND($C542&lt;&gt;"",$C542=Controle_Paiement!$B$4,$J542&lt;&gt;"Payé",$J542&lt;&gt;"Annulé",$J542&lt;&gt;""),1,"")</f>
        <v/>
      </c>
    </row>
    <row r="543" spans="1:12" x14ac:dyDescent="0.35">
      <c r="A543" s="18"/>
      <c r="B543" s="27"/>
      <c r="C543" s="14"/>
      <c r="D543" s="14"/>
      <c r="E543" s="19"/>
      <c r="F543" s="19"/>
      <c r="G543" s="28" t="str">
        <f t="shared" si="16"/>
        <v/>
      </c>
      <c r="H543" s="14"/>
      <c r="I543" s="29" t="str">
        <f>IF(OR($C543="",$G543="",$H543&lt;&gt;"Fait"),"",MIN($G543,MAX(0,SUMIFS($G$5:$G543,$C$5:$C543,$C543,$H$5:$H543,"Fait")-SUMIFS(Paiements!$I$5:$I$2000,Paiements!$C$5:$C$2000,$C543,Paiements!$L$5:$L$2000,"Payé"))))</f>
        <v/>
      </c>
      <c r="J543" s="30" t="str">
        <f t="shared" si="17"/>
        <v/>
      </c>
      <c r="K543" s="14"/>
      <c r="L543" s="17" t="str">
        <f>IF(AND($C543&lt;&gt;"",$C543=Controle_Paiement!$B$4,$J543&lt;&gt;"Payé",$J543&lt;&gt;"Annulé",$J543&lt;&gt;""),1,"")</f>
        <v/>
      </c>
    </row>
    <row r="544" spans="1:12" x14ac:dyDescent="0.35">
      <c r="A544" s="18"/>
      <c r="B544" s="27"/>
      <c r="C544" s="14"/>
      <c r="D544" s="14"/>
      <c r="E544" s="19"/>
      <c r="F544" s="19"/>
      <c r="G544" s="28" t="str">
        <f t="shared" si="16"/>
        <v/>
      </c>
      <c r="H544" s="14"/>
      <c r="I544" s="29" t="str">
        <f>IF(OR($C544="",$G544="",$H544&lt;&gt;"Fait"),"",MIN($G544,MAX(0,SUMIFS($G$5:$G544,$C$5:$C544,$C544,$H$5:$H544,"Fait")-SUMIFS(Paiements!$I$5:$I$2000,Paiements!$C$5:$C$2000,$C544,Paiements!$L$5:$L$2000,"Payé"))))</f>
        <v/>
      </c>
      <c r="J544" s="30" t="str">
        <f t="shared" si="17"/>
        <v/>
      </c>
      <c r="K544" s="14"/>
      <c r="L544" s="17" t="str">
        <f>IF(AND($C544&lt;&gt;"",$C544=Controle_Paiement!$B$4,$J544&lt;&gt;"Payé",$J544&lt;&gt;"Annulé",$J544&lt;&gt;""),1,"")</f>
        <v/>
      </c>
    </row>
    <row r="545" spans="1:12" x14ac:dyDescent="0.35">
      <c r="A545" s="18"/>
      <c r="B545" s="27"/>
      <c r="C545" s="14"/>
      <c r="D545" s="14"/>
      <c r="E545" s="19"/>
      <c r="F545" s="19"/>
      <c r="G545" s="28" t="str">
        <f t="shared" si="16"/>
        <v/>
      </c>
      <c r="H545" s="14"/>
      <c r="I545" s="29" t="str">
        <f>IF(OR($C545="",$G545="",$H545&lt;&gt;"Fait"),"",MIN($G545,MAX(0,SUMIFS($G$5:$G545,$C$5:$C545,$C545,$H$5:$H545,"Fait")-SUMIFS(Paiements!$I$5:$I$2000,Paiements!$C$5:$C$2000,$C545,Paiements!$L$5:$L$2000,"Payé"))))</f>
        <v/>
      </c>
      <c r="J545" s="30" t="str">
        <f t="shared" si="17"/>
        <v/>
      </c>
      <c r="K545" s="14"/>
      <c r="L545" s="17" t="str">
        <f>IF(AND($C545&lt;&gt;"",$C545=Controle_Paiement!$B$4,$J545&lt;&gt;"Payé",$J545&lt;&gt;"Annulé",$J545&lt;&gt;""),1,"")</f>
        <v/>
      </c>
    </row>
    <row r="546" spans="1:12" x14ac:dyDescent="0.35">
      <c r="A546" s="18"/>
      <c r="B546" s="27"/>
      <c r="C546" s="14"/>
      <c r="D546" s="14"/>
      <c r="E546" s="19"/>
      <c r="F546" s="19"/>
      <c r="G546" s="28" t="str">
        <f t="shared" si="16"/>
        <v/>
      </c>
      <c r="H546" s="14"/>
      <c r="I546" s="29" t="str">
        <f>IF(OR($C546="",$G546="",$H546&lt;&gt;"Fait"),"",MIN($G546,MAX(0,SUMIFS($G$5:$G546,$C$5:$C546,$C546,$H$5:$H546,"Fait")-SUMIFS(Paiements!$I$5:$I$2000,Paiements!$C$5:$C$2000,$C546,Paiements!$L$5:$L$2000,"Payé"))))</f>
        <v/>
      </c>
      <c r="J546" s="30" t="str">
        <f t="shared" si="17"/>
        <v/>
      </c>
      <c r="K546" s="14"/>
      <c r="L546" s="17" t="str">
        <f>IF(AND($C546&lt;&gt;"",$C546=Controle_Paiement!$B$4,$J546&lt;&gt;"Payé",$J546&lt;&gt;"Annulé",$J546&lt;&gt;""),1,"")</f>
        <v/>
      </c>
    </row>
    <row r="547" spans="1:12" x14ac:dyDescent="0.35">
      <c r="A547" s="18"/>
      <c r="B547" s="27"/>
      <c r="C547" s="14"/>
      <c r="D547" s="14"/>
      <c r="E547" s="19"/>
      <c r="F547" s="19"/>
      <c r="G547" s="28" t="str">
        <f t="shared" si="16"/>
        <v/>
      </c>
      <c r="H547" s="14"/>
      <c r="I547" s="29" t="str">
        <f>IF(OR($C547="",$G547="",$H547&lt;&gt;"Fait"),"",MIN($G547,MAX(0,SUMIFS($G$5:$G547,$C$5:$C547,$C547,$H$5:$H547,"Fait")-SUMIFS(Paiements!$I$5:$I$2000,Paiements!$C$5:$C$2000,$C547,Paiements!$L$5:$L$2000,"Payé"))))</f>
        <v/>
      </c>
      <c r="J547" s="30" t="str">
        <f t="shared" si="17"/>
        <v/>
      </c>
      <c r="K547" s="14"/>
      <c r="L547" s="17" t="str">
        <f>IF(AND($C547&lt;&gt;"",$C547=Controle_Paiement!$B$4,$J547&lt;&gt;"Payé",$J547&lt;&gt;"Annulé",$J547&lt;&gt;""),1,"")</f>
        <v/>
      </c>
    </row>
    <row r="548" spans="1:12" x14ac:dyDescent="0.35">
      <c r="A548" s="18"/>
      <c r="B548" s="27"/>
      <c r="C548" s="14"/>
      <c r="D548" s="14"/>
      <c r="E548" s="19"/>
      <c r="F548" s="19"/>
      <c r="G548" s="28" t="str">
        <f t="shared" si="16"/>
        <v/>
      </c>
      <c r="H548" s="14"/>
      <c r="I548" s="29" t="str">
        <f>IF(OR($C548="",$G548="",$H548&lt;&gt;"Fait"),"",MIN($G548,MAX(0,SUMIFS($G$5:$G548,$C$5:$C548,$C548,$H$5:$H548,"Fait")-SUMIFS(Paiements!$I$5:$I$2000,Paiements!$C$5:$C$2000,$C548,Paiements!$L$5:$L$2000,"Payé"))))</f>
        <v/>
      </c>
      <c r="J548" s="30" t="str">
        <f t="shared" si="17"/>
        <v/>
      </c>
      <c r="K548" s="14"/>
      <c r="L548" s="17" t="str">
        <f>IF(AND($C548&lt;&gt;"",$C548=Controle_Paiement!$B$4,$J548&lt;&gt;"Payé",$J548&lt;&gt;"Annulé",$J548&lt;&gt;""),1,"")</f>
        <v/>
      </c>
    </row>
    <row r="549" spans="1:12" x14ac:dyDescent="0.35">
      <c r="A549" s="18"/>
      <c r="B549" s="27"/>
      <c r="C549" s="14"/>
      <c r="D549" s="14"/>
      <c r="E549" s="19"/>
      <c r="F549" s="19"/>
      <c r="G549" s="28" t="str">
        <f t="shared" si="16"/>
        <v/>
      </c>
      <c r="H549" s="14"/>
      <c r="I549" s="29" t="str">
        <f>IF(OR($C549="",$G549="",$H549&lt;&gt;"Fait"),"",MIN($G549,MAX(0,SUMIFS($G$5:$G549,$C$5:$C549,$C549,$H$5:$H549,"Fait")-SUMIFS(Paiements!$I$5:$I$2000,Paiements!$C$5:$C$2000,$C549,Paiements!$L$5:$L$2000,"Payé"))))</f>
        <v/>
      </c>
      <c r="J549" s="30" t="str">
        <f t="shared" si="17"/>
        <v/>
      </c>
      <c r="K549" s="14"/>
      <c r="L549" s="17" t="str">
        <f>IF(AND($C549&lt;&gt;"",$C549=Controle_Paiement!$B$4,$J549&lt;&gt;"Payé",$J549&lt;&gt;"Annulé",$J549&lt;&gt;""),1,"")</f>
        <v/>
      </c>
    </row>
    <row r="550" spans="1:12" x14ac:dyDescent="0.35">
      <c r="A550" s="18"/>
      <c r="B550" s="27"/>
      <c r="C550" s="14"/>
      <c r="D550" s="14"/>
      <c r="E550" s="19"/>
      <c r="F550" s="19"/>
      <c r="G550" s="28" t="str">
        <f t="shared" si="16"/>
        <v/>
      </c>
      <c r="H550" s="14"/>
      <c r="I550" s="29" t="str">
        <f>IF(OR($C550="",$G550="",$H550&lt;&gt;"Fait"),"",MIN($G550,MAX(0,SUMIFS($G$5:$G550,$C$5:$C550,$C550,$H$5:$H550,"Fait")-SUMIFS(Paiements!$I$5:$I$2000,Paiements!$C$5:$C$2000,$C550,Paiements!$L$5:$L$2000,"Payé"))))</f>
        <v/>
      </c>
      <c r="J550" s="30" t="str">
        <f t="shared" si="17"/>
        <v/>
      </c>
      <c r="K550" s="14"/>
      <c r="L550" s="17" t="str">
        <f>IF(AND($C550&lt;&gt;"",$C550=Controle_Paiement!$B$4,$J550&lt;&gt;"Payé",$J550&lt;&gt;"Annulé",$J550&lt;&gt;""),1,"")</f>
        <v/>
      </c>
    </row>
    <row r="551" spans="1:12" x14ac:dyDescent="0.35">
      <c r="A551" s="18"/>
      <c r="B551" s="27"/>
      <c r="C551" s="14"/>
      <c r="D551" s="14"/>
      <c r="E551" s="19"/>
      <c r="F551" s="19"/>
      <c r="G551" s="28" t="str">
        <f t="shared" si="16"/>
        <v/>
      </c>
      <c r="H551" s="14"/>
      <c r="I551" s="29" t="str">
        <f>IF(OR($C551="",$G551="",$H551&lt;&gt;"Fait"),"",MIN($G551,MAX(0,SUMIFS($G$5:$G551,$C$5:$C551,$C551,$H$5:$H551,"Fait")-SUMIFS(Paiements!$I$5:$I$2000,Paiements!$C$5:$C$2000,$C551,Paiements!$L$5:$L$2000,"Payé"))))</f>
        <v/>
      </c>
      <c r="J551" s="30" t="str">
        <f t="shared" si="17"/>
        <v/>
      </c>
      <c r="K551" s="14"/>
      <c r="L551" s="17" t="str">
        <f>IF(AND($C551&lt;&gt;"",$C551=Controle_Paiement!$B$4,$J551&lt;&gt;"Payé",$J551&lt;&gt;"Annulé",$J551&lt;&gt;""),1,"")</f>
        <v/>
      </c>
    </row>
    <row r="552" spans="1:12" x14ac:dyDescent="0.35">
      <c r="A552" s="18"/>
      <c r="B552" s="27"/>
      <c r="C552" s="14"/>
      <c r="D552" s="14"/>
      <c r="E552" s="19"/>
      <c r="F552" s="19"/>
      <c r="G552" s="28" t="str">
        <f t="shared" si="16"/>
        <v/>
      </c>
      <c r="H552" s="14"/>
      <c r="I552" s="29" t="str">
        <f>IF(OR($C552="",$G552="",$H552&lt;&gt;"Fait"),"",MIN($G552,MAX(0,SUMIFS($G$5:$G552,$C$5:$C552,$C552,$H$5:$H552,"Fait")-SUMIFS(Paiements!$I$5:$I$2000,Paiements!$C$5:$C$2000,$C552,Paiements!$L$5:$L$2000,"Payé"))))</f>
        <v/>
      </c>
      <c r="J552" s="30" t="str">
        <f t="shared" si="17"/>
        <v/>
      </c>
      <c r="K552" s="14"/>
      <c r="L552" s="17" t="str">
        <f>IF(AND($C552&lt;&gt;"",$C552=Controle_Paiement!$B$4,$J552&lt;&gt;"Payé",$J552&lt;&gt;"Annulé",$J552&lt;&gt;""),1,"")</f>
        <v/>
      </c>
    </row>
    <row r="553" spans="1:12" x14ac:dyDescent="0.35">
      <c r="A553" s="18"/>
      <c r="B553" s="27"/>
      <c r="C553" s="14"/>
      <c r="D553" s="14"/>
      <c r="E553" s="19"/>
      <c r="F553" s="19"/>
      <c r="G553" s="28" t="str">
        <f t="shared" si="16"/>
        <v/>
      </c>
      <c r="H553" s="14"/>
      <c r="I553" s="29" t="str">
        <f>IF(OR($C553="",$G553="",$H553&lt;&gt;"Fait"),"",MIN($G553,MAX(0,SUMIFS($G$5:$G553,$C$5:$C553,$C553,$H$5:$H553,"Fait")-SUMIFS(Paiements!$I$5:$I$2000,Paiements!$C$5:$C$2000,$C553,Paiements!$L$5:$L$2000,"Payé"))))</f>
        <v/>
      </c>
      <c r="J553" s="30" t="str">
        <f t="shared" si="17"/>
        <v/>
      </c>
      <c r="K553" s="14"/>
      <c r="L553" s="17" t="str">
        <f>IF(AND($C553&lt;&gt;"",$C553=Controle_Paiement!$B$4,$J553&lt;&gt;"Payé",$J553&lt;&gt;"Annulé",$J553&lt;&gt;""),1,"")</f>
        <v/>
      </c>
    </row>
    <row r="554" spans="1:12" x14ac:dyDescent="0.35">
      <c r="A554" s="18"/>
      <c r="B554" s="27"/>
      <c r="C554" s="14"/>
      <c r="D554" s="14"/>
      <c r="E554" s="19"/>
      <c r="F554" s="19"/>
      <c r="G554" s="28" t="str">
        <f t="shared" si="16"/>
        <v/>
      </c>
      <c r="H554" s="14"/>
      <c r="I554" s="29" t="str">
        <f>IF(OR($C554="",$G554="",$H554&lt;&gt;"Fait"),"",MIN($G554,MAX(0,SUMIFS($G$5:$G554,$C$5:$C554,$C554,$H$5:$H554,"Fait")-SUMIFS(Paiements!$I$5:$I$2000,Paiements!$C$5:$C$2000,$C554,Paiements!$L$5:$L$2000,"Payé"))))</f>
        <v/>
      </c>
      <c r="J554" s="30" t="str">
        <f t="shared" si="17"/>
        <v/>
      </c>
      <c r="K554" s="14"/>
      <c r="L554" s="17" t="str">
        <f>IF(AND($C554&lt;&gt;"",$C554=Controle_Paiement!$B$4,$J554&lt;&gt;"Payé",$J554&lt;&gt;"Annulé",$J554&lt;&gt;""),1,"")</f>
        <v/>
      </c>
    </row>
    <row r="555" spans="1:12" x14ac:dyDescent="0.35">
      <c r="A555" s="18"/>
      <c r="B555" s="27"/>
      <c r="C555" s="14"/>
      <c r="D555" s="14"/>
      <c r="E555" s="19"/>
      <c r="F555" s="19"/>
      <c r="G555" s="28" t="str">
        <f t="shared" si="16"/>
        <v/>
      </c>
      <c r="H555" s="14"/>
      <c r="I555" s="29" t="str">
        <f>IF(OR($C555="",$G555="",$H555&lt;&gt;"Fait"),"",MIN($G555,MAX(0,SUMIFS($G$5:$G555,$C$5:$C555,$C555,$H$5:$H555,"Fait")-SUMIFS(Paiements!$I$5:$I$2000,Paiements!$C$5:$C$2000,$C555,Paiements!$L$5:$L$2000,"Payé"))))</f>
        <v/>
      </c>
      <c r="J555" s="30" t="str">
        <f t="shared" si="17"/>
        <v/>
      </c>
      <c r="K555" s="14"/>
      <c r="L555" s="17" t="str">
        <f>IF(AND($C555&lt;&gt;"",$C555=Controle_Paiement!$B$4,$J555&lt;&gt;"Payé",$J555&lt;&gt;"Annulé",$J555&lt;&gt;""),1,"")</f>
        <v/>
      </c>
    </row>
    <row r="556" spans="1:12" x14ac:dyDescent="0.35">
      <c r="A556" s="18"/>
      <c r="B556" s="27"/>
      <c r="C556" s="14"/>
      <c r="D556" s="14"/>
      <c r="E556" s="19"/>
      <c r="F556" s="19"/>
      <c r="G556" s="28" t="str">
        <f t="shared" si="16"/>
        <v/>
      </c>
      <c r="H556" s="14"/>
      <c r="I556" s="29" t="str">
        <f>IF(OR($C556="",$G556="",$H556&lt;&gt;"Fait"),"",MIN($G556,MAX(0,SUMIFS($G$5:$G556,$C$5:$C556,$C556,$H$5:$H556,"Fait")-SUMIFS(Paiements!$I$5:$I$2000,Paiements!$C$5:$C$2000,$C556,Paiements!$L$5:$L$2000,"Payé"))))</f>
        <v/>
      </c>
      <c r="J556" s="30" t="str">
        <f t="shared" si="17"/>
        <v/>
      </c>
      <c r="K556" s="14"/>
      <c r="L556" s="17" t="str">
        <f>IF(AND($C556&lt;&gt;"",$C556=Controle_Paiement!$B$4,$J556&lt;&gt;"Payé",$J556&lt;&gt;"Annulé",$J556&lt;&gt;""),1,"")</f>
        <v/>
      </c>
    </row>
    <row r="557" spans="1:12" x14ac:dyDescent="0.35">
      <c r="A557" s="18"/>
      <c r="B557" s="27"/>
      <c r="C557" s="14"/>
      <c r="D557" s="14"/>
      <c r="E557" s="19"/>
      <c r="F557" s="19"/>
      <c r="G557" s="28" t="str">
        <f t="shared" si="16"/>
        <v/>
      </c>
      <c r="H557" s="14"/>
      <c r="I557" s="29" t="str">
        <f>IF(OR($C557="",$G557="",$H557&lt;&gt;"Fait"),"",MIN($G557,MAX(0,SUMIFS($G$5:$G557,$C$5:$C557,$C557,$H$5:$H557,"Fait")-SUMIFS(Paiements!$I$5:$I$2000,Paiements!$C$5:$C$2000,$C557,Paiements!$L$5:$L$2000,"Payé"))))</f>
        <v/>
      </c>
      <c r="J557" s="30" t="str">
        <f t="shared" si="17"/>
        <v/>
      </c>
      <c r="K557" s="14"/>
      <c r="L557" s="17" t="str">
        <f>IF(AND($C557&lt;&gt;"",$C557=Controle_Paiement!$B$4,$J557&lt;&gt;"Payé",$J557&lt;&gt;"Annulé",$J557&lt;&gt;""),1,"")</f>
        <v/>
      </c>
    </row>
    <row r="558" spans="1:12" x14ac:dyDescent="0.35">
      <c r="A558" s="18"/>
      <c r="B558" s="27"/>
      <c r="C558" s="14"/>
      <c r="D558" s="14"/>
      <c r="E558" s="19"/>
      <c r="F558" s="19"/>
      <c r="G558" s="28" t="str">
        <f t="shared" si="16"/>
        <v/>
      </c>
      <c r="H558" s="14"/>
      <c r="I558" s="29" t="str">
        <f>IF(OR($C558="",$G558="",$H558&lt;&gt;"Fait"),"",MIN($G558,MAX(0,SUMIFS($G$5:$G558,$C$5:$C558,$C558,$H$5:$H558,"Fait")-SUMIFS(Paiements!$I$5:$I$2000,Paiements!$C$5:$C$2000,$C558,Paiements!$L$5:$L$2000,"Payé"))))</f>
        <v/>
      </c>
      <c r="J558" s="30" t="str">
        <f t="shared" si="17"/>
        <v/>
      </c>
      <c r="K558" s="14"/>
      <c r="L558" s="17" t="str">
        <f>IF(AND($C558&lt;&gt;"",$C558=Controle_Paiement!$B$4,$J558&lt;&gt;"Payé",$J558&lt;&gt;"Annulé",$J558&lt;&gt;""),1,"")</f>
        <v/>
      </c>
    </row>
    <row r="559" spans="1:12" x14ac:dyDescent="0.35">
      <c r="A559" s="18"/>
      <c r="B559" s="27"/>
      <c r="C559" s="14"/>
      <c r="D559" s="14"/>
      <c r="E559" s="19"/>
      <c r="F559" s="19"/>
      <c r="G559" s="28" t="str">
        <f t="shared" si="16"/>
        <v/>
      </c>
      <c r="H559" s="14"/>
      <c r="I559" s="29" t="str">
        <f>IF(OR($C559="",$G559="",$H559&lt;&gt;"Fait"),"",MIN($G559,MAX(0,SUMIFS($G$5:$G559,$C$5:$C559,$C559,$H$5:$H559,"Fait")-SUMIFS(Paiements!$I$5:$I$2000,Paiements!$C$5:$C$2000,$C559,Paiements!$L$5:$L$2000,"Payé"))))</f>
        <v/>
      </c>
      <c r="J559" s="30" t="str">
        <f t="shared" si="17"/>
        <v/>
      </c>
      <c r="K559" s="14"/>
      <c r="L559" s="17" t="str">
        <f>IF(AND($C559&lt;&gt;"",$C559=Controle_Paiement!$B$4,$J559&lt;&gt;"Payé",$J559&lt;&gt;"Annulé",$J559&lt;&gt;""),1,"")</f>
        <v/>
      </c>
    </row>
    <row r="560" spans="1:12" x14ac:dyDescent="0.35">
      <c r="A560" s="18"/>
      <c r="B560" s="27"/>
      <c r="C560" s="14"/>
      <c r="D560" s="14"/>
      <c r="E560" s="19"/>
      <c r="F560" s="19"/>
      <c r="G560" s="28" t="str">
        <f t="shared" si="16"/>
        <v/>
      </c>
      <c r="H560" s="14"/>
      <c r="I560" s="29" t="str">
        <f>IF(OR($C560="",$G560="",$H560&lt;&gt;"Fait"),"",MIN($G560,MAX(0,SUMIFS($G$5:$G560,$C$5:$C560,$C560,$H$5:$H560,"Fait")-SUMIFS(Paiements!$I$5:$I$2000,Paiements!$C$5:$C$2000,$C560,Paiements!$L$5:$L$2000,"Payé"))))</f>
        <v/>
      </c>
      <c r="J560" s="30" t="str">
        <f t="shared" si="17"/>
        <v/>
      </c>
      <c r="K560" s="14"/>
      <c r="L560" s="17" t="str">
        <f>IF(AND($C560&lt;&gt;"",$C560=Controle_Paiement!$B$4,$J560&lt;&gt;"Payé",$J560&lt;&gt;"Annulé",$J560&lt;&gt;""),1,"")</f>
        <v/>
      </c>
    </row>
    <row r="561" spans="1:12" x14ac:dyDescent="0.35">
      <c r="A561" s="18"/>
      <c r="B561" s="27"/>
      <c r="C561" s="14"/>
      <c r="D561" s="14"/>
      <c r="E561" s="19"/>
      <c r="F561" s="19"/>
      <c r="G561" s="28" t="str">
        <f t="shared" si="16"/>
        <v/>
      </c>
      <c r="H561" s="14"/>
      <c r="I561" s="29" t="str">
        <f>IF(OR($C561="",$G561="",$H561&lt;&gt;"Fait"),"",MIN($G561,MAX(0,SUMIFS($G$5:$G561,$C$5:$C561,$C561,$H$5:$H561,"Fait")-SUMIFS(Paiements!$I$5:$I$2000,Paiements!$C$5:$C$2000,$C561,Paiements!$L$5:$L$2000,"Payé"))))</f>
        <v/>
      </c>
      <c r="J561" s="30" t="str">
        <f t="shared" si="17"/>
        <v/>
      </c>
      <c r="K561" s="14"/>
      <c r="L561" s="17" t="str">
        <f>IF(AND($C561&lt;&gt;"",$C561=Controle_Paiement!$B$4,$J561&lt;&gt;"Payé",$J561&lt;&gt;"Annulé",$J561&lt;&gt;""),1,"")</f>
        <v/>
      </c>
    </row>
    <row r="562" spans="1:12" x14ac:dyDescent="0.35">
      <c r="A562" s="18"/>
      <c r="B562" s="27"/>
      <c r="C562" s="14"/>
      <c r="D562" s="14"/>
      <c r="E562" s="19"/>
      <c r="F562" s="19"/>
      <c r="G562" s="28" t="str">
        <f t="shared" si="16"/>
        <v/>
      </c>
      <c r="H562" s="14"/>
      <c r="I562" s="29" t="str">
        <f>IF(OR($C562="",$G562="",$H562&lt;&gt;"Fait"),"",MIN($G562,MAX(0,SUMIFS($G$5:$G562,$C$5:$C562,$C562,$H$5:$H562,"Fait")-SUMIFS(Paiements!$I$5:$I$2000,Paiements!$C$5:$C$2000,$C562,Paiements!$L$5:$L$2000,"Payé"))))</f>
        <v/>
      </c>
      <c r="J562" s="30" t="str">
        <f t="shared" si="17"/>
        <v/>
      </c>
      <c r="K562" s="14"/>
      <c r="L562" s="17" t="str">
        <f>IF(AND($C562&lt;&gt;"",$C562=Controle_Paiement!$B$4,$J562&lt;&gt;"Payé",$J562&lt;&gt;"Annulé",$J562&lt;&gt;""),1,"")</f>
        <v/>
      </c>
    </row>
    <row r="563" spans="1:12" x14ac:dyDescent="0.35">
      <c r="A563" s="18"/>
      <c r="B563" s="27"/>
      <c r="C563" s="14"/>
      <c r="D563" s="14"/>
      <c r="E563" s="19"/>
      <c r="F563" s="19"/>
      <c r="G563" s="28" t="str">
        <f t="shared" si="16"/>
        <v/>
      </c>
      <c r="H563" s="14"/>
      <c r="I563" s="29" t="str">
        <f>IF(OR($C563="",$G563="",$H563&lt;&gt;"Fait"),"",MIN($G563,MAX(0,SUMIFS($G$5:$G563,$C$5:$C563,$C563,$H$5:$H563,"Fait")-SUMIFS(Paiements!$I$5:$I$2000,Paiements!$C$5:$C$2000,$C563,Paiements!$L$5:$L$2000,"Payé"))))</f>
        <v/>
      </c>
      <c r="J563" s="30" t="str">
        <f t="shared" si="17"/>
        <v/>
      </c>
      <c r="K563" s="14"/>
      <c r="L563" s="17" t="str">
        <f>IF(AND($C563&lt;&gt;"",$C563=Controle_Paiement!$B$4,$J563&lt;&gt;"Payé",$J563&lt;&gt;"Annulé",$J563&lt;&gt;""),1,"")</f>
        <v/>
      </c>
    </row>
    <row r="564" spans="1:12" x14ac:dyDescent="0.35">
      <c r="A564" s="18"/>
      <c r="B564" s="27"/>
      <c r="C564" s="14"/>
      <c r="D564" s="14"/>
      <c r="E564" s="19"/>
      <c r="F564" s="19"/>
      <c r="G564" s="28" t="str">
        <f t="shared" si="16"/>
        <v/>
      </c>
      <c r="H564" s="14"/>
      <c r="I564" s="29" t="str">
        <f>IF(OR($C564="",$G564="",$H564&lt;&gt;"Fait"),"",MIN($G564,MAX(0,SUMIFS($G$5:$G564,$C$5:$C564,$C564,$H$5:$H564,"Fait")-SUMIFS(Paiements!$I$5:$I$2000,Paiements!$C$5:$C$2000,$C564,Paiements!$L$5:$L$2000,"Payé"))))</f>
        <v/>
      </c>
      <c r="J564" s="30" t="str">
        <f t="shared" si="17"/>
        <v/>
      </c>
      <c r="K564" s="14"/>
      <c r="L564" s="17" t="str">
        <f>IF(AND($C564&lt;&gt;"",$C564=Controle_Paiement!$B$4,$J564&lt;&gt;"Payé",$J564&lt;&gt;"Annulé",$J564&lt;&gt;""),1,"")</f>
        <v/>
      </c>
    </row>
    <row r="565" spans="1:12" x14ac:dyDescent="0.35">
      <c r="A565" s="18"/>
      <c r="B565" s="27"/>
      <c r="C565" s="14"/>
      <c r="D565" s="14"/>
      <c r="E565" s="19"/>
      <c r="F565" s="19"/>
      <c r="G565" s="28" t="str">
        <f t="shared" si="16"/>
        <v/>
      </c>
      <c r="H565" s="14"/>
      <c r="I565" s="29" t="str">
        <f>IF(OR($C565="",$G565="",$H565&lt;&gt;"Fait"),"",MIN($G565,MAX(0,SUMIFS($G$5:$G565,$C$5:$C565,$C565,$H$5:$H565,"Fait")-SUMIFS(Paiements!$I$5:$I$2000,Paiements!$C$5:$C$2000,$C565,Paiements!$L$5:$L$2000,"Payé"))))</f>
        <v/>
      </c>
      <c r="J565" s="30" t="str">
        <f t="shared" si="17"/>
        <v/>
      </c>
      <c r="K565" s="14"/>
      <c r="L565" s="17" t="str">
        <f>IF(AND($C565&lt;&gt;"",$C565=Controle_Paiement!$B$4,$J565&lt;&gt;"Payé",$J565&lt;&gt;"Annulé",$J565&lt;&gt;""),1,"")</f>
        <v/>
      </c>
    </row>
    <row r="566" spans="1:12" x14ac:dyDescent="0.35">
      <c r="A566" s="18"/>
      <c r="B566" s="27"/>
      <c r="C566" s="14"/>
      <c r="D566" s="14"/>
      <c r="E566" s="19"/>
      <c r="F566" s="19"/>
      <c r="G566" s="28" t="str">
        <f t="shared" si="16"/>
        <v/>
      </c>
      <c r="H566" s="14"/>
      <c r="I566" s="29" t="str">
        <f>IF(OR($C566="",$G566="",$H566&lt;&gt;"Fait"),"",MIN($G566,MAX(0,SUMIFS($G$5:$G566,$C$5:$C566,$C566,$H$5:$H566,"Fait")-SUMIFS(Paiements!$I$5:$I$2000,Paiements!$C$5:$C$2000,$C566,Paiements!$L$5:$L$2000,"Payé"))))</f>
        <v/>
      </c>
      <c r="J566" s="30" t="str">
        <f t="shared" si="17"/>
        <v/>
      </c>
      <c r="K566" s="14"/>
      <c r="L566" s="17" t="str">
        <f>IF(AND($C566&lt;&gt;"",$C566=Controle_Paiement!$B$4,$J566&lt;&gt;"Payé",$J566&lt;&gt;"Annulé",$J566&lt;&gt;""),1,"")</f>
        <v/>
      </c>
    </row>
    <row r="567" spans="1:12" x14ac:dyDescent="0.35">
      <c r="A567" s="18"/>
      <c r="B567" s="27"/>
      <c r="C567" s="14"/>
      <c r="D567" s="14"/>
      <c r="E567" s="19"/>
      <c r="F567" s="19"/>
      <c r="G567" s="28" t="str">
        <f t="shared" si="16"/>
        <v/>
      </c>
      <c r="H567" s="14"/>
      <c r="I567" s="29" t="str">
        <f>IF(OR($C567="",$G567="",$H567&lt;&gt;"Fait"),"",MIN($G567,MAX(0,SUMIFS($G$5:$G567,$C$5:$C567,$C567,$H$5:$H567,"Fait")-SUMIFS(Paiements!$I$5:$I$2000,Paiements!$C$5:$C$2000,$C567,Paiements!$L$5:$L$2000,"Payé"))))</f>
        <v/>
      </c>
      <c r="J567" s="30" t="str">
        <f t="shared" si="17"/>
        <v/>
      </c>
      <c r="K567" s="14"/>
      <c r="L567" s="17" t="str">
        <f>IF(AND($C567&lt;&gt;"",$C567=Controle_Paiement!$B$4,$J567&lt;&gt;"Payé",$J567&lt;&gt;"Annulé",$J567&lt;&gt;""),1,"")</f>
        <v/>
      </c>
    </row>
    <row r="568" spans="1:12" x14ac:dyDescent="0.35">
      <c r="A568" s="18"/>
      <c r="B568" s="27"/>
      <c r="C568" s="14"/>
      <c r="D568" s="14"/>
      <c r="E568" s="19"/>
      <c r="F568" s="19"/>
      <c r="G568" s="28" t="str">
        <f t="shared" si="16"/>
        <v/>
      </c>
      <c r="H568" s="14"/>
      <c r="I568" s="29" t="str">
        <f>IF(OR($C568="",$G568="",$H568&lt;&gt;"Fait"),"",MIN($G568,MAX(0,SUMIFS($G$5:$G568,$C$5:$C568,$C568,$H$5:$H568,"Fait")-SUMIFS(Paiements!$I$5:$I$2000,Paiements!$C$5:$C$2000,$C568,Paiements!$L$5:$L$2000,"Payé"))))</f>
        <v/>
      </c>
      <c r="J568" s="30" t="str">
        <f t="shared" si="17"/>
        <v/>
      </c>
      <c r="K568" s="14"/>
      <c r="L568" s="17" t="str">
        <f>IF(AND($C568&lt;&gt;"",$C568=Controle_Paiement!$B$4,$J568&lt;&gt;"Payé",$J568&lt;&gt;"Annulé",$J568&lt;&gt;""),1,"")</f>
        <v/>
      </c>
    </row>
    <row r="569" spans="1:12" x14ac:dyDescent="0.35">
      <c r="A569" s="18"/>
      <c r="B569" s="27"/>
      <c r="C569" s="14"/>
      <c r="D569" s="14"/>
      <c r="E569" s="19"/>
      <c r="F569" s="19"/>
      <c r="G569" s="28" t="str">
        <f t="shared" si="16"/>
        <v/>
      </c>
      <c r="H569" s="14"/>
      <c r="I569" s="29" t="str">
        <f>IF(OR($C569="",$G569="",$H569&lt;&gt;"Fait"),"",MIN($G569,MAX(0,SUMIFS($G$5:$G569,$C$5:$C569,$C569,$H$5:$H569,"Fait")-SUMIFS(Paiements!$I$5:$I$2000,Paiements!$C$5:$C$2000,$C569,Paiements!$L$5:$L$2000,"Payé"))))</f>
        <v/>
      </c>
      <c r="J569" s="30" t="str">
        <f t="shared" si="17"/>
        <v/>
      </c>
      <c r="K569" s="14"/>
      <c r="L569" s="17" t="str">
        <f>IF(AND($C569&lt;&gt;"",$C569=Controle_Paiement!$B$4,$J569&lt;&gt;"Payé",$J569&lt;&gt;"Annulé",$J569&lt;&gt;""),1,"")</f>
        <v/>
      </c>
    </row>
    <row r="570" spans="1:12" x14ac:dyDescent="0.35">
      <c r="A570" s="18"/>
      <c r="B570" s="27"/>
      <c r="C570" s="14"/>
      <c r="D570" s="14"/>
      <c r="E570" s="19"/>
      <c r="F570" s="19"/>
      <c r="G570" s="28" t="str">
        <f t="shared" si="16"/>
        <v/>
      </c>
      <c r="H570" s="14"/>
      <c r="I570" s="29" t="str">
        <f>IF(OR($C570="",$G570="",$H570&lt;&gt;"Fait"),"",MIN($G570,MAX(0,SUMIFS($G$5:$G570,$C$5:$C570,$C570,$H$5:$H570,"Fait")-SUMIFS(Paiements!$I$5:$I$2000,Paiements!$C$5:$C$2000,$C570,Paiements!$L$5:$L$2000,"Payé"))))</f>
        <v/>
      </c>
      <c r="J570" s="30" t="str">
        <f t="shared" si="17"/>
        <v/>
      </c>
      <c r="K570" s="14"/>
      <c r="L570" s="17" t="str">
        <f>IF(AND($C570&lt;&gt;"",$C570=Controle_Paiement!$B$4,$J570&lt;&gt;"Payé",$J570&lt;&gt;"Annulé",$J570&lt;&gt;""),1,"")</f>
        <v/>
      </c>
    </row>
    <row r="571" spans="1:12" x14ac:dyDescent="0.35">
      <c r="A571" s="18"/>
      <c r="B571" s="27"/>
      <c r="C571" s="14"/>
      <c r="D571" s="14"/>
      <c r="E571" s="19"/>
      <c r="F571" s="19"/>
      <c r="G571" s="28" t="str">
        <f t="shared" si="16"/>
        <v/>
      </c>
      <c r="H571" s="14"/>
      <c r="I571" s="29" t="str">
        <f>IF(OR($C571="",$G571="",$H571&lt;&gt;"Fait"),"",MIN($G571,MAX(0,SUMIFS($G$5:$G571,$C$5:$C571,$C571,$H$5:$H571,"Fait")-SUMIFS(Paiements!$I$5:$I$2000,Paiements!$C$5:$C$2000,$C571,Paiements!$L$5:$L$2000,"Payé"))))</f>
        <v/>
      </c>
      <c r="J571" s="30" t="str">
        <f t="shared" si="17"/>
        <v/>
      </c>
      <c r="K571" s="14"/>
      <c r="L571" s="17" t="str">
        <f>IF(AND($C571&lt;&gt;"",$C571=Controle_Paiement!$B$4,$J571&lt;&gt;"Payé",$J571&lt;&gt;"Annulé",$J571&lt;&gt;""),1,"")</f>
        <v/>
      </c>
    </row>
    <row r="572" spans="1:12" x14ac:dyDescent="0.35">
      <c r="A572" s="18"/>
      <c r="B572" s="27"/>
      <c r="C572" s="14"/>
      <c r="D572" s="14"/>
      <c r="E572" s="19"/>
      <c r="F572" s="19"/>
      <c r="G572" s="28" t="str">
        <f t="shared" si="16"/>
        <v/>
      </c>
      <c r="H572" s="14"/>
      <c r="I572" s="29" t="str">
        <f>IF(OR($C572="",$G572="",$H572&lt;&gt;"Fait"),"",MIN($G572,MAX(0,SUMIFS($G$5:$G572,$C$5:$C572,$C572,$H$5:$H572,"Fait")-SUMIFS(Paiements!$I$5:$I$2000,Paiements!$C$5:$C$2000,$C572,Paiements!$L$5:$L$2000,"Payé"))))</f>
        <v/>
      </c>
      <c r="J572" s="30" t="str">
        <f t="shared" si="17"/>
        <v/>
      </c>
      <c r="K572" s="14"/>
      <c r="L572" s="17" t="str">
        <f>IF(AND($C572&lt;&gt;"",$C572=Controle_Paiement!$B$4,$J572&lt;&gt;"Payé",$J572&lt;&gt;"Annulé",$J572&lt;&gt;""),1,"")</f>
        <v/>
      </c>
    </row>
    <row r="573" spans="1:12" x14ac:dyDescent="0.35">
      <c r="A573" s="18"/>
      <c r="B573" s="27"/>
      <c r="C573" s="14"/>
      <c r="D573" s="14"/>
      <c r="E573" s="19"/>
      <c r="F573" s="19"/>
      <c r="G573" s="28" t="str">
        <f t="shared" si="16"/>
        <v/>
      </c>
      <c r="H573" s="14"/>
      <c r="I573" s="29" t="str">
        <f>IF(OR($C573="",$G573="",$H573&lt;&gt;"Fait"),"",MIN($G573,MAX(0,SUMIFS($G$5:$G573,$C$5:$C573,$C573,$H$5:$H573,"Fait")-SUMIFS(Paiements!$I$5:$I$2000,Paiements!$C$5:$C$2000,$C573,Paiements!$L$5:$L$2000,"Payé"))))</f>
        <v/>
      </c>
      <c r="J573" s="30" t="str">
        <f t="shared" si="17"/>
        <v/>
      </c>
      <c r="K573" s="14"/>
      <c r="L573" s="17" t="str">
        <f>IF(AND($C573&lt;&gt;"",$C573=Controle_Paiement!$B$4,$J573&lt;&gt;"Payé",$J573&lt;&gt;"Annulé",$J573&lt;&gt;""),1,"")</f>
        <v/>
      </c>
    </row>
    <row r="574" spans="1:12" x14ac:dyDescent="0.35">
      <c r="A574" s="18"/>
      <c r="B574" s="27"/>
      <c r="C574" s="14"/>
      <c r="D574" s="14"/>
      <c r="E574" s="19"/>
      <c r="F574" s="19"/>
      <c r="G574" s="28" t="str">
        <f t="shared" si="16"/>
        <v/>
      </c>
      <c r="H574" s="14"/>
      <c r="I574" s="29" t="str">
        <f>IF(OR($C574="",$G574="",$H574&lt;&gt;"Fait"),"",MIN($G574,MAX(0,SUMIFS($G$5:$G574,$C$5:$C574,$C574,$H$5:$H574,"Fait")-SUMIFS(Paiements!$I$5:$I$2000,Paiements!$C$5:$C$2000,$C574,Paiements!$L$5:$L$2000,"Payé"))))</f>
        <v/>
      </c>
      <c r="J574" s="30" t="str">
        <f t="shared" si="17"/>
        <v/>
      </c>
      <c r="K574" s="14"/>
      <c r="L574" s="17" t="str">
        <f>IF(AND($C574&lt;&gt;"",$C574=Controle_Paiement!$B$4,$J574&lt;&gt;"Payé",$J574&lt;&gt;"Annulé",$J574&lt;&gt;""),1,"")</f>
        <v/>
      </c>
    </row>
    <row r="575" spans="1:12" x14ac:dyDescent="0.35">
      <c r="A575" s="18"/>
      <c r="B575" s="27"/>
      <c r="C575" s="14"/>
      <c r="D575" s="14"/>
      <c r="E575" s="19"/>
      <c r="F575" s="19"/>
      <c r="G575" s="28" t="str">
        <f t="shared" si="16"/>
        <v/>
      </c>
      <c r="H575" s="14"/>
      <c r="I575" s="29" t="str">
        <f>IF(OR($C575="",$G575="",$H575&lt;&gt;"Fait"),"",MIN($G575,MAX(0,SUMIFS($G$5:$G575,$C$5:$C575,$C575,$H$5:$H575,"Fait")-SUMIFS(Paiements!$I$5:$I$2000,Paiements!$C$5:$C$2000,$C575,Paiements!$L$5:$L$2000,"Payé"))))</f>
        <v/>
      </c>
      <c r="J575" s="30" t="str">
        <f t="shared" si="17"/>
        <v/>
      </c>
      <c r="K575" s="14"/>
      <c r="L575" s="17" t="str">
        <f>IF(AND($C575&lt;&gt;"",$C575=Controle_Paiement!$B$4,$J575&lt;&gt;"Payé",$J575&lt;&gt;"Annulé",$J575&lt;&gt;""),1,"")</f>
        <v/>
      </c>
    </row>
    <row r="576" spans="1:12" x14ac:dyDescent="0.35">
      <c r="A576" s="18"/>
      <c r="B576" s="27"/>
      <c r="C576" s="14"/>
      <c r="D576" s="14"/>
      <c r="E576" s="19"/>
      <c r="F576" s="19"/>
      <c r="G576" s="28" t="str">
        <f t="shared" si="16"/>
        <v/>
      </c>
      <c r="H576" s="14"/>
      <c r="I576" s="29" t="str">
        <f>IF(OR($C576="",$G576="",$H576&lt;&gt;"Fait"),"",MIN($G576,MAX(0,SUMIFS($G$5:$G576,$C$5:$C576,$C576,$H$5:$H576,"Fait")-SUMIFS(Paiements!$I$5:$I$2000,Paiements!$C$5:$C$2000,$C576,Paiements!$L$5:$L$2000,"Payé"))))</f>
        <v/>
      </c>
      <c r="J576" s="30" t="str">
        <f t="shared" si="17"/>
        <v/>
      </c>
      <c r="K576" s="14"/>
      <c r="L576" s="17" t="str">
        <f>IF(AND($C576&lt;&gt;"",$C576=Controle_Paiement!$B$4,$J576&lt;&gt;"Payé",$J576&lt;&gt;"Annulé",$J576&lt;&gt;""),1,"")</f>
        <v/>
      </c>
    </row>
    <row r="577" spans="1:12" x14ac:dyDescent="0.35">
      <c r="A577" s="18"/>
      <c r="B577" s="27"/>
      <c r="C577" s="14"/>
      <c r="D577" s="14"/>
      <c r="E577" s="19"/>
      <c r="F577" s="19"/>
      <c r="G577" s="28" t="str">
        <f t="shared" si="16"/>
        <v/>
      </c>
      <c r="H577" s="14"/>
      <c r="I577" s="29" t="str">
        <f>IF(OR($C577="",$G577="",$H577&lt;&gt;"Fait"),"",MIN($G577,MAX(0,SUMIFS($G$5:$G577,$C$5:$C577,$C577,$H$5:$H577,"Fait")-SUMIFS(Paiements!$I$5:$I$2000,Paiements!$C$5:$C$2000,$C577,Paiements!$L$5:$L$2000,"Payé"))))</f>
        <v/>
      </c>
      <c r="J577" s="30" t="str">
        <f t="shared" si="17"/>
        <v/>
      </c>
      <c r="K577" s="14"/>
      <c r="L577" s="17" t="str">
        <f>IF(AND($C577&lt;&gt;"",$C577=Controle_Paiement!$B$4,$J577&lt;&gt;"Payé",$J577&lt;&gt;"Annulé",$J577&lt;&gt;""),1,"")</f>
        <v/>
      </c>
    </row>
    <row r="578" spans="1:12" x14ac:dyDescent="0.35">
      <c r="A578" s="18"/>
      <c r="B578" s="27"/>
      <c r="C578" s="14"/>
      <c r="D578" s="14"/>
      <c r="E578" s="19"/>
      <c r="F578" s="19"/>
      <c r="G578" s="28" t="str">
        <f t="shared" si="16"/>
        <v/>
      </c>
      <c r="H578" s="14"/>
      <c r="I578" s="29" t="str">
        <f>IF(OR($C578="",$G578="",$H578&lt;&gt;"Fait"),"",MIN($G578,MAX(0,SUMIFS($G$5:$G578,$C$5:$C578,$C578,$H$5:$H578,"Fait")-SUMIFS(Paiements!$I$5:$I$2000,Paiements!$C$5:$C$2000,$C578,Paiements!$L$5:$L$2000,"Payé"))))</f>
        <v/>
      </c>
      <c r="J578" s="30" t="str">
        <f t="shared" si="17"/>
        <v/>
      </c>
      <c r="K578" s="14"/>
      <c r="L578" s="17" t="str">
        <f>IF(AND($C578&lt;&gt;"",$C578=Controle_Paiement!$B$4,$J578&lt;&gt;"Payé",$J578&lt;&gt;"Annulé",$J578&lt;&gt;""),1,"")</f>
        <v/>
      </c>
    </row>
    <row r="579" spans="1:12" x14ac:dyDescent="0.35">
      <c r="A579" s="18"/>
      <c r="B579" s="27"/>
      <c r="C579" s="14"/>
      <c r="D579" s="14"/>
      <c r="E579" s="19"/>
      <c r="F579" s="19"/>
      <c r="G579" s="28" t="str">
        <f t="shared" ref="G579:G642" si="18">IF(OR($E579="",$F579=""),"",ROUND($E579*$F579,0))</f>
        <v/>
      </c>
      <c r="H579" s="14"/>
      <c r="I579" s="29" t="str">
        <f>IF(OR($C579="",$G579="",$H579&lt;&gt;"Fait"),"",MIN($G579,MAX(0,SUMIFS($G$5:$G579,$C$5:$C579,$C579,$H$5:$H579,"Fait")-SUMIFS(Paiements!$I$5:$I$2000,Paiements!$C$5:$C$2000,$C579,Paiements!$L$5:$L$2000,"Payé"))))</f>
        <v/>
      </c>
      <c r="J579" s="30" t="str">
        <f t="shared" ref="J579:J642" si="19">IF(OR($C579="",$G579=""),"",IF($H579="Annulé","Annulé",IF($H579&lt;&gt;"Fait","Non payable (déchargement non fait)",IF($I579=0,"Payé",IF($I579&lt;$G579,"Partiellement payé","À payer")))))</f>
        <v/>
      </c>
      <c r="K579" s="14"/>
      <c r="L579" s="17" t="str">
        <f>IF(AND($C579&lt;&gt;"",$C579=Controle_Paiement!$B$4,$J579&lt;&gt;"Payé",$J579&lt;&gt;"Annulé",$J579&lt;&gt;""),1,"")</f>
        <v/>
      </c>
    </row>
    <row r="580" spans="1:12" x14ac:dyDescent="0.35">
      <c r="A580" s="18"/>
      <c r="B580" s="27"/>
      <c r="C580" s="14"/>
      <c r="D580" s="14"/>
      <c r="E580" s="19"/>
      <c r="F580" s="19"/>
      <c r="G580" s="28" t="str">
        <f t="shared" si="18"/>
        <v/>
      </c>
      <c r="H580" s="14"/>
      <c r="I580" s="29" t="str">
        <f>IF(OR($C580="",$G580="",$H580&lt;&gt;"Fait"),"",MIN($G580,MAX(0,SUMIFS($G$5:$G580,$C$5:$C580,$C580,$H$5:$H580,"Fait")-SUMIFS(Paiements!$I$5:$I$2000,Paiements!$C$5:$C$2000,$C580,Paiements!$L$5:$L$2000,"Payé"))))</f>
        <v/>
      </c>
      <c r="J580" s="30" t="str">
        <f t="shared" si="19"/>
        <v/>
      </c>
      <c r="K580" s="14"/>
      <c r="L580" s="17" t="str">
        <f>IF(AND($C580&lt;&gt;"",$C580=Controle_Paiement!$B$4,$J580&lt;&gt;"Payé",$J580&lt;&gt;"Annulé",$J580&lt;&gt;""),1,"")</f>
        <v/>
      </c>
    </row>
    <row r="581" spans="1:12" x14ac:dyDescent="0.35">
      <c r="A581" s="18"/>
      <c r="B581" s="27"/>
      <c r="C581" s="14"/>
      <c r="D581" s="14"/>
      <c r="E581" s="19"/>
      <c r="F581" s="19"/>
      <c r="G581" s="28" t="str">
        <f t="shared" si="18"/>
        <v/>
      </c>
      <c r="H581" s="14"/>
      <c r="I581" s="29" t="str">
        <f>IF(OR($C581="",$G581="",$H581&lt;&gt;"Fait"),"",MIN($G581,MAX(0,SUMIFS($G$5:$G581,$C$5:$C581,$C581,$H$5:$H581,"Fait")-SUMIFS(Paiements!$I$5:$I$2000,Paiements!$C$5:$C$2000,$C581,Paiements!$L$5:$L$2000,"Payé"))))</f>
        <v/>
      </c>
      <c r="J581" s="30" t="str">
        <f t="shared" si="19"/>
        <v/>
      </c>
      <c r="K581" s="14"/>
      <c r="L581" s="17" t="str">
        <f>IF(AND($C581&lt;&gt;"",$C581=Controle_Paiement!$B$4,$J581&lt;&gt;"Payé",$J581&lt;&gt;"Annulé",$J581&lt;&gt;""),1,"")</f>
        <v/>
      </c>
    </row>
    <row r="582" spans="1:12" x14ac:dyDescent="0.35">
      <c r="A582" s="18"/>
      <c r="B582" s="27"/>
      <c r="C582" s="14"/>
      <c r="D582" s="14"/>
      <c r="E582" s="19"/>
      <c r="F582" s="19"/>
      <c r="G582" s="28" t="str">
        <f t="shared" si="18"/>
        <v/>
      </c>
      <c r="H582" s="14"/>
      <c r="I582" s="29" t="str">
        <f>IF(OR($C582="",$G582="",$H582&lt;&gt;"Fait"),"",MIN($G582,MAX(0,SUMIFS($G$5:$G582,$C$5:$C582,$C582,$H$5:$H582,"Fait")-SUMIFS(Paiements!$I$5:$I$2000,Paiements!$C$5:$C$2000,$C582,Paiements!$L$5:$L$2000,"Payé"))))</f>
        <v/>
      </c>
      <c r="J582" s="30" t="str">
        <f t="shared" si="19"/>
        <v/>
      </c>
      <c r="K582" s="14"/>
      <c r="L582" s="17" t="str">
        <f>IF(AND($C582&lt;&gt;"",$C582=Controle_Paiement!$B$4,$J582&lt;&gt;"Payé",$J582&lt;&gt;"Annulé",$J582&lt;&gt;""),1,"")</f>
        <v/>
      </c>
    </row>
    <row r="583" spans="1:12" x14ac:dyDescent="0.35">
      <c r="A583" s="18"/>
      <c r="B583" s="27"/>
      <c r="C583" s="14"/>
      <c r="D583" s="14"/>
      <c r="E583" s="19"/>
      <c r="F583" s="19"/>
      <c r="G583" s="28" t="str">
        <f t="shared" si="18"/>
        <v/>
      </c>
      <c r="H583" s="14"/>
      <c r="I583" s="29" t="str">
        <f>IF(OR($C583="",$G583="",$H583&lt;&gt;"Fait"),"",MIN($G583,MAX(0,SUMIFS($G$5:$G583,$C$5:$C583,$C583,$H$5:$H583,"Fait")-SUMIFS(Paiements!$I$5:$I$2000,Paiements!$C$5:$C$2000,$C583,Paiements!$L$5:$L$2000,"Payé"))))</f>
        <v/>
      </c>
      <c r="J583" s="30" t="str">
        <f t="shared" si="19"/>
        <v/>
      </c>
      <c r="K583" s="14"/>
      <c r="L583" s="17" t="str">
        <f>IF(AND($C583&lt;&gt;"",$C583=Controle_Paiement!$B$4,$J583&lt;&gt;"Payé",$J583&lt;&gt;"Annulé",$J583&lt;&gt;""),1,"")</f>
        <v/>
      </c>
    </row>
    <row r="584" spans="1:12" x14ac:dyDescent="0.35">
      <c r="A584" s="18"/>
      <c r="B584" s="27"/>
      <c r="C584" s="14"/>
      <c r="D584" s="14"/>
      <c r="E584" s="19"/>
      <c r="F584" s="19"/>
      <c r="G584" s="28" t="str">
        <f t="shared" si="18"/>
        <v/>
      </c>
      <c r="H584" s="14"/>
      <c r="I584" s="29" t="str">
        <f>IF(OR($C584="",$G584="",$H584&lt;&gt;"Fait"),"",MIN($G584,MAX(0,SUMIFS($G$5:$G584,$C$5:$C584,$C584,$H$5:$H584,"Fait")-SUMIFS(Paiements!$I$5:$I$2000,Paiements!$C$5:$C$2000,$C584,Paiements!$L$5:$L$2000,"Payé"))))</f>
        <v/>
      </c>
      <c r="J584" s="30" t="str">
        <f t="shared" si="19"/>
        <v/>
      </c>
      <c r="K584" s="14"/>
      <c r="L584" s="17" t="str">
        <f>IF(AND($C584&lt;&gt;"",$C584=Controle_Paiement!$B$4,$J584&lt;&gt;"Payé",$J584&lt;&gt;"Annulé",$J584&lt;&gt;""),1,"")</f>
        <v/>
      </c>
    </row>
    <row r="585" spans="1:12" x14ac:dyDescent="0.35">
      <c r="A585" s="18"/>
      <c r="B585" s="27"/>
      <c r="C585" s="14"/>
      <c r="D585" s="14"/>
      <c r="E585" s="19"/>
      <c r="F585" s="19"/>
      <c r="G585" s="28" t="str">
        <f t="shared" si="18"/>
        <v/>
      </c>
      <c r="H585" s="14"/>
      <c r="I585" s="29" t="str">
        <f>IF(OR($C585="",$G585="",$H585&lt;&gt;"Fait"),"",MIN($G585,MAX(0,SUMIFS($G$5:$G585,$C$5:$C585,$C585,$H$5:$H585,"Fait")-SUMIFS(Paiements!$I$5:$I$2000,Paiements!$C$5:$C$2000,$C585,Paiements!$L$5:$L$2000,"Payé"))))</f>
        <v/>
      </c>
      <c r="J585" s="30" t="str">
        <f t="shared" si="19"/>
        <v/>
      </c>
      <c r="K585" s="14"/>
      <c r="L585" s="17" t="str">
        <f>IF(AND($C585&lt;&gt;"",$C585=Controle_Paiement!$B$4,$J585&lt;&gt;"Payé",$J585&lt;&gt;"Annulé",$J585&lt;&gt;""),1,"")</f>
        <v/>
      </c>
    </row>
    <row r="586" spans="1:12" x14ac:dyDescent="0.35">
      <c r="A586" s="18"/>
      <c r="B586" s="27"/>
      <c r="C586" s="14"/>
      <c r="D586" s="14"/>
      <c r="E586" s="19"/>
      <c r="F586" s="19"/>
      <c r="G586" s="28" t="str">
        <f t="shared" si="18"/>
        <v/>
      </c>
      <c r="H586" s="14"/>
      <c r="I586" s="29" t="str">
        <f>IF(OR($C586="",$G586="",$H586&lt;&gt;"Fait"),"",MIN($G586,MAX(0,SUMIFS($G$5:$G586,$C$5:$C586,$C586,$H$5:$H586,"Fait")-SUMIFS(Paiements!$I$5:$I$2000,Paiements!$C$5:$C$2000,$C586,Paiements!$L$5:$L$2000,"Payé"))))</f>
        <v/>
      </c>
      <c r="J586" s="30" t="str">
        <f t="shared" si="19"/>
        <v/>
      </c>
      <c r="K586" s="14"/>
      <c r="L586" s="17" t="str">
        <f>IF(AND($C586&lt;&gt;"",$C586=Controle_Paiement!$B$4,$J586&lt;&gt;"Payé",$J586&lt;&gt;"Annulé",$J586&lt;&gt;""),1,"")</f>
        <v/>
      </c>
    </row>
    <row r="587" spans="1:12" x14ac:dyDescent="0.35">
      <c r="A587" s="18"/>
      <c r="B587" s="27"/>
      <c r="C587" s="14"/>
      <c r="D587" s="14"/>
      <c r="E587" s="19"/>
      <c r="F587" s="19"/>
      <c r="G587" s="28" t="str">
        <f t="shared" si="18"/>
        <v/>
      </c>
      <c r="H587" s="14"/>
      <c r="I587" s="29" t="str">
        <f>IF(OR($C587="",$G587="",$H587&lt;&gt;"Fait"),"",MIN($G587,MAX(0,SUMIFS($G$5:$G587,$C$5:$C587,$C587,$H$5:$H587,"Fait")-SUMIFS(Paiements!$I$5:$I$2000,Paiements!$C$5:$C$2000,$C587,Paiements!$L$5:$L$2000,"Payé"))))</f>
        <v/>
      </c>
      <c r="J587" s="30" t="str">
        <f t="shared" si="19"/>
        <v/>
      </c>
      <c r="K587" s="14"/>
      <c r="L587" s="17" t="str">
        <f>IF(AND($C587&lt;&gt;"",$C587=Controle_Paiement!$B$4,$J587&lt;&gt;"Payé",$J587&lt;&gt;"Annulé",$J587&lt;&gt;""),1,"")</f>
        <v/>
      </c>
    </row>
    <row r="588" spans="1:12" x14ac:dyDescent="0.35">
      <c r="A588" s="18"/>
      <c r="B588" s="27"/>
      <c r="C588" s="14"/>
      <c r="D588" s="14"/>
      <c r="E588" s="19"/>
      <c r="F588" s="19"/>
      <c r="G588" s="28" t="str">
        <f t="shared" si="18"/>
        <v/>
      </c>
      <c r="H588" s="14"/>
      <c r="I588" s="29" t="str">
        <f>IF(OR($C588="",$G588="",$H588&lt;&gt;"Fait"),"",MIN($G588,MAX(0,SUMIFS($G$5:$G588,$C$5:$C588,$C588,$H$5:$H588,"Fait")-SUMIFS(Paiements!$I$5:$I$2000,Paiements!$C$5:$C$2000,$C588,Paiements!$L$5:$L$2000,"Payé"))))</f>
        <v/>
      </c>
      <c r="J588" s="30" t="str">
        <f t="shared" si="19"/>
        <v/>
      </c>
      <c r="K588" s="14"/>
      <c r="L588" s="17" t="str">
        <f>IF(AND($C588&lt;&gt;"",$C588=Controle_Paiement!$B$4,$J588&lt;&gt;"Payé",$J588&lt;&gt;"Annulé",$J588&lt;&gt;""),1,"")</f>
        <v/>
      </c>
    </row>
    <row r="589" spans="1:12" x14ac:dyDescent="0.35">
      <c r="A589" s="18"/>
      <c r="B589" s="27"/>
      <c r="C589" s="14"/>
      <c r="D589" s="14"/>
      <c r="E589" s="19"/>
      <c r="F589" s="19"/>
      <c r="G589" s="28" t="str">
        <f t="shared" si="18"/>
        <v/>
      </c>
      <c r="H589" s="14"/>
      <c r="I589" s="29" t="str">
        <f>IF(OR($C589="",$G589="",$H589&lt;&gt;"Fait"),"",MIN($G589,MAX(0,SUMIFS($G$5:$G589,$C$5:$C589,$C589,$H$5:$H589,"Fait")-SUMIFS(Paiements!$I$5:$I$2000,Paiements!$C$5:$C$2000,$C589,Paiements!$L$5:$L$2000,"Payé"))))</f>
        <v/>
      </c>
      <c r="J589" s="30" t="str">
        <f t="shared" si="19"/>
        <v/>
      </c>
      <c r="K589" s="14"/>
      <c r="L589" s="17" t="str">
        <f>IF(AND($C589&lt;&gt;"",$C589=Controle_Paiement!$B$4,$J589&lt;&gt;"Payé",$J589&lt;&gt;"Annulé",$J589&lt;&gt;""),1,"")</f>
        <v/>
      </c>
    </row>
    <row r="590" spans="1:12" x14ac:dyDescent="0.35">
      <c r="A590" s="18"/>
      <c r="B590" s="27"/>
      <c r="C590" s="14"/>
      <c r="D590" s="14"/>
      <c r="E590" s="19"/>
      <c r="F590" s="19"/>
      <c r="G590" s="28" t="str">
        <f t="shared" si="18"/>
        <v/>
      </c>
      <c r="H590" s="14"/>
      <c r="I590" s="29" t="str">
        <f>IF(OR($C590="",$G590="",$H590&lt;&gt;"Fait"),"",MIN($G590,MAX(0,SUMIFS($G$5:$G590,$C$5:$C590,$C590,$H$5:$H590,"Fait")-SUMIFS(Paiements!$I$5:$I$2000,Paiements!$C$5:$C$2000,$C590,Paiements!$L$5:$L$2000,"Payé"))))</f>
        <v/>
      </c>
      <c r="J590" s="30" t="str">
        <f t="shared" si="19"/>
        <v/>
      </c>
      <c r="K590" s="14"/>
      <c r="L590" s="17" t="str">
        <f>IF(AND($C590&lt;&gt;"",$C590=Controle_Paiement!$B$4,$J590&lt;&gt;"Payé",$J590&lt;&gt;"Annulé",$J590&lt;&gt;""),1,"")</f>
        <v/>
      </c>
    </row>
    <row r="591" spans="1:12" x14ac:dyDescent="0.35">
      <c r="A591" s="18"/>
      <c r="B591" s="27"/>
      <c r="C591" s="14"/>
      <c r="D591" s="14"/>
      <c r="E591" s="19"/>
      <c r="F591" s="19"/>
      <c r="G591" s="28" t="str">
        <f t="shared" si="18"/>
        <v/>
      </c>
      <c r="H591" s="14"/>
      <c r="I591" s="29" t="str">
        <f>IF(OR($C591="",$G591="",$H591&lt;&gt;"Fait"),"",MIN($G591,MAX(0,SUMIFS($G$5:$G591,$C$5:$C591,$C591,$H$5:$H591,"Fait")-SUMIFS(Paiements!$I$5:$I$2000,Paiements!$C$5:$C$2000,$C591,Paiements!$L$5:$L$2000,"Payé"))))</f>
        <v/>
      </c>
      <c r="J591" s="30" t="str">
        <f t="shared" si="19"/>
        <v/>
      </c>
      <c r="K591" s="14"/>
      <c r="L591" s="17" t="str">
        <f>IF(AND($C591&lt;&gt;"",$C591=Controle_Paiement!$B$4,$J591&lt;&gt;"Payé",$J591&lt;&gt;"Annulé",$J591&lt;&gt;""),1,"")</f>
        <v/>
      </c>
    </row>
    <row r="592" spans="1:12" x14ac:dyDescent="0.35">
      <c r="A592" s="18"/>
      <c r="B592" s="27"/>
      <c r="C592" s="14"/>
      <c r="D592" s="14"/>
      <c r="E592" s="19"/>
      <c r="F592" s="19"/>
      <c r="G592" s="28" t="str">
        <f t="shared" si="18"/>
        <v/>
      </c>
      <c r="H592" s="14"/>
      <c r="I592" s="29" t="str">
        <f>IF(OR($C592="",$G592="",$H592&lt;&gt;"Fait"),"",MIN($G592,MAX(0,SUMIFS($G$5:$G592,$C$5:$C592,$C592,$H$5:$H592,"Fait")-SUMIFS(Paiements!$I$5:$I$2000,Paiements!$C$5:$C$2000,$C592,Paiements!$L$5:$L$2000,"Payé"))))</f>
        <v/>
      </c>
      <c r="J592" s="30" t="str">
        <f t="shared" si="19"/>
        <v/>
      </c>
      <c r="K592" s="14"/>
      <c r="L592" s="17" t="str">
        <f>IF(AND($C592&lt;&gt;"",$C592=Controle_Paiement!$B$4,$J592&lt;&gt;"Payé",$J592&lt;&gt;"Annulé",$J592&lt;&gt;""),1,"")</f>
        <v/>
      </c>
    </row>
    <row r="593" spans="1:12" x14ac:dyDescent="0.35">
      <c r="A593" s="18"/>
      <c r="B593" s="27"/>
      <c r="C593" s="14"/>
      <c r="D593" s="14"/>
      <c r="E593" s="19"/>
      <c r="F593" s="19"/>
      <c r="G593" s="28" t="str">
        <f t="shared" si="18"/>
        <v/>
      </c>
      <c r="H593" s="14"/>
      <c r="I593" s="29" t="str">
        <f>IF(OR($C593="",$G593="",$H593&lt;&gt;"Fait"),"",MIN($G593,MAX(0,SUMIFS($G$5:$G593,$C$5:$C593,$C593,$H$5:$H593,"Fait")-SUMIFS(Paiements!$I$5:$I$2000,Paiements!$C$5:$C$2000,$C593,Paiements!$L$5:$L$2000,"Payé"))))</f>
        <v/>
      </c>
      <c r="J593" s="30" t="str">
        <f t="shared" si="19"/>
        <v/>
      </c>
      <c r="K593" s="14"/>
      <c r="L593" s="17" t="str">
        <f>IF(AND($C593&lt;&gt;"",$C593=Controle_Paiement!$B$4,$J593&lt;&gt;"Payé",$J593&lt;&gt;"Annulé",$J593&lt;&gt;""),1,"")</f>
        <v/>
      </c>
    </row>
    <row r="594" spans="1:12" x14ac:dyDescent="0.35">
      <c r="A594" s="18"/>
      <c r="B594" s="27"/>
      <c r="C594" s="14"/>
      <c r="D594" s="14"/>
      <c r="E594" s="19"/>
      <c r="F594" s="19"/>
      <c r="G594" s="28" t="str">
        <f t="shared" si="18"/>
        <v/>
      </c>
      <c r="H594" s="14"/>
      <c r="I594" s="29" t="str">
        <f>IF(OR($C594="",$G594="",$H594&lt;&gt;"Fait"),"",MIN($G594,MAX(0,SUMIFS($G$5:$G594,$C$5:$C594,$C594,$H$5:$H594,"Fait")-SUMIFS(Paiements!$I$5:$I$2000,Paiements!$C$5:$C$2000,$C594,Paiements!$L$5:$L$2000,"Payé"))))</f>
        <v/>
      </c>
      <c r="J594" s="30" t="str">
        <f t="shared" si="19"/>
        <v/>
      </c>
      <c r="K594" s="14"/>
      <c r="L594" s="17" t="str">
        <f>IF(AND($C594&lt;&gt;"",$C594=Controle_Paiement!$B$4,$J594&lt;&gt;"Payé",$J594&lt;&gt;"Annulé",$J594&lt;&gt;""),1,"")</f>
        <v/>
      </c>
    </row>
    <row r="595" spans="1:12" x14ac:dyDescent="0.35">
      <c r="A595" s="18"/>
      <c r="B595" s="27"/>
      <c r="C595" s="14"/>
      <c r="D595" s="14"/>
      <c r="E595" s="19"/>
      <c r="F595" s="19"/>
      <c r="G595" s="28" t="str">
        <f t="shared" si="18"/>
        <v/>
      </c>
      <c r="H595" s="14"/>
      <c r="I595" s="29" t="str">
        <f>IF(OR($C595="",$G595="",$H595&lt;&gt;"Fait"),"",MIN($G595,MAX(0,SUMIFS($G$5:$G595,$C$5:$C595,$C595,$H$5:$H595,"Fait")-SUMIFS(Paiements!$I$5:$I$2000,Paiements!$C$5:$C$2000,$C595,Paiements!$L$5:$L$2000,"Payé"))))</f>
        <v/>
      </c>
      <c r="J595" s="30" t="str">
        <f t="shared" si="19"/>
        <v/>
      </c>
      <c r="K595" s="14"/>
      <c r="L595" s="17" t="str">
        <f>IF(AND($C595&lt;&gt;"",$C595=Controle_Paiement!$B$4,$J595&lt;&gt;"Payé",$J595&lt;&gt;"Annulé",$J595&lt;&gt;""),1,"")</f>
        <v/>
      </c>
    </row>
    <row r="596" spans="1:12" x14ac:dyDescent="0.35">
      <c r="A596" s="18"/>
      <c r="B596" s="27"/>
      <c r="C596" s="14"/>
      <c r="D596" s="14"/>
      <c r="E596" s="19"/>
      <c r="F596" s="19"/>
      <c r="G596" s="28" t="str">
        <f t="shared" si="18"/>
        <v/>
      </c>
      <c r="H596" s="14"/>
      <c r="I596" s="29" t="str">
        <f>IF(OR($C596="",$G596="",$H596&lt;&gt;"Fait"),"",MIN($G596,MAX(0,SUMIFS($G$5:$G596,$C$5:$C596,$C596,$H$5:$H596,"Fait")-SUMIFS(Paiements!$I$5:$I$2000,Paiements!$C$5:$C$2000,$C596,Paiements!$L$5:$L$2000,"Payé"))))</f>
        <v/>
      </c>
      <c r="J596" s="30" t="str">
        <f t="shared" si="19"/>
        <v/>
      </c>
      <c r="K596" s="14"/>
      <c r="L596" s="17" t="str">
        <f>IF(AND($C596&lt;&gt;"",$C596=Controle_Paiement!$B$4,$J596&lt;&gt;"Payé",$J596&lt;&gt;"Annulé",$J596&lt;&gt;""),1,"")</f>
        <v/>
      </c>
    </row>
    <row r="597" spans="1:12" x14ac:dyDescent="0.35">
      <c r="A597" s="18"/>
      <c r="B597" s="27"/>
      <c r="C597" s="14"/>
      <c r="D597" s="14"/>
      <c r="E597" s="19"/>
      <c r="F597" s="19"/>
      <c r="G597" s="28" t="str">
        <f t="shared" si="18"/>
        <v/>
      </c>
      <c r="H597" s="14"/>
      <c r="I597" s="29" t="str">
        <f>IF(OR($C597="",$G597="",$H597&lt;&gt;"Fait"),"",MIN($G597,MAX(0,SUMIFS($G$5:$G597,$C$5:$C597,$C597,$H$5:$H597,"Fait")-SUMIFS(Paiements!$I$5:$I$2000,Paiements!$C$5:$C$2000,$C597,Paiements!$L$5:$L$2000,"Payé"))))</f>
        <v/>
      </c>
      <c r="J597" s="30" t="str">
        <f t="shared" si="19"/>
        <v/>
      </c>
      <c r="K597" s="14"/>
      <c r="L597" s="17" t="str">
        <f>IF(AND($C597&lt;&gt;"",$C597=Controle_Paiement!$B$4,$J597&lt;&gt;"Payé",$J597&lt;&gt;"Annulé",$J597&lt;&gt;""),1,"")</f>
        <v/>
      </c>
    </row>
    <row r="598" spans="1:12" x14ac:dyDescent="0.35">
      <c r="A598" s="18"/>
      <c r="B598" s="27"/>
      <c r="C598" s="14"/>
      <c r="D598" s="14"/>
      <c r="E598" s="19"/>
      <c r="F598" s="19"/>
      <c r="G598" s="28" t="str">
        <f t="shared" si="18"/>
        <v/>
      </c>
      <c r="H598" s="14"/>
      <c r="I598" s="29" t="str">
        <f>IF(OR($C598="",$G598="",$H598&lt;&gt;"Fait"),"",MIN($G598,MAX(0,SUMIFS($G$5:$G598,$C$5:$C598,$C598,$H$5:$H598,"Fait")-SUMIFS(Paiements!$I$5:$I$2000,Paiements!$C$5:$C$2000,$C598,Paiements!$L$5:$L$2000,"Payé"))))</f>
        <v/>
      </c>
      <c r="J598" s="30" t="str">
        <f t="shared" si="19"/>
        <v/>
      </c>
      <c r="K598" s="14"/>
      <c r="L598" s="17" t="str">
        <f>IF(AND($C598&lt;&gt;"",$C598=Controle_Paiement!$B$4,$J598&lt;&gt;"Payé",$J598&lt;&gt;"Annulé",$J598&lt;&gt;""),1,"")</f>
        <v/>
      </c>
    </row>
    <row r="599" spans="1:12" x14ac:dyDescent="0.35">
      <c r="A599" s="18"/>
      <c r="B599" s="27"/>
      <c r="C599" s="14"/>
      <c r="D599" s="14"/>
      <c r="E599" s="19"/>
      <c r="F599" s="19"/>
      <c r="G599" s="28" t="str">
        <f t="shared" si="18"/>
        <v/>
      </c>
      <c r="H599" s="14"/>
      <c r="I599" s="29" t="str">
        <f>IF(OR($C599="",$G599="",$H599&lt;&gt;"Fait"),"",MIN($G599,MAX(0,SUMIFS($G$5:$G599,$C$5:$C599,$C599,$H$5:$H599,"Fait")-SUMIFS(Paiements!$I$5:$I$2000,Paiements!$C$5:$C$2000,$C599,Paiements!$L$5:$L$2000,"Payé"))))</f>
        <v/>
      </c>
      <c r="J599" s="30" t="str">
        <f t="shared" si="19"/>
        <v/>
      </c>
      <c r="K599" s="14"/>
      <c r="L599" s="17" t="str">
        <f>IF(AND($C599&lt;&gt;"",$C599=Controle_Paiement!$B$4,$J599&lt;&gt;"Payé",$J599&lt;&gt;"Annulé",$J599&lt;&gt;""),1,"")</f>
        <v/>
      </c>
    </row>
    <row r="600" spans="1:12" x14ac:dyDescent="0.35">
      <c r="A600" s="18"/>
      <c r="B600" s="27"/>
      <c r="C600" s="14"/>
      <c r="D600" s="14"/>
      <c r="E600" s="19"/>
      <c r="F600" s="19"/>
      <c r="G600" s="28" t="str">
        <f t="shared" si="18"/>
        <v/>
      </c>
      <c r="H600" s="14"/>
      <c r="I600" s="29" t="str">
        <f>IF(OR($C600="",$G600="",$H600&lt;&gt;"Fait"),"",MIN($G600,MAX(0,SUMIFS($G$5:$G600,$C$5:$C600,$C600,$H$5:$H600,"Fait")-SUMIFS(Paiements!$I$5:$I$2000,Paiements!$C$5:$C$2000,$C600,Paiements!$L$5:$L$2000,"Payé"))))</f>
        <v/>
      </c>
      <c r="J600" s="30" t="str">
        <f t="shared" si="19"/>
        <v/>
      </c>
      <c r="K600" s="14"/>
      <c r="L600" s="17" t="str">
        <f>IF(AND($C600&lt;&gt;"",$C600=Controle_Paiement!$B$4,$J600&lt;&gt;"Payé",$J600&lt;&gt;"Annulé",$J600&lt;&gt;""),1,"")</f>
        <v/>
      </c>
    </row>
    <row r="601" spans="1:12" x14ac:dyDescent="0.35">
      <c r="A601" s="18"/>
      <c r="B601" s="27"/>
      <c r="C601" s="14"/>
      <c r="D601" s="14"/>
      <c r="E601" s="19"/>
      <c r="F601" s="19"/>
      <c r="G601" s="28" t="str">
        <f t="shared" si="18"/>
        <v/>
      </c>
      <c r="H601" s="14"/>
      <c r="I601" s="29" t="str">
        <f>IF(OR($C601="",$G601="",$H601&lt;&gt;"Fait"),"",MIN($G601,MAX(0,SUMIFS($G$5:$G601,$C$5:$C601,$C601,$H$5:$H601,"Fait")-SUMIFS(Paiements!$I$5:$I$2000,Paiements!$C$5:$C$2000,$C601,Paiements!$L$5:$L$2000,"Payé"))))</f>
        <v/>
      </c>
      <c r="J601" s="30" t="str">
        <f t="shared" si="19"/>
        <v/>
      </c>
      <c r="K601" s="14"/>
      <c r="L601" s="17" t="str">
        <f>IF(AND($C601&lt;&gt;"",$C601=Controle_Paiement!$B$4,$J601&lt;&gt;"Payé",$J601&lt;&gt;"Annulé",$J601&lt;&gt;""),1,"")</f>
        <v/>
      </c>
    </row>
    <row r="602" spans="1:12" x14ac:dyDescent="0.35">
      <c r="A602" s="18"/>
      <c r="B602" s="27"/>
      <c r="C602" s="14"/>
      <c r="D602" s="14"/>
      <c r="E602" s="19"/>
      <c r="F602" s="19"/>
      <c r="G602" s="28" t="str">
        <f t="shared" si="18"/>
        <v/>
      </c>
      <c r="H602" s="14"/>
      <c r="I602" s="29" t="str">
        <f>IF(OR($C602="",$G602="",$H602&lt;&gt;"Fait"),"",MIN($G602,MAX(0,SUMIFS($G$5:$G602,$C$5:$C602,$C602,$H$5:$H602,"Fait")-SUMIFS(Paiements!$I$5:$I$2000,Paiements!$C$5:$C$2000,$C602,Paiements!$L$5:$L$2000,"Payé"))))</f>
        <v/>
      </c>
      <c r="J602" s="30" t="str">
        <f t="shared" si="19"/>
        <v/>
      </c>
      <c r="K602" s="14"/>
      <c r="L602" s="17" t="str">
        <f>IF(AND($C602&lt;&gt;"",$C602=Controle_Paiement!$B$4,$J602&lt;&gt;"Payé",$J602&lt;&gt;"Annulé",$J602&lt;&gt;""),1,"")</f>
        <v/>
      </c>
    </row>
    <row r="603" spans="1:12" x14ac:dyDescent="0.35">
      <c r="A603" s="18"/>
      <c r="B603" s="27"/>
      <c r="C603" s="14"/>
      <c r="D603" s="14"/>
      <c r="E603" s="19"/>
      <c r="F603" s="19"/>
      <c r="G603" s="28" t="str">
        <f t="shared" si="18"/>
        <v/>
      </c>
      <c r="H603" s="14"/>
      <c r="I603" s="29" t="str">
        <f>IF(OR($C603="",$G603="",$H603&lt;&gt;"Fait"),"",MIN($G603,MAX(0,SUMIFS($G$5:$G603,$C$5:$C603,$C603,$H$5:$H603,"Fait")-SUMIFS(Paiements!$I$5:$I$2000,Paiements!$C$5:$C$2000,$C603,Paiements!$L$5:$L$2000,"Payé"))))</f>
        <v/>
      </c>
      <c r="J603" s="30" t="str">
        <f t="shared" si="19"/>
        <v/>
      </c>
      <c r="K603" s="14"/>
      <c r="L603" s="17" t="str">
        <f>IF(AND($C603&lt;&gt;"",$C603=Controle_Paiement!$B$4,$J603&lt;&gt;"Payé",$J603&lt;&gt;"Annulé",$J603&lt;&gt;""),1,"")</f>
        <v/>
      </c>
    </row>
    <row r="604" spans="1:12" x14ac:dyDescent="0.35">
      <c r="A604" s="18"/>
      <c r="B604" s="27"/>
      <c r="C604" s="14"/>
      <c r="D604" s="14"/>
      <c r="E604" s="19"/>
      <c r="F604" s="19"/>
      <c r="G604" s="28" t="str">
        <f t="shared" si="18"/>
        <v/>
      </c>
      <c r="H604" s="14"/>
      <c r="I604" s="29" t="str">
        <f>IF(OR($C604="",$G604="",$H604&lt;&gt;"Fait"),"",MIN($G604,MAX(0,SUMIFS($G$5:$G604,$C$5:$C604,$C604,$H$5:$H604,"Fait")-SUMIFS(Paiements!$I$5:$I$2000,Paiements!$C$5:$C$2000,$C604,Paiements!$L$5:$L$2000,"Payé"))))</f>
        <v/>
      </c>
      <c r="J604" s="30" t="str">
        <f t="shared" si="19"/>
        <v/>
      </c>
      <c r="K604" s="14"/>
      <c r="L604" s="17" t="str">
        <f>IF(AND($C604&lt;&gt;"",$C604=Controle_Paiement!$B$4,$J604&lt;&gt;"Payé",$J604&lt;&gt;"Annulé",$J604&lt;&gt;""),1,"")</f>
        <v/>
      </c>
    </row>
    <row r="605" spans="1:12" x14ac:dyDescent="0.35">
      <c r="A605" s="18"/>
      <c r="B605" s="27"/>
      <c r="C605" s="14"/>
      <c r="D605" s="14"/>
      <c r="E605" s="19"/>
      <c r="F605" s="19"/>
      <c r="G605" s="28" t="str">
        <f t="shared" si="18"/>
        <v/>
      </c>
      <c r="H605" s="14"/>
      <c r="I605" s="29" t="str">
        <f>IF(OR($C605="",$G605="",$H605&lt;&gt;"Fait"),"",MIN($G605,MAX(0,SUMIFS($G$5:$G605,$C$5:$C605,$C605,$H$5:$H605,"Fait")-SUMIFS(Paiements!$I$5:$I$2000,Paiements!$C$5:$C$2000,$C605,Paiements!$L$5:$L$2000,"Payé"))))</f>
        <v/>
      </c>
      <c r="J605" s="30" t="str">
        <f t="shared" si="19"/>
        <v/>
      </c>
      <c r="K605" s="14"/>
      <c r="L605" s="17" t="str">
        <f>IF(AND($C605&lt;&gt;"",$C605=Controle_Paiement!$B$4,$J605&lt;&gt;"Payé",$J605&lt;&gt;"Annulé",$J605&lt;&gt;""),1,"")</f>
        <v/>
      </c>
    </row>
    <row r="606" spans="1:12" x14ac:dyDescent="0.35">
      <c r="A606" s="18"/>
      <c r="B606" s="27"/>
      <c r="C606" s="14"/>
      <c r="D606" s="14"/>
      <c r="E606" s="19"/>
      <c r="F606" s="19"/>
      <c r="G606" s="28" t="str">
        <f t="shared" si="18"/>
        <v/>
      </c>
      <c r="H606" s="14"/>
      <c r="I606" s="29" t="str">
        <f>IF(OR($C606="",$G606="",$H606&lt;&gt;"Fait"),"",MIN($G606,MAX(0,SUMIFS($G$5:$G606,$C$5:$C606,$C606,$H$5:$H606,"Fait")-SUMIFS(Paiements!$I$5:$I$2000,Paiements!$C$5:$C$2000,$C606,Paiements!$L$5:$L$2000,"Payé"))))</f>
        <v/>
      </c>
      <c r="J606" s="30" t="str">
        <f t="shared" si="19"/>
        <v/>
      </c>
      <c r="K606" s="14"/>
      <c r="L606" s="17" t="str">
        <f>IF(AND($C606&lt;&gt;"",$C606=Controle_Paiement!$B$4,$J606&lt;&gt;"Payé",$J606&lt;&gt;"Annulé",$J606&lt;&gt;""),1,"")</f>
        <v/>
      </c>
    </row>
    <row r="607" spans="1:12" x14ac:dyDescent="0.35">
      <c r="A607" s="18"/>
      <c r="B607" s="27"/>
      <c r="C607" s="14"/>
      <c r="D607" s="14"/>
      <c r="E607" s="19"/>
      <c r="F607" s="19"/>
      <c r="G607" s="28" t="str">
        <f t="shared" si="18"/>
        <v/>
      </c>
      <c r="H607" s="14"/>
      <c r="I607" s="29" t="str">
        <f>IF(OR($C607="",$G607="",$H607&lt;&gt;"Fait"),"",MIN($G607,MAX(0,SUMIFS($G$5:$G607,$C$5:$C607,$C607,$H$5:$H607,"Fait")-SUMIFS(Paiements!$I$5:$I$2000,Paiements!$C$5:$C$2000,$C607,Paiements!$L$5:$L$2000,"Payé"))))</f>
        <v/>
      </c>
      <c r="J607" s="30" t="str">
        <f t="shared" si="19"/>
        <v/>
      </c>
      <c r="K607" s="14"/>
      <c r="L607" s="17" t="str">
        <f>IF(AND($C607&lt;&gt;"",$C607=Controle_Paiement!$B$4,$J607&lt;&gt;"Payé",$J607&lt;&gt;"Annulé",$J607&lt;&gt;""),1,"")</f>
        <v/>
      </c>
    </row>
    <row r="608" spans="1:12" x14ac:dyDescent="0.35">
      <c r="A608" s="18"/>
      <c r="B608" s="27"/>
      <c r="C608" s="14"/>
      <c r="D608" s="14"/>
      <c r="E608" s="19"/>
      <c r="F608" s="19"/>
      <c r="G608" s="28" t="str">
        <f t="shared" si="18"/>
        <v/>
      </c>
      <c r="H608" s="14"/>
      <c r="I608" s="29" t="str">
        <f>IF(OR($C608="",$G608="",$H608&lt;&gt;"Fait"),"",MIN($G608,MAX(0,SUMIFS($G$5:$G608,$C$5:$C608,$C608,$H$5:$H608,"Fait")-SUMIFS(Paiements!$I$5:$I$2000,Paiements!$C$5:$C$2000,$C608,Paiements!$L$5:$L$2000,"Payé"))))</f>
        <v/>
      </c>
      <c r="J608" s="30" t="str">
        <f t="shared" si="19"/>
        <v/>
      </c>
      <c r="K608" s="14"/>
      <c r="L608" s="17" t="str">
        <f>IF(AND($C608&lt;&gt;"",$C608=Controle_Paiement!$B$4,$J608&lt;&gt;"Payé",$J608&lt;&gt;"Annulé",$J608&lt;&gt;""),1,"")</f>
        <v/>
      </c>
    </row>
    <row r="609" spans="1:12" x14ac:dyDescent="0.35">
      <c r="A609" s="18"/>
      <c r="B609" s="27"/>
      <c r="C609" s="14"/>
      <c r="D609" s="14"/>
      <c r="E609" s="19"/>
      <c r="F609" s="19"/>
      <c r="G609" s="28" t="str">
        <f t="shared" si="18"/>
        <v/>
      </c>
      <c r="H609" s="14"/>
      <c r="I609" s="29" t="str">
        <f>IF(OR($C609="",$G609="",$H609&lt;&gt;"Fait"),"",MIN($G609,MAX(0,SUMIFS($G$5:$G609,$C$5:$C609,$C609,$H$5:$H609,"Fait")-SUMIFS(Paiements!$I$5:$I$2000,Paiements!$C$5:$C$2000,$C609,Paiements!$L$5:$L$2000,"Payé"))))</f>
        <v/>
      </c>
      <c r="J609" s="30" t="str">
        <f t="shared" si="19"/>
        <v/>
      </c>
      <c r="K609" s="14"/>
      <c r="L609" s="17" t="str">
        <f>IF(AND($C609&lt;&gt;"",$C609=Controle_Paiement!$B$4,$J609&lt;&gt;"Payé",$J609&lt;&gt;"Annulé",$J609&lt;&gt;""),1,"")</f>
        <v/>
      </c>
    </row>
    <row r="610" spans="1:12" x14ac:dyDescent="0.35">
      <c r="A610" s="18"/>
      <c r="B610" s="27"/>
      <c r="C610" s="14"/>
      <c r="D610" s="14"/>
      <c r="E610" s="19"/>
      <c r="F610" s="19"/>
      <c r="G610" s="28" t="str">
        <f t="shared" si="18"/>
        <v/>
      </c>
      <c r="H610" s="14"/>
      <c r="I610" s="29" t="str">
        <f>IF(OR($C610="",$G610="",$H610&lt;&gt;"Fait"),"",MIN($G610,MAX(0,SUMIFS($G$5:$G610,$C$5:$C610,$C610,$H$5:$H610,"Fait")-SUMIFS(Paiements!$I$5:$I$2000,Paiements!$C$5:$C$2000,$C610,Paiements!$L$5:$L$2000,"Payé"))))</f>
        <v/>
      </c>
      <c r="J610" s="30" t="str">
        <f t="shared" si="19"/>
        <v/>
      </c>
      <c r="K610" s="14"/>
      <c r="L610" s="17" t="str">
        <f>IF(AND($C610&lt;&gt;"",$C610=Controle_Paiement!$B$4,$J610&lt;&gt;"Payé",$J610&lt;&gt;"Annulé",$J610&lt;&gt;""),1,"")</f>
        <v/>
      </c>
    </row>
    <row r="611" spans="1:12" x14ac:dyDescent="0.35">
      <c r="A611" s="18"/>
      <c r="B611" s="27"/>
      <c r="C611" s="14"/>
      <c r="D611" s="14"/>
      <c r="E611" s="19"/>
      <c r="F611" s="19"/>
      <c r="G611" s="28" t="str">
        <f t="shared" si="18"/>
        <v/>
      </c>
      <c r="H611" s="14"/>
      <c r="I611" s="29" t="str">
        <f>IF(OR($C611="",$G611="",$H611&lt;&gt;"Fait"),"",MIN($G611,MAX(0,SUMIFS($G$5:$G611,$C$5:$C611,$C611,$H$5:$H611,"Fait")-SUMIFS(Paiements!$I$5:$I$2000,Paiements!$C$5:$C$2000,$C611,Paiements!$L$5:$L$2000,"Payé"))))</f>
        <v/>
      </c>
      <c r="J611" s="30" t="str">
        <f t="shared" si="19"/>
        <v/>
      </c>
      <c r="K611" s="14"/>
      <c r="L611" s="17" t="str">
        <f>IF(AND($C611&lt;&gt;"",$C611=Controle_Paiement!$B$4,$J611&lt;&gt;"Payé",$J611&lt;&gt;"Annulé",$J611&lt;&gt;""),1,"")</f>
        <v/>
      </c>
    </row>
    <row r="612" spans="1:12" x14ac:dyDescent="0.35">
      <c r="A612" s="18"/>
      <c r="B612" s="27"/>
      <c r="C612" s="14"/>
      <c r="D612" s="14"/>
      <c r="E612" s="19"/>
      <c r="F612" s="19"/>
      <c r="G612" s="28" t="str">
        <f t="shared" si="18"/>
        <v/>
      </c>
      <c r="H612" s="14"/>
      <c r="I612" s="29" t="str">
        <f>IF(OR($C612="",$G612="",$H612&lt;&gt;"Fait"),"",MIN($G612,MAX(0,SUMIFS($G$5:$G612,$C$5:$C612,$C612,$H$5:$H612,"Fait")-SUMIFS(Paiements!$I$5:$I$2000,Paiements!$C$5:$C$2000,$C612,Paiements!$L$5:$L$2000,"Payé"))))</f>
        <v/>
      </c>
      <c r="J612" s="30" t="str">
        <f t="shared" si="19"/>
        <v/>
      </c>
      <c r="K612" s="14"/>
      <c r="L612" s="17" t="str">
        <f>IF(AND($C612&lt;&gt;"",$C612=Controle_Paiement!$B$4,$J612&lt;&gt;"Payé",$J612&lt;&gt;"Annulé",$J612&lt;&gt;""),1,"")</f>
        <v/>
      </c>
    </row>
    <row r="613" spans="1:12" x14ac:dyDescent="0.35">
      <c r="A613" s="18"/>
      <c r="B613" s="27"/>
      <c r="C613" s="14"/>
      <c r="D613" s="14"/>
      <c r="E613" s="19"/>
      <c r="F613" s="19"/>
      <c r="G613" s="28" t="str">
        <f t="shared" si="18"/>
        <v/>
      </c>
      <c r="H613" s="14"/>
      <c r="I613" s="29" t="str">
        <f>IF(OR($C613="",$G613="",$H613&lt;&gt;"Fait"),"",MIN($G613,MAX(0,SUMIFS($G$5:$G613,$C$5:$C613,$C613,$H$5:$H613,"Fait")-SUMIFS(Paiements!$I$5:$I$2000,Paiements!$C$5:$C$2000,$C613,Paiements!$L$5:$L$2000,"Payé"))))</f>
        <v/>
      </c>
      <c r="J613" s="30" t="str">
        <f t="shared" si="19"/>
        <v/>
      </c>
      <c r="K613" s="14"/>
      <c r="L613" s="17" t="str">
        <f>IF(AND($C613&lt;&gt;"",$C613=Controle_Paiement!$B$4,$J613&lt;&gt;"Payé",$J613&lt;&gt;"Annulé",$J613&lt;&gt;""),1,"")</f>
        <v/>
      </c>
    </row>
    <row r="614" spans="1:12" x14ac:dyDescent="0.35">
      <c r="A614" s="18"/>
      <c r="B614" s="27"/>
      <c r="C614" s="14"/>
      <c r="D614" s="14"/>
      <c r="E614" s="19"/>
      <c r="F614" s="19"/>
      <c r="G614" s="28" t="str">
        <f t="shared" si="18"/>
        <v/>
      </c>
      <c r="H614" s="14"/>
      <c r="I614" s="29" t="str">
        <f>IF(OR($C614="",$G614="",$H614&lt;&gt;"Fait"),"",MIN($G614,MAX(0,SUMIFS($G$5:$G614,$C$5:$C614,$C614,$H$5:$H614,"Fait")-SUMIFS(Paiements!$I$5:$I$2000,Paiements!$C$5:$C$2000,$C614,Paiements!$L$5:$L$2000,"Payé"))))</f>
        <v/>
      </c>
      <c r="J614" s="30" t="str">
        <f t="shared" si="19"/>
        <v/>
      </c>
      <c r="K614" s="14"/>
      <c r="L614" s="17" t="str">
        <f>IF(AND($C614&lt;&gt;"",$C614=Controle_Paiement!$B$4,$J614&lt;&gt;"Payé",$J614&lt;&gt;"Annulé",$J614&lt;&gt;""),1,"")</f>
        <v/>
      </c>
    </row>
    <row r="615" spans="1:12" x14ac:dyDescent="0.35">
      <c r="A615" s="18"/>
      <c r="B615" s="27"/>
      <c r="C615" s="14"/>
      <c r="D615" s="14"/>
      <c r="E615" s="19"/>
      <c r="F615" s="19"/>
      <c r="G615" s="28" t="str">
        <f t="shared" si="18"/>
        <v/>
      </c>
      <c r="H615" s="14"/>
      <c r="I615" s="29" t="str">
        <f>IF(OR($C615="",$G615="",$H615&lt;&gt;"Fait"),"",MIN($G615,MAX(0,SUMIFS($G$5:$G615,$C$5:$C615,$C615,$H$5:$H615,"Fait")-SUMIFS(Paiements!$I$5:$I$2000,Paiements!$C$5:$C$2000,$C615,Paiements!$L$5:$L$2000,"Payé"))))</f>
        <v/>
      </c>
      <c r="J615" s="30" t="str">
        <f t="shared" si="19"/>
        <v/>
      </c>
      <c r="K615" s="14"/>
      <c r="L615" s="17" t="str">
        <f>IF(AND($C615&lt;&gt;"",$C615=Controle_Paiement!$B$4,$J615&lt;&gt;"Payé",$J615&lt;&gt;"Annulé",$J615&lt;&gt;""),1,"")</f>
        <v/>
      </c>
    </row>
    <row r="616" spans="1:12" x14ac:dyDescent="0.35">
      <c r="A616" s="18"/>
      <c r="B616" s="27"/>
      <c r="C616" s="14"/>
      <c r="D616" s="14"/>
      <c r="E616" s="19"/>
      <c r="F616" s="19"/>
      <c r="G616" s="28" t="str">
        <f t="shared" si="18"/>
        <v/>
      </c>
      <c r="H616" s="14"/>
      <c r="I616" s="29" t="str">
        <f>IF(OR($C616="",$G616="",$H616&lt;&gt;"Fait"),"",MIN($G616,MAX(0,SUMIFS($G$5:$G616,$C$5:$C616,$C616,$H$5:$H616,"Fait")-SUMIFS(Paiements!$I$5:$I$2000,Paiements!$C$5:$C$2000,$C616,Paiements!$L$5:$L$2000,"Payé"))))</f>
        <v/>
      </c>
      <c r="J616" s="30" t="str">
        <f t="shared" si="19"/>
        <v/>
      </c>
      <c r="K616" s="14"/>
      <c r="L616" s="17" t="str">
        <f>IF(AND($C616&lt;&gt;"",$C616=Controle_Paiement!$B$4,$J616&lt;&gt;"Payé",$J616&lt;&gt;"Annulé",$J616&lt;&gt;""),1,"")</f>
        <v/>
      </c>
    </row>
    <row r="617" spans="1:12" x14ac:dyDescent="0.35">
      <c r="A617" s="18"/>
      <c r="B617" s="27"/>
      <c r="C617" s="14"/>
      <c r="D617" s="14"/>
      <c r="E617" s="19"/>
      <c r="F617" s="19"/>
      <c r="G617" s="28" t="str">
        <f t="shared" si="18"/>
        <v/>
      </c>
      <c r="H617" s="14"/>
      <c r="I617" s="29" t="str">
        <f>IF(OR($C617="",$G617="",$H617&lt;&gt;"Fait"),"",MIN($G617,MAX(0,SUMIFS($G$5:$G617,$C$5:$C617,$C617,$H$5:$H617,"Fait")-SUMIFS(Paiements!$I$5:$I$2000,Paiements!$C$5:$C$2000,$C617,Paiements!$L$5:$L$2000,"Payé"))))</f>
        <v/>
      </c>
      <c r="J617" s="30" t="str">
        <f t="shared" si="19"/>
        <v/>
      </c>
      <c r="K617" s="14"/>
      <c r="L617" s="17" t="str">
        <f>IF(AND($C617&lt;&gt;"",$C617=Controle_Paiement!$B$4,$J617&lt;&gt;"Payé",$J617&lt;&gt;"Annulé",$J617&lt;&gt;""),1,"")</f>
        <v/>
      </c>
    </row>
    <row r="618" spans="1:12" x14ac:dyDescent="0.35">
      <c r="A618" s="18"/>
      <c r="B618" s="27"/>
      <c r="C618" s="14"/>
      <c r="D618" s="14"/>
      <c r="E618" s="19"/>
      <c r="F618" s="19"/>
      <c r="G618" s="28" t="str">
        <f t="shared" si="18"/>
        <v/>
      </c>
      <c r="H618" s="14"/>
      <c r="I618" s="29" t="str">
        <f>IF(OR($C618="",$G618="",$H618&lt;&gt;"Fait"),"",MIN($G618,MAX(0,SUMIFS($G$5:$G618,$C$5:$C618,$C618,$H$5:$H618,"Fait")-SUMIFS(Paiements!$I$5:$I$2000,Paiements!$C$5:$C$2000,$C618,Paiements!$L$5:$L$2000,"Payé"))))</f>
        <v/>
      </c>
      <c r="J618" s="30" t="str">
        <f t="shared" si="19"/>
        <v/>
      </c>
      <c r="K618" s="14"/>
      <c r="L618" s="17" t="str">
        <f>IF(AND($C618&lt;&gt;"",$C618=Controle_Paiement!$B$4,$J618&lt;&gt;"Payé",$J618&lt;&gt;"Annulé",$J618&lt;&gt;""),1,"")</f>
        <v/>
      </c>
    </row>
    <row r="619" spans="1:12" x14ac:dyDescent="0.35">
      <c r="A619" s="18"/>
      <c r="B619" s="27"/>
      <c r="C619" s="14"/>
      <c r="D619" s="14"/>
      <c r="E619" s="19"/>
      <c r="F619" s="19"/>
      <c r="G619" s="28" t="str">
        <f t="shared" si="18"/>
        <v/>
      </c>
      <c r="H619" s="14"/>
      <c r="I619" s="29" t="str">
        <f>IF(OR($C619="",$G619="",$H619&lt;&gt;"Fait"),"",MIN($G619,MAX(0,SUMIFS($G$5:$G619,$C$5:$C619,$C619,$H$5:$H619,"Fait")-SUMIFS(Paiements!$I$5:$I$2000,Paiements!$C$5:$C$2000,$C619,Paiements!$L$5:$L$2000,"Payé"))))</f>
        <v/>
      </c>
      <c r="J619" s="30" t="str">
        <f t="shared" si="19"/>
        <v/>
      </c>
      <c r="K619" s="14"/>
      <c r="L619" s="17" t="str">
        <f>IF(AND($C619&lt;&gt;"",$C619=Controle_Paiement!$B$4,$J619&lt;&gt;"Payé",$J619&lt;&gt;"Annulé",$J619&lt;&gt;""),1,"")</f>
        <v/>
      </c>
    </row>
    <row r="620" spans="1:12" x14ac:dyDescent="0.35">
      <c r="A620" s="18"/>
      <c r="B620" s="27"/>
      <c r="C620" s="14"/>
      <c r="D620" s="14"/>
      <c r="E620" s="19"/>
      <c r="F620" s="19"/>
      <c r="G620" s="28" t="str">
        <f t="shared" si="18"/>
        <v/>
      </c>
      <c r="H620" s="14"/>
      <c r="I620" s="29" t="str">
        <f>IF(OR($C620="",$G620="",$H620&lt;&gt;"Fait"),"",MIN($G620,MAX(0,SUMIFS($G$5:$G620,$C$5:$C620,$C620,$H$5:$H620,"Fait")-SUMIFS(Paiements!$I$5:$I$2000,Paiements!$C$5:$C$2000,$C620,Paiements!$L$5:$L$2000,"Payé"))))</f>
        <v/>
      </c>
      <c r="J620" s="30" t="str">
        <f t="shared" si="19"/>
        <v/>
      </c>
      <c r="K620" s="14"/>
      <c r="L620" s="17" t="str">
        <f>IF(AND($C620&lt;&gt;"",$C620=Controle_Paiement!$B$4,$J620&lt;&gt;"Payé",$J620&lt;&gt;"Annulé",$J620&lt;&gt;""),1,"")</f>
        <v/>
      </c>
    </row>
    <row r="621" spans="1:12" x14ac:dyDescent="0.35">
      <c r="A621" s="18"/>
      <c r="B621" s="27"/>
      <c r="C621" s="14"/>
      <c r="D621" s="14"/>
      <c r="E621" s="19"/>
      <c r="F621" s="19"/>
      <c r="G621" s="28" t="str">
        <f t="shared" si="18"/>
        <v/>
      </c>
      <c r="H621" s="14"/>
      <c r="I621" s="29" t="str">
        <f>IF(OR($C621="",$G621="",$H621&lt;&gt;"Fait"),"",MIN($G621,MAX(0,SUMIFS($G$5:$G621,$C$5:$C621,$C621,$H$5:$H621,"Fait")-SUMIFS(Paiements!$I$5:$I$2000,Paiements!$C$5:$C$2000,$C621,Paiements!$L$5:$L$2000,"Payé"))))</f>
        <v/>
      </c>
      <c r="J621" s="30" t="str">
        <f t="shared" si="19"/>
        <v/>
      </c>
      <c r="K621" s="14"/>
      <c r="L621" s="17" t="str">
        <f>IF(AND($C621&lt;&gt;"",$C621=Controle_Paiement!$B$4,$J621&lt;&gt;"Payé",$J621&lt;&gt;"Annulé",$J621&lt;&gt;""),1,"")</f>
        <v/>
      </c>
    </row>
    <row r="622" spans="1:12" x14ac:dyDescent="0.35">
      <c r="A622" s="18"/>
      <c r="B622" s="27"/>
      <c r="C622" s="14"/>
      <c r="D622" s="14"/>
      <c r="E622" s="19"/>
      <c r="F622" s="19"/>
      <c r="G622" s="28" t="str">
        <f t="shared" si="18"/>
        <v/>
      </c>
      <c r="H622" s="14"/>
      <c r="I622" s="29" t="str">
        <f>IF(OR($C622="",$G622="",$H622&lt;&gt;"Fait"),"",MIN($G622,MAX(0,SUMIFS($G$5:$G622,$C$5:$C622,$C622,$H$5:$H622,"Fait")-SUMIFS(Paiements!$I$5:$I$2000,Paiements!$C$5:$C$2000,$C622,Paiements!$L$5:$L$2000,"Payé"))))</f>
        <v/>
      </c>
      <c r="J622" s="30" t="str">
        <f t="shared" si="19"/>
        <v/>
      </c>
      <c r="K622" s="14"/>
      <c r="L622" s="17" t="str">
        <f>IF(AND($C622&lt;&gt;"",$C622=Controle_Paiement!$B$4,$J622&lt;&gt;"Payé",$J622&lt;&gt;"Annulé",$J622&lt;&gt;""),1,"")</f>
        <v/>
      </c>
    </row>
    <row r="623" spans="1:12" x14ac:dyDescent="0.35">
      <c r="A623" s="18"/>
      <c r="B623" s="27"/>
      <c r="C623" s="14"/>
      <c r="D623" s="14"/>
      <c r="E623" s="19"/>
      <c r="F623" s="19"/>
      <c r="G623" s="28" t="str">
        <f t="shared" si="18"/>
        <v/>
      </c>
      <c r="H623" s="14"/>
      <c r="I623" s="29" t="str">
        <f>IF(OR($C623="",$G623="",$H623&lt;&gt;"Fait"),"",MIN($G623,MAX(0,SUMIFS($G$5:$G623,$C$5:$C623,$C623,$H$5:$H623,"Fait")-SUMIFS(Paiements!$I$5:$I$2000,Paiements!$C$5:$C$2000,$C623,Paiements!$L$5:$L$2000,"Payé"))))</f>
        <v/>
      </c>
      <c r="J623" s="30" t="str">
        <f t="shared" si="19"/>
        <v/>
      </c>
      <c r="K623" s="14"/>
      <c r="L623" s="17" t="str">
        <f>IF(AND($C623&lt;&gt;"",$C623=Controle_Paiement!$B$4,$J623&lt;&gt;"Payé",$J623&lt;&gt;"Annulé",$J623&lt;&gt;""),1,"")</f>
        <v/>
      </c>
    </row>
    <row r="624" spans="1:12" x14ac:dyDescent="0.35">
      <c r="A624" s="18"/>
      <c r="B624" s="27"/>
      <c r="C624" s="14"/>
      <c r="D624" s="14"/>
      <c r="E624" s="19"/>
      <c r="F624" s="19"/>
      <c r="G624" s="28" t="str">
        <f t="shared" si="18"/>
        <v/>
      </c>
      <c r="H624" s="14"/>
      <c r="I624" s="29" t="str">
        <f>IF(OR($C624="",$G624="",$H624&lt;&gt;"Fait"),"",MIN($G624,MAX(0,SUMIFS($G$5:$G624,$C$5:$C624,$C624,$H$5:$H624,"Fait")-SUMIFS(Paiements!$I$5:$I$2000,Paiements!$C$5:$C$2000,$C624,Paiements!$L$5:$L$2000,"Payé"))))</f>
        <v/>
      </c>
      <c r="J624" s="30" t="str">
        <f t="shared" si="19"/>
        <v/>
      </c>
      <c r="K624" s="14"/>
      <c r="L624" s="17" t="str">
        <f>IF(AND($C624&lt;&gt;"",$C624=Controle_Paiement!$B$4,$J624&lt;&gt;"Payé",$J624&lt;&gt;"Annulé",$J624&lt;&gt;""),1,"")</f>
        <v/>
      </c>
    </row>
    <row r="625" spans="1:12" x14ac:dyDescent="0.35">
      <c r="A625" s="18"/>
      <c r="B625" s="27"/>
      <c r="C625" s="14"/>
      <c r="D625" s="14"/>
      <c r="E625" s="19"/>
      <c r="F625" s="19"/>
      <c r="G625" s="28" t="str">
        <f t="shared" si="18"/>
        <v/>
      </c>
      <c r="H625" s="14"/>
      <c r="I625" s="29" t="str">
        <f>IF(OR($C625="",$G625="",$H625&lt;&gt;"Fait"),"",MIN($G625,MAX(0,SUMIFS($G$5:$G625,$C$5:$C625,$C625,$H$5:$H625,"Fait")-SUMIFS(Paiements!$I$5:$I$2000,Paiements!$C$5:$C$2000,$C625,Paiements!$L$5:$L$2000,"Payé"))))</f>
        <v/>
      </c>
      <c r="J625" s="30" t="str">
        <f t="shared" si="19"/>
        <v/>
      </c>
      <c r="K625" s="14"/>
      <c r="L625" s="17" t="str">
        <f>IF(AND($C625&lt;&gt;"",$C625=Controle_Paiement!$B$4,$J625&lt;&gt;"Payé",$J625&lt;&gt;"Annulé",$J625&lt;&gt;""),1,"")</f>
        <v/>
      </c>
    </row>
    <row r="626" spans="1:12" x14ac:dyDescent="0.35">
      <c r="A626" s="18"/>
      <c r="B626" s="27"/>
      <c r="C626" s="14"/>
      <c r="D626" s="14"/>
      <c r="E626" s="19"/>
      <c r="F626" s="19"/>
      <c r="G626" s="28" t="str">
        <f t="shared" si="18"/>
        <v/>
      </c>
      <c r="H626" s="14"/>
      <c r="I626" s="29" t="str">
        <f>IF(OR($C626="",$G626="",$H626&lt;&gt;"Fait"),"",MIN($G626,MAX(0,SUMIFS($G$5:$G626,$C$5:$C626,$C626,$H$5:$H626,"Fait")-SUMIFS(Paiements!$I$5:$I$2000,Paiements!$C$5:$C$2000,$C626,Paiements!$L$5:$L$2000,"Payé"))))</f>
        <v/>
      </c>
      <c r="J626" s="30" t="str">
        <f t="shared" si="19"/>
        <v/>
      </c>
      <c r="K626" s="14"/>
      <c r="L626" s="17" t="str">
        <f>IF(AND($C626&lt;&gt;"",$C626=Controle_Paiement!$B$4,$J626&lt;&gt;"Payé",$J626&lt;&gt;"Annulé",$J626&lt;&gt;""),1,"")</f>
        <v/>
      </c>
    </row>
    <row r="627" spans="1:12" x14ac:dyDescent="0.35">
      <c r="A627" s="18"/>
      <c r="B627" s="27"/>
      <c r="C627" s="14"/>
      <c r="D627" s="14"/>
      <c r="E627" s="19"/>
      <c r="F627" s="19"/>
      <c r="G627" s="28" t="str">
        <f t="shared" si="18"/>
        <v/>
      </c>
      <c r="H627" s="14"/>
      <c r="I627" s="29" t="str">
        <f>IF(OR($C627="",$G627="",$H627&lt;&gt;"Fait"),"",MIN($G627,MAX(0,SUMIFS($G$5:$G627,$C$5:$C627,$C627,$H$5:$H627,"Fait")-SUMIFS(Paiements!$I$5:$I$2000,Paiements!$C$5:$C$2000,$C627,Paiements!$L$5:$L$2000,"Payé"))))</f>
        <v/>
      </c>
      <c r="J627" s="30" t="str">
        <f t="shared" si="19"/>
        <v/>
      </c>
      <c r="K627" s="14"/>
      <c r="L627" s="17" t="str">
        <f>IF(AND($C627&lt;&gt;"",$C627=Controle_Paiement!$B$4,$J627&lt;&gt;"Payé",$J627&lt;&gt;"Annulé",$J627&lt;&gt;""),1,"")</f>
        <v/>
      </c>
    </row>
    <row r="628" spans="1:12" x14ac:dyDescent="0.35">
      <c r="A628" s="18"/>
      <c r="B628" s="27"/>
      <c r="C628" s="14"/>
      <c r="D628" s="14"/>
      <c r="E628" s="19"/>
      <c r="F628" s="19"/>
      <c r="G628" s="28" t="str">
        <f t="shared" si="18"/>
        <v/>
      </c>
      <c r="H628" s="14"/>
      <c r="I628" s="29" t="str">
        <f>IF(OR($C628="",$G628="",$H628&lt;&gt;"Fait"),"",MIN($G628,MAX(0,SUMIFS($G$5:$G628,$C$5:$C628,$C628,$H$5:$H628,"Fait")-SUMIFS(Paiements!$I$5:$I$2000,Paiements!$C$5:$C$2000,$C628,Paiements!$L$5:$L$2000,"Payé"))))</f>
        <v/>
      </c>
      <c r="J628" s="30" t="str">
        <f t="shared" si="19"/>
        <v/>
      </c>
      <c r="K628" s="14"/>
      <c r="L628" s="17" t="str">
        <f>IF(AND($C628&lt;&gt;"",$C628=Controle_Paiement!$B$4,$J628&lt;&gt;"Payé",$J628&lt;&gt;"Annulé",$J628&lt;&gt;""),1,"")</f>
        <v/>
      </c>
    </row>
    <row r="629" spans="1:12" x14ac:dyDescent="0.35">
      <c r="A629" s="18"/>
      <c r="B629" s="27"/>
      <c r="C629" s="14"/>
      <c r="D629" s="14"/>
      <c r="E629" s="19"/>
      <c r="F629" s="19"/>
      <c r="G629" s="28" t="str">
        <f t="shared" si="18"/>
        <v/>
      </c>
      <c r="H629" s="14"/>
      <c r="I629" s="29" t="str">
        <f>IF(OR($C629="",$G629="",$H629&lt;&gt;"Fait"),"",MIN($G629,MAX(0,SUMIFS($G$5:$G629,$C$5:$C629,$C629,$H$5:$H629,"Fait")-SUMIFS(Paiements!$I$5:$I$2000,Paiements!$C$5:$C$2000,$C629,Paiements!$L$5:$L$2000,"Payé"))))</f>
        <v/>
      </c>
      <c r="J629" s="30" t="str">
        <f t="shared" si="19"/>
        <v/>
      </c>
      <c r="K629" s="14"/>
      <c r="L629" s="17" t="str">
        <f>IF(AND($C629&lt;&gt;"",$C629=Controle_Paiement!$B$4,$J629&lt;&gt;"Payé",$J629&lt;&gt;"Annulé",$J629&lt;&gt;""),1,"")</f>
        <v/>
      </c>
    </row>
    <row r="630" spans="1:12" x14ac:dyDescent="0.35">
      <c r="A630" s="18"/>
      <c r="B630" s="27"/>
      <c r="C630" s="14"/>
      <c r="D630" s="14"/>
      <c r="E630" s="19"/>
      <c r="F630" s="19"/>
      <c r="G630" s="28" t="str">
        <f t="shared" si="18"/>
        <v/>
      </c>
      <c r="H630" s="14"/>
      <c r="I630" s="29" t="str">
        <f>IF(OR($C630="",$G630="",$H630&lt;&gt;"Fait"),"",MIN($G630,MAX(0,SUMIFS($G$5:$G630,$C$5:$C630,$C630,$H$5:$H630,"Fait")-SUMIFS(Paiements!$I$5:$I$2000,Paiements!$C$5:$C$2000,$C630,Paiements!$L$5:$L$2000,"Payé"))))</f>
        <v/>
      </c>
      <c r="J630" s="30" t="str">
        <f t="shared" si="19"/>
        <v/>
      </c>
      <c r="K630" s="14"/>
      <c r="L630" s="17" t="str">
        <f>IF(AND($C630&lt;&gt;"",$C630=Controle_Paiement!$B$4,$J630&lt;&gt;"Payé",$J630&lt;&gt;"Annulé",$J630&lt;&gt;""),1,"")</f>
        <v/>
      </c>
    </row>
    <row r="631" spans="1:12" x14ac:dyDescent="0.35">
      <c r="A631" s="18"/>
      <c r="B631" s="27"/>
      <c r="C631" s="14"/>
      <c r="D631" s="14"/>
      <c r="E631" s="19"/>
      <c r="F631" s="19"/>
      <c r="G631" s="28" t="str">
        <f t="shared" si="18"/>
        <v/>
      </c>
      <c r="H631" s="14"/>
      <c r="I631" s="29" t="str">
        <f>IF(OR($C631="",$G631="",$H631&lt;&gt;"Fait"),"",MIN($G631,MAX(0,SUMIFS($G$5:$G631,$C$5:$C631,$C631,$H$5:$H631,"Fait")-SUMIFS(Paiements!$I$5:$I$2000,Paiements!$C$5:$C$2000,$C631,Paiements!$L$5:$L$2000,"Payé"))))</f>
        <v/>
      </c>
      <c r="J631" s="30" t="str">
        <f t="shared" si="19"/>
        <v/>
      </c>
      <c r="K631" s="14"/>
      <c r="L631" s="17" t="str">
        <f>IF(AND($C631&lt;&gt;"",$C631=Controle_Paiement!$B$4,$J631&lt;&gt;"Payé",$J631&lt;&gt;"Annulé",$J631&lt;&gt;""),1,"")</f>
        <v/>
      </c>
    </row>
    <row r="632" spans="1:12" x14ac:dyDescent="0.35">
      <c r="A632" s="18"/>
      <c r="B632" s="27"/>
      <c r="C632" s="14"/>
      <c r="D632" s="14"/>
      <c r="E632" s="19"/>
      <c r="F632" s="19"/>
      <c r="G632" s="28" t="str">
        <f t="shared" si="18"/>
        <v/>
      </c>
      <c r="H632" s="14"/>
      <c r="I632" s="29" t="str">
        <f>IF(OR($C632="",$G632="",$H632&lt;&gt;"Fait"),"",MIN($G632,MAX(0,SUMIFS($G$5:$G632,$C$5:$C632,$C632,$H$5:$H632,"Fait")-SUMIFS(Paiements!$I$5:$I$2000,Paiements!$C$5:$C$2000,$C632,Paiements!$L$5:$L$2000,"Payé"))))</f>
        <v/>
      </c>
      <c r="J632" s="30" t="str">
        <f t="shared" si="19"/>
        <v/>
      </c>
      <c r="K632" s="14"/>
      <c r="L632" s="17" t="str">
        <f>IF(AND($C632&lt;&gt;"",$C632=Controle_Paiement!$B$4,$J632&lt;&gt;"Payé",$J632&lt;&gt;"Annulé",$J632&lt;&gt;""),1,"")</f>
        <v/>
      </c>
    </row>
    <row r="633" spans="1:12" x14ac:dyDescent="0.35">
      <c r="A633" s="18"/>
      <c r="B633" s="27"/>
      <c r="C633" s="14"/>
      <c r="D633" s="14"/>
      <c r="E633" s="19"/>
      <c r="F633" s="19"/>
      <c r="G633" s="28" t="str">
        <f t="shared" si="18"/>
        <v/>
      </c>
      <c r="H633" s="14"/>
      <c r="I633" s="29" t="str">
        <f>IF(OR($C633="",$G633="",$H633&lt;&gt;"Fait"),"",MIN($G633,MAX(0,SUMIFS($G$5:$G633,$C$5:$C633,$C633,$H$5:$H633,"Fait")-SUMIFS(Paiements!$I$5:$I$2000,Paiements!$C$5:$C$2000,$C633,Paiements!$L$5:$L$2000,"Payé"))))</f>
        <v/>
      </c>
      <c r="J633" s="30" t="str">
        <f t="shared" si="19"/>
        <v/>
      </c>
      <c r="K633" s="14"/>
      <c r="L633" s="17" t="str">
        <f>IF(AND($C633&lt;&gt;"",$C633=Controle_Paiement!$B$4,$J633&lt;&gt;"Payé",$J633&lt;&gt;"Annulé",$J633&lt;&gt;""),1,"")</f>
        <v/>
      </c>
    </row>
    <row r="634" spans="1:12" x14ac:dyDescent="0.35">
      <c r="A634" s="18"/>
      <c r="B634" s="27"/>
      <c r="C634" s="14"/>
      <c r="D634" s="14"/>
      <c r="E634" s="19"/>
      <c r="F634" s="19"/>
      <c r="G634" s="28" t="str">
        <f t="shared" si="18"/>
        <v/>
      </c>
      <c r="H634" s="14"/>
      <c r="I634" s="29" t="str">
        <f>IF(OR($C634="",$G634="",$H634&lt;&gt;"Fait"),"",MIN($G634,MAX(0,SUMIFS($G$5:$G634,$C$5:$C634,$C634,$H$5:$H634,"Fait")-SUMIFS(Paiements!$I$5:$I$2000,Paiements!$C$5:$C$2000,$C634,Paiements!$L$5:$L$2000,"Payé"))))</f>
        <v/>
      </c>
      <c r="J634" s="30" t="str">
        <f t="shared" si="19"/>
        <v/>
      </c>
      <c r="K634" s="14"/>
      <c r="L634" s="17" t="str">
        <f>IF(AND($C634&lt;&gt;"",$C634=Controle_Paiement!$B$4,$J634&lt;&gt;"Payé",$J634&lt;&gt;"Annulé",$J634&lt;&gt;""),1,"")</f>
        <v/>
      </c>
    </row>
    <row r="635" spans="1:12" x14ac:dyDescent="0.35">
      <c r="A635" s="18"/>
      <c r="B635" s="27"/>
      <c r="C635" s="14"/>
      <c r="D635" s="14"/>
      <c r="E635" s="19"/>
      <c r="F635" s="19"/>
      <c r="G635" s="28" t="str">
        <f t="shared" si="18"/>
        <v/>
      </c>
      <c r="H635" s="14"/>
      <c r="I635" s="29" t="str">
        <f>IF(OR($C635="",$G635="",$H635&lt;&gt;"Fait"),"",MIN($G635,MAX(0,SUMIFS($G$5:$G635,$C$5:$C635,$C635,$H$5:$H635,"Fait")-SUMIFS(Paiements!$I$5:$I$2000,Paiements!$C$5:$C$2000,$C635,Paiements!$L$5:$L$2000,"Payé"))))</f>
        <v/>
      </c>
      <c r="J635" s="30" t="str">
        <f t="shared" si="19"/>
        <v/>
      </c>
      <c r="K635" s="14"/>
      <c r="L635" s="17" t="str">
        <f>IF(AND($C635&lt;&gt;"",$C635=Controle_Paiement!$B$4,$J635&lt;&gt;"Payé",$J635&lt;&gt;"Annulé",$J635&lt;&gt;""),1,"")</f>
        <v/>
      </c>
    </row>
    <row r="636" spans="1:12" x14ac:dyDescent="0.35">
      <c r="A636" s="18"/>
      <c r="B636" s="27"/>
      <c r="C636" s="14"/>
      <c r="D636" s="14"/>
      <c r="E636" s="19"/>
      <c r="F636" s="19"/>
      <c r="G636" s="28" t="str">
        <f t="shared" si="18"/>
        <v/>
      </c>
      <c r="H636" s="14"/>
      <c r="I636" s="29" t="str">
        <f>IF(OR($C636="",$G636="",$H636&lt;&gt;"Fait"),"",MIN($G636,MAX(0,SUMIFS($G$5:$G636,$C$5:$C636,$C636,$H$5:$H636,"Fait")-SUMIFS(Paiements!$I$5:$I$2000,Paiements!$C$5:$C$2000,$C636,Paiements!$L$5:$L$2000,"Payé"))))</f>
        <v/>
      </c>
      <c r="J636" s="30" t="str">
        <f t="shared" si="19"/>
        <v/>
      </c>
      <c r="K636" s="14"/>
      <c r="L636" s="17" t="str">
        <f>IF(AND($C636&lt;&gt;"",$C636=Controle_Paiement!$B$4,$J636&lt;&gt;"Payé",$J636&lt;&gt;"Annulé",$J636&lt;&gt;""),1,"")</f>
        <v/>
      </c>
    </row>
    <row r="637" spans="1:12" x14ac:dyDescent="0.35">
      <c r="A637" s="18"/>
      <c r="B637" s="27"/>
      <c r="C637" s="14"/>
      <c r="D637" s="14"/>
      <c r="E637" s="19"/>
      <c r="F637" s="19"/>
      <c r="G637" s="28" t="str">
        <f t="shared" si="18"/>
        <v/>
      </c>
      <c r="H637" s="14"/>
      <c r="I637" s="29" t="str">
        <f>IF(OR($C637="",$G637="",$H637&lt;&gt;"Fait"),"",MIN($G637,MAX(0,SUMIFS($G$5:$G637,$C$5:$C637,$C637,$H$5:$H637,"Fait")-SUMIFS(Paiements!$I$5:$I$2000,Paiements!$C$5:$C$2000,$C637,Paiements!$L$5:$L$2000,"Payé"))))</f>
        <v/>
      </c>
      <c r="J637" s="30" t="str">
        <f t="shared" si="19"/>
        <v/>
      </c>
      <c r="K637" s="14"/>
      <c r="L637" s="17" t="str">
        <f>IF(AND($C637&lt;&gt;"",$C637=Controle_Paiement!$B$4,$J637&lt;&gt;"Payé",$J637&lt;&gt;"Annulé",$J637&lt;&gt;""),1,"")</f>
        <v/>
      </c>
    </row>
    <row r="638" spans="1:12" x14ac:dyDescent="0.35">
      <c r="A638" s="18"/>
      <c r="B638" s="27"/>
      <c r="C638" s="14"/>
      <c r="D638" s="14"/>
      <c r="E638" s="19"/>
      <c r="F638" s="19"/>
      <c r="G638" s="28" t="str">
        <f t="shared" si="18"/>
        <v/>
      </c>
      <c r="H638" s="14"/>
      <c r="I638" s="29" t="str">
        <f>IF(OR($C638="",$G638="",$H638&lt;&gt;"Fait"),"",MIN($G638,MAX(0,SUMIFS($G$5:$G638,$C$5:$C638,$C638,$H$5:$H638,"Fait")-SUMIFS(Paiements!$I$5:$I$2000,Paiements!$C$5:$C$2000,$C638,Paiements!$L$5:$L$2000,"Payé"))))</f>
        <v/>
      </c>
      <c r="J638" s="30" t="str">
        <f t="shared" si="19"/>
        <v/>
      </c>
      <c r="K638" s="14"/>
      <c r="L638" s="17" t="str">
        <f>IF(AND($C638&lt;&gt;"",$C638=Controle_Paiement!$B$4,$J638&lt;&gt;"Payé",$J638&lt;&gt;"Annulé",$J638&lt;&gt;""),1,"")</f>
        <v/>
      </c>
    </row>
    <row r="639" spans="1:12" x14ac:dyDescent="0.35">
      <c r="A639" s="18"/>
      <c r="B639" s="27"/>
      <c r="C639" s="14"/>
      <c r="D639" s="14"/>
      <c r="E639" s="19"/>
      <c r="F639" s="19"/>
      <c r="G639" s="28" t="str">
        <f t="shared" si="18"/>
        <v/>
      </c>
      <c r="H639" s="14"/>
      <c r="I639" s="29" t="str">
        <f>IF(OR($C639="",$G639="",$H639&lt;&gt;"Fait"),"",MIN($G639,MAX(0,SUMIFS($G$5:$G639,$C$5:$C639,$C639,$H$5:$H639,"Fait")-SUMIFS(Paiements!$I$5:$I$2000,Paiements!$C$5:$C$2000,$C639,Paiements!$L$5:$L$2000,"Payé"))))</f>
        <v/>
      </c>
      <c r="J639" s="30" t="str">
        <f t="shared" si="19"/>
        <v/>
      </c>
      <c r="K639" s="14"/>
      <c r="L639" s="17" t="str">
        <f>IF(AND($C639&lt;&gt;"",$C639=Controle_Paiement!$B$4,$J639&lt;&gt;"Payé",$J639&lt;&gt;"Annulé",$J639&lt;&gt;""),1,"")</f>
        <v/>
      </c>
    </row>
    <row r="640" spans="1:12" x14ac:dyDescent="0.35">
      <c r="A640" s="18"/>
      <c r="B640" s="27"/>
      <c r="C640" s="14"/>
      <c r="D640" s="14"/>
      <c r="E640" s="19"/>
      <c r="F640" s="19"/>
      <c r="G640" s="28" t="str">
        <f t="shared" si="18"/>
        <v/>
      </c>
      <c r="H640" s="14"/>
      <c r="I640" s="29" t="str">
        <f>IF(OR($C640="",$G640="",$H640&lt;&gt;"Fait"),"",MIN($G640,MAX(0,SUMIFS($G$5:$G640,$C$5:$C640,$C640,$H$5:$H640,"Fait")-SUMIFS(Paiements!$I$5:$I$2000,Paiements!$C$5:$C$2000,$C640,Paiements!$L$5:$L$2000,"Payé"))))</f>
        <v/>
      </c>
      <c r="J640" s="30" t="str">
        <f t="shared" si="19"/>
        <v/>
      </c>
      <c r="K640" s="14"/>
      <c r="L640" s="17" t="str">
        <f>IF(AND($C640&lt;&gt;"",$C640=Controle_Paiement!$B$4,$J640&lt;&gt;"Payé",$J640&lt;&gt;"Annulé",$J640&lt;&gt;""),1,"")</f>
        <v/>
      </c>
    </row>
    <row r="641" spans="1:12" x14ac:dyDescent="0.35">
      <c r="A641" s="18"/>
      <c r="B641" s="27"/>
      <c r="C641" s="14"/>
      <c r="D641" s="14"/>
      <c r="E641" s="19"/>
      <c r="F641" s="19"/>
      <c r="G641" s="28" t="str">
        <f t="shared" si="18"/>
        <v/>
      </c>
      <c r="H641" s="14"/>
      <c r="I641" s="29" t="str">
        <f>IF(OR($C641="",$G641="",$H641&lt;&gt;"Fait"),"",MIN($G641,MAX(0,SUMIFS($G$5:$G641,$C$5:$C641,$C641,$H$5:$H641,"Fait")-SUMIFS(Paiements!$I$5:$I$2000,Paiements!$C$5:$C$2000,$C641,Paiements!$L$5:$L$2000,"Payé"))))</f>
        <v/>
      </c>
      <c r="J641" s="30" t="str">
        <f t="shared" si="19"/>
        <v/>
      </c>
      <c r="K641" s="14"/>
      <c r="L641" s="17" t="str">
        <f>IF(AND($C641&lt;&gt;"",$C641=Controle_Paiement!$B$4,$J641&lt;&gt;"Payé",$J641&lt;&gt;"Annulé",$J641&lt;&gt;""),1,"")</f>
        <v/>
      </c>
    </row>
    <row r="642" spans="1:12" x14ac:dyDescent="0.35">
      <c r="A642" s="18"/>
      <c r="B642" s="27"/>
      <c r="C642" s="14"/>
      <c r="D642" s="14"/>
      <c r="E642" s="19"/>
      <c r="F642" s="19"/>
      <c r="G642" s="28" t="str">
        <f t="shared" si="18"/>
        <v/>
      </c>
      <c r="H642" s="14"/>
      <c r="I642" s="29" t="str">
        <f>IF(OR($C642="",$G642="",$H642&lt;&gt;"Fait"),"",MIN($G642,MAX(0,SUMIFS($G$5:$G642,$C$5:$C642,$C642,$H$5:$H642,"Fait")-SUMIFS(Paiements!$I$5:$I$2000,Paiements!$C$5:$C$2000,$C642,Paiements!$L$5:$L$2000,"Payé"))))</f>
        <v/>
      </c>
      <c r="J642" s="30" t="str">
        <f t="shared" si="19"/>
        <v/>
      </c>
      <c r="K642" s="14"/>
      <c r="L642" s="17" t="str">
        <f>IF(AND($C642&lt;&gt;"",$C642=Controle_Paiement!$B$4,$J642&lt;&gt;"Payé",$J642&lt;&gt;"Annulé",$J642&lt;&gt;""),1,"")</f>
        <v/>
      </c>
    </row>
    <row r="643" spans="1:12" x14ac:dyDescent="0.35">
      <c r="A643" s="18"/>
      <c r="B643" s="27"/>
      <c r="C643" s="14"/>
      <c r="D643" s="14"/>
      <c r="E643" s="19"/>
      <c r="F643" s="19"/>
      <c r="G643" s="28" t="str">
        <f t="shared" ref="G643:G706" si="20">IF(OR($E643="",$F643=""),"",ROUND($E643*$F643,0))</f>
        <v/>
      </c>
      <c r="H643" s="14"/>
      <c r="I643" s="29" t="str">
        <f>IF(OR($C643="",$G643="",$H643&lt;&gt;"Fait"),"",MIN($G643,MAX(0,SUMIFS($G$5:$G643,$C$5:$C643,$C643,$H$5:$H643,"Fait")-SUMIFS(Paiements!$I$5:$I$2000,Paiements!$C$5:$C$2000,$C643,Paiements!$L$5:$L$2000,"Payé"))))</f>
        <v/>
      </c>
      <c r="J643" s="30" t="str">
        <f t="shared" ref="J643:J706" si="21">IF(OR($C643="",$G643=""),"",IF($H643="Annulé","Annulé",IF($H643&lt;&gt;"Fait","Non payable (déchargement non fait)",IF($I643=0,"Payé",IF($I643&lt;$G643,"Partiellement payé","À payer")))))</f>
        <v/>
      </c>
      <c r="K643" s="14"/>
      <c r="L643" s="17" t="str">
        <f>IF(AND($C643&lt;&gt;"",$C643=Controle_Paiement!$B$4,$J643&lt;&gt;"Payé",$J643&lt;&gt;"Annulé",$J643&lt;&gt;""),1,"")</f>
        <v/>
      </c>
    </row>
    <row r="644" spans="1:12" x14ac:dyDescent="0.35">
      <c r="A644" s="18"/>
      <c r="B644" s="27"/>
      <c r="C644" s="14"/>
      <c r="D644" s="14"/>
      <c r="E644" s="19"/>
      <c r="F644" s="19"/>
      <c r="G644" s="28" t="str">
        <f t="shared" si="20"/>
        <v/>
      </c>
      <c r="H644" s="14"/>
      <c r="I644" s="29" t="str">
        <f>IF(OR($C644="",$G644="",$H644&lt;&gt;"Fait"),"",MIN($G644,MAX(0,SUMIFS($G$5:$G644,$C$5:$C644,$C644,$H$5:$H644,"Fait")-SUMIFS(Paiements!$I$5:$I$2000,Paiements!$C$5:$C$2000,$C644,Paiements!$L$5:$L$2000,"Payé"))))</f>
        <v/>
      </c>
      <c r="J644" s="30" t="str">
        <f t="shared" si="21"/>
        <v/>
      </c>
      <c r="K644" s="14"/>
      <c r="L644" s="17" t="str">
        <f>IF(AND($C644&lt;&gt;"",$C644=Controle_Paiement!$B$4,$J644&lt;&gt;"Payé",$J644&lt;&gt;"Annulé",$J644&lt;&gt;""),1,"")</f>
        <v/>
      </c>
    </row>
    <row r="645" spans="1:12" x14ac:dyDescent="0.35">
      <c r="A645" s="18"/>
      <c r="B645" s="27"/>
      <c r="C645" s="14"/>
      <c r="D645" s="14"/>
      <c r="E645" s="19"/>
      <c r="F645" s="19"/>
      <c r="G645" s="28" t="str">
        <f t="shared" si="20"/>
        <v/>
      </c>
      <c r="H645" s="14"/>
      <c r="I645" s="29" t="str">
        <f>IF(OR($C645="",$G645="",$H645&lt;&gt;"Fait"),"",MIN($G645,MAX(0,SUMIFS($G$5:$G645,$C$5:$C645,$C645,$H$5:$H645,"Fait")-SUMIFS(Paiements!$I$5:$I$2000,Paiements!$C$5:$C$2000,$C645,Paiements!$L$5:$L$2000,"Payé"))))</f>
        <v/>
      </c>
      <c r="J645" s="30" t="str">
        <f t="shared" si="21"/>
        <v/>
      </c>
      <c r="K645" s="14"/>
      <c r="L645" s="17" t="str">
        <f>IF(AND($C645&lt;&gt;"",$C645=Controle_Paiement!$B$4,$J645&lt;&gt;"Payé",$J645&lt;&gt;"Annulé",$J645&lt;&gt;""),1,"")</f>
        <v/>
      </c>
    </row>
    <row r="646" spans="1:12" x14ac:dyDescent="0.35">
      <c r="A646" s="18"/>
      <c r="B646" s="27"/>
      <c r="C646" s="14"/>
      <c r="D646" s="14"/>
      <c r="E646" s="19"/>
      <c r="F646" s="19"/>
      <c r="G646" s="28" t="str">
        <f t="shared" si="20"/>
        <v/>
      </c>
      <c r="H646" s="14"/>
      <c r="I646" s="29" t="str">
        <f>IF(OR($C646="",$G646="",$H646&lt;&gt;"Fait"),"",MIN($G646,MAX(0,SUMIFS($G$5:$G646,$C$5:$C646,$C646,$H$5:$H646,"Fait")-SUMIFS(Paiements!$I$5:$I$2000,Paiements!$C$5:$C$2000,$C646,Paiements!$L$5:$L$2000,"Payé"))))</f>
        <v/>
      </c>
      <c r="J646" s="30" t="str">
        <f t="shared" si="21"/>
        <v/>
      </c>
      <c r="K646" s="14"/>
      <c r="L646" s="17" t="str">
        <f>IF(AND($C646&lt;&gt;"",$C646=Controle_Paiement!$B$4,$J646&lt;&gt;"Payé",$J646&lt;&gt;"Annulé",$J646&lt;&gt;""),1,"")</f>
        <v/>
      </c>
    </row>
    <row r="647" spans="1:12" x14ac:dyDescent="0.35">
      <c r="A647" s="18"/>
      <c r="B647" s="27"/>
      <c r="C647" s="14"/>
      <c r="D647" s="14"/>
      <c r="E647" s="19"/>
      <c r="F647" s="19"/>
      <c r="G647" s="28" t="str">
        <f t="shared" si="20"/>
        <v/>
      </c>
      <c r="H647" s="14"/>
      <c r="I647" s="29" t="str">
        <f>IF(OR($C647="",$G647="",$H647&lt;&gt;"Fait"),"",MIN($G647,MAX(0,SUMIFS($G$5:$G647,$C$5:$C647,$C647,$H$5:$H647,"Fait")-SUMIFS(Paiements!$I$5:$I$2000,Paiements!$C$5:$C$2000,$C647,Paiements!$L$5:$L$2000,"Payé"))))</f>
        <v/>
      </c>
      <c r="J647" s="30" t="str">
        <f t="shared" si="21"/>
        <v/>
      </c>
      <c r="K647" s="14"/>
      <c r="L647" s="17" t="str">
        <f>IF(AND($C647&lt;&gt;"",$C647=Controle_Paiement!$B$4,$J647&lt;&gt;"Payé",$J647&lt;&gt;"Annulé",$J647&lt;&gt;""),1,"")</f>
        <v/>
      </c>
    </row>
    <row r="648" spans="1:12" x14ac:dyDescent="0.35">
      <c r="A648" s="18"/>
      <c r="B648" s="27"/>
      <c r="C648" s="14"/>
      <c r="D648" s="14"/>
      <c r="E648" s="19"/>
      <c r="F648" s="19"/>
      <c r="G648" s="28" t="str">
        <f t="shared" si="20"/>
        <v/>
      </c>
      <c r="H648" s="14"/>
      <c r="I648" s="29" t="str">
        <f>IF(OR($C648="",$G648="",$H648&lt;&gt;"Fait"),"",MIN($G648,MAX(0,SUMIFS($G$5:$G648,$C$5:$C648,$C648,$H$5:$H648,"Fait")-SUMIFS(Paiements!$I$5:$I$2000,Paiements!$C$5:$C$2000,$C648,Paiements!$L$5:$L$2000,"Payé"))))</f>
        <v/>
      </c>
      <c r="J648" s="30" t="str">
        <f t="shared" si="21"/>
        <v/>
      </c>
      <c r="K648" s="14"/>
      <c r="L648" s="17" t="str">
        <f>IF(AND($C648&lt;&gt;"",$C648=Controle_Paiement!$B$4,$J648&lt;&gt;"Payé",$J648&lt;&gt;"Annulé",$J648&lt;&gt;""),1,"")</f>
        <v/>
      </c>
    </row>
    <row r="649" spans="1:12" x14ac:dyDescent="0.35">
      <c r="A649" s="18"/>
      <c r="B649" s="27"/>
      <c r="C649" s="14"/>
      <c r="D649" s="14"/>
      <c r="E649" s="19"/>
      <c r="F649" s="19"/>
      <c r="G649" s="28" t="str">
        <f t="shared" si="20"/>
        <v/>
      </c>
      <c r="H649" s="14"/>
      <c r="I649" s="29" t="str">
        <f>IF(OR($C649="",$G649="",$H649&lt;&gt;"Fait"),"",MIN($G649,MAX(0,SUMIFS($G$5:$G649,$C$5:$C649,$C649,$H$5:$H649,"Fait")-SUMIFS(Paiements!$I$5:$I$2000,Paiements!$C$5:$C$2000,$C649,Paiements!$L$5:$L$2000,"Payé"))))</f>
        <v/>
      </c>
      <c r="J649" s="30" t="str">
        <f t="shared" si="21"/>
        <v/>
      </c>
      <c r="K649" s="14"/>
      <c r="L649" s="17" t="str">
        <f>IF(AND($C649&lt;&gt;"",$C649=Controle_Paiement!$B$4,$J649&lt;&gt;"Payé",$J649&lt;&gt;"Annulé",$J649&lt;&gt;""),1,"")</f>
        <v/>
      </c>
    </row>
    <row r="650" spans="1:12" x14ac:dyDescent="0.35">
      <c r="A650" s="18"/>
      <c r="B650" s="27"/>
      <c r="C650" s="14"/>
      <c r="D650" s="14"/>
      <c r="E650" s="19"/>
      <c r="F650" s="19"/>
      <c r="G650" s="28" t="str">
        <f t="shared" si="20"/>
        <v/>
      </c>
      <c r="H650" s="14"/>
      <c r="I650" s="29" t="str">
        <f>IF(OR($C650="",$G650="",$H650&lt;&gt;"Fait"),"",MIN($G650,MAX(0,SUMIFS($G$5:$G650,$C$5:$C650,$C650,$H$5:$H650,"Fait")-SUMIFS(Paiements!$I$5:$I$2000,Paiements!$C$5:$C$2000,$C650,Paiements!$L$5:$L$2000,"Payé"))))</f>
        <v/>
      </c>
      <c r="J650" s="30" t="str">
        <f t="shared" si="21"/>
        <v/>
      </c>
      <c r="K650" s="14"/>
      <c r="L650" s="17" t="str">
        <f>IF(AND($C650&lt;&gt;"",$C650=Controle_Paiement!$B$4,$J650&lt;&gt;"Payé",$J650&lt;&gt;"Annulé",$J650&lt;&gt;""),1,"")</f>
        <v/>
      </c>
    </row>
    <row r="651" spans="1:12" x14ac:dyDescent="0.35">
      <c r="A651" s="18"/>
      <c r="B651" s="27"/>
      <c r="C651" s="14"/>
      <c r="D651" s="14"/>
      <c r="E651" s="19"/>
      <c r="F651" s="19"/>
      <c r="G651" s="28" t="str">
        <f t="shared" si="20"/>
        <v/>
      </c>
      <c r="H651" s="14"/>
      <c r="I651" s="29" t="str">
        <f>IF(OR($C651="",$G651="",$H651&lt;&gt;"Fait"),"",MIN($G651,MAX(0,SUMIFS($G$5:$G651,$C$5:$C651,$C651,$H$5:$H651,"Fait")-SUMIFS(Paiements!$I$5:$I$2000,Paiements!$C$5:$C$2000,$C651,Paiements!$L$5:$L$2000,"Payé"))))</f>
        <v/>
      </c>
      <c r="J651" s="30" t="str">
        <f t="shared" si="21"/>
        <v/>
      </c>
      <c r="K651" s="14"/>
      <c r="L651" s="17" t="str">
        <f>IF(AND($C651&lt;&gt;"",$C651=Controle_Paiement!$B$4,$J651&lt;&gt;"Payé",$J651&lt;&gt;"Annulé",$J651&lt;&gt;""),1,"")</f>
        <v/>
      </c>
    </row>
    <row r="652" spans="1:12" x14ac:dyDescent="0.35">
      <c r="A652" s="18"/>
      <c r="B652" s="27"/>
      <c r="C652" s="14"/>
      <c r="D652" s="14"/>
      <c r="E652" s="19"/>
      <c r="F652" s="19"/>
      <c r="G652" s="28" t="str">
        <f t="shared" si="20"/>
        <v/>
      </c>
      <c r="H652" s="14"/>
      <c r="I652" s="29" t="str">
        <f>IF(OR($C652="",$G652="",$H652&lt;&gt;"Fait"),"",MIN($G652,MAX(0,SUMIFS($G$5:$G652,$C$5:$C652,$C652,$H$5:$H652,"Fait")-SUMIFS(Paiements!$I$5:$I$2000,Paiements!$C$5:$C$2000,$C652,Paiements!$L$5:$L$2000,"Payé"))))</f>
        <v/>
      </c>
      <c r="J652" s="30" t="str">
        <f t="shared" si="21"/>
        <v/>
      </c>
      <c r="K652" s="14"/>
      <c r="L652" s="17" t="str">
        <f>IF(AND($C652&lt;&gt;"",$C652=Controle_Paiement!$B$4,$J652&lt;&gt;"Payé",$J652&lt;&gt;"Annulé",$J652&lt;&gt;""),1,"")</f>
        <v/>
      </c>
    </row>
    <row r="653" spans="1:12" x14ac:dyDescent="0.35">
      <c r="A653" s="18"/>
      <c r="B653" s="27"/>
      <c r="C653" s="14"/>
      <c r="D653" s="14"/>
      <c r="E653" s="19"/>
      <c r="F653" s="19"/>
      <c r="G653" s="28" t="str">
        <f t="shared" si="20"/>
        <v/>
      </c>
      <c r="H653" s="14"/>
      <c r="I653" s="29" t="str">
        <f>IF(OR($C653="",$G653="",$H653&lt;&gt;"Fait"),"",MIN($G653,MAX(0,SUMIFS($G$5:$G653,$C$5:$C653,$C653,$H$5:$H653,"Fait")-SUMIFS(Paiements!$I$5:$I$2000,Paiements!$C$5:$C$2000,$C653,Paiements!$L$5:$L$2000,"Payé"))))</f>
        <v/>
      </c>
      <c r="J653" s="30" t="str">
        <f t="shared" si="21"/>
        <v/>
      </c>
      <c r="K653" s="14"/>
      <c r="L653" s="17" t="str">
        <f>IF(AND($C653&lt;&gt;"",$C653=Controle_Paiement!$B$4,$J653&lt;&gt;"Payé",$J653&lt;&gt;"Annulé",$J653&lt;&gt;""),1,"")</f>
        <v/>
      </c>
    </row>
    <row r="654" spans="1:12" x14ac:dyDescent="0.35">
      <c r="A654" s="18"/>
      <c r="B654" s="27"/>
      <c r="C654" s="14"/>
      <c r="D654" s="14"/>
      <c r="E654" s="19"/>
      <c r="F654" s="19"/>
      <c r="G654" s="28" t="str">
        <f t="shared" si="20"/>
        <v/>
      </c>
      <c r="H654" s="14"/>
      <c r="I654" s="29" t="str">
        <f>IF(OR($C654="",$G654="",$H654&lt;&gt;"Fait"),"",MIN($G654,MAX(0,SUMIFS($G$5:$G654,$C$5:$C654,$C654,$H$5:$H654,"Fait")-SUMIFS(Paiements!$I$5:$I$2000,Paiements!$C$5:$C$2000,$C654,Paiements!$L$5:$L$2000,"Payé"))))</f>
        <v/>
      </c>
      <c r="J654" s="30" t="str">
        <f t="shared" si="21"/>
        <v/>
      </c>
      <c r="K654" s="14"/>
      <c r="L654" s="17" t="str">
        <f>IF(AND($C654&lt;&gt;"",$C654=Controle_Paiement!$B$4,$J654&lt;&gt;"Payé",$J654&lt;&gt;"Annulé",$J654&lt;&gt;""),1,"")</f>
        <v/>
      </c>
    </row>
    <row r="655" spans="1:12" x14ac:dyDescent="0.35">
      <c r="A655" s="18"/>
      <c r="B655" s="27"/>
      <c r="C655" s="14"/>
      <c r="D655" s="14"/>
      <c r="E655" s="19"/>
      <c r="F655" s="19"/>
      <c r="G655" s="28" t="str">
        <f t="shared" si="20"/>
        <v/>
      </c>
      <c r="H655" s="14"/>
      <c r="I655" s="29" t="str">
        <f>IF(OR($C655="",$G655="",$H655&lt;&gt;"Fait"),"",MIN($G655,MAX(0,SUMIFS($G$5:$G655,$C$5:$C655,$C655,$H$5:$H655,"Fait")-SUMIFS(Paiements!$I$5:$I$2000,Paiements!$C$5:$C$2000,$C655,Paiements!$L$5:$L$2000,"Payé"))))</f>
        <v/>
      </c>
      <c r="J655" s="30" t="str">
        <f t="shared" si="21"/>
        <v/>
      </c>
      <c r="K655" s="14"/>
      <c r="L655" s="17" t="str">
        <f>IF(AND($C655&lt;&gt;"",$C655=Controle_Paiement!$B$4,$J655&lt;&gt;"Payé",$J655&lt;&gt;"Annulé",$J655&lt;&gt;""),1,"")</f>
        <v/>
      </c>
    </row>
    <row r="656" spans="1:12" x14ac:dyDescent="0.35">
      <c r="A656" s="18"/>
      <c r="B656" s="27"/>
      <c r="C656" s="14"/>
      <c r="D656" s="14"/>
      <c r="E656" s="19"/>
      <c r="F656" s="19"/>
      <c r="G656" s="28" t="str">
        <f t="shared" si="20"/>
        <v/>
      </c>
      <c r="H656" s="14"/>
      <c r="I656" s="29" t="str">
        <f>IF(OR($C656="",$G656="",$H656&lt;&gt;"Fait"),"",MIN($G656,MAX(0,SUMIFS($G$5:$G656,$C$5:$C656,$C656,$H$5:$H656,"Fait")-SUMIFS(Paiements!$I$5:$I$2000,Paiements!$C$5:$C$2000,$C656,Paiements!$L$5:$L$2000,"Payé"))))</f>
        <v/>
      </c>
      <c r="J656" s="30" t="str">
        <f t="shared" si="21"/>
        <v/>
      </c>
      <c r="K656" s="14"/>
      <c r="L656" s="17" t="str">
        <f>IF(AND($C656&lt;&gt;"",$C656=Controle_Paiement!$B$4,$J656&lt;&gt;"Payé",$J656&lt;&gt;"Annulé",$J656&lt;&gt;""),1,"")</f>
        <v/>
      </c>
    </row>
    <row r="657" spans="1:12" x14ac:dyDescent="0.35">
      <c r="A657" s="18"/>
      <c r="B657" s="27"/>
      <c r="C657" s="14"/>
      <c r="D657" s="14"/>
      <c r="E657" s="19"/>
      <c r="F657" s="19"/>
      <c r="G657" s="28" t="str">
        <f t="shared" si="20"/>
        <v/>
      </c>
      <c r="H657" s="14"/>
      <c r="I657" s="29" t="str">
        <f>IF(OR($C657="",$G657="",$H657&lt;&gt;"Fait"),"",MIN($G657,MAX(0,SUMIFS($G$5:$G657,$C$5:$C657,$C657,$H$5:$H657,"Fait")-SUMIFS(Paiements!$I$5:$I$2000,Paiements!$C$5:$C$2000,$C657,Paiements!$L$5:$L$2000,"Payé"))))</f>
        <v/>
      </c>
      <c r="J657" s="30" t="str">
        <f t="shared" si="21"/>
        <v/>
      </c>
      <c r="K657" s="14"/>
      <c r="L657" s="17" t="str">
        <f>IF(AND($C657&lt;&gt;"",$C657=Controle_Paiement!$B$4,$J657&lt;&gt;"Payé",$J657&lt;&gt;"Annulé",$J657&lt;&gt;""),1,"")</f>
        <v/>
      </c>
    </row>
    <row r="658" spans="1:12" x14ac:dyDescent="0.35">
      <c r="A658" s="18"/>
      <c r="B658" s="27"/>
      <c r="C658" s="14"/>
      <c r="D658" s="14"/>
      <c r="E658" s="19"/>
      <c r="F658" s="19"/>
      <c r="G658" s="28" t="str">
        <f t="shared" si="20"/>
        <v/>
      </c>
      <c r="H658" s="14"/>
      <c r="I658" s="29" t="str">
        <f>IF(OR($C658="",$G658="",$H658&lt;&gt;"Fait"),"",MIN($G658,MAX(0,SUMIFS($G$5:$G658,$C$5:$C658,$C658,$H$5:$H658,"Fait")-SUMIFS(Paiements!$I$5:$I$2000,Paiements!$C$5:$C$2000,$C658,Paiements!$L$5:$L$2000,"Payé"))))</f>
        <v/>
      </c>
      <c r="J658" s="30" t="str">
        <f t="shared" si="21"/>
        <v/>
      </c>
      <c r="K658" s="14"/>
      <c r="L658" s="17" t="str">
        <f>IF(AND($C658&lt;&gt;"",$C658=Controle_Paiement!$B$4,$J658&lt;&gt;"Payé",$J658&lt;&gt;"Annulé",$J658&lt;&gt;""),1,"")</f>
        <v/>
      </c>
    </row>
    <row r="659" spans="1:12" x14ac:dyDescent="0.35">
      <c r="A659" s="18"/>
      <c r="B659" s="27"/>
      <c r="C659" s="14"/>
      <c r="D659" s="14"/>
      <c r="E659" s="19"/>
      <c r="F659" s="19"/>
      <c r="G659" s="28" t="str">
        <f t="shared" si="20"/>
        <v/>
      </c>
      <c r="H659" s="14"/>
      <c r="I659" s="29" t="str">
        <f>IF(OR($C659="",$G659="",$H659&lt;&gt;"Fait"),"",MIN($G659,MAX(0,SUMIFS($G$5:$G659,$C$5:$C659,$C659,$H$5:$H659,"Fait")-SUMIFS(Paiements!$I$5:$I$2000,Paiements!$C$5:$C$2000,$C659,Paiements!$L$5:$L$2000,"Payé"))))</f>
        <v/>
      </c>
      <c r="J659" s="30" t="str">
        <f t="shared" si="21"/>
        <v/>
      </c>
      <c r="K659" s="14"/>
      <c r="L659" s="17" t="str">
        <f>IF(AND($C659&lt;&gt;"",$C659=Controle_Paiement!$B$4,$J659&lt;&gt;"Payé",$J659&lt;&gt;"Annulé",$J659&lt;&gt;""),1,"")</f>
        <v/>
      </c>
    </row>
    <row r="660" spans="1:12" x14ac:dyDescent="0.35">
      <c r="A660" s="18"/>
      <c r="B660" s="27"/>
      <c r="C660" s="14"/>
      <c r="D660" s="14"/>
      <c r="E660" s="19"/>
      <c r="F660" s="19"/>
      <c r="G660" s="28" t="str">
        <f t="shared" si="20"/>
        <v/>
      </c>
      <c r="H660" s="14"/>
      <c r="I660" s="29" t="str">
        <f>IF(OR($C660="",$G660="",$H660&lt;&gt;"Fait"),"",MIN($G660,MAX(0,SUMIFS($G$5:$G660,$C$5:$C660,$C660,$H$5:$H660,"Fait")-SUMIFS(Paiements!$I$5:$I$2000,Paiements!$C$5:$C$2000,$C660,Paiements!$L$5:$L$2000,"Payé"))))</f>
        <v/>
      </c>
      <c r="J660" s="30" t="str">
        <f t="shared" si="21"/>
        <v/>
      </c>
      <c r="K660" s="14"/>
      <c r="L660" s="17" t="str">
        <f>IF(AND($C660&lt;&gt;"",$C660=Controle_Paiement!$B$4,$J660&lt;&gt;"Payé",$J660&lt;&gt;"Annulé",$J660&lt;&gt;""),1,"")</f>
        <v/>
      </c>
    </row>
    <row r="661" spans="1:12" x14ac:dyDescent="0.35">
      <c r="A661" s="18"/>
      <c r="B661" s="27"/>
      <c r="C661" s="14"/>
      <c r="D661" s="14"/>
      <c r="E661" s="19"/>
      <c r="F661" s="19"/>
      <c r="G661" s="28" t="str">
        <f t="shared" si="20"/>
        <v/>
      </c>
      <c r="H661" s="14"/>
      <c r="I661" s="29" t="str">
        <f>IF(OR($C661="",$G661="",$H661&lt;&gt;"Fait"),"",MIN($G661,MAX(0,SUMIFS($G$5:$G661,$C$5:$C661,$C661,$H$5:$H661,"Fait")-SUMIFS(Paiements!$I$5:$I$2000,Paiements!$C$5:$C$2000,$C661,Paiements!$L$5:$L$2000,"Payé"))))</f>
        <v/>
      </c>
      <c r="J661" s="30" t="str">
        <f t="shared" si="21"/>
        <v/>
      </c>
      <c r="K661" s="14"/>
      <c r="L661" s="17" t="str">
        <f>IF(AND($C661&lt;&gt;"",$C661=Controle_Paiement!$B$4,$J661&lt;&gt;"Payé",$J661&lt;&gt;"Annulé",$J661&lt;&gt;""),1,"")</f>
        <v/>
      </c>
    </row>
    <row r="662" spans="1:12" x14ac:dyDescent="0.35">
      <c r="A662" s="18"/>
      <c r="B662" s="27"/>
      <c r="C662" s="14"/>
      <c r="D662" s="14"/>
      <c r="E662" s="19"/>
      <c r="F662" s="19"/>
      <c r="G662" s="28" t="str">
        <f t="shared" si="20"/>
        <v/>
      </c>
      <c r="H662" s="14"/>
      <c r="I662" s="29" t="str">
        <f>IF(OR($C662="",$G662="",$H662&lt;&gt;"Fait"),"",MIN($G662,MAX(0,SUMIFS($G$5:$G662,$C$5:$C662,$C662,$H$5:$H662,"Fait")-SUMIFS(Paiements!$I$5:$I$2000,Paiements!$C$5:$C$2000,$C662,Paiements!$L$5:$L$2000,"Payé"))))</f>
        <v/>
      </c>
      <c r="J662" s="30" t="str">
        <f t="shared" si="21"/>
        <v/>
      </c>
      <c r="K662" s="14"/>
      <c r="L662" s="17" t="str">
        <f>IF(AND($C662&lt;&gt;"",$C662=Controle_Paiement!$B$4,$J662&lt;&gt;"Payé",$J662&lt;&gt;"Annulé",$J662&lt;&gt;""),1,"")</f>
        <v/>
      </c>
    </row>
    <row r="663" spans="1:12" x14ac:dyDescent="0.35">
      <c r="A663" s="18"/>
      <c r="B663" s="27"/>
      <c r="C663" s="14"/>
      <c r="D663" s="14"/>
      <c r="E663" s="19"/>
      <c r="F663" s="19"/>
      <c r="G663" s="28" t="str">
        <f t="shared" si="20"/>
        <v/>
      </c>
      <c r="H663" s="14"/>
      <c r="I663" s="29" t="str">
        <f>IF(OR($C663="",$G663="",$H663&lt;&gt;"Fait"),"",MIN($G663,MAX(0,SUMIFS($G$5:$G663,$C$5:$C663,$C663,$H$5:$H663,"Fait")-SUMIFS(Paiements!$I$5:$I$2000,Paiements!$C$5:$C$2000,$C663,Paiements!$L$5:$L$2000,"Payé"))))</f>
        <v/>
      </c>
      <c r="J663" s="30" t="str">
        <f t="shared" si="21"/>
        <v/>
      </c>
      <c r="K663" s="14"/>
      <c r="L663" s="17" t="str">
        <f>IF(AND($C663&lt;&gt;"",$C663=Controle_Paiement!$B$4,$J663&lt;&gt;"Payé",$J663&lt;&gt;"Annulé",$J663&lt;&gt;""),1,"")</f>
        <v/>
      </c>
    </row>
    <row r="664" spans="1:12" x14ac:dyDescent="0.35">
      <c r="A664" s="18"/>
      <c r="B664" s="27"/>
      <c r="C664" s="14"/>
      <c r="D664" s="14"/>
      <c r="E664" s="19"/>
      <c r="F664" s="19"/>
      <c r="G664" s="28" t="str">
        <f t="shared" si="20"/>
        <v/>
      </c>
      <c r="H664" s="14"/>
      <c r="I664" s="29" t="str">
        <f>IF(OR($C664="",$G664="",$H664&lt;&gt;"Fait"),"",MIN($G664,MAX(0,SUMIFS($G$5:$G664,$C$5:$C664,$C664,$H$5:$H664,"Fait")-SUMIFS(Paiements!$I$5:$I$2000,Paiements!$C$5:$C$2000,$C664,Paiements!$L$5:$L$2000,"Payé"))))</f>
        <v/>
      </c>
      <c r="J664" s="30" t="str">
        <f t="shared" si="21"/>
        <v/>
      </c>
      <c r="K664" s="14"/>
      <c r="L664" s="17" t="str">
        <f>IF(AND($C664&lt;&gt;"",$C664=Controle_Paiement!$B$4,$J664&lt;&gt;"Payé",$J664&lt;&gt;"Annulé",$J664&lt;&gt;""),1,"")</f>
        <v/>
      </c>
    </row>
    <row r="665" spans="1:12" x14ac:dyDescent="0.35">
      <c r="A665" s="18"/>
      <c r="B665" s="27"/>
      <c r="C665" s="14"/>
      <c r="D665" s="14"/>
      <c r="E665" s="19"/>
      <c r="F665" s="19"/>
      <c r="G665" s="28" t="str">
        <f t="shared" si="20"/>
        <v/>
      </c>
      <c r="H665" s="14"/>
      <c r="I665" s="29" t="str">
        <f>IF(OR($C665="",$G665="",$H665&lt;&gt;"Fait"),"",MIN($G665,MAX(0,SUMIFS($G$5:$G665,$C$5:$C665,$C665,$H$5:$H665,"Fait")-SUMIFS(Paiements!$I$5:$I$2000,Paiements!$C$5:$C$2000,$C665,Paiements!$L$5:$L$2000,"Payé"))))</f>
        <v/>
      </c>
      <c r="J665" s="30" t="str">
        <f t="shared" si="21"/>
        <v/>
      </c>
      <c r="K665" s="14"/>
      <c r="L665" s="17" t="str">
        <f>IF(AND($C665&lt;&gt;"",$C665=Controle_Paiement!$B$4,$J665&lt;&gt;"Payé",$J665&lt;&gt;"Annulé",$J665&lt;&gt;""),1,"")</f>
        <v/>
      </c>
    </row>
    <row r="666" spans="1:12" x14ac:dyDescent="0.35">
      <c r="A666" s="18"/>
      <c r="B666" s="27"/>
      <c r="C666" s="14"/>
      <c r="D666" s="14"/>
      <c r="E666" s="19"/>
      <c r="F666" s="19"/>
      <c r="G666" s="28" t="str">
        <f t="shared" si="20"/>
        <v/>
      </c>
      <c r="H666" s="14"/>
      <c r="I666" s="29" t="str">
        <f>IF(OR($C666="",$G666="",$H666&lt;&gt;"Fait"),"",MIN($G666,MAX(0,SUMIFS($G$5:$G666,$C$5:$C666,$C666,$H$5:$H666,"Fait")-SUMIFS(Paiements!$I$5:$I$2000,Paiements!$C$5:$C$2000,$C666,Paiements!$L$5:$L$2000,"Payé"))))</f>
        <v/>
      </c>
      <c r="J666" s="30" t="str">
        <f t="shared" si="21"/>
        <v/>
      </c>
      <c r="K666" s="14"/>
      <c r="L666" s="17" t="str">
        <f>IF(AND($C666&lt;&gt;"",$C666=Controle_Paiement!$B$4,$J666&lt;&gt;"Payé",$J666&lt;&gt;"Annulé",$J666&lt;&gt;""),1,"")</f>
        <v/>
      </c>
    </row>
    <row r="667" spans="1:12" x14ac:dyDescent="0.35">
      <c r="A667" s="18"/>
      <c r="B667" s="27"/>
      <c r="C667" s="14"/>
      <c r="D667" s="14"/>
      <c r="E667" s="19"/>
      <c r="F667" s="19"/>
      <c r="G667" s="28" t="str">
        <f t="shared" si="20"/>
        <v/>
      </c>
      <c r="H667" s="14"/>
      <c r="I667" s="29" t="str">
        <f>IF(OR($C667="",$G667="",$H667&lt;&gt;"Fait"),"",MIN($G667,MAX(0,SUMIFS($G$5:$G667,$C$5:$C667,$C667,$H$5:$H667,"Fait")-SUMIFS(Paiements!$I$5:$I$2000,Paiements!$C$5:$C$2000,$C667,Paiements!$L$5:$L$2000,"Payé"))))</f>
        <v/>
      </c>
      <c r="J667" s="30" t="str">
        <f t="shared" si="21"/>
        <v/>
      </c>
      <c r="K667" s="14"/>
      <c r="L667" s="17" t="str">
        <f>IF(AND($C667&lt;&gt;"",$C667=Controle_Paiement!$B$4,$J667&lt;&gt;"Payé",$J667&lt;&gt;"Annulé",$J667&lt;&gt;""),1,"")</f>
        <v/>
      </c>
    </row>
    <row r="668" spans="1:12" x14ac:dyDescent="0.35">
      <c r="A668" s="18"/>
      <c r="B668" s="27"/>
      <c r="C668" s="14"/>
      <c r="D668" s="14"/>
      <c r="E668" s="19"/>
      <c r="F668" s="19"/>
      <c r="G668" s="28" t="str">
        <f t="shared" si="20"/>
        <v/>
      </c>
      <c r="H668" s="14"/>
      <c r="I668" s="29" t="str">
        <f>IF(OR($C668="",$G668="",$H668&lt;&gt;"Fait"),"",MIN($G668,MAX(0,SUMIFS($G$5:$G668,$C$5:$C668,$C668,$H$5:$H668,"Fait")-SUMIFS(Paiements!$I$5:$I$2000,Paiements!$C$5:$C$2000,$C668,Paiements!$L$5:$L$2000,"Payé"))))</f>
        <v/>
      </c>
      <c r="J668" s="30" t="str">
        <f t="shared" si="21"/>
        <v/>
      </c>
      <c r="K668" s="14"/>
      <c r="L668" s="17" t="str">
        <f>IF(AND($C668&lt;&gt;"",$C668=Controle_Paiement!$B$4,$J668&lt;&gt;"Payé",$J668&lt;&gt;"Annulé",$J668&lt;&gt;""),1,"")</f>
        <v/>
      </c>
    </row>
    <row r="669" spans="1:12" x14ac:dyDescent="0.35">
      <c r="A669" s="18"/>
      <c r="B669" s="27"/>
      <c r="C669" s="14"/>
      <c r="D669" s="14"/>
      <c r="E669" s="19"/>
      <c r="F669" s="19"/>
      <c r="G669" s="28" t="str">
        <f t="shared" si="20"/>
        <v/>
      </c>
      <c r="H669" s="14"/>
      <c r="I669" s="29" t="str">
        <f>IF(OR($C669="",$G669="",$H669&lt;&gt;"Fait"),"",MIN($G669,MAX(0,SUMIFS($G$5:$G669,$C$5:$C669,$C669,$H$5:$H669,"Fait")-SUMIFS(Paiements!$I$5:$I$2000,Paiements!$C$5:$C$2000,$C669,Paiements!$L$5:$L$2000,"Payé"))))</f>
        <v/>
      </c>
      <c r="J669" s="30" t="str">
        <f t="shared" si="21"/>
        <v/>
      </c>
      <c r="K669" s="14"/>
      <c r="L669" s="17" t="str">
        <f>IF(AND($C669&lt;&gt;"",$C669=Controle_Paiement!$B$4,$J669&lt;&gt;"Payé",$J669&lt;&gt;"Annulé",$J669&lt;&gt;""),1,"")</f>
        <v/>
      </c>
    </row>
    <row r="670" spans="1:12" x14ac:dyDescent="0.35">
      <c r="A670" s="18"/>
      <c r="B670" s="27"/>
      <c r="C670" s="14"/>
      <c r="D670" s="14"/>
      <c r="E670" s="19"/>
      <c r="F670" s="19"/>
      <c r="G670" s="28" t="str">
        <f t="shared" si="20"/>
        <v/>
      </c>
      <c r="H670" s="14"/>
      <c r="I670" s="29" t="str">
        <f>IF(OR($C670="",$G670="",$H670&lt;&gt;"Fait"),"",MIN($G670,MAX(0,SUMIFS($G$5:$G670,$C$5:$C670,$C670,$H$5:$H670,"Fait")-SUMIFS(Paiements!$I$5:$I$2000,Paiements!$C$5:$C$2000,$C670,Paiements!$L$5:$L$2000,"Payé"))))</f>
        <v/>
      </c>
      <c r="J670" s="30" t="str">
        <f t="shared" si="21"/>
        <v/>
      </c>
      <c r="K670" s="14"/>
      <c r="L670" s="17" t="str">
        <f>IF(AND($C670&lt;&gt;"",$C670=Controle_Paiement!$B$4,$J670&lt;&gt;"Payé",$J670&lt;&gt;"Annulé",$J670&lt;&gt;""),1,"")</f>
        <v/>
      </c>
    </row>
    <row r="671" spans="1:12" x14ac:dyDescent="0.35">
      <c r="A671" s="18"/>
      <c r="B671" s="27"/>
      <c r="C671" s="14"/>
      <c r="D671" s="14"/>
      <c r="E671" s="19"/>
      <c r="F671" s="19"/>
      <c r="G671" s="28" t="str">
        <f t="shared" si="20"/>
        <v/>
      </c>
      <c r="H671" s="14"/>
      <c r="I671" s="29" t="str">
        <f>IF(OR($C671="",$G671="",$H671&lt;&gt;"Fait"),"",MIN($G671,MAX(0,SUMIFS($G$5:$G671,$C$5:$C671,$C671,$H$5:$H671,"Fait")-SUMIFS(Paiements!$I$5:$I$2000,Paiements!$C$5:$C$2000,$C671,Paiements!$L$5:$L$2000,"Payé"))))</f>
        <v/>
      </c>
      <c r="J671" s="30" t="str">
        <f t="shared" si="21"/>
        <v/>
      </c>
      <c r="K671" s="14"/>
      <c r="L671" s="17" t="str">
        <f>IF(AND($C671&lt;&gt;"",$C671=Controle_Paiement!$B$4,$J671&lt;&gt;"Payé",$J671&lt;&gt;"Annulé",$J671&lt;&gt;""),1,"")</f>
        <v/>
      </c>
    </row>
    <row r="672" spans="1:12" x14ac:dyDescent="0.35">
      <c r="A672" s="18"/>
      <c r="B672" s="27"/>
      <c r="C672" s="14"/>
      <c r="D672" s="14"/>
      <c r="E672" s="19"/>
      <c r="F672" s="19"/>
      <c r="G672" s="28" t="str">
        <f t="shared" si="20"/>
        <v/>
      </c>
      <c r="H672" s="14"/>
      <c r="I672" s="29" t="str">
        <f>IF(OR($C672="",$G672="",$H672&lt;&gt;"Fait"),"",MIN($G672,MAX(0,SUMIFS($G$5:$G672,$C$5:$C672,$C672,$H$5:$H672,"Fait")-SUMIFS(Paiements!$I$5:$I$2000,Paiements!$C$5:$C$2000,$C672,Paiements!$L$5:$L$2000,"Payé"))))</f>
        <v/>
      </c>
      <c r="J672" s="30" t="str">
        <f t="shared" si="21"/>
        <v/>
      </c>
      <c r="K672" s="14"/>
      <c r="L672" s="17" t="str">
        <f>IF(AND($C672&lt;&gt;"",$C672=Controle_Paiement!$B$4,$J672&lt;&gt;"Payé",$J672&lt;&gt;"Annulé",$J672&lt;&gt;""),1,"")</f>
        <v/>
      </c>
    </row>
    <row r="673" spans="1:12" x14ac:dyDescent="0.35">
      <c r="A673" s="18"/>
      <c r="B673" s="27"/>
      <c r="C673" s="14"/>
      <c r="D673" s="14"/>
      <c r="E673" s="19"/>
      <c r="F673" s="19"/>
      <c r="G673" s="28" t="str">
        <f t="shared" si="20"/>
        <v/>
      </c>
      <c r="H673" s="14"/>
      <c r="I673" s="29" t="str">
        <f>IF(OR($C673="",$G673="",$H673&lt;&gt;"Fait"),"",MIN($G673,MAX(0,SUMIFS($G$5:$G673,$C$5:$C673,$C673,$H$5:$H673,"Fait")-SUMIFS(Paiements!$I$5:$I$2000,Paiements!$C$5:$C$2000,$C673,Paiements!$L$5:$L$2000,"Payé"))))</f>
        <v/>
      </c>
      <c r="J673" s="30" t="str">
        <f t="shared" si="21"/>
        <v/>
      </c>
      <c r="K673" s="14"/>
      <c r="L673" s="17" t="str">
        <f>IF(AND($C673&lt;&gt;"",$C673=Controle_Paiement!$B$4,$J673&lt;&gt;"Payé",$J673&lt;&gt;"Annulé",$J673&lt;&gt;""),1,"")</f>
        <v/>
      </c>
    </row>
    <row r="674" spans="1:12" x14ac:dyDescent="0.35">
      <c r="A674" s="18"/>
      <c r="B674" s="27"/>
      <c r="C674" s="14"/>
      <c r="D674" s="14"/>
      <c r="E674" s="19"/>
      <c r="F674" s="19"/>
      <c r="G674" s="28" t="str">
        <f t="shared" si="20"/>
        <v/>
      </c>
      <c r="H674" s="14"/>
      <c r="I674" s="29" t="str">
        <f>IF(OR($C674="",$G674="",$H674&lt;&gt;"Fait"),"",MIN($G674,MAX(0,SUMIFS($G$5:$G674,$C$5:$C674,$C674,$H$5:$H674,"Fait")-SUMIFS(Paiements!$I$5:$I$2000,Paiements!$C$5:$C$2000,$C674,Paiements!$L$5:$L$2000,"Payé"))))</f>
        <v/>
      </c>
      <c r="J674" s="30" t="str">
        <f t="shared" si="21"/>
        <v/>
      </c>
      <c r="K674" s="14"/>
      <c r="L674" s="17" t="str">
        <f>IF(AND($C674&lt;&gt;"",$C674=Controle_Paiement!$B$4,$J674&lt;&gt;"Payé",$J674&lt;&gt;"Annulé",$J674&lt;&gt;""),1,"")</f>
        <v/>
      </c>
    </row>
    <row r="675" spans="1:12" x14ac:dyDescent="0.35">
      <c r="A675" s="18"/>
      <c r="B675" s="27"/>
      <c r="C675" s="14"/>
      <c r="D675" s="14"/>
      <c r="E675" s="19"/>
      <c r="F675" s="19"/>
      <c r="G675" s="28" t="str">
        <f t="shared" si="20"/>
        <v/>
      </c>
      <c r="H675" s="14"/>
      <c r="I675" s="29" t="str">
        <f>IF(OR($C675="",$G675="",$H675&lt;&gt;"Fait"),"",MIN($G675,MAX(0,SUMIFS($G$5:$G675,$C$5:$C675,$C675,$H$5:$H675,"Fait")-SUMIFS(Paiements!$I$5:$I$2000,Paiements!$C$5:$C$2000,$C675,Paiements!$L$5:$L$2000,"Payé"))))</f>
        <v/>
      </c>
      <c r="J675" s="30" t="str">
        <f t="shared" si="21"/>
        <v/>
      </c>
      <c r="K675" s="14"/>
      <c r="L675" s="17" t="str">
        <f>IF(AND($C675&lt;&gt;"",$C675=Controle_Paiement!$B$4,$J675&lt;&gt;"Payé",$J675&lt;&gt;"Annulé",$J675&lt;&gt;""),1,"")</f>
        <v/>
      </c>
    </row>
    <row r="676" spans="1:12" x14ac:dyDescent="0.35">
      <c r="A676" s="18"/>
      <c r="B676" s="27"/>
      <c r="C676" s="14"/>
      <c r="D676" s="14"/>
      <c r="E676" s="19"/>
      <c r="F676" s="19"/>
      <c r="G676" s="28" t="str">
        <f t="shared" si="20"/>
        <v/>
      </c>
      <c r="H676" s="14"/>
      <c r="I676" s="29" t="str">
        <f>IF(OR($C676="",$G676="",$H676&lt;&gt;"Fait"),"",MIN($G676,MAX(0,SUMIFS($G$5:$G676,$C$5:$C676,$C676,$H$5:$H676,"Fait")-SUMIFS(Paiements!$I$5:$I$2000,Paiements!$C$5:$C$2000,$C676,Paiements!$L$5:$L$2000,"Payé"))))</f>
        <v/>
      </c>
      <c r="J676" s="30" t="str">
        <f t="shared" si="21"/>
        <v/>
      </c>
      <c r="K676" s="14"/>
      <c r="L676" s="17" t="str">
        <f>IF(AND($C676&lt;&gt;"",$C676=Controle_Paiement!$B$4,$J676&lt;&gt;"Payé",$J676&lt;&gt;"Annulé",$J676&lt;&gt;""),1,"")</f>
        <v/>
      </c>
    </row>
    <row r="677" spans="1:12" x14ac:dyDescent="0.35">
      <c r="A677" s="18"/>
      <c r="B677" s="27"/>
      <c r="C677" s="14"/>
      <c r="D677" s="14"/>
      <c r="E677" s="19"/>
      <c r="F677" s="19"/>
      <c r="G677" s="28" t="str">
        <f t="shared" si="20"/>
        <v/>
      </c>
      <c r="H677" s="14"/>
      <c r="I677" s="29" t="str">
        <f>IF(OR($C677="",$G677="",$H677&lt;&gt;"Fait"),"",MIN($G677,MAX(0,SUMIFS($G$5:$G677,$C$5:$C677,$C677,$H$5:$H677,"Fait")-SUMIFS(Paiements!$I$5:$I$2000,Paiements!$C$5:$C$2000,$C677,Paiements!$L$5:$L$2000,"Payé"))))</f>
        <v/>
      </c>
      <c r="J677" s="30" t="str">
        <f t="shared" si="21"/>
        <v/>
      </c>
      <c r="K677" s="14"/>
      <c r="L677" s="17" t="str">
        <f>IF(AND($C677&lt;&gt;"",$C677=Controle_Paiement!$B$4,$J677&lt;&gt;"Payé",$J677&lt;&gt;"Annulé",$J677&lt;&gt;""),1,"")</f>
        <v/>
      </c>
    </row>
    <row r="678" spans="1:12" x14ac:dyDescent="0.35">
      <c r="A678" s="18"/>
      <c r="B678" s="27"/>
      <c r="C678" s="14"/>
      <c r="D678" s="14"/>
      <c r="E678" s="19"/>
      <c r="F678" s="19"/>
      <c r="G678" s="28" t="str">
        <f t="shared" si="20"/>
        <v/>
      </c>
      <c r="H678" s="14"/>
      <c r="I678" s="29" t="str">
        <f>IF(OR($C678="",$G678="",$H678&lt;&gt;"Fait"),"",MIN($G678,MAX(0,SUMIFS($G$5:$G678,$C$5:$C678,$C678,$H$5:$H678,"Fait")-SUMIFS(Paiements!$I$5:$I$2000,Paiements!$C$5:$C$2000,$C678,Paiements!$L$5:$L$2000,"Payé"))))</f>
        <v/>
      </c>
      <c r="J678" s="30" t="str">
        <f t="shared" si="21"/>
        <v/>
      </c>
      <c r="K678" s="14"/>
      <c r="L678" s="17" t="str">
        <f>IF(AND($C678&lt;&gt;"",$C678=Controle_Paiement!$B$4,$J678&lt;&gt;"Payé",$J678&lt;&gt;"Annulé",$J678&lt;&gt;""),1,"")</f>
        <v/>
      </c>
    </row>
    <row r="679" spans="1:12" x14ac:dyDescent="0.35">
      <c r="A679" s="18"/>
      <c r="B679" s="27"/>
      <c r="C679" s="14"/>
      <c r="D679" s="14"/>
      <c r="E679" s="19"/>
      <c r="F679" s="19"/>
      <c r="G679" s="28" t="str">
        <f t="shared" si="20"/>
        <v/>
      </c>
      <c r="H679" s="14"/>
      <c r="I679" s="29" t="str">
        <f>IF(OR($C679="",$G679="",$H679&lt;&gt;"Fait"),"",MIN($G679,MAX(0,SUMIFS($G$5:$G679,$C$5:$C679,$C679,$H$5:$H679,"Fait")-SUMIFS(Paiements!$I$5:$I$2000,Paiements!$C$5:$C$2000,$C679,Paiements!$L$5:$L$2000,"Payé"))))</f>
        <v/>
      </c>
      <c r="J679" s="30" t="str">
        <f t="shared" si="21"/>
        <v/>
      </c>
      <c r="K679" s="14"/>
      <c r="L679" s="17" t="str">
        <f>IF(AND($C679&lt;&gt;"",$C679=Controle_Paiement!$B$4,$J679&lt;&gt;"Payé",$J679&lt;&gt;"Annulé",$J679&lt;&gt;""),1,"")</f>
        <v/>
      </c>
    </row>
    <row r="680" spans="1:12" x14ac:dyDescent="0.35">
      <c r="A680" s="18"/>
      <c r="B680" s="27"/>
      <c r="C680" s="14"/>
      <c r="D680" s="14"/>
      <c r="E680" s="19"/>
      <c r="F680" s="19"/>
      <c r="G680" s="28" t="str">
        <f t="shared" si="20"/>
        <v/>
      </c>
      <c r="H680" s="14"/>
      <c r="I680" s="29" t="str">
        <f>IF(OR($C680="",$G680="",$H680&lt;&gt;"Fait"),"",MIN($G680,MAX(0,SUMIFS($G$5:$G680,$C$5:$C680,$C680,$H$5:$H680,"Fait")-SUMIFS(Paiements!$I$5:$I$2000,Paiements!$C$5:$C$2000,$C680,Paiements!$L$5:$L$2000,"Payé"))))</f>
        <v/>
      </c>
      <c r="J680" s="30" t="str">
        <f t="shared" si="21"/>
        <v/>
      </c>
      <c r="K680" s="14"/>
      <c r="L680" s="17" t="str">
        <f>IF(AND($C680&lt;&gt;"",$C680=Controle_Paiement!$B$4,$J680&lt;&gt;"Payé",$J680&lt;&gt;"Annulé",$J680&lt;&gt;""),1,"")</f>
        <v/>
      </c>
    </row>
    <row r="681" spans="1:12" x14ac:dyDescent="0.35">
      <c r="A681" s="18"/>
      <c r="B681" s="27"/>
      <c r="C681" s="14"/>
      <c r="D681" s="14"/>
      <c r="E681" s="19"/>
      <c r="F681" s="19"/>
      <c r="G681" s="28" t="str">
        <f t="shared" si="20"/>
        <v/>
      </c>
      <c r="H681" s="14"/>
      <c r="I681" s="29" t="str">
        <f>IF(OR($C681="",$G681="",$H681&lt;&gt;"Fait"),"",MIN($G681,MAX(0,SUMIFS($G$5:$G681,$C$5:$C681,$C681,$H$5:$H681,"Fait")-SUMIFS(Paiements!$I$5:$I$2000,Paiements!$C$5:$C$2000,$C681,Paiements!$L$5:$L$2000,"Payé"))))</f>
        <v/>
      </c>
      <c r="J681" s="30" t="str">
        <f t="shared" si="21"/>
        <v/>
      </c>
      <c r="K681" s="14"/>
      <c r="L681" s="17" t="str">
        <f>IF(AND($C681&lt;&gt;"",$C681=Controle_Paiement!$B$4,$J681&lt;&gt;"Payé",$J681&lt;&gt;"Annulé",$J681&lt;&gt;""),1,"")</f>
        <v/>
      </c>
    </row>
    <row r="682" spans="1:12" x14ac:dyDescent="0.35">
      <c r="A682" s="18"/>
      <c r="B682" s="27"/>
      <c r="C682" s="14"/>
      <c r="D682" s="14"/>
      <c r="E682" s="19"/>
      <c r="F682" s="19"/>
      <c r="G682" s="28" t="str">
        <f t="shared" si="20"/>
        <v/>
      </c>
      <c r="H682" s="14"/>
      <c r="I682" s="29" t="str">
        <f>IF(OR($C682="",$G682="",$H682&lt;&gt;"Fait"),"",MIN($G682,MAX(0,SUMIFS($G$5:$G682,$C$5:$C682,$C682,$H$5:$H682,"Fait")-SUMIFS(Paiements!$I$5:$I$2000,Paiements!$C$5:$C$2000,$C682,Paiements!$L$5:$L$2000,"Payé"))))</f>
        <v/>
      </c>
      <c r="J682" s="30" t="str">
        <f t="shared" si="21"/>
        <v/>
      </c>
      <c r="K682" s="14"/>
      <c r="L682" s="17" t="str">
        <f>IF(AND($C682&lt;&gt;"",$C682=Controle_Paiement!$B$4,$J682&lt;&gt;"Payé",$J682&lt;&gt;"Annulé",$J682&lt;&gt;""),1,"")</f>
        <v/>
      </c>
    </row>
    <row r="683" spans="1:12" x14ac:dyDescent="0.35">
      <c r="A683" s="18"/>
      <c r="B683" s="27"/>
      <c r="C683" s="14"/>
      <c r="D683" s="14"/>
      <c r="E683" s="19"/>
      <c r="F683" s="19"/>
      <c r="G683" s="28" t="str">
        <f t="shared" si="20"/>
        <v/>
      </c>
      <c r="H683" s="14"/>
      <c r="I683" s="29" t="str">
        <f>IF(OR($C683="",$G683="",$H683&lt;&gt;"Fait"),"",MIN($G683,MAX(0,SUMIFS($G$5:$G683,$C$5:$C683,$C683,$H$5:$H683,"Fait")-SUMIFS(Paiements!$I$5:$I$2000,Paiements!$C$5:$C$2000,$C683,Paiements!$L$5:$L$2000,"Payé"))))</f>
        <v/>
      </c>
      <c r="J683" s="30" t="str">
        <f t="shared" si="21"/>
        <v/>
      </c>
      <c r="K683" s="14"/>
      <c r="L683" s="17" t="str">
        <f>IF(AND($C683&lt;&gt;"",$C683=Controle_Paiement!$B$4,$J683&lt;&gt;"Payé",$J683&lt;&gt;"Annulé",$J683&lt;&gt;""),1,"")</f>
        <v/>
      </c>
    </row>
    <row r="684" spans="1:12" x14ac:dyDescent="0.35">
      <c r="A684" s="18"/>
      <c r="B684" s="27"/>
      <c r="C684" s="14"/>
      <c r="D684" s="14"/>
      <c r="E684" s="19"/>
      <c r="F684" s="19"/>
      <c r="G684" s="28" t="str">
        <f t="shared" si="20"/>
        <v/>
      </c>
      <c r="H684" s="14"/>
      <c r="I684" s="29" t="str">
        <f>IF(OR($C684="",$G684="",$H684&lt;&gt;"Fait"),"",MIN($G684,MAX(0,SUMIFS($G$5:$G684,$C$5:$C684,$C684,$H$5:$H684,"Fait")-SUMIFS(Paiements!$I$5:$I$2000,Paiements!$C$5:$C$2000,$C684,Paiements!$L$5:$L$2000,"Payé"))))</f>
        <v/>
      </c>
      <c r="J684" s="30" t="str">
        <f t="shared" si="21"/>
        <v/>
      </c>
      <c r="K684" s="14"/>
      <c r="L684" s="17" t="str">
        <f>IF(AND($C684&lt;&gt;"",$C684=Controle_Paiement!$B$4,$J684&lt;&gt;"Payé",$J684&lt;&gt;"Annulé",$J684&lt;&gt;""),1,"")</f>
        <v/>
      </c>
    </row>
    <row r="685" spans="1:12" x14ac:dyDescent="0.35">
      <c r="A685" s="18"/>
      <c r="B685" s="27"/>
      <c r="C685" s="14"/>
      <c r="D685" s="14"/>
      <c r="E685" s="19"/>
      <c r="F685" s="19"/>
      <c r="G685" s="28" t="str">
        <f t="shared" si="20"/>
        <v/>
      </c>
      <c r="H685" s="14"/>
      <c r="I685" s="29" t="str">
        <f>IF(OR($C685="",$G685="",$H685&lt;&gt;"Fait"),"",MIN($G685,MAX(0,SUMIFS($G$5:$G685,$C$5:$C685,$C685,$H$5:$H685,"Fait")-SUMIFS(Paiements!$I$5:$I$2000,Paiements!$C$5:$C$2000,$C685,Paiements!$L$5:$L$2000,"Payé"))))</f>
        <v/>
      </c>
      <c r="J685" s="30" t="str">
        <f t="shared" si="21"/>
        <v/>
      </c>
      <c r="K685" s="14"/>
      <c r="L685" s="17" t="str">
        <f>IF(AND($C685&lt;&gt;"",$C685=Controle_Paiement!$B$4,$J685&lt;&gt;"Payé",$J685&lt;&gt;"Annulé",$J685&lt;&gt;""),1,"")</f>
        <v/>
      </c>
    </row>
    <row r="686" spans="1:12" x14ac:dyDescent="0.35">
      <c r="A686" s="18"/>
      <c r="B686" s="27"/>
      <c r="C686" s="14"/>
      <c r="D686" s="14"/>
      <c r="E686" s="19"/>
      <c r="F686" s="19"/>
      <c r="G686" s="28" t="str">
        <f t="shared" si="20"/>
        <v/>
      </c>
      <c r="H686" s="14"/>
      <c r="I686" s="29" t="str">
        <f>IF(OR($C686="",$G686="",$H686&lt;&gt;"Fait"),"",MIN($G686,MAX(0,SUMIFS($G$5:$G686,$C$5:$C686,$C686,$H$5:$H686,"Fait")-SUMIFS(Paiements!$I$5:$I$2000,Paiements!$C$5:$C$2000,$C686,Paiements!$L$5:$L$2000,"Payé"))))</f>
        <v/>
      </c>
      <c r="J686" s="30" t="str">
        <f t="shared" si="21"/>
        <v/>
      </c>
      <c r="K686" s="14"/>
      <c r="L686" s="17" t="str">
        <f>IF(AND($C686&lt;&gt;"",$C686=Controle_Paiement!$B$4,$J686&lt;&gt;"Payé",$J686&lt;&gt;"Annulé",$J686&lt;&gt;""),1,"")</f>
        <v/>
      </c>
    </row>
    <row r="687" spans="1:12" x14ac:dyDescent="0.35">
      <c r="A687" s="18"/>
      <c r="B687" s="27"/>
      <c r="C687" s="14"/>
      <c r="D687" s="14"/>
      <c r="E687" s="19"/>
      <c r="F687" s="19"/>
      <c r="G687" s="28" t="str">
        <f t="shared" si="20"/>
        <v/>
      </c>
      <c r="H687" s="14"/>
      <c r="I687" s="29" t="str">
        <f>IF(OR($C687="",$G687="",$H687&lt;&gt;"Fait"),"",MIN($G687,MAX(0,SUMIFS($G$5:$G687,$C$5:$C687,$C687,$H$5:$H687,"Fait")-SUMIFS(Paiements!$I$5:$I$2000,Paiements!$C$5:$C$2000,$C687,Paiements!$L$5:$L$2000,"Payé"))))</f>
        <v/>
      </c>
      <c r="J687" s="30" t="str">
        <f t="shared" si="21"/>
        <v/>
      </c>
      <c r="K687" s="14"/>
      <c r="L687" s="17" t="str">
        <f>IF(AND($C687&lt;&gt;"",$C687=Controle_Paiement!$B$4,$J687&lt;&gt;"Payé",$J687&lt;&gt;"Annulé",$J687&lt;&gt;""),1,"")</f>
        <v/>
      </c>
    </row>
    <row r="688" spans="1:12" x14ac:dyDescent="0.35">
      <c r="A688" s="18"/>
      <c r="B688" s="27"/>
      <c r="C688" s="14"/>
      <c r="D688" s="14"/>
      <c r="E688" s="19"/>
      <c r="F688" s="19"/>
      <c r="G688" s="28" t="str">
        <f t="shared" si="20"/>
        <v/>
      </c>
      <c r="H688" s="14"/>
      <c r="I688" s="29" t="str">
        <f>IF(OR($C688="",$G688="",$H688&lt;&gt;"Fait"),"",MIN($G688,MAX(0,SUMIFS($G$5:$G688,$C$5:$C688,$C688,$H$5:$H688,"Fait")-SUMIFS(Paiements!$I$5:$I$2000,Paiements!$C$5:$C$2000,$C688,Paiements!$L$5:$L$2000,"Payé"))))</f>
        <v/>
      </c>
      <c r="J688" s="30" t="str">
        <f t="shared" si="21"/>
        <v/>
      </c>
      <c r="K688" s="14"/>
      <c r="L688" s="17" t="str">
        <f>IF(AND($C688&lt;&gt;"",$C688=Controle_Paiement!$B$4,$J688&lt;&gt;"Payé",$J688&lt;&gt;"Annulé",$J688&lt;&gt;""),1,"")</f>
        <v/>
      </c>
    </row>
    <row r="689" spans="1:12" x14ac:dyDescent="0.35">
      <c r="A689" s="18"/>
      <c r="B689" s="27"/>
      <c r="C689" s="14"/>
      <c r="D689" s="14"/>
      <c r="E689" s="19"/>
      <c r="F689" s="19"/>
      <c r="G689" s="28" t="str">
        <f t="shared" si="20"/>
        <v/>
      </c>
      <c r="H689" s="14"/>
      <c r="I689" s="29" t="str">
        <f>IF(OR($C689="",$G689="",$H689&lt;&gt;"Fait"),"",MIN($G689,MAX(0,SUMIFS($G$5:$G689,$C$5:$C689,$C689,$H$5:$H689,"Fait")-SUMIFS(Paiements!$I$5:$I$2000,Paiements!$C$5:$C$2000,$C689,Paiements!$L$5:$L$2000,"Payé"))))</f>
        <v/>
      </c>
      <c r="J689" s="30" t="str">
        <f t="shared" si="21"/>
        <v/>
      </c>
      <c r="K689" s="14"/>
      <c r="L689" s="17" t="str">
        <f>IF(AND($C689&lt;&gt;"",$C689=Controle_Paiement!$B$4,$J689&lt;&gt;"Payé",$J689&lt;&gt;"Annulé",$J689&lt;&gt;""),1,"")</f>
        <v/>
      </c>
    </row>
    <row r="690" spans="1:12" x14ac:dyDescent="0.35">
      <c r="A690" s="18"/>
      <c r="B690" s="27"/>
      <c r="C690" s="14"/>
      <c r="D690" s="14"/>
      <c r="E690" s="19"/>
      <c r="F690" s="19"/>
      <c r="G690" s="28" t="str">
        <f t="shared" si="20"/>
        <v/>
      </c>
      <c r="H690" s="14"/>
      <c r="I690" s="29" t="str">
        <f>IF(OR($C690="",$G690="",$H690&lt;&gt;"Fait"),"",MIN($G690,MAX(0,SUMIFS($G$5:$G690,$C$5:$C690,$C690,$H$5:$H690,"Fait")-SUMIFS(Paiements!$I$5:$I$2000,Paiements!$C$5:$C$2000,$C690,Paiements!$L$5:$L$2000,"Payé"))))</f>
        <v/>
      </c>
      <c r="J690" s="30" t="str">
        <f t="shared" si="21"/>
        <v/>
      </c>
      <c r="K690" s="14"/>
      <c r="L690" s="17" t="str">
        <f>IF(AND($C690&lt;&gt;"",$C690=Controle_Paiement!$B$4,$J690&lt;&gt;"Payé",$J690&lt;&gt;"Annulé",$J690&lt;&gt;""),1,"")</f>
        <v/>
      </c>
    </row>
    <row r="691" spans="1:12" x14ac:dyDescent="0.35">
      <c r="A691" s="18"/>
      <c r="B691" s="27"/>
      <c r="C691" s="14"/>
      <c r="D691" s="14"/>
      <c r="E691" s="19"/>
      <c r="F691" s="19"/>
      <c r="G691" s="28" t="str">
        <f t="shared" si="20"/>
        <v/>
      </c>
      <c r="H691" s="14"/>
      <c r="I691" s="29" t="str">
        <f>IF(OR($C691="",$G691="",$H691&lt;&gt;"Fait"),"",MIN($G691,MAX(0,SUMIFS($G$5:$G691,$C$5:$C691,$C691,$H$5:$H691,"Fait")-SUMIFS(Paiements!$I$5:$I$2000,Paiements!$C$5:$C$2000,$C691,Paiements!$L$5:$L$2000,"Payé"))))</f>
        <v/>
      </c>
      <c r="J691" s="30" t="str">
        <f t="shared" si="21"/>
        <v/>
      </c>
      <c r="K691" s="14"/>
      <c r="L691" s="17" t="str">
        <f>IF(AND($C691&lt;&gt;"",$C691=Controle_Paiement!$B$4,$J691&lt;&gt;"Payé",$J691&lt;&gt;"Annulé",$J691&lt;&gt;""),1,"")</f>
        <v/>
      </c>
    </row>
    <row r="692" spans="1:12" x14ac:dyDescent="0.35">
      <c r="A692" s="18"/>
      <c r="B692" s="27"/>
      <c r="C692" s="14"/>
      <c r="D692" s="14"/>
      <c r="E692" s="19"/>
      <c r="F692" s="19"/>
      <c r="G692" s="28" t="str">
        <f t="shared" si="20"/>
        <v/>
      </c>
      <c r="H692" s="14"/>
      <c r="I692" s="29" t="str">
        <f>IF(OR($C692="",$G692="",$H692&lt;&gt;"Fait"),"",MIN($G692,MAX(0,SUMIFS($G$5:$G692,$C$5:$C692,$C692,$H$5:$H692,"Fait")-SUMIFS(Paiements!$I$5:$I$2000,Paiements!$C$5:$C$2000,$C692,Paiements!$L$5:$L$2000,"Payé"))))</f>
        <v/>
      </c>
      <c r="J692" s="30" t="str">
        <f t="shared" si="21"/>
        <v/>
      </c>
      <c r="K692" s="14"/>
      <c r="L692" s="17" t="str">
        <f>IF(AND($C692&lt;&gt;"",$C692=Controle_Paiement!$B$4,$J692&lt;&gt;"Payé",$J692&lt;&gt;"Annulé",$J692&lt;&gt;""),1,"")</f>
        <v/>
      </c>
    </row>
    <row r="693" spans="1:12" x14ac:dyDescent="0.35">
      <c r="A693" s="18"/>
      <c r="B693" s="27"/>
      <c r="C693" s="14"/>
      <c r="D693" s="14"/>
      <c r="E693" s="19"/>
      <c r="F693" s="19"/>
      <c r="G693" s="28" t="str">
        <f t="shared" si="20"/>
        <v/>
      </c>
      <c r="H693" s="14"/>
      <c r="I693" s="29" t="str">
        <f>IF(OR($C693="",$G693="",$H693&lt;&gt;"Fait"),"",MIN($G693,MAX(0,SUMIFS($G$5:$G693,$C$5:$C693,$C693,$H$5:$H693,"Fait")-SUMIFS(Paiements!$I$5:$I$2000,Paiements!$C$5:$C$2000,$C693,Paiements!$L$5:$L$2000,"Payé"))))</f>
        <v/>
      </c>
      <c r="J693" s="30" t="str">
        <f t="shared" si="21"/>
        <v/>
      </c>
      <c r="K693" s="14"/>
      <c r="L693" s="17" t="str">
        <f>IF(AND($C693&lt;&gt;"",$C693=Controle_Paiement!$B$4,$J693&lt;&gt;"Payé",$J693&lt;&gt;"Annulé",$J693&lt;&gt;""),1,"")</f>
        <v/>
      </c>
    </row>
    <row r="694" spans="1:12" x14ac:dyDescent="0.35">
      <c r="A694" s="18"/>
      <c r="B694" s="27"/>
      <c r="C694" s="14"/>
      <c r="D694" s="14"/>
      <c r="E694" s="19"/>
      <c r="F694" s="19"/>
      <c r="G694" s="28" t="str">
        <f t="shared" si="20"/>
        <v/>
      </c>
      <c r="H694" s="14"/>
      <c r="I694" s="29" t="str">
        <f>IF(OR($C694="",$G694="",$H694&lt;&gt;"Fait"),"",MIN($G694,MAX(0,SUMIFS($G$5:$G694,$C$5:$C694,$C694,$H$5:$H694,"Fait")-SUMIFS(Paiements!$I$5:$I$2000,Paiements!$C$5:$C$2000,$C694,Paiements!$L$5:$L$2000,"Payé"))))</f>
        <v/>
      </c>
      <c r="J694" s="30" t="str">
        <f t="shared" si="21"/>
        <v/>
      </c>
      <c r="K694" s="14"/>
      <c r="L694" s="17" t="str">
        <f>IF(AND($C694&lt;&gt;"",$C694=Controle_Paiement!$B$4,$J694&lt;&gt;"Payé",$J694&lt;&gt;"Annulé",$J694&lt;&gt;""),1,"")</f>
        <v/>
      </c>
    </row>
    <row r="695" spans="1:12" x14ac:dyDescent="0.35">
      <c r="A695" s="18"/>
      <c r="B695" s="27"/>
      <c r="C695" s="14"/>
      <c r="D695" s="14"/>
      <c r="E695" s="19"/>
      <c r="F695" s="19"/>
      <c r="G695" s="28" t="str">
        <f t="shared" si="20"/>
        <v/>
      </c>
      <c r="H695" s="14"/>
      <c r="I695" s="29" t="str">
        <f>IF(OR($C695="",$G695="",$H695&lt;&gt;"Fait"),"",MIN($G695,MAX(0,SUMIFS($G$5:$G695,$C$5:$C695,$C695,$H$5:$H695,"Fait")-SUMIFS(Paiements!$I$5:$I$2000,Paiements!$C$5:$C$2000,$C695,Paiements!$L$5:$L$2000,"Payé"))))</f>
        <v/>
      </c>
      <c r="J695" s="30" t="str">
        <f t="shared" si="21"/>
        <v/>
      </c>
      <c r="K695" s="14"/>
      <c r="L695" s="17" t="str">
        <f>IF(AND($C695&lt;&gt;"",$C695=Controle_Paiement!$B$4,$J695&lt;&gt;"Payé",$J695&lt;&gt;"Annulé",$J695&lt;&gt;""),1,"")</f>
        <v/>
      </c>
    </row>
    <row r="696" spans="1:12" x14ac:dyDescent="0.35">
      <c r="A696" s="18"/>
      <c r="B696" s="27"/>
      <c r="C696" s="14"/>
      <c r="D696" s="14"/>
      <c r="E696" s="19"/>
      <c r="F696" s="19"/>
      <c r="G696" s="28" t="str">
        <f t="shared" si="20"/>
        <v/>
      </c>
      <c r="H696" s="14"/>
      <c r="I696" s="29" t="str">
        <f>IF(OR($C696="",$G696="",$H696&lt;&gt;"Fait"),"",MIN($G696,MAX(0,SUMIFS($G$5:$G696,$C$5:$C696,$C696,$H$5:$H696,"Fait")-SUMIFS(Paiements!$I$5:$I$2000,Paiements!$C$5:$C$2000,$C696,Paiements!$L$5:$L$2000,"Payé"))))</f>
        <v/>
      </c>
      <c r="J696" s="30" t="str">
        <f t="shared" si="21"/>
        <v/>
      </c>
      <c r="K696" s="14"/>
      <c r="L696" s="17" t="str">
        <f>IF(AND($C696&lt;&gt;"",$C696=Controle_Paiement!$B$4,$J696&lt;&gt;"Payé",$J696&lt;&gt;"Annulé",$J696&lt;&gt;""),1,"")</f>
        <v/>
      </c>
    </row>
    <row r="697" spans="1:12" x14ac:dyDescent="0.35">
      <c r="A697" s="18"/>
      <c r="B697" s="27"/>
      <c r="C697" s="14"/>
      <c r="D697" s="14"/>
      <c r="E697" s="19"/>
      <c r="F697" s="19"/>
      <c r="G697" s="28" t="str">
        <f t="shared" si="20"/>
        <v/>
      </c>
      <c r="H697" s="14"/>
      <c r="I697" s="29" t="str">
        <f>IF(OR($C697="",$G697="",$H697&lt;&gt;"Fait"),"",MIN($G697,MAX(0,SUMIFS($G$5:$G697,$C$5:$C697,$C697,$H$5:$H697,"Fait")-SUMIFS(Paiements!$I$5:$I$2000,Paiements!$C$5:$C$2000,$C697,Paiements!$L$5:$L$2000,"Payé"))))</f>
        <v/>
      </c>
      <c r="J697" s="30" t="str">
        <f t="shared" si="21"/>
        <v/>
      </c>
      <c r="K697" s="14"/>
      <c r="L697" s="17" t="str">
        <f>IF(AND($C697&lt;&gt;"",$C697=Controle_Paiement!$B$4,$J697&lt;&gt;"Payé",$J697&lt;&gt;"Annulé",$J697&lt;&gt;""),1,"")</f>
        <v/>
      </c>
    </row>
    <row r="698" spans="1:12" x14ac:dyDescent="0.35">
      <c r="A698" s="18"/>
      <c r="B698" s="27"/>
      <c r="C698" s="14"/>
      <c r="D698" s="14"/>
      <c r="E698" s="19"/>
      <c r="F698" s="19"/>
      <c r="G698" s="28" t="str">
        <f t="shared" si="20"/>
        <v/>
      </c>
      <c r="H698" s="14"/>
      <c r="I698" s="29" t="str">
        <f>IF(OR($C698="",$G698="",$H698&lt;&gt;"Fait"),"",MIN($G698,MAX(0,SUMIFS($G$5:$G698,$C$5:$C698,$C698,$H$5:$H698,"Fait")-SUMIFS(Paiements!$I$5:$I$2000,Paiements!$C$5:$C$2000,$C698,Paiements!$L$5:$L$2000,"Payé"))))</f>
        <v/>
      </c>
      <c r="J698" s="30" t="str">
        <f t="shared" si="21"/>
        <v/>
      </c>
      <c r="K698" s="14"/>
      <c r="L698" s="17" t="str">
        <f>IF(AND($C698&lt;&gt;"",$C698=Controle_Paiement!$B$4,$J698&lt;&gt;"Payé",$J698&lt;&gt;"Annulé",$J698&lt;&gt;""),1,"")</f>
        <v/>
      </c>
    </row>
    <row r="699" spans="1:12" x14ac:dyDescent="0.35">
      <c r="A699" s="18"/>
      <c r="B699" s="27"/>
      <c r="C699" s="14"/>
      <c r="D699" s="14"/>
      <c r="E699" s="19"/>
      <c r="F699" s="19"/>
      <c r="G699" s="28" t="str">
        <f t="shared" si="20"/>
        <v/>
      </c>
      <c r="H699" s="14"/>
      <c r="I699" s="29" t="str">
        <f>IF(OR($C699="",$G699="",$H699&lt;&gt;"Fait"),"",MIN($G699,MAX(0,SUMIFS($G$5:$G699,$C$5:$C699,$C699,$H$5:$H699,"Fait")-SUMIFS(Paiements!$I$5:$I$2000,Paiements!$C$5:$C$2000,$C699,Paiements!$L$5:$L$2000,"Payé"))))</f>
        <v/>
      </c>
      <c r="J699" s="30" t="str">
        <f t="shared" si="21"/>
        <v/>
      </c>
      <c r="K699" s="14"/>
      <c r="L699" s="17" t="str">
        <f>IF(AND($C699&lt;&gt;"",$C699=Controle_Paiement!$B$4,$J699&lt;&gt;"Payé",$J699&lt;&gt;"Annulé",$J699&lt;&gt;""),1,"")</f>
        <v/>
      </c>
    </row>
    <row r="700" spans="1:12" x14ac:dyDescent="0.35">
      <c r="A700" s="18"/>
      <c r="B700" s="27"/>
      <c r="C700" s="14"/>
      <c r="D700" s="14"/>
      <c r="E700" s="19"/>
      <c r="F700" s="19"/>
      <c r="G700" s="28" t="str">
        <f t="shared" si="20"/>
        <v/>
      </c>
      <c r="H700" s="14"/>
      <c r="I700" s="29" t="str">
        <f>IF(OR($C700="",$G700="",$H700&lt;&gt;"Fait"),"",MIN($G700,MAX(0,SUMIFS($G$5:$G700,$C$5:$C700,$C700,$H$5:$H700,"Fait")-SUMIFS(Paiements!$I$5:$I$2000,Paiements!$C$5:$C$2000,$C700,Paiements!$L$5:$L$2000,"Payé"))))</f>
        <v/>
      </c>
      <c r="J700" s="30" t="str">
        <f t="shared" si="21"/>
        <v/>
      </c>
      <c r="K700" s="14"/>
      <c r="L700" s="17" t="str">
        <f>IF(AND($C700&lt;&gt;"",$C700=Controle_Paiement!$B$4,$J700&lt;&gt;"Payé",$J700&lt;&gt;"Annulé",$J700&lt;&gt;""),1,"")</f>
        <v/>
      </c>
    </row>
    <row r="701" spans="1:12" x14ac:dyDescent="0.35">
      <c r="A701" s="18"/>
      <c r="B701" s="27"/>
      <c r="C701" s="14"/>
      <c r="D701" s="14"/>
      <c r="E701" s="19"/>
      <c r="F701" s="19"/>
      <c r="G701" s="28" t="str">
        <f t="shared" si="20"/>
        <v/>
      </c>
      <c r="H701" s="14"/>
      <c r="I701" s="29" t="str">
        <f>IF(OR($C701="",$G701="",$H701&lt;&gt;"Fait"),"",MIN($G701,MAX(0,SUMIFS($G$5:$G701,$C$5:$C701,$C701,$H$5:$H701,"Fait")-SUMIFS(Paiements!$I$5:$I$2000,Paiements!$C$5:$C$2000,$C701,Paiements!$L$5:$L$2000,"Payé"))))</f>
        <v/>
      </c>
      <c r="J701" s="30" t="str">
        <f t="shared" si="21"/>
        <v/>
      </c>
      <c r="K701" s="14"/>
      <c r="L701" s="17" t="str">
        <f>IF(AND($C701&lt;&gt;"",$C701=Controle_Paiement!$B$4,$J701&lt;&gt;"Payé",$J701&lt;&gt;"Annulé",$J701&lt;&gt;""),1,"")</f>
        <v/>
      </c>
    </row>
    <row r="702" spans="1:12" x14ac:dyDescent="0.35">
      <c r="A702" s="18"/>
      <c r="B702" s="27"/>
      <c r="C702" s="14"/>
      <c r="D702" s="14"/>
      <c r="E702" s="19"/>
      <c r="F702" s="19"/>
      <c r="G702" s="28" t="str">
        <f t="shared" si="20"/>
        <v/>
      </c>
      <c r="H702" s="14"/>
      <c r="I702" s="29" t="str">
        <f>IF(OR($C702="",$G702="",$H702&lt;&gt;"Fait"),"",MIN($G702,MAX(0,SUMIFS($G$5:$G702,$C$5:$C702,$C702,$H$5:$H702,"Fait")-SUMIFS(Paiements!$I$5:$I$2000,Paiements!$C$5:$C$2000,$C702,Paiements!$L$5:$L$2000,"Payé"))))</f>
        <v/>
      </c>
      <c r="J702" s="30" t="str">
        <f t="shared" si="21"/>
        <v/>
      </c>
      <c r="K702" s="14"/>
      <c r="L702" s="17" t="str">
        <f>IF(AND($C702&lt;&gt;"",$C702=Controle_Paiement!$B$4,$J702&lt;&gt;"Payé",$J702&lt;&gt;"Annulé",$J702&lt;&gt;""),1,"")</f>
        <v/>
      </c>
    </row>
    <row r="703" spans="1:12" x14ac:dyDescent="0.35">
      <c r="A703" s="18"/>
      <c r="B703" s="27"/>
      <c r="C703" s="14"/>
      <c r="D703" s="14"/>
      <c r="E703" s="19"/>
      <c r="F703" s="19"/>
      <c r="G703" s="28" t="str">
        <f t="shared" si="20"/>
        <v/>
      </c>
      <c r="H703" s="14"/>
      <c r="I703" s="29" t="str">
        <f>IF(OR($C703="",$G703="",$H703&lt;&gt;"Fait"),"",MIN($G703,MAX(0,SUMIFS($G$5:$G703,$C$5:$C703,$C703,$H$5:$H703,"Fait")-SUMIFS(Paiements!$I$5:$I$2000,Paiements!$C$5:$C$2000,$C703,Paiements!$L$5:$L$2000,"Payé"))))</f>
        <v/>
      </c>
      <c r="J703" s="30" t="str">
        <f t="shared" si="21"/>
        <v/>
      </c>
      <c r="K703" s="14"/>
      <c r="L703" s="17" t="str">
        <f>IF(AND($C703&lt;&gt;"",$C703=Controle_Paiement!$B$4,$J703&lt;&gt;"Payé",$J703&lt;&gt;"Annulé",$J703&lt;&gt;""),1,"")</f>
        <v/>
      </c>
    </row>
    <row r="704" spans="1:12" x14ac:dyDescent="0.35">
      <c r="A704" s="18"/>
      <c r="B704" s="27"/>
      <c r="C704" s="14"/>
      <c r="D704" s="14"/>
      <c r="E704" s="19"/>
      <c r="F704" s="19"/>
      <c r="G704" s="28" t="str">
        <f t="shared" si="20"/>
        <v/>
      </c>
      <c r="H704" s="14"/>
      <c r="I704" s="29" t="str">
        <f>IF(OR($C704="",$G704="",$H704&lt;&gt;"Fait"),"",MIN($G704,MAX(0,SUMIFS($G$5:$G704,$C$5:$C704,$C704,$H$5:$H704,"Fait")-SUMIFS(Paiements!$I$5:$I$2000,Paiements!$C$5:$C$2000,$C704,Paiements!$L$5:$L$2000,"Payé"))))</f>
        <v/>
      </c>
      <c r="J704" s="30" t="str">
        <f t="shared" si="21"/>
        <v/>
      </c>
      <c r="K704" s="14"/>
      <c r="L704" s="17" t="str">
        <f>IF(AND($C704&lt;&gt;"",$C704=Controle_Paiement!$B$4,$J704&lt;&gt;"Payé",$J704&lt;&gt;"Annulé",$J704&lt;&gt;""),1,"")</f>
        <v/>
      </c>
    </row>
    <row r="705" spans="1:12" x14ac:dyDescent="0.35">
      <c r="A705" s="18"/>
      <c r="B705" s="27"/>
      <c r="C705" s="14"/>
      <c r="D705" s="14"/>
      <c r="E705" s="19"/>
      <c r="F705" s="19"/>
      <c r="G705" s="28" t="str">
        <f t="shared" si="20"/>
        <v/>
      </c>
      <c r="H705" s="14"/>
      <c r="I705" s="29" t="str">
        <f>IF(OR($C705="",$G705="",$H705&lt;&gt;"Fait"),"",MIN($G705,MAX(0,SUMIFS($G$5:$G705,$C$5:$C705,$C705,$H$5:$H705,"Fait")-SUMIFS(Paiements!$I$5:$I$2000,Paiements!$C$5:$C$2000,$C705,Paiements!$L$5:$L$2000,"Payé"))))</f>
        <v/>
      </c>
      <c r="J705" s="30" t="str">
        <f t="shared" si="21"/>
        <v/>
      </c>
      <c r="K705" s="14"/>
      <c r="L705" s="17" t="str">
        <f>IF(AND($C705&lt;&gt;"",$C705=Controle_Paiement!$B$4,$J705&lt;&gt;"Payé",$J705&lt;&gt;"Annulé",$J705&lt;&gt;""),1,"")</f>
        <v/>
      </c>
    </row>
    <row r="706" spans="1:12" x14ac:dyDescent="0.35">
      <c r="A706" s="18"/>
      <c r="B706" s="27"/>
      <c r="C706" s="14"/>
      <c r="D706" s="14"/>
      <c r="E706" s="19"/>
      <c r="F706" s="19"/>
      <c r="G706" s="28" t="str">
        <f t="shared" si="20"/>
        <v/>
      </c>
      <c r="H706" s="14"/>
      <c r="I706" s="29" t="str">
        <f>IF(OR($C706="",$G706="",$H706&lt;&gt;"Fait"),"",MIN($G706,MAX(0,SUMIFS($G$5:$G706,$C$5:$C706,$C706,$H$5:$H706,"Fait")-SUMIFS(Paiements!$I$5:$I$2000,Paiements!$C$5:$C$2000,$C706,Paiements!$L$5:$L$2000,"Payé"))))</f>
        <v/>
      </c>
      <c r="J706" s="30" t="str">
        <f t="shared" si="21"/>
        <v/>
      </c>
      <c r="K706" s="14"/>
      <c r="L706" s="17" t="str">
        <f>IF(AND($C706&lt;&gt;"",$C706=Controle_Paiement!$B$4,$J706&lt;&gt;"Payé",$J706&lt;&gt;"Annulé",$J706&lt;&gt;""),1,"")</f>
        <v/>
      </c>
    </row>
    <row r="707" spans="1:12" x14ac:dyDescent="0.35">
      <c r="A707" s="18"/>
      <c r="B707" s="27"/>
      <c r="C707" s="14"/>
      <c r="D707" s="14"/>
      <c r="E707" s="19"/>
      <c r="F707" s="19"/>
      <c r="G707" s="28" t="str">
        <f t="shared" ref="G707:G770" si="22">IF(OR($E707="",$F707=""),"",ROUND($E707*$F707,0))</f>
        <v/>
      </c>
      <c r="H707" s="14"/>
      <c r="I707" s="29" t="str">
        <f>IF(OR($C707="",$G707="",$H707&lt;&gt;"Fait"),"",MIN($G707,MAX(0,SUMIFS($G$5:$G707,$C$5:$C707,$C707,$H$5:$H707,"Fait")-SUMIFS(Paiements!$I$5:$I$2000,Paiements!$C$5:$C$2000,$C707,Paiements!$L$5:$L$2000,"Payé"))))</f>
        <v/>
      </c>
      <c r="J707" s="30" t="str">
        <f t="shared" ref="J707:J770" si="23">IF(OR($C707="",$G707=""),"",IF($H707="Annulé","Annulé",IF($H707&lt;&gt;"Fait","Non payable (déchargement non fait)",IF($I707=0,"Payé",IF($I707&lt;$G707,"Partiellement payé","À payer")))))</f>
        <v/>
      </c>
      <c r="K707" s="14"/>
      <c r="L707" s="17" t="str">
        <f>IF(AND($C707&lt;&gt;"",$C707=Controle_Paiement!$B$4,$J707&lt;&gt;"Payé",$J707&lt;&gt;"Annulé",$J707&lt;&gt;""),1,"")</f>
        <v/>
      </c>
    </row>
    <row r="708" spans="1:12" x14ac:dyDescent="0.35">
      <c r="A708" s="18"/>
      <c r="B708" s="27"/>
      <c r="C708" s="14"/>
      <c r="D708" s="14"/>
      <c r="E708" s="19"/>
      <c r="F708" s="19"/>
      <c r="G708" s="28" t="str">
        <f t="shared" si="22"/>
        <v/>
      </c>
      <c r="H708" s="14"/>
      <c r="I708" s="29" t="str">
        <f>IF(OR($C708="",$G708="",$H708&lt;&gt;"Fait"),"",MIN($G708,MAX(0,SUMIFS($G$5:$G708,$C$5:$C708,$C708,$H$5:$H708,"Fait")-SUMIFS(Paiements!$I$5:$I$2000,Paiements!$C$5:$C$2000,$C708,Paiements!$L$5:$L$2000,"Payé"))))</f>
        <v/>
      </c>
      <c r="J708" s="30" t="str">
        <f t="shared" si="23"/>
        <v/>
      </c>
      <c r="K708" s="14"/>
      <c r="L708" s="17" t="str">
        <f>IF(AND($C708&lt;&gt;"",$C708=Controle_Paiement!$B$4,$J708&lt;&gt;"Payé",$J708&lt;&gt;"Annulé",$J708&lt;&gt;""),1,"")</f>
        <v/>
      </c>
    </row>
    <row r="709" spans="1:12" x14ac:dyDescent="0.35">
      <c r="A709" s="18"/>
      <c r="B709" s="27"/>
      <c r="C709" s="14"/>
      <c r="D709" s="14"/>
      <c r="E709" s="19"/>
      <c r="F709" s="19"/>
      <c r="G709" s="28" t="str">
        <f t="shared" si="22"/>
        <v/>
      </c>
      <c r="H709" s="14"/>
      <c r="I709" s="29" t="str">
        <f>IF(OR($C709="",$G709="",$H709&lt;&gt;"Fait"),"",MIN($G709,MAX(0,SUMIFS($G$5:$G709,$C$5:$C709,$C709,$H$5:$H709,"Fait")-SUMIFS(Paiements!$I$5:$I$2000,Paiements!$C$5:$C$2000,$C709,Paiements!$L$5:$L$2000,"Payé"))))</f>
        <v/>
      </c>
      <c r="J709" s="30" t="str">
        <f t="shared" si="23"/>
        <v/>
      </c>
      <c r="K709" s="14"/>
      <c r="L709" s="17" t="str">
        <f>IF(AND($C709&lt;&gt;"",$C709=Controle_Paiement!$B$4,$J709&lt;&gt;"Payé",$J709&lt;&gt;"Annulé",$J709&lt;&gt;""),1,"")</f>
        <v/>
      </c>
    </row>
    <row r="710" spans="1:12" x14ac:dyDescent="0.35">
      <c r="A710" s="18"/>
      <c r="B710" s="27"/>
      <c r="C710" s="14"/>
      <c r="D710" s="14"/>
      <c r="E710" s="19"/>
      <c r="F710" s="19"/>
      <c r="G710" s="28" t="str">
        <f t="shared" si="22"/>
        <v/>
      </c>
      <c r="H710" s="14"/>
      <c r="I710" s="29" t="str">
        <f>IF(OR($C710="",$G710="",$H710&lt;&gt;"Fait"),"",MIN($G710,MAX(0,SUMIFS($G$5:$G710,$C$5:$C710,$C710,$H$5:$H710,"Fait")-SUMIFS(Paiements!$I$5:$I$2000,Paiements!$C$5:$C$2000,$C710,Paiements!$L$5:$L$2000,"Payé"))))</f>
        <v/>
      </c>
      <c r="J710" s="30" t="str">
        <f t="shared" si="23"/>
        <v/>
      </c>
      <c r="K710" s="14"/>
      <c r="L710" s="17" t="str">
        <f>IF(AND($C710&lt;&gt;"",$C710=Controle_Paiement!$B$4,$J710&lt;&gt;"Payé",$J710&lt;&gt;"Annulé",$J710&lt;&gt;""),1,"")</f>
        <v/>
      </c>
    </row>
    <row r="711" spans="1:12" x14ac:dyDescent="0.35">
      <c r="A711" s="18"/>
      <c r="B711" s="27"/>
      <c r="C711" s="14"/>
      <c r="D711" s="14"/>
      <c r="E711" s="19"/>
      <c r="F711" s="19"/>
      <c r="G711" s="28" t="str">
        <f t="shared" si="22"/>
        <v/>
      </c>
      <c r="H711" s="14"/>
      <c r="I711" s="29" t="str">
        <f>IF(OR($C711="",$G711="",$H711&lt;&gt;"Fait"),"",MIN($G711,MAX(0,SUMIFS($G$5:$G711,$C$5:$C711,$C711,$H$5:$H711,"Fait")-SUMIFS(Paiements!$I$5:$I$2000,Paiements!$C$5:$C$2000,$C711,Paiements!$L$5:$L$2000,"Payé"))))</f>
        <v/>
      </c>
      <c r="J711" s="30" t="str">
        <f t="shared" si="23"/>
        <v/>
      </c>
      <c r="K711" s="14"/>
      <c r="L711" s="17" t="str">
        <f>IF(AND($C711&lt;&gt;"",$C711=Controle_Paiement!$B$4,$J711&lt;&gt;"Payé",$J711&lt;&gt;"Annulé",$J711&lt;&gt;""),1,"")</f>
        <v/>
      </c>
    </row>
    <row r="712" spans="1:12" x14ac:dyDescent="0.35">
      <c r="A712" s="18"/>
      <c r="B712" s="27"/>
      <c r="C712" s="14"/>
      <c r="D712" s="14"/>
      <c r="E712" s="19"/>
      <c r="F712" s="19"/>
      <c r="G712" s="28" t="str">
        <f t="shared" si="22"/>
        <v/>
      </c>
      <c r="H712" s="14"/>
      <c r="I712" s="29" t="str">
        <f>IF(OR($C712="",$G712="",$H712&lt;&gt;"Fait"),"",MIN($G712,MAX(0,SUMIFS($G$5:$G712,$C$5:$C712,$C712,$H$5:$H712,"Fait")-SUMIFS(Paiements!$I$5:$I$2000,Paiements!$C$5:$C$2000,$C712,Paiements!$L$5:$L$2000,"Payé"))))</f>
        <v/>
      </c>
      <c r="J712" s="30" t="str">
        <f t="shared" si="23"/>
        <v/>
      </c>
      <c r="K712" s="14"/>
      <c r="L712" s="17" t="str">
        <f>IF(AND($C712&lt;&gt;"",$C712=Controle_Paiement!$B$4,$J712&lt;&gt;"Payé",$J712&lt;&gt;"Annulé",$J712&lt;&gt;""),1,"")</f>
        <v/>
      </c>
    </row>
    <row r="713" spans="1:12" x14ac:dyDescent="0.35">
      <c r="A713" s="18"/>
      <c r="B713" s="27"/>
      <c r="C713" s="14"/>
      <c r="D713" s="14"/>
      <c r="E713" s="19"/>
      <c r="F713" s="19"/>
      <c r="G713" s="28" t="str">
        <f t="shared" si="22"/>
        <v/>
      </c>
      <c r="H713" s="14"/>
      <c r="I713" s="29" t="str">
        <f>IF(OR($C713="",$G713="",$H713&lt;&gt;"Fait"),"",MIN($G713,MAX(0,SUMIFS($G$5:$G713,$C$5:$C713,$C713,$H$5:$H713,"Fait")-SUMIFS(Paiements!$I$5:$I$2000,Paiements!$C$5:$C$2000,$C713,Paiements!$L$5:$L$2000,"Payé"))))</f>
        <v/>
      </c>
      <c r="J713" s="30" t="str">
        <f t="shared" si="23"/>
        <v/>
      </c>
      <c r="K713" s="14"/>
      <c r="L713" s="17" t="str">
        <f>IF(AND($C713&lt;&gt;"",$C713=Controle_Paiement!$B$4,$J713&lt;&gt;"Payé",$J713&lt;&gt;"Annulé",$J713&lt;&gt;""),1,"")</f>
        <v/>
      </c>
    </row>
    <row r="714" spans="1:12" x14ac:dyDescent="0.35">
      <c r="A714" s="18"/>
      <c r="B714" s="27"/>
      <c r="C714" s="14"/>
      <c r="D714" s="14"/>
      <c r="E714" s="19"/>
      <c r="F714" s="19"/>
      <c r="G714" s="28" t="str">
        <f t="shared" si="22"/>
        <v/>
      </c>
      <c r="H714" s="14"/>
      <c r="I714" s="29" t="str">
        <f>IF(OR($C714="",$G714="",$H714&lt;&gt;"Fait"),"",MIN($G714,MAX(0,SUMIFS($G$5:$G714,$C$5:$C714,$C714,$H$5:$H714,"Fait")-SUMIFS(Paiements!$I$5:$I$2000,Paiements!$C$5:$C$2000,$C714,Paiements!$L$5:$L$2000,"Payé"))))</f>
        <v/>
      </c>
      <c r="J714" s="30" t="str">
        <f t="shared" si="23"/>
        <v/>
      </c>
      <c r="K714" s="14"/>
      <c r="L714" s="17" t="str">
        <f>IF(AND($C714&lt;&gt;"",$C714=Controle_Paiement!$B$4,$J714&lt;&gt;"Payé",$J714&lt;&gt;"Annulé",$J714&lt;&gt;""),1,"")</f>
        <v/>
      </c>
    </row>
    <row r="715" spans="1:12" x14ac:dyDescent="0.35">
      <c r="A715" s="18"/>
      <c r="B715" s="27"/>
      <c r="C715" s="14"/>
      <c r="D715" s="14"/>
      <c r="E715" s="19"/>
      <c r="F715" s="19"/>
      <c r="G715" s="28" t="str">
        <f t="shared" si="22"/>
        <v/>
      </c>
      <c r="H715" s="14"/>
      <c r="I715" s="29" t="str">
        <f>IF(OR($C715="",$G715="",$H715&lt;&gt;"Fait"),"",MIN($G715,MAX(0,SUMIFS($G$5:$G715,$C$5:$C715,$C715,$H$5:$H715,"Fait")-SUMIFS(Paiements!$I$5:$I$2000,Paiements!$C$5:$C$2000,$C715,Paiements!$L$5:$L$2000,"Payé"))))</f>
        <v/>
      </c>
      <c r="J715" s="30" t="str">
        <f t="shared" si="23"/>
        <v/>
      </c>
      <c r="K715" s="14"/>
      <c r="L715" s="17" t="str">
        <f>IF(AND($C715&lt;&gt;"",$C715=Controle_Paiement!$B$4,$J715&lt;&gt;"Payé",$J715&lt;&gt;"Annulé",$J715&lt;&gt;""),1,"")</f>
        <v/>
      </c>
    </row>
    <row r="716" spans="1:12" x14ac:dyDescent="0.35">
      <c r="A716" s="18"/>
      <c r="B716" s="27"/>
      <c r="C716" s="14"/>
      <c r="D716" s="14"/>
      <c r="E716" s="19"/>
      <c r="F716" s="19"/>
      <c r="G716" s="28" t="str">
        <f t="shared" si="22"/>
        <v/>
      </c>
      <c r="H716" s="14"/>
      <c r="I716" s="29" t="str">
        <f>IF(OR($C716="",$G716="",$H716&lt;&gt;"Fait"),"",MIN($G716,MAX(0,SUMIFS($G$5:$G716,$C$5:$C716,$C716,$H$5:$H716,"Fait")-SUMIFS(Paiements!$I$5:$I$2000,Paiements!$C$5:$C$2000,$C716,Paiements!$L$5:$L$2000,"Payé"))))</f>
        <v/>
      </c>
      <c r="J716" s="30" t="str">
        <f t="shared" si="23"/>
        <v/>
      </c>
      <c r="K716" s="14"/>
      <c r="L716" s="17" t="str">
        <f>IF(AND($C716&lt;&gt;"",$C716=Controle_Paiement!$B$4,$J716&lt;&gt;"Payé",$J716&lt;&gt;"Annulé",$J716&lt;&gt;""),1,"")</f>
        <v/>
      </c>
    </row>
    <row r="717" spans="1:12" x14ac:dyDescent="0.35">
      <c r="A717" s="18"/>
      <c r="B717" s="27"/>
      <c r="C717" s="14"/>
      <c r="D717" s="14"/>
      <c r="E717" s="19"/>
      <c r="F717" s="19"/>
      <c r="G717" s="28" t="str">
        <f t="shared" si="22"/>
        <v/>
      </c>
      <c r="H717" s="14"/>
      <c r="I717" s="29" t="str">
        <f>IF(OR($C717="",$G717="",$H717&lt;&gt;"Fait"),"",MIN($G717,MAX(0,SUMIFS($G$5:$G717,$C$5:$C717,$C717,$H$5:$H717,"Fait")-SUMIFS(Paiements!$I$5:$I$2000,Paiements!$C$5:$C$2000,$C717,Paiements!$L$5:$L$2000,"Payé"))))</f>
        <v/>
      </c>
      <c r="J717" s="30" t="str">
        <f t="shared" si="23"/>
        <v/>
      </c>
      <c r="K717" s="14"/>
      <c r="L717" s="17" t="str">
        <f>IF(AND($C717&lt;&gt;"",$C717=Controle_Paiement!$B$4,$J717&lt;&gt;"Payé",$J717&lt;&gt;"Annulé",$J717&lt;&gt;""),1,"")</f>
        <v/>
      </c>
    </row>
    <row r="718" spans="1:12" x14ac:dyDescent="0.35">
      <c r="A718" s="18"/>
      <c r="B718" s="27"/>
      <c r="C718" s="14"/>
      <c r="D718" s="14"/>
      <c r="E718" s="19"/>
      <c r="F718" s="19"/>
      <c r="G718" s="28" t="str">
        <f t="shared" si="22"/>
        <v/>
      </c>
      <c r="H718" s="14"/>
      <c r="I718" s="29" t="str">
        <f>IF(OR($C718="",$G718="",$H718&lt;&gt;"Fait"),"",MIN($G718,MAX(0,SUMIFS($G$5:$G718,$C$5:$C718,$C718,$H$5:$H718,"Fait")-SUMIFS(Paiements!$I$5:$I$2000,Paiements!$C$5:$C$2000,$C718,Paiements!$L$5:$L$2000,"Payé"))))</f>
        <v/>
      </c>
      <c r="J718" s="30" t="str">
        <f t="shared" si="23"/>
        <v/>
      </c>
      <c r="K718" s="14"/>
      <c r="L718" s="17" t="str">
        <f>IF(AND($C718&lt;&gt;"",$C718=Controle_Paiement!$B$4,$J718&lt;&gt;"Payé",$J718&lt;&gt;"Annulé",$J718&lt;&gt;""),1,"")</f>
        <v/>
      </c>
    </row>
    <row r="719" spans="1:12" x14ac:dyDescent="0.35">
      <c r="A719" s="18"/>
      <c r="B719" s="27"/>
      <c r="C719" s="14"/>
      <c r="D719" s="14"/>
      <c r="E719" s="19"/>
      <c r="F719" s="19"/>
      <c r="G719" s="28" t="str">
        <f t="shared" si="22"/>
        <v/>
      </c>
      <c r="H719" s="14"/>
      <c r="I719" s="29" t="str">
        <f>IF(OR($C719="",$G719="",$H719&lt;&gt;"Fait"),"",MIN($G719,MAX(0,SUMIFS($G$5:$G719,$C$5:$C719,$C719,$H$5:$H719,"Fait")-SUMIFS(Paiements!$I$5:$I$2000,Paiements!$C$5:$C$2000,$C719,Paiements!$L$5:$L$2000,"Payé"))))</f>
        <v/>
      </c>
      <c r="J719" s="30" t="str">
        <f t="shared" si="23"/>
        <v/>
      </c>
      <c r="K719" s="14"/>
      <c r="L719" s="17" t="str">
        <f>IF(AND($C719&lt;&gt;"",$C719=Controle_Paiement!$B$4,$J719&lt;&gt;"Payé",$J719&lt;&gt;"Annulé",$J719&lt;&gt;""),1,"")</f>
        <v/>
      </c>
    </row>
    <row r="720" spans="1:12" x14ac:dyDescent="0.35">
      <c r="A720" s="18"/>
      <c r="B720" s="27"/>
      <c r="C720" s="14"/>
      <c r="D720" s="14"/>
      <c r="E720" s="19"/>
      <c r="F720" s="19"/>
      <c r="G720" s="28" t="str">
        <f t="shared" si="22"/>
        <v/>
      </c>
      <c r="H720" s="14"/>
      <c r="I720" s="29" t="str">
        <f>IF(OR($C720="",$G720="",$H720&lt;&gt;"Fait"),"",MIN($G720,MAX(0,SUMIFS($G$5:$G720,$C$5:$C720,$C720,$H$5:$H720,"Fait")-SUMIFS(Paiements!$I$5:$I$2000,Paiements!$C$5:$C$2000,$C720,Paiements!$L$5:$L$2000,"Payé"))))</f>
        <v/>
      </c>
      <c r="J720" s="30" t="str">
        <f t="shared" si="23"/>
        <v/>
      </c>
      <c r="K720" s="14"/>
      <c r="L720" s="17" t="str">
        <f>IF(AND($C720&lt;&gt;"",$C720=Controle_Paiement!$B$4,$J720&lt;&gt;"Payé",$J720&lt;&gt;"Annulé",$J720&lt;&gt;""),1,"")</f>
        <v/>
      </c>
    </row>
    <row r="721" spans="1:12" x14ac:dyDescent="0.35">
      <c r="A721" s="18"/>
      <c r="B721" s="27"/>
      <c r="C721" s="14"/>
      <c r="D721" s="14"/>
      <c r="E721" s="19"/>
      <c r="F721" s="19"/>
      <c r="G721" s="28" t="str">
        <f t="shared" si="22"/>
        <v/>
      </c>
      <c r="H721" s="14"/>
      <c r="I721" s="29" t="str">
        <f>IF(OR($C721="",$G721="",$H721&lt;&gt;"Fait"),"",MIN($G721,MAX(0,SUMIFS($G$5:$G721,$C$5:$C721,$C721,$H$5:$H721,"Fait")-SUMIFS(Paiements!$I$5:$I$2000,Paiements!$C$5:$C$2000,$C721,Paiements!$L$5:$L$2000,"Payé"))))</f>
        <v/>
      </c>
      <c r="J721" s="30" t="str">
        <f t="shared" si="23"/>
        <v/>
      </c>
      <c r="K721" s="14"/>
      <c r="L721" s="17" t="str">
        <f>IF(AND($C721&lt;&gt;"",$C721=Controle_Paiement!$B$4,$J721&lt;&gt;"Payé",$J721&lt;&gt;"Annulé",$J721&lt;&gt;""),1,"")</f>
        <v/>
      </c>
    </row>
    <row r="722" spans="1:12" x14ac:dyDescent="0.35">
      <c r="A722" s="18"/>
      <c r="B722" s="27"/>
      <c r="C722" s="14"/>
      <c r="D722" s="14"/>
      <c r="E722" s="19"/>
      <c r="F722" s="19"/>
      <c r="G722" s="28" t="str">
        <f t="shared" si="22"/>
        <v/>
      </c>
      <c r="H722" s="14"/>
      <c r="I722" s="29" t="str">
        <f>IF(OR($C722="",$G722="",$H722&lt;&gt;"Fait"),"",MIN($G722,MAX(0,SUMIFS($G$5:$G722,$C$5:$C722,$C722,$H$5:$H722,"Fait")-SUMIFS(Paiements!$I$5:$I$2000,Paiements!$C$5:$C$2000,$C722,Paiements!$L$5:$L$2000,"Payé"))))</f>
        <v/>
      </c>
      <c r="J722" s="30" t="str">
        <f t="shared" si="23"/>
        <v/>
      </c>
      <c r="K722" s="14"/>
      <c r="L722" s="17" t="str">
        <f>IF(AND($C722&lt;&gt;"",$C722=Controle_Paiement!$B$4,$J722&lt;&gt;"Payé",$J722&lt;&gt;"Annulé",$J722&lt;&gt;""),1,"")</f>
        <v/>
      </c>
    </row>
    <row r="723" spans="1:12" x14ac:dyDescent="0.35">
      <c r="A723" s="18"/>
      <c r="B723" s="27"/>
      <c r="C723" s="14"/>
      <c r="D723" s="14"/>
      <c r="E723" s="19"/>
      <c r="F723" s="19"/>
      <c r="G723" s="28" t="str">
        <f t="shared" si="22"/>
        <v/>
      </c>
      <c r="H723" s="14"/>
      <c r="I723" s="29" t="str">
        <f>IF(OR($C723="",$G723="",$H723&lt;&gt;"Fait"),"",MIN($G723,MAX(0,SUMIFS($G$5:$G723,$C$5:$C723,$C723,$H$5:$H723,"Fait")-SUMIFS(Paiements!$I$5:$I$2000,Paiements!$C$5:$C$2000,$C723,Paiements!$L$5:$L$2000,"Payé"))))</f>
        <v/>
      </c>
      <c r="J723" s="30" t="str">
        <f t="shared" si="23"/>
        <v/>
      </c>
      <c r="K723" s="14"/>
      <c r="L723" s="17" t="str">
        <f>IF(AND($C723&lt;&gt;"",$C723=Controle_Paiement!$B$4,$J723&lt;&gt;"Payé",$J723&lt;&gt;"Annulé",$J723&lt;&gt;""),1,"")</f>
        <v/>
      </c>
    </row>
    <row r="724" spans="1:12" x14ac:dyDescent="0.35">
      <c r="A724" s="18"/>
      <c r="B724" s="27"/>
      <c r="C724" s="14"/>
      <c r="D724" s="14"/>
      <c r="E724" s="19"/>
      <c r="F724" s="19"/>
      <c r="G724" s="28" t="str">
        <f t="shared" si="22"/>
        <v/>
      </c>
      <c r="H724" s="14"/>
      <c r="I724" s="29" t="str">
        <f>IF(OR($C724="",$G724="",$H724&lt;&gt;"Fait"),"",MIN($G724,MAX(0,SUMIFS($G$5:$G724,$C$5:$C724,$C724,$H$5:$H724,"Fait")-SUMIFS(Paiements!$I$5:$I$2000,Paiements!$C$5:$C$2000,$C724,Paiements!$L$5:$L$2000,"Payé"))))</f>
        <v/>
      </c>
      <c r="J724" s="30" t="str">
        <f t="shared" si="23"/>
        <v/>
      </c>
      <c r="K724" s="14"/>
      <c r="L724" s="17" t="str">
        <f>IF(AND($C724&lt;&gt;"",$C724=Controle_Paiement!$B$4,$J724&lt;&gt;"Payé",$J724&lt;&gt;"Annulé",$J724&lt;&gt;""),1,"")</f>
        <v/>
      </c>
    </row>
    <row r="725" spans="1:12" x14ac:dyDescent="0.35">
      <c r="A725" s="18"/>
      <c r="B725" s="27"/>
      <c r="C725" s="14"/>
      <c r="D725" s="14"/>
      <c r="E725" s="19"/>
      <c r="F725" s="19"/>
      <c r="G725" s="28" t="str">
        <f t="shared" si="22"/>
        <v/>
      </c>
      <c r="H725" s="14"/>
      <c r="I725" s="29" t="str">
        <f>IF(OR($C725="",$G725="",$H725&lt;&gt;"Fait"),"",MIN($G725,MAX(0,SUMIFS($G$5:$G725,$C$5:$C725,$C725,$H$5:$H725,"Fait")-SUMIFS(Paiements!$I$5:$I$2000,Paiements!$C$5:$C$2000,$C725,Paiements!$L$5:$L$2000,"Payé"))))</f>
        <v/>
      </c>
      <c r="J725" s="30" t="str">
        <f t="shared" si="23"/>
        <v/>
      </c>
      <c r="K725" s="14"/>
      <c r="L725" s="17" t="str">
        <f>IF(AND($C725&lt;&gt;"",$C725=Controle_Paiement!$B$4,$J725&lt;&gt;"Payé",$J725&lt;&gt;"Annulé",$J725&lt;&gt;""),1,"")</f>
        <v/>
      </c>
    </row>
    <row r="726" spans="1:12" x14ac:dyDescent="0.35">
      <c r="A726" s="18"/>
      <c r="B726" s="27"/>
      <c r="C726" s="14"/>
      <c r="D726" s="14"/>
      <c r="E726" s="19"/>
      <c r="F726" s="19"/>
      <c r="G726" s="28" t="str">
        <f t="shared" si="22"/>
        <v/>
      </c>
      <c r="H726" s="14"/>
      <c r="I726" s="29" t="str">
        <f>IF(OR($C726="",$G726="",$H726&lt;&gt;"Fait"),"",MIN($G726,MAX(0,SUMIFS($G$5:$G726,$C$5:$C726,$C726,$H$5:$H726,"Fait")-SUMIFS(Paiements!$I$5:$I$2000,Paiements!$C$5:$C$2000,$C726,Paiements!$L$5:$L$2000,"Payé"))))</f>
        <v/>
      </c>
      <c r="J726" s="30" t="str">
        <f t="shared" si="23"/>
        <v/>
      </c>
      <c r="K726" s="14"/>
      <c r="L726" s="17" t="str">
        <f>IF(AND($C726&lt;&gt;"",$C726=Controle_Paiement!$B$4,$J726&lt;&gt;"Payé",$J726&lt;&gt;"Annulé",$J726&lt;&gt;""),1,"")</f>
        <v/>
      </c>
    </row>
    <row r="727" spans="1:12" x14ac:dyDescent="0.35">
      <c r="A727" s="18"/>
      <c r="B727" s="27"/>
      <c r="C727" s="14"/>
      <c r="D727" s="14"/>
      <c r="E727" s="19"/>
      <c r="F727" s="19"/>
      <c r="G727" s="28" t="str">
        <f t="shared" si="22"/>
        <v/>
      </c>
      <c r="H727" s="14"/>
      <c r="I727" s="29" t="str">
        <f>IF(OR($C727="",$G727="",$H727&lt;&gt;"Fait"),"",MIN($G727,MAX(0,SUMIFS($G$5:$G727,$C$5:$C727,$C727,$H$5:$H727,"Fait")-SUMIFS(Paiements!$I$5:$I$2000,Paiements!$C$5:$C$2000,$C727,Paiements!$L$5:$L$2000,"Payé"))))</f>
        <v/>
      </c>
      <c r="J727" s="30" t="str">
        <f t="shared" si="23"/>
        <v/>
      </c>
      <c r="K727" s="14"/>
      <c r="L727" s="17" t="str">
        <f>IF(AND($C727&lt;&gt;"",$C727=Controle_Paiement!$B$4,$J727&lt;&gt;"Payé",$J727&lt;&gt;"Annulé",$J727&lt;&gt;""),1,"")</f>
        <v/>
      </c>
    </row>
    <row r="728" spans="1:12" x14ac:dyDescent="0.35">
      <c r="A728" s="18"/>
      <c r="B728" s="27"/>
      <c r="C728" s="14"/>
      <c r="D728" s="14"/>
      <c r="E728" s="19"/>
      <c r="F728" s="19"/>
      <c r="G728" s="28" t="str">
        <f t="shared" si="22"/>
        <v/>
      </c>
      <c r="H728" s="14"/>
      <c r="I728" s="29" t="str">
        <f>IF(OR($C728="",$G728="",$H728&lt;&gt;"Fait"),"",MIN($G728,MAX(0,SUMIFS($G$5:$G728,$C$5:$C728,$C728,$H$5:$H728,"Fait")-SUMIFS(Paiements!$I$5:$I$2000,Paiements!$C$5:$C$2000,$C728,Paiements!$L$5:$L$2000,"Payé"))))</f>
        <v/>
      </c>
      <c r="J728" s="30" t="str">
        <f t="shared" si="23"/>
        <v/>
      </c>
      <c r="K728" s="14"/>
      <c r="L728" s="17" t="str">
        <f>IF(AND($C728&lt;&gt;"",$C728=Controle_Paiement!$B$4,$J728&lt;&gt;"Payé",$J728&lt;&gt;"Annulé",$J728&lt;&gt;""),1,"")</f>
        <v/>
      </c>
    </row>
    <row r="729" spans="1:12" x14ac:dyDescent="0.35">
      <c r="A729" s="18"/>
      <c r="B729" s="27"/>
      <c r="C729" s="14"/>
      <c r="D729" s="14"/>
      <c r="E729" s="19"/>
      <c r="F729" s="19"/>
      <c r="G729" s="28" t="str">
        <f t="shared" si="22"/>
        <v/>
      </c>
      <c r="H729" s="14"/>
      <c r="I729" s="29" t="str">
        <f>IF(OR($C729="",$G729="",$H729&lt;&gt;"Fait"),"",MIN($G729,MAX(0,SUMIFS($G$5:$G729,$C$5:$C729,$C729,$H$5:$H729,"Fait")-SUMIFS(Paiements!$I$5:$I$2000,Paiements!$C$5:$C$2000,$C729,Paiements!$L$5:$L$2000,"Payé"))))</f>
        <v/>
      </c>
      <c r="J729" s="30" t="str">
        <f t="shared" si="23"/>
        <v/>
      </c>
      <c r="K729" s="14"/>
      <c r="L729" s="17" t="str">
        <f>IF(AND($C729&lt;&gt;"",$C729=Controle_Paiement!$B$4,$J729&lt;&gt;"Payé",$J729&lt;&gt;"Annulé",$J729&lt;&gt;""),1,"")</f>
        <v/>
      </c>
    </row>
    <row r="730" spans="1:12" x14ac:dyDescent="0.35">
      <c r="A730" s="18"/>
      <c r="B730" s="27"/>
      <c r="C730" s="14"/>
      <c r="D730" s="14"/>
      <c r="E730" s="19"/>
      <c r="F730" s="19"/>
      <c r="G730" s="28" t="str">
        <f t="shared" si="22"/>
        <v/>
      </c>
      <c r="H730" s="14"/>
      <c r="I730" s="29" t="str">
        <f>IF(OR($C730="",$G730="",$H730&lt;&gt;"Fait"),"",MIN($G730,MAX(0,SUMIFS($G$5:$G730,$C$5:$C730,$C730,$H$5:$H730,"Fait")-SUMIFS(Paiements!$I$5:$I$2000,Paiements!$C$5:$C$2000,$C730,Paiements!$L$5:$L$2000,"Payé"))))</f>
        <v/>
      </c>
      <c r="J730" s="30" t="str">
        <f t="shared" si="23"/>
        <v/>
      </c>
      <c r="K730" s="14"/>
      <c r="L730" s="17" t="str">
        <f>IF(AND($C730&lt;&gt;"",$C730=Controle_Paiement!$B$4,$J730&lt;&gt;"Payé",$J730&lt;&gt;"Annulé",$J730&lt;&gt;""),1,"")</f>
        <v/>
      </c>
    </row>
    <row r="731" spans="1:12" x14ac:dyDescent="0.35">
      <c r="A731" s="18"/>
      <c r="B731" s="27"/>
      <c r="C731" s="14"/>
      <c r="D731" s="14"/>
      <c r="E731" s="19"/>
      <c r="F731" s="19"/>
      <c r="G731" s="28" t="str">
        <f t="shared" si="22"/>
        <v/>
      </c>
      <c r="H731" s="14"/>
      <c r="I731" s="29" t="str">
        <f>IF(OR($C731="",$G731="",$H731&lt;&gt;"Fait"),"",MIN($G731,MAX(0,SUMIFS($G$5:$G731,$C$5:$C731,$C731,$H$5:$H731,"Fait")-SUMIFS(Paiements!$I$5:$I$2000,Paiements!$C$5:$C$2000,$C731,Paiements!$L$5:$L$2000,"Payé"))))</f>
        <v/>
      </c>
      <c r="J731" s="30" t="str">
        <f t="shared" si="23"/>
        <v/>
      </c>
      <c r="K731" s="14"/>
      <c r="L731" s="17" t="str">
        <f>IF(AND($C731&lt;&gt;"",$C731=Controle_Paiement!$B$4,$J731&lt;&gt;"Payé",$J731&lt;&gt;"Annulé",$J731&lt;&gt;""),1,"")</f>
        <v/>
      </c>
    </row>
    <row r="732" spans="1:12" x14ac:dyDescent="0.35">
      <c r="A732" s="18"/>
      <c r="B732" s="27"/>
      <c r="C732" s="14"/>
      <c r="D732" s="14"/>
      <c r="E732" s="19"/>
      <c r="F732" s="19"/>
      <c r="G732" s="28" t="str">
        <f t="shared" si="22"/>
        <v/>
      </c>
      <c r="H732" s="14"/>
      <c r="I732" s="29" t="str">
        <f>IF(OR($C732="",$G732="",$H732&lt;&gt;"Fait"),"",MIN($G732,MAX(0,SUMIFS($G$5:$G732,$C$5:$C732,$C732,$H$5:$H732,"Fait")-SUMIFS(Paiements!$I$5:$I$2000,Paiements!$C$5:$C$2000,$C732,Paiements!$L$5:$L$2000,"Payé"))))</f>
        <v/>
      </c>
      <c r="J732" s="30" t="str">
        <f t="shared" si="23"/>
        <v/>
      </c>
      <c r="K732" s="14"/>
      <c r="L732" s="17" t="str">
        <f>IF(AND($C732&lt;&gt;"",$C732=Controle_Paiement!$B$4,$J732&lt;&gt;"Payé",$J732&lt;&gt;"Annulé",$J732&lt;&gt;""),1,"")</f>
        <v/>
      </c>
    </row>
    <row r="733" spans="1:12" x14ac:dyDescent="0.35">
      <c r="A733" s="18"/>
      <c r="B733" s="27"/>
      <c r="C733" s="14"/>
      <c r="D733" s="14"/>
      <c r="E733" s="19"/>
      <c r="F733" s="19"/>
      <c r="G733" s="28" t="str">
        <f t="shared" si="22"/>
        <v/>
      </c>
      <c r="H733" s="14"/>
      <c r="I733" s="29" t="str">
        <f>IF(OR($C733="",$G733="",$H733&lt;&gt;"Fait"),"",MIN($G733,MAX(0,SUMIFS($G$5:$G733,$C$5:$C733,$C733,$H$5:$H733,"Fait")-SUMIFS(Paiements!$I$5:$I$2000,Paiements!$C$5:$C$2000,$C733,Paiements!$L$5:$L$2000,"Payé"))))</f>
        <v/>
      </c>
      <c r="J733" s="30" t="str">
        <f t="shared" si="23"/>
        <v/>
      </c>
      <c r="K733" s="14"/>
      <c r="L733" s="17" t="str">
        <f>IF(AND($C733&lt;&gt;"",$C733=Controle_Paiement!$B$4,$J733&lt;&gt;"Payé",$J733&lt;&gt;"Annulé",$J733&lt;&gt;""),1,"")</f>
        <v/>
      </c>
    </row>
    <row r="734" spans="1:12" x14ac:dyDescent="0.35">
      <c r="A734" s="18"/>
      <c r="B734" s="27"/>
      <c r="C734" s="14"/>
      <c r="D734" s="14"/>
      <c r="E734" s="19"/>
      <c r="F734" s="19"/>
      <c r="G734" s="28" t="str">
        <f t="shared" si="22"/>
        <v/>
      </c>
      <c r="H734" s="14"/>
      <c r="I734" s="29" t="str">
        <f>IF(OR($C734="",$G734="",$H734&lt;&gt;"Fait"),"",MIN($G734,MAX(0,SUMIFS($G$5:$G734,$C$5:$C734,$C734,$H$5:$H734,"Fait")-SUMIFS(Paiements!$I$5:$I$2000,Paiements!$C$5:$C$2000,$C734,Paiements!$L$5:$L$2000,"Payé"))))</f>
        <v/>
      </c>
      <c r="J734" s="30" t="str">
        <f t="shared" si="23"/>
        <v/>
      </c>
      <c r="K734" s="14"/>
      <c r="L734" s="17" t="str">
        <f>IF(AND($C734&lt;&gt;"",$C734=Controle_Paiement!$B$4,$J734&lt;&gt;"Payé",$J734&lt;&gt;"Annulé",$J734&lt;&gt;""),1,"")</f>
        <v/>
      </c>
    </row>
    <row r="735" spans="1:12" x14ac:dyDescent="0.35">
      <c r="A735" s="18"/>
      <c r="B735" s="27"/>
      <c r="C735" s="14"/>
      <c r="D735" s="14"/>
      <c r="E735" s="19"/>
      <c r="F735" s="19"/>
      <c r="G735" s="28" t="str">
        <f t="shared" si="22"/>
        <v/>
      </c>
      <c r="H735" s="14"/>
      <c r="I735" s="29" t="str">
        <f>IF(OR($C735="",$G735="",$H735&lt;&gt;"Fait"),"",MIN($G735,MAX(0,SUMIFS($G$5:$G735,$C$5:$C735,$C735,$H$5:$H735,"Fait")-SUMIFS(Paiements!$I$5:$I$2000,Paiements!$C$5:$C$2000,$C735,Paiements!$L$5:$L$2000,"Payé"))))</f>
        <v/>
      </c>
      <c r="J735" s="30" t="str">
        <f t="shared" si="23"/>
        <v/>
      </c>
      <c r="K735" s="14"/>
      <c r="L735" s="17" t="str">
        <f>IF(AND($C735&lt;&gt;"",$C735=Controle_Paiement!$B$4,$J735&lt;&gt;"Payé",$J735&lt;&gt;"Annulé",$J735&lt;&gt;""),1,"")</f>
        <v/>
      </c>
    </row>
    <row r="736" spans="1:12" x14ac:dyDescent="0.35">
      <c r="A736" s="18"/>
      <c r="B736" s="27"/>
      <c r="C736" s="14"/>
      <c r="D736" s="14"/>
      <c r="E736" s="19"/>
      <c r="F736" s="19"/>
      <c r="G736" s="28" t="str">
        <f t="shared" si="22"/>
        <v/>
      </c>
      <c r="H736" s="14"/>
      <c r="I736" s="29" t="str">
        <f>IF(OR($C736="",$G736="",$H736&lt;&gt;"Fait"),"",MIN($G736,MAX(0,SUMIFS($G$5:$G736,$C$5:$C736,$C736,$H$5:$H736,"Fait")-SUMIFS(Paiements!$I$5:$I$2000,Paiements!$C$5:$C$2000,$C736,Paiements!$L$5:$L$2000,"Payé"))))</f>
        <v/>
      </c>
      <c r="J736" s="30" t="str">
        <f t="shared" si="23"/>
        <v/>
      </c>
      <c r="K736" s="14"/>
      <c r="L736" s="17" t="str">
        <f>IF(AND($C736&lt;&gt;"",$C736=Controle_Paiement!$B$4,$J736&lt;&gt;"Payé",$J736&lt;&gt;"Annulé",$J736&lt;&gt;""),1,"")</f>
        <v/>
      </c>
    </row>
    <row r="737" spans="1:12" x14ac:dyDescent="0.35">
      <c r="A737" s="18"/>
      <c r="B737" s="27"/>
      <c r="C737" s="14"/>
      <c r="D737" s="14"/>
      <c r="E737" s="19"/>
      <c r="F737" s="19"/>
      <c r="G737" s="28" t="str">
        <f t="shared" si="22"/>
        <v/>
      </c>
      <c r="H737" s="14"/>
      <c r="I737" s="29" t="str">
        <f>IF(OR($C737="",$G737="",$H737&lt;&gt;"Fait"),"",MIN($G737,MAX(0,SUMIFS($G$5:$G737,$C$5:$C737,$C737,$H$5:$H737,"Fait")-SUMIFS(Paiements!$I$5:$I$2000,Paiements!$C$5:$C$2000,$C737,Paiements!$L$5:$L$2000,"Payé"))))</f>
        <v/>
      </c>
      <c r="J737" s="30" t="str">
        <f t="shared" si="23"/>
        <v/>
      </c>
      <c r="K737" s="14"/>
      <c r="L737" s="17" t="str">
        <f>IF(AND($C737&lt;&gt;"",$C737=Controle_Paiement!$B$4,$J737&lt;&gt;"Payé",$J737&lt;&gt;"Annulé",$J737&lt;&gt;""),1,"")</f>
        <v/>
      </c>
    </row>
    <row r="738" spans="1:12" x14ac:dyDescent="0.35">
      <c r="A738" s="18"/>
      <c r="B738" s="27"/>
      <c r="C738" s="14"/>
      <c r="D738" s="14"/>
      <c r="E738" s="19"/>
      <c r="F738" s="19"/>
      <c r="G738" s="28" t="str">
        <f t="shared" si="22"/>
        <v/>
      </c>
      <c r="H738" s="14"/>
      <c r="I738" s="29" t="str">
        <f>IF(OR($C738="",$G738="",$H738&lt;&gt;"Fait"),"",MIN($G738,MAX(0,SUMIFS($G$5:$G738,$C$5:$C738,$C738,$H$5:$H738,"Fait")-SUMIFS(Paiements!$I$5:$I$2000,Paiements!$C$5:$C$2000,$C738,Paiements!$L$5:$L$2000,"Payé"))))</f>
        <v/>
      </c>
      <c r="J738" s="30" t="str">
        <f t="shared" si="23"/>
        <v/>
      </c>
      <c r="K738" s="14"/>
      <c r="L738" s="17" t="str">
        <f>IF(AND($C738&lt;&gt;"",$C738=Controle_Paiement!$B$4,$J738&lt;&gt;"Payé",$J738&lt;&gt;"Annulé",$J738&lt;&gt;""),1,"")</f>
        <v/>
      </c>
    </row>
    <row r="739" spans="1:12" x14ac:dyDescent="0.35">
      <c r="A739" s="18"/>
      <c r="B739" s="27"/>
      <c r="C739" s="14"/>
      <c r="D739" s="14"/>
      <c r="E739" s="19"/>
      <c r="F739" s="19"/>
      <c r="G739" s="28" t="str">
        <f t="shared" si="22"/>
        <v/>
      </c>
      <c r="H739" s="14"/>
      <c r="I739" s="29" t="str">
        <f>IF(OR($C739="",$G739="",$H739&lt;&gt;"Fait"),"",MIN($G739,MAX(0,SUMIFS($G$5:$G739,$C$5:$C739,$C739,$H$5:$H739,"Fait")-SUMIFS(Paiements!$I$5:$I$2000,Paiements!$C$5:$C$2000,$C739,Paiements!$L$5:$L$2000,"Payé"))))</f>
        <v/>
      </c>
      <c r="J739" s="30" t="str">
        <f t="shared" si="23"/>
        <v/>
      </c>
      <c r="K739" s="14"/>
      <c r="L739" s="17" t="str">
        <f>IF(AND($C739&lt;&gt;"",$C739=Controle_Paiement!$B$4,$J739&lt;&gt;"Payé",$J739&lt;&gt;"Annulé",$J739&lt;&gt;""),1,"")</f>
        <v/>
      </c>
    </row>
    <row r="740" spans="1:12" x14ac:dyDescent="0.35">
      <c r="A740" s="18"/>
      <c r="B740" s="27"/>
      <c r="C740" s="14"/>
      <c r="D740" s="14"/>
      <c r="E740" s="19"/>
      <c r="F740" s="19"/>
      <c r="G740" s="28" t="str">
        <f t="shared" si="22"/>
        <v/>
      </c>
      <c r="H740" s="14"/>
      <c r="I740" s="29" t="str">
        <f>IF(OR($C740="",$G740="",$H740&lt;&gt;"Fait"),"",MIN($G740,MAX(0,SUMIFS($G$5:$G740,$C$5:$C740,$C740,$H$5:$H740,"Fait")-SUMIFS(Paiements!$I$5:$I$2000,Paiements!$C$5:$C$2000,$C740,Paiements!$L$5:$L$2000,"Payé"))))</f>
        <v/>
      </c>
      <c r="J740" s="30" t="str">
        <f t="shared" si="23"/>
        <v/>
      </c>
      <c r="K740" s="14"/>
      <c r="L740" s="17" t="str">
        <f>IF(AND($C740&lt;&gt;"",$C740=Controle_Paiement!$B$4,$J740&lt;&gt;"Payé",$J740&lt;&gt;"Annulé",$J740&lt;&gt;""),1,"")</f>
        <v/>
      </c>
    </row>
    <row r="741" spans="1:12" x14ac:dyDescent="0.35">
      <c r="A741" s="18"/>
      <c r="B741" s="27"/>
      <c r="C741" s="14"/>
      <c r="D741" s="14"/>
      <c r="E741" s="19"/>
      <c r="F741" s="19"/>
      <c r="G741" s="28" t="str">
        <f t="shared" si="22"/>
        <v/>
      </c>
      <c r="H741" s="14"/>
      <c r="I741" s="29" t="str">
        <f>IF(OR($C741="",$G741="",$H741&lt;&gt;"Fait"),"",MIN($G741,MAX(0,SUMIFS($G$5:$G741,$C$5:$C741,$C741,$H$5:$H741,"Fait")-SUMIFS(Paiements!$I$5:$I$2000,Paiements!$C$5:$C$2000,$C741,Paiements!$L$5:$L$2000,"Payé"))))</f>
        <v/>
      </c>
      <c r="J741" s="30" t="str">
        <f t="shared" si="23"/>
        <v/>
      </c>
      <c r="K741" s="14"/>
      <c r="L741" s="17" t="str">
        <f>IF(AND($C741&lt;&gt;"",$C741=Controle_Paiement!$B$4,$J741&lt;&gt;"Payé",$J741&lt;&gt;"Annulé",$J741&lt;&gt;""),1,"")</f>
        <v/>
      </c>
    </row>
    <row r="742" spans="1:12" x14ac:dyDescent="0.35">
      <c r="A742" s="18"/>
      <c r="B742" s="27"/>
      <c r="C742" s="14"/>
      <c r="D742" s="14"/>
      <c r="E742" s="19"/>
      <c r="F742" s="19"/>
      <c r="G742" s="28" t="str">
        <f t="shared" si="22"/>
        <v/>
      </c>
      <c r="H742" s="14"/>
      <c r="I742" s="29" t="str">
        <f>IF(OR($C742="",$G742="",$H742&lt;&gt;"Fait"),"",MIN($G742,MAX(0,SUMIFS($G$5:$G742,$C$5:$C742,$C742,$H$5:$H742,"Fait")-SUMIFS(Paiements!$I$5:$I$2000,Paiements!$C$5:$C$2000,$C742,Paiements!$L$5:$L$2000,"Payé"))))</f>
        <v/>
      </c>
      <c r="J742" s="30" t="str">
        <f t="shared" si="23"/>
        <v/>
      </c>
      <c r="K742" s="14"/>
      <c r="L742" s="17" t="str">
        <f>IF(AND($C742&lt;&gt;"",$C742=Controle_Paiement!$B$4,$J742&lt;&gt;"Payé",$J742&lt;&gt;"Annulé",$J742&lt;&gt;""),1,"")</f>
        <v/>
      </c>
    </row>
    <row r="743" spans="1:12" x14ac:dyDescent="0.35">
      <c r="A743" s="18"/>
      <c r="B743" s="27"/>
      <c r="C743" s="14"/>
      <c r="D743" s="14"/>
      <c r="E743" s="19"/>
      <c r="F743" s="19"/>
      <c r="G743" s="28" t="str">
        <f t="shared" si="22"/>
        <v/>
      </c>
      <c r="H743" s="14"/>
      <c r="I743" s="29" t="str">
        <f>IF(OR($C743="",$G743="",$H743&lt;&gt;"Fait"),"",MIN($G743,MAX(0,SUMIFS($G$5:$G743,$C$5:$C743,$C743,$H$5:$H743,"Fait")-SUMIFS(Paiements!$I$5:$I$2000,Paiements!$C$5:$C$2000,$C743,Paiements!$L$5:$L$2000,"Payé"))))</f>
        <v/>
      </c>
      <c r="J743" s="30" t="str">
        <f t="shared" si="23"/>
        <v/>
      </c>
      <c r="K743" s="14"/>
      <c r="L743" s="17" t="str">
        <f>IF(AND($C743&lt;&gt;"",$C743=Controle_Paiement!$B$4,$J743&lt;&gt;"Payé",$J743&lt;&gt;"Annulé",$J743&lt;&gt;""),1,"")</f>
        <v/>
      </c>
    </row>
    <row r="744" spans="1:12" x14ac:dyDescent="0.35">
      <c r="A744" s="18"/>
      <c r="B744" s="27"/>
      <c r="C744" s="14"/>
      <c r="D744" s="14"/>
      <c r="E744" s="19"/>
      <c r="F744" s="19"/>
      <c r="G744" s="28" t="str">
        <f t="shared" si="22"/>
        <v/>
      </c>
      <c r="H744" s="14"/>
      <c r="I744" s="29" t="str">
        <f>IF(OR($C744="",$G744="",$H744&lt;&gt;"Fait"),"",MIN($G744,MAX(0,SUMIFS($G$5:$G744,$C$5:$C744,$C744,$H$5:$H744,"Fait")-SUMIFS(Paiements!$I$5:$I$2000,Paiements!$C$5:$C$2000,$C744,Paiements!$L$5:$L$2000,"Payé"))))</f>
        <v/>
      </c>
      <c r="J744" s="30" t="str">
        <f t="shared" si="23"/>
        <v/>
      </c>
      <c r="K744" s="14"/>
      <c r="L744" s="17" t="str">
        <f>IF(AND($C744&lt;&gt;"",$C744=Controle_Paiement!$B$4,$J744&lt;&gt;"Payé",$J744&lt;&gt;"Annulé",$J744&lt;&gt;""),1,"")</f>
        <v/>
      </c>
    </row>
    <row r="745" spans="1:12" x14ac:dyDescent="0.35">
      <c r="A745" s="18"/>
      <c r="B745" s="27"/>
      <c r="C745" s="14"/>
      <c r="D745" s="14"/>
      <c r="E745" s="19"/>
      <c r="F745" s="19"/>
      <c r="G745" s="28" t="str">
        <f t="shared" si="22"/>
        <v/>
      </c>
      <c r="H745" s="14"/>
      <c r="I745" s="29" t="str">
        <f>IF(OR($C745="",$G745="",$H745&lt;&gt;"Fait"),"",MIN($G745,MAX(0,SUMIFS($G$5:$G745,$C$5:$C745,$C745,$H$5:$H745,"Fait")-SUMIFS(Paiements!$I$5:$I$2000,Paiements!$C$5:$C$2000,$C745,Paiements!$L$5:$L$2000,"Payé"))))</f>
        <v/>
      </c>
      <c r="J745" s="30" t="str">
        <f t="shared" si="23"/>
        <v/>
      </c>
      <c r="K745" s="14"/>
      <c r="L745" s="17" t="str">
        <f>IF(AND($C745&lt;&gt;"",$C745=Controle_Paiement!$B$4,$J745&lt;&gt;"Payé",$J745&lt;&gt;"Annulé",$J745&lt;&gt;""),1,"")</f>
        <v/>
      </c>
    </row>
    <row r="746" spans="1:12" x14ac:dyDescent="0.35">
      <c r="A746" s="18"/>
      <c r="B746" s="27"/>
      <c r="C746" s="14"/>
      <c r="D746" s="14"/>
      <c r="E746" s="19"/>
      <c r="F746" s="19"/>
      <c r="G746" s="28" t="str">
        <f t="shared" si="22"/>
        <v/>
      </c>
      <c r="H746" s="14"/>
      <c r="I746" s="29" t="str">
        <f>IF(OR($C746="",$G746="",$H746&lt;&gt;"Fait"),"",MIN($G746,MAX(0,SUMIFS($G$5:$G746,$C$5:$C746,$C746,$H$5:$H746,"Fait")-SUMIFS(Paiements!$I$5:$I$2000,Paiements!$C$5:$C$2000,$C746,Paiements!$L$5:$L$2000,"Payé"))))</f>
        <v/>
      </c>
      <c r="J746" s="30" t="str">
        <f t="shared" si="23"/>
        <v/>
      </c>
      <c r="K746" s="14"/>
      <c r="L746" s="17" t="str">
        <f>IF(AND($C746&lt;&gt;"",$C746=Controle_Paiement!$B$4,$J746&lt;&gt;"Payé",$J746&lt;&gt;"Annulé",$J746&lt;&gt;""),1,"")</f>
        <v/>
      </c>
    </row>
    <row r="747" spans="1:12" x14ac:dyDescent="0.35">
      <c r="A747" s="18"/>
      <c r="B747" s="27"/>
      <c r="C747" s="14"/>
      <c r="D747" s="14"/>
      <c r="E747" s="19"/>
      <c r="F747" s="19"/>
      <c r="G747" s="28" t="str">
        <f t="shared" si="22"/>
        <v/>
      </c>
      <c r="H747" s="14"/>
      <c r="I747" s="29" t="str">
        <f>IF(OR($C747="",$G747="",$H747&lt;&gt;"Fait"),"",MIN($G747,MAX(0,SUMIFS($G$5:$G747,$C$5:$C747,$C747,$H$5:$H747,"Fait")-SUMIFS(Paiements!$I$5:$I$2000,Paiements!$C$5:$C$2000,$C747,Paiements!$L$5:$L$2000,"Payé"))))</f>
        <v/>
      </c>
      <c r="J747" s="30" t="str">
        <f t="shared" si="23"/>
        <v/>
      </c>
      <c r="K747" s="14"/>
      <c r="L747" s="17" t="str">
        <f>IF(AND($C747&lt;&gt;"",$C747=Controle_Paiement!$B$4,$J747&lt;&gt;"Payé",$J747&lt;&gt;"Annulé",$J747&lt;&gt;""),1,"")</f>
        <v/>
      </c>
    </row>
    <row r="748" spans="1:12" x14ac:dyDescent="0.35">
      <c r="A748" s="18"/>
      <c r="B748" s="27"/>
      <c r="C748" s="14"/>
      <c r="D748" s="14"/>
      <c r="E748" s="19"/>
      <c r="F748" s="19"/>
      <c r="G748" s="28" t="str">
        <f t="shared" si="22"/>
        <v/>
      </c>
      <c r="H748" s="14"/>
      <c r="I748" s="29" t="str">
        <f>IF(OR($C748="",$G748="",$H748&lt;&gt;"Fait"),"",MIN($G748,MAX(0,SUMIFS($G$5:$G748,$C$5:$C748,$C748,$H$5:$H748,"Fait")-SUMIFS(Paiements!$I$5:$I$2000,Paiements!$C$5:$C$2000,$C748,Paiements!$L$5:$L$2000,"Payé"))))</f>
        <v/>
      </c>
      <c r="J748" s="30" t="str">
        <f t="shared" si="23"/>
        <v/>
      </c>
      <c r="K748" s="14"/>
      <c r="L748" s="17" t="str">
        <f>IF(AND($C748&lt;&gt;"",$C748=Controle_Paiement!$B$4,$J748&lt;&gt;"Payé",$J748&lt;&gt;"Annulé",$J748&lt;&gt;""),1,"")</f>
        <v/>
      </c>
    </row>
    <row r="749" spans="1:12" x14ac:dyDescent="0.35">
      <c r="A749" s="18"/>
      <c r="B749" s="27"/>
      <c r="C749" s="14"/>
      <c r="D749" s="14"/>
      <c r="E749" s="19"/>
      <c r="F749" s="19"/>
      <c r="G749" s="28" t="str">
        <f t="shared" si="22"/>
        <v/>
      </c>
      <c r="H749" s="14"/>
      <c r="I749" s="29" t="str">
        <f>IF(OR($C749="",$G749="",$H749&lt;&gt;"Fait"),"",MIN($G749,MAX(0,SUMIFS($G$5:$G749,$C$5:$C749,$C749,$H$5:$H749,"Fait")-SUMIFS(Paiements!$I$5:$I$2000,Paiements!$C$5:$C$2000,$C749,Paiements!$L$5:$L$2000,"Payé"))))</f>
        <v/>
      </c>
      <c r="J749" s="30" t="str">
        <f t="shared" si="23"/>
        <v/>
      </c>
      <c r="K749" s="14"/>
      <c r="L749" s="17" t="str">
        <f>IF(AND($C749&lt;&gt;"",$C749=Controle_Paiement!$B$4,$J749&lt;&gt;"Payé",$J749&lt;&gt;"Annulé",$J749&lt;&gt;""),1,"")</f>
        <v/>
      </c>
    </row>
    <row r="750" spans="1:12" x14ac:dyDescent="0.35">
      <c r="A750" s="18"/>
      <c r="B750" s="27"/>
      <c r="C750" s="14"/>
      <c r="D750" s="14"/>
      <c r="E750" s="19"/>
      <c r="F750" s="19"/>
      <c r="G750" s="28" t="str">
        <f t="shared" si="22"/>
        <v/>
      </c>
      <c r="H750" s="14"/>
      <c r="I750" s="29" t="str">
        <f>IF(OR($C750="",$G750="",$H750&lt;&gt;"Fait"),"",MIN($G750,MAX(0,SUMIFS($G$5:$G750,$C$5:$C750,$C750,$H$5:$H750,"Fait")-SUMIFS(Paiements!$I$5:$I$2000,Paiements!$C$5:$C$2000,$C750,Paiements!$L$5:$L$2000,"Payé"))))</f>
        <v/>
      </c>
      <c r="J750" s="30" t="str">
        <f t="shared" si="23"/>
        <v/>
      </c>
      <c r="K750" s="14"/>
      <c r="L750" s="17" t="str">
        <f>IF(AND($C750&lt;&gt;"",$C750=Controle_Paiement!$B$4,$J750&lt;&gt;"Payé",$J750&lt;&gt;"Annulé",$J750&lt;&gt;""),1,"")</f>
        <v/>
      </c>
    </row>
    <row r="751" spans="1:12" x14ac:dyDescent="0.35">
      <c r="A751" s="18"/>
      <c r="B751" s="27"/>
      <c r="C751" s="14"/>
      <c r="D751" s="14"/>
      <c r="E751" s="19"/>
      <c r="F751" s="19"/>
      <c r="G751" s="28" t="str">
        <f t="shared" si="22"/>
        <v/>
      </c>
      <c r="H751" s="14"/>
      <c r="I751" s="29" t="str">
        <f>IF(OR($C751="",$G751="",$H751&lt;&gt;"Fait"),"",MIN($G751,MAX(0,SUMIFS($G$5:$G751,$C$5:$C751,$C751,$H$5:$H751,"Fait")-SUMIFS(Paiements!$I$5:$I$2000,Paiements!$C$5:$C$2000,$C751,Paiements!$L$5:$L$2000,"Payé"))))</f>
        <v/>
      </c>
      <c r="J751" s="30" t="str">
        <f t="shared" si="23"/>
        <v/>
      </c>
      <c r="K751" s="14"/>
      <c r="L751" s="17" t="str">
        <f>IF(AND($C751&lt;&gt;"",$C751=Controle_Paiement!$B$4,$J751&lt;&gt;"Payé",$J751&lt;&gt;"Annulé",$J751&lt;&gt;""),1,"")</f>
        <v/>
      </c>
    </row>
    <row r="752" spans="1:12" x14ac:dyDescent="0.35">
      <c r="A752" s="18"/>
      <c r="B752" s="27"/>
      <c r="C752" s="14"/>
      <c r="D752" s="14"/>
      <c r="E752" s="19"/>
      <c r="F752" s="19"/>
      <c r="G752" s="28" t="str">
        <f t="shared" si="22"/>
        <v/>
      </c>
      <c r="H752" s="14"/>
      <c r="I752" s="29" t="str">
        <f>IF(OR($C752="",$G752="",$H752&lt;&gt;"Fait"),"",MIN($G752,MAX(0,SUMIFS($G$5:$G752,$C$5:$C752,$C752,$H$5:$H752,"Fait")-SUMIFS(Paiements!$I$5:$I$2000,Paiements!$C$5:$C$2000,$C752,Paiements!$L$5:$L$2000,"Payé"))))</f>
        <v/>
      </c>
      <c r="J752" s="30" t="str">
        <f t="shared" si="23"/>
        <v/>
      </c>
      <c r="K752" s="14"/>
      <c r="L752" s="17" t="str">
        <f>IF(AND($C752&lt;&gt;"",$C752=Controle_Paiement!$B$4,$J752&lt;&gt;"Payé",$J752&lt;&gt;"Annulé",$J752&lt;&gt;""),1,"")</f>
        <v/>
      </c>
    </row>
    <row r="753" spans="1:12" x14ac:dyDescent="0.35">
      <c r="A753" s="18"/>
      <c r="B753" s="27"/>
      <c r="C753" s="14"/>
      <c r="D753" s="14"/>
      <c r="E753" s="19"/>
      <c r="F753" s="19"/>
      <c r="G753" s="28" t="str">
        <f t="shared" si="22"/>
        <v/>
      </c>
      <c r="H753" s="14"/>
      <c r="I753" s="29" t="str">
        <f>IF(OR($C753="",$G753="",$H753&lt;&gt;"Fait"),"",MIN($G753,MAX(0,SUMIFS($G$5:$G753,$C$5:$C753,$C753,$H$5:$H753,"Fait")-SUMIFS(Paiements!$I$5:$I$2000,Paiements!$C$5:$C$2000,$C753,Paiements!$L$5:$L$2000,"Payé"))))</f>
        <v/>
      </c>
      <c r="J753" s="30" t="str">
        <f t="shared" si="23"/>
        <v/>
      </c>
      <c r="K753" s="14"/>
      <c r="L753" s="17" t="str">
        <f>IF(AND($C753&lt;&gt;"",$C753=Controle_Paiement!$B$4,$J753&lt;&gt;"Payé",$J753&lt;&gt;"Annulé",$J753&lt;&gt;""),1,"")</f>
        <v/>
      </c>
    </row>
    <row r="754" spans="1:12" x14ac:dyDescent="0.35">
      <c r="A754" s="18"/>
      <c r="B754" s="27"/>
      <c r="C754" s="14"/>
      <c r="D754" s="14"/>
      <c r="E754" s="19"/>
      <c r="F754" s="19"/>
      <c r="G754" s="28" t="str">
        <f t="shared" si="22"/>
        <v/>
      </c>
      <c r="H754" s="14"/>
      <c r="I754" s="29" t="str">
        <f>IF(OR($C754="",$G754="",$H754&lt;&gt;"Fait"),"",MIN($G754,MAX(0,SUMIFS($G$5:$G754,$C$5:$C754,$C754,$H$5:$H754,"Fait")-SUMIFS(Paiements!$I$5:$I$2000,Paiements!$C$5:$C$2000,$C754,Paiements!$L$5:$L$2000,"Payé"))))</f>
        <v/>
      </c>
      <c r="J754" s="30" t="str">
        <f t="shared" si="23"/>
        <v/>
      </c>
      <c r="K754" s="14"/>
      <c r="L754" s="17" t="str">
        <f>IF(AND($C754&lt;&gt;"",$C754=Controle_Paiement!$B$4,$J754&lt;&gt;"Payé",$J754&lt;&gt;"Annulé",$J754&lt;&gt;""),1,"")</f>
        <v/>
      </c>
    </row>
    <row r="755" spans="1:12" x14ac:dyDescent="0.35">
      <c r="A755" s="18"/>
      <c r="B755" s="27"/>
      <c r="C755" s="14"/>
      <c r="D755" s="14"/>
      <c r="E755" s="19"/>
      <c r="F755" s="19"/>
      <c r="G755" s="28" t="str">
        <f t="shared" si="22"/>
        <v/>
      </c>
      <c r="H755" s="14"/>
      <c r="I755" s="29" t="str">
        <f>IF(OR($C755="",$G755="",$H755&lt;&gt;"Fait"),"",MIN($G755,MAX(0,SUMIFS($G$5:$G755,$C$5:$C755,$C755,$H$5:$H755,"Fait")-SUMIFS(Paiements!$I$5:$I$2000,Paiements!$C$5:$C$2000,$C755,Paiements!$L$5:$L$2000,"Payé"))))</f>
        <v/>
      </c>
      <c r="J755" s="30" t="str">
        <f t="shared" si="23"/>
        <v/>
      </c>
      <c r="K755" s="14"/>
      <c r="L755" s="17" t="str">
        <f>IF(AND($C755&lt;&gt;"",$C755=Controle_Paiement!$B$4,$J755&lt;&gt;"Payé",$J755&lt;&gt;"Annulé",$J755&lt;&gt;""),1,"")</f>
        <v/>
      </c>
    </row>
    <row r="756" spans="1:12" x14ac:dyDescent="0.35">
      <c r="A756" s="18"/>
      <c r="B756" s="27"/>
      <c r="C756" s="14"/>
      <c r="D756" s="14"/>
      <c r="E756" s="19"/>
      <c r="F756" s="19"/>
      <c r="G756" s="28" t="str">
        <f t="shared" si="22"/>
        <v/>
      </c>
      <c r="H756" s="14"/>
      <c r="I756" s="29" t="str">
        <f>IF(OR($C756="",$G756="",$H756&lt;&gt;"Fait"),"",MIN($G756,MAX(0,SUMIFS($G$5:$G756,$C$5:$C756,$C756,$H$5:$H756,"Fait")-SUMIFS(Paiements!$I$5:$I$2000,Paiements!$C$5:$C$2000,$C756,Paiements!$L$5:$L$2000,"Payé"))))</f>
        <v/>
      </c>
      <c r="J756" s="30" t="str">
        <f t="shared" si="23"/>
        <v/>
      </c>
      <c r="K756" s="14"/>
      <c r="L756" s="17" t="str">
        <f>IF(AND($C756&lt;&gt;"",$C756=Controle_Paiement!$B$4,$J756&lt;&gt;"Payé",$J756&lt;&gt;"Annulé",$J756&lt;&gt;""),1,"")</f>
        <v/>
      </c>
    </row>
    <row r="757" spans="1:12" x14ac:dyDescent="0.35">
      <c r="A757" s="18"/>
      <c r="B757" s="27"/>
      <c r="C757" s="14"/>
      <c r="D757" s="14"/>
      <c r="E757" s="19"/>
      <c r="F757" s="19"/>
      <c r="G757" s="28" t="str">
        <f t="shared" si="22"/>
        <v/>
      </c>
      <c r="H757" s="14"/>
      <c r="I757" s="29" t="str">
        <f>IF(OR($C757="",$G757="",$H757&lt;&gt;"Fait"),"",MIN($G757,MAX(0,SUMIFS($G$5:$G757,$C$5:$C757,$C757,$H$5:$H757,"Fait")-SUMIFS(Paiements!$I$5:$I$2000,Paiements!$C$5:$C$2000,$C757,Paiements!$L$5:$L$2000,"Payé"))))</f>
        <v/>
      </c>
      <c r="J757" s="30" t="str">
        <f t="shared" si="23"/>
        <v/>
      </c>
      <c r="K757" s="14"/>
      <c r="L757" s="17" t="str">
        <f>IF(AND($C757&lt;&gt;"",$C757=Controle_Paiement!$B$4,$J757&lt;&gt;"Payé",$J757&lt;&gt;"Annulé",$J757&lt;&gt;""),1,"")</f>
        <v/>
      </c>
    </row>
    <row r="758" spans="1:12" x14ac:dyDescent="0.35">
      <c r="A758" s="18"/>
      <c r="B758" s="27"/>
      <c r="C758" s="14"/>
      <c r="D758" s="14"/>
      <c r="E758" s="19"/>
      <c r="F758" s="19"/>
      <c r="G758" s="28" t="str">
        <f t="shared" si="22"/>
        <v/>
      </c>
      <c r="H758" s="14"/>
      <c r="I758" s="29" t="str">
        <f>IF(OR($C758="",$G758="",$H758&lt;&gt;"Fait"),"",MIN($G758,MAX(0,SUMIFS($G$5:$G758,$C$5:$C758,$C758,$H$5:$H758,"Fait")-SUMIFS(Paiements!$I$5:$I$2000,Paiements!$C$5:$C$2000,$C758,Paiements!$L$5:$L$2000,"Payé"))))</f>
        <v/>
      </c>
      <c r="J758" s="30" t="str">
        <f t="shared" si="23"/>
        <v/>
      </c>
      <c r="K758" s="14"/>
      <c r="L758" s="17" t="str">
        <f>IF(AND($C758&lt;&gt;"",$C758=Controle_Paiement!$B$4,$J758&lt;&gt;"Payé",$J758&lt;&gt;"Annulé",$J758&lt;&gt;""),1,"")</f>
        <v/>
      </c>
    </row>
    <row r="759" spans="1:12" x14ac:dyDescent="0.35">
      <c r="A759" s="18"/>
      <c r="B759" s="27"/>
      <c r="C759" s="14"/>
      <c r="D759" s="14"/>
      <c r="E759" s="19"/>
      <c r="F759" s="19"/>
      <c r="G759" s="28" t="str">
        <f t="shared" si="22"/>
        <v/>
      </c>
      <c r="H759" s="14"/>
      <c r="I759" s="29" t="str">
        <f>IF(OR($C759="",$G759="",$H759&lt;&gt;"Fait"),"",MIN($G759,MAX(0,SUMIFS($G$5:$G759,$C$5:$C759,$C759,$H$5:$H759,"Fait")-SUMIFS(Paiements!$I$5:$I$2000,Paiements!$C$5:$C$2000,$C759,Paiements!$L$5:$L$2000,"Payé"))))</f>
        <v/>
      </c>
      <c r="J759" s="30" t="str">
        <f t="shared" si="23"/>
        <v/>
      </c>
      <c r="K759" s="14"/>
      <c r="L759" s="17" t="str">
        <f>IF(AND($C759&lt;&gt;"",$C759=Controle_Paiement!$B$4,$J759&lt;&gt;"Payé",$J759&lt;&gt;"Annulé",$J759&lt;&gt;""),1,"")</f>
        <v/>
      </c>
    </row>
    <row r="760" spans="1:12" x14ac:dyDescent="0.35">
      <c r="A760" s="18"/>
      <c r="B760" s="27"/>
      <c r="C760" s="14"/>
      <c r="D760" s="14"/>
      <c r="E760" s="19"/>
      <c r="F760" s="19"/>
      <c r="G760" s="28" t="str">
        <f t="shared" si="22"/>
        <v/>
      </c>
      <c r="H760" s="14"/>
      <c r="I760" s="29" t="str">
        <f>IF(OR($C760="",$G760="",$H760&lt;&gt;"Fait"),"",MIN($G760,MAX(0,SUMIFS($G$5:$G760,$C$5:$C760,$C760,$H$5:$H760,"Fait")-SUMIFS(Paiements!$I$5:$I$2000,Paiements!$C$5:$C$2000,$C760,Paiements!$L$5:$L$2000,"Payé"))))</f>
        <v/>
      </c>
      <c r="J760" s="30" t="str">
        <f t="shared" si="23"/>
        <v/>
      </c>
      <c r="K760" s="14"/>
      <c r="L760" s="17" t="str">
        <f>IF(AND($C760&lt;&gt;"",$C760=Controle_Paiement!$B$4,$J760&lt;&gt;"Payé",$J760&lt;&gt;"Annulé",$J760&lt;&gt;""),1,"")</f>
        <v/>
      </c>
    </row>
    <row r="761" spans="1:12" x14ac:dyDescent="0.35">
      <c r="A761" s="18"/>
      <c r="B761" s="27"/>
      <c r="C761" s="14"/>
      <c r="D761" s="14"/>
      <c r="E761" s="19"/>
      <c r="F761" s="19"/>
      <c r="G761" s="28" t="str">
        <f t="shared" si="22"/>
        <v/>
      </c>
      <c r="H761" s="14"/>
      <c r="I761" s="29" t="str">
        <f>IF(OR($C761="",$G761="",$H761&lt;&gt;"Fait"),"",MIN($G761,MAX(0,SUMIFS($G$5:$G761,$C$5:$C761,$C761,$H$5:$H761,"Fait")-SUMIFS(Paiements!$I$5:$I$2000,Paiements!$C$5:$C$2000,$C761,Paiements!$L$5:$L$2000,"Payé"))))</f>
        <v/>
      </c>
      <c r="J761" s="30" t="str">
        <f t="shared" si="23"/>
        <v/>
      </c>
      <c r="K761" s="14"/>
      <c r="L761" s="17" t="str">
        <f>IF(AND($C761&lt;&gt;"",$C761=Controle_Paiement!$B$4,$J761&lt;&gt;"Payé",$J761&lt;&gt;"Annulé",$J761&lt;&gt;""),1,"")</f>
        <v/>
      </c>
    </row>
    <row r="762" spans="1:12" x14ac:dyDescent="0.35">
      <c r="A762" s="18"/>
      <c r="B762" s="27"/>
      <c r="C762" s="14"/>
      <c r="D762" s="14"/>
      <c r="E762" s="19"/>
      <c r="F762" s="19"/>
      <c r="G762" s="28" t="str">
        <f t="shared" si="22"/>
        <v/>
      </c>
      <c r="H762" s="14"/>
      <c r="I762" s="29" t="str">
        <f>IF(OR($C762="",$G762="",$H762&lt;&gt;"Fait"),"",MIN($G762,MAX(0,SUMIFS($G$5:$G762,$C$5:$C762,$C762,$H$5:$H762,"Fait")-SUMIFS(Paiements!$I$5:$I$2000,Paiements!$C$5:$C$2000,$C762,Paiements!$L$5:$L$2000,"Payé"))))</f>
        <v/>
      </c>
      <c r="J762" s="30" t="str">
        <f t="shared" si="23"/>
        <v/>
      </c>
      <c r="K762" s="14"/>
      <c r="L762" s="17" t="str">
        <f>IF(AND($C762&lt;&gt;"",$C762=Controle_Paiement!$B$4,$J762&lt;&gt;"Payé",$J762&lt;&gt;"Annulé",$J762&lt;&gt;""),1,"")</f>
        <v/>
      </c>
    </row>
    <row r="763" spans="1:12" x14ac:dyDescent="0.35">
      <c r="A763" s="18"/>
      <c r="B763" s="27"/>
      <c r="C763" s="14"/>
      <c r="D763" s="14"/>
      <c r="E763" s="19"/>
      <c r="F763" s="19"/>
      <c r="G763" s="28" t="str">
        <f t="shared" si="22"/>
        <v/>
      </c>
      <c r="H763" s="14"/>
      <c r="I763" s="29" t="str">
        <f>IF(OR($C763="",$G763="",$H763&lt;&gt;"Fait"),"",MIN($G763,MAX(0,SUMIFS($G$5:$G763,$C$5:$C763,$C763,$H$5:$H763,"Fait")-SUMIFS(Paiements!$I$5:$I$2000,Paiements!$C$5:$C$2000,$C763,Paiements!$L$5:$L$2000,"Payé"))))</f>
        <v/>
      </c>
      <c r="J763" s="30" t="str">
        <f t="shared" si="23"/>
        <v/>
      </c>
      <c r="K763" s="14"/>
      <c r="L763" s="17" t="str">
        <f>IF(AND($C763&lt;&gt;"",$C763=Controle_Paiement!$B$4,$J763&lt;&gt;"Payé",$J763&lt;&gt;"Annulé",$J763&lt;&gt;""),1,"")</f>
        <v/>
      </c>
    </row>
    <row r="764" spans="1:12" x14ac:dyDescent="0.35">
      <c r="A764" s="18"/>
      <c r="B764" s="27"/>
      <c r="C764" s="14"/>
      <c r="D764" s="14"/>
      <c r="E764" s="19"/>
      <c r="F764" s="19"/>
      <c r="G764" s="28" t="str">
        <f t="shared" si="22"/>
        <v/>
      </c>
      <c r="H764" s="14"/>
      <c r="I764" s="29" t="str">
        <f>IF(OR($C764="",$G764="",$H764&lt;&gt;"Fait"),"",MIN($G764,MAX(0,SUMIFS($G$5:$G764,$C$5:$C764,$C764,$H$5:$H764,"Fait")-SUMIFS(Paiements!$I$5:$I$2000,Paiements!$C$5:$C$2000,$C764,Paiements!$L$5:$L$2000,"Payé"))))</f>
        <v/>
      </c>
      <c r="J764" s="30" t="str">
        <f t="shared" si="23"/>
        <v/>
      </c>
      <c r="K764" s="14"/>
      <c r="L764" s="17" t="str">
        <f>IF(AND($C764&lt;&gt;"",$C764=Controle_Paiement!$B$4,$J764&lt;&gt;"Payé",$J764&lt;&gt;"Annulé",$J764&lt;&gt;""),1,"")</f>
        <v/>
      </c>
    </row>
    <row r="765" spans="1:12" x14ac:dyDescent="0.35">
      <c r="A765" s="18"/>
      <c r="B765" s="27"/>
      <c r="C765" s="14"/>
      <c r="D765" s="14"/>
      <c r="E765" s="19"/>
      <c r="F765" s="19"/>
      <c r="G765" s="28" t="str">
        <f t="shared" si="22"/>
        <v/>
      </c>
      <c r="H765" s="14"/>
      <c r="I765" s="29" t="str">
        <f>IF(OR($C765="",$G765="",$H765&lt;&gt;"Fait"),"",MIN($G765,MAX(0,SUMIFS($G$5:$G765,$C$5:$C765,$C765,$H$5:$H765,"Fait")-SUMIFS(Paiements!$I$5:$I$2000,Paiements!$C$5:$C$2000,$C765,Paiements!$L$5:$L$2000,"Payé"))))</f>
        <v/>
      </c>
      <c r="J765" s="30" t="str">
        <f t="shared" si="23"/>
        <v/>
      </c>
      <c r="K765" s="14"/>
      <c r="L765" s="17" t="str">
        <f>IF(AND($C765&lt;&gt;"",$C765=Controle_Paiement!$B$4,$J765&lt;&gt;"Payé",$J765&lt;&gt;"Annulé",$J765&lt;&gt;""),1,"")</f>
        <v/>
      </c>
    </row>
    <row r="766" spans="1:12" x14ac:dyDescent="0.35">
      <c r="A766" s="18"/>
      <c r="B766" s="27"/>
      <c r="C766" s="14"/>
      <c r="D766" s="14"/>
      <c r="E766" s="19"/>
      <c r="F766" s="19"/>
      <c r="G766" s="28" t="str">
        <f t="shared" si="22"/>
        <v/>
      </c>
      <c r="H766" s="14"/>
      <c r="I766" s="29" t="str">
        <f>IF(OR($C766="",$G766="",$H766&lt;&gt;"Fait"),"",MIN($G766,MAX(0,SUMIFS($G$5:$G766,$C$5:$C766,$C766,$H$5:$H766,"Fait")-SUMIFS(Paiements!$I$5:$I$2000,Paiements!$C$5:$C$2000,$C766,Paiements!$L$5:$L$2000,"Payé"))))</f>
        <v/>
      </c>
      <c r="J766" s="30" t="str">
        <f t="shared" si="23"/>
        <v/>
      </c>
      <c r="K766" s="14"/>
      <c r="L766" s="17" t="str">
        <f>IF(AND($C766&lt;&gt;"",$C766=Controle_Paiement!$B$4,$J766&lt;&gt;"Payé",$J766&lt;&gt;"Annulé",$J766&lt;&gt;""),1,"")</f>
        <v/>
      </c>
    </row>
    <row r="767" spans="1:12" x14ac:dyDescent="0.35">
      <c r="A767" s="18"/>
      <c r="B767" s="27"/>
      <c r="C767" s="14"/>
      <c r="D767" s="14"/>
      <c r="E767" s="19"/>
      <c r="F767" s="19"/>
      <c r="G767" s="28" t="str">
        <f t="shared" si="22"/>
        <v/>
      </c>
      <c r="H767" s="14"/>
      <c r="I767" s="29" t="str">
        <f>IF(OR($C767="",$G767="",$H767&lt;&gt;"Fait"),"",MIN($G767,MAX(0,SUMIFS($G$5:$G767,$C$5:$C767,$C767,$H$5:$H767,"Fait")-SUMIFS(Paiements!$I$5:$I$2000,Paiements!$C$5:$C$2000,$C767,Paiements!$L$5:$L$2000,"Payé"))))</f>
        <v/>
      </c>
      <c r="J767" s="30" t="str">
        <f t="shared" si="23"/>
        <v/>
      </c>
      <c r="K767" s="14"/>
      <c r="L767" s="17" t="str">
        <f>IF(AND($C767&lt;&gt;"",$C767=Controle_Paiement!$B$4,$J767&lt;&gt;"Payé",$J767&lt;&gt;"Annulé",$J767&lt;&gt;""),1,"")</f>
        <v/>
      </c>
    </row>
    <row r="768" spans="1:12" x14ac:dyDescent="0.35">
      <c r="A768" s="18"/>
      <c r="B768" s="27"/>
      <c r="C768" s="14"/>
      <c r="D768" s="14"/>
      <c r="E768" s="19"/>
      <c r="F768" s="19"/>
      <c r="G768" s="28" t="str">
        <f t="shared" si="22"/>
        <v/>
      </c>
      <c r="H768" s="14"/>
      <c r="I768" s="29" t="str">
        <f>IF(OR($C768="",$G768="",$H768&lt;&gt;"Fait"),"",MIN($G768,MAX(0,SUMIFS($G$5:$G768,$C$5:$C768,$C768,$H$5:$H768,"Fait")-SUMIFS(Paiements!$I$5:$I$2000,Paiements!$C$5:$C$2000,$C768,Paiements!$L$5:$L$2000,"Payé"))))</f>
        <v/>
      </c>
      <c r="J768" s="30" t="str">
        <f t="shared" si="23"/>
        <v/>
      </c>
      <c r="K768" s="14"/>
      <c r="L768" s="17" t="str">
        <f>IF(AND($C768&lt;&gt;"",$C768=Controle_Paiement!$B$4,$J768&lt;&gt;"Payé",$J768&lt;&gt;"Annulé",$J768&lt;&gt;""),1,"")</f>
        <v/>
      </c>
    </row>
    <row r="769" spans="1:12" x14ac:dyDescent="0.35">
      <c r="A769" s="18"/>
      <c r="B769" s="27"/>
      <c r="C769" s="14"/>
      <c r="D769" s="14"/>
      <c r="E769" s="19"/>
      <c r="F769" s="19"/>
      <c r="G769" s="28" t="str">
        <f t="shared" si="22"/>
        <v/>
      </c>
      <c r="H769" s="14"/>
      <c r="I769" s="29" t="str">
        <f>IF(OR($C769="",$G769="",$H769&lt;&gt;"Fait"),"",MIN($G769,MAX(0,SUMIFS($G$5:$G769,$C$5:$C769,$C769,$H$5:$H769,"Fait")-SUMIFS(Paiements!$I$5:$I$2000,Paiements!$C$5:$C$2000,$C769,Paiements!$L$5:$L$2000,"Payé"))))</f>
        <v/>
      </c>
      <c r="J769" s="30" t="str">
        <f t="shared" si="23"/>
        <v/>
      </c>
      <c r="K769" s="14"/>
      <c r="L769" s="17" t="str">
        <f>IF(AND($C769&lt;&gt;"",$C769=Controle_Paiement!$B$4,$J769&lt;&gt;"Payé",$J769&lt;&gt;"Annulé",$J769&lt;&gt;""),1,"")</f>
        <v/>
      </c>
    </row>
    <row r="770" spans="1:12" x14ac:dyDescent="0.35">
      <c r="A770" s="18"/>
      <c r="B770" s="27"/>
      <c r="C770" s="14"/>
      <c r="D770" s="14"/>
      <c r="E770" s="19"/>
      <c r="F770" s="19"/>
      <c r="G770" s="28" t="str">
        <f t="shared" si="22"/>
        <v/>
      </c>
      <c r="H770" s="14"/>
      <c r="I770" s="29" t="str">
        <f>IF(OR($C770="",$G770="",$H770&lt;&gt;"Fait"),"",MIN($G770,MAX(0,SUMIFS($G$5:$G770,$C$5:$C770,$C770,$H$5:$H770,"Fait")-SUMIFS(Paiements!$I$5:$I$2000,Paiements!$C$5:$C$2000,$C770,Paiements!$L$5:$L$2000,"Payé"))))</f>
        <v/>
      </c>
      <c r="J770" s="30" t="str">
        <f t="shared" si="23"/>
        <v/>
      </c>
      <c r="K770" s="14"/>
      <c r="L770" s="17" t="str">
        <f>IF(AND($C770&lt;&gt;"",$C770=Controle_Paiement!$B$4,$J770&lt;&gt;"Payé",$J770&lt;&gt;"Annulé",$J770&lt;&gt;""),1,"")</f>
        <v/>
      </c>
    </row>
    <row r="771" spans="1:12" x14ac:dyDescent="0.35">
      <c r="A771" s="18"/>
      <c r="B771" s="27"/>
      <c r="C771" s="14"/>
      <c r="D771" s="14"/>
      <c r="E771" s="19"/>
      <c r="F771" s="19"/>
      <c r="G771" s="28" t="str">
        <f t="shared" ref="G771:G834" si="24">IF(OR($E771="",$F771=""),"",ROUND($E771*$F771,0))</f>
        <v/>
      </c>
      <c r="H771" s="14"/>
      <c r="I771" s="29" t="str">
        <f>IF(OR($C771="",$G771="",$H771&lt;&gt;"Fait"),"",MIN($G771,MAX(0,SUMIFS($G$5:$G771,$C$5:$C771,$C771,$H$5:$H771,"Fait")-SUMIFS(Paiements!$I$5:$I$2000,Paiements!$C$5:$C$2000,$C771,Paiements!$L$5:$L$2000,"Payé"))))</f>
        <v/>
      </c>
      <c r="J771" s="30" t="str">
        <f t="shared" ref="J771:J834" si="25">IF(OR($C771="",$G771=""),"",IF($H771="Annulé","Annulé",IF($H771&lt;&gt;"Fait","Non payable (déchargement non fait)",IF($I771=0,"Payé",IF($I771&lt;$G771,"Partiellement payé","À payer")))))</f>
        <v/>
      </c>
      <c r="K771" s="14"/>
      <c r="L771" s="17" t="str">
        <f>IF(AND($C771&lt;&gt;"",$C771=Controle_Paiement!$B$4,$J771&lt;&gt;"Payé",$J771&lt;&gt;"Annulé",$J771&lt;&gt;""),1,"")</f>
        <v/>
      </c>
    </row>
    <row r="772" spans="1:12" x14ac:dyDescent="0.35">
      <c r="A772" s="18"/>
      <c r="B772" s="27"/>
      <c r="C772" s="14"/>
      <c r="D772" s="14"/>
      <c r="E772" s="19"/>
      <c r="F772" s="19"/>
      <c r="G772" s="28" t="str">
        <f t="shared" si="24"/>
        <v/>
      </c>
      <c r="H772" s="14"/>
      <c r="I772" s="29" t="str">
        <f>IF(OR($C772="",$G772="",$H772&lt;&gt;"Fait"),"",MIN($G772,MAX(0,SUMIFS($G$5:$G772,$C$5:$C772,$C772,$H$5:$H772,"Fait")-SUMIFS(Paiements!$I$5:$I$2000,Paiements!$C$5:$C$2000,$C772,Paiements!$L$5:$L$2000,"Payé"))))</f>
        <v/>
      </c>
      <c r="J772" s="30" t="str">
        <f t="shared" si="25"/>
        <v/>
      </c>
      <c r="K772" s="14"/>
      <c r="L772" s="17" t="str">
        <f>IF(AND($C772&lt;&gt;"",$C772=Controle_Paiement!$B$4,$J772&lt;&gt;"Payé",$J772&lt;&gt;"Annulé",$J772&lt;&gt;""),1,"")</f>
        <v/>
      </c>
    </row>
    <row r="773" spans="1:12" x14ac:dyDescent="0.35">
      <c r="A773" s="18"/>
      <c r="B773" s="27"/>
      <c r="C773" s="14"/>
      <c r="D773" s="14"/>
      <c r="E773" s="19"/>
      <c r="F773" s="19"/>
      <c r="G773" s="28" t="str">
        <f t="shared" si="24"/>
        <v/>
      </c>
      <c r="H773" s="14"/>
      <c r="I773" s="29" t="str">
        <f>IF(OR($C773="",$G773="",$H773&lt;&gt;"Fait"),"",MIN($G773,MAX(0,SUMIFS($G$5:$G773,$C$5:$C773,$C773,$H$5:$H773,"Fait")-SUMIFS(Paiements!$I$5:$I$2000,Paiements!$C$5:$C$2000,$C773,Paiements!$L$5:$L$2000,"Payé"))))</f>
        <v/>
      </c>
      <c r="J773" s="30" t="str">
        <f t="shared" si="25"/>
        <v/>
      </c>
      <c r="K773" s="14"/>
      <c r="L773" s="17" t="str">
        <f>IF(AND($C773&lt;&gt;"",$C773=Controle_Paiement!$B$4,$J773&lt;&gt;"Payé",$J773&lt;&gt;"Annulé",$J773&lt;&gt;""),1,"")</f>
        <v/>
      </c>
    </row>
    <row r="774" spans="1:12" x14ac:dyDescent="0.35">
      <c r="A774" s="18"/>
      <c r="B774" s="27"/>
      <c r="C774" s="14"/>
      <c r="D774" s="14"/>
      <c r="E774" s="19"/>
      <c r="F774" s="19"/>
      <c r="G774" s="28" t="str">
        <f t="shared" si="24"/>
        <v/>
      </c>
      <c r="H774" s="14"/>
      <c r="I774" s="29" t="str">
        <f>IF(OR($C774="",$G774="",$H774&lt;&gt;"Fait"),"",MIN($G774,MAX(0,SUMIFS($G$5:$G774,$C$5:$C774,$C774,$H$5:$H774,"Fait")-SUMIFS(Paiements!$I$5:$I$2000,Paiements!$C$5:$C$2000,$C774,Paiements!$L$5:$L$2000,"Payé"))))</f>
        <v/>
      </c>
      <c r="J774" s="30" t="str">
        <f t="shared" si="25"/>
        <v/>
      </c>
      <c r="K774" s="14"/>
      <c r="L774" s="17" t="str">
        <f>IF(AND($C774&lt;&gt;"",$C774=Controle_Paiement!$B$4,$J774&lt;&gt;"Payé",$J774&lt;&gt;"Annulé",$J774&lt;&gt;""),1,"")</f>
        <v/>
      </c>
    </row>
    <row r="775" spans="1:12" x14ac:dyDescent="0.35">
      <c r="A775" s="18"/>
      <c r="B775" s="27"/>
      <c r="C775" s="14"/>
      <c r="D775" s="14"/>
      <c r="E775" s="19"/>
      <c r="F775" s="19"/>
      <c r="G775" s="28" t="str">
        <f t="shared" si="24"/>
        <v/>
      </c>
      <c r="H775" s="14"/>
      <c r="I775" s="29" t="str">
        <f>IF(OR($C775="",$G775="",$H775&lt;&gt;"Fait"),"",MIN($G775,MAX(0,SUMIFS($G$5:$G775,$C$5:$C775,$C775,$H$5:$H775,"Fait")-SUMIFS(Paiements!$I$5:$I$2000,Paiements!$C$5:$C$2000,$C775,Paiements!$L$5:$L$2000,"Payé"))))</f>
        <v/>
      </c>
      <c r="J775" s="30" t="str">
        <f t="shared" si="25"/>
        <v/>
      </c>
      <c r="K775" s="14"/>
      <c r="L775" s="17" t="str">
        <f>IF(AND($C775&lt;&gt;"",$C775=Controle_Paiement!$B$4,$J775&lt;&gt;"Payé",$J775&lt;&gt;"Annulé",$J775&lt;&gt;""),1,"")</f>
        <v/>
      </c>
    </row>
    <row r="776" spans="1:12" x14ac:dyDescent="0.35">
      <c r="A776" s="18"/>
      <c r="B776" s="27"/>
      <c r="C776" s="14"/>
      <c r="D776" s="14"/>
      <c r="E776" s="19"/>
      <c r="F776" s="19"/>
      <c r="G776" s="28" t="str">
        <f t="shared" si="24"/>
        <v/>
      </c>
      <c r="H776" s="14"/>
      <c r="I776" s="29" t="str">
        <f>IF(OR($C776="",$G776="",$H776&lt;&gt;"Fait"),"",MIN($G776,MAX(0,SUMIFS($G$5:$G776,$C$5:$C776,$C776,$H$5:$H776,"Fait")-SUMIFS(Paiements!$I$5:$I$2000,Paiements!$C$5:$C$2000,$C776,Paiements!$L$5:$L$2000,"Payé"))))</f>
        <v/>
      </c>
      <c r="J776" s="30" t="str">
        <f t="shared" si="25"/>
        <v/>
      </c>
      <c r="K776" s="14"/>
      <c r="L776" s="17" t="str">
        <f>IF(AND($C776&lt;&gt;"",$C776=Controle_Paiement!$B$4,$J776&lt;&gt;"Payé",$J776&lt;&gt;"Annulé",$J776&lt;&gt;""),1,"")</f>
        <v/>
      </c>
    </row>
    <row r="777" spans="1:12" x14ac:dyDescent="0.35">
      <c r="A777" s="18"/>
      <c r="B777" s="27"/>
      <c r="C777" s="14"/>
      <c r="D777" s="14"/>
      <c r="E777" s="19"/>
      <c r="F777" s="19"/>
      <c r="G777" s="28" t="str">
        <f t="shared" si="24"/>
        <v/>
      </c>
      <c r="H777" s="14"/>
      <c r="I777" s="29" t="str">
        <f>IF(OR($C777="",$G777="",$H777&lt;&gt;"Fait"),"",MIN($G777,MAX(0,SUMIFS($G$5:$G777,$C$5:$C777,$C777,$H$5:$H777,"Fait")-SUMIFS(Paiements!$I$5:$I$2000,Paiements!$C$5:$C$2000,$C777,Paiements!$L$5:$L$2000,"Payé"))))</f>
        <v/>
      </c>
      <c r="J777" s="30" t="str">
        <f t="shared" si="25"/>
        <v/>
      </c>
      <c r="K777" s="14"/>
      <c r="L777" s="17" t="str">
        <f>IF(AND($C777&lt;&gt;"",$C777=Controle_Paiement!$B$4,$J777&lt;&gt;"Payé",$J777&lt;&gt;"Annulé",$J777&lt;&gt;""),1,"")</f>
        <v/>
      </c>
    </row>
    <row r="778" spans="1:12" x14ac:dyDescent="0.35">
      <c r="A778" s="18"/>
      <c r="B778" s="27"/>
      <c r="C778" s="14"/>
      <c r="D778" s="14"/>
      <c r="E778" s="19"/>
      <c r="F778" s="19"/>
      <c r="G778" s="28" t="str">
        <f t="shared" si="24"/>
        <v/>
      </c>
      <c r="H778" s="14"/>
      <c r="I778" s="29" t="str">
        <f>IF(OR($C778="",$G778="",$H778&lt;&gt;"Fait"),"",MIN($G778,MAX(0,SUMIFS($G$5:$G778,$C$5:$C778,$C778,$H$5:$H778,"Fait")-SUMIFS(Paiements!$I$5:$I$2000,Paiements!$C$5:$C$2000,$C778,Paiements!$L$5:$L$2000,"Payé"))))</f>
        <v/>
      </c>
      <c r="J778" s="30" t="str">
        <f t="shared" si="25"/>
        <v/>
      </c>
      <c r="K778" s="14"/>
      <c r="L778" s="17" t="str">
        <f>IF(AND($C778&lt;&gt;"",$C778=Controle_Paiement!$B$4,$J778&lt;&gt;"Payé",$J778&lt;&gt;"Annulé",$J778&lt;&gt;""),1,"")</f>
        <v/>
      </c>
    </row>
    <row r="779" spans="1:12" x14ac:dyDescent="0.35">
      <c r="A779" s="18"/>
      <c r="B779" s="27"/>
      <c r="C779" s="14"/>
      <c r="D779" s="14"/>
      <c r="E779" s="19"/>
      <c r="F779" s="19"/>
      <c r="G779" s="28" t="str">
        <f t="shared" si="24"/>
        <v/>
      </c>
      <c r="H779" s="14"/>
      <c r="I779" s="29" t="str">
        <f>IF(OR($C779="",$G779="",$H779&lt;&gt;"Fait"),"",MIN($G779,MAX(0,SUMIFS($G$5:$G779,$C$5:$C779,$C779,$H$5:$H779,"Fait")-SUMIFS(Paiements!$I$5:$I$2000,Paiements!$C$5:$C$2000,$C779,Paiements!$L$5:$L$2000,"Payé"))))</f>
        <v/>
      </c>
      <c r="J779" s="30" t="str">
        <f t="shared" si="25"/>
        <v/>
      </c>
      <c r="K779" s="14"/>
      <c r="L779" s="17" t="str">
        <f>IF(AND($C779&lt;&gt;"",$C779=Controle_Paiement!$B$4,$J779&lt;&gt;"Payé",$J779&lt;&gt;"Annulé",$J779&lt;&gt;""),1,"")</f>
        <v/>
      </c>
    </row>
    <row r="780" spans="1:12" x14ac:dyDescent="0.35">
      <c r="A780" s="18"/>
      <c r="B780" s="27"/>
      <c r="C780" s="14"/>
      <c r="D780" s="14"/>
      <c r="E780" s="19"/>
      <c r="F780" s="19"/>
      <c r="G780" s="28" t="str">
        <f t="shared" si="24"/>
        <v/>
      </c>
      <c r="H780" s="14"/>
      <c r="I780" s="29" t="str">
        <f>IF(OR($C780="",$G780="",$H780&lt;&gt;"Fait"),"",MIN($G780,MAX(0,SUMIFS($G$5:$G780,$C$5:$C780,$C780,$H$5:$H780,"Fait")-SUMIFS(Paiements!$I$5:$I$2000,Paiements!$C$5:$C$2000,$C780,Paiements!$L$5:$L$2000,"Payé"))))</f>
        <v/>
      </c>
      <c r="J780" s="30" t="str">
        <f t="shared" si="25"/>
        <v/>
      </c>
      <c r="K780" s="14"/>
      <c r="L780" s="17" t="str">
        <f>IF(AND($C780&lt;&gt;"",$C780=Controle_Paiement!$B$4,$J780&lt;&gt;"Payé",$J780&lt;&gt;"Annulé",$J780&lt;&gt;""),1,"")</f>
        <v/>
      </c>
    </row>
    <row r="781" spans="1:12" x14ac:dyDescent="0.35">
      <c r="A781" s="18"/>
      <c r="B781" s="27"/>
      <c r="C781" s="14"/>
      <c r="D781" s="14"/>
      <c r="E781" s="19"/>
      <c r="F781" s="19"/>
      <c r="G781" s="28" t="str">
        <f t="shared" si="24"/>
        <v/>
      </c>
      <c r="H781" s="14"/>
      <c r="I781" s="29" t="str">
        <f>IF(OR($C781="",$G781="",$H781&lt;&gt;"Fait"),"",MIN($G781,MAX(0,SUMIFS($G$5:$G781,$C$5:$C781,$C781,$H$5:$H781,"Fait")-SUMIFS(Paiements!$I$5:$I$2000,Paiements!$C$5:$C$2000,$C781,Paiements!$L$5:$L$2000,"Payé"))))</f>
        <v/>
      </c>
      <c r="J781" s="30" t="str">
        <f t="shared" si="25"/>
        <v/>
      </c>
      <c r="K781" s="14"/>
      <c r="L781" s="17" t="str">
        <f>IF(AND($C781&lt;&gt;"",$C781=Controle_Paiement!$B$4,$J781&lt;&gt;"Payé",$J781&lt;&gt;"Annulé",$J781&lt;&gt;""),1,"")</f>
        <v/>
      </c>
    </row>
    <row r="782" spans="1:12" x14ac:dyDescent="0.35">
      <c r="A782" s="18"/>
      <c r="B782" s="27"/>
      <c r="C782" s="14"/>
      <c r="D782" s="14"/>
      <c r="E782" s="19"/>
      <c r="F782" s="19"/>
      <c r="G782" s="28" t="str">
        <f t="shared" si="24"/>
        <v/>
      </c>
      <c r="H782" s="14"/>
      <c r="I782" s="29" t="str">
        <f>IF(OR($C782="",$G782="",$H782&lt;&gt;"Fait"),"",MIN($G782,MAX(0,SUMIFS($G$5:$G782,$C$5:$C782,$C782,$H$5:$H782,"Fait")-SUMIFS(Paiements!$I$5:$I$2000,Paiements!$C$5:$C$2000,$C782,Paiements!$L$5:$L$2000,"Payé"))))</f>
        <v/>
      </c>
      <c r="J782" s="30" t="str">
        <f t="shared" si="25"/>
        <v/>
      </c>
      <c r="K782" s="14"/>
      <c r="L782" s="17" t="str">
        <f>IF(AND($C782&lt;&gt;"",$C782=Controle_Paiement!$B$4,$J782&lt;&gt;"Payé",$J782&lt;&gt;"Annulé",$J782&lt;&gt;""),1,"")</f>
        <v/>
      </c>
    </row>
    <row r="783" spans="1:12" x14ac:dyDescent="0.35">
      <c r="A783" s="18"/>
      <c r="B783" s="27"/>
      <c r="C783" s="14"/>
      <c r="D783" s="14"/>
      <c r="E783" s="19"/>
      <c r="F783" s="19"/>
      <c r="G783" s="28" t="str">
        <f t="shared" si="24"/>
        <v/>
      </c>
      <c r="H783" s="14"/>
      <c r="I783" s="29" t="str">
        <f>IF(OR($C783="",$G783="",$H783&lt;&gt;"Fait"),"",MIN($G783,MAX(0,SUMIFS($G$5:$G783,$C$5:$C783,$C783,$H$5:$H783,"Fait")-SUMIFS(Paiements!$I$5:$I$2000,Paiements!$C$5:$C$2000,$C783,Paiements!$L$5:$L$2000,"Payé"))))</f>
        <v/>
      </c>
      <c r="J783" s="30" t="str">
        <f t="shared" si="25"/>
        <v/>
      </c>
      <c r="K783" s="14"/>
      <c r="L783" s="17" t="str">
        <f>IF(AND($C783&lt;&gt;"",$C783=Controle_Paiement!$B$4,$J783&lt;&gt;"Payé",$J783&lt;&gt;"Annulé",$J783&lt;&gt;""),1,"")</f>
        <v/>
      </c>
    </row>
    <row r="784" spans="1:12" x14ac:dyDescent="0.35">
      <c r="A784" s="18"/>
      <c r="B784" s="27"/>
      <c r="C784" s="14"/>
      <c r="D784" s="14"/>
      <c r="E784" s="19"/>
      <c r="F784" s="19"/>
      <c r="G784" s="28" t="str">
        <f t="shared" si="24"/>
        <v/>
      </c>
      <c r="H784" s="14"/>
      <c r="I784" s="29" t="str">
        <f>IF(OR($C784="",$G784="",$H784&lt;&gt;"Fait"),"",MIN($G784,MAX(0,SUMIFS($G$5:$G784,$C$5:$C784,$C784,$H$5:$H784,"Fait")-SUMIFS(Paiements!$I$5:$I$2000,Paiements!$C$5:$C$2000,$C784,Paiements!$L$5:$L$2000,"Payé"))))</f>
        <v/>
      </c>
      <c r="J784" s="30" t="str">
        <f t="shared" si="25"/>
        <v/>
      </c>
      <c r="K784" s="14"/>
      <c r="L784" s="17" t="str">
        <f>IF(AND($C784&lt;&gt;"",$C784=Controle_Paiement!$B$4,$J784&lt;&gt;"Payé",$J784&lt;&gt;"Annulé",$J784&lt;&gt;""),1,"")</f>
        <v/>
      </c>
    </row>
    <row r="785" spans="1:12" x14ac:dyDescent="0.35">
      <c r="A785" s="18"/>
      <c r="B785" s="27"/>
      <c r="C785" s="14"/>
      <c r="D785" s="14"/>
      <c r="E785" s="19"/>
      <c r="F785" s="19"/>
      <c r="G785" s="28" t="str">
        <f t="shared" si="24"/>
        <v/>
      </c>
      <c r="H785" s="14"/>
      <c r="I785" s="29" t="str">
        <f>IF(OR($C785="",$G785="",$H785&lt;&gt;"Fait"),"",MIN($G785,MAX(0,SUMIFS($G$5:$G785,$C$5:$C785,$C785,$H$5:$H785,"Fait")-SUMIFS(Paiements!$I$5:$I$2000,Paiements!$C$5:$C$2000,$C785,Paiements!$L$5:$L$2000,"Payé"))))</f>
        <v/>
      </c>
      <c r="J785" s="30" t="str">
        <f t="shared" si="25"/>
        <v/>
      </c>
      <c r="K785" s="14"/>
      <c r="L785" s="17" t="str">
        <f>IF(AND($C785&lt;&gt;"",$C785=Controle_Paiement!$B$4,$J785&lt;&gt;"Payé",$J785&lt;&gt;"Annulé",$J785&lt;&gt;""),1,"")</f>
        <v/>
      </c>
    </row>
    <row r="786" spans="1:12" x14ac:dyDescent="0.35">
      <c r="A786" s="18"/>
      <c r="B786" s="27"/>
      <c r="C786" s="14"/>
      <c r="D786" s="14"/>
      <c r="E786" s="19"/>
      <c r="F786" s="19"/>
      <c r="G786" s="28" t="str">
        <f t="shared" si="24"/>
        <v/>
      </c>
      <c r="H786" s="14"/>
      <c r="I786" s="29" t="str">
        <f>IF(OR($C786="",$G786="",$H786&lt;&gt;"Fait"),"",MIN($G786,MAX(0,SUMIFS($G$5:$G786,$C$5:$C786,$C786,$H$5:$H786,"Fait")-SUMIFS(Paiements!$I$5:$I$2000,Paiements!$C$5:$C$2000,$C786,Paiements!$L$5:$L$2000,"Payé"))))</f>
        <v/>
      </c>
      <c r="J786" s="30" t="str">
        <f t="shared" si="25"/>
        <v/>
      </c>
      <c r="K786" s="14"/>
      <c r="L786" s="17" t="str">
        <f>IF(AND($C786&lt;&gt;"",$C786=Controle_Paiement!$B$4,$J786&lt;&gt;"Payé",$J786&lt;&gt;"Annulé",$J786&lt;&gt;""),1,"")</f>
        <v/>
      </c>
    </row>
    <row r="787" spans="1:12" x14ac:dyDescent="0.35">
      <c r="A787" s="18"/>
      <c r="B787" s="27"/>
      <c r="C787" s="14"/>
      <c r="D787" s="14"/>
      <c r="E787" s="19"/>
      <c r="F787" s="19"/>
      <c r="G787" s="28" t="str">
        <f t="shared" si="24"/>
        <v/>
      </c>
      <c r="H787" s="14"/>
      <c r="I787" s="29" t="str">
        <f>IF(OR($C787="",$G787="",$H787&lt;&gt;"Fait"),"",MIN($G787,MAX(0,SUMIFS($G$5:$G787,$C$5:$C787,$C787,$H$5:$H787,"Fait")-SUMIFS(Paiements!$I$5:$I$2000,Paiements!$C$5:$C$2000,$C787,Paiements!$L$5:$L$2000,"Payé"))))</f>
        <v/>
      </c>
      <c r="J787" s="30" t="str">
        <f t="shared" si="25"/>
        <v/>
      </c>
      <c r="K787" s="14"/>
      <c r="L787" s="17" t="str">
        <f>IF(AND($C787&lt;&gt;"",$C787=Controle_Paiement!$B$4,$J787&lt;&gt;"Payé",$J787&lt;&gt;"Annulé",$J787&lt;&gt;""),1,"")</f>
        <v/>
      </c>
    </row>
    <row r="788" spans="1:12" x14ac:dyDescent="0.35">
      <c r="A788" s="18"/>
      <c r="B788" s="27"/>
      <c r="C788" s="14"/>
      <c r="D788" s="14"/>
      <c r="E788" s="19"/>
      <c r="F788" s="19"/>
      <c r="G788" s="28" t="str">
        <f t="shared" si="24"/>
        <v/>
      </c>
      <c r="H788" s="14"/>
      <c r="I788" s="29" t="str">
        <f>IF(OR($C788="",$G788="",$H788&lt;&gt;"Fait"),"",MIN($G788,MAX(0,SUMIFS($G$5:$G788,$C$5:$C788,$C788,$H$5:$H788,"Fait")-SUMIFS(Paiements!$I$5:$I$2000,Paiements!$C$5:$C$2000,$C788,Paiements!$L$5:$L$2000,"Payé"))))</f>
        <v/>
      </c>
      <c r="J788" s="30" t="str">
        <f t="shared" si="25"/>
        <v/>
      </c>
      <c r="K788" s="14"/>
      <c r="L788" s="17" t="str">
        <f>IF(AND($C788&lt;&gt;"",$C788=Controle_Paiement!$B$4,$J788&lt;&gt;"Payé",$J788&lt;&gt;"Annulé",$J788&lt;&gt;""),1,"")</f>
        <v/>
      </c>
    </row>
    <row r="789" spans="1:12" x14ac:dyDescent="0.35">
      <c r="A789" s="18"/>
      <c r="B789" s="27"/>
      <c r="C789" s="14"/>
      <c r="D789" s="14"/>
      <c r="E789" s="19"/>
      <c r="F789" s="19"/>
      <c r="G789" s="28" t="str">
        <f t="shared" si="24"/>
        <v/>
      </c>
      <c r="H789" s="14"/>
      <c r="I789" s="29" t="str">
        <f>IF(OR($C789="",$G789="",$H789&lt;&gt;"Fait"),"",MIN($G789,MAX(0,SUMIFS($G$5:$G789,$C$5:$C789,$C789,$H$5:$H789,"Fait")-SUMIFS(Paiements!$I$5:$I$2000,Paiements!$C$5:$C$2000,$C789,Paiements!$L$5:$L$2000,"Payé"))))</f>
        <v/>
      </c>
      <c r="J789" s="30" t="str">
        <f t="shared" si="25"/>
        <v/>
      </c>
      <c r="K789" s="14"/>
      <c r="L789" s="17" t="str">
        <f>IF(AND($C789&lt;&gt;"",$C789=Controle_Paiement!$B$4,$J789&lt;&gt;"Payé",$J789&lt;&gt;"Annulé",$J789&lt;&gt;""),1,"")</f>
        <v/>
      </c>
    </row>
    <row r="790" spans="1:12" x14ac:dyDescent="0.35">
      <c r="A790" s="18"/>
      <c r="B790" s="27"/>
      <c r="C790" s="14"/>
      <c r="D790" s="14"/>
      <c r="E790" s="19"/>
      <c r="F790" s="19"/>
      <c r="G790" s="28" t="str">
        <f t="shared" si="24"/>
        <v/>
      </c>
      <c r="H790" s="14"/>
      <c r="I790" s="29" t="str">
        <f>IF(OR($C790="",$G790="",$H790&lt;&gt;"Fait"),"",MIN($G790,MAX(0,SUMIFS($G$5:$G790,$C$5:$C790,$C790,$H$5:$H790,"Fait")-SUMIFS(Paiements!$I$5:$I$2000,Paiements!$C$5:$C$2000,$C790,Paiements!$L$5:$L$2000,"Payé"))))</f>
        <v/>
      </c>
      <c r="J790" s="30" t="str">
        <f t="shared" si="25"/>
        <v/>
      </c>
      <c r="K790" s="14"/>
      <c r="L790" s="17" t="str">
        <f>IF(AND($C790&lt;&gt;"",$C790=Controle_Paiement!$B$4,$J790&lt;&gt;"Payé",$J790&lt;&gt;"Annulé",$J790&lt;&gt;""),1,"")</f>
        <v/>
      </c>
    </row>
    <row r="791" spans="1:12" x14ac:dyDescent="0.35">
      <c r="A791" s="18"/>
      <c r="B791" s="27"/>
      <c r="C791" s="14"/>
      <c r="D791" s="14"/>
      <c r="E791" s="19"/>
      <c r="F791" s="19"/>
      <c r="G791" s="28" t="str">
        <f t="shared" si="24"/>
        <v/>
      </c>
      <c r="H791" s="14"/>
      <c r="I791" s="29" t="str">
        <f>IF(OR($C791="",$G791="",$H791&lt;&gt;"Fait"),"",MIN($G791,MAX(0,SUMIFS($G$5:$G791,$C$5:$C791,$C791,$H$5:$H791,"Fait")-SUMIFS(Paiements!$I$5:$I$2000,Paiements!$C$5:$C$2000,$C791,Paiements!$L$5:$L$2000,"Payé"))))</f>
        <v/>
      </c>
      <c r="J791" s="30" t="str">
        <f t="shared" si="25"/>
        <v/>
      </c>
      <c r="K791" s="14"/>
      <c r="L791" s="17" t="str">
        <f>IF(AND($C791&lt;&gt;"",$C791=Controle_Paiement!$B$4,$J791&lt;&gt;"Payé",$J791&lt;&gt;"Annulé",$J791&lt;&gt;""),1,"")</f>
        <v/>
      </c>
    </row>
    <row r="792" spans="1:12" x14ac:dyDescent="0.35">
      <c r="A792" s="18"/>
      <c r="B792" s="27"/>
      <c r="C792" s="14"/>
      <c r="D792" s="14"/>
      <c r="E792" s="19"/>
      <c r="F792" s="19"/>
      <c r="G792" s="28" t="str">
        <f t="shared" si="24"/>
        <v/>
      </c>
      <c r="H792" s="14"/>
      <c r="I792" s="29" t="str">
        <f>IF(OR($C792="",$G792="",$H792&lt;&gt;"Fait"),"",MIN($G792,MAX(0,SUMIFS($G$5:$G792,$C$5:$C792,$C792,$H$5:$H792,"Fait")-SUMIFS(Paiements!$I$5:$I$2000,Paiements!$C$5:$C$2000,$C792,Paiements!$L$5:$L$2000,"Payé"))))</f>
        <v/>
      </c>
      <c r="J792" s="30" t="str">
        <f t="shared" si="25"/>
        <v/>
      </c>
      <c r="K792" s="14"/>
      <c r="L792" s="17" t="str">
        <f>IF(AND($C792&lt;&gt;"",$C792=Controle_Paiement!$B$4,$J792&lt;&gt;"Payé",$J792&lt;&gt;"Annulé",$J792&lt;&gt;""),1,"")</f>
        <v/>
      </c>
    </row>
    <row r="793" spans="1:12" x14ac:dyDescent="0.35">
      <c r="A793" s="18"/>
      <c r="B793" s="27"/>
      <c r="C793" s="14"/>
      <c r="D793" s="14"/>
      <c r="E793" s="19"/>
      <c r="F793" s="19"/>
      <c r="G793" s="28" t="str">
        <f t="shared" si="24"/>
        <v/>
      </c>
      <c r="H793" s="14"/>
      <c r="I793" s="29" t="str">
        <f>IF(OR($C793="",$G793="",$H793&lt;&gt;"Fait"),"",MIN($G793,MAX(0,SUMIFS($G$5:$G793,$C$5:$C793,$C793,$H$5:$H793,"Fait")-SUMIFS(Paiements!$I$5:$I$2000,Paiements!$C$5:$C$2000,$C793,Paiements!$L$5:$L$2000,"Payé"))))</f>
        <v/>
      </c>
      <c r="J793" s="30" t="str">
        <f t="shared" si="25"/>
        <v/>
      </c>
      <c r="K793" s="14"/>
      <c r="L793" s="17" t="str">
        <f>IF(AND($C793&lt;&gt;"",$C793=Controle_Paiement!$B$4,$J793&lt;&gt;"Payé",$J793&lt;&gt;"Annulé",$J793&lt;&gt;""),1,"")</f>
        <v/>
      </c>
    </row>
    <row r="794" spans="1:12" x14ac:dyDescent="0.35">
      <c r="A794" s="18"/>
      <c r="B794" s="27"/>
      <c r="C794" s="14"/>
      <c r="D794" s="14"/>
      <c r="E794" s="19"/>
      <c r="F794" s="19"/>
      <c r="G794" s="28" t="str">
        <f t="shared" si="24"/>
        <v/>
      </c>
      <c r="H794" s="14"/>
      <c r="I794" s="29" t="str">
        <f>IF(OR($C794="",$G794="",$H794&lt;&gt;"Fait"),"",MIN($G794,MAX(0,SUMIFS($G$5:$G794,$C$5:$C794,$C794,$H$5:$H794,"Fait")-SUMIFS(Paiements!$I$5:$I$2000,Paiements!$C$5:$C$2000,$C794,Paiements!$L$5:$L$2000,"Payé"))))</f>
        <v/>
      </c>
      <c r="J794" s="30" t="str">
        <f t="shared" si="25"/>
        <v/>
      </c>
      <c r="K794" s="14"/>
      <c r="L794" s="17" t="str">
        <f>IF(AND($C794&lt;&gt;"",$C794=Controle_Paiement!$B$4,$J794&lt;&gt;"Payé",$J794&lt;&gt;"Annulé",$J794&lt;&gt;""),1,"")</f>
        <v/>
      </c>
    </row>
    <row r="795" spans="1:12" x14ac:dyDescent="0.35">
      <c r="A795" s="18"/>
      <c r="B795" s="27"/>
      <c r="C795" s="14"/>
      <c r="D795" s="14"/>
      <c r="E795" s="19"/>
      <c r="F795" s="19"/>
      <c r="G795" s="28" t="str">
        <f t="shared" si="24"/>
        <v/>
      </c>
      <c r="H795" s="14"/>
      <c r="I795" s="29" t="str">
        <f>IF(OR($C795="",$G795="",$H795&lt;&gt;"Fait"),"",MIN($G795,MAX(0,SUMIFS($G$5:$G795,$C$5:$C795,$C795,$H$5:$H795,"Fait")-SUMIFS(Paiements!$I$5:$I$2000,Paiements!$C$5:$C$2000,$C795,Paiements!$L$5:$L$2000,"Payé"))))</f>
        <v/>
      </c>
      <c r="J795" s="30" t="str">
        <f t="shared" si="25"/>
        <v/>
      </c>
      <c r="K795" s="14"/>
      <c r="L795" s="17" t="str">
        <f>IF(AND($C795&lt;&gt;"",$C795=Controle_Paiement!$B$4,$J795&lt;&gt;"Payé",$J795&lt;&gt;"Annulé",$J795&lt;&gt;""),1,"")</f>
        <v/>
      </c>
    </row>
    <row r="796" spans="1:12" x14ac:dyDescent="0.35">
      <c r="A796" s="18"/>
      <c r="B796" s="27"/>
      <c r="C796" s="14"/>
      <c r="D796" s="14"/>
      <c r="E796" s="19"/>
      <c r="F796" s="19"/>
      <c r="G796" s="28" t="str">
        <f t="shared" si="24"/>
        <v/>
      </c>
      <c r="H796" s="14"/>
      <c r="I796" s="29" t="str">
        <f>IF(OR($C796="",$G796="",$H796&lt;&gt;"Fait"),"",MIN($G796,MAX(0,SUMIFS($G$5:$G796,$C$5:$C796,$C796,$H$5:$H796,"Fait")-SUMIFS(Paiements!$I$5:$I$2000,Paiements!$C$5:$C$2000,$C796,Paiements!$L$5:$L$2000,"Payé"))))</f>
        <v/>
      </c>
      <c r="J796" s="30" t="str">
        <f t="shared" si="25"/>
        <v/>
      </c>
      <c r="K796" s="14"/>
      <c r="L796" s="17" t="str">
        <f>IF(AND($C796&lt;&gt;"",$C796=Controle_Paiement!$B$4,$J796&lt;&gt;"Payé",$J796&lt;&gt;"Annulé",$J796&lt;&gt;""),1,"")</f>
        <v/>
      </c>
    </row>
    <row r="797" spans="1:12" x14ac:dyDescent="0.35">
      <c r="A797" s="18"/>
      <c r="B797" s="27"/>
      <c r="C797" s="14"/>
      <c r="D797" s="14"/>
      <c r="E797" s="19"/>
      <c r="F797" s="19"/>
      <c r="G797" s="28" t="str">
        <f t="shared" si="24"/>
        <v/>
      </c>
      <c r="H797" s="14"/>
      <c r="I797" s="29" t="str">
        <f>IF(OR($C797="",$G797="",$H797&lt;&gt;"Fait"),"",MIN($G797,MAX(0,SUMIFS($G$5:$G797,$C$5:$C797,$C797,$H$5:$H797,"Fait")-SUMIFS(Paiements!$I$5:$I$2000,Paiements!$C$5:$C$2000,$C797,Paiements!$L$5:$L$2000,"Payé"))))</f>
        <v/>
      </c>
      <c r="J797" s="30" t="str">
        <f t="shared" si="25"/>
        <v/>
      </c>
      <c r="K797" s="14"/>
      <c r="L797" s="17" t="str">
        <f>IF(AND($C797&lt;&gt;"",$C797=Controle_Paiement!$B$4,$J797&lt;&gt;"Payé",$J797&lt;&gt;"Annulé",$J797&lt;&gt;""),1,"")</f>
        <v/>
      </c>
    </row>
    <row r="798" spans="1:12" x14ac:dyDescent="0.35">
      <c r="A798" s="18"/>
      <c r="B798" s="27"/>
      <c r="C798" s="14"/>
      <c r="D798" s="14"/>
      <c r="E798" s="19"/>
      <c r="F798" s="19"/>
      <c r="G798" s="28" t="str">
        <f t="shared" si="24"/>
        <v/>
      </c>
      <c r="H798" s="14"/>
      <c r="I798" s="29" t="str">
        <f>IF(OR($C798="",$G798="",$H798&lt;&gt;"Fait"),"",MIN($G798,MAX(0,SUMIFS($G$5:$G798,$C$5:$C798,$C798,$H$5:$H798,"Fait")-SUMIFS(Paiements!$I$5:$I$2000,Paiements!$C$5:$C$2000,$C798,Paiements!$L$5:$L$2000,"Payé"))))</f>
        <v/>
      </c>
      <c r="J798" s="30" t="str">
        <f t="shared" si="25"/>
        <v/>
      </c>
      <c r="K798" s="14"/>
      <c r="L798" s="17" t="str">
        <f>IF(AND($C798&lt;&gt;"",$C798=Controle_Paiement!$B$4,$J798&lt;&gt;"Payé",$J798&lt;&gt;"Annulé",$J798&lt;&gt;""),1,"")</f>
        <v/>
      </c>
    </row>
    <row r="799" spans="1:12" x14ac:dyDescent="0.35">
      <c r="A799" s="18"/>
      <c r="B799" s="27"/>
      <c r="C799" s="14"/>
      <c r="D799" s="14"/>
      <c r="E799" s="19"/>
      <c r="F799" s="19"/>
      <c r="G799" s="28" t="str">
        <f t="shared" si="24"/>
        <v/>
      </c>
      <c r="H799" s="14"/>
      <c r="I799" s="29" t="str">
        <f>IF(OR($C799="",$G799="",$H799&lt;&gt;"Fait"),"",MIN($G799,MAX(0,SUMIFS($G$5:$G799,$C$5:$C799,$C799,$H$5:$H799,"Fait")-SUMIFS(Paiements!$I$5:$I$2000,Paiements!$C$5:$C$2000,$C799,Paiements!$L$5:$L$2000,"Payé"))))</f>
        <v/>
      </c>
      <c r="J799" s="30" t="str">
        <f t="shared" si="25"/>
        <v/>
      </c>
      <c r="K799" s="14"/>
      <c r="L799" s="17" t="str">
        <f>IF(AND($C799&lt;&gt;"",$C799=Controle_Paiement!$B$4,$J799&lt;&gt;"Payé",$J799&lt;&gt;"Annulé",$J799&lt;&gt;""),1,"")</f>
        <v/>
      </c>
    </row>
    <row r="800" spans="1:12" x14ac:dyDescent="0.35">
      <c r="A800" s="18"/>
      <c r="B800" s="27"/>
      <c r="C800" s="14"/>
      <c r="D800" s="14"/>
      <c r="E800" s="19"/>
      <c r="F800" s="19"/>
      <c r="G800" s="28" t="str">
        <f t="shared" si="24"/>
        <v/>
      </c>
      <c r="H800" s="14"/>
      <c r="I800" s="29" t="str">
        <f>IF(OR($C800="",$G800="",$H800&lt;&gt;"Fait"),"",MIN($G800,MAX(0,SUMIFS($G$5:$G800,$C$5:$C800,$C800,$H$5:$H800,"Fait")-SUMIFS(Paiements!$I$5:$I$2000,Paiements!$C$5:$C$2000,$C800,Paiements!$L$5:$L$2000,"Payé"))))</f>
        <v/>
      </c>
      <c r="J800" s="30" t="str">
        <f t="shared" si="25"/>
        <v/>
      </c>
      <c r="K800" s="14"/>
      <c r="L800" s="17" t="str">
        <f>IF(AND($C800&lt;&gt;"",$C800=Controle_Paiement!$B$4,$J800&lt;&gt;"Payé",$J800&lt;&gt;"Annulé",$J800&lt;&gt;""),1,"")</f>
        <v/>
      </c>
    </row>
    <row r="801" spans="1:12" x14ac:dyDescent="0.35">
      <c r="A801" s="18"/>
      <c r="B801" s="27"/>
      <c r="C801" s="14"/>
      <c r="D801" s="14"/>
      <c r="E801" s="19"/>
      <c r="F801" s="19"/>
      <c r="G801" s="28" t="str">
        <f t="shared" si="24"/>
        <v/>
      </c>
      <c r="H801" s="14"/>
      <c r="I801" s="29" t="str">
        <f>IF(OR($C801="",$G801="",$H801&lt;&gt;"Fait"),"",MIN($G801,MAX(0,SUMIFS($G$5:$G801,$C$5:$C801,$C801,$H$5:$H801,"Fait")-SUMIFS(Paiements!$I$5:$I$2000,Paiements!$C$5:$C$2000,$C801,Paiements!$L$5:$L$2000,"Payé"))))</f>
        <v/>
      </c>
      <c r="J801" s="30" t="str">
        <f t="shared" si="25"/>
        <v/>
      </c>
      <c r="K801" s="14"/>
      <c r="L801" s="17" t="str">
        <f>IF(AND($C801&lt;&gt;"",$C801=Controle_Paiement!$B$4,$J801&lt;&gt;"Payé",$J801&lt;&gt;"Annulé",$J801&lt;&gt;""),1,"")</f>
        <v/>
      </c>
    </row>
    <row r="802" spans="1:12" x14ac:dyDescent="0.35">
      <c r="A802" s="18"/>
      <c r="B802" s="27"/>
      <c r="C802" s="14"/>
      <c r="D802" s="14"/>
      <c r="E802" s="19"/>
      <c r="F802" s="19"/>
      <c r="G802" s="28" t="str">
        <f t="shared" si="24"/>
        <v/>
      </c>
      <c r="H802" s="14"/>
      <c r="I802" s="29" t="str">
        <f>IF(OR($C802="",$G802="",$H802&lt;&gt;"Fait"),"",MIN($G802,MAX(0,SUMIFS($G$5:$G802,$C$5:$C802,$C802,$H$5:$H802,"Fait")-SUMIFS(Paiements!$I$5:$I$2000,Paiements!$C$5:$C$2000,$C802,Paiements!$L$5:$L$2000,"Payé"))))</f>
        <v/>
      </c>
      <c r="J802" s="30" t="str">
        <f t="shared" si="25"/>
        <v/>
      </c>
      <c r="K802" s="14"/>
      <c r="L802" s="17" t="str">
        <f>IF(AND($C802&lt;&gt;"",$C802=Controle_Paiement!$B$4,$J802&lt;&gt;"Payé",$J802&lt;&gt;"Annulé",$J802&lt;&gt;""),1,"")</f>
        <v/>
      </c>
    </row>
    <row r="803" spans="1:12" x14ac:dyDescent="0.35">
      <c r="A803" s="18"/>
      <c r="B803" s="27"/>
      <c r="C803" s="14"/>
      <c r="D803" s="14"/>
      <c r="E803" s="19"/>
      <c r="F803" s="19"/>
      <c r="G803" s="28" t="str">
        <f t="shared" si="24"/>
        <v/>
      </c>
      <c r="H803" s="14"/>
      <c r="I803" s="29" t="str">
        <f>IF(OR($C803="",$G803="",$H803&lt;&gt;"Fait"),"",MIN($G803,MAX(0,SUMIFS($G$5:$G803,$C$5:$C803,$C803,$H$5:$H803,"Fait")-SUMIFS(Paiements!$I$5:$I$2000,Paiements!$C$5:$C$2000,$C803,Paiements!$L$5:$L$2000,"Payé"))))</f>
        <v/>
      </c>
      <c r="J803" s="30" t="str">
        <f t="shared" si="25"/>
        <v/>
      </c>
      <c r="K803" s="14"/>
      <c r="L803" s="17" t="str">
        <f>IF(AND($C803&lt;&gt;"",$C803=Controle_Paiement!$B$4,$J803&lt;&gt;"Payé",$J803&lt;&gt;"Annulé",$J803&lt;&gt;""),1,"")</f>
        <v/>
      </c>
    </row>
    <row r="804" spans="1:12" x14ac:dyDescent="0.35">
      <c r="A804" s="18"/>
      <c r="B804" s="27"/>
      <c r="C804" s="14"/>
      <c r="D804" s="14"/>
      <c r="E804" s="19"/>
      <c r="F804" s="19"/>
      <c r="G804" s="28" t="str">
        <f t="shared" si="24"/>
        <v/>
      </c>
      <c r="H804" s="14"/>
      <c r="I804" s="29" t="str">
        <f>IF(OR($C804="",$G804="",$H804&lt;&gt;"Fait"),"",MIN($G804,MAX(0,SUMIFS($G$5:$G804,$C$5:$C804,$C804,$H$5:$H804,"Fait")-SUMIFS(Paiements!$I$5:$I$2000,Paiements!$C$5:$C$2000,$C804,Paiements!$L$5:$L$2000,"Payé"))))</f>
        <v/>
      </c>
      <c r="J804" s="30" t="str">
        <f t="shared" si="25"/>
        <v/>
      </c>
      <c r="K804" s="14"/>
      <c r="L804" s="17" t="str">
        <f>IF(AND($C804&lt;&gt;"",$C804=Controle_Paiement!$B$4,$J804&lt;&gt;"Payé",$J804&lt;&gt;"Annulé",$J804&lt;&gt;""),1,"")</f>
        <v/>
      </c>
    </row>
    <row r="805" spans="1:12" x14ac:dyDescent="0.35">
      <c r="A805" s="18"/>
      <c r="B805" s="27"/>
      <c r="C805" s="14"/>
      <c r="D805" s="14"/>
      <c r="E805" s="19"/>
      <c r="F805" s="19"/>
      <c r="G805" s="28" t="str">
        <f t="shared" si="24"/>
        <v/>
      </c>
      <c r="H805" s="14"/>
      <c r="I805" s="29" t="str">
        <f>IF(OR($C805="",$G805="",$H805&lt;&gt;"Fait"),"",MIN($G805,MAX(0,SUMIFS($G$5:$G805,$C$5:$C805,$C805,$H$5:$H805,"Fait")-SUMIFS(Paiements!$I$5:$I$2000,Paiements!$C$5:$C$2000,$C805,Paiements!$L$5:$L$2000,"Payé"))))</f>
        <v/>
      </c>
      <c r="J805" s="30" t="str">
        <f t="shared" si="25"/>
        <v/>
      </c>
      <c r="K805" s="14"/>
      <c r="L805" s="17" t="str">
        <f>IF(AND($C805&lt;&gt;"",$C805=Controle_Paiement!$B$4,$J805&lt;&gt;"Payé",$J805&lt;&gt;"Annulé",$J805&lt;&gt;""),1,"")</f>
        <v/>
      </c>
    </row>
    <row r="806" spans="1:12" x14ac:dyDescent="0.35">
      <c r="A806" s="18"/>
      <c r="B806" s="27"/>
      <c r="C806" s="14"/>
      <c r="D806" s="14"/>
      <c r="E806" s="19"/>
      <c r="F806" s="19"/>
      <c r="G806" s="28" t="str">
        <f t="shared" si="24"/>
        <v/>
      </c>
      <c r="H806" s="14"/>
      <c r="I806" s="29" t="str">
        <f>IF(OR($C806="",$G806="",$H806&lt;&gt;"Fait"),"",MIN($G806,MAX(0,SUMIFS($G$5:$G806,$C$5:$C806,$C806,$H$5:$H806,"Fait")-SUMIFS(Paiements!$I$5:$I$2000,Paiements!$C$5:$C$2000,$C806,Paiements!$L$5:$L$2000,"Payé"))))</f>
        <v/>
      </c>
      <c r="J806" s="30" t="str">
        <f t="shared" si="25"/>
        <v/>
      </c>
      <c r="K806" s="14"/>
      <c r="L806" s="17" t="str">
        <f>IF(AND($C806&lt;&gt;"",$C806=Controle_Paiement!$B$4,$J806&lt;&gt;"Payé",$J806&lt;&gt;"Annulé",$J806&lt;&gt;""),1,"")</f>
        <v/>
      </c>
    </row>
    <row r="807" spans="1:12" x14ac:dyDescent="0.35">
      <c r="A807" s="18"/>
      <c r="B807" s="27"/>
      <c r="C807" s="14"/>
      <c r="D807" s="14"/>
      <c r="E807" s="19"/>
      <c r="F807" s="19"/>
      <c r="G807" s="28" t="str">
        <f t="shared" si="24"/>
        <v/>
      </c>
      <c r="H807" s="14"/>
      <c r="I807" s="29" t="str">
        <f>IF(OR($C807="",$G807="",$H807&lt;&gt;"Fait"),"",MIN($G807,MAX(0,SUMIFS($G$5:$G807,$C$5:$C807,$C807,$H$5:$H807,"Fait")-SUMIFS(Paiements!$I$5:$I$2000,Paiements!$C$5:$C$2000,$C807,Paiements!$L$5:$L$2000,"Payé"))))</f>
        <v/>
      </c>
      <c r="J807" s="30" t="str">
        <f t="shared" si="25"/>
        <v/>
      </c>
      <c r="K807" s="14"/>
      <c r="L807" s="17" t="str">
        <f>IF(AND($C807&lt;&gt;"",$C807=Controle_Paiement!$B$4,$J807&lt;&gt;"Payé",$J807&lt;&gt;"Annulé",$J807&lt;&gt;""),1,"")</f>
        <v/>
      </c>
    </row>
    <row r="808" spans="1:12" x14ac:dyDescent="0.35">
      <c r="A808" s="18"/>
      <c r="B808" s="27"/>
      <c r="C808" s="14"/>
      <c r="D808" s="14"/>
      <c r="E808" s="19"/>
      <c r="F808" s="19"/>
      <c r="G808" s="28" t="str">
        <f t="shared" si="24"/>
        <v/>
      </c>
      <c r="H808" s="14"/>
      <c r="I808" s="29" t="str">
        <f>IF(OR($C808="",$G808="",$H808&lt;&gt;"Fait"),"",MIN($G808,MAX(0,SUMIFS($G$5:$G808,$C$5:$C808,$C808,$H$5:$H808,"Fait")-SUMIFS(Paiements!$I$5:$I$2000,Paiements!$C$5:$C$2000,$C808,Paiements!$L$5:$L$2000,"Payé"))))</f>
        <v/>
      </c>
      <c r="J808" s="30" t="str">
        <f t="shared" si="25"/>
        <v/>
      </c>
      <c r="K808" s="14"/>
      <c r="L808" s="17" t="str">
        <f>IF(AND($C808&lt;&gt;"",$C808=Controle_Paiement!$B$4,$J808&lt;&gt;"Payé",$J808&lt;&gt;"Annulé",$J808&lt;&gt;""),1,"")</f>
        <v/>
      </c>
    </row>
    <row r="809" spans="1:12" x14ac:dyDescent="0.35">
      <c r="A809" s="18"/>
      <c r="B809" s="27"/>
      <c r="C809" s="14"/>
      <c r="D809" s="14"/>
      <c r="E809" s="19"/>
      <c r="F809" s="19"/>
      <c r="G809" s="28" t="str">
        <f t="shared" si="24"/>
        <v/>
      </c>
      <c r="H809" s="14"/>
      <c r="I809" s="29" t="str">
        <f>IF(OR($C809="",$G809="",$H809&lt;&gt;"Fait"),"",MIN($G809,MAX(0,SUMIFS($G$5:$G809,$C$5:$C809,$C809,$H$5:$H809,"Fait")-SUMIFS(Paiements!$I$5:$I$2000,Paiements!$C$5:$C$2000,$C809,Paiements!$L$5:$L$2000,"Payé"))))</f>
        <v/>
      </c>
      <c r="J809" s="30" t="str">
        <f t="shared" si="25"/>
        <v/>
      </c>
      <c r="K809" s="14"/>
      <c r="L809" s="17" t="str">
        <f>IF(AND($C809&lt;&gt;"",$C809=Controle_Paiement!$B$4,$J809&lt;&gt;"Payé",$J809&lt;&gt;"Annulé",$J809&lt;&gt;""),1,"")</f>
        <v/>
      </c>
    </row>
    <row r="810" spans="1:12" x14ac:dyDescent="0.35">
      <c r="A810" s="18"/>
      <c r="B810" s="27"/>
      <c r="C810" s="14"/>
      <c r="D810" s="14"/>
      <c r="E810" s="19"/>
      <c r="F810" s="19"/>
      <c r="G810" s="28" t="str">
        <f t="shared" si="24"/>
        <v/>
      </c>
      <c r="H810" s="14"/>
      <c r="I810" s="29" t="str">
        <f>IF(OR($C810="",$G810="",$H810&lt;&gt;"Fait"),"",MIN($G810,MAX(0,SUMIFS($G$5:$G810,$C$5:$C810,$C810,$H$5:$H810,"Fait")-SUMIFS(Paiements!$I$5:$I$2000,Paiements!$C$5:$C$2000,$C810,Paiements!$L$5:$L$2000,"Payé"))))</f>
        <v/>
      </c>
      <c r="J810" s="30" t="str">
        <f t="shared" si="25"/>
        <v/>
      </c>
      <c r="K810" s="14"/>
      <c r="L810" s="17" t="str">
        <f>IF(AND($C810&lt;&gt;"",$C810=Controle_Paiement!$B$4,$J810&lt;&gt;"Payé",$J810&lt;&gt;"Annulé",$J810&lt;&gt;""),1,"")</f>
        <v/>
      </c>
    </row>
    <row r="811" spans="1:12" x14ac:dyDescent="0.35">
      <c r="A811" s="18"/>
      <c r="B811" s="27"/>
      <c r="C811" s="14"/>
      <c r="D811" s="14"/>
      <c r="E811" s="19"/>
      <c r="F811" s="19"/>
      <c r="G811" s="28" t="str">
        <f t="shared" si="24"/>
        <v/>
      </c>
      <c r="H811" s="14"/>
      <c r="I811" s="29" t="str">
        <f>IF(OR($C811="",$G811="",$H811&lt;&gt;"Fait"),"",MIN($G811,MAX(0,SUMIFS($G$5:$G811,$C$5:$C811,$C811,$H$5:$H811,"Fait")-SUMIFS(Paiements!$I$5:$I$2000,Paiements!$C$5:$C$2000,$C811,Paiements!$L$5:$L$2000,"Payé"))))</f>
        <v/>
      </c>
      <c r="J811" s="30" t="str">
        <f t="shared" si="25"/>
        <v/>
      </c>
      <c r="K811" s="14"/>
      <c r="L811" s="17" t="str">
        <f>IF(AND($C811&lt;&gt;"",$C811=Controle_Paiement!$B$4,$J811&lt;&gt;"Payé",$J811&lt;&gt;"Annulé",$J811&lt;&gt;""),1,"")</f>
        <v/>
      </c>
    </row>
    <row r="812" spans="1:12" x14ac:dyDescent="0.35">
      <c r="A812" s="18"/>
      <c r="B812" s="27"/>
      <c r="C812" s="14"/>
      <c r="D812" s="14"/>
      <c r="E812" s="19"/>
      <c r="F812" s="19"/>
      <c r="G812" s="28" t="str">
        <f t="shared" si="24"/>
        <v/>
      </c>
      <c r="H812" s="14"/>
      <c r="I812" s="29" t="str">
        <f>IF(OR($C812="",$G812="",$H812&lt;&gt;"Fait"),"",MIN($G812,MAX(0,SUMIFS($G$5:$G812,$C$5:$C812,$C812,$H$5:$H812,"Fait")-SUMIFS(Paiements!$I$5:$I$2000,Paiements!$C$5:$C$2000,$C812,Paiements!$L$5:$L$2000,"Payé"))))</f>
        <v/>
      </c>
      <c r="J812" s="30" t="str">
        <f t="shared" si="25"/>
        <v/>
      </c>
      <c r="K812" s="14"/>
      <c r="L812" s="17" t="str">
        <f>IF(AND($C812&lt;&gt;"",$C812=Controle_Paiement!$B$4,$J812&lt;&gt;"Payé",$J812&lt;&gt;"Annulé",$J812&lt;&gt;""),1,"")</f>
        <v/>
      </c>
    </row>
    <row r="813" spans="1:12" x14ac:dyDescent="0.35">
      <c r="A813" s="18"/>
      <c r="B813" s="27"/>
      <c r="C813" s="14"/>
      <c r="D813" s="14"/>
      <c r="E813" s="19"/>
      <c r="F813" s="19"/>
      <c r="G813" s="28" t="str">
        <f t="shared" si="24"/>
        <v/>
      </c>
      <c r="H813" s="14"/>
      <c r="I813" s="29" t="str">
        <f>IF(OR($C813="",$G813="",$H813&lt;&gt;"Fait"),"",MIN($G813,MAX(0,SUMIFS($G$5:$G813,$C$5:$C813,$C813,$H$5:$H813,"Fait")-SUMIFS(Paiements!$I$5:$I$2000,Paiements!$C$5:$C$2000,$C813,Paiements!$L$5:$L$2000,"Payé"))))</f>
        <v/>
      </c>
      <c r="J813" s="30" t="str">
        <f t="shared" si="25"/>
        <v/>
      </c>
      <c r="K813" s="14"/>
      <c r="L813" s="17" t="str">
        <f>IF(AND($C813&lt;&gt;"",$C813=Controle_Paiement!$B$4,$J813&lt;&gt;"Payé",$J813&lt;&gt;"Annulé",$J813&lt;&gt;""),1,"")</f>
        <v/>
      </c>
    </row>
    <row r="814" spans="1:12" x14ac:dyDescent="0.35">
      <c r="A814" s="18"/>
      <c r="B814" s="27"/>
      <c r="C814" s="14"/>
      <c r="D814" s="14"/>
      <c r="E814" s="19"/>
      <c r="F814" s="19"/>
      <c r="G814" s="28" t="str">
        <f t="shared" si="24"/>
        <v/>
      </c>
      <c r="H814" s="14"/>
      <c r="I814" s="29" t="str">
        <f>IF(OR($C814="",$G814="",$H814&lt;&gt;"Fait"),"",MIN($G814,MAX(0,SUMIFS($G$5:$G814,$C$5:$C814,$C814,$H$5:$H814,"Fait")-SUMIFS(Paiements!$I$5:$I$2000,Paiements!$C$5:$C$2000,$C814,Paiements!$L$5:$L$2000,"Payé"))))</f>
        <v/>
      </c>
      <c r="J814" s="30" t="str">
        <f t="shared" si="25"/>
        <v/>
      </c>
      <c r="K814" s="14"/>
      <c r="L814" s="17" t="str">
        <f>IF(AND($C814&lt;&gt;"",$C814=Controle_Paiement!$B$4,$J814&lt;&gt;"Payé",$J814&lt;&gt;"Annulé",$J814&lt;&gt;""),1,"")</f>
        <v/>
      </c>
    </row>
    <row r="815" spans="1:12" x14ac:dyDescent="0.35">
      <c r="A815" s="18"/>
      <c r="B815" s="27"/>
      <c r="C815" s="14"/>
      <c r="D815" s="14"/>
      <c r="E815" s="19"/>
      <c r="F815" s="19"/>
      <c r="G815" s="28" t="str">
        <f t="shared" si="24"/>
        <v/>
      </c>
      <c r="H815" s="14"/>
      <c r="I815" s="29" t="str">
        <f>IF(OR($C815="",$G815="",$H815&lt;&gt;"Fait"),"",MIN($G815,MAX(0,SUMIFS($G$5:$G815,$C$5:$C815,$C815,$H$5:$H815,"Fait")-SUMIFS(Paiements!$I$5:$I$2000,Paiements!$C$5:$C$2000,$C815,Paiements!$L$5:$L$2000,"Payé"))))</f>
        <v/>
      </c>
      <c r="J815" s="30" t="str">
        <f t="shared" si="25"/>
        <v/>
      </c>
      <c r="K815" s="14"/>
      <c r="L815" s="17" t="str">
        <f>IF(AND($C815&lt;&gt;"",$C815=Controle_Paiement!$B$4,$J815&lt;&gt;"Payé",$J815&lt;&gt;"Annulé",$J815&lt;&gt;""),1,"")</f>
        <v/>
      </c>
    </row>
    <row r="816" spans="1:12" x14ac:dyDescent="0.35">
      <c r="A816" s="18"/>
      <c r="B816" s="27"/>
      <c r="C816" s="14"/>
      <c r="D816" s="14"/>
      <c r="E816" s="19"/>
      <c r="F816" s="19"/>
      <c r="G816" s="28" t="str">
        <f t="shared" si="24"/>
        <v/>
      </c>
      <c r="H816" s="14"/>
      <c r="I816" s="29" t="str">
        <f>IF(OR($C816="",$G816="",$H816&lt;&gt;"Fait"),"",MIN($G816,MAX(0,SUMIFS($G$5:$G816,$C$5:$C816,$C816,$H$5:$H816,"Fait")-SUMIFS(Paiements!$I$5:$I$2000,Paiements!$C$5:$C$2000,$C816,Paiements!$L$5:$L$2000,"Payé"))))</f>
        <v/>
      </c>
      <c r="J816" s="30" t="str">
        <f t="shared" si="25"/>
        <v/>
      </c>
      <c r="K816" s="14"/>
      <c r="L816" s="17" t="str">
        <f>IF(AND($C816&lt;&gt;"",$C816=Controle_Paiement!$B$4,$J816&lt;&gt;"Payé",$J816&lt;&gt;"Annulé",$J816&lt;&gt;""),1,"")</f>
        <v/>
      </c>
    </row>
    <row r="817" spans="1:12" x14ac:dyDescent="0.35">
      <c r="A817" s="18"/>
      <c r="B817" s="27"/>
      <c r="C817" s="14"/>
      <c r="D817" s="14"/>
      <c r="E817" s="19"/>
      <c r="F817" s="19"/>
      <c r="G817" s="28" t="str">
        <f t="shared" si="24"/>
        <v/>
      </c>
      <c r="H817" s="14"/>
      <c r="I817" s="29" t="str">
        <f>IF(OR($C817="",$G817="",$H817&lt;&gt;"Fait"),"",MIN($G817,MAX(0,SUMIFS($G$5:$G817,$C$5:$C817,$C817,$H$5:$H817,"Fait")-SUMIFS(Paiements!$I$5:$I$2000,Paiements!$C$5:$C$2000,$C817,Paiements!$L$5:$L$2000,"Payé"))))</f>
        <v/>
      </c>
      <c r="J817" s="30" t="str">
        <f t="shared" si="25"/>
        <v/>
      </c>
      <c r="K817" s="14"/>
      <c r="L817" s="17" t="str">
        <f>IF(AND($C817&lt;&gt;"",$C817=Controle_Paiement!$B$4,$J817&lt;&gt;"Payé",$J817&lt;&gt;"Annulé",$J817&lt;&gt;""),1,"")</f>
        <v/>
      </c>
    </row>
    <row r="818" spans="1:12" x14ac:dyDescent="0.35">
      <c r="A818" s="18"/>
      <c r="B818" s="27"/>
      <c r="C818" s="14"/>
      <c r="D818" s="14"/>
      <c r="E818" s="19"/>
      <c r="F818" s="19"/>
      <c r="G818" s="28" t="str">
        <f t="shared" si="24"/>
        <v/>
      </c>
      <c r="H818" s="14"/>
      <c r="I818" s="29" t="str">
        <f>IF(OR($C818="",$G818="",$H818&lt;&gt;"Fait"),"",MIN($G818,MAX(0,SUMIFS($G$5:$G818,$C$5:$C818,$C818,$H$5:$H818,"Fait")-SUMIFS(Paiements!$I$5:$I$2000,Paiements!$C$5:$C$2000,$C818,Paiements!$L$5:$L$2000,"Payé"))))</f>
        <v/>
      </c>
      <c r="J818" s="30" t="str">
        <f t="shared" si="25"/>
        <v/>
      </c>
      <c r="K818" s="14"/>
      <c r="L818" s="17" t="str">
        <f>IF(AND($C818&lt;&gt;"",$C818=Controle_Paiement!$B$4,$J818&lt;&gt;"Payé",$J818&lt;&gt;"Annulé",$J818&lt;&gt;""),1,"")</f>
        <v/>
      </c>
    </row>
    <row r="819" spans="1:12" x14ac:dyDescent="0.35">
      <c r="A819" s="18"/>
      <c r="B819" s="27"/>
      <c r="C819" s="14"/>
      <c r="D819" s="14"/>
      <c r="E819" s="19"/>
      <c r="F819" s="19"/>
      <c r="G819" s="28" t="str">
        <f t="shared" si="24"/>
        <v/>
      </c>
      <c r="H819" s="14"/>
      <c r="I819" s="29" t="str">
        <f>IF(OR($C819="",$G819="",$H819&lt;&gt;"Fait"),"",MIN($G819,MAX(0,SUMIFS($G$5:$G819,$C$5:$C819,$C819,$H$5:$H819,"Fait")-SUMIFS(Paiements!$I$5:$I$2000,Paiements!$C$5:$C$2000,$C819,Paiements!$L$5:$L$2000,"Payé"))))</f>
        <v/>
      </c>
      <c r="J819" s="30" t="str">
        <f t="shared" si="25"/>
        <v/>
      </c>
      <c r="K819" s="14"/>
      <c r="L819" s="17" t="str">
        <f>IF(AND($C819&lt;&gt;"",$C819=Controle_Paiement!$B$4,$J819&lt;&gt;"Payé",$J819&lt;&gt;"Annulé",$J819&lt;&gt;""),1,"")</f>
        <v/>
      </c>
    </row>
    <row r="820" spans="1:12" x14ac:dyDescent="0.35">
      <c r="A820" s="18"/>
      <c r="B820" s="27"/>
      <c r="C820" s="14"/>
      <c r="D820" s="14"/>
      <c r="E820" s="19"/>
      <c r="F820" s="19"/>
      <c r="G820" s="28" t="str">
        <f t="shared" si="24"/>
        <v/>
      </c>
      <c r="H820" s="14"/>
      <c r="I820" s="29" t="str">
        <f>IF(OR($C820="",$G820="",$H820&lt;&gt;"Fait"),"",MIN($G820,MAX(0,SUMIFS($G$5:$G820,$C$5:$C820,$C820,$H$5:$H820,"Fait")-SUMIFS(Paiements!$I$5:$I$2000,Paiements!$C$5:$C$2000,$C820,Paiements!$L$5:$L$2000,"Payé"))))</f>
        <v/>
      </c>
      <c r="J820" s="30" t="str">
        <f t="shared" si="25"/>
        <v/>
      </c>
      <c r="K820" s="14"/>
      <c r="L820" s="17" t="str">
        <f>IF(AND($C820&lt;&gt;"",$C820=Controle_Paiement!$B$4,$J820&lt;&gt;"Payé",$J820&lt;&gt;"Annulé",$J820&lt;&gt;""),1,"")</f>
        <v/>
      </c>
    </row>
    <row r="821" spans="1:12" x14ac:dyDescent="0.35">
      <c r="A821" s="18"/>
      <c r="B821" s="27"/>
      <c r="C821" s="14"/>
      <c r="D821" s="14"/>
      <c r="E821" s="19"/>
      <c r="F821" s="19"/>
      <c r="G821" s="28" t="str">
        <f t="shared" si="24"/>
        <v/>
      </c>
      <c r="H821" s="14"/>
      <c r="I821" s="29" t="str">
        <f>IF(OR($C821="",$G821="",$H821&lt;&gt;"Fait"),"",MIN($G821,MAX(0,SUMIFS($G$5:$G821,$C$5:$C821,$C821,$H$5:$H821,"Fait")-SUMIFS(Paiements!$I$5:$I$2000,Paiements!$C$5:$C$2000,$C821,Paiements!$L$5:$L$2000,"Payé"))))</f>
        <v/>
      </c>
      <c r="J821" s="30" t="str">
        <f t="shared" si="25"/>
        <v/>
      </c>
      <c r="K821" s="14"/>
      <c r="L821" s="17" t="str">
        <f>IF(AND($C821&lt;&gt;"",$C821=Controle_Paiement!$B$4,$J821&lt;&gt;"Payé",$J821&lt;&gt;"Annulé",$J821&lt;&gt;""),1,"")</f>
        <v/>
      </c>
    </row>
    <row r="822" spans="1:12" x14ac:dyDescent="0.35">
      <c r="A822" s="18"/>
      <c r="B822" s="27"/>
      <c r="C822" s="14"/>
      <c r="D822" s="14"/>
      <c r="E822" s="19"/>
      <c r="F822" s="19"/>
      <c r="G822" s="28" t="str">
        <f t="shared" si="24"/>
        <v/>
      </c>
      <c r="H822" s="14"/>
      <c r="I822" s="29" t="str">
        <f>IF(OR($C822="",$G822="",$H822&lt;&gt;"Fait"),"",MIN($G822,MAX(0,SUMIFS($G$5:$G822,$C$5:$C822,$C822,$H$5:$H822,"Fait")-SUMIFS(Paiements!$I$5:$I$2000,Paiements!$C$5:$C$2000,$C822,Paiements!$L$5:$L$2000,"Payé"))))</f>
        <v/>
      </c>
      <c r="J822" s="30" t="str">
        <f t="shared" si="25"/>
        <v/>
      </c>
      <c r="K822" s="14"/>
      <c r="L822" s="17" t="str">
        <f>IF(AND($C822&lt;&gt;"",$C822=Controle_Paiement!$B$4,$J822&lt;&gt;"Payé",$J822&lt;&gt;"Annulé",$J822&lt;&gt;""),1,"")</f>
        <v/>
      </c>
    </row>
    <row r="823" spans="1:12" x14ac:dyDescent="0.35">
      <c r="A823" s="18"/>
      <c r="B823" s="27"/>
      <c r="C823" s="14"/>
      <c r="D823" s="14"/>
      <c r="E823" s="19"/>
      <c r="F823" s="19"/>
      <c r="G823" s="28" t="str">
        <f t="shared" si="24"/>
        <v/>
      </c>
      <c r="H823" s="14"/>
      <c r="I823" s="29" t="str">
        <f>IF(OR($C823="",$G823="",$H823&lt;&gt;"Fait"),"",MIN($G823,MAX(0,SUMIFS($G$5:$G823,$C$5:$C823,$C823,$H$5:$H823,"Fait")-SUMIFS(Paiements!$I$5:$I$2000,Paiements!$C$5:$C$2000,$C823,Paiements!$L$5:$L$2000,"Payé"))))</f>
        <v/>
      </c>
      <c r="J823" s="30" t="str">
        <f t="shared" si="25"/>
        <v/>
      </c>
      <c r="K823" s="14"/>
      <c r="L823" s="17" t="str">
        <f>IF(AND($C823&lt;&gt;"",$C823=Controle_Paiement!$B$4,$J823&lt;&gt;"Payé",$J823&lt;&gt;"Annulé",$J823&lt;&gt;""),1,"")</f>
        <v/>
      </c>
    </row>
    <row r="824" spans="1:12" x14ac:dyDescent="0.35">
      <c r="A824" s="18"/>
      <c r="B824" s="27"/>
      <c r="C824" s="14"/>
      <c r="D824" s="14"/>
      <c r="E824" s="19"/>
      <c r="F824" s="19"/>
      <c r="G824" s="28" t="str">
        <f t="shared" si="24"/>
        <v/>
      </c>
      <c r="H824" s="14"/>
      <c r="I824" s="29" t="str">
        <f>IF(OR($C824="",$G824="",$H824&lt;&gt;"Fait"),"",MIN($G824,MAX(0,SUMIFS($G$5:$G824,$C$5:$C824,$C824,$H$5:$H824,"Fait")-SUMIFS(Paiements!$I$5:$I$2000,Paiements!$C$5:$C$2000,$C824,Paiements!$L$5:$L$2000,"Payé"))))</f>
        <v/>
      </c>
      <c r="J824" s="30" t="str">
        <f t="shared" si="25"/>
        <v/>
      </c>
      <c r="K824" s="14"/>
      <c r="L824" s="17" t="str">
        <f>IF(AND($C824&lt;&gt;"",$C824=Controle_Paiement!$B$4,$J824&lt;&gt;"Payé",$J824&lt;&gt;"Annulé",$J824&lt;&gt;""),1,"")</f>
        <v/>
      </c>
    </row>
    <row r="825" spans="1:12" x14ac:dyDescent="0.35">
      <c r="A825" s="18"/>
      <c r="B825" s="27"/>
      <c r="C825" s="14"/>
      <c r="D825" s="14"/>
      <c r="E825" s="19"/>
      <c r="F825" s="19"/>
      <c r="G825" s="28" t="str">
        <f t="shared" si="24"/>
        <v/>
      </c>
      <c r="H825" s="14"/>
      <c r="I825" s="29" t="str">
        <f>IF(OR($C825="",$G825="",$H825&lt;&gt;"Fait"),"",MIN($G825,MAX(0,SUMIFS($G$5:$G825,$C$5:$C825,$C825,$H$5:$H825,"Fait")-SUMIFS(Paiements!$I$5:$I$2000,Paiements!$C$5:$C$2000,$C825,Paiements!$L$5:$L$2000,"Payé"))))</f>
        <v/>
      </c>
      <c r="J825" s="30" t="str">
        <f t="shared" si="25"/>
        <v/>
      </c>
      <c r="K825" s="14"/>
      <c r="L825" s="17" t="str">
        <f>IF(AND($C825&lt;&gt;"",$C825=Controle_Paiement!$B$4,$J825&lt;&gt;"Payé",$J825&lt;&gt;"Annulé",$J825&lt;&gt;""),1,"")</f>
        <v/>
      </c>
    </row>
    <row r="826" spans="1:12" x14ac:dyDescent="0.35">
      <c r="A826" s="18"/>
      <c r="B826" s="27"/>
      <c r="C826" s="14"/>
      <c r="D826" s="14"/>
      <c r="E826" s="19"/>
      <c r="F826" s="19"/>
      <c r="G826" s="28" t="str">
        <f t="shared" si="24"/>
        <v/>
      </c>
      <c r="H826" s="14"/>
      <c r="I826" s="29" t="str">
        <f>IF(OR($C826="",$G826="",$H826&lt;&gt;"Fait"),"",MIN($G826,MAX(0,SUMIFS($G$5:$G826,$C$5:$C826,$C826,$H$5:$H826,"Fait")-SUMIFS(Paiements!$I$5:$I$2000,Paiements!$C$5:$C$2000,$C826,Paiements!$L$5:$L$2000,"Payé"))))</f>
        <v/>
      </c>
      <c r="J826" s="30" t="str">
        <f t="shared" si="25"/>
        <v/>
      </c>
      <c r="K826" s="14"/>
      <c r="L826" s="17" t="str">
        <f>IF(AND($C826&lt;&gt;"",$C826=Controle_Paiement!$B$4,$J826&lt;&gt;"Payé",$J826&lt;&gt;"Annulé",$J826&lt;&gt;""),1,"")</f>
        <v/>
      </c>
    </row>
    <row r="827" spans="1:12" x14ac:dyDescent="0.35">
      <c r="A827" s="18"/>
      <c r="B827" s="27"/>
      <c r="C827" s="14"/>
      <c r="D827" s="14"/>
      <c r="E827" s="19"/>
      <c r="F827" s="19"/>
      <c r="G827" s="28" t="str">
        <f t="shared" si="24"/>
        <v/>
      </c>
      <c r="H827" s="14"/>
      <c r="I827" s="29" t="str">
        <f>IF(OR($C827="",$G827="",$H827&lt;&gt;"Fait"),"",MIN($G827,MAX(0,SUMIFS($G$5:$G827,$C$5:$C827,$C827,$H$5:$H827,"Fait")-SUMIFS(Paiements!$I$5:$I$2000,Paiements!$C$5:$C$2000,$C827,Paiements!$L$5:$L$2000,"Payé"))))</f>
        <v/>
      </c>
      <c r="J827" s="30" t="str">
        <f t="shared" si="25"/>
        <v/>
      </c>
      <c r="K827" s="14"/>
      <c r="L827" s="17" t="str">
        <f>IF(AND($C827&lt;&gt;"",$C827=Controle_Paiement!$B$4,$J827&lt;&gt;"Payé",$J827&lt;&gt;"Annulé",$J827&lt;&gt;""),1,"")</f>
        <v/>
      </c>
    </row>
    <row r="828" spans="1:12" x14ac:dyDescent="0.35">
      <c r="A828" s="18"/>
      <c r="B828" s="27"/>
      <c r="C828" s="14"/>
      <c r="D828" s="14"/>
      <c r="E828" s="19"/>
      <c r="F828" s="19"/>
      <c r="G828" s="28" t="str">
        <f t="shared" si="24"/>
        <v/>
      </c>
      <c r="H828" s="14"/>
      <c r="I828" s="29" t="str">
        <f>IF(OR($C828="",$G828="",$H828&lt;&gt;"Fait"),"",MIN($G828,MAX(0,SUMIFS($G$5:$G828,$C$5:$C828,$C828,$H$5:$H828,"Fait")-SUMIFS(Paiements!$I$5:$I$2000,Paiements!$C$5:$C$2000,$C828,Paiements!$L$5:$L$2000,"Payé"))))</f>
        <v/>
      </c>
      <c r="J828" s="30" t="str">
        <f t="shared" si="25"/>
        <v/>
      </c>
      <c r="K828" s="14"/>
      <c r="L828" s="17" t="str">
        <f>IF(AND($C828&lt;&gt;"",$C828=Controle_Paiement!$B$4,$J828&lt;&gt;"Payé",$J828&lt;&gt;"Annulé",$J828&lt;&gt;""),1,"")</f>
        <v/>
      </c>
    </row>
    <row r="829" spans="1:12" x14ac:dyDescent="0.35">
      <c r="A829" s="18"/>
      <c r="B829" s="27"/>
      <c r="C829" s="14"/>
      <c r="D829" s="14"/>
      <c r="E829" s="19"/>
      <c r="F829" s="19"/>
      <c r="G829" s="28" t="str">
        <f t="shared" si="24"/>
        <v/>
      </c>
      <c r="H829" s="14"/>
      <c r="I829" s="29" t="str">
        <f>IF(OR($C829="",$G829="",$H829&lt;&gt;"Fait"),"",MIN($G829,MAX(0,SUMIFS($G$5:$G829,$C$5:$C829,$C829,$H$5:$H829,"Fait")-SUMIFS(Paiements!$I$5:$I$2000,Paiements!$C$5:$C$2000,$C829,Paiements!$L$5:$L$2000,"Payé"))))</f>
        <v/>
      </c>
      <c r="J829" s="30" t="str">
        <f t="shared" si="25"/>
        <v/>
      </c>
      <c r="K829" s="14"/>
      <c r="L829" s="17" t="str">
        <f>IF(AND($C829&lt;&gt;"",$C829=Controle_Paiement!$B$4,$J829&lt;&gt;"Payé",$J829&lt;&gt;"Annulé",$J829&lt;&gt;""),1,"")</f>
        <v/>
      </c>
    </row>
    <row r="830" spans="1:12" x14ac:dyDescent="0.35">
      <c r="A830" s="18"/>
      <c r="B830" s="27"/>
      <c r="C830" s="14"/>
      <c r="D830" s="14"/>
      <c r="E830" s="19"/>
      <c r="F830" s="19"/>
      <c r="G830" s="28" t="str">
        <f t="shared" si="24"/>
        <v/>
      </c>
      <c r="H830" s="14"/>
      <c r="I830" s="29" t="str">
        <f>IF(OR($C830="",$G830="",$H830&lt;&gt;"Fait"),"",MIN($G830,MAX(0,SUMIFS($G$5:$G830,$C$5:$C830,$C830,$H$5:$H830,"Fait")-SUMIFS(Paiements!$I$5:$I$2000,Paiements!$C$5:$C$2000,$C830,Paiements!$L$5:$L$2000,"Payé"))))</f>
        <v/>
      </c>
      <c r="J830" s="30" t="str">
        <f t="shared" si="25"/>
        <v/>
      </c>
      <c r="K830" s="14"/>
      <c r="L830" s="17" t="str">
        <f>IF(AND($C830&lt;&gt;"",$C830=Controle_Paiement!$B$4,$J830&lt;&gt;"Payé",$J830&lt;&gt;"Annulé",$J830&lt;&gt;""),1,"")</f>
        <v/>
      </c>
    </row>
    <row r="831" spans="1:12" x14ac:dyDescent="0.35">
      <c r="A831" s="18"/>
      <c r="B831" s="27"/>
      <c r="C831" s="14"/>
      <c r="D831" s="14"/>
      <c r="E831" s="19"/>
      <c r="F831" s="19"/>
      <c r="G831" s="28" t="str">
        <f t="shared" si="24"/>
        <v/>
      </c>
      <c r="H831" s="14"/>
      <c r="I831" s="29" t="str">
        <f>IF(OR($C831="",$G831="",$H831&lt;&gt;"Fait"),"",MIN($G831,MAX(0,SUMIFS($G$5:$G831,$C$5:$C831,$C831,$H$5:$H831,"Fait")-SUMIFS(Paiements!$I$5:$I$2000,Paiements!$C$5:$C$2000,$C831,Paiements!$L$5:$L$2000,"Payé"))))</f>
        <v/>
      </c>
      <c r="J831" s="30" t="str">
        <f t="shared" si="25"/>
        <v/>
      </c>
      <c r="K831" s="14"/>
      <c r="L831" s="17" t="str">
        <f>IF(AND($C831&lt;&gt;"",$C831=Controle_Paiement!$B$4,$J831&lt;&gt;"Payé",$J831&lt;&gt;"Annulé",$J831&lt;&gt;""),1,"")</f>
        <v/>
      </c>
    </row>
    <row r="832" spans="1:12" x14ac:dyDescent="0.35">
      <c r="A832" s="18"/>
      <c r="B832" s="27"/>
      <c r="C832" s="14"/>
      <c r="D832" s="14"/>
      <c r="E832" s="19"/>
      <c r="F832" s="19"/>
      <c r="G832" s="28" t="str">
        <f t="shared" si="24"/>
        <v/>
      </c>
      <c r="H832" s="14"/>
      <c r="I832" s="29" t="str">
        <f>IF(OR($C832="",$G832="",$H832&lt;&gt;"Fait"),"",MIN($G832,MAX(0,SUMIFS($G$5:$G832,$C$5:$C832,$C832,$H$5:$H832,"Fait")-SUMIFS(Paiements!$I$5:$I$2000,Paiements!$C$5:$C$2000,$C832,Paiements!$L$5:$L$2000,"Payé"))))</f>
        <v/>
      </c>
      <c r="J832" s="30" t="str">
        <f t="shared" si="25"/>
        <v/>
      </c>
      <c r="K832" s="14"/>
      <c r="L832" s="17" t="str">
        <f>IF(AND($C832&lt;&gt;"",$C832=Controle_Paiement!$B$4,$J832&lt;&gt;"Payé",$J832&lt;&gt;"Annulé",$J832&lt;&gt;""),1,"")</f>
        <v/>
      </c>
    </row>
    <row r="833" spans="1:12" x14ac:dyDescent="0.35">
      <c r="A833" s="18"/>
      <c r="B833" s="27"/>
      <c r="C833" s="14"/>
      <c r="D833" s="14"/>
      <c r="E833" s="19"/>
      <c r="F833" s="19"/>
      <c r="G833" s="28" t="str">
        <f t="shared" si="24"/>
        <v/>
      </c>
      <c r="H833" s="14"/>
      <c r="I833" s="29" t="str">
        <f>IF(OR($C833="",$G833="",$H833&lt;&gt;"Fait"),"",MIN($G833,MAX(0,SUMIFS($G$5:$G833,$C$5:$C833,$C833,$H$5:$H833,"Fait")-SUMIFS(Paiements!$I$5:$I$2000,Paiements!$C$5:$C$2000,$C833,Paiements!$L$5:$L$2000,"Payé"))))</f>
        <v/>
      </c>
      <c r="J833" s="30" t="str">
        <f t="shared" si="25"/>
        <v/>
      </c>
      <c r="K833" s="14"/>
      <c r="L833" s="17" t="str">
        <f>IF(AND($C833&lt;&gt;"",$C833=Controle_Paiement!$B$4,$J833&lt;&gt;"Payé",$J833&lt;&gt;"Annulé",$J833&lt;&gt;""),1,"")</f>
        <v/>
      </c>
    </row>
    <row r="834" spans="1:12" x14ac:dyDescent="0.35">
      <c r="A834" s="18"/>
      <c r="B834" s="27"/>
      <c r="C834" s="14"/>
      <c r="D834" s="14"/>
      <c r="E834" s="19"/>
      <c r="F834" s="19"/>
      <c r="G834" s="28" t="str">
        <f t="shared" si="24"/>
        <v/>
      </c>
      <c r="H834" s="14"/>
      <c r="I834" s="29" t="str">
        <f>IF(OR($C834="",$G834="",$H834&lt;&gt;"Fait"),"",MIN($G834,MAX(0,SUMIFS($G$5:$G834,$C$5:$C834,$C834,$H$5:$H834,"Fait")-SUMIFS(Paiements!$I$5:$I$2000,Paiements!$C$5:$C$2000,$C834,Paiements!$L$5:$L$2000,"Payé"))))</f>
        <v/>
      </c>
      <c r="J834" s="30" t="str">
        <f t="shared" si="25"/>
        <v/>
      </c>
      <c r="K834" s="14"/>
      <c r="L834" s="17" t="str">
        <f>IF(AND($C834&lt;&gt;"",$C834=Controle_Paiement!$B$4,$J834&lt;&gt;"Payé",$J834&lt;&gt;"Annulé",$J834&lt;&gt;""),1,"")</f>
        <v/>
      </c>
    </row>
    <row r="835" spans="1:12" x14ac:dyDescent="0.35">
      <c r="A835" s="18"/>
      <c r="B835" s="27"/>
      <c r="C835" s="14"/>
      <c r="D835" s="14"/>
      <c r="E835" s="19"/>
      <c r="F835" s="19"/>
      <c r="G835" s="28" t="str">
        <f t="shared" ref="G835:G898" si="26">IF(OR($E835="",$F835=""),"",ROUND($E835*$F835,0))</f>
        <v/>
      </c>
      <c r="H835" s="14"/>
      <c r="I835" s="29" t="str">
        <f>IF(OR($C835="",$G835="",$H835&lt;&gt;"Fait"),"",MIN($G835,MAX(0,SUMIFS($G$5:$G835,$C$5:$C835,$C835,$H$5:$H835,"Fait")-SUMIFS(Paiements!$I$5:$I$2000,Paiements!$C$5:$C$2000,$C835,Paiements!$L$5:$L$2000,"Payé"))))</f>
        <v/>
      </c>
      <c r="J835" s="30" t="str">
        <f t="shared" ref="J835:J898" si="27">IF(OR($C835="",$G835=""),"",IF($H835="Annulé","Annulé",IF($H835&lt;&gt;"Fait","Non payable (déchargement non fait)",IF($I835=0,"Payé",IF($I835&lt;$G835,"Partiellement payé","À payer")))))</f>
        <v/>
      </c>
      <c r="K835" s="14"/>
      <c r="L835" s="17" t="str">
        <f>IF(AND($C835&lt;&gt;"",$C835=Controle_Paiement!$B$4,$J835&lt;&gt;"Payé",$J835&lt;&gt;"Annulé",$J835&lt;&gt;""),1,"")</f>
        <v/>
      </c>
    </row>
    <row r="836" spans="1:12" x14ac:dyDescent="0.35">
      <c r="A836" s="18"/>
      <c r="B836" s="27"/>
      <c r="C836" s="14"/>
      <c r="D836" s="14"/>
      <c r="E836" s="19"/>
      <c r="F836" s="19"/>
      <c r="G836" s="28" t="str">
        <f t="shared" si="26"/>
        <v/>
      </c>
      <c r="H836" s="14"/>
      <c r="I836" s="29" t="str">
        <f>IF(OR($C836="",$G836="",$H836&lt;&gt;"Fait"),"",MIN($G836,MAX(0,SUMIFS($G$5:$G836,$C$5:$C836,$C836,$H$5:$H836,"Fait")-SUMIFS(Paiements!$I$5:$I$2000,Paiements!$C$5:$C$2000,$C836,Paiements!$L$5:$L$2000,"Payé"))))</f>
        <v/>
      </c>
      <c r="J836" s="30" t="str">
        <f t="shared" si="27"/>
        <v/>
      </c>
      <c r="K836" s="14"/>
      <c r="L836" s="17" t="str">
        <f>IF(AND($C836&lt;&gt;"",$C836=Controle_Paiement!$B$4,$J836&lt;&gt;"Payé",$J836&lt;&gt;"Annulé",$J836&lt;&gt;""),1,"")</f>
        <v/>
      </c>
    </row>
    <row r="837" spans="1:12" x14ac:dyDescent="0.35">
      <c r="A837" s="18"/>
      <c r="B837" s="27"/>
      <c r="C837" s="14"/>
      <c r="D837" s="14"/>
      <c r="E837" s="19"/>
      <c r="F837" s="19"/>
      <c r="G837" s="28" t="str">
        <f t="shared" si="26"/>
        <v/>
      </c>
      <c r="H837" s="14"/>
      <c r="I837" s="29" t="str">
        <f>IF(OR($C837="",$G837="",$H837&lt;&gt;"Fait"),"",MIN($G837,MAX(0,SUMIFS($G$5:$G837,$C$5:$C837,$C837,$H$5:$H837,"Fait")-SUMIFS(Paiements!$I$5:$I$2000,Paiements!$C$5:$C$2000,$C837,Paiements!$L$5:$L$2000,"Payé"))))</f>
        <v/>
      </c>
      <c r="J837" s="30" t="str">
        <f t="shared" si="27"/>
        <v/>
      </c>
      <c r="K837" s="14"/>
      <c r="L837" s="17" t="str">
        <f>IF(AND($C837&lt;&gt;"",$C837=Controle_Paiement!$B$4,$J837&lt;&gt;"Payé",$J837&lt;&gt;"Annulé",$J837&lt;&gt;""),1,"")</f>
        <v/>
      </c>
    </row>
    <row r="838" spans="1:12" x14ac:dyDescent="0.35">
      <c r="A838" s="18"/>
      <c r="B838" s="27"/>
      <c r="C838" s="14"/>
      <c r="D838" s="14"/>
      <c r="E838" s="19"/>
      <c r="F838" s="19"/>
      <c r="G838" s="28" t="str">
        <f t="shared" si="26"/>
        <v/>
      </c>
      <c r="H838" s="14"/>
      <c r="I838" s="29" t="str">
        <f>IF(OR($C838="",$G838="",$H838&lt;&gt;"Fait"),"",MIN($G838,MAX(0,SUMIFS($G$5:$G838,$C$5:$C838,$C838,$H$5:$H838,"Fait")-SUMIFS(Paiements!$I$5:$I$2000,Paiements!$C$5:$C$2000,$C838,Paiements!$L$5:$L$2000,"Payé"))))</f>
        <v/>
      </c>
      <c r="J838" s="30" t="str">
        <f t="shared" si="27"/>
        <v/>
      </c>
      <c r="K838" s="14"/>
      <c r="L838" s="17" t="str">
        <f>IF(AND($C838&lt;&gt;"",$C838=Controle_Paiement!$B$4,$J838&lt;&gt;"Payé",$J838&lt;&gt;"Annulé",$J838&lt;&gt;""),1,"")</f>
        <v/>
      </c>
    </row>
    <row r="839" spans="1:12" x14ac:dyDescent="0.35">
      <c r="A839" s="18"/>
      <c r="B839" s="27"/>
      <c r="C839" s="14"/>
      <c r="D839" s="14"/>
      <c r="E839" s="19"/>
      <c r="F839" s="19"/>
      <c r="G839" s="28" t="str">
        <f t="shared" si="26"/>
        <v/>
      </c>
      <c r="H839" s="14"/>
      <c r="I839" s="29" t="str">
        <f>IF(OR($C839="",$G839="",$H839&lt;&gt;"Fait"),"",MIN($G839,MAX(0,SUMIFS($G$5:$G839,$C$5:$C839,$C839,$H$5:$H839,"Fait")-SUMIFS(Paiements!$I$5:$I$2000,Paiements!$C$5:$C$2000,$C839,Paiements!$L$5:$L$2000,"Payé"))))</f>
        <v/>
      </c>
      <c r="J839" s="30" t="str">
        <f t="shared" si="27"/>
        <v/>
      </c>
      <c r="K839" s="14"/>
      <c r="L839" s="17" t="str">
        <f>IF(AND($C839&lt;&gt;"",$C839=Controle_Paiement!$B$4,$J839&lt;&gt;"Payé",$J839&lt;&gt;"Annulé",$J839&lt;&gt;""),1,"")</f>
        <v/>
      </c>
    </row>
    <row r="840" spans="1:12" x14ac:dyDescent="0.35">
      <c r="A840" s="18"/>
      <c r="B840" s="27"/>
      <c r="C840" s="14"/>
      <c r="D840" s="14"/>
      <c r="E840" s="19"/>
      <c r="F840" s="19"/>
      <c r="G840" s="28" t="str">
        <f t="shared" si="26"/>
        <v/>
      </c>
      <c r="H840" s="14"/>
      <c r="I840" s="29" t="str">
        <f>IF(OR($C840="",$G840="",$H840&lt;&gt;"Fait"),"",MIN($G840,MAX(0,SUMIFS($G$5:$G840,$C$5:$C840,$C840,$H$5:$H840,"Fait")-SUMIFS(Paiements!$I$5:$I$2000,Paiements!$C$5:$C$2000,$C840,Paiements!$L$5:$L$2000,"Payé"))))</f>
        <v/>
      </c>
      <c r="J840" s="30" t="str">
        <f t="shared" si="27"/>
        <v/>
      </c>
      <c r="K840" s="14"/>
      <c r="L840" s="17" t="str">
        <f>IF(AND($C840&lt;&gt;"",$C840=Controle_Paiement!$B$4,$J840&lt;&gt;"Payé",$J840&lt;&gt;"Annulé",$J840&lt;&gt;""),1,"")</f>
        <v/>
      </c>
    </row>
    <row r="841" spans="1:12" x14ac:dyDescent="0.35">
      <c r="A841" s="18"/>
      <c r="B841" s="27"/>
      <c r="C841" s="14"/>
      <c r="D841" s="14"/>
      <c r="E841" s="19"/>
      <c r="F841" s="19"/>
      <c r="G841" s="28" t="str">
        <f t="shared" si="26"/>
        <v/>
      </c>
      <c r="H841" s="14"/>
      <c r="I841" s="29" t="str">
        <f>IF(OR($C841="",$G841="",$H841&lt;&gt;"Fait"),"",MIN($G841,MAX(0,SUMIFS($G$5:$G841,$C$5:$C841,$C841,$H$5:$H841,"Fait")-SUMIFS(Paiements!$I$5:$I$2000,Paiements!$C$5:$C$2000,$C841,Paiements!$L$5:$L$2000,"Payé"))))</f>
        <v/>
      </c>
      <c r="J841" s="30" t="str">
        <f t="shared" si="27"/>
        <v/>
      </c>
      <c r="K841" s="14"/>
      <c r="L841" s="17" t="str">
        <f>IF(AND($C841&lt;&gt;"",$C841=Controle_Paiement!$B$4,$J841&lt;&gt;"Payé",$J841&lt;&gt;"Annulé",$J841&lt;&gt;""),1,"")</f>
        <v/>
      </c>
    </row>
    <row r="842" spans="1:12" x14ac:dyDescent="0.35">
      <c r="A842" s="18"/>
      <c r="B842" s="27"/>
      <c r="C842" s="14"/>
      <c r="D842" s="14"/>
      <c r="E842" s="19"/>
      <c r="F842" s="19"/>
      <c r="G842" s="28" t="str">
        <f t="shared" si="26"/>
        <v/>
      </c>
      <c r="H842" s="14"/>
      <c r="I842" s="29" t="str">
        <f>IF(OR($C842="",$G842="",$H842&lt;&gt;"Fait"),"",MIN($G842,MAX(0,SUMIFS($G$5:$G842,$C$5:$C842,$C842,$H$5:$H842,"Fait")-SUMIFS(Paiements!$I$5:$I$2000,Paiements!$C$5:$C$2000,$C842,Paiements!$L$5:$L$2000,"Payé"))))</f>
        <v/>
      </c>
      <c r="J842" s="30" t="str">
        <f t="shared" si="27"/>
        <v/>
      </c>
      <c r="K842" s="14"/>
      <c r="L842" s="17" t="str">
        <f>IF(AND($C842&lt;&gt;"",$C842=Controle_Paiement!$B$4,$J842&lt;&gt;"Payé",$J842&lt;&gt;"Annulé",$J842&lt;&gt;""),1,"")</f>
        <v/>
      </c>
    </row>
    <row r="843" spans="1:12" x14ac:dyDescent="0.35">
      <c r="A843" s="18"/>
      <c r="B843" s="27"/>
      <c r="C843" s="14"/>
      <c r="D843" s="14"/>
      <c r="E843" s="19"/>
      <c r="F843" s="19"/>
      <c r="G843" s="28" t="str">
        <f t="shared" si="26"/>
        <v/>
      </c>
      <c r="H843" s="14"/>
      <c r="I843" s="29" t="str">
        <f>IF(OR($C843="",$G843="",$H843&lt;&gt;"Fait"),"",MIN($G843,MAX(0,SUMIFS($G$5:$G843,$C$5:$C843,$C843,$H$5:$H843,"Fait")-SUMIFS(Paiements!$I$5:$I$2000,Paiements!$C$5:$C$2000,$C843,Paiements!$L$5:$L$2000,"Payé"))))</f>
        <v/>
      </c>
      <c r="J843" s="30" t="str">
        <f t="shared" si="27"/>
        <v/>
      </c>
      <c r="K843" s="14"/>
      <c r="L843" s="17" t="str">
        <f>IF(AND($C843&lt;&gt;"",$C843=Controle_Paiement!$B$4,$J843&lt;&gt;"Payé",$J843&lt;&gt;"Annulé",$J843&lt;&gt;""),1,"")</f>
        <v/>
      </c>
    </row>
    <row r="844" spans="1:12" x14ac:dyDescent="0.35">
      <c r="A844" s="18"/>
      <c r="B844" s="27"/>
      <c r="C844" s="14"/>
      <c r="D844" s="14"/>
      <c r="E844" s="19"/>
      <c r="F844" s="19"/>
      <c r="G844" s="28" t="str">
        <f t="shared" si="26"/>
        <v/>
      </c>
      <c r="H844" s="14"/>
      <c r="I844" s="29" t="str">
        <f>IF(OR($C844="",$G844="",$H844&lt;&gt;"Fait"),"",MIN($G844,MAX(0,SUMIFS($G$5:$G844,$C$5:$C844,$C844,$H$5:$H844,"Fait")-SUMIFS(Paiements!$I$5:$I$2000,Paiements!$C$5:$C$2000,$C844,Paiements!$L$5:$L$2000,"Payé"))))</f>
        <v/>
      </c>
      <c r="J844" s="30" t="str">
        <f t="shared" si="27"/>
        <v/>
      </c>
      <c r="K844" s="14"/>
      <c r="L844" s="17" t="str">
        <f>IF(AND($C844&lt;&gt;"",$C844=Controle_Paiement!$B$4,$J844&lt;&gt;"Payé",$J844&lt;&gt;"Annulé",$J844&lt;&gt;""),1,"")</f>
        <v/>
      </c>
    </row>
    <row r="845" spans="1:12" x14ac:dyDescent="0.35">
      <c r="A845" s="18"/>
      <c r="B845" s="27"/>
      <c r="C845" s="14"/>
      <c r="D845" s="14"/>
      <c r="E845" s="19"/>
      <c r="F845" s="19"/>
      <c r="G845" s="28" t="str">
        <f t="shared" si="26"/>
        <v/>
      </c>
      <c r="H845" s="14"/>
      <c r="I845" s="29" t="str">
        <f>IF(OR($C845="",$G845="",$H845&lt;&gt;"Fait"),"",MIN($G845,MAX(0,SUMIFS($G$5:$G845,$C$5:$C845,$C845,$H$5:$H845,"Fait")-SUMIFS(Paiements!$I$5:$I$2000,Paiements!$C$5:$C$2000,$C845,Paiements!$L$5:$L$2000,"Payé"))))</f>
        <v/>
      </c>
      <c r="J845" s="30" t="str">
        <f t="shared" si="27"/>
        <v/>
      </c>
      <c r="K845" s="14"/>
      <c r="L845" s="17" t="str">
        <f>IF(AND($C845&lt;&gt;"",$C845=Controle_Paiement!$B$4,$J845&lt;&gt;"Payé",$J845&lt;&gt;"Annulé",$J845&lt;&gt;""),1,"")</f>
        <v/>
      </c>
    </row>
    <row r="846" spans="1:12" x14ac:dyDescent="0.35">
      <c r="A846" s="18"/>
      <c r="B846" s="27"/>
      <c r="C846" s="14"/>
      <c r="D846" s="14"/>
      <c r="E846" s="19"/>
      <c r="F846" s="19"/>
      <c r="G846" s="28" t="str">
        <f t="shared" si="26"/>
        <v/>
      </c>
      <c r="H846" s="14"/>
      <c r="I846" s="29" t="str">
        <f>IF(OR($C846="",$G846="",$H846&lt;&gt;"Fait"),"",MIN($G846,MAX(0,SUMIFS($G$5:$G846,$C$5:$C846,$C846,$H$5:$H846,"Fait")-SUMIFS(Paiements!$I$5:$I$2000,Paiements!$C$5:$C$2000,$C846,Paiements!$L$5:$L$2000,"Payé"))))</f>
        <v/>
      </c>
      <c r="J846" s="30" t="str">
        <f t="shared" si="27"/>
        <v/>
      </c>
      <c r="K846" s="14"/>
      <c r="L846" s="17" t="str">
        <f>IF(AND($C846&lt;&gt;"",$C846=Controle_Paiement!$B$4,$J846&lt;&gt;"Payé",$J846&lt;&gt;"Annulé",$J846&lt;&gt;""),1,"")</f>
        <v/>
      </c>
    </row>
    <row r="847" spans="1:12" x14ac:dyDescent="0.35">
      <c r="A847" s="18"/>
      <c r="B847" s="27"/>
      <c r="C847" s="14"/>
      <c r="D847" s="14"/>
      <c r="E847" s="19"/>
      <c r="F847" s="19"/>
      <c r="G847" s="28" t="str">
        <f t="shared" si="26"/>
        <v/>
      </c>
      <c r="H847" s="14"/>
      <c r="I847" s="29" t="str">
        <f>IF(OR($C847="",$G847="",$H847&lt;&gt;"Fait"),"",MIN($G847,MAX(0,SUMIFS($G$5:$G847,$C$5:$C847,$C847,$H$5:$H847,"Fait")-SUMIFS(Paiements!$I$5:$I$2000,Paiements!$C$5:$C$2000,$C847,Paiements!$L$5:$L$2000,"Payé"))))</f>
        <v/>
      </c>
      <c r="J847" s="30" t="str">
        <f t="shared" si="27"/>
        <v/>
      </c>
      <c r="K847" s="14"/>
      <c r="L847" s="17" t="str">
        <f>IF(AND($C847&lt;&gt;"",$C847=Controle_Paiement!$B$4,$J847&lt;&gt;"Payé",$J847&lt;&gt;"Annulé",$J847&lt;&gt;""),1,"")</f>
        <v/>
      </c>
    </row>
    <row r="848" spans="1:12" x14ac:dyDescent="0.35">
      <c r="A848" s="18"/>
      <c r="B848" s="27"/>
      <c r="C848" s="14"/>
      <c r="D848" s="14"/>
      <c r="E848" s="19"/>
      <c r="F848" s="19"/>
      <c r="G848" s="28" t="str">
        <f t="shared" si="26"/>
        <v/>
      </c>
      <c r="H848" s="14"/>
      <c r="I848" s="29" t="str">
        <f>IF(OR($C848="",$G848="",$H848&lt;&gt;"Fait"),"",MIN($G848,MAX(0,SUMIFS($G$5:$G848,$C$5:$C848,$C848,$H$5:$H848,"Fait")-SUMIFS(Paiements!$I$5:$I$2000,Paiements!$C$5:$C$2000,$C848,Paiements!$L$5:$L$2000,"Payé"))))</f>
        <v/>
      </c>
      <c r="J848" s="30" t="str">
        <f t="shared" si="27"/>
        <v/>
      </c>
      <c r="K848" s="14"/>
      <c r="L848" s="17" t="str">
        <f>IF(AND($C848&lt;&gt;"",$C848=Controle_Paiement!$B$4,$J848&lt;&gt;"Payé",$J848&lt;&gt;"Annulé",$J848&lt;&gt;""),1,"")</f>
        <v/>
      </c>
    </row>
    <row r="849" spans="1:12" x14ac:dyDescent="0.35">
      <c r="A849" s="18"/>
      <c r="B849" s="27"/>
      <c r="C849" s="14"/>
      <c r="D849" s="14"/>
      <c r="E849" s="19"/>
      <c r="F849" s="19"/>
      <c r="G849" s="28" t="str">
        <f t="shared" si="26"/>
        <v/>
      </c>
      <c r="H849" s="14"/>
      <c r="I849" s="29" t="str">
        <f>IF(OR($C849="",$G849="",$H849&lt;&gt;"Fait"),"",MIN($G849,MAX(0,SUMIFS($G$5:$G849,$C$5:$C849,$C849,$H$5:$H849,"Fait")-SUMIFS(Paiements!$I$5:$I$2000,Paiements!$C$5:$C$2000,$C849,Paiements!$L$5:$L$2000,"Payé"))))</f>
        <v/>
      </c>
      <c r="J849" s="30" t="str">
        <f t="shared" si="27"/>
        <v/>
      </c>
      <c r="K849" s="14"/>
      <c r="L849" s="17" t="str">
        <f>IF(AND($C849&lt;&gt;"",$C849=Controle_Paiement!$B$4,$J849&lt;&gt;"Payé",$J849&lt;&gt;"Annulé",$J849&lt;&gt;""),1,"")</f>
        <v/>
      </c>
    </row>
    <row r="850" spans="1:12" x14ac:dyDescent="0.35">
      <c r="A850" s="18"/>
      <c r="B850" s="27"/>
      <c r="C850" s="14"/>
      <c r="D850" s="14"/>
      <c r="E850" s="19"/>
      <c r="F850" s="19"/>
      <c r="G850" s="28" t="str">
        <f t="shared" si="26"/>
        <v/>
      </c>
      <c r="H850" s="14"/>
      <c r="I850" s="29" t="str">
        <f>IF(OR($C850="",$G850="",$H850&lt;&gt;"Fait"),"",MIN($G850,MAX(0,SUMIFS($G$5:$G850,$C$5:$C850,$C850,$H$5:$H850,"Fait")-SUMIFS(Paiements!$I$5:$I$2000,Paiements!$C$5:$C$2000,$C850,Paiements!$L$5:$L$2000,"Payé"))))</f>
        <v/>
      </c>
      <c r="J850" s="30" t="str">
        <f t="shared" si="27"/>
        <v/>
      </c>
      <c r="K850" s="14"/>
      <c r="L850" s="17" t="str">
        <f>IF(AND($C850&lt;&gt;"",$C850=Controle_Paiement!$B$4,$J850&lt;&gt;"Payé",$J850&lt;&gt;"Annulé",$J850&lt;&gt;""),1,"")</f>
        <v/>
      </c>
    </row>
    <row r="851" spans="1:12" x14ac:dyDescent="0.35">
      <c r="A851" s="18"/>
      <c r="B851" s="27"/>
      <c r="C851" s="14"/>
      <c r="D851" s="14"/>
      <c r="E851" s="19"/>
      <c r="F851" s="19"/>
      <c r="G851" s="28" t="str">
        <f t="shared" si="26"/>
        <v/>
      </c>
      <c r="H851" s="14"/>
      <c r="I851" s="29" t="str">
        <f>IF(OR($C851="",$G851="",$H851&lt;&gt;"Fait"),"",MIN($G851,MAX(0,SUMIFS($G$5:$G851,$C$5:$C851,$C851,$H$5:$H851,"Fait")-SUMIFS(Paiements!$I$5:$I$2000,Paiements!$C$5:$C$2000,$C851,Paiements!$L$5:$L$2000,"Payé"))))</f>
        <v/>
      </c>
      <c r="J851" s="30" t="str">
        <f t="shared" si="27"/>
        <v/>
      </c>
      <c r="K851" s="14"/>
      <c r="L851" s="17" t="str">
        <f>IF(AND($C851&lt;&gt;"",$C851=Controle_Paiement!$B$4,$J851&lt;&gt;"Payé",$J851&lt;&gt;"Annulé",$J851&lt;&gt;""),1,"")</f>
        <v/>
      </c>
    </row>
    <row r="852" spans="1:12" x14ac:dyDescent="0.35">
      <c r="A852" s="18"/>
      <c r="B852" s="27"/>
      <c r="C852" s="14"/>
      <c r="D852" s="14"/>
      <c r="E852" s="19"/>
      <c r="F852" s="19"/>
      <c r="G852" s="28" t="str">
        <f t="shared" si="26"/>
        <v/>
      </c>
      <c r="H852" s="14"/>
      <c r="I852" s="29" t="str">
        <f>IF(OR($C852="",$G852="",$H852&lt;&gt;"Fait"),"",MIN($G852,MAX(0,SUMIFS($G$5:$G852,$C$5:$C852,$C852,$H$5:$H852,"Fait")-SUMIFS(Paiements!$I$5:$I$2000,Paiements!$C$5:$C$2000,$C852,Paiements!$L$5:$L$2000,"Payé"))))</f>
        <v/>
      </c>
      <c r="J852" s="30" t="str">
        <f t="shared" si="27"/>
        <v/>
      </c>
      <c r="K852" s="14"/>
      <c r="L852" s="17" t="str">
        <f>IF(AND($C852&lt;&gt;"",$C852=Controle_Paiement!$B$4,$J852&lt;&gt;"Payé",$J852&lt;&gt;"Annulé",$J852&lt;&gt;""),1,"")</f>
        <v/>
      </c>
    </row>
    <row r="853" spans="1:12" x14ac:dyDescent="0.35">
      <c r="A853" s="18"/>
      <c r="B853" s="27"/>
      <c r="C853" s="14"/>
      <c r="D853" s="14"/>
      <c r="E853" s="19"/>
      <c r="F853" s="19"/>
      <c r="G853" s="28" t="str">
        <f t="shared" si="26"/>
        <v/>
      </c>
      <c r="H853" s="14"/>
      <c r="I853" s="29" t="str">
        <f>IF(OR($C853="",$G853="",$H853&lt;&gt;"Fait"),"",MIN($G853,MAX(0,SUMIFS($G$5:$G853,$C$5:$C853,$C853,$H$5:$H853,"Fait")-SUMIFS(Paiements!$I$5:$I$2000,Paiements!$C$5:$C$2000,$C853,Paiements!$L$5:$L$2000,"Payé"))))</f>
        <v/>
      </c>
      <c r="J853" s="30" t="str">
        <f t="shared" si="27"/>
        <v/>
      </c>
      <c r="K853" s="14"/>
      <c r="L853" s="17" t="str">
        <f>IF(AND($C853&lt;&gt;"",$C853=Controle_Paiement!$B$4,$J853&lt;&gt;"Payé",$J853&lt;&gt;"Annulé",$J853&lt;&gt;""),1,"")</f>
        <v/>
      </c>
    </row>
    <row r="854" spans="1:12" x14ac:dyDescent="0.35">
      <c r="A854" s="18"/>
      <c r="B854" s="27"/>
      <c r="C854" s="14"/>
      <c r="D854" s="14"/>
      <c r="E854" s="19"/>
      <c r="F854" s="19"/>
      <c r="G854" s="28" t="str">
        <f t="shared" si="26"/>
        <v/>
      </c>
      <c r="H854" s="14"/>
      <c r="I854" s="29" t="str">
        <f>IF(OR($C854="",$G854="",$H854&lt;&gt;"Fait"),"",MIN($G854,MAX(0,SUMIFS($G$5:$G854,$C$5:$C854,$C854,$H$5:$H854,"Fait")-SUMIFS(Paiements!$I$5:$I$2000,Paiements!$C$5:$C$2000,$C854,Paiements!$L$5:$L$2000,"Payé"))))</f>
        <v/>
      </c>
      <c r="J854" s="30" t="str">
        <f t="shared" si="27"/>
        <v/>
      </c>
      <c r="K854" s="14"/>
      <c r="L854" s="17" t="str">
        <f>IF(AND($C854&lt;&gt;"",$C854=Controle_Paiement!$B$4,$J854&lt;&gt;"Payé",$J854&lt;&gt;"Annulé",$J854&lt;&gt;""),1,"")</f>
        <v/>
      </c>
    </row>
    <row r="855" spans="1:12" x14ac:dyDescent="0.35">
      <c r="A855" s="18"/>
      <c r="B855" s="27"/>
      <c r="C855" s="14"/>
      <c r="D855" s="14"/>
      <c r="E855" s="19"/>
      <c r="F855" s="19"/>
      <c r="G855" s="28" t="str">
        <f t="shared" si="26"/>
        <v/>
      </c>
      <c r="H855" s="14"/>
      <c r="I855" s="29" t="str">
        <f>IF(OR($C855="",$G855="",$H855&lt;&gt;"Fait"),"",MIN($G855,MAX(0,SUMIFS($G$5:$G855,$C$5:$C855,$C855,$H$5:$H855,"Fait")-SUMIFS(Paiements!$I$5:$I$2000,Paiements!$C$5:$C$2000,$C855,Paiements!$L$5:$L$2000,"Payé"))))</f>
        <v/>
      </c>
      <c r="J855" s="30" t="str">
        <f t="shared" si="27"/>
        <v/>
      </c>
      <c r="K855" s="14"/>
      <c r="L855" s="17" t="str">
        <f>IF(AND($C855&lt;&gt;"",$C855=Controle_Paiement!$B$4,$J855&lt;&gt;"Payé",$J855&lt;&gt;"Annulé",$J855&lt;&gt;""),1,"")</f>
        <v/>
      </c>
    </row>
    <row r="856" spans="1:12" x14ac:dyDescent="0.35">
      <c r="A856" s="18"/>
      <c r="B856" s="27"/>
      <c r="C856" s="14"/>
      <c r="D856" s="14"/>
      <c r="E856" s="19"/>
      <c r="F856" s="19"/>
      <c r="G856" s="28" t="str">
        <f t="shared" si="26"/>
        <v/>
      </c>
      <c r="H856" s="14"/>
      <c r="I856" s="29" t="str">
        <f>IF(OR($C856="",$G856="",$H856&lt;&gt;"Fait"),"",MIN($G856,MAX(0,SUMIFS($G$5:$G856,$C$5:$C856,$C856,$H$5:$H856,"Fait")-SUMIFS(Paiements!$I$5:$I$2000,Paiements!$C$5:$C$2000,$C856,Paiements!$L$5:$L$2000,"Payé"))))</f>
        <v/>
      </c>
      <c r="J856" s="30" t="str">
        <f t="shared" si="27"/>
        <v/>
      </c>
      <c r="K856" s="14"/>
      <c r="L856" s="17" t="str">
        <f>IF(AND($C856&lt;&gt;"",$C856=Controle_Paiement!$B$4,$J856&lt;&gt;"Payé",$J856&lt;&gt;"Annulé",$J856&lt;&gt;""),1,"")</f>
        <v/>
      </c>
    </row>
    <row r="857" spans="1:12" x14ac:dyDescent="0.35">
      <c r="A857" s="18"/>
      <c r="B857" s="27"/>
      <c r="C857" s="14"/>
      <c r="D857" s="14"/>
      <c r="E857" s="19"/>
      <c r="F857" s="19"/>
      <c r="G857" s="28" t="str">
        <f t="shared" si="26"/>
        <v/>
      </c>
      <c r="H857" s="14"/>
      <c r="I857" s="29" t="str">
        <f>IF(OR($C857="",$G857="",$H857&lt;&gt;"Fait"),"",MIN($G857,MAX(0,SUMIFS($G$5:$G857,$C$5:$C857,$C857,$H$5:$H857,"Fait")-SUMIFS(Paiements!$I$5:$I$2000,Paiements!$C$5:$C$2000,$C857,Paiements!$L$5:$L$2000,"Payé"))))</f>
        <v/>
      </c>
      <c r="J857" s="30" t="str">
        <f t="shared" si="27"/>
        <v/>
      </c>
      <c r="K857" s="14"/>
      <c r="L857" s="17" t="str">
        <f>IF(AND($C857&lt;&gt;"",$C857=Controle_Paiement!$B$4,$J857&lt;&gt;"Payé",$J857&lt;&gt;"Annulé",$J857&lt;&gt;""),1,"")</f>
        <v/>
      </c>
    </row>
    <row r="858" spans="1:12" x14ac:dyDescent="0.35">
      <c r="A858" s="18"/>
      <c r="B858" s="27"/>
      <c r="C858" s="14"/>
      <c r="D858" s="14"/>
      <c r="E858" s="19"/>
      <c r="F858" s="19"/>
      <c r="G858" s="28" t="str">
        <f t="shared" si="26"/>
        <v/>
      </c>
      <c r="H858" s="14"/>
      <c r="I858" s="29" t="str">
        <f>IF(OR($C858="",$G858="",$H858&lt;&gt;"Fait"),"",MIN($G858,MAX(0,SUMIFS($G$5:$G858,$C$5:$C858,$C858,$H$5:$H858,"Fait")-SUMIFS(Paiements!$I$5:$I$2000,Paiements!$C$5:$C$2000,$C858,Paiements!$L$5:$L$2000,"Payé"))))</f>
        <v/>
      </c>
      <c r="J858" s="30" t="str">
        <f t="shared" si="27"/>
        <v/>
      </c>
      <c r="K858" s="14"/>
      <c r="L858" s="17" t="str">
        <f>IF(AND($C858&lt;&gt;"",$C858=Controle_Paiement!$B$4,$J858&lt;&gt;"Payé",$J858&lt;&gt;"Annulé",$J858&lt;&gt;""),1,"")</f>
        <v/>
      </c>
    </row>
    <row r="859" spans="1:12" x14ac:dyDescent="0.35">
      <c r="A859" s="18"/>
      <c r="B859" s="27"/>
      <c r="C859" s="14"/>
      <c r="D859" s="14"/>
      <c r="E859" s="19"/>
      <c r="F859" s="19"/>
      <c r="G859" s="28" t="str">
        <f t="shared" si="26"/>
        <v/>
      </c>
      <c r="H859" s="14"/>
      <c r="I859" s="29" t="str">
        <f>IF(OR($C859="",$G859="",$H859&lt;&gt;"Fait"),"",MIN($G859,MAX(0,SUMIFS($G$5:$G859,$C$5:$C859,$C859,$H$5:$H859,"Fait")-SUMIFS(Paiements!$I$5:$I$2000,Paiements!$C$5:$C$2000,$C859,Paiements!$L$5:$L$2000,"Payé"))))</f>
        <v/>
      </c>
      <c r="J859" s="30" t="str">
        <f t="shared" si="27"/>
        <v/>
      </c>
      <c r="K859" s="14"/>
      <c r="L859" s="17" t="str">
        <f>IF(AND($C859&lt;&gt;"",$C859=Controle_Paiement!$B$4,$J859&lt;&gt;"Payé",$J859&lt;&gt;"Annulé",$J859&lt;&gt;""),1,"")</f>
        <v/>
      </c>
    </row>
    <row r="860" spans="1:12" x14ac:dyDescent="0.35">
      <c r="A860" s="18"/>
      <c r="B860" s="27"/>
      <c r="C860" s="14"/>
      <c r="D860" s="14"/>
      <c r="E860" s="19"/>
      <c r="F860" s="19"/>
      <c r="G860" s="28" t="str">
        <f t="shared" si="26"/>
        <v/>
      </c>
      <c r="H860" s="14"/>
      <c r="I860" s="29" t="str">
        <f>IF(OR($C860="",$G860="",$H860&lt;&gt;"Fait"),"",MIN($G860,MAX(0,SUMIFS($G$5:$G860,$C$5:$C860,$C860,$H$5:$H860,"Fait")-SUMIFS(Paiements!$I$5:$I$2000,Paiements!$C$5:$C$2000,$C860,Paiements!$L$5:$L$2000,"Payé"))))</f>
        <v/>
      </c>
      <c r="J860" s="30" t="str">
        <f t="shared" si="27"/>
        <v/>
      </c>
      <c r="K860" s="14"/>
      <c r="L860" s="17" t="str">
        <f>IF(AND($C860&lt;&gt;"",$C860=Controle_Paiement!$B$4,$J860&lt;&gt;"Payé",$J860&lt;&gt;"Annulé",$J860&lt;&gt;""),1,"")</f>
        <v/>
      </c>
    </row>
    <row r="861" spans="1:12" x14ac:dyDescent="0.35">
      <c r="A861" s="18"/>
      <c r="B861" s="27"/>
      <c r="C861" s="14"/>
      <c r="D861" s="14"/>
      <c r="E861" s="19"/>
      <c r="F861" s="19"/>
      <c r="G861" s="28" t="str">
        <f t="shared" si="26"/>
        <v/>
      </c>
      <c r="H861" s="14"/>
      <c r="I861" s="29" t="str">
        <f>IF(OR($C861="",$G861="",$H861&lt;&gt;"Fait"),"",MIN($G861,MAX(0,SUMIFS($G$5:$G861,$C$5:$C861,$C861,$H$5:$H861,"Fait")-SUMIFS(Paiements!$I$5:$I$2000,Paiements!$C$5:$C$2000,$C861,Paiements!$L$5:$L$2000,"Payé"))))</f>
        <v/>
      </c>
      <c r="J861" s="30" t="str">
        <f t="shared" si="27"/>
        <v/>
      </c>
      <c r="K861" s="14"/>
      <c r="L861" s="17" t="str">
        <f>IF(AND($C861&lt;&gt;"",$C861=Controle_Paiement!$B$4,$J861&lt;&gt;"Payé",$J861&lt;&gt;"Annulé",$J861&lt;&gt;""),1,"")</f>
        <v/>
      </c>
    </row>
    <row r="862" spans="1:12" x14ac:dyDescent="0.35">
      <c r="A862" s="18"/>
      <c r="B862" s="27"/>
      <c r="C862" s="14"/>
      <c r="D862" s="14"/>
      <c r="E862" s="19"/>
      <c r="F862" s="19"/>
      <c r="G862" s="28" t="str">
        <f t="shared" si="26"/>
        <v/>
      </c>
      <c r="H862" s="14"/>
      <c r="I862" s="29" t="str">
        <f>IF(OR($C862="",$G862="",$H862&lt;&gt;"Fait"),"",MIN($G862,MAX(0,SUMIFS($G$5:$G862,$C$5:$C862,$C862,$H$5:$H862,"Fait")-SUMIFS(Paiements!$I$5:$I$2000,Paiements!$C$5:$C$2000,$C862,Paiements!$L$5:$L$2000,"Payé"))))</f>
        <v/>
      </c>
      <c r="J862" s="30" t="str">
        <f t="shared" si="27"/>
        <v/>
      </c>
      <c r="K862" s="14"/>
      <c r="L862" s="17" t="str">
        <f>IF(AND($C862&lt;&gt;"",$C862=Controle_Paiement!$B$4,$J862&lt;&gt;"Payé",$J862&lt;&gt;"Annulé",$J862&lt;&gt;""),1,"")</f>
        <v/>
      </c>
    </row>
    <row r="863" spans="1:12" x14ac:dyDescent="0.35">
      <c r="A863" s="18"/>
      <c r="B863" s="27"/>
      <c r="C863" s="14"/>
      <c r="D863" s="14"/>
      <c r="E863" s="19"/>
      <c r="F863" s="19"/>
      <c r="G863" s="28" t="str">
        <f t="shared" si="26"/>
        <v/>
      </c>
      <c r="H863" s="14"/>
      <c r="I863" s="29" t="str">
        <f>IF(OR($C863="",$G863="",$H863&lt;&gt;"Fait"),"",MIN($G863,MAX(0,SUMIFS($G$5:$G863,$C$5:$C863,$C863,$H$5:$H863,"Fait")-SUMIFS(Paiements!$I$5:$I$2000,Paiements!$C$5:$C$2000,$C863,Paiements!$L$5:$L$2000,"Payé"))))</f>
        <v/>
      </c>
      <c r="J863" s="30" t="str">
        <f t="shared" si="27"/>
        <v/>
      </c>
      <c r="K863" s="14"/>
      <c r="L863" s="17" t="str">
        <f>IF(AND($C863&lt;&gt;"",$C863=Controle_Paiement!$B$4,$J863&lt;&gt;"Payé",$J863&lt;&gt;"Annulé",$J863&lt;&gt;""),1,"")</f>
        <v/>
      </c>
    </row>
    <row r="864" spans="1:12" x14ac:dyDescent="0.35">
      <c r="A864" s="18"/>
      <c r="B864" s="27"/>
      <c r="C864" s="14"/>
      <c r="D864" s="14"/>
      <c r="E864" s="19"/>
      <c r="F864" s="19"/>
      <c r="G864" s="28" t="str">
        <f t="shared" si="26"/>
        <v/>
      </c>
      <c r="H864" s="14"/>
      <c r="I864" s="29" t="str">
        <f>IF(OR($C864="",$G864="",$H864&lt;&gt;"Fait"),"",MIN($G864,MAX(0,SUMIFS($G$5:$G864,$C$5:$C864,$C864,$H$5:$H864,"Fait")-SUMIFS(Paiements!$I$5:$I$2000,Paiements!$C$5:$C$2000,$C864,Paiements!$L$5:$L$2000,"Payé"))))</f>
        <v/>
      </c>
      <c r="J864" s="30" t="str">
        <f t="shared" si="27"/>
        <v/>
      </c>
      <c r="K864" s="14"/>
      <c r="L864" s="17" t="str">
        <f>IF(AND($C864&lt;&gt;"",$C864=Controle_Paiement!$B$4,$J864&lt;&gt;"Payé",$J864&lt;&gt;"Annulé",$J864&lt;&gt;""),1,"")</f>
        <v/>
      </c>
    </row>
    <row r="865" spans="1:12" x14ac:dyDescent="0.35">
      <c r="A865" s="18"/>
      <c r="B865" s="27"/>
      <c r="C865" s="14"/>
      <c r="D865" s="14"/>
      <c r="E865" s="19"/>
      <c r="F865" s="19"/>
      <c r="G865" s="28" t="str">
        <f t="shared" si="26"/>
        <v/>
      </c>
      <c r="H865" s="14"/>
      <c r="I865" s="29" t="str">
        <f>IF(OR($C865="",$G865="",$H865&lt;&gt;"Fait"),"",MIN($G865,MAX(0,SUMIFS($G$5:$G865,$C$5:$C865,$C865,$H$5:$H865,"Fait")-SUMIFS(Paiements!$I$5:$I$2000,Paiements!$C$5:$C$2000,$C865,Paiements!$L$5:$L$2000,"Payé"))))</f>
        <v/>
      </c>
      <c r="J865" s="30" t="str">
        <f t="shared" si="27"/>
        <v/>
      </c>
      <c r="K865" s="14"/>
      <c r="L865" s="17" t="str">
        <f>IF(AND($C865&lt;&gt;"",$C865=Controle_Paiement!$B$4,$J865&lt;&gt;"Payé",$J865&lt;&gt;"Annulé",$J865&lt;&gt;""),1,"")</f>
        <v/>
      </c>
    </row>
    <row r="866" spans="1:12" x14ac:dyDescent="0.35">
      <c r="A866" s="18"/>
      <c r="B866" s="27"/>
      <c r="C866" s="14"/>
      <c r="D866" s="14"/>
      <c r="E866" s="19"/>
      <c r="F866" s="19"/>
      <c r="G866" s="28" t="str">
        <f t="shared" si="26"/>
        <v/>
      </c>
      <c r="H866" s="14"/>
      <c r="I866" s="29" t="str">
        <f>IF(OR($C866="",$G866="",$H866&lt;&gt;"Fait"),"",MIN($G866,MAX(0,SUMIFS($G$5:$G866,$C$5:$C866,$C866,$H$5:$H866,"Fait")-SUMIFS(Paiements!$I$5:$I$2000,Paiements!$C$5:$C$2000,$C866,Paiements!$L$5:$L$2000,"Payé"))))</f>
        <v/>
      </c>
      <c r="J866" s="30" t="str">
        <f t="shared" si="27"/>
        <v/>
      </c>
      <c r="K866" s="14"/>
      <c r="L866" s="17" t="str">
        <f>IF(AND($C866&lt;&gt;"",$C866=Controle_Paiement!$B$4,$J866&lt;&gt;"Payé",$J866&lt;&gt;"Annulé",$J866&lt;&gt;""),1,"")</f>
        <v/>
      </c>
    </row>
    <row r="867" spans="1:12" x14ac:dyDescent="0.35">
      <c r="A867" s="18"/>
      <c r="B867" s="27"/>
      <c r="C867" s="14"/>
      <c r="D867" s="14"/>
      <c r="E867" s="19"/>
      <c r="F867" s="19"/>
      <c r="G867" s="28" t="str">
        <f t="shared" si="26"/>
        <v/>
      </c>
      <c r="H867" s="14"/>
      <c r="I867" s="29" t="str">
        <f>IF(OR($C867="",$G867="",$H867&lt;&gt;"Fait"),"",MIN($G867,MAX(0,SUMIFS($G$5:$G867,$C$5:$C867,$C867,$H$5:$H867,"Fait")-SUMIFS(Paiements!$I$5:$I$2000,Paiements!$C$5:$C$2000,$C867,Paiements!$L$5:$L$2000,"Payé"))))</f>
        <v/>
      </c>
      <c r="J867" s="30" t="str">
        <f t="shared" si="27"/>
        <v/>
      </c>
      <c r="K867" s="14"/>
      <c r="L867" s="17" t="str">
        <f>IF(AND($C867&lt;&gt;"",$C867=Controle_Paiement!$B$4,$J867&lt;&gt;"Payé",$J867&lt;&gt;"Annulé",$J867&lt;&gt;""),1,"")</f>
        <v/>
      </c>
    </row>
    <row r="868" spans="1:12" x14ac:dyDescent="0.35">
      <c r="A868" s="18"/>
      <c r="B868" s="27"/>
      <c r="C868" s="14"/>
      <c r="D868" s="14"/>
      <c r="E868" s="19"/>
      <c r="F868" s="19"/>
      <c r="G868" s="28" t="str">
        <f t="shared" si="26"/>
        <v/>
      </c>
      <c r="H868" s="14"/>
      <c r="I868" s="29" t="str">
        <f>IF(OR($C868="",$G868="",$H868&lt;&gt;"Fait"),"",MIN($G868,MAX(0,SUMIFS($G$5:$G868,$C$5:$C868,$C868,$H$5:$H868,"Fait")-SUMIFS(Paiements!$I$5:$I$2000,Paiements!$C$5:$C$2000,$C868,Paiements!$L$5:$L$2000,"Payé"))))</f>
        <v/>
      </c>
      <c r="J868" s="30" t="str">
        <f t="shared" si="27"/>
        <v/>
      </c>
      <c r="K868" s="14"/>
      <c r="L868" s="17" t="str">
        <f>IF(AND($C868&lt;&gt;"",$C868=Controle_Paiement!$B$4,$J868&lt;&gt;"Payé",$J868&lt;&gt;"Annulé",$J868&lt;&gt;""),1,"")</f>
        <v/>
      </c>
    </row>
    <row r="869" spans="1:12" x14ac:dyDescent="0.35">
      <c r="A869" s="18"/>
      <c r="B869" s="27"/>
      <c r="C869" s="14"/>
      <c r="D869" s="14"/>
      <c r="E869" s="19"/>
      <c r="F869" s="19"/>
      <c r="G869" s="28" t="str">
        <f t="shared" si="26"/>
        <v/>
      </c>
      <c r="H869" s="14"/>
      <c r="I869" s="29" t="str">
        <f>IF(OR($C869="",$G869="",$H869&lt;&gt;"Fait"),"",MIN($G869,MAX(0,SUMIFS($G$5:$G869,$C$5:$C869,$C869,$H$5:$H869,"Fait")-SUMIFS(Paiements!$I$5:$I$2000,Paiements!$C$5:$C$2000,$C869,Paiements!$L$5:$L$2000,"Payé"))))</f>
        <v/>
      </c>
      <c r="J869" s="30" t="str">
        <f t="shared" si="27"/>
        <v/>
      </c>
      <c r="K869" s="14"/>
      <c r="L869" s="17" t="str">
        <f>IF(AND($C869&lt;&gt;"",$C869=Controle_Paiement!$B$4,$J869&lt;&gt;"Payé",$J869&lt;&gt;"Annulé",$J869&lt;&gt;""),1,"")</f>
        <v/>
      </c>
    </row>
    <row r="870" spans="1:12" x14ac:dyDescent="0.35">
      <c r="A870" s="18"/>
      <c r="B870" s="27"/>
      <c r="C870" s="14"/>
      <c r="D870" s="14"/>
      <c r="E870" s="19"/>
      <c r="F870" s="19"/>
      <c r="G870" s="28" t="str">
        <f t="shared" si="26"/>
        <v/>
      </c>
      <c r="H870" s="14"/>
      <c r="I870" s="29" t="str">
        <f>IF(OR($C870="",$G870="",$H870&lt;&gt;"Fait"),"",MIN($G870,MAX(0,SUMIFS($G$5:$G870,$C$5:$C870,$C870,$H$5:$H870,"Fait")-SUMIFS(Paiements!$I$5:$I$2000,Paiements!$C$5:$C$2000,$C870,Paiements!$L$5:$L$2000,"Payé"))))</f>
        <v/>
      </c>
      <c r="J870" s="30" t="str">
        <f t="shared" si="27"/>
        <v/>
      </c>
      <c r="K870" s="14"/>
      <c r="L870" s="17" t="str">
        <f>IF(AND($C870&lt;&gt;"",$C870=Controle_Paiement!$B$4,$J870&lt;&gt;"Payé",$J870&lt;&gt;"Annulé",$J870&lt;&gt;""),1,"")</f>
        <v/>
      </c>
    </row>
    <row r="871" spans="1:12" x14ac:dyDescent="0.35">
      <c r="A871" s="18"/>
      <c r="B871" s="27"/>
      <c r="C871" s="14"/>
      <c r="D871" s="14"/>
      <c r="E871" s="19"/>
      <c r="F871" s="19"/>
      <c r="G871" s="28" t="str">
        <f t="shared" si="26"/>
        <v/>
      </c>
      <c r="H871" s="14"/>
      <c r="I871" s="29" t="str">
        <f>IF(OR($C871="",$G871="",$H871&lt;&gt;"Fait"),"",MIN($G871,MAX(0,SUMIFS($G$5:$G871,$C$5:$C871,$C871,$H$5:$H871,"Fait")-SUMIFS(Paiements!$I$5:$I$2000,Paiements!$C$5:$C$2000,$C871,Paiements!$L$5:$L$2000,"Payé"))))</f>
        <v/>
      </c>
      <c r="J871" s="30" t="str">
        <f t="shared" si="27"/>
        <v/>
      </c>
      <c r="K871" s="14"/>
      <c r="L871" s="17" t="str">
        <f>IF(AND($C871&lt;&gt;"",$C871=Controle_Paiement!$B$4,$J871&lt;&gt;"Payé",$J871&lt;&gt;"Annulé",$J871&lt;&gt;""),1,"")</f>
        <v/>
      </c>
    </row>
    <row r="872" spans="1:12" x14ac:dyDescent="0.35">
      <c r="A872" s="18"/>
      <c r="B872" s="27"/>
      <c r="C872" s="14"/>
      <c r="D872" s="14"/>
      <c r="E872" s="19"/>
      <c r="F872" s="19"/>
      <c r="G872" s="28" t="str">
        <f t="shared" si="26"/>
        <v/>
      </c>
      <c r="H872" s="14"/>
      <c r="I872" s="29" t="str">
        <f>IF(OR($C872="",$G872="",$H872&lt;&gt;"Fait"),"",MIN($G872,MAX(0,SUMIFS($G$5:$G872,$C$5:$C872,$C872,$H$5:$H872,"Fait")-SUMIFS(Paiements!$I$5:$I$2000,Paiements!$C$5:$C$2000,$C872,Paiements!$L$5:$L$2000,"Payé"))))</f>
        <v/>
      </c>
      <c r="J872" s="30" t="str">
        <f t="shared" si="27"/>
        <v/>
      </c>
      <c r="K872" s="14"/>
      <c r="L872" s="17" t="str">
        <f>IF(AND($C872&lt;&gt;"",$C872=Controle_Paiement!$B$4,$J872&lt;&gt;"Payé",$J872&lt;&gt;"Annulé",$J872&lt;&gt;""),1,"")</f>
        <v/>
      </c>
    </row>
    <row r="873" spans="1:12" x14ac:dyDescent="0.35">
      <c r="A873" s="18"/>
      <c r="B873" s="27"/>
      <c r="C873" s="14"/>
      <c r="D873" s="14"/>
      <c r="E873" s="19"/>
      <c r="F873" s="19"/>
      <c r="G873" s="28" t="str">
        <f t="shared" si="26"/>
        <v/>
      </c>
      <c r="H873" s="14"/>
      <c r="I873" s="29" t="str">
        <f>IF(OR($C873="",$G873="",$H873&lt;&gt;"Fait"),"",MIN($G873,MAX(0,SUMIFS($G$5:$G873,$C$5:$C873,$C873,$H$5:$H873,"Fait")-SUMIFS(Paiements!$I$5:$I$2000,Paiements!$C$5:$C$2000,$C873,Paiements!$L$5:$L$2000,"Payé"))))</f>
        <v/>
      </c>
      <c r="J873" s="30" t="str">
        <f t="shared" si="27"/>
        <v/>
      </c>
      <c r="K873" s="14"/>
      <c r="L873" s="17" t="str">
        <f>IF(AND($C873&lt;&gt;"",$C873=Controle_Paiement!$B$4,$J873&lt;&gt;"Payé",$J873&lt;&gt;"Annulé",$J873&lt;&gt;""),1,"")</f>
        <v/>
      </c>
    </row>
    <row r="874" spans="1:12" x14ac:dyDescent="0.35">
      <c r="A874" s="18"/>
      <c r="B874" s="27"/>
      <c r="C874" s="14"/>
      <c r="D874" s="14"/>
      <c r="E874" s="19"/>
      <c r="F874" s="19"/>
      <c r="G874" s="28" t="str">
        <f t="shared" si="26"/>
        <v/>
      </c>
      <c r="H874" s="14"/>
      <c r="I874" s="29" t="str">
        <f>IF(OR($C874="",$G874="",$H874&lt;&gt;"Fait"),"",MIN($G874,MAX(0,SUMIFS($G$5:$G874,$C$5:$C874,$C874,$H$5:$H874,"Fait")-SUMIFS(Paiements!$I$5:$I$2000,Paiements!$C$5:$C$2000,$C874,Paiements!$L$5:$L$2000,"Payé"))))</f>
        <v/>
      </c>
      <c r="J874" s="30" t="str">
        <f t="shared" si="27"/>
        <v/>
      </c>
      <c r="K874" s="14"/>
      <c r="L874" s="17" t="str">
        <f>IF(AND($C874&lt;&gt;"",$C874=Controle_Paiement!$B$4,$J874&lt;&gt;"Payé",$J874&lt;&gt;"Annulé",$J874&lt;&gt;""),1,"")</f>
        <v/>
      </c>
    </row>
    <row r="875" spans="1:12" x14ac:dyDescent="0.35">
      <c r="A875" s="18"/>
      <c r="B875" s="27"/>
      <c r="C875" s="14"/>
      <c r="D875" s="14"/>
      <c r="E875" s="19"/>
      <c r="F875" s="19"/>
      <c r="G875" s="28" t="str">
        <f t="shared" si="26"/>
        <v/>
      </c>
      <c r="H875" s="14"/>
      <c r="I875" s="29" t="str">
        <f>IF(OR($C875="",$G875="",$H875&lt;&gt;"Fait"),"",MIN($G875,MAX(0,SUMIFS($G$5:$G875,$C$5:$C875,$C875,$H$5:$H875,"Fait")-SUMIFS(Paiements!$I$5:$I$2000,Paiements!$C$5:$C$2000,$C875,Paiements!$L$5:$L$2000,"Payé"))))</f>
        <v/>
      </c>
      <c r="J875" s="30" t="str">
        <f t="shared" si="27"/>
        <v/>
      </c>
      <c r="K875" s="14"/>
      <c r="L875" s="17" t="str">
        <f>IF(AND($C875&lt;&gt;"",$C875=Controle_Paiement!$B$4,$J875&lt;&gt;"Payé",$J875&lt;&gt;"Annulé",$J875&lt;&gt;""),1,"")</f>
        <v/>
      </c>
    </row>
    <row r="876" spans="1:12" x14ac:dyDescent="0.35">
      <c r="A876" s="18"/>
      <c r="B876" s="27"/>
      <c r="C876" s="14"/>
      <c r="D876" s="14"/>
      <c r="E876" s="19"/>
      <c r="F876" s="19"/>
      <c r="G876" s="28" t="str">
        <f t="shared" si="26"/>
        <v/>
      </c>
      <c r="H876" s="14"/>
      <c r="I876" s="29" t="str">
        <f>IF(OR($C876="",$G876="",$H876&lt;&gt;"Fait"),"",MIN($G876,MAX(0,SUMIFS($G$5:$G876,$C$5:$C876,$C876,$H$5:$H876,"Fait")-SUMIFS(Paiements!$I$5:$I$2000,Paiements!$C$5:$C$2000,$C876,Paiements!$L$5:$L$2000,"Payé"))))</f>
        <v/>
      </c>
      <c r="J876" s="30" t="str">
        <f t="shared" si="27"/>
        <v/>
      </c>
      <c r="K876" s="14"/>
      <c r="L876" s="17" t="str">
        <f>IF(AND($C876&lt;&gt;"",$C876=Controle_Paiement!$B$4,$J876&lt;&gt;"Payé",$J876&lt;&gt;"Annulé",$J876&lt;&gt;""),1,"")</f>
        <v/>
      </c>
    </row>
    <row r="877" spans="1:12" x14ac:dyDescent="0.35">
      <c r="A877" s="18"/>
      <c r="B877" s="27"/>
      <c r="C877" s="14"/>
      <c r="D877" s="14"/>
      <c r="E877" s="19"/>
      <c r="F877" s="19"/>
      <c r="G877" s="28" t="str">
        <f t="shared" si="26"/>
        <v/>
      </c>
      <c r="H877" s="14"/>
      <c r="I877" s="29" t="str">
        <f>IF(OR($C877="",$G877="",$H877&lt;&gt;"Fait"),"",MIN($G877,MAX(0,SUMIFS($G$5:$G877,$C$5:$C877,$C877,$H$5:$H877,"Fait")-SUMIFS(Paiements!$I$5:$I$2000,Paiements!$C$5:$C$2000,$C877,Paiements!$L$5:$L$2000,"Payé"))))</f>
        <v/>
      </c>
      <c r="J877" s="30" t="str">
        <f t="shared" si="27"/>
        <v/>
      </c>
      <c r="K877" s="14"/>
      <c r="L877" s="17" t="str">
        <f>IF(AND($C877&lt;&gt;"",$C877=Controle_Paiement!$B$4,$J877&lt;&gt;"Payé",$J877&lt;&gt;"Annulé",$J877&lt;&gt;""),1,"")</f>
        <v/>
      </c>
    </row>
    <row r="878" spans="1:12" x14ac:dyDescent="0.35">
      <c r="A878" s="18"/>
      <c r="B878" s="27"/>
      <c r="C878" s="14"/>
      <c r="D878" s="14"/>
      <c r="E878" s="19"/>
      <c r="F878" s="19"/>
      <c r="G878" s="28" t="str">
        <f t="shared" si="26"/>
        <v/>
      </c>
      <c r="H878" s="14"/>
      <c r="I878" s="29" t="str">
        <f>IF(OR($C878="",$G878="",$H878&lt;&gt;"Fait"),"",MIN($G878,MAX(0,SUMIFS($G$5:$G878,$C$5:$C878,$C878,$H$5:$H878,"Fait")-SUMIFS(Paiements!$I$5:$I$2000,Paiements!$C$5:$C$2000,$C878,Paiements!$L$5:$L$2000,"Payé"))))</f>
        <v/>
      </c>
      <c r="J878" s="30" t="str">
        <f t="shared" si="27"/>
        <v/>
      </c>
      <c r="K878" s="14"/>
      <c r="L878" s="17" t="str">
        <f>IF(AND($C878&lt;&gt;"",$C878=Controle_Paiement!$B$4,$J878&lt;&gt;"Payé",$J878&lt;&gt;"Annulé",$J878&lt;&gt;""),1,"")</f>
        <v/>
      </c>
    </row>
    <row r="879" spans="1:12" x14ac:dyDescent="0.35">
      <c r="A879" s="18"/>
      <c r="B879" s="27"/>
      <c r="C879" s="14"/>
      <c r="D879" s="14"/>
      <c r="E879" s="19"/>
      <c r="F879" s="19"/>
      <c r="G879" s="28" t="str">
        <f t="shared" si="26"/>
        <v/>
      </c>
      <c r="H879" s="14"/>
      <c r="I879" s="29" t="str">
        <f>IF(OR($C879="",$G879="",$H879&lt;&gt;"Fait"),"",MIN($G879,MAX(0,SUMIFS($G$5:$G879,$C$5:$C879,$C879,$H$5:$H879,"Fait")-SUMIFS(Paiements!$I$5:$I$2000,Paiements!$C$5:$C$2000,$C879,Paiements!$L$5:$L$2000,"Payé"))))</f>
        <v/>
      </c>
      <c r="J879" s="30" t="str">
        <f t="shared" si="27"/>
        <v/>
      </c>
      <c r="K879" s="14"/>
      <c r="L879" s="17" t="str">
        <f>IF(AND($C879&lt;&gt;"",$C879=Controle_Paiement!$B$4,$J879&lt;&gt;"Payé",$J879&lt;&gt;"Annulé",$J879&lt;&gt;""),1,"")</f>
        <v/>
      </c>
    </row>
    <row r="880" spans="1:12" x14ac:dyDescent="0.35">
      <c r="A880" s="18"/>
      <c r="B880" s="27"/>
      <c r="C880" s="14"/>
      <c r="D880" s="14"/>
      <c r="E880" s="19"/>
      <c r="F880" s="19"/>
      <c r="G880" s="28" t="str">
        <f t="shared" si="26"/>
        <v/>
      </c>
      <c r="H880" s="14"/>
      <c r="I880" s="29" t="str">
        <f>IF(OR($C880="",$G880="",$H880&lt;&gt;"Fait"),"",MIN($G880,MAX(0,SUMIFS($G$5:$G880,$C$5:$C880,$C880,$H$5:$H880,"Fait")-SUMIFS(Paiements!$I$5:$I$2000,Paiements!$C$5:$C$2000,$C880,Paiements!$L$5:$L$2000,"Payé"))))</f>
        <v/>
      </c>
      <c r="J880" s="30" t="str">
        <f t="shared" si="27"/>
        <v/>
      </c>
      <c r="K880" s="14"/>
      <c r="L880" s="17" t="str">
        <f>IF(AND($C880&lt;&gt;"",$C880=Controle_Paiement!$B$4,$J880&lt;&gt;"Payé",$J880&lt;&gt;"Annulé",$J880&lt;&gt;""),1,"")</f>
        <v/>
      </c>
    </row>
    <row r="881" spans="1:12" x14ac:dyDescent="0.35">
      <c r="A881" s="18"/>
      <c r="B881" s="27"/>
      <c r="C881" s="14"/>
      <c r="D881" s="14"/>
      <c r="E881" s="19"/>
      <c r="F881" s="19"/>
      <c r="G881" s="28" t="str">
        <f t="shared" si="26"/>
        <v/>
      </c>
      <c r="H881" s="14"/>
      <c r="I881" s="29" t="str">
        <f>IF(OR($C881="",$G881="",$H881&lt;&gt;"Fait"),"",MIN($G881,MAX(0,SUMIFS($G$5:$G881,$C$5:$C881,$C881,$H$5:$H881,"Fait")-SUMIFS(Paiements!$I$5:$I$2000,Paiements!$C$5:$C$2000,$C881,Paiements!$L$5:$L$2000,"Payé"))))</f>
        <v/>
      </c>
      <c r="J881" s="30" t="str">
        <f t="shared" si="27"/>
        <v/>
      </c>
      <c r="K881" s="14"/>
      <c r="L881" s="17" t="str">
        <f>IF(AND($C881&lt;&gt;"",$C881=Controle_Paiement!$B$4,$J881&lt;&gt;"Payé",$J881&lt;&gt;"Annulé",$J881&lt;&gt;""),1,"")</f>
        <v/>
      </c>
    </row>
    <row r="882" spans="1:12" x14ac:dyDescent="0.35">
      <c r="A882" s="18"/>
      <c r="B882" s="27"/>
      <c r="C882" s="14"/>
      <c r="D882" s="14"/>
      <c r="E882" s="19"/>
      <c r="F882" s="19"/>
      <c r="G882" s="28" t="str">
        <f t="shared" si="26"/>
        <v/>
      </c>
      <c r="H882" s="14"/>
      <c r="I882" s="29" t="str">
        <f>IF(OR($C882="",$G882="",$H882&lt;&gt;"Fait"),"",MIN($G882,MAX(0,SUMIFS($G$5:$G882,$C$5:$C882,$C882,$H$5:$H882,"Fait")-SUMIFS(Paiements!$I$5:$I$2000,Paiements!$C$5:$C$2000,$C882,Paiements!$L$5:$L$2000,"Payé"))))</f>
        <v/>
      </c>
      <c r="J882" s="30" t="str">
        <f t="shared" si="27"/>
        <v/>
      </c>
      <c r="K882" s="14"/>
      <c r="L882" s="17" t="str">
        <f>IF(AND($C882&lt;&gt;"",$C882=Controle_Paiement!$B$4,$J882&lt;&gt;"Payé",$J882&lt;&gt;"Annulé",$J882&lt;&gt;""),1,"")</f>
        <v/>
      </c>
    </row>
    <row r="883" spans="1:12" x14ac:dyDescent="0.35">
      <c r="A883" s="18"/>
      <c r="B883" s="27"/>
      <c r="C883" s="14"/>
      <c r="D883" s="14"/>
      <c r="E883" s="19"/>
      <c r="F883" s="19"/>
      <c r="G883" s="28" t="str">
        <f t="shared" si="26"/>
        <v/>
      </c>
      <c r="H883" s="14"/>
      <c r="I883" s="29" t="str">
        <f>IF(OR($C883="",$G883="",$H883&lt;&gt;"Fait"),"",MIN($G883,MAX(0,SUMIFS($G$5:$G883,$C$5:$C883,$C883,$H$5:$H883,"Fait")-SUMIFS(Paiements!$I$5:$I$2000,Paiements!$C$5:$C$2000,$C883,Paiements!$L$5:$L$2000,"Payé"))))</f>
        <v/>
      </c>
      <c r="J883" s="30" t="str">
        <f t="shared" si="27"/>
        <v/>
      </c>
      <c r="K883" s="14"/>
      <c r="L883" s="17" t="str">
        <f>IF(AND($C883&lt;&gt;"",$C883=Controle_Paiement!$B$4,$J883&lt;&gt;"Payé",$J883&lt;&gt;"Annulé",$J883&lt;&gt;""),1,"")</f>
        <v/>
      </c>
    </row>
    <row r="884" spans="1:12" x14ac:dyDescent="0.35">
      <c r="A884" s="18"/>
      <c r="B884" s="27"/>
      <c r="C884" s="14"/>
      <c r="D884" s="14"/>
      <c r="E884" s="19"/>
      <c r="F884" s="19"/>
      <c r="G884" s="28" t="str">
        <f t="shared" si="26"/>
        <v/>
      </c>
      <c r="H884" s="14"/>
      <c r="I884" s="29" t="str">
        <f>IF(OR($C884="",$G884="",$H884&lt;&gt;"Fait"),"",MIN($G884,MAX(0,SUMIFS($G$5:$G884,$C$5:$C884,$C884,$H$5:$H884,"Fait")-SUMIFS(Paiements!$I$5:$I$2000,Paiements!$C$5:$C$2000,$C884,Paiements!$L$5:$L$2000,"Payé"))))</f>
        <v/>
      </c>
      <c r="J884" s="30" t="str">
        <f t="shared" si="27"/>
        <v/>
      </c>
      <c r="K884" s="14"/>
      <c r="L884" s="17" t="str">
        <f>IF(AND($C884&lt;&gt;"",$C884=Controle_Paiement!$B$4,$J884&lt;&gt;"Payé",$J884&lt;&gt;"Annulé",$J884&lt;&gt;""),1,"")</f>
        <v/>
      </c>
    </row>
    <row r="885" spans="1:12" x14ac:dyDescent="0.35">
      <c r="A885" s="18"/>
      <c r="B885" s="27"/>
      <c r="C885" s="14"/>
      <c r="D885" s="14"/>
      <c r="E885" s="19"/>
      <c r="F885" s="19"/>
      <c r="G885" s="28" t="str">
        <f t="shared" si="26"/>
        <v/>
      </c>
      <c r="H885" s="14"/>
      <c r="I885" s="29" t="str">
        <f>IF(OR($C885="",$G885="",$H885&lt;&gt;"Fait"),"",MIN($G885,MAX(0,SUMIFS($G$5:$G885,$C$5:$C885,$C885,$H$5:$H885,"Fait")-SUMIFS(Paiements!$I$5:$I$2000,Paiements!$C$5:$C$2000,$C885,Paiements!$L$5:$L$2000,"Payé"))))</f>
        <v/>
      </c>
      <c r="J885" s="30" t="str">
        <f t="shared" si="27"/>
        <v/>
      </c>
      <c r="K885" s="14"/>
      <c r="L885" s="17" t="str">
        <f>IF(AND($C885&lt;&gt;"",$C885=Controle_Paiement!$B$4,$J885&lt;&gt;"Payé",$J885&lt;&gt;"Annulé",$J885&lt;&gt;""),1,"")</f>
        <v/>
      </c>
    </row>
    <row r="886" spans="1:12" x14ac:dyDescent="0.35">
      <c r="A886" s="18"/>
      <c r="B886" s="27"/>
      <c r="C886" s="14"/>
      <c r="D886" s="14"/>
      <c r="E886" s="19"/>
      <c r="F886" s="19"/>
      <c r="G886" s="28" t="str">
        <f t="shared" si="26"/>
        <v/>
      </c>
      <c r="H886" s="14"/>
      <c r="I886" s="29" t="str">
        <f>IF(OR($C886="",$G886="",$H886&lt;&gt;"Fait"),"",MIN($G886,MAX(0,SUMIFS($G$5:$G886,$C$5:$C886,$C886,$H$5:$H886,"Fait")-SUMIFS(Paiements!$I$5:$I$2000,Paiements!$C$5:$C$2000,$C886,Paiements!$L$5:$L$2000,"Payé"))))</f>
        <v/>
      </c>
      <c r="J886" s="30" t="str">
        <f t="shared" si="27"/>
        <v/>
      </c>
      <c r="K886" s="14"/>
      <c r="L886" s="17" t="str">
        <f>IF(AND($C886&lt;&gt;"",$C886=Controle_Paiement!$B$4,$J886&lt;&gt;"Payé",$J886&lt;&gt;"Annulé",$J886&lt;&gt;""),1,"")</f>
        <v/>
      </c>
    </row>
    <row r="887" spans="1:12" x14ac:dyDescent="0.35">
      <c r="A887" s="18"/>
      <c r="B887" s="27"/>
      <c r="C887" s="14"/>
      <c r="D887" s="14"/>
      <c r="E887" s="19"/>
      <c r="F887" s="19"/>
      <c r="G887" s="28" t="str">
        <f t="shared" si="26"/>
        <v/>
      </c>
      <c r="H887" s="14"/>
      <c r="I887" s="29" t="str">
        <f>IF(OR($C887="",$G887="",$H887&lt;&gt;"Fait"),"",MIN($G887,MAX(0,SUMIFS($G$5:$G887,$C$5:$C887,$C887,$H$5:$H887,"Fait")-SUMIFS(Paiements!$I$5:$I$2000,Paiements!$C$5:$C$2000,$C887,Paiements!$L$5:$L$2000,"Payé"))))</f>
        <v/>
      </c>
      <c r="J887" s="30" t="str">
        <f t="shared" si="27"/>
        <v/>
      </c>
      <c r="K887" s="14"/>
      <c r="L887" s="17" t="str">
        <f>IF(AND($C887&lt;&gt;"",$C887=Controle_Paiement!$B$4,$J887&lt;&gt;"Payé",$J887&lt;&gt;"Annulé",$J887&lt;&gt;""),1,"")</f>
        <v/>
      </c>
    </row>
    <row r="888" spans="1:12" x14ac:dyDescent="0.35">
      <c r="A888" s="18"/>
      <c r="B888" s="27"/>
      <c r="C888" s="14"/>
      <c r="D888" s="14"/>
      <c r="E888" s="19"/>
      <c r="F888" s="19"/>
      <c r="G888" s="28" t="str">
        <f t="shared" si="26"/>
        <v/>
      </c>
      <c r="H888" s="14"/>
      <c r="I888" s="29" t="str">
        <f>IF(OR($C888="",$G888="",$H888&lt;&gt;"Fait"),"",MIN($G888,MAX(0,SUMIFS($G$5:$G888,$C$5:$C888,$C888,$H$5:$H888,"Fait")-SUMIFS(Paiements!$I$5:$I$2000,Paiements!$C$5:$C$2000,$C888,Paiements!$L$5:$L$2000,"Payé"))))</f>
        <v/>
      </c>
      <c r="J888" s="30" t="str">
        <f t="shared" si="27"/>
        <v/>
      </c>
      <c r="K888" s="14"/>
      <c r="L888" s="17" t="str">
        <f>IF(AND($C888&lt;&gt;"",$C888=Controle_Paiement!$B$4,$J888&lt;&gt;"Payé",$J888&lt;&gt;"Annulé",$J888&lt;&gt;""),1,"")</f>
        <v/>
      </c>
    </row>
    <row r="889" spans="1:12" x14ac:dyDescent="0.35">
      <c r="A889" s="18"/>
      <c r="B889" s="27"/>
      <c r="C889" s="14"/>
      <c r="D889" s="14"/>
      <c r="E889" s="19"/>
      <c r="F889" s="19"/>
      <c r="G889" s="28" t="str">
        <f t="shared" si="26"/>
        <v/>
      </c>
      <c r="H889" s="14"/>
      <c r="I889" s="29" t="str">
        <f>IF(OR($C889="",$G889="",$H889&lt;&gt;"Fait"),"",MIN($G889,MAX(0,SUMIFS($G$5:$G889,$C$5:$C889,$C889,$H$5:$H889,"Fait")-SUMIFS(Paiements!$I$5:$I$2000,Paiements!$C$5:$C$2000,$C889,Paiements!$L$5:$L$2000,"Payé"))))</f>
        <v/>
      </c>
      <c r="J889" s="30" t="str">
        <f t="shared" si="27"/>
        <v/>
      </c>
      <c r="K889" s="14"/>
      <c r="L889" s="17" t="str">
        <f>IF(AND($C889&lt;&gt;"",$C889=Controle_Paiement!$B$4,$J889&lt;&gt;"Payé",$J889&lt;&gt;"Annulé",$J889&lt;&gt;""),1,"")</f>
        <v/>
      </c>
    </row>
    <row r="890" spans="1:12" x14ac:dyDescent="0.35">
      <c r="A890" s="18"/>
      <c r="B890" s="27"/>
      <c r="C890" s="14"/>
      <c r="D890" s="14"/>
      <c r="E890" s="19"/>
      <c r="F890" s="19"/>
      <c r="G890" s="28" t="str">
        <f t="shared" si="26"/>
        <v/>
      </c>
      <c r="H890" s="14"/>
      <c r="I890" s="29" t="str">
        <f>IF(OR($C890="",$G890="",$H890&lt;&gt;"Fait"),"",MIN($G890,MAX(0,SUMIFS($G$5:$G890,$C$5:$C890,$C890,$H$5:$H890,"Fait")-SUMIFS(Paiements!$I$5:$I$2000,Paiements!$C$5:$C$2000,$C890,Paiements!$L$5:$L$2000,"Payé"))))</f>
        <v/>
      </c>
      <c r="J890" s="30" t="str">
        <f t="shared" si="27"/>
        <v/>
      </c>
      <c r="K890" s="14"/>
      <c r="L890" s="17" t="str">
        <f>IF(AND($C890&lt;&gt;"",$C890=Controle_Paiement!$B$4,$J890&lt;&gt;"Payé",$J890&lt;&gt;"Annulé",$J890&lt;&gt;""),1,"")</f>
        <v/>
      </c>
    </row>
    <row r="891" spans="1:12" x14ac:dyDescent="0.35">
      <c r="A891" s="18"/>
      <c r="B891" s="27"/>
      <c r="C891" s="14"/>
      <c r="D891" s="14"/>
      <c r="E891" s="19"/>
      <c r="F891" s="19"/>
      <c r="G891" s="28" t="str">
        <f t="shared" si="26"/>
        <v/>
      </c>
      <c r="H891" s="14"/>
      <c r="I891" s="29" t="str">
        <f>IF(OR($C891="",$G891="",$H891&lt;&gt;"Fait"),"",MIN($G891,MAX(0,SUMIFS($G$5:$G891,$C$5:$C891,$C891,$H$5:$H891,"Fait")-SUMIFS(Paiements!$I$5:$I$2000,Paiements!$C$5:$C$2000,$C891,Paiements!$L$5:$L$2000,"Payé"))))</f>
        <v/>
      </c>
      <c r="J891" s="30" t="str">
        <f t="shared" si="27"/>
        <v/>
      </c>
      <c r="K891" s="14"/>
      <c r="L891" s="17" t="str">
        <f>IF(AND($C891&lt;&gt;"",$C891=Controle_Paiement!$B$4,$J891&lt;&gt;"Payé",$J891&lt;&gt;"Annulé",$J891&lt;&gt;""),1,"")</f>
        <v/>
      </c>
    </row>
    <row r="892" spans="1:12" x14ac:dyDescent="0.35">
      <c r="A892" s="18"/>
      <c r="B892" s="27"/>
      <c r="C892" s="14"/>
      <c r="D892" s="14"/>
      <c r="E892" s="19"/>
      <c r="F892" s="19"/>
      <c r="G892" s="28" t="str">
        <f t="shared" si="26"/>
        <v/>
      </c>
      <c r="H892" s="14"/>
      <c r="I892" s="29" t="str">
        <f>IF(OR($C892="",$G892="",$H892&lt;&gt;"Fait"),"",MIN($G892,MAX(0,SUMIFS($G$5:$G892,$C$5:$C892,$C892,$H$5:$H892,"Fait")-SUMIFS(Paiements!$I$5:$I$2000,Paiements!$C$5:$C$2000,$C892,Paiements!$L$5:$L$2000,"Payé"))))</f>
        <v/>
      </c>
      <c r="J892" s="30" t="str">
        <f t="shared" si="27"/>
        <v/>
      </c>
      <c r="K892" s="14"/>
      <c r="L892" s="17" t="str">
        <f>IF(AND($C892&lt;&gt;"",$C892=Controle_Paiement!$B$4,$J892&lt;&gt;"Payé",$J892&lt;&gt;"Annulé",$J892&lt;&gt;""),1,"")</f>
        <v/>
      </c>
    </row>
    <row r="893" spans="1:12" x14ac:dyDescent="0.35">
      <c r="A893" s="18"/>
      <c r="B893" s="27"/>
      <c r="C893" s="14"/>
      <c r="D893" s="14"/>
      <c r="E893" s="19"/>
      <c r="F893" s="19"/>
      <c r="G893" s="28" t="str">
        <f t="shared" si="26"/>
        <v/>
      </c>
      <c r="H893" s="14"/>
      <c r="I893" s="29" t="str">
        <f>IF(OR($C893="",$G893="",$H893&lt;&gt;"Fait"),"",MIN($G893,MAX(0,SUMIFS($G$5:$G893,$C$5:$C893,$C893,$H$5:$H893,"Fait")-SUMIFS(Paiements!$I$5:$I$2000,Paiements!$C$5:$C$2000,$C893,Paiements!$L$5:$L$2000,"Payé"))))</f>
        <v/>
      </c>
      <c r="J893" s="30" t="str">
        <f t="shared" si="27"/>
        <v/>
      </c>
      <c r="K893" s="14"/>
      <c r="L893" s="17" t="str">
        <f>IF(AND($C893&lt;&gt;"",$C893=Controle_Paiement!$B$4,$J893&lt;&gt;"Payé",$J893&lt;&gt;"Annulé",$J893&lt;&gt;""),1,"")</f>
        <v/>
      </c>
    </row>
    <row r="894" spans="1:12" x14ac:dyDescent="0.35">
      <c r="A894" s="18"/>
      <c r="B894" s="27"/>
      <c r="C894" s="14"/>
      <c r="D894" s="14"/>
      <c r="E894" s="19"/>
      <c r="F894" s="19"/>
      <c r="G894" s="28" t="str">
        <f t="shared" si="26"/>
        <v/>
      </c>
      <c r="H894" s="14"/>
      <c r="I894" s="29" t="str">
        <f>IF(OR($C894="",$G894="",$H894&lt;&gt;"Fait"),"",MIN($G894,MAX(0,SUMIFS($G$5:$G894,$C$5:$C894,$C894,$H$5:$H894,"Fait")-SUMIFS(Paiements!$I$5:$I$2000,Paiements!$C$5:$C$2000,$C894,Paiements!$L$5:$L$2000,"Payé"))))</f>
        <v/>
      </c>
      <c r="J894" s="30" t="str">
        <f t="shared" si="27"/>
        <v/>
      </c>
      <c r="K894" s="14"/>
      <c r="L894" s="17" t="str">
        <f>IF(AND($C894&lt;&gt;"",$C894=Controle_Paiement!$B$4,$J894&lt;&gt;"Payé",$J894&lt;&gt;"Annulé",$J894&lt;&gt;""),1,"")</f>
        <v/>
      </c>
    </row>
    <row r="895" spans="1:12" x14ac:dyDescent="0.35">
      <c r="A895" s="18"/>
      <c r="B895" s="27"/>
      <c r="C895" s="14"/>
      <c r="D895" s="14"/>
      <c r="E895" s="19"/>
      <c r="F895" s="19"/>
      <c r="G895" s="28" t="str">
        <f t="shared" si="26"/>
        <v/>
      </c>
      <c r="H895" s="14"/>
      <c r="I895" s="29" t="str">
        <f>IF(OR($C895="",$G895="",$H895&lt;&gt;"Fait"),"",MIN($G895,MAX(0,SUMIFS($G$5:$G895,$C$5:$C895,$C895,$H$5:$H895,"Fait")-SUMIFS(Paiements!$I$5:$I$2000,Paiements!$C$5:$C$2000,$C895,Paiements!$L$5:$L$2000,"Payé"))))</f>
        <v/>
      </c>
      <c r="J895" s="30" t="str">
        <f t="shared" si="27"/>
        <v/>
      </c>
      <c r="K895" s="14"/>
      <c r="L895" s="17" t="str">
        <f>IF(AND($C895&lt;&gt;"",$C895=Controle_Paiement!$B$4,$J895&lt;&gt;"Payé",$J895&lt;&gt;"Annulé",$J895&lt;&gt;""),1,"")</f>
        <v/>
      </c>
    </row>
    <row r="896" spans="1:12" x14ac:dyDescent="0.35">
      <c r="A896" s="18"/>
      <c r="B896" s="27"/>
      <c r="C896" s="14"/>
      <c r="D896" s="14"/>
      <c r="E896" s="19"/>
      <c r="F896" s="19"/>
      <c r="G896" s="28" t="str">
        <f t="shared" si="26"/>
        <v/>
      </c>
      <c r="H896" s="14"/>
      <c r="I896" s="29" t="str">
        <f>IF(OR($C896="",$G896="",$H896&lt;&gt;"Fait"),"",MIN($G896,MAX(0,SUMIFS($G$5:$G896,$C$5:$C896,$C896,$H$5:$H896,"Fait")-SUMIFS(Paiements!$I$5:$I$2000,Paiements!$C$5:$C$2000,$C896,Paiements!$L$5:$L$2000,"Payé"))))</f>
        <v/>
      </c>
      <c r="J896" s="30" t="str">
        <f t="shared" si="27"/>
        <v/>
      </c>
      <c r="K896" s="14"/>
      <c r="L896" s="17" t="str">
        <f>IF(AND($C896&lt;&gt;"",$C896=Controle_Paiement!$B$4,$J896&lt;&gt;"Payé",$J896&lt;&gt;"Annulé",$J896&lt;&gt;""),1,"")</f>
        <v/>
      </c>
    </row>
    <row r="897" spans="1:12" x14ac:dyDescent="0.35">
      <c r="A897" s="18"/>
      <c r="B897" s="27"/>
      <c r="C897" s="14"/>
      <c r="D897" s="14"/>
      <c r="E897" s="19"/>
      <c r="F897" s="19"/>
      <c r="G897" s="28" t="str">
        <f t="shared" si="26"/>
        <v/>
      </c>
      <c r="H897" s="14"/>
      <c r="I897" s="29" t="str">
        <f>IF(OR($C897="",$G897="",$H897&lt;&gt;"Fait"),"",MIN($G897,MAX(0,SUMIFS($G$5:$G897,$C$5:$C897,$C897,$H$5:$H897,"Fait")-SUMIFS(Paiements!$I$5:$I$2000,Paiements!$C$5:$C$2000,$C897,Paiements!$L$5:$L$2000,"Payé"))))</f>
        <v/>
      </c>
      <c r="J897" s="30" t="str">
        <f t="shared" si="27"/>
        <v/>
      </c>
      <c r="K897" s="14"/>
      <c r="L897" s="17" t="str">
        <f>IF(AND($C897&lt;&gt;"",$C897=Controle_Paiement!$B$4,$J897&lt;&gt;"Payé",$J897&lt;&gt;"Annulé",$J897&lt;&gt;""),1,"")</f>
        <v/>
      </c>
    </row>
    <row r="898" spans="1:12" x14ac:dyDescent="0.35">
      <c r="A898" s="18"/>
      <c r="B898" s="27"/>
      <c r="C898" s="14"/>
      <c r="D898" s="14"/>
      <c r="E898" s="19"/>
      <c r="F898" s="19"/>
      <c r="G898" s="28" t="str">
        <f t="shared" si="26"/>
        <v/>
      </c>
      <c r="H898" s="14"/>
      <c r="I898" s="29" t="str">
        <f>IF(OR($C898="",$G898="",$H898&lt;&gt;"Fait"),"",MIN($G898,MAX(0,SUMIFS($G$5:$G898,$C$5:$C898,$C898,$H$5:$H898,"Fait")-SUMIFS(Paiements!$I$5:$I$2000,Paiements!$C$5:$C$2000,$C898,Paiements!$L$5:$L$2000,"Payé"))))</f>
        <v/>
      </c>
      <c r="J898" s="30" t="str">
        <f t="shared" si="27"/>
        <v/>
      </c>
      <c r="K898" s="14"/>
      <c r="L898" s="17" t="str">
        <f>IF(AND($C898&lt;&gt;"",$C898=Controle_Paiement!$B$4,$J898&lt;&gt;"Payé",$J898&lt;&gt;"Annulé",$J898&lt;&gt;""),1,"")</f>
        <v/>
      </c>
    </row>
    <row r="899" spans="1:12" x14ac:dyDescent="0.35">
      <c r="A899" s="18"/>
      <c r="B899" s="27"/>
      <c r="C899" s="14"/>
      <c r="D899" s="14"/>
      <c r="E899" s="19"/>
      <c r="F899" s="19"/>
      <c r="G899" s="28" t="str">
        <f t="shared" ref="G899:G962" si="28">IF(OR($E899="",$F899=""),"",ROUND($E899*$F899,0))</f>
        <v/>
      </c>
      <c r="H899" s="14"/>
      <c r="I899" s="29" t="str">
        <f>IF(OR($C899="",$G899="",$H899&lt;&gt;"Fait"),"",MIN($G899,MAX(0,SUMIFS($G$5:$G899,$C$5:$C899,$C899,$H$5:$H899,"Fait")-SUMIFS(Paiements!$I$5:$I$2000,Paiements!$C$5:$C$2000,$C899,Paiements!$L$5:$L$2000,"Payé"))))</f>
        <v/>
      </c>
      <c r="J899" s="30" t="str">
        <f t="shared" ref="J899:J962" si="29">IF(OR($C899="",$G899=""),"",IF($H899="Annulé","Annulé",IF($H899&lt;&gt;"Fait","Non payable (déchargement non fait)",IF($I899=0,"Payé",IF($I899&lt;$G899,"Partiellement payé","À payer")))))</f>
        <v/>
      </c>
      <c r="K899" s="14"/>
      <c r="L899" s="17" t="str">
        <f>IF(AND($C899&lt;&gt;"",$C899=Controle_Paiement!$B$4,$J899&lt;&gt;"Payé",$J899&lt;&gt;"Annulé",$J899&lt;&gt;""),1,"")</f>
        <v/>
      </c>
    </row>
    <row r="900" spans="1:12" x14ac:dyDescent="0.35">
      <c r="A900" s="18"/>
      <c r="B900" s="27"/>
      <c r="C900" s="14"/>
      <c r="D900" s="14"/>
      <c r="E900" s="19"/>
      <c r="F900" s="19"/>
      <c r="G900" s="28" t="str">
        <f t="shared" si="28"/>
        <v/>
      </c>
      <c r="H900" s="14"/>
      <c r="I900" s="29" t="str">
        <f>IF(OR($C900="",$G900="",$H900&lt;&gt;"Fait"),"",MIN($G900,MAX(0,SUMIFS($G$5:$G900,$C$5:$C900,$C900,$H$5:$H900,"Fait")-SUMIFS(Paiements!$I$5:$I$2000,Paiements!$C$5:$C$2000,$C900,Paiements!$L$5:$L$2000,"Payé"))))</f>
        <v/>
      </c>
      <c r="J900" s="30" t="str">
        <f t="shared" si="29"/>
        <v/>
      </c>
      <c r="K900" s="14"/>
      <c r="L900" s="17" t="str">
        <f>IF(AND($C900&lt;&gt;"",$C900=Controle_Paiement!$B$4,$J900&lt;&gt;"Payé",$J900&lt;&gt;"Annulé",$J900&lt;&gt;""),1,"")</f>
        <v/>
      </c>
    </row>
    <row r="901" spans="1:12" x14ac:dyDescent="0.35">
      <c r="A901" s="18"/>
      <c r="B901" s="27"/>
      <c r="C901" s="14"/>
      <c r="D901" s="14"/>
      <c r="E901" s="19"/>
      <c r="F901" s="19"/>
      <c r="G901" s="28" t="str">
        <f t="shared" si="28"/>
        <v/>
      </c>
      <c r="H901" s="14"/>
      <c r="I901" s="29" t="str">
        <f>IF(OR($C901="",$G901="",$H901&lt;&gt;"Fait"),"",MIN($G901,MAX(0,SUMIFS($G$5:$G901,$C$5:$C901,$C901,$H$5:$H901,"Fait")-SUMIFS(Paiements!$I$5:$I$2000,Paiements!$C$5:$C$2000,$C901,Paiements!$L$5:$L$2000,"Payé"))))</f>
        <v/>
      </c>
      <c r="J901" s="30" t="str">
        <f t="shared" si="29"/>
        <v/>
      </c>
      <c r="K901" s="14"/>
      <c r="L901" s="17" t="str">
        <f>IF(AND($C901&lt;&gt;"",$C901=Controle_Paiement!$B$4,$J901&lt;&gt;"Payé",$J901&lt;&gt;"Annulé",$J901&lt;&gt;""),1,"")</f>
        <v/>
      </c>
    </row>
    <row r="902" spans="1:12" x14ac:dyDescent="0.35">
      <c r="A902" s="18"/>
      <c r="B902" s="27"/>
      <c r="C902" s="14"/>
      <c r="D902" s="14"/>
      <c r="E902" s="19"/>
      <c r="F902" s="19"/>
      <c r="G902" s="28" t="str">
        <f t="shared" si="28"/>
        <v/>
      </c>
      <c r="H902" s="14"/>
      <c r="I902" s="29" t="str">
        <f>IF(OR($C902="",$G902="",$H902&lt;&gt;"Fait"),"",MIN($G902,MAX(0,SUMIFS($G$5:$G902,$C$5:$C902,$C902,$H$5:$H902,"Fait")-SUMIFS(Paiements!$I$5:$I$2000,Paiements!$C$5:$C$2000,$C902,Paiements!$L$5:$L$2000,"Payé"))))</f>
        <v/>
      </c>
      <c r="J902" s="30" t="str">
        <f t="shared" si="29"/>
        <v/>
      </c>
      <c r="K902" s="14"/>
      <c r="L902" s="17" t="str">
        <f>IF(AND($C902&lt;&gt;"",$C902=Controle_Paiement!$B$4,$J902&lt;&gt;"Payé",$J902&lt;&gt;"Annulé",$J902&lt;&gt;""),1,"")</f>
        <v/>
      </c>
    </row>
    <row r="903" spans="1:12" x14ac:dyDescent="0.35">
      <c r="A903" s="18"/>
      <c r="B903" s="27"/>
      <c r="C903" s="14"/>
      <c r="D903" s="14"/>
      <c r="E903" s="19"/>
      <c r="F903" s="19"/>
      <c r="G903" s="28" t="str">
        <f t="shared" si="28"/>
        <v/>
      </c>
      <c r="H903" s="14"/>
      <c r="I903" s="29" t="str">
        <f>IF(OR($C903="",$G903="",$H903&lt;&gt;"Fait"),"",MIN($G903,MAX(0,SUMIFS($G$5:$G903,$C$5:$C903,$C903,$H$5:$H903,"Fait")-SUMIFS(Paiements!$I$5:$I$2000,Paiements!$C$5:$C$2000,$C903,Paiements!$L$5:$L$2000,"Payé"))))</f>
        <v/>
      </c>
      <c r="J903" s="30" t="str">
        <f t="shared" si="29"/>
        <v/>
      </c>
      <c r="K903" s="14"/>
      <c r="L903" s="17" t="str">
        <f>IF(AND($C903&lt;&gt;"",$C903=Controle_Paiement!$B$4,$J903&lt;&gt;"Payé",$J903&lt;&gt;"Annulé",$J903&lt;&gt;""),1,"")</f>
        <v/>
      </c>
    </row>
    <row r="904" spans="1:12" x14ac:dyDescent="0.35">
      <c r="A904" s="18"/>
      <c r="B904" s="27"/>
      <c r="C904" s="14"/>
      <c r="D904" s="14"/>
      <c r="E904" s="19"/>
      <c r="F904" s="19"/>
      <c r="G904" s="28" t="str">
        <f t="shared" si="28"/>
        <v/>
      </c>
      <c r="H904" s="14"/>
      <c r="I904" s="29" t="str">
        <f>IF(OR($C904="",$G904="",$H904&lt;&gt;"Fait"),"",MIN($G904,MAX(0,SUMIFS($G$5:$G904,$C$5:$C904,$C904,$H$5:$H904,"Fait")-SUMIFS(Paiements!$I$5:$I$2000,Paiements!$C$5:$C$2000,$C904,Paiements!$L$5:$L$2000,"Payé"))))</f>
        <v/>
      </c>
      <c r="J904" s="30" t="str">
        <f t="shared" si="29"/>
        <v/>
      </c>
      <c r="K904" s="14"/>
      <c r="L904" s="17" t="str">
        <f>IF(AND($C904&lt;&gt;"",$C904=Controle_Paiement!$B$4,$J904&lt;&gt;"Payé",$J904&lt;&gt;"Annulé",$J904&lt;&gt;""),1,"")</f>
        <v/>
      </c>
    </row>
    <row r="905" spans="1:12" x14ac:dyDescent="0.35">
      <c r="A905" s="18"/>
      <c r="B905" s="27"/>
      <c r="C905" s="14"/>
      <c r="D905" s="14"/>
      <c r="E905" s="19"/>
      <c r="F905" s="19"/>
      <c r="G905" s="28" t="str">
        <f t="shared" si="28"/>
        <v/>
      </c>
      <c r="H905" s="14"/>
      <c r="I905" s="29" t="str">
        <f>IF(OR($C905="",$G905="",$H905&lt;&gt;"Fait"),"",MIN($G905,MAX(0,SUMIFS($G$5:$G905,$C$5:$C905,$C905,$H$5:$H905,"Fait")-SUMIFS(Paiements!$I$5:$I$2000,Paiements!$C$5:$C$2000,$C905,Paiements!$L$5:$L$2000,"Payé"))))</f>
        <v/>
      </c>
      <c r="J905" s="30" t="str">
        <f t="shared" si="29"/>
        <v/>
      </c>
      <c r="K905" s="14"/>
      <c r="L905" s="17" t="str">
        <f>IF(AND($C905&lt;&gt;"",$C905=Controle_Paiement!$B$4,$J905&lt;&gt;"Payé",$J905&lt;&gt;"Annulé",$J905&lt;&gt;""),1,"")</f>
        <v/>
      </c>
    </row>
    <row r="906" spans="1:12" x14ac:dyDescent="0.35">
      <c r="A906" s="18"/>
      <c r="B906" s="27"/>
      <c r="C906" s="14"/>
      <c r="D906" s="14"/>
      <c r="E906" s="19"/>
      <c r="F906" s="19"/>
      <c r="G906" s="28" t="str">
        <f t="shared" si="28"/>
        <v/>
      </c>
      <c r="H906" s="14"/>
      <c r="I906" s="29" t="str">
        <f>IF(OR($C906="",$G906="",$H906&lt;&gt;"Fait"),"",MIN($G906,MAX(0,SUMIFS($G$5:$G906,$C$5:$C906,$C906,$H$5:$H906,"Fait")-SUMIFS(Paiements!$I$5:$I$2000,Paiements!$C$5:$C$2000,$C906,Paiements!$L$5:$L$2000,"Payé"))))</f>
        <v/>
      </c>
      <c r="J906" s="30" t="str">
        <f t="shared" si="29"/>
        <v/>
      </c>
      <c r="K906" s="14"/>
      <c r="L906" s="17" t="str">
        <f>IF(AND($C906&lt;&gt;"",$C906=Controle_Paiement!$B$4,$J906&lt;&gt;"Payé",$J906&lt;&gt;"Annulé",$J906&lt;&gt;""),1,"")</f>
        <v/>
      </c>
    </row>
    <row r="907" spans="1:12" x14ac:dyDescent="0.35">
      <c r="A907" s="18"/>
      <c r="B907" s="27"/>
      <c r="C907" s="14"/>
      <c r="D907" s="14"/>
      <c r="E907" s="19"/>
      <c r="F907" s="19"/>
      <c r="G907" s="28" t="str">
        <f t="shared" si="28"/>
        <v/>
      </c>
      <c r="H907" s="14"/>
      <c r="I907" s="29" t="str">
        <f>IF(OR($C907="",$G907="",$H907&lt;&gt;"Fait"),"",MIN($G907,MAX(0,SUMIFS($G$5:$G907,$C$5:$C907,$C907,$H$5:$H907,"Fait")-SUMIFS(Paiements!$I$5:$I$2000,Paiements!$C$5:$C$2000,$C907,Paiements!$L$5:$L$2000,"Payé"))))</f>
        <v/>
      </c>
      <c r="J907" s="30" t="str">
        <f t="shared" si="29"/>
        <v/>
      </c>
      <c r="K907" s="14"/>
      <c r="L907" s="17" t="str">
        <f>IF(AND($C907&lt;&gt;"",$C907=Controle_Paiement!$B$4,$J907&lt;&gt;"Payé",$J907&lt;&gt;"Annulé",$J907&lt;&gt;""),1,"")</f>
        <v/>
      </c>
    </row>
    <row r="908" spans="1:12" x14ac:dyDescent="0.35">
      <c r="A908" s="18"/>
      <c r="B908" s="27"/>
      <c r="C908" s="14"/>
      <c r="D908" s="14"/>
      <c r="E908" s="19"/>
      <c r="F908" s="19"/>
      <c r="G908" s="28" t="str">
        <f t="shared" si="28"/>
        <v/>
      </c>
      <c r="H908" s="14"/>
      <c r="I908" s="29" t="str">
        <f>IF(OR($C908="",$G908="",$H908&lt;&gt;"Fait"),"",MIN($G908,MAX(0,SUMIFS($G$5:$G908,$C$5:$C908,$C908,$H$5:$H908,"Fait")-SUMIFS(Paiements!$I$5:$I$2000,Paiements!$C$5:$C$2000,$C908,Paiements!$L$5:$L$2000,"Payé"))))</f>
        <v/>
      </c>
      <c r="J908" s="30" t="str">
        <f t="shared" si="29"/>
        <v/>
      </c>
      <c r="K908" s="14"/>
      <c r="L908" s="17" t="str">
        <f>IF(AND($C908&lt;&gt;"",$C908=Controle_Paiement!$B$4,$J908&lt;&gt;"Payé",$J908&lt;&gt;"Annulé",$J908&lt;&gt;""),1,"")</f>
        <v/>
      </c>
    </row>
    <row r="909" spans="1:12" x14ac:dyDescent="0.35">
      <c r="A909" s="18"/>
      <c r="B909" s="27"/>
      <c r="C909" s="14"/>
      <c r="D909" s="14"/>
      <c r="E909" s="19"/>
      <c r="F909" s="19"/>
      <c r="G909" s="28" t="str">
        <f t="shared" si="28"/>
        <v/>
      </c>
      <c r="H909" s="14"/>
      <c r="I909" s="29" t="str">
        <f>IF(OR($C909="",$G909="",$H909&lt;&gt;"Fait"),"",MIN($G909,MAX(0,SUMIFS($G$5:$G909,$C$5:$C909,$C909,$H$5:$H909,"Fait")-SUMIFS(Paiements!$I$5:$I$2000,Paiements!$C$5:$C$2000,$C909,Paiements!$L$5:$L$2000,"Payé"))))</f>
        <v/>
      </c>
      <c r="J909" s="30" t="str">
        <f t="shared" si="29"/>
        <v/>
      </c>
      <c r="K909" s="14"/>
      <c r="L909" s="17" t="str">
        <f>IF(AND($C909&lt;&gt;"",$C909=Controle_Paiement!$B$4,$J909&lt;&gt;"Payé",$J909&lt;&gt;"Annulé",$J909&lt;&gt;""),1,"")</f>
        <v/>
      </c>
    </row>
    <row r="910" spans="1:12" x14ac:dyDescent="0.35">
      <c r="A910" s="18"/>
      <c r="B910" s="27"/>
      <c r="C910" s="14"/>
      <c r="D910" s="14"/>
      <c r="E910" s="19"/>
      <c r="F910" s="19"/>
      <c r="G910" s="28" t="str">
        <f t="shared" si="28"/>
        <v/>
      </c>
      <c r="H910" s="14"/>
      <c r="I910" s="29" t="str">
        <f>IF(OR($C910="",$G910="",$H910&lt;&gt;"Fait"),"",MIN($G910,MAX(0,SUMIFS($G$5:$G910,$C$5:$C910,$C910,$H$5:$H910,"Fait")-SUMIFS(Paiements!$I$5:$I$2000,Paiements!$C$5:$C$2000,$C910,Paiements!$L$5:$L$2000,"Payé"))))</f>
        <v/>
      </c>
      <c r="J910" s="30" t="str">
        <f t="shared" si="29"/>
        <v/>
      </c>
      <c r="K910" s="14"/>
      <c r="L910" s="17" t="str">
        <f>IF(AND($C910&lt;&gt;"",$C910=Controle_Paiement!$B$4,$J910&lt;&gt;"Payé",$J910&lt;&gt;"Annulé",$J910&lt;&gt;""),1,"")</f>
        <v/>
      </c>
    </row>
    <row r="911" spans="1:12" x14ac:dyDescent="0.35">
      <c r="A911" s="18"/>
      <c r="B911" s="27"/>
      <c r="C911" s="14"/>
      <c r="D911" s="14"/>
      <c r="E911" s="19"/>
      <c r="F911" s="19"/>
      <c r="G911" s="28" t="str">
        <f t="shared" si="28"/>
        <v/>
      </c>
      <c r="H911" s="14"/>
      <c r="I911" s="29" t="str">
        <f>IF(OR($C911="",$G911="",$H911&lt;&gt;"Fait"),"",MIN($G911,MAX(0,SUMIFS($G$5:$G911,$C$5:$C911,$C911,$H$5:$H911,"Fait")-SUMIFS(Paiements!$I$5:$I$2000,Paiements!$C$5:$C$2000,$C911,Paiements!$L$5:$L$2000,"Payé"))))</f>
        <v/>
      </c>
      <c r="J911" s="30" t="str">
        <f t="shared" si="29"/>
        <v/>
      </c>
      <c r="K911" s="14"/>
      <c r="L911" s="17" t="str">
        <f>IF(AND($C911&lt;&gt;"",$C911=Controle_Paiement!$B$4,$J911&lt;&gt;"Payé",$J911&lt;&gt;"Annulé",$J911&lt;&gt;""),1,"")</f>
        <v/>
      </c>
    </row>
    <row r="912" spans="1:12" x14ac:dyDescent="0.35">
      <c r="A912" s="18"/>
      <c r="B912" s="27"/>
      <c r="C912" s="14"/>
      <c r="D912" s="14"/>
      <c r="E912" s="19"/>
      <c r="F912" s="19"/>
      <c r="G912" s="28" t="str">
        <f t="shared" si="28"/>
        <v/>
      </c>
      <c r="H912" s="14"/>
      <c r="I912" s="29" t="str">
        <f>IF(OR($C912="",$G912="",$H912&lt;&gt;"Fait"),"",MIN($G912,MAX(0,SUMIFS($G$5:$G912,$C$5:$C912,$C912,$H$5:$H912,"Fait")-SUMIFS(Paiements!$I$5:$I$2000,Paiements!$C$5:$C$2000,$C912,Paiements!$L$5:$L$2000,"Payé"))))</f>
        <v/>
      </c>
      <c r="J912" s="30" t="str">
        <f t="shared" si="29"/>
        <v/>
      </c>
      <c r="K912" s="14"/>
      <c r="L912" s="17" t="str">
        <f>IF(AND($C912&lt;&gt;"",$C912=Controle_Paiement!$B$4,$J912&lt;&gt;"Payé",$J912&lt;&gt;"Annulé",$J912&lt;&gt;""),1,"")</f>
        <v/>
      </c>
    </row>
    <row r="913" spans="1:12" x14ac:dyDescent="0.35">
      <c r="A913" s="18"/>
      <c r="B913" s="27"/>
      <c r="C913" s="14"/>
      <c r="D913" s="14"/>
      <c r="E913" s="19"/>
      <c r="F913" s="19"/>
      <c r="G913" s="28" t="str">
        <f t="shared" si="28"/>
        <v/>
      </c>
      <c r="H913" s="14"/>
      <c r="I913" s="29" t="str">
        <f>IF(OR($C913="",$G913="",$H913&lt;&gt;"Fait"),"",MIN($G913,MAX(0,SUMIFS($G$5:$G913,$C$5:$C913,$C913,$H$5:$H913,"Fait")-SUMIFS(Paiements!$I$5:$I$2000,Paiements!$C$5:$C$2000,$C913,Paiements!$L$5:$L$2000,"Payé"))))</f>
        <v/>
      </c>
      <c r="J913" s="30" t="str">
        <f t="shared" si="29"/>
        <v/>
      </c>
      <c r="K913" s="14"/>
      <c r="L913" s="17" t="str">
        <f>IF(AND($C913&lt;&gt;"",$C913=Controle_Paiement!$B$4,$J913&lt;&gt;"Payé",$J913&lt;&gt;"Annulé",$J913&lt;&gt;""),1,"")</f>
        <v/>
      </c>
    </row>
    <row r="914" spans="1:12" x14ac:dyDescent="0.35">
      <c r="A914" s="18"/>
      <c r="B914" s="27"/>
      <c r="C914" s="14"/>
      <c r="D914" s="14"/>
      <c r="E914" s="19"/>
      <c r="F914" s="19"/>
      <c r="G914" s="28" t="str">
        <f t="shared" si="28"/>
        <v/>
      </c>
      <c r="H914" s="14"/>
      <c r="I914" s="29" t="str">
        <f>IF(OR($C914="",$G914="",$H914&lt;&gt;"Fait"),"",MIN($G914,MAX(0,SUMIFS($G$5:$G914,$C$5:$C914,$C914,$H$5:$H914,"Fait")-SUMIFS(Paiements!$I$5:$I$2000,Paiements!$C$5:$C$2000,$C914,Paiements!$L$5:$L$2000,"Payé"))))</f>
        <v/>
      </c>
      <c r="J914" s="30" t="str">
        <f t="shared" si="29"/>
        <v/>
      </c>
      <c r="K914" s="14"/>
      <c r="L914" s="17" t="str">
        <f>IF(AND($C914&lt;&gt;"",$C914=Controle_Paiement!$B$4,$J914&lt;&gt;"Payé",$J914&lt;&gt;"Annulé",$J914&lt;&gt;""),1,"")</f>
        <v/>
      </c>
    </row>
    <row r="915" spans="1:12" x14ac:dyDescent="0.35">
      <c r="A915" s="18"/>
      <c r="B915" s="27"/>
      <c r="C915" s="14"/>
      <c r="D915" s="14"/>
      <c r="E915" s="19"/>
      <c r="F915" s="19"/>
      <c r="G915" s="28" t="str">
        <f t="shared" si="28"/>
        <v/>
      </c>
      <c r="H915" s="14"/>
      <c r="I915" s="29" t="str">
        <f>IF(OR($C915="",$G915="",$H915&lt;&gt;"Fait"),"",MIN($G915,MAX(0,SUMIFS($G$5:$G915,$C$5:$C915,$C915,$H$5:$H915,"Fait")-SUMIFS(Paiements!$I$5:$I$2000,Paiements!$C$5:$C$2000,$C915,Paiements!$L$5:$L$2000,"Payé"))))</f>
        <v/>
      </c>
      <c r="J915" s="30" t="str">
        <f t="shared" si="29"/>
        <v/>
      </c>
      <c r="K915" s="14"/>
      <c r="L915" s="17" t="str">
        <f>IF(AND($C915&lt;&gt;"",$C915=Controle_Paiement!$B$4,$J915&lt;&gt;"Payé",$J915&lt;&gt;"Annulé",$J915&lt;&gt;""),1,"")</f>
        <v/>
      </c>
    </row>
    <row r="916" spans="1:12" x14ac:dyDescent="0.35">
      <c r="A916" s="18"/>
      <c r="B916" s="27"/>
      <c r="C916" s="14"/>
      <c r="D916" s="14"/>
      <c r="E916" s="19"/>
      <c r="F916" s="19"/>
      <c r="G916" s="28" t="str">
        <f t="shared" si="28"/>
        <v/>
      </c>
      <c r="H916" s="14"/>
      <c r="I916" s="29" t="str">
        <f>IF(OR($C916="",$G916="",$H916&lt;&gt;"Fait"),"",MIN($G916,MAX(0,SUMIFS($G$5:$G916,$C$5:$C916,$C916,$H$5:$H916,"Fait")-SUMIFS(Paiements!$I$5:$I$2000,Paiements!$C$5:$C$2000,$C916,Paiements!$L$5:$L$2000,"Payé"))))</f>
        <v/>
      </c>
      <c r="J916" s="30" t="str">
        <f t="shared" si="29"/>
        <v/>
      </c>
      <c r="K916" s="14"/>
      <c r="L916" s="17" t="str">
        <f>IF(AND($C916&lt;&gt;"",$C916=Controle_Paiement!$B$4,$J916&lt;&gt;"Payé",$J916&lt;&gt;"Annulé",$J916&lt;&gt;""),1,"")</f>
        <v/>
      </c>
    </row>
    <row r="917" spans="1:12" x14ac:dyDescent="0.35">
      <c r="A917" s="18"/>
      <c r="B917" s="27"/>
      <c r="C917" s="14"/>
      <c r="D917" s="14"/>
      <c r="E917" s="19"/>
      <c r="F917" s="19"/>
      <c r="G917" s="28" t="str">
        <f t="shared" si="28"/>
        <v/>
      </c>
      <c r="H917" s="14"/>
      <c r="I917" s="29" t="str">
        <f>IF(OR($C917="",$G917="",$H917&lt;&gt;"Fait"),"",MIN($G917,MAX(0,SUMIFS($G$5:$G917,$C$5:$C917,$C917,$H$5:$H917,"Fait")-SUMIFS(Paiements!$I$5:$I$2000,Paiements!$C$5:$C$2000,$C917,Paiements!$L$5:$L$2000,"Payé"))))</f>
        <v/>
      </c>
      <c r="J917" s="30" t="str">
        <f t="shared" si="29"/>
        <v/>
      </c>
      <c r="K917" s="14"/>
      <c r="L917" s="17" t="str">
        <f>IF(AND($C917&lt;&gt;"",$C917=Controle_Paiement!$B$4,$J917&lt;&gt;"Payé",$J917&lt;&gt;"Annulé",$J917&lt;&gt;""),1,"")</f>
        <v/>
      </c>
    </row>
    <row r="918" spans="1:12" x14ac:dyDescent="0.35">
      <c r="A918" s="18"/>
      <c r="B918" s="27"/>
      <c r="C918" s="14"/>
      <c r="D918" s="14"/>
      <c r="E918" s="19"/>
      <c r="F918" s="19"/>
      <c r="G918" s="28" t="str">
        <f t="shared" si="28"/>
        <v/>
      </c>
      <c r="H918" s="14"/>
      <c r="I918" s="29" t="str">
        <f>IF(OR($C918="",$G918="",$H918&lt;&gt;"Fait"),"",MIN($G918,MAX(0,SUMIFS($G$5:$G918,$C$5:$C918,$C918,$H$5:$H918,"Fait")-SUMIFS(Paiements!$I$5:$I$2000,Paiements!$C$5:$C$2000,$C918,Paiements!$L$5:$L$2000,"Payé"))))</f>
        <v/>
      </c>
      <c r="J918" s="30" t="str">
        <f t="shared" si="29"/>
        <v/>
      </c>
      <c r="K918" s="14"/>
      <c r="L918" s="17" t="str">
        <f>IF(AND($C918&lt;&gt;"",$C918=Controle_Paiement!$B$4,$J918&lt;&gt;"Payé",$J918&lt;&gt;"Annulé",$J918&lt;&gt;""),1,"")</f>
        <v/>
      </c>
    </row>
    <row r="919" spans="1:12" x14ac:dyDescent="0.35">
      <c r="A919" s="18"/>
      <c r="B919" s="27"/>
      <c r="C919" s="14"/>
      <c r="D919" s="14"/>
      <c r="E919" s="19"/>
      <c r="F919" s="19"/>
      <c r="G919" s="28" t="str">
        <f t="shared" si="28"/>
        <v/>
      </c>
      <c r="H919" s="14"/>
      <c r="I919" s="29" t="str">
        <f>IF(OR($C919="",$G919="",$H919&lt;&gt;"Fait"),"",MIN($G919,MAX(0,SUMIFS($G$5:$G919,$C$5:$C919,$C919,$H$5:$H919,"Fait")-SUMIFS(Paiements!$I$5:$I$2000,Paiements!$C$5:$C$2000,$C919,Paiements!$L$5:$L$2000,"Payé"))))</f>
        <v/>
      </c>
      <c r="J919" s="30" t="str">
        <f t="shared" si="29"/>
        <v/>
      </c>
      <c r="K919" s="14"/>
      <c r="L919" s="17" t="str">
        <f>IF(AND($C919&lt;&gt;"",$C919=Controle_Paiement!$B$4,$J919&lt;&gt;"Payé",$J919&lt;&gt;"Annulé",$J919&lt;&gt;""),1,"")</f>
        <v/>
      </c>
    </row>
    <row r="920" spans="1:12" x14ac:dyDescent="0.35">
      <c r="A920" s="18"/>
      <c r="B920" s="27"/>
      <c r="C920" s="14"/>
      <c r="D920" s="14"/>
      <c r="E920" s="19"/>
      <c r="F920" s="19"/>
      <c r="G920" s="28" t="str">
        <f t="shared" si="28"/>
        <v/>
      </c>
      <c r="H920" s="14"/>
      <c r="I920" s="29" t="str">
        <f>IF(OR($C920="",$G920="",$H920&lt;&gt;"Fait"),"",MIN($G920,MAX(0,SUMIFS($G$5:$G920,$C$5:$C920,$C920,$H$5:$H920,"Fait")-SUMIFS(Paiements!$I$5:$I$2000,Paiements!$C$5:$C$2000,$C920,Paiements!$L$5:$L$2000,"Payé"))))</f>
        <v/>
      </c>
      <c r="J920" s="30" t="str">
        <f t="shared" si="29"/>
        <v/>
      </c>
      <c r="K920" s="14"/>
      <c r="L920" s="17" t="str">
        <f>IF(AND($C920&lt;&gt;"",$C920=Controle_Paiement!$B$4,$J920&lt;&gt;"Payé",$J920&lt;&gt;"Annulé",$J920&lt;&gt;""),1,"")</f>
        <v/>
      </c>
    </row>
    <row r="921" spans="1:12" x14ac:dyDescent="0.35">
      <c r="A921" s="18"/>
      <c r="B921" s="27"/>
      <c r="C921" s="14"/>
      <c r="D921" s="14"/>
      <c r="E921" s="19"/>
      <c r="F921" s="19"/>
      <c r="G921" s="28" t="str">
        <f t="shared" si="28"/>
        <v/>
      </c>
      <c r="H921" s="14"/>
      <c r="I921" s="29" t="str">
        <f>IF(OR($C921="",$G921="",$H921&lt;&gt;"Fait"),"",MIN($G921,MAX(0,SUMIFS($G$5:$G921,$C$5:$C921,$C921,$H$5:$H921,"Fait")-SUMIFS(Paiements!$I$5:$I$2000,Paiements!$C$5:$C$2000,$C921,Paiements!$L$5:$L$2000,"Payé"))))</f>
        <v/>
      </c>
      <c r="J921" s="30" t="str">
        <f t="shared" si="29"/>
        <v/>
      </c>
      <c r="K921" s="14"/>
      <c r="L921" s="17" t="str">
        <f>IF(AND($C921&lt;&gt;"",$C921=Controle_Paiement!$B$4,$J921&lt;&gt;"Payé",$J921&lt;&gt;"Annulé",$J921&lt;&gt;""),1,"")</f>
        <v/>
      </c>
    </row>
    <row r="922" spans="1:12" x14ac:dyDescent="0.35">
      <c r="A922" s="18"/>
      <c r="B922" s="27"/>
      <c r="C922" s="14"/>
      <c r="D922" s="14"/>
      <c r="E922" s="19"/>
      <c r="F922" s="19"/>
      <c r="G922" s="28" t="str">
        <f t="shared" si="28"/>
        <v/>
      </c>
      <c r="H922" s="14"/>
      <c r="I922" s="29" t="str">
        <f>IF(OR($C922="",$G922="",$H922&lt;&gt;"Fait"),"",MIN($G922,MAX(0,SUMIFS($G$5:$G922,$C$5:$C922,$C922,$H$5:$H922,"Fait")-SUMIFS(Paiements!$I$5:$I$2000,Paiements!$C$5:$C$2000,$C922,Paiements!$L$5:$L$2000,"Payé"))))</f>
        <v/>
      </c>
      <c r="J922" s="30" t="str">
        <f t="shared" si="29"/>
        <v/>
      </c>
      <c r="K922" s="14"/>
      <c r="L922" s="17" t="str">
        <f>IF(AND($C922&lt;&gt;"",$C922=Controle_Paiement!$B$4,$J922&lt;&gt;"Payé",$J922&lt;&gt;"Annulé",$J922&lt;&gt;""),1,"")</f>
        <v/>
      </c>
    </row>
    <row r="923" spans="1:12" x14ac:dyDescent="0.35">
      <c r="A923" s="18"/>
      <c r="B923" s="27"/>
      <c r="C923" s="14"/>
      <c r="D923" s="14"/>
      <c r="E923" s="19"/>
      <c r="F923" s="19"/>
      <c r="G923" s="28" t="str">
        <f t="shared" si="28"/>
        <v/>
      </c>
      <c r="H923" s="14"/>
      <c r="I923" s="29" t="str">
        <f>IF(OR($C923="",$G923="",$H923&lt;&gt;"Fait"),"",MIN($G923,MAX(0,SUMIFS($G$5:$G923,$C$5:$C923,$C923,$H$5:$H923,"Fait")-SUMIFS(Paiements!$I$5:$I$2000,Paiements!$C$5:$C$2000,$C923,Paiements!$L$5:$L$2000,"Payé"))))</f>
        <v/>
      </c>
      <c r="J923" s="30" t="str">
        <f t="shared" si="29"/>
        <v/>
      </c>
      <c r="K923" s="14"/>
      <c r="L923" s="17" t="str">
        <f>IF(AND($C923&lt;&gt;"",$C923=Controle_Paiement!$B$4,$J923&lt;&gt;"Payé",$J923&lt;&gt;"Annulé",$J923&lt;&gt;""),1,"")</f>
        <v/>
      </c>
    </row>
    <row r="924" spans="1:12" x14ac:dyDescent="0.35">
      <c r="A924" s="18"/>
      <c r="B924" s="27"/>
      <c r="C924" s="14"/>
      <c r="D924" s="14"/>
      <c r="E924" s="19"/>
      <c r="F924" s="19"/>
      <c r="G924" s="28" t="str">
        <f t="shared" si="28"/>
        <v/>
      </c>
      <c r="H924" s="14"/>
      <c r="I924" s="29" t="str">
        <f>IF(OR($C924="",$G924="",$H924&lt;&gt;"Fait"),"",MIN($G924,MAX(0,SUMIFS($G$5:$G924,$C$5:$C924,$C924,$H$5:$H924,"Fait")-SUMIFS(Paiements!$I$5:$I$2000,Paiements!$C$5:$C$2000,$C924,Paiements!$L$5:$L$2000,"Payé"))))</f>
        <v/>
      </c>
      <c r="J924" s="30" t="str">
        <f t="shared" si="29"/>
        <v/>
      </c>
      <c r="K924" s="14"/>
      <c r="L924" s="17" t="str">
        <f>IF(AND($C924&lt;&gt;"",$C924=Controle_Paiement!$B$4,$J924&lt;&gt;"Payé",$J924&lt;&gt;"Annulé",$J924&lt;&gt;""),1,"")</f>
        <v/>
      </c>
    </row>
    <row r="925" spans="1:12" x14ac:dyDescent="0.35">
      <c r="A925" s="18"/>
      <c r="B925" s="27"/>
      <c r="C925" s="14"/>
      <c r="D925" s="14"/>
      <c r="E925" s="19"/>
      <c r="F925" s="19"/>
      <c r="G925" s="28" t="str">
        <f t="shared" si="28"/>
        <v/>
      </c>
      <c r="H925" s="14"/>
      <c r="I925" s="29" t="str">
        <f>IF(OR($C925="",$G925="",$H925&lt;&gt;"Fait"),"",MIN($G925,MAX(0,SUMIFS($G$5:$G925,$C$5:$C925,$C925,$H$5:$H925,"Fait")-SUMIFS(Paiements!$I$5:$I$2000,Paiements!$C$5:$C$2000,$C925,Paiements!$L$5:$L$2000,"Payé"))))</f>
        <v/>
      </c>
      <c r="J925" s="30" t="str">
        <f t="shared" si="29"/>
        <v/>
      </c>
      <c r="K925" s="14"/>
      <c r="L925" s="17" t="str">
        <f>IF(AND($C925&lt;&gt;"",$C925=Controle_Paiement!$B$4,$J925&lt;&gt;"Payé",$J925&lt;&gt;"Annulé",$J925&lt;&gt;""),1,"")</f>
        <v/>
      </c>
    </row>
    <row r="926" spans="1:12" x14ac:dyDescent="0.35">
      <c r="A926" s="18"/>
      <c r="B926" s="27"/>
      <c r="C926" s="14"/>
      <c r="D926" s="14"/>
      <c r="E926" s="19"/>
      <c r="F926" s="19"/>
      <c r="G926" s="28" t="str">
        <f t="shared" si="28"/>
        <v/>
      </c>
      <c r="H926" s="14"/>
      <c r="I926" s="29" t="str">
        <f>IF(OR($C926="",$G926="",$H926&lt;&gt;"Fait"),"",MIN($G926,MAX(0,SUMIFS($G$5:$G926,$C$5:$C926,$C926,$H$5:$H926,"Fait")-SUMIFS(Paiements!$I$5:$I$2000,Paiements!$C$5:$C$2000,$C926,Paiements!$L$5:$L$2000,"Payé"))))</f>
        <v/>
      </c>
      <c r="J926" s="30" t="str">
        <f t="shared" si="29"/>
        <v/>
      </c>
      <c r="K926" s="14"/>
      <c r="L926" s="17" t="str">
        <f>IF(AND($C926&lt;&gt;"",$C926=Controle_Paiement!$B$4,$J926&lt;&gt;"Payé",$J926&lt;&gt;"Annulé",$J926&lt;&gt;""),1,"")</f>
        <v/>
      </c>
    </row>
    <row r="927" spans="1:12" x14ac:dyDescent="0.35">
      <c r="A927" s="18"/>
      <c r="B927" s="27"/>
      <c r="C927" s="14"/>
      <c r="D927" s="14"/>
      <c r="E927" s="19"/>
      <c r="F927" s="19"/>
      <c r="G927" s="28" t="str">
        <f t="shared" si="28"/>
        <v/>
      </c>
      <c r="H927" s="14"/>
      <c r="I927" s="29" t="str">
        <f>IF(OR($C927="",$G927="",$H927&lt;&gt;"Fait"),"",MIN($G927,MAX(0,SUMIFS($G$5:$G927,$C$5:$C927,$C927,$H$5:$H927,"Fait")-SUMIFS(Paiements!$I$5:$I$2000,Paiements!$C$5:$C$2000,$C927,Paiements!$L$5:$L$2000,"Payé"))))</f>
        <v/>
      </c>
      <c r="J927" s="30" t="str">
        <f t="shared" si="29"/>
        <v/>
      </c>
      <c r="K927" s="14"/>
      <c r="L927" s="17" t="str">
        <f>IF(AND($C927&lt;&gt;"",$C927=Controle_Paiement!$B$4,$J927&lt;&gt;"Payé",$J927&lt;&gt;"Annulé",$J927&lt;&gt;""),1,"")</f>
        <v/>
      </c>
    </row>
    <row r="928" spans="1:12" x14ac:dyDescent="0.35">
      <c r="A928" s="18"/>
      <c r="B928" s="27"/>
      <c r="C928" s="14"/>
      <c r="D928" s="14"/>
      <c r="E928" s="19"/>
      <c r="F928" s="19"/>
      <c r="G928" s="28" t="str">
        <f t="shared" si="28"/>
        <v/>
      </c>
      <c r="H928" s="14"/>
      <c r="I928" s="29" t="str">
        <f>IF(OR($C928="",$G928="",$H928&lt;&gt;"Fait"),"",MIN($G928,MAX(0,SUMIFS($G$5:$G928,$C$5:$C928,$C928,$H$5:$H928,"Fait")-SUMIFS(Paiements!$I$5:$I$2000,Paiements!$C$5:$C$2000,$C928,Paiements!$L$5:$L$2000,"Payé"))))</f>
        <v/>
      </c>
      <c r="J928" s="30" t="str">
        <f t="shared" si="29"/>
        <v/>
      </c>
      <c r="K928" s="14"/>
      <c r="L928" s="17" t="str">
        <f>IF(AND($C928&lt;&gt;"",$C928=Controle_Paiement!$B$4,$J928&lt;&gt;"Payé",$J928&lt;&gt;"Annulé",$J928&lt;&gt;""),1,"")</f>
        <v/>
      </c>
    </row>
    <row r="929" spans="1:12" x14ac:dyDescent="0.35">
      <c r="A929" s="18"/>
      <c r="B929" s="27"/>
      <c r="C929" s="14"/>
      <c r="D929" s="14"/>
      <c r="E929" s="19"/>
      <c r="F929" s="19"/>
      <c r="G929" s="28" t="str">
        <f t="shared" si="28"/>
        <v/>
      </c>
      <c r="H929" s="14"/>
      <c r="I929" s="29" t="str">
        <f>IF(OR($C929="",$G929="",$H929&lt;&gt;"Fait"),"",MIN($G929,MAX(0,SUMIFS($G$5:$G929,$C$5:$C929,$C929,$H$5:$H929,"Fait")-SUMIFS(Paiements!$I$5:$I$2000,Paiements!$C$5:$C$2000,$C929,Paiements!$L$5:$L$2000,"Payé"))))</f>
        <v/>
      </c>
      <c r="J929" s="30" t="str">
        <f t="shared" si="29"/>
        <v/>
      </c>
      <c r="K929" s="14"/>
      <c r="L929" s="17" t="str">
        <f>IF(AND($C929&lt;&gt;"",$C929=Controle_Paiement!$B$4,$J929&lt;&gt;"Payé",$J929&lt;&gt;"Annulé",$J929&lt;&gt;""),1,"")</f>
        <v/>
      </c>
    </row>
    <row r="930" spans="1:12" x14ac:dyDescent="0.35">
      <c r="A930" s="18"/>
      <c r="B930" s="27"/>
      <c r="C930" s="14"/>
      <c r="D930" s="14"/>
      <c r="E930" s="19"/>
      <c r="F930" s="19"/>
      <c r="G930" s="28" t="str">
        <f t="shared" si="28"/>
        <v/>
      </c>
      <c r="H930" s="14"/>
      <c r="I930" s="29" t="str">
        <f>IF(OR($C930="",$G930="",$H930&lt;&gt;"Fait"),"",MIN($G930,MAX(0,SUMIFS($G$5:$G930,$C$5:$C930,$C930,$H$5:$H930,"Fait")-SUMIFS(Paiements!$I$5:$I$2000,Paiements!$C$5:$C$2000,$C930,Paiements!$L$5:$L$2000,"Payé"))))</f>
        <v/>
      </c>
      <c r="J930" s="30" t="str">
        <f t="shared" si="29"/>
        <v/>
      </c>
      <c r="K930" s="14"/>
      <c r="L930" s="17" t="str">
        <f>IF(AND($C930&lt;&gt;"",$C930=Controle_Paiement!$B$4,$J930&lt;&gt;"Payé",$J930&lt;&gt;"Annulé",$J930&lt;&gt;""),1,"")</f>
        <v/>
      </c>
    </row>
    <row r="931" spans="1:12" x14ac:dyDescent="0.35">
      <c r="A931" s="18"/>
      <c r="B931" s="27"/>
      <c r="C931" s="14"/>
      <c r="D931" s="14"/>
      <c r="E931" s="19"/>
      <c r="F931" s="19"/>
      <c r="G931" s="28" t="str">
        <f t="shared" si="28"/>
        <v/>
      </c>
      <c r="H931" s="14"/>
      <c r="I931" s="29" t="str">
        <f>IF(OR($C931="",$G931="",$H931&lt;&gt;"Fait"),"",MIN($G931,MAX(0,SUMIFS($G$5:$G931,$C$5:$C931,$C931,$H$5:$H931,"Fait")-SUMIFS(Paiements!$I$5:$I$2000,Paiements!$C$5:$C$2000,$C931,Paiements!$L$5:$L$2000,"Payé"))))</f>
        <v/>
      </c>
      <c r="J931" s="30" t="str">
        <f t="shared" si="29"/>
        <v/>
      </c>
      <c r="K931" s="14"/>
      <c r="L931" s="17" t="str">
        <f>IF(AND($C931&lt;&gt;"",$C931=Controle_Paiement!$B$4,$J931&lt;&gt;"Payé",$J931&lt;&gt;"Annulé",$J931&lt;&gt;""),1,"")</f>
        <v/>
      </c>
    </row>
    <row r="932" spans="1:12" x14ac:dyDescent="0.35">
      <c r="A932" s="18"/>
      <c r="B932" s="27"/>
      <c r="C932" s="14"/>
      <c r="D932" s="14"/>
      <c r="E932" s="19"/>
      <c r="F932" s="19"/>
      <c r="G932" s="28" t="str">
        <f t="shared" si="28"/>
        <v/>
      </c>
      <c r="H932" s="14"/>
      <c r="I932" s="29" t="str">
        <f>IF(OR($C932="",$G932="",$H932&lt;&gt;"Fait"),"",MIN($G932,MAX(0,SUMIFS($G$5:$G932,$C$5:$C932,$C932,$H$5:$H932,"Fait")-SUMIFS(Paiements!$I$5:$I$2000,Paiements!$C$5:$C$2000,$C932,Paiements!$L$5:$L$2000,"Payé"))))</f>
        <v/>
      </c>
      <c r="J932" s="30" t="str">
        <f t="shared" si="29"/>
        <v/>
      </c>
      <c r="K932" s="14"/>
      <c r="L932" s="17" t="str">
        <f>IF(AND($C932&lt;&gt;"",$C932=Controle_Paiement!$B$4,$J932&lt;&gt;"Payé",$J932&lt;&gt;"Annulé",$J932&lt;&gt;""),1,"")</f>
        <v/>
      </c>
    </row>
    <row r="933" spans="1:12" x14ac:dyDescent="0.35">
      <c r="A933" s="18"/>
      <c r="B933" s="27"/>
      <c r="C933" s="14"/>
      <c r="D933" s="14"/>
      <c r="E933" s="19"/>
      <c r="F933" s="19"/>
      <c r="G933" s="28" t="str">
        <f t="shared" si="28"/>
        <v/>
      </c>
      <c r="H933" s="14"/>
      <c r="I933" s="29" t="str">
        <f>IF(OR($C933="",$G933="",$H933&lt;&gt;"Fait"),"",MIN($G933,MAX(0,SUMIFS($G$5:$G933,$C$5:$C933,$C933,$H$5:$H933,"Fait")-SUMIFS(Paiements!$I$5:$I$2000,Paiements!$C$5:$C$2000,$C933,Paiements!$L$5:$L$2000,"Payé"))))</f>
        <v/>
      </c>
      <c r="J933" s="30" t="str">
        <f t="shared" si="29"/>
        <v/>
      </c>
      <c r="K933" s="14"/>
      <c r="L933" s="17" t="str">
        <f>IF(AND($C933&lt;&gt;"",$C933=Controle_Paiement!$B$4,$J933&lt;&gt;"Payé",$J933&lt;&gt;"Annulé",$J933&lt;&gt;""),1,"")</f>
        <v/>
      </c>
    </row>
    <row r="934" spans="1:12" x14ac:dyDescent="0.35">
      <c r="A934" s="18"/>
      <c r="B934" s="27"/>
      <c r="C934" s="14"/>
      <c r="D934" s="14"/>
      <c r="E934" s="19"/>
      <c r="F934" s="19"/>
      <c r="G934" s="28" t="str">
        <f t="shared" si="28"/>
        <v/>
      </c>
      <c r="H934" s="14"/>
      <c r="I934" s="29" t="str">
        <f>IF(OR($C934="",$G934="",$H934&lt;&gt;"Fait"),"",MIN($G934,MAX(0,SUMIFS($G$5:$G934,$C$5:$C934,$C934,$H$5:$H934,"Fait")-SUMIFS(Paiements!$I$5:$I$2000,Paiements!$C$5:$C$2000,$C934,Paiements!$L$5:$L$2000,"Payé"))))</f>
        <v/>
      </c>
      <c r="J934" s="30" t="str">
        <f t="shared" si="29"/>
        <v/>
      </c>
      <c r="K934" s="14"/>
      <c r="L934" s="17" t="str">
        <f>IF(AND($C934&lt;&gt;"",$C934=Controle_Paiement!$B$4,$J934&lt;&gt;"Payé",$J934&lt;&gt;"Annulé",$J934&lt;&gt;""),1,"")</f>
        <v/>
      </c>
    </row>
    <row r="935" spans="1:12" x14ac:dyDescent="0.35">
      <c r="A935" s="18"/>
      <c r="B935" s="27"/>
      <c r="C935" s="14"/>
      <c r="D935" s="14"/>
      <c r="E935" s="19"/>
      <c r="F935" s="19"/>
      <c r="G935" s="28" t="str">
        <f t="shared" si="28"/>
        <v/>
      </c>
      <c r="H935" s="14"/>
      <c r="I935" s="29" t="str">
        <f>IF(OR($C935="",$G935="",$H935&lt;&gt;"Fait"),"",MIN($G935,MAX(0,SUMIFS($G$5:$G935,$C$5:$C935,$C935,$H$5:$H935,"Fait")-SUMIFS(Paiements!$I$5:$I$2000,Paiements!$C$5:$C$2000,$C935,Paiements!$L$5:$L$2000,"Payé"))))</f>
        <v/>
      </c>
      <c r="J935" s="30" t="str">
        <f t="shared" si="29"/>
        <v/>
      </c>
      <c r="K935" s="14"/>
      <c r="L935" s="17" t="str">
        <f>IF(AND($C935&lt;&gt;"",$C935=Controle_Paiement!$B$4,$J935&lt;&gt;"Payé",$J935&lt;&gt;"Annulé",$J935&lt;&gt;""),1,"")</f>
        <v/>
      </c>
    </row>
    <row r="936" spans="1:12" x14ac:dyDescent="0.35">
      <c r="A936" s="18"/>
      <c r="B936" s="27"/>
      <c r="C936" s="14"/>
      <c r="D936" s="14"/>
      <c r="E936" s="19"/>
      <c r="F936" s="19"/>
      <c r="G936" s="28" t="str">
        <f t="shared" si="28"/>
        <v/>
      </c>
      <c r="H936" s="14"/>
      <c r="I936" s="29" t="str">
        <f>IF(OR($C936="",$G936="",$H936&lt;&gt;"Fait"),"",MIN($G936,MAX(0,SUMIFS($G$5:$G936,$C$5:$C936,$C936,$H$5:$H936,"Fait")-SUMIFS(Paiements!$I$5:$I$2000,Paiements!$C$5:$C$2000,$C936,Paiements!$L$5:$L$2000,"Payé"))))</f>
        <v/>
      </c>
      <c r="J936" s="30" t="str">
        <f t="shared" si="29"/>
        <v/>
      </c>
      <c r="K936" s="14"/>
      <c r="L936" s="17" t="str">
        <f>IF(AND($C936&lt;&gt;"",$C936=Controle_Paiement!$B$4,$J936&lt;&gt;"Payé",$J936&lt;&gt;"Annulé",$J936&lt;&gt;""),1,"")</f>
        <v/>
      </c>
    </row>
    <row r="937" spans="1:12" x14ac:dyDescent="0.35">
      <c r="A937" s="18"/>
      <c r="B937" s="27"/>
      <c r="C937" s="14"/>
      <c r="D937" s="14"/>
      <c r="E937" s="19"/>
      <c r="F937" s="19"/>
      <c r="G937" s="28" t="str">
        <f t="shared" si="28"/>
        <v/>
      </c>
      <c r="H937" s="14"/>
      <c r="I937" s="29" t="str">
        <f>IF(OR($C937="",$G937="",$H937&lt;&gt;"Fait"),"",MIN($G937,MAX(0,SUMIFS($G$5:$G937,$C$5:$C937,$C937,$H$5:$H937,"Fait")-SUMIFS(Paiements!$I$5:$I$2000,Paiements!$C$5:$C$2000,$C937,Paiements!$L$5:$L$2000,"Payé"))))</f>
        <v/>
      </c>
      <c r="J937" s="30" t="str">
        <f t="shared" si="29"/>
        <v/>
      </c>
      <c r="K937" s="14"/>
      <c r="L937" s="17" t="str">
        <f>IF(AND($C937&lt;&gt;"",$C937=Controle_Paiement!$B$4,$J937&lt;&gt;"Payé",$J937&lt;&gt;"Annulé",$J937&lt;&gt;""),1,"")</f>
        <v/>
      </c>
    </row>
    <row r="938" spans="1:12" x14ac:dyDescent="0.35">
      <c r="A938" s="18"/>
      <c r="B938" s="27"/>
      <c r="C938" s="14"/>
      <c r="D938" s="14"/>
      <c r="E938" s="19"/>
      <c r="F938" s="19"/>
      <c r="G938" s="28" t="str">
        <f t="shared" si="28"/>
        <v/>
      </c>
      <c r="H938" s="14"/>
      <c r="I938" s="29" t="str">
        <f>IF(OR($C938="",$G938="",$H938&lt;&gt;"Fait"),"",MIN($G938,MAX(0,SUMIFS($G$5:$G938,$C$5:$C938,$C938,$H$5:$H938,"Fait")-SUMIFS(Paiements!$I$5:$I$2000,Paiements!$C$5:$C$2000,$C938,Paiements!$L$5:$L$2000,"Payé"))))</f>
        <v/>
      </c>
      <c r="J938" s="30" t="str">
        <f t="shared" si="29"/>
        <v/>
      </c>
      <c r="K938" s="14"/>
      <c r="L938" s="17" t="str">
        <f>IF(AND($C938&lt;&gt;"",$C938=Controle_Paiement!$B$4,$J938&lt;&gt;"Payé",$J938&lt;&gt;"Annulé",$J938&lt;&gt;""),1,"")</f>
        <v/>
      </c>
    </row>
    <row r="939" spans="1:12" x14ac:dyDescent="0.35">
      <c r="A939" s="18"/>
      <c r="B939" s="27"/>
      <c r="C939" s="14"/>
      <c r="D939" s="14"/>
      <c r="E939" s="19"/>
      <c r="F939" s="19"/>
      <c r="G939" s="28" t="str">
        <f t="shared" si="28"/>
        <v/>
      </c>
      <c r="H939" s="14"/>
      <c r="I939" s="29" t="str">
        <f>IF(OR($C939="",$G939="",$H939&lt;&gt;"Fait"),"",MIN($G939,MAX(0,SUMIFS($G$5:$G939,$C$5:$C939,$C939,$H$5:$H939,"Fait")-SUMIFS(Paiements!$I$5:$I$2000,Paiements!$C$5:$C$2000,$C939,Paiements!$L$5:$L$2000,"Payé"))))</f>
        <v/>
      </c>
      <c r="J939" s="30" t="str">
        <f t="shared" si="29"/>
        <v/>
      </c>
      <c r="K939" s="14"/>
      <c r="L939" s="17" t="str">
        <f>IF(AND($C939&lt;&gt;"",$C939=Controle_Paiement!$B$4,$J939&lt;&gt;"Payé",$J939&lt;&gt;"Annulé",$J939&lt;&gt;""),1,"")</f>
        <v/>
      </c>
    </row>
    <row r="940" spans="1:12" x14ac:dyDescent="0.35">
      <c r="A940" s="18"/>
      <c r="B940" s="27"/>
      <c r="C940" s="14"/>
      <c r="D940" s="14"/>
      <c r="E940" s="19"/>
      <c r="F940" s="19"/>
      <c r="G940" s="28" t="str">
        <f t="shared" si="28"/>
        <v/>
      </c>
      <c r="H940" s="14"/>
      <c r="I940" s="29" t="str">
        <f>IF(OR($C940="",$G940="",$H940&lt;&gt;"Fait"),"",MIN($G940,MAX(0,SUMIFS($G$5:$G940,$C$5:$C940,$C940,$H$5:$H940,"Fait")-SUMIFS(Paiements!$I$5:$I$2000,Paiements!$C$5:$C$2000,$C940,Paiements!$L$5:$L$2000,"Payé"))))</f>
        <v/>
      </c>
      <c r="J940" s="30" t="str">
        <f t="shared" si="29"/>
        <v/>
      </c>
      <c r="K940" s="14"/>
      <c r="L940" s="17" t="str">
        <f>IF(AND($C940&lt;&gt;"",$C940=Controle_Paiement!$B$4,$J940&lt;&gt;"Payé",$J940&lt;&gt;"Annulé",$J940&lt;&gt;""),1,"")</f>
        <v/>
      </c>
    </row>
    <row r="941" spans="1:12" x14ac:dyDescent="0.35">
      <c r="A941" s="18"/>
      <c r="B941" s="27"/>
      <c r="C941" s="14"/>
      <c r="D941" s="14"/>
      <c r="E941" s="19"/>
      <c r="F941" s="19"/>
      <c r="G941" s="28" t="str">
        <f t="shared" si="28"/>
        <v/>
      </c>
      <c r="H941" s="14"/>
      <c r="I941" s="29" t="str">
        <f>IF(OR($C941="",$G941="",$H941&lt;&gt;"Fait"),"",MIN($G941,MAX(0,SUMIFS($G$5:$G941,$C$5:$C941,$C941,$H$5:$H941,"Fait")-SUMIFS(Paiements!$I$5:$I$2000,Paiements!$C$5:$C$2000,$C941,Paiements!$L$5:$L$2000,"Payé"))))</f>
        <v/>
      </c>
      <c r="J941" s="30" t="str">
        <f t="shared" si="29"/>
        <v/>
      </c>
      <c r="K941" s="14"/>
      <c r="L941" s="17" t="str">
        <f>IF(AND($C941&lt;&gt;"",$C941=Controle_Paiement!$B$4,$J941&lt;&gt;"Payé",$J941&lt;&gt;"Annulé",$J941&lt;&gt;""),1,"")</f>
        <v/>
      </c>
    </row>
    <row r="942" spans="1:12" x14ac:dyDescent="0.35">
      <c r="A942" s="18"/>
      <c r="B942" s="27"/>
      <c r="C942" s="14"/>
      <c r="D942" s="14"/>
      <c r="E942" s="19"/>
      <c r="F942" s="19"/>
      <c r="G942" s="28" t="str">
        <f t="shared" si="28"/>
        <v/>
      </c>
      <c r="H942" s="14"/>
      <c r="I942" s="29" t="str">
        <f>IF(OR($C942="",$G942="",$H942&lt;&gt;"Fait"),"",MIN($G942,MAX(0,SUMIFS($G$5:$G942,$C$5:$C942,$C942,$H$5:$H942,"Fait")-SUMIFS(Paiements!$I$5:$I$2000,Paiements!$C$5:$C$2000,$C942,Paiements!$L$5:$L$2000,"Payé"))))</f>
        <v/>
      </c>
      <c r="J942" s="30" t="str">
        <f t="shared" si="29"/>
        <v/>
      </c>
      <c r="K942" s="14"/>
      <c r="L942" s="17" t="str">
        <f>IF(AND($C942&lt;&gt;"",$C942=Controle_Paiement!$B$4,$J942&lt;&gt;"Payé",$J942&lt;&gt;"Annulé",$J942&lt;&gt;""),1,"")</f>
        <v/>
      </c>
    </row>
    <row r="943" spans="1:12" x14ac:dyDescent="0.35">
      <c r="A943" s="18"/>
      <c r="B943" s="27"/>
      <c r="C943" s="14"/>
      <c r="D943" s="14"/>
      <c r="E943" s="19"/>
      <c r="F943" s="19"/>
      <c r="G943" s="28" t="str">
        <f t="shared" si="28"/>
        <v/>
      </c>
      <c r="H943" s="14"/>
      <c r="I943" s="29" t="str">
        <f>IF(OR($C943="",$G943="",$H943&lt;&gt;"Fait"),"",MIN($G943,MAX(0,SUMIFS($G$5:$G943,$C$5:$C943,$C943,$H$5:$H943,"Fait")-SUMIFS(Paiements!$I$5:$I$2000,Paiements!$C$5:$C$2000,$C943,Paiements!$L$5:$L$2000,"Payé"))))</f>
        <v/>
      </c>
      <c r="J943" s="30" t="str">
        <f t="shared" si="29"/>
        <v/>
      </c>
      <c r="K943" s="14"/>
      <c r="L943" s="17" t="str">
        <f>IF(AND($C943&lt;&gt;"",$C943=Controle_Paiement!$B$4,$J943&lt;&gt;"Payé",$J943&lt;&gt;"Annulé",$J943&lt;&gt;""),1,"")</f>
        <v/>
      </c>
    </row>
    <row r="944" spans="1:12" x14ac:dyDescent="0.35">
      <c r="A944" s="18"/>
      <c r="B944" s="27"/>
      <c r="C944" s="14"/>
      <c r="D944" s="14"/>
      <c r="E944" s="19"/>
      <c r="F944" s="19"/>
      <c r="G944" s="28" t="str">
        <f t="shared" si="28"/>
        <v/>
      </c>
      <c r="H944" s="14"/>
      <c r="I944" s="29" t="str">
        <f>IF(OR($C944="",$G944="",$H944&lt;&gt;"Fait"),"",MIN($G944,MAX(0,SUMIFS($G$5:$G944,$C$5:$C944,$C944,$H$5:$H944,"Fait")-SUMIFS(Paiements!$I$5:$I$2000,Paiements!$C$5:$C$2000,$C944,Paiements!$L$5:$L$2000,"Payé"))))</f>
        <v/>
      </c>
      <c r="J944" s="30" t="str">
        <f t="shared" si="29"/>
        <v/>
      </c>
      <c r="K944" s="14"/>
      <c r="L944" s="17" t="str">
        <f>IF(AND($C944&lt;&gt;"",$C944=Controle_Paiement!$B$4,$J944&lt;&gt;"Payé",$J944&lt;&gt;"Annulé",$J944&lt;&gt;""),1,"")</f>
        <v/>
      </c>
    </row>
    <row r="945" spans="1:12" x14ac:dyDescent="0.35">
      <c r="A945" s="18"/>
      <c r="B945" s="27"/>
      <c r="C945" s="14"/>
      <c r="D945" s="14"/>
      <c r="E945" s="19"/>
      <c r="F945" s="19"/>
      <c r="G945" s="28" t="str">
        <f t="shared" si="28"/>
        <v/>
      </c>
      <c r="H945" s="14"/>
      <c r="I945" s="29" t="str">
        <f>IF(OR($C945="",$G945="",$H945&lt;&gt;"Fait"),"",MIN($G945,MAX(0,SUMIFS($G$5:$G945,$C$5:$C945,$C945,$H$5:$H945,"Fait")-SUMIFS(Paiements!$I$5:$I$2000,Paiements!$C$5:$C$2000,$C945,Paiements!$L$5:$L$2000,"Payé"))))</f>
        <v/>
      </c>
      <c r="J945" s="30" t="str">
        <f t="shared" si="29"/>
        <v/>
      </c>
      <c r="K945" s="14"/>
      <c r="L945" s="17" t="str">
        <f>IF(AND($C945&lt;&gt;"",$C945=Controle_Paiement!$B$4,$J945&lt;&gt;"Payé",$J945&lt;&gt;"Annulé",$J945&lt;&gt;""),1,"")</f>
        <v/>
      </c>
    </row>
    <row r="946" spans="1:12" x14ac:dyDescent="0.35">
      <c r="A946" s="18"/>
      <c r="B946" s="27"/>
      <c r="C946" s="14"/>
      <c r="D946" s="14"/>
      <c r="E946" s="19"/>
      <c r="F946" s="19"/>
      <c r="G946" s="28" t="str">
        <f t="shared" si="28"/>
        <v/>
      </c>
      <c r="H946" s="14"/>
      <c r="I946" s="29" t="str">
        <f>IF(OR($C946="",$G946="",$H946&lt;&gt;"Fait"),"",MIN($G946,MAX(0,SUMIFS($G$5:$G946,$C$5:$C946,$C946,$H$5:$H946,"Fait")-SUMIFS(Paiements!$I$5:$I$2000,Paiements!$C$5:$C$2000,$C946,Paiements!$L$5:$L$2000,"Payé"))))</f>
        <v/>
      </c>
      <c r="J946" s="30" t="str">
        <f t="shared" si="29"/>
        <v/>
      </c>
      <c r="K946" s="14"/>
      <c r="L946" s="17" t="str">
        <f>IF(AND($C946&lt;&gt;"",$C946=Controle_Paiement!$B$4,$J946&lt;&gt;"Payé",$J946&lt;&gt;"Annulé",$J946&lt;&gt;""),1,"")</f>
        <v/>
      </c>
    </row>
    <row r="947" spans="1:12" x14ac:dyDescent="0.35">
      <c r="A947" s="18"/>
      <c r="B947" s="27"/>
      <c r="C947" s="14"/>
      <c r="D947" s="14"/>
      <c r="E947" s="19"/>
      <c r="F947" s="19"/>
      <c r="G947" s="28" t="str">
        <f t="shared" si="28"/>
        <v/>
      </c>
      <c r="H947" s="14"/>
      <c r="I947" s="29" t="str">
        <f>IF(OR($C947="",$G947="",$H947&lt;&gt;"Fait"),"",MIN($G947,MAX(0,SUMIFS($G$5:$G947,$C$5:$C947,$C947,$H$5:$H947,"Fait")-SUMIFS(Paiements!$I$5:$I$2000,Paiements!$C$5:$C$2000,$C947,Paiements!$L$5:$L$2000,"Payé"))))</f>
        <v/>
      </c>
      <c r="J947" s="30" t="str">
        <f t="shared" si="29"/>
        <v/>
      </c>
      <c r="K947" s="14"/>
      <c r="L947" s="17" t="str">
        <f>IF(AND($C947&lt;&gt;"",$C947=Controle_Paiement!$B$4,$J947&lt;&gt;"Payé",$J947&lt;&gt;"Annulé",$J947&lt;&gt;""),1,"")</f>
        <v/>
      </c>
    </row>
    <row r="948" spans="1:12" x14ac:dyDescent="0.35">
      <c r="A948" s="18"/>
      <c r="B948" s="27"/>
      <c r="C948" s="14"/>
      <c r="D948" s="14"/>
      <c r="E948" s="19"/>
      <c r="F948" s="19"/>
      <c r="G948" s="28" t="str">
        <f t="shared" si="28"/>
        <v/>
      </c>
      <c r="H948" s="14"/>
      <c r="I948" s="29" t="str">
        <f>IF(OR($C948="",$G948="",$H948&lt;&gt;"Fait"),"",MIN($G948,MAX(0,SUMIFS($G$5:$G948,$C$5:$C948,$C948,$H$5:$H948,"Fait")-SUMIFS(Paiements!$I$5:$I$2000,Paiements!$C$5:$C$2000,$C948,Paiements!$L$5:$L$2000,"Payé"))))</f>
        <v/>
      </c>
      <c r="J948" s="30" t="str">
        <f t="shared" si="29"/>
        <v/>
      </c>
      <c r="K948" s="14"/>
      <c r="L948" s="17" t="str">
        <f>IF(AND($C948&lt;&gt;"",$C948=Controle_Paiement!$B$4,$J948&lt;&gt;"Payé",$J948&lt;&gt;"Annulé",$J948&lt;&gt;""),1,"")</f>
        <v/>
      </c>
    </row>
    <row r="949" spans="1:12" x14ac:dyDescent="0.35">
      <c r="A949" s="18"/>
      <c r="B949" s="27"/>
      <c r="C949" s="14"/>
      <c r="D949" s="14"/>
      <c r="E949" s="19"/>
      <c r="F949" s="19"/>
      <c r="G949" s="28" t="str">
        <f t="shared" si="28"/>
        <v/>
      </c>
      <c r="H949" s="14"/>
      <c r="I949" s="29" t="str">
        <f>IF(OR($C949="",$G949="",$H949&lt;&gt;"Fait"),"",MIN($G949,MAX(0,SUMIFS($G$5:$G949,$C$5:$C949,$C949,$H$5:$H949,"Fait")-SUMIFS(Paiements!$I$5:$I$2000,Paiements!$C$5:$C$2000,$C949,Paiements!$L$5:$L$2000,"Payé"))))</f>
        <v/>
      </c>
      <c r="J949" s="30" t="str">
        <f t="shared" si="29"/>
        <v/>
      </c>
      <c r="K949" s="14"/>
      <c r="L949" s="17" t="str">
        <f>IF(AND($C949&lt;&gt;"",$C949=Controle_Paiement!$B$4,$J949&lt;&gt;"Payé",$J949&lt;&gt;"Annulé",$J949&lt;&gt;""),1,"")</f>
        <v/>
      </c>
    </row>
    <row r="950" spans="1:12" x14ac:dyDescent="0.35">
      <c r="A950" s="18"/>
      <c r="B950" s="27"/>
      <c r="C950" s="14"/>
      <c r="D950" s="14"/>
      <c r="E950" s="19"/>
      <c r="F950" s="19"/>
      <c r="G950" s="28" t="str">
        <f t="shared" si="28"/>
        <v/>
      </c>
      <c r="H950" s="14"/>
      <c r="I950" s="29" t="str">
        <f>IF(OR($C950="",$G950="",$H950&lt;&gt;"Fait"),"",MIN($G950,MAX(0,SUMIFS($G$5:$G950,$C$5:$C950,$C950,$H$5:$H950,"Fait")-SUMIFS(Paiements!$I$5:$I$2000,Paiements!$C$5:$C$2000,$C950,Paiements!$L$5:$L$2000,"Payé"))))</f>
        <v/>
      </c>
      <c r="J950" s="30" t="str">
        <f t="shared" si="29"/>
        <v/>
      </c>
      <c r="K950" s="14"/>
      <c r="L950" s="17" t="str">
        <f>IF(AND($C950&lt;&gt;"",$C950=Controle_Paiement!$B$4,$J950&lt;&gt;"Payé",$J950&lt;&gt;"Annulé",$J950&lt;&gt;""),1,"")</f>
        <v/>
      </c>
    </row>
    <row r="951" spans="1:12" x14ac:dyDescent="0.35">
      <c r="A951" s="18"/>
      <c r="B951" s="27"/>
      <c r="C951" s="14"/>
      <c r="D951" s="14"/>
      <c r="E951" s="19"/>
      <c r="F951" s="19"/>
      <c r="G951" s="28" t="str">
        <f t="shared" si="28"/>
        <v/>
      </c>
      <c r="H951" s="14"/>
      <c r="I951" s="29" t="str">
        <f>IF(OR($C951="",$G951="",$H951&lt;&gt;"Fait"),"",MIN($G951,MAX(0,SUMIFS($G$5:$G951,$C$5:$C951,$C951,$H$5:$H951,"Fait")-SUMIFS(Paiements!$I$5:$I$2000,Paiements!$C$5:$C$2000,$C951,Paiements!$L$5:$L$2000,"Payé"))))</f>
        <v/>
      </c>
      <c r="J951" s="30" t="str">
        <f t="shared" si="29"/>
        <v/>
      </c>
      <c r="K951" s="14"/>
      <c r="L951" s="17" t="str">
        <f>IF(AND($C951&lt;&gt;"",$C951=Controle_Paiement!$B$4,$J951&lt;&gt;"Payé",$J951&lt;&gt;"Annulé",$J951&lt;&gt;""),1,"")</f>
        <v/>
      </c>
    </row>
    <row r="952" spans="1:12" x14ac:dyDescent="0.35">
      <c r="A952" s="18"/>
      <c r="B952" s="27"/>
      <c r="C952" s="14"/>
      <c r="D952" s="14"/>
      <c r="E952" s="19"/>
      <c r="F952" s="19"/>
      <c r="G952" s="28" t="str">
        <f t="shared" si="28"/>
        <v/>
      </c>
      <c r="H952" s="14"/>
      <c r="I952" s="29" t="str">
        <f>IF(OR($C952="",$G952="",$H952&lt;&gt;"Fait"),"",MIN($G952,MAX(0,SUMIFS($G$5:$G952,$C$5:$C952,$C952,$H$5:$H952,"Fait")-SUMIFS(Paiements!$I$5:$I$2000,Paiements!$C$5:$C$2000,$C952,Paiements!$L$5:$L$2000,"Payé"))))</f>
        <v/>
      </c>
      <c r="J952" s="30" t="str">
        <f t="shared" si="29"/>
        <v/>
      </c>
      <c r="K952" s="14"/>
      <c r="L952" s="17" t="str">
        <f>IF(AND($C952&lt;&gt;"",$C952=Controle_Paiement!$B$4,$J952&lt;&gt;"Payé",$J952&lt;&gt;"Annulé",$J952&lt;&gt;""),1,"")</f>
        <v/>
      </c>
    </row>
    <row r="953" spans="1:12" x14ac:dyDescent="0.35">
      <c r="A953" s="18"/>
      <c r="B953" s="27"/>
      <c r="C953" s="14"/>
      <c r="D953" s="14"/>
      <c r="E953" s="19"/>
      <c r="F953" s="19"/>
      <c r="G953" s="28" t="str">
        <f t="shared" si="28"/>
        <v/>
      </c>
      <c r="H953" s="14"/>
      <c r="I953" s="29" t="str">
        <f>IF(OR($C953="",$G953="",$H953&lt;&gt;"Fait"),"",MIN($G953,MAX(0,SUMIFS($G$5:$G953,$C$5:$C953,$C953,$H$5:$H953,"Fait")-SUMIFS(Paiements!$I$5:$I$2000,Paiements!$C$5:$C$2000,$C953,Paiements!$L$5:$L$2000,"Payé"))))</f>
        <v/>
      </c>
      <c r="J953" s="30" t="str">
        <f t="shared" si="29"/>
        <v/>
      </c>
      <c r="K953" s="14"/>
      <c r="L953" s="17" t="str">
        <f>IF(AND($C953&lt;&gt;"",$C953=Controle_Paiement!$B$4,$J953&lt;&gt;"Payé",$J953&lt;&gt;"Annulé",$J953&lt;&gt;""),1,"")</f>
        <v/>
      </c>
    </row>
    <row r="954" spans="1:12" x14ac:dyDescent="0.35">
      <c r="A954" s="18"/>
      <c r="B954" s="27"/>
      <c r="C954" s="14"/>
      <c r="D954" s="14"/>
      <c r="E954" s="19"/>
      <c r="F954" s="19"/>
      <c r="G954" s="28" t="str">
        <f t="shared" si="28"/>
        <v/>
      </c>
      <c r="H954" s="14"/>
      <c r="I954" s="29" t="str">
        <f>IF(OR($C954="",$G954="",$H954&lt;&gt;"Fait"),"",MIN($G954,MAX(0,SUMIFS($G$5:$G954,$C$5:$C954,$C954,$H$5:$H954,"Fait")-SUMIFS(Paiements!$I$5:$I$2000,Paiements!$C$5:$C$2000,$C954,Paiements!$L$5:$L$2000,"Payé"))))</f>
        <v/>
      </c>
      <c r="J954" s="30" t="str">
        <f t="shared" si="29"/>
        <v/>
      </c>
      <c r="K954" s="14"/>
      <c r="L954" s="17" t="str">
        <f>IF(AND($C954&lt;&gt;"",$C954=Controle_Paiement!$B$4,$J954&lt;&gt;"Payé",$J954&lt;&gt;"Annulé",$J954&lt;&gt;""),1,"")</f>
        <v/>
      </c>
    </row>
    <row r="955" spans="1:12" x14ac:dyDescent="0.35">
      <c r="A955" s="18"/>
      <c r="B955" s="27"/>
      <c r="C955" s="14"/>
      <c r="D955" s="14"/>
      <c r="E955" s="19"/>
      <c r="F955" s="19"/>
      <c r="G955" s="28" t="str">
        <f t="shared" si="28"/>
        <v/>
      </c>
      <c r="H955" s="14"/>
      <c r="I955" s="29" t="str">
        <f>IF(OR($C955="",$G955="",$H955&lt;&gt;"Fait"),"",MIN($G955,MAX(0,SUMIFS($G$5:$G955,$C$5:$C955,$C955,$H$5:$H955,"Fait")-SUMIFS(Paiements!$I$5:$I$2000,Paiements!$C$5:$C$2000,$C955,Paiements!$L$5:$L$2000,"Payé"))))</f>
        <v/>
      </c>
      <c r="J955" s="30" t="str">
        <f t="shared" si="29"/>
        <v/>
      </c>
      <c r="K955" s="14"/>
      <c r="L955" s="17" t="str">
        <f>IF(AND($C955&lt;&gt;"",$C955=Controle_Paiement!$B$4,$J955&lt;&gt;"Payé",$J955&lt;&gt;"Annulé",$J955&lt;&gt;""),1,"")</f>
        <v/>
      </c>
    </row>
    <row r="956" spans="1:12" x14ac:dyDescent="0.35">
      <c r="A956" s="18"/>
      <c r="B956" s="27"/>
      <c r="C956" s="14"/>
      <c r="D956" s="14"/>
      <c r="E956" s="19"/>
      <c r="F956" s="19"/>
      <c r="G956" s="28" t="str">
        <f t="shared" si="28"/>
        <v/>
      </c>
      <c r="H956" s="14"/>
      <c r="I956" s="29" t="str">
        <f>IF(OR($C956="",$G956="",$H956&lt;&gt;"Fait"),"",MIN($G956,MAX(0,SUMIFS($G$5:$G956,$C$5:$C956,$C956,$H$5:$H956,"Fait")-SUMIFS(Paiements!$I$5:$I$2000,Paiements!$C$5:$C$2000,$C956,Paiements!$L$5:$L$2000,"Payé"))))</f>
        <v/>
      </c>
      <c r="J956" s="30" t="str">
        <f t="shared" si="29"/>
        <v/>
      </c>
      <c r="K956" s="14"/>
      <c r="L956" s="17" t="str">
        <f>IF(AND($C956&lt;&gt;"",$C956=Controle_Paiement!$B$4,$J956&lt;&gt;"Payé",$J956&lt;&gt;"Annulé",$J956&lt;&gt;""),1,"")</f>
        <v/>
      </c>
    </row>
    <row r="957" spans="1:12" x14ac:dyDescent="0.35">
      <c r="A957" s="18"/>
      <c r="B957" s="27"/>
      <c r="C957" s="14"/>
      <c r="D957" s="14"/>
      <c r="E957" s="19"/>
      <c r="F957" s="19"/>
      <c r="G957" s="28" t="str">
        <f t="shared" si="28"/>
        <v/>
      </c>
      <c r="H957" s="14"/>
      <c r="I957" s="29" t="str">
        <f>IF(OR($C957="",$G957="",$H957&lt;&gt;"Fait"),"",MIN($G957,MAX(0,SUMIFS($G$5:$G957,$C$5:$C957,$C957,$H$5:$H957,"Fait")-SUMIFS(Paiements!$I$5:$I$2000,Paiements!$C$5:$C$2000,$C957,Paiements!$L$5:$L$2000,"Payé"))))</f>
        <v/>
      </c>
      <c r="J957" s="30" t="str">
        <f t="shared" si="29"/>
        <v/>
      </c>
      <c r="K957" s="14"/>
      <c r="L957" s="17" t="str">
        <f>IF(AND($C957&lt;&gt;"",$C957=Controle_Paiement!$B$4,$J957&lt;&gt;"Payé",$J957&lt;&gt;"Annulé",$J957&lt;&gt;""),1,"")</f>
        <v/>
      </c>
    </row>
    <row r="958" spans="1:12" x14ac:dyDescent="0.35">
      <c r="A958" s="18"/>
      <c r="B958" s="27"/>
      <c r="C958" s="14"/>
      <c r="D958" s="14"/>
      <c r="E958" s="19"/>
      <c r="F958" s="19"/>
      <c r="G958" s="28" t="str">
        <f t="shared" si="28"/>
        <v/>
      </c>
      <c r="H958" s="14"/>
      <c r="I958" s="29" t="str">
        <f>IF(OR($C958="",$G958="",$H958&lt;&gt;"Fait"),"",MIN($G958,MAX(0,SUMIFS($G$5:$G958,$C$5:$C958,$C958,$H$5:$H958,"Fait")-SUMIFS(Paiements!$I$5:$I$2000,Paiements!$C$5:$C$2000,$C958,Paiements!$L$5:$L$2000,"Payé"))))</f>
        <v/>
      </c>
      <c r="J958" s="30" t="str">
        <f t="shared" si="29"/>
        <v/>
      </c>
      <c r="K958" s="14"/>
      <c r="L958" s="17" t="str">
        <f>IF(AND($C958&lt;&gt;"",$C958=Controle_Paiement!$B$4,$J958&lt;&gt;"Payé",$J958&lt;&gt;"Annulé",$J958&lt;&gt;""),1,"")</f>
        <v/>
      </c>
    </row>
    <row r="959" spans="1:12" x14ac:dyDescent="0.35">
      <c r="A959" s="18"/>
      <c r="B959" s="27"/>
      <c r="C959" s="14"/>
      <c r="D959" s="14"/>
      <c r="E959" s="19"/>
      <c r="F959" s="19"/>
      <c r="G959" s="28" t="str">
        <f t="shared" si="28"/>
        <v/>
      </c>
      <c r="H959" s="14"/>
      <c r="I959" s="29" t="str">
        <f>IF(OR($C959="",$G959="",$H959&lt;&gt;"Fait"),"",MIN($G959,MAX(0,SUMIFS($G$5:$G959,$C$5:$C959,$C959,$H$5:$H959,"Fait")-SUMIFS(Paiements!$I$5:$I$2000,Paiements!$C$5:$C$2000,$C959,Paiements!$L$5:$L$2000,"Payé"))))</f>
        <v/>
      </c>
      <c r="J959" s="30" t="str">
        <f t="shared" si="29"/>
        <v/>
      </c>
      <c r="K959" s="14"/>
      <c r="L959" s="17" t="str">
        <f>IF(AND($C959&lt;&gt;"",$C959=Controle_Paiement!$B$4,$J959&lt;&gt;"Payé",$J959&lt;&gt;"Annulé",$J959&lt;&gt;""),1,"")</f>
        <v/>
      </c>
    </row>
    <row r="960" spans="1:12" x14ac:dyDescent="0.35">
      <c r="A960" s="18"/>
      <c r="B960" s="27"/>
      <c r="C960" s="14"/>
      <c r="D960" s="14"/>
      <c r="E960" s="19"/>
      <c r="F960" s="19"/>
      <c r="G960" s="28" t="str">
        <f t="shared" si="28"/>
        <v/>
      </c>
      <c r="H960" s="14"/>
      <c r="I960" s="29" t="str">
        <f>IF(OR($C960="",$G960="",$H960&lt;&gt;"Fait"),"",MIN($G960,MAX(0,SUMIFS($G$5:$G960,$C$5:$C960,$C960,$H$5:$H960,"Fait")-SUMIFS(Paiements!$I$5:$I$2000,Paiements!$C$5:$C$2000,$C960,Paiements!$L$5:$L$2000,"Payé"))))</f>
        <v/>
      </c>
      <c r="J960" s="30" t="str">
        <f t="shared" si="29"/>
        <v/>
      </c>
      <c r="K960" s="14"/>
      <c r="L960" s="17" t="str">
        <f>IF(AND($C960&lt;&gt;"",$C960=Controle_Paiement!$B$4,$J960&lt;&gt;"Payé",$J960&lt;&gt;"Annulé",$J960&lt;&gt;""),1,"")</f>
        <v/>
      </c>
    </row>
    <row r="961" spans="1:12" x14ac:dyDescent="0.35">
      <c r="A961" s="18"/>
      <c r="B961" s="27"/>
      <c r="C961" s="14"/>
      <c r="D961" s="14"/>
      <c r="E961" s="19"/>
      <c r="F961" s="19"/>
      <c r="G961" s="28" t="str">
        <f t="shared" si="28"/>
        <v/>
      </c>
      <c r="H961" s="14"/>
      <c r="I961" s="29" t="str">
        <f>IF(OR($C961="",$G961="",$H961&lt;&gt;"Fait"),"",MIN($G961,MAX(0,SUMIFS($G$5:$G961,$C$5:$C961,$C961,$H$5:$H961,"Fait")-SUMIFS(Paiements!$I$5:$I$2000,Paiements!$C$5:$C$2000,$C961,Paiements!$L$5:$L$2000,"Payé"))))</f>
        <v/>
      </c>
      <c r="J961" s="30" t="str">
        <f t="shared" si="29"/>
        <v/>
      </c>
      <c r="K961" s="14"/>
      <c r="L961" s="17" t="str">
        <f>IF(AND($C961&lt;&gt;"",$C961=Controle_Paiement!$B$4,$J961&lt;&gt;"Payé",$J961&lt;&gt;"Annulé",$J961&lt;&gt;""),1,"")</f>
        <v/>
      </c>
    </row>
    <row r="962" spans="1:12" x14ac:dyDescent="0.35">
      <c r="A962" s="18"/>
      <c r="B962" s="27"/>
      <c r="C962" s="14"/>
      <c r="D962" s="14"/>
      <c r="E962" s="19"/>
      <c r="F962" s="19"/>
      <c r="G962" s="28" t="str">
        <f t="shared" si="28"/>
        <v/>
      </c>
      <c r="H962" s="14"/>
      <c r="I962" s="29" t="str">
        <f>IF(OR($C962="",$G962="",$H962&lt;&gt;"Fait"),"",MIN($G962,MAX(0,SUMIFS($G$5:$G962,$C$5:$C962,$C962,$H$5:$H962,"Fait")-SUMIFS(Paiements!$I$5:$I$2000,Paiements!$C$5:$C$2000,$C962,Paiements!$L$5:$L$2000,"Payé"))))</f>
        <v/>
      </c>
      <c r="J962" s="30" t="str">
        <f t="shared" si="29"/>
        <v/>
      </c>
      <c r="K962" s="14"/>
      <c r="L962" s="17" t="str">
        <f>IF(AND($C962&lt;&gt;"",$C962=Controle_Paiement!$B$4,$J962&lt;&gt;"Payé",$J962&lt;&gt;"Annulé",$J962&lt;&gt;""),1,"")</f>
        <v/>
      </c>
    </row>
    <row r="963" spans="1:12" x14ac:dyDescent="0.35">
      <c r="A963" s="18"/>
      <c r="B963" s="27"/>
      <c r="C963" s="14"/>
      <c r="D963" s="14"/>
      <c r="E963" s="19"/>
      <c r="F963" s="19"/>
      <c r="G963" s="28" t="str">
        <f t="shared" ref="G963:G1002" si="30">IF(OR($E963="",$F963=""),"",ROUND($E963*$F963,0))</f>
        <v/>
      </c>
      <c r="H963" s="14"/>
      <c r="I963" s="29" t="str">
        <f>IF(OR($C963="",$G963="",$H963&lt;&gt;"Fait"),"",MIN($G963,MAX(0,SUMIFS($G$5:$G963,$C$5:$C963,$C963,$H$5:$H963,"Fait")-SUMIFS(Paiements!$I$5:$I$2000,Paiements!$C$5:$C$2000,$C963,Paiements!$L$5:$L$2000,"Payé"))))</f>
        <v/>
      </c>
      <c r="J963" s="30" t="str">
        <f t="shared" ref="J963:J1002" si="31">IF(OR($C963="",$G963=""),"",IF($H963="Annulé","Annulé",IF($H963&lt;&gt;"Fait","Non payable (déchargement non fait)",IF($I963=0,"Payé",IF($I963&lt;$G963,"Partiellement payé","À payer")))))</f>
        <v/>
      </c>
      <c r="K963" s="14"/>
      <c r="L963" s="17" t="str">
        <f>IF(AND($C963&lt;&gt;"",$C963=Controle_Paiement!$B$4,$J963&lt;&gt;"Payé",$J963&lt;&gt;"Annulé",$J963&lt;&gt;""),1,"")</f>
        <v/>
      </c>
    </row>
    <row r="964" spans="1:12" x14ac:dyDescent="0.35">
      <c r="A964" s="18"/>
      <c r="B964" s="27"/>
      <c r="C964" s="14"/>
      <c r="D964" s="14"/>
      <c r="E964" s="19"/>
      <c r="F964" s="19"/>
      <c r="G964" s="28" t="str">
        <f t="shared" si="30"/>
        <v/>
      </c>
      <c r="H964" s="14"/>
      <c r="I964" s="29" t="str">
        <f>IF(OR($C964="",$G964="",$H964&lt;&gt;"Fait"),"",MIN($G964,MAX(0,SUMIFS($G$5:$G964,$C$5:$C964,$C964,$H$5:$H964,"Fait")-SUMIFS(Paiements!$I$5:$I$2000,Paiements!$C$5:$C$2000,$C964,Paiements!$L$5:$L$2000,"Payé"))))</f>
        <v/>
      </c>
      <c r="J964" s="30" t="str">
        <f t="shared" si="31"/>
        <v/>
      </c>
      <c r="K964" s="14"/>
      <c r="L964" s="17" t="str">
        <f>IF(AND($C964&lt;&gt;"",$C964=Controle_Paiement!$B$4,$J964&lt;&gt;"Payé",$J964&lt;&gt;"Annulé",$J964&lt;&gt;""),1,"")</f>
        <v/>
      </c>
    </row>
    <row r="965" spans="1:12" x14ac:dyDescent="0.35">
      <c r="A965" s="18"/>
      <c r="B965" s="27"/>
      <c r="C965" s="14"/>
      <c r="D965" s="14"/>
      <c r="E965" s="19"/>
      <c r="F965" s="19"/>
      <c r="G965" s="28" t="str">
        <f t="shared" si="30"/>
        <v/>
      </c>
      <c r="H965" s="14"/>
      <c r="I965" s="29" t="str">
        <f>IF(OR($C965="",$G965="",$H965&lt;&gt;"Fait"),"",MIN($G965,MAX(0,SUMIFS($G$5:$G965,$C$5:$C965,$C965,$H$5:$H965,"Fait")-SUMIFS(Paiements!$I$5:$I$2000,Paiements!$C$5:$C$2000,$C965,Paiements!$L$5:$L$2000,"Payé"))))</f>
        <v/>
      </c>
      <c r="J965" s="30" t="str">
        <f t="shared" si="31"/>
        <v/>
      </c>
      <c r="K965" s="14"/>
      <c r="L965" s="17" t="str">
        <f>IF(AND($C965&lt;&gt;"",$C965=Controle_Paiement!$B$4,$J965&lt;&gt;"Payé",$J965&lt;&gt;"Annulé",$J965&lt;&gt;""),1,"")</f>
        <v/>
      </c>
    </row>
    <row r="966" spans="1:12" x14ac:dyDescent="0.35">
      <c r="A966" s="18"/>
      <c r="B966" s="27"/>
      <c r="C966" s="14"/>
      <c r="D966" s="14"/>
      <c r="E966" s="19"/>
      <c r="F966" s="19"/>
      <c r="G966" s="28" t="str">
        <f t="shared" si="30"/>
        <v/>
      </c>
      <c r="H966" s="14"/>
      <c r="I966" s="29" t="str">
        <f>IF(OR($C966="",$G966="",$H966&lt;&gt;"Fait"),"",MIN($G966,MAX(0,SUMIFS($G$5:$G966,$C$5:$C966,$C966,$H$5:$H966,"Fait")-SUMIFS(Paiements!$I$5:$I$2000,Paiements!$C$5:$C$2000,$C966,Paiements!$L$5:$L$2000,"Payé"))))</f>
        <v/>
      </c>
      <c r="J966" s="30" t="str">
        <f t="shared" si="31"/>
        <v/>
      </c>
      <c r="K966" s="14"/>
      <c r="L966" s="17" t="str">
        <f>IF(AND($C966&lt;&gt;"",$C966=Controle_Paiement!$B$4,$J966&lt;&gt;"Payé",$J966&lt;&gt;"Annulé",$J966&lt;&gt;""),1,"")</f>
        <v/>
      </c>
    </row>
    <row r="967" spans="1:12" x14ac:dyDescent="0.35">
      <c r="A967" s="18"/>
      <c r="B967" s="27"/>
      <c r="C967" s="14"/>
      <c r="D967" s="14"/>
      <c r="E967" s="19"/>
      <c r="F967" s="19"/>
      <c r="G967" s="28" t="str">
        <f t="shared" si="30"/>
        <v/>
      </c>
      <c r="H967" s="14"/>
      <c r="I967" s="29" t="str">
        <f>IF(OR($C967="",$G967="",$H967&lt;&gt;"Fait"),"",MIN($G967,MAX(0,SUMIFS($G$5:$G967,$C$5:$C967,$C967,$H$5:$H967,"Fait")-SUMIFS(Paiements!$I$5:$I$2000,Paiements!$C$5:$C$2000,$C967,Paiements!$L$5:$L$2000,"Payé"))))</f>
        <v/>
      </c>
      <c r="J967" s="30" t="str">
        <f t="shared" si="31"/>
        <v/>
      </c>
      <c r="K967" s="14"/>
      <c r="L967" s="17" t="str">
        <f>IF(AND($C967&lt;&gt;"",$C967=Controle_Paiement!$B$4,$J967&lt;&gt;"Payé",$J967&lt;&gt;"Annulé",$J967&lt;&gt;""),1,"")</f>
        <v/>
      </c>
    </row>
    <row r="968" spans="1:12" x14ac:dyDescent="0.35">
      <c r="A968" s="18"/>
      <c r="B968" s="27"/>
      <c r="C968" s="14"/>
      <c r="D968" s="14"/>
      <c r="E968" s="19"/>
      <c r="F968" s="19"/>
      <c r="G968" s="28" t="str">
        <f t="shared" si="30"/>
        <v/>
      </c>
      <c r="H968" s="14"/>
      <c r="I968" s="29" t="str">
        <f>IF(OR($C968="",$G968="",$H968&lt;&gt;"Fait"),"",MIN($G968,MAX(0,SUMIFS($G$5:$G968,$C$5:$C968,$C968,$H$5:$H968,"Fait")-SUMIFS(Paiements!$I$5:$I$2000,Paiements!$C$5:$C$2000,$C968,Paiements!$L$5:$L$2000,"Payé"))))</f>
        <v/>
      </c>
      <c r="J968" s="30" t="str">
        <f t="shared" si="31"/>
        <v/>
      </c>
      <c r="K968" s="14"/>
      <c r="L968" s="17" t="str">
        <f>IF(AND($C968&lt;&gt;"",$C968=Controle_Paiement!$B$4,$J968&lt;&gt;"Payé",$J968&lt;&gt;"Annulé",$J968&lt;&gt;""),1,"")</f>
        <v/>
      </c>
    </row>
    <row r="969" spans="1:12" x14ac:dyDescent="0.35">
      <c r="A969" s="18"/>
      <c r="B969" s="27"/>
      <c r="C969" s="14"/>
      <c r="D969" s="14"/>
      <c r="E969" s="19"/>
      <c r="F969" s="19"/>
      <c r="G969" s="28" t="str">
        <f t="shared" si="30"/>
        <v/>
      </c>
      <c r="H969" s="14"/>
      <c r="I969" s="29" t="str">
        <f>IF(OR($C969="",$G969="",$H969&lt;&gt;"Fait"),"",MIN($G969,MAX(0,SUMIFS($G$5:$G969,$C$5:$C969,$C969,$H$5:$H969,"Fait")-SUMIFS(Paiements!$I$5:$I$2000,Paiements!$C$5:$C$2000,$C969,Paiements!$L$5:$L$2000,"Payé"))))</f>
        <v/>
      </c>
      <c r="J969" s="30" t="str">
        <f t="shared" si="31"/>
        <v/>
      </c>
      <c r="K969" s="14"/>
      <c r="L969" s="17" t="str">
        <f>IF(AND($C969&lt;&gt;"",$C969=Controle_Paiement!$B$4,$J969&lt;&gt;"Payé",$J969&lt;&gt;"Annulé",$J969&lt;&gt;""),1,"")</f>
        <v/>
      </c>
    </row>
    <row r="970" spans="1:12" x14ac:dyDescent="0.35">
      <c r="A970" s="18"/>
      <c r="B970" s="27"/>
      <c r="C970" s="14"/>
      <c r="D970" s="14"/>
      <c r="E970" s="19"/>
      <c r="F970" s="19"/>
      <c r="G970" s="28" t="str">
        <f t="shared" si="30"/>
        <v/>
      </c>
      <c r="H970" s="14"/>
      <c r="I970" s="29" t="str">
        <f>IF(OR($C970="",$G970="",$H970&lt;&gt;"Fait"),"",MIN($G970,MAX(0,SUMIFS($G$5:$G970,$C$5:$C970,$C970,$H$5:$H970,"Fait")-SUMIFS(Paiements!$I$5:$I$2000,Paiements!$C$5:$C$2000,$C970,Paiements!$L$5:$L$2000,"Payé"))))</f>
        <v/>
      </c>
      <c r="J970" s="30" t="str">
        <f t="shared" si="31"/>
        <v/>
      </c>
      <c r="K970" s="14"/>
      <c r="L970" s="17" t="str">
        <f>IF(AND($C970&lt;&gt;"",$C970=Controle_Paiement!$B$4,$J970&lt;&gt;"Payé",$J970&lt;&gt;"Annulé",$J970&lt;&gt;""),1,"")</f>
        <v/>
      </c>
    </row>
    <row r="971" spans="1:12" x14ac:dyDescent="0.35">
      <c r="A971" s="18"/>
      <c r="B971" s="27"/>
      <c r="C971" s="14"/>
      <c r="D971" s="14"/>
      <c r="E971" s="19"/>
      <c r="F971" s="19"/>
      <c r="G971" s="28" t="str">
        <f t="shared" si="30"/>
        <v/>
      </c>
      <c r="H971" s="14"/>
      <c r="I971" s="29" t="str">
        <f>IF(OR($C971="",$G971="",$H971&lt;&gt;"Fait"),"",MIN($G971,MAX(0,SUMIFS($G$5:$G971,$C$5:$C971,$C971,$H$5:$H971,"Fait")-SUMIFS(Paiements!$I$5:$I$2000,Paiements!$C$5:$C$2000,$C971,Paiements!$L$5:$L$2000,"Payé"))))</f>
        <v/>
      </c>
      <c r="J971" s="30" t="str">
        <f t="shared" si="31"/>
        <v/>
      </c>
      <c r="K971" s="14"/>
      <c r="L971" s="17" t="str">
        <f>IF(AND($C971&lt;&gt;"",$C971=Controle_Paiement!$B$4,$J971&lt;&gt;"Payé",$J971&lt;&gt;"Annulé",$J971&lt;&gt;""),1,"")</f>
        <v/>
      </c>
    </row>
    <row r="972" spans="1:12" x14ac:dyDescent="0.35">
      <c r="A972" s="18"/>
      <c r="B972" s="27"/>
      <c r="C972" s="14"/>
      <c r="D972" s="14"/>
      <c r="E972" s="19"/>
      <c r="F972" s="19"/>
      <c r="G972" s="28" t="str">
        <f t="shared" si="30"/>
        <v/>
      </c>
      <c r="H972" s="14"/>
      <c r="I972" s="29" t="str">
        <f>IF(OR($C972="",$G972="",$H972&lt;&gt;"Fait"),"",MIN($G972,MAX(0,SUMIFS($G$5:$G972,$C$5:$C972,$C972,$H$5:$H972,"Fait")-SUMIFS(Paiements!$I$5:$I$2000,Paiements!$C$5:$C$2000,$C972,Paiements!$L$5:$L$2000,"Payé"))))</f>
        <v/>
      </c>
      <c r="J972" s="30" t="str">
        <f t="shared" si="31"/>
        <v/>
      </c>
      <c r="K972" s="14"/>
      <c r="L972" s="17" t="str">
        <f>IF(AND($C972&lt;&gt;"",$C972=Controle_Paiement!$B$4,$J972&lt;&gt;"Payé",$J972&lt;&gt;"Annulé",$J972&lt;&gt;""),1,"")</f>
        <v/>
      </c>
    </row>
    <row r="973" spans="1:12" x14ac:dyDescent="0.35">
      <c r="A973" s="18"/>
      <c r="B973" s="27"/>
      <c r="C973" s="14"/>
      <c r="D973" s="14"/>
      <c r="E973" s="19"/>
      <c r="F973" s="19"/>
      <c r="G973" s="28" t="str">
        <f t="shared" si="30"/>
        <v/>
      </c>
      <c r="H973" s="14"/>
      <c r="I973" s="29" t="str">
        <f>IF(OR($C973="",$G973="",$H973&lt;&gt;"Fait"),"",MIN($G973,MAX(0,SUMIFS($G$5:$G973,$C$5:$C973,$C973,$H$5:$H973,"Fait")-SUMIFS(Paiements!$I$5:$I$2000,Paiements!$C$5:$C$2000,$C973,Paiements!$L$5:$L$2000,"Payé"))))</f>
        <v/>
      </c>
      <c r="J973" s="30" t="str">
        <f t="shared" si="31"/>
        <v/>
      </c>
      <c r="K973" s="14"/>
      <c r="L973" s="17" t="str">
        <f>IF(AND($C973&lt;&gt;"",$C973=Controle_Paiement!$B$4,$J973&lt;&gt;"Payé",$J973&lt;&gt;"Annulé",$J973&lt;&gt;""),1,"")</f>
        <v/>
      </c>
    </row>
    <row r="974" spans="1:12" x14ac:dyDescent="0.35">
      <c r="A974" s="18"/>
      <c r="B974" s="27"/>
      <c r="C974" s="14"/>
      <c r="D974" s="14"/>
      <c r="E974" s="19"/>
      <c r="F974" s="19"/>
      <c r="G974" s="28" t="str">
        <f t="shared" si="30"/>
        <v/>
      </c>
      <c r="H974" s="14"/>
      <c r="I974" s="29" t="str">
        <f>IF(OR($C974="",$G974="",$H974&lt;&gt;"Fait"),"",MIN($G974,MAX(0,SUMIFS($G$5:$G974,$C$5:$C974,$C974,$H$5:$H974,"Fait")-SUMIFS(Paiements!$I$5:$I$2000,Paiements!$C$5:$C$2000,$C974,Paiements!$L$5:$L$2000,"Payé"))))</f>
        <v/>
      </c>
      <c r="J974" s="30" t="str">
        <f t="shared" si="31"/>
        <v/>
      </c>
      <c r="K974" s="14"/>
      <c r="L974" s="17" t="str">
        <f>IF(AND($C974&lt;&gt;"",$C974=Controle_Paiement!$B$4,$J974&lt;&gt;"Payé",$J974&lt;&gt;"Annulé",$J974&lt;&gt;""),1,"")</f>
        <v/>
      </c>
    </row>
    <row r="975" spans="1:12" x14ac:dyDescent="0.35">
      <c r="A975" s="18"/>
      <c r="B975" s="27"/>
      <c r="C975" s="14"/>
      <c r="D975" s="14"/>
      <c r="E975" s="19"/>
      <c r="F975" s="19"/>
      <c r="G975" s="28" t="str">
        <f t="shared" si="30"/>
        <v/>
      </c>
      <c r="H975" s="14"/>
      <c r="I975" s="29" t="str">
        <f>IF(OR($C975="",$G975="",$H975&lt;&gt;"Fait"),"",MIN($G975,MAX(0,SUMIFS($G$5:$G975,$C$5:$C975,$C975,$H$5:$H975,"Fait")-SUMIFS(Paiements!$I$5:$I$2000,Paiements!$C$5:$C$2000,$C975,Paiements!$L$5:$L$2000,"Payé"))))</f>
        <v/>
      </c>
      <c r="J975" s="30" t="str">
        <f t="shared" si="31"/>
        <v/>
      </c>
      <c r="K975" s="14"/>
      <c r="L975" s="17" t="str">
        <f>IF(AND($C975&lt;&gt;"",$C975=Controle_Paiement!$B$4,$J975&lt;&gt;"Payé",$J975&lt;&gt;"Annulé",$J975&lt;&gt;""),1,"")</f>
        <v/>
      </c>
    </row>
    <row r="976" spans="1:12" x14ac:dyDescent="0.35">
      <c r="A976" s="18"/>
      <c r="B976" s="27"/>
      <c r="C976" s="14"/>
      <c r="D976" s="14"/>
      <c r="E976" s="19"/>
      <c r="F976" s="19"/>
      <c r="G976" s="28" t="str">
        <f t="shared" si="30"/>
        <v/>
      </c>
      <c r="H976" s="14"/>
      <c r="I976" s="29" t="str">
        <f>IF(OR($C976="",$G976="",$H976&lt;&gt;"Fait"),"",MIN($G976,MAX(0,SUMIFS($G$5:$G976,$C$5:$C976,$C976,$H$5:$H976,"Fait")-SUMIFS(Paiements!$I$5:$I$2000,Paiements!$C$5:$C$2000,$C976,Paiements!$L$5:$L$2000,"Payé"))))</f>
        <v/>
      </c>
      <c r="J976" s="30" t="str">
        <f t="shared" si="31"/>
        <v/>
      </c>
      <c r="K976" s="14"/>
      <c r="L976" s="17" t="str">
        <f>IF(AND($C976&lt;&gt;"",$C976=Controle_Paiement!$B$4,$J976&lt;&gt;"Payé",$J976&lt;&gt;"Annulé",$J976&lt;&gt;""),1,"")</f>
        <v/>
      </c>
    </row>
    <row r="977" spans="1:12" x14ac:dyDescent="0.35">
      <c r="A977" s="18"/>
      <c r="B977" s="27"/>
      <c r="C977" s="14"/>
      <c r="D977" s="14"/>
      <c r="E977" s="19"/>
      <c r="F977" s="19"/>
      <c r="G977" s="28" t="str">
        <f t="shared" si="30"/>
        <v/>
      </c>
      <c r="H977" s="14"/>
      <c r="I977" s="29" t="str">
        <f>IF(OR($C977="",$G977="",$H977&lt;&gt;"Fait"),"",MIN($G977,MAX(0,SUMIFS($G$5:$G977,$C$5:$C977,$C977,$H$5:$H977,"Fait")-SUMIFS(Paiements!$I$5:$I$2000,Paiements!$C$5:$C$2000,$C977,Paiements!$L$5:$L$2000,"Payé"))))</f>
        <v/>
      </c>
      <c r="J977" s="30" t="str">
        <f t="shared" si="31"/>
        <v/>
      </c>
      <c r="K977" s="14"/>
      <c r="L977" s="17" t="str">
        <f>IF(AND($C977&lt;&gt;"",$C977=Controle_Paiement!$B$4,$J977&lt;&gt;"Payé",$J977&lt;&gt;"Annulé",$J977&lt;&gt;""),1,"")</f>
        <v/>
      </c>
    </row>
    <row r="978" spans="1:12" x14ac:dyDescent="0.35">
      <c r="A978" s="18"/>
      <c r="B978" s="27"/>
      <c r="C978" s="14"/>
      <c r="D978" s="14"/>
      <c r="E978" s="19"/>
      <c r="F978" s="19"/>
      <c r="G978" s="28" t="str">
        <f t="shared" si="30"/>
        <v/>
      </c>
      <c r="H978" s="14"/>
      <c r="I978" s="29" t="str">
        <f>IF(OR($C978="",$G978="",$H978&lt;&gt;"Fait"),"",MIN($G978,MAX(0,SUMIFS($G$5:$G978,$C$5:$C978,$C978,$H$5:$H978,"Fait")-SUMIFS(Paiements!$I$5:$I$2000,Paiements!$C$5:$C$2000,$C978,Paiements!$L$5:$L$2000,"Payé"))))</f>
        <v/>
      </c>
      <c r="J978" s="30" t="str">
        <f t="shared" si="31"/>
        <v/>
      </c>
      <c r="K978" s="14"/>
      <c r="L978" s="17" t="str">
        <f>IF(AND($C978&lt;&gt;"",$C978=Controle_Paiement!$B$4,$J978&lt;&gt;"Payé",$J978&lt;&gt;"Annulé",$J978&lt;&gt;""),1,"")</f>
        <v/>
      </c>
    </row>
    <row r="979" spans="1:12" x14ac:dyDescent="0.35">
      <c r="A979" s="18"/>
      <c r="B979" s="27"/>
      <c r="C979" s="14"/>
      <c r="D979" s="14"/>
      <c r="E979" s="19"/>
      <c r="F979" s="19"/>
      <c r="G979" s="28" t="str">
        <f t="shared" si="30"/>
        <v/>
      </c>
      <c r="H979" s="14"/>
      <c r="I979" s="29" t="str">
        <f>IF(OR($C979="",$G979="",$H979&lt;&gt;"Fait"),"",MIN($G979,MAX(0,SUMIFS($G$5:$G979,$C$5:$C979,$C979,$H$5:$H979,"Fait")-SUMIFS(Paiements!$I$5:$I$2000,Paiements!$C$5:$C$2000,$C979,Paiements!$L$5:$L$2000,"Payé"))))</f>
        <v/>
      </c>
      <c r="J979" s="30" t="str">
        <f t="shared" si="31"/>
        <v/>
      </c>
      <c r="K979" s="14"/>
      <c r="L979" s="17" t="str">
        <f>IF(AND($C979&lt;&gt;"",$C979=Controle_Paiement!$B$4,$J979&lt;&gt;"Payé",$J979&lt;&gt;"Annulé",$J979&lt;&gt;""),1,"")</f>
        <v/>
      </c>
    </row>
    <row r="980" spans="1:12" x14ac:dyDescent="0.35">
      <c r="A980" s="18"/>
      <c r="B980" s="27"/>
      <c r="C980" s="14"/>
      <c r="D980" s="14"/>
      <c r="E980" s="19"/>
      <c r="F980" s="19"/>
      <c r="G980" s="28" t="str">
        <f t="shared" si="30"/>
        <v/>
      </c>
      <c r="H980" s="14"/>
      <c r="I980" s="29" t="str">
        <f>IF(OR($C980="",$G980="",$H980&lt;&gt;"Fait"),"",MIN($G980,MAX(0,SUMIFS($G$5:$G980,$C$5:$C980,$C980,$H$5:$H980,"Fait")-SUMIFS(Paiements!$I$5:$I$2000,Paiements!$C$5:$C$2000,$C980,Paiements!$L$5:$L$2000,"Payé"))))</f>
        <v/>
      </c>
      <c r="J980" s="30" t="str">
        <f t="shared" si="31"/>
        <v/>
      </c>
      <c r="K980" s="14"/>
      <c r="L980" s="17" t="str">
        <f>IF(AND($C980&lt;&gt;"",$C980=Controle_Paiement!$B$4,$J980&lt;&gt;"Payé",$J980&lt;&gt;"Annulé",$J980&lt;&gt;""),1,"")</f>
        <v/>
      </c>
    </row>
    <row r="981" spans="1:12" x14ac:dyDescent="0.35">
      <c r="A981" s="18"/>
      <c r="B981" s="27"/>
      <c r="C981" s="14"/>
      <c r="D981" s="14"/>
      <c r="E981" s="19"/>
      <c r="F981" s="19"/>
      <c r="G981" s="28" t="str">
        <f t="shared" si="30"/>
        <v/>
      </c>
      <c r="H981" s="14"/>
      <c r="I981" s="29" t="str">
        <f>IF(OR($C981="",$G981="",$H981&lt;&gt;"Fait"),"",MIN($G981,MAX(0,SUMIFS($G$5:$G981,$C$5:$C981,$C981,$H$5:$H981,"Fait")-SUMIFS(Paiements!$I$5:$I$2000,Paiements!$C$5:$C$2000,$C981,Paiements!$L$5:$L$2000,"Payé"))))</f>
        <v/>
      </c>
      <c r="J981" s="30" t="str">
        <f t="shared" si="31"/>
        <v/>
      </c>
      <c r="K981" s="14"/>
      <c r="L981" s="17" t="str">
        <f>IF(AND($C981&lt;&gt;"",$C981=Controle_Paiement!$B$4,$J981&lt;&gt;"Payé",$J981&lt;&gt;"Annulé",$J981&lt;&gt;""),1,"")</f>
        <v/>
      </c>
    </row>
    <row r="982" spans="1:12" x14ac:dyDescent="0.35">
      <c r="A982" s="18"/>
      <c r="B982" s="27"/>
      <c r="C982" s="14"/>
      <c r="D982" s="14"/>
      <c r="E982" s="19"/>
      <c r="F982" s="19"/>
      <c r="G982" s="28" t="str">
        <f t="shared" si="30"/>
        <v/>
      </c>
      <c r="H982" s="14"/>
      <c r="I982" s="29" t="str">
        <f>IF(OR($C982="",$G982="",$H982&lt;&gt;"Fait"),"",MIN($G982,MAX(0,SUMIFS($G$5:$G982,$C$5:$C982,$C982,$H$5:$H982,"Fait")-SUMIFS(Paiements!$I$5:$I$2000,Paiements!$C$5:$C$2000,$C982,Paiements!$L$5:$L$2000,"Payé"))))</f>
        <v/>
      </c>
      <c r="J982" s="30" t="str">
        <f t="shared" si="31"/>
        <v/>
      </c>
      <c r="K982" s="14"/>
      <c r="L982" s="17" t="str">
        <f>IF(AND($C982&lt;&gt;"",$C982=Controle_Paiement!$B$4,$J982&lt;&gt;"Payé",$J982&lt;&gt;"Annulé",$J982&lt;&gt;""),1,"")</f>
        <v/>
      </c>
    </row>
    <row r="983" spans="1:12" x14ac:dyDescent="0.35">
      <c r="A983" s="18"/>
      <c r="B983" s="27"/>
      <c r="C983" s="14"/>
      <c r="D983" s="14"/>
      <c r="E983" s="19"/>
      <c r="F983" s="19"/>
      <c r="G983" s="28" t="str">
        <f t="shared" si="30"/>
        <v/>
      </c>
      <c r="H983" s="14"/>
      <c r="I983" s="29" t="str">
        <f>IF(OR($C983="",$G983="",$H983&lt;&gt;"Fait"),"",MIN($G983,MAX(0,SUMIFS($G$5:$G983,$C$5:$C983,$C983,$H$5:$H983,"Fait")-SUMIFS(Paiements!$I$5:$I$2000,Paiements!$C$5:$C$2000,$C983,Paiements!$L$5:$L$2000,"Payé"))))</f>
        <v/>
      </c>
      <c r="J983" s="30" t="str">
        <f t="shared" si="31"/>
        <v/>
      </c>
      <c r="K983" s="14"/>
      <c r="L983" s="17" t="str">
        <f>IF(AND($C983&lt;&gt;"",$C983=Controle_Paiement!$B$4,$J983&lt;&gt;"Payé",$J983&lt;&gt;"Annulé",$J983&lt;&gt;""),1,"")</f>
        <v/>
      </c>
    </row>
    <row r="984" spans="1:12" x14ac:dyDescent="0.35">
      <c r="A984" s="18"/>
      <c r="B984" s="27"/>
      <c r="C984" s="14"/>
      <c r="D984" s="14"/>
      <c r="E984" s="19"/>
      <c r="F984" s="19"/>
      <c r="G984" s="28" t="str">
        <f t="shared" si="30"/>
        <v/>
      </c>
      <c r="H984" s="14"/>
      <c r="I984" s="29" t="str">
        <f>IF(OR($C984="",$G984="",$H984&lt;&gt;"Fait"),"",MIN($G984,MAX(0,SUMIFS($G$5:$G984,$C$5:$C984,$C984,$H$5:$H984,"Fait")-SUMIFS(Paiements!$I$5:$I$2000,Paiements!$C$5:$C$2000,$C984,Paiements!$L$5:$L$2000,"Payé"))))</f>
        <v/>
      </c>
      <c r="J984" s="30" t="str">
        <f t="shared" si="31"/>
        <v/>
      </c>
      <c r="K984" s="14"/>
      <c r="L984" s="17" t="str">
        <f>IF(AND($C984&lt;&gt;"",$C984=Controle_Paiement!$B$4,$J984&lt;&gt;"Payé",$J984&lt;&gt;"Annulé",$J984&lt;&gt;""),1,"")</f>
        <v/>
      </c>
    </row>
    <row r="985" spans="1:12" x14ac:dyDescent="0.35">
      <c r="A985" s="18"/>
      <c r="B985" s="27"/>
      <c r="C985" s="14"/>
      <c r="D985" s="14"/>
      <c r="E985" s="19"/>
      <c r="F985" s="19"/>
      <c r="G985" s="28" t="str">
        <f t="shared" si="30"/>
        <v/>
      </c>
      <c r="H985" s="14"/>
      <c r="I985" s="29" t="str">
        <f>IF(OR($C985="",$G985="",$H985&lt;&gt;"Fait"),"",MIN($G985,MAX(0,SUMIFS($G$5:$G985,$C$5:$C985,$C985,$H$5:$H985,"Fait")-SUMIFS(Paiements!$I$5:$I$2000,Paiements!$C$5:$C$2000,$C985,Paiements!$L$5:$L$2000,"Payé"))))</f>
        <v/>
      </c>
      <c r="J985" s="30" t="str">
        <f t="shared" si="31"/>
        <v/>
      </c>
      <c r="K985" s="14"/>
      <c r="L985" s="17" t="str">
        <f>IF(AND($C985&lt;&gt;"",$C985=Controle_Paiement!$B$4,$J985&lt;&gt;"Payé",$J985&lt;&gt;"Annulé",$J985&lt;&gt;""),1,"")</f>
        <v/>
      </c>
    </row>
    <row r="986" spans="1:12" x14ac:dyDescent="0.35">
      <c r="A986" s="18"/>
      <c r="B986" s="27"/>
      <c r="C986" s="14"/>
      <c r="D986" s="14"/>
      <c r="E986" s="19"/>
      <c r="F986" s="19"/>
      <c r="G986" s="28" t="str">
        <f t="shared" si="30"/>
        <v/>
      </c>
      <c r="H986" s="14"/>
      <c r="I986" s="29" t="str">
        <f>IF(OR($C986="",$G986="",$H986&lt;&gt;"Fait"),"",MIN($G986,MAX(0,SUMIFS($G$5:$G986,$C$5:$C986,$C986,$H$5:$H986,"Fait")-SUMIFS(Paiements!$I$5:$I$2000,Paiements!$C$5:$C$2000,$C986,Paiements!$L$5:$L$2000,"Payé"))))</f>
        <v/>
      </c>
      <c r="J986" s="30" t="str">
        <f t="shared" si="31"/>
        <v/>
      </c>
      <c r="K986" s="14"/>
      <c r="L986" s="17" t="str">
        <f>IF(AND($C986&lt;&gt;"",$C986=Controle_Paiement!$B$4,$J986&lt;&gt;"Payé",$J986&lt;&gt;"Annulé",$J986&lt;&gt;""),1,"")</f>
        <v/>
      </c>
    </row>
    <row r="987" spans="1:12" x14ac:dyDescent="0.35">
      <c r="A987" s="18"/>
      <c r="B987" s="27"/>
      <c r="C987" s="14"/>
      <c r="D987" s="14"/>
      <c r="E987" s="19"/>
      <c r="F987" s="19"/>
      <c r="G987" s="28" t="str">
        <f t="shared" si="30"/>
        <v/>
      </c>
      <c r="H987" s="14"/>
      <c r="I987" s="29" t="str">
        <f>IF(OR($C987="",$G987="",$H987&lt;&gt;"Fait"),"",MIN($G987,MAX(0,SUMIFS($G$5:$G987,$C$5:$C987,$C987,$H$5:$H987,"Fait")-SUMIFS(Paiements!$I$5:$I$2000,Paiements!$C$5:$C$2000,$C987,Paiements!$L$5:$L$2000,"Payé"))))</f>
        <v/>
      </c>
      <c r="J987" s="30" t="str">
        <f t="shared" si="31"/>
        <v/>
      </c>
      <c r="K987" s="14"/>
      <c r="L987" s="17" t="str">
        <f>IF(AND($C987&lt;&gt;"",$C987=Controle_Paiement!$B$4,$J987&lt;&gt;"Payé",$J987&lt;&gt;"Annulé",$J987&lt;&gt;""),1,"")</f>
        <v/>
      </c>
    </row>
    <row r="988" spans="1:12" x14ac:dyDescent="0.35">
      <c r="A988" s="18"/>
      <c r="B988" s="27"/>
      <c r="C988" s="14"/>
      <c r="D988" s="14"/>
      <c r="E988" s="19"/>
      <c r="F988" s="19"/>
      <c r="G988" s="28" t="str">
        <f t="shared" si="30"/>
        <v/>
      </c>
      <c r="H988" s="14"/>
      <c r="I988" s="29" t="str">
        <f>IF(OR($C988="",$G988="",$H988&lt;&gt;"Fait"),"",MIN($G988,MAX(0,SUMIFS($G$5:$G988,$C$5:$C988,$C988,$H$5:$H988,"Fait")-SUMIFS(Paiements!$I$5:$I$2000,Paiements!$C$5:$C$2000,$C988,Paiements!$L$5:$L$2000,"Payé"))))</f>
        <v/>
      </c>
      <c r="J988" s="30" t="str">
        <f t="shared" si="31"/>
        <v/>
      </c>
      <c r="K988" s="14"/>
      <c r="L988" s="17" t="str">
        <f>IF(AND($C988&lt;&gt;"",$C988=Controle_Paiement!$B$4,$J988&lt;&gt;"Payé",$J988&lt;&gt;"Annulé",$J988&lt;&gt;""),1,"")</f>
        <v/>
      </c>
    </row>
    <row r="989" spans="1:12" x14ac:dyDescent="0.35">
      <c r="A989" s="18"/>
      <c r="B989" s="27"/>
      <c r="C989" s="14"/>
      <c r="D989" s="14"/>
      <c r="E989" s="19"/>
      <c r="F989" s="19"/>
      <c r="G989" s="28" t="str">
        <f t="shared" si="30"/>
        <v/>
      </c>
      <c r="H989" s="14"/>
      <c r="I989" s="29" t="str">
        <f>IF(OR($C989="",$G989="",$H989&lt;&gt;"Fait"),"",MIN($G989,MAX(0,SUMIFS($G$5:$G989,$C$5:$C989,$C989,$H$5:$H989,"Fait")-SUMIFS(Paiements!$I$5:$I$2000,Paiements!$C$5:$C$2000,$C989,Paiements!$L$5:$L$2000,"Payé"))))</f>
        <v/>
      </c>
      <c r="J989" s="30" t="str">
        <f t="shared" si="31"/>
        <v/>
      </c>
      <c r="K989" s="14"/>
      <c r="L989" s="17" t="str">
        <f>IF(AND($C989&lt;&gt;"",$C989=Controle_Paiement!$B$4,$J989&lt;&gt;"Payé",$J989&lt;&gt;"Annulé",$J989&lt;&gt;""),1,"")</f>
        <v/>
      </c>
    </row>
    <row r="990" spans="1:12" x14ac:dyDescent="0.35">
      <c r="A990" s="18"/>
      <c r="B990" s="27"/>
      <c r="C990" s="14"/>
      <c r="D990" s="14"/>
      <c r="E990" s="19"/>
      <c r="F990" s="19"/>
      <c r="G990" s="28" t="str">
        <f t="shared" si="30"/>
        <v/>
      </c>
      <c r="H990" s="14"/>
      <c r="I990" s="29" t="str">
        <f>IF(OR($C990="",$G990="",$H990&lt;&gt;"Fait"),"",MIN($G990,MAX(0,SUMIFS($G$5:$G990,$C$5:$C990,$C990,$H$5:$H990,"Fait")-SUMIFS(Paiements!$I$5:$I$2000,Paiements!$C$5:$C$2000,$C990,Paiements!$L$5:$L$2000,"Payé"))))</f>
        <v/>
      </c>
      <c r="J990" s="30" t="str">
        <f t="shared" si="31"/>
        <v/>
      </c>
      <c r="K990" s="14"/>
      <c r="L990" s="17" t="str">
        <f>IF(AND($C990&lt;&gt;"",$C990=Controle_Paiement!$B$4,$J990&lt;&gt;"Payé",$J990&lt;&gt;"Annulé",$J990&lt;&gt;""),1,"")</f>
        <v/>
      </c>
    </row>
    <row r="991" spans="1:12" x14ac:dyDescent="0.35">
      <c r="A991" s="18"/>
      <c r="B991" s="27"/>
      <c r="C991" s="14"/>
      <c r="D991" s="14"/>
      <c r="E991" s="19"/>
      <c r="F991" s="19"/>
      <c r="G991" s="28" t="str">
        <f t="shared" si="30"/>
        <v/>
      </c>
      <c r="H991" s="14"/>
      <c r="I991" s="29" t="str">
        <f>IF(OR($C991="",$G991="",$H991&lt;&gt;"Fait"),"",MIN($G991,MAX(0,SUMIFS($G$5:$G991,$C$5:$C991,$C991,$H$5:$H991,"Fait")-SUMIFS(Paiements!$I$5:$I$2000,Paiements!$C$5:$C$2000,$C991,Paiements!$L$5:$L$2000,"Payé"))))</f>
        <v/>
      </c>
      <c r="J991" s="30" t="str">
        <f t="shared" si="31"/>
        <v/>
      </c>
      <c r="K991" s="14"/>
      <c r="L991" s="17" t="str">
        <f>IF(AND($C991&lt;&gt;"",$C991=Controle_Paiement!$B$4,$J991&lt;&gt;"Payé",$J991&lt;&gt;"Annulé",$J991&lt;&gt;""),1,"")</f>
        <v/>
      </c>
    </row>
    <row r="992" spans="1:12" x14ac:dyDescent="0.35">
      <c r="A992" s="18"/>
      <c r="B992" s="27"/>
      <c r="C992" s="14"/>
      <c r="D992" s="14"/>
      <c r="E992" s="19"/>
      <c r="F992" s="19"/>
      <c r="G992" s="28" t="str">
        <f t="shared" si="30"/>
        <v/>
      </c>
      <c r="H992" s="14"/>
      <c r="I992" s="29" t="str">
        <f>IF(OR($C992="",$G992="",$H992&lt;&gt;"Fait"),"",MIN($G992,MAX(0,SUMIFS($G$5:$G992,$C$5:$C992,$C992,$H$5:$H992,"Fait")-SUMIFS(Paiements!$I$5:$I$2000,Paiements!$C$5:$C$2000,$C992,Paiements!$L$5:$L$2000,"Payé"))))</f>
        <v/>
      </c>
      <c r="J992" s="30" t="str">
        <f t="shared" si="31"/>
        <v/>
      </c>
      <c r="K992" s="14"/>
      <c r="L992" s="17" t="str">
        <f>IF(AND($C992&lt;&gt;"",$C992=Controle_Paiement!$B$4,$J992&lt;&gt;"Payé",$J992&lt;&gt;"Annulé",$J992&lt;&gt;""),1,"")</f>
        <v/>
      </c>
    </row>
    <row r="993" spans="1:12" x14ac:dyDescent="0.35">
      <c r="A993" s="18"/>
      <c r="B993" s="27"/>
      <c r="C993" s="14"/>
      <c r="D993" s="14"/>
      <c r="E993" s="19"/>
      <c r="F993" s="19"/>
      <c r="G993" s="28" t="str">
        <f t="shared" si="30"/>
        <v/>
      </c>
      <c r="H993" s="14"/>
      <c r="I993" s="29" t="str">
        <f>IF(OR($C993="",$G993="",$H993&lt;&gt;"Fait"),"",MIN($G993,MAX(0,SUMIFS($G$5:$G993,$C$5:$C993,$C993,$H$5:$H993,"Fait")-SUMIFS(Paiements!$I$5:$I$2000,Paiements!$C$5:$C$2000,$C993,Paiements!$L$5:$L$2000,"Payé"))))</f>
        <v/>
      </c>
      <c r="J993" s="30" t="str">
        <f t="shared" si="31"/>
        <v/>
      </c>
      <c r="K993" s="14"/>
      <c r="L993" s="17" t="str">
        <f>IF(AND($C993&lt;&gt;"",$C993=Controle_Paiement!$B$4,$J993&lt;&gt;"Payé",$J993&lt;&gt;"Annulé",$J993&lt;&gt;""),1,"")</f>
        <v/>
      </c>
    </row>
    <row r="994" spans="1:12" x14ac:dyDescent="0.35">
      <c r="A994" s="18"/>
      <c r="B994" s="27"/>
      <c r="C994" s="14"/>
      <c r="D994" s="14"/>
      <c r="E994" s="19"/>
      <c r="F994" s="19"/>
      <c r="G994" s="28" t="str">
        <f t="shared" si="30"/>
        <v/>
      </c>
      <c r="H994" s="14"/>
      <c r="I994" s="29" t="str">
        <f>IF(OR($C994="",$G994="",$H994&lt;&gt;"Fait"),"",MIN($G994,MAX(0,SUMIFS($G$5:$G994,$C$5:$C994,$C994,$H$5:$H994,"Fait")-SUMIFS(Paiements!$I$5:$I$2000,Paiements!$C$5:$C$2000,$C994,Paiements!$L$5:$L$2000,"Payé"))))</f>
        <v/>
      </c>
      <c r="J994" s="30" t="str">
        <f t="shared" si="31"/>
        <v/>
      </c>
      <c r="K994" s="14"/>
      <c r="L994" s="17" t="str">
        <f>IF(AND($C994&lt;&gt;"",$C994=Controle_Paiement!$B$4,$J994&lt;&gt;"Payé",$J994&lt;&gt;"Annulé",$J994&lt;&gt;""),1,"")</f>
        <v/>
      </c>
    </row>
    <row r="995" spans="1:12" x14ac:dyDescent="0.35">
      <c r="A995" s="18"/>
      <c r="B995" s="27"/>
      <c r="C995" s="14"/>
      <c r="D995" s="14"/>
      <c r="E995" s="19"/>
      <c r="F995" s="19"/>
      <c r="G995" s="28" t="str">
        <f t="shared" si="30"/>
        <v/>
      </c>
      <c r="H995" s="14"/>
      <c r="I995" s="29" t="str">
        <f>IF(OR($C995="",$G995="",$H995&lt;&gt;"Fait"),"",MIN($G995,MAX(0,SUMIFS($G$5:$G995,$C$5:$C995,$C995,$H$5:$H995,"Fait")-SUMIFS(Paiements!$I$5:$I$2000,Paiements!$C$5:$C$2000,$C995,Paiements!$L$5:$L$2000,"Payé"))))</f>
        <v/>
      </c>
      <c r="J995" s="30" t="str">
        <f t="shared" si="31"/>
        <v/>
      </c>
      <c r="K995" s="14"/>
      <c r="L995" s="17" t="str">
        <f>IF(AND($C995&lt;&gt;"",$C995=Controle_Paiement!$B$4,$J995&lt;&gt;"Payé",$J995&lt;&gt;"Annulé",$J995&lt;&gt;""),1,"")</f>
        <v/>
      </c>
    </row>
    <row r="996" spans="1:12" x14ac:dyDescent="0.35">
      <c r="A996" s="18"/>
      <c r="B996" s="27"/>
      <c r="C996" s="14"/>
      <c r="D996" s="14"/>
      <c r="E996" s="19"/>
      <c r="F996" s="19"/>
      <c r="G996" s="28" t="str">
        <f t="shared" si="30"/>
        <v/>
      </c>
      <c r="H996" s="14"/>
      <c r="I996" s="29" t="str">
        <f>IF(OR($C996="",$G996="",$H996&lt;&gt;"Fait"),"",MIN($G996,MAX(0,SUMIFS($G$5:$G996,$C$5:$C996,$C996,$H$5:$H996,"Fait")-SUMIFS(Paiements!$I$5:$I$2000,Paiements!$C$5:$C$2000,$C996,Paiements!$L$5:$L$2000,"Payé"))))</f>
        <v/>
      </c>
      <c r="J996" s="30" t="str">
        <f t="shared" si="31"/>
        <v/>
      </c>
      <c r="K996" s="14"/>
      <c r="L996" s="17" t="str">
        <f>IF(AND($C996&lt;&gt;"",$C996=Controle_Paiement!$B$4,$J996&lt;&gt;"Payé",$J996&lt;&gt;"Annulé",$J996&lt;&gt;""),1,"")</f>
        <v/>
      </c>
    </row>
    <row r="997" spans="1:12" x14ac:dyDescent="0.35">
      <c r="A997" s="18"/>
      <c r="B997" s="27"/>
      <c r="C997" s="14"/>
      <c r="D997" s="14"/>
      <c r="E997" s="19"/>
      <c r="F997" s="19"/>
      <c r="G997" s="28" t="str">
        <f t="shared" si="30"/>
        <v/>
      </c>
      <c r="H997" s="14"/>
      <c r="I997" s="29" t="str">
        <f>IF(OR($C997="",$G997="",$H997&lt;&gt;"Fait"),"",MIN($G997,MAX(0,SUMIFS($G$5:$G997,$C$5:$C997,$C997,$H$5:$H997,"Fait")-SUMIFS(Paiements!$I$5:$I$2000,Paiements!$C$5:$C$2000,$C997,Paiements!$L$5:$L$2000,"Payé"))))</f>
        <v/>
      </c>
      <c r="J997" s="30" t="str">
        <f t="shared" si="31"/>
        <v/>
      </c>
      <c r="K997" s="14"/>
      <c r="L997" s="17" t="str">
        <f>IF(AND($C997&lt;&gt;"",$C997=Controle_Paiement!$B$4,$J997&lt;&gt;"Payé",$J997&lt;&gt;"Annulé",$J997&lt;&gt;""),1,"")</f>
        <v/>
      </c>
    </row>
    <row r="998" spans="1:12" x14ac:dyDescent="0.35">
      <c r="A998" s="18"/>
      <c r="B998" s="27"/>
      <c r="C998" s="14"/>
      <c r="D998" s="14"/>
      <c r="E998" s="19"/>
      <c r="F998" s="19"/>
      <c r="G998" s="28" t="str">
        <f t="shared" si="30"/>
        <v/>
      </c>
      <c r="H998" s="14"/>
      <c r="I998" s="29" t="str">
        <f>IF(OR($C998="",$G998="",$H998&lt;&gt;"Fait"),"",MIN($G998,MAX(0,SUMIFS($G$5:$G998,$C$5:$C998,$C998,$H$5:$H998,"Fait")-SUMIFS(Paiements!$I$5:$I$2000,Paiements!$C$5:$C$2000,$C998,Paiements!$L$5:$L$2000,"Payé"))))</f>
        <v/>
      </c>
      <c r="J998" s="30" t="str">
        <f t="shared" si="31"/>
        <v/>
      </c>
      <c r="K998" s="14"/>
      <c r="L998" s="17" t="str">
        <f>IF(AND($C998&lt;&gt;"",$C998=Controle_Paiement!$B$4,$J998&lt;&gt;"Payé",$J998&lt;&gt;"Annulé",$J998&lt;&gt;""),1,"")</f>
        <v/>
      </c>
    </row>
    <row r="999" spans="1:12" x14ac:dyDescent="0.35">
      <c r="A999" s="18"/>
      <c r="B999" s="27"/>
      <c r="C999" s="14"/>
      <c r="D999" s="14"/>
      <c r="E999" s="19"/>
      <c r="F999" s="19"/>
      <c r="G999" s="28" t="str">
        <f t="shared" si="30"/>
        <v/>
      </c>
      <c r="H999" s="14"/>
      <c r="I999" s="29" t="str">
        <f>IF(OR($C999="",$G999="",$H999&lt;&gt;"Fait"),"",MIN($G999,MAX(0,SUMIFS($G$5:$G999,$C$5:$C999,$C999,$H$5:$H999,"Fait")-SUMIFS(Paiements!$I$5:$I$2000,Paiements!$C$5:$C$2000,$C999,Paiements!$L$5:$L$2000,"Payé"))))</f>
        <v/>
      </c>
      <c r="J999" s="30" t="str">
        <f t="shared" si="31"/>
        <v/>
      </c>
      <c r="K999" s="14"/>
      <c r="L999" s="17" t="str">
        <f>IF(AND($C999&lt;&gt;"",$C999=Controle_Paiement!$B$4,$J999&lt;&gt;"Payé",$J999&lt;&gt;"Annulé",$J999&lt;&gt;""),1,"")</f>
        <v/>
      </c>
    </row>
    <row r="1000" spans="1:12" x14ac:dyDescent="0.35">
      <c r="A1000" s="18"/>
      <c r="B1000" s="27"/>
      <c r="C1000" s="14"/>
      <c r="D1000" s="14"/>
      <c r="E1000" s="19"/>
      <c r="F1000" s="19"/>
      <c r="G1000" s="28" t="str">
        <f t="shared" si="30"/>
        <v/>
      </c>
      <c r="H1000" s="14"/>
      <c r="I1000" s="29" t="str">
        <f>IF(OR($C1000="",$G1000="",$H1000&lt;&gt;"Fait"),"",MIN($G1000,MAX(0,SUMIFS($G$5:$G1000,$C$5:$C1000,$C1000,$H$5:$H1000,"Fait")-SUMIFS(Paiements!$I$5:$I$2000,Paiements!$C$5:$C$2000,$C1000,Paiements!$L$5:$L$2000,"Payé"))))</f>
        <v/>
      </c>
      <c r="J1000" s="30" t="str">
        <f t="shared" si="31"/>
        <v/>
      </c>
      <c r="K1000" s="14"/>
      <c r="L1000" s="17" t="str">
        <f>IF(AND($C1000&lt;&gt;"",$C1000=Controle_Paiement!$B$4,$J1000&lt;&gt;"Payé",$J1000&lt;&gt;"Annulé",$J1000&lt;&gt;""),1,"")</f>
        <v/>
      </c>
    </row>
    <row r="1001" spans="1:12" x14ac:dyDescent="0.35">
      <c r="A1001" s="18"/>
      <c r="B1001" s="27"/>
      <c r="C1001" s="14"/>
      <c r="D1001" s="14"/>
      <c r="E1001" s="19"/>
      <c r="F1001" s="19"/>
      <c r="G1001" s="28" t="str">
        <f t="shared" si="30"/>
        <v/>
      </c>
      <c r="H1001" s="14"/>
      <c r="I1001" s="29" t="str">
        <f>IF(OR($C1001="",$G1001="",$H1001&lt;&gt;"Fait"),"",MIN($G1001,MAX(0,SUMIFS($G$5:$G1001,$C$5:$C1001,$C1001,$H$5:$H1001,"Fait")-SUMIFS(Paiements!$I$5:$I$2000,Paiements!$C$5:$C$2000,$C1001,Paiements!$L$5:$L$2000,"Payé"))))</f>
        <v/>
      </c>
      <c r="J1001" s="30" t="str">
        <f t="shared" si="31"/>
        <v/>
      </c>
      <c r="K1001" s="14"/>
      <c r="L1001" s="17" t="str">
        <f>IF(AND($C1001&lt;&gt;"",$C1001=Controle_Paiement!$B$4,$J1001&lt;&gt;"Payé",$J1001&lt;&gt;"Annulé",$J1001&lt;&gt;""),1,"")</f>
        <v/>
      </c>
    </row>
    <row r="1002" spans="1:12" x14ac:dyDescent="0.35">
      <c r="A1002" s="18"/>
      <c r="B1002" s="27"/>
      <c r="C1002" s="14"/>
      <c r="D1002" s="14"/>
      <c r="E1002" s="19"/>
      <c r="F1002" s="19"/>
      <c r="G1002" s="28" t="str">
        <f t="shared" si="30"/>
        <v/>
      </c>
      <c r="H1002" s="14"/>
      <c r="I1002" s="29" t="str">
        <f>IF(OR($C1002="",$G1002="",$H1002&lt;&gt;"Fait"),"",MIN($G1002,MAX(0,SUMIFS($G$5:$G1002,$C$5:$C1002,$C1002,$H$5:$H1002,"Fait")-SUMIFS(Paiements!$I$5:$I$2000,Paiements!$C$5:$C$2000,$C1002,Paiements!$L$5:$L$2000,"Payé"))))</f>
        <v/>
      </c>
      <c r="J1002" s="30" t="str">
        <f t="shared" si="31"/>
        <v/>
      </c>
      <c r="K1002" s="14"/>
      <c r="L1002" s="17" t="str">
        <f>IF(AND($C1002&lt;&gt;"",$C1002=Controle_Paiement!$B$4,$J1002&lt;&gt;"Payé",$J1002&lt;&gt;"Annulé",$J1002&lt;&gt;""),1,"")</f>
        <v/>
      </c>
    </row>
  </sheetData>
  <autoFilter ref="A4:K1002" xr:uid="{00000000-0009-0000-0000-000003000000}"/>
  <mergeCells count="1">
    <mergeCell ref="A2:K2"/>
  </mergeCells>
  <conditionalFormatting sqref="H5:H1002">
    <cfRule type="cellIs" dxfId="7" priority="1" operator="equal">
      <formula>"Fait"</formula>
    </cfRule>
    <cfRule type="cellIs" dxfId="6" priority="2" operator="equal">
      <formula>"En cours"</formula>
    </cfRule>
    <cfRule type="cellIs" dxfId="5" priority="3" operator="equal">
      <formula>"Annulé"</formula>
    </cfRule>
  </conditionalFormatting>
  <conditionalFormatting sqref="J5:J1002">
    <cfRule type="cellIs" dxfId="4" priority="4" operator="equal">
      <formula>"Payé"</formula>
    </cfRule>
    <cfRule type="cellIs" dxfId="3" priority="5" operator="equal">
      <formula>"À payer"</formula>
    </cfRule>
    <cfRule type="cellIs" dxfId="2" priority="6" operator="equal">
      <formula>"Partiellement payé"</formula>
    </cfRule>
    <cfRule type="cellIs" dxfId="1" priority="7" operator="equal">
      <formula>"Non payable (déchargement non fait)"</formula>
    </cfRule>
    <cfRule type="cellIs" dxfId="0" priority="8" operator="equal">
      <formula>"Annulé"</formula>
    </cfRule>
  </conditionalFormatting>
  <dataValidations count="5">
    <dataValidation type="date" operator="greaterThan" allowBlank="1" showErrorMessage="1" errorTitle="Date non valide" error="Saisissez une date, par exemple 10/10/2026." sqref="A5:A1002" xr:uid="{00000000-0002-0000-0300-000000000000}">
      <formula1>36526</formula1>
    </dataValidation>
    <dataValidation type="list" errorStyle="warning" allowBlank="1" showErrorMessage="1" errorTitle="Produit absent de la liste" error="Ce produit n'est pas dans la feuille Listes. Cliquez sur Oui pour le garder." sqref="D5:D1002" xr:uid="{00000000-0002-0000-0300-000002000000}">
      <formula1>L_Produits</formula1>
    </dataValidation>
    <dataValidation type="list" allowBlank="1" showErrorMessage="1" errorTitle="Valeur non valide" error="Choisissez une valeur dans la liste déroulante." sqref="H5:H1002" xr:uid="{00000000-0002-0000-0300-000003000000}">
      <formula1>L_StatutsDech</formula1>
    </dataValidation>
    <dataValidation type="decimal" operator="greaterThan" allowBlank="1" showErrorMessage="1" errorTitle="Poids non valide" error="Saisissez le poids en kg, sous forme de nombre supérieur à 0." sqref="E5:E1002" xr:uid="{00000000-0002-0000-0300-000004000000}">
      <formula1>0</formula1>
    </dataValidation>
    <dataValidation type="decimal" errorStyle="warning" allowBlank="1" showErrorMessage="1" errorTitle="Prix hors fourchette" error="Ce prix est en dehors de la fourchette habituelle définie dans la feuille Listes (300 à 345 FCFA/kg par défaut). Cliquez sur Oui pour le confirmer." sqref="F5:F1002" xr:uid="{00000000-0002-0000-0300-000005000000}">
      <formula1>P_Min</formula1>
      <formula2>P_Max</formula2>
    </dataValidation>
  </dataValidations>
  <pageMargins left="0.75" right="0.75" top="1" bottom="1" header="0.5" footer="0.5"/>
  <pageSetup fitToHeight="0" orientation="landscape"/>
  <extLst>
    <ext xmlns:x14="http://schemas.microsoft.com/office/spreadsheetml/2009/9/main" uri="{CCE6A557-97BC-4b89-ADB6-D9C93CAAB3DF}">
      <x14:dataValidations xmlns:xm="http://schemas.microsoft.com/office/excel/2006/main" count="1">
        <x14:dataValidation type="list" allowBlank="1" showErrorMessage="1" errorTitle="Fournisseur inconnu" error="Ce fournisseur n'est pas dans la feuille Fournisseurs. Ajoutez-le d'abord dans la colonne A de cette feuille." xr:uid="{8A0D6645-7594-482F-8119-C73B5E537149}">
          <x14:formula1>
            <xm:f>Fournisseurs!$B$6:$B$10000</xm:f>
          </x14:formula1>
          <xm:sqref>C5:C8000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00"/>
  <sheetViews>
    <sheetView workbookViewId="0">
      <pane ySplit="1" topLeftCell="A2" activePane="bottomLeft" state="frozen"/>
      <selection pane="bottomLeft" activeCell="B9" sqref="B9"/>
    </sheetView>
  </sheetViews>
  <sheetFormatPr baseColWidth="10" defaultColWidth="8.7265625" defaultRowHeight="14.5" x14ac:dyDescent="0.35"/>
  <cols>
    <col min="1" max="1" width="56.1796875" customWidth="1"/>
    <col min="2" max="8" width="24" customWidth="1"/>
    <col min="9" max="9" width="3" customWidth="1"/>
    <col min="10" max="10" width="34" customWidth="1"/>
    <col min="11" max="11" width="14" customWidth="1"/>
  </cols>
  <sheetData>
    <row r="1" spans="1:11" ht="30" customHeight="1" x14ac:dyDescent="0.35">
      <c r="A1" s="2" t="s">
        <v>87</v>
      </c>
      <c r="B1" s="2" t="s">
        <v>88</v>
      </c>
      <c r="C1" s="2" t="s">
        <v>89</v>
      </c>
      <c r="D1" s="2" t="s">
        <v>90</v>
      </c>
      <c r="E1" s="2" t="s">
        <v>91</v>
      </c>
      <c r="F1" s="2" t="s">
        <v>92</v>
      </c>
      <c r="G1" s="2" t="s">
        <v>93</v>
      </c>
      <c r="H1" s="2" t="s">
        <v>94</v>
      </c>
      <c r="J1" s="2" t="s">
        <v>95</v>
      </c>
      <c r="K1" s="2" t="s">
        <v>96</v>
      </c>
    </row>
    <row r="2" spans="1:11" x14ac:dyDescent="0.35">
      <c r="A2" s="49" t="s">
        <v>120</v>
      </c>
      <c r="B2" s="14" t="s">
        <v>11</v>
      </c>
      <c r="C2" s="14" t="s">
        <v>12</v>
      </c>
      <c r="D2" s="14" t="s">
        <v>13</v>
      </c>
      <c r="E2" s="14" t="s">
        <v>14</v>
      </c>
      <c r="F2" s="14" t="s">
        <v>15</v>
      </c>
      <c r="G2" s="14" t="s">
        <v>65</v>
      </c>
      <c r="H2" s="14" t="s">
        <v>66</v>
      </c>
      <c r="J2" s="36" t="s">
        <v>97</v>
      </c>
      <c r="K2" s="32">
        <v>300</v>
      </c>
    </row>
    <row r="3" spans="1:11" x14ac:dyDescent="0.35">
      <c r="A3" s="49" t="s">
        <v>121</v>
      </c>
      <c r="B3" s="14" t="s">
        <v>98</v>
      </c>
      <c r="C3" s="14" t="s">
        <v>99</v>
      </c>
      <c r="D3" s="14" t="s">
        <v>100</v>
      </c>
      <c r="E3" s="14" t="s">
        <v>101</v>
      </c>
      <c r="F3" s="14" t="s">
        <v>30</v>
      </c>
      <c r="G3" s="14"/>
      <c r="H3" s="14" t="s">
        <v>102</v>
      </c>
      <c r="J3" s="36" t="s">
        <v>103</v>
      </c>
      <c r="K3" s="32">
        <v>345</v>
      </c>
    </row>
    <row r="4" spans="1:11" ht="38" customHeight="1" x14ac:dyDescent="0.35">
      <c r="A4" s="49" t="s">
        <v>122</v>
      </c>
      <c r="B4" s="14" t="s">
        <v>104</v>
      </c>
      <c r="C4" s="14" t="s">
        <v>105</v>
      </c>
      <c r="D4" s="14" t="s">
        <v>106</v>
      </c>
      <c r="E4" s="14" t="s">
        <v>107</v>
      </c>
      <c r="F4" s="14" t="s">
        <v>108</v>
      </c>
      <c r="G4" s="14"/>
      <c r="H4" s="14" t="s">
        <v>108</v>
      </c>
      <c r="J4" s="37" t="s">
        <v>109</v>
      </c>
    </row>
    <row r="5" spans="1:11" x14ac:dyDescent="0.35">
      <c r="A5" s="49" t="s">
        <v>123</v>
      </c>
      <c r="B5" s="14" t="s">
        <v>110</v>
      </c>
      <c r="C5" s="14" t="s">
        <v>111</v>
      </c>
      <c r="D5" s="14" t="s">
        <v>112</v>
      </c>
      <c r="E5" s="14" t="s">
        <v>113</v>
      </c>
      <c r="F5" s="14"/>
      <c r="G5" s="14"/>
      <c r="H5" s="14"/>
    </row>
    <row r="6" spans="1:11" x14ac:dyDescent="0.35">
      <c r="A6" s="49" t="s">
        <v>124</v>
      </c>
      <c r="B6" s="14"/>
      <c r="C6" s="14"/>
      <c r="D6" s="14"/>
      <c r="E6" s="14" t="s">
        <v>114</v>
      </c>
      <c r="F6" s="14"/>
      <c r="G6" s="14"/>
      <c r="H6" s="14"/>
      <c r="J6" s="8" t="s">
        <v>115</v>
      </c>
    </row>
    <row r="7" spans="1:11" ht="42" customHeight="1" x14ac:dyDescent="0.35">
      <c r="A7" s="49" t="s">
        <v>125</v>
      </c>
      <c r="B7" s="14"/>
      <c r="C7" s="14"/>
      <c r="D7" s="14"/>
      <c r="E7" s="14"/>
      <c r="F7" s="14"/>
      <c r="G7" s="14"/>
      <c r="H7" s="14"/>
      <c r="J7" s="38" t="s">
        <v>116</v>
      </c>
    </row>
    <row r="8" spans="1:11" ht="42" customHeight="1" x14ac:dyDescent="0.35">
      <c r="A8" s="49" t="s">
        <v>126</v>
      </c>
      <c r="B8" s="14"/>
      <c r="C8" s="14"/>
      <c r="D8" s="14"/>
      <c r="E8" s="14"/>
      <c r="F8" s="14"/>
      <c r="G8" s="14"/>
      <c r="H8" s="14"/>
      <c r="J8" s="38" t="s">
        <v>117</v>
      </c>
    </row>
    <row r="9" spans="1:11" ht="42" customHeight="1" x14ac:dyDescent="0.35">
      <c r="A9" s="49" t="s">
        <v>127</v>
      </c>
      <c r="B9" s="14"/>
      <c r="C9" s="14"/>
      <c r="D9" s="14"/>
      <c r="E9" s="14"/>
      <c r="F9" s="14"/>
      <c r="G9" s="14"/>
      <c r="H9" s="14"/>
      <c r="J9" s="38" t="s">
        <v>118</v>
      </c>
    </row>
    <row r="10" spans="1:11" x14ac:dyDescent="0.35">
      <c r="A10" s="49" t="s">
        <v>128</v>
      </c>
      <c r="B10" s="14"/>
      <c r="C10" s="14"/>
      <c r="D10" s="14"/>
      <c r="E10" s="14"/>
      <c r="F10" s="14"/>
      <c r="G10" s="14"/>
      <c r="H10" s="14"/>
    </row>
    <row r="11" spans="1:11" x14ac:dyDescent="0.35">
      <c r="A11" s="49" t="s">
        <v>129</v>
      </c>
      <c r="B11" s="14"/>
      <c r="C11" s="14"/>
      <c r="D11" s="14"/>
      <c r="E11" s="14"/>
      <c r="F11" s="14"/>
      <c r="G11" s="14"/>
      <c r="H11" s="14"/>
    </row>
    <row r="12" spans="1:11" x14ac:dyDescent="0.35">
      <c r="A12" s="49" t="s">
        <v>130</v>
      </c>
      <c r="B12" s="14"/>
      <c r="C12" s="14"/>
      <c r="D12" s="14"/>
      <c r="E12" s="14"/>
      <c r="F12" s="14"/>
      <c r="G12" s="14"/>
      <c r="H12" s="14"/>
    </row>
    <row r="13" spans="1:11" x14ac:dyDescent="0.35">
      <c r="A13" s="49" t="s">
        <v>131</v>
      </c>
      <c r="B13" s="14"/>
      <c r="C13" s="14"/>
      <c r="D13" s="14"/>
      <c r="E13" s="14"/>
      <c r="F13" s="14"/>
      <c r="G13" s="14"/>
      <c r="H13" s="14"/>
    </row>
    <row r="14" spans="1:11" x14ac:dyDescent="0.35">
      <c r="A14" s="49" t="s">
        <v>132</v>
      </c>
      <c r="B14" s="14"/>
      <c r="C14" s="14"/>
      <c r="D14" s="14"/>
      <c r="E14" s="14"/>
      <c r="F14" s="14"/>
      <c r="G14" s="14"/>
      <c r="H14" s="14"/>
    </row>
    <row r="15" spans="1:11" x14ac:dyDescent="0.35">
      <c r="A15" s="49" t="s">
        <v>133</v>
      </c>
      <c r="B15" s="14"/>
      <c r="C15" s="14"/>
      <c r="D15" s="14"/>
      <c r="E15" s="14"/>
      <c r="F15" s="14"/>
      <c r="G15" s="14"/>
      <c r="H15" s="14"/>
    </row>
    <row r="16" spans="1:11" x14ac:dyDescent="0.35">
      <c r="A16" s="49" t="s">
        <v>134</v>
      </c>
      <c r="B16" s="14"/>
      <c r="C16" s="14"/>
      <c r="D16" s="14"/>
      <c r="E16" s="14"/>
      <c r="F16" s="14"/>
      <c r="G16" s="14"/>
      <c r="H16" s="14"/>
    </row>
    <row r="17" spans="1:8" x14ac:dyDescent="0.35">
      <c r="A17" s="49" t="s">
        <v>135</v>
      </c>
      <c r="B17" s="14"/>
      <c r="C17" s="14"/>
      <c r="D17" s="14"/>
      <c r="E17" s="14"/>
      <c r="F17" s="14"/>
      <c r="G17" s="14"/>
      <c r="H17" s="14"/>
    </row>
    <row r="18" spans="1:8" x14ac:dyDescent="0.35">
      <c r="A18" s="49" t="s">
        <v>136</v>
      </c>
      <c r="B18" s="14"/>
      <c r="C18" s="14"/>
      <c r="D18" s="14"/>
      <c r="E18" s="14"/>
      <c r="F18" s="14"/>
      <c r="G18" s="14"/>
      <c r="H18" s="14"/>
    </row>
    <row r="19" spans="1:8" x14ac:dyDescent="0.35">
      <c r="A19" s="49" t="s">
        <v>137</v>
      </c>
      <c r="B19" s="14"/>
      <c r="C19" s="14"/>
      <c r="D19" s="14"/>
      <c r="E19" s="14"/>
      <c r="F19" s="14"/>
      <c r="G19" s="14"/>
      <c r="H19" s="14"/>
    </row>
    <row r="20" spans="1:8" x14ac:dyDescent="0.35">
      <c r="A20" s="49" t="s">
        <v>138</v>
      </c>
      <c r="B20" s="14"/>
      <c r="C20" s="14"/>
      <c r="D20" s="14"/>
      <c r="E20" s="14"/>
      <c r="F20" s="14"/>
      <c r="G20" s="14"/>
      <c r="H20" s="14"/>
    </row>
    <row r="21" spans="1:8" x14ac:dyDescent="0.35">
      <c r="A21" s="49" t="s">
        <v>139</v>
      </c>
      <c r="B21" s="14"/>
      <c r="C21" s="14"/>
      <c r="D21" s="14"/>
      <c r="E21" s="14"/>
      <c r="F21" s="14"/>
      <c r="G21" s="14"/>
      <c r="H21" s="14"/>
    </row>
    <row r="22" spans="1:8" x14ac:dyDescent="0.35">
      <c r="A22" s="49" t="s">
        <v>140</v>
      </c>
      <c r="B22" s="14"/>
      <c r="C22" s="14"/>
      <c r="D22" s="14"/>
      <c r="E22" s="14"/>
      <c r="F22" s="14"/>
      <c r="G22" s="14"/>
      <c r="H22" s="14"/>
    </row>
    <row r="23" spans="1:8" x14ac:dyDescent="0.35">
      <c r="A23" s="49" t="s">
        <v>141</v>
      </c>
      <c r="B23" s="14"/>
      <c r="C23" s="14"/>
      <c r="D23" s="14"/>
      <c r="E23" s="14"/>
      <c r="F23" s="14"/>
      <c r="G23" s="14"/>
      <c r="H23" s="14"/>
    </row>
    <row r="24" spans="1:8" x14ac:dyDescent="0.35">
      <c r="A24" s="49" t="s">
        <v>142</v>
      </c>
      <c r="B24" s="14"/>
      <c r="C24" s="14"/>
      <c r="D24" s="14"/>
      <c r="E24" s="14"/>
      <c r="F24" s="14"/>
      <c r="G24" s="14"/>
      <c r="H24" s="14"/>
    </row>
    <row r="25" spans="1:8" x14ac:dyDescent="0.35">
      <c r="A25" s="49" t="s">
        <v>143</v>
      </c>
      <c r="B25" s="14"/>
      <c r="C25" s="14"/>
      <c r="D25" s="14"/>
      <c r="E25" s="14"/>
      <c r="F25" s="14"/>
      <c r="G25" s="14"/>
      <c r="H25" s="14"/>
    </row>
    <row r="26" spans="1:8" x14ac:dyDescent="0.35">
      <c r="A26" s="49" t="s">
        <v>144</v>
      </c>
      <c r="B26" s="14"/>
      <c r="C26" s="14"/>
      <c r="D26" s="14"/>
      <c r="E26" s="14"/>
      <c r="F26" s="14"/>
      <c r="G26" s="14"/>
      <c r="H26" s="14"/>
    </row>
    <row r="27" spans="1:8" x14ac:dyDescent="0.35">
      <c r="A27" s="49" t="s">
        <v>145</v>
      </c>
      <c r="B27" s="14"/>
      <c r="C27" s="14"/>
      <c r="D27" s="14"/>
      <c r="E27" s="14"/>
      <c r="F27" s="14"/>
      <c r="G27" s="14"/>
      <c r="H27" s="14"/>
    </row>
    <row r="28" spans="1:8" x14ac:dyDescent="0.35">
      <c r="A28" s="49" t="s">
        <v>146</v>
      </c>
      <c r="B28" s="14"/>
      <c r="C28" s="14"/>
      <c r="D28" s="14"/>
      <c r="E28" s="14"/>
      <c r="F28" s="14"/>
      <c r="G28" s="14"/>
      <c r="H28" s="14"/>
    </row>
    <row r="29" spans="1:8" x14ac:dyDescent="0.35">
      <c r="A29" s="49" t="s">
        <v>147</v>
      </c>
      <c r="B29" s="14"/>
      <c r="C29" s="14"/>
      <c r="D29" s="14"/>
      <c r="E29" s="14"/>
      <c r="F29" s="14"/>
      <c r="G29" s="14"/>
      <c r="H29" s="14"/>
    </row>
    <row r="30" spans="1:8" x14ac:dyDescent="0.35">
      <c r="A30" s="49" t="s">
        <v>148</v>
      </c>
      <c r="B30" s="14"/>
      <c r="C30" s="14"/>
      <c r="D30" s="14"/>
      <c r="E30" s="14"/>
      <c r="F30" s="14"/>
      <c r="G30" s="14"/>
      <c r="H30" s="14"/>
    </row>
    <row r="31" spans="1:8" x14ac:dyDescent="0.35">
      <c r="A31" s="49" t="s">
        <v>149</v>
      </c>
      <c r="B31" s="14"/>
      <c r="C31" s="14"/>
      <c r="D31" s="14"/>
      <c r="E31" s="14"/>
      <c r="F31" s="14"/>
      <c r="G31" s="14"/>
      <c r="H31" s="14"/>
    </row>
    <row r="32" spans="1:8" x14ac:dyDescent="0.35">
      <c r="A32" s="49" t="s">
        <v>150</v>
      </c>
      <c r="B32" s="14"/>
      <c r="C32" s="14"/>
      <c r="D32" s="14"/>
      <c r="E32" s="14"/>
      <c r="F32" s="14"/>
      <c r="G32" s="14"/>
      <c r="H32" s="14"/>
    </row>
    <row r="33" spans="1:8" x14ac:dyDescent="0.35">
      <c r="A33" s="49" t="s">
        <v>151</v>
      </c>
      <c r="B33" s="14"/>
      <c r="C33" s="14"/>
      <c r="D33" s="14"/>
      <c r="E33" s="14"/>
      <c r="F33" s="14"/>
      <c r="G33" s="14"/>
      <c r="H33" s="14"/>
    </row>
    <row r="34" spans="1:8" x14ac:dyDescent="0.35">
      <c r="A34" s="49" t="s">
        <v>152</v>
      </c>
      <c r="B34" s="14"/>
      <c r="C34" s="14"/>
      <c r="D34" s="14"/>
      <c r="E34" s="14"/>
      <c r="F34" s="14"/>
      <c r="G34" s="14"/>
      <c r="H34" s="14"/>
    </row>
    <row r="35" spans="1:8" x14ac:dyDescent="0.35">
      <c r="A35" s="49" t="s">
        <v>153</v>
      </c>
      <c r="B35" s="14"/>
      <c r="C35" s="14"/>
      <c r="D35" s="14"/>
      <c r="E35" s="14"/>
      <c r="F35" s="14"/>
      <c r="G35" s="14"/>
      <c r="H35" s="14"/>
    </row>
    <row r="36" spans="1:8" x14ac:dyDescent="0.35">
      <c r="A36" s="49" t="s">
        <v>154</v>
      </c>
      <c r="B36" s="14"/>
      <c r="C36" s="14"/>
      <c r="D36" s="14"/>
      <c r="E36" s="14"/>
      <c r="F36" s="14"/>
      <c r="G36" s="14"/>
      <c r="H36" s="14"/>
    </row>
    <row r="37" spans="1:8" x14ac:dyDescent="0.35">
      <c r="A37" s="49" t="s">
        <v>155</v>
      </c>
      <c r="B37" s="14"/>
      <c r="C37" s="14"/>
      <c r="D37" s="14"/>
      <c r="E37" s="14"/>
      <c r="F37" s="14"/>
      <c r="G37" s="14"/>
      <c r="H37" s="14"/>
    </row>
    <row r="38" spans="1:8" x14ac:dyDescent="0.35">
      <c r="A38" s="49" t="s">
        <v>156</v>
      </c>
      <c r="B38" s="14"/>
      <c r="C38" s="14"/>
      <c r="D38" s="14"/>
      <c r="E38" s="14"/>
      <c r="F38" s="14"/>
      <c r="G38" s="14"/>
      <c r="H38" s="14"/>
    </row>
    <row r="39" spans="1:8" x14ac:dyDescent="0.35">
      <c r="A39" s="49" t="s">
        <v>157</v>
      </c>
      <c r="B39" s="14"/>
      <c r="C39" s="14"/>
      <c r="D39" s="14"/>
      <c r="E39" s="14"/>
      <c r="F39" s="14"/>
      <c r="G39" s="14"/>
      <c r="H39" s="14"/>
    </row>
    <row r="40" spans="1:8" x14ac:dyDescent="0.35">
      <c r="A40" s="49" t="s">
        <v>158</v>
      </c>
      <c r="B40" s="14"/>
      <c r="C40" s="14"/>
      <c r="D40" s="14"/>
      <c r="E40" s="14"/>
      <c r="F40" s="14"/>
      <c r="G40" s="14"/>
      <c r="H40" s="14"/>
    </row>
    <row r="41" spans="1:8" x14ac:dyDescent="0.35">
      <c r="A41" s="49" t="s">
        <v>159</v>
      </c>
      <c r="B41" s="14"/>
      <c r="C41" s="14"/>
      <c r="D41" s="14"/>
      <c r="E41" s="14"/>
      <c r="F41" s="14"/>
      <c r="G41" s="14"/>
      <c r="H41" s="14"/>
    </row>
    <row r="42" spans="1:8" x14ac:dyDescent="0.35">
      <c r="A42" s="49" t="s">
        <v>160</v>
      </c>
      <c r="B42" s="14"/>
      <c r="C42" s="14"/>
      <c r="D42" s="14"/>
      <c r="E42" s="14"/>
      <c r="F42" s="14"/>
      <c r="G42" s="14"/>
      <c r="H42" s="14"/>
    </row>
    <row r="43" spans="1:8" x14ac:dyDescent="0.35">
      <c r="A43" s="49" t="s">
        <v>161</v>
      </c>
      <c r="B43" s="14"/>
      <c r="C43" s="14"/>
      <c r="D43" s="14"/>
      <c r="E43" s="14"/>
      <c r="F43" s="14"/>
      <c r="G43" s="14"/>
      <c r="H43" s="14"/>
    </row>
    <row r="44" spans="1:8" x14ac:dyDescent="0.35">
      <c r="A44" s="49" t="s">
        <v>162</v>
      </c>
      <c r="B44" s="14"/>
      <c r="C44" s="14"/>
      <c r="D44" s="14"/>
      <c r="E44" s="14"/>
      <c r="F44" s="14"/>
      <c r="G44" s="14"/>
      <c r="H44" s="14"/>
    </row>
    <row r="45" spans="1:8" x14ac:dyDescent="0.35">
      <c r="A45" s="49" t="s">
        <v>163</v>
      </c>
      <c r="B45" s="14"/>
      <c r="C45" s="14"/>
      <c r="D45" s="14"/>
      <c r="E45" s="14"/>
      <c r="F45" s="14"/>
      <c r="G45" s="14"/>
      <c r="H45" s="14"/>
    </row>
    <row r="46" spans="1:8" x14ac:dyDescent="0.35">
      <c r="A46" s="49" t="s">
        <v>164</v>
      </c>
      <c r="B46" s="14"/>
      <c r="C46" s="14"/>
      <c r="D46" s="14"/>
      <c r="E46" s="14"/>
      <c r="F46" s="14"/>
      <c r="G46" s="14"/>
      <c r="H46" s="14"/>
    </row>
    <row r="47" spans="1:8" x14ac:dyDescent="0.35">
      <c r="A47" s="49" t="s">
        <v>165</v>
      </c>
      <c r="B47" s="14"/>
      <c r="C47" s="14"/>
      <c r="D47" s="14"/>
      <c r="E47" s="14"/>
      <c r="F47" s="14"/>
      <c r="G47" s="14"/>
      <c r="H47" s="14"/>
    </row>
    <row r="48" spans="1:8" x14ac:dyDescent="0.35">
      <c r="A48" s="49" t="s">
        <v>166</v>
      </c>
      <c r="B48" s="14"/>
      <c r="C48" s="14"/>
      <c r="D48" s="14"/>
      <c r="E48" s="14"/>
      <c r="F48" s="14"/>
      <c r="G48" s="14"/>
      <c r="H48" s="14"/>
    </row>
    <row r="49" spans="1:8" x14ac:dyDescent="0.35">
      <c r="A49" s="49" t="s">
        <v>167</v>
      </c>
      <c r="B49" s="14"/>
      <c r="C49" s="14"/>
      <c r="D49" s="14"/>
      <c r="E49" s="14"/>
      <c r="F49" s="14"/>
      <c r="G49" s="14"/>
      <c r="H49" s="14"/>
    </row>
    <row r="50" spans="1:8" x14ac:dyDescent="0.35">
      <c r="A50" s="49" t="s">
        <v>168</v>
      </c>
      <c r="B50" s="14"/>
      <c r="C50" s="14"/>
      <c r="D50" s="14"/>
      <c r="E50" s="14"/>
      <c r="F50" s="14"/>
      <c r="G50" s="14"/>
      <c r="H50" s="14"/>
    </row>
    <row r="51" spans="1:8" x14ac:dyDescent="0.35">
      <c r="A51" s="49" t="s">
        <v>169</v>
      </c>
      <c r="B51" s="14"/>
      <c r="C51" s="14"/>
      <c r="D51" s="14"/>
      <c r="E51" s="14"/>
      <c r="F51" s="14"/>
      <c r="G51" s="14"/>
      <c r="H51" s="14"/>
    </row>
    <row r="52" spans="1:8" x14ac:dyDescent="0.35">
      <c r="A52" s="49" t="s">
        <v>170</v>
      </c>
      <c r="B52" s="14"/>
      <c r="C52" s="14"/>
      <c r="D52" s="14"/>
      <c r="E52" s="14"/>
      <c r="F52" s="14"/>
      <c r="G52" s="14"/>
      <c r="H52" s="14"/>
    </row>
    <row r="53" spans="1:8" x14ac:dyDescent="0.35">
      <c r="A53" s="49" t="s">
        <v>171</v>
      </c>
      <c r="B53" s="14"/>
      <c r="C53" s="14"/>
      <c r="D53" s="14"/>
      <c r="E53" s="14"/>
      <c r="F53" s="14"/>
      <c r="G53" s="14"/>
      <c r="H53" s="14"/>
    </row>
    <row r="54" spans="1:8" x14ac:dyDescent="0.35">
      <c r="A54" s="49" t="s">
        <v>172</v>
      </c>
      <c r="B54" s="14"/>
      <c r="C54" s="14"/>
      <c r="D54" s="14"/>
      <c r="E54" s="14"/>
      <c r="F54" s="14"/>
      <c r="G54" s="14"/>
      <c r="H54" s="14"/>
    </row>
    <row r="55" spans="1:8" x14ac:dyDescent="0.35">
      <c r="A55" s="49" t="s">
        <v>173</v>
      </c>
      <c r="B55" s="14"/>
      <c r="C55" s="14"/>
      <c r="D55" s="14"/>
      <c r="E55" s="14"/>
      <c r="F55" s="14"/>
      <c r="G55" s="14"/>
      <c r="H55" s="14"/>
    </row>
    <row r="56" spans="1:8" x14ac:dyDescent="0.35">
      <c r="A56" s="49" t="s">
        <v>174</v>
      </c>
      <c r="B56" s="14"/>
      <c r="C56" s="14"/>
      <c r="D56" s="14"/>
      <c r="E56" s="14"/>
      <c r="F56" s="14"/>
      <c r="G56" s="14"/>
      <c r="H56" s="14"/>
    </row>
    <row r="57" spans="1:8" x14ac:dyDescent="0.35">
      <c r="A57" s="49" t="s">
        <v>175</v>
      </c>
      <c r="B57" s="14"/>
      <c r="C57" s="14"/>
      <c r="D57" s="14"/>
      <c r="E57" s="14"/>
      <c r="F57" s="14"/>
      <c r="G57" s="14"/>
      <c r="H57" s="14"/>
    </row>
    <row r="58" spans="1:8" x14ac:dyDescent="0.35">
      <c r="A58" s="49" t="s">
        <v>176</v>
      </c>
      <c r="B58" s="14"/>
      <c r="C58" s="14"/>
      <c r="D58" s="14"/>
      <c r="E58" s="14"/>
      <c r="F58" s="14"/>
      <c r="G58" s="14"/>
      <c r="H58" s="14"/>
    </row>
    <row r="59" spans="1:8" x14ac:dyDescent="0.35">
      <c r="A59" s="49" t="s">
        <v>177</v>
      </c>
      <c r="B59" s="14"/>
      <c r="C59" s="14"/>
      <c r="D59" s="14"/>
      <c r="E59" s="14"/>
      <c r="F59" s="14"/>
      <c r="G59" s="14"/>
      <c r="H59" s="14"/>
    </row>
    <row r="60" spans="1:8" x14ac:dyDescent="0.35">
      <c r="A60" s="49" t="s">
        <v>178</v>
      </c>
      <c r="B60" s="14"/>
      <c r="C60" s="14"/>
      <c r="D60" s="14"/>
      <c r="E60" s="14"/>
      <c r="F60" s="14"/>
      <c r="G60" s="14"/>
      <c r="H60" s="14"/>
    </row>
    <row r="61" spans="1:8" x14ac:dyDescent="0.35">
      <c r="A61" s="49" t="s">
        <v>179</v>
      </c>
      <c r="B61" s="14"/>
      <c r="C61" s="14"/>
      <c r="D61" s="14"/>
      <c r="E61" s="14"/>
      <c r="F61" s="14"/>
      <c r="G61" s="14"/>
      <c r="H61" s="14"/>
    </row>
    <row r="62" spans="1:8" x14ac:dyDescent="0.35">
      <c r="A62" s="49" t="s">
        <v>180</v>
      </c>
      <c r="B62" s="14"/>
      <c r="C62" s="14"/>
      <c r="D62" s="14"/>
      <c r="E62" s="14"/>
      <c r="F62" s="14"/>
      <c r="G62" s="14"/>
      <c r="H62" s="14"/>
    </row>
    <row r="63" spans="1:8" x14ac:dyDescent="0.35">
      <c r="A63" s="49" t="s">
        <v>181</v>
      </c>
      <c r="B63" s="14"/>
      <c r="C63" s="14"/>
      <c r="D63" s="14"/>
      <c r="E63" s="14"/>
      <c r="F63" s="14"/>
      <c r="G63" s="14"/>
      <c r="H63" s="14"/>
    </row>
    <row r="64" spans="1:8" x14ac:dyDescent="0.35">
      <c r="A64" s="14"/>
      <c r="B64" s="14"/>
      <c r="C64" s="14"/>
      <c r="D64" s="14"/>
      <c r="E64" s="14"/>
      <c r="F64" s="14"/>
      <c r="G64" s="14"/>
      <c r="H64" s="14"/>
    </row>
    <row r="65" spans="1:8" x14ac:dyDescent="0.35">
      <c r="A65" s="14"/>
      <c r="B65" s="14"/>
      <c r="C65" s="14"/>
      <c r="D65" s="14"/>
      <c r="E65" s="14"/>
      <c r="F65" s="14"/>
      <c r="G65" s="14"/>
      <c r="H65" s="14"/>
    </row>
    <row r="66" spans="1:8" x14ac:dyDescent="0.35">
      <c r="A66" s="14"/>
      <c r="B66" s="14"/>
      <c r="C66" s="14"/>
      <c r="D66" s="14"/>
      <c r="E66" s="14"/>
      <c r="F66" s="14"/>
      <c r="G66" s="14"/>
      <c r="H66" s="14"/>
    </row>
    <row r="67" spans="1:8" x14ac:dyDescent="0.35">
      <c r="A67" s="14"/>
      <c r="B67" s="14"/>
      <c r="C67" s="14"/>
      <c r="D67" s="14"/>
      <c r="E67" s="14"/>
      <c r="F67" s="14"/>
      <c r="G67" s="14"/>
      <c r="H67" s="14"/>
    </row>
    <row r="68" spans="1:8" x14ac:dyDescent="0.35">
      <c r="A68" s="14"/>
      <c r="B68" s="14"/>
      <c r="C68" s="14"/>
      <c r="D68" s="14"/>
      <c r="E68" s="14"/>
      <c r="F68" s="14"/>
      <c r="G68" s="14"/>
      <c r="H68" s="14"/>
    </row>
    <row r="69" spans="1:8" x14ac:dyDescent="0.35">
      <c r="A69" s="14"/>
      <c r="B69" s="14"/>
      <c r="C69" s="14"/>
      <c r="D69" s="14"/>
      <c r="E69" s="14"/>
      <c r="F69" s="14"/>
      <c r="G69" s="14"/>
      <c r="H69" s="14"/>
    </row>
    <row r="70" spans="1:8" x14ac:dyDescent="0.35">
      <c r="A70" s="14"/>
      <c r="B70" s="14"/>
      <c r="C70" s="14"/>
      <c r="D70" s="14"/>
      <c r="E70" s="14"/>
      <c r="F70" s="14"/>
      <c r="G70" s="14"/>
      <c r="H70" s="14"/>
    </row>
    <row r="71" spans="1:8" x14ac:dyDescent="0.35">
      <c r="A71" s="14"/>
      <c r="B71" s="14"/>
      <c r="C71" s="14"/>
      <c r="D71" s="14"/>
      <c r="E71" s="14"/>
      <c r="F71" s="14"/>
      <c r="G71" s="14"/>
      <c r="H71" s="14"/>
    </row>
    <row r="72" spans="1:8" x14ac:dyDescent="0.35">
      <c r="A72" s="14"/>
      <c r="B72" s="14"/>
      <c r="C72" s="14"/>
      <c r="D72" s="14"/>
      <c r="E72" s="14"/>
      <c r="F72" s="14"/>
      <c r="G72" s="14"/>
      <c r="H72" s="14"/>
    </row>
    <row r="73" spans="1:8" x14ac:dyDescent="0.35">
      <c r="A73" s="14"/>
      <c r="B73" s="14"/>
      <c r="C73" s="14"/>
      <c r="D73" s="14"/>
      <c r="E73" s="14"/>
      <c r="F73" s="14"/>
      <c r="G73" s="14"/>
      <c r="H73" s="14"/>
    </row>
    <row r="74" spans="1:8" x14ac:dyDescent="0.35">
      <c r="A74" s="14"/>
      <c r="B74" s="14"/>
      <c r="C74" s="14"/>
      <c r="D74" s="14"/>
      <c r="E74" s="14"/>
      <c r="F74" s="14"/>
      <c r="G74" s="14"/>
      <c r="H74" s="14"/>
    </row>
    <row r="75" spans="1:8" x14ac:dyDescent="0.35">
      <c r="A75" s="14"/>
      <c r="B75" s="14"/>
      <c r="C75" s="14"/>
      <c r="D75" s="14"/>
      <c r="E75" s="14"/>
      <c r="F75" s="14"/>
      <c r="G75" s="14"/>
      <c r="H75" s="14"/>
    </row>
    <row r="76" spans="1:8" x14ac:dyDescent="0.35">
      <c r="A76" s="14"/>
      <c r="B76" s="14"/>
      <c r="C76" s="14"/>
      <c r="D76" s="14"/>
      <c r="E76" s="14"/>
      <c r="F76" s="14"/>
      <c r="G76" s="14"/>
      <c r="H76" s="14"/>
    </row>
    <row r="77" spans="1:8" x14ac:dyDescent="0.35">
      <c r="A77" s="14"/>
      <c r="B77" s="14"/>
      <c r="C77" s="14"/>
      <c r="D77" s="14"/>
      <c r="E77" s="14"/>
      <c r="F77" s="14"/>
      <c r="G77" s="14"/>
      <c r="H77" s="14"/>
    </row>
    <row r="78" spans="1:8" x14ac:dyDescent="0.35">
      <c r="A78" s="14"/>
      <c r="B78" s="14"/>
      <c r="C78" s="14"/>
      <c r="D78" s="14"/>
      <c r="E78" s="14"/>
      <c r="F78" s="14"/>
      <c r="G78" s="14"/>
      <c r="H78" s="14"/>
    </row>
    <row r="79" spans="1:8" x14ac:dyDescent="0.35">
      <c r="A79" s="14"/>
      <c r="B79" s="14"/>
      <c r="C79" s="14"/>
      <c r="D79" s="14"/>
      <c r="E79" s="14"/>
      <c r="F79" s="14"/>
      <c r="G79" s="14"/>
      <c r="H79" s="14"/>
    </row>
    <row r="80" spans="1:8" x14ac:dyDescent="0.35">
      <c r="A80" s="14"/>
      <c r="B80" s="14"/>
      <c r="C80" s="14"/>
      <c r="D80" s="14"/>
      <c r="E80" s="14"/>
      <c r="F80" s="14"/>
      <c r="G80" s="14"/>
      <c r="H80" s="14"/>
    </row>
    <row r="81" spans="1:8" x14ac:dyDescent="0.35">
      <c r="A81" s="14"/>
      <c r="B81" s="14"/>
      <c r="C81" s="14"/>
      <c r="D81" s="14"/>
      <c r="E81" s="14"/>
      <c r="F81" s="14"/>
      <c r="G81" s="14"/>
      <c r="H81" s="14"/>
    </row>
    <row r="82" spans="1:8" x14ac:dyDescent="0.35">
      <c r="A82" s="14"/>
      <c r="B82" s="14"/>
      <c r="C82" s="14"/>
      <c r="D82" s="14"/>
      <c r="E82" s="14"/>
      <c r="F82" s="14"/>
      <c r="G82" s="14"/>
      <c r="H82" s="14"/>
    </row>
    <row r="83" spans="1:8" x14ac:dyDescent="0.35">
      <c r="A83" s="14"/>
      <c r="B83" s="14"/>
      <c r="C83" s="14"/>
      <c r="D83" s="14"/>
      <c r="E83" s="14"/>
      <c r="F83" s="14"/>
      <c r="G83" s="14"/>
      <c r="H83" s="14"/>
    </row>
    <row r="84" spans="1:8" x14ac:dyDescent="0.35">
      <c r="A84" s="14"/>
      <c r="B84" s="14"/>
      <c r="C84" s="14"/>
      <c r="D84" s="14"/>
      <c r="E84" s="14"/>
      <c r="F84" s="14"/>
      <c r="G84" s="14"/>
      <c r="H84" s="14"/>
    </row>
    <row r="85" spans="1:8" x14ac:dyDescent="0.35">
      <c r="A85" s="14"/>
      <c r="B85" s="14"/>
      <c r="C85" s="14"/>
      <c r="D85" s="14"/>
      <c r="E85" s="14"/>
      <c r="F85" s="14"/>
      <c r="G85" s="14"/>
      <c r="H85" s="14"/>
    </row>
    <row r="86" spans="1:8" x14ac:dyDescent="0.35">
      <c r="A86" s="14"/>
      <c r="B86" s="14"/>
      <c r="C86" s="14"/>
      <c r="D86" s="14"/>
      <c r="E86" s="14"/>
      <c r="F86" s="14"/>
      <c r="G86" s="14"/>
      <c r="H86" s="14"/>
    </row>
    <row r="87" spans="1:8" x14ac:dyDescent="0.35">
      <c r="A87" s="14"/>
      <c r="B87" s="14"/>
      <c r="C87" s="14"/>
      <c r="D87" s="14"/>
      <c r="E87" s="14"/>
      <c r="F87" s="14"/>
      <c r="G87" s="14"/>
      <c r="H87" s="14"/>
    </row>
    <row r="88" spans="1:8" x14ac:dyDescent="0.35">
      <c r="A88" s="14"/>
      <c r="B88" s="14"/>
      <c r="C88" s="14"/>
      <c r="D88" s="14"/>
      <c r="E88" s="14"/>
      <c r="F88" s="14"/>
      <c r="G88" s="14"/>
      <c r="H88" s="14"/>
    </row>
    <row r="89" spans="1:8" x14ac:dyDescent="0.35">
      <c r="A89" s="14"/>
      <c r="B89" s="14"/>
      <c r="C89" s="14"/>
      <c r="D89" s="14"/>
      <c r="E89" s="14"/>
      <c r="F89" s="14"/>
      <c r="G89" s="14"/>
      <c r="H89" s="14"/>
    </row>
    <row r="90" spans="1:8" x14ac:dyDescent="0.35">
      <c r="A90" s="14"/>
      <c r="B90" s="14"/>
      <c r="C90" s="14"/>
      <c r="D90" s="14"/>
      <c r="E90" s="14"/>
      <c r="F90" s="14"/>
      <c r="G90" s="14"/>
      <c r="H90" s="14"/>
    </row>
    <row r="91" spans="1:8" x14ac:dyDescent="0.35">
      <c r="A91" s="14"/>
      <c r="B91" s="14"/>
      <c r="C91" s="14"/>
      <c r="D91" s="14"/>
      <c r="E91" s="14"/>
      <c r="F91" s="14"/>
      <c r="G91" s="14"/>
      <c r="H91" s="14"/>
    </row>
    <row r="92" spans="1:8" x14ac:dyDescent="0.35">
      <c r="A92" s="14"/>
      <c r="B92" s="14"/>
      <c r="C92" s="14"/>
      <c r="D92" s="14"/>
      <c r="E92" s="14"/>
      <c r="F92" s="14"/>
      <c r="G92" s="14"/>
      <c r="H92" s="14"/>
    </row>
    <row r="93" spans="1:8" x14ac:dyDescent="0.35">
      <c r="A93" s="14"/>
      <c r="B93" s="14"/>
      <c r="C93" s="14"/>
      <c r="D93" s="14"/>
      <c r="E93" s="14"/>
      <c r="F93" s="14"/>
      <c r="G93" s="14"/>
      <c r="H93" s="14"/>
    </row>
    <row r="94" spans="1:8" x14ac:dyDescent="0.35">
      <c r="A94" s="14"/>
      <c r="B94" s="14"/>
      <c r="C94" s="14"/>
      <c r="D94" s="14"/>
      <c r="E94" s="14"/>
      <c r="F94" s="14"/>
      <c r="G94" s="14"/>
      <c r="H94" s="14"/>
    </row>
    <row r="95" spans="1:8" x14ac:dyDescent="0.35">
      <c r="A95" s="14"/>
      <c r="B95" s="14"/>
      <c r="C95" s="14"/>
      <c r="D95" s="14"/>
      <c r="E95" s="14"/>
      <c r="F95" s="14"/>
      <c r="G95" s="14"/>
      <c r="H95" s="14"/>
    </row>
    <row r="96" spans="1:8" x14ac:dyDescent="0.35">
      <c r="A96" s="14"/>
      <c r="B96" s="14"/>
      <c r="C96" s="14"/>
      <c r="D96" s="14"/>
      <c r="E96" s="14"/>
      <c r="F96" s="14"/>
      <c r="G96" s="14"/>
      <c r="H96" s="14"/>
    </row>
    <row r="97" spans="1:8" x14ac:dyDescent="0.35">
      <c r="A97" s="14"/>
      <c r="B97" s="14"/>
      <c r="C97" s="14"/>
      <c r="D97" s="14"/>
      <c r="E97" s="14"/>
      <c r="F97" s="14"/>
      <c r="G97" s="14"/>
      <c r="H97" s="14"/>
    </row>
    <row r="98" spans="1:8" x14ac:dyDescent="0.35">
      <c r="A98" s="14"/>
      <c r="B98" s="14"/>
      <c r="C98" s="14"/>
      <c r="D98" s="14"/>
      <c r="E98" s="14"/>
      <c r="F98" s="14"/>
      <c r="G98" s="14"/>
      <c r="H98" s="14"/>
    </row>
    <row r="99" spans="1:8" x14ac:dyDescent="0.35">
      <c r="A99" s="14"/>
      <c r="B99" s="14"/>
      <c r="C99" s="14"/>
      <c r="D99" s="14"/>
      <c r="E99" s="14"/>
      <c r="F99" s="14"/>
      <c r="G99" s="14"/>
      <c r="H99" s="14"/>
    </row>
    <row r="100" spans="1:8" x14ac:dyDescent="0.35">
      <c r="A100" s="14"/>
      <c r="B100" s="14"/>
      <c r="C100" s="14"/>
      <c r="D100" s="14"/>
      <c r="E100" s="14"/>
      <c r="F100" s="14"/>
      <c r="G100" s="14"/>
      <c r="H100" s="14"/>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4</vt:i4>
      </vt:variant>
    </vt:vector>
  </HeadingPairs>
  <TitlesOfParts>
    <vt:vector size="10" baseType="lpstr">
      <vt:lpstr>Controle_Paiement</vt:lpstr>
      <vt:lpstr>Paiements</vt:lpstr>
      <vt:lpstr>Synthese</vt:lpstr>
      <vt:lpstr>Fournisseurs</vt:lpstr>
      <vt:lpstr>Dechargements</vt:lpstr>
      <vt:lpstr>Listes</vt:lpstr>
      <vt:lpstr>Dechargements!Impression_des_titres</vt:lpstr>
      <vt:lpstr>Paiements!Impression_des_titres</vt:lpstr>
      <vt:lpstr>P_Max</vt:lpstr>
      <vt:lpstr>P_Min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Alliance BODJRENOU</cp:lastModifiedBy>
  <dcterms:created xsi:type="dcterms:W3CDTF">2026-10-10T18:01:17Z</dcterms:created>
  <dcterms:modified xsi:type="dcterms:W3CDTF">2026-10-13T13:20:52Z</dcterms:modified>
</cp:coreProperties>
</file>